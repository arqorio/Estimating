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Tag 1" sheetId="3" state="visible" r:id="rId3"/>
    <sheet xmlns:r="http://schemas.openxmlformats.org/officeDocument/2006/relationships" name="Tag 2" sheetId="4" state="visible" r:id="rId4"/>
    <sheet xmlns:r="http://schemas.openxmlformats.org/officeDocument/2006/relationships" name="Tag 3" sheetId="5" state="visible" r:id="rId5"/>
    <sheet xmlns:r="http://schemas.openxmlformats.org/officeDocument/2006/relationships" name="Tag 4" sheetId="6" state="visible" r:id="rId6"/>
    <sheet xmlns:r="http://schemas.openxmlformats.org/officeDocument/2006/relationships" name="Tag 5" sheetId="7" state="visible" r:id="rId7"/>
    <sheet xmlns:r="http://schemas.openxmlformats.org/officeDocument/2006/relationships" name="Tag 6" sheetId="8" state="visible" r:id="rId8"/>
    <sheet xmlns:r="http://schemas.openxmlformats.org/officeDocument/2006/relationships" name="Tag List" sheetId="9" state="visible" r:id="rId9"/>
    <sheet xmlns:r="http://schemas.openxmlformats.org/officeDocument/2006/relationships" name="Rough Opening" sheetId="10" state="visible" r:id="rId10"/>
    <sheet xmlns:r="http://schemas.openxmlformats.org/officeDocument/2006/relationships" name="Bi-Pass" sheetId="11" state="visible" r:id="rId11"/>
    <sheet xmlns:r="http://schemas.openxmlformats.org/officeDocument/2006/relationships" name="Locations" sheetId="12" state="visible" r:id="rId12"/>
    <sheet xmlns:r="http://schemas.openxmlformats.org/officeDocument/2006/relationships" name="Lists" sheetId="13" state="visible" r:id="rId13"/>
    <sheet xmlns:r="http://schemas.openxmlformats.org/officeDocument/2006/relationships" name="Calc" sheetId="14" state="hidden" r:id="rId14"/>
  </sheets>
  <definedNames>
    <definedName name="CoName">Setup!$C$5</definedName>
    <definedName name="CoAddr">Setup!$C$6</definedName>
    <definedName name="CoPhone">Setup!$C$7</definedName>
    <definedName name="CoWeb">Setup!$C$8</definedName>
    <definedName name="CoSpec1">Setup!$C$9</definedName>
    <definedName name="CoSpec2">Setup!$C$10</definedName>
    <definedName name="RODryW">Setup!$C$11</definedName>
    <definedName name="RODryH">Setup!$C$12</definedName>
    <definedName name="ROTolDef">Setup!$C$13</definedName>
    <definedName name="RevH">Setup!$C$14</definedName>
    <definedName name="RevL">Setup!$C$15</definedName>
    <definedName name="RevT">Setup!$C$16</definedName>
    <definedName name="UCCur">Setup!$C$17</definedName>
    <definedName name="UCOth">Setup!$C$18</definedName>
    <definedName name="LiteTop">Setup!$C$19</definedName>
    <definedName name="LiteEdge">Setup!$C$20</definedName>
    <definedName name="DBAFF">Setup!$C$21</definedName>
    <definedName name="LockAFF">Setup!$C$22</definedName>
    <definedName name="MinRail">Setup!$C$23</definedName>
    <definedName name="L_Fire">Lists!$A$2:$A$7</definedName>
    <definedName name="L_Style">Lists!$B$2:$B$3</definedName>
    <definedName name="L_Swing">Lists!$C$2:$C$6</definedName>
    <definedName name="L_Anchor">Lists!$D$2:$D$9</definedName>
    <definedName name="L_Hinge">Lists!$E$2:$E$7</definedName>
    <definedName name="L_Strike1">Lists!$F$2:$F$7</definedName>
    <definedName name="L_Strike2">Lists!$G$2:$G$3</definedName>
    <definedName name="L_Lock1">Lists!$H$2:$H$11</definedName>
    <definedName name="L_Lock2">Lists!$I$2:$I$4</definedName>
    <definedName name="L_Mfr">Lists!$J$2:$J$12</definedName>
    <definedName name="L_Elev">Lists!$K$2:$K$20</definedName>
    <definedName name="L_Wall">Lists!$L$2:$L$3</definedName>
    <definedName name="L_Mat">Lists!$M$2:$M$3</definedName>
    <definedName name="L_YN">Lists!$N$2:$N$2</definedName>
    <definedName name="L_Gauge">Lists!$O$2:$O$4</definedName>
    <definedName name="L_Face">Lists!$P$2:$P$3</definedName>
    <definedName name="L_WFt">Lists!$Q$2:$Q$6</definedName>
    <definedName name="L_HFt">Lists!$R$2:$R$7</definedName>
    <definedName name="L_In">Lists!$S$2:$S$13</definedName>
    <definedName name="L_Jamb">Lists!$U$2:$U$74</definedName>
    <definedName name="T_Jamb">Lists!$U$2:$W$74</definedName>
    <definedName name="T_Leg">Lists!$Y$2:$Z$47</definedName>
    <definedName name="T_Loc">Locations!$B$6:$J$32</definedName>
    <definedName name="T_LocKey">Locations!$B$6:$B$32</definedName>
    <definedName name="_xlnm.Print_Area" localSheetId="2">'Tag 1'!$A$1:$Y$60</definedName>
    <definedName name="_xlnm.Print_Area" localSheetId="3">'Tag 2'!$A$1:$Y$60</definedName>
    <definedName name="_xlnm.Print_Area" localSheetId="4">'Tag 3'!$A$1:$Y$60</definedName>
    <definedName name="_xlnm.Print_Area" localSheetId="5">'Tag 4'!$A$1:$Y$60</definedName>
    <definedName name="_xlnm.Print_Area" localSheetId="6">'Tag 5'!$A$1:$Y$60</definedName>
    <definedName name="_xlnm.Print_Area" localSheetId="7">'Tag 6'!$A$1:$Y$60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 ??/32"/>
    <numFmt numFmtId="166" formatCode="# ??/16"/>
    <numFmt numFmtId="167" formatCode="# ?/??"/>
  </numFmts>
  <fonts count="39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C9D6E3"/>
      <sz val="9"/>
    </font>
    <font>
      <name val="Arial"/>
      <color rgb="005B6770"/>
      <sz val="10"/>
    </font>
    <font>
      <name val="Arial"/>
      <b val="1"/>
      <color rgb="000B3D91"/>
      <sz val="11"/>
    </font>
    <font>
      <name val="Arial"/>
      <i val="1"/>
      <color rgb="005B6770"/>
      <sz val="8"/>
    </font>
    <font>
      <name val="Arial"/>
      <b val="1"/>
      <color rgb="00FFFFFF"/>
      <sz val="8"/>
    </font>
    <font>
      <name val="Arial"/>
      <color rgb="000B3D91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color rgb="005B6770"/>
      <sz val="9"/>
    </font>
    <font>
      <name val="Arial"/>
      <b val="1"/>
      <color rgb="00FFFFFF"/>
      <sz val="15"/>
    </font>
    <font>
      <name val="Arial"/>
      <i val="1"/>
      <color rgb="00C9D6E3"/>
      <sz val="8"/>
    </font>
    <font>
      <name val="Arial"/>
      <b val="1"/>
      <color rgb="00FFD27A"/>
      <sz val="13"/>
    </font>
    <font>
      <name val="Arial"/>
      <color rgb="00C9D6E3"/>
      <sz val="8"/>
    </font>
    <font>
      <name val="Arial"/>
      <b val="1"/>
      <color rgb="005B6770"/>
      <sz val="7"/>
    </font>
    <font>
      <name val="Arial"/>
      <b val="1"/>
      <color rgb="000B3D91"/>
      <sz val="12"/>
    </font>
    <font>
      <name val="Arial"/>
      <b val="1"/>
      <color rgb="00FFFFFF"/>
      <sz val="6"/>
    </font>
    <font>
      <name val="Arial"/>
      <b val="1"/>
      <color rgb="000B3D91"/>
      <sz val="10"/>
    </font>
    <font>
      <name val="Arial"/>
      <b val="1"/>
      <color rgb="000B3D91"/>
      <sz val="8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0E6E6E"/>
      <sz val="10"/>
    </font>
    <font>
      <name val="Arial"/>
      <color rgb="000E6E6E"/>
      <sz val="10"/>
    </font>
    <font>
      <name val="Arial"/>
      <b val="1"/>
      <color rgb="00B23A1C"/>
      <sz val="10"/>
    </font>
    <font>
      <name val="Arial"/>
      <b val="1"/>
      <color rgb="0014304A"/>
      <sz val="10"/>
    </font>
    <font>
      <name val="Arial"/>
      <color rgb="0037424D"/>
      <sz val="9"/>
    </font>
    <font>
      <name val="Arial"/>
      <b val="1"/>
      <color rgb="005B6770"/>
      <sz val="8"/>
    </font>
    <font>
      <name val="Arial"/>
      <color rgb="005B6770"/>
      <sz val="8"/>
    </font>
    <font>
      <name val="Arial"/>
      <b val="1"/>
      <color rgb="001F5975"/>
      <sz val="9"/>
    </font>
    <font>
      <name val="Arial"/>
      <b val="1"/>
      <color rgb="005B6770"/>
      <sz val="9"/>
    </font>
    <font>
      <name val="Arial"/>
      <b val="1"/>
      <color rgb="0014304A"/>
      <sz val="12"/>
    </font>
    <font>
      <name val="Arial"/>
      <b val="1"/>
      <color rgb="000E6E6E"/>
      <sz val="12"/>
    </font>
    <font>
      <name val="Arial"/>
      <b val="1"/>
      <color rgb="00FFD27A"/>
      <sz val="12"/>
    </font>
    <font>
      <name val="Arial"/>
      <b val="1"/>
      <color rgb="00FFFFFF"/>
      <sz val="28"/>
    </font>
    <font>
      <name val="Arial"/>
      <color rgb="00C9D6E3"/>
      <sz val="11"/>
    </font>
    <font>
      <name val="Arial"/>
      <b val="1"/>
      <color rgb="00FFFFFF"/>
      <sz val="10"/>
    </font>
    <font>
      <name val="Arial"/>
      <color rgb="0037424D"/>
      <sz val="10"/>
    </font>
    <font>
      <name val="Arial"/>
      <b val="1"/>
      <color rgb="00C07F00"/>
      <sz val="10"/>
    </font>
  </fonts>
  <fills count="10">
    <fill>
      <patternFill/>
    </fill>
    <fill>
      <patternFill patternType="gray125"/>
    </fill>
    <fill>
      <patternFill patternType="solid">
        <fgColor rgb="0014304A"/>
        <bgColor rgb="0014304A"/>
      </patternFill>
    </fill>
    <fill>
      <patternFill patternType="solid">
        <fgColor rgb="00C07F00"/>
        <bgColor rgb="00C07F00"/>
      </patternFill>
    </fill>
    <fill>
      <patternFill patternType="solid">
        <fgColor rgb="00F7F9FB"/>
        <bgColor rgb="00F7F9FB"/>
      </patternFill>
    </fill>
    <fill>
      <patternFill patternType="solid">
        <fgColor rgb="00FFF7D6"/>
        <bgColor rgb="00FFF7D6"/>
      </patternFill>
    </fill>
    <fill>
      <patternFill patternType="solid">
        <fgColor rgb="001F4E79"/>
        <bgColor rgb="001F4E79"/>
      </patternFill>
    </fill>
    <fill>
      <patternFill patternType="solid">
        <fgColor rgb="000E6E6E"/>
        <bgColor rgb="000E6E6E"/>
      </patternFill>
    </fill>
    <fill>
      <patternFill patternType="solid">
        <fgColor rgb="003D4852"/>
        <bgColor rgb="003D4852"/>
      </patternFill>
    </fill>
    <fill>
      <patternFill patternType="solid">
        <fgColor rgb="001B6E3A"/>
        <bgColor rgb="001B6E3A"/>
      </patternFill>
    </fill>
  </fills>
  <borders count="16">
    <border>
      <left/>
      <right/>
      <top/>
      <bottom/>
      <diagonal/>
    </border>
    <border>
      <left style="thin">
        <color rgb="00C3CDD6"/>
      </left>
      <right style="thin">
        <color rgb="00C3CDD6"/>
      </right>
      <top style="thin">
        <color rgb="00C3CDD6"/>
      </top>
      <bottom style="thin">
        <color rgb="00C3CDD6"/>
      </bottom>
    </border>
    <border>
      <bottom style="thin">
        <color rgb="00C3CDD6"/>
      </bottom>
    </border>
    <border>
      <bottom style="hair">
        <color rgb="00C3CDD6"/>
      </bottom>
    </border>
    <border>
      <left style="medium">
        <color rgb="0014304A"/>
      </left>
      <right/>
      <top style="medium">
        <color rgb="0014304A"/>
      </top>
      <bottom/>
    </border>
    <border>
      <left/>
      <right/>
      <top style="medium">
        <color rgb="0014304A"/>
      </top>
      <bottom/>
    </border>
    <border>
      <left/>
      <right style="medium">
        <color rgb="0014304A"/>
      </right>
      <top style="medium">
        <color rgb="0014304A"/>
      </top>
      <bottom/>
    </border>
    <border>
      <left style="medium">
        <color rgb="0014304A"/>
      </left>
      <bottom style="hair">
        <color rgb="00C3CDD6"/>
      </bottom>
    </border>
    <border>
      <left/>
      <right/>
      <top/>
      <bottom/>
    </border>
    <border>
      <right style="medium">
        <color rgb="0014304A"/>
      </right>
      <bottom style="hair">
        <color rgb="00C3CDD6"/>
      </bottom>
    </border>
    <border>
      <left/>
      <right style="medium">
        <color rgb="0014304A"/>
      </right>
      <top/>
      <bottom/>
    </border>
    <border>
      <left style="medium">
        <color rgb="0014304A"/>
      </left>
      <right/>
      <top/>
      <bottom/>
    </border>
    <border>
      <left style="medium">
        <color rgb="0014304A"/>
      </left>
      <right/>
      <top/>
      <bottom style="medium">
        <color rgb="0014304A"/>
      </bottom>
    </border>
    <border>
      <left/>
      <right/>
      <top/>
      <bottom style="medium">
        <color rgb="0014304A"/>
      </bottom>
    </border>
    <border>
      <bottom style="medium">
        <color rgb="0014304A"/>
      </bottom>
    </border>
    <border>
      <right style="medium">
        <color rgb="0014304A"/>
      </right>
      <bottom style="medium">
        <color rgb="0014304A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0" fillId="2" borderId="0" pivotButton="0" quotePrefix="0" xfId="0"/>
    <xf numFmtId="0" fontId="33" fillId="2" borderId="0" pivotButton="0" quotePrefix="0" xfId="0"/>
    <xf numFmtId="0" fontId="34" fillId="2" borderId="0" pivotButton="0" quotePrefix="0" xfId="0"/>
    <xf numFmtId="0" fontId="35" fillId="2" borderId="0" pivotButton="0" quotePrefix="0" xfId="0"/>
    <xf numFmtId="0" fontId="0" fillId="3" borderId="0" pivotButton="0" quotePrefix="0" xfId="0"/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36" fillId="3" borderId="0" pivotButton="0" quotePrefix="0" xfId="0"/>
    <xf numFmtId="0" fontId="37" fillId="0" borderId="0" pivotButton="0" quotePrefix="0" xfId="0"/>
    <xf numFmtId="0" fontId="36" fillId="6" borderId="0" pivotButton="0" quotePrefix="0" xfId="0"/>
    <xf numFmtId="0" fontId="38" fillId="0" borderId="0" pivotButton="0" quotePrefix="0" xfId="0"/>
    <xf numFmtId="0" fontId="21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2" borderId="0" pivotButton="0" quotePrefix="0" xfId="0"/>
    <xf numFmtId="0" fontId="3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164" fontId="4" fillId="5" borderId="1" pivotButton="0" quotePrefix="0" xfId="0"/>
    <xf numFmtId="0" fontId="11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right" vertical="center"/>
    </xf>
    <xf numFmtId="0" fontId="15" fillId="0" borderId="0" pivotButton="0" quotePrefix="0" xfId="0"/>
    <xf numFmtId="0" fontId="4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16" fillId="5" borderId="2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9" fillId="5" borderId="1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167" fontId="18" fillId="5" borderId="1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8" fillId="5" borderId="1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/>
    </xf>
    <xf numFmtId="0" fontId="0" fillId="6" borderId="5" pivotButton="0" quotePrefix="0" xfId="0"/>
    <xf numFmtId="0" fontId="0" fillId="0" borderId="5" pivotButton="0" quotePrefix="0" xfId="0"/>
    <xf numFmtId="0" fontId="6" fillId="6" borderId="5" applyAlignment="1" pivotButton="0" quotePrefix="0" xfId="0">
      <alignment horizontal="left" vertical="center"/>
    </xf>
    <xf numFmtId="0" fontId="0" fillId="6" borderId="6" pivotButton="0" quotePrefix="0" xfId="0"/>
    <xf numFmtId="0" fontId="15" fillId="4" borderId="7" applyAlignment="1" pivotButton="0" quotePrefix="0" xfId="0">
      <alignment horizontal="left" vertical="center"/>
    </xf>
    <xf numFmtId="0" fontId="0" fillId="4" borderId="3" pivotButton="0" quotePrefix="0" xfId="0"/>
    <xf numFmtId="167" fontId="2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15" fillId="4" borderId="3" applyAlignment="1" pivotButton="0" quotePrefix="0" xfId="0">
      <alignment horizontal="left" vertical="center"/>
    </xf>
    <xf numFmtId="167" fontId="21" fillId="0" borderId="3" applyAlignment="1" pivotButton="0" quotePrefix="0" xfId="0">
      <alignment horizontal="center" vertical="center"/>
    </xf>
    <xf numFmtId="0" fontId="0" fillId="0" borderId="9" pivotButton="0" quotePrefix="0" xfId="0"/>
    <xf numFmtId="0" fontId="21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7" borderId="8" applyAlignment="1" pivotButton="0" quotePrefix="0" xfId="0">
      <alignment horizontal="left" vertical="center"/>
    </xf>
    <xf numFmtId="0" fontId="0" fillId="7" borderId="8" pivotButton="0" quotePrefix="0" xfId="0"/>
    <xf numFmtId="0" fontId="0" fillId="7" borderId="10" pivotButton="0" quotePrefix="0" xfId="0"/>
    <xf numFmtId="0" fontId="6" fillId="6" borderId="11" applyAlignment="1" pivotButton="0" quotePrefix="0" xfId="0">
      <alignment horizontal="left" vertical="center"/>
    </xf>
    <xf numFmtId="0" fontId="0" fillId="6" borderId="8" pivotButton="0" quotePrefix="0" xfId="0"/>
    <xf numFmtId="0" fontId="20" fillId="0" borderId="3" applyAlignment="1" pivotButton="0" quotePrefix="0" xfId="0">
      <alignment horizontal="center" vertical="center"/>
    </xf>
    <xf numFmtId="167" fontId="24" fillId="0" borderId="3" applyAlignment="1" pivotButton="0" quotePrefix="0" xfId="0">
      <alignment horizontal="center" vertical="center"/>
    </xf>
    <xf numFmtId="0" fontId="6" fillId="7" borderId="11" applyAlignment="1" pivotButton="0" quotePrefix="0" xfId="0">
      <alignment horizontal="left" vertical="center"/>
    </xf>
    <xf numFmtId="0" fontId="22" fillId="0" borderId="3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6" fillId="6" borderId="8" applyAlignment="1" pivotButton="0" quotePrefix="0" xfId="0">
      <alignment horizontal="left" vertical="center"/>
    </xf>
    <xf numFmtId="0" fontId="0" fillId="6" borderId="10" pivotButton="0" quotePrefix="0" xfId="0"/>
    <xf numFmtId="0" fontId="6" fillId="8" borderId="11" applyAlignment="1" pivotButton="0" quotePrefix="0" xfId="0">
      <alignment horizontal="left" vertical="center"/>
    </xf>
    <xf numFmtId="0" fontId="0" fillId="8" borderId="8" pivotButton="0" quotePrefix="0" xfId="0"/>
    <xf numFmtId="0" fontId="6" fillId="9" borderId="11" applyAlignment="1" pivotButton="0" quotePrefix="0" xfId="0">
      <alignment horizontal="left" vertical="center"/>
    </xf>
    <xf numFmtId="0" fontId="0" fillId="9" borderId="8" pivotButton="0" quotePrefix="0" xfId="0"/>
    <xf numFmtId="0" fontId="0" fillId="9" borderId="10" pivotButton="0" quotePrefix="0" xfId="0"/>
    <xf numFmtId="0" fontId="15" fillId="4" borderId="11" applyAlignment="1" pivotButton="0" quotePrefix="0" xfId="0">
      <alignment horizontal="left" vertical="center"/>
    </xf>
    <xf numFmtId="0" fontId="0" fillId="4" borderId="8" pivotButton="0" quotePrefix="0" xfId="0"/>
    <xf numFmtId="0" fontId="25" fillId="0" borderId="3" applyAlignment="1" pivotButton="0" quotePrefix="0" xfId="0">
      <alignment horizontal="left" vertical="center"/>
    </xf>
    <xf numFmtId="0" fontId="15" fillId="4" borderId="12" applyAlignment="1" pivotButton="0" quotePrefix="0" xfId="0">
      <alignment horizontal="left" vertical="center"/>
    </xf>
    <xf numFmtId="0" fontId="0" fillId="4" borderId="13" pivotButton="0" quotePrefix="0" xfId="0"/>
    <xf numFmtId="0" fontId="26" fillId="0" borderId="14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27" fillId="0" borderId="0" applyAlignment="1" pivotButton="0" quotePrefix="0" xfId="0">
      <alignment horizontal="right" vertical="center"/>
    </xf>
    <xf numFmtId="0" fontId="21" fillId="5" borderId="2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center" vertical="center" wrapText="1"/>
    </xf>
    <xf numFmtId="0" fontId="29" fillId="0" borderId="1" pivotButton="0" quotePrefix="0" xfId="0"/>
    <xf numFmtId="0" fontId="9" fillId="0" borderId="1" pivotButton="0" quotePrefix="0" xfId="0"/>
    <xf numFmtId="0" fontId="8" fillId="0" borderId="1" pivotButton="0" quotePrefix="0" xfId="0"/>
    <xf numFmtId="0" fontId="30" fillId="4" borderId="1" pivotButton="0" quotePrefix="0" xfId="0"/>
    <xf numFmtId="167" fontId="16" fillId="5" borderId="1" pivotButton="0" quotePrefix="0" xfId="0"/>
    <xf numFmtId="167" fontId="31" fillId="0" borderId="1" pivotButton="0" quotePrefix="0" xfId="0"/>
    <xf numFmtId="167" fontId="32" fillId="0" borderId="1" pivotButton="0" quotePrefix="0" xfId="0"/>
    <xf numFmtId="0" fontId="6" fillId="7" borderId="0" applyAlignment="1" pivotButton="0" quotePrefix="0" xfId="0">
      <alignment horizontal="center" vertical="center" wrapText="1"/>
    </xf>
    <xf numFmtId="165" fontId="7" fillId="0" borderId="1" pivotButton="0" quotePrefix="0" xfId="0"/>
    <xf numFmtId="166" fontId="10" fillId="0" borderId="1" pivotButton="0" quotePrefix="0" xfId="0"/>
    <xf numFmtId="0" fontId="6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A6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'Calc'!$B$120:$B$123</f>
            </numRef>
          </xVal>
          <yVal>
            <numRef>
              <f>'Calc'!$C$120:$C$123</f>
            </numRef>
          </yVal>
          <smooth val="0"/>
        </ser>
        <ser>
          <idx val="1"/>
          <order val="1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'Calc'!$B$125:$B$128</f>
            </numRef>
          </xVal>
          <yVal>
            <numRef>
              <f>'Calc'!$C$125:$C$128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'Calc'!$B$130:$B$131</f>
            </numRef>
          </xVal>
          <yVal>
            <numRef>
              <f>'Calc'!$C$130:$C$131</f>
            </numRef>
          </yVal>
          <smooth val="0"/>
        </ser>
        <ser>
          <idx val="3"/>
          <order val="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'Calc'!$B$133:$B$134</f>
            </numRef>
          </xVal>
          <yVal>
            <numRef>
              <f>'Calc'!$C$133:$C$134</f>
            </numRef>
          </yVal>
          <smooth val="0"/>
        </ser>
        <ser>
          <idx val="4"/>
          <order val="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'Calc'!$B$136:$B$137</f>
            </numRef>
          </xVal>
          <yVal>
            <numRef>
              <f>'Calc'!$C$136:$C$137</f>
            </numRef>
          </yVal>
          <smooth val="0"/>
        </ser>
        <ser>
          <idx val="5"/>
          <order val="5"/>
          <tx>
            <strRef>
              <f>'Calc'!$D$139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'Calc'!$B$139</f>
            </numRef>
          </xVal>
          <yVal>
            <numRef>
              <f>'Calc'!$C$139</f>
            </numRef>
          </yVal>
          <smooth val="0"/>
        </ser>
        <ser>
          <idx val="6"/>
          <order val="6"/>
          <tx>
            <strRef>
              <f>'Calc'!$D$141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'Calc'!$B$141</f>
            </numRef>
          </xVal>
          <yVal>
            <numRef>
              <f>'Calc'!$C$141</f>
            </numRef>
          </yVal>
          <smooth val="0"/>
        </ser>
        <ser>
          <idx val="7"/>
          <order val="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'Calc'!$B$143:$B$144</f>
            </numRef>
          </xVal>
          <yVal>
            <numRef>
              <f>'Calc'!$C$143:$C$144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'Calc'!$B$146:$B$147</f>
            </numRef>
          </xVal>
          <yVal>
            <numRef>
              <f>'Calc'!$C$146:$C$147</f>
            </numRef>
          </yVal>
          <smooth val="0"/>
        </ser>
        <ser>
          <idx val="9"/>
          <order val="9"/>
          <tx>
            <strRef>
              <f>'Calc'!$D$149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'Calc'!$B$149</f>
            </numRef>
          </xVal>
          <yVal>
            <numRef>
              <f>'Calc'!$C$149</f>
            </numRef>
          </yVal>
          <smooth val="0"/>
        </ser>
        <ser>
          <idx val="10"/>
          <order val="10"/>
          <tx>
            <strRef>
              <f>'Calc'!$D$151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'Calc'!$B$151</f>
            </numRef>
          </xVal>
          <yVal>
            <numRef>
              <f>'Calc'!$C$151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'Calc'!$B$153:$B$154</f>
            </numRef>
          </xVal>
          <yVal>
            <numRef>
              <f>'Calc'!$C$153:$C$154</f>
            </numRef>
          </yVal>
          <smooth val="0"/>
        </ser>
        <ser>
          <idx val="12"/>
          <order val="1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'Calc'!$B$156:$B$157</f>
            </numRef>
          </xVal>
          <yVal>
            <numRef>
              <f>'Calc'!$C$156:$C$157</f>
            </numRef>
          </yVal>
          <smooth val="0"/>
        </ser>
        <ser>
          <idx val="13"/>
          <order val="13"/>
          <tx>
            <strRef>
              <f>'Calc'!$D$159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'Calc'!$B$159</f>
            </numRef>
          </xVal>
          <yVal>
            <numRef>
              <f>'Calc'!$C$159</f>
            </numRef>
          </yVal>
          <smooth val="0"/>
        </ser>
        <ser>
          <idx val="14"/>
          <order val="14"/>
          <tx>
            <strRef>
              <f>'Calc'!$D$161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'Calc'!$B$161</f>
            </numRef>
          </xVal>
          <yVal>
            <numRef>
              <f>'Calc'!$C$161</f>
            </numRef>
          </yVal>
          <smooth val="0"/>
        </ser>
        <ser>
          <idx val="15"/>
          <order val="1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'Calc'!$B$163:$B$164</f>
            </numRef>
          </xVal>
          <yVal>
            <numRef>
              <f>'Calc'!$C$163:$C$164</f>
            </numRef>
          </yVal>
          <smooth val="0"/>
        </ser>
        <ser>
          <idx val="16"/>
          <order val="1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'Calc'!$B$166:$B$167</f>
            </numRef>
          </xVal>
          <yVal>
            <numRef>
              <f>'Calc'!$C$166:$C$167</f>
            </numRef>
          </yVal>
          <smooth val="0"/>
        </ser>
        <ser>
          <idx val="17"/>
          <order val="17"/>
          <tx>
            <strRef>
              <f>'Calc'!$D$169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'Calc'!$B$169</f>
            </numRef>
          </xVal>
          <yVal>
            <numRef>
              <f>'Calc'!$C$169</f>
            </numRef>
          </yVal>
          <smooth val="0"/>
        </ser>
        <ser>
          <idx val="18"/>
          <order val="18"/>
          <tx>
            <strRef>
              <f>'Calc'!$D$171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'Calc'!$B$171</f>
            </numRef>
          </xVal>
          <yVal>
            <numRef>
              <f>'Calc'!$C$171</f>
            </numRef>
          </yVal>
          <smooth val="0"/>
        </ser>
        <ser>
          <idx val="19"/>
          <order val="19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'Calc'!$B$173:$B$174</f>
            </numRef>
          </xVal>
          <yVal>
            <numRef>
              <f>'Calc'!$C$173:$C$174</f>
            </numRef>
          </yVal>
          <smooth val="0"/>
        </ser>
        <ser>
          <idx val="20"/>
          <order val="20"/>
          <tx>
            <strRef>
              <f>'Calc'!$D$176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'Calc'!$B$176</f>
            </numRef>
          </xVal>
          <yVal>
            <numRef>
              <f>'Calc'!$C$176</f>
            </numRef>
          </yVal>
          <smooth val="0"/>
        </ser>
        <ser>
          <idx val="21"/>
          <order val="21"/>
          <tx>
            <strRef>
              <f>'Calc'!$D$178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'Calc'!$B$178</f>
            </numRef>
          </xVal>
          <yVal>
            <numRef>
              <f>'Calc'!$C$178</f>
            </numRef>
          </yVal>
          <smooth val="0"/>
        </ser>
        <ser>
          <idx val="22"/>
          <order val="22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'Calc'!$B$180:$B$181</f>
            </numRef>
          </xVal>
          <yVal>
            <numRef>
              <f>'Calc'!$C$180:$C$181</f>
            </numRef>
          </yVal>
          <smooth val="0"/>
        </ser>
        <ser>
          <idx val="23"/>
          <order val="23"/>
          <tx>
            <strRef>
              <f>'Calc'!$D$183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'Calc'!$B$183</f>
            </numRef>
          </xVal>
          <yVal>
            <numRef>
              <f>'Calc'!$C$183</f>
            </numRef>
          </yVal>
          <smooth val="0"/>
        </ser>
        <ser>
          <idx val="24"/>
          <order val="24"/>
          <tx>
            <strRef>
              <f>'Calc'!$D$185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'Calc'!$B$185</f>
            </numRef>
          </xVal>
          <yVal>
            <numRef>
              <f>'Calc'!$C$185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'Calc'!$B$187:$B$192</f>
            </numRef>
          </xVal>
          <yVal>
            <numRef>
              <f>'Calc'!$C$187:$C$192</f>
            </numRef>
          </yVal>
          <smooth val="0"/>
        </ser>
        <ser>
          <idx val="26"/>
          <order val="26"/>
          <tx>
            <strRef>
              <f>'Calc'!$D$194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'Calc'!$B$194</f>
            </numRef>
          </xVal>
          <yVal>
            <numRef>
              <f>'Calc'!$C$194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'Calc'!$B$196:$B$197</f>
            </numRef>
          </xVal>
          <yVal>
            <numRef>
              <f>'Calc'!$C$196:$C$197</f>
            </numRef>
          </yVal>
          <smooth val="0"/>
        </ser>
        <ser>
          <idx val="28"/>
          <order val="28"/>
          <tx>
            <strRef>
              <f>'Calc'!$D$199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'Calc'!$B$199</f>
            </numRef>
          </xVal>
          <yVal>
            <numRef>
              <f>'Calc'!$C$199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'Calc'!$B$201:$B$202</f>
            </numRef>
          </xVal>
          <yVal>
            <numRef>
              <f>'Calc'!$C$201:$C$202</f>
            </numRef>
          </yVal>
          <smooth val="0"/>
        </ser>
        <ser>
          <idx val="30"/>
          <order val="30"/>
          <tx>
            <strRef>
              <f>'Calc'!$D$204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'Calc'!$B$204</f>
            </numRef>
          </xVal>
          <yVal>
            <numRef>
              <f>'Calc'!$C$204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'Calc'!$B$206:$B$207</f>
            </numRef>
          </xVal>
          <yVal>
            <numRef>
              <f>'Calc'!$C$206:$C$207</f>
            </numRef>
          </yVal>
          <smooth val="0"/>
        </ser>
        <ser>
          <idx val="32"/>
          <order val="32"/>
          <tx>
            <strRef>
              <f>'Calc'!$D$209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'Calc'!$B$209</f>
            </numRef>
          </xVal>
          <yVal>
            <numRef>
              <f>'Calc'!$C$209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'Calc'!$B$292:$B$295</f>
            </numRef>
          </xVal>
          <yVal>
            <numRef>
              <f>'Calc'!$C$292:$C$295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'Calc'!$B$297:$B$300</f>
            </numRef>
          </xVal>
          <yVal>
            <numRef>
              <f>'Calc'!$C$297:$C$300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'Calc'!$B$302:$B$305</f>
            </numRef>
          </xVal>
          <yVal>
            <numRef>
              <f>'Calc'!$C$302:$C$305</f>
            </numRef>
          </yVal>
          <smooth val="0"/>
        </ser>
        <ser>
          <idx val="3"/>
          <order val="3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'Calc'!$B$307:$B$310</f>
            </numRef>
          </xVal>
          <yVal>
            <numRef>
              <f>'Calc'!$C$307:$C$310</f>
            </numRef>
          </yVal>
          <smooth val="0"/>
        </ser>
        <ser>
          <idx val="4"/>
          <order val="4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'Calc'!$B$312:$B$313</f>
            </numRef>
          </xVal>
          <yVal>
            <numRef>
              <f>'Calc'!$C$312:$C$313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'Calc'!$B$315:$B$324</f>
            </numRef>
          </xVal>
          <yVal>
            <numRef>
              <f>'Calc'!$C$315:$C$324</f>
            </numRef>
          </yVal>
          <smooth val="0"/>
        </ser>
        <ser>
          <idx val="6"/>
          <order val="6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'Calc'!$B$326:$B$327</f>
            </numRef>
          </xVal>
          <yVal>
            <numRef>
              <f>'Calc'!$C$326:$C$327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'Calc'!$B$329:$B$338</f>
            </numRef>
          </xVal>
          <yVal>
            <numRef>
              <f>'Calc'!$C$329:$C$338</f>
            </numRef>
          </yVal>
          <smooth val="0"/>
        </ser>
        <ser>
          <idx val="8"/>
          <order val="8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'Calc'!$B$340:$B$341</f>
            </numRef>
          </xVal>
          <yVal>
            <numRef>
              <f>'Calc'!$C$340:$C$341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'Calc'!$B$343:$B$352</f>
            </numRef>
          </xVal>
          <yVal>
            <numRef>
              <f>'Calc'!$C$343:$C$352</f>
            </numRef>
          </yVal>
          <smooth val="0"/>
        </ser>
        <ser>
          <idx val="10"/>
          <order val="10"/>
          <tx>
            <strRef>
              <f>'Calc'!$D$354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'Calc'!$B$354</f>
            </numRef>
          </xVal>
          <yVal>
            <numRef>
              <f>'Calc'!$C$354</f>
            </numRef>
          </yVal>
          <smooth val="0"/>
        </ser>
        <ser>
          <idx val="11"/>
          <order val="11"/>
          <tx>
            <strRef>
              <f>'Calc'!$D$356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B23A1C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'Calc'!$B$356</f>
            </numRef>
          </xVal>
          <yVal>
            <numRef>
              <f>'Calc'!$C$356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3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'Calc'!$B$358:$B$367</f>
            </numRef>
          </xVal>
          <yVal>
            <numRef>
              <f>'Calc'!$C$358:$C$367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'Calc'!$B$369:$B$372</f>
            </numRef>
          </xVal>
          <yVal>
            <numRef>
              <f>'Calc'!$C$369:$C$372</f>
            </numRef>
          </yVal>
          <smooth val="0"/>
        </ser>
        <ser>
          <idx val="2"/>
          <order val="2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'Calc'!$B$374:$B$375</f>
            </numRef>
          </xVal>
          <yVal>
            <numRef>
              <f>'Calc'!$C$374:$C$375</f>
            </numRef>
          </yVal>
          <smooth val="0"/>
        </ser>
        <ser>
          <idx val="3"/>
          <order val="3"/>
          <tx>
            <strRef>
              <f>'Calc'!$D$377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'Calc'!$B$377</f>
            </numRef>
          </xVal>
          <yVal>
            <numRef>
              <f>'Calc'!$C$377</f>
            </numRef>
          </yVal>
          <smooth val="0"/>
        </ser>
        <ser>
          <idx val="4"/>
          <order val="4"/>
          <tx>
            <strRef>
              <f>'Calc'!$D$379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'Calc'!$B$379</f>
            </numRef>
          </xVal>
          <yVal>
            <numRef>
              <f>'Calc'!$C$379</f>
            </numRef>
          </yVal>
          <smooth val="0"/>
        </ser>
        <ser>
          <idx val="5"/>
          <order val="5"/>
          <tx>
            <strRef>
              <f>'Calc'!$D$381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'Calc'!$B$381</f>
            </numRef>
          </xVal>
          <yVal>
            <numRef>
              <f>'Calc'!$C$381</f>
            </numRef>
          </yVal>
          <smooth val="0"/>
        </ser>
        <ser>
          <idx val="6"/>
          <order val="6"/>
          <tx>
            <strRef>
              <f>'Calc'!$D$383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'Calc'!$B$383</f>
            </numRef>
          </xVal>
          <yVal>
            <numRef>
              <f>'Calc'!$C$383</f>
            </numRef>
          </yVal>
          <smooth val="0"/>
        </ser>
        <ser>
          <idx val="7"/>
          <order val="7"/>
          <tx>
            <strRef>
              <f>'Calc'!$D$385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'Calc'!$B$385</f>
            </numRef>
          </xVal>
          <yVal>
            <numRef>
              <f>'Calc'!$C$385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'Calc'!$B$211:$B$215</f>
            </numRef>
          </xVal>
          <yVal>
            <numRef>
              <f>'Calc'!$C$211:$C$215</f>
            </numRef>
          </yVal>
          <smooth val="0"/>
        </ser>
        <ser>
          <idx val="1"/>
          <order val="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'Calc'!$B$217:$B$221</f>
            </numRef>
          </xVal>
          <yVal>
            <numRef>
              <f>'Calc'!$C$217:$C$221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'Calc'!$B$223:$B$224</f>
            </numRef>
          </xVal>
          <yVal>
            <numRef>
              <f>'Calc'!$C$223:$C$224</f>
            </numRef>
          </yVal>
          <smooth val="0"/>
        </ser>
        <ser>
          <idx val="3"/>
          <order val="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'Calc'!$B$226:$B$230</f>
            </numRef>
          </xVal>
          <yVal>
            <numRef>
              <f>'Calc'!$C$226:$C$230</f>
            </numRef>
          </yVal>
          <smooth val="0"/>
        </ser>
        <ser>
          <idx val="4"/>
          <order val="4"/>
          <tx>
            <strRef>
              <f>'Calc'!$D$232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'Calc'!$B$232</f>
            </numRef>
          </xVal>
          <yVal>
            <numRef>
              <f>'Calc'!$C$232</f>
            </numRef>
          </yVal>
          <smooth val="0"/>
        </ser>
        <ser>
          <idx val="5"/>
          <order val="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'Calc'!$B$234:$B$235</f>
            </numRef>
          </xVal>
          <yVal>
            <numRef>
              <f>'Calc'!$C$234:$C$235</f>
            </numRef>
          </yVal>
          <smooth val="0"/>
        </ser>
        <ser>
          <idx val="6"/>
          <order val="6"/>
          <tx>
            <strRef>
              <f>'Calc'!$D$237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'Calc'!$B$237</f>
            </numRef>
          </xVal>
          <yVal>
            <numRef>
              <f>'Calc'!$C$237</f>
            </numRef>
          </yVal>
          <smooth val="0"/>
        </ser>
        <ser>
          <idx val="7"/>
          <order val="7"/>
          <tx>
            <strRef>
              <f>'Calc'!$D$239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'Calc'!$B$239</f>
            </numRef>
          </xVal>
          <yVal>
            <numRef>
              <f>'Calc'!$C$239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'Calc'!$B$241:$B$242</f>
            </numRef>
          </xVal>
          <yVal>
            <numRef>
              <f>'Calc'!$C$241:$C$242</f>
            </numRef>
          </yVal>
          <smooth val="0"/>
        </ser>
        <ser>
          <idx val="9"/>
          <order val="9"/>
          <tx>
            <strRef>
              <f>'Calc'!$D$244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'Calc'!$B$244</f>
            </numRef>
          </xVal>
          <yVal>
            <numRef>
              <f>'Calc'!$C$244</f>
            </numRef>
          </yVal>
          <smooth val="0"/>
        </ser>
        <ser>
          <idx val="10"/>
          <order val="10"/>
          <tx>
            <strRef>
              <f>'Calc'!$D$246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'Calc'!$B$246</f>
            </numRef>
          </xVal>
          <yVal>
            <numRef>
              <f>'Calc'!$C$246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'Calc'!$B$248:$B$249</f>
            </numRef>
          </xVal>
          <yVal>
            <numRef>
              <f>'Calc'!$C$248:$C$249</f>
            </numRef>
          </yVal>
          <smooth val="0"/>
        </ser>
        <ser>
          <idx val="12"/>
          <order val="12"/>
          <tx>
            <strRef>
              <f>'Calc'!$D$251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'Calc'!$B$251</f>
            </numRef>
          </xVal>
          <yVal>
            <numRef>
              <f>'Calc'!$C$251</f>
            </numRef>
          </yVal>
          <smooth val="0"/>
        </ser>
        <ser>
          <idx val="13"/>
          <order val="13"/>
          <tx>
            <strRef>
              <f>'Calc'!$D$253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'Calc'!$B$253</f>
            </numRef>
          </xVal>
          <yVal>
            <numRef>
              <f>'Calc'!$C$253</f>
            </numRef>
          </yVal>
          <smooth val="0"/>
        </ser>
        <ser>
          <idx val="14"/>
          <order val="1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'Calc'!$B$255:$B$256</f>
            </numRef>
          </xVal>
          <yVal>
            <numRef>
              <f>'Calc'!$C$255:$C$256</f>
            </numRef>
          </yVal>
          <smooth val="0"/>
        </ser>
        <ser>
          <idx val="15"/>
          <order val="15"/>
          <tx>
            <strRef>
              <f>'Calc'!$D$258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'Calc'!$B$258</f>
            </numRef>
          </xVal>
          <yVal>
            <numRef>
              <f>'Calc'!$C$258</f>
            </numRef>
          </yVal>
          <smooth val="0"/>
        </ser>
        <ser>
          <idx val="16"/>
          <order val="16"/>
          <tx>
            <strRef>
              <f>'Calc'!$D$260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'Calc'!$B$260</f>
            </numRef>
          </xVal>
          <yVal>
            <numRef>
              <f>'Calc'!$C$260</f>
            </numRef>
          </yVal>
          <smooth val="0"/>
        </ser>
        <ser>
          <idx val="17"/>
          <order val="1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'Calc'!$B$262</f>
            </numRef>
          </xVal>
          <yVal>
            <numRef>
              <f>'Calc'!$C$262</f>
            </numRef>
          </yVal>
          <smooth val="0"/>
        </ser>
        <ser>
          <idx val="18"/>
          <order val="18"/>
          <tx>
            <strRef>
              <f>'Calc'!$D$264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'Calc'!$B$264</f>
            </numRef>
          </xVal>
          <yVal>
            <numRef>
              <f>'Calc'!$C$264</f>
            </numRef>
          </yVal>
          <smooth val="0"/>
        </ser>
        <ser>
          <idx val="19"/>
          <order val="19"/>
          <tx>
            <strRef>
              <f>'Calc'!$D$266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'Calc'!$B$266</f>
            </numRef>
          </xVal>
          <yVal>
            <numRef>
              <f>'Calc'!$C$266</f>
            </numRef>
          </yVal>
          <smooth val="0"/>
        </ser>
        <ser>
          <idx val="20"/>
          <order val="2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'Calc'!$B$268</f>
            </numRef>
          </xVal>
          <yVal>
            <numRef>
              <f>'Calc'!$C$268</f>
            </numRef>
          </yVal>
          <smooth val="0"/>
        </ser>
        <ser>
          <idx val="21"/>
          <order val="21"/>
          <tx>
            <strRef>
              <f>'Calc'!$D$270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'Calc'!$B$270</f>
            </numRef>
          </xVal>
          <yVal>
            <numRef>
              <f>'Calc'!$C$270</f>
            </numRef>
          </yVal>
          <smooth val="0"/>
        </ser>
        <ser>
          <idx val="22"/>
          <order val="22"/>
          <tx>
            <strRef>
              <f>'Calc'!$D$272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'Calc'!$B$272</f>
            </numRef>
          </xVal>
          <yVal>
            <numRef>
              <f>'Calc'!$C$272</f>
            </numRef>
          </yVal>
          <smooth val="0"/>
        </ser>
        <ser>
          <idx val="23"/>
          <order val="2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'Calc'!$B$274</f>
            </numRef>
          </xVal>
          <yVal>
            <numRef>
              <f>'Calc'!$C$274</f>
            </numRef>
          </yVal>
          <smooth val="0"/>
        </ser>
        <ser>
          <idx val="24"/>
          <order val="24"/>
          <tx>
            <strRef>
              <f>'Calc'!$D$276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'Calc'!$B$276</f>
            </numRef>
          </xVal>
          <yVal>
            <numRef>
              <f>'Calc'!$C$276</f>
            </numRef>
          </yVal>
          <smooth val="0"/>
        </ser>
        <ser>
          <idx val="25"/>
          <order val="25"/>
          <tx>
            <strRef>
              <f>'Calc'!$D$278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'Calc'!$B$278</f>
            </numRef>
          </xVal>
          <yVal>
            <numRef>
              <f>'Calc'!$C$278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'Calc'!$B$280:$B$281</f>
            </numRef>
          </xVal>
          <yVal>
            <numRef>
              <f>'Calc'!$C$280:$C$281</f>
            </numRef>
          </yVal>
          <smooth val="0"/>
        </ser>
        <ser>
          <idx val="27"/>
          <order val="27"/>
          <tx>
            <strRef>
              <f>'Calc'!$D$283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'Calc'!$B$283</f>
            </numRef>
          </xVal>
          <yVal>
            <numRef>
              <f>'Calc'!$C$283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'Calc'!$B$285:$B$286</f>
            </numRef>
          </xVal>
          <yVal>
            <numRef>
              <f>'Calc'!$C$285:$C$286</f>
            </numRef>
          </yVal>
          <smooth val="0"/>
        </ser>
        <ser>
          <idx val="29"/>
          <order val="29"/>
          <tx>
            <strRef>
              <f>'Calc'!$D$288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'Calc'!$B$288</f>
            </numRef>
          </xVal>
          <yVal>
            <numRef>
              <f>'Calc'!$C$288</f>
            </numRef>
          </yVal>
          <smooth val="0"/>
        </ser>
        <ser>
          <idx val="30"/>
          <order val="30"/>
          <tx>
            <strRef>
              <f>'Calc'!$D$290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'Calc'!$B$290</f>
            </numRef>
          </xVal>
          <yVal>
            <numRef>
              <f>'Calc'!$C$290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5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'Calc'!$G$120:$G$123</f>
            </numRef>
          </xVal>
          <yVal>
            <numRef>
              <f>'Calc'!$H$120:$H$123</f>
            </numRef>
          </yVal>
          <smooth val="0"/>
        </ser>
        <ser>
          <idx val="1"/>
          <order val="1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'Calc'!$G$125:$G$128</f>
            </numRef>
          </xVal>
          <yVal>
            <numRef>
              <f>'Calc'!$H$125:$H$128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'Calc'!$G$130:$G$131</f>
            </numRef>
          </xVal>
          <yVal>
            <numRef>
              <f>'Calc'!$H$130:$H$131</f>
            </numRef>
          </yVal>
          <smooth val="0"/>
        </ser>
        <ser>
          <idx val="3"/>
          <order val="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'Calc'!$G$133:$G$134</f>
            </numRef>
          </xVal>
          <yVal>
            <numRef>
              <f>'Calc'!$H$133:$H$134</f>
            </numRef>
          </yVal>
          <smooth val="0"/>
        </ser>
        <ser>
          <idx val="4"/>
          <order val="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'Calc'!$G$136:$G$137</f>
            </numRef>
          </xVal>
          <yVal>
            <numRef>
              <f>'Calc'!$H$136:$H$137</f>
            </numRef>
          </yVal>
          <smooth val="0"/>
        </ser>
        <ser>
          <idx val="5"/>
          <order val="5"/>
          <tx>
            <strRef>
              <f>'Calc'!$I$139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'Calc'!$G$139</f>
            </numRef>
          </xVal>
          <yVal>
            <numRef>
              <f>'Calc'!$H$139</f>
            </numRef>
          </yVal>
          <smooth val="0"/>
        </ser>
        <ser>
          <idx val="6"/>
          <order val="6"/>
          <tx>
            <strRef>
              <f>'Calc'!$I$141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'Calc'!$G$141</f>
            </numRef>
          </xVal>
          <yVal>
            <numRef>
              <f>'Calc'!$H$141</f>
            </numRef>
          </yVal>
          <smooth val="0"/>
        </ser>
        <ser>
          <idx val="7"/>
          <order val="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'Calc'!$G$143:$G$144</f>
            </numRef>
          </xVal>
          <yVal>
            <numRef>
              <f>'Calc'!$H$143:$H$144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'Calc'!$G$146:$G$147</f>
            </numRef>
          </xVal>
          <yVal>
            <numRef>
              <f>'Calc'!$H$146:$H$147</f>
            </numRef>
          </yVal>
          <smooth val="0"/>
        </ser>
        <ser>
          <idx val="9"/>
          <order val="9"/>
          <tx>
            <strRef>
              <f>'Calc'!$I$149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'Calc'!$G$149</f>
            </numRef>
          </xVal>
          <yVal>
            <numRef>
              <f>'Calc'!$H$149</f>
            </numRef>
          </yVal>
          <smooth val="0"/>
        </ser>
        <ser>
          <idx val="10"/>
          <order val="10"/>
          <tx>
            <strRef>
              <f>'Calc'!$I$151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'Calc'!$G$151</f>
            </numRef>
          </xVal>
          <yVal>
            <numRef>
              <f>'Calc'!$H$151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'Calc'!$G$153:$G$154</f>
            </numRef>
          </xVal>
          <yVal>
            <numRef>
              <f>'Calc'!$H$153:$H$154</f>
            </numRef>
          </yVal>
          <smooth val="0"/>
        </ser>
        <ser>
          <idx val="12"/>
          <order val="1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'Calc'!$G$156:$G$157</f>
            </numRef>
          </xVal>
          <yVal>
            <numRef>
              <f>'Calc'!$H$156:$H$157</f>
            </numRef>
          </yVal>
          <smooth val="0"/>
        </ser>
        <ser>
          <idx val="13"/>
          <order val="13"/>
          <tx>
            <strRef>
              <f>'Calc'!$I$159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'Calc'!$G$159</f>
            </numRef>
          </xVal>
          <yVal>
            <numRef>
              <f>'Calc'!$H$159</f>
            </numRef>
          </yVal>
          <smooth val="0"/>
        </ser>
        <ser>
          <idx val="14"/>
          <order val="14"/>
          <tx>
            <strRef>
              <f>'Calc'!$I$161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'Calc'!$G$161</f>
            </numRef>
          </xVal>
          <yVal>
            <numRef>
              <f>'Calc'!$H$161</f>
            </numRef>
          </yVal>
          <smooth val="0"/>
        </ser>
        <ser>
          <idx val="15"/>
          <order val="1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'Calc'!$G$163:$G$164</f>
            </numRef>
          </xVal>
          <yVal>
            <numRef>
              <f>'Calc'!$H$163:$H$164</f>
            </numRef>
          </yVal>
          <smooth val="0"/>
        </ser>
        <ser>
          <idx val="16"/>
          <order val="1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'Calc'!$G$166:$G$167</f>
            </numRef>
          </xVal>
          <yVal>
            <numRef>
              <f>'Calc'!$H$166:$H$167</f>
            </numRef>
          </yVal>
          <smooth val="0"/>
        </ser>
        <ser>
          <idx val="17"/>
          <order val="17"/>
          <tx>
            <strRef>
              <f>'Calc'!$I$169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'Calc'!$G$169</f>
            </numRef>
          </xVal>
          <yVal>
            <numRef>
              <f>'Calc'!$H$169</f>
            </numRef>
          </yVal>
          <smooth val="0"/>
        </ser>
        <ser>
          <idx val="18"/>
          <order val="18"/>
          <tx>
            <strRef>
              <f>'Calc'!$I$171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'Calc'!$G$171</f>
            </numRef>
          </xVal>
          <yVal>
            <numRef>
              <f>'Calc'!$H$171</f>
            </numRef>
          </yVal>
          <smooth val="0"/>
        </ser>
        <ser>
          <idx val="19"/>
          <order val="19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'Calc'!$G$173:$G$174</f>
            </numRef>
          </xVal>
          <yVal>
            <numRef>
              <f>'Calc'!$H$173:$H$174</f>
            </numRef>
          </yVal>
          <smooth val="0"/>
        </ser>
        <ser>
          <idx val="20"/>
          <order val="20"/>
          <tx>
            <strRef>
              <f>'Calc'!$I$176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'Calc'!$G$176</f>
            </numRef>
          </xVal>
          <yVal>
            <numRef>
              <f>'Calc'!$H$176</f>
            </numRef>
          </yVal>
          <smooth val="0"/>
        </ser>
        <ser>
          <idx val="21"/>
          <order val="21"/>
          <tx>
            <strRef>
              <f>'Calc'!$I$178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'Calc'!$G$178</f>
            </numRef>
          </xVal>
          <yVal>
            <numRef>
              <f>'Calc'!$H$178</f>
            </numRef>
          </yVal>
          <smooth val="0"/>
        </ser>
        <ser>
          <idx val="22"/>
          <order val="22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'Calc'!$G$180:$G$181</f>
            </numRef>
          </xVal>
          <yVal>
            <numRef>
              <f>'Calc'!$H$180:$H$181</f>
            </numRef>
          </yVal>
          <smooth val="0"/>
        </ser>
        <ser>
          <idx val="23"/>
          <order val="23"/>
          <tx>
            <strRef>
              <f>'Calc'!$I$183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'Calc'!$G$183</f>
            </numRef>
          </xVal>
          <yVal>
            <numRef>
              <f>'Calc'!$H$183</f>
            </numRef>
          </yVal>
          <smooth val="0"/>
        </ser>
        <ser>
          <idx val="24"/>
          <order val="24"/>
          <tx>
            <strRef>
              <f>'Calc'!$I$185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'Calc'!$G$185</f>
            </numRef>
          </xVal>
          <yVal>
            <numRef>
              <f>'Calc'!$H$185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'Calc'!$G$187:$G$192</f>
            </numRef>
          </xVal>
          <yVal>
            <numRef>
              <f>'Calc'!$H$187:$H$192</f>
            </numRef>
          </yVal>
          <smooth val="0"/>
        </ser>
        <ser>
          <idx val="26"/>
          <order val="26"/>
          <tx>
            <strRef>
              <f>'Calc'!$I$194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'Calc'!$G$194</f>
            </numRef>
          </xVal>
          <yVal>
            <numRef>
              <f>'Calc'!$H$194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'Calc'!$G$196:$G$197</f>
            </numRef>
          </xVal>
          <yVal>
            <numRef>
              <f>'Calc'!$H$196:$H$197</f>
            </numRef>
          </yVal>
          <smooth val="0"/>
        </ser>
        <ser>
          <idx val="28"/>
          <order val="28"/>
          <tx>
            <strRef>
              <f>'Calc'!$I$199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'Calc'!$G$199</f>
            </numRef>
          </xVal>
          <yVal>
            <numRef>
              <f>'Calc'!$H$199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'Calc'!$G$201:$G$202</f>
            </numRef>
          </xVal>
          <yVal>
            <numRef>
              <f>'Calc'!$H$201:$H$202</f>
            </numRef>
          </yVal>
          <smooth val="0"/>
        </ser>
        <ser>
          <idx val="30"/>
          <order val="30"/>
          <tx>
            <strRef>
              <f>'Calc'!$I$204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'Calc'!$G$204</f>
            </numRef>
          </xVal>
          <yVal>
            <numRef>
              <f>'Calc'!$H$204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'Calc'!$G$206:$G$207</f>
            </numRef>
          </xVal>
          <yVal>
            <numRef>
              <f>'Calc'!$H$206:$H$207</f>
            </numRef>
          </yVal>
          <smooth val="0"/>
        </ser>
        <ser>
          <idx val="32"/>
          <order val="32"/>
          <tx>
            <strRef>
              <f>'Calc'!$I$209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'Calc'!$G$209</f>
            </numRef>
          </xVal>
          <yVal>
            <numRef>
              <f>'Calc'!$H$209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6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'Calc'!$G$292:$G$295</f>
            </numRef>
          </xVal>
          <yVal>
            <numRef>
              <f>'Calc'!$H$292:$H$295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'Calc'!$G$297:$G$300</f>
            </numRef>
          </xVal>
          <yVal>
            <numRef>
              <f>'Calc'!$H$297:$H$300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'Calc'!$G$302:$G$305</f>
            </numRef>
          </xVal>
          <yVal>
            <numRef>
              <f>'Calc'!$H$302:$H$305</f>
            </numRef>
          </yVal>
          <smooth val="0"/>
        </ser>
        <ser>
          <idx val="3"/>
          <order val="3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'Calc'!$G$307:$G$310</f>
            </numRef>
          </xVal>
          <yVal>
            <numRef>
              <f>'Calc'!$H$307:$H$310</f>
            </numRef>
          </yVal>
          <smooth val="0"/>
        </ser>
        <ser>
          <idx val="4"/>
          <order val="4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'Calc'!$G$312:$G$313</f>
            </numRef>
          </xVal>
          <yVal>
            <numRef>
              <f>'Calc'!$H$312:$H$313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'Calc'!$G$315:$G$324</f>
            </numRef>
          </xVal>
          <yVal>
            <numRef>
              <f>'Calc'!$H$315:$H$324</f>
            </numRef>
          </yVal>
          <smooth val="0"/>
        </ser>
        <ser>
          <idx val="6"/>
          <order val="6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'Calc'!$G$326:$G$327</f>
            </numRef>
          </xVal>
          <yVal>
            <numRef>
              <f>'Calc'!$H$326:$H$327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'Calc'!$G$329:$G$338</f>
            </numRef>
          </xVal>
          <yVal>
            <numRef>
              <f>'Calc'!$H$329:$H$338</f>
            </numRef>
          </yVal>
          <smooth val="0"/>
        </ser>
        <ser>
          <idx val="8"/>
          <order val="8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'Calc'!$G$340:$G$341</f>
            </numRef>
          </xVal>
          <yVal>
            <numRef>
              <f>'Calc'!$H$340:$H$341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'Calc'!$G$343:$G$352</f>
            </numRef>
          </xVal>
          <yVal>
            <numRef>
              <f>'Calc'!$H$343:$H$352</f>
            </numRef>
          </yVal>
          <smooth val="0"/>
        </ser>
        <ser>
          <idx val="10"/>
          <order val="10"/>
          <tx>
            <strRef>
              <f>'Calc'!$I$354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'Calc'!$G$354</f>
            </numRef>
          </xVal>
          <yVal>
            <numRef>
              <f>'Calc'!$H$354</f>
            </numRef>
          </yVal>
          <smooth val="0"/>
        </ser>
        <ser>
          <idx val="11"/>
          <order val="11"/>
          <tx>
            <strRef>
              <f>'Calc'!$I$356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B23A1C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'Calc'!$G$356</f>
            </numRef>
          </xVal>
          <yVal>
            <numRef>
              <f>'Calc'!$H$356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7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'Calc'!$G$358:$G$367</f>
            </numRef>
          </xVal>
          <yVal>
            <numRef>
              <f>'Calc'!$H$358:$H$367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'Calc'!$G$369:$G$372</f>
            </numRef>
          </xVal>
          <yVal>
            <numRef>
              <f>'Calc'!$H$369:$H$372</f>
            </numRef>
          </yVal>
          <smooth val="0"/>
        </ser>
        <ser>
          <idx val="2"/>
          <order val="2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'Calc'!$G$374:$G$375</f>
            </numRef>
          </xVal>
          <yVal>
            <numRef>
              <f>'Calc'!$H$374:$H$375</f>
            </numRef>
          </yVal>
          <smooth val="0"/>
        </ser>
        <ser>
          <idx val="3"/>
          <order val="3"/>
          <tx>
            <strRef>
              <f>'Calc'!$I$377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'Calc'!$G$377</f>
            </numRef>
          </xVal>
          <yVal>
            <numRef>
              <f>'Calc'!$H$377</f>
            </numRef>
          </yVal>
          <smooth val="0"/>
        </ser>
        <ser>
          <idx val="4"/>
          <order val="4"/>
          <tx>
            <strRef>
              <f>'Calc'!$I$379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'Calc'!$G$379</f>
            </numRef>
          </xVal>
          <yVal>
            <numRef>
              <f>'Calc'!$H$379</f>
            </numRef>
          </yVal>
          <smooth val="0"/>
        </ser>
        <ser>
          <idx val="5"/>
          <order val="5"/>
          <tx>
            <strRef>
              <f>'Calc'!$I$381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'Calc'!$G$381</f>
            </numRef>
          </xVal>
          <yVal>
            <numRef>
              <f>'Calc'!$H$381</f>
            </numRef>
          </yVal>
          <smooth val="0"/>
        </ser>
        <ser>
          <idx val="6"/>
          <order val="6"/>
          <tx>
            <strRef>
              <f>'Calc'!$I$383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'Calc'!$G$383</f>
            </numRef>
          </xVal>
          <yVal>
            <numRef>
              <f>'Calc'!$H$383</f>
            </numRef>
          </yVal>
          <smooth val="0"/>
        </ser>
        <ser>
          <idx val="7"/>
          <order val="7"/>
          <tx>
            <strRef>
              <f>'Calc'!$I$385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'Calc'!$G$385</f>
            </numRef>
          </xVal>
          <yVal>
            <numRef>
              <f>'Calc'!$H$385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8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'Calc'!$G$211:$G$215</f>
            </numRef>
          </xVal>
          <yVal>
            <numRef>
              <f>'Calc'!$H$211:$H$215</f>
            </numRef>
          </yVal>
          <smooth val="0"/>
        </ser>
        <ser>
          <idx val="1"/>
          <order val="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'Calc'!$G$217:$G$221</f>
            </numRef>
          </xVal>
          <yVal>
            <numRef>
              <f>'Calc'!$H$217:$H$221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'Calc'!$G$223:$G$224</f>
            </numRef>
          </xVal>
          <yVal>
            <numRef>
              <f>'Calc'!$H$223:$H$224</f>
            </numRef>
          </yVal>
          <smooth val="0"/>
        </ser>
        <ser>
          <idx val="3"/>
          <order val="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'Calc'!$G$226:$G$230</f>
            </numRef>
          </xVal>
          <yVal>
            <numRef>
              <f>'Calc'!$H$226:$H$230</f>
            </numRef>
          </yVal>
          <smooth val="0"/>
        </ser>
        <ser>
          <idx val="4"/>
          <order val="4"/>
          <tx>
            <strRef>
              <f>'Calc'!$I$232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'Calc'!$G$232</f>
            </numRef>
          </xVal>
          <yVal>
            <numRef>
              <f>'Calc'!$H$232</f>
            </numRef>
          </yVal>
          <smooth val="0"/>
        </ser>
        <ser>
          <idx val="5"/>
          <order val="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'Calc'!$G$234:$G$235</f>
            </numRef>
          </xVal>
          <yVal>
            <numRef>
              <f>'Calc'!$H$234:$H$235</f>
            </numRef>
          </yVal>
          <smooth val="0"/>
        </ser>
        <ser>
          <idx val="6"/>
          <order val="6"/>
          <tx>
            <strRef>
              <f>'Calc'!$I$237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'Calc'!$G$237</f>
            </numRef>
          </xVal>
          <yVal>
            <numRef>
              <f>'Calc'!$H$237</f>
            </numRef>
          </yVal>
          <smooth val="0"/>
        </ser>
        <ser>
          <idx val="7"/>
          <order val="7"/>
          <tx>
            <strRef>
              <f>'Calc'!$I$239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'Calc'!$G$239</f>
            </numRef>
          </xVal>
          <yVal>
            <numRef>
              <f>'Calc'!$H$239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'Calc'!$G$241:$G$242</f>
            </numRef>
          </xVal>
          <yVal>
            <numRef>
              <f>'Calc'!$H$241:$H$242</f>
            </numRef>
          </yVal>
          <smooth val="0"/>
        </ser>
        <ser>
          <idx val="9"/>
          <order val="9"/>
          <tx>
            <strRef>
              <f>'Calc'!$I$244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'Calc'!$G$244</f>
            </numRef>
          </xVal>
          <yVal>
            <numRef>
              <f>'Calc'!$H$244</f>
            </numRef>
          </yVal>
          <smooth val="0"/>
        </ser>
        <ser>
          <idx val="10"/>
          <order val="10"/>
          <tx>
            <strRef>
              <f>'Calc'!$I$246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'Calc'!$G$246</f>
            </numRef>
          </xVal>
          <yVal>
            <numRef>
              <f>'Calc'!$H$246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'Calc'!$G$248:$G$249</f>
            </numRef>
          </xVal>
          <yVal>
            <numRef>
              <f>'Calc'!$H$248:$H$249</f>
            </numRef>
          </yVal>
          <smooth val="0"/>
        </ser>
        <ser>
          <idx val="12"/>
          <order val="12"/>
          <tx>
            <strRef>
              <f>'Calc'!$I$251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'Calc'!$G$251</f>
            </numRef>
          </xVal>
          <yVal>
            <numRef>
              <f>'Calc'!$H$251</f>
            </numRef>
          </yVal>
          <smooth val="0"/>
        </ser>
        <ser>
          <idx val="13"/>
          <order val="13"/>
          <tx>
            <strRef>
              <f>'Calc'!$I$253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'Calc'!$G$253</f>
            </numRef>
          </xVal>
          <yVal>
            <numRef>
              <f>'Calc'!$H$253</f>
            </numRef>
          </yVal>
          <smooth val="0"/>
        </ser>
        <ser>
          <idx val="14"/>
          <order val="1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'Calc'!$G$255:$G$256</f>
            </numRef>
          </xVal>
          <yVal>
            <numRef>
              <f>'Calc'!$H$255:$H$256</f>
            </numRef>
          </yVal>
          <smooth val="0"/>
        </ser>
        <ser>
          <idx val="15"/>
          <order val="15"/>
          <tx>
            <strRef>
              <f>'Calc'!$I$258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'Calc'!$G$258</f>
            </numRef>
          </xVal>
          <yVal>
            <numRef>
              <f>'Calc'!$H$258</f>
            </numRef>
          </yVal>
          <smooth val="0"/>
        </ser>
        <ser>
          <idx val="16"/>
          <order val="16"/>
          <tx>
            <strRef>
              <f>'Calc'!$I$260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'Calc'!$G$260</f>
            </numRef>
          </xVal>
          <yVal>
            <numRef>
              <f>'Calc'!$H$260</f>
            </numRef>
          </yVal>
          <smooth val="0"/>
        </ser>
        <ser>
          <idx val="17"/>
          <order val="1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'Calc'!$G$262</f>
            </numRef>
          </xVal>
          <yVal>
            <numRef>
              <f>'Calc'!$H$262</f>
            </numRef>
          </yVal>
          <smooth val="0"/>
        </ser>
        <ser>
          <idx val="18"/>
          <order val="18"/>
          <tx>
            <strRef>
              <f>'Calc'!$I$264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'Calc'!$G$264</f>
            </numRef>
          </xVal>
          <yVal>
            <numRef>
              <f>'Calc'!$H$264</f>
            </numRef>
          </yVal>
          <smooth val="0"/>
        </ser>
        <ser>
          <idx val="19"/>
          <order val="19"/>
          <tx>
            <strRef>
              <f>'Calc'!$I$266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'Calc'!$G$266</f>
            </numRef>
          </xVal>
          <yVal>
            <numRef>
              <f>'Calc'!$H$266</f>
            </numRef>
          </yVal>
          <smooth val="0"/>
        </ser>
        <ser>
          <idx val="20"/>
          <order val="2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'Calc'!$G$268</f>
            </numRef>
          </xVal>
          <yVal>
            <numRef>
              <f>'Calc'!$H$268</f>
            </numRef>
          </yVal>
          <smooth val="0"/>
        </ser>
        <ser>
          <idx val="21"/>
          <order val="21"/>
          <tx>
            <strRef>
              <f>'Calc'!$I$270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'Calc'!$G$270</f>
            </numRef>
          </xVal>
          <yVal>
            <numRef>
              <f>'Calc'!$H$270</f>
            </numRef>
          </yVal>
          <smooth val="0"/>
        </ser>
        <ser>
          <idx val="22"/>
          <order val="22"/>
          <tx>
            <strRef>
              <f>'Calc'!$I$272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'Calc'!$G$272</f>
            </numRef>
          </xVal>
          <yVal>
            <numRef>
              <f>'Calc'!$H$272</f>
            </numRef>
          </yVal>
          <smooth val="0"/>
        </ser>
        <ser>
          <idx val="23"/>
          <order val="2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'Calc'!$G$274</f>
            </numRef>
          </xVal>
          <yVal>
            <numRef>
              <f>'Calc'!$H$274</f>
            </numRef>
          </yVal>
          <smooth val="0"/>
        </ser>
        <ser>
          <idx val="24"/>
          <order val="24"/>
          <tx>
            <strRef>
              <f>'Calc'!$I$276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'Calc'!$G$276</f>
            </numRef>
          </xVal>
          <yVal>
            <numRef>
              <f>'Calc'!$H$276</f>
            </numRef>
          </yVal>
          <smooth val="0"/>
        </ser>
        <ser>
          <idx val="25"/>
          <order val="25"/>
          <tx>
            <strRef>
              <f>'Calc'!$I$278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'Calc'!$G$278</f>
            </numRef>
          </xVal>
          <yVal>
            <numRef>
              <f>'Calc'!$H$278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'Calc'!$G$280:$G$281</f>
            </numRef>
          </xVal>
          <yVal>
            <numRef>
              <f>'Calc'!$H$280:$H$281</f>
            </numRef>
          </yVal>
          <smooth val="0"/>
        </ser>
        <ser>
          <idx val="27"/>
          <order val="27"/>
          <tx>
            <strRef>
              <f>'Calc'!$I$283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'Calc'!$G$283</f>
            </numRef>
          </xVal>
          <yVal>
            <numRef>
              <f>'Calc'!$H$283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'Calc'!$G$285:$G$286</f>
            </numRef>
          </xVal>
          <yVal>
            <numRef>
              <f>'Calc'!$H$285:$H$286</f>
            </numRef>
          </yVal>
          <smooth val="0"/>
        </ser>
        <ser>
          <idx val="29"/>
          <order val="29"/>
          <tx>
            <strRef>
              <f>'Calc'!$I$288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'Calc'!$G$288</f>
            </numRef>
          </xVal>
          <yVal>
            <numRef>
              <f>'Calc'!$H$288</f>
            </numRef>
          </yVal>
          <smooth val="0"/>
        </ser>
        <ser>
          <idx val="30"/>
          <order val="30"/>
          <tx>
            <strRef>
              <f>'Calc'!$I$290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'Calc'!$G$290</f>
            </numRef>
          </xVal>
          <yVal>
            <numRef>
              <f>'Calc'!$H$290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9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'Calc'!$L$120:$L$123</f>
            </numRef>
          </xVal>
          <yVal>
            <numRef>
              <f>'Calc'!$M$120:$M$123</f>
            </numRef>
          </yVal>
          <smooth val="0"/>
        </ser>
        <ser>
          <idx val="1"/>
          <order val="1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'Calc'!$L$125:$L$128</f>
            </numRef>
          </xVal>
          <yVal>
            <numRef>
              <f>'Calc'!$M$125:$M$128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'Calc'!$L$130:$L$131</f>
            </numRef>
          </xVal>
          <yVal>
            <numRef>
              <f>'Calc'!$M$130:$M$131</f>
            </numRef>
          </yVal>
          <smooth val="0"/>
        </ser>
        <ser>
          <idx val="3"/>
          <order val="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'Calc'!$L$133:$L$134</f>
            </numRef>
          </xVal>
          <yVal>
            <numRef>
              <f>'Calc'!$M$133:$M$134</f>
            </numRef>
          </yVal>
          <smooth val="0"/>
        </ser>
        <ser>
          <idx val="4"/>
          <order val="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'Calc'!$L$136:$L$137</f>
            </numRef>
          </xVal>
          <yVal>
            <numRef>
              <f>'Calc'!$M$136:$M$137</f>
            </numRef>
          </yVal>
          <smooth val="0"/>
        </ser>
        <ser>
          <idx val="5"/>
          <order val="5"/>
          <tx>
            <strRef>
              <f>'Calc'!$N$139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'Calc'!$L$139</f>
            </numRef>
          </xVal>
          <yVal>
            <numRef>
              <f>'Calc'!$M$139</f>
            </numRef>
          </yVal>
          <smooth val="0"/>
        </ser>
        <ser>
          <idx val="6"/>
          <order val="6"/>
          <tx>
            <strRef>
              <f>'Calc'!$N$141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'Calc'!$L$141</f>
            </numRef>
          </xVal>
          <yVal>
            <numRef>
              <f>'Calc'!$M$141</f>
            </numRef>
          </yVal>
          <smooth val="0"/>
        </ser>
        <ser>
          <idx val="7"/>
          <order val="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'Calc'!$L$143:$L$144</f>
            </numRef>
          </xVal>
          <yVal>
            <numRef>
              <f>'Calc'!$M$143:$M$144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'Calc'!$L$146:$L$147</f>
            </numRef>
          </xVal>
          <yVal>
            <numRef>
              <f>'Calc'!$M$146:$M$147</f>
            </numRef>
          </yVal>
          <smooth val="0"/>
        </ser>
        <ser>
          <idx val="9"/>
          <order val="9"/>
          <tx>
            <strRef>
              <f>'Calc'!$N$149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'Calc'!$L$149</f>
            </numRef>
          </xVal>
          <yVal>
            <numRef>
              <f>'Calc'!$M$149</f>
            </numRef>
          </yVal>
          <smooth val="0"/>
        </ser>
        <ser>
          <idx val="10"/>
          <order val="10"/>
          <tx>
            <strRef>
              <f>'Calc'!$N$151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'Calc'!$L$151</f>
            </numRef>
          </xVal>
          <yVal>
            <numRef>
              <f>'Calc'!$M$151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'Calc'!$L$153:$L$154</f>
            </numRef>
          </xVal>
          <yVal>
            <numRef>
              <f>'Calc'!$M$153:$M$154</f>
            </numRef>
          </yVal>
          <smooth val="0"/>
        </ser>
        <ser>
          <idx val="12"/>
          <order val="1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'Calc'!$L$156:$L$157</f>
            </numRef>
          </xVal>
          <yVal>
            <numRef>
              <f>'Calc'!$M$156:$M$157</f>
            </numRef>
          </yVal>
          <smooth val="0"/>
        </ser>
        <ser>
          <idx val="13"/>
          <order val="13"/>
          <tx>
            <strRef>
              <f>'Calc'!$N$159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'Calc'!$L$159</f>
            </numRef>
          </xVal>
          <yVal>
            <numRef>
              <f>'Calc'!$M$159</f>
            </numRef>
          </yVal>
          <smooth val="0"/>
        </ser>
        <ser>
          <idx val="14"/>
          <order val="14"/>
          <tx>
            <strRef>
              <f>'Calc'!$N$161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'Calc'!$L$161</f>
            </numRef>
          </xVal>
          <yVal>
            <numRef>
              <f>'Calc'!$M$161</f>
            </numRef>
          </yVal>
          <smooth val="0"/>
        </ser>
        <ser>
          <idx val="15"/>
          <order val="1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'Calc'!$L$163:$L$164</f>
            </numRef>
          </xVal>
          <yVal>
            <numRef>
              <f>'Calc'!$M$163:$M$164</f>
            </numRef>
          </yVal>
          <smooth val="0"/>
        </ser>
        <ser>
          <idx val="16"/>
          <order val="1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'Calc'!$L$166:$L$167</f>
            </numRef>
          </xVal>
          <yVal>
            <numRef>
              <f>'Calc'!$M$166:$M$167</f>
            </numRef>
          </yVal>
          <smooth val="0"/>
        </ser>
        <ser>
          <idx val="17"/>
          <order val="17"/>
          <tx>
            <strRef>
              <f>'Calc'!$N$169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'Calc'!$L$169</f>
            </numRef>
          </xVal>
          <yVal>
            <numRef>
              <f>'Calc'!$M$169</f>
            </numRef>
          </yVal>
          <smooth val="0"/>
        </ser>
        <ser>
          <idx val="18"/>
          <order val="18"/>
          <tx>
            <strRef>
              <f>'Calc'!$N$171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'Calc'!$L$171</f>
            </numRef>
          </xVal>
          <yVal>
            <numRef>
              <f>'Calc'!$M$171</f>
            </numRef>
          </yVal>
          <smooth val="0"/>
        </ser>
        <ser>
          <idx val="19"/>
          <order val="19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'Calc'!$L$173:$L$174</f>
            </numRef>
          </xVal>
          <yVal>
            <numRef>
              <f>'Calc'!$M$173:$M$174</f>
            </numRef>
          </yVal>
          <smooth val="0"/>
        </ser>
        <ser>
          <idx val="20"/>
          <order val="20"/>
          <tx>
            <strRef>
              <f>'Calc'!$N$176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'Calc'!$L$176</f>
            </numRef>
          </xVal>
          <yVal>
            <numRef>
              <f>'Calc'!$M$176</f>
            </numRef>
          </yVal>
          <smooth val="0"/>
        </ser>
        <ser>
          <idx val="21"/>
          <order val="21"/>
          <tx>
            <strRef>
              <f>'Calc'!$N$178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'Calc'!$L$178</f>
            </numRef>
          </xVal>
          <yVal>
            <numRef>
              <f>'Calc'!$M$178</f>
            </numRef>
          </yVal>
          <smooth val="0"/>
        </ser>
        <ser>
          <idx val="22"/>
          <order val="22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'Calc'!$L$180:$L$181</f>
            </numRef>
          </xVal>
          <yVal>
            <numRef>
              <f>'Calc'!$M$180:$M$181</f>
            </numRef>
          </yVal>
          <smooth val="0"/>
        </ser>
        <ser>
          <idx val="23"/>
          <order val="23"/>
          <tx>
            <strRef>
              <f>'Calc'!$N$183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'Calc'!$L$183</f>
            </numRef>
          </xVal>
          <yVal>
            <numRef>
              <f>'Calc'!$M$183</f>
            </numRef>
          </yVal>
          <smooth val="0"/>
        </ser>
        <ser>
          <idx val="24"/>
          <order val="24"/>
          <tx>
            <strRef>
              <f>'Calc'!$N$185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'Calc'!$L$185</f>
            </numRef>
          </xVal>
          <yVal>
            <numRef>
              <f>'Calc'!$M$185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'Calc'!$L$187:$L$192</f>
            </numRef>
          </xVal>
          <yVal>
            <numRef>
              <f>'Calc'!$M$187:$M$192</f>
            </numRef>
          </yVal>
          <smooth val="0"/>
        </ser>
        <ser>
          <idx val="26"/>
          <order val="26"/>
          <tx>
            <strRef>
              <f>'Calc'!$N$194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'Calc'!$L$194</f>
            </numRef>
          </xVal>
          <yVal>
            <numRef>
              <f>'Calc'!$M$194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'Calc'!$L$196:$L$197</f>
            </numRef>
          </xVal>
          <yVal>
            <numRef>
              <f>'Calc'!$M$196:$M$197</f>
            </numRef>
          </yVal>
          <smooth val="0"/>
        </ser>
        <ser>
          <idx val="28"/>
          <order val="28"/>
          <tx>
            <strRef>
              <f>'Calc'!$N$199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'Calc'!$L$199</f>
            </numRef>
          </xVal>
          <yVal>
            <numRef>
              <f>'Calc'!$M$199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'Calc'!$L$201:$L$202</f>
            </numRef>
          </xVal>
          <yVal>
            <numRef>
              <f>'Calc'!$M$201:$M$202</f>
            </numRef>
          </yVal>
          <smooth val="0"/>
        </ser>
        <ser>
          <idx val="30"/>
          <order val="30"/>
          <tx>
            <strRef>
              <f>'Calc'!$N$204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'Calc'!$L$204</f>
            </numRef>
          </xVal>
          <yVal>
            <numRef>
              <f>'Calc'!$M$204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'Calc'!$L$206:$L$207</f>
            </numRef>
          </xVal>
          <yVal>
            <numRef>
              <f>'Calc'!$M$206:$M$207</f>
            </numRef>
          </yVal>
          <smooth val="0"/>
        </ser>
        <ser>
          <idx val="32"/>
          <order val="32"/>
          <tx>
            <strRef>
              <f>'Calc'!$N$209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'Calc'!$L$209</f>
            </numRef>
          </xVal>
          <yVal>
            <numRef>
              <f>'Calc'!$M$209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0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'Calc'!$L$292:$L$295</f>
            </numRef>
          </xVal>
          <yVal>
            <numRef>
              <f>'Calc'!$M$292:$M$295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'Calc'!$L$297:$L$300</f>
            </numRef>
          </xVal>
          <yVal>
            <numRef>
              <f>'Calc'!$M$297:$M$300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'Calc'!$L$302:$L$305</f>
            </numRef>
          </xVal>
          <yVal>
            <numRef>
              <f>'Calc'!$M$302:$M$305</f>
            </numRef>
          </yVal>
          <smooth val="0"/>
        </ser>
        <ser>
          <idx val="3"/>
          <order val="3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'Calc'!$L$307:$L$310</f>
            </numRef>
          </xVal>
          <yVal>
            <numRef>
              <f>'Calc'!$M$307:$M$310</f>
            </numRef>
          </yVal>
          <smooth val="0"/>
        </ser>
        <ser>
          <idx val="4"/>
          <order val="4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'Calc'!$L$312:$L$313</f>
            </numRef>
          </xVal>
          <yVal>
            <numRef>
              <f>'Calc'!$M$312:$M$313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'Calc'!$L$315:$L$324</f>
            </numRef>
          </xVal>
          <yVal>
            <numRef>
              <f>'Calc'!$M$315:$M$324</f>
            </numRef>
          </yVal>
          <smooth val="0"/>
        </ser>
        <ser>
          <idx val="6"/>
          <order val="6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'Calc'!$L$326:$L$327</f>
            </numRef>
          </xVal>
          <yVal>
            <numRef>
              <f>'Calc'!$M$326:$M$327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'Calc'!$L$329:$L$338</f>
            </numRef>
          </xVal>
          <yVal>
            <numRef>
              <f>'Calc'!$M$329:$M$338</f>
            </numRef>
          </yVal>
          <smooth val="0"/>
        </ser>
        <ser>
          <idx val="8"/>
          <order val="8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'Calc'!$L$340:$L$341</f>
            </numRef>
          </xVal>
          <yVal>
            <numRef>
              <f>'Calc'!$M$340:$M$341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'Calc'!$L$343:$L$352</f>
            </numRef>
          </xVal>
          <yVal>
            <numRef>
              <f>'Calc'!$M$343:$M$352</f>
            </numRef>
          </yVal>
          <smooth val="0"/>
        </ser>
        <ser>
          <idx val="10"/>
          <order val="10"/>
          <tx>
            <strRef>
              <f>'Calc'!$N$354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'Calc'!$L$354</f>
            </numRef>
          </xVal>
          <yVal>
            <numRef>
              <f>'Calc'!$M$354</f>
            </numRef>
          </yVal>
          <smooth val="0"/>
        </ser>
        <ser>
          <idx val="11"/>
          <order val="11"/>
          <tx>
            <strRef>
              <f>'Calc'!$N$356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B23A1C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'Calc'!$L$356</f>
            </numRef>
          </xVal>
          <yVal>
            <numRef>
              <f>'Calc'!$M$356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1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'Calc'!$L$358:$L$367</f>
            </numRef>
          </xVal>
          <yVal>
            <numRef>
              <f>'Calc'!$M$358:$M$367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'Calc'!$L$369:$L$372</f>
            </numRef>
          </xVal>
          <yVal>
            <numRef>
              <f>'Calc'!$M$369:$M$372</f>
            </numRef>
          </yVal>
          <smooth val="0"/>
        </ser>
        <ser>
          <idx val="2"/>
          <order val="2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'Calc'!$L$374:$L$375</f>
            </numRef>
          </xVal>
          <yVal>
            <numRef>
              <f>'Calc'!$M$374:$M$375</f>
            </numRef>
          </yVal>
          <smooth val="0"/>
        </ser>
        <ser>
          <idx val="3"/>
          <order val="3"/>
          <tx>
            <strRef>
              <f>'Calc'!$N$377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'Calc'!$L$377</f>
            </numRef>
          </xVal>
          <yVal>
            <numRef>
              <f>'Calc'!$M$377</f>
            </numRef>
          </yVal>
          <smooth val="0"/>
        </ser>
        <ser>
          <idx val="4"/>
          <order val="4"/>
          <tx>
            <strRef>
              <f>'Calc'!$N$379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'Calc'!$L$379</f>
            </numRef>
          </xVal>
          <yVal>
            <numRef>
              <f>'Calc'!$M$379</f>
            </numRef>
          </yVal>
          <smooth val="0"/>
        </ser>
        <ser>
          <idx val="5"/>
          <order val="5"/>
          <tx>
            <strRef>
              <f>'Calc'!$N$381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'Calc'!$L$381</f>
            </numRef>
          </xVal>
          <yVal>
            <numRef>
              <f>'Calc'!$M$381</f>
            </numRef>
          </yVal>
          <smooth val="0"/>
        </ser>
        <ser>
          <idx val="6"/>
          <order val="6"/>
          <tx>
            <strRef>
              <f>'Calc'!$N$383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'Calc'!$L$383</f>
            </numRef>
          </xVal>
          <yVal>
            <numRef>
              <f>'Calc'!$M$383</f>
            </numRef>
          </yVal>
          <smooth val="0"/>
        </ser>
        <ser>
          <idx val="7"/>
          <order val="7"/>
          <tx>
            <strRef>
              <f>'Calc'!$N$385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'Calc'!$L$385</f>
            </numRef>
          </xVal>
          <yVal>
            <numRef>
              <f>'Calc'!$M$385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2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'Calc'!$L$211:$L$215</f>
            </numRef>
          </xVal>
          <yVal>
            <numRef>
              <f>'Calc'!$M$211:$M$215</f>
            </numRef>
          </yVal>
          <smooth val="0"/>
        </ser>
        <ser>
          <idx val="1"/>
          <order val="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'Calc'!$L$217:$L$221</f>
            </numRef>
          </xVal>
          <yVal>
            <numRef>
              <f>'Calc'!$M$217:$M$221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'Calc'!$L$223:$L$224</f>
            </numRef>
          </xVal>
          <yVal>
            <numRef>
              <f>'Calc'!$M$223:$M$224</f>
            </numRef>
          </yVal>
          <smooth val="0"/>
        </ser>
        <ser>
          <idx val="3"/>
          <order val="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'Calc'!$L$226:$L$230</f>
            </numRef>
          </xVal>
          <yVal>
            <numRef>
              <f>'Calc'!$M$226:$M$230</f>
            </numRef>
          </yVal>
          <smooth val="0"/>
        </ser>
        <ser>
          <idx val="4"/>
          <order val="4"/>
          <tx>
            <strRef>
              <f>'Calc'!$N$232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'Calc'!$L$232</f>
            </numRef>
          </xVal>
          <yVal>
            <numRef>
              <f>'Calc'!$M$232</f>
            </numRef>
          </yVal>
          <smooth val="0"/>
        </ser>
        <ser>
          <idx val="5"/>
          <order val="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'Calc'!$L$234:$L$235</f>
            </numRef>
          </xVal>
          <yVal>
            <numRef>
              <f>'Calc'!$M$234:$M$235</f>
            </numRef>
          </yVal>
          <smooth val="0"/>
        </ser>
        <ser>
          <idx val="6"/>
          <order val="6"/>
          <tx>
            <strRef>
              <f>'Calc'!$N$237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'Calc'!$L$237</f>
            </numRef>
          </xVal>
          <yVal>
            <numRef>
              <f>'Calc'!$M$237</f>
            </numRef>
          </yVal>
          <smooth val="0"/>
        </ser>
        <ser>
          <idx val="7"/>
          <order val="7"/>
          <tx>
            <strRef>
              <f>'Calc'!$N$239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'Calc'!$L$239</f>
            </numRef>
          </xVal>
          <yVal>
            <numRef>
              <f>'Calc'!$M$239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'Calc'!$L$241:$L$242</f>
            </numRef>
          </xVal>
          <yVal>
            <numRef>
              <f>'Calc'!$M$241:$M$242</f>
            </numRef>
          </yVal>
          <smooth val="0"/>
        </ser>
        <ser>
          <idx val="9"/>
          <order val="9"/>
          <tx>
            <strRef>
              <f>'Calc'!$N$244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'Calc'!$L$244</f>
            </numRef>
          </xVal>
          <yVal>
            <numRef>
              <f>'Calc'!$M$244</f>
            </numRef>
          </yVal>
          <smooth val="0"/>
        </ser>
        <ser>
          <idx val="10"/>
          <order val="10"/>
          <tx>
            <strRef>
              <f>'Calc'!$N$246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'Calc'!$L$246</f>
            </numRef>
          </xVal>
          <yVal>
            <numRef>
              <f>'Calc'!$M$246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'Calc'!$L$248:$L$249</f>
            </numRef>
          </xVal>
          <yVal>
            <numRef>
              <f>'Calc'!$M$248:$M$249</f>
            </numRef>
          </yVal>
          <smooth val="0"/>
        </ser>
        <ser>
          <idx val="12"/>
          <order val="12"/>
          <tx>
            <strRef>
              <f>'Calc'!$N$251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'Calc'!$L$251</f>
            </numRef>
          </xVal>
          <yVal>
            <numRef>
              <f>'Calc'!$M$251</f>
            </numRef>
          </yVal>
          <smooth val="0"/>
        </ser>
        <ser>
          <idx val="13"/>
          <order val="13"/>
          <tx>
            <strRef>
              <f>'Calc'!$N$253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'Calc'!$L$253</f>
            </numRef>
          </xVal>
          <yVal>
            <numRef>
              <f>'Calc'!$M$253</f>
            </numRef>
          </yVal>
          <smooth val="0"/>
        </ser>
        <ser>
          <idx val="14"/>
          <order val="1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'Calc'!$L$255:$L$256</f>
            </numRef>
          </xVal>
          <yVal>
            <numRef>
              <f>'Calc'!$M$255:$M$256</f>
            </numRef>
          </yVal>
          <smooth val="0"/>
        </ser>
        <ser>
          <idx val="15"/>
          <order val="15"/>
          <tx>
            <strRef>
              <f>'Calc'!$N$258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'Calc'!$L$258</f>
            </numRef>
          </xVal>
          <yVal>
            <numRef>
              <f>'Calc'!$M$258</f>
            </numRef>
          </yVal>
          <smooth val="0"/>
        </ser>
        <ser>
          <idx val="16"/>
          <order val="16"/>
          <tx>
            <strRef>
              <f>'Calc'!$N$260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'Calc'!$L$260</f>
            </numRef>
          </xVal>
          <yVal>
            <numRef>
              <f>'Calc'!$M$260</f>
            </numRef>
          </yVal>
          <smooth val="0"/>
        </ser>
        <ser>
          <idx val="17"/>
          <order val="1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'Calc'!$L$262</f>
            </numRef>
          </xVal>
          <yVal>
            <numRef>
              <f>'Calc'!$M$262</f>
            </numRef>
          </yVal>
          <smooth val="0"/>
        </ser>
        <ser>
          <idx val="18"/>
          <order val="18"/>
          <tx>
            <strRef>
              <f>'Calc'!$N$264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'Calc'!$L$264</f>
            </numRef>
          </xVal>
          <yVal>
            <numRef>
              <f>'Calc'!$M$264</f>
            </numRef>
          </yVal>
          <smooth val="0"/>
        </ser>
        <ser>
          <idx val="19"/>
          <order val="19"/>
          <tx>
            <strRef>
              <f>'Calc'!$N$266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'Calc'!$L$266</f>
            </numRef>
          </xVal>
          <yVal>
            <numRef>
              <f>'Calc'!$M$266</f>
            </numRef>
          </yVal>
          <smooth val="0"/>
        </ser>
        <ser>
          <idx val="20"/>
          <order val="2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'Calc'!$L$268</f>
            </numRef>
          </xVal>
          <yVal>
            <numRef>
              <f>'Calc'!$M$268</f>
            </numRef>
          </yVal>
          <smooth val="0"/>
        </ser>
        <ser>
          <idx val="21"/>
          <order val="21"/>
          <tx>
            <strRef>
              <f>'Calc'!$N$270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'Calc'!$L$270</f>
            </numRef>
          </xVal>
          <yVal>
            <numRef>
              <f>'Calc'!$M$270</f>
            </numRef>
          </yVal>
          <smooth val="0"/>
        </ser>
        <ser>
          <idx val="22"/>
          <order val="22"/>
          <tx>
            <strRef>
              <f>'Calc'!$N$272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'Calc'!$L$272</f>
            </numRef>
          </xVal>
          <yVal>
            <numRef>
              <f>'Calc'!$M$272</f>
            </numRef>
          </yVal>
          <smooth val="0"/>
        </ser>
        <ser>
          <idx val="23"/>
          <order val="2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'Calc'!$L$274</f>
            </numRef>
          </xVal>
          <yVal>
            <numRef>
              <f>'Calc'!$M$274</f>
            </numRef>
          </yVal>
          <smooth val="0"/>
        </ser>
        <ser>
          <idx val="24"/>
          <order val="24"/>
          <tx>
            <strRef>
              <f>'Calc'!$N$276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'Calc'!$L$276</f>
            </numRef>
          </xVal>
          <yVal>
            <numRef>
              <f>'Calc'!$M$276</f>
            </numRef>
          </yVal>
          <smooth val="0"/>
        </ser>
        <ser>
          <idx val="25"/>
          <order val="25"/>
          <tx>
            <strRef>
              <f>'Calc'!$N$278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'Calc'!$L$278</f>
            </numRef>
          </xVal>
          <yVal>
            <numRef>
              <f>'Calc'!$M$278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'Calc'!$L$280:$L$281</f>
            </numRef>
          </xVal>
          <yVal>
            <numRef>
              <f>'Calc'!$M$280:$M$281</f>
            </numRef>
          </yVal>
          <smooth val="0"/>
        </ser>
        <ser>
          <idx val="27"/>
          <order val="27"/>
          <tx>
            <strRef>
              <f>'Calc'!$N$283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'Calc'!$L$283</f>
            </numRef>
          </xVal>
          <yVal>
            <numRef>
              <f>'Calc'!$M$283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'Calc'!$L$285:$L$286</f>
            </numRef>
          </xVal>
          <yVal>
            <numRef>
              <f>'Calc'!$M$285:$M$286</f>
            </numRef>
          </yVal>
          <smooth val="0"/>
        </ser>
        <ser>
          <idx val="29"/>
          <order val="29"/>
          <tx>
            <strRef>
              <f>'Calc'!$N$288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'Calc'!$L$288</f>
            </numRef>
          </xVal>
          <yVal>
            <numRef>
              <f>'Calc'!$M$288</f>
            </numRef>
          </yVal>
          <smooth val="0"/>
        </ser>
        <ser>
          <idx val="30"/>
          <order val="30"/>
          <tx>
            <strRef>
              <f>'Calc'!$N$290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'Calc'!$L$290</f>
            </numRef>
          </xVal>
          <yVal>
            <numRef>
              <f>'Calc'!$M$290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3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'Calc'!$Q$120:$Q$123</f>
            </numRef>
          </xVal>
          <yVal>
            <numRef>
              <f>'Calc'!$R$120:$R$123</f>
            </numRef>
          </yVal>
          <smooth val="0"/>
        </ser>
        <ser>
          <idx val="1"/>
          <order val="1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'Calc'!$Q$125:$Q$128</f>
            </numRef>
          </xVal>
          <yVal>
            <numRef>
              <f>'Calc'!$R$125:$R$128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'Calc'!$Q$130:$Q$131</f>
            </numRef>
          </xVal>
          <yVal>
            <numRef>
              <f>'Calc'!$R$130:$R$131</f>
            </numRef>
          </yVal>
          <smooth val="0"/>
        </ser>
        <ser>
          <idx val="3"/>
          <order val="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'Calc'!$Q$133:$Q$134</f>
            </numRef>
          </xVal>
          <yVal>
            <numRef>
              <f>'Calc'!$R$133:$R$134</f>
            </numRef>
          </yVal>
          <smooth val="0"/>
        </ser>
        <ser>
          <idx val="4"/>
          <order val="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'Calc'!$Q$136:$Q$137</f>
            </numRef>
          </xVal>
          <yVal>
            <numRef>
              <f>'Calc'!$R$136:$R$137</f>
            </numRef>
          </yVal>
          <smooth val="0"/>
        </ser>
        <ser>
          <idx val="5"/>
          <order val="5"/>
          <tx>
            <strRef>
              <f>'Calc'!$S$139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'Calc'!$Q$139</f>
            </numRef>
          </xVal>
          <yVal>
            <numRef>
              <f>'Calc'!$R$139</f>
            </numRef>
          </yVal>
          <smooth val="0"/>
        </ser>
        <ser>
          <idx val="6"/>
          <order val="6"/>
          <tx>
            <strRef>
              <f>'Calc'!$S$141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'Calc'!$Q$141</f>
            </numRef>
          </xVal>
          <yVal>
            <numRef>
              <f>'Calc'!$R$141</f>
            </numRef>
          </yVal>
          <smooth val="0"/>
        </ser>
        <ser>
          <idx val="7"/>
          <order val="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'Calc'!$Q$143:$Q$144</f>
            </numRef>
          </xVal>
          <yVal>
            <numRef>
              <f>'Calc'!$R$143:$R$144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'Calc'!$Q$146:$Q$147</f>
            </numRef>
          </xVal>
          <yVal>
            <numRef>
              <f>'Calc'!$R$146:$R$147</f>
            </numRef>
          </yVal>
          <smooth val="0"/>
        </ser>
        <ser>
          <idx val="9"/>
          <order val="9"/>
          <tx>
            <strRef>
              <f>'Calc'!$S$149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'Calc'!$Q$149</f>
            </numRef>
          </xVal>
          <yVal>
            <numRef>
              <f>'Calc'!$R$149</f>
            </numRef>
          </yVal>
          <smooth val="0"/>
        </ser>
        <ser>
          <idx val="10"/>
          <order val="10"/>
          <tx>
            <strRef>
              <f>'Calc'!$S$151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'Calc'!$Q$151</f>
            </numRef>
          </xVal>
          <yVal>
            <numRef>
              <f>'Calc'!$R$151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'Calc'!$Q$153:$Q$154</f>
            </numRef>
          </xVal>
          <yVal>
            <numRef>
              <f>'Calc'!$R$153:$R$154</f>
            </numRef>
          </yVal>
          <smooth val="0"/>
        </ser>
        <ser>
          <idx val="12"/>
          <order val="1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'Calc'!$Q$156:$Q$157</f>
            </numRef>
          </xVal>
          <yVal>
            <numRef>
              <f>'Calc'!$R$156:$R$157</f>
            </numRef>
          </yVal>
          <smooth val="0"/>
        </ser>
        <ser>
          <idx val="13"/>
          <order val="13"/>
          <tx>
            <strRef>
              <f>'Calc'!$S$159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'Calc'!$Q$159</f>
            </numRef>
          </xVal>
          <yVal>
            <numRef>
              <f>'Calc'!$R$159</f>
            </numRef>
          </yVal>
          <smooth val="0"/>
        </ser>
        <ser>
          <idx val="14"/>
          <order val="14"/>
          <tx>
            <strRef>
              <f>'Calc'!$S$161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'Calc'!$Q$161</f>
            </numRef>
          </xVal>
          <yVal>
            <numRef>
              <f>'Calc'!$R$161</f>
            </numRef>
          </yVal>
          <smooth val="0"/>
        </ser>
        <ser>
          <idx val="15"/>
          <order val="1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'Calc'!$Q$163:$Q$164</f>
            </numRef>
          </xVal>
          <yVal>
            <numRef>
              <f>'Calc'!$R$163:$R$164</f>
            </numRef>
          </yVal>
          <smooth val="0"/>
        </ser>
        <ser>
          <idx val="16"/>
          <order val="1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'Calc'!$Q$166:$Q$167</f>
            </numRef>
          </xVal>
          <yVal>
            <numRef>
              <f>'Calc'!$R$166:$R$167</f>
            </numRef>
          </yVal>
          <smooth val="0"/>
        </ser>
        <ser>
          <idx val="17"/>
          <order val="17"/>
          <tx>
            <strRef>
              <f>'Calc'!$S$169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'Calc'!$Q$169</f>
            </numRef>
          </xVal>
          <yVal>
            <numRef>
              <f>'Calc'!$R$169</f>
            </numRef>
          </yVal>
          <smooth val="0"/>
        </ser>
        <ser>
          <idx val="18"/>
          <order val="18"/>
          <tx>
            <strRef>
              <f>'Calc'!$S$171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'Calc'!$Q$171</f>
            </numRef>
          </xVal>
          <yVal>
            <numRef>
              <f>'Calc'!$R$171</f>
            </numRef>
          </yVal>
          <smooth val="0"/>
        </ser>
        <ser>
          <idx val="19"/>
          <order val="19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'Calc'!$Q$173:$Q$174</f>
            </numRef>
          </xVal>
          <yVal>
            <numRef>
              <f>'Calc'!$R$173:$R$174</f>
            </numRef>
          </yVal>
          <smooth val="0"/>
        </ser>
        <ser>
          <idx val="20"/>
          <order val="20"/>
          <tx>
            <strRef>
              <f>'Calc'!$S$176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'Calc'!$Q$176</f>
            </numRef>
          </xVal>
          <yVal>
            <numRef>
              <f>'Calc'!$R$176</f>
            </numRef>
          </yVal>
          <smooth val="0"/>
        </ser>
        <ser>
          <idx val="21"/>
          <order val="21"/>
          <tx>
            <strRef>
              <f>'Calc'!$S$178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'Calc'!$Q$178</f>
            </numRef>
          </xVal>
          <yVal>
            <numRef>
              <f>'Calc'!$R$178</f>
            </numRef>
          </yVal>
          <smooth val="0"/>
        </ser>
        <ser>
          <idx val="22"/>
          <order val="22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'Calc'!$Q$180:$Q$181</f>
            </numRef>
          </xVal>
          <yVal>
            <numRef>
              <f>'Calc'!$R$180:$R$181</f>
            </numRef>
          </yVal>
          <smooth val="0"/>
        </ser>
        <ser>
          <idx val="23"/>
          <order val="23"/>
          <tx>
            <strRef>
              <f>'Calc'!$S$183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'Calc'!$Q$183</f>
            </numRef>
          </xVal>
          <yVal>
            <numRef>
              <f>'Calc'!$R$183</f>
            </numRef>
          </yVal>
          <smooth val="0"/>
        </ser>
        <ser>
          <idx val="24"/>
          <order val="24"/>
          <tx>
            <strRef>
              <f>'Calc'!$S$185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'Calc'!$Q$185</f>
            </numRef>
          </xVal>
          <yVal>
            <numRef>
              <f>'Calc'!$R$185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'Calc'!$Q$187:$Q$192</f>
            </numRef>
          </xVal>
          <yVal>
            <numRef>
              <f>'Calc'!$R$187:$R$192</f>
            </numRef>
          </yVal>
          <smooth val="0"/>
        </ser>
        <ser>
          <idx val="26"/>
          <order val="26"/>
          <tx>
            <strRef>
              <f>'Calc'!$S$194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'Calc'!$Q$194</f>
            </numRef>
          </xVal>
          <yVal>
            <numRef>
              <f>'Calc'!$R$194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'Calc'!$Q$196:$Q$197</f>
            </numRef>
          </xVal>
          <yVal>
            <numRef>
              <f>'Calc'!$R$196:$R$197</f>
            </numRef>
          </yVal>
          <smooth val="0"/>
        </ser>
        <ser>
          <idx val="28"/>
          <order val="28"/>
          <tx>
            <strRef>
              <f>'Calc'!$S$199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'Calc'!$Q$199</f>
            </numRef>
          </xVal>
          <yVal>
            <numRef>
              <f>'Calc'!$R$199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'Calc'!$Q$201:$Q$202</f>
            </numRef>
          </xVal>
          <yVal>
            <numRef>
              <f>'Calc'!$R$201:$R$202</f>
            </numRef>
          </yVal>
          <smooth val="0"/>
        </ser>
        <ser>
          <idx val="30"/>
          <order val="30"/>
          <tx>
            <strRef>
              <f>'Calc'!$S$204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'Calc'!$Q$204</f>
            </numRef>
          </xVal>
          <yVal>
            <numRef>
              <f>'Calc'!$R$204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'Calc'!$Q$206:$Q$207</f>
            </numRef>
          </xVal>
          <yVal>
            <numRef>
              <f>'Calc'!$R$206:$R$207</f>
            </numRef>
          </yVal>
          <smooth val="0"/>
        </ser>
        <ser>
          <idx val="32"/>
          <order val="32"/>
          <tx>
            <strRef>
              <f>'Calc'!$S$209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'Calc'!$Q$209</f>
            </numRef>
          </xVal>
          <yVal>
            <numRef>
              <f>'Calc'!$R$209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4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'Calc'!$Q$292:$Q$295</f>
            </numRef>
          </xVal>
          <yVal>
            <numRef>
              <f>'Calc'!$R$292:$R$295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'Calc'!$Q$297:$Q$300</f>
            </numRef>
          </xVal>
          <yVal>
            <numRef>
              <f>'Calc'!$R$297:$R$300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'Calc'!$Q$302:$Q$305</f>
            </numRef>
          </xVal>
          <yVal>
            <numRef>
              <f>'Calc'!$R$302:$R$305</f>
            </numRef>
          </yVal>
          <smooth val="0"/>
        </ser>
        <ser>
          <idx val="3"/>
          <order val="3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'Calc'!$Q$307:$Q$310</f>
            </numRef>
          </xVal>
          <yVal>
            <numRef>
              <f>'Calc'!$R$307:$R$310</f>
            </numRef>
          </yVal>
          <smooth val="0"/>
        </ser>
        <ser>
          <idx val="4"/>
          <order val="4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'Calc'!$Q$312:$Q$313</f>
            </numRef>
          </xVal>
          <yVal>
            <numRef>
              <f>'Calc'!$R$312:$R$313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'Calc'!$Q$315:$Q$324</f>
            </numRef>
          </xVal>
          <yVal>
            <numRef>
              <f>'Calc'!$R$315:$R$324</f>
            </numRef>
          </yVal>
          <smooth val="0"/>
        </ser>
        <ser>
          <idx val="6"/>
          <order val="6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'Calc'!$Q$326:$Q$327</f>
            </numRef>
          </xVal>
          <yVal>
            <numRef>
              <f>'Calc'!$R$326:$R$327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'Calc'!$Q$329:$Q$338</f>
            </numRef>
          </xVal>
          <yVal>
            <numRef>
              <f>'Calc'!$R$329:$R$338</f>
            </numRef>
          </yVal>
          <smooth val="0"/>
        </ser>
        <ser>
          <idx val="8"/>
          <order val="8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'Calc'!$Q$340:$Q$341</f>
            </numRef>
          </xVal>
          <yVal>
            <numRef>
              <f>'Calc'!$R$340:$R$341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'Calc'!$Q$343:$Q$352</f>
            </numRef>
          </xVal>
          <yVal>
            <numRef>
              <f>'Calc'!$R$343:$R$352</f>
            </numRef>
          </yVal>
          <smooth val="0"/>
        </ser>
        <ser>
          <idx val="10"/>
          <order val="10"/>
          <tx>
            <strRef>
              <f>'Calc'!$S$354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'Calc'!$Q$354</f>
            </numRef>
          </xVal>
          <yVal>
            <numRef>
              <f>'Calc'!$R$354</f>
            </numRef>
          </yVal>
          <smooth val="0"/>
        </ser>
        <ser>
          <idx val="11"/>
          <order val="11"/>
          <tx>
            <strRef>
              <f>'Calc'!$S$356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B23A1C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'Calc'!$Q$356</f>
            </numRef>
          </xVal>
          <yVal>
            <numRef>
              <f>'Calc'!$R$356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5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'Calc'!$Q$358:$Q$367</f>
            </numRef>
          </xVal>
          <yVal>
            <numRef>
              <f>'Calc'!$R$358:$R$367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'Calc'!$Q$369:$Q$372</f>
            </numRef>
          </xVal>
          <yVal>
            <numRef>
              <f>'Calc'!$R$369:$R$372</f>
            </numRef>
          </yVal>
          <smooth val="0"/>
        </ser>
        <ser>
          <idx val="2"/>
          <order val="2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'Calc'!$Q$374:$Q$375</f>
            </numRef>
          </xVal>
          <yVal>
            <numRef>
              <f>'Calc'!$R$374:$R$375</f>
            </numRef>
          </yVal>
          <smooth val="0"/>
        </ser>
        <ser>
          <idx val="3"/>
          <order val="3"/>
          <tx>
            <strRef>
              <f>'Calc'!$S$377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'Calc'!$Q$377</f>
            </numRef>
          </xVal>
          <yVal>
            <numRef>
              <f>'Calc'!$R$377</f>
            </numRef>
          </yVal>
          <smooth val="0"/>
        </ser>
        <ser>
          <idx val="4"/>
          <order val="4"/>
          <tx>
            <strRef>
              <f>'Calc'!$S$379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'Calc'!$Q$379</f>
            </numRef>
          </xVal>
          <yVal>
            <numRef>
              <f>'Calc'!$R$379</f>
            </numRef>
          </yVal>
          <smooth val="0"/>
        </ser>
        <ser>
          <idx val="5"/>
          <order val="5"/>
          <tx>
            <strRef>
              <f>'Calc'!$S$381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'Calc'!$Q$381</f>
            </numRef>
          </xVal>
          <yVal>
            <numRef>
              <f>'Calc'!$R$381</f>
            </numRef>
          </yVal>
          <smooth val="0"/>
        </ser>
        <ser>
          <idx val="6"/>
          <order val="6"/>
          <tx>
            <strRef>
              <f>'Calc'!$S$383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'Calc'!$Q$383</f>
            </numRef>
          </xVal>
          <yVal>
            <numRef>
              <f>'Calc'!$R$383</f>
            </numRef>
          </yVal>
          <smooth val="0"/>
        </ser>
        <ser>
          <idx val="7"/>
          <order val="7"/>
          <tx>
            <strRef>
              <f>'Calc'!$S$385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'Calc'!$Q$385</f>
            </numRef>
          </xVal>
          <yVal>
            <numRef>
              <f>'Calc'!$R$385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6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'Calc'!$Q$211:$Q$215</f>
            </numRef>
          </xVal>
          <yVal>
            <numRef>
              <f>'Calc'!$R$211:$R$215</f>
            </numRef>
          </yVal>
          <smooth val="0"/>
        </ser>
        <ser>
          <idx val="1"/>
          <order val="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'Calc'!$Q$217:$Q$221</f>
            </numRef>
          </xVal>
          <yVal>
            <numRef>
              <f>'Calc'!$R$217:$R$221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'Calc'!$Q$223:$Q$224</f>
            </numRef>
          </xVal>
          <yVal>
            <numRef>
              <f>'Calc'!$R$223:$R$224</f>
            </numRef>
          </yVal>
          <smooth val="0"/>
        </ser>
        <ser>
          <idx val="3"/>
          <order val="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'Calc'!$Q$226:$Q$230</f>
            </numRef>
          </xVal>
          <yVal>
            <numRef>
              <f>'Calc'!$R$226:$R$230</f>
            </numRef>
          </yVal>
          <smooth val="0"/>
        </ser>
        <ser>
          <idx val="4"/>
          <order val="4"/>
          <tx>
            <strRef>
              <f>'Calc'!$S$232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'Calc'!$Q$232</f>
            </numRef>
          </xVal>
          <yVal>
            <numRef>
              <f>'Calc'!$R$232</f>
            </numRef>
          </yVal>
          <smooth val="0"/>
        </ser>
        <ser>
          <idx val="5"/>
          <order val="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'Calc'!$Q$234:$Q$235</f>
            </numRef>
          </xVal>
          <yVal>
            <numRef>
              <f>'Calc'!$R$234:$R$235</f>
            </numRef>
          </yVal>
          <smooth val="0"/>
        </ser>
        <ser>
          <idx val="6"/>
          <order val="6"/>
          <tx>
            <strRef>
              <f>'Calc'!$S$237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'Calc'!$Q$237</f>
            </numRef>
          </xVal>
          <yVal>
            <numRef>
              <f>'Calc'!$R$237</f>
            </numRef>
          </yVal>
          <smooth val="0"/>
        </ser>
        <ser>
          <idx val="7"/>
          <order val="7"/>
          <tx>
            <strRef>
              <f>'Calc'!$S$239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'Calc'!$Q$239</f>
            </numRef>
          </xVal>
          <yVal>
            <numRef>
              <f>'Calc'!$R$239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'Calc'!$Q$241:$Q$242</f>
            </numRef>
          </xVal>
          <yVal>
            <numRef>
              <f>'Calc'!$R$241:$R$242</f>
            </numRef>
          </yVal>
          <smooth val="0"/>
        </ser>
        <ser>
          <idx val="9"/>
          <order val="9"/>
          <tx>
            <strRef>
              <f>'Calc'!$S$244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'Calc'!$Q$244</f>
            </numRef>
          </xVal>
          <yVal>
            <numRef>
              <f>'Calc'!$R$244</f>
            </numRef>
          </yVal>
          <smooth val="0"/>
        </ser>
        <ser>
          <idx val="10"/>
          <order val="10"/>
          <tx>
            <strRef>
              <f>'Calc'!$S$246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'Calc'!$Q$246</f>
            </numRef>
          </xVal>
          <yVal>
            <numRef>
              <f>'Calc'!$R$246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'Calc'!$Q$248:$Q$249</f>
            </numRef>
          </xVal>
          <yVal>
            <numRef>
              <f>'Calc'!$R$248:$R$249</f>
            </numRef>
          </yVal>
          <smooth val="0"/>
        </ser>
        <ser>
          <idx val="12"/>
          <order val="12"/>
          <tx>
            <strRef>
              <f>'Calc'!$S$251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'Calc'!$Q$251</f>
            </numRef>
          </xVal>
          <yVal>
            <numRef>
              <f>'Calc'!$R$251</f>
            </numRef>
          </yVal>
          <smooth val="0"/>
        </ser>
        <ser>
          <idx val="13"/>
          <order val="13"/>
          <tx>
            <strRef>
              <f>'Calc'!$S$253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'Calc'!$Q$253</f>
            </numRef>
          </xVal>
          <yVal>
            <numRef>
              <f>'Calc'!$R$253</f>
            </numRef>
          </yVal>
          <smooth val="0"/>
        </ser>
        <ser>
          <idx val="14"/>
          <order val="1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'Calc'!$Q$255:$Q$256</f>
            </numRef>
          </xVal>
          <yVal>
            <numRef>
              <f>'Calc'!$R$255:$R$256</f>
            </numRef>
          </yVal>
          <smooth val="0"/>
        </ser>
        <ser>
          <idx val="15"/>
          <order val="15"/>
          <tx>
            <strRef>
              <f>'Calc'!$S$258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'Calc'!$Q$258</f>
            </numRef>
          </xVal>
          <yVal>
            <numRef>
              <f>'Calc'!$R$258</f>
            </numRef>
          </yVal>
          <smooth val="0"/>
        </ser>
        <ser>
          <idx val="16"/>
          <order val="16"/>
          <tx>
            <strRef>
              <f>'Calc'!$S$260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'Calc'!$Q$260</f>
            </numRef>
          </xVal>
          <yVal>
            <numRef>
              <f>'Calc'!$R$260</f>
            </numRef>
          </yVal>
          <smooth val="0"/>
        </ser>
        <ser>
          <idx val="17"/>
          <order val="1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'Calc'!$Q$262</f>
            </numRef>
          </xVal>
          <yVal>
            <numRef>
              <f>'Calc'!$R$262</f>
            </numRef>
          </yVal>
          <smooth val="0"/>
        </ser>
        <ser>
          <idx val="18"/>
          <order val="18"/>
          <tx>
            <strRef>
              <f>'Calc'!$S$264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'Calc'!$Q$264</f>
            </numRef>
          </xVal>
          <yVal>
            <numRef>
              <f>'Calc'!$R$264</f>
            </numRef>
          </yVal>
          <smooth val="0"/>
        </ser>
        <ser>
          <idx val="19"/>
          <order val="19"/>
          <tx>
            <strRef>
              <f>'Calc'!$S$266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'Calc'!$Q$266</f>
            </numRef>
          </xVal>
          <yVal>
            <numRef>
              <f>'Calc'!$R$266</f>
            </numRef>
          </yVal>
          <smooth val="0"/>
        </ser>
        <ser>
          <idx val="20"/>
          <order val="2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'Calc'!$Q$268</f>
            </numRef>
          </xVal>
          <yVal>
            <numRef>
              <f>'Calc'!$R$268</f>
            </numRef>
          </yVal>
          <smooth val="0"/>
        </ser>
        <ser>
          <idx val="21"/>
          <order val="21"/>
          <tx>
            <strRef>
              <f>'Calc'!$S$270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'Calc'!$Q$270</f>
            </numRef>
          </xVal>
          <yVal>
            <numRef>
              <f>'Calc'!$R$270</f>
            </numRef>
          </yVal>
          <smooth val="0"/>
        </ser>
        <ser>
          <idx val="22"/>
          <order val="22"/>
          <tx>
            <strRef>
              <f>'Calc'!$S$272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'Calc'!$Q$272</f>
            </numRef>
          </xVal>
          <yVal>
            <numRef>
              <f>'Calc'!$R$272</f>
            </numRef>
          </yVal>
          <smooth val="0"/>
        </ser>
        <ser>
          <idx val="23"/>
          <order val="2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'Calc'!$Q$274</f>
            </numRef>
          </xVal>
          <yVal>
            <numRef>
              <f>'Calc'!$R$274</f>
            </numRef>
          </yVal>
          <smooth val="0"/>
        </ser>
        <ser>
          <idx val="24"/>
          <order val="24"/>
          <tx>
            <strRef>
              <f>'Calc'!$S$276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'Calc'!$Q$276</f>
            </numRef>
          </xVal>
          <yVal>
            <numRef>
              <f>'Calc'!$R$276</f>
            </numRef>
          </yVal>
          <smooth val="0"/>
        </ser>
        <ser>
          <idx val="25"/>
          <order val="25"/>
          <tx>
            <strRef>
              <f>'Calc'!$S$278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'Calc'!$Q$278</f>
            </numRef>
          </xVal>
          <yVal>
            <numRef>
              <f>'Calc'!$R$278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'Calc'!$Q$280:$Q$281</f>
            </numRef>
          </xVal>
          <yVal>
            <numRef>
              <f>'Calc'!$R$280:$R$281</f>
            </numRef>
          </yVal>
          <smooth val="0"/>
        </ser>
        <ser>
          <idx val="27"/>
          <order val="27"/>
          <tx>
            <strRef>
              <f>'Calc'!$S$283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'Calc'!$Q$283</f>
            </numRef>
          </xVal>
          <yVal>
            <numRef>
              <f>'Calc'!$R$283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'Calc'!$Q$285:$Q$286</f>
            </numRef>
          </xVal>
          <yVal>
            <numRef>
              <f>'Calc'!$R$285:$R$286</f>
            </numRef>
          </yVal>
          <smooth val="0"/>
        </ser>
        <ser>
          <idx val="29"/>
          <order val="29"/>
          <tx>
            <strRef>
              <f>'Calc'!$S$288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'Calc'!$Q$288</f>
            </numRef>
          </xVal>
          <yVal>
            <numRef>
              <f>'Calc'!$R$288</f>
            </numRef>
          </yVal>
          <smooth val="0"/>
        </ser>
        <ser>
          <idx val="30"/>
          <order val="30"/>
          <tx>
            <strRef>
              <f>'Calc'!$S$290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'Calc'!$Q$290</f>
            </numRef>
          </xVal>
          <yVal>
            <numRef>
              <f>'Calc'!$R$290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7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'Calc'!$V$120:$V$123</f>
            </numRef>
          </xVal>
          <yVal>
            <numRef>
              <f>'Calc'!$W$120:$W$123</f>
            </numRef>
          </yVal>
          <smooth val="0"/>
        </ser>
        <ser>
          <idx val="1"/>
          <order val="1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'Calc'!$V$125:$V$128</f>
            </numRef>
          </xVal>
          <yVal>
            <numRef>
              <f>'Calc'!$W$125:$W$128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'Calc'!$V$130:$V$131</f>
            </numRef>
          </xVal>
          <yVal>
            <numRef>
              <f>'Calc'!$W$130:$W$131</f>
            </numRef>
          </yVal>
          <smooth val="0"/>
        </ser>
        <ser>
          <idx val="3"/>
          <order val="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'Calc'!$V$133:$V$134</f>
            </numRef>
          </xVal>
          <yVal>
            <numRef>
              <f>'Calc'!$W$133:$W$134</f>
            </numRef>
          </yVal>
          <smooth val="0"/>
        </ser>
        <ser>
          <idx val="4"/>
          <order val="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'Calc'!$V$136:$V$137</f>
            </numRef>
          </xVal>
          <yVal>
            <numRef>
              <f>'Calc'!$W$136:$W$137</f>
            </numRef>
          </yVal>
          <smooth val="0"/>
        </ser>
        <ser>
          <idx val="5"/>
          <order val="5"/>
          <tx>
            <strRef>
              <f>'Calc'!$X$139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'Calc'!$V$139</f>
            </numRef>
          </xVal>
          <yVal>
            <numRef>
              <f>'Calc'!$W$139</f>
            </numRef>
          </yVal>
          <smooth val="0"/>
        </ser>
        <ser>
          <idx val="6"/>
          <order val="6"/>
          <tx>
            <strRef>
              <f>'Calc'!$X$141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'Calc'!$V$141</f>
            </numRef>
          </xVal>
          <yVal>
            <numRef>
              <f>'Calc'!$W$141</f>
            </numRef>
          </yVal>
          <smooth val="0"/>
        </ser>
        <ser>
          <idx val="7"/>
          <order val="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'Calc'!$V$143:$V$144</f>
            </numRef>
          </xVal>
          <yVal>
            <numRef>
              <f>'Calc'!$W$143:$W$144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'Calc'!$V$146:$V$147</f>
            </numRef>
          </xVal>
          <yVal>
            <numRef>
              <f>'Calc'!$W$146:$W$147</f>
            </numRef>
          </yVal>
          <smooth val="0"/>
        </ser>
        <ser>
          <idx val="9"/>
          <order val="9"/>
          <tx>
            <strRef>
              <f>'Calc'!$X$149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'Calc'!$V$149</f>
            </numRef>
          </xVal>
          <yVal>
            <numRef>
              <f>'Calc'!$W$149</f>
            </numRef>
          </yVal>
          <smooth val="0"/>
        </ser>
        <ser>
          <idx val="10"/>
          <order val="10"/>
          <tx>
            <strRef>
              <f>'Calc'!$X$151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'Calc'!$V$151</f>
            </numRef>
          </xVal>
          <yVal>
            <numRef>
              <f>'Calc'!$W$151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'Calc'!$V$153:$V$154</f>
            </numRef>
          </xVal>
          <yVal>
            <numRef>
              <f>'Calc'!$W$153:$W$154</f>
            </numRef>
          </yVal>
          <smooth val="0"/>
        </ser>
        <ser>
          <idx val="12"/>
          <order val="1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'Calc'!$V$156:$V$157</f>
            </numRef>
          </xVal>
          <yVal>
            <numRef>
              <f>'Calc'!$W$156:$W$157</f>
            </numRef>
          </yVal>
          <smooth val="0"/>
        </ser>
        <ser>
          <idx val="13"/>
          <order val="13"/>
          <tx>
            <strRef>
              <f>'Calc'!$X$159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'Calc'!$V$159</f>
            </numRef>
          </xVal>
          <yVal>
            <numRef>
              <f>'Calc'!$W$159</f>
            </numRef>
          </yVal>
          <smooth val="0"/>
        </ser>
        <ser>
          <idx val="14"/>
          <order val="14"/>
          <tx>
            <strRef>
              <f>'Calc'!$X$161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'Calc'!$V$161</f>
            </numRef>
          </xVal>
          <yVal>
            <numRef>
              <f>'Calc'!$W$161</f>
            </numRef>
          </yVal>
          <smooth val="0"/>
        </ser>
        <ser>
          <idx val="15"/>
          <order val="1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'Calc'!$V$163:$V$164</f>
            </numRef>
          </xVal>
          <yVal>
            <numRef>
              <f>'Calc'!$W$163:$W$164</f>
            </numRef>
          </yVal>
          <smooth val="0"/>
        </ser>
        <ser>
          <idx val="16"/>
          <order val="1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'Calc'!$V$166:$V$167</f>
            </numRef>
          </xVal>
          <yVal>
            <numRef>
              <f>'Calc'!$W$166:$W$167</f>
            </numRef>
          </yVal>
          <smooth val="0"/>
        </ser>
        <ser>
          <idx val="17"/>
          <order val="17"/>
          <tx>
            <strRef>
              <f>'Calc'!$X$169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'Calc'!$V$169</f>
            </numRef>
          </xVal>
          <yVal>
            <numRef>
              <f>'Calc'!$W$169</f>
            </numRef>
          </yVal>
          <smooth val="0"/>
        </ser>
        <ser>
          <idx val="18"/>
          <order val="18"/>
          <tx>
            <strRef>
              <f>'Calc'!$X$171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'Calc'!$V$171</f>
            </numRef>
          </xVal>
          <yVal>
            <numRef>
              <f>'Calc'!$W$171</f>
            </numRef>
          </yVal>
          <smooth val="0"/>
        </ser>
        <ser>
          <idx val="19"/>
          <order val="19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'Calc'!$V$173:$V$174</f>
            </numRef>
          </xVal>
          <yVal>
            <numRef>
              <f>'Calc'!$W$173:$W$174</f>
            </numRef>
          </yVal>
          <smooth val="0"/>
        </ser>
        <ser>
          <idx val="20"/>
          <order val="20"/>
          <tx>
            <strRef>
              <f>'Calc'!$X$176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'Calc'!$V$176</f>
            </numRef>
          </xVal>
          <yVal>
            <numRef>
              <f>'Calc'!$W$176</f>
            </numRef>
          </yVal>
          <smooth val="0"/>
        </ser>
        <ser>
          <idx val="21"/>
          <order val="21"/>
          <tx>
            <strRef>
              <f>'Calc'!$X$178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'Calc'!$V$178</f>
            </numRef>
          </xVal>
          <yVal>
            <numRef>
              <f>'Calc'!$W$178</f>
            </numRef>
          </yVal>
          <smooth val="0"/>
        </ser>
        <ser>
          <idx val="22"/>
          <order val="22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'Calc'!$V$180:$V$181</f>
            </numRef>
          </xVal>
          <yVal>
            <numRef>
              <f>'Calc'!$W$180:$W$181</f>
            </numRef>
          </yVal>
          <smooth val="0"/>
        </ser>
        <ser>
          <idx val="23"/>
          <order val="23"/>
          <tx>
            <strRef>
              <f>'Calc'!$X$183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'Calc'!$V$183</f>
            </numRef>
          </xVal>
          <yVal>
            <numRef>
              <f>'Calc'!$W$183</f>
            </numRef>
          </yVal>
          <smooth val="0"/>
        </ser>
        <ser>
          <idx val="24"/>
          <order val="24"/>
          <tx>
            <strRef>
              <f>'Calc'!$X$185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'Calc'!$V$185</f>
            </numRef>
          </xVal>
          <yVal>
            <numRef>
              <f>'Calc'!$W$185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'Calc'!$V$187:$V$192</f>
            </numRef>
          </xVal>
          <yVal>
            <numRef>
              <f>'Calc'!$W$187:$W$192</f>
            </numRef>
          </yVal>
          <smooth val="0"/>
        </ser>
        <ser>
          <idx val="26"/>
          <order val="26"/>
          <tx>
            <strRef>
              <f>'Calc'!$X$194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'Calc'!$V$194</f>
            </numRef>
          </xVal>
          <yVal>
            <numRef>
              <f>'Calc'!$W$194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'Calc'!$V$196:$V$197</f>
            </numRef>
          </xVal>
          <yVal>
            <numRef>
              <f>'Calc'!$W$196:$W$197</f>
            </numRef>
          </yVal>
          <smooth val="0"/>
        </ser>
        <ser>
          <idx val="28"/>
          <order val="28"/>
          <tx>
            <strRef>
              <f>'Calc'!$X$199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'Calc'!$V$199</f>
            </numRef>
          </xVal>
          <yVal>
            <numRef>
              <f>'Calc'!$W$199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'Calc'!$V$201:$V$202</f>
            </numRef>
          </xVal>
          <yVal>
            <numRef>
              <f>'Calc'!$W$201:$W$202</f>
            </numRef>
          </yVal>
          <smooth val="0"/>
        </ser>
        <ser>
          <idx val="30"/>
          <order val="30"/>
          <tx>
            <strRef>
              <f>'Calc'!$X$204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'Calc'!$V$204</f>
            </numRef>
          </xVal>
          <yVal>
            <numRef>
              <f>'Calc'!$W$204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'Calc'!$V$206:$V$207</f>
            </numRef>
          </xVal>
          <yVal>
            <numRef>
              <f>'Calc'!$W$206:$W$207</f>
            </numRef>
          </yVal>
          <smooth val="0"/>
        </ser>
        <ser>
          <idx val="32"/>
          <order val="32"/>
          <tx>
            <strRef>
              <f>'Calc'!$X$209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'Calc'!$V$209</f>
            </numRef>
          </xVal>
          <yVal>
            <numRef>
              <f>'Calc'!$W$209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8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'Calc'!$V$292:$V$295</f>
            </numRef>
          </xVal>
          <yVal>
            <numRef>
              <f>'Calc'!$W$292:$W$295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'Calc'!$V$297:$V$300</f>
            </numRef>
          </xVal>
          <yVal>
            <numRef>
              <f>'Calc'!$W$297:$W$300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'Calc'!$V$302:$V$305</f>
            </numRef>
          </xVal>
          <yVal>
            <numRef>
              <f>'Calc'!$W$302:$W$305</f>
            </numRef>
          </yVal>
          <smooth val="0"/>
        </ser>
        <ser>
          <idx val="3"/>
          <order val="3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'Calc'!$V$307:$V$310</f>
            </numRef>
          </xVal>
          <yVal>
            <numRef>
              <f>'Calc'!$W$307:$W$310</f>
            </numRef>
          </yVal>
          <smooth val="0"/>
        </ser>
        <ser>
          <idx val="4"/>
          <order val="4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'Calc'!$V$312:$V$313</f>
            </numRef>
          </xVal>
          <yVal>
            <numRef>
              <f>'Calc'!$W$312:$W$313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'Calc'!$V$315:$V$324</f>
            </numRef>
          </xVal>
          <yVal>
            <numRef>
              <f>'Calc'!$W$315:$W$324</f>
            </numRef>
          </yVal>
          <smooth val="0"/>
        </ser>
        <ser>
          <idx val="6"/>
          <order val="6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'Calc'!$V$326:$V$327</f>
            </numRef>
          </xVal>
          <yVal>
            <numRef>
              <f>'Calc'!$W$326:$W$327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'Calc'!$V$329:$V$338</f>
            </numRef>
          </xVal>
          <yVal>
            <numRef>
              <f>'Calc'!$W$329:$W$338</f>
            </numRef>
          </yVal>
          <smooth val="0"/>
        </ser>
        <ser>
          <idx val="8"/>
          <order val="8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'Calc'!$V$340:$V$341</f>
            </numRef>
          </xVal>
          <yVal>
            <numRef>
              <f>'Calc'!$W$340:$W$341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'Calc'!$V$343:$V$352</f>
            </numRef>
          </xVal>
          <yVal>
            <numRef>
              <f>'Calc'!$W$343:$W$352</f>
            </numRef>
          </yVal>
          <smooth val="0"/>
        </ser>
        <ser>
          <idx val="10"/>
          <order val="10"/>
          <tx>
            <strRef>
              <f>'Calc'!$X$354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'Calc'!$V$354</f>
            </numRef>
          </xVal>
          <yVal>
            <numRef>
              <f>'Calc'!$W$354</f>
            </numRef>
          </yVal>
          <smooth val="0"/>
        </ser>
        <ser>
          <idx val="11"/>
          <order val="11"/>
          <tx>
            <strRef>
              <f>'Calc'!$X$356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B23A1C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'Calc'!$V$356</f>
            </numRef>
          </xVal>
          <yVal>
            <numRef>
              <f>'Calc'!$W$356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19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'Calc'!$V$358:$V$367</f>
            </numRef>
          </xVal>
          <yVal>
            <numRef>
              <f>'Calc'!$W$358:$W$367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'Calc'!$V$369:$V$372</f>
            </numRef>
          </xVal>
          <yVal>
            <numRef>
              <f>'Calc'!$W$369:$W$372</f>
            </numRef>
          </yVal>
          <smooth val="0"/>
        </ser>
        <ser>
          <idx val="2"/>
          <order val="2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'Calc'!$V$374:$V$375</f>
            </numRef>
          </xVal>
          <yVal>
            <numRef>
              <f>'Calc'!$W$374:$W$375</f>
            </numRef>
          </yVal>
          <smooth val="0"/>
        </ser>
        <ser>
          <idx val="3"/>
          <order val="3"/>
          <tx>
            <strRef>
              <f>'Calc'!$X$377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'Calc'!$V$377</f>
            </numRef>
          </xVal>
          <yVal>
            <numRef>
              <f>'Calc'!$W$377</f>
            </numRef>
          </yVal>
          <smooth val="0"/>
        </ser>
        <ser>
          <idx val="4"/>
          <order val="4"/>
          <tx>
            <strRef>
              <f>'Calc'!$X$379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'Calc'!$V$379</f>
            </numRef>
          </xVal>
          <yVal>
            <numRef>
              <f>'Calc'!$W$379</f>
            </numRef>
          </yVal>
          <smooth val="0"/>
        </ser>
        <ser>
          <idx val="5"/>
          <order val="5"/>
          <tx>
            <strRef>
              <f>'Calc'!$X$381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'Calc'!$V$381</f>
            </numRef>
          </xVal>
          <yVal>
            <numRef>
              <f>'Calc'!$W$381</f>
            </numRef>
          </yVal>
          <smooth val="0"/>
        </ser>
        <ser>
          <idx val="6"/>
          <order val="6"/>
          <tx>
            <strRef>
              <f>'Calc'!$X$383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'Calc'!$V$383</f>
            </numRef>
          </xVal>
          <yVal>
            <numRef>
              <f>'Calc'!$W$383</f>
            </numRef>
          </yVal>
          <smooth val="0"/>
        </ser>
        <ser>
          <idx val="7"/>
          <order val="7"/>
          <tx>
            <strRef>
              <f>'Calc'!$X$385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'Calc'!$V$385</f>
            </numRef>
          </xVal>
          <yVal>
            <numRef>
              <f>'Calc'!$W$385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20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'Calc'!$V$211:$V$215</f>
            </numRef>
          </xVal>
          <yVal>
            <numRef>
              <f>'Calc'!$W$211:$W$215</f>
            </numRef>
          </yVal>
          <smooth val="0"/>
        </ser>
        <ser>
          <idx val="1"/>
          <order val="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'Calc'!$V$217:$V$221</f>
            </numRef>
          </xVal>
          <yVal>
            <numRef>
              <f>'Calc'!$W$217:$W$221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'Calc'!$V$223:$V$224</f>
            </numRef>
          </xVal>
          <yVal>
            <numRef>
              <f>'Calc'!$W$223:$W$224</f>
            </numRef>
          </yVal>
          <smooth val="0"/>
        </ser>
        <ser>
          <idx val="3"/>
          <order val="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'Calc'!$V$226:$V$230</f>
            </numRef>
          </xVal>
          <yVal>
            <numRef>
              <f>'Calc'!$W$226:$W$230</f>
            </numRef>
          </yVal>
          <smooth val="0"/>
        </ser>
        <ser>
          <idx val="4"/>
          <order val="4"/>
          <tx>
            <strRef>
              <f>'Calc'!$X$232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'Calc'!$V$232</f>
            </numRef>
          </xVal>
          <yVal>
            <numRef>
              <f>'Calc'!$W$232</f>
            </numRef>
          </yVal>
          <smooth val="0"/>
        </ser>
        <ser>
          <idx val="5"/>
          <order val="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'Calc'!$V$234:$V$235</f>
            </numRef>
          </xVal>
          <yVal>
            <numRef>
              <f>'Calc'!$W$234:$W$235</f>
            </numRef>
          </yVal>
          <smooth val="0"/>
        </ser>
        <ser>
          <idx val="6"/>
          <order val="6"/>
          <tx>
            <strRef>
              <f>'Calc'!$X$237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'Calc'!$V$237</f>
            </numRef>
          </xVal>
          <yVal>
            <numRef>
              <f>'Calc'!$W$237</f>
            </numRef>
          </yVal>
          <smooth val="0"/>
        </ser>
        <ser>
          <idx val="7"/>
          <order val="7"/>
          <tx>
            <strRef>
              <f>'Calc'!$X$239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'Calc'!$V$239</f>
            </numRef>
          </xVal>
          <yVal>
            <numRef>
              <f>'Calc'!$W$239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'Calc'!$V$241:$V$242</f>
            </numRef>
          </xVal>
          <yVal>
            <numRef>
              <f>'Calc'!$W$241:$W$242</f>
            </numRef>
          </yVal>
          <smooth val="0"/>
        </ser>
        <ser>
          <idx val="9"/>
          <order val="9"/>
          <tx>
            <strRef>
              <f>'Calc'!$X$244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'Calc'!$V$244</f>
            </numRef>
          </xVal>
          <yVal>
            <numRef>
              <f>'Calc'!$W$244</f>
            </numRef>
          </yVal>
          <smooth val="0"/>
        </ser>
        <ser>
          <idx val="10"/>
          <order val="10"/>
          <tx>
            <strRef>
              <f>'Calc'!$X$246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'Calc'!$V$246</f>
            </numRef>
          </xVal>
          <yVal>
            <numRef>
              <f>'Calc'!$W$246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'Calc'!$V$248:$V$249</f>
            </numRef>
          </xVal>
          <yVal>
            <numRef>
              <f>'Calc'!$W$248:$W$249</f>
            </numRef>
          </yVal>
          <smooth val="0"/>
        </ser>
        <ser>
          <idx val="12"/>
          <order val="12"/>
          <tx>
            <strRef>
              <f>'Calc'!$X$251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'Calc'!$V$251</f>
            </numRef>
          </xVal>
          <yVal>
            <numRef>
              <f>'Calc'!$W$251</f>
            </numRef>
          </yVal>
          <smooth val="0"/>
        </ser>
        <ser>
          <idx val="13"/>
          <order val="13"/>
          <tx>
            <strRef>
              <f>'Calc'!$X$253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'Calc'!$V$253</f>
            </numRef>
          </xVal>
          <yVal>
            <numRef>
              <f>'Calc'!$W$253</f>
            </numRef>
          </yVal>
          <smooth val="0"/>
        </ser>
        <ser>
          <idx val="14"/>
          <order val="1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'Calc'!$V$255:$V$256</f>
            </numRef>
          </xVal>
          <yVal>
            <numRef>
              <f>'Calc'!$W$255:$W$256</f>
            </numRef>
          </yVal>
          <smooth val="0"/>
        </ser>
        <ser>
          <idx val="15"/>
          <order val="15"/>
          <tx>
            <strRef>
              <f>'Calc'!$X$258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'Calc'!$V$258</f>
            </numRef>
          </xVal>
          <yVal>
            <numRef>
              <f>'Calc'!$W$258</f>
            </numRef>
          </yVal>
          <smooth val="0"/>
        </ser>
        <ser>
          <idx val="16"/>
          <order val="16"/>
          <tx>
            <strRef>
              <f>'Calc'!$X$260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'Calc'!$V$260</f>
            </numRef>
          </xVal>
          <yVal>
            <numRef>
              <f>'Calc'!$W$260</f>
            </numRef>
          </yVal>
          <smooth val="0"/>
        </ser>
        <ser>
          <idx val="17"/>
          <order val="1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'Calc'!$V$262</f>
            </numRef>
          </xVal>
          <yVal>
            <numRef>
              <f>'Calc'!$W$262</f>
            </numRef>
          </yVal>
          <smooth val="0"/>
        </ser>
        <ser>
          <idx val="18"/>
          <order val="18"/>
          <tx>
            <strRef>
              <f>'Calc'!$X$264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'Calc'!$V$264</f>
            </numRef>
          </xVal>
          <yVal>
            <numRef>
              <f>'Calc'!$W$264</f>
            </numRef>
          </yVal>
          <smooth val="0"/>
        </ser>
        <ser>
          <idx val="19"/>
          <order val="19"/>
          <tx>
            <strRef>
              <f>'Calc'!$X$266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'Calc'!$V$266</f>
            </numRef>
          </xVal>
          <yVal>
            <numRef>
              <f>'Calc'!$W$266</f>
            </numRef>
          </yVal>
          <smooth val="0"/>
        </ser>
        <ser>
          <idx val="20"/>
          <order val="2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'Calc'!$V$268</f>
            </numRef>
          </xVal>
          <yVal>
            <numRef>
              <f>'Calc'!$W$268</f>
            </numRef>
          </yVal>
          <smooth val="0"/>
        </ser>
        <ser>
          <idx val="21"/>
          <order val="21"/>
          <tx>
            <strRef>
              <f>'Calc'!$X$270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'Calc'!$V$270</f>
            </numRef>
          </xVal>
          <yVal>
            <numRef>
              <f>'Calc'!$W$270</f>
            </numRef>
          </yVal>
          <smooth val="0"/>
        </ser>
        <ser>
          <idx val="22"/>
          <order val="22"/>
          <tx>
            <strRef>
              <f>'Calc'!$X$272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'Calc'!$V$272</f>
            </numRef>
          </xVal>
          <yVal>
            <numRef>
              <f>'Calc'!$W$272</f>
            </numRef>
          </yVal>
          <smooth val="0"/>
        </ser>
        <ser>
          <idx val="23"/>
          <order val="2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'Calc'!$V$274</f>
            </numRef>
          </xVal>
          <yVal>
            <numRef>
              <f>'Calc'!$W$274</f>
            </numRef>
          </yVal>
          <smooth val="0"/>
        </ser>
        <ser>
          <idx val="24"/>
          <order val="24"/>
          <tx>
            <strRef>
              <f>'Calc'!$X$276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'Calc'!$V$276</f>
            </numRef>
          </xVal>
          <yVal>
            <numRef>
              <f>'Calc'!$W$276</f>
            </numRef>
          </yVal>
          <smooth val="0"/>
        </ser>
        <ser>
          <idx val="25"/>
          <order val="25"/>
          <tx>
            <strRef>
              <f>'Calc'!$X$278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'Calc'!$V$278</f>
            </numRef>
          </xVal>
          <yVal>
            <numRef>
              <f>'Calc'!$W$278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'Calc'!$V$280:$V$281</f>
            </numRef>
          </xVal>
          <yVal>
            <numRef>
              <f>'Calc'!$W$280:$W$281</f>
            </numRef>
          </yVal>
          <smooth val="0"/>
        </ser>
        <ser>
          <idx val="27"/>
          <order val="27"/>
          <tx>
            <strRef>
              <f>'Calc'!$X$283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'Calc'!$V$283</f>
            </numRef>
          </xVal>
          <yVal>
            <numRef>
              <f>'Calc'!$W$283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'Calc'!$V$285:$V$286</f>
            </numRef>
          </xVal>
          <yVal>
            <numRef>
              <f>'Calc'!$W$285:$W$286</f>
            </numRef>
          </yVal>
          <smooth val="0"/>
        </ser>
        <ser>
          <idx val="29"/>
          <order val="29"/>
          <tx>
            <strRef>
              <f>'Calc'!$X$288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'Calc'!$V$288</f>
            </numRef>
          </xVal>
          <yVal>
            <numRef>
              <f>'Calc'!$W$288</f>
            </numRef>
          </yVal>
          <smooth val="0"/>
        </ser>
        <ser>
          <idx val="30"/>
          <order val="30"/>
          <tx>
            <strRef>
              <f>'Calc'!$X$290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'Calc'!$V$290</f>
            </numRef>
          </xVal>
          <yVal>
            <numRef>
              <f>'Calc'!$W$290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21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'Calc'!$AA$120:$AA$123</f>
            </numRef>
          </xVal>
          <yVal>
            <numRef>
              <f>'Calc'!$AB$120:$AB$123</f>
            </numRef>
          </yVal>
          <smooth val="0"/>
        </ser>
        <ser>
          <idx val="1"/>
          <order val="1"/>
          <spPr>
            <a:ln xmlns:a="http://schemas.openxmlformats.org/drawingml/2006/main" w="25400">
              <a:solidFill>
                <a:srgbClr val="B23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'Calc'!$AA$125:$AA$128</f>
            </numRef>
          </xVal>
          <yVal>
            <numRef>
              <f>'Calc'!$AB$125:$AB$128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'Calc'!$AA$130:$AA$131</f>
            </numRef>
          </xVal>
          <yVal>
            <numRef>
              <f>'Calc'!$AB$130:$AB$131</f>
            </numRef>
          </yVal>
          <smooth val="0"/>
        </ser>
        <ser>
          <idx val="3"/>
          <order val="3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'Calc'!$AA$133:$AA$134</f>
            </numRef>
          </xVal>
          <yVal>
            <numRef>
              <f>'Calc'!$AB$133:$AB$134</f>
            </numRef>
          </yVal>
          <smooth val="0"/>
        </ser>
        <ser>
          <idx val="4"/>
          <order val="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'Calc'!$AA$136:$AA$137</f>
            </numRef>
          </xVal>
          <yVal>
            <numRef>
              <f>'Calc'!$AB$136:$AB$137</f>
            </numRef>
          </yVal>
          <smooth val="0"/>
        </ser>
        <ser>
          <idx val="5"/>
          <order val="5"/>
          <tx>
            <strRef>
              <f>'Calc'!$AC$139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'Calc'!$AA$139</f>
            </numRef>
          </xVal>
          <yVal>
            <numRef>
              <f>'Calc'!$AB$139</f>
            </numRef>
          </yVal>
          <smooth val="0"/>
        </ser>
        <ser>
          <idx val="6"/>
          <order val="6"/>
          <tx>
            <strRef>
              <f>'Calc'!$AC$141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'Calc'!$AA$141</f>
            </numRef>
          </xVal>
          <yVal>
            <numRef>
              <f>'Calc'!$AB$141</f>
            </numRef>
          </yVal>
          <smooth val="0"/>
        </ser>
        <ser>
          <idx val="7"/>
          <order val="7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'Calc'!$AA$143:$AA$144</f>
            </numRef>
          </xVal>
          <yVal>
            <numRef>
              <f>'Calc'!$AB$143:$AB$144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'Calc'!$AA$146:$AA$147</f>
            </numRef>
          </xVal>
          <yVal>
            <numRef>
              <f>'Calc'!$AB$146:$AB$147</f>
            </numRef>
          </yVal>
          <smooth val="0"/>
        </ser>
        <ser>
          <idx val="9"/>
          <order val="9"/>
          <tx>
            <strRef>
              <f>'Calc'!$AC$149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'Calc'!$AA$149</f>
            </numRef>
          </xVal>
          <yVal>
            <numRef>
              <f>'Calc'!$AB$149</f>
            </numRef>
          </yVal>
          <smooth val="0"/>
        </ser>
        <ser>
          <idx val="10"/>
          <order val="10"/>
          <tx>
            <strRef>
              <f>'Calc'!$AC$151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'Calc'!$AA$151</f>
            </numRef>
          </xVal>
          <yVal>
            <numRef>
              <f>'Calc'!$AB$151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'Calc'!$AA$153:$AA$154</f>
            </numRef>
          </xVal>
          <yVal>
            <numRef>
              <f>'Calc'!$AB$153:$AB$154</f>
            </numRef>
          </yVal>
          <smooth val="0"/>
        </ser>
        <ser>
          <idx val="12"/>
          <order val="12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'Calc'!$AA$156:$AA$157</f>
            </numRef>
          </xVal>
          <yVal>
            <numRef>
              <f>'Calc'!$AB$156:$AB$157</f>
            </numRef>
          </yVal>
          <smooth val="0"/>
        </ser>
        <ser>
          <idx val="13"/>
          <order val="13"/>
          <tx>
            <strRef>
              <f>'Calc'!$AC$159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'Calc'!$AA$159</f>
            </numRef>
          </xVal>
          <yVal>
            <numRef>
              <f>'Calc'!$AB$159</f>
            </numRef>
          </yVal>
          <smooth val="0"/>
        </ser>
        <ser>
          <idx val="14"/>
          <order val="14"/>
          <tx>
            <strRef>
              <f>'Calc'!$AC$161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'Calc'!$AA$161</f>
            </numRef>
          </xVal>
          <yVal>
            <numRef>
              <f>'Calc'!$AB$161</f>
            </numRef>
          </yVal>
          <smooth val="0"/>
        </ser>
        <ser>
          <idx val="15"/>
          <order val="1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'Calc'!$AA$163:$AA$164</f>
            </numRef>
          </xVal>
          <yVal>
            <numRef>
              <f>'Calc'!$AB$163:$AB$164</f>
            </numRef>
          </yVal>
          <smooth val="0"/>
        </ser>
        <ser>
          <idx val="16"/>
          <order val="16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'Calc'!$AA$166:$AA$167</f>
            </numRef>
          </xVal>
          <yVal>
            <numRef>
              <f>'Calc'!$AB$166:$AB$167</f>
            </numRef>
          </yVal>
          <smooth val="0"/>
        </ser>
        <ser>
          <idx val="17"/>
          <order val="17"/>
          <tx>
            <strRef>
              <f>'Calc'!$AC$169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'Calc'!$AA$169</f>
            </numRef>
          </xVal>
          <yVal>
            <numRef>
              <f>'Calc'!$AB$169</f>
            </numRef>
          </yVal>
          <smooth val="0"/>
        </ser>
        <ser>
          <idx val="18"/>
          <order val="18"/>
          <tx>
            <strRef>
              <f>'Calc'!$AC$171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'Calc'!$AA$171</f>
            </numRef>
          </xVal>
          <yVal>
            <numRef>
              <f>'Calc'!$AB$171</f>
            </numRef>
          </yVal>
          <smooth val="0"/>
        </ser>
        <ser>
          <idx val="19"/>
          <order val="19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'Calc'!$AA$173:$AA$174</f>
            </numRef>
          </xVal>
          <yVal>
            <numRef>
              <f>'Calc'!$AB$173:$AB$174</f>
            </numRef>
          </yVal>
          <smooth val="0"/>
        </ser>
        <ser>
          <idx val="20"/>
          <order val="20"/>
          <tx>
            <strRef>
              <f>'Calc'!$AC$176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'Calc'!$AA$176</f>
            </numRef>
          </xVal>
          <yVal>
            <numRef>
              <f>'Calc'!$AB$176</f>
            </numRef>
          </yVal>
          <smooth val="0"/>
        </ser>
        <ser>
          <idx val="21"/>
          <order val="21"/>
          <tx>
            <strRef>
              <f>'Calc'!$AC$178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'Calc'!$AA$178</f>
            </numRef>
          </xVal>
          <yVal>
            <numRef>
              <f>'Calc'!$AB$178</f>
            </numRef>
          </yVal>
          <smooth val="0"/>
        </ser>
        <ser>
          <idx val="22"/>
          <order val="22"/>
          <spPr>
            <a:ln xmlns:a="http://schemas.openxmlformats.org/drawingml/2006/main" w="508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'Calc'!$AA$180:$AA$181</f>
            </numRef>
          </xVal>
          <yVal>
            <numRef>
              <f>'Calc'!$AB$180:$AB$181</f>
            </numRef>
          </yVal>
          <smooth val="0"/>
        </ser>
        <ser>
          <idx val="23"/>
          <order val="23"/>
          <tx>
            <strRef>
              <f>'Calc'!$AC$183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'Calc'!$AA$183</f>
            </numRef>
          </xVal>
          <yVal>
            <numRef>
              <f>'Calc'!$AB$183</f>
            </numRef>
          </yVal>
          <smooth val="0"/>
        </ser>
        <ser>
          <idx val="24"/>
          <order val="24"/>
          <tx>
            <strRef>
              <f>'Calc'!$AC$185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4304A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4304A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'Calc'!$AA$185</f>
            </numRef>
          </xVal>
          <yVal>
            <numRef>
              <f>'Calc'!$AB$185</f>
            </numRef>
          </yVal>
          <smooth val="0"/>
        </ser>
        <ser>
          <idx val="25"/>
          <order val="25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'Calc'!$AA$187:$AA$192</f>
            </numRef>
          </xVal>
          <yVal>
            <numRef>
              <f>'Calc'!$AB$187:$AB$192</f>
            </numRef>
          </yVal>
          <smooth val="0"/>
        </ser>
        <ser>
          <idx val="26"/>
          <order val="26"/>
          <tx>
            <strRef>
              <f>'Calc'!$AC$194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'Calc'!$AA$194</f>
            </numRef>
          </xVal>
          <yVal>
            <numRef>
              <f>'Calc'!$AB$194</f>
            </numRef>
          </yVal>
          <smooth val="0"/>
        </ser>
        <ser>
          <idx val="27"/>
          <order val="27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'Calc'!$AA$196:$AA$197</f>
            </numRef>
          </xVal>
          <yVal>
            <numRef>
              <f>'Calc'!$AB$196:$AB$197</f>
            </numRef>
          </yVal>
          <smooth val="0"/>
        </ser>
        <ser>
          <idx val="28"/>
          <order val="28"/>
          <tx>
            <strRef>
              <f>'Calc'!$AC$199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'Calc'!$AA$199</f>
            </numRef>
          </xVal>
          <yVal>
            <numRef>
              <f>'Calc'!$AB$199</f>
            </numRef>
          </yVal>
          <smooth val="0"/>
        </ser>
        <ser>
          <idx val="29"/>
          <order val="29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'Calc'!$AA$201:$AA$202</f>
            </numRef>
          </xVal>
          <yVal>
            <numRef>
              <f>'Calc'!$AB$201:$AB$202</f>
            </numRef>
          </yVal>
          <smooth val="0"/>
        </ser>
        <ser>
          <idx val="30"/>
          <order val="30"/>
          <tx>
            <strRef>
              <f>'Calc'!$AC$204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'Calc'!$AA$204</f>
            </numRef>
          </xVal>
          <yVal>
            <numRef>
              <f>'Calc'!$AB$204</f>
            </numRef>
          </yVal>
          <smooth val="0"/>
        </ser>
        <ser>
          <idx val="31"/>
          <order val="31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'Calc'!$AA$206:$AA$207</f>
            </numRef>
          </xVal>
          <yVal>
            <numRef>
              <f>'Calc'!$AB$206:$AB$207</f>
            </numRef>
          </yVal>
          <smooth val="0"/>
        </ser>
        <ser>
          <idx val="32"/>
          <order val="32"/>
          <tx>
            <strRef>
              <f>'Calc'!$AC$209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5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5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'Calc'!$AA$209</f>
            </numRef>
          </xVal>
          <yVal>
            <numRef>
              <f>'Calc'!$AB$209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22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'Calc'!$AA$292:$AA$295</f>
            </numRef>
          </xVal>
          <yVal>
            <numRef>
              <f>'Calc'!$AB$292:$AB$295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'Calc'!$AA$297:$AA$300</f>
            </numRef>
          </xVal>
          <yVal>
            <numRef>
              <f>'Calc'!$AB$297:$AB$300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'Calc'!$AA$302:$AA$305</f>
            </numRef>
          </xVal>
          <yVal>
            <numRef>
              <f>'Calc'!$AB$302:$AB$305</f>
            </numRef>
          </yVal>
          <smooth val="0"/>
        </ser>
        <ser>
          <idx val="3"/>
          <order val="3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'Calc'!$AA$307:$AA$310</f>
            </numRef>
          </xVal>
          <yVal>
            <numRef>
              <f>'Calc'!$AB$307:$AB$310</f>
            </numRef>
          </yVal>
          <smooth val="0"/>
        </ser>
        <ser>
          <idx val="4"/>
          <order val="4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'Calc'!$AA$312:$AA$313</f>
            </numRef>
          </xVal>
          <yVal>
            <numRef>
              <f>'Calc'!$AB$312:$AB$313</f>
            </numRef>
          </yVal>
          <smooth val="0"/>
        </ser>
        <ser>
          <idx val="5"/>
          <order val="5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'Calc'!$AA$315:$AA$324</f>
            </numRef>
          </xVal>
          <yVal>
            <numRef>
              <f>'Calc'!$AB$315:$AB$324</f>
            </numRef>
          </yVal>
          <smooth val="0"/>
        </ser>
        <ser>
          <idx val="6"/>
          <order val="6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'Calc'!$AA$326:$AA$327</f>
            </numRef>
          </xVal>
          <yVal>
            <numRef>
              <f>'Calc'!$AB$326:$AB$327</f>
            </numRef>
          </yVal>
          <smooth val="0"/>
        </ser>
        <ser>
          <idx val="7"/>
          <order val="7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'Calc'!$AA$329:$AA$338</f>
            </numRef>
          </xVal>
          <yVal>
            <numRef>
              <f>'Calc'!$AB$329:$AB$338</f>
            </numRef>
          </yVal>
          <smooth val="0"/>
        </ser>
        <ser>
          <idx val="8"/>
          <order val="8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'Calc'!$AA$340:$AA$341</f>
            </numRef>
          </xVal>
          <yVal>
            <numRef>
              <f>'Calc'!$AB$340:$AB$341</f>
            </numRef>
          </yVal>
          <smooth val="0"/>
        </ser>
        <ser>
          <idx val="9"/>
          <order val="9"/>
          <spPr>
            <a:ln xmlns:a="http://schemas.openxmlformats.org/drawingml/2006/main" w="9525">
              <a:solidFill>
                <a:srgbClr val="8895A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'Calc'!$AA$343:$AA$352</f>
            </numRef>
          </xVal>
          <yVal>
            <numRef>
              <f>'Calc'!$AB$343:$AB$352</f>
            </numRef>
          </yVal>
          <smooth val="0"/>
        </ser>
        <ser>
          <idx val="10"/>
          <order val="10"/>
          <tx>
            <strRef>
              <f>'Calc'!$AC$354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'Calc'!$AA$354</f>
            </numRef>
          </xVal>
          <yVal>
            <numRef>
              <f>'Calc'!$AB$354</f>
            </numRef>
          </yVal>
          <smooth val="0"/>
        </ser>
        <ser>
          <idx val="11"/>
          <order val="11"/>
          <tx>
            <strRef>
              <f>'Calc'!$AC$356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5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650" b="1">
                  <a:solidFill>
                    <a:srgbClr val="B23A1C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'Calc'!$AA$356</f>
            </numRef>
          </xVal>
          <yVal>
            <numRef>
              <f>'Calc'!$AB$356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23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5400">
              <a:solidFill>
                <a:srgbClr val="1430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'Calc'!$AA$358:$AA$367</f>
            </numRef>
          </xVal>
          <yVal>
            <numRef>
              <f>'Calc'!$AB$358:$AB$367</f>
            </numRef>
          </yVal>
          <smooth val="0"/>
        </ser>
        <ser>
          <idx val="1"/>
          <order val="1"/>
          <spPr>
            <a:ln xmlns:a="http://schemas.openxmlformats.org/drawingml/2006/main" w="19050">
              <a:solidFill>
                <a:srgbClr val="9AA5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'Calc'!$AA$369:$AA$372</f>
            </numRef>
          </xVal>
          <yVal>
            <numRef>
              <f>'Calc'!$AB$369:$AB$372</f>
            </numRef>
          </yVal>
          <smooth val="0"/>
        </ser>
        <ser>
          <idx val="2"/>
          <order val="2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'Calc'!$AA$374:$AA$375</f>
            </numRef>
          </xVal>
          <yVal>
            <numRef>
              <f>'Calc'!$AB$374:$AB$375</f>
            </numRef>
          </yVal>
          <smooth val="0"/>
        </ser>
        <ser>
          <idx val="3"/>
          <order val="3"/>
          <tx>
            <strRef>
              <f>'Calc'!$AC$377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'Calc'!$AA$377</f>
            </numRef>
          </xVal>
          <yVal>
            <numRef>
              <f>'Calc'!$AB$377</f>
            </numRef>
          </yVal>
          <smooth val="0"/>
        </ser>
        <ser>
          <idx val="4"/>
          <order val="4"/>
          <tx>
            <strRef>
              <f>'Calc'!$AC$379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1F2933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'Calc'!$AA$379</f>
            </numRef>
          </xVal>
          <yVal>
            <numRef>
              <f>'Calc'!$AB$379</f>
            </numRef>
          </yVal>
          <smooth val="0"/>
        </ser>
        <ser>
          <idx val="5"/>
          <order val="5"/>
          <tx>
            <strRef>
              <f>'Calc'!$AC$381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'Calc'!$AA$381</f>
            </numRef>
          </xVal>
          <yVal>
            <numRef>
              <f>'Calc'!$AB$381</f>
            </numRef>
          </yVal>
          <smooth val="0"/>
        </ser>
        <ser>
          <idx val="6"/>
          <order val="6"/>
          <tx>
            <strRef>
              <f>'Calc'!$AC$383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'Calc'!$AA$383</f>
            </numRef>
          </xVal>
          <yVal>
            <numRef>
              <f>'Calc'!$AB$383</f>
            </numRef>
          </yVal>
          <smooth val="0"/>
        </ser>
        <ser>
          <idx val="7"/>
          <order val="7"/>
          <tx>
            <strRef>
              <f>'Calc'!$AC$385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6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600" b="1">
                  <a:solidFill>
                    <a:srgbClr val="7B8794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'Calc'!$AA$385</f>
            </numRef>
          </xVal>
          <yVal>
            <numRef>
              <f>'Calc'!$AB$385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harts/chart24.xml><?xml version="1.0" encoding="utf-8"?>
<chartSpace xmlns="http://schemas.openxmlformats.org/drawingml/2006/chart">
  <style val="1"/>
  <chart>
    <plotArea>
      <scatterChart>
        <scatterStyle val="lineMarker"/>
        <ser>
          <idx val="0"/>
          <order val="0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'Calc'!$AA$211:$AA$215</f>
            </numRef>
          </xVal>
          <yVal>
            <numRef>
              <f>'Calc'!$AB$211:$AB$215</f>
            </numRef>
          </yVal>
          <smooth val="0"/>
        </ser>
        <ser>
          <idx val="1"/>
          <order val="1"/>
          <spPr>
            <a:ln xmlns:a="http://schemas.openxmlformats.org/drawingml/2006/main" w="20320">
              <a:solidFill>
                <a:srgbClr val="2B313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'Calc'!$AA$217:$AA$221</f>
            </numRef>
          </xVal>
          <yVal>
            <numRef>
              <f>'Calc'!$AB$217:$AB$221</f>
            </numRef>
          </yVal>
          <smooth val="0"/>
        </ser>
        <ser>
          <idx val="2"/>
          <order val="2"/>
          <spPr>
            <a:ln xmlns:a="http://schemas.openxmlformats.org/drawingml/2006/main" w="25400">
              <a:solidFill>
                <a:srgbClr val="5B677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'Calc'!$AA$223:$AA$224</f>
            </numRef>
          </xVal>
          <yVal>
            <numRef>
              <f>'Calc'!$AB$223:$AB$224</f>
            </numRef>
          </yVal>
          <smooth val="0"/>
        </ser>
        <ser>
          <idx val="3"/>
          <order val="3"/>
          <spPr>
            <a:ln xmlns:a="http://schemas.openxmlformats.org/drawingml/2006/main" w="13970">
              <a:solidFill>
                <a:srgbClr val="2B7B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'Calc'!$AA$226:$AA$230</f>
            </numRef>
          </xVal>
          <yVal>
            <numRef>
              <f>'Calc'!$AB$226:$AB$230</f>
            </numRef>
          </yVal>
          <smooth val="0"/>
        </ser>
        <ser>
          <idx val="4"/>
          <order val="4"/>
          <tx>
            <strRef>
              <f>'Calc'!$AC$232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2B7BB9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2B7BB9"/>
                  </a:solidFill>
                  <a:latin typeface="Arial"/>
                </a:endParaRPr>
              </a:p>
            </txPr>
            <dLblPos val="b"/>
            <showLegendKey val="0"/>
            <showVal val="0"/>
            <showCatName val="0"/>
            <showSerName val="1"/>
            <showPercent val="0"/>
          </dLbls>
          <xVal>
            <numRef>
              <f>'Calc'!$AA$232</f>
            </numRef>
          </xVal>
          <yVal>
            <numRef>
              <f>'Calc'!$AB$232</f>
            </numRef>
          </yVal>
          <smooth val="0"/>
        </ser>
        <ser>
          <idx val="5"/>
          <order val="5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'Calc'!$AA$234:$AA$235</f>
            </numRef>
          </xVal>
          <yVal>
            <numRef>
              <f>'Calc'!$AB$234:$AB$235</f>
            </numRef>
          </yVal>
          <smooth val="0"/>
        </ser>
        <ser>
          <idx val="6"/>
          <order val="6"/>
          <tx>
            <strRef>
              <f>'Calc'!$AC$237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'Calc'!$AA$237</f>
            </numRef>
          </xVal>
          <yVal>
            <numRef>
              <f>'Calc'!$AB$237</f>
            </numRef>
          </yVal>
          <smooth val="0"/>
        </ser>
        <ser>
          <idx val="7"/>
          <order val="7"/>
          <tx>
            <strRef>
              <f>'Calc'!$AC$239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'Calc'!$AA$239</f>
            </numRef>
          </xVal>
          <yVal>
            <numRef>
              <f>'Calc'!$AB$239</f>
            </numRef>
          </yVal>
          <smooth val="0"/>
        </ser>
        <ser>
          <idx val="8"/>
          <order val="8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'Calc'!$AA$241:$AA$242</f>
            </numRef>
          </xVal>
          <yVal>
            <numRef>
              <f>'Calc'!$AB$241:$AB$242</f>
            </numRef>
          </yVal>
          <smooth val="0"/>
        </ser>
        <ser>
          <idx val="9"/>
          <order val="9"/>
          <tx>
            <strRef>
              <f>'Calc'!$AC$244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'Calc'!$AA$244</f>
            </numRef>
          </xVal>
          <yVal>
            <numRef>
              <f>'Calc'!$AB$244</f>
            </numRef>
          </yVal>
          <smooth val="0"/>
        </ser>
        <ser>
          <idx val="10"/>
          <order val="10"/>
          <tx>
            <strRef>
              <f>'Calc'!$AC$246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'Calc'!$AA$246</f>
            </numRef>
          </xVal>
          <yVal>
            <numRef>
              <f>'Calc'!$AB$246</f>
            </numRef>
          </yVal>
          <smooth val="0"/>
        </ser>
        <ser>
          <idx val="11"/>
          <order val="11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'Calc'!$AA$248:$AA$249</f>
            </numRef>
          </xVal>
          <yVal>
            <numRef>
              <f>'Calc'!$AB$248:$AB$249</f>
            </numRef>
          </yVal>
          <smooth val="0"/>
        </ser>
        <ser>
          <idx val="12"/>
          <order val="12"/>
          <tx>
            <strRef>
              <f>'Calc'!$AC$251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'Calc'!$AA$251</f>
            </numRef>
          </xVal>
          <yVal>
            <numRef>
              <f>'Calc'!$AB$251</f>
            </numRef>
          </yVal>
          <smooth val="0"/>
        </ser>
        <ser>
          <idx val="13"/>
          <order val="13"/>
          <tx>
            <strRef>
              <f>'Calc'!$AC$253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'Calc'!$AA$253</f>
            </numRef>
          </xVal>
          <yVal>
            <numRef>
              <f>'Calc'!$AB$253</f>
            </numRef>
          </yVal>
          <smooth val="0"/>
        </ser>
        <ser>
          <idx val="14"/>
          <order val="14"/>
          <spPr>
            <a:ln xmlns:a="http://schemas.openxmlformats.org/drawingml/2006/main" w="50800">
              <a:solidFill>
                <a:srgbClr val="C07F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'Calc'!$AA$255:$AA$256</f>
            </numRef>
          </xVal>
          <yVal>
            <numRef>
              <f>'Calc'!$AB$255:$AB$256</f>
            </numRef>
          </yVal>
          <smooth val="0"/>
        </ser>
        <ser>
          <idx val="15"/>
          <order val="15"/>
          <tx>
            <strRef>
              <f>'Calc'!$AC$258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'Calc'!$AA$258</f>
            </numRef>
          </xVal>
          <yVal>
            <numRef>
              <f>'Calc'!$AB$258</f>
            </numRef>
          </yVal>
          <smooth val="0"/>
        </ser>
        <ser>
          <idx val="16"/>
          <order val="16"/>
          <tx>
            <strRef>
              <f>'Calc'!$AC$260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8A5A00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8A5A00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'Calc'!$AA$260</f>
            </numRef>
          </xVal>
          <yVal>
            <numRef>
              <f>'Calc'!$AB$260</f>
            </numRef>
          </yVal>
          <smooth val="0"/>
        </ser>
        <ser>
          <idx val="17"/>
          <order val="17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'Calc'!$AA$262</f>
            </numRef>
          </xVal>
          <yVal>
            <numRef>
              <f>'Calc'!$AB$262</f>
            </numRef>
          </yVal>
          <smooth val="0"/>
        </ser>
        <ser>
          <idx val="18"/>
          <order val="18"/>
          <tx>
            <strRef>
              <f>'Calc'!$AC$264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'Calc'!$AA$264</f>
            </numRef>
          </xVal>
          <yVal>
            <numRef>
              <f>'Calc'!$AB$264</f>
            </numRef>
          </yVal>
          <smooth val="0"/>
        </ser>
        <ser>
          <idx val="19"/>
          <order val="19"/>
          <tx>
            <strRef>
              <f>'Calc'!$AC$266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'Calc'!$AA$266</f>
            </numRef>
          </xVal>
          <yVal>
            <numRef>
              <f>'Calc'!$AB$266</f>
            </numRef>
          </yVal>
          <smooth val="0"/>
        </ser>
        <ser>
          <idx val="20"/>
          <order val="2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'Calc'!$AA$268</f>
            </numRef>
          </xVal>
          <yVal>
            <numRef>
              <f>'Calc'!$AB$268</f>
            </numRef>
          </yVal>
          <smooth val="0"/>
        </ser>
        <ser>
          <idx val="21"/>
          <order val="21"/>
          <tx>
            <strRef>
              <f>'Calc'!$AC$270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'Calc'!$AA$270</f>
            </numRef>
          </xVal>
          <yVal>
            <numRef>
              <f>'Calc'!$AB$270</f>
            </numRef>
          </yVal>
          <smooth val="0"/>
        </ser>
        <ser>
          <idx val="22"/>
          <order val="22"/>
          <tx>
            <strRef>
              <f>'Calc'!$AC$272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'Calc'!$AA$272</f>
            </numRef>
          </xVal>
          <yVal>
            <numRef>
              <f>'Calc'!$AB$272</f>
            </numRef>
          </yVal>
          <smooth val="0"/>
        </ser>
        <ser>
          <idx val="23"/>
          <order val="23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23A1C"/>
              </a:solidFill>
              <a:ln xmlns:a="http://schemas.openxmlformats.org/drawingml/2006/main">
                <a:solidFill>
                  <a:srgbClr val="B23A1C"/>
                </a:solidFill>
                <a:prstDash val="solid"/>
              </a:ln>
            </spPr>
          </marker>
          <xVal>
            <numRef>
              <f>'Calc'!$AA$274</f>
            </numRef>
          </xVal>
          <yVal>
            <numRef>
              <f>'Calc'!$AB$274</f>
            </numRef>
          </yVal>
          <smooth val="0"/>
        </ser>
        <ser>
          <idx val="24"/>
          <order val="24"/>
          <tx>
            <strRef>
              <f>'Calc'!$AC$276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'Calc'!$AA$276</f>
            </numRef>
          </xVal>
          <yVal>
            <numRef>
              <f>'Calc'!$AB$276</f>
            </numRef>
          </yVal>
          <smooth val="0"/>
        </ser>
        <ser>
          <idx val="25"/>
          <order val="25"/>
          <tx>
            <strRef>
              <f>'Calc'!$AC$278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B23A1C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B23A1C"/>
                  </a:solidFill>
                  <a:latin typeface="Arial"/>
                </a:endParaRPr>
              </a:p>
            </txPr>
            <dLblPos val="l"/>
            <showLegendKey val="0"/>
            <showVal val="0"/>
            <showCatName val="0"/>
            <showSerName val="1"/>
            <showPercent val="0"/>
          </dLbls>
          <xVal>
            <numRef>
              <f>'Calc'!$AA$278</f>
            </numRef>
          </xVal>
          <yVal>
            <numRef>
              <f>'Calc'!$AB$278</f>
            </numRef>
          </yVal>
          <smooth val="0"/>
        </ser>
        <ser>
          <idx val="26"/>
          <order val="26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'Calc'!$AA$280:$AA$281</f>
            </numRef>
          </xVal>
          <yVal>
            <numRef>
              <f>'Calc'!$AB$280:$AB$281</f>
            </numRef>
          </yVal>
          <smooth val="0"/>
        </ser>
        <ser>
          <idx val="27"/>
          <order val="27"/>
          <tx>
            <strRef>
              <f>'Calc'!$AC$283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'Calc'!$AA$283</f>
            </numRef>
          </xVal>
          <yVal>
            <numRef>
              <f>'Calc'!$AB$283</f>
            </numRef>
          </yVal>
          <smooth val="0"/>
        </ser>
        <ser>
          <idx val="28"/>
          <order val="28"/>
          <spPr>
            <a:ln xmlns:a="http://schemas.openxmlformats.org/drawingml/2006/main" w="7620">
              <a:solidFill>
                <a:srgbClr val="7B879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'Calc'!$AA$285:$AA$286</f>
            </numRef>
          </xVal>
          <yVal>
            <numRef>
              <f>'Calc'!$AB$285:$AB$286</f>
            </numRef>
          </yVal>
          <smooth val="0"/>
        </ser>
        <ser>
          <idx val="29"/>
          <order val="29"/>
          <tx>
            <strRef>
              <f>'Calc'!$AC$288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F2933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1F2933"/>
                  </a:solidFill>
                  <a:latin typeface="Arial"/>
                </a:endParaRPr>
              </a:p>
            </txPr>
            <dLblPos val="r"/>
            <showLegendKey val="0"/>
            <showVal val="0"/>
            <showCatName val="0"/>
            <showSerName val="1"/>
            <showPercent val="0"/>
          </dLbls>
          <xVal>
            <numRef>
              <f>'Calc'!$AA$288</f>
            </numRef>
          </xVal>
          <yVal>
            <numRef>
              <f>'Calc'!$AB$288</f>
            </numRef>
          </yVal>
          <smooth val="0"/>
        </ser>
        <ser>
          <idx val="30"/>
          <order val="30"/>
          <tx>
            <strRef>
              <f>'Calc'!$AC$290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7B8794"/>
                    </a:solidFill>
                    <a:latin typeface="Arial"/>
                  </a:defRPr>
                </a:pPr>
                <a:r>
                  <a:t/>
                </a:r>
                <a:endParaRPr sz="700" b="1">
                  <a:solidFill>
                    <a:srgbClr val="7B8794"/>
                  </a:solidFill>
                  <a:latin typeface="Arial"/>
                </a:endParaRPr>
              </a:p>
            </txPr>
            <dLblPos val="t"/>
            <showLegendKey val="0"/>
            <showVal val="0"/>
            <showCatName val="0"/>
            <showSerName val="1"/>
            <showPercent val="0"/>
          </dLbls>
          <xVal>
            <numRef>
              <f>'Calc'!$AA$290</f>
            </numRef>
          </xVal>
          <yVal>
            <numRef>
              <f>'Calc'!$AB$290</f>
            </numRef>
          </yVal>
          <smooth val="0"/>
        </ser>
        <axId val="10"/>
        <axId val="20"/>
      </scatterChart>
      <valAx>
        <axId val="10"/>
        <scaling>
          <orientation val="minMax"/>
          <max val="200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  <max val="175"/>
          <min val="-25"/>
        </scaling>
        <delete val="1"/>
        <axPos val="l"/>
        <majorTickMark val="none"/>
        <minorTickMark val="none"/>
        <crossAx val="10"/>
      </valAx>
    </plotArea>
    <plotVisOnly val="0"/>
    <dispBlanksAs val="gap"/>
  </chart>
</chartSpace>
</file>

<file path=xl/comments/comment1.xml><?xml version="1.0" encoding="utf-8"?>
<comments xmlns="http://schemas.openxmlformats.org/spreadsheetml/2006/main">
  <authors>
    <author>FC</author>
  </authors>
  <commentList>
    <comment ref="N8" authorId="0" shapeId="0">
      <text>
        <t>Blank = the default on the Setup sheet (1/16 hinge, 3/16 lock, 1/8 top).</t>
      </text>
    </comment>
    <comment ref="P8" authorId="0" shapeId="0">
      <text>
        <t>Blank = by maker: Curries / Pioneer 5/8", others 3/4".</t>
      </text>
    </comment>
    <comment ref="Q8" authorId="0" shapeId="0">
      <text>
        <t>Masonry: type the rough opening and the faces are worked out (like the 2.0 tag). Blank = 2" faces.</t>
      </text>
    </comment>
    <comment ref="B10" authorId="0" shapeId="0">
      <text>
        <t>Custom locations, inches from the top inside of the frame to the TOP of each hinge; E = strike centre line. Pick CUSTOM in LOCATIONS or just type them.</t>
      </text>
    </comment>
  </commentList>
</comments>
</file>

<file path=xl/comments/comment2.xml><?xml version="1.0" encoding="utf-8"?>
<comments xmlns="http://schemas.openxmlformats.org/spreadsheetml/2006/main">
  <authors>
    <author>FC</author>
  </authors>
  <commentList>
    <comment ref="N8" authorId="0" shapeId="0">
      <text>
        <t>Blank = the default on the Setup sheet (1/16 hinge, 3/16 lock, 1/8 top).</t>
      </text>
    </comment>
    <comment ref="P8" authorId="0" shapeId="0">
      <text>
        <t>Blank = by maker: Curries / Pioneer 5/8", others 3/4".</t>
      </text>
    </comment>
    <comment ref="Q8" authorId="0" shapeId="0">
      <text>
        <t>Masonry: type the rough opening and the faces are worked out (like the 2.0 tag). Blank = 2" faces.</t>
      </text>
    </comment>
    <comment ref="B10" authorId="0" shapeId="0">
      <text>
        <t>Custom locations, inches from the top inside of the frame to the TOP of each hinge; E = strike centre line. Pick CUSTOM in LOCATIONS or just type them.</t>
      </text>
    </comment>
  </commentList>
</comments>
</file>

<file path=xl/comments/comment3.xml><?xml version="1.0" encoding="utf-8"?>
<comments xmlns="http://schemas.openxmlformats.org/spreadsheetml/2006/main">
  <authors>
    <author>FC</author>
  </authors>
  <commentList>
    <comment ref="N8" authorId="0" shapeId="0">
      <text>
        <t>Blank = the default on the Setup sheet (1/16 hinge, 3/16 lock, 1/8 top).</t>
      </text>
    </comment>
    <comment ref="P8" authorId="0" shapeId="0">
      <text>
        <t>Blank = by maker: Curries / Pioneer 5/8", others 3/4".</t>
      </text>
    </comment>
    <comment ref="Q8" authorId="0" shapeId="0">
      <text>
        <t>Masonry: type the rough opening and the faces are worked out (like the 2.0 tag). Blank = 2" faces.</t>
      </text>
    </comment>
    <comment ref="B10" authorId="0" shapeId="0">
      <text>
        <t>Custom locations, inches from the top inside of the frame to the TOP of each hinge; E = strike centre line. Pick CUSTOM in LOCATIONS or just type them.</t>
      </text>
    </comment>
  </commentList>
</comments>
</file>

<file path=xl/comments/comment4.xml><?xml version="1.0" encoding="utf-8"?>
<comments xmlns="http://schemas.openxmlformats.org/spreadsheetml/2006/main">
  <authors>
    <author>FC</author>
  </authors>
  <commentList>
    <comment ref="N8" authorId="0" shapeId="0">
      <text>
        <t>Blank = the default on the Setup sheet (1/16 hinge, 3/16 lock, 1/8 top).</t>
      </text>
    </comment>
    <comment ref="P8" authorId="0" shapeId="0">
      <text>
        <t>Blank = by maker: Curries / Pioneer 5/8", others 3/4".</t>
      </text>
    </comment>
    <comment ref="Q8" authorId="0" shapeId="0">
      <text>
        <t>Masonry: type the rough opening and the faces are worked out (like the 2.0 tag). Blank = 2" faces.</t>
      </text>
    </comment>
    <comment ref="B10" authorId="0" shapeId="0">
      <text>
        <t>Custom locations, inches from the top inside of the frame to the TOP of each hinge; E = strike centre line. Pick CUSTOM in LOCATIONS or just type them.</t>
      </text>
    </comment>
  </commentList>
</comments>
</file>

<file path=xl/comments/comment5.xml><?xml version="1.0" encoding="utf-8"?>
<comments xmlns="http://schemas.openxmlformats.org/spreadsheetml/2006/main">
  <authors>
    <author>FC</author>
  </authors>
  <commentList>
    <comment ref="N8" authorId="0" shapeId="0">
      <text>
        <t>Blank = the default on the Setup sheet (1/16 hinge, 3/16 lock, 1/8 top).</t>
      </text>
    </comment>
    <comment ref="P8" authorId="0" shapeId="0">
      <text>
        <t>Blank = by maker: Curries / Pioneer 5/8", others 3/4".</t>
      </text>
    </comment>
    <comment ref="Q8" authorId="0" shapeId="0">
      <text>
        <t>Masonry: type the rough opening and the faces are worked out (like the 2.0 tag). Blank = 2" faces.</t>
      </text>
    </comment>
    <comment ref="B10" authorId="0" shapeId="0">
      <text>
        <t>Custom locations, inches from the top inside of the frame to the TOP of each hinge; E = strike centre line. Pick CUSTOM in LOCATIONS or just type them.</t>
      </text>
    </comment>
  </commentList>
</comments>
</file>

<file path=xl/comments/comment6.xml><?xml version="1.0" encoding="utf-8"?>
<comments xmlns="http://schemas.openxmlformats.org/spreadsheetml/2006/main">
  <authors>
    <author>FC</author>
  </authors>
  <commentList>
    <comment ref="N8" authorId="0" shapeId="0">
      <text>
        <t>Blank = the default on the Setup sheet (1/16 hinge, 3/16 lock, 1/8 top).</t>
      </text>
    </comment>
    <comment ref="P8" authorId="0" shapeId="0">
      <text>
        <t>Blank = by maker: Curries / Pioneer 5/8", others 3/4".</t>
      </text>
    </comment>
    <comment ref="Q8" authorId="0" shapeId="0">
      <text>
        <t>Masonry: type the rough opening and the faces are worked out (like the 2.0 tag). Blank = 2" faces.</t>
      </text>
    </comment>
    <comment ref="B10" authorId="0" shapeId="0">
      <text>
        <t>Custom locations, inches from the top inside of the frame to the TOP of each hinge; E = strike centre line. Pick CUSTOM in LOCATIONS or just type them.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chart" Target="/xl/charts/chart20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Relationship Type="http://schemas.openxmlformats.org/officeDocument/2006/relationships/chart" Target="/xl/charts/chart23.xml" Id="rId3"/><Relationship Type="http://schemas.openxmlformats.org/officeDocument/2006/relationships/chart" Target="/xl/charts/chart24.xml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13</row>
      <rowOff>0</rowOff>
    </from>
    <ext cx="3348000" cy="35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34</row>
      <rowOff>0</rowOff>
    </from>
    <ext cx="1655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34</row>
      <rowOff>0</rowOff>
    </from>
    <ext cx="1655999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32</row>
      <rowOff>0</rowOff>
    </from>
    <ext cx="2628000" cy="381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13</row>
      <rowOff>0</rowOff>
    </from>
    <ext cx="3348000" cy="35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34</row>
      <rowOff>0</rowOff>
    </from>
    <ext cx="1655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34</row>
      <rowOff>0</rowOff>
    </from>
    <ext cx="1655999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32</row>
      <rowOff>0</rowOff>
    </from>
    <ext cx="2628000" cy="381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13</row>
      <rowOff>0</rowOff>
    </from>
    <ext cx="3348000" cy="35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34</row>
      <rowOff>0</rowOff>
    </from>
    <ext cx="1655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34</row>
      <rowOff>0</rowOff>
    </from>
    <ext cx="1655999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32</row>
      <rowOff>0</rowOff>
    </from>
    <ext cx="2628000" cy="381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13</row>
      <rowOff>0</rowOff>
    </from>
    <ext cx="3348000" cy="35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34</row>
      <rowOff>0</rowOff>
    </from>
    <ext cx="1655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34</row>
      <rowOff>0</rowOff>
    </from>
    <ext cx="1655999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32</row>
      <rowOff>0</rowOff>
    </from>
    <ext cx="2628000" cy="381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13</row>
      <rowOff>0</rowOff>
    </from>
    <ext cx="3348000" cy="35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34</row>
      <rowOff>0</rowOff>
    </from>
    <ext cx="1655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34</row>
      <rowOff>0</rowOff>
    </from>
    <ext cx="1655999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32</row>
      <rowOff>0</rowOff>
    </from>
    <ext cx="2628000" cy="381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13</row>
      <rowOff>0</rowOff>
    </from>
    <ext cx="3348000" cy="35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34</row>
      <rowOff>0</rowOff>
    </from>
    <ext cx="1655999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34</row>
      <rowOff>0</rowOff>
    </from>
    <ext cx="1655999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32</row>
      <rowOff>0</rowOff>
    </from>
    <ext cx="2628000" cy="381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g 1'!A1" TargetMode="External" Id="rId1"/><Relationship Type="http://schemas.openxmlformats.org/officeDocument/2006/relationships/hyperlink" Target="#'Tag 2'!A1" TargetMode="External" Id="rId2"/><Relationship Type="http://schemas.openxmlformats.org/officeDocument/2006/relationships/hyperlink" Target="#'Tag 3'!A1" TargetMode="External" Id="rId3"/><Relationship Type="http://schemas.openxmlformats.org/officeDocument/2006/relationships/hyperlink" Target="#'Tag 4'!A1" TargetMode="External" Id="rId4"/><Relationship Type="http://schemas.openxmlformats.org/officeDocument/2006/relationships/hyperlink" Target="#'Tag 5'!A1" TargetMode="External" Id="rId5"/><Relationship Type="http://schemas.openxmlformats.org/officeDocument/2006/relationships/hyperlink" Target="#'Tag 6'!A1" TargetMode="External" Id="rId6"/><Relationship Type="http://schemas.openxmlformats.org/officeDocument/2006/relationships/hyperlink" Target="#'Tag List'!A1" TargetMode="External" Id="rId7"/><Relationship Type="http://schemas.openxmlformats.org/officeDocument/2006/relationships/hyperlink" Target="#'Rough Opening'!A1" TargetMode="External" Id="rId8"/><Relationship Type="http://schemas.openxmlformats.org/officeDocument/2006/relationships/hyperlink" Target="#'Bi-Pass'!A1" TargetMode="External" Id="rId9"/><Relationship Type="http://schemas.openxmlformats.org/officeDocument/2006/relationships/hyperlink" Target="#'Locations'!A1" TargetMode="External" Id="rId10"/><Relationship Type="http://schemas.openxmlformats.org/officeDocument/2006/relationships/hyperlink" Target="#'Setup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Tag 1'!A1" TargetMode="External" Id="rId1"/><Relationship Type="http://schemas.openxmlformats.org/officeDocument/2006/relationships/hyperlink" Target="#'Tag 2'!A1" TargetMode="External" Id="rId2"/><Relationship Type="http://schemas.openxmlformats.org/officeDocument/2006/relationships/hyperlink" Target="#'Tag 3'!A1" TargetMode="External" Id="rId3"/><Relationship Type="http://schemas.openxmlformats.org/officeDocument/2006/relationships/hyperlink" Target="#'Tag 4'!A1" TargetMode="External" Id="rId4"/><Relationship Type="http://schemas.openxmlformats.org/officeDocument/2006/relationships/hyperlink" Target="#'Tag 5'!A1" TargetMode="External" Id="rId5"/><Relationship Type="http://schemas.openxmlformats.org/officeDocument/2006/relationships/hyperlink" Target="#'Tag 6'!A1" TargetMode="External" Id="rId6"/></Relationships>
</file>

<file path=xl/worksheets/sheet1.xml><?xml version="1.0" encoding="utf-8"?>
<worksheet xmlns="http://schemas.openxmlformats.org/spreadsheetml/2006/main">
  <sheetPr>
    <tabColor rgb="0014304A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  <col width="30" customWidth="1" min="4" max="4"/>
    <col width="20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2">
        <f>CoName</f>
        <v/>
      </c>
      <c r="C3" s="1" t="n"/>
      <c r="D3" s="1" t="n"/>
      <c r="E3" s="1" t="n"/>
      <c r="F3" s="1" t="n"/>
      <c r="G3" s="1" t="n"/>
    </row>
    <row r="4" ht="40" customHeight="1">
      <c r="A4" s="1" t="n"/>
      <c r="B4" s="3" t="inlineStr">
        <is>
          <t>FRAME CALCULATOR 2.0</t>
        </is>
      </c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4" t="inlineStr">
        <is>
          <t>Shop tags: frame &amp; door sizes · rough openings · hinge, strike and lock locations · elevations · swing · jamb profile · order lines</t>
        </is>
      </c>
      <c r="C6" s="1" t="n"/>
      <c r="D6" s="1" t="n"/>
      <c r="E6" s="1" t="n"/>
      <c r="F6" s="1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5" customHeight="1">
      <c r="A8" s="5" t="n"/>
      <c r="B8" s="5" t="n"/>
      <c r="C8" s="5" t="n"/>
      <c r="D8" s="5" t="n"/>
      <c r="E8" s="5" t="n"/>
      <c r="F8" s="5" t="n"/>
      <c r="G8" s="5" t="n"/>
    </row>
    <row r="10">
      <c r="B10" s="6" t="inlineStr">
        <is>
          <t>GO TO</t>
        </is>
      </c>
      <c r="C10" s="7" t="n"/>
      <c r="D10" s="7" t="n"/>
      <c r="E10" s="7" t="n"/>
    </row>
    <row r="11">
      <c r="B11" s="8" t="inlineStr">
        <is>
          <t xml:space="preserve">  TAG 1</t>
        </is>
      </c>
      <c r="C11" s="9" t="inlineStr">
        <is>
          <t>A tag — type the opening on the yellow cells, print one page</t>
        </is>
      </c>
    </row>
    <row r="12">
      <c r="B12" s="8" t="inlineStr">
        <is>
          <t xml:space="preserve">  TAG 2</t>
        </is>
      </c>
      <c r="C12" s="9" t="inlineStr">
        <is>
          <t>A tag — type the opening on the yellow cells, print one page</t>
        </is>
      </c>
    </row>
    <row r="13">
      <c r="B13" s="8" t="inlineStr">
        <is>
          <t xml:space="preserve">  TAG 3</t>
        </is>
      </c>
      <c r="C13" s="9" t="inlineStr">
        <is>
          <t>A tag — type the opening on the yellow cells, print one page</t>
        </is>
      </c>
    </row>
    <row r="14">
      <c r="B14" s="8" t="inlineStr">
        <is>
          <t xml:space="preserve">  TAG 4</t>
        </is>
      </c>
      <c r="C14" s="9" t="inlineStr">
        <is>
          <t>A tag — type the opening on the yellow cells, print one page</t>
        </is>
      </c>
    </row>
    <row r="15">
      <c r="B15" s="8" t="inlineStr">
        <is>
          <t xml:space="preserve">  TAG 5</t>
        </is>
      </c>
      <c r="C15" s="9" t="inlineStr">
        <is>
          <t>A tag — type the opening on the yellow cells, print one page</t>
        </is>
      </c>
    </row>
    <row r="16">
      <c r="B16" s="8" t="inlineStr">
        <is>
          <t xml:space="preserve">  TAG 6</t>
        </is>
      </c>
      <c r="C16" s="9" t="inlineStr">
        <is>
          <t>A tag — type the opening on the yellow cells, print one page</t>
        </is>
      </c>
    </row>
    <row r="17">
      <c r="B17" s="8" t="inlineStr">
        <is>
          <t xml:space="preserve">  TAG LIST</t>
        </is>
      </c>
      <c r="C17" s="9" t="inlineStr">
        <is>
          <t>Every tag and its order lines on one page</t>
        </is>
      </c>
    </row>
    <row r="18">
      <c r="B18" s="10" t="inlineStr">
        <is>
          <t xml:space="preserve">  ROUGH OPENING</t>
        </is>
      </c>
      <c r="C18" s="9" t="inlineStr">
        <is>
          <t>Field R.O. → faces, outside size and door</t>
        </is>
      </c>
    </row>
    <row r="19">
      <c r="B19" s="10" t="inlineStr">
        <is>
          <t xml:space="preserve">  BI-PASS</t>
        </is>
      </c>
      <c r="C19" s="9" t="inlineStr">
        <is>
          <t>Bi-pass wood door sizes</t>
        </is>
      </c>
    </row>
    <row r="20">
      <c r="B20" s="10" t="inlineStr">
        <is>
          <t xml:space="preserve">  LOCATIONS</t>
        </is>
      </c>
      <c r="C20" s="9" t="inlineStr">
        <is>
          <t>Maker hinge / strike charts (editable)</t>
        </is>
      </c>
    </row>
    <row r="21">
      <c r="B21" s="10" t="inlineStr">
        <is>
          <t xml:space="preserve">  SETUP</t>
        </is>
      </c>
      <c r="C21" s="9" t="inlineStr">
        <is>
          <t>Company lines and shop rules</t>
        </is>
      </c>
    </row>
    <row r="24">
      <c r="B24" s="6" t="inlineStr">
        <is>
          <t>WHAT CHANGED FROM THE 2.0 CALCULATOR</t>
        </is>
      </c>
      <c r="C24" s="7" t="n"/>
      <c r="D24" s="7" t="n"/>
      <c r="E24" s="7" t="n"/>
    </row>
    <row r="25" ht="28" customHeight="1">
      <c r="B25" s="11" t="inlineStr">
        <is>
          <t>▸</t>
        </is>
      </c>
      <c r="C25" s="12" t="inlineStr">
        <is>
          <t>Every location comes from one maker table (Locations) instead of long nested IFs — edit a number once and every tag follows.</t>
        </is>
      </c>
    </row>
    <row r="26" ht="28" customHeight="1">
      <c r="B26" s="11" t="inlineStr">
        <is>
          <t>▸</t>
        </is>
      </c>
      <c r="C26" s="12" t="inlineStr">
        <is>
          <t>Cut-down rule kept: a 6'-5" opening takes the 6'-8" chart from the top; too short to cut is flagged NOT STOCK and re-spaced.</t>
        </is>
      </c>
    </row>
    <row r="27" ht="28" customHeight="1">
      <c r="B27" s="11" t="inlineStr">
        <is>
          <t>▸</t>
        </is>
      </c>
      <c r="C27" s="12" t="inlineStr">
        <is>
          <t>Frame and door elevations are drawn live with every hinge, strike and lock dimension; plus the swing in plan and the jamb profile to scale.</t>
        </is>
      </c>
    </row>
    <row r="28" ht="28" customHeight="1">
      <c r="B28" s="11" t="inlineStr">
        <is>
          <t>▸</t>
        </is>
      </c>
      <c r="C28" s="12" t="inlineStr">
        <is>
          <t>Masonry: type the rough opening and the faces work themselves out (face check 1–12"). Drywall R.O. uses the counter rule (+2-1/4", +1").</t>
        </is>
      </c>
    </row>
    <row r="29" ht="28" customHeight="1">
      <c r="B29" s="11" t="inlineStr">
        <is>
          <t>▸</t>
        </is>
      </c>
      <c r="C29" s="12" t="inlineStr">
        <is>
          <t>Reveals, undercut and lite location default from Setup and can be changed per tag. Pairs, deadbolts (E4), mortise locks and custom locations handled.</t>
        </is>
      </c>
    </row>
    <row r="30" ht="28" customHeight="1">
      <c r="B30" s="11" t="inlineStr">
        <is>
          <t>▸</t>
        </is>
      </c>
      <c r="C30" s="12" t="inlineStr">
        <is>
          <t>Order lines (frame and door) written in the counter format on every tag and gathered on Tag List.</t>
        </is>
      </c>
    </row>
    <row r="31" ht="28" customHeight="1">
      <c r="B31" s="11" t="inlineStr">
        <is>
          <t>▸</t>
        </is>
      </c>
      <c r="C31" s="12" t="inlineStr">
        <is>
          <t>Six tag sheets that print one page each; add more by copying a tag sheet.</t>
        </is>
      </c>
    </row>
  </sheetData>
  <mergeCells count="7">
    <mergeCell ref="C28:E28"/>
    <mergeCell ref="C27:E27"/>
    <mergeCell ref="C31:E31"/>
    <mergeCell ref="C26:E26"/>
    <mergeCell ref="C29:E29"/>
    <mergeCell ref="C30:E30"/>
    <mergeCell ref="C25:E25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44" customWidth="1" min="3" max="3"/>
    <col width="70" customWidth="1" min="4" max="4"/>
  </cols>
  <sheetData>
    <row r="1" ht="30" customHeight="1">
      <c r="A1" s="1" t="n"/>
      <c r="B1" s="13" t="inlineStr">
        <is>
          <t>SETUP</t>
        </is>
      </c>
      <c r="C1" s="1" t="n"/>
      <c r="D1" s="1" t="n"/>
      <c r="E1" s="1" t="n"/>
    </row>
    <row r="2">
      <c r="A2" s="1" t="n"/>
      <c r="B2" s="14" t="inlineStr">
        <is>
          <t>Company lines that print on every tag, and the shop rules the tags use. Change once.</t>
        </is>
      </c>
      <c r="C2" s="1" t="n"/>
      <c r="D2" s="1" t="n"/>
      <c r="E2" s="1" t="n"/>
    </row>
    <row r="3" ht="4" customHeight="1">
      <c r="A3" s="5" t="n"/>
      <c r="B3" s="5" t="n"/>
      <c r="C3" s="5" t="n"/>
      <c r="D3" s="5" t="n"/>
      <c r="E3" s="5" t="n"/>
    </row>
    <row r="5">
      <c r="B5" s="15" t="inlineStr">
        <is>
          <t>Company</t>
        </is>
      </c>
      <c r="C5" s="16" t="inlineStr">
        <is>
          <t>SCHUHAM BUILDER'S SUPPLY CO., INC.</t>
        </is>
      </c>
      <c r="D5" s="17" t="inlineStr"/>
    </row>
    <row r="6">
      <c r="B6" s="15" t="inlineStr">
        <is>
          <t>Address</t>
        </is>
      </c>
      <c r="C6" s="16" t="inlineStr">
        <is>
          <t>4640 N. ELSTON AVE. CHICAGO, IL 60630</t>
        </is>
      </c>
      <c r="D6" s="17" t="inlineStr"/>
    </row>
    <row r="7">
      <c r="B7" s="15" t="inlineStr">
        <is>
          <t>Phone</t>
        </is>
      </c>
      <c r="C7" s="16" t="inlineStr">
        <is>
          <t>PHONE: 773.286.0123</t>
        </is>
      </c>
      <c r="D7" s="17" t="inlineStr"/>
    </row>
    <row r="8">
      <c r="B8" s="15" t="inlineStr">
        <is>
          <t>Web</t>
        </is>
      </c>
      <c r="C8" s="16" t="inlineStr">
        <is>
          <t>WWW.SCHUHAM.COM</t>
        </is>
      </c>
      <c r="D8" s="17" t="inlineStr"/>
    </row>
    <row r="9">
      <c r="B9" s="15" t="inlineStr">
        <is>
          <t>Specs line 1</t>
        </is>
      </c>
      <c r="C9" s="16" t="inlineStr">
        <is>
          <t>Baron Door &amp; Frame</t>
        </is>
      </c>
      <c r="D9" s="17" t="inlineStr"/>
    </row>
    <row r="10">
      <c r="B10" s="15" t="inlineStr">
        <is>
          <t>Specs line 2</t>
        </is>
      </c>
      <c r="C10" s="16" t="inlineStr">
        <is>
          <t>Curries Hollow Metal</t>
        </is>
      </c>
      <c r="D10" s="17" t="inlineStr"/>
    </row>
    <row r="11">
      <c r="B11" s="15" t="inlineStr">
        <is>
          <t>Drywall R.O. — add to width</t>
        </is>
      </c>
      <c r="C11" s="18" t="n">
        <v>2.25</v>
      </c>
      <c r="D11" s="17" t="inlineStr">
        <is>
          <t>Opening + 2-1/4" (counter rule).</t>
        </is>
      </c>
    </row>
    <row r="12">
      <c r="B12" s="15" t="inlineStr">
        <is>
          <t>Drywall R.O. — add to height</t>
        </is>
      </c>
      <c r="C12" s="18" t="n">
        <v>1</v>
      </c>
      <c r="D12" s="17" t="inlineStr">
        <is>
          <t>Opening + 1".</t>
        </is>
      </c>
    </row>
    <row r="13">
      <c r="B13" s="15" t="inlineStr">
        <is>
          <t>Masonry tolerance each side</t>
        </is>
      </c>
      <c r="C13" s="18" t="n">
        <v>0.25</v>
      </c>
      <c r="D13" s="17" t="inlineStr">
        <is>
          <t>Used when the masonry R.O. is typed and no tolerance is given.</t>
        </is>
      </c>
    </row>
    <row r="14">
      <c r="B14" s="15" t="inlineStr">
        <is>
          <t>Reveal — hinge side</t>
        </is>
      </c>
      <c r="C14" s="18" t="n">
        <v>0.0625</v>
      </c>
      <c r="D14" s="17" t="inlineStr">
        <is>
          <t>1/16" default (edit on a tag to override).</t>
        </is>
      </c>
    </row>
    <row r="15">
      <c r="B15" s="15" t="inlineStr">
        <is>
          <t>Reveal — lock side / meeting edge</t>
        </is>
      </c>
      <c r="C15" s="18" t="n">
        <v>0.1875</v>
      </c>
      <c r="D15" s="17" t="inlineStr">
        <is>
          <t>3/16" default.</t>
        </is>
      </c>
    </row>
    <row r="16">
      <c r="B16" s="15" t="inlineStr">
        <is>
          <t>Reveal — top</t>
        </is>
      </c>
      <c r="C16" s="18" t="n">
        <v>0.125</v>
      </c>
      <c r="D16" s="17" t="inlineStr">
        <is>
          <t>1/8" default.</t>
        </is>
      </c>
    </row>
    <row r="17">
      <c r="B17" s="15" t="inlineStr">
        <is>
          <t>Undercut — Curries / Pioneer</t>
        </is>
      </c>
      <c r="C17" s="18" t="n">
        <v>0.625</v>
      </c>
      <c r="D17" s="17" t="inlineStr">
        <is>
          <t>5/8".</t>
        </is>
      </c>
    </row>
    <row r="18">
      <c r="B18" s="15" t="inlineStr">
        <is>
          <t>Undercut — other makers</t>
        </is>
      </c>
      <c r="C18" s="18" t="n">
        <v>0.75</v>
      </c>
      <c r="D18" s="17" t="inlineStr">
        <is>
          <t>3/4".</t>
        </is>
      </c>
    </row>
    <row r="19">
      <c r="B19" s="15" t="inlineStr">
        <is>
          <t>Lite top from top of door</t>
        </is>
      </c>
      <c r="C19" s="18" t="n">
        <v>7</v>
      </c>
      <c r="D19" s="17" t="inlineStr">
        <is>
          <t>Full and vision lites, unless typed on the tag.</t>
        </is>
      </c>
    </row>
    <row r="20">
      <c r="B20" s="15" t="inlineStr">
        <is>
          <t>Narrow lite from lock edge</t>
        </is>
      </c>
      <c r="C20" s="18" t="n">
        <v>5.5</v>
      </c>
      <c r="D20" s="17" t="inlineStr">
        <is>
          <t>Lites 10" wide or less sit this far off the lock edge.</t>
        </is>
      </c>
    </row>
    <row r="21">
      <c r="B21" s="15" t="inlineStr">
        <is>
          <t>Deadbolt centre line AFF</t>
        </is>
      </c>
      <c r="C21" s="18" t="n">
        <v>48</v>
      </c>
      <c r="D21" s="17" t="inlineStr">
        <is>
          <t>Strike 2 / lock 2 (E4) from the floor.</t>
        </is>
      </c>
    </row>
    <row r="22">
      <c r="B22" s="15" t="inlineStr">
        <is>
          <t>ANSI lock centre line AFF</t>
        </is>
      </c>
      <c r="C22" s="18" t="n">
        <v>40.3125</v>
      </c>
      <c r="D22" s="17" t="inlineStr">
        <is>
          <t>40-5/16" when no maker chart is used.</t>
        </is>
      </c>
    </row>
    <row r="23">
      <c r="B23" s="15" t="inlineStr">
        <is>
          <t>Min. rail under bottom hinge</t>
        </is>
      </c>
      <c r="C23" s="18" t="n">
        <v>2.125</v>
      </c>
      <c r="D23" s="17" t="inlineStr">
        <is>
          <t>A stock door can be cut down while 2-1/8" stays under the bottom hinge.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7F00"/>
    <outlinePr summaryBelow="1" summaryRight="1"/>
    <pageSetUpPr fitToPage="1"/>
  </sheetPr>
  <dimension ref="A1:Z6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</cols>
  <sheetData>
    <row r="1" ht="26" customHeight="1">
      <c r="A1" s="1" t="n"/>
      <c r="B1" s="19">
        <f>CoName</f>
        <v/>
      </c>
      <c r="O1" s="1" t="n"/>
      <c r="P1" s="1" t="n"/>
      <c r="Q1" s="1" t="n"/>
      <c r="R1" s="20">
        <f>"TAG "&amp;IF('Tag 1'!$S$4="","1",'Tag 1'!$S$4)&amp;"   ·   QTY "&amp;N('Tag 1'!$W$4)</f>
        <v/>
      </c>
      <c r="Z1" s="1" t="n"/>
    </row>
    <row r="2" ht="16" customHeight="1">
      <c r="A2" s="1" t="n"/>
      <c r="B2" s="21">
        <f>"FRAME CALCULATOR  ·  "&amp;CoSpec1&amp;"  ·  "&amp;CoSpec2</f>
        <v/>
      </c>
      <c r="O2" s="1" t="n"/>
      <c r="P2" s="1" t="n"/>
      <c r="Q2" s="1" t="n"/>
      <c r="R2" s="22">
        <f>"Printed "&amp;TEXT(NOW(),"mm/dd/yyyy hh:mm")</f>
        <v/>
      </c>
      <c r="Z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2" customHeight="1">
      <c r="B4" s="23" t="inlineStr">
        <is>
          <t>CUSTOMER</t>
        </is>
      </c>
      <c r="C4" s="24" t="n"/>
      <c r="D4" s="25" t="n"/>
      <c r="E4" s="25" t="n"/>
      <c r="F4" s="25" t="n"/>
      <c r="G4" s="25" t="n"/>
      <c r="H4" s="25" t="n"/>
      <c r="I4" s="25" t="n"/>
      <c r="J4" s="25" t="n"/>
      <c r="K4" s="23" t="inlineStr">
        <is>
          <t>P.O./JOB</t>
        </is>
      </c>
      <c r="L4" s="24" t="n"/>
      <c r="M4" s="25" t="n"/>
      <c r="N4" s="25" t="n"/>
      <c r="O4" s="25" t="n"/>
      <c r="P4" s="25" t="n"/>
      <c r="Q4" s="25" t="n"/>
      <c r="R4" s="23" t="inlineStr">
        <is>
          <t>TAG #</t>
        </is>
      </c>
      <c r="S4" s="26" t="inlineStr">
        <is>
          <t>1</t>
        </is>
      </c>
      <c r="T4" s="25" t="n"/>
      <c r="V4" s="23" t="inlineStr">
        <is>
          <t>QTY</t>
        </is>
      </c>
      <c r="W4" s="26" t="n">
        <v>1</v>
      </c>
    </row>
    <row r="6" ht="13" customHeight="1">
      <c r="B6" s="27" t="inlineStr">
        <is>
          <t>JAMB DEPTH</t>
        </is>
      </c>
      <c r="C6" s="7" t="n"/>
      <c r="D6" s="27" t="inlineStr">
        <is>
          <t>FIRE RATING</t>
        </is>
      </c>
      <c r="E6" s="7" t="n"/>
      <c r="F6" s="27" t="inlineStr">
        <is>
          <t>W FT</t>
        </is>
      </c>
      <c r="G6" s="27" t="inlineStr">
        <is>
          <t>W IN</t>
        </is>
      </c>
      <c r="H6" s="27" t="inlineStr">
        <is>
          <t>H FT</t>
        </is>
      </c>
      <c r="I6" s="27" t="inlineStr">
        <is>
          <t>H IN</t>
        </is>
      </c>
      <c r="J6" s="27" t="inlineStr">
        <is>
          <t>PAIR</t>
        </is>
      </c>
      <c r="K6" s="27" t="inlineStr">
        <is>
          <t>CONST. STYLE</t>
        </is>
      </c>
      <c r="L6" s="7" t="n"/>
      <c r="M6" s="27" t="inlineStr">
        <is>
          <t>SWING</t>
        </is>
      </c>
      <c r="N6" s="27" t="inlineStr">
        <is>
          <t>ANCHOR</t>
        </is>
      </c>
      <c r="O6" s="7" t="n"/>
      <c r="P6" s="27" t="inlineStr">
        <is>
          <t>HINGE</t>
        </is>
      </c>
      <c r="Q6" s="7" t="n"/>
      <c r="R6" s="27" t="inlineStr">
        <is>
          <t>STRIKE 1</t>
        </is>
      </c>
      <c r="S6" s="7" t="n"/>
      <c r="T6" s="27" t="inlineStr">
        <is>
          <t>STRIKE 2</t>
        </is>
      </c>
      <c r="U6" s="27" t="inlineStr">
        <is>
          <t>LOCK 1</t>
        </is>
      </c>
      <c r="V6" s="7" t="n"/>
      <c r="W6" s="27" t="inlineStr">
        <is>
          <t>LOCK 2</t>
        </is>
      </c>
      <c r="X6" s="27" t="inlineStr">
        <is>
          <t>LOCATIONS</t>
        </is>
      </c>
      <c r="Y6" s="7" t="n"/>
    </row>
    <row r="7" ht="20" customHeight="1">
      <c r="B7" s="28" t="n">
        <v>718</v>
      </c>
      <c r="C7" s="29" t="n"/>
      <c r="D7" s="28" t="inlineStr">
        <is>
          <t>90 MIN</t>
        </is>
      </c>
      <c r="E7" s="29" t="n"/>
      <c r="F7" s="28" t="n">
        <v>3</v>
      </c>
      <c r="G7" s="28" t="n">
        <v>0</v>
      </c>
      <c r="H7" s="28" t="n">
        <v>6</v>
      </c>
      <c r="I7" s="28" t="n">
        <v>5</v>
      </c>
      <c r="J7" s="28" t="n"/>
      <c r="K7" s="28" t="inlineStr">
        <is>
          <t>KD-3PC</t>
        </is>
      </c>
      <c r="L7" s="29" t="n"/>
      <c r="M7" s="28" t="inlineStr">
        <is>
          <t>LH</t>
        </is>
      </c>
      <c r="N7" s="30" t="inlineStr">
        <is>
          <t>COMP</t>
        </is>
      </c>
      <c r="O7" s="29" t="n"/>
      <c r="P7" s="28" t="inlineStr">
        <is>
          <t>U453</t>
        </is>
      </c>
      <c r="Q7" s="29" t="n"/>
      <c r="R7" s="28" t="inlineStr">
        <is>
          <t>E1</t>
        </is>
      </c>
      <c r="S7" s="29" t="n"/>
      <c r="T7" s="28" t="n"/>
      <c r="U7" s="28" t="inlineStr">
        <is>
          <t>G2G2</t>
        </is>
      </c>
      <c r="V7" s="29" t="n"/>
      <c r="W7" s="28" t="n"/>
      <c r="X7" s="30" t="inlineStr">
        <is>
          <t>STEELCRAFT</t>
        </is>
      </c>
      <c r="Y7" s="29" t="n"/>
    </row>
    <row r="8" ht="13" customHeight="1">
      <c r="B8" s="31" t="inlineStr">
        <is>
          <t>ELEVATION</t>
        </is>
      </c>
      <c r="C8" s="32" t="n"/>
      <c r="D8" s="32" t="n"/>
      <c r="E8" s="31" t="inlineStr">
        <is>
          <t>WALL</t>
        </is>
      </c>
      <c r="F8" s="32" t="n"/>
      <c r="G8" s="31" t="inlineStr">
        <is>
          <t>FRAME GA</t>
        </is>
      </c>
      <c r="H8" s="31" t="inlineStr">
        <is>
          <t>DOOR</t>
        </is>
      </c>
      <c r="I8" s="32" t="n"/>
      <c r="J8" s="31" t="inlineStr">
        <is>
          <t>DOOR GA</t>
        </is>
      </c>
      <c r="K8" s="31" t="inlineStr">
        <is>
          <t>HEAD FACE</t>
        </is>
      </c>
      <c r="L8" s="31" t="inlineStr">
        <is>
          <t>JAMB FACE</t>
        </is>
      </c>
      <c r="M8" s="31" t="inlineStr">
        <is>
          <t>REV HINGE</t>
        </is>
      </c>
      <c r="N8" s="31" t="inlineStr">
        <is>
          <t>REV LOCK</t>
        </is>
      </c>
      <c r="O8" s="31" t="inlineStr">
        <is>
          <t>REV TOP</t>
        </is>
      </c>
      <c r="P8" s="31" t="inlineStr">
        <is>
          <t>UNDERCUT</t>
        </is>
      </c>
      <c r="Q8" s="31" t="inlineStr">
        <is>
          <t>MASONRY R.O. W</t>
        </is>
      </c>
      <c r="R8" s="32" t="n"/>
      <c r="S8" s="31" t="inlineStr">
        <is>
          <t>MASONRY R.O. H</t>
        </is>
      </c>
      <c r="T8" s="32" t="n"/>
      <c r="U8" s="31" t="inlineStr">
        <is>
          <t>TOL. EA SIDE</t>
        </is>
      </c>
      <c r="V8" s="31" t="inlineStr">
        <is>
          <t>LITE W</t>
        </is>
      </c>
      <c r="W8" s="31" t="inlineStr">
        <is>
          <t>LITE H</t>
        </is>
      </c>
      <c r="X8" s="31" t="inlineStr">
        <is>
          <t>LITE TOP</t>
        </is>
      </c>
      <c r="Y8" s="32" t="n"/>
    </row>
    <row r="9" ht="20" customHeight="1">
      <c r="B9" s="30" t="inlineStr">
        <is>
          <t>FLUSH</t>
        </is>
      </c>
      <c r="C9" s="29" t="n"/>
      <c r="D9" s="29" t="n"/>
      <c r="E9" s="28" t="inlineStr">
        <is>
          <t>DRYWALL</t>
        </is>
      </c>
      <c r="F9" s="29" t="n"/>
      <c r="G9" s="28" t="n">
        <v>16</v>
      </c>
      <c r="H9" s="28" t="inlineStr">
        <is>
          <t>WOOD</t>
        </is>
      </c>
      <c r="I9" s="29" t="n"/>
      <c r="J9" s="28" t="n">
        <v>18</v>
      </c>
      <c r="K9" s="28" t="n">
        <v>2</v>
      </c>
      <c r="L9" s="28" t="n">
        <v>2</v>
      </c>
      <c r="M9" s="33" t="n"/>
      <c r="N9" s="33" t="n"/>
      <c r="O9" s="33" t="n"/>
      <c r="P9" s="33" t="n"/>
      <c r="Q9" s="33" t="n"/>
      <c r="R9" s="29" t="n"/>
      <c r="S9" s="33" t="n"/>
      <c r="T9" s="29" t="n"/>
      <c r="U9" s="33" t="n"/>
      <c r="V9" s="28" t="n"/>
      <c r="W9" s="28" t="n"/>
      <c r="X9" s="33" t="n"/>
      <c r="Y9" s="29" t="n"/>
    </row>
    <row r="10" ht="13" customHeight="1">
      <c r="B10" s="34" t="inlineStr">
        <is>
          <t>CUSTOM A</t>
        </is>
      </c>
      <c r="C10" s="35" t="n"/>
      <c r="D10" s="34" t="inlineStr">
        <is>
          <t>CUSTOM B</t>
        </is>
      </c>
      <c r="E10" s="35" t="n"/>
      <c r="F10" s="34" t="inlineStr">
        <is>
          <t>CUSTOM C</t>
        </is>
      </c>
      <c r="G10" s="35" t="n"/>
      <c r="H10" s="34" t="inlineStr">
        <is>
          <t>CUSTOM D</t>
        </is>
      </c>
      <c r="I10" s="35" t="n"/>
      <c r="J10" s="34" t="inlineStr">
        <is>
          <t>CUSTOM E</t>
        </is>
      </c>
      <c r="K10" s="35" t="n"/>
      <c r="L10" s="34" t="inlineStr">
        <is>
          <t>HARDWARE NOTES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</row>
    <row r="11" ht="20" customHeight="1">
      <c r="B11" s="33" t="n"/>
      <c r="C11" s="29" t="n"/>
      <c r="D11" s="33" t="n"/>
      <c r="E11" s="29" t="n"/>
      <c r="F11" s="33" t="n"/>
      <c r="G11" s="29" t="n"/>
      <c r="H11" s="33" t="n"/>
      <c r="I11" s="29" t="n"/>
      <c r="J11" s="33" t="n"/>
      <c r="K11" s="29" t="n"/>
      <c r="L11" s="36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</row>
    <row r="13">
      <c r="B13" s="37" t="inlineStr">
        <is>
          <t>FRAME SIZE INFO</t>
        </is>
      </c>
      <c r="C13" s="38" t="n"/>
      <c r="D13" s="38" t="n"/>
      <c r="E13" s="38" t="n"/>
      <c r="F13" s="38" t="n"/>
      <c r="G13" s="38" t="n"/>
      <c r="H13" s="39" t="n"/>
      <c r="I13" s="40" t="inlineStr">
        <is>
          <t>FRAME ELEVATION — locations from the top of the frame</t>
        </is>
      </c>
      <c r="J13" s="38" t="n"/>
      <c r="K13" s="38" t="n"/>
      <c r="L13" s="38" t="n"/>
      <c r="M13" s="38" t="n"/>
      <c r="N13" s="38" t="n"/>
      <c r="O13" s="38" t="n"/>
      <c r="P13" s="38" t="n"/>
      <c r="Q13" s="38" t="n"/>
      <c r="R13" s="39" t="n"/>
      <c r="S13" s="40" t="inlineStr">
        <is>
          <t>DOOR SIZE INFO</t>
        </is>
      </c>
      <c r="T13" s="38" t="n"/>
      <c r="U13" s="38" t="n"/>
      <c r="V13" s="38" t="n"/>
      <c r="W13" s="38" t="n"/>
      <c r="X13" s="38" t="n"/>
      <c r="Y13" s="41" t="n"/>
    </row>
    <row r="14">
      <c r="B14" s="42" t="inlineStr">
        <is>
          <t>INSIDE WIDTH</t>
        </is>
      </c>
      <c r="C14" s="43" t="n"/>
      <c r="D14" s="43" t="n"/>
      <c r="E14" s="44">
        <f>Calc!$B$1</f>
        <v/>
      </c>
      <c r="F14" s="45" t="n"/>
      <c r="G14" s="45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 t="inlineStr">
        <is>
          <t>OPENING WIDTH</t>
        </is>
      </c>
      <c r="T14" s="43" t="n"/>
      <c r="U14" s="43" t="n"/>
      <c r="V14" s="48">
        <f>Calc!$B$1</f>
        <v/>
      </c>
      <c r="W14" s="45" t="n"/>
      <c r="X14" s="45" t="n"/>
      <c r="Y14" s="49" t="n"/>
    </row>
    <row r="15">
      <c r="B15" s="42" t="inlineStr">
        <is>
          <t>INSIDE HEIGHT</t>
        </is>
      </c>
      <c r="C15" s="43" t="n"/>
      <c r="D15" s="43" t="n"/>
      <c r="E15" s="44">
        <f>Calc!$B$2</f>
        <v/>
      </c>
      <c r="F15" s="45" t="n"/>
      <c r="G15" s="45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7" t="inlineStr">
        <is>
          <t>OPENING HEIGHT</t>
        </is>
      </c>
      <c r="T15" s="43" t="n"/>
      <c r="U15" s="43" t="n"/>
      <c r="V15" s="48">
        <f>Calc!$B$2</f>
        <v/>
      </c>
      <c r="W15" s="45" t="n"/>
      <c r="X15" s="45" t="n"/>
      <c r="Y15" s="49" t="n"/>
    </row>
    <row r="16">
      <c r="B16" s="42" t="inlineStr">
        <is>
          <t>OUTSIDE WIDTH</t>
        </is>
      </c>
      <c r="C16" s="43" t="n"/>
      <c r="D16" s="43" t="n"/>
      <c r="E16" s="44">
        <f>Calc!$B$13</f>
        <v/>
      </c>
      <c r="F16" s="45" t="n"/>
      <c r="G16" s="45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 t="inlineStr">
        <is>
          <t>ACTUAL WIDTH</t>
        </is>
      </c>
      <c r="T16" s="43" t="n"/>
      <c r="U16" s="43" t="n"/>
      <c r="V16" s="44">
        <f>Calc!$B$24</f>
        <v/>
      </c>
      <c r="W16" s="45" t="n"/>
      <c r="X16" s="45" t="n"/>
      <c r="Y16" s="49" t="n"/>
    </row>
    <row r="17">
      <c r="B17" s="42" t="inlineStr">
        <is>
          <t>OUTSIDE HEIGHT</t>
        </is>
      </c>
      <c r="C17" s="43" t="n"/>
      <c r="D17" s="43" t="n"/>
      <c r="E17" s="44">
        <f>Calc!$B$14</f>
        <v/>
      </c>
      <c r="F17" s="45" t="n"/>
      <c r="G17" s="45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 t="inlineStr">
        <is>
          <t>ACTUAL HEIGHT</t>
        </is>
      </c>
      <c r="T17" s="43" t="n"/>
      <c r="U17" s="43" t="n"/>
      <c r="V17" s="44">
        <f>Calc!$B$25</f>
        <v/>
      </c>
      <c r="W17" s="45" t="n"/>
      <c r="X17" s="45" t="n"/>
      <c r="Y17" s="49" t="n"/>
    </row>
    <row r="18">
      <c r="B18" s="42" t="inlineStr">
        <is>
          <t>HEADER FACE</t>
        </is>
      </c>
      <c r="C18" s="43" t="n"/>
      <c r="D18" s="43" t="n"/>
      <c r="E18" s="48">
        <f>Calc!$B$12</f>
        <v/>
      </c>
      <c r="F18" s="45" t="n"/>
      <c r="G18" s="45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 t="inlineStr">
        <is>
          <t>REVEAL HINGE / LOCK / TOP</t>
        </is>
      </c>
      <c r="T18" s="43" t="n"/>
      <c r="U18" s="43" t="n"/>
      <c r="V18" s="50">
        <f>TRIM(TEXT(Calc!$B$20,"# ?/??"))&amp;CHAR(34)&amp;" · "&amp;TRIM(TEXT(Calc!$B$21,"# ?/??"))&amp;CHAR(34)&amp;" · "&amp;TRIM(TEXT(Calc!$B$22,"# ?/??"))&amp;CHAR(34)</f>
        <v/>
      </c>
      <c r="W18" s="45" t="n"/>
      <c r="X18" s="45" t="n"/>
      <c r="Y18" s="49" t="n"/>
    </row>
    <row r="19">
      <c r="B19" s="42" t="inlineStr">
        <is>
          <t>HINGE &amp; STRIKE FACE</t>
        </is>
      </c>
      <c r="C19" s="43" t="n"/>
      <c r="D19" s="43" t="n"/>
      <c r="E19" s="48">
        <f>Calc!$B$11</f>
        <v/>
      </c>
      <c r="F19" s="45" t="n"/>
      <c r="G19" s="45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 t="inlineStr">
        <is>
          <t>UNDERCUT</t>
        </is>
      </c>
      <c r="T19" s="43" t="n"/>
      <c r="U19" s="43" t="n"/>
      <c r="V19" s="48">
        <f>Calc!$B$23</f>
        <v/>
      </c>
      <c r="W19" s="45" t="n"/>
      <c r="X19" s="45" t="n"/>
      <c r="Y19" s="49" t="n"/>
    </row>
    <row r="20">
      <c r="B20" s="42" t="inlineStr">
        <is>
          <t>JAMB DEPTH</t>
        </is>
      </c>
      <c r="C20" s="43" t="n"/>
      <c r="D20" s="43" t="n"/>
      <c r="E20" s="50">
        <f>Calc!$B$7</f>
        <v/>
      </c>
      <c r="F20" s="45" t="n"/>
      <c r="G20" s="45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 t="inlineStr">
        <is>
          <t>LITE KIT</t>
        </is>
      </c>
      <c r="T20" s="43" t="n"/>
      <c r="U20" s="43" t="n"/>
      <c r="V20" s="50">
        <f>IF(Calc!$B$59,Calc!$B$86&amp;"  ·  top "&amp;TRIM(TEXT(Calc!$B$58,"# ?/??"))&amp;CHAR(34),"FLUSH")</f>
        <v/>
      </c>
      <c r="W20" s="45" t="n"/>
      <c r="X20" s="45" t="n"/>
      <c r="Y20" s="49" t="n"/>
    </row>
    <row r="21">
      <c r="B21" s="42" t="inlineStr">
        <is>
          <t>FITS WALL (throat)</t>
        </is>
      </c>
      <c r="C21" s="43" t="n"/>
      <c r="D21" s="43" t="n"/>
      <c r="E21" s="48">
        <f>Calc!$B$15</f>
        <v/>
      </c>
      <c r="F21" s="45" t="n"/>
      <c r="G21" s="45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51" t="n"/>
    </row>
    <row r="22">
      <c r="B22" s="52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53" t="inlineStr">
        <is>
          <t>HARDWARE LOCATIONS — DOOR (from top of door)</t>
        </is>
      </c>
      <c r="T22" s="54" t="n"/>
      <c r="U22" s="54" t="n"/>
      <c r="V22" s="54" t="n"/>
      <c r="W22" s="54" t="n"/>
      <c r="X22" s="54" t="n"/>
      <c r="Y22" s="55" t="n"/>
    </row>
    <row r="23">
      <c r="B23" s="56" t="inlineStr">
        <is>
          <t>ROUGH OPENING</t>
        </is>
      </c>
      <c r="C23" s="57" t="n"/>
      <c r="D23" s="57" t="n"/>
      <c r="E23" s="57" t="n"/>
      <c r="F23" s="57" t="n"/>
      <c r="G23" s="57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7" t="inlineStr">
        <is>
          <t>HINGE 1</t>
        </is>
      </c>
      <c r="T23" s="43" t="n"/>
      <c r="U23" s="43" t="n"/>
      <c r="V23" s="44">
        <f>IF(ISNUMBER(Calc!$B$40),Calc!$B$40-Calc!$B$22,IF(Calc!$B$26=0,"","NONE"))</f>
        <v/>
      </c>
      <c r="W23" s="45" t="n"/>
      <c r="X23" s="45" t="n"/>
      <c r="Y23" s="49" t="n"/>
    </row>
    <row r="24">
      <c r="B24" s="42" t="inlineStr">
        <is>
          <t>DRYWALL W x H</t>
        </is>
      </c>
      <c r="C24" s="43" t="n"/>
      <c r="D24" s="43" t="n"/>
      <c r="E24" s="58">
        <f>TRIM(TEXT(Calc!$B$16,"# ?/??"))&amp;CHAR(34)&amp;" x "&amp;TRIM(TEXT(Calc!$B$17,"# ?/??"))&amp;CHAR(34)</f>
        <v/>
      </c>
      <c r="F24" s="45" t="n"/>
      <c r="G24" s="45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7" t="inlineStr">
        <is>
          <t>HINGE 2</t>
        </is>
      </c>
      <c r="T24" s="43" t="n"/>
      <c r="U24" s="43" t="n"/>
      <c r="V24" s="44">
        <f>IF(ISNUMBER(Calc!$B$41),Calc!$B$41-Calc!$B$22,IF(Calc!$B$26=0,"","NONE"))</f>
        <v/>
      </c>
      <c r="W24" s="45" t="n"/>
      <c r="X24" s="45" t="n"/>
      <c r="Y24" s="49" t="n"/>
    </row>
    <row r="25">
      <c r="B25" s="42" t="inlineStr">
        <is>
          <t>MASONRY W x H</t>
        </is>
      </c>
      <c r="C25" s="43" t="n"/>
      <c r="D25" s="43" t="n"/>
      <c r="E25" s="58">
        <f>TRIM(TEXT(Calc!$B$18,"# ?/??"))&amp;CHAR(34)&amp;" x "&amp;TRIM(TEXT(Calc!$B$19,"# ?/??"))&amp;CHAR(34)</f>
        <v/>
      </c>
      <c r="F25" s="45" t="n"/>
      <c r="G25" s="45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7" t="inlineStr">
        <is>
          <t>HINGE 3</t>
        </is>
      </c>
      <c r="T25" s="43" t="n"/>
      <c r="U25" s="43" t="n"/>
      <c r="V25" s="44">
        <f>IF(ISNUMBER(Calc!$B$42),Calc!$B$42-Calc!$B$22,IF(Calc!$B$26=0,"","NONE"))</f>
        <v/>
      </c>
      <c r="W25" s="45" t="n"/>
      <c r="X25" s="45" t="n"/>
      <c r="Y25" s="49" t="n"/>
    </row>
    <row r="26">
      <c r="B26" s="42" t="inlineStr">
        <is>
          <t>FACE CHECK</t>
        </is>
      </c>
      <c r="C26" s="43" t="n"/>
      <c r="D26" s="43" t="n"/>
      <c r="E26" s="50">
        <f>IF(OR(Calc!$B$11&lt;1,Calc!$B$11&gt;12,Calc!$B$12&lt;1,Calc!$B$12&gt;12),"ERROR — face out of range","OK")</f>
        <v/>
      </c>
      <c r="F26" s="45" t="n"/>
      <c r="G26" s="45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7" t="inlineStr">
        <is>
          <t>HINGE 4</t>
        </is>
      </c>
      <c r="T26" s="43" t="n"/>
      <c r="U26" s="43" t="n"/>
      <c r="V26" s="44">
        <f>IF(ISNUMBER(Calc!$B$43),Calc!$B$43-Calc!$B$22,IF(Calc!$B$26=0,"","NONE"))</f>
        <v/>
      </c>
      <c r="W26" s="45" t="n"/>
      <c r="X26" s="45" t="n"/>
      <c r="Y26" s="49" t="n"/>
    </row>
    <row r="27">
      <c r="B27" s="52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7" t="inlineStr">
        <is>
          <t>LOCK 1 CYL CL</t>
        </is>
      </c>
      <c r="T27" s="43" t="n"/>
      <c r="U27" s="43" t="n"/>
      <c r="V27" s="59">
        <f>Calc!$B$49</f>
        <v/>
      </c>
      <c r="W27" s="45" t="n"/>
      <c r="X27" s="45" t="n"/>
      <c r="Y27" s="49" t="n"/>
    </row>
    <row r="28">
      <c r="B28" s="60" t="inlineStr">
        <is>
          <t>HARDWARE LOCATIONS — FRAME</t>
        </is>
      </c>
      <c r="C28" s="54" t="n"/>
      <c r="D28" s="54" t="n"/>
      <c r="E28" s="54" t="n"/>
      <c r="F28" s="54" t="n"/>
      <c r="G28" s="54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7" t="inlineStr">
        <is>
          <t>LOCK 2 CYL CL</t>
        </is>
      </c>
      <c r="T28" s="43" t="n"/>
      <c r="U28" s="43" t="n"/>
      <c r="V28" s="59">
        <f>Calc!$B$50</f>
        <v/>
      </c>
      <c r="W28" s="45" t="n"/>
      <c r="X28" s="45" t="n"/>
      <c r="Y28" s="49" t="n"/>
    </row>
    <row r="29">
      <c r="B29" s="42" t="inlineStr">
        <is>
          <t>MANUFACTURER</t>
        </is>
      </c>
      <c r="C29" s="43" t="n"/>
      <c r="D29" s="43" t="n"/>
      <c r="E29" s="61">
        <f>'Tag 1'!$X$7</f>
        <v/>
      </c>
      <c r="F29" s="45" t="n"/>
      <c r="G29" s="45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7" t="inlineStr">
        <is>
          <t>TOP MORTISE LOCK</t>
        </is>
      </c>
      <c r="T29" s="43" t="n"/>
      <c r="U29" s="43" t="n"/>
      <c r="V29" s="48">
        <f>Calc!$B$51</f>
        <v/>
      </c>
      <c r="W29" s="45" t="n"/>
      <c r="X29" s="45" t="n"/>
      <c r="Y29" s="49" t="n"/>
    </row>
    <row r="30">
      <c r="B30" s="42" t="inlineStr">
        <is>
          <t>CHART</t>
        </is>
      </c>
      <c r="C30" s="43" t="n"/>
      <c r="D30" s="43" t="n"/>
      <c r="E30" s="62">
        <f>IF(Calc!$B$29,INT(ROUND(Calc!$B$28,4)/12)&amp;"'-"&amp;IF(ROUND(MOD(Calc!$B$28,12),4)=0,"0",TRIM(TEXT(MOD(Calc!$B$28,12),"# ?/??")))&amp;CHAR(34)&amp;IF(Calc!$B$36," cut down",IF(Calc!$B$38," — NOT STOCK","")),IF(Calc!$B$27,"CUSTOM","ANSI/SDI"))</f>
        <v/>
      </c>
      <c r="F30" s="45" t="n"/>
      <c r="G30" s="45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7" t="inlineStr">
        <is>
          <t>MORTISE TOP TO CL</t>
        </is>
      </c>
      <c r="T30" s="43" t="n"/>
      <c r="U30" s="43" t="n"/>
      <c r="V30" s="48">
        <f>Calc!$B$52</f>
        <v/>
      </c>
      <c r="W30" s="45" t="n"/>
      <c r="X30" s="45" t="n"/>
      <c r="Y30" s="49" t="n"/>
    </row>
    <row r="31">
      <c r="B31" s="42" t="inlineStr">
        <is>
          <t>HINGE 1</t>
        </is>
      </c>
      <c r="C31" s="43" t="n"/>
      <c r="D31" s="43" t="n"/>
      <c r="E31" s="44">
        <f>IF(ISNUMBER(Calc!$B$40),Calc!$B$40,IF(Calc!$B$26=0,IF(AND(0=0,'Tag 1'!$P$7="HGC"),"CONTINUOUS",""),"NONE"))</f>
        <v/>
      </c>
      <c r="F31" s="45" t="n"/>
      <c r="G31" s="45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51" t="n"/>
    </row>
    <row r="32">
      <c r="B32" s="42" t="inlineStr">
        <is>
          <t>HINGE 2</t>
        </is>
      </c>
      <c r="C32" s="43" t="n"/>
      <c r="D32" s="43" t="n"/>
      <c r="E32" s="44">
        <f>IF(ISNUMBER(Calc!$B$41),Calc!$B$41,IF(Calc!$B$26=0,IF(AND(1=0,'Tag 1'!$P$7="HGC"),"CONTINUOUS",""),"NONE"))</f>
        <v/>
      </c>
      <c r="F32" s="45" t="n"/>
      <c r="G32" s="45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63" t="inlineStr">
        <is>
          <t>DOOR ELEVATION</t>
        </is>
      </c>
      <c r="T32" s="57" t="n"/>
      <c r="U32" s="57" t="n"/>
      <c r="V32" s="57" t="n"/>
      <c r="W32" s="57" t="n"/>
      <c r="X32" s="57" t="n"/>
      <c r="Y32" s="64" t="n"/>
    </row>
    <row r="33">
      <c r="B33" s="42" t="inlineStr">
        <is>
          <t>HINGE 3</t>
        </is>
      </c>
      <c r="C33" s="43" t="n"/>
      <c r="D33" s="43" t="n"/>
      <c r="E33" s="44">
        <f>IF(ISNUMBER(Calc!$B$42),Calc!$B$42,IF(Calc!$B$26=0,IF(AND(2=0,'Tag 1'!$P$7="HGC"),"CONTINUOUS",""),"NONE"))</f>
        <v/>
      </c>
      <c r="F33" s="45" t="n"/>
      <c r="G33" s="45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51" t="n"/>
    </row>
    <row r="34">
      <c r="B34" s="42" t="inlineStr">
        <is>
          <t>HINGE 4</t>
        </is>
      </c>
      <c r="C34" s="43" t="n"/>
      <c r="D34" s="43" t="n"/>
      <c r="E34" s="44">
        <f>IF(ISNUMBER(Calc!$B$43),Calc!$B$43,IF(Calc!$B$26=0,IF(AND(3=0,'Tag 1'!$P$7="HGC"),"CONTINUOUS",""),"NONE"))</f>
        <v/>
      </c>
      <c r="F34" s="45" t="n"/>
      <c r="G34" s="45" t="n"/>
      <c r="H34" s="46" t="n"/>
      <c r="I34" s="63" t="inlineStr">
        <is>
          <t>SWING (plan) · JAMB PROFILE</t>
        </is>
      </c>
      <c r="J34" s="57" t="n"/>
      <c r="K34" s="57" t="n"/>
      <c r="L34" s="57" t="n"/>
      <c r="M34" s="57" t="n"/>
      <c r="N34" s="57" t="n"/>
      <c r="O34" s="57" t="n"/>
      <c r="P34" s="57" t="n"/>
      <c r="Q34" s="57" t="n"/>
      <c r="R34" s="46" t="n"/>
      <c r="S34" s="46" t="n"/>
      <c r="T34" s="46" t="n"/>
      <c r="U34" s="46" t="n"/>
      <c r="V34" s="46" t="n"/>
      <c r="W34" s="46" t="n"/>
      <c r="X34" s="46" t="n"/>
      <c r="Y34" s="51" t="n"/>
    </row>
    <row r="35">
      <c r="B35" s="42" t="inlineStr">
        <is>
          <t>STRIKE 1 (E)</t>
        </is>
      </c>
      <c r="C35" s="43" t="n"/>
      <c r="D35" s="43" t="n"/>
      <c r="E35" s="59">
        <f>Calc!$B$46</f>
        <v/>
      </c>
      <c r="F35" s="45" t="n"/>
      <c r="G35" s="45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51" t="n"/>
    </row>
    <row r="36">
      <c r="B36" s="42" t="inlineStr">
        <is>
          <t>STRIKE 2</t>
        </is>
      </c>
      <c r="C36" s="43" t="n"/>
      <c r="D36" s="43" t="n"/>
      <c r="E36" s="59">
        <f>Calc!$B$47</f>
        <v/>
      </c>
      <c r="F36" s="45" t="n"/>
      <c r="G36" s="45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51" t="n"/>
    </row>
    <row r="37">
      <c r="B37" s="52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51" t="n"/>
    </row>
    <row r="38">
      <c r="B38" s="65" t="inlineStr">
        <is>
          <t>OTHER MEASUREMENTS — FRAME</t>
        </is>
      </c>
      <c r="C38" s="66" t="n"/>
      <c r="D38" s="66" t="n"/>
      <c r="E38" s="66" t="n"/>
      <c r="F38" s="66" t="n"/>
      <c r="G38" s="6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51" t="n"/>
    </row>
    <row r="39">
      <c r="B39" s="42" t="inlineStr">
        <is>
          <t>ASA 4-7/8 TOP TO TOP</t>
        </is>
      </c>
      <c r="C39" s="43" t="n"/>
      <c r="D39" s="43" t="n"/>
      <c r="E39" s="48">
        <f>IF(ISNUMBER(Calc!$B$46),Calc!$B$46-2.4375,"")</f>
        <v/>
      </c>
      <c r="F39" s="45" t="n"/>
      <c r="G39" s="45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51" t="n"/>
    </row>
    <row r="40">
      <c r="B40" s="42" t="inlineStr">
        <is>
          <t>ASA 4-7/8 FTC (lock AFF)</t>
        </is>
      </c>
      <c r="C40" s="43" t="n"/>
      <c r="D40" s="43" t="n"/>
      <c r="E40" s="48">
        <f>Calc!$B$53</f>
        <v/>
      </c>
      <c r="F40" s="45" t="n"/>
      <c r="G40" s="45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51" t="n"/>
    </row>
    <row r="41">
      <c r="B41" s="42" t="inlineStr">
        <is>
          <t>DEADBOLT FTC</t>
        </is>
      </c>
      <c r="C41" s="43" t="n"/>
      <c r="D41" s="43" t="n"/>
      <c r="E41" s="48">
        <f>IF(ISNUMBER(Calc!$B$47),Calc!$B$2-Calc!$B$47,"")</f>
        <v/>
      </c>
      <c r="F41" s="45" t="n"/>
      <c r="G41" s="45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51" t="n"/>
    </row>
    <row r="42">
      <c r="B42" s="42" t="inlineStr">
        <is>
          <t>HAND / SWING</t>
        </is>
      </c>
      <c r="C42" s="43" t="n"/>
      <c r="D42" s="43" t="n"/>
      <c r="E42" s="58">
        <f>Calc!$B$87</f>
        <v/>
      </c>
      <c r="F42" s="45" t="n"/>
      <c r="G42" s="45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51" t="n"/>
    </row>
    <row r="43">
      <c r="B43" s="52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51" t="n"/>
    </row>
    <row r="44">
      <c r="B44" s="52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51" t="n"/>
    </row>
    <row r="45">
      <c r="B45" s="52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51" t="n"/>
    </row>
    <row r="46">
      <c r="B46" s="52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51" t="n"/>
    </row>
    <row r="47">
      <c r="B47" s="52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51" t="n"/>
    </row>
    <row r="48">
      <c r="B48" s="52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51" t="n"/>
    </row>
    <row r="49">
      <c r="B49" s="52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51" t="n"/>
    </row>
    <row r="50">
      <c r="B50" s="52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51" t="n"/>
    </row>
    <row r="51">
      <c r="B51" s="52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51" t="n"/>
    </row>
    <row r="52">
      <c r="B52" s="52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51" t="n"/>
    </row>
    <row r="53">
      <c r="B53" s="67" t="inlineStr">
        <is>
          <t>ORDER LINES</t>
        </is>
      </c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9" t="n"/>
    </row>
    <row r="54">
      <c r="B54" s="70" t="inlineStr">
        <is>
          <t>FRAME</t>
        </is>
      </c>
      <c r="C54" s="71" t="n"/>
      <c r="D54" s="72">
        <f>IF(Calc!$B$3,'Tag 1'!$W$4&amp;") "&amp;Calc!$B$64,"")</f>
        <v/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9" t="n"/>
    </row>
    <row r="55">
      <c r="B55" s="70" t="inlineStr">
        <is>
          <t>DOOR</t>
        </is>
      </c>
      <c r="C55" s="71" t="n"/>
      <c r="D55" s="72">
        <f>IF(Calc!$B$3,'Tag 1'!$W$4*Calc!$B$5&amp;") "&amp;Calc!$B$66,"")</f>
        <v/>
      </c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9" t="n"/>
    </row>
    <row r="56" ht="26" customHeight="1">
      <c r="B56" s="73" t="inlineStr">
        <is>
          <t>NOTES</t>
        </is>
      </c>
      <c r="C56" s="74" t="n"/>
      <c r="D56" s="75">
        <f>'Tag 1'!$L$11&amp;""</f>
        <v/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7" t="n"/>
    </row>
    <row r="58">
      <c r="B58" s="78" t="inlineStr">
        <is>
          <t>APPROVED:</t>
        </is>
      </c>
      <c r="E58" s="79" t="n"/>
      <c r="F58" s="25" t="n"/>
      <c r="G58" s="25" t="n"/>
      <c r="H58" s="25" t="n"/>
      <c r="I58" s="25" t="n"/>
      <c r="J58" s="25" t="n"/>
      <c r="K58" s="25" t="n"/>
      <c r="L58" s="78" t="inlineStr">
        <is>
          <t>DATE:</t>
        </is>
      </c>
      <c r="N58" s="79" t="n"/>
      <c r="O58" s="25" t="n"/>
      <c r="P58" s="25" t="n"/>
      <c r="Q58" s="25" t="n"/>
    </row>
    <row r="60">
      <c r="B60" s="80">
        <f>CoPhone</f>
        <v/>
      </c>
      <c r="J60" s="81">
        <f>CoAddr</f>
        <v/>
      </c>
      <c r="R60" s="82">
        <f>CoWeb</f>
        <v/>
      </c>
    </row>
  </sheetData>
  <mergeCells count="136">
    <mergeCell ref="B42:D42"/>
    <mergeCell ref="V26:Y26"/>
    <mergeCell ref="R1:Y1"/>
    <mergeCell ref="S14:U14"/>
    <mergeCell ref="S23:U23"/>
    <mergeCell ref="H10:I10"/>
    <mergeCell ref="J10:K10"/>
    <mergeCell ref="E31:G31"/>
    <mergeCell ref="V16:Y16"/>
    <mergeCell ref="E40:G40"/>
    <mergeCell ref="V25:Y25"/>
    <mergeCell ref="E15:G15"/>
    <mergeCell ref="E8:F8"/>
    <mergeCell ref="H9:I9"/>
    <mergeCell ref="B34:D34"/>
    <mergeCell ref="D6:E6"/>
    <mergeCell ref="D55:Y55"/>
    <mergeCell ref="V18:Y18"/>
    <mergeCell ref="S15:U15"/>
    <mergeCell ref="P6:Q6"/>
    <mergeCell ref="S24:U24"/>
    <mergeCell ref="R6:S6"/>
    <mergeCell ref="E26:G26"/>
    <mergeCell ref="V17:Y17"/>
    <mergeCell ref="D54:Y54"/>
    <mergeCell ref="B30:D30"/>
    <mergeCell ref="B20:D20"/>
    <mergeCell ref="E16:G16"/>
    <mergeCell ref="D7:E7"/>
    <mergeCell ref="X6:Y6"/>
    <mergeCell ref="V20:Y20"/>
    <mergeCell ref="E18:G18"/>
    <mergeCell ref="V29:Y29"/>
    <mergeCell ref="Q9:R9"/>
    <mergeCell ref="S9:T9"/>
    <mergeCell ref="S25:U25"/>
    <mergeCell ref="B55:C55"/>
    <mergeCell ref="E42:G42"/>
    <mergeCell ref="B1:N1"/>
    <mergeCell ref="S27:U27"/>
    <mergeCell ref="R2:Y2"/>
    <mergeCell ref="E35:G35"/>
    <mergeCell ref="V15:Y15"/>
    <mergeCell ref="S17:U17"/>
    <mergeCell ref="S4:T4"/>
    <mergeCell ref="E20:G20"/>
    <mergeCell ref="D10:E10"/>
    <mergeCell ref="N7:O7"/>
    <mergeCell ref="F10:G10"/>
    <mergeCell ref="B8:D8"/>
    <mergeCell ref="U6:V6"/>
    <mergeCell ref="B17:D17"/>
    <mergeCell ref="S28:U28"/>
    <mergeCell ref="E30:G30"/>
    <mergeCell ref="X8:Y8"/>
    <mergeCell ref="L4:Q4"/>
    <mergeCell ref="J60:Q60"/>
    <mergeCell ref="B19:D19"/>
    <mergeCell ref="B11:C11"/>
    <mergeCell ref="E58:K58"/>
    <mergeCell ref="D11:E11"/>
    <mergeCell ref="B9:D9"/>
    <mergeCell ref="U7:V7"/>
    <mergeCell ref="E32:G32"/>
    <mergeCell ref="H11:I11"/>
    <mergeCell ref="B36:D36"/>
    <mergeCell ref="J11:K11"/>
    <mergeCell ref="E41:G41"/>
    <mergeCell ref="S26:U26"/>
    <mergeCell ref="L10:Y10"/>
    <mergeCell ref="V19:Y19"/>
    <mergeCell ref="V28:Y28"/>
    <mergeCell ref="S16:U16"/>
    <mergeCell ref="B6:C6"/>
    <mergeCell ref="E24:G24"/>
    <mergeCell ref="E33:G33"/>
    <mergeCell ref="B31:D31"/>
    <mergeCell ref="N6:O6"/>
    <mergeCell ref="V30:Y30"/>
    <mergeCell ref="S18:U18"/>
    <mergeCell ref="E17:G17"/>
    <mergeCell ref="B21:D21"/>
    <mergeCell ref="K6:L6"/>
    <mergeCell ref="B39:D39"/>
    <mergeCell ref="L11:Y11"/>
    <mergeCell ref="B54:C54"/>
    <mergeCell ref="B14:D14"/>
    <mergeCell ref="E19:G19"/>
    <mergeCell ref="B7:C7"/>
    <mergeCell ref="E34:G34"/>
    <mergeCell ref="D56:Y56"/>
    <mergeCell ref="B56:C56"/>
    <mergeCell ref="C4:J4"/>
    <mergeCell ref="X7:Y7"/>
    <mergeCell ref="E36:G36"/>
    <mergeCell ref="R7:S7"/>
    <mergeCell ref="S30:U30"/>
    <mergeCell ref="V23:Y23"/>
    <mergeCell ref="S20:U20"/>
    <mergeCell ref="S29:U29"/>
    <mergeCell ref="L58:M58"/>
    <mergeCell ref="B41:D41"/>
    <mergeCell ref="B35:D35"/>
    <mergeCell ref="E21:G21"/>
    <mergeCell ref="B25:D25"/>
    <mergeCell ref="B2:N2"/>
    <mergeCell ref="V24:Y24"/>
    <mergeCell ref="K7:L7"/>
    <mergeCell ref="E14:G14"/>
    <mergeCell ref="V27:Y27"/>
    <mergeCell ref="F11:G11"/>
    <mergeCell ref="R60:Y60"/>
    <mergeCell ref="B29:D29"/>
    <mergeCell ref="Q8:R8"/>
    <mergeCell ref="S8:T8"/>
    <mergeCell ref="S19:U19"/>
    <mergeCell ref="B40:D40"/>
    <mergeCell ref="B60:I60"/>
    <mergeCell ref="B15:D15"/>
    <mergeCell ref="E9:F9"/>
    <mergeCell ref="B24:D24"/>
    <mergeCell ref="E25:G25"/>
    <mergeCell ref="B33:D33"/>
    <mergeCell ref="V14:Y14"/>
    <mergeCell ref="P7:Q7"/>
    <mergeCell ref="B32:D32"/>
    <mergeCell ref="B10:C10"/>
    <mergeCell ref="B26:D26"/>
    <mergeCell ref="B16:D16"/>
    <mergeCell ref="N58:Q58"/>
    <mergeCell ref="E39:G39"/>
    <mergeCell ref="B18:D18"/>
    <mergeCell ref="B58:D58"/>
    <mergeCell ref="H8:I8"/>
    <mergeCell ref="X9:Y9"/>
    <mergeCell ref="E29:G29"/>
  </mergeCells>
  <conditionalFormatting sqref="E26">
    <cfRule type="cellIs" priority="1" operator="notEqual" dxfId="0">
      <formula>"OK"</formula>
    </cfRule>
  </conditionalFormatting>
  <dataValidations count="20">
    <dataValidation sqref="B7" showDropDown="0" showInputMessage="0" showErrorMessage="0" allowBlank="1" type="list" errorStyle="warning">
      <formula1>=L_Jamb</formula1>
    </dataValidation>
    <dataValidation sqref="D7" showDropDown="0" showInputMessage="0" showErrorMessage="0" allowBlank="1" type="list" errorStyle="warning">
      <formula1>=L_Fire</formula1>
    </dataValidation>
    <dataValidation sqref="F7" showDropDown="0" showInputMessage="0" showErrorMessage="0" allowBlank="1" type="list" errorStyle="warning">
      <formula1>=L_WFt</formula1>
    </dataValidation>
    <dataValidation sqref="H7" showDropDown="0" showInputMessage="0" showErrorMessage="0" allowBlank="1" type="list" errorStyle="warning">
      <formula1>=L_HFt</formula1>
    </dataValidation>
    <dataValidation sqref="J7" showDropDown="0" showInputMessage="0" showErrorMessage="0" allowBlank="1" type="list" errorStyle="warning">
      <formula1>=L_YN</formula1>
    </dataValidation>
    <dataValidation sqref="K7" showDropDown="0" showInputMessage="0" showErrorMessage="0" allowBlank="1" type="list" errorStyle="warning">
      <formula1>=L_Style</formula1>
    </dataValidation>
    <dataValidation sqref="M7" showDropDown="0" showInputMessage="0" showErrorMessage="0" allowBlank="1" type="list" errorStyle="warning">
      <formula1>=L_Swing</formula1>
    </dataValidation>
    <dataValidation sqref="N7" showDropDown="0" showInputMessage="0" showErrorMessage="0" allowBlank="1" type="list" errorStyle="warning">
      <formula1>=L_Anchor</formula1>
    </dataValidation>
    <dataValidation sqref="P7" showDropDown="0" showInputMessage="0" showErrorMessage="0" allowBlank="1" type="list" errorStyle="warning">
      <formula1>=L_Hinge</formula1>
    </dataValidation>
    <dataValidation sqref="R7" showDropDown="0" showInputMessage="0" showErrorMessage="0" allowBlank="1" type="list" errorStyle="warning">
      <formula1>=L_Strike1</formula1>
    </dataValidation>
    <dataValidation sqref="T7" showDropDown="0" showInputMessage="0" showErrorMessage="0" allowBlank="1" type="list" errorStyle="warning">
      <formula1>=L_Strike2</formula1>
    </dataValidation>
    <dataValidation sqref="U7" showDropDown="0" showInputMessage="0" showErrorMessage="0" allowBlank="1" type="list" errorStyle="warning">
      <formula1>=L_Lock1</formula1>
    </dataValidation>
    <dataValidation sqref="W7" showDropDown="0" showInputMessage="0" showErrorMessage="0" allowBlank="1" type="list" errorStyle="warning">
      <formula1>=L_Lock2</formula1>
    </dataValidation>
    <dataValidation sqref="X7" showDropDown="0" showInputMessage="0" showErrorMessage="0" allowBlank="1" type="list" errorStyle="warning">
      <formula1>=L_Mfr</formula1>
    </dataValidation>
    <dataValidation sqref="B9" showDropDown="0" showInputMessage="0" showErrorMessage="0" allowBlank="1" type="list" errorStyle="warning">
      <formula1>=L_Elev</formula1>
    </dataValidation>
    <dataValidation sqref="E9" showDropDown="0" showInputMessage="0" showErrorMessage="0" allowBlank="1" type="list" errorStyle="warning">
      <formula1>=L_Wall</formula1>
    </dataValidation>
    <dataValidation sqref="G9" showDropDown="0" showInputMessage="0" showErrorMessage="0" allowBlank="1" type="list" errorStyle="warning">
      <formula1>=L_Gauge</formula1>
    </dataValidation>
    <dataValidation sqref="H9" showDropDown="0" showInputMessage="0" showErrorMessage="0" allowBlank="1" type="list" errorStyle="warning">
      <formula1>=L_Mat</formula1>
    </dataValidation>
    <dataValidation sqref="J9" showDropDown="0" showInputMessage="0" showErrorMessage="0" allowBlank="1" type="list" errorStyle="warning">
      <formula1>=L_Gauge</formula1>
    </dataValidation>
    <dataValidation sqref="K9" showDropDown="0" showInputMessage="0" showErrorMessage="0" allowBlank="1" type="list" errorStyle="warning">
      <formula1>=L_Face</formula1>
    </dataValidation>
  </dataValidations>
  <pageMargins left="0.3" right="0.3" top="0.4" bottom="0.4" header="0.5" footer="0.5"/>
  <pageSetup orientation="landscape" fitToHeight="1" fitToWidth="1"/>
  <headerFooter>
    <oddHeader/>
    <oddFooter>&amp;L&amp;8Printed &amp;D &amp;T&amp;R&amp;8Page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0A030"/>
    <outlinePr summaryBelow="1" summaryRight="1"/>
    <pageSetUpPr fitToPage="1"/>
  </sheetPr>
  <dimension ref="A1:Z6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</cols>
  <sheetData>
    <row r="1" ht="26" customHeight="1">
      <c r="A1" s="1" t="n"/>
      <c r="B1" s="19">
        <f>CoName</f>
        <v/>
      </c>
      <c r="O1" s="1" t="n"/>
      <c r="P1" s="1" t="n"/>
      <c r="Q1" s="1" t="n"/>
      <c r="R1" s="20">
        <f>"TAG "&amp;IF('Tag 2'!$S$4="","2",'Tag 2'!$S$4)&amp;"   ·   QTY "&amp;N('Tag 2'!$W$4)</f>
        <v/>
      </c>
      <c r="Z1" s="1" t="n"/>
    </row>
    <row r="2" ht="16" customHeight="1">
      <c r="A2" s="1" t="n"/>
      <c r="B2" s="21">
        <f>"FRAME CALCULATOR  ·  "&amp;CoSpec1&amp;"  ·  "&amp;CoSpec2</f>
        <v/>
      </c>
      <c r="O2" s="1" t="n"/>
      <c r="P2" s="1" t="n"/>
      <c r="Q2" s="1" t="n"/>
      <c r="R2" s="22">
        <f>"Printed "&amp;TEXT(NOW(),"mm/dd/yyyy hh:mm")</f>
        <v/>
      </c>
      <c r="Z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2" customHeight="1">
      <c r="B4" s="23" t="inlineStr">
        <is>
          <t>CUSTOMER</t>
        </is>
      </c>
      <c r="C4" s="24" t="n"/>
      <c r="D4" s="25" t="n"/>
      <c r="E4" s="25" t="n"/>
      <c r="F4" s="25" t="n"/>
      <c r="G4" s="25" t="n"/>
      <c r="H4" s="25" t="n"/>
      <c r="I4" s="25" t="n"/>
      <c r="J4" s="25" t="n"/>
      <c r="K4" s="23" t="inlineStr">
        <is>
          <t>P.O./JOB</t>
        </is>
      </c>
      <c r="L4" s="24" t="n"/>
      <c r="M4" s="25" t="n"/>
      <c r="N4" s="25" t="n"/>
      <c r="O4" s="25" t="n"/>
      <c r="P4" s="25" t="n"/>
      <c r="Q4" s="25" t="n"/>
      <c r="R4" s="23" t="inlineStr">
        <is>
          <t>TAG #</t>
        </is>
      </c>
      <c r="S4" s="26" t="inlineStr">
        <is>
          <t>2</t>
        </is>
      </c>
      <c r="T4" s="25" t="n"/>
      <c r="V4" s="23" t="inlineStr">
        <is>
          <t>QTY</t>
        </is>
      </c>
      <c r="W4" s="26" t="n">
        <v>1</v>
      </c>
    </row>
    <row r="6" ht="13" customHeight="1">
      <c r="B6" s="27" t="inlineStr">
        <is>
          <t>JAMB DEPTH</t>
        </is>
      </c>
      <c r="C6" s="7" t="n"/>
      <c r="D6" s="27" t="inlineStr">
        <is>
          <t>FIRE RATING</t>
        </is>
      </c>
      <c r="E6" s="7" t="n"/>
      <c r="F6" s="27" t="inlineStr">
        <is>
          <t>W FT</t>
        </is>
      </c>
      <c r="G6" s="27" t="inlineStr">
        <is>
          <t>W IN</t>
        </is>
      </c>
      <c r="H6" s="27" t="inlineStr">
        <is>
          <t>H FT</t>
        </is>
      </c>
      <c r="I6" s="27" t="inlineStr">
        <is>
          <t>H IN</t>
        </is>
      </c>
      <c r="J6" s="27" t="inlineStr">
        <is>
          <t>PAIR</t>
        </is>
      </c>
      <c r="K6" s="27" t="inlineStr">
        <is>
          <t>CONST. STYLE</t>
        </is>
      </c>
      <c r="L6" s="7" t="n"/>
      <c r="M6" s="27" t="inlineStr">
        <is>
          <t>SWING</t>
        </is>
      </c>
      <c r="N6" s="27" t="inlineStr">
        <is>
          <t>ANCHOR</t>
        </is>
      </c>
      <c r="O6" s="7" t="n"/>
      <c r="P6" s="27" t="inlineStr">
        <is>
          <t>HINGE</t>
        </is>
      </c>
      <c r="Q6" s="7" t="n"/>
      <c r="R6" s="27" t="inlineStr">
        <is>
          <t>STRIKE 1</t>
        </is>
      </c>
      <c r="S6" s="7" t="n"/>
      <c r="T6" s="27" t="inlineStr">
        <is>
          <t>STRIKE 2</t>
        </is>
      </c>
      <c r="U6" s="27" t="inlineStr">
        <is>
          <t>LOCK 1</t>
        </is>
      </c>
      <c r="V6" s="7" t="n"/>
      <c r="W6" s="27" t="inlineStr">
        <is>
          <t>LOCK 2</t>
        </is>
      </c>
      <c r="X6" s="27" t="inlineStr">
        <is>
          <t>LOCATIONS</t>
        </is>
      </c>
      <c r="Y6" s="7" t="n"/>
    </row>
    <row r="7" ht="20" customHeight="1">
      <c r="B7" s="28" t="n">
        <v>534</v>
      </c>
      <c r="C7" s="29" t="n"/>
      <c r="D7" s="28" t="inlineStr">
        <is>
          <t>90 MIN</t>
        </is>
      </c>
      <c r="E7" s="29" t="n"/>
      <c r="F7" s="28" t="n">
        <v>3</v>
      </c>
      <c r="G7" s="28" t="n">
        <v>0</v>
      </c>
      <c r="H7" s="28" t="n">
        <v>7</v>
      </c>
      <c r="I7" s="28" t="n">
        <v>0</v>
      </c>
      <c r="J7" s="28" t="n"/>
      <c r="K7" s="28" t="inlineStr">
        <is>
          <t>WELDED</t>
        </is>
      </c>
      <c r="L7" s="29" t="n"/>
      <c r="M7" s="28" t="inlineStr">
        <is>
          <t>RHR</t>
        </is>
      </c>
      <c r="N7" s="30" t="inlineStr">
        <is>
          <t>P/D+D.BOLT</t>
        </is>
      </c>
      <c r="O7" s="29" t="n"/>
      <c r="P7" s="28" t="inlineStr">
        <is>
          <t>U453</t>
        </is>
      </c>
      <c r="Q7" s="29" t="n"/>
      <c r="R7" s="28" t="inlineStr">
        <is>
          <t>E8</t>
        </is>
      </c>
      <c r="S7" s="29" t="n"/>
      <c r="T7" s="28" t="n"/>
      <c r="U7" s="28" t="inlineStr">
        <is>
          <t>G11</t>
        </is>
      </c>
      <c r="V7" s="29" t="n"/>
      <c r="W7" s="28" t="n"/>
      <c r="X7" s="30" t="inlineStr">
        <is>
          <t>STEELCRAFT</t>
        </is>
      </c>
      <c r="Y7" s="29" t="n"/>
    </row>
    <row r="8" ht="13" customHeight="1">
      <c r="B8" s="31" t="inlineStr">
        <is>
          <t>ELEVATION</t>
        </is>
      </c>
      <c r="C8" s="32" t="n"/>
      <c r="D8" s="32" t="n"/>
      <c r="E8" s="31" t="inlineStr">
        <is>
          <t>WALL</t>
        </is>
      </c>
      <c r="F8" s="32" t="n"/>
      <c r="G8" s="31" t="inlineStr">
        <is>
          <t>FRAME GA</t>
        </is>
      </c>
      <c r="H8" s="31" t="inlineStr">
        <is>
          <t>DOOR</t>
        </is>
      </c>
      <c r="I8" s="32" t="n"/>
      <c r="J8" s="31" t="inlineStr">
        <is>
          <t>DOOR GA</t>
        </is>
      </c>
      <c r="K8" s="31" t="inlineStr">
        <is>
          <t>HEAD FACE</t>
        </is>
      </c>
      <c r="L8" s="31" t="inlineStr">
        <is>
          <t>JAMB FACE</t>
        </is>
      </c>
      <c r="M8" s="31" t="inlineStr">
        <is>
          <t>REV HINGE</t>
        </is>
      </c>
      <c r="N8" s="31" t="inlineStr">
        <is>
          <t>REV LOCK</t>
        </is>
      </c>
      <c r="O8" s="31" t="inlineStr">
        <is>
          <t>REV TOP</t>
        </is>
      </c>
      <c r="P8" s="31" t="inlineStr">
        <is>
          <t>UNDERCUT</t>
        </is>
      </c>
      <c r="Q8" s="31" t="inlineStr">
        <is>
          <t>MASONRY R.O. W</t>
        </is>
      </c>
      <c r="R8" s="32" t="n"/>
      <c r="S8" s="31" t="inlineStr">
        <is>
          <t>MASONRY R.O. H</t>
        </is>
      </c>
      <c r="T8" s="32" t="n"/>
      <c r="U8" s="31" t="inlineStr">
        <is>
          <t>TOL. EA SIDE</t>
        </is>
      </c>
      <c r="V8" s="31" t="inlineStr">
        <is>
          <t>LITE W</t>
        </is>
      </c>
      <c r="W8" s="31" t="inlineStr">
        <is>
          <t>LITE H</t>
        </is>
      </c>
      <c r="X8" s="31" t="inlineStr">
        <is>
          <t>LITE TOP</t>
        </is>
      </c>
      <c r="Y8" s="32" t="n"/>
    </row>
    <row r="9" ht="20" customHeight="1">
      <c r="B9" s="30" t="inlineStr">
        <is>
          <t>HG 24"x30"</t>
        </is>
      </c>
      <c r="C9" s="29" t="n"/>
      <c r="D9" s="29" t="n"/>
      <c r="E9" s="28" t="inlineStr">
        <is>
          <t>MASONRY</t>
        </is>
      </c>
      <c r="F9" s="29" t="n"/>
      <c r="G9" s="28" t="n">
        <v>16</v>
      </c>
      <c r="H9" s="28" t="inlineStr">
        <is>
          <t>HM</t>
        </is>
      </c>
      <c r="I9" s="29" t="n"/>
      <c r="J9" s="28" t="n">
        <v>18</v>
      </c>
      <c r="K9" s="28" t="n">
        <v>2</v>
      </c>
      <c r="L9" s="28" t="n">
        <v>2</v>
      </c>
      <c r="M9" s="33" t="n"/>
      <c r="N9" s="33" t="n"/>
      <c r="O9" s="33" t="n"/>
      <c r="P9" s="33" t="n"/>
      <c r="Q9" s="33" t="n">
        <v>40.5</v>
      </c>
      <c r="R9" s="29" t="n"/>
      <c r="S9" s="33" t="n">
        <v>86.25</v>
      </c>
      <c r="T9" s="29" t="n"/>
      <c r="U9" s="33" t="n"/>
      <c r="V9" s="28" t="n"/>
      <c r="W9" s="28" t="n"/>
      <c r="X9" s="33" t="n"/>
      <c r="Y9" s="29" t="n"/>
    </row>
    <row r="10" ht="13" customHeight="1">
      <c r="B10" s="34" t="inlineStr">
        <is>
          <t>CUSTOM A</t>
        </is>
      </c>
      <c r="C10" s="35" t="n"/>
      <c r="D10" s="34" t="inlineStr">
        <is>
          <t>CUSTOM B</t>
        </is>
      </c>
      <c r="E10" s="35" t="n"/>
      <c r="F10" s="34" t="inlineStr">
        <is>
          <t>CUSTOM C</t>
        </is>
      </c>
      <c r="G10" s="35" t="n"/>
      <c r="H10" s="34" t="inlineStr">
        <is>
          <t>CUSTOM D</t>
        </is>
      </c>
      <c r="I10" s="35" t="n"/>
      <c r="J10" s="34" t="inlineStr">
        <is>
          <t>CUSTOM E</t>
        </is>
      </c>
      <c r="K10" s="35" t="n"/>
      <c r="L10" s="34" t="inlineStr">
        <is>
          <t>HARDWARE NOTES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</row>
    <row r="11" ht="20" customHeight="1">
      <c r="B11" s="33" t="n"/>
      <c r="C11" s="29" t="n"/>
      <c r="D11" s="33" t="n"/>
      <c r="E11" s="29" t="n"/>
      <c r="F11" s="33" t="n"/>
      <c r="G11" s="29" t="n"/>
      <c r="H11" s="33" t="n"/>
      <c r="I11" s="29" t="n"/>
      <c r="J11" s="33" t="n"/>
      <c r="K11" s="29" t="n"/>
      <c r="L11" s="36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</row>
    <row r="13">
      <c r="B13" s="37" t="inlineStr">
        <is>
          <t>FRAME SIZE INFO</t>
        </is>
      </c>
      <c r="C13" s="38" t="n"/>
      <c r="D13" s="38" t="n"/>
      <c r="E13" s="38" t="n"/>
      <c r="F13" s="38" t="n"/>
      <c r="G13" s="38" t="n"/>
      <c r="H13" s="39" t="n"/>
      <c r="I13" s="40" t="inlineStr">
        <is>
          <t>FRAME ELEVATION — locations from the top of the frame</t>
        </is>
      </c>
      <c r="J13" s="38" t="n"/>
      <c r="K13" s="38" t="n"/>
      <c r="L13" s="38" t="n"/>
      <c r="M13" s="38" t="n"/>
      <c r="N13" s="38" t="n"/>
      <c r="O13" s="38" t="n"/>
      <c r="P13" s="38" t="n"/>
      <c r="Q13" s="38" t="n"/>
      <c r="R13" s="39" t="n"/>
      <c r="S13" s="40" t="inlineStr">
        <is>
          <t>DOOR SIZE INFO</t>
        </is>
      </c>
      <c r="T13" s="38" t="n"/>
      <c r="U13" s="38" t="n"/>
      <c r="V13" s="38" t="n"/>
      <c r="W13" s="38" t="n"/>
      <c r="X13" s="38" t="n"/>
      <c r="Y13" s="41" t="n"/>
    </row>
    <row r="14">
      <c r="B14" s="42" t="inlineStr">
        <is>
          <t>INSIDE WIDTH</t>
        </is>
      </c>
      <c r="C14" s="43" t="n"/>
      <c r="D14" s="43" t="n"/>
      <c r="E14" s="44">
        <f>Calc!$G$1</f>
        <v/>
      </c>
      <c r="F14" s="45" t="n"/>
      <c r="G14" s="45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 t="inlineStr">
        <is>
          <t>OPENING WIDTH</t>
        </is>
      </c>
      <c r="T14" s="43" t="n"/>
      <c r="U14" s="43" t="n"/>
      <c r="V14" s="48">
        <f>Calc!$G$1</f>
        <v/>
      </c>
      <c r="W14" s="45" t="n"/>
      <c r="X14" s="45" t="n"/>
      <c r="Y14" s="49" t="n"/>
    </row>
    <row r="15">
      <c r="B15" s="42" t="inlineStr">
        <is>
          <t>INSIDE HEIGHT</t>
        </is>
      </c>
      <c r="C15" s="43" t="n"/>
      <c r="D15" s="43" t="n"/>
      <c r="E15" s="44">
        <f>Calc!$G$2</f>
        <v/>
      </c>
      <c r="F15" s="45" t="n"/>
      <c r="G15" s="45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7" t="inlineStr">
        <is>
          <t>OPENING HEIGHT</t>
        </is>
      </c>
      <c r="T15" s="43" t="n"/>
      <c r="U15" s="43" t="n"/>
      <c r="V15" s="48">
        <f>Calc!$G$2</f>
        <v/>
      </c>
      <c r="W15" s="45" t="n"/>
      <c r="X15" s="45" t="n"/>
      <c r="Y15" s="49" t="n"/>
    </row>
    <row r="16">
      <c r="B16" s="42" t="inlineStr">
        <is>
          <t>OUTSIDE WIDTH</t>
        </is>
      </c>
      <c r="C16" s="43" t="n"/>
      <c r="D16" s="43" t="n"/>
      <c r="E16" s="44">
        <f>Calc!$G$13</f>
        <v/>
      </c>
      <c r="F16" s="45" t="n"/>
      <c r="G16" s="45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 t="inlineStr">
        <is>
          <t>ACTUAL WIDTH</t>
        </is>
      </c>
      <c r="T16" s="43" t="n"/>
      <c r="U16" s="43" t="n"/>
      <c r="V16" s="44">
        <f>Calc!$G$24</f>
        <v/>
      </c>
      <c r="W16" s="45" t="n"/>
      <c r="X16" s="45" t="n"/>
      <c r="Y16" s="49" t="n"/>
    </row>
    <row r="17">
      <c r="B17" s="42" t="inlineStr">
        <is>
          <t>OUTSIDE HEIGHT</t>
        </is>
      </c>
      <c r="C17" s="43" t="n"/>
      <c r="D17" s="43" t="n"/>
      <c r="E17" s="44">
        <f>Calc!$G$14</f>
        <v/>
      </c>
      <c r="F17" s="45" t="n"/>
      <c r="G17" s="45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 t="inlineStr">
        <is>
          <t>ACTUAL HEIGHT</t>
        </is>
      </c>
      <c r="T17" s="43" t="n"/>
      <c r="U17" s="43" t="n"/>
      <c r="V17" s="44">
        <f>Calc!$G$25</f>
        <v/>
      </c>
      <c r="W17" s="45" t="n"/>
      <c r="X17" s="45" t="n"/>
      <c r="Y17" s="49" t="n"/>
    </row>
    <row r="18">
      <c r="B18" s="42" t="inlineStr">
        <is>
          <t>HEADER FACE</t>
        </is>
      </c>
      <c r="C18" s="43" t="n"/>
      <c r="D18" s="43" t="n"/>
      <c r="E18" s="48">
        <f>Calc!$G$12</f>
        <v/>
      </c>
      <c r="F18" s="45" t="n"/>
      <c r="G18" s="45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 t="inlineStr">
        <is>
          <t>REVEAL HINGE / LOCK / TOP</t>
        </is>
      </c>
      <c r="T18" s="43" t="n"/>
      <c r="U18" s="43" t="n"/>
      <c r="V18" s="50">
        <f>TRIM(TEXT(Calc!$G$20,"# ?/??"))&amp;CHAR(34)&amp;" · "&amp;TRIM(TEXT(Calc!$G$21,"# ?/??"))&amp;CHAR(34)&amp;" · "&amp;TRIM(TEXT(Calc!$G$22,"# ?/??"))&amp;CHAR(34)</f>
        <v/>
      </c>
      <c r="W18" s="45" t="n"/>
      <c r="X18" s="45" t="n"/>
      <c r="Y18" s="49" t="n"/>
    </row>
    <row r="19">
      <c r="B19" s="42" t="inlineStr">
        <is>
          <t>HINGE &amp; STRIKE FACE</t>
        </is>
      </c>
      <c r="C19" s="43" t="n"/>
      <c r="D19" s="43" t="n"/>
      <c r="E19" s="48">
        <f>Calc!$G$11</f>
        <v/>
      </c>
      <c r="F19" s="45" t="n"/>
      <c r="G19" s="45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 t="inlineStr">
        <is>
          <t>UNDERCUT</t>
        </is>
      </c>
      <c r="T19" s="43" t="n"/>
      <c r="U19" s="43" t="n"/>
      <c r="V19" s="48">
        <f>Calc!$G$23</f>
        <v/>
      </c>
      <c r="W19" s="45" t="n"/>
      <c r="X19" s="45" t="n"/>
      <c r="Y19" s="49" t="n"/>
    </row>
    <row r="20">
      <c r="B20" s="42" t="inlineStr">
        <is>
          <t>JAMB DEPTH</t>
        </is>
      </c>
      <c r="C20" s="43" t="n"/>
      <c r="D20" s="43" t="n"/>
      <c r="E20" s="50">
        <f>Calc!$G$7</f>
        <v/>
      </c>
      <c r="F20" s="45" t="n"/>
      <c r="G20" s="45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 t="inlineStr">
        <is>
          <t>LITE KIT</t>
        </is>
      </c>
      <c r="T20" s="43" t="n"/>
      <c r="U20" s="43" t="n"/>
      <c r="V20" s="50">
        <f>IF(Calc!$G$59,Calc!$G$86&amp;"  ·  top "&amp;TRIM(TEXT(Calc!$G$58,"# ?/??"))&amp;CHAR(34),"FLUSH")</f>
        <v/>
      </c>
      <c r="W20" s="45" t="n"/>
      <c r="X20" s="45" t="n"/>
      <c r="Y20" s="49" t="n"/>
    </row>
    <row r="21">
      <c r="B21" s="42" t="inlineStr">
        <is>
          <t>FITS WALL (throat)</t>
        </is>
      </c>
      <c r="C21" s="43" t="n"/>
      <c r="D21" s="43" t="n"/>
      <c r="E21" s="48">
        <f>Calc!$G$15</f>
        <v/>
      </c>
      <c r="F21" s="45" t="n"/>
      <c r="G21" s="45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51" t="n"/>
    </row>
    <row r="22">
      <c r="B22" s="52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53" t="inlineStr">
        <is>
          <t>HARDWARE LOCATIONS — DOOR (from top of door)</t>
        </is>
      </c>
      <c r="T22" s="54" t="n"/>
      <c r="U22" s="54" t="n"/>
      <c r="V22" s="54" t="n"/>
      <c r="W22" s="54" t="n"/>
      <c r="X22" s="54" t="n"/>
      <c r="Y22" s="55" t="n"/>
    </row>
    <row r="23">
      <c r="B23" s="56" t="inlineStr">
        <is>
          <t>ROUGH OPENING</t>
        </is>
      </c>
      <c r="C23" s="57" t="n"/>
      <c r="D23" s="57" t="n"/>
      <c r="E23" s="57" t="n"/>
      <c r="F23" s="57" t="n"/>
      <c r="G23" s="57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7" t="inlineStr">
        <is>
          <t>HINGE 1</t>
        </is>
      </c>
      <c r="T23" s="43" t="n"/>
      <c r="U23" s="43" t="n"/>
      <c r="V23" s="44">
        <f>IF(ISNUMBER(Calc!$G$40),Calc!$G$40-Calc!$G$22,IF(Calc!$G$26=0,"","NONE"))</f>
        <v/>
      </c>
      <c r="W23" s="45" t="n"/>
      <c r="X23" s="45" t="n"/>
      <c r="Y23" s="49" t="n"/>
    </row>
    <row r="24">
      <c r="B24" s="42" t="inlineStr">
        <is>
          <t>DRYWALL W x H</t>
        </is>
      </c>
      <c r="C24" s="43" t="n"/>
      <c r="D24" s="43" t="n"/>
      <c r="E24" s="58">
        <f>TRIM(TEXT(Calc!$G$16,"# ?/??"))&amp;CHAR(34)&amp;" x "&amp;TRIM(TEXT(Calc!$G$17,"# ?/??"))&amp;CHAR(34)</f>
        <v/>
      </c>
      <c r="F24" s="45" t="n"/>
      <c r="G24" s="45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7" t="inlineStr">
        <is>
          <t>HINGE 2</t>
        </is>
      </c>
      <c r="T24" s="43" t="n"/>
      <c r="U24" s="43" t="n"/>
      <c r="V24" s="44">
        <f>IF(ISNUMBER(Calc!$G$41),Calc!$G$41-Calc!$G$22,IF(Calc!$G$26=0,"","NONE"))</f>
        <v/>
      </c>
      <c r="W24" s="45" t="n"/>
      <c r="X24" s="45" t="n"/>
      <c r="Y24" s="49" t="n"/>
    </row>
    <row r="25">
      <c r="B25" s="42" t="inlineStr">
        <is>
          <t>MASONRY W x H</t>
        </is>
      </c>
      <c r="C25" s="43" t="n"/>
      <c r="D25" s="43" t="n"/>
      <c r="E25" s="58">
        <f>TRIM(TEXT(Calc!$G$18,"# ?/??"))&amp;CHAR(34)&amp;" x "&amp;TRIM(TEXT(Calc!$G$19,"# ?/??"))&amp;CHAR(34)</f>
        <v/>
      </c>
      <c r="F25" s="45" t="n"/>
      <c r="G25" s="45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7" t="inlineStr">
        <is>
          <t>HINGE 3</t>
        </is>
      </c>
      <c r="T25" s="43" t="n"/>
      <c r="U25" s="43" t="n"/>
      <c r="V25" s="44">
        <f>IF(ISNUMBER(Calc!$G$42),Calc!$G$42-Calc!$G$22,IF(Calc!$G$26=0,"","NONE"))</f>
        <v/>
      </c>
      <c r="W25" s="45" t="n"/>
      <c r="X25" s="45" t="n"/>
      <c r="Y25" s="49" t="n"/>
    </row>
    <row r="26">
      <c r="B26" s="42" t="inlineStr">
        <is>
          <t>FACE CHECK</t>
        </is>
      </c>
      <c r="C26" s="43" t="n"/>
      <c r="D26" s="43" t="n"/>
      <c r="E26" s="50">
        <f>IF(OR(Calc!$G$11&lt;1,Calc!$G$11&gt;12,Calc!$G$12&lt;1,Calc!$G$12&gt;12),"ERROR — face out of range","OK")</f>
        <v/>
      </c>
      <c r="F26" s="45" t="n"/>
      <c r="G26" s="45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7" t="inlineStr">
        <is>
          <t>HINGE 4</t>
        </is>
      </c>
      <c r="T26" s="43" t="n"/>
      <c r="U26" s="43" t="n"/>
      <c r="V26" s="44">
        <f>IF(ISNUMBER(Calc!$G$43),Calc!$G$43-Calc!$G$22,IF(Calc!$G$26=0,"","NONE"))</f>
        <v/>
      </c>
      <c r="W26" s="45" t="n"/>
      <c r="X26" s="45" t="n"/>
      <c r="Y26" s="49" t="n"/>
    </row>
    <row r="27">
      <c r="B27" s="52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7" t="inlineStr">
        <is>
          <t>LOCK 1 CYL CL</t>
        </is>
      </c>
      <c r="T27" s="43" t="n"/>
      <c r="U27" s="43" t="n"/>
      <c r="V27" s="59">
        <f>Calc!$G$49</f>
        <v/>
      </c>
      <c r="W27" s="45" t="n"/>
      <c r="X27" s="45" t="n"/>
      <c r="Y27" s="49" t="n"/>
    </row>
    <row r="28">
      <c r="B28" s="60" t="inlineStr">
        <is>
          <t>HARDWARE LOCATIONS — FRAME</t>
        </is>
      </c>
      <c r="C28" s="54" t="n"/>
      <c r="D28" s="54" t="n"/>
      <c r="E28" s="54" t="n"/>
      <c r="F28" s="54" t="n"/>
      <c r="G28" s="54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7" t="inlineStr">
        <is>
          <t>LOCK 2 CYL CL</t>
        </is>
      </c>
      <c r="T28" s="43" t="n"/>
      <c r="U28" s="43" t="n"/>
      <c r="V28" s="59">
        <f>Calc!$G$50</f>
        <v/>
      </c>
      <c r="W28" s="45" t="n"/>
      <c r="X28" s="45" t="n"/>
      <c r="Y28" s="49" t="n"/>
    </row>
    <row r="29">
      <c r="B29" s="42" t="inlineStr">
        <is>
          <t>MANUFACTURER</t>
        </is>
      </c>
      <c r="C29" s="43" t="n"/>
      <c r="D29" s="43" t="n"/>
      <c r="E29" s="61">
        <f>'Tag 2'!$X$7</f>
        <v/>
      </c>
      <c r="F29" s="45" t="n"/>
      <c r="G29" s="45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7" t="inlineStr">
        <is>
          <t>TOP MORTISE LOCK</t>
        </is>
      </c>
      <c r="T29" s="43" t="n"/>
      <c r="U29" s="43" t="n"/>
      <c r="V29" s="48">
        <f>Calc!$G$51</f>
        <v/>
      </c>
      <c r="W29" s="45" t="n"/>
      <c r="X29" s="45" t="n"/>
      <c r="Y29" s="49" t="n"/>
    </row>
    <row r="30">
      <c r="B30" s="42" t="inlineStr">
        <is>
          <t>CHART</t>
        </is>
      </c>
      <c r="C30" s="43" t="n"/>
      <c r="D30" s="43" t="n"/>
      <c r="E30" s="62">
        <f>IF(Calc!$G$29,INT(ROUND(Calc!$G$28,4)/12)&amp;"'-"&amp;IF(ROUND(MOD(Calc!$G$28,12),4)=0,"0",TRIM(TEXT(MOD(Calc!$G$28,12),"# ?/??")))&amp;CHAR(34)&amp;IF(Calc!$G$36," cut down",IF(Calc!$G$38," — NOT STOCK","")),IF(Calc!$G$27,"CUSTOM","ANSI/SDI"))</f>
        <v/>
      </c>
      <c r="F30" s="45" t="n"/>
      <c r="G30" s="45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7" t="inlineStr">
        <is>
          <t>MORTISE TOP TO CL</t>
        </is>
      </c>
      <c r="T30" s="43" t="n"/>
      <c r="U30" s="43" t="n"/>
      <c r="V30" s="48">
        <f>Calc!$G$52</f>
        <v/>
      </c>
      <c r="W30" s="45" t="n"/>
      <c r="X30" s="45" t="n"/>
      <c r="Y30" s="49" t="n"/>
    </row>
    <row r="31">
      <c r="B31" s="42" t="inlineStr">
        <is>
          <t>HINGE 1</t>
        </is>
      </c>
      <c r="C31" s="43" t="n"/>
      <c r="D31" s="43" t="n"/>
      <c r="E31" s="44">
        <f>IF(ISNUMBER(Calc!$G$40),Calc!$G$40,IF(Calc!$G$26=0,IF(AND(0=0,'Tag 2'!$P$7="HGC"),"CONTINUOUS",""),"NONE"))</f>
        <v/>
      </c>
      <c r="F31" s="45" t="n"/>
      <c r="G31" s="45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51" t="n"/>
    </row>
    <row r="32">
      <c r="B32" s="42" t="inlineStr">
        <is>
          <t>HINGE 2</t>
        </is>
      </c>
      <c r="C32" s="43" t="n"/>
      <c r="D32" s="43" t="n"/>
      <c r="E32" s="44">
        <f>IF(ISNUMBER(Calc!$G$41),Calc!$G$41,IF(Calc!$G$26=0,IF(AND(1=0,'Tag 2'!$P$7="HGC"),"CONTINUOUS",""),"NONE"))</f>
        <v/>
      </c>
      <c r="F32" s="45" t="n"/>
      <c r="G32" s="45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63" t="inlineStr">
        <is>
          <t>DOOR ELEVATION</t>
        </is>
      </c>
      <c r="T32" s="57" t="n"/>
      <c r="U32" s="57" t="n"/>
      <c r="V32" s="57" t="n"/>
      <c r="W32" s="57" t="n"/>
      <c r="X32" s="57" t="n"/>
      <c r="Y32" s="64" t="n"/>
    </row>
    <row r="33">
      <c r="B33" s="42" t="inlineStr">
        <is>
          <t>HINGE 3</t>
        </is>
      </c>
      <c r="C33" s="43" t="n"/>
      <c r="D33" s="43" t="n"/>
      <c r="E33" s="44">
        <f>IF(ISNUMBER(Calc!$G$42),Calc!$G$42,IF(Calc!$G$26=0,IF(AND(2=0,'Tag 2'!$P$7="HGC"),"CONTINUOUS",""),"NONE"))</f>
        <v/>
      </c>
      <c r="F33" s="45" t="n"/>
      <c r="G33" s="45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51" t="n"/>
    </row>
    <row r="34">
      <c r="B34" s="42" t="inlineStr">
        <is>
          <t>HINGE 4</t>
        </is>
      </c>
      <c r="C34" s="43" t="n"/>
      <c r="D34" s="43" t="n"/>
      <c r="E34" s="44">
        <f>IF(ISNUMBER(Calc!$G$43),Calc!$G$43,IF(Calc!$G$26=0,IF(AND(3=0,'Tag 2'!$P$7="HGC"),"CONTINUOUS",""),"NONE"))</f>
        <v/>
      </c>
      <c r="F34" s="45" t="n"/>
      <c r="G34" s="45" t="n"/>
      <c r="H34" s="46" t="n"/>
      <c r="I34" s="63" t="inlineStr">
        <is>
          <t>SWING (plan) · JAMB PROFILE</t>
        </is>
      </c>
      <c r="J34" s="57" t="n"/>
      <c r="K34" s="57" t="n"/>
      <c r="L34" s="57" t="n"/>
      <c r="M34" s="57" t="n"/>
      <c r="N34" s="57" t="n"/>
      <c r="O34" s="57" t="n"/>
      <c r="P34" s="57" t="n"/>
      <c r="Q34" s="57" t="n"/>
      <c r="R34" s="46" t="n"/>
      <c r="S34" s="46" t="n"/>
      <c r="T34" s="46" t="n"/>
      <c r="U34" s="46" t="n"/>
      <c r="V34" s="46" t="n"/>
      <c r="W34" s="46" t="n"/>
      <c r="X34" s="46" t="n"/>
      <c r="Y34" s="51" t="n"/>
    </row>
    <row r="35">
      <c r="B35" s="42" t="inlineStr">
        <is>
          <t>STRIKE 1 (E)</t>
        </is>
      </c>
      <c r="C35" s="43" t="n"/>
      <c r="D35" s="43" t="n"/>
      <c r="E35" s="59">
        <f>Calc!$G$46</f>
        <v/>
      </c>
      <c r="F35" s="45" t="n"/>
      <c r="G35" s="45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51" t="n"/>
    </row>
    <row r="36">
      <c r="B36" s="42" t="inlineStr">
        <is>
          <t>STRIKE 2</t>
        </is>
      </c>
      <c r="C36" s="43" t="n"/>
      <c r="D36" s="43" t="n"/>
      <c r="E36" s="59">
        <f>Calc!$G$47</f>
        <v/>
      </c>
      <c r="F36" s="45" t="n"/>
      <c r="G36" s="45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51" t="n"/>
    </row>
    <row r="37">
      <c r="B37" s="52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51" t="n"/>
    </row>
    <row r="38">
      <c r="B38" s="65" t="inlineStr">
        <is>
          <t>OTHER MEASUREMENTS — FRAME</t>
        </is>
      </c>
      <c r="C38" s="66" t="n"/>
      <c r="D38" s="66" t="n"/>
      <c r="E38" s="66" t="n"/>
      <c r="F38" s="66" t="n"/>
      <c r="G38" s="6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51" t="n"/>
    </row>
    <row r="39">
      <c r="B39" s="42" t="inlineStr">
        <is>
          <t>ASA 4-7/8 TOP TO TOP</t>
        </is>
      </c>
      <c r="C39" s="43" t="n"/>
      <c r="D39" s="43" t="n"/>
      <c r="E39" s="48">
        <f>IF(ISNUMBER(Calc!$G$46),Calc!$G$46-2.4375,"")</f>
        <v/>
      </c>
      <c r="F39" s="45" t="n"/>
      <c r="G39" s="45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51" t="n"/>
    </row>
    <row r="40">
      <c r="B40" s="42" t="inlineStr">
        <is>
          <t>ASA 4-7/8 FTC (lock AFF)</t>
        </is>
      </c>
      <c r="C40" s="43" t="n"/>
      <c r="D40" s="43" t="n"/>
      <c r="E40" s="48">
        <f>Calc!$G$53</f>
        <v/>
      </c>
      <c r="F40" s="45" t="n"/>
      <c r="G40" s="45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51" t="n"/>
    </row>
    <row r="41">
      <c r="B41" s="42" t="inlineStr">
        <is>
          <t>DEADBOLT FTC</t>
        </is>
      </c>
      <c r="C41" s="43" t="n"/>
      <c r="D41" s="43" t="n"/>
      <c r="E41" s="48">
        <f>IF(ISNUMBER(Calc!$G$47),Calc!$G$2-Calc!$G$47,"")</f>
        <v/>
      </c>
      <c r="F41" s="45" t="n"/>
      <c r="G41" s="45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51" t="n"/>
    </row>
    <row r="42">
      <c r="B42" s="42" t="inlineStr">
        <is>
          <t>HAND / SWING</t>
        </is>
      </c>
      <c r="C42" s="43" t="n"/>
      <c r="D42" s="43" t="n"/>
      <c r="E42" s="58">
        <f>Calc!$G$87</f>
        <v/>
      </c>
      <c r="F42" s="45" t="n"/>
      <c r="G42" s="45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51" t="n"/>
    </row>
    <row r="43">
      <c r="B43" s="52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51" t="n"/>
    </row>
    <row r="44">
      <c r="B44" s="52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51" t="n"/>
    </row>
    <row r="45">
      <c r="B45" s="52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51" t="n"/>
    </row>
    <row r="46">
      <c r="B46" s="52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51" t="n"/>
    </row>
    <row r="47">
      <c r="B47" s="52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51" t="n"/>
    </row>
    <row r="48">
      <c r="B48" s="52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51" t="n"/>
    </row>
    <row r="49">
      <c r="B49" s="52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51" t="n"/>
    </row>
    <row r="50">
      <c r="B50" s="52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51" t="n"/>
    </row>
    <row r="51">
      <c r="B51" s="52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51" t="n"/>
    </row>
    <row r="52">
      <c r="B52" s="52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51" t="n"/>
    </row>
    <row r="53">
      <c r="B53" s="67" t="inlineStr">
        <is>
          <t>ORDER LINES</t>
        </is>
      </c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9" t="n"/>
    </row>
    <row r="54">
      <c r="B54" s="70" t="inlineStr">
        <is>
          <t>FRAME</t>
        </is>
      </c>
      <c r="C54" s="71" t="n"/>
      <c r="D54" s="72">
        <f>IF(Calc!$G$3,'Tag 2'!$W$4&amp;") "&amp;Calc!$G$64,"")</f>
        <v/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9" t="n"/>
    </row>
    <row r="55">
      <c r="B55" s="70" t="inlineStr">
        <is>
          <t>DOOR</t>
        </is>
      </c>
      <c r="C55" s="71" t="n"/>
      <c r="D55" s="72">
        <f>IF(Calc!$G$3,'Tag 2'!$W$4*Calc!$G$5&amp;") "&amp;Calc!$G$66,"")</f>
        <v/>
      </c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9" t="n"/>
    </row>
    <row r="56" ht="26" customHeight="1">
      <c r="B56" s="73" t="inlineStr">
        <is>
          <t>NOTES</t>
        </is>
      </c>
      <c r="C56" s="74" t="n"/>
      <c r="D56" s="75">
        <f>'Tag 2'!$L$11&amp;""</f>
        <v/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7" t="n"/>
    </row>
    <row r="58">
      <c r="B58" s="78" t="inlineStr">
        <is>
          <t>APPROVED:</t>
        </is>
      </c>
      <c r="E58" s="79" t="n"/>
      <c r="F58" s="25" t="n"/>
      <c r="G58" s="25" t="n"/>
      <c r="H58" s="25" t="n"/>
      <c r="I58" s="25" t="n"/>
      <c r="J58" s="25" t="n"/>
      <c r="K58" s="25" t="n"/>
      <c r="L58" s="78" t="inlineStr">
        <is>
          <t>DATE:</t>
        </is>
      </c>
      <c r="N58" s="79" t="n"/>
      <c r="O58" s="25" t="n"/>
      <c r="P58" s="25" t="n"/>
      <c r="Q58" s="25" t="n"/>
    </row>
    <row r="60">
      <c r="B60" s="80">
        <f>CoPhone</f>
        <v/>
      </c>
      <c r="J60" s="81">
        <f>CoAddr</f>
        <v/>
      </c>
      <c r="R60" s="82">
        <f>CoWeb</f>
        <v/>
      </c>
    </row>
  </sheetData>
  <mergeCells count="136">
    <mergeCell ref="B42:D42"/>
    <mergeCell ref="V26:Y26"/>
    <mergeCell ref="R1:Y1"/>
    <mergeCell ref="S14:U14"/>
    <mergeCell ref="S23:U23"/>
    <mergeCell ref="H10:I10"/>
    <mergeCell ref="J10:K10"/>
    <mergeCell ref="E31:G31"/>
    <mergeCell ref="V16:Y16"/>
    <mergeCell ref="E40:G40"/>
    <mergeCell ref="V25:Y25"/>
    <mergeCell ref="E15:G15"/>
    <mergeCell ref="E8:F8"/>
    <mergeCell ref="H9:I9"/>
    <mergeCell ref="B34:D34"/>
    <mergeCell ref="D6:E6"/>
    <mergeCell ref="D55:Y55"/>
    <mergeCell ref="V18:Y18"/>
    <mergeCell ref="S15:U15"/>
    <mergeCell ref="P6:Q6"/>
    <mergeCell ref="S24:U24"/>
    <mergeCell ref="R6:S6"/>
    <mergeCell ref="E26:G26"/>
    <mergeCell ref="V17:Y17"/>
    <mergeCell ref="D54:Y54"/>
    <mergeCell ref="B30:D30"/>
    <mergeCell ref="B20:D20"/>
    <mergeCell ref="E16:G16"/>
    <mergeCell ref="D7:E7"/>
    <mergeCell ref="X6:Y6"/>
    <mergeCell ref="V20:Y20"/>
    <mergeCell ref="E18:G18"/>
    <mergeCell ref="V29:Y29"/>
    <mergeCell ref="Q9:R9"/>
    <mergeCell ref="S9:T9"/>
    <mergeCell ref="S25:U25"/>
    <mergeCell ref="B55:C55"/>
    <mergeCell ref="E42:G42"/>
    <mergeCell ref="B1:N1"/>
    <mergeCell ref="S27:U27"/>
    <mergeCell ref="R2:Y2"/>
    <mergeCell ref="E35:G35"/>
    <mergeCell ref="V15:Y15"/>
    <mergeCell ref="S17:U17"/>
    <mergeCell ref="S4:T4"/>
    <mergeCell ref="E20:G20"/>
    <mergeCell ref="D10:E10"/>
    <mergeCell ref="N7:O7"/>
    <mergeCell ref="F10:G10"/>
    <mergeCell ref="B8:D8"/>
    <mergeCell ref="U6:V6"/>
    <mergeCell ref="B17:D17"/>
    <mergeCell ref="S28:U28"/>
    <mergeCell ref="E30:G30"/>
    <mergeCell ref="X8:Y8"/>
    <mergeCell ref="L4:Q4"/>
    <mergeCell ref="J60:Q60"/>
    <mergeCell ref="B19:D19"/>
    <mergeCell ref="B11:C11"/>
    <mergeCell ref="E58:K58"/>
    <mergeCell ref="D11:E11"/>
    <mergeCell ref="B9:D9"/>
    <mergeCell ref="U7:V7"/>
    <mergeCell ref="E32:G32"/>
    <mergeCell ref="H11:I11"/>
    <mergeCell ref="B36:D36"/>
    <mergeCell ref="J11:K11"/>
    <mergeCell ref="E41:G41"/>
    <mergeCell ref="S26:U26"/>
    <mergeCell ref="L10:Y10"/>
    <mergeCell ref="V19:Y19"/>
    <mergeCell ref="V28:Y28"/>
    <mergeCell ref="S16:U16"/>
    <mergeCell ref="B6:C6"/>
    <mergeCell ref="E24:G24"/>
    <mergeCell ref="E33:G33"/>
    <mergeCell ref="B31:D31"/>
    <mergeCell ref="N6:O6"/>
    <mergeCell ref="V30:Y30"/>
    <mergeCell ref="S18:U18"/>
    <mergeCell ref="E17:G17"/>
    <mergeCell ref="B21:D21"/>
    <mergeCell ref="K6:L6"/>
    <mergeCell ref="B39:D39"/>
    <mergeCell ref="L11:Y11"/>
    <mergeCell ref="B54:C54"/>
    <mergeCell ref="B14:D14"/>
    <mergeCell ref="E19:G19"/>
    <mergeCell ref="B7:C7"/>
    <mergeCell ref="E34:G34"/>
    <mergeCell ref="D56:Y56"/>
    <mergeCell ref="B56:C56"/>
    <mergeCell ref="C4:J4"/>
    <mergeCell ref="X7:Y7"/>
    <mergeCell ref="E36:G36"/>
    <mergeCell ref="R7:S7"/>
    <mergeCell ref="S30:U30"/>
    <mergeCell ref="V23:Y23"/>
    <mergeCell ref="S20:U20"/>
    <mergeCell ref="S29:U29"/>
    <mergeCell ref="L58:M58"/>
    <mergeCell ref="B41:D41"/>
    <mergeCell ref="B35:D35"/>
    <mergeCell ref="E21:G21"/>
    <mergeCell ref="B25:D25"/>
    <mergeCell ref="B2:N2"/>
    <mergeCell ref="V24:Y24"/>
    <mergeCell ref="K7:L7"/>
    <mergeCell ref="E14:G14"/>
    <mergeCell ref="V27:Y27"/>
    <mergeCell ref="F11:G11"/>
    <mergeCell ref="R60:Y60"/>
    <mergeCell ref="B29:D29"/>
    <mergeCell ref="Q8:R8"/>
    <mergeCell ref="S8:T8"/>
    <mergeCell ref="S19:U19"/>
    <mergeCell ref="B40:D40"/>
    <mergeCell ref="B60:I60"/>
    <mergeCell ref="B15:D15"/>
    <mergeCell ref="E9:F9"/>
    <mergeCell ref="B24:D24"/>
    <mergeCell ref="E25:G25"/>
    <mergeCell ref="B33:D33"/>
    <mergeCell ref="V14:Y14"/>
    <mergeCell ref="P7:Q7"/>
    <mergeCell ref="B32:D32"/>
    <mergeCell ref="B10:C10"/>
    <mergeCell ref="B26:D26"/>
    <mergeCell ref="B16:D16"/>
    <mergeCell ref="N58:Q58"/>
    <mergeCell ref="E39:G39"/>
    <mergeCell ref="B18:D18"/>
    <mergeCell ref="B58:D58"/>
    <mergeCell ref="H8:I8"/>
    <mergeCell ref="X9:Y9"/>
    <mergeCell ref="E29:G29"/>
  </mergeCells>
  <conditionalFormatting sqref="E26">
    <cfRule type="cellIs" priority="1" operator="notEqual" dxfId="0">
      <formula>"OK"</formula>
    </cfRule>
  </conditionalFormatting>
  <dataValidations count="20">
    <dataValidation sqref="B7" showDropDown="0" showInputMessage="0" showErrorMessage="0" allowBlank="1" type="list" errorStyle="warning">
      <formula1>=L_Jamb</formula1>
    </dataValidation>
    <dataValidation sqref="D7" showDropDown="0" showInputMessage="0" showErrorMessage="0" allowBlank="1" type="list" errorStyle="warning">
      <formula1>=L_Fire</formula1>
    </dataValidation>
    <dataValidation sqref="F7" showDropDown="0" showInputMessage="0" showErrorMessage="0" allowBlank="1" type="list" errorStyle="warning">
      <formula1>=L_WFt</formula1>
    </dataValidation>
    <dataValidation sqref="H7" showDropDown="0" showInputMessage="0" showErrorMessage="0" allowBlank="1" type="list" errorStyle="warning">
      <formula1>=L_HFt</formula1>
    </dataValidation>
    <dataValidation sqref="J7" showDropDown="0" showInputMessage="0" showErrorMessage="0" allowBlank="1" type="list" errorStyle="warning">
      <formula1>=L_YN</formula1>
    </dataValidation>
    <dataValidation sqref="K7" showDropDown="0" showInputMessage="0" showErrorMessage="0" allowBlank="1" type="list" errorStyle="warning">
      <formula1>=L_Style</formula1>
    </dataValidation>
    <dataValidation sqref="M7" showDropDown="0" showInputMessage="0" showErrorMessage="0" allowBlank="1" type="list" errorStyle="warning">
      <formula1>=L_Swing</formula1>
    </dataValidation>
    <dataValidation sqref="N7" showDropDown="0" showInputMessage="0" showErrorMessage="0" allowBlank="1" type="list" errorStyle="warning">
      <formula1>=L_Anchor</formula1>
    </dataValidation>
    <dataValidation sqref="P7" showDropDown="0" showInputMessage="0" showErrorMessage="0" allowBlank="1" type="list" errorStyle="warning">
      <formula1>=L_Hinge</formula1>
    </dataValidation>
    <dataValidation sqref="R7" showDropDown="0" showInputMessage="0" showErrorMessage="0" allowBlank="1" type="list" errorStyle="warning">
      <formula1>=L_Strike1</formula1>
    </dataValidation>
    <dataValidation sqref="T7" showDropDown="0" showInputMessage="0" showErrorMessage="0" allowBlank="1" type="list" errorStyle="warning">
      <formula1>=L_Strike2</formula1>
    </dataValidation>
    <dataValidation sqref="U7" showDropDown="0" showInputMessage="0" showErrorMessage="0" allowBlank="1" type="list" errorStyle="warning">
      <formula1>=L_Lock1</formula1>
    </dataValidation>
    <dataValidation sqref="W7" showDropDown="0" showInputMessage="0" showErrorMessage="0" allowBlank="1" type="list" errorStyle="warning">
      <formula1>=L_Lock2</formula1>
    </dataValidation>
    <dataValidation sqref="X7" showDropDown="0" showInputMessage="0" showErrorMessage="0" allowBlank="1" type="list" errorStyle="warning">
      <formula1>=L_Mfr</formula1>
    </dataValidation>
    <dataValidation sqref="B9" showDropDown="0" showInputMessage="0" showErrorMessage="0" allowBlank="1" type="list" errorStyle="warning">
      <formula1>=L_Elev</formula1>
    </dataValidation>
    <dataValidation sqref="E9" showDropDown="0" showInputMessage="0" showErrorMessage="0" allowBlank="1" type="list" errorStyle="warning">
      <formula1>=L_Wall</formula1>
    </dataValidation>
    <dataValidation sqref="G9" showDropDown="0" showInputMessage="0" showErrorMessage="0" allowBlank="1" type="list" errorStyle="warning">
      <formula1>=L_Gauge</formula1>
    </dataValidation>
    <dataValidation sqref="H9" showDropDown="0" showInputMessage="0" showErrorMessage="0" allowBlank="1" type="list" errorStyle="warning">
      <formula1>=L_Mat</formula1>
    </dataValidation>
    <dataValidation sqref="J9" showDropDown="0" showInputMessage="0" showErrorMessage="0" allowBlank="1" type="list" errorStyle="warning">
      <formula1>=L_Gauge</formula1>
    </dataValidation>
    <dataValidation sqref="K9" showDropDown="0" showInputMessage="0" showErrorMessage="0" allowBlank="1" type="list" errorStyle="warning">
      <formula1>=L_Face</formula1>
    </dataValidation>
  </dataValidations>
  <pageMargins left="0.3" right="0.3" top="0.4" bottom="0.4" header="0.5" footer="0.5"/>
  <pageSetup orientation="landscape" fitToHeight="1" fitToWidth="1"/>
  <headerFooter>
    <oddHeader/>
    <oddFooter>&amp;L&amp;8Printed &amp;D &amp;T&amp;R&amp;8Page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E0A030"/>
    <outlinePr summaryBelow="1" summaryRight="1"/>
    <pageSetUpPr fitToPage="1"/>
  </sheetPr>
  <dimension ref="A1:Z6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</cols>
  <sheetData>
    <row r="1" ht="26" customHeight="1">
      <c r="A1" s="1" t="n"/>
      <c r="B1" s="19">
        <f>CoName</f>
        <v/>
      </c>
      <c r="O1" s="1" t="n"/>
      <c r="P1" s="1" t="n"/>
      <c r="Q1" s="1" t="n"/>
      <c r="R1" s="20">
        <f>"TAG "&amp;IF('Tag 3'!$S$4="","3",'Tag 3'!$S$4)&amp;"   ·   QTY "&amp;N('Tag 3'!$W$4)</f>
        <v/>
      </c>
      <c r="Z1" s="1" t="n"/>
    </row>
    <row r="2" ht="16" customHeight="1">
      <c r="A2" s="1" t="n"/>
      <c r="B2" s="21">
        <f>"FRAME CALCULATOR  ·  "&amp;CoSpec1&amp;"  ·  "&amp;CoSpec2</f>
        <v/>
      </c>
      <c r="O2" s="1" t="n"/>
      <c r="P2" s="1" t="n"/>
      <c r="Q2" s="1" t="n"/>
      <c r="R2" s="22">
        <f>"Printed "&amp;TEXT(NOW(),"mm/dd/yyyy hh:mm")</f>
        <v/>
      </c>
      <c r="Z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2" customHeight="1">
      <c r="B4" s="23" t="inlineStr">
        <is>
          <t>CUSTOMER</t>
        </is>
      </c>
      <c r="C4" s="24" t="n"/>
      <c r="D4" s="25" t="n"/>
      <c r="E4" s="25" t="n"/>
      <c r="F4" s="25" t="n"/>
      <c r="G4" s="25" t="n"/>
      <c r="H4" s="25" t="n"/>
      <c r="I4" s="25" t="n"/>
      <c r="J4" s="25" t="n"/>
      <c r="K4" s="23" t="inlineStr">
        <is>
          <t>P.O./JOB</t>
        </is>
      </c>
      <c r="L4" s="24" t="n"/>
      <c r="M4" s="25" t="n"/>
      <c r="N4" s="25" t="n"/>
      <c r="O4" s="25" t="n"/>
      <c r="P4" s="25" t="n"/>
      <c r="Q4" s="25" t="n"/>
      <c r="R4" s="23" t="inlineStr">
        <is>
          <t>TAG #</t>
        </is>
      </c>
      <c r="S4" s="26" t="inlineStr">
        <is>
          <t>3</t>
        </is>
      </c>
      <c r="T4" s="25" t="n"/>
      <c r="V4" s="23" t="inlineStr">
        <is>
          <t>QTY</t>
        </is>
      </c>
      <c r="W4" s="26" t="n">
        <v>1</v>
      </c>
    </row>
    <row r="6" ht="13" customHeight="1">
      <c r="B6" s="27" t="inlineStr">
        <is>
          <t>JAMB DEPTH</t>
        </is>
      </c>
      <c r="C6" s="7" t="n"/>
      <c r="D6" s="27" t="inlineStr">
        <is>
          <t>FIRE RATING</t>
        </is>
      </c>
      <c r="E6" s="7" t="n"/>
      <c r="F6" s="27" t="inlineStr">
        <is>
          <t>W FT</t>
        </is>
      </c>
      <c r="G6" s="27" t="inlineStr">
        <is>
          <t>W IN</t>
        </is>
      </c>
      <c r="H6" s="27" t="inlineStr">
        <is>
          <t>H FT</t>
        </is>
      </c>
      <c r="I6" s="27" t="inlineStr">
        <is>
          <t>H IN</t>
        </is>
      </c>
      <c r="J6" s="27" t="inlineStr">
        <is>
          <t>PAIR</t>
        </is>
      </c>
      <c r="K6" s="27" t="inlineStr">
        <is>
          <t>CONST. STYLE</t>
        </is>
      </c>
      <c r="L6" s="7" t="n"/>
      <c r="M6" s="27" t="inlineStr">
        <is>
          <t>SWING</t>
        </is>
      </c>
      <c r="N6" s="27" t="inlineStr">
        <is>
          <t>ANCHOR</t>
        </is>
      </c>
      <c r="O6" s="7" t="n"/>
      <c r="P6" s="27" t="inlineStr">
        <is>
          <t>HINGE</t>
        </is>
      </c>
      <c r="Q6" s="7" t="n"/>
      <c r="R6" s="27" t="inlineStr">
        <is>
          <t>STRIKE 1</t>
        </is>
      </c>
      <c r="S6" s="7" t="n"/>
      <c r="T6" s="27" t="inlineStr">
        <is>
          <t>STRIKE 2</t>
        </is>
      </c>
      <c r="U6" s="27" t="inlineStr">
        <is>
          <t>LOCK 1</t>
        </is>
      </c>
      <c r="V6" s="7" t="n"/>
      <c r="W6" s="27" t="inlineStr">
        <is>
          <t>LOCK 2</t>
        </is>
      </c>
      <c r="X6" s="27" t="inlineStr">
        <is>
          <t>LOCATIONS</t>
        </is>
      </c>
      <c r="Y6" s="7" t="n"/>
    </row>
    <row r="7" ht="20" customHeight="1">
      <c r="B7" s="28" t="n">
        <v>578</v>
      </c>
      <c r="C7" s="29" t="n"/>
      <c r="D7" s="28" t="inlineStr">
        <is>
          <t>NO LAB</t>
        </is>
      </c>
      <c r="E7" s="29" t="n"/>
      <c r="F7" s="28" t="n">
        <v>3</v>
      </c>
      <c r="G7" s="28" t="n">
        <v>6</v>
      </c>
      <c r="H7" s="28" t="n">
        <v>7</v>
      </c>
      <c r="I7" s="28" t="n">
        <v>0</v>
      </c>
      <c r="J7" s="28" t="n"/>
      <c r="K7" s="28" t="inlineStr">
        <is>
          <t>KD-3PC</t>
        </is>
      </c>
      <c r="L7" s="29" t="n"/>
      <c r="M7" s="28" t="inlineStr">
        <is>
          <t>RH</t>
        </is>
      </c>
      <c r="N7" s="30" t="inlineStr">
        <is>
          <t>COMP</t>
        </is>
      </c>
      <c r="O7" s="29" t="n"/>
      <c r="P7" s="28" t="inlineStr">
        <is>
          <t>U453</t>
        </is>
      </c>
      <c r="Q7" s="29" t="n"/>
      <c r="R7" s="28" t="inlineStr">
        <is>
          <t>E1E4</t>
        </is>
      </c>
      <c r="S7" s="29" t="n"/>
      <c r="T7" s="28" t="inlineStr">
        <is>
          <t>E4</t>
        </is>
      </c>
      <c r="U7" s="28" t="inlineStr">
        <is>
          <t>G2</t>
        </is>
      </c>
      <c r="V7" s="29" t="n"/>
      <c r="W7" s="28" t="inlineStr">
        <is>
          <t>G16</t>
        </is>
      </c>
      <c r="X7" s="30" t="inlineStr">
        <is>
          <t>STEELCRAFT</t>
        </is>
      </c>
      <c r="Y7" s="29" t="n"/>
    </row>
    <row r="8" ht="13" customHeight="1">
      <c r="B8" s="31" t="inlineStr">
        <is>
          <t>ELEVATION</t>
        </is>
      </c>
      <c r="C8" s="32" t="n"/>
      <c r="D8" s="32" t="n"/>
      <c r="E8" s="31" t="inlineStr">
        <is>
          <t>WALL</t>
        </is>
      </c>
      <c r="F8" s="32" t="n"/>
      <c r="G8" s="31" t="inlineStr">
        <is>
          <t>FRAME GA</t>
        </is>
      </c>
      <c r="H8" s="31" t="inlineStr">
        <is>
          <t>DOOR</t>
        </is>
      </c>
      <c r="I8" s="32" t="n"/>
      <c r="J8" s="31" t="inlineStr">
        <is>
          <t>DOOR GA</t>
        </is>
      </c>
      <c r="K8" s="31" t="inlineStr">
        <is>
          <t>HEAD FACE</t>
        </is>
      </c>
      <c r="L8" s="31" t="inlineStr">
        <is>
          <t>JAMB FACE</t>
        </is>
      </c>
      <c r="M8" s="31" t="inlineStr">
        <is>
          <t>REV HINGE</t>
        </is>
      </c>
      <c r="N8" s="31" t="inlineStr">
        <is>
          <t>REV LOCK</t>
        </is>
      </c>
      <c r="O8" s="31" t="inlineStr">
        <is>
          <t>REV TOP</t>
        </is>
      </c>
      <c r="P8" s="31" t="inlineStr">
        <is>
          <t>UNDERCUT</t>
        </is>
      </c>
      <c r="Q8" s="31" t="inlineStr">
        <is>
          <t>MASONRY R.O. W</t>
        </is>
      </c>
      <c r="R8" s="32" t="n"/>
      <c r="S8" s="31" t="inlineStr">
        <is>
          <t>MASONRY R.O. H</t>
        </is>
      </c>
      <c r="T8" s="32" t="n"/>
      <c r="U8" s="31" t="inlineStr">
        <is>
          <t>TOL. EA SIDE</t>
        </is>
      </c>
      <c r="V8" s="31" t="inlineStr">
        <is>
          <t>LITE W</t>
        </is>
      </c>
      <c r="W8" s="31" t="inlineStr">
        <is>
          <t>LITE H</t>
        </is>
      </c>
      <c r="X8" s="31" t="inlineStr">
        <is>
          <t>LITE TOP</t>
        </is>
      </c>
      <c r="Y8" s="32" t="n"/>
    </row>
    <row r="9" ht="20" customHeight="1">
      <c r="B9" s="30" t="inlineStr">
        <is>
          <t>FLUSH</t>
        </is>
      </c>
      <c r="C9" s="29" t="n"/>
      <c r="D9" s="29" t="n"/>
      <c r="E9" s="28" t="inlineStr">
        <is>
          <t>DRYWALL</t>
        </is>
      </c>
      <c r="F9" s="29" t="n"/>
      <c r="G9" s="28" t="n">
        <v>16</v>
      </c>
      <c r="H9" s="28" t="inlineStr">
        <is>
          <t>HM</t>
        </is>
      </c>
      <c r="I9" s="29" t="n"/>
      <c r="J9" s="28" t="n">
        <v>18</v>
      </c>
      <c r="K9" s="28" t="n">
        <v>2</v>
      </c>
      <c r="L9" s="28" t="n">
        <v>2</v>
      </c>
      <c r="M9" s="33" t="n"/>
      <c r="N9" s="33" t="n"/>
      <c r="O9" s="33" t="n"/>
      <c r="P9" s="33" t="n"/>
      <c r="Q9" s="33" t="n"/>
      <c r="R9" s="29" t="n"/>
      <c r="S9" s="33" t="n"/>
      <c r="T9" s="29" t="n"/>
      <c r="U9" s="33" t="n"/>
      <c r="V9" s="28" t="n"/>
      <c r="W9" s="28" t="n"/>
      <c r="X9" s="33" t="n"/>
      <c r="Y9" s="29" t="n"/>
    </row>
    <row r="10" ht="13" customHeight="1">
      <c r="B10" s="34" t="inlineStr">
        <is>
          <t>CUSTOM A</t>
        </is>
      </c>
      <c r="C10" s="35" t="n"/>
      <c r="D10" s="34" t="inlineStr">
        <is>
          <t>CUSTOM B</t>
        </is>
      </c>
      <c r="E10" s="35" t="n"/>
      <c r="F10" s="34" t="inlineStr">
        <is>
          <t>CUSTOM C</t>
        </is>
      </c>
      <c r="G10" s="35" t="n"/>
      <c r="H10" s="34" t="inlineStr">
        <is>
          <t>CUSTOM D</t>
        </is>
      </c>
      <c r="I10" s="35" t="n"/>
      <c r="J10" s="34" t="inlineStr">
        <is>
          <t>CUSTOM E</t>
        </is>
      </c>
      <c r="K10" s="35" t="n"/>
      <c r="L10" s="34" t="inlineStr">
        <is>
          <t>HARDWARE NOTES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</row>
    <row r="11" ht="20" customHeight="1">
      <c r="B11" s="33" t="n"/>
      <c r="C11" s="29" t="n"/>
      <c r="D11" s="33" t="n"/>
      <c r="E11" s="29" t="n"/>
      <c r="F11" s="33" t="n"/>
      <c r="G11" s="29" t="n"/>
      <c r="H11" s="33" t="n"/>
      <c r="I11" s="29" t="n"/>
      <c r="J11" s="33" t="n"/>
      <c r="K11" s="29" t="n"/>
      <c r="L11" s="36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</row>
    <row r="13">
      <c r="B13" s="37" t="inlineStr">
        <is>
          <t>FRAME SIZE INFO</t>
        </is>
      </c>
      <c r="C13" s="38" t="n"/>
      <c r="D13" s="38" t="n"/>
      <c r="E13" s="38" t="n"/>
      <c r="F13" s="38" t="n"/>
      <c r="G13" s="38" t="n"/>
      <c r="H13" s="39" t="n"/>
      <c r="I13" s="40" t="inlineStr">
        <is>
          <t>FRAME ELEVATION — locations from the top of the frame</t>
        </is>
      </c>
      <c r="J13" s="38" t="n"/>
      <c r="K13" s="38" t="n"/>
      <c r="L13" s="38" t="n"/>
      <c r="M13" s="38" t="n"/>
      <c r="N13" s="38" t="n"/>
      <c r="O13" s="38" t="n"/>
      <c r="P13" s="38" t="n"/>
      <c r="Q13" s="38" t="n"/>
      <c r="R13" s="39" t="n"/>
      <c r="S13" s="40" t="inlineStr">
        <is>
          <t>DOOR SIZE INFO</t>
        </is>
      </c>
      <c r="T13" s="38" t="n"/>
      <c r="U13" s="38" t="n"/>
      <c r="V13" s="38" t="n"/>
      <c r="W13" s="38" t="n"/>
      <c r="X13" s="38" t="n"/>
      <c r="Y13" s="41" t="n"/>
    </row>
    <row r="14">
      <c r="B14" s="42" t="inlineStr">
        <is>
          <t>INSIDE WIDTH</t>
        </is>
      </c>
      <c r="C14" s="43" t="n"/>
      <c r="D14" s="43" t="n"/>
      <c r="E14" s="44">
        <f>Calc!$L$1</f>
        <v/>
      </c>
      <c r="F14" s="45" t="n"/>
      <c r="G14" s="45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 t="inlineStr">
        <is>
          <t>OPENING WIDTH</t>
        </is>
      </c>
      <c r="T14" s="43" t="n"/>
      <c r="U14" s="43" t="n"/>
      <c r="V14" s="48">
        <f>Calc!$L$1</f>
        <v/>
      </c>
      <c r="W14" s="45" t="n"/>
      <c r="X14" s="45" t="n"/>
      <c r="Y14" s="49" t="n"/>
    </row>
    <row r="15">
      <c r="B15" s="42" t="inlineStr">
        <is>
          <t>INSIDE HEIGHT</t>
        </is>
      </c>
      <c r="C15" s="43" t="n"/>
      <c r="D15" s="43" t="n"/>
      <c r="E15" s="44">
        <f>Calc!$L$2</f>
        <v/>
      </c>
      <c r="F15" s="45" t="n"/>
      <c r="G15" s="45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7" t="inlineStr">
        <is>
          <t>OPENING HEIGHT</t>
        </is>
      </c>
      <c r="T15" s="43" t="n"/>
      <c r="U15" s="43" t="n"/>
      <c r="V15" s="48">
        <f>Calc!$L$2</f>
        <v/>
      </c>
      <c r="W15" s="45" t="n"/>
      <c r="X15" s="45" t="n"/>
      <c r="Y15" s="49" t="n"/>
    </row>
    <row r="16">
      <c r="B16" s="42" t="inlineStr">
        <is>
          <t>OUTSIDE WIDTH</t>
        </is>
      </c>
      <c r="C16" s="43" t="n"/>
      <c r="D16" s="43" t="n"/>
      <c r="E16" s="44">
        <f>Calc!$L$13</f>
        <v/>
      </c>
      <c r="F16" s="45" t="n"/>
      <c r="G16" s="45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 t="inlineStr">
        <is>
          <t>ACTUAL WIDTH</t>
        </is>
      </c>
      <c r="T16" s="43" t="n"/>
      <c r="U16" s="43" t="n"/>
      <c r="V16" s="44">
        <f>Calc!$L$24</f>
        <v/>
      </c>
      <c r="W16" s="45" t="n"/>
      <c r="X16" s="45" t="n"/>
      <c r="Y16" s="49" t="n"/>
    </row>
    <row r="17">
      <c r="B17" s="42" t="inlineStr">
        <is>
          <t>OUTSIDE HEIGHT</t>
        </is>
      </c>
      <c r="C17" s="43" t="n"/>
      <c r="D17" s="43" t="n"/>
      <c r="E17" s="44">
        <f>Calc!$L$14</f>
        <v/>
      </c>
      <c r="F17" s="45" t="n"/>
      <c r="G17" s="45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 t="inlineStr">
        <is>
          <t>ACTUAL HEIGHT</t>
        </is>
      </c>
      <c r="T17" s="43" t="n"/>
      <c r="U17" s="43" t="n"/>
      <c r="V17" s="44">
        <f>Calc!$L$25</f>
        <v/>
      </c>
      <c r="W17" s="45" t="n"/>
      <c r="X17" s="45" t="n"/>
      <c r="Y17" s="49" t="n"/>
    </row>
    <row r="18">
      <c r="B18" s="42" t="inlineStr">
        <is>
          <t>HEADER FACE</t>
        </is>
      </c>
      <c r="C18" s="43" t="n"/>
      <c r="D18" s="43" t="n"/>
      <c r="E18" s="48">
        <f>Calc!$L$12</f>
        <v/>
      </c>
      <c r="F18" s="45" t="n"/>
      <c r="G18" s="45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 t="inlineStr">
        <is>
          <t>REVEAL HINGE / LOCK / TOP</t>
        </is>
      </c>
      <c r="T18" s="43" t="n"/>
      <c r="U18" s="43" t="n"/>
      <c r="V18" s="50">
        <f>TRIM(TEXT(Calc!$L$20,"# ?/??"))&amp;CHAR(34)&amp;" · "&amp;TRIM(TEXT(Calc!$L$21,"# ?/??"))&amp;CHAR(34)&amp;" · "&amp;TRIM(TEXT(Calc!$L$22,"# ?/??"))&amp;CHAR(34)</f>
        <v/>
      </c>
      <c r="W18" s="45" t="n"/>
      <c r="X18" s="45" t="n"/>
      <c r="Y18" s="49" t="n"/>
    </row>
    <row r="19">
      <c r="B19" s="42" t="inlineStr">
        <is>
          <t>HINGE &amp; STRIKE FACE</t>
        </is>
      </c>
      <c r="C19" s="43" t="n"/>
      <c r="D19" s="43" t="n"/>
      <c r="E19" s="48">
        <f>Calc!$L$11</f>
        <v/>
      </c>
      <c r="F19" s="45" t="n"/>
      <c r="G19" s="45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 t="inlineStr">
        <is>
          <t>UNDERCUT</t>
        </is>
      </c>
      <c r="T19" s="43" t="n"/>
      <c r="U19" s="43" t="n"/>
      <c r="V19" s="48">
        <f>Calc!$L$23</f>
        <v/>
      </c>
      <c r="W19" s="45" t="n"/>
      <c r="X19" s="45" t="n"/>
      <c r="Y19" s="49" t="n"/>
    </row>
    <row r="20">
      <c r="B20" s="42" t="inlineStr">
        <is>
          <t>JAMB DEPTH</t>
        </is>
      </c>
      <c r="C20" s="43" t="n"/>
      <c r="D20" s="43" t="n"/>
      <c r="E20" s="50">
        <f>Calc!$L$7</f>
        <v/>
      </c>
      <c r="F20" s="45" t="n"/>
      <c r="G20" s="45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 t="inlineStr">
        <is>
          <t>LITE KIT</t>
        </is>
      </c>
      <c r="T20" s="43" t="n"/>
      <c r="U20" s="43" t="n"/>
      <c r="V20" s="50">
        <f>IF(Calc!$L$59,Calc!$L$86&amp;"  ·  top "&amp;TRIM(TEXT(Calc!$L$58,"# ?/??"))&amp;CHAR(34),"FLUSH")</f>
        <v/>
      </c>
      <c r="W20" s="45" t="n"/>
      <c r="X20" s="45" t="n"/>
      <c r="Y20" s="49" t="n"/>
    </row>
    <row r="21">
      <c r="B21" s="42" t="inlineStr">
        <is>
          <t>FITS WALL (throat)</t>
        </is>
      </c>
      <c r="C21" s="43" t="n"/>
      <c r="D21" s="43" t="n"/>
      <c r="E21" s="48">
        <f>Calc!$L$15</f>
        <v/>
      </c>
      <c r="F21" s="45" t="n"/>
      <c r="G21" s="45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51" t="n"/>
    </row>
    <row r="22">
      <c r="B22" s="52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53" t="inlineStr">
        <is>
          <t>HARDWARE LOCATIONS — DOOR (from top of door)</t>
        </is>
      </c>
      <c r="T22" s="54" t="n"/>
      <c r="U22" s="54" t="n"/>
      <c r="V22" s="54" t="n"/>
      <c r="W22" s="54" t="n"/>
      <c r="X22" s="54" t="n"/>
      <c r="Y22" s="55" t="n"/>
    </row>
    <row r="23">
      <c r="B23" s="56" t="inlineStr">
        <is>
          <t>ROUGH OPENING</t>
        </is>
      </c>
      <c r="C23" s="57" t="n"/>
      <c r="D23" s="57" t="n"/>
      <c r="E23" s="57" t="n"/>
      <c r="F23" s="57" t="n"/>
      <c r="G23" s="57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7" t="inlineStr">
        <is>
          <t>HINGE 1</t>
        </is>
      </c>
      <c r="T23" s="43" t="n"/>
      <c r="U23" s="43" t="n"/>
      <c r="V23" s="44">
        <f>IF(ISNUMBER(Calc!$L$40),Calc!$L$40-Calc!$L$22,IF(Calc!$L$26=0,"","NONE"))</f>
        <v/>
      </c>
      <c r="W23" s="45" t="n"/>
      <c r="X23" s="45" t="n"/>
      <c r="Y23" s="49" t="n"/>
    </row>
    <row r="24">
      <c r="B24" s="42" t="inlineStr">
        <is>
          <t>DRYWALL W x H</t>
        </is>
      </c>
      <c r="C24" s="43" t="n"/>
      <c r="D24" s="43" t="n"/>
      <c r="E24" s="58">
        <f>TRIM(TEXT(Calc!$L$16,"# ?/??"))&amp;CHAR(34)&amp;" x "&amp;TRIM(TEXT(Calc!$L$17,"# ?/??"))&amp;CHAR(34)</f>
        <v/>
      </c>
      <c r="F24" s="45" t="n"/>
      <c r="G24" s="45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7" t="inlineStr">
        <is>
          <t>HINGE 2</t>
        </is>
      </c>
      <c r="T24" s="43" t="n"/>
      <c r="U24" s="43" t="n"/>
      <c r="V24" s="44">
        <f>IF(ISNUMBER(Calc!$L$41),Calc!$L$41-Calc!$L$22,IF(Calc!$L$26=0,"","NONE"))</f>
        <v/>
      </c>
      <c r="W24" s="45" t="n"/>
      <c r="X24" s="45" t="n"/>
      <c r="Y24" s="49" t="n"/>
    </row>
    <row r="25">
      <c r="B25" s="42" t="inlineStr">
        <is>
          <t>MASONRY W x H</t>
        </is>
      </c>
      <c r="C25" s="43" t="n"/>
      <c r="D25" s="43" t="n"/>
      <c r="E25" s="58">
        <f>TRIM(TEXT(Calc!$L$18,"# ?/??"))&amp;CHAR(34)&amp;" x "&amp;TRIM(TEXT(Calc!$L$19,"# ?/??"))&amp;CHAR(34)</f>
        <v/>
      </c>
      <c r="F25" s="45" t="n"/>
      <c r="G25" s="45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7" t="inlineStr">
        <is>
          <t>HINGE 3</t>
        </is>
      </c>
      <c r="T25" s="43" t="n"/>
      <c r="U25" s="43" t="n"/>
      <c r="V25" s="44">
        <f>IF(ISNUMBER(Calc!$L$42),Calc!$L$42-Calc!$L$22,IF(Calc!$L$26=0,"","NONE"))</f>
        <v/>
      </c>
      <c r="W25" s="45" t="n"/>
      <c r="X25" s="45" t="n"/>
      <c r="Y25" s="49" t="n"/>
    </row>
    <row r="26">
      <c r="B26" s="42" t="inlineStr">
        <is>
          <t>FACE CHECK</t>
        </is>
      </c>
      <c r="C26" s="43" t="n"/>
      <c r="D26" s="43" t="n"/>
      <c r="E26" s="50">
        <f>IF(OR(Calc!$L$11&lt;1,Calc!$L$11&gt;12,Calc!$L$12&lt;1,Calc!$L$12&gt;12),"ERROR — face out of range","OK")</f>
        <v/>
      </c>
      <c r="F26" s="45" t="n"/>
      <c r="G26" s="45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7" t="inlineStr">
        <is>
          <t>HINGE 4</t>
        </is>
      </c>
      <c r="T26" s="43" t="n"/>
      <c r="U26" s="43" t="n"/>
      <c r="V26" s="44">
        <f>IF(ISNUMBER(Calc!$L$43),Calc!$L$43-Calc!$L$22,IF(Calc!$L$26=0,"","NONE"))</f>
        <v/>
      </c>
      <c r="W26" s="45" t="n"/>
      <c r="X26" s="45" t="n"/>
      <c r="Y26" s="49" t="n"/>
    </row>
    <row r="27">
      <c r="B27" s="52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7" t="inlineStr">
        <is>
          <t>LOCK 1 CYL CL</t>
        </is>
      </c>
      <c r="T27" s="43" t="n"/>
      <c r="U27" s="43" t="n"/>
      <c r="V27" s="59">
        <f>Calc!$L$49</f>
        <v/>
      </c>
      <c r="W27" s="45" t="n"/>
      <c r="X27" s="45" t="n"/>
      <c r="Y27" s="49" t="n"/>
    </row>
    <row r="28">
      <c r="B28" s="60" t="inlineStr">
        <is>
          <t>HARDWARE LOCATIONS — FRAME</t>
        </is>
      </c>
      <c r="C28" s="54" t="n"/>
      <c r="D28" s="54" t="n"/>
      <c r="E28" s="54" t="n"/>
      <c r="F28" s="54" t="n"/>
      <c r="G28" s="54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7" t="inlineStr">
        <is>
          <t>LOCK 2 CYL CL</t>
        </is>
      </c>
      <c r="T28" s="43" t="n"/>
      <c r="U28" s="43" t="n"/>
      <c r="V28" s="59">
        <f>Calc!$L$50</f>
        <v/>
      </c>
      <c r="W28" s="45" t="n"/>
      <c r="X28" s="45" t="n"/>
      <c r="Y28" s="49" t="n"/>
    </row>
    <row r="29">
      <c r="B29" s="42" t="inlineStr">
        <is>
          <t>MANUFACTURER</t>
        </is>
      </c>
      <c r="C29" s="43" t="n"/>
      <c r="D29" s="43" t="n"/>
      <c r="E29" s="61">
        <f>'Tag 3'!$X$7</f>
        <v/>
      </c>
      <c r="F29" s="45" t="n"/>
      <c r="G29" s="45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7" t="inlineStr">
        <is>
          <t>TOP MORTISE LOCK</t>
        </is>
      </c>
      <c r="T29" s="43" t="n"/>
      <c r="U29" s="43" t="n"/>
      <c r="V29" s="48">
        <f>Calc!$L$51</f>
        <v/>
      </c>
      <c r="W29" s="45" t="n"/>
      <c r="X29" s="45" t="n"/>
      <c r="Y29" s="49" t="n"/>
    </row>
    <row r="30">
      <c r="B30" s="42" t="inlineStr">
        <is>
          <t>CHART</t>
        </is>
      </c>
      <c r="C30" s="43" t="n"/>
      <c r="D30" s="43" t="n"/>
      <c r="E30" s="62">
        <f>IF(Calc!$L$29,INT(ROUND(Calc!$L$28,4)/12)&amp;"'-"&amp;IF(ROUND(MOD(Calc!$L$28,12),4)=0,"0",TRIM(TEXT(MOD(Calc!$L$28,12),"# ?/??")))&amp;CHAR(34)&amp;IF(Calc!$L$36," cut down",IF(Calc!$L$38," — NOT STOCK","")),IF(Calc!$L$27,"CUSTOM","ANSI/SDI"))</f>
        <v/>
      </c>
      <c r="F30" s="45" t="n"/>
      <c r="G30" s="45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7" t="inlineStr">
        <is>
          <t>MORTISE TOP TO CL</t>
        </is>
      </c>
      <c r="T30" s="43" t="n"/>
      <c r="U30" s="43" t="n"/>
      <c r="V30" s="48">
        <f>Calc!$L$52</f>
        <v/>
      </c>
      <c r="W30" s="45" t="n"/>
      <c r="X30" s="45" t="n"/>
      <c r="Y30" s="49" t="n"/>
    </row>
    <row r="31">
      <c r="B31" s="42" t="inlineStr">
        <is>
          <t>HINGE 1</t>
        </is>
      </c>
      <c r="C31" s="43" t="n"/>
      <c r="D31" s="43" t="n"/>
      <c r="E31" s="44">
        <f>IF(ISNUMBER(Calc!$L$40),Calc!$L$40,IF(Calc!$L$26=0,IF(AND(0=0,'Tag 3'!$P$7="HGC"),"CONTINUOUS",""),"NONE"))</f>
        <v/>
      </c>
      <c r="F31" s="45" t="n"/>
      <c r="G31" s="45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51" t="n"/>
    </row>
    <row r="32">
      <c r="B32" s="42" t="inlineStr">
        <is>
          <t>HINGE 2</t>
        </is>
      </c>
      <c r="C32" s="43" t="n"/>
      <c r="D32" s="43" t="n"/>
      <c r="E32" s="44">
        <f>IF(ISNUMBER(Calc!$L$41),Calc!$L$41,IF(Calc!$L$26=0,IF(AND(1=0,'Tag 3'!$P$7="HGC"),"CONTINUOUS",""),"NONE"))</f>
        <v/>
      </c>
      <c r="F32" s="45" t="n"/>
      <c r="G32" s="45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63" t="inlineStr">
        <is>
          <t>DOOR ELEVATION</t>
        </is>
      </c>
      <c r="T32" s="57" t="n"/>
      <c r="U32" s="57" t="n"/>
      <c r="V32" s="57" t="n"/>
      <c r="W32" s="57" t="n"/>
      <c r="X32" s="57" t="n"/>
      <c r="Y32" s="64" t="n"/>
    </row>
    <row r="33">
      <c r="B33" s="42" t="inlineStr">
        <is>
          <t>HINGE 3</t>
        </is>
      </c>
      <c r="C33" s="43" t="n"/>
      <c r="D33" s="43" t="n"/>
      <c r="E33" s="44">
        <f>IF(ISNUMBER(Calc!$L$42),Calc!$L$42,IF(Calc!$L$26=0,IF(AND(2=0,'Tag 3'!$P$7="HGC"),"CONTINUOUS",""),"NONE"))</f>
        <v/>
      </c>
      <c r="F33" s="45" t="n"/>
      <c r="G33" s="45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51" t="n"/>
    </row>
    <row r="34">
      <c r="B34" s="42" t="inlineStr">
        <is>
          <t>HINGE 4</t>
        </is>
      </c>
      <c r="C34" s="43" t="n"/>
      <c r="D34" s="43" t="n"/>
      <c r="E34" s="44">
        <f>IF(ISNUMBER(Calc!$L$43),Calc!$L$43,IF(Calc!$L$26=0,IF(AND(3=0,'Tag 3'!$P$7="HGC"),"CONTINUOUS",""),"NONE"))</f>
        <v/>
      </c>
      <c r="F34" s="45" t="n"/>
      <c r="G34" s="45" t="n"/>
      <c r="H34" s="46" t="n"/>
      <c r="I34" s="63" t="inlineStr">
        <is>
          <t>SWING (plan) · JAMB PROFILE</t>
        </is>
      </c>
      <c r="J34" s="57" t="n"/>
      <c r="K34" s="57" t="n"/>
      <c r="L34" s="57" t="n"/>
      <c r="M34" s="57" t="n"/>
      <c r="N34" s="57" t="n"/>
      <c r="O34" s="57" t="n"/>
      <c r="P34" s="57" t="n"/>
      <c r="Q34" s="57" t="n"/>
      <c r="R34" s="46" t="n"/>
      <c r="S34" s="46" t="n"/>
      <c r="T34" s="46" t="n"/>
      <c r="U34" s="46" t="n"/>
      <c r="V34" s="46" t="n"/>
      <c r="W34" s="46" t="n"/>
      <c r="X34" s="46" t="n"/>
      <c r="Y34" s="51" t="n"/>
    </row>
    <row r="35">
      <c r="B35" s="42" t="inlineStr">
        <is>
          <t>STRIKE 1 (E)</t>
        </is>
      </c>
      <c r="C35" s="43" t="n"/>
      <c r="D35" s="43" t="n"/>
      <c r="E35" s="59">
        <f>Calc!$L$46</f>
        <v/>
      </c>
      <c r="F35" s="45" t="n"/>
      <c r="G35" s="45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51" t="n"/>
    </row>
    <row r="36">
      <c r="B36" s="42" t="inlineStr">
        <is>
          <t>STRIKE 2</t>
        </is>
      </c>
      <c r="C36" s="43" t="n"/>
      <c r="D36" s="43" t="n"/>
      <c r="E36" s="59">
        <f>Calc!$L$47</f>
        <v/>
      </c>
      <c r="F36" s="45" t="n"/>
      <c r="G36" s="45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51" t="n"/>
    </row>
    <row r="37">
      <c r="B37" s="52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51" t="n"/>
    </row>
    <row r="38">
      <c r="B38" s="65" t="inlineStr">
        <is>
          <t>OTHER MEASUREMENTS — FRAME</t>
        </is>
      </c>
      <c r="C38" s="66" t="n"/>
      <c r="D38" s="66" t="n"/>
      <c r="E38" s="66" t="n"/>
      <c r="F38" s="66" t="n"/>
      <c r="G38" s="6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51" t="n"/>
    </row>
    <row r="39">
      <c r="B39" s="42" t="inlineStr">
        <is>
          <t>ASA 4-7/8 TOP TO TOP</t>
        </is>
      </c>
      <c r="C39" s="43" t="n"/>
      <c r="D39" s="43" t="n"/>
      <c r="E39" s="48">
        <f>IF(ISNUMBER(Calc!$L$46),Calc!$L$46-2.4375,"")</f>
        <v/>
      </c>
      <c r="F39" s="45" t="n"/>
      <c r="G39" s="45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51" t="n"/>
    </row>
    <row r="40">
      <c r="B40" s="42" t="inlineStr">
        <is>
          <t>ASA 4-7/8 FTC (lock AFF)</t>
        </is>
      </c>
      <c r="C40" s="43" t="n"/>
      <c r="D40" s="43" t="n"/>
      <c r="E40" s="48">
        <f>Calc!$L$53</f>
        <v/>
      </c>
      <c r="F40" s="45" t="n"/>
      <c r="G40" s="45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51" t="n"/>
    </row>
    <row r="41">
      <c r="B41" s="42" t="inlineStr">
        <is>
          <t>DEADBOLT FTC</t>
        </is>
      </c>
      <c r="C41" s="43" t="n"/>
      <c r="D41" s="43" t="n"/>
      <c r="E41" s="48">
        <f>IF(ISNUMBER(Calc!$L$47),Calc!$L$2-Calc!$L$47,"")</f>
        <v/>
      </c>
      <c r="F41" s="45" t="n"/>
      <c r="G41" s="45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51" t="n"/>
    </row>
    <row r="42">
      <c r="B42" s="42" t="inlineStr">
        <is>
          <t>HAND / SWING</t>
        </is>
      </c>
      <c r="C42" s="43" t="n"/>
      <c r="D42" s="43" t="n"/>
      <c r="E42" s="58">
        <f>Calc!$L$87</f>
        <v/>
      </c>
      <c r="F42" s="45" t="n"/>
      <c r="G42" s="45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51" t="n"/>
    </row>
    <row r="43">
      <c r="B43" s="52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51" t="n"/>
    </row>
    <row r="44">
      <c r="B44" s="52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51" t="n"/>
    </row>
    <row r="45">
      <c r="B45" s="52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51" t="n"/>
    </row>
    <row r="46">
      <c r="B46" s="52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51" t="n"/>
    </row>
    <row r="47">
      <c r="B47" s="52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51" t="n"/>
    </row>
    <row r="48">
      <c r="B48" s="52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51" t="n"/>
    </row>
    <row r="49">
      <c r="B49" s="52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51" t="n"/>
    </row>
    <row r="50">
      <c r="B50" s="52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51" t="n"/>
    </row>
    <row r="51">
      <c r="B51" s="52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51" t="n"/>
    </row>
    <row r="52">
      <c r="B52" s="52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51" t="n"/>
    </row>
    <row r="53">
      <c r="B53" s="67" t="inlineStr">
        <is>
          <t>ORDER LINES</t>
        </is>
      </c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9" t="n"/>
    </row>
    <row r="54">
      <c r="B54" s="70" t="inlineStr">
        <is>
          <t>FRAME</t>
        </is>
      </c>
      <c r="C54" s="71" t="n"/>
      <c r="D54" s="72">
        <f>IF(Calc!$L$3,'Tag 3'!$W$4&amp;") "&amp;Calc!$L$64,"")</f>
        <v/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9" t="n"/>
    </row>
    <row r="55">
      <c r="B55" s="70" t="inlineStr">
        <is>
          <t>DOOR</t>
        </is>
      </c>
      <c r="C55" s="71" t="n"/>
      <c r="D55" s="72">
        <f>IF(Calc!$L$3,'Tag 3'!$W$4*Calc!$L$5&amp;") "&amp;Calc!$L$66,"")</f>
        <v/>
      </c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9" t="n"/>
    </row>
    <row r="56" ht="26" customHeight="1">
      <c r="B56" s="73" t="inlineStr">
        <is>
          <t>NOTES</t>
        </is>
      </c>
      <c r="C56" s="74" t="n"/>
      <c r="D56" s="75">
        <f>'Tag 3'!$L$11&amp;""</f>
        <v/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7" t="n"/>
    </row>
    <row r="58">
      <c r="B58" s="78" t="inlineStr">
        <is>
          <t>APPROVED:</t>
        </is>
      </c>
      <c r="E58" s="79" t="n"/>
      <c r="F58" s="25" t="n"/>
      <c r="G58" s="25" t="n"/>
      <c r="H58" s="25" t="n"/>
      <c r="I58" s="25" t="n"/>
      <c r="J58" s="25" t="n"/>
      <c r="K58" s="25" t="n"/>
      <c r="L58" s="78" t="inlineStr">
        <is>
          <t>DATE:</t>
        </is>
      </c>
      <c r="N58" s="79" t="n"/>
      <c r="O58" s="25" t="n"/>
      <c r="P58" s="25" t="n"/>
      <c r="Q58" s="25" t="n"/>
    </row>
    <row r="60">
      <c r="B60" s="80">
        <f>CoPhone</f>
        <v/>
      </c>
      <c r="J60" s="81">
        <f>CoAddr</f>
        <v/>
      </c>
      <c r="R60" s="82">
        <f>CoWeb</f>
        <v/>
      </c>
    </row>
  </sheetData>
  <mergeCells count="136">
    <mergeCell ref="B42:D42"/>
    <mergeCell ref="V26:Y26"/>
    <mergeCell ref="R1:Y1"/>
    <mergeCell ref="S14:U14"/>
    <mergeCell ref="S23:U23"/>
    <mergeCell ref="H10:I10"/>
    <mergeCell ref="J10:K10"/>
    <mergeCell ref="E31:G31"/>
    <mergeCell ref="V16:Y16"/>
    <mergeCell ref="E40:G40"/>
    <mergeCell ref="V25:Y25"/>
    <mergeCell ref="E15:G15"/>
    <mergeCell ref="E8:F8"/>
    <mergeCell ref="H9:I9"/>
    <mergeCell ref="B34:D34"/>
    <mergeCell ref="D6:E6"/>
    <mergeCell ref="D55:Y55"/>
    <mergeCell ref="V18:Y18"/>
    <mergeCell ref="S15:U15"/>
    <mergeCell ref="P6:Q6"/>
    <mergeCell ref="S24:U24"/>
    <mergeCell ref="R6:S6"/>
    <mergeCell ref="E26:G26"/>
    <mergeCell ref="V17:Y17"/>
    <mergeCell ref="D54:Y54"/>
    <mergeCell ref="B30:D30"/>
    <mergeCell ref="B20:D20"/>
    <mergeCell ref="E16:G16"/>
    <mergeCell ref="D7:E7"/>
    <mergeCell ref="X6:Y6"/>
    <mergeCell ref="V20:Y20"/>
    <mergeCell ref="E18:G18"/>
    <mergeCell ref="V29:Y29"/>
    <mergeCell ref="Q9:R9"/>
    <mergeCell ref="S9:T9"/>
    <mergeCell ref="S25:U25"/>
    <mergeCell ref="B55:C55"/>
    <mergeCell ref="E42:G42"/>
    <mergeCell ref="B1:N1"/>
    <mergeCell ref="S27:U27"/>
    <mergeCell ref="R2:Y2"/>
    <mergeCell ref="E35:G35"/>
    <mergeCell ref="V15:Y15"/>
    <mergeCell ref="S17:U17"/>
    <mergeCell ref="S4:T4"/>
    <mergeCell ref="E20:G20"/>
    <mergeCell ref="D10:E10"/>
    <mergeCell ref="N7:O7"/>
    <mergeCell ref="F10:G10"/>
    <mergeCell ref="B8:D8"/>
    <mergeCell ref="U6:V6"/>
    <mergeCell ref="B17:D17"/>
    <mergeCell ref="S28:U28"/>
    <mergeCell ref="E30:G30"/>
    <mergeCell ref="X8:Y8"/>
    <mergeCell ref="L4:Q4"/>
    <mergeCell ref="J60:Q60"/>
    <mergeCell ref="B19:D19"/>
    <mergeCell ref="B11:C11"/>
    <mergeCell ref="E58:K58"/>
    <mergeCell ref="D11:E11"/>
    <mergeCell ref="B9:D9"/>
    <mergeCell ref="U7:V7"/>
    <mergeCell ref="E32:G32"/>
    <mergeCell ref="H11:I11"/>
    <mergeCell ref="B36:D36"/>
    <mergeCell ref="J11:K11"/>
    <mergeCell ref="E41:G41"/>
    <mergeCell ref="S26:U26"/>
    <mergeCell ref="L10:Y10"/>
    <mergeCell ref="V19:Y19"/>
    <mergeCell ref="V28:Y28"/>
    <mergeCell ref="S16:U16"/>
    <mergeCell ref="B6:C6"/>
    <mergeCell ref="E24:G24"/>
    <mergeCell ref="E33:G33"/>
    <mergeCell ref="B31:D31"/>
    <mergeCell ref="N6:O6"/>
    <mergeCell ref="V30:Y30"/>
    <mergeCell ref="S18:U18"/>
    <mergeCell ref="E17:G17"/>
    <mergeCell ref="B21:D21"/>
    <mergeCell ref="K6:L6"/>
    <mergeCell ref="B39:D39"/>
    <mergeCell ref="L11:Y11"/>
    <mergeCell ref="B54:C54"/>
    <mergeCell ref="B14:D14"/>
    <mergeCell ref="E19:G19"/>
    <mergeCell ref="B7:C7"/>
    <mergeCell ref="E34:G34"/>
    <mergeCell ref="D56:Y56"/>
    <mergeCell ref="B56:C56"/>
    <mergeCell ref="C4:J4"/>
    <mergeCell ref="X7:Y7"/>
    <mergeCell ref="E36:G36"/>
    <mergeCell ref="R7:S7"/>
    <mergeCell ref="S30:U30"/>
    <mergeCell ref="V23:Y23"/>
    <mergeCell ref="S20:U20"/>
    <mergeCell ref="S29:U29"/>
    <mergeCell ref="L58:M58"/>
    <mergeCell ref="B41:D41"/>
    <mergeCell ref="B35:D35"/>
    <mergeCell ref="E21:G21"/>
    <mergeCell ref="B25:D25"/>
    <mergeCell ref="B2:N2"/>
    <mergeCell ref="V24:Y24"/>
    <mergeCell ref="K7:L7"/>
    <mergeCell ref="E14:G14"/>
    <mergeCell ref="V27:Y27"/>
    <mergeCell ref="F11:G11"/>
    <mergeCell ref="R60:Y60"/>
    <mergeCell ref="B29:D29"/>
    <mergeCell ref="Q8:R8"/>
    <mergeCell ref="S8:T8"/>
    <mergeCell ref="S19:U19"/>
    <mergeCell ref="B40:D40"/>
    <mergeCell ref="B60:I60"/>
    <mergeCell ref="B15:D15"/>
    <mergeCell ref="E9:F9"/>
    <mergeCell ref="B24:D24"/>
    <mergeCell ref="E25:G25"/>
    <mergeCell ref="B33:D33"/>
    <mergeCell ref="V14:Y14"/>
    <mergeCell ref="P7:Q7"/>
    <mergeCell ref="B32:D32"/>
    <mergeCell ref="B10:C10"/>
    <mergeCell ref="B26:D26"/>
    <mergeCell ref="B16:D16"/>
    <mergeCell ref="N58:Q58"/>
    <mergeCell ref="E39:G39"/>
    <mergeCell ref="B18:D18"/>
    <mergeCell ref="B58:D58"/>
    <mergeCell ref="H8:I8"/>
    <mergeCell ref="X9:Y9"/>
    <mergeCell ref="E29:G29"/>
  </mergeCells>
  <conditionalFormatting sqref="E26">
    <cfRule type="cellIs" priority="1" operator="notEqual" dxfId="0">
      <formula>"OK"</formula>
    </cfRule>
  </conditionalFormatting>
  <dataValidations count="20">
    <dataValidation sqref="B7" showDropDown="0" showInputMessage="0" showErrorMessage="0" allowBlank="1" type="list" errorStyle="warning">
      <formula1>=L_Jamb</formula1>
    </dataValidation>
    <dataValidation sqref="D7" showDropDown="0" showInputMessage="0" showErrorMessage="0" allowBlank="1" type="list" errorStyle="warning">
      <formula1>=L_Fire</formula1>
    </dataValidation>
    <dataValidation sqref="F7" showDropDown="0" showInputMessage="0" showErrorMessage="0" allowBlank="1" type="list" errorStyle="warning">
      <formula1>=L_WFt</formula1>
    </dataValidation>
    <dataValidation sqref="H7" showDropDown="0" showInputMessage="0" showErrorMessage="0" allowBlank="1" type="list" errorStyle="warning">
      <formula1>=L_HFt</formula1>
    </dataValidation>
    <dataValidation sqref="J7" showDropDown="0" showInputMessage="0" showErrorMessage="0" allowBlank="1" type="list" errorStyle="warning">
      <formula1>=L_YN</formula1>
    </dataValidation>
    <dataValidation sqref="K7" showDropDown="0" showInputMessage="0" showErrorMessage="0" allowBlank="1" type="list" errorStyle="warning">
      <formula1>=L_Style</formula1>
    </dataValidation>
    <dataValidation sqref="M7" showDropDown="0" showInputMessage="0" showErrorMessage="0" allowBlank="1" type="list" errorStyle="warning">
      <formula1>=L_Swing</formula1>
    </dataValidation>
    <dataValidation sqref="N7" showDropDown="0" showInputMessage="0" showErrorMessage="0" allowBlank="1" type="list" errorStyle="warning">
      <formula1>=L_Anchor</formula1>
    </dataValidation>
    <dataValidation sqref="P7" showDropDown="0" showInputMessage="0" showErrorMessage="0" allowBlank="1" type="list" errorStyle="warning">
      <formula1>=L_Hinge</formula1>
    </dataValidation>
    <dataValidation sqref="R7" showDropDown="0" showInputMessage="0" showErrorMessage="0" allowBlank="1" type="list" errorStyle="warning">
      <formula1>=L_Strike1</formula1>
    </dataValidation>
    <dataValidation sqref="T7" showDropDown="0" showInputMessage="0" showErrorMessage="0" allowBlank="1" type="list" errorStyle="warning">
      <formula1>=L_Strike2</formula1>
    </dataValidation>
    <dataValidation sqref="U7" showDropDown="0" showInputMessage="0" showErrorMessage="0" allowBlank="1" type="list" errorStyle="warning">
      <formula1>=L_Lock1</formula1>
    </dataValidation>
    <dataValidation sqref="W7" showDropDown="0" showInputMessage="0" showErrorMessage="0" allowBlank="1" type="list" errorStyle="warning">
      <formula1>=L_Lock2</formula1>
    </dataValidation>
    <dataValidation sqref="X7" showDropDown="0" showInputMessage="0" showErrorMessage="0" allowBlank="1" type="list" errorStyle="warning">
      <formula1>=L_Mfr</formula1>
    </dataValidation>
    <dataValidation sqref="B9" showDropDown="0" showInputMessage="0" showErrorMessage="0" allowBlank="1" type="list" errorStyle="warning">
      <formula1>=L_Elev</formula1>
    </dataValidation>
    <dataValidation sqref="E9" showDropDown="0" showInputMessage="0" showErrorMessage="0" allowBlank="1" type="list" errorStyle="warning">
      <formula1>=L_Wall</formula1>
    </dataValidation>
    <dataValidation sqref="G9" showDropDown="0" showInputMessage="0" showErrorMessage="0" allowBlank="1" type="list" errorStyle="warning">
      <formula1>=L_Gauge</formula1>
    </dataValidation>
    <dataValidation sqref="H9" showDropDown="0" showInputMessage="0" showErrorMessage="0" allowBlank="1" type="list" errorStyle="warning">
      <formula1>=L_Mat</formula1>
    </dataValidation>
    <dataValidation sqref="J9" showDropDown="0" showInputMessage="0" showErrorMessage="0" allowBlank="1" type="list" errorStyle="warning">
      <formula1>=L_Gauge</formula1>
    </dataValidation>
    <dataValidation sqref="K9" showDropDown="0" showInputMessage="0" showErrorMessage="0" allowBlank="1" type="list" errorStyle="warning">
      <formula1>=L_Face</formula1>
    </dataValidation>
  </dataValidations>
  <pageMargins left="0.3" right="0.3" top="0.4" bottom="0.4" header="0.5" footer="0.5"/>
  <pageSetup orientation="landscape" fitToHeight="1" fitToWidth="1"/>
  <headerFooter>
    <oddHeader/>
    <oddFooter>&amp;L&amp;8Printed &amp;D &amp;T&amp;R&amp;8Page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E0A030"/>
    <outlinePr summaryBelow="1" summaryRight="1"/>
    <pageSetUpPr fitToPage="1"/>
  </sheetPr>
  <dimension ref="A1:Z6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</cols>
  <sheetData>
    <row r="1" ht="26" customHeight="1">
      <c r="A1" s="1" t="n"/>
      <c r="B1" s="19">
        <f>CoName</f>
        <v/>
      </c>
      <c r="O1" s="1" t="n"/>
      <c r="P1" s="1" t="n"/>
      <c r="Q1" s="1" t="n"/>
      <c r="R1" s="20">
        <f>"TAG "&amp;IF('Tag 4'!$S$4="","4",'Tag 4'!$S$4)&amp;"   ·   QTY "&amp;N('Tag 4'!$W$4)</f>
        <v/>
      </c>
      <c r="Z1" s="1" t="n"/>
    </row>
    <row r="2" ht="16" customHeight="1">
      <c r="A2" s="1" t="n"/>
      <c r="B2" s="21">
        <f>"FRAME CALCULATOR  ·  "&amp;CoSpec1&amp;"  ·  "&amp;CoSpec2</f>
        <v/>
      </c>
      <c r="O2" s="1" t="n"/>
      <c r="P2" s="1" t="n"/>
      <c r="Q2" s="1" t="n"/>
      <c r="R2" s="22">
        <f>"Printed "&amp;TEXT(NOW(),"mm/dd/yyyy hh:mm")</f>
        <v/>
      </c>
      <c r="Z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2" customHeight="1">
      <c r="B4" s="23" t="inlineStr">
        <is>
          <t>CUSTOMER</t>
        </is>
      </c>
      <c r="C4" s="24" t="n"/>
      <c r="D4" s="25" t="n"/>
      <c r="E4" s="25" t="n"/>
      <c r="F4" s="25" t="n"/>
      <c r="G4" s="25" t="n"/>
      <c r="H4" s="25" t="n"/>
      <c r="I4" s="25" t="n"/>
      <c r="J4" s="25" t="n"/>
      <c r="K4" s="23" t="inlineStr">
        <is>
          <t>P.O./JOB</t>
        </is>
      </c>
      <c r="L4" s="24" t="n"/>
      <c r="M4" s="25" t="n"/>
      <c r="N4" s="25" t="n"/>
      <c r="O4" s="25" t="n"/>
      <c r="P4" s="25" t="n"/>
      <c r="Q4" s="25" t="n"/>
      <c r="R4" s="23" t="inlineStr">
        <is>
          <t>TAG #</t>
        </is>
      </c>
      <c r="S4" s="26" t="inlineStr">
        <is>
          <t>4</t>
        </is>
      </c>
      <c r="T4" s="25" t="n"/>
      <c r="V4" s="23" t="inlineStr">
        <is>
          <t>QTY</t>
        </is>
      </c>
      <c r="W4" s="26" t="n">
        <v>1</v>
      </c>
    </row>
    <row r="6" ht="13" customHeight="1">
      <c r="B6" s="27" t="inlineStr">
        <is>
          <t>JAMB DEPTH</t>
        </is>
      </c>
      <c r="C6" s="7" t="n"/>
      <c r="D6" s="27" t="inlineStr">
        <is>
          <t>FIRE RATING</t>
        </is>
      </c>
      <c r="E6" s="7" t="n"/>
      <c r="F6" s="27" t="inlineStr">
        <is>
          <t>W FT</t>
        </is>
      </c>
      <c r="G6" s="27" t="inlineStr">
        <is>
          <t>W IN</t>
        </is>
      </c>
      <c r="H6" s="27" t="inlineStr">
        <is>
          <t>H FT</t>
        </is>
      </c>
      <c r="I6" s="27" t="inlineStr">
        <is>
          <t>H IN</t>
        </is>
      </c>
      <c r="J6" s="27" t="inlineStr">
        <is>
          <t>PAIR</t>
        </is>
      </c>
      <c r="K6" s="27" t="inlineStr">
        <is>
          <t>CONST. STYLE</t>
        </is>
      </c>
      <c r="L6" s="7" t="n"/>
      <c r="M6" s="27" t="inlineStr">
        <is>
          <t>SWING</t>
        </is>
      </c>
      <c r="N6" s="27" t="inlineStr">
        <is>
          <t>ANCHOR</t>
        </is>
      </c>
      <c r="O6" s="7" t="n"/>
      <c r="P6" s="27" t="inlineStr">
        <is>
          <t>HINGE</t>
        </is>
      </c>
      <c r="Q6" s="7" t="n"/>
      <c r="R6" s="27" t="inlineStr">
        <is>
          <t>STRIKE 1</t>
        </is>
      </c>
      <c r="S6" s="7" t="n"/>
      <c r="T6" s="27" t="inlineStr">
        <is>
          <t>STRIKE 2</t>
        </is>
      </c>
      <c r="U6" s="27" t="inlineStr">
        <is>
          <t>LOCK 1</t>
        </is>
      </c>
      <c r="V6" s="7" t="n"/>
      <c r="W6" s="27" t="inlineStr">
        <is>
          <t>LOCK 2</t>
        </is>
      </c>
      <c r="X6" s="27" t="inlineStr">
        <is>
          <t>LOCATIONS</t>
        </is>
      </c>
      <c r="Y6" s="7" t="n"/>
    </row>
    <row r="7" ht="20" customHeight="1">
      <c r="B7" s="28" t="n">
        <v>534</v>
      </c>
      <c r="C7" s="29" t="n"/>
      <c r="D7" s="28" t="inlineStr">
        <is>
          <t>NO LAB</t>
        </is>
      </c>
      <c r="E7" s="29" t="n"/>
      <c r="F7" s="28" t="n">
        <v>6</v>
      </c>
      <c r="G7" s="28" t="n">
        <v>0</v>
      </c>
      <c r="H7" s="28" t="n">
        <v>7</v>
      </c>
      <c r="I7" s="28" t="n">
        <v>0</v>
      </c>
      <c r="J7" s="28" t="inlineStr">
        <is>
          <t>Y</t>
        </is>
      </c>
      <c r="K7" s="28" t="inlineStr">
        <is>
          <t>WELDED</t>
        </is>
      </c>
      <c r="L7" s="29" t="n"/>
      <c r="M7" s="28" t="inlineStr">
        <is>
          <t>RHR</t>
        </is>
      </c>
      <c r="N7" s="30" t="inlineStr">
        <is>
          <t>SSA</t>
        </is>
      </c>
      <c r="O7" s="29" t="n"/>
      <c r="P7" s="28" t="inlineStr">
        <is>
          <t>U453</t>
        </is>
      </c>
      <c r="Q7" s="29" t="n"/>
      <c r="R7" s="28" t="inlineStr">
        <is>
          <t>G18</t>
        </is>
      </c>
      <c r="S7" s="29" t="n"/>
      <c r="T7" s="28" t="n"/>
      <c r="U7" s="28" t="inlineStr">
        <is>
          <t>G2</t>
        </is>
      </c>
      <c r="V7" s="29" t="n"/>
      <c r="W7" s="28" t="n"/>
      <c r="X7" s="30" t="inlineStr">
        <is>
          <t>STEELCRAFT</t>
        </is>
      </c>
      <c r="Y7" s="29" t="n"/>
    </row>
    <row r="8" ht="13" customHeight="1">
      <c r="B8" s="31" t="inlineStr">
        <is>
          <t>ELEVATION</t>
        </is>
      </c>
      <c r="C8" s="32" t="n"/>
      <c r="D8" s="32" t="n"/>
      <c r="E8" s="31" t="inlineStr">
        <is>
          <t>WALL</t>
        </is>
      </c>
      <c r="F8" s="32" t="n"/>
      <c r="G8" s="31" t="inlineStr">
        <is>
          <t>FRAME GA</t>
        </is>
      </c>
      <c r="H8" s="31" t="inlineStr">
        <is>
          <t>DOOR</t>
        </is>
      </c>
      <c r="I8" s="32" t="n"/>
      <c r="J8" s="31" t="inlineStr">
        <is>
          <t>DOOR GA</t>
        </is>
      </c>
      <c r="K8" s="31" t="inlineStr">
        <is>
          <t>HEAD FACE</t>
        </is>
      </c>
      <c r="L8" s="31" t="inlineStr">
        <is>
          <t>JAMB FACE</t>
        </is>
      </c>
      <c r="M8" s="31" t="inlineStr">
        <is>
          <t>REV HINGE</t>
        </is>
      </c>
      <c r="N8" s="31" t="inlineStr">
        <is>
          <t>REV LOCK</t>
        </is>
      </c>
      <c r="O8" s="31" t="inlineStr">
        <is>
          <t>REV TOP</t>
        </is>
      </c>
      <c r="P8" s="31" t="inlineStr">
        <is>
          <t>UNDERCUT</t>
        </is>
      </c>
      <c r="Q8" s="31" t="inlineStr">
        <is>
          <t>MASONRY R.O. W</t>
        </is>
      </c>
      <c r="R8" s="32" t="n"/>
      <c r="S8" s="31" t="inlineStr">
        <is>
          <t>MASONRY R.O. H</t>
        </is>
      </c>
      <c r="T8" s="32" t="n"/>
      <c r="U8" s="31" t="inlineStr">
        <is>
          <t>TOL. EA SIDE</t>
        </is>
      </c>
      <c r="V8" s="31" t="inlineStr">
        <is>
          <t>LITE W</t>
        </is>
      </c>
      <c r="W8" s="31" t="inlineStr">
        <is>
          <t>LITE H</t>
        </is>
      </c>
      <c r="X8" s="31" t="inlineStr">
        <is>
          <t>LITE TOP</t>
        </is>
      </c>
      <c r="Y8" s="32" t="n"/>
    </row>
    <row r="9" ht="20" customHeight="1">
      <c r="B9" s="30" t="inlineStr">
        <is>
          <t>FNV 6"x27"</t>
        </is>
      </c>
      <c r="C9" s="29" t="n"/>
      <c r="D9" s="29" t="n"/>
      <c r="E9" s="28" t="inlineStr">
        <is>
          <t>MASONRY</t>
        </is>
      </c>
      <c r="F9" s="29" t="n"/>
      <c r="G9" s="28" t="n">
        <v>16</v>
      </c>
      <c r="H9" s="28" t="inlineStr">
        <is>
          <t>HM</t>
        </is>
      </c>
      <c r="I9" s="29" t="n"/>
      <c r="J9" s="28" t="n">
        <v>18</v>
      </c>
      <c r="K9" s="28" t="n">
        <v>2</v>
      </c>
      <c r="L9" s="28" t="n">
        <v>2</v>
      </c>
      <c r="M9" s="33" t="n"/>
      <c r="N9" s="33" t="n"/>
      <c r="O9" s="33" t="n"/>
      <c r="P9" s="33" t="n"/>
      <c r="Q9" s="33" t="n"/>
      <c r="R9" s="29" t="n"/>
      <c r="S9" s="33" t="n"/>
      <c r="T9" s="29" t="n"/>
      <c r="U9" s="33" t="n"/>
      <c r="V9" s="28" t="n"/>
      <c r="W9" s="28" t="n"/>
      <c r="X9" s="33" t="n"/>
      <c r="Y9" s="29" t="n"/>
    </row>
    <row r="10" ht="13" customHeight="1">
      <c r="B10" s="34" t="inlineStr">
        <is>
          <t>CUSTOM A</t>
        </is>
      </c>
      <c r="C10" s="35" t="n"/>
      <c r="D10" s="34" t="inlineStr">
        <is>
          <t>CUSTOM B</t>
        </is>
      </c>
      <c r="E10" s="35" t="n"/>
      <c r="F10" s="34" t="inlineStr">
        <is>
          <t>CUSTOM C</t>
        </is>
      </c>
      <c r="G10" s="35" t="n"/>
      <c r="H10" s="34" t="inlineStr">
        <is>
          <t>CUSTOM D</t>
        </is>
      </c>
      <c r="I10" s="35" t="n"/>
      <c r="J10" s="34" t="inlineStr">
        <is>
          <t>CUSTOM E</t>
        </is>
      </c>
      <c r="K10" s="35" t="n"/>
      <c r="L10" s="34" t="inlineStr">
        <is>
          <t>HARDWARE NOTES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</row>
    <row r="11" ht="20" customHeight="1">
      <c r="B11" s="33" t="n"/>
      <c r="C11" s="29" t="n"/>
      <c r="D11" s="33" t="n"/>
      <c r="E11" s="29" t="n"/>
      <c r="F11" s="33" t="n"/>
      <c r="G11" s="29" t="n"/>
      <c r="H11" s="33" t="n"/>
      <c r="I11" s="29" t="n"/>
      <c r="J11" s="33" t="n"/>
      <c r="K11" s="29" t="n"/>
      <c r="L11" s="36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</row>
    <row r="13">
      <c r="B13" s="37" t="inlineStr">
        <is>
          <t>FRAME SIZE INFO</t>
        </is>
      </c>
      <c r="C13" s="38" t="n"/>
      <c r="D13" s="38" t="n"/>
      <c r="E13" s="38" t="n"/>
      <c r="F13" s="38" t="n"/>
      <c r="G13" s="38" t="n"/>
      <c r="H13" s="39" t="n"/>
      <c r="I13" s="40" t="inlineStr">
        <is>
          <t>FRAME ELEVATION — locations from the top of the frame</t>
        </is>
      </c>
      <c r="J13" s="38" t="n"/>
      <c r="K13" s="38" t="n"/>
      <c r="L13" s="38" t="n"/>
      <c r="M13" s="38" t="n"/>
      <c r="N13" s="38" t="n"/>
      <c r="O13" s="38" t="n"/>
      <c r="P13" s="38" t="n"/>
      <c r="Q13" s="38" t="n"/>
      <c r="R13" s="39" t="n"/>
      <c r="S13" s="40" t="inlineStr">
        <is>
          <t>DOOR SIZE INFO</t>
        </is>
      </c>
      <c r="T13" s="38" t="n"/>
      <c r="U13" s="38" t="n"/>
      <c r="V13" s="38" t="n"/>
      <c r="W13" s="38" t="n"/>
      <c r="X13" s="38" t="n"/>
      <c r="Y13" s="41" t="n"/>
    </row>
    <row r="14">
      <c r="B14" s="42" t="inlineStr">
        <is>
          <t>INSIDE WIDTH</t>
        </is>
      </c>
      <c r="C14" s="43" t="n"/>
      <c r="D14" s="43" t="n"/>
      <c r="E14" s="44">
        <f>Calc!$Q$1</f>
        <v/>
      </c>
      <c r="F14" s="45" t="n"/>
      <c r="G14" s="45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 t="inlineStr">
        <is>
          <t>OPENING WIDTH</t>
        </is>
      </c>
      <c r="T14" s="43" t="n"/>
      <c r="U14" s="43" t="n"/>
      <c r="V14" s="48">
        <f>Calc!$Q$1</f>
        <v/>
      </c>
      <c r="W14" s="45" t="n"/>
      <c r="X14" s="45" t="n"/>
      <c r="Y14" s="49" t="n"/>
    </row>
    <row r="15">
      <c r="B15" s="42" t="inlineStr">
        <is>
          <t>INSIDE HEIGHT</t>
        </is>
      </c>
      <c r="C15" s="43" t="n"/>
      <c r="D15" s="43" t="n"/>
      <c r="E15" s="44">
        <f>Calc!$Q$2</f>
        <v/>
      </c>
      <c r="F15" s="45" t="n"/>
      <c r="G15" s="45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7" t="inlineStr">
        <is>
          <t>OPENING HEIGHT</t>
        </is>
      </c>
      <c r="T15" s="43" t="n"/>
      <c r="U15" s="43" t="n"/>
      <c r="V15" s="48">
        <f>Calc!$Q$2</f>
        <v/>
      </c>
      <c r="W15" s="45" t="n"/>
      <c r="X15" s="45" t="n"/>
      <c r="Y15" s="49" t="n"/>
    </row>
    <row r="16">
      <c r="B16" s="42" t="inlineStr">
        <is>
          <t>OUTSIDE WIDTH</t>
        </is>
      </c>
      <c r="C16" s="43" t="n"/>
      <c r="D16" s="43" t="n"/>
      <c r="E16" s="44">
        <f>Calc!$Q$13</f>
        <v/>
      </c>
      <c r="F16" s="45" t="n"/>
      <c r="G16" s="45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 t="inlineStr">
        <is>
          <t>ACTUAL WIDTH</t>
        </is>
      </c>
      <c r="T16" s="43" t="n"/>
      <c r="U16" s="43" t="n"/>
      <c r="V16" s="44">
        <f>Calc!$Q$24</f>
        <v/>
      </c>
      <c r="W16" s="45" t="n"/>
      <c r="X16" s="45" t="n"/>
      <c r="Y16" s="49" t="n"/>
    </row>
    <row r="17">
      <c r="B17" s="42" t="inlineStr">
        <is>
          <t>OUTSIDE HEIGHT</t>
        </is>
      </c>
      <c r="C17" s="43" t="n"/>
      <c r="D17" s="43" t="n"/>
      <c r="E17" s="44">
        <f>Calc!$Q$14</f>
        <v/>
      </c>
      <c r="F17" s="45" t="n"/>
      <c r="G17" s="45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 t="inlineStr">
        <is>
          <t>ACTUAL HEIGHT</t>
        </is>
      </c>
      <c r="T17" s="43" t="n"/>
      <c r="U17" s="43" t="n"/>
      <c r="V17" s="44">
        <f>Calc!$Q$25</f>
        <v/>
      </c>
      <c r="W17" s="45" t="n"/>
      <c r="X17" s="45" t="n"/>
      <c r="Y17" s="49" t="n"/>
    </row>
    <row r="18">
      <c r="B18" s="42" t="inlineStr">
        <is>
          <t>HEADER FACE</t>
        </is>
      </c>
      <c r="C18" s="43" t="n"/>
      <c r="D18" s="43" t="n"/>
      <c r="E18" s="48">
        <f>Calc!$Q$12</f>
        <v/>
      </c>
      <c r="F18" s="45" t="n"/>
      <c r="G18" s="45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 t="inlineStr">
        <is>
          <t>REVEAL HINGE / LOCK / TOP</t>
        </is>
      </c>
      <c r="T18" s="43" t="n"/>
      <c r="U18" s="43" t="n"/>
      <c r="V18" s="50">
        <f>TRIM(TEXT(Calc!$Q$20,"# ?/??"))&amp;CHAR(34)&amp;" · "&amp;TRIM(TEXT(Calc!$Q$21,"# ?/??"))&amp;CHAR(34)&amp;" · "&amp;TRIM(TEXT(Calc!$Q$22,"# ?/??"))&amp;CHAR(34)</f>
        <v/>
      </c>
      <c r="W18" s="45" t="n"/>
      <c r="X18" s="45" t="n"/>
      <c r="Y18" s="49" t="n"/>
    </row>
    <row r="19">
      <c r="B19" s="42" t="inlineStr">
        <is>
          <t>HINGE &amp; STRIKE FACE</t>
        </is>
      </c>
      <c r="C19" s="43" t="n"/>
      <c r="D19" s="43" t="n"/>
      <c r="E19" s="48">
        <f>Calc!$Q$11</f>
        <v/>
      </c>
      <c r="F19" s="45" t="n"/>
      <c r="G19" s="45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 t="inlineStr">
        <is>
          <t>UNDERCUT</t>
        </is>
      </c>
      <c r="T19" s="43" t="n"/>
      <c r="U19" s="43" t="n"/>
      <c r="V19" s="48">
        <f>Calc!$Q$23</f>
        <v/>
      </c>
      <c r="W19" s="45" t="n"/>
      <c r="X19" s="45" t="n"/>
      <c r="Y19" s="49" t="n"/>
    </row>
    <row r="20">
      <c r="B20" s="42" t="inlineStr">
        <is>
          <t>JAMB DEPTH</t>
        </is>
      </c>
      <c r="C20" s="43" t="n"/>
      <c r="D20" s="43" t="n"/>
      <c r="E20" s="50">
        <f>Calc!$Q$7</f>
        <v/>
      </c>
      <c r="F20" s="45" t="n"/>
      <c r="G20" s="45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 t="inlineStr">
        <is>
          <t>LITE KIT</t>
        </is>
      </c>
      <c r="T20" s="43" t="n"/>
      <c r="U20" s="43" t="n"/>
      <c r="V20" s="50">
        <f>IF(Calc!$Q$59,Calc!$Q$86&amp;"  ·  top "&amp;TRIM(TEXT(Calc!$Q$58,"# ?/??"))&amp;CHAR(34),"FLUSH")</f>
        <v/>
      </c>
      <c r="W20" s="45" t="n"/>
      <c r="X20" s="45" t="n"/>
      <c r="Y20" s="49" t="n"/>
    </row>
    <row r="21">
      <c r="B21" s="42" t="inlineStr">
        <is>
          <t>FITS WALL (throat)</t>
        </is>
      </c>
      <c r="C21" s="43" t="n"/>
      <c r="D21" s="43" t="n"/>
      <c r="E21" s="48">
        <f>Calc!$Q$15</f>
        <v/>
      </c>
      <c r="F21" s="45" t="n"/>
      <c r="G21" s="45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51" t="n"/>
    </row>
    <row r="22">
      <c r="B22" s="52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53" t="inlineStr">
        <is>
          <t>HARDWARE LOCATIONS — DOOR (from top of door)</t>
        </is>
      </c>
      <c r="T22" s="54" t="n"/>
      <c r="U22" s="54" t="n"/>
      <c r="V22" s="54" t="n"/>
      <c r="W22" s="54" t="n"/>
      <c r="X22" s="54" t="n"/>
      <c r="Y22" s="55" t="n"/>
    </row>
    <row r="23">
      <c r="B23" s="56" t="inlineStr">
        <is>
          <t>ROUGH OPENING</t>
        </is>
      </c>
      <c r="C23" s="57" t="n"/>
      <c r="D23" s="57" t="n"/>
      <c r="E23" s="57" t="n"/>
      <c r="F23" s="57" t="n"/>
      <c r="G23" s="57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7" t="inlineStr">
        <is>
          <t>HINGE 1</t>
        </is>
      </c>
      <c r="T23" s="43" t="n"/>
      <c r="U23" s="43" t="n"/>
      <c r="V23" s="44">
        <f>IF(ISNUMBER(Calc!$Q$40),Calc!$Q$40-Calc!$Q$22,IF(Calc!$Q$26=0,"","NONE"))</f>
        <v/>
      </c>
      <c r="W23" s="45" t="n"/>
      <c r="X23" s="45" t="n"/>
      <c r="Y23" s="49" t="n"/>
    </row>
    <row r="24">
      <c r="B24" s="42" t="inlineStr">
        <is>
          <t>DRYWALL W x H</t>
        </is>
      </c>
      <c r="C24" s="43" t="n"/>
      <c r="D24" s="43" t="n"/>
      <c r="E24" s="58">
        <f>TRIM(TEXT(Calc!$Q$16,"# ?/??"))&amp;CHAR(34)&amp;" x "&amp;TRIM(TEXT(Calc!$Q$17,"# ?/??"))&amp;CHAR(34)</f>
        <v/>
      </c>
      <c r="F24" s="45" t="n"/>
      <c r="G24" s="45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7" t="inlineStr">
        <is>
          <t>HINGE 2</t>
        </is>
      </c>
      <c r="T24" s="43" t="n"/>
      <c r="U24" s="43" t="n"/>
      <c r="V24" s="44">
        <f>IF(ISNUMBER(Calc!$Q$41),Calc!$Q$41-Calc!$Q$22,IF(Calc!$Q$26=0,"","NONE"))</f>
        <v/>
      </c>
      <c r="W24" s="45" t="n"/>
      <c r="X24" s="45" t="n"/>
      <c r="Y24" s="49" t="n"/>
    </row>
    <row r="25">
      <c r="B25" s="42" t="inlineStr">
        <is>
          <t>MASONRY W x H</t>
        </is>
      </c>
      <c r="C25" s="43" t="n"/>
      <c r="D25" s="43" t="n"/>
      <c r="E25" s="58">
        <f>TRIM(TEXT(Calc!$Q$18,"# ?/??"))&amp;CHAR(34)&amp;" x "&amp;TRIM(TEXT(Calc!$Q$19,"# ?/??"))&amp;CHAR(34)</f>
        <v/>
      </c>
      <c r="F25" s="45" t="n"/>
      <c r="G25" s="45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7" t="inlineStr">
        <is>
          <t>HINGE 3</t>
        </is>
      </c>
      <c r="T25" s="43" t="n"/>
      <c r="U25" s="43" t="n"/>
      <c r="V25" s="44">
        <f>IF(ISNUMBER(Calc!$Q$42),Calc!$Q$42-Calc!$Q$22,IF(Calc!$Q$26=0,"","NONE"))</f>
        <v/>
      </c>
      <c r="W25" s="45" t="n"/>
      <c r="X25" s="45" t="n"/>
      <c r="Y25" s="49" t="n"/>
    </row>
    <row r="26">
      <c r="B26" s="42" t="inlineStr">
        <is>
          <t>FACE CHECK</t>
        </is>
      </c>
      <c r="C26" s="43" t="n"/>
      <c r="D26" s="43" t="n"/>
      <c r="E26" s="50">
        <f>IF(OR(Calc!$Q$11&lt;1,Calc!$Q$11&gt;12,Calc!$Q$12&lt;1,Calc!$Q$12&gt;12),"ERROR — face out of range","OK")</f>
        <v/>
      </c>
      <c r="F26" s="45" t="n"/>
      <c r="G26" s="45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7" t="inlineStr">
        <is>
          <t>HINGE 4</t>
        </is>
      </c>
      <c r="T26" s="43" t="n"/>
      <c r="U26" s="43" t="n"/>
      <c r="V26" s="44">
        <f>IF(ISNUMBER(Calc!$Q$43),Calc!$Q$43-Calc!$Q$22,IF(Calc!$Q$26=0,"","NONE"))</f>
        <v/>
      </c>
      <c r="W26" s="45" t="n"/>
      <c r="X26" s="45" t="n"/>
      <c r="Y26" s="49" t="n"/>
    </row>
    <row r="27">
      <c r="B27" s="52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7" t="inlineStr">
        <is>
          <t>LOCK 1 CYL CL</t>
        </is>
      </c>
      <c r="T27" s="43" t="n"/>
      <c r="U27" s="43" t="n"/>
      <c r="V27" s="59">
        <f>Calc!$Q$49</f>
        <v/>
      </c>
      <c r="W27" s="45" t="n"/>
      <c r="X27" s="45" t="n"/>
      <c r="Y27" s="49" t="n"/>
    </row>
    <row r="28">
      <c r="B28" s="60" t="inlineStr">
        <is>
          <t>HARDWARE LOCATIONS — FRAME</t>
        </is>
      </c>
      <c r="C28" s="54" t="n"/>
      <c r="D28" s="54" t="n"/>
      <c r="E28" s="54" t="n"/>
      <c r="F28" s="54" t="n"/>
      <c r="G28" s="54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7" t="inlineStr">
        <is>
          <t>LOCK 2 CYL CL</t>
        </is>
      </c>
      <c r="T28" s="43" t="n"/>
      <c r="U28" s="43" t="n"/>
      <c r="V28" s="59">
        <f>Calc!$Q$50</f>
        <v/>
      </c>
      <c r="W28" s="45" t="n"/>
      <c r="X28" s="45" t="n"/>
      <c r="Y28" s="49" t="n"/>
    </row>
    <row r="29">
      <c r="B29" s="42" t="inlineStr">
        <is>
          <t>MANUFACTURER</t>
        </is>
      </c>
      <c r="C29" s="43" t="n"/>
      <c r="D29" s="43" t="n"/>
      <c r="E29" s="61">
        <f>'Tag 4'!$X$7</f>
        <v/>
      </c>
      <c r="F29" s="45" t="n"/>
      <c r="G29" s="45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7" t="inlineStr">
        <is>
          <t>TOP MORTISE LOCK</t>
        </is>
      </c>
      <c r="T29" s="43" t="n"/>
      <c r="U29" s="43" t="n"/>
      <c r="V29" s="48">
        <f>Calc!$Q$51</f>
        <v/>
      </c>
      <c r="W29" s="45" t="n"/>
      <c r="X29" s="45" t="n"/>
      <c r="Y29" s="49" t="n"/>
    </row>
    <row r="30">
      <c r="B30" s="42" t="inlineStr">
        <is>
          <t>CHART</t>
        </is>
      </c>
      <c r="C30" s="43" t="n"/>
      <c r="D30" s="43" t="n"/>
      <c r="E30" s="62">
        <f>IF(Calc!$Q$29,INT(ROUND(Calc!$Q$28,4)/12)&amp;"'-"&amp;IF(ROUND(MOD(Calc!$Q$28,12),4)=0,"0",TRIM(TEXT(MOD(Calc!$Q$28,12),"# ?/??")))&amp;CHAR(34)&amp;IF(Calc!$Q$36," cut down",IF(Calc!$Q$38," — NOT STOCK","")),IF(Calc!$Q$27,"CUSTOM","ANSI/SDI"))</f>
        <v/>
      </c>
      <c r="F30" s="45" t="n"/>
      <c r="G30" s="45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7" t="inlineStr">
        <is>
          <t>MORTISE TOP TO CL</t>
        </is>
      </c>
      <c r="T30" s="43" t="n"/>
      <c r="U30" s="43" t="n"/>
      <c r="V30" s="48">
        <f>Calc!$Q$52</f>
        <v/>
      </c>
      <c r="W30" s="45" t="n"/>
      <c r="X30" s="45" t="n"/>
      <c r="Y30" s="49" t="n"/>
    </row>
    <row r="31">
      <c r="B31" s="42" t="inlineStr">
        <is>
          <t>HINGE 1</t>
        </is>
      </c>
      <c r="C31" s="43" t="n"/>
      <c r="D31" s="43" t="n"/>
      <c r="E31" s="44">
        <f>IF(ISNUMBER(Calc!$Q$40),Calc!$Q$40,IF(Calc!$Q$26=0,IF(AND(0=0,'Tag 4'!$P$7="HGC"),"CONTINUOUS",""),"NONE"))</f>
        <v/>
      </c>
      <c r="F31" s="45" t="n"/>
      <c r="G31" s="45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51" t="n"/>
    </row>
    <row r="32">
      <c r="B32" s="42" t="inlineStr">
        <is>
          <t>HINGE 2</t>
        </is>
      </c>
      <c r="C32" s="43" t="n"/>
      <c r="D32" s="43" t="n"/>
      <c r="E32" s="44">
        <f>IF(ISNUMBER(Calc!$Q$41),Calc!$Q$41,IF(Calc!$Q$26=0,IF(AND(1=0,'Tag 4'!$P$7="HGC"),"CONTINUOUS",""),"NONE"))</f>
        <v/>
      </c>
      <c r="F32" s="45" t="n"/>
      <c r="G32" s="45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63" t="inlineStr">
        <is>
          <t>DOOR ELEVATION</t>
        </is>
      </c>
      <c r="T32" s="57" t="n"/>
      <c r="U32" s="57" t="n"/>
      <c r="V32" s="57" t="n"/>
      <c r="W32" s="57" t="n"/>
      <c r="X32" s="57" t="n"/>
      <c r="Y32" s="64" t="n"/>
    </row>
    <row r="33">
      <c r="B33" s="42" t="inlineStr">
        <is>
          <t>HINGE 3</t>
        </is>
      </c>
      <c r="C33" s="43" t="n"/>
      <c r="D33" s="43" t="n"/>
      <c r="E33" s="44">
        <f>IF(ISNUMBER(Calc!$Q$42),Calc!$Q$42,IF(Calc!$Q$26=0,IF(AND(2=0,'Tag 4'!$P$7="HGC"),"CONTINUOUS",""),"NONE"))</f>
        <v/>
      </c>
      <c r="F33" s="45" t="n"/>
      <c r="G33" s="45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51" t="n"/>
    </row>
    <row r="34">
      <c r="B34" s="42" t="inlineStr">
        <is>
          <t>HINGE 4</t>
        </is>
      </c>
      <c r="C34" s="43" t="n"/>
      <c r="D34" s="43" t="n"/>
      <c r="E34" s="44">
        <f>IF(ISNUMBER(Calc!$Q$43),Calc!$Q$43,IF(Calc!$Q$26=0,IF(AND(3=0,'Tag 4'!$P$7="HGC"),"CONTINUOUS",""),"NONE"))</f>
        <v/>
      </c>
      <c r="F34" s="45" t="n"/>
      <c r="G34" s="45" t="n"/>
      <c r="H34" s="46" t="n"/>
      <c r="I34" s="63" t="inlineStr">
        <is>
          <t>SWING (plan) · JAMB PROFILE</t>
        </is>
      </c>
      <c r="J34" s="57" t="n"/>
      <c r="K34" s="57" t="n"/>
      <c r="L34" s="57" t="n"/>
      <c r="M34" s="57" t="n"/>
      <c r="N34" s="57" t="n"/>
      <c r="O34" s="57" t="n"/>
      <c r="P34" s="57" t="n"/>
      <c r="Q34" s="57" t="n"/>
      <c r="R34" s="46" t="n"/>
      <c r="S34" s="46" t="n"/>
      <c r="T34" s="46" t="n"/>
      <c r="U34" s="46" t="n"/>
      <c r="V34" s="46" t="n"/>
      <c r="W34" s="46" t="n"/>
      <c r="X34" s="46" t="n"/>
      <c r="Y34" s="51" t="n"/>
    </row>
    <row r="35">
      <c r="B35" s="42" t="inlineStr">
        <is>
          <t>STRIKE 1 (E)</t>
        </is>
      </c>
      <c r="C35" s="43" t="n"/>
      <c r="D35" s="43" t="n"/>
      <c r="E35" s="59">
        <f>Calc!$Q$46</f>
        <v/>
      </c>
      <c r="F35" s="45" t="n"/>
      <c r="G35" s="45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51" t="n"/>
    </row>
    <row r="36">
      <c r="B36" s="42" t="inlineStr">
        <is>
          <t>STRIKE 2</t>
        </is>
      </c>
      <c r="C36" s="43" t="n"/>
      <c r="D36" s="43" t="n"/>
      <c r="E36" s="59">
        <f>Calc!$Q$47</f>
        <v/>
      </c>
      <c r="F36" s="45" t="n"/>
      <c r="G36" s="45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51" t="n"/>
    </row>
    <row r="37">
      <c r="B37" s="52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51" t="n"/>
    </row>
    <row r="38">
      <c r="B38" s="65" t="inlineStr">
        <is>
          <t>OTHER MEASUREMENTS — FRAME</t>
        </is>
      </c>
      <c r="C38" s="66" t="n"/>
      <c r="D38" s="66" t="n"/>
      <c r="E38" s="66" t="n"/>
      <c r="F38" s="66" t="n"/>
      <c r="G38" s="6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51" t="n"/>
    </row>
    <row r="39">
      <c r="B39" s="42" t="inlineStr">
        <is>
          <t>ASA 4-7/8 TOP TO TOP</t>
        </is>
      </c>
      <c r="C39" s="43" t="n"/>
      <c r="D39" s="43" t="n"/>
      <c r="E39" s="48">
        <f>IF(ISNUMBER(Calc!$Q$46),Calc!$Q$46-2.4375,"")</f>
        <v/>
      </c>
      <c r="F39" s="45" t="n"/>
      <c r="G39" s="45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51" t="n"/>
    </row>
    <row r="40">
      <c r="B40" s="42" t="inlineStr">
        <is>
          <t>ASA 4-7/8 FTC (lock AFF)</t>
        </is>
      </c>
      <c r="C40" s="43" t="n"/>
      <c r="D40" s="43" t="n"/>
      <c r="E40" s="48">
        <f>Calc!$Q$53</f>
        <v/>
      </c>
      <c r="F40" s="45" t="n"/>
      <c r="G40" s="45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51" t="n"/>
    </row>
    <row r="41">
      <c r="B41" s="42" t="inlineStr">
        <is>
          <t>DEADBOLT FTC</t>
        </is>
      </c>
      <c r="C41" s="43" t="n"/>
      <c r="D41" s="43" t="n"/>
      <c r="E41" s="48">
        <f>IF(ISNUMBER(Calc!$Q$47),Calc!$Q$2-Calc!$Q$47,"")</f>
        <v/>
      </c>
      <c r="F41" s="45" t="n"/>
      <c r="G41" s="45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51" t="n"/>
    </row>
    <row r="42">
      <c r="B42" s="42" t="inlineStr">
        <is>
          <t>HAND / SWING</t>
        </is>
      </c>
      <c r="C42" s="43" t="n"/>
      <c r="D42" s="43" t="n"/>
      <c r="E42" s="58">
        <f>Calc!$Q$87</f>
        <v/>
      </c>
      <c r="F42" s="45" t="n"/>
      <c r="G42" s="45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51" t="n"/>
    </row>
    <row r="43">
      <c r="B43" s="52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51" t="n"/>
    </row>
    <row r="44">
      <c r="B44" s="52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51" t="n"/>
    </row>
    <row r="45">
      <c r="B45" s="52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51" t="n"/>
    </row>
    <row r="46">
      <c r="B46" s="52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51" t="n"/>
    </row>
    <row r="47">
      <c r="B47" s="52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51" t="n"/>
    </row>
    <row r="48">
      <c r="B48" s="52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51" t="n"/>
    </row>
    <row r="49">
      <c r="B49" s="52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51" t="n"/>
    </row>
    <row r="50">
      <c r="B50" s="52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51" t="n"/>
    </row>
    <row r="51">
      <c r="B51" s="52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51" t="n"/>
    </row>
    <row r="52">
      <c r="B52" s="52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51" t="n"/>
    </row>
    <row r="53">
      <c r="B53" s="67" t="inlineStr">
        <is>
          <t>ORDER LINES</t>
        </is>
      </c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9" t="n"/>
    </row>
    <row r="54">
      <c r="B54" s="70" t="inlineStr">
        <is>
          <t>FRAME</t>
        </is>
      </c>
      <c r="C54" s="71" t="n"/>
      <c r="D54" s="72">
        <f>IF(Calc!$Q$3,'Tag 4'!$W$4&amp;") "&amp;Calc!$Q$64,"")</f>
        <v/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9" t="n"/>
    </row>
    <row r="55">
      <c r="B55" s="70" t="inlineStr">
        <is>
          <t>DOOR</t>
        </is>
      </c>
      <c r="C55" s="71" t="n"/>
      <c r="D55" s="72">
        <f>IF(Calc!$Q$3,'Tag 4'!$W$4*Calc!$Q$5&amp;") "&amp;Calc!$Q$66,"")</f>
        <v/>
      </c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9" t="n"/>
    </row>
    <row r="56" ht="26" customHeight="1">
      <c r="B56" s="73" t="inlineStr">
        <is>
          <t>NOTES</t>
        </is>
      </c>
      <c r="C56" s="74" t="n"/>
      <c r="D56" s="75">
        <f>'Tag 4'!$L$11&amp;""</f>
        <v/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7" t="n"/>
    </row>
    <row r="58">
      <c r="B58" s="78" t="inlineStr">
        <is>
          <t>APPROVED:</t>
        </is>
      </c>
      <c r="E58" s="79" t="n"/>
      <c r="F58" s="25" t="n"/>
      <c r="G58" s="25" t="n"/>
      <c r="H58" s="25" t="n"/>
      <c r="I58" s="25" t="n"/>
      <c r="J58" s="25" t="n"/>
      <c r="K58" s="25" t="n"/>
      <c r="L58" s="78" t="inlineStr">
        <is>
          <t>DATE:</t>
        </is>
      </c>
      <c r="N58" s="79" t="n"/>
      <c r="O58" s="25" t="n"/>
      <c r="P58" s="25" t="n"/>
      <c r="Q58" s="25" t="n"/>
    </row>
    <row r="60">
      <c r="B60" s="80">
        <f>CoPhone</f>
        <v/>
      </c>
      <c r="J60" s="81">
        <f>CoAddr</f>
        <v/>
      </c>
      <c r="R60" s="82">
        <f>CoWeb</f>
        <v/>
      </c>
    </row>
  </sheetData>
  <mergeCells count="136">
    <mergeCell ref="B42:D42"/>
    <mergeCell ref="V26:Y26"/>
    <mergeCell ref="R1:Y1"/>
    <mergeCell ref="S14:U14"/>
    <mergeCell ref="S23:U23"/>
    <mergeCell ref="H10:I10"/>
    <mergeCell ref="J10:K10"/>
    <mergeCell ref="E31:G31"/>
    <mergeCell ref="V16:Y16"/>
    <mergeCell ref="E40:G40"/>
    <mergeCell ref="V25:Y25"/>
    <mergeCell ref="E15:G15"/>
    <mergeCell ref="E8:F8"/>
    <mergeCell ref="H9:I9"/>
    <mergeCell ref="B34:D34"/>
    <mergeCell ref="D6:E6"/>
    <mergeCell ref="D55:Y55"/>
    <mergeCell ref="V18:Y18"/>
    <mergeCell ref="S15:U15"/>
    <mergeCell ref="P6:Q6"/>
    <mergeCell ref="S24:U24"/>
    <mergeCell ref="R6:S6"/>
    <mergeCell ref="E26:G26"/>
    <mergeCell ref="V17:Y17"/>
    <mergeCell ref="D54:Y54"/>
    <mergeCell ref="B30:D30"/>
    <mergeCell ref="B20:D20"/>
    <mergeCell ref="E16:G16"/>
    <mergeCell ref="D7:E7"/>
    <mergeCell ref="X6:Y6"/>
    <mergeCell ref="V20:Y20"/>
    <mergeCell ref="E18:G18"/>
    <mergeCell ref="V29:Y29"/>
    <mergeCell ref="Q9:R9"/>
    <mergeCell ref="S9:T9"/>
    <mergeCell ref="S25:U25"/>
    <mergeCell ref="B55:C55"/>
    <mergeCell ref="E42:G42"/>
    <mergeCell ref="B1:N1"/>
    <mergeCell ref="S27:U27"/>
    <mergeCell ref="R2:Y2"/>
    <mergeCell ref="E35:G35"/>
    <mergeCell ref="V15:Y15"/>
    <mergeCell ref="S17:U17"/>
    <mergeCell ref="S4:T4"/>
    <mergeCell ref="E20:G20"/>
    <mergeCell ref="D10:E10"/>
    <mergeCell ref="N7:O7"/>
    <mergeCell ref="F10:G10"/>
    <mergeCell ref="B8:D8"/>
    <mergeCell ref="U6:V6"/>
    <mergeCell ref="B17:D17"/>
    <mergeCell ref="S28:U28"/>
    <mergeCell ref="E30:G30"/>
    <mergeCell ref="X8:Y8"/>
    <mergeCell ref="L4:Q4"/>
    <mergeCell ref="J60:Q60"/>
    <mergeCell ref="B19:D19"/>
    <mergeCell ref="B11:C11"/>
    <mergeCell ref="E58:K58"/>
    <mergeCell ref="D11:E11"/>
    <mergeCell ref="B9:D9"/>
    <mergeCell ref="U7:V7"/>
    <mergeCell ref="E32:G32"/>
    <mergeCell ref="H11:I11"/>
    <mergeCell ref="B36:D36"/>
    <mergeCell ref="J11:K11"/>
    <mergeCell ref="E41:G41"/>
    <mergeCell ref="S26:U26"/>
    <mergeCell ref="L10:Y10"/>
    <mergeCell ref="V19:Y19"/>
    <mergeCell ref="V28:Y28"/>
    <mergeCell ref="S16:U16"/>
    <mergeCell ref="B6:C6"/>
    <mergeCell ref="E24:G24"/>
    <mergeCell ref="E33:G33"/>
    <mergeCell ref="B31:D31"/>
    <mergeCell ref="N6:O6"/>
    <mergeCell ref="V30:Y30"/>
    <mergeCell ref="S18:U18"/>
    <mergeCell ref="E17:G17"/>
    <mergeCell ref="B21:D21"/>
    <mergeCell ref="K6:L6"/>
    <mergeCell ref="B39:D39"/>
    <mergeCell ref="L11:Y11"/>
    <mergeCell ref="B54:C54"/>
    <mergeCell ref="B14:D14"/>
    <mergeCell ref="E19:G19"/>
    <mergeCell ref="B7:C7"/>
    <mergeCell ref="E34:G34"/>
    <mergeCell ref="D56:Y56"/>
    <mergeCell ref="B56:C56"/>
    <mergeCell ref="C4:J4"/>
    <mergeCell ref="X7:Y7"/>
    <mergeCell ref="E36:G36"/>
    <mergeCell ref="R7:S7"/>
    <mergeCell ref="S30:U30"/>
    <mergeCell ref="V23:Y23"/>
    <mergeCell ref="S20:U20"/>
    <mergeCell ref="S29:U29"/>
    <mergeCell ref="L58:M58"/>
    <mergeCell ref="B41:D41"/>
    <mergeCell ref="B35:D35"/>
    <mergeCell ref="E21:G21"/>
    <mergeCell ref="B25:D25"/>
    <mergeCell ref="B2:N2"/>
    <mergeCell ref="V24:Y24"/>
    <mergeCell ref="K7:L7"/>
    <mergeCell ref="E14:G14"/>
    <mergeCell ref="V27:Y27"/>
    <mergeCell ref="F11:G11"/>
    <mergeCell ref="R60:Y60"/>
    <mergeCell ref="B29:D29"/>
    <mergeCell ref="Q8:R8"/>
    <mergeCell ref="S8:T8"/>
    <mergeCell ref="S19:U19"/>
    <mergeCell ref="B40:D40"/>
    <mergeCell ref="B60:I60"/>
    <mergeCell ref="B15:D15"/>
    <mergeCell ref="E9:F9"/>
    <mergeCell ref="B24:D24"/>
    <mergeCell ref="E25:G25"/>
    <mergeCell ref="B33:D33"/>
    <mergeCell ref="V14:Y14"/>
    <mergeCell ref="P7:Q7"/>
    <mergeCell ref="B32:D32"/>
    <mergeCell ref="B10:C10"/>
    <mergeCell ref="B26:D26"/>
    <mergeCell ref="B16:D16"/>
    <mergeCell ref="N58:Q58"/>
    <mergeCell ref="E39:G39"/>
    <mergeCell ref="B18:D18"/>
    <mergeCell ref="B58:D58"/>
    <mergeCell ref="H8:I8"/>
    <mergeCell ref="X9:Y9"/>
    <mergeCell ref="E29:G29"/>
  </mergeCells>
  <conditionalFormatting sqref="E26">
    <cfRule type="cellIs" priority="1" operator="notEqual" dxfId="0">
      <formula>"OK"</formula>
    </cfRule>
  </conditionalFormatting>
  <dataValidations count="20">
    <dataValidation sqref="B7" showDropDown="0" showInputMessage="0" showErrorMessage="0" allowBlank="1" type="list" errorStyle="warning">
      <formula1>=L_Jamb</formula1>
    </dataValidation>
    <dataValidation sqref="D7" showDropDown="0" showInputMessage="0" showErrorMessage="0" allowBlank="1" type="list" errorStyle="warning">
      <formula1>=L_Fire</formula1>
    </dataValidation>
    <dataValidation sqref="F7" showDropDown="0" showInputMessage="0" showErrorMessage="0" allowBlank="1" type="list" errorStyle="warning">
      <formula1>=L_WFt</formula1>
    </dataValidation>
    <dataValidation sqref="H7" showDropDown="0" showInputMessage="0" showErrorMessage="0" allowBlank="1" type="list" errorStyle="warning">
      <formula1>=L_HFt</formula1>
    </dataValidation>
    <dataValidation sqref="J7" showDropDown="0" showInputMessage="0" showErrorMessage="0" allowBlank="1" type="list" errorStyle="warning">
      <formula1>=L_YN</formula1>
    </dataValidation>
    <dataValidation sqref="K7" showDropDown="0" showInputMessage="0" showErrorMessage="0" allowBlank="1" type="list" errorStyle="warning">
      <formula1>=L_Style</formula1>
    </dataValidation>
    <dataValidation sqref="M7" showDropDown="0" showInputMessage="0" showErrorMessage="0" allowBlank="1" type="list" errorStyle="warning">
      <formula1>=L_Swing</formula1>
    </dataValidation>
    <dataValidation sqref="N7" showDropDown="0" showInputMessage="0" showErrorMessage="0" allowBlank="1" type="list" errorStyle="warning">
      <formula1>=L_Anchor</formula1>
    </dataValidation>
    <dataValidation sqref="P7" showDropDown="0" showInputMessage="0" showErrorMessage="0" allowBlank="1" type="list" errorStyle="warning">
      <formula1>=L_Hinge</formula1>
    </dataValidation>
    <dataValidation sqref="R7" showDropDown="0" showInputMessage="0" showErrorMessage="0" allowBlank="1" type="list" errorStyle="warning">
      <formula1>=L_Strike1</formula1>
    </dataValidation>
    <dataValidation sqref="T7" showDropDown="0" showInputMessage="0" showErrorMessage="0" allowBlank="1" type="list" errorStyle="warning">
      <formula1>=L_Strike2</formula1>
    </dataValidation>
    <dataValidation sqref="U7" showDropDown="0" showInputMessage="0" showErrorMessage="0" allowBlank="1" type="list" errorStyle="warning">
      <formula1>=L_Lock1</formula1>
    </dataValidation>
    <dataValidation sqref="W7" showDropDown="0" showInputMessage="0" showErrorMessage="0" allowBlank="1" type="list" errorStyle="warning">
      <formula1>=L_Lock2</formula1>
    </dataValidation>
    <dataValidation sqref="X7" showDropDown="0" showInputMessage="0" showErrorMessage="0" allowBlank="1" type="list" errorStyle="warning">
      <formula1>=L_Mfr</formula1>
    </dataValidation>
    <dataValidation sqref="B9" showDropDown="0" showInputMessage="0" showErrorMessage="0" allowBlank="1" type="list" errorStyle="warning">
      <formula1>=L_Elev</formula1>
    </dataValidation>
    <dataValidation sqref="E9" showDropDown="0" showInputMessage="0" showErrorMessage="0" allowBlank="1" type="list" errorStyle="warning">
      <formula1>=L_Wall</formula1>
    </dataValidation>
    <dataValidation sqref="G9" showDropDown="0" showInputMessage="0" showErrorMessage="0" allowBlank="1" type="list" errorStyle="warning">
      <formula1>=L_Gauge</formula1>
    </dataValidation>
    <dataValidation sqref="H9" showDropDown="0" showInputMessage="0" showErrorMessage="0" allowBlank="1" type="list" errorStyle="warning">
      <formula1>=L_Mat</formula1>
    </dataValidation>
    <dataValidation sqref="J9" showDropDown="0" showInputMessage="0" showErrorMessage="0" allowBlank="1" type="list" errorStyle="warning">
      <formula1>=L_Gauge</formula1>
    </dataValidation>
    <dataValidation sqref="K9" showDropDown="0" showInputMessage="0" showErrorMessage="0" allowBlank="1" type="list" errorStyle="warning">
      <formula1>=L_Face</formula1>
    </dataValidation>
  </dataValidations>
  <pageMargins left="0.3" right="0.3" top="0.4" bottom="0.4" header="0.5" footer="0.5"/>
  <pageSetup orientation="landscape" fitToHeight="1" fitToWidth="1"/>
  <headerFooter>
    <oddHeader/>
    <oddFooter>&amp;L&amp;8Printed &amp;D &amp;T&amp;R&amp;8Page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E0A030"/>
    <outlinePr summaryBelow="1" summaryRight="1"/>
    <pageSetUpPr fitToPage="1"/>
  </sheetPr>
  <dimension ref="A1:Z6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</cols>
  <sheetData>
    <row r="1" ht="26" customHeight="1">
      <c r="A1" s="1" t="n"/>
      <c r="B1" s="19">
        <f>CoName</f>
        <v/>
      </c>
      <c r="O1" s="1" t="n"/>
      <c r="P1" s="1" t="n"/>
      <c r="Q1" s="1" t="n"/>
      <c r="R1" s="20">
        <f>"TAG "&amp;IF('Tag 5'!$S$4="","5",'Tag 5'!$S$4)&amp;"   ·   QTY "&amp;N('Tag 5'!$W$4)</f>
        <v/>
      </c>
      <c r="Z1" s="1" t="n"/>
    </row>
    <row r="2" ht="16" customHeight="1">
      <c r="A2" s="1" t="n"/>
      <c r="B2" s="21">
        <f>"FRAME CALCULATOR  ·  "&amp;CoSpec1&amp;"  ·  "&amp;CoSpec2</f>
        <v/>
      </c>
      <c r="O2" s="1" t="n"/>
      <c r="P2" s="1" t="n"/>
      <c r="Q2" s="1" t="n"/>
      <c r="R2" s="22">
        <f>"Printed "&amp;TEXT(NOW(),"mm/dd/yyyy hh:mm")</f>
        <v/>
      </c>
      <c r="Z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2" customHeight="1">
      <c r="B4" s="23" t="inlineStr">
        <is>
          <t>CUSTOMER</t>
        </is>
      </c>
      <c r="C4" s="24" t="n"/>
      <c r="D4" s="25" t="n"/>
      <c r="E4" s="25" t="n"/>
      <c r="F4" s="25" t="n"/>
      <c r="G4" s="25" t="n"/>
      <c r="H4" s="25" t="n"/>
      <c r="I4" s="25" t="n"/>
      <c r="J4" s="25" t="n"/>
      <c r="K4" s="23" t="inlineStr">
        <is>
          <t>P.O./JOB</t>
        </is>
      </c>
      <c r="L4" s="24" t="n"/>
      <c r="M4" s="25" t="n"/>
      <c r="N4" s="25" t="n"/>
      <c r="O4" s="25" t="n"/>
      <c r="P4" s="25" t="n"/>
      <c r="Q4" s="25" t="n"/>
      <c r="R4" s="23" t="inlineStr">
        <is>
          <t>TAG #</t>
        </is>
      </c>
      <c r="S4" s="26" t="inlineStr">
        <is>
          <t>5</t>
        </is>
      </c>
      <c r="T4" s="25" t="n"/>
      <c r="V4" s="23" t="inlineStr">
        <is>
          <t>QTY</t>
        </is>
      </c>
      <c r="W4" s="26" t="n">
        <v>1</v>
      </c>
    </row>
    <row r="6" ht="13" customHeight="1">
      <c r="B6" s="27" t="inlineStr">
        <is>
          <t>JAMB DEPTH</t>
        </is>
      </c>
      <c r="C6" s="7" t="n"/>
      <c r="D6" s="27" t="inlineStr">
        <is>
          <t>FIRE RATING</t>
        </is>
      </c>
      <c r="E6" s="7" t="n"/>
      <c r="F6" s="27" t="inlineStr">
        <is>
          <t>W FT</t>
        </is>
      </c>
      <c r="G6" s="27" t="inlineStr">
        <is>
          <t>W IN</t>
        </is>
      </c>
      <c r="H6" s="27" t="inlineStr">
        <is>
          <t>H FT</t>
        </is>
      </c>
      <c r="I6" s="27" t="inlineStr">
        <is>
          <t>H IN</t>
        </is>
      </c>
      <c r="J6" s="27" t="inlineStr">
        <is>
          <t>PAIR</t>
        </is>
      </c>
      <c r="K6" s="27" t="inlineStr">
        <is>
          <t>CONST. STYLE</t>
        </is>
      </c>
      <c r="L6" s="7" t="n"/>
      <c r="M6" s="27" t="inlineStr">
        <is>
          <t>SWING</t>
        </is>
      </c>
      <c r="N6" s="27" t="inlineStr">
        <is>
          <t>ANCHOR</t>
        </is>
      </c>
      <c r="O6" s="7" t="n"/>
      <c r="P6" s="27" t="inlineStr">
        <is>
          <t>HINGE</t>
        </is>
      </c>
      <c r="Q6" s="7" t="n"/>
      <c r="R6" s="27" t="inlineStr">
        <is>
          <t>STRIKE 1</t>
        </is>
      </c>
      <c r="S6" s="7" t="n"/>
      <c r="T6" s="27" t="inlineStr">
        <is>
          <t>STRIKE 2</t>
        </is>
      </c>
      <c r="U6" s="27" t="inlineStr">
        <is>
          <t>LOCK 1</t>
        </is>
      </c>
      <c r="V6" s="7" t="n"/>
      <c r="W6" s="27" t="inlineStr">
        <is>
          <t>LOCK 2</t>
        </is>
      </c>
      <c r="X6" s="27" t="inlineStr">
        <is>
          <t>LOCATIONS</t>
        </is>
      </c>
      <c r="Y6" s="7" t="n"/>
    </row>
    <row r="7" ht="20" customHeight="1">
      <c r="B7" s="28" t="n">
        <v>534</v>
      </c>
      <c r="C7" s="29" t="n"/>
      <c r="D7" s="28" t="inlineStr">
        <is>
          <t>60 MIN</t>
        </is>
      </c>
      <c r="E7" s="29" t="n"/>
      <c r="F7" s="28" t="n">
        <v>3</v>
      </c>
      <c r="G7" s="28" t="n">
        <v>0</v>
      </c>
      <c r="H7" s="28" t="n">
        <v>8</v>
      </c>
      <c r="I7" s="28" t="n">
        <v>0</v>
      </c>
      <c r="J7" s="28" t="n"/>
      <c r="K7" s="28" t="inlineStr">
        <is>
          <t>WELDED</t>
        </is>
      </c>
      <c r="L7" s="29" t="n"/>
      <c r="M7" s="28" t="inlineStr">
        <is>
          <t>LHR</t>
        </is>
      </c>
      <c r="N7" s="30" t="inlineStr">
        <is>
          <t>SSA</t>
        </is>
      </c>
      <c r="O7" s="29" t="n"/>
      <c r="P7" s="28" t="inlineStr">
        <is>
          <t>U454</t>
        </is>
      </c>
      <c r="Q7" s="29" t="n"/>
      <c r="R7" s="28" t="inlineStr">
        <is>
          <t>E1</t>
        </is>
      </c>
      <c r="S7" s="29" t="n"/>
      <c r="T7" s="28" t="n"/>
      <c r="U7" s="28" t="inlineStr">
        <is>
          <t>G3A</t>
        </is>
      </c>
      <c r="V7" s="29" t="n"/>
      <c r="W7" s="28" t="n"/>
      <c r="X7" s="30" t="inlineStr">
        <is>
          <t>CURRIES</t>
        </is>
      </c>
      <c r="Y7" s="29" t="n"/>
    </row>
    <row r="8" ht="13" customHeight="1">
      <c r="B8" s="31" t="inlineStr">
        <is>
          <t>ELEVATION</t>
        </is>
      </c>
      <c r="C8" s="32" t="n"/>
      <c r="D8" s="32" t="n"/>
      <c r="E8" s="31" t="inlineStr">
        <is>
          <t>WALL</t>
        </is>
      </c>
      <c r="F8" s="32" t="n"/>
      <c r="G8" s="31" t="inlineStr">
        <is>
          <t>FRAME GA</t>
        </is>
      </c>
      <c r="H8" s="31" t="inlineStr">
        <is>
          <t>DOOR</t>
        </is>
      </c>
      <c r="I8" s="32" t="n"/>
      <c r="J8" s="31" t="inlineStr">
        <is>
          <t>DOOR GA</t>
        </is>
      </c>
      <c r="K8" s="31" t="inlineStr">
        <is>
          <t>HEAD FACE</t>
        </is>
      </c>
      <c r="L8" s="31" t="inlineStr">
        <is>
          <t>JAMB FACE</t>
        </is>
      </c>
      <c r="M8" s="31" t="inlineStr">
        <is>
          <t>REV HINGE</t>
        </is>
      </c>
      <c r="N8" s="31" t="inlineStr">
        <is>
          <t>REV LOCK</t>
        </is>
      </c>
      <c r="O8" s="31" t="inlineStr">
        <is>
          <t>REV TOP</t>
        </is>
      </c>
      <c r="P8" s="31" t="inlineStr">
        <is>
          <t>UNDERCUT</t>
        </is>
      </c>
      <c r="Q8" s="31" t="inlineStr">
        <is>
          <t>MASONRY R.O. W</t>
        </is>
      </c>
      <c r="R8" s="32" t="n"/>
      <c r="S8" s="31" t="inlineStr">
        <is>
          <t>MASONRY R.O. H</t>
        </is>
      </c>
      <c r="T8" s="32" t="n"/>
      <c r="U8" s="31" t="inlineStr">
        <is>
          <t>TOL. EA SIDE</t>
        </is>
      </c>
      <c r="V8" s="31" t="inlineStr">
        <is>
          <t>LITE W</t>
        </is>
      </c>
      <c r="W8" s="31" t="inlineStr">
        <is>
          <t>LITE H</t>
        </is>
      </c>
      <c r="X8" s="31" t="inlineStr">
        <is>
          <t>LITE TOP</t>
        </is>
      </c>
      <c r="Y8" s="32" t="n"/>
    </row>
    <row r="9" ht="20" customHeight="1">
      <c r="B9" s="30" t="inlineStr">
        <is>
          <t>FG 24"x64"</t>
        </is>
      </c>
      <c r="C9" s="29" t="n"/>
      <c r="D9" s="29" t="n"/>
      <c r="E9" s="28" t="inlineStr">
        <is>
          <t>MASONRY</t>
        </is>
      </c>
      <c r="F9" s="29" t="n"/>
      <c r="G9" s="28" t="n">
        <v>16</v>
      </c>
      <c r="H9" s="28" t="inlineStr">
        <is>
          <t>HM</t>
        </is>
      </c>
      <c r="I9" s="29" t="n"/>
      <c r="J9" s="28" t="n">
        <v>18</v>
      </c>
      <c r="K9" s="28" t="n">
        <v>2</v>
      </c>
      <c r="L9" s="28" t="n">
        <v>2</v>
      </c>
      <c r="M9" s="33" t="n"/>
      <c r="N9" s="33" t="n"/>
      <c r="O9" s="33" t="n"/>
      <c r="P9" s="33" t="n"/>
      <c r="Q9" s="33" t="n"/>
      <c r="R9" s="29" t="n"/>
      <c r="S9" s="33" t="n"/>
      <c r="T9" s="29" t="n"/>
      <c r="U9" s="33" t="n"/>
      <c r="V9" s="28" t="n"/>
      <c r="W9" s="28" t="n"/>
      <c r="X9" s="33" t="n"/>
      <c r="Y9" s="29" t="n"/>
    </row>
    <row r="10" ht="13" customHeight="1">
      <c r="B10" s="34" t="inlineStr">
        <is>
          <t>CUSTOM A</t>
        </is>
      </c>
      <c r="C10" s="35" t="n"/>
      <c r="D10" s="34" t="inlineStr">
        <is>
          <t>CUSTOM B</t>
        </is>
      </c>
      <c r="E10" s="35" t="n"/>
      <c r="F10" s="34" t="inlineStr">
        <is>
          <t>CUSTOM C</t>
        </is>
      </c>
      <c r="G10" s="35" t="n"/>
      <c r="H10" s="34" t="inlineStr">
        <is>
          <t>CUSTOM D</t>
        </is>
      </c>
      <c r="I10" s="35" t="n"/>
      <c r="J10" s="34" t="inlineStr">
        <is>
          <t>CUSTOM E</t>
        </is>
      </c>
      <c r="K10" s="35" t="n"/>
      <c r="L10" s="34" t="inlineStr">
        <is>
          <t>HARDWARE NOTES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</row>
    <row r="11" ht="20" customHeight="1">
      <c r="B11" s="33" t="n"/>
      <c r="C11" s="29" t="n"/>
      <c r="D11" s="33" t="n"/>
      <c r="E11" s="29" t="n"/>
      <c r="F11" s="33" t="n"/>
      <c r="G11" s="29" t="n"/>
      <c r="H11" s="33" t="n"/>
      <c r="I11" s="29" t="n"/>
      <c r="J11" s="33" t="n"/>
      <c r="K11" s="29" t="n"/>
      <c r="L11" s="36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</row>
    <row r="13">
      <c r="B13" s="37" t="inlineStr">
        <is>
          <t>FRAME SIZE INFO</t>
        </is>
      </c>
      <c r="C13" s="38" t="n"/>
      <c r="D13" s="38" t="n"/>
      <c r="E13" s="38" t="n"/>
      <c r="F13" s="38" t="n"/>
      <c r="G13" s="38" t="n"/>
      <c r="H13" s="39" t="n"/>
      <c r="I13" s="40" t="inlineStr">
        <is>
          <t>FRAME ELEVATION — locations from the top of the frame</t>
        </is>
      </c>
      <c r="J13" s="38" t="n"/>
      <c r="K13" s="38" t="n"/>
      <c r="L13" s="38" t="n"/>
      <c r="M13" s="38" t="n"/>
      <c r="N13" s="38" t="n"/>
      <c r="O13" s="38" t="n"/>
      <c r="P13" s="38" t="n"/>
      <c r="Q13" s="38" t="n"/>
      <c r="R13" s="39" t="n"/>
      <c r="S13" s="40" t="inlineStr">
        <is>
          <t>DOOR SIZE INFO</t>
        </is>
      </c>
      <c r="T13" s="38" t="n"/>
      <c r="U13" s="38" t="n"/>
      <c r="V13" s="38" t="n"/>
      <c r="W13" s="38" t="n"/>
      <c r="X13" s="38" t="n"/>
      <c r="Y13" s="41" t="n"/>
    </row>
    <row r="14">
      <c r="B14" s="42" t="inlineStr">
        <is>
          <t>INSIDE WIDTH</t>
        </is>
      </c>
      <c r="C14" s="43" t="n"/>
      <c r="D14" s="43" t="n"/>
      <c r="E14" s="44">
        <f>Calc!$V$1</f>
        <v/>
      </c>
      <c r="F14" s="45" t="n"/>
      <c r="G14" s="45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 t="inlineStr">
        <is>
          <t>OPENING WIDTH</t>
        </is>
      </c>
      <c r="T14" s="43" t="n"/>
      <c r="U14" s="43" t="n"/>
      <c r="V14" s="48">
        <f>Calc!$V$1</f>
        <v/>
      </c>
      <c r="W14" s="45" t="n"/>
      <c r="X14" s="45" t="n"/>
      <c r="Y14" s="49" t="n"/>
    </row>
    <row r="15">
      <c r="B15" s="42" t="inlineStr">
        <is>
          <t>INSIDE HEIGHT</t>
        </is>
      </c>
      <c r="C15" s="43" t="n"/>
      <c r="D15" s="43" t="n"/>
      <c r="E15" s="44">
        <f>Calc!$V$2</f>
        <v/>
      </c>
      <c r="F15" s="45" t="n"/>
      <c r="G15" s="45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7" t="inlineStr">
        <is>
          <t>OPENING HEIGHT</t>
        </is>
      </c>
      <c r="T15" s="43" t="n"/>
      <c r="U15" s="43" t="n"/>
      <c r="V15" s="48">
        <f>Calc!$V$2</f>
        <v/>
      </c>
      <c r="W15" s="45" t="n"/>
      <c r="X15" s="45" t="n"/>
      <c r="Y15" s="49" t="n"/>
    </row>
    <row r="16">
      <c r="B16" s="42" t="inlineStr">
        <is>
          <t>OUTSIDE WIDTH</t>
        </is>
      </c>
      <c r="C16" s="43" t="n"/>
      <c r="D16" s="43" t="n"/>
      <c r="E16" s="44">
        <f>Calc!$V$13</f>
        <v/>
      </c>
      <c r="F16" s="45" t="n"/>
      <c r="G16" s="45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 t="inlineStr">
        <is>
          <t>ACTUAL WIDTH</t>
        </is>
      </c>
      <c r="T16" s="43" t="n"/>
      <c r="U16" s="43" t="n"/>
      <c r="V16" s="44">
        <f>Calc!$V$24</f>
        <v/>
      </c>
      <c r="W16" s="45" t="n"/>
      <c r="X16" s="45" t="n"/>
      <c r="Y16" s="49" t="n"/>
    </row>
    <row r="17">
      <c r="B17" s="42" t="inlineStr">
        <is>
          <t>OUTSIDE HEIGHT</t>
        </is>
      </c>
      <c r="C17" s="43" t="n"/>
      <c r="D17" s="43" t="n"/>
      <c r="E17" s="44">
        <f>Calc!$V$14</f>
        <v/>
      </c>
      <c r="F17" s="45" t="n"/>
      <c r="G17" s="45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 t="inlineStr">
        <is>
          <t>ACTUAL HEIGHT</t>
        </is>
      </c>
      <c r="T17" s="43" t="n"/>
      <c r="U17" s="43" t="n"/>
      <c r="V17" s="44">
        <f>Calc!$V$25</f>
        <v/>
      </c>
      <c r="W17" s="45" t="n"/>
      <c r="X17" s="45" t="n"/>
      <c r="Y17" s="49" t="n"/>
    </row>
    <row r="18">
      <c r="B18" s="42" t="inlineStr">
        <is>
          <t>HEADER FACE</t>
        </is>
      </c>
      <c r="C18" s="43" t="n"/>
      <c r="D18" s="43" t="n"/>
      <c r="E18" s="48">
        <f>Calc!$V$12</f>
        <v/>
      </c>
      <c r="F18" s="45" t="n"/>
      <c r="G18" s="45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 t="inlineStr">
        <is>
          <t>REVEAL HINGE / LOCK / TOP</t>
        </is>
      </c>
      <c r="T18" s="43" t="n"/>
      <c r="U18" s="43" t="n"/>
      <c r="V18" s="50">
        <f>TRIM(TEXT(Calc!$V$20,"# ?/??"))&amp;CHAR(34)&amp;" · "&amp;TRIM(TEXT(Calc!$V$21,"# ?/??"))&amp;CHAR(34)&amp;" · "&amp;TRIM(TEXT(Calc!$V$22,"# ?/??"))&amp;CHAR(34)</f>
        <v/>
      </c>
      <c r="W18" s="45" t="n"/>
      <c r="X18" s="45" t="n"/>
      <c r="Y18" s="49" t="n"/>
    </row>
    <row r="19">
      <c r="B19" s="42" t="inlineStr">
        <is>
          <t>HINGE &amp; STRIKE FACE</t>
        </is>
      </c>
      <c r="C19" s="43" t="n"/>
      <c r="D19" s="43" t="n"/>
      <c r="E19" s="48">
        <f>Calc!$V$11</f>
        <v/>
      </c>
      <c r="F19" s="45" t="n"/>
      <c r="G19" s="45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 t="inlineStr">
        <is>
          <t>UNDERCUT</t>
        </is>
      </c>
      <c r="T19" s="43" t="n"/>
      <c r="U19" s="43" t="n"/>
      <c r="V19" s="48">
        <f>Calc!$V$23</f>
        <v/>
      </c>
      <c r="W19" s="45" t="n"/>
      <c r="X19" s="45" t="n"/>
      <c r="Y19" s="49" t="n"/>
    </row>
    <row r="20">
      <c r="B20" s="42" t="inlineStr">
        <is>
          <t>JAMB DEPTH</t>
        </is>
      </c>
      <c r="C20" s="43" t="n"/>
      <c r="D20" s="43" t="n"/>
      <c r="E20" s="50">
        <f>Calc!$V$7</f>
        <v/>
      </c>
      <c r="F20" s="45" t="n"/>
      <c r="G20" s="45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 t="inlineStr">
        <is>
          <t>LITE KIT</t>
        </is>
      </c>
      <c r="T20" s="43" t="n"/>
      <c r="U20" s="43" t="n"/>
      <c r="V20" s="50">
        <f>IF(Calc!$V$59,Calc!$V$86&amp;"  ·  top "&amp;TRIM(TEXT(Calc!$V$58,"# ?/??"))&amp;CHAR(34),"FLUSH")</f>
        <v/>
      </c>
      <c r="W20" s="45" t="n"/>
      <c r="X20" s="45" t="n"/>
      <c r="Y20" s="49" t="n"/>
    </row>
    <row r="21">
      <c r="B21" s="42" t="inlineStr">
        <is>
          <t>FITS WALL (throat)</t>
        </is>
      </c>
      <c r="C21" s="43" t="n"/>
      <c r="D21" s="43" t="n"/>
      <c r="E21" s="48">
        <f>Calc!$V$15</f>
        <v/>
      </c>
      <c r="F21" s="45" t="n"/>
      <c r="G21" s="45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51" t="n"/>
    </row>
    <row r="22">
      <c r="B22" s="52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53" t="inlineStr">
        <is>
          <t>HARDWARE LOCATIONS — DOOR (from top of door)</t>
        </is>
      </c>
      <c r="T22" s="54" t="n"/>
      <c r="U22" s="54" t="n"/>
      <c r="V22" s="54" t="n"/>
      <c r="W22" s="54" t="n"/>
      <c r="X22" s="54" t="n"/>
      <c r="Y22" s="55" t="n"/>
    </row>
    <row r="23">
      <c r="B23" s="56" t="inlineStr">
        <is>
          <t>ROUGH OPENING</t>
        </is>
      </c>
      <c r="C23" s="57" t="n"/>
      <c r="D23" s="57" t="n"/>
      <c r="E23" s="57" t="n"/>
      <c r="F23" s="57" t="n"/>
      <c r="G23" s="57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7" t="inlineStr">
        <is>
          <t>HINGE 1</t>
        </is>
      </c>
      <c r="T23" s="43" t="n"/>
      <c r="U23" s="43" t="n"/>
      <c r="V23" s="44">
        <f>IF(ISNUMBER(Calc!$V$40),Calc!$V$40-Calc!$V$22,IF(Calc!$V$26=0,"","NONE"))</f>
        <v/>
      </c>
      <c r="W23" s="45" t="n"/>
      <c r="X23" s="45" t="n"/>
      <c r="Y23" s="49" t="n"/>
    </row>
    <row r="24">
      <c r="B24" s="42" t="inlineStr">
        <is>
          <t>DRYWALL W x H</t>
        </is>
      </c>
      <c r="C24" s="43" t="n"/>
      <c r="D24" s="43" t="n"/>
      <c r="E24" s="58">
        <f>TRIM(TEXT(Calc!$V$16,"# ?/??"))&amp;CHAR(34)&amp;" x "&amp;TRIM(TEXT(Calc!$V$17,"# ?/??"))&amp;CHAR(34)</f>
        <v/>
      </c>
      <c r="F24" s="45" t="n"/>
      <c r="G24" s="45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7" t="inlineStr">
        <is>
          <t>HINGE 2</t>
        </is>
      </c>
      <c r="T24" s="43" t="n"/>
      <c r="U24" s="43" t="n"/>
      <c r="V24" s="44">
        <f>IF(ISNUMBER(Calc!$V$41),Calc!$V$41-Calc!$V$22,IF(Calc!$V$26=0,"","NONE"))</f>
        <v/>
      </c>
      <c r="W24" s="45" t="n"/>
      <c r="X24" s="45" t="n"/>
      <c r="Y24" s="49" t="n"/>
    </row>
    <row r="25">
      <c r="B25" s="42" t="inlineStr">
        <is>
          <t>MASONRY W x H</t>
        </is>
      </c>
      <c r="C25" s="43" t="n"/>
      <c r="D25" s="43" t="n"/>
      <c r="E25" s="58">
        <f>TRIM(TEXT(Calc!$V$18,"# ?/??"))&amp;CHAR(34)&amp;" x "&amp;TRIM(TEXT(Calc!$V$19,"# ?/??"))&amp;CHAR(34)</f>
        <v/>
      </c>
      <c r="F25" s="45" t="n"/>
      <c r="G25" s="45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7" t="inlineStr">
        <is>
          <t>HINGE 3</t>
        </is>
      </c>
      <c r="T25" s="43" t="n"/>
      <c r="U25" s="43" t="n"/>
      <c r="V25" s="44">
        <f>IF(ISNUMBER(Calc!$V$42),Calc!$V$42-Calc!$V$22,IF(Calc!$V$26=0,"","NONE"))</f>
        <v/>
      </c>
      <c r="W25" s="45" t="n"/>
      <c r="X25" s="45" t="n"/>
      <c r="Y25" s="49" t="n"/>
    </row>
    <row r="26">
      <c r="B26" s="42" t="inlineStr">
        <is>
          <t>FACE CHECK</t>
        </is>
      </c>
      <c r="C26" s="43" t="n"/>
      <c r="D26" s="43" t="n"/>
      <c r="E26" s="50">
        <f>IF(OR(Calc!$V$11&lt;1,Calc!$V$11&gt;12,Calc!$V$12&lt;1,Calc!$V$12&gt;12),"ERROR — face out of range","OK")</f>
        <v/>
      </c>
      <c r="F26" s="45" t="n"/>
      <c r="G26" s="45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7" t="inlineStr">
        <is>
          <t>HINGE 4</t>
        </is>
      </c>
      <c r="T26" s="43" t="n"/>
      <c r="U26" s="43" t="n"/>
      <c r="V26" s="44">
        <f>IF(ISNUMBER(Calc!$V$43),Calc!$V$43-Calc!$V$22,IF(Calc!$V$26=0,"","NONE"))</f>
        <v/>
      </c>
      <c r="W26" s="45" t="n"/>
      <c r="X26" s="45" t="n"/>
      <c r="Y26" s="49" t="n"/>
    </row>
    <row r="27">
      <c r="B27" s="52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7" t="inlineStr">
        <is>
          <t>LOCK 1 CYL CL</t>
        </is>
      </c>
      <c r="T27" s="43" t="n"/>
      <c r="U27" s="43" t="n"/>
      <c r="V27" s="59">
        <f>Calc!$V$49</f>
        <v/>
      </c>
      <c r="W27" s="45" t="n"/>
      <c r="X27" s="45" t="n"/>
      <c r="Y27" s="49" t="n"/>
    </row>
    <row r="28">
      <c r="B28" s="60" t="inlineStr">
        <is>
          <t>HARDWARE LOCATIONS — FRAME</t>
        </is>
      </c>
      <c r="C28" s="54" t="n"/>
      <c r="D28" s="54" t="n"/>
      <c r="E28" s="54" t="n"/>
      <c r="F28" s="54" t="n"/>
      <c r="G28" s="54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7" t="inlineStr">
        <is>
          <t>LOCK 2 CYL CL</t>
        </is>
      </c>
      <c r="T28" s="43" t="n"/>
      <c r="U28" s="43" t="n"/>
      <c r="V28" s="59">
        <f>Calc!$V$50</f>
        <v/>
      </c>
      <c r="W28" s="45" t="n"/>
      <c r="X28" s="45" t="n"/>
      <c r="Y28" s="49" t="n"/>
    </row>
    <row r="29">
      <c r="B29" s="42" t="inlineStr">
        <is>
          <t>MANUFACTURER</t>
        </is>
      </c>
      <c r="C29" s="43" t="n"/>
      <c r="D29" s="43" t="n"/>
      <c r="E29" s="61">
        <f>'Tag 5'!$X$7</f>
        <v/>
      </c>
      <c r="F29" s="45" t="n"/>
      <c r="G29" s="45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7" t="inlineStr">
        <is>
          <t>TOP MORTISE LOCK</t>
        </is>
      </c>
      <c r="T29" s="43" t="n"/>
      <c r="U29" s="43" t="n"/>
      <c r="V29" s="48">
        <f>Calc!$V$51</f>
        <v/>
      </c>
      <c r="W29" s="45" t="n"/>
      <c r="X29" s="45" t="n"/>
      <c r="Y29" s="49" t="n"/>
    </row>
    <row r="30">
      <c r="B30" s="42" t="inlineStr">
        <is>
          <t>CHART</t>
        </is>
      </c>
      <c r="C30" s="43" t="n"/>
      <c r="D30" s="43" t="n"/>
      <c r="E30" s="62">
        <f>IF(Calc!$V$29,INT(ROUND(Calc!$V$28,4)/12)&amp;"'-"&amp;IF(ROUND(MOD(Calc!$V$28,12),4)=0,"0",TRIM(TEXT(MOD(Calc!$V$28,12),"# ?/??")))&amp;CHAR(34)&amp;IF(Calc!$V$36," cut down",IF(Calc!$V$38," — NOT STOCK","")),IF(Calc!$V$27,"CUSTOM","ANSI/SDI"))</f>
        <v/>
      </c>
      <c r="F30" s="45" t="n"/>
      <c r="G30" s="45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7" t="inlineStr">
        <is>
          <t>MORTISE TOP TO CL</t>
        </is>
      </c>
      <c r="T30" s="43" t="n"/>
      <c r="U30" s="43" t="n"/>
      <c r="V30" s="48">
        <f>Calc!$V$52</f>
        <v/>
      </c>
      <c r="W30" s="45" t="n"/>
      <c r="X30" s="45" t="n"/>
      <c r="Y30" s="49" t="n"/>
    </row>
    <row r="31">
      <c r="B31" s="42" t="inlineStr">
        <is>
          <t>HINGE 1</t>
        </is>
      </c>
      <c r="C31" s="43" t="n"/>
      <c r="D31" s="43" t="n"/>
      <c r="E31" s="44">
        <f>IF(ISNUMBER(Calc!$V$40),Calc!$V$40,IF(Calc!$V$26=0,IF(AND(0=0,'Tag 5'!$P$7="HGC"),"CONTINUOUS",""),"NONE"))</f>
        <v/>
      </c>
      <c r="F31" s="45" t="n"/>
      <c r="G31" s="45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51" t="n"/>
    </row>
    <row r="32">
      <c r="B32" s="42" t="inlineStr">
        <is>
          <t>HINGE 2</t>
        </is>
      </c>
      <c r="C32" s="43" t="n"/>
      <c r="D32" s="43" t="n"/>
      <c r="E32" s="44">
        <f>IF(ISNUMBER(Calc!$V$41),Calc!$V$41,IF(Calc!$V$26=0,IF(AND(1=0,'Tag 5'!$P$7="HGC"),"CONTINUOUS",""),"NONE"))</f>
        <v/>
      </c>
      <c r="F32" s="45" t="n"/>
      <c r="G32" s="45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63" t="inlineStr">
        <is>
          <t>DOOR ELEVATION</t>
        </is>
      </c>
      <c r="T32" s="57" t="n"/>
      <c r="U32" s="57" t="n"/>
      <c r="V32" s="57" t="n"/>
      <c r="W32" s="57" t="n"/>
      <c r="X32" s="57" t="n"/>
      <c r="Y32" s="64" t="n"/>
    </row>
    <row r="33">
      <c r="B33" s="42" t="inlineStr">
        <is>
          <t>HINGE 3</t>
        </is>
      </c>
      <c r="C33" s="43" t="n"/>
      <c r="D33" s="43" t="n"/>
      <c r="E33" s="44">
        <f>IF(ISNUMBER(Calc!$V$42),Calc!$V$42,IF(Calc!$V$26=0,IF(AND(2=0,'Tag 5'!$P$7="HGC"),"CONTINUOUS",""),"NONE"))</f>
        <v/>
      </c>
      <c r="F33" s="45" t="n"/>
      <c r="G33" s="45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51" t="n"/>
    </row>
    <row r="34">
      <c r="B34" s="42" t="inlineStr">
        <is>
          <t>HINGE 4</t>
        </is>
      </c>
      <c r="C34" s="43" t="n"/>
      <c r="D34" s="43" t="n"/>
      <c r="E34" s="44">
        <f>IF(ISNUMBER(Calc!$V$43),Calc!$V$43,IF(Calc!$V$26=0,IF(AND(3=0,'Tag 5'!$P$7="HGC"),"CONTINUOUS",""),"NONE"))</f>
        <v/>
      </c>
      <c r="F34" s="45" t="n"/>
      <c r="G34" s="45" t="n"/>
      <c r="H34" s="46" t="n"/>
      <c r="I34" s="63" t="inlineStr">
        <is>
          <t>SWING (plan) · JAMB PROFILE</t>
        </is>
      </c>
      <c r="J34" s="57" t="n"/>
      <c r="K34" s="57" t="n"/>
      <c r="L34" s="57" t="n"/>
      <c r="M34" s="57" t="n"/>
      <c r="N34" s="57" t="n"/>
      <c r="O34" s="57" t="n"/>
      <c r="P34" s="57" t="n"/>
      <c r="Q34" s="57" t="n"/>
      <c r="R34" s="46" t="n"/>
      <c r="S34" s="46" t="n"/>
      <c r="T34" s="46" t="n"/>
      <c r="U34" s="46" t="n"/>
      <c r="V34" s="46" t="n"/>
      <c r="W34" s="46" t="n"/>
      <c r="X34" s="46" t="n"/>
      <c r="Y34" s="51" t="n"/>
    </row>
    <row r="35">
      <c r="B35" s="42" t="inlineStr">
        <is>
          <t>STRIKE 1 (E)</t>
        </is>
      </c>
      <c r="C35" s="43" t="n"/>
      <c r="D35" s="43" t="n"/>
      <c r="E35" s="59">
        <f>Calc!$V$46</f>
        <v/>
      </c>
      <c r="F35" s="45" t="n"/>
      <c r="G35" s="45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51" t="n"/>
    </row>
    <row r="36">
      <c r="B36" s="42" t="inlineStr">
        <is>
          <t>STRIKE 2</t>
        </is>
      </c>
      <c r="C36" s="43" t="n"/>
      <c r="D36" s="43" t="n"/>
      <c r="E36" s="59">
        <f>Calc!$V$47</f>
        <v/>
      </c>
      <c r="F36" s="45" t="n"/>
      <c r="G36" s="45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51" t="n"/>
    </row>
    <row r="37">
      <c r="B37" s="52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51" t="n"/>
    </row>
    <row r="38">
      <c r="B38" s="65" t="inlineStr">
        <is>
          <t>OTHER MEASUREMENTS — FRAME</t>
        </is>
      </c>
      <c r="C38" s="66" t="n"/>
      <c r="D38" s="66" t="n"/>
      <c r="E38" s="66" t="n"/>
      <c r="F38" s="66" t="n"/>
      <c r="G38" s="6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51" t="n"/>
    </row>
    <row r="39">
      <c r="B39" s="42" t="inlineStr">
        <is>
          <t>ASA 4-7/8 TOP TO TOP</t>
        </is>
      </c>
      <c r="C39" s="43" t="n"/>
      <c r="D39" s="43" t="n"/>
      <c r="E39" s="48">
        <f>IF(ISNUMBER(Calc!$V$46),Calc!$V$46-2.4375,"")</f>
        <v/>
      </c>
      <c r="F39" s="45" t="n"/>
      <c r="G39" s="45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51" t="n"/>
    </row>
    <row r="40">
      <c r="B40" s="42" t="inlineStr">
        <is>
          <t>ASA 4-7/8 FTC (lock AFF)</t>
        </is>
      </c>
      <c r="C40" s="43" t="n"/>
      <c r="D40" s="43" t="n"/>
      <c r="E40" s="48">
        <f>Calc!$V$53</f>
        <v/>
      </c>
      <c r="F40" s="45" t="n"/>
      <c r="G40" s="45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51" t="n"/>
    </row>
    <row r="41">
      <c r="B41" s="42" t="inlineStr">
        <is>
          <t>DEADBOLT FTC</t>
        </is>
      </c>
      <c r="C41" s="43" t="n"/>
      <c r="D41" s="43" t="n"/>
      <c r="E41" s="48">
        <f>IF(ISNUMBER(Calc!$V$47),Calc!$V$2-Calc!$V$47,"")</f>
        <v/>
      </c>
      <c r="F41" s="45" t="n"/>
      <c r="G41" s="45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51" t="n"/>
    </row>
    <row r="42">
      <c r="B42" s="42" t="inlineStr">
        <is>
          <t>HAND / SWING</t>
        </is>
      </c>
      <c r="C42" s="43" t="n"/>
      <c r="D42" s="43" t="n"/>
      <c r="E42" s="58">
        <f>Calc!$V$87</f>
        <v/>
      </c>
      <c r="F42" s="45" t="n"/>
      <c r="G42" s="45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51" t="n"/>
    </row>
    <row r="43">
      <c r="B43" s="52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51" t="n"/>
    </row>
    <row r="44">
      <c r="B44" s="52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51" t="n"/>
    </row>
    <row r="45">
      <c r="B45" s="52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51" t="n"/>
    </row>
    <row r="46">
      <c r="B46" s="52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51" t="n"/>
    </row>
    <row r="47">
      <c r="B47" s="52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51" t="n"/>
    </row>
    <row r="48">
      <c r="B48" s="52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51" t="n"/>
    </row>
    <row r="49">
      <c r="B49" s="52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51" t="n"/>
    </row>
    <row r="50">
      <c r="B50" s="52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51" t="n"/>
    </row>
    <row r="51">
      <c r="B51" s="52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51" t="n"/>
    </row>
    <row r="52">
      <c r="B52" s="52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51" t="n"/>
    </row>
    <row r="53">
      <c r="B53" s="67" t="inlineStr">
        <is>
          <t>ORDER LINES</t>
        </is>
      </c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9" t="n"/>
    </row>
    <row r="54">
      <c r="B54" s="70" t="inlineStr">
        <is>
          <t>FRAME</t>
        </is>
      </c>
      <c r="C54" s="71" t="n"/>
      <c r="D54" s="72">
        <f>IF(Calc!$V$3,'Tag 5'!$W$4&amp;") "&amp;Calc!$V$64,"")</f>
        <v/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9" t="n"/>
    </row>
    <row r="55">
      <c r="B55" s="70" t="inlineStr">
        <is>
          <t>DOOR</t>
        </is>
      </c>
      <c r="C55" s="71" t="n"/>
      <c r="D55" s="72">
        <f>IF(Calc!$V$3,'Tag 5'!$W$4*Calc!$V$5&amp;") "&amp;Calc!$V$66,"")</f>
        <v/>
      </c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9" t="n"/>
    </row>
    <row r="56" ht="26" customHeight="1">
      <c r="B56" s="73" t="inlineStr">
        <is>
          <t>NOTES</t>
        </is>
      </c>
      <c r="C56" s="74" t="n"/>
      <c r="D56" s="75">
        <f>'Tag 5'!$L$11&amp;""</f>
        <v/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7" t="n"/>
    </row>
    <row r="58">
      <c r="B58" s="78" t="inlineStr">
        <is>
          <t>APPROVED:</t>
        </is>
      </c>
      <c r="E58" s="79" t="n"/>
      <c r="F58" s="25" t="n"/>
      <c r="G58" s="25" t="n"/>
      <c r="H58" s="25" t="n"/>
      <c r="I58" s="25" t="n"/>
      <c r="J58" s="25" t="n"/>
      <c r="K58" s="25" t="n"/>
      <c r="L58" s="78" t="inlineStr">
        <is>
          <t>DATE:</t>
        </is>
      </c>
      <c r="N58" s="79" t="n"/>
      <c r="O58" s="25" t="n"/>
      <c r="P58" s="25" t="n"/>
      <c r="Q58" s="25" t="n"/>
    </row>
    <row r="60">
      <c r="B60" s="80">
        <f>CoPhone</f>
        <v/>
      </c>
      <c r="J60" s="81">
        <f>CoAddr</f>
        <v/>
      </c>
      <c r="R60" s="82">
        <f>CoWeb</f>
        <v/>
      </c>
    </row>
  </sheetData>
  <mergeCells count="136">
    <mergeCell ref="B42:D42"/>
    <mergeCell ref="V26:Y26"/>
    <mergeCell ref="R1:Y1"/>
    <mergeCell ref="S14:U14"/>
    <mergeCell ref="S23:U23"/>
    <mergeCell ref="H10:I10"/>
    <mergeCell ref="J10:K10"/>
    <mergeCell ref="E31:G31"/>
    <mergeCell ref="V16:Y16"/>
    <mergeCell ref="E40:G40"/>
    <mergeCell ref="V25:Y25"/>
    <mergeCell ref="E15:G15"/>
    <mergeCell ref="E8:F8"/>
    <mergeCell ref="H9:I9"/>
    <mergeCell ref="B34:D34"/>
    <mergeCell ref="D6:E6"/>
    <mergeCell ref="D55:Y55"/>
    <mergeCell ref="V18:Y18"/>
    <mergeCell ref="S15:U15"/>
    <mergeCell ref="P6:Q6"/>
    <mergeCell ref="S24:U24"/>
    <mergeCell ref="R6:S6"/>
    <mergeCell ref="E26:G26"/>
    <mergeCell ref="V17:Y17"/>
    <mergeCell ref="D54:Y54"/>
    <mergeCell ref="B30:D30"/>
    <mergeCell ref="B20:D20"/>
    <mergeCell ref="E16:G16"/>
    <mergeCell ref="D7:E7"/>
    <mergeCell ref="X6:Y6"/>
    <mergeCell ref="V20:Y20"/>
    <mergeCell ref="E18:G18"/>
    <mergeCell ref="V29:Y29"/>
    <mergeCell ref="Q9:R9"/>
    <mergeCell ref="S9:T9"/>
    <mergeCell ref="S25:U25"/>
    <mergeCell ref="B55:C55"/>
    <mergeCell ref="E42:G42"/>
    <mergeCell ref="B1:N1"/>
    <mergeCell ref="S27:U27"/>
    <mergeCell ref="R2:Y2"/>
    <mergeCell ref="E35:G35"/>
    <mergeCell ref="V15:Y15"/>
    <mergeCell ref="S17:U17"/>
    <mergeCell ref="S4:T4"/>
    <mergeCell ref="E20:G20"/>
    <mergeCell ref="D10:E10"/>
    <mergeCell ref="N7:O7"/>
    <mergeCell ref="F10:G10"/>
    <mergeCell ref="B8:D8"/>
    <mergeCell ref="U6:V6"/>
    <mergeCell ref="B17:D17"/>
    <mergeCell ref="S28:U28"/>
    <mergeCell ref="E30:G30"/>
    <mergeCell ref="X8:Y8"/>
    <mergeCell ref="L4:Q4"/>
    <mergeCell ref="J60:Q60"/>
    <mergeCell ref="B19:D19"/>
    <mergeCell ref="B11:C11"/>
    <mergeCell ref="E58:K58"/>
    <mergeCell ref="D11:E11"/>
    <mergeCell ref="B9:D9"/>
    <mergeCell ref="U7:V7"/>
    <mergeCell ref="E32:G32"/>
    <mergeCell ref="H11:I11"/>
    <mergeCell ref="B36:D36"/>
    <mergeCell ref="J11:K11"/>
    <mergeCell ref="E41:G41"/>
    <mergeCell ref="S26:U26"/>
    <mergeCell ref="L10:Y10"/>
    <mergeCell ref="V19:Y19"/>
    <mergeCell ref="V28:Y28"/>
    <mergeCell ref="S16:U16"/>
    <mergeCell ref="B6:C6"/>
    <mergeCell ref="E24:G24"/>
    <mergeCell ref="E33:G33"/>
    <mergeCell ref="B31:D31"/>
    <mergeCell ref="N6:O6"/>
    <mergeCell ref="V30:Y30"/>
    <mergeCell ref="S18:U18"/>
    <mergeCell ref="E17:G17"/>
    <mergeCell ref="B21:D21"/>
    <mergeCell ref="K6:L6"/>
    <mergeCell ref="B39:D39"/>
    <mergeCell ref="L11:Y11"/>
    <mergeCell ref="B54:C54"/>
    <mergeCell ref="B14:D14"/>
    <mergeCell ref="E19:G19"/>
    <mergeCell ref="B7:C7"/>
    <mergeCell ref="E34:G34"/>
    <mergeCell ref="D56:Y56"/>
    <mergeCell ref="B56:C56"/>
    <mergeCell ref="C4:J4"/>
    <mergeCell ref="X7:Y7"/>
    <mergeCell ref="E36:G36"/>
    <mergeCell ref="R7:S7"/>
    <mergeCell ref="S30:U30"/>
    <mergeCell ref="V23:Y23"/>
    <mergeCell ref="S20:U20"/>
    <mergeCell ref="S29:U29"/>
    <mergeCell ref="L58:M58"/>
    <mergeCell ref="B41:D41"/>
    <mergeCell ref="B35:D35"/>
    <mergeCell ref="E21:G21"/>
    <mergeCell ref="B25:D25"/>
    <mergeCell ref="B2:N2"/>
    <mergeCell ref="V24:Y24"/>
    <mergeCell ref="K7:L7"/>
    <mergeCell ref="E14:G14"/>
    <mergeCell ref="V27:Y27"/>
    <mergeCell ref="F11:G11"/>
    <mergeCell ref="R60:Y60"/>
    <mergeCell ref="B29:D29"/>
    <mergeCell ref="Q8:R8"/>
    <mergeCell ref="S8:T8"/>
    <mergeCell ref="S19:U19"/>
    <mergeCell ref="B40:D40"/>
    <mergeCell ref="B60:I60"/>
    <mergeCell ref="B15:D15"/>
    <mergeCell ref="E9:F9"/>
    <mergeCell ref="B24:D24"/>
    <mergeCell ref="E25:G25"/>
    <mergeCell ref="B33:D33"/>
    <mergeCell ref="V14:Y14"/>
    <mergeCell ref="P7:Q7"/>
    <mergeCell ref="B32:D32"/>
    <mergeCell ref="B10:C10"/>
    <mergeCell ref="B26:D26"/>
    <mergeCell ref="B16:D16"/>
    <mergeCell ref="N58:Q58"/>
    <mergeCell ref="E39:G39"/>
    <mergeCell ref="B18:D18"/>
    <mergeCell ref="B58:D58"/>
    <mergeCell ref="H8:I8"/>
    <mergeCell ref="X9:Y9"/>
    <mergeCell ref="E29:G29"/>
  </mergeCells>
  <conditionalFormatting sqref="E26">
    <cfRule type="cellIs" priority="1" operator="notEqual" dxfId="0">
      <formula>"OK"</formula>
    </cfRule>
  </conditionalFormatting>
  <dataValidations count="20">
    <dataValidation sqref="B7" showDropDown="0" showInputMessage="0" showErrorMessage="0" allowBlank="1" type="list" errorStyle="warning">
      <formula1>=L_Jamb</formula1>
    </dataValidation>
    <dataValidation sqref="D7" showDropDown="0" showInputMessage="0" showErrorMessage="0" allowBlank="1" type="list" errorStyle="warning">
      <formula1>=L_Fire</formula1>
    </dataValidation>
    <dataValidation sqref="F7" showDropDown="0" showInputMessage="0" showErrorMessage="0" allowBlank="1" type="list" errorStyle="warning">
      <formula1>=L_WFt</formula1>
    </dataValidation>
    <dataValidation sqref="H7" showDropDown="0" showInputMessage="0" showErrorMessage="0" allowBlank="1" type="list" errorStyle="warning">
      <formula1>=L_HFt</formula1>
    </dataValidation>
    <dataValidation sqref="J7" showDropDown="0" showInputMessage="0" showErrorMessage="0" allowBlank="1" type="list" errorStyle="warning">
      <formula1>=L_YN</formula1>
    </dataValidation>
    <dataValidation sqref="K7" showDropDown="0" showInputMessage="0" showErrorMessage="0" allowBlank="1" type="list" errorStyle="warning">
      <formula1>=L_Style</formula1>
    </dataValidation>
    <dataValidation sqref="M7" showDropDown="0" showInputMessage="0" showErrorMessage="0" allowBlank="1" type="list" errorStyle="warning">
      <formula1>=L_Swing</formula1>
    </dataValidation>
    <dataValidation sqref="N7" showDropDown="0" showInputMessage="0" showErrorMessage="0" allowBlank="1" type="list" errorStyle="warning">
      <formula1>=L_Anchor</formula1>
    </dataValidation>
    <dataValidation sqref="P7" showDropDown="0" showInputMessage="0" showErrorMessage="0" allowBlank="1" type="list" errorStyle="warning">
      <formula1>=L_Hinge</formula1>
    </dataValidation>
    <dataValidation sqref="R7" showDropDown="0" showInputMessage="0" showErrorMessage="0" allowBlank="1" type="list" errorStyle="warning">
      <formula1>=L_Strike1</formula1>
    </dataValidation>
    <dataValidation sqref="T7" showDropDown="0" showInputMessage="0" showErrorMessage="0" allowBlank="1" type="list" errorStyle="warning">
      <formula1>=L_Strike2</formula1>
    </dataValidation>
    <dataValidation sqref="U7" showDropDown="0" showInputMessage="0" showErrorMessage="0" allowBlank="1" type="list" errorStyle="warning">
      <formula1>=L_Lock1</formula1>
    </dataValidation>
    <dataValidation sqref="W7" showDropDown="0" showInputMessage="0" showErrorMessage="0" allowBlank="1" type="list" errorStyle="warning">
      <formula1>=L_Lock2</formula1>
    </dataValidation>
    <dataValidation sqref="X7" showDropDown="0" showInputMessage="0" showErrorMessage="0" allowBlank="1" type="list" errorStyle="warning">
      <formula1>=L_Mfr</formula1>
    </dataValidation>
    <dataValidation sqref="B9" showDropDown="0" showInputMessage="0" showErrorMessage="0" allowBlank="1" type="list" errorStyle="warning">
      <formula1>=L_Elev</formula1>
    </dataValidation>
    <dataValidation sqref="E9" showDropDown="0" showInputMessage="0" showErrorMessage="0" allowBlank="1" type="list" errorStyle="warning">
      <formula1>=L_Wall</formula1>
    </dataValidation>
    <dataValidation sqref="G9" showDropDown="0" showInputMessage="0" showErrorMessage="0" allowBlank="1" type="list" errorStyle="warning">
      <formula1>=L_Gauge</formula1>
    </dataValidation>
    <dataValidation sqref="H9" showDropDown="0" showInputMessage="0" showErrorMessage="0" allowBlank="1" type="list" errorStyle="warning">
      <formula1>=L_Mat</formula1>
    </dataValidation>
    <dataValidation sqref="J9" showDropDown="0" showInputMessage="0" showErrorMessage="0" allowBlank="1" type="list" errorStyle="warning">
      <formula1>=L_Gauge</formula1>
    </dataValidation>
    <dataValidation sqref="K9" showDropDown="0" showInputMessage="0" showErrorMessage="0" allowBlank="1" type="list" errorStyle="warning">
      <formula1>=L_Face</formula1>
    </dataValidation>
  </dataValidations>
  <pageMargins left="0.3" right="0.3" top="0.4" bottom="0.4" header="0.5" footer="0.5"/>
  <pageSetup orientation="landscape" fitToHeight="1" fitToWidth="1"/>
  <headerFooter>
    <oddHeader/>
    <oddFooter>&amp;L&amp;8Printed &amp;D &amp;T&amp;R&amp;8Page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E0A030"/>
    <outlinePr summaryBelow="1" summaryRight="1"/>
    <pageSetUpPr fitToPage="1"/>
  </sheetPr>
  <dimension ref="A1:Z60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5.4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  <col width="5.4" customWidth="1" min="26" max="26"/>
  </cols>
  <sheetData>
    <row r="1" ht="26" customHeight="1">
      <c r="A1" s="1" t="n"/>
      <c r="B1" s="19">
        <f>CoName</f>
        <v/>
      </c>
      <c r="O1" s="1" t="n"/>
      <c r="P1" s="1" t="n"/>
      <c r="Q1" s="1" t="n"/>
      <c r="R1" s="20">
        <f>"TAG "&amp;IF('Tag 6'!$S$4="","6",'Tag 6'!$S$4)&amp;"   ·   QTY "&amp;N('Tag 6'!$W$4)</f>
        <v/>
      </c>
      <c r="Z1" s="1" t="n"/>
    </row>
    <row r="2" ht="16" customHeight="1">
      <c r="A2" s="1" t="n"/>
      <c r="B2" s="21">
        <f>"FRAME CALCULATOR  ·  "&amp;CoSpec1&amp;"  ·  "&amp;CoSpec2</f>
        <v/>
      </c>
      <c r="O2" s="1" t="n"/>
      <c r="P2" s="1" t="n"/>
      <c r="Q2" s="1" t="n"/>
      <c r="R2" s="22">
        <f>"Printed "&amp;TEXT(NOW(),"mm/dd/yyyy hh:mm")</f>
        <v/>
      </c>
      <c r="Z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2" customHeight="1">
      <c r="B4" s="23" t="inlineStr">
        <is>
          <t>CUSTOMER</t>
        </is>
      </c>
      <c r="C4" s="24" t="n"/>
      <c r="D4" s="25" t="n"/>
      <c r="E4" s="25" t="n"/>
      <c r="F4" s="25" t="n"/>
      <c r="G4" s="25" t="n"/>
      <c r="H4" s="25" t="n"/>
      <c r="I4" s="25" t="n"/>
      <c r="J4" s="25" t="n"/>
      <c r="K4" s="23" t="inlineStr">
        <is>
          <t>P.O./JOB</t>
        </is>
      </c>
      <c r="L4" s="24" t="n"/>
      <c r="M4" s="25" t="n"/>
      <c r="N4" s="25" t="n"/>
      <c r="O4" s="25" t="n"/>
      <c r="P4" s="25" t="n"/>
      <c r="Q4" s="25" t="n"/>
      <c r="R4" s="23" t="inlineStr">
        <is>
          <t>TAG #</t>
        </is>
      </c>
      <c r="S4" s="26" t="inlineStr">
        <is>
          <t>6</t>
        </is>
      </c>
      <c r="T4" s="25" t="n"/>
      <c r="V4" s="23" t="inlineStr">
        <is>
          <t>QTY</t>
        </is>
      </c>
      <c r="W4" s="26" t="n">
        <v>1</v>
      </c>
    </row>
    <row r="6" ht="13" customHeight="1">
      <c r="B6" s="27" t="inlineStr">
        <is>
          <t>JAMB DEPTH</t>
        </is>
      </c>
      <c r="C6" s="7" t="n"/>
      <c r="D6" s="27" t="inlineStr">
        <is>
          <t>FIRE RATING</t>
        </is>
      </c>
      <c r="E6" s="7" t="n"/>
      <c r="F6" s="27" t="inlineStr">
        <is>
          <t>W FT</t>
        </is>
      </c>
      <c r="G6" s="27" t="inlineStr">
        <is>
          <t>W IN</t>
        </is>
      </c>
      <c r="H6" s="27" t="inlineStr">
        <is>
          <t>H FT</t>
        </is>
      </c>
      <c r="I6" s="27" t="inlineStr">
        <is>
          <t>H IN</t>
        </is>
      </c>
      <c r="J6" s="27" t="inlineStr">
        <is>
          <t>PAIR</t>
        </is>
      </c>
      <c r="K6" s="27" t="inlineStr">
        <is>
          <t>CONST. STYLE</t>
        </is>
      </c>
      <c r="L6" s="7" t="n"/>
      <c r="M6" s="27" t="inlineStr">
        <is>
          <t>SWING</t>
        </is>
      </c>
      <c r="N6" s="27" t="inlineStr">
        <is>
          <t>ANCHOR</t>
        </is>
      </c>
      <c r="O6" s="7" t="n"/>
      <c r="P6" s="27" t="inlineStr">
        <is>
          <t>HINGE</t>
        </is>
      </c>
      <c r="Q6" s="7" t="n"/>
      <c r="R6" s="27" t="inlineStr">
        <is>
          <t>STRIKE 1</t>
        </is>
      </c>
      <c r="S6" s="7" t="n"/>
      <c r="T6" s="27" t="inlineStr">
        <is>
          <t>STRIKE 2</t>
        </is>
      </c>
      <c r="U6" s="27" t="inlineStr">
        <is>
          <t>LOCK 1</t>
        </is>
      </c>
      <c r="V6" s="7" t="n"/>
      <c r="W6" s="27" t="inlineStr">
        <is>
          <t>LOCK 2</t>
        </is>
      </c>
      <c r="X6" s="27" t="inlineStr">
        <is>
          <t>LOCATIONS</t>
        </is>
      </c>
      <c r="Y6" s="7" t="n"/>
    </row>
    <row r="7" ht="20" customHeight="1">
      <c r="B7" s="28" t="n">
        <v>534</v>
      </c>
      <c r="C7" s="29" t="n"/>
      <c r="D7" s="28" t="inlineStr">
        <is>
          <t>NO LAB</t>
        </is>
      </c>
      <c r="E7" s="29" t="n"/>
      <c r="F7" s="28" t="n">
        <v>3</v>
      </c>
      <c r="G7" s="28" t="n">
        <v>0</v>
      </c>
      <c r="H7" s="28" t="n">
        <v>7</v>
      </c>
      <c r="I7" s="28" t="n">
        <v>0</v>
      </c>
      <c r="J7" s="28" t="n"/>
      <c r="K7" s="28" t="inlineStr">
        <is>
          <t>KD-3PC</t>
        </is>
      </c>
      <c r="L7" s="29" t="n"/>
      <c r="M7" s="28" t="inlineStr">
        <is>
          <t>LH</t>
        </is>
      </c>
      <c r="N7" s="30" t="inlineStr">
        <is>
          <t>COMP</t>
        </is>
      </c>
      <c r="O7" s="29" t="n"/>
      <c r="P7" s="28" t="inlineStr">
        <is>
          <t>U453</t>
        </is>
      </c>
      <c r="Q7" s="29" t="n"/>
      <c r="R7" s="28" t="inlineStr">
        <is>
          <t>E1</t>
        </is>
      </c>
      <c r="S7" s="29" t="n"/>
      <c r="T7" s="28" t="n"/>
      <c r="U7" s="28" t="inlineStr">
        <is>
          <t>G2</t>
        </is>
      </c>
      <c r="V7" s="29" t="n"/>
      <c r="W7" s="28" t="n"/>
      <c r="X7" s="30" t="inlineStr">
        <is>
          <t>CUSTOM</t>
        </is>
      </c>
      <c r="Y7" s="29" t="n"/>
    </row>
    <row r="8" ht="13" customHeight="1">
      <c r="B8" s="31" t="inlineStr">
        <is>
          <t>ELEVATION</t>
        </is>
      </c>
      <c r="C8" s="32" t="n"/>
      <c r="D8" s="32" t="n"/>
      <c r="E8" s="31" t="inlineStr">
        <is>
          <t>WALL</t>
        </is>
      </c>
      <c r="F8" s="32" t="n"/>
      <c r="G8" s="31" t="inlineStr">
        <is>
          <t>FRAME GA</t>
        </is>
      </c>
      <c r="H8" s="31" t="inlineStr">
        <is>
          <t>DOOR</t>
        </is>
      </c>
      <c r="I8" s="32" t="n"/>
      <c r="J8" s="31" t="inlineStr">
        <is>
          <t>DOOR GA</t>
        </is>
      </c>
      <c r="K8" s="31" t="inlineStr">
        <is>
          <t>HEAD FACE</t>
        </is>
      </c>
      <c r="L8" s="31" t="inlineStr">
        <is>
          <t>JAMB FACE</t>
        </is>
      </c>
      <c r="M8" s="31" t="inlineStr">
        <is>
          <t>REV HINGE</t>
        </is>
      </c>
      <c r="N8" s="31" t="inlineStr">
        <is>
          <t>REV LOCK</t>
        </is>
      </c>
      <c r="O8" s="31" t="inlineStr">
        <is>
          <t>REV TOP</t>
        </is>
      </c>
      <c r="P8" s="31" t="inlineStr">
        <is>
          <t>UNDERCUT</t>
        </is>
      </c>
      <c r="Q8" s="31" t="inlineStr">
        <is>
          <t>MASONRY R.O. W</t>
        </is>
      </c>
      <c r="R8" s="32" t="n"/>
      <c r="S8" s="31" t="inlineStr">
        <is>
          <t>MASONRY R.O. H</t>
        </is>
      </c>
      <c r="T8" s="32" t="n"/>
      <c r="U8" s="31" t="inlineStr">
        <is>
          <t>TOL. EA SIDE</t>
        </is>
      </c>
      <c r="V8" s="31" t="inlineStr">
        <is>
          <t>LITE W</t>
        </is>
      </c>
      <c r="W8" s="31" t="inlineStr">
        <is>
          <t>LITE H</t>
        </is>
      </c>
      <c r="X8" s="31" t="inlineStr">
        <is>
          <t>LITE TOP</t>
        </is>
      </c>
      <c r="Y8" s="32" t="n"/>
    </row>
    <row r="9" ht="20" customHeight="1">
      <c r="B9" s="30" t="inlineStr">
        <is>
          <t>FLUSH</t>
        </is>
      </c>
      <c r="C9" s="29" t="n"/>
      <c r="D9" s="29" t="n"/>
      <c r="E9" s="28" t="inlineStr">
        <is>
          <t>DRYWALL</t>
        </is>
      </c>
      <c r="F9" s="29" t="n"/>
      <c r="G9" s="28" t="n">
        <v>16</v>
      </c>
      <c r="H9" s="28" t="inlineStr">
        <is>
          <t>HM</t>
        </is>
      </c>
      <c r="I9" s="29" t="n"/>
      <c r="J9" s="28" t="n">
        <v>18</v>
      </c>
      <c r="K9" s="28" t="n">
        <v>2</v>
      </c>
      <c r="L9" s="28" t="n">
        <v>2</v>
      </c>
      <c r="M9" s="33" t="n"/>
      <c r="N9" s="33" t="n"/>
      <c r="O9" s="33" t="n"/>
      <c r="P9" s="33" t="n"/>
      <c r="Q9" s="33" t="n"/>
      <c r="R9" s="29" t="n"/>
      <c r="S9" s="33" t="n"/>
      <c r="T9" s="29" t="n"/>
      <c r="U9" s="33" t="n"/>
      <c r="V9" s="28" t="n"/>
      <c r="W9" s="28" t="n"/>
      <c r="X9" s="33" t="n"/>
      <c r="Y9" s="29" t="n"/>
    </row>
    <row r="10" ht="13" customHeight="1">
      <c r="B10" s="34" t="inlineStr">
        <is>
          <t>CUSTOM A</t>
        </is>
      </c>
      <c r="C10" s="35" t="n"/>
      <c r="D10" s="34" t="inlineStr">
        <is>
          <t>CUSTOM B</t>
        </is>
      </c>
      <c r="E10" s="35" t="n"/>
      <c r="F10" s="34" t="inlineStr">
        <is>
          <t>CUSTOM C</t>
        </is>
      </c>
      <c r="G10" s="35" t="n"/>
      <c r="H10" s="34" t="inlineStr">
        <is>
          <t>CUSTOM D</t>
        </is>
      </c>
      <c r="I10" s="35" t="n"/>
      <c r="J10" s="34" t="inlineStr">
        <is>
          <t>CUSTOM E</t>
        </is>
      </c>
      <c r="K10" s="35" t="n"/>
      <c r="L10" s="34" t="inlineStr">
        <is>
          <t>HARDWARE NOTES</t>
        </is>
      </c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</row>
    <row r="11" ht="20" customHeight="1">
      <c r="B11" s="33" t="n">
        <v>6</v>
      </c>
      <c r="C11" s="29" t="n"/>
      <c r="D11" s="33" t="n">
        <v>36</v>
      </c>
      <c r="E11" s="29" t="n"/>
      <c r="F11" s="33" t="n">
        <v>66</v>
      </c>
      <c r="G11" s="29" t="n"/>
      <c r="H11" s="33" t="n"/>
      <c r="I11" s="29" t="n"/>
      <c r="J11" s="33" t="n">
        <v>42</v>
      </c>
      <c r="K11" s="29" t="n"/>
      <c r="L11" s="36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</row>
    <row r="13">
      <c r="B13" s="37" t="inlineStr">
        <is>
          <t>FRAME SIZE INFO</t>
        </is>
      </c>
      <c r="C13" s="38" t="n"/>
      <c r="D13" s="38" t="n"/>
      <c r="E13" s="38" t="n"/>
      <c r="F13" s="38" t="n"/>
      <c r="G13" s="38" t="n"/>
      <c r="H13" s="39" t="n"/>
      <c r="I13" s="40" t="inlineStr">
        <is>
          <t>FRAME ELEVATION — locations from the top of the frame</t>
        </is>
      </c>
      <c r="J13" s="38" t="n"/>
      <c r="K13" s="38" t="n"/>
      <c r="L13" s="38" t="n"/>
      <c r="M13" s="38" t="n"/>
      <c r="N13" s="38" t="n"/>
      <c r="O13" s="38" t="n"/>
      <c r="P13" s="38" t="n"/>
      <c r="Q13" s="38" t="n"/>
      <c r="R13" s="39" t="n"/>
      <c r="S13" s="40" t="inlineStr">
        <is>
          <t>DOOR SIZE INFO</t>
        </is>
      </c>
      <c r="T13" s="38" t="n"/>
      <c r="U13" s="38" t="n"/>
      <c r="V13" s="38" t="n"/>
      <c r="W13" s="38" t="n"/>
      <c r="X13" s="38" t="n"/>
      <c r="Y13" s="41" t="n"/>
    </row>
    <row r="14">
      <c r="B14" s="42" t="inlineStr">
        <is>
          <t>INSIDE WIDTH</t>
        </is>
      </c>
      <c r="C14" s="43" t="n"/>
      <c r="D14" s="43" t="n"/>
      <c r="E14" s="44">
        <f>Calc!$AA$1</f>
        <v/>
      </c>
      <c r="F14" s="45" t="n"/>
      <c r="G14" s="45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 t="inlineStr">
        <is>
          <t>OPENING WIDTH</t>
        </is>
      </c>
      <c r="T14" s="43" t="n"/>
      <c r="U14" s="43" t="n"/>
      <c r="V14" s="48">
        <f>Calc!$AA$1</f>
        <v/>
      </c>
      <c r="W14" s="45" t="n"/>
      <c r="X14" s="45" t="n"/>
      <c r="Y14" s="49" t="n"/>
    </row>
    <row r="15">
      <c r="B15" s="42" t="inlineStr">
        <is>
          <t>INSIDE HEIGHT</t>
        </is>
      </c>
      <c r="C15" s="43" t="n"/>
      <c r="D15" s="43" t="n"/>
      <c r="E15" s="44">
        <f>Calc!$AA$2</f>
        <v/>
      </c>
      <c r="F15" s="45" t="n"/>
      <c r="G15" s="45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7" t="inlineStr">
        <is>
          <t>OPENING HEIGHT</t>
        </is>
      </c>
      <c r="T15" s="43" t="n"/>
      <c r="U15" s="43" t="n"/>
      <c r="V15" s="48">
        <f>Calc!$AA$2</f>
        <v/>
      </c>
      <c r="W15" s="45" t="n"/>
      <c r="X15" s="45" t="n"/>
      <c r="Y15" s="49" t="n"/>
    </row>
    <row r="16">
      <c r="B16" s="42" t="inlineStr">
        <is>
          <t>OUTSIDE WIDTH</t>
        </is>
      </c>
      <c r="C16" s="43" t="n"/>
      <c r="D16" s="43" t="n"/>
      <c r="E16" s="44">
        <f>Calc!$AA$13</f>
        <v/>
      </c>
      <c r="F16" s="45" t="n"/>
      <c r="G16" s="45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 t="inlineStr">
        <is>
          <t>ACTUAL WIDTH</t>
        </is>
      </c>
      <c r="T16" s="43" t="n"/>
      <c r="U16" s="43" t="n"/>
      <c r="V16" s="44">
        <f>Calc!$AA$24</f>
        <v/>
      </c>
      <c r="W16" s="45" t="n"/>
      <c r="X16" s="45" t="n"/>
      <c r="Y16" s="49" t="n"/>
    </row>
    <row r="17">
      <c r="B17" s="42" t="inlineStr">
        <is>
          <t>OUTSIDE HEIGHT</t>
        </is>
      </c>
      <c r="C17" s="43" t="n"/>
      <c r="D17" s="43" t="n"/>
      <c r="E17" s="44">
        <f>Calc!$AA$14</f>
        <v/>
      </c>
      <c r="F17" s="45" t="n"/>
      <c r="G17" s="45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 t="inlineStr">
        <is>
          <t>ACTUAL HEIGHT</t>
        </is>
      </c>
      <c r="T17" s="43" t="n"/>
      <c r="U17" s="43" t="n"/>
      <c r="V17" s="44">
        <f>Calc!$AA$25</f>
        <v/>
      </c>
      <c r="W17" s="45" t="n"/>
      <c r="X17" s="45" t="n"/>
      <c r="Y17" s="49" t="n"/>
    </row>
    <row r="18">
      <c r="B18" s="42" t="inlineStr">
        <is>
          <t>HEADER FACE</t>
        </is>
      </c>
      <c r="C18" s="43" t="n"/>
      <c r="D18" s="43" t="n"/>
      <c r="E18" s="48">
        <f>Calc!$AA$12</f>
        <v/>
      </c>
      <c r="F18" s="45" t="n"/>
      <c r="G18" s="45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 t="inlineStr">
        <is>
          <t>REVEAL HINGE / LOCK / TOP</t>
        </is>
      </c>
      <c r="T18" s="43" t="n"/>
      <c r="U18" s="43" t="n"/>
      <c r="V18" s="50">
        <f>TRIM(TEXT(Calc!$AA$20,"# ?/??"))&amp;CHAR(34)&amp;" · "&amp;TRIM(TEXT(Calc!$AA$21,"# ?/??"))&amp;CHAR(34)&amp;" · "&amp;TRIM(TEXT(Calc!$AA$22,"# ?/??"))&amp;CHAR(34)</f>
        <v/>
      </c>
      <c r="W18" s="45" t="n"/>
      <c r="X18" s="45" t="n"/>
      <c r="Y18" s="49" t="n"/>
    </row>
    <row r="19">
      <c r="B19" s="42" t="inlineStr">
        <is>
          <t>HINGE &amp; STRIKE FACE</t>
        </is>
      </c>
      <c r="C19" s="43" t="n"/>
      <c r="D19" s="43" t="n"/>
      <c r="E19" s="48">
        <f>Calc!$AA$11</f>
        <v/>
      </c>
      <c r="F19" s="45" t="n"/>
      <c r="G19" s="45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 t="inlineStr">
        <is>
          <t>UNDERCUT</t>
        </is>
      </c>
      <c r="T19" s="43" t="n"/>
      <c r="U19" s="43" t="n"/>
      <c r="V19" s="48">
        <f>Calc!$AA$23</f>
        <v/>
      </c>
      <c r="W19" s="45" t="n"/>
      <c r="X19" s="45" t="n"/>
      <c r="Y19" s="49" t="n"/>
    </row>
    <row r="20">
      <c r="B20" s="42" t="inlineStr">
        <is>
          <t>JAMB DEPTH</t>
        </is>
      </c>
      <c r="C20" s="43" t="n"/>
      <c r="D20" s="43" t="n"/>
      <c r="E20" s="50">
        <f>Calc!$AA$7</f>
        <v/>
      </c>
      <c r="F20" s="45" t="n"/>
      <c r="G20" s="45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 t="inlineStr">
        <is>
          <t>LITE KIT</t>
        </is>
      </c>
      <c r="T20" s="43" t="n"/>
      <c r="U20" s="43" t="n"/>
      <c r="V20" s="50">
        <f>IF(Calc!$AA$59,Calc!$AA$86&amp;"  ·  top "&amp;TRIM(TEXT(Calc!$AA$58,"# ?/??"))&amp;CHAR(34),"FLUSH")</f>
        <v/>
      </c>
      <c r="W20" s="45" t="n"/>
      <c r="X20" s="45" t="n"/>
      <c r="Y20" s="49" t="n"/>
    </row>
    <row r="21">
      <c r="B21" s="42" t="inlineStr">
        <is>
          <t>FITS WALL (throat)</t>
        </is>
      </c>
      <c r="C21" s="43" t="n"/>
      <c r="D21" s="43" t="n"/>
      <c r="E21" s="48">
        <f>Calc!$AA$15</f>
        <v/>
      </c>
      <c r="F21" s="45" t="n"/>
      <c r="G21" s="45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51" t="n"/>
    </row>
    <row r="22">
      <c r="B22" s="52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53" t="inlineStr">
        <is>
          <t>HARDWARE LOCATIONS — DOOR (from top of door)</t>
        </is>
      </c>
      <c r="T22" s="54" t="n"/>
      <c r="U22" s="54" t="n"/>
      <c r="V22" s="54" t="n"/>
      <c r="W22" s="54" t="n"/>
      <c r="X22" s="54" t="n"/>
      <c r="Y22" s="55" t="n"/>
    </row>
    <row r="23">
      <c r="B23" s="56" t="inlineStr">
        <is>
          <t>ROUGH OPENING</t>
        </is>
      </c>
      <c r="C23" s="57" t="n"/>
      <c r="D23" s="57" t="n"/>
      <c r="E23" s="57" t="n"/>
      <c r="F23" s="57" t="n"/>
      <c r="G23" s="57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7" t="inlineStr">
        <is>
          <t>HINGE 1</t>
        </is>
      </c>
      <c r="T23" s="43" t="n"/>
      <c r="U23" s="43" t="n"/>
      <c r="V23" s="44">
        <f>IF(ISNUMBER(Calc!$AA$40),Calc!$AA$40-Calc!$AA$22,IF(Calc!$AA$26=0,"","NONE"))</f>
        <v/>
      </c>
      <c r="W23" s="45" t="n"/>
      <c r="X23" s="45" t="n"/>
      <c r="Y23" s="49" t="n"/>
    </row>
    <row r="24">
      <c r="B24" s="42" t="inlineStr">
        <is>
          <t>DRYWALL W x H</t>
        </is>
      </c>
      <c r="C24" s="43" t="n"/>
      <c r="D24" s="43" t="n"/>
      <c r="E24" s="58">
        <f>TRIM(TEXT(Calc!$AA$16,"# ?/??"))&amp;CHAR(34)&amp;" x "&amp;TRIM(TEXT(Calc!$AA$17,"# ?/??"))&amp;CHAR(34)</f>
        <v/>
      </c>
      <c r="F24" s="45" t="n"/>
      <c r="G24" s="45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7" t="inlineStr">
        <is>
          <t>HINGE 2</t>
        </is>
      </c>
      <c r="T24" s="43" t="n"/>
      <c r="U24" s="43" t="n"/>
      <c r="V24" s="44">
        <f>IF(ISNUMBER(Calc!$AA$41),Calc!$AA$41-Calc!$AA$22,IF(Calc!$AA$26=0,"","NONE"))</f>
        <v/>
      </c>
      <c r="W24" s="45" t="n"/>
      <c r="X24" s="45" t="n"/>
      <c r="Y24" s="49" t="n"/>
    </row>
    <row r="25">
      <c r="B25" s="42" t="inlineStr">
        <is>
          <t>MASONRY W x H</t>
        </is>
      </c>
      <c r="C25" s="43" t="n"/>
      <c r="D25" s="43" t="n"/>
      <c r="E25" s="58">
        <f>TRIM(TEXT(Calc!$AA$18,"# ?/??"))&amp;CHAR(34)&amp;" x "&amp;TRIM(TEXT(Calc!$AA$19,"# ?/??"))&amp;CHAR(34)</f>
        <v/>
      </c>
      <c r="F25" s="45" t="n"/>
      <c r="G25" s="45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7" t="inlineStr">
        <is>
          <t>HINGE 3</t>
        </is>
      </c>
      <c r="T25" s="43" t="n"/>
      <c r="U25" s="43" t="n"/>
      <c r="V25" s="44">
        <f>IF(ISNUMBER(Calc!$AA$42),Calc!$AA$42-Calc!$AA$22,IF(Calc!$AA$26=0,"","NONE"))</f>
        <v/>
      </c>
      <c r="W25" s="45" t="n"/>
      <c r="X25" s="45" t="n"/>
      <c r="Y25" s="49" t="n"/>
    </row>
    <row r="26">
      <c r="B26" s="42" t="inlineStr">
        <is>
          <t>FACE CHECK</t>
        </is>
      </c>
      <c r="C26" s="43" t="n"/>
      <c r="D26" s="43" t="n"/>
      <c r="E26" s="50">
        <f>IF(OR(Calc!$AA$11&lt;1,Calc!$AA$11&gt;12,Calc!$AA$12&lt;1,Calc!$AA$12&gt;12),"ERROR — face out of range","OK")</f>
        <v/>
      </c>
      <c r="F26" s="45" t="n"/>
      <c r="G26" s="45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7" t="inlineStr">
        <is>
          <t>HINGE 4</t>
        </is>
      </c>
      <c r="T26" s="43" t="n"/>
      <c r="U26" s="43" t="n"/>
      <c r="V26" s="44">
        <f>IF(ISNUMBER(Calc!$AA$43),Calc!$AA$43-Calc!$AA$22,IF(Calc!$AA$26=0,"","NONE"))</f>
        <v/>
      </c>
      <c r="W26" s="45" t="n"/>
      <c r="X26" s="45" t="n"/>
      <c r="Y26" s="49" t="n"/>
    </row>
    <row r="27">
      <c r="B27" s="52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7" t="inlineStr">
        <is>
          <t>LOCK 1 CYL CL</t>
        </is>
      </c>
      <c r="T27" s="43" t="n"/>
      <c r="U27" s="43" t="n"/>
      <c r="V27" s="59">
        <f>Calc!$AA$49</f>
        <v/>
      </c>
      <c r="W27" s="45" t="n"/>
      <c r="X27" s="45" t="n"/>
      <c r="Y27" s="49" t="n"/>
    </row>
    <row r="28">
      <c r="B28" s="60" t="inlineStr">
        <is>
          <t>HARDWARE LOCATIONS — FRAME</t>
        </is>
      </c>
      <c r="C28" s="54" t="n"/>
      <c r="D28" s="54" t="n"/>
      <c r="E28" s="54" t="n"/>
      <c r="F28" s="54" t="n"/>
      <c r="G28" s="54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7" t="inlineStr">
        <is>
          <t>LOCK 2 CYL CL</t>
        </is>
      </c>
      <c r="T28" s="43" t="n"/>
      <c r="U28" s="43" t="n"/>
      <c r="V28" s="59">
        <f>Calc!$AA$50</f>
        <v/>
      </c>
      <c r="W28" s="45" t="n"/>
      <c r="X28" s="45" t="n"/>
      <c r="Y28" s="49" t="n"/>
    </row>
    <row r="29">
      <c r="B29" s="42" t="inlineStr">
        <is>
          <t>MANUFACTURER</t>
        </is>
      </c>
      <c r="C29" s="43" t="n"/>
      <c r="D29" s="43" t="n"/>
      <c r="E29" s="61">
        <f>'Tag 6'!$X$7</f>
        <v/>
      </c>
      <c r="F29" s="45" t="n"/>
      <c r="G29" s="45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7" t="inlineStr">
        <is>
          <t>TOP MORTISE LOCK</t>
        </is>
      </c>
      <c r="T29" s="43" t="n"/>
      <c r="U29" s="43" t="n"/>
      <c r="V29" s="48">
        <f>Calc!$AA$51</f>
        <v/>
      </c>
      <c r="W29" s="45" t="n"/>
      <c r="X29" s="45" t="n"/>
      <c r="Y29" s="49" t="n"/>
    </row>
    <row r="30">
      <c r="B30" s="42" t="inlineStr">
        <is>
          <t>CHART</t>
        </is>
      </c>
      <c r="C30" s="43" t="n"/>
      <c r="D30" s="43" t="n"/>
      <c r="E30" s="62">
        <f>IF(Calc!$AA$29,INT(ROUND(Calc!$AA$28,4)/12)&amp;"'-"&amp;IF(ROUND(MOD(Calc!$AA$28,12),4)=0,"0",TRIM(TEXT(MOD(Calc!$AA$28,12),"# ?/??")))&amp;CHAR(34)&amp;IF(Calc!$AA$36," cut down",IF(Calc!$AA$38," — NOT STOCK","")),IF(Calc!$AA$27,"CUSTOM","ANSI/SDI"))</f>
        <v/>
      </c>
      <c r="F30" s="45" t="n"/>
      <c r="G30" s="45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7" t="inlineStr">
        <is>
          <t>MORTISE TOP TO CL</t>
        </is>
      </c>
      <c r="T30" s="43" t="n"/>
      <c r="U30" s="43" t="n"/>
      <c r="V30" s="48">
        <f>Calc!$AA$52</f>
        <v/>
      </c>
      <c r="W30" s="45" t="n"/>
      <c r="X30" s="45" t="n"/>
      <c r="Y30" s="49" t="n"/>
    </row>
    <row r="31">
      <c r="B31" s="42" t="inlineStr">
        <is>
          <t>HINGE 1</t>
        </is>
      </c>
      <c r="C31" s="43" t="n"/>
      <c r="D31" s="43" t="n"/>
      <c r="E31" s="44">
        <f>IF(ISNUMBER(Calc!$AA$40),Calc!$AA$40,IF(Calc!$AA$26=0,IF(AND(0=0,'Tag 6'!$P$7="HGC"),"CONTINUOUS",""),"NONE"))</f>
        <v/>
      </c>
      <c r="F31" s="45" t="n"/>
      <c r="G31" s="45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51" t="n"/>
    </row>
    <row r="32">
      <c r="B32" s="42" t="inlineStr">
        <is>
          <t>HINGE 2</t>
        </is>
      </c>
      <c r="C32" s="43" t="n"/>
      <c r="D32" s="43" t="n"/>
      <c r="E32" s="44">
        <f>IF(ISNUMBER(Calc!$AA$41),Calc!$AA$41,IF(Calc!$AA$26=0,IF(AND(1=0,'Tag 6'!$P$7="HGC"),"CONTINUOUS",""),"NONE"))</f>
        <v/>
      </c>
      <c r="F32" s="45" t="n"/>
      <c r="G32" s="45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63" t="inlineStr">
        <is>
          <t>DOOR ELEVATION</t>
        </is>
      </c>
      <c r="T32" s="57" t="n"/>
      <c r="U32" s="57" t="n"/>
      <c r="V32" s="57" t="n"/>
      <c r="W32" s="57" t="n"/>
      <c r="X32" s="57" t="n"/>
      <c r="Y32" s="64" t="n"/>
    </row>
    <row r="33">
      <c r="B33" s="42" t="inlineStr">
        <is>
          <t>HINGE 3</t>
        </is>
      </c>
      <c r="C33" s="43" t="n"/>
      <c r="D33" s="43" t="n"/>
      <c r="E33" s="44">
        <f>IF(ISNUMBER(Calc!$AA$42),Calc!$AA$42,IF(Calc!$AA$26=0,IF(AND(2=0,'Tag 6'!$P$7="HGC"),"CONTINUOUS",""),"NONE"))</f>
        <v/>
      </c>
      <c r="F33" s="45" t="n"/>
      <c r="G33" s="45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51" t="n"/>
    </row>
    <row r="34">
      <c r="B34" s="42" t="inlineStr">
        <is>
          <t>HINGE 4</t>
        </is>
      </c>
      <c r="C34" s="43" t="n"/>
      <c r="D34" s="43" t="n"/>
      <c r="E34" s="44">
        <f>IF(ISNUMBER(Calc!$AA$43),Calc!$AA$43,IF(Calc!$AA$26=0,IF(AND(3=0,'Tag 6'!$P$7="HGC"),"CONTINUOUS",""),"NONE"))</f>
        <v/>
      </c>
      <c r="F34" s="45" t="n"/>
      <c r="G34" s="45" t="n"/>
      <c r="H34" s="46" t="n"/>
      <c r="I34" s="63" t="inlineStr">
        <is>
          <t>SWING (plan) · JAMB PROFILE</t>
        </is>
      </c>
      <c r="J34" s="57" t="n"/>
      <c r="K34" s="57" t="n"/>
      <c r="L34" s="57" t="n"/>
      <c r="M34" s="57" t="n"/>
      <c r="N34" s="57" t="n"/>
      <c r="O34" s="57" t="n"/>
      <c r="P34" s="57" t="n"/>
      <c r="Q34" s="57" t="n"/>
      <c r="R34" s="46" t="n"/>
      <c r="S34" s="46" t="n"/>
      <c r="T34" s="46" t="n"/>
      <c r="U34" s="46" t="n"/>
      <c r="V34" s="46" t="n"/>
      <c r="W34" s="46" t="n"/>
      <c r="X34" s="46" t="n"/>
      <c r="Y34" s="51" t="n"/>
    </row>
    <row r="35">
      <c r="B35" s="42" t="inlineStr">
        <is>
          <t>STRIKE 1 (E)</t>
        </is>
      </c>
      <c r="C35" s="43" t="n"/>
      <c r="D35" s="43" t="n"/>
      <c r="E35" s="59">
        <f>Calc!$AA$46</f>
        <v/>
      </c>
      <c r="F35" s="45" t="n"/>
      <c r="G35" s="45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51" t="n"/>
    </row>
    <row r="36">
      <c r="B36" s="42" t="inlineStr">
        <is>
          <t>STRIKE 2</t>
        </is>
      </c>
      <c r="C36" s="43" t="n"/>
      <c r="D36" s="43" t="n"/>
      <c r="E36" s="59">
        <f>Calc!$AA$47</f>
        <v/>
      </c>
      <c r="F36" s="45" t="n"/>
      <c r="G36" s="45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51" t="n"/>
    </row>
    <row r="37">
      <c r="B37" s="52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51" t="n"/>
    </row>
    <row r="38">
      <c r="B38" s="65" t="inlineStr">
        <is>
          <t>OTHER MEASUREMENTS — FRAME</t>
        </is>
      </c>
      <c r="C38" s="66" t="n"/>
      <c r="D38" s="66" t="n"/>
      <c r="E38" s="66" t="n"/>
      <c r="F38" s="66" t="n"/>
      <c r="G38" s="6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51" t="n"/>
    </row>
    <row r="39">
      <c r="B39" s="42" t="inlineStr">
        <is>
          <t>ASA 4-7/8 TOP TO TOP</t>
        </is>
      </c>
      <c r="C39" s="43" t="n"/>
      <c r="D39" s="43" t="n"/>
      <c r="E39" s="48">
        <f>IF(ISNUMBER(Calc!$AA$46),Calc!$AA$46-2.4375,"")</f>
        <v/>
      </c>
      <c r="F39" s="45" t="n"/>
      <c r="G39" s="45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51" t="n"/>
    </row>
    <row r="40">
      <c r="B40" s="42" t="inlineStr">
        <is>
          <t>ASA 4-7/8 FTC (lock AFF)</t>
        </is>
      </c>
      <c r="C40" s="43" t="n"/>
      <c r="D40" s="43" t="n"/>
      <c r="E40" s="48">
        <f>Calc!$AA$53</f>
        <v/>
      </c>
      <c r="F40" s="45" t="n"/>
      <c r="G40" s="45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51" t="n"/>
    </row>
    <row r="41">
      <c r="B41" s="42" t="inlineStr">
        <is>
          <t>DEADBOLT FTC</t>
        </is>
      </c>
      <c r="C41" s="43" t="n"/>
      <c r="D41" s="43" t="n"/>
      <c r="E41" s="48">
        <f>IF(ISNUMBER(Calc!$AA$47),Calc!$AA$2-Calc!$AA$47,"")</f>
        <v/>
      </c>
      <c r="F41" s="45" t="n"/>
      <c r="G41" s="45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51" t="n"/>
    </row>
    <row r="42">
      <c r="B42" s="42" t="inlineStr">
        <is>
          <t>HAND / SWING</t>
        </is>
      </c>
      <c r="C42" s="43" t="n"/>
      <c r="D42" s="43" t="n"/>
      <c r="E42" s="58">
        <f>Calc!$AA$87</f>
        <v/>
      </c>
      <c r="F42" s="45" t="n"/>
      <c r="G42" s="45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51" t="n"/>
    </row>
    <row r="43">
      <c r="B43" s="52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51" t="n"/>
    </row>
    <row r="44">
      <c r="B44" s="52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51" t="n"/>
    </row>
    <row r="45">
      <c r="B45" s="52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51" t="n"/>
    </row>
    <row r="46">
      <c r="B46" s="52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51" t="n"/>
    </row>
    <row r="47">
      <c r="B47" s="52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51" t="n"/>
    </row>
    <row r="48">
      <c r="B48" s="52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51" t="n"/>
    </row>
    <row r="49">
      <c r="B49" s="52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51" t="n"/>
    </row>
    <row r="50">
      <c r="B50" s="52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51" t="n"/>
    </row>
    <row r="51">
      <c r="B51" s="52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51" t="n"/>
    </row>
    <row r="52">
      <c r="B52" s="52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51" t="n"/>
    </row>
    <row r="53">
      <c r="B53" s="67" t="inlineStr">
        <is>
          <t>ORDER LINES</t>
        </is>
      </c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9" t="n"/>
    </row>
    <row r="54">
      <c r="B54" s="70" t="inlineStr">
        <is>
          <t>FRAME</t>
        </is>
      </c>
      <c r="C54" s="71" t="n"/>
      <c r="D54" s="72">
        <f>IF(Calc!$AA$3,'Tag 6'!$W$4&amp;") "&amp;Calc!$AA$64,"")</f>
        <v/>
      </c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9" t="n"/>
    </row>
    <row r="55">
      <c r="B55" s="70" t="inlineStr">
        <is>
          <t>DOOR</t>
        </is>
      </c>
      <c r="C55" s="71" t="n"/>
      <c r="D55" s="72">
        <f>IF(Calc!$AA$3,'Tag 6'!$W$4*Calc!$AA$5&amp;") "&amp;Calc!$AA$66,"")</f>
        <v/>
      </c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9" t="n"/>
    </row>
    <row r="56" ht="26" customHeight="1">
      <c r="B56" s="73" t="inlineStr">
        <is>
          <t>NOTES</t>
        </is>
      </c>
      <c r="C56" s="74" t="n"/>
      <c r="D56" s="75">
        <f>'Tag 6'!$L$11&amp;""</f>
        <v/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  <c r="X56" s="76" t="n"/>
      <c r="Y56" s="77" t="n"/>
    </row>
    <row r="58">
      <c r="B58" s="78" t="inlineStr">
        <is>
          <t>APPROVED:</t>
        </is>
      </c>
      <c r="E58" s="79" t="n"/>
      <c r="F58" s="25" t="n"/>
      <c r="G58" s="25" t="n"/>
      <c r="H58" s="25" t="n"/>
      <c r="I58" s="25" t="n"/>
      <c r="J58" s="25" t="n"/>
      <c r="K58" s="25" t="n"/>
      <c r="L58" s="78" t="inlineStr">
        <is>
          <t>DATE:</t>
        </is>
      </c>
      <c r="N58" s="79" t="n"/>
      <c r="O58" s="25" t="n"/>
      <c r="P58" s="25" t="n"/>
      <c r="Q58" s="25" t="n"/>
    </row>
    <row r="60">
      <c r="B60" s="80">
        <f>CoPhone</f>
        <v/>
      </c>
      <c r="J60" s="81">
        <f>CoAddr</f>
        <v/>
      </c>
      <c r="R60" s="82">
        <f>CoWeb</f>
        <v/>
      </c>
    </row>
  </sheetData>
  <mergeCells count="136">
    <mergeCell ref="B42:D42"/>
    <mergeCell ref="V26:Y26"/>
    <mergeCell ref="R1:Y1"/>
    <mergeCell ref="S14:U14"/>
    <mergeCell ref="S23:U23"/>
    <mergeCell ref="H10:I10"/>
    <mergeCell ref="J10:K10"/>
    <mergeCell ref="E31:G31"/>
    <mergeCell ref="V16:Y16"/>
    <mergeCell ref="E40:G40"/>
    <mergeCell ref="V25:Y25"/>
    <mergeCell ref="E15:G15"/>
    <mergeCell ref="E8:F8"/>
    <mergeCell ref="H9:I9"/>
    <mergeCell ref="B34:D34"/>
    <mergeCell ref="D6:E6"/>
    <mergeCell ref="D55:Y55"/>
    <mergeCell ref="V18:Y18"/>
    <mergeCell ref="S15:U15"/>
    <mergeCell ref="P6:Q6"/>
    <mergeCell ref="S24:U24"/>
    <mergeCell ref="R6:S6"/>
    <mergeCell ref="E26:G26"/>
    <mergeCell ref="V17:Y17"/>
    <mergeCell ref="D54:Y54"/>
    <mergeCell ref="B30:D30"/>
    <mergeCell ref="B20:D20"/>
    <mergeCell ref="E16:G16"/>
    <mergeCell ref="D7:E7"/>
    <mergeCell ref="X6:Y6"/>
    <mergeCell ref="V20:Y20"/>
    <mergeCell ref="E18:G18"/>
    <mergeCell ref="V29:Y29"/>
    <mergeCell ref="Q9:R9"/>
    <mergeCell ref="S9:T9"/>
    <mergeCell ref="S25:U25"/>
    <mergeCell ref="B55:C55"/>
    <mergeCell ref="E42:G42"/>
    <mergeCell ref="B1:N1"/>
    <mergeCell ref="S27:U27"/>
    <mergeCell ref="R2:Y2"/>
    <mergeCell ref="E35:G35"/>
    <mergeCell ref="V15:Y15"/>
    <mergeCell ref="S17:U17"/>
    <mergeCell ref="S4:T4"/>
    <mergeCell ref="E20:G20"/>
    <mergeCell ref="D10:E10"/>
    <mergeCell ref="N7:O7"/>
    <mergeCell ref="F10:G10"/>
    <mergeCell ref="B8:D8"/>
    <mergeCell ref="U6:V6"/>
    <mergeCell ref="B17:D17"/>
    <mergeCell ref="S28:U28"/>
    <mergeCell ref="E30:G30"/>
    <mergeCell ref="X8:Y8"/>
    <mergeCell ref="L4:Q4"/>
    <mergeCell ref="J60:Q60"/>
    <mergeCell ref="B19:D19"/>
    <mergeCell ref="B11:C11"/>
    <mergeCell ref="E58:K58"/>
    <mergeCell ref="D11:E11"/>
    <mergeCell ref="B9:D9"/>
    <mergeCell ref="U7:V7"/>
    <mergeCell ref="E32:G32"/>
    <mergeCell ref="H11:I11"/>
    <mergeCell ref="B36:D36"/>
    <mergeCell ref="J11:K11"/>
    <mergeCell ref="E41:G41"/>
    <mergeCell ref="S26:U26"/>
    <mergeCell ref="L10:Y10"/>
    <mergeCell ref="V19:Y19"/>
    <mergeCell ref="V28:Y28"/>
    <mergeCell ref="S16:U16"/>
    <mergeCell ref="B6:C6"/>
    <mergeCell ref="E24:G24"/>
    <mergeCell ref="E33:G33"/>
    <mergeCell ref="B31:D31"/>
    <mergeCell ref="N6:O6"/>
    <mergeCell ref="V30:Y30"/>
    <mergeCell ref="S18:U18"/>
    <mergeCell ref="E17:G17"/>
    <mergeCell ref="B21:D21"/>
    <mergeCell ref="K6:L6"/>
    <mergeCell ref="B39:D39"/>
    <mergeCell ref="L11:Y11"/>
    <mergeCell ref="B54:C54"/>
    <mergeCell ref="B14:D14"/>
    <mergeCell ref="E19:G19"/>
    <mergeCell ref="B7:C7"/>
    <mergeCell ref="E34:G34"/>
    <mergeCell ref="D56:Y56"/>
    <mergeCell ref="B56:C56"/>
    <mergeCell ref="C4:J4"/>
    <mergeCell ref="X7:Y7"/>
    <mergeCell ref="E36:G36"/>
    <mergeCell ref="R7:S7"/>
    <mergeCell ref="S30:U30"/>
    <mergeCell ref="V23:Y23"/>
    <mergeCell ref="S20:U20"/>
    <mergeCell ref="S29:U29"/>
    <mergeCell ref="L58:M58"/>
    <mergeCell ref="B41:D41"/>
    <mergeCell ref="B35:D35"/>
    <mergeCell ref="E21:G21"/>
    <mergeCell ref="B25:D25"/>
    <mergeCell ref="B2:N2"/>
    <mergeCell ref="V24:Y24"/>
    <mergeCell ref="K7:L7"/>
    <mergeCell ref="E14:G14"/>
    <mergeCell ref="V27:Y27"/>
    <mergeCell ref="F11:G11"/>
    <mergeCell ref="R60:Y60"/>
    <mergeCell ref="B29:D29"/>
    <mergeCell ref="Q8:R8"/>
    <mergeCell ref="S8:T8"/>
    <mergeCell ref="S19:U19"/>
    <mergeCell ref="B40:D40"/>
    <mergeCell ref="B60:I60"/>
    <mergeCell ref="B15:D15"/>
    <mergeCell ref="E9:F9"/>
    <mergeCell ref="B24:D24"/>
    <mergeCell ref="E25:G25"/>
    <mergeCell ref="B33:D33"/>
    <mergeCell ref="V14:Y14"/>
    <mergeCell ref="P7:Q7"/>
    <mergeCell ref="B32:D32"/>
    <mergeCell ref="B10:C10"/>
    <mergeCell ref="B26:D26"/>
    <mergeCell ref="B16:D16"/>
    <mergeCell ref="N58:Q58"/>
    <mergeCell ref="E39:G39"/>
    <mergeCell ref="B18:D18"/>
    <mergeCell ref="B58:D58"/>
    <mergeCell ref="H8:I8"/>
    <mergeCell ref="X9:Y9"/>
    <mergeCell ref="E29:G29"/>
  </mergeCells>
  <conditionalFormatting sqref="E26">
    <cfRule type="cellIs" priority="1" operator="notEqual" dxfId="0">
      <formula>"OK"</formula>
    </cfRule>
  </conditionalFormatting>
  <dataValidations count="20">
    <dataValidation sqref="B7" showDropDown="0" showInputMessage="0" showErrorMessage="0" allowBlank="1" type="list" errorStyle="warning">
      <formula1>=L_Jamb</formula1>
    </dataValidation>
    <dataValidation sqref="D7" showDropDown="0" showInputMessage="0" showErrorMessage="0" allowBlank="1" type="list" errorStyle="warning">
      <formula1>=L_Fire</formula1>
    </dataValidation>
    <dataValidation sqref="F7" showDropDown="0" showInputMessage="0" showErrorMessage="0" allowBlank="1" type="list" errorStyle="warning">
      <formula1>=L_WFt</formula1>
    </dataValidation>
    <dataValidation sqref="H7" showDropDown="0" showInputMessage="0" showErrorMessage="0" allowBlank="1" type="list" errorStyle="warning">
      <formula1>=L_HFt</formula1>
    </dataValidation>
    <dataValidation sqref="J7" showDropDown="0" showInputMessage="0" showErrorMessage="0" allowBlank="1" type="list" errorStyle="warning">
      <formula1>=L_YN</formula1>
    </dataValidation>
    <dataValidation sqref="K7" showDropDown="0" showInputMessage="0" showErrorMessage="0" allowBlank="1" type="list" errorStyle="warning">
      <formula1>=L_Style</formula1>
    </dataValidation>
    <dataValidation sqref="M7" showDropDown="0" showInputMessage="0" showErrorMessage="0" allowBlank="1" type="list" errorStyle="warning">
      <formula1>=L_Swing</formula1>
    </dataValidation>
    <dataValidation sqref="N7" showDropDown="0" showInputMessage="0" showErrorMessage="0" allowBlank="1" type="list" errorStyle="warning">
      <formula1>=L_Anchor</formula1>
    </dataValidation>
    <dataValidation sqref="P7" showDropDown="0" showInputMessage="0" showErrorMessage="0" allowBlank="1" type="list" errorStyle="warning">
      <formula1>=L_Hinge</formula1>
    </dataValidation>
    <dataValidation sqref="R7" showDropDown="0" showInputMessage="0" showErrorMessage="0" allowBlank="1" type="list" errorStyle="warning">
      <formula1>=L_Strike1</formula1>
    </dataValidation>
    <dataValidation sqref="T7" showDropDown="0" showInputMessage="0" showErrorMessage="0" allowBlank="1" type="list" errorStyle="warning">
      <formula1>=L_Strike2</formula1>
    </dataValidation>
    <dataValidation sqref="U7" showDropDown="0" showInputMessage="0" showErrorMessage="0" allowBlank="1" type="list" errorStyle="warning">
      <formula1>=L_Lock1</formula1>
    </dataValidation>
    <dataValidation sqref="W7" showDropDown="0" showInputMessage="0" showErrorMessage="0" allowBlank="1" type="list" errorStyle="warning">
      <formula1>=L_Lock2</formula1>
    </dataValidation>
    <dataValidation sqref="X7" showDropDown="0" showInputMessage="0" showErrorMessage="0" allowBlank="1" type="list" errorStyle="warning">
      <formula1>=L_Mfr</formula1>
    </dataValidation>
    <dataValidation sqref="B9" showDropDown="0" showInputMessage="0" showErrorMessage="0" allowBlank="1" type="list" errorStyle="warning">
      <formula1>=L_Elev</formula1>
    </dataValidation>
    <dataValidation sqref="E9" showDropDown="0" showInputMessage="0" showErrorMessage="0" allowBlank="1" type="list" errorStyle="warning">
      <formula1>=L_Wall</formula1>
    </dataValidation>
    <dataValidation sqref="G9" showDropDown="0" showInputMessage="0" showErrorMessage="0" allowBlank="1" type="list" errorStyle="warning">
      <formula1>=L_Gauge</formula1>
    </dataValidation>
    <dataValidation sqref="H9" showDropDown="0" showInputMessage="0" showErrorMessage="0" allowBlank="1" type="list" errorStyle="warning">
      <formula1>=L_Mat</formula1>
    </dataValidation>
    <dataValidation sqref="J9" showDropDown="0" showInputMessage="0" showErrorMessage="0" allowBlank="1" type="list" errorStyle="warning">
      <formula1>=L_Gauge</formula1>
    </dataValidation>
    <dataValidation sqref="K9" showDropDown="0" showInputMessage="0" showErrorMessage="0" allowBlank="1" type="list" errorStyle="warning">
      <formula1>=L_Face</formula1>
    </dataValidation>
  </dataValidations>
  <pageMargins left="0.3" right="0.3" top="0.4" bottom="0.4" header="0.5" footer="0.5"/>
  <pageSetup orientation="landscape" fitToHeight="1" fitToWidth="1"/>
  <headerFooter>
    <oddHeader/>
    <oddFooter>&amp;L&amp;8Printed &amp;D &amp;T&amp;R&amp;8Page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1B6E3A"/>
    <outlinePr summaryBelow="1" summaryRight="1"/>
    <pageSetUpPr fitToPage="1"/>
  </sheetPr>
  <dimension ref="A1:K1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7" customWidth="1" min="4" max="4"/>
    <col width="8" customWidth="1" min="5" max="5"/>
    <col width="70" customWidth="1" min="6" max="6"/>
    <col width="62" customWidth="1" min="7" max="7"/>
    <col width="16" customWidth="1" min="8" max="8"/>
    <col width="16" customWidth="1" min="9" max="9"/>
    <col width="30" customWidth="1" min="10" max="10"/>
    <col width="10" customWidth="1" min="11" max="11"/>
  </cols>
  <sheetData>
    <row r="1" ht="30" customHeight="1">
      <c r="A1" s="1" t="n"/>
      <c r="B1" s="13" t="inlineStr">
        <is>
          <t>TAG LIST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4" t="inlineStr">
        <is>
          <t>Every tag on one page, with its order lines — copy straight into the order.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5">
      <c r="A5" s="83" t="inlineStr">
        <is>
          <t>SHEET</t>
        </is>
      </c>
      <c r="B5" s="83" t="inlineStr">
        <is>
          <t>TAG</t>
        </is>
      </c>
      <c r="C5" s="83" t="inlineStr">
        <is>
          <t>QTY</t>
        </is>
      </c>
      <c r="D5" s="83" t="inlineStr">
        <is>
          <t>SIZE</t>
        </is>
      </c>
      <c r="E5" s="83" t="inlineStr">
        <is>
          <t>HAND</t>
        </is>
      </c>
      <c r="F5" s="83" t="inlineStr">
        <is>
          <t>FRAME ORDER LINE</t>
        </is>
      </c>
      <c r="G5" s="83" t="inlineStr">
        <is>
          <t>DOOR ORDER LINE</t>
        </is>
      </c>
      <c r="H5" s="83" t="inlineStr">
        <is>
          <t>OUTSIDE W x H</t>
        </is>
      </c>
      <c r="I5" s="83" t="inlineStr">
        <is>
          <t>DRYWALL R.O.</t>
        </is>
      </c>
      <c r="J5" s="83" t="inlineStr">
        <is>
          <t>HINGES (frame)</t>
        </is>
      </c>
      <c r="K5" s="83" t="inlineStr">
        <is>
          <t>E</t>
        </is>
      </c>
    </row>
    <row r="6">
      <c r="A6" s="84" t="inlineStr">
        <is>
          <t>Tag 1</t>
        </is>
      </c>
      <c r="B6" s="85">
        <f>'Tag 1'!$S$4&amp;""</f>
        <v/>
      </c>
      <c r="C6" s="86">
        <f>'Tag 1'!$W$4</f>
        <v/>
      </c>
      <c r="D6" s="86">
        <f>Calc!$B$63</f>
        <v/>
      </c>
      <c r="E6" s="86">
        <f>Calc!$B$87</f>
        <v/>
      </c>
      <c r="F6" s="86">
        <f>Calc!$B$64</f>
        <v/>
      </c>
      <c r="G6" s="86">
        <f>Calc!$B$66</f>
        <v/>
      </c>
      <c r="H6" s="86">
        <f>TRIM(TEXT(Calc!$B$13,"# ?/??"))&amp;CHAR(34)&amp;" x "&amp;TRIM(TEXT(Calc!$B$14,"# ?/??"))&amp;CHAR(34)</f>
        <v/>
      </c>
      <c r="I6" s="86">
        <f>TRIM(TEXT(Calc!$B$16,"# ?/??"))&amp;CHAR(34)&amp;" x "&amp;TRIM(TEXT(Calc!$B$17,"# ?/??"))&amp;CHAR(34)</f>
        <v/>
      </c>
      <c r="J6" s="86">
        <f>IF(ISNUMBER(Calc!$B$40),TRIM(TEXT(Calc!$B$40,"# ?/??"))&amp;CHAR(34),"")&amp;"  "&amp;IF(ISNUMBER(Calc!$B$41),TRIM(TEXT(Calc!$B$41,"# ?/??"))&amp;CHAR(34),"")&amp;"  "&amp;IF(ISNUMBER(Calc!$B$42),TRIM(TEXT(Calc!$B$42,"# ?/??"))&amp;CHAR(34),"")&amp;"  "&amp;IF(ISNUMBER(Calc!$B$43),TRIM(TEXT(Calc!$B$43,"# ?/??"))&amp;CHAR(34),"")</f>
        <v/>
      </c>
      <c r="K6" s="86">
        <f>IF(ISNUMBER(Calc!$B$46),TRIM(TEXT(Calc!$B$46,"# ?/??"))&amp;CHAR(34),"")</f>
        <v/>
      </c>
    </row>
    <row r="7">
      <c r="A7" s="84" t="inlineStr">
        <is>
          <t>Tag 2</t>
        </is>
      </c>
      <c r="B7" s="85">
        <f>'Tag 2'!$S$4&amp;""</f>
        <v/>
      </c>
      <c r="C7" s="86">
        <f>'Tag 2'!$W$4</f>
        <v/>
      </c>
      <c r="D7" s="86">
        <f>Calc!$G$63</f>
        <v/>
      </c>
      <c r="E7" s="86">
        <f>Calc!$G$87</f>
        <v/>
      </c>
      <c r="F7" s="86">
        <f>Calc!$G$64</f>
        <v/>
      </c>
      <c r="G7" s="86">
        <f>Calc!$G$66</f>
        <v/>
      </c>
      <c r="H7" s="86">
        <f>TRIM(TEXT(Calc!$G$13,"# ?/??"))&amp;CHAR(34)&amp;" x "&amp;TRIM(TEXT(Calc!$G$14,"# ?/??"))&amp;CHAR(34)</f>
        <v/>
      </c>
      <c r="I7" s="86">
        <f>TRIM(TEXT(Calc!$G$16,"# ?/??"))&amp;CHAR(34)&amp;" x "&amp;TRIM(TEXT(Calc!$G$17,"# ?/??"))&amp;CHAR(34)</f>
        <v/>
      </c>
      <c r="J7" s="86">
        <f>IF(ISNUMBER(Calc!$G$40),TRIM(TEXT(Calc!$G$40,"# ?/??"))&amp;CHAR(34),"")&amp;"  "&amp;IF(ISNUMBER(Calc!$G$41),TRIM(TEXT(Calc!$G$41,"# ?/??"))&amp;CHAR(34),"")&amp;"  "&amp;IF(ISNUMBER(Calc!$G$42),TRIM(TEXT(Calc!$G$42,"# ?/??"))&amp;CHAR(34),"")&amp;"  "&amp;IF(ISNUMBER(Calc!$G$43),TRIM(TEXT(Calc!$G$43,"# ?/??"))&amp;CHAR(34),"")</f>
        <v/>
      </c>
      <c r="K7" s="86">
        <f>IF(ISNUMBER(Calc!$G$46),TRIM(TEXT(Calc!$G$46,"# ?/??"))&amp;CHAR(34),"")</f>
        <v/>
      </c>
    </row>
    <row r="8">
      <c r="A8" s="84" t="inlineStr">
        <is>
          <t>Tag 3</t>
        </is>
      </c>
      <c r="B8" s="85">
        <f>'Tag 3'!$S$4&amp;""</f>
        <v/>
      </c>
      <c r="C8" s="86">
        <f>'Tag 3'!$W$4</f>
        <v/>
      </c>
      <c r="D8" s="86">
        <f>Calc!$L$63</f>
        <v/>
      </c>
      <c r="E8" s="86">
        <f>Calc!$L$87</f>
        <v/>
      </c>
      <c r="F8" s="86">
        <f>Calc!$L$64</f>
        <v/>
      </c>
      <c r="G8" s="86">
        <f>Calc!$L$66</f>
        <v/>
      </c>
      <c r="H8" s="86">
        <f>TRIM(TEXT(Calc!$L$13,"# ?/??"))&amp;CHAR(34)&amp;" x "&amp;TRIM(TEXT(Calc!$L$14,"# ?/??"))&amp;CHAR(34)</f>
        <v/>
      </c>
      <c r="I8" s="86">
        <f>TRIM(TEXT(Calc!$L$16,"# ?/??"))&amp;CHAR(34)&amp;" x "&amp;TRIM(TEXT(Calc!$L$17,"# ?/??"))&amp;CHAR(34)</f>
        <v/>
      </c>
      <c r="J8" s="86">
        <f>IF(ISNUMBER(Calc!$L$40),TRIM(TEXT(Calc!$L$40,"# ?/??"))&amp;CHAR(34),"")&amp;"  "&amp;IF(ISNUMBER(Calc!$L$41),TRIM(TEXT(Calc!$L$41,"# ?/??"))&amp;CHAR(34),"")&amp;"  "&amp;IF(ISNUMBER(Calc!$L$42),TRIM(TEXT(Calc!$L$42,"# ?/??"))&amp;CHAR(34),"")&amp;"  "&amp;IF(ISNUMBER(Calc!$L$43),TRIM(TEXT(Calc!$L$43,"# ?/??"))&amp;CHAR(34),"")</f>
        <v/>
      </c>
      <c r="K8" s="86">
        <f>IF(ISNUMBER(Calc!$L$46),TRIM(TEXT(Calc!$L$46,"# ?/??"))&amp;CHAR(34),"")</f>
        <v/>
      </c>
    </row>
    <row r="9">
      <c r="A9" s="84" t="inlineStr">
        <is>
          <t>Tag 4</t>
        </is>
      </c>
      <c r="B9" s="85">
        <f>'Tag 4'!$S$4&amp;""</f>
        <v/>
      </c>
      <c r="C9" s="86">
        <f>'Tag 4'!$W$4</f>
        <v/>
      </c>
      <c r="D9" s="86">
        <f>Calc!$Q$63</f>
        <v/>
      </c>
      <c r="E9" s="86">
        <f>Calc!$Q$87</f>
        <v/>
      </c>
      <c r="F9" s="86">
        <f>Calc!$Q$64</f>
        <v/>
      </c>
      <c r="G9" s="86">
        <f>Calc!$Q$66</f>
        <v/>
      </c>
      <c r="H9" s="86">
        <f>TRIM(TEXT(Calc!$Q$13,"# ?/??"))&amp;CHAR(34)&amp;" x "&amp;TRIM(TEXT(Calc!$Q$14,"# ?/??"))&amp;CHAR(34)</f>
        <v/>
      </c>
      <c r="I9" s="86">
        <f>TRIM(TEXT(Calc!$Q$16,"# ?/??"))&amp;CHAR(34)&amp;" x "&amp;TRIM(TEXT(Calc!$Q$17,"# ?/??"))&amp;CHAR(34)</f>
        <v/>
      </c>
      <c r="J9" s="86">
        <f>IF(ISNUMBER(Calc!$Q$40),TRIM(TEXT(Calc!$Q$40,"# ?/??"))&amp;CHAR(34),"")&amp;"  "&amp;IF(ISNUMBER(Calc!$Q$41),TRIM(TEXT(Calc!$Q$41,"# ?/??"))&amp;CHAR(34),"")&amp;"  "&amp;IF(ISNUMBER(Calc!$Q$42),TRIM(TEXT(Calc!$Q$42,"# ?/??"))&amp;CHAR(34),"")&amp;"  "&amp;IF(ISNUMBER(Calc!$Q$43),TRIM(TEXT(Calc!$Q$43,"# ?/??"))&amp;CHAR(34),"")</f>
        <v/>
      </c>
      <c r="K9" s="86">
        <f>IF(ISNUMBER(Calc!$Q$46),TRIM(TEXT(Calc!$Q$46,"# ?/??"))&amp;CHAR(34),"")</f>
        <v/>
      </c>
    </row>
    <row r="10">
      <c r="A10" s="84" t="inlineStr">
        <is>
          <t>Tag 5</t>
        </is>
      </c>
      <c r="B10" s="85">
        <f>'Tag 5'!$S$4&amp;""</f>
        <v/>
      </c>
      <c r="C10" s="86">
        <f>'Tag 5'!$W$4</f>
        <v/>
      </c>
      <c r="D10" s="86">
        <f>Calc!$V$63</f>
        <v/>
      </c>
      <c r="E10" s="86">
        <f>Calc!$V$87</f>
        <v/>
      </c>
      <c r="F10" s="86">
        <f>Calc!$V$64</f>
        <v/>
      </c>
      <c r="G10" s="86">
        <f>Calc!$V$66</f>
        <v/>
      </c>
      <c r="H10" s="86">
        <f>TRIM(TEXT(Calc!$V$13,"# ?/??"))&amp;CHAR(34)&amp;" x "&amp;TRIM(TEXT(Calc!$V$14,"# ?/??"))&amp;CHAR(34)</f>
        <v/>
      </c>
      <c r="I10" s="86">
        <f>TRIM(TEXT(Calc!$V$16,"# ?/??"))&amp;CHAR(34)&amp;" x "&amp;TRIM(TEXT(Calc!$V$17,"# ?/??"))&amp;CHAR(34)</f>
        <v/>
      </c>
      <c r="J10" s="86">
        <f>IF(ISNUMBER(Calc!$V$40),TRIM(TEXT(Calc!$V$40,"# ?/??"))&amp;CHAR(34),"")&amp;"  "&amp;IF(ISNUMBER(Calc!$V$41),TRIM(TEXT(Calc!$V$41,"# ?/??"))&amp;CHAR(34),"")&amp;"  "&amp;IF(ISNUMBER(Calc!$V$42),TRIM(TEXT(Calc!$V$42,"# ?/??"))&amp;CHAR(34),"")&amp;"  "&amp;IF(ISNUMBER(Calc!$V$43),TRIM(TEXT(Calc!$V$43,"# ?/??"))&amp;CHAR(34),"")</f>
        <v/>
      </c>
      <c r="K10" s="86">
        <f>IF(ISNUMBER(Calc!$V$46),TRIM(TEXT(Calc!$V$46,"# ?/??"))&amp;CHAR(34),"")</f>
        <v/>
      </c>
    </row>
    <row r="11">
      <c r="A11" s="84" t="inlineStr">
        <is>
          <t>Tag 6</t>
        </is>
      </c>
      <c r="B11" s="85">
        <f>'Tag 6'!$S$4&amp;""</f>
        <v/>
      </c>
      <c r="C11" s="86">
        <f>'Tag 6'!$W$4</f>
        <v/>
      </c>
      <c r="D11" s="86">
        <f>Calc!$AA$63</f>
        <v/>
      </c>
      <c r="E11" s="86">
        <f>Calc!$AA$87</f>
        <v/>
      </c>
      <c r="F11" s="86">
        <f>Calc!$AA$64</f>
        <v/>
      </c>
      <c r="G11" s="86">
        <f>Calc!$AA$66</f>
        <v/>
      </c>
      <c r="H11" s="86">
        <f>TRIM(TEXT(Calc!$AA$13,"# ?/??"))&amp;CHAR(34)&amp;" x "&amp;TRIM(TEXT(Calc!$AA$14,"# ?/??"))&amp;CHAR(34)</f>
        <v/>
      </c>
      <c r="I11" s="86">
        <f>TRIM(TEXT(Calc!$AA$16,"# ?/??"))&amp;CHAR(34)&amp;" x "&amp;TRIM(TEXT(Calc!$AA$17,"# ?/??"))&amp;CHAR(34)</f>
        <v/>
      </c>
      <c r="J11" s="86">
        <f>IF(ISNUMBER(Calc!$AA$40),TRIM(TEXT(Calc!$AA$40,"# ?/??"))&amp;CHAR(34),"")&amp;"  "&amp;IF(ISNUMBER(Calc!$AA$41),TRIM(TEXT(Calc!$AA$41,"# ?/??"))&amp;CHAR(34),"")&amp;"  "&amp;IF(ISNUMBER(Calc!$AA$42),TRIM(TEXT(Calc!$AA$42,"# ?/??"))&amp;CHAR(34),"")&amp;"  "&amp;IF(ISNUMBER(Calc!$AA$43),TRIM(TEXT(Calc!$AA$43,"# ?/??"))&amp;CHAR(34),"")</f>
        <v/>
      </c>
      <c r="K11" s="86">
        <f>IF(ISNUMBER(Calc!$AA$46),TRIM(TEXT(Calc!$AA$46,"# ?/??"))&amp;CHAR(34),"")</f>
        <v/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</hyperlink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0E6E6E"/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30" customWidth="1" min="4" max="4"/>
  </cols>
  <sheetData>
    <row r="1" ht="30" customHeight="1">
      <c r="A1" s="1" t="n"/>
      <c r="B1" s="13" t="inlineStr">
        <is>
          <t>ROUGH OPENING → FRAME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14" t="inlineStr">
        <is>
          <t>Field measured an opening? Type the rough opening and the frame you want: faces, outside size and the door come out.</t>
        </is>
      </c>
      <c r="C2" s="1" t="n"/>
      <c r="D2" s="1" t="n"/>
      <c r="E2" s="1" t="n"/>
      <c r="F2" s="1" t="n"/>
      <c r="G2" s="1" t="n"/>
      <c r="H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B5" s="6" t="inlineStr">
        <is>
          <t>TYPE</t>
        </is>
      </c>
      <c r="C5" s="7" t="n"/>
      <c r="D5" s="7" t="n"/>
    </row>
    <row r="6">
      <c r="B6" s="87" t="inlineStr">
        <is>
          <t>ROUGH OPENING WIDTH</t>
        </is>
      </c>
      <c r="C6" s="88" t="n">
        <v>40.625</v>
      </c>
    </row>
    <row r="7">
      <c r="B7" s="87" t="inlineStr">
        <is>
          <t>ROUGH OPENING HEIGHT</t>
        </is>
      </c>
      <c r="C7" s="88" t="n">
        <v>86.5</v>
      </c>
    </row>
    <row r="8">
      <c r="B8" s="87" t="inlineStr">
        <is>
          <t>NOMINAL FRAME WIDTH</t>
        </is>
      </c>
      <c r="C8" s="88" t="n">
        <v>36</v>
      </c>
    </row>
    <row r="9">
      <c r="B9" s="87" t="inlineStr">
        <is>
          <t>NOMINAL FRAME HEIGHT</t>
        </is>
      </c>
      <c r="C9" s="88" t="n">
        <v>84</v>
      </c>
    </row>
    <row r="10">
      <c r="B10" s="87" t="inlineStr">
        <is>
          <t>TOLERANCE EACH SIDE</t>
        </is>
      </c>
      <c r="C10" s="88" t="n">
        <v>0</v>
      </c>
    </row>
    <row r="12">
      <c r="B12" s="6" t="inlineStr">
        <is>
          <t>RESULT</t>
        </is>
      </c>
      <c r="C12" s="7" t="n"/>
      <c r="D12" s="7" t="n"/>
    </row>
    <row r="13">
      <c r="B13" s="87" t="inlineStr">
        <is>
          <t>HEADER FACE</t>
        </is>
      </c>
      <c r="C13" s="89">
        <f>C7-C9-C10</f>
        <v/>
      </c>
    </row>
    <row r="14">
      <c r="B14" s="87" t="inlineStr">
        <is>
          <t>HINGE &amp; STRIKE FACE</t>
        </is>
      </c>
      <c r="C14" s="89">
        <f>(C6-C8)/2-C10</f>
        <v/>
      </c>
    </row>
    <row r="15">
      <c r="B15" s="87" t="inlineStr">
        <is>
          <t>FRAME OUTSIDE WIDTH</t>
        </is>
      </c>
      <c r="C15" s="89">
        <f>C8+2*C14-0.25</f>
        <v/>
      </c>
    </row>
    <row r="16">
      <c r="B16" s="87" t="inlineStr">
        <is>
          <t>FRAME OUTSIDE HEIGHT</t>
        </is>
      </c>
      <c r="C16" s="89">
        <f>C9+C13</f>
        <v/>
      </c>
    </row>
    <row r="17">
      <c r="B17" s="87" t="inlineStr">
        <is>
          <t>NET DOOR WIDTH</t>
        </is>
      </c>
      <c r="C17" s="89">
        <f>C8-0.25</f>
        <v/>
      </c>
    </row>
    <row r="18">
      <c r="B18" s="87" t="inlineStr">
        <is>
          <t>NET DOOR HEIGHT</t>
        </is>
      </c>
      <c r="C18" s="89">
        <f>C9-0.75</f>
        <v/>
      </c>
    </row>
    <row r="19">
      <c r="B19" s="87" t="inlineStr">
        <is>
          <t>LARGEST STANDARD FRAME WITH 2" FACES</t>
        </is>
      </c>
      <c r="C19" s="90">
        <f>FLOOR((C6-4-2*C10),2)&amp;" x "&amp;FLOOR((C7-2-C10),1)</f>
        <v/>
      </c>
    </row>
    <row r="20">
      <c r="B20" s="87" t="inlineStr">
        <is>
          <t>CHECK</t>
        </is>
      </c>
      <c r="C20" s="90">
        <f>IF(OR(C13&lt;1,C13&gt;12,C14&lt;1,C14&gt;12),"Face out of range (1–12): pick another frame size","OK")</f>
        <v/>
      </c>
    </row>
    <row r="23">
      <c r="B23" s="17" t="inlineStr">
        <is>
          <t>Same rule as the 2.0 Frame Calc sheet: header face = R.O. height − frame height; jamb face = (R.O. width − frame width) / 2; outside width less 1/4".</t>
        </is>
      </c>
    </row>
  </sheetData>
  <conditionalFormatting sqref="C20">
    <cfRule type="cellIs" priority="1" operator="notEqual" dxfId="0">
      <formula>"OK"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B4A8E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6" customWidth="1" min="3" max="3"/>
  </cols>
  <sheetData>
    <row r="1" ht="30" customHeight="1">
      <c r="A1" s="1" t="n"/>
      <c r="B1" s="13" t="inlineStr">
        <is>
          <t>BI-PASS DOOR SIZE — WOOD DOORS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14" t="inlineStr">
        <is>
          <t>1" overlap at the centre, 2-7/8" for track and hangers. Type the opening in inches.</t>
        </is>
      </c>
      <c r="C2" s="1" t="n"/>
      <c r="D2" s="1" t="n"/>
      <c r="E2" s="1" t="n"/>
      <c r="F2" s="1" t="n"/>
      <c r="G2" s="1" t="n"/>
      <c r="H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B5" s="87" t="inlineStr">
        <is>
          <t>NOMINAL FRAME WIDTH</t>
        </is>
      </c>
      <c r="C5" s="88" t="n">
        <v>60</v>
      </c>
    </row>
    <row r="6">
      <c r="B6" s="87" t="inlineStr">
        <is>
          <t>NOMINAL FRAME HEIGHT</t>
        </is>
      </c>
      <c r="C6" s="88" t="n">
        <v>80</v>
      </c>
    </row>
    <row r="7">
      <c r="B7" s="87" t="inlineStr">
        <is>
          <t>LEAVES</t>
        </is>
      </c>
      <c r="C7" s="88" t="n">
        <v>2</v>
      </c>
    </row>
    <row r="8">
      <c r="B8" s="87" t="inlineStr">
        <is>
          <t>CENTRE OVERLAP (each)</t>
        </is>
      </c>
      <c r="C8" s="88" t="n">
        <v>1</v>
      </c>
    </row>
    <row r="9">
      <c r="B9" s="87" t="inlineStr">
        <is>
          <t>TRACK &amp; HANGER CLEARANCE</t>
        </is>
      </c>
      <c r="C9" s="88" t="n">
        <v>2.875</v>
      </c>
    </row>
    <row r="11">
      <c r="B11" s="87" t="inlineStr">
        <is>
          <t>EACH LEAF WIDTH</t>
        </is>
      </c>
      <c r="C11" s="89">
        <f>C5/C7+C8/2*(C7-1)/(C7/2)</f>
        <v/>
      </c>
    </row>
    <row r="12">
      <c r="B12" s="87" t="inlineStr">
        <is>
          <t>EACH LEAF HEIGHT</t>
        </is>
      </c>
      <c r="C12" s="89">
        <f>C6-C9</f>
        <v/>
      </c>
    </row>
    <row r="13">
      <c r="B13" s="87" t="inlineStr">
        <is>
          <t>ORDER</t>
        </is>
      </c>
      <c r="C13" s="89">
        <f>C7&amp;" LEAVES  "&amp;TRIM(TEXT(C11,"# ?/??"))&amp;CHAR(34)&amp;" x "&amp;TRIM(TEXT(C12,"# ?/??"))&amp;CHAR(34)</f>
        <v/>
      </c>
    </row>
    <row r="15">
      <c r="B15" s="17" t="inlineStr">
        <is>
          <t>Two leaves: width / 2 + 1/2" (the 2.0 rule). More leaves share the overlaps.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E6E6E"/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2" customWidth="1" min="10" max="10"/>
  </cols>
  <sheetData>
    <row r="1" ht="30" customHeight="1">
      <c r="A1" s="1" t="n"/>
      <c r="B1" s="13" t="inlineStr">
        <is>
          <t>MANUFACTURER LOCATIONS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4" t="inlineStr">
        <is>
          <t>Frame: top inside of frame to the TOP of each hinge; E = strike centre line. Door = frame less 1/8". Edit to suit a maker.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5">
      <c r="B5" s="91" t="inlineStr">
        <is>
          <t>KEY</t>
        </is>
      </c>
      <c r="C5" s="91" t="inlineStr">
        <is>
          <t>MAKER</t>
        </is>
      </c>
      <c r="D5" s="91" t="inlineStr">
        <is>
          <t>CHART HT</t>
        </is>
      </c>
      <c r="E5" s="91" t="inlineStr">
        <is>
          <t>A</t>
        </is>
      </c>
      <c r="F5" s="91" t="inlineStr">
        <is>
          <t>B</t>
        </is>
      </c>
      <c r="G5" s="91" t="inlineStr">
        <is>
          <t>C</t>
        </is>
      </c>
      <c r="H5" s="91" t="inlineStr">
        <is>
          <t>D</t>
        </is>
      </c>
      <c r="I5" s="91" t="inlineStr">
        <is>
          <t>E</t>
        </is>
      </c>
      <c r="J5" s="91" t="inlineStr">
        <is>
          <t>LEAST NOMINAL (cut-down)</t>
        </is>
      </c>
    </row>
    <row r="6">
      <c r="B6" s="86" t="inlineStr">
        <is>
          <t>CURRIES|80</t>
        </is>
      </c>
      <c r="C6" s="85" t="inlineStr">
        <is>
          <t>CURRIES</t>
        </is>
      </c>
      <c r="D6" s="86" t="n">
        <v>80</v>
      </c>
      <c r="E6" s="92" t="n">
        <v>5</v>
      </c>
      <c r="F6" s="92" t="n">
        <v>35.25</v>
      </c>
      <c r="G6" s="92" t="n">
        <v>65.5</v>
      </c>
      <c r="H6" s="92" t="n"/>
      <c r="I6" s="92" t="n">
        <v>40</v>
      </c>
      <c r="J6" s="93">
        <f>IF(F6="","",IF(H6&lt;&gt;"",H6,G6)+4.5+MinRail+0.75)</f>
        <v/>
      </c>
    </row>
    <row r="7">
      <c r="B7" s="86" t="inlineStr">
        <is>
          <t>CURRIES|84</t>
        </is>
      </c>
      <c r="C7" s="85" t="inlineStr">
        <is>
          <t>CURRIES</t>
        </is>
      </c>
      <c r="D7" s="86" t="n">
        <v>84</v>
      </c>
      <c r="E7" s="92" t="n">
        <v>5</v>
      </c>
      <c r="F7" s="92" t="n">
        <v>37.25</v>
      </c>
      <c r="G7" s="92" t="n">
        <v>69.5</v>
      </c>
      <c r="H7" s="92" t="n"/>
      <c r="I7" s="92" t="n">
        <v>44</v>
      </c>
      <c r="J7" s="93">
        <f>IF(F7="","",IF(H7&lt;&gt;"",H7,G7)+4.5+MinRail+0.75)</f>
        <v/>
      </c>
    </row>
    <row r="8">
      <c r="B8" s="86" t="inlineStr">
        <is>
          <t>CURRIES|96</t>
        </is>
      </c>
      <c r="C8" s="85" t="inlineStr">
        <is>
          <t>CURRIES</t>
        </is>
      </c>
      <c r="D8" s="86" t="n">
        <v>96</v>
      </c>
      <c r="E8" s="92" t="n">
        <v>5</v>
      </c>
      <c r="F8" s="92" t="n">
        <v>30.5</v>
      </c>
      <c r="G8" s="92" t="n">
        <v>56</v>
      </c>
      <c r="H8" s="92" t="n">
        <v>81.5</v>
      </c>
      <c r="I8" s="92" t="n">
        <v>56</v>
      </c>
      <c r="J8" s="93">
        <f>IF(F8="","",IF(H8&lt;&gt;"",H8,G8)+4.5+MinRail+0.75)</f>
        <v/>
      </c>
    </row>
    <row r="9">
      <c r="B9" s="86" t="inlineStr">
        <is>
          <t>STEELCRAFT|80</t>
        </is>
      </c>
      <c r="C9" s="85" t="inlineStr">
        <is>
          <t>STEELCRAFT</t>
        </is>
      </c>
      <c r="D9" s="86" t="n">
        <v>80</v>
      </c>
      <c r="E9" s="92" t="n">
        <v>7.5</v>
      </c>
      <c r="F9" s="92" t="n">
        <v>37.4375</v>
      </c>
      <c r="G9" s="92" t="n">
        <v>67.375</v>
      </c>
      <c r="H9" s="92" t="n"/>
      <c r="I9" s="92" t="n">
        <v>39.6875</v>
      </c>
      <c r="J9" s="93">
        <f>IF(F9="","",IF(H9&lt;&gt;"",H9,G9)+4.5+MinRail+0.75)</f>
        <v/>
      </c>
    </row>
    <row r="10">
      <c r="B10" s="86" t="inlineStr">
        <is>
          <t>STEELCRAFT|84</t>
        </is>
      </c>
      <c r="C10" s="85" t="inlineStr">
        <is>
          <t>STEELCRAFT</t>
        </is>
      </c>
      <c r="D10" s="86" t="n">
        <v>84</v>
      </c>
      <c r="E10" s="92" t="n">
        <v>7.5</v>
      </c>
      <c r="F10" s="92" t="n">
        <v>39.4375</v>
      </c>
      <c r="G10" s="92" t="n">
        <v>71.375</v>
      </c>
      <c r="H10" s="92" t="n"/>
      <c r="I10" s="92" t="n">
        <v>43.6875</v>
      </c>
      <c r="J10" s="93">
        <f>IF(F10="","",IF(H10&lt;&gt;"",H10,G10)+4.5+MinRail+0.75)</f>
        <v/>
      </c>
    </row>
    <row r="11">
      <c r="B11" s="86" t="inlineStr">
        <is>
          <t>STEELCRAFT|96</t>
        </is>
      </c>
      <c r="C11" s="85" t="inlineStr">
        <is>
          <t>STEELCRAFT</t>
        </is>
      </c>
      <c r="D11" s="86" t="n">
        <v>96</v>
      </c>
      <c r="E11" s="92" t="n">
        <v>7.5</v>
      </c>
      <c r="F11" s="92" t="n">
        <v>32.78125</v>
      </c>
      <c r="G11" s="92" t="n">
        <v>58.0625</v>
      </c>
      <c r="H11" s="92" t="n">
        <v>83.375</v>
      </c>
      <c r="I11" s="92" t="n">
        <v>55.6875</v>
      </c>
      <c r="J11" s="93">
        <f>IF(F11="","",IF(H11&lt;&gt;"",H11,G11)+4.5+MinRail+0.75)</f>
        <v/>
      </c>
    </row>
    <row r="12">
      <c r="B12" s="86" t="inlineStr">
        <is>
          <t>AMWELD|80</t>
        </is>
      </c>
      <c r="C12" s="85" t="inlineStr">
        <is>
          <t>AMWELD</t>
        </is>
      </c>
      <c r="D12" s="86" t="n">
        <v>80</v>
      </c>
      <c r="E12" s="92" t="n">
        <v>7.5</v>
      </c>
      <c r="F12" s="92" t="n">
        <v>37.4375</v>
      </c>
      <c r="G12" s="92" t="n">
        <v>67.375</v>
      </c>
      <c r="H12" s="92" t="n"/>
      <c r="I12" s="92" t="n">
        <v>39.6875</v>
      </c>
      <c r="J12" s="93">
        <f>IF(F12="","",IF(H12&lt;&gt;"",H12,G12)+4.5+MinRail+0.75)</f>
        <v/>
      </c>
    </row>
    <row r="13">
      <c r="B13" s="86" t="inlineStr">
        <is>
          <t>AMWELD|84</t>
        </is>
      </c>
      <c r="C13" s="85" t="inlineStr">
        <is>
          <t>AMWELD</t>
        </is>
      </c>
      <c r="D13" s="86" t="n">
        <v>84</v>
      </c>
      <c r="E13" s="92" t="n">
        <v>7.5</v>
      </c>
      <c r="F13" s="92" t="n">
        <v>39.4375</v>
      </c>
      <c r="G13" s="92" t="n">
        <v>71.375</v>
      </c>
      <c r="H13" s="92" t="n"/>
      <c r="I13" s="92" t="n">
        <v>43.6875</v>
      </c>
      <c r="J13" s="93">
        <f>IF(F13="","",IF(H13&lt;&gt;"",H13,G13)+4.5+MinRail+0.75)</f>
        <v/>
      </c>
    </row>
    <row r="14">
      <c r="B14" s="86" t="inlineStr">
        <is>
          <t>AMWELD|96</t>
        </is>
      </c>
      <c r="C14" s="85" t="inlineStr">
        <is>
          <t>AMWELD</t>
        </is>
      </c>
      <c r="D14" s="86" t="n">
        <v>96</v>
      </c>
      <c r="E14" s="92" t="n">
        <v>7.5</v>
      </c>
      <c r="F14" s="92" t="n">
        <v>32.8125</v>
      </c>
      <c r="G14" s="92" t="n">
        <v>58.125</v>
      </c>
      <c r="H14" s="92" t="n">
        <v>83.4375</v>
      </c>
      <c r="I14" s="92" t="n">
        <v>55.6875</v>
      </c>
      <c r="J14" s="93">
        <f>IF(F14="","",IF(H14&lt;&gt;"",H14,G14)+4.5+MinRail+0.75)</f>
        <v/>
      </c>
    </row>
    <row r="15">
      <c r="B15" s="86" t="inlineStr">
        <is>
          <t>CECO|80</t>
        </is>
      </c>
      <c r="C15" s="85" t="inlineStr">
        <is>
          <t>CECO</t>
        </is>
      </c>
      <c r="D15" s="86" t="n">
        <v>80</v>
      </c>
      <c r="E15" s="92" t="n">
        <v>6.75</v>
      </c>
      <c r="F15" s="92" t="n">
        <v>37.75</v>
      </c>
      <c r="G15" s="92" t="n">
        <v>68.75</v>
      </c>
      <c r="H15" s="92" t="n"/>
      <c r="I15" s="92" t="n">
        <v>38.1875</v>
      </c>
      <c r="J15" s="93">
        <f>IF(F15="","",IF(H15&lt;&gt;"",H15,G15)+4.5+MinRail+0.75)</f>
        <v/>
      </c>
    </row>
    <row r="16">
      <c r="B16" s="86" t="inlineStr">
        <is>
          <t>CECO|84</t>
        </is>
      </c>
      <c r="C16" s="85" t="inlineStr">
        <is>
          <t>CECO</t>
        </is>
      </c>
      <c r="D16" s="86" t="n">
        <v>84</v>
      </c>
      <c r="E16" s="92" t="n">
        <v>6.75</v>
      </c>
      <c r="F16" s="92" t="n">
        <v>39.75</v>
      </c>
      <c r="G16" s="92" t="n">
        <v>72.75</v>
      </c>
      <c r="H16" s="92" t="n"/>
      <c r="I16" s="92" t="n">
        <v>42.1875</v>
      </c>
      <c r="J16" s="93">
        <f>IF(F16="","",IF(H16&lt;&gt;"",H16,G16)+4.5+MinRail+0.75)</f>
        <v/>
      </c>
    </row>
    <row r="17">
      <c r="B17" s="86" t="inlineStr">
        <is>
          <t>CECO|96</t>
        </is>
      </c>
      <c r="C17" s="85" t="inlineStr">
        <is>
          <t>CECO</t>
        </is>
      </c>
      <c r="D17" s="86" t="n">
        <v>96</v>
      </c>
      <c r="E17" s="92" t="n">
        <v>6.75</v>
      </c>
      <c r="F17" s="92" t="n">
        <v>32.75</v>
      </c>
      <c r="G17" s="92" t="n">
        <v>58.75</v>
      </c>
      <c r="H17" s="92" t="n">
        <v>84.75</v>
      </c>
      <c r="I17" s="92" t="n">
        <v>54.1875</v>
      </c>
      <c r="J17" s="93">
        <f>IF(F17="","",IF(H17&lt;&gt;"",H17,G17)+4.5+MinRail+0.75)</f>
        <v/>
      </c>
    </row>
    <row r="18">
      <c r="B18" s="86" t="inlineStr">
        <is>
          <t>FENESTRA|80</t>
        </is>
      </c>
      <c r="C18" s="85" t="inlineStr">
        <is>
          <t>FENESTRA</t>
        </is>
      </c>
      <c r="D18" s="86" t="n">
        <v>80</v>
      </c>
      <c r="E18" s="92" t="n">
        <v>5.25</v>
      </c>
      <c r="F18" s="92" t="n">
        <v>35.25</v>
      </c>
      <c r="G18" s="92" t="n">
        <v>65.25</v>
      </c>
      <c r="H18" s="92" t="n"/>
      <c r="I18" s="92" t="n">
        <v>39.6875</v>
      </c>
      <c r="J18" s="93">
        <f>IF(F18="","",IF(H18&lt;&gt;"",H18,G18)+4.5+MinRail+0.75)</f>
        <v/>
      </c>
    </row>
    <row r="19">
      <c r="B19" s="86" t="inlineStr">
        <is>
          <t>FENESTRA|84</t>
        </is>
      </c>
      <c r="C19" s="85" t="inlineStr">
        <is>
          <t>FENESTRA</t>
        </is>
      </c>
      <c r="D19" s="86" t="n">
        <v>84</v>
      </c>
      <c r="E19" s="92" t="n">
        <v>5.25</v>
      </c>
      <c r="F19" s="92" t="n">
        <v>37.25</v>
      </c>
      <c r="G19" s="92" t="n">
        <v>69.25</v>
      </c>
      <c r="H19" s="92" t="n"/>
      <c r="I19" s="92" t="n">
        <v>43.6875</v>
      </c>
      <c r="J19" s="93">
        <f>IF(F19="","",IF(H19&lt;&gt;"",H19,G19)+4.5+MinRail+0.75)</f>
        <v/>
      </c>
    </row>
    <row r="20">
      <c r="B20" s="86" t="inlineStr">
        <is>
          <t>FENESTRA|96</t>
        </is>
      </c>
      <c r="C20" s="85" t="inlineStr">
        <is>
          <t>FENESTRA</t>
        </is>
      </c>
      <c r="D20" s="86" t="n">
        <v>96</v>
      </c>
      <c r="E20" s="92" t="n">
        <v>5.25</v>
      </c>
      <c r="F20" s="92" t="n">
        <v>30.625</v>
      </c>
      <c r="G20" s="92" t="n">
        <v>55.9375</v>
      </c>
      <c r="H20" s="92" t="n">
        <v>81.25</v>
      </c>
      <c r="I20" s="92" t="n">
        <v>55.6875</v>
      </c>
      <c r="J20" s="93">
        <f>IF(F20="","",IF(H20&lt;&gt;"",H20,G20)+4.5+MinRail+0.75)</f>
        <v/>
      </c>
    </row>
    <row r="21">
      <c r="B21" s="86" t="inlineStr">
        <is>
          <t>KEWANEE|80</t>
        </is>
      </c>
      <c r="C21" s="85" t="inlineStr">
        <is>
          <t>KEWANEE</t>
        </is>
      </c>
      <c r="D21" s="86" t="n">
        <v>80</v>
      </c>
      <c r="E21" s="92" t="n">
        <v>7.375</v>
      </c>
      <c r="F21" s="92" t="n">
        <v>37.4375</v>
      </c>
      <c r="G21" s="92" t="n">
        <v>67.5</v>
      </c>
      <c r="H21" s="92" t="n"/>
      <c r="I21" s="92" t="n">
        <v>39.6875</v>
      </c>
      <c r="J21" s="93">
        <f>IF(F21="","",IF(H21&lt;&gt;"",H21,G21)+4.5+MinRail+0.75)</f>
        <v/>
      </c>
    </row>
    <row r="22">
      <c r="B22" s="86" t="inlineStr">
        <is>
          <t>KEWANEE|84</t>
        </is>
      </c>
      <c r="C22" s="85" t="inlineStr">
        <is>
          <t>KEWANEE</t>
        </is>
      </c>
      <c r="D22" s="86" t="n">
        <v>84</v>
      </c>
      <c r="E22" s="92" t="n">
        <v>7.375</v>
      </c>
      <c r="F22" s="92" t="n">
        <v>39.4375</v>
      </c>
      <c r="G22" s="92" t="n">
        <v>71.5</v>
      </c>
      <c r="H22" s="92" t="n"/>
      <c r="I22" s="92" t="n">
        <v>43.6875</v>
      </c>
      <c r="J22" s="93">
        <f>IF(F22="","",IF(H22&lt;&gt;"",H22,G22)+4.5+MinRail+0.75)</f>
        <v/>
      </c>
    </row>
    <row r="23">
      <c r="B23" s="86" t="inlineStr">
        <is>
          <t>KEWANEE|96</t>
        </is>
      </c>
      <c r="C23" s="85" t="inlineStr">
        <is>
          <t>KEWANEE</t>
        </is>
      </c>
      <c r="D23" s="86" t="n">
        <v>96</v>
      </c>
      <c r="E23" s="92" t="n">
        <v>7.375</v>
      </c>
      <c r="F23" s="92" t="n">
        <v>32.75</v>
      </c>
      <c r="G23" s="92" t="n">
        <v>58.125</v>
      </c>
      <c r="H23" s="92" t="n">
        <v>83.5</v>
      </c>
      <c r="I23" s="92" t="n">
        <v>55.6875</v>
      </c>
      <c r="J23" s="93">
        <f>IF(F23="","",IF(H23&lt;&gt;"",H23,G23)+4.5+MinRail+0.75)</f>
        <v/>
      </c>
    </row>
    <row r="24">
      <c r="B24" s="86" t="inlineStr">
        <is>
          <t>MESKER|80</t>
        </is>
      </c>
      <c r="C24" s="85" t="inlineStr">
        <is>
          <t>MESKER</t>
        </is>
      </c>
      <c r="D24" s="86" t="n">
        <v>80</v>
      </c>
      <c r="E24" s="92" t="n">
        <v>5</v>
      </c>
      <c r="F24" s="92" t="n">
        <v>35.25</v>
      </c>
      <c r="G24" s="92" t="n">
        <v>65.5</v>
      </c>
      <c r="H24" s="92" t="n"/>
      <c r="I24" s="92" t="n">
        <v>39.6875</v>
      </c>
      <c r="J24" s="93">
        <f>IF(F24="","",IF(H24&lt;&gt;"",H24,G24)+4.5+MinRail+0.75)</f>
        <v/>
      </c>
    </row>
    <row r="25">
      <c r="B25" s="86" t="inlineStr">
        <is>
          <t>MESKER|84</t>
        </is>
      </c>
      <c r="C25" s="85" t="inlineStr">
        <is>
          <t>MESKER</t>
        </is>
      </c>
      <c r="D25" s="86" t="n">
        <v>84</v>
      </c>
      <c r="E25" s="92" t="n">
        <v>5</v>
      </c>
      <c r="F25" s="92" t="n">
        <v>37.25</v>
      </c>
      <c r="G25" s="92" t="n">
        <v>69.5</v>
      </c>
      <c r="H25" s="92" t="n"/>
      <c r="I25" s="92" t="n">
        <v>43.6875</v>
      </c>
      <c r="J25" s="93">
        <f>IF(F25="","",IF(H25&lt;&gt;"",H25,G25)+4.5+MinRail+0.75)</f>
        <v/>
      </c>
    </row>
    <row r="26">
      <c r="B26" s="86" t="inlineStr">
        <is>
          <t>MESKER|96</t>
        </is>
      </c>
      <c r="C26" s="85" t="inlineStr">
        <is>
          <t>MESKER</t>
        </is>
      </c>
      <c r="D26" s="86" t="n">
        <v>96</v>
      </c>
      <c r="E26" s="92" t="n">
        <v>5</v>
      </c>
      <c r="F26" s="92" t="n">
        <v>30.5</v>
      </c>
      <c r="G26" s="92" t="n">
        <v>56</v>
      </c>
      <c r="H26" s="92" t="n">
        <v>81.5</v>
      </c>
      <c r="I26" s="92" t="n">
        <v>55.6875</v>
      </c>
      <c r="J26" s="93">
        <f>IF(F26="","",IF(H26&lt;&gt;"",H26,G26)+4.5+MinRail+0.75)</f>
        <v/>
      </c>
    </row>
    <row r="27">
      <c r="B27" s="86" t="inlineStr">
        <is>
          <t>PIONEER|80</t>
        </is>
      </c>
      <c r="C27" s="85" t="inlineStr">
        <is>
          <t>PIONEER</t>
        </is>
      </c>
      <c r="D27" s="86" t="n">
        <v>80</v>
      </c>
      <c r="E27" s="92" t="n">
        <v>5</v>
      </c>
      <c r="F27" s="92" t="n">
        <v>35.25</v>
      </c>
      <c r="G27" s="92" t="n">
        <v>65.5</v>
      </c>
      <c r="H27" s="92" t="n"/>
      <c r="I27" s="92" t="n">
        <v>42</v>
      </c>
      <c r="J27" s="93">
        <f>IF(F27="","",IF(H27&lt;&gt;"",H27,G27)+4.5+MinRail+0.75)</f>
        <v/>
      </c>
    </row>
    <row r="28">
      <c r="B28" s="86" t="inlineStr">
        <is>
          <t>PIONEER|84</t>
        </is>
      </c>
      <c r="C28" s="85" t="inlineStr">
        <is>
          <t>PIONEER</t>
        </is>
      </c>
      <c r="D28" s="86" t="n">
        <v>84</v>
      </c>
      <c r="E28" s="92" t="n">
        <v>5</v>
      </c>
      <c r="F28" s="92" t="n">
        <v>37.25</v>
      </c>
      <c r="G28" s="92" t="n">
        <v>69.5</v>
      </c>
      <c r="H28" s="92" t="n"/>
      <c r="I28" s="92" t="n">
        <v>46</v>
      </c>
      <c r="J28" s="93">
        <f>IF(F28="","",IF(H28&lt;&gt;"",H28,G28)+4.5+MinRail+0.75)</f>
        <v/>
      </c>
    </row>
    <row r="29">
      <c r="B29" s="86" t="inlineStr">
        <is>
          <t>PIONEER|96</t>
        </is>
      </c>
      <c r="C29" s="85" t="inlineStr">
        <is>
          <t>PIONEER</t>
        </is>
      </c>
      <c r="D29" s="86" t="n">
        <v>96</v>
      </c>
      <c r="E29" s="92" t="n">
        <v>5</v>
      </c>
      <c r="F29" s="92" t="n">
        <v>30.5</v>
      </c>
      <c r="G29" s="92" t="n">
        <v>56</v>
      </c>
      <c r="H29" s="92" t="n">
        <v>81.5</v>
      </c>
      <c r="I29" s="92" t="n">
        <v>58</v>
      </c>
      <c r="J29" s="93">
        <f>IF(F29="","",IF(H29&lt;&gt;"",H29,G29)+4.5+MinRail+0.75)</f>
        <v/>
      </c>
    </row>
    <row r="30">
      <c r="B30" s="86" t="inlineStr">
        <is>
          <t>REPUBLIC|80</t>
        </is>
      </c>
      <c r="C30" s="85" t="inlineStr">
        <is>
          <t>REPUBLIC</t>
        </is>
      </c>
      <c r="D30" s="86" t="n">
        <v>80</v>
      </c>
      <c r="E30" s="92" t="n">
        <v>7.5</v>
      </c>
      <c r="F30" s="92" t="n">
        <v>37.4375</v>
      </c>
      <c r="G30" s="92" t="n">
        <v>67.375</v>
      </c>
      <c r="H30" s="92" t="n"/>
      <c r="I30" s="92" t="n">
        <v>39.6875</v>
      </c>
      <c r="J30" s="93">
        <f>IF(F30="","",IF(H30&lt;&gt;"",H30,G30)+4.5+MinRail+0.75)</f>
        <v/>
      </c>
    </row>
    <row r="31">
      <c r="B31" s="86" t="inlineStr">
        <is>
          <t>REPUBLIC|84</t>
        </is>
      </c>
      <c r="C31" s="85" t="inlineStr">
        <is>
          <t>REPUBLIC</t>
        </is>
      </c>
      <c r="D31" s="86" t="n">
        <v>84</v>
      </c>
      <c r="E31" s="92" t="n">
        <v>9.5</v>
      </c>
      <c r="F31" s="92" t="n">
        <v>39.4375</v>
      </c>
      <c r="G31" s="92" t="n">
        <v>69.375</v>
      </c>
      <c r="H31" s="92" t="n"/>
      <c r="I31" s="92" t="n">
        <v>43.6875</v>
      </c>
      <c r="J31" s="93">
        <f>IF(F31="","",IF(H31&lt;&gt;"",H31,G31)+4.5+MinRail+0.75)</f>
        <v/>
      </c>
    </row>
    <row r="32">
      <c r="B32" s="86" t="inlineStr">
        <is>
          <t>REPUBLIC|96</t>
        </is>
      </c>
      <c r="C32" s="85" t="inlineStr">
        <is>
          <t>REPUBLIC</t>
        </is>
      </c>
      <c r="D32" s="86" t="n">
        <v>96</v>
      </c>
      <c r="E32" s="92" t="n">
        <v>5</v>
      </c>
      <c r="F32" s="92" t="n">
        <v>30.5</v>
      </c>
      <c r="G32" s="92" t="n">
        <v>56</v>
      </c>
      <c r="H32" s="92" t="n">
        <v>81.5</v>
      </c>
      <c r="I32" s="92" t="n">
        <v>55.6875</v>
      </c>
      <c r="J32" s="93">
        <f>IF(F32="","",IF(H32&lt;&gt;"",H32,G32)+4.5+MinRail+0.75)</f>
        <v/>
      </c>
    </row>
    <row r="34">
      <c r="B34" s="17" t="inlineStr">
        <is>
          <t>Their 2.0 rule kept: an opening shorter than a chart height takes that chart cut down from the bottom (6'-5" uses the 6'-8" row), as long as the rail under the bottom hinge stays 2-1/8". Shorter than LEAST NOMINAL = not stock: locations are re-spaced and flagged.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5B1"/>
    <outlinePr summaryBelow="1" summaryRight="1"/>
    <pageSetUpPr/>
  </sheetPr>
  <dimension ref="A1:Z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5" max="25"/>
    <col width="22" customWidth="1" min="26" max="26"/>
  </cols>
  <sheetData>
    <row r="1">
      <c r="A1" s="94" t="inlineStr">
        <is>
          <t>L_Fire</t>
        </is>
      </c>
      <c r="B1" s="94" t="inlineStr">
        <is>
          <t>L_Style</t>
        </is>
      </c>
      <c r="C1" s="94" t="inlineStr">
        <is>
          <t>L_Swing</t>
        </is>
      </c>
      <c r="D1" s="94" t="inlineStr">
        <is>
          <t>L_Anchor</t>
        </is>
      </c>
      <c r="E1" s="94" t="inlineStr">
        <is>
          <t>L_Hinge</t>
        </is>
      </c>
      <c r="F1" s="94" t="inlineStr">
        <is>
          <t>L_Strike1</t>
        </is>
      </c>
      <c r="G1" s="94" t="inlineStr">
        <is>
          <t>L_Strike2</t>
        </is>
      </c>
      <c r="H1" s="94" t="inlineStr">
        <is>
          <t>L_Lock1</t>
        </is>
      </c>
      <c r="I1" s="94" t="inlineStr">
        <is>
          <t>L_Lock2</t>
        </is>
      </c>
      <c r="J1" s="94" t="inlineStr">
        <is>
          <t>L_Mfr</t>
        </is>
      </c>
      <c r="K1" s="94" t="inlineStr">
        <is>
          <t>L_Elev</t>
        </is>
      </c>
      <c r="L1" s="94" t="inlineStr">
        <is>
          <t>L_Wall</t>
        </is>
      </c>
      <c r="M1" s="94" t="inlineStr">
        <is>
          <t>L_Mat</t>
        </is>
      </c>
      <c r="N1" s="94" t="inlineStr">
        <is>
          <t>L_YN</t>
        </is>
      </c>
      <c r="O1" s="94" t="inlineStr">
        <is>
          <t>L_Gauge</t>
        </is>
      </c>
      <c r="P1" s="94" t="inlineStr">
        <is>
          <t>L_Face</t>
        </is>
      </c>
      <c r="Q1" s="94" t="inlineStr">
        <is>
          <t>L_WFt</t>
        </is>
      </c>
      <c r="R1" s="94" t="inlineStr">
        <is>
          <t>L_HFt</t>
        </is>
      </c>
      <c r="S1" s="94" t="inlineStr">
        <is>
          <t>L_In</t>
        </is>
      </c>
      <c r="U1" s="94" t="inlineStr">
        <is>
          <t>JAMB CODE</t>
        </is>
      </c>
      <c r="V1" s="94" t="inlineStr">
        <is>
          <t>INCHES</t>
        </is>
      </c>
      <c r="W1" s="94" t="inlineStr">
        <is>
          <t>PRINTS AS</t>
        </is>
      </c>
      <c r="Y1" s="94" t="inlineStr">
        <is>
          <t>CODE</t>
        </is>
      </c>
      <c r="Z1" s="94" t="inlineStr">
        <is>
          <t>PRINTS AS</t>
        </is>
      </c>
    </row>
    <row r="2">
      <c r="A2" s="95" t="inlineStr">
        <is>
          <t>NO LAB</t>
        </is>
      </c>
      <c r="B2" s="95" t="inlineStr">
        <is>
          <t>KD-3PC</t>
        </is>
      </c>
      <c r="C2" s="95" t="inlineStr">
        <is>
          <t>LH</t>
        </is>
      </c>
      <c r="D2" s="95" t="inlineStr">
        <is>
          <t>COMP</t>
        </is>
      </c>
      <c r="E2" s="95" t="inlineStr">
        <is>
          <t>U453</t>
        </is>
      </c>
      <c r="F2" s="95" t="inlineStr">
        <is>
          <t>E1</t>
        </is>
      </c>
      <c r="G2" s="95" t="inlineStr">
        <is>
          <t>E4</t>
        </is>
      </c>
      <c r="H2" s="95" t="inlineStr">
        <is>
          <t>G2</t>
        </is>
      </c>
      <c r="I2" s="95" t="inlineStr">
        <is>
          <t>G2</t>
        </is>
      </c>
      <c r="J2" s="95" t="inlineStr">
        <is>
          <t>CURRIES</t>
        </is>
      </c>
      <c r="K2" s="95" t="inlineStr">
        <is>
          <t>FLUSH</t>
        </is>
      </c>
      <c r="L2" s="95" t="inlineStr">
        <is>
          <t>DRYWALL</t>
        </is>
      </c>
      <c r="M2" s="95" t="inlineStr">
        <is>
          <t>HM</t>
        </is>
      </c>
      <c r="N2" s="95" t="inlineStr">
        <is>
          <t>Y</t>
        </is>
      </c>
      <c r="O2" s="95" t="n">
        <v>16</v>
      </c>
      <c r="P2" s="95" t="n">
        <v>2</v>
      </c>
      <c r="Q2" s="95" t="n">
        <v>0</v>
      </c>
      <c r="R2" s="95" t="n">
        <v>4</v>
      </c>
      <c r="S2" s="95" t="n">
        <v>0</v>
      </c>
      <c r="U2" t="n">
        <v>3</v>
      </c>
      <c r="V2" t="n">
        <v>3</v>
      </c>
      <c r="W2" t="inlineStr">
        <is>
          <t>3"</t>
        </is>
      </c>
      <c r="Y2" t="inlineStr">
        <is>
          <t>LH</t>
        </is>
      </c>
      <c r="Z2" t="inlineStr">
        <is>
          <t>LH</t>
        </is>
      </c>
    </row>
    <row r="3">
      <c r="A3" s="95" t="inlineStr">
        <is>
          <t>20 MIN</t>
        </is>
      </c>
      <c r="B3" s="95" t="inlineStr">
        <is>
          <t>WELDED</t>
        </is>
      </c>
      <c r="C3" s="95" t="inlineStr">
        <is>
          <t>RH</t>
        </is>
      </c>
      <c r="D3" s="95" t="inlineStr">
        <is>
          <t>P/D+D.BOLT</t>
        </is>
      </c>
      <c r="E3" s="95" t="inlineStr">
        <is>
          <t>U454</t>
        </is>
      </c>
      <c r="F3" s="95" t="inlineStr">
        <is>
          <t>E1E4</t>
        </is>
      </c>
      <c r="G3" s="95" t="inlineStr">
        <is>
          <t>E3</t>
        </is>
      </c>
      <c r="H3" s="95" t="inlineStr">
        <is>
          <t>G2G2</t>
        </is>
      </c>
      <c r="I3" s="95" t="inlineStr">
        <is>
          <t>G16</t>
        </is>
      </c>
      <c r="J3" s="95" t="inlineStr">
        <is>
          <t>STEELCRAFT</t>
        </is>
      </c>
      <c r="K3" s="95" t="inlineStr">
        <is>
          <t>FNV 5"x20"</t>
        </is>
      </c>
      <c r="L3" s="95" t="inlineStr">
        <is>
          <t>MASONRY</t>
        </is>
      </c>
      <c r="M3" s="95" t="inlineStr">
        <is>
          <t>WOOD</t>
        </is>
      </c>
      <c r="O3" s="95" t="n">
        <v>14</v>
      </c>
      <c r="P3" s="95" t="n">
        <v>4</v>
      </c>
      <c r="Q3" s="95" t="n">
        <v>1</v>
      </c>
      <c r="R3" s="95" t="n">
        <v>5</v>
      </c>
      <c r="S3" s="95" t="n">
        <v>1</v>
      </c>
      <c r="U3" t="n">
        <v>318</v>
      </c>
      <c r="V3" t="n">
        <v>3.125</v>
      </c>
      <c r="W3" t="inlineStr">
        <is>
          <t>3-1/8"</t>
        </is>
      </c>
      <c r="Y3" t="inlineStr">
        <is>
          <t>RH</t>
        </is>
      </c>
      <c r="Z3" t="inlineStr">
        <is>
          <t>RH</t>
        </is>
      </c>
    </row>
    <row r="4">
      <c r="A4" s="95" t="inlineStr">
        <is>
          <t>45 MIN</t>
        </is>
      </c>
      <c r="C4" s="95" t="inlineStr">
        <is>
          <t>LHR</t>
        </is>
      </c>
      <c r="D4" s="95" t="inlineStr">
        <is>
          <t>P/D+W.SCREW</t>
        </is>
      </c>
      <c r="E4" s="95" t="inlineStr">
        <is>
          <t>HGC</t>
        </is>
      </c>
      <c r="F4" s="95" t="inlineStr">
        <is>
          <t>E8</t>
        </is>
      </c>
      <c r="H4" s="95" t="inlineStr">
        <is>
          <t>G2A</t>
        </is>
      </c>
      <c r="I4" s="95" t="inlineStr">
        <is>
          <t>G17</t>
        </is>
      </c>
      <c r="J4" s="95" t="inlineStr">
        <is>
          <t>AMWELD</t>
        </is>
      </c>
      <c r="K4" s="95" t="inlineStr">
        <is>
          <t>FNV 6"x27"</t>
        </is>
      </c>
      <c r="O4" s="95" t="n">
        <v>18</v>
      </c>
      <c r="Q4" s="95" t="n">
        <v>2</v>
      </c>
      <c r="R4" s="95" t="n">
        <v>6</v>
      </c>
      <c r="S4" s="95" t="n">
        <v>2</v>
      </c>
      <c r="U4" t="n">
        <v>314</v>
      </c>
      <c r="V4" t="n">
        <v>3.25</v>
      </c>
      <c r="W4" t="inlineStr">
        <is>
          <t>3-1/4"</t>
        </is>
      </c>
      <c r="Y4" t="inlineStr">
        <is>
          <t>LHR</t>
        </is>
      </c>
      <c r="Z4" t="inlineStr">
        <is>
          <t>LHR</t>
        </is>
      </c>
    </row>
    <row r="5">
      <c r="A5" s="95" t="inlineStr">
        <is>
          <t>60 MIN</t>
        </is>
      </c>
      <c r="C5" s="95" t="inlineStr">
        <is>
          <t>RHR</t>
        </is>
      </c>
      <c r="D5" s="95" t="inlineStr">
        <is>
          <t>P/D-ONLY</t>
        </is>
      </c>
      <c r="E5" s="95" t="inlineStr">
        <is>
          <t>U453-EH</t>
        </is>
      </c>
      <c r="F5" s="95" t="inlineStr">
        <is>
          <t>E9</t>
        </is>
      </c>
      <c r="H5" s="95" t="inlineStr">
        <is>
          <t>G3A</t>
        </is>
      </c>
      <c r="J5" s="95" t="inlineStr">
        <is>
          <t>CECO</t>
        </is>
      </c>
      <c r="K5" s="95" t="inlineStr">
        <is>
          <t>FNV 7"x22"</t>
        </is>
      </c>
      <c r="Q5" s="95" t="n">
        <v>3</v>
      </c>
      <c r="R5" s="95" t="n">
        <v>7</v>
      </c>
      <c r="S5" s="95" t="n">
        <v>3</v>
      </c>
      <c r="U5" t="n">
        <v>338</v>
      </c>
      <c r="V5" t="n">
        <v>3.375</v>
      </c>
      <c r="W5" t="inlineStr">
        <is>
          <t>3-3/8"</t>
        </is>
      </c>
      <c r="Y5" t="inlineStr">
        <is>
          <t>RHR</t>
        </is>
      </c>
      <c r="Z5" t="inlineStr">
        <is>
          <t>RHR</t>
        </is>
      </c>
    </row>
    <row r="6">
      <c r="A6" s="95" t="inlineStr">
        <is>
          <t>90 MIN</t>
        </is>
      </c>
      <c r="C6" s="95" t="inlineStr">
        <is>
          <t>NH</t>
        </is>
      </c>
      <c r="D6" s="95" t="inlineStr">
        <is>
          <t>SSA</t>
        </is>
      </c>
      <c r="E6" s="95" t="inlineStr">
        <is>
          <t>U454-EH</t>
        </is>
      </c>
      <c r="F6" s="95" t="inlineStr">
        <is>
          <t>RL</t>
        </is>
      </c>
      <c r="H6" s="95" t="inlineStr">
        <is>
          <t>G3AEO</t>
        </is>
      </c>
      <c r="J6" s="95" t="inlineStr">
        <is>
          <t>FENESTRA</t>
        </is>
      </c>
      <c r="K6" s="95" t="inlineStr">
        <is>
          <t>FV 12"x12"</t>
        </is>
      </c>
      <c r="Q6" s="95" t="n">
        <v>4</v>
      </c>
      <c r="R6" s="95" t="n">
        <v>8</v>
      </c>
      <c r="S6" s="95" t="n">
        <v>4</v>
      </c>
      <c r="U6" t="n">
        <v>312</v>
      </c>
      <c r="V6" t="n">
        <v>3.5</v>
      </c>
      <c r="W6" t="inlineStr">
        <is>
          <t>3-1/2"</t>
        </is>
      </c>
      <c r="Y6" t="inlineStr">
        <is>
          <t>NH</t>
        </is>
      </c>
      <c r="Z6" t="inlineStr"/>
    </row>
    <row r="7">
      <c r="A7" s="95" t="inlineStr">
        <is>
          <t>180 MIN</t>
        </is>
      </c>
      <c r="D7" s="95" t="inlineStr">
        <is>
          <t>T-MAS</t>
        </is>
      </c>
      <c r="E7" s="95" t="inlineStr">
        <is>
          <t>BLANK</t>
        </is>
      </c>
      <c r="F7" s="95" t="inlineStr">
        <is>
          <t>G18</t>
        </is>
      </c>
      <c r="H7" s="95" t="inlineStr">
        <is>
          <t>G11</t>
        </is>
      </c>
      <c r="J7" s="95" t="inlineStr">
        <is>
          <t>KEWANEE</t>
        </is>
      </c>
      <c r="K7" s="95" t="inlineStr">
        <is>
          <t>HG 24"x24"</t>
        </is>
      </c>
      <c r="R7" s="95" t="n">
        <v>9</v>
      </c>
      <c r="S7" s="95" t="n">
        <v>5</v>
      </c>
      <c r="U7" t="n">
        <v>358</v>
      </c>
      <c r="V7" t="n">
        <v>3.625</v>
      </c>
      <c r="W7" t="inlineStr">
        <is>
          <t>3-5/8"</t>
        </is>
      </c>
      <c r="Y7" t="inlineStr">
        <is>
          <t>KD-3PC</t>
        </is>
      </c>
      <c r="Z7" t="inlineStr">
        <is>
          <t>KD</t>
        </is>
      </c>
    </row>
    <row r="8">
      <c r="D8" s="95" t="inlineStr">
        <is>
          <t>WMA</t>
        </is>
      </c>
      <c r="H8" s="95" t="inlineStr">
        <is>
          <t>G11A</t>
        </is>
      </c>
      <c r="J8" s="95" t="inlineStr">
        <is>
          <t>MESKER</t>
        </is>
      </c>
      <c r="K8" s="95" t="inlineStr">
        <is>
          <t>HG 24"x30"</t>
        </is>
      </c>
      <c r="S8" s="95" t="n">
        <v>6</v>
      </c>
      <c r="U8" t="n">
        <v>334</v>
      </c>
      <c r="V8" t="n">
        <v>3.75</v>
      </c>
      <c r="W8" t="inlineStr">
        <is>
          <t>3-3/4"</t>
        </is>
      </c>
      <c r="Y8" t="inlineStr">
        <is>
          <t>WELDED</t>
        </is>
      </c>
      <c r="Z8" t="inlineStr">
        <is>
          <t>WELDED</t>
        </is>
      </c>
    </row>
    <row r="9">
      <c r="D9" s="95" t="inlineStr">
        <is>
          <t>NO ANCHORS</t>
        </is>
      </c>
      <c r="H9" s="95" t="inlineStr">
        <is>
          <t>G12</t>
        </is>
      </c>
      <c r="J9" s="95" t="inlineStr">
        <is>
          <t>PIONEER</t>
        </is>
      </c>
      <c r="K9" s="95" t="inlineStr">
        <is>
          <t>HG 24"x36"</t>
        </is>
      </c>
      <c r="S9" s="95" t="n">
        <v>7</v>
      </c>
      <c r="U9" t="n">
        <v>378</v>
      </c>
      <c r="V9" t="n">
        <v>3.875</v>
      </c>
      <c r="W9" t="inlineStr">
        <is>
          <t>3-7/8"</t>
        </is>
      </c>
      <c r="Y9" t="inlineStr">
        <is>
          <t>COMP</t>
        </is>
      </c>
      <c r="Z9" t="inlineStr">
        <is>
          <t>COMP</t>
        </is>
      </c>
    </row>
    <row r="10">
      <c r="H10" s="95" t="inlineStr">
        <is>
          <t>G12A</t>
        </is>
      </c>
      <c r="J10" s="95" t="inlineStr">
        <is>
          <t>REPUBLIC</t>
        </is>
      </c>
      <c r="K10" s="95" t="inlineStr">
        <is>
          <t>FG 24"x60"</t>
        </is>
      </c>
      <c r="S10" s="95" t="n">
        <v>8</v>
      </c>
      <c r="U10" t="n">
        <v>4</v>
      </c>
      <c r="V10" t="n">
        <v>4</v>
      </c>
      <c r="W10" t="inlineStr">
        <is>
          <t>4"</t>
        </is>
      </c>
      <c r="Y10" t="inlineStr">
        <is>
          <t>P/D+D.BOLT</t>
        </is>
      </c>
      <c r="Z10" t="inlineStr">
        <is>
          <t>P/D+DYNABOLTS</t>
        </is>
      </c>
    </row>
    <row r="11">
      <c r="H11" s="95" t="inlineStr">
        <is>
          <t>G18</t>
        </is>
      </c>
      <c r="J11" s="95" t="inlineStr">
        <is>
          <t>ANSI/SDI</t>
        </is>
      </c>
      <c r="K11" s="95" t="inlineStr">
        <is>
          <t>FG 24"x64"</t>
        </is>
      </c>
      <c r="S11" s="95" t="n">
        <v>9</v>
      </c>
      <c r="U11" t="n">
        <v>418</v>
      </c>
      <c r="V11" t="n">
        <v>4.125</v>
      </c>
      <c r="W11" t="inlineStr">
        <is>
          <t>4-1/8"</t>
        </is>
      </c>
      <c r="Y11" t="inlineStr">
        <is>
          <t>P/D+W.SCREW</t>
        </is>
      </c>
      <c r="Z11" t="inlineStr">
        <is>
          <t>P/D+WOODSCREWS</t>
        </is>
      </c>
    </row>
    <row r="12">
      <c r="J12" s="95" t="inlineStr">
        <is>
          <t>CUSTOM</t>
        </is>
      </c>
      <c r="K12" s="95" t="inlineStr">
        <is>
          <t>FG 22"x60" (WD)</t>
        </is>
      </c>
      <c r="S12" s="95" t="n">
        <v>10</v>
      </c>
      <c r="U12" t="n">
        <v>414</v>
      </c>
      <c r="V12" t="n">
        <v>4.25</v>
      </c>
      <c r="W12" t="inlineStr">
        <is>
          <t>4-1/4"</t>
        </is>
      </c>
      <c r="Y12" t="inlineStr">
        <is>
          <t>P/D-ONLY</t>
        </is>
      </c>
      <c r="Z12" t="inlineStr">
        <is>
          <t>P/D-ONLY</t>
        </is>
      </c>
    </row>
    <row r="13">
      <c r="K13" s="95" t="inlineStr">
        <is>
          <t>FG 22"x64" (WD)</t>
        </is>
      </c>
      <c r="S13" s="95" t="n">
        <v>11</v>
      </c>
      <c r="U13" t="n">
        <v>438</v>
      </c>
      <c r="V13" t="n">
        <v>4.375</v>
      </c>
      <c r="W13" t="inlineStr">
        <is>
          <t>4-3/8"</t>
        </is>
      </c>
      <c r="Y13" t="inlineStr">
        <is>
          <t>SSA</t>
        </is>
      </c>
      <c r="Z13" t="inlineStr">
        <is>
          <t>SSA</t>
        </is>
      </c>
    </row>
    <row r="14">
      <c r="K14" s="95" t="inlineStr">
        <is>
          <t>FL 12"x12"</t>
        </is>
      </c>
      <c r="U14" t="n">
        <v>412</v>
      </c>
      <c r="V14" t="n">
        <v>4.5</v>
      </c>
      <c r="W14" t="inlineStr">
        <is>
          <t>4-1/2"</t>
        </is>
      </c>
      <c r="Y14" t="inlineStr">
        <is>
          <t>T-MAS</t>
        </is>
      </c>
      <c r="Z14" t="inlineStr">
        <is>
          <t>T-MAS</t>
        </is>
      </c>
    </row>
    <row r="15">
      <c r="K15" s="95" t="inlineStr">
        <is>
          <t>FL 18"x12"</t>
        </is>
      </c>
      <c r="U15" t="n">
        <v>458</v>
      </c>
      <c r="V15" t="n">
        <v>4.625</v>
      </c>
      <c r="W15" t="inlineStr">
        <is>
          <t>4-5/8"</t>
        </is>
      </c>
      <c r="Y15" t="inlineStr">
        <is>
          <t>WMA</t>
        </is>
      </c>
      <c r="Z15" t="inlineStr">
        <is>
          <t>WIRE.MAS</t>
        </is>
      </c>
    </row>
    <row r="16">
      <c r="K16" s="95" t="inlineStr">
        <is>
          <t>FL 24"x12"</t>
        </is>
      </c>
      <c r="U16" t="n">
        <v>434</v>
      </c>
      <c r="V16" t="n">
        <v>4.75</v>
      </c>
      <c r="W16" t="inlineStr">
        <is>
          <t>4-3/4"</t>
        </is>
      </c>
      <c r="Y16" t="inlineStr">
        <is>
          <t>NO ANCHORS</t>
        </is>
      </c>
      <c r="Z16" t="inlineStr"/>
    </row>
    <row r="17">
      <c r="K17" s="95" t="inlineStr">
        <is>
          <t>FL 24"x24"</t>
        </is>
      </c>
      <c r="U17" t="n">
        <v>478</v>
      </c>
      <c r="V17" t="n">
        <v>4.875</v>
      </c>
      <c r="W17" t="inlineStr">
        <is>
          <t>4-7/8"</t>
        </is>
      </c>
      <c r="Y17" t="inlineStr">
        <is>
          <t>U453</t>
        </is>
      </c>
      <c r="Z17" t="inlineStr">
        <is>
          <t>3-HNG</t>
        </is>
      </c>
    </row>
    <row r="18">
      <c r="K18" s="95" t="inlineStr">
        <is>
          <t>1/2" VIEWER</t>
        </is>
      </c>
      <c r="U18" t="n">
        <v>5</v>
      </c>
      <c r="V18" t="n">
        <v>5</v>
      </c>
      <c r="W18" t="inlineStr">
        <is>
          <t>5"</t>
        </is>
      </c>
      <c r="Y18" t="inlineStr">
        <is>
          <t>U454</t>
        </is>
      </c>
      <c r="Z18" t="inlineStr">
        <is>
          <t>4-HNG</t>
        </is>
      </c>
    </row>
    <row r="19">
      <c r="K19" s="95" t="inlineStr">
        <is>
          <t>9/16" VIEWER</t>
        </is>
      </c>
      <c r="U19" t="n">
        <v>518</v>
      </c>
      <c r="V19" t="n">
        <v>5.125</v>
      </c>
      <c r="W19" t="inlineStr">
        <is>
          <t>5-1/8"</t>
        </is>
      </c>
      <c r="Y19" t="inlineStr">
        <is>
          <t>HGC</t>
        </is>
      </c>
      <c r="Z19" t="inlineStr">
        <is>
          <t>CONT.HNG</t>
        </is>
      </c>
    </row>
    <row r="20">
      <c r="K20" s="95" t="inlineStr">
        <is>
          <t>CUSTOM LITE</t>
        </is>
      </c>
      <c r="U20" t="n">
        <v>514</v>
      </c>
      <c r="V20" t="n">
        <v>5.25</v>
      </c>
      <c r="W20" t="inlineStr">
        <is>
          <t>5-1/4"</t>
        </is>
      </c>
      <c r="Y20" t="inlineStr">
        <is>
          <t>U453-EH</t>
        </is>
      </c>
      <c r="Z20" t="inlineStr">
        <is>
          <t>3-HNG 1-ELEC.HNG</t>
        </is>
      </c>
    </row>
    <row r="21">
      <c r="U21" t="n">
        <v>538</v>
      </c>
      <c r="V21" t="n">
        <v>5.375</v>
      </c>
      <c r="W21" t="inlineStr">
        <is>
          <t>5-3/8"</t>
        </is>
      </c>
      <c r="Y21" t="inlineStr">
        <is>
          <t>U454-EH</t>
        </is>
      </c>
      <c r="Z21" t="inlineStr">
        <is>
          <t>4-HNG 1-ELEC.HNG</t>
        </is>
      </c>
    </row>
    <row r="22">
      <c r="U22" t="n">
        <v>512</v>
      </c>
      <c r="V22" t="n">
        <v>5.5</v>
      </c>
      <c r="W22" t="inlineStr">
        <is>
          <t>5-1/2"</t>
        </is>
      </c>
      <c r="Y22" t="inlineStr">
        <is>
          <t>BLANK</t>
        </is>
      </c>
      <c r="Z22" t="inlineStr">
        <is>
          <t>BLANK.HNG</t>
        </is>
      </c>
    </row>
    <row r="23">
      <c r="U23" t="n">
        <v>558</v>
      </c>
      <c r="V23" t="n">
        <v>5.625</v>
      </c>
      <c r="W23" t="inlineStr">
        <is>
          <t>5-5/8"</t>
        </is>
      </c>
      <c r="Y23" t="inlineStr">
        <is>
          <t>E1</t>
        </is>
      </c>
      <c r="Z23" t="inlineStr">
        <is>
          <t>1-478.STK</t>
        </is>
      </c>
    </row>
    <row r="24">
      <c r="U24" t="n">
        <v>534</v>
      </c>
      <c r="V24" t="n">
        <v>5.75</v>
      </c>
      <c r="W24" t="inlineStr">
        <is>
          <t>5-3/4"</t>
        </is>
      </c>
      <c r="Y24" t="inlineStr">
        <is>
          <t>E1E4</t>
        </is>
      </c>
      <c r="Z24" t="inlineStr">
        <is>
          <t>1-478.STK&amp;DB.STK</t>
        </is>
      </c>
    </row>
    <row r="25">
      <c r="U25" t="n">
        <v>578</v>
      </c>
      <c r="V25" t="n">
        <v>5.875</v>
      </c>
      <c r="W25" t="inlineStr">
        <is>
          <t>5-7/8"</t>
        </is>
      </c>
      <c r="Y25" t="inlineStr">
        <is>
          <t>E8</t>
        </is>
      </c>
      <c r="Z25" t="inlineStr">
        <is>
          <t>1-RIM</t>
        </is>
      </c>
    </row>
    <row r="26">
      <c r="U26" t="n">
        <v>6</v>
      </c>
      <c r="V26" t="n">
        <v>6</v>
      </c>
      <c r="W26" t="inlineStr">
        <is>
          <t>6"</t>
        </is>
      </c>
      <c r="Y26" t="inlineStr">
        <is>
          <t>E9</t>
        </is>
      </c>
      <c r="Z26" t="inlineStr">
        <is>
          <t>1-ELEC</t>
        </is>
      </c>
    </row>
    <row r="27">
      <c r="U27" t="n">
        <v>618</v>
      </c>
      <c r="V27" t="n">
        <v>6.125</v>
      </c>
      <c r="W27" t="inlineStr">
        <is>
          <t>6-1/8"</t>
        </is>
      </c>
      <c r="Y27" t="inlineStr">
        <is>
          <t>RL</t>
        </is>
      </c>
      <c r="Z27" t="inlineStr">
        <is>
          <t>R.LATCH</t>
        </is>
      </c>
    </row>
    <row r="28">
      <c r="U28" t="n">
        <v>614</v>
      </c>
      <c r="V28" t="n">
        <v>6.25</v>
      </c>
      <c r="W28" t="inlineStr">
        <is>
          <t>6-1/4"</t>
        </is>
      </c>
      <c r="Y28" t="inlineStr">
        <is>
          <t>G18</t>
        </is>
      </c>
      <c r="Z28" t="inlineStr">
        <is>
          <t>BLANK</t>
        </is>
      </c>
    </row>
    <row r="29">
      <c r="U29" t="n">
        <v>638</v>
      </c>
      <c r="V29" t="n">
        <v>6.375</v>
      </c>
      <c r="W29" t="inlineStr">
        <is>
          <t>6-3/8"</t>
        </is>
      </c>
      <c r="Y29" t="inlineStr">
        <is>
          <t>E4</t>
        </is>
      </c>
      <c r="Z29" t="inlineStr">
        <is>
          <t>1-DB.STK</t>
        </is>
      </c>
    </row>
    <row r="30">
      <c r="U30" t="n">
        <v>612</v>
      </c>
      <c r="V30" t="n">
        <v>6.5</v>
      </c>
      <c r="W30" t="inlineStr">
        <is>
          <t>6-1/2"</t>
        </is>
      </c>
      <c r="Y30" t="inlineStr">
        <is>
          <t>E3</t>
        </is>
      </c>
      <c r="Z30" t="inlineStr">
        <is>
          <t>1-DB.STR234</t>
        </is>
      </c>
    </row>
    <row r="31">
      <c r="U31" t="n">
        <v>658</v>
      </c>
      <c r="V31" t="n">
        <v>6.625</v>
      </c>
      <c r="W31" t="inlineStr">
        <is>
          <t>6-5/8"</t>
        </is>
      </c>
      <c r="Y31" t="inlineStr">
        <is>
          <t>G2</t>
        </is>
      </c>
      <c r="Z31" t="inlineStr">
        <is>
          <t>CYL.161</t>
        </is>
      </c>
    </row>
    <row r="32">
      <c r="U32" t="n">
        <v>634</v>
      </c>
      <c r="V32" t="n">
        <v>6.75</v>
      </c>
      <c r="W32" t="inlineStr">
        <is>
          <t>6-3/4"</t>
        </is>
      </c>
      <c r="Y32" t="inlineStr">
        <is>
          <t>G2G2</t>
        </is>
      </c>
      <c r="Z32" t="inlineStr">
        <is>
          <t>CYL.161&amp;D.BOLT</t>
        </is>
      </c>
    </row>
    <row r="33">
      <c r="U33" t="n">
        <v>678</v>
      </c>
      <c r="V33" t="n">
        <v>6.875</v>
      </c>
      <c r="W33" t="inlineStr">
        <is>
          <t>6-7/8"</t>
        </is>
      </c>
      <c r="Y33" t="inlineStr">
        <is>
          <t>G2A</t>
        </is>
      </c>
      <c r="Z33" t="inlineStr">
        <is>
          <t>CYL.MOD.161</t>
        </is>
      </c>
    </row>
    <row r="34">
      <c r="U34" t="n">
        <v>7</v>
      </c>
      <c r="V34" t="n">
        <v>7</v>
      </c>
      <c r="W34" t="inlineStr">
        <is>
          <t>7"</t>
        </is>
      </c>
      <c r="Y34" t="inlineStr">
        <is>
          <t>G3A</t>
        </is>
      </c>
      <c r="Z34" t="inlineStr">
        <is>
          <t>MORT.86</t>
        </is>
      </c>
    </row>
    <row r="35">
      <c r="U35" t="n">
        <v>718</v>
      </c>
      <c r="V35" t="n">
        <v>7.125</v>
      </c>
      <c r="W35" t="inlineStr">
        <is>
          <t>7-1/8"</t>
        </is>
      </c>
      <c r="Y35" t="inlineStr">
        <is>
          <t>G3AEO</t>
        </is>
      </c>
      <c r="Z35" t="inlineStr">
        <is>
          <t>MORT.86.EDGE.ONLY</t>
        </is>
      </c>
    </row>
    <row r="36">
      <c r="U36" t="n">
        <v>714</v>
      </c>
      <c r="V36" t="n">
        <v>7.25</v>
      </c>
      <c r="W36" t="inlineStr">
        <is>
          <t>7-1/4"</t>
        </is>
      </c>
      <c r="Y36" t="inlineStr">
        <is>
          <t>G11</t>
        </is>
      </c>
      <c r="Z36" t="inlineStr">
        <is>
          <t>RIM.PANIC</t>
        </is>
      </c>
    </row>
    <row r="37">
      <c r="U37" t="n">
        <v>738</v>
      </c>
      <c r="V37" t="n">
        <v>7.375</v>
      </c>
      <c r="W37" t="inlineStr">
        <is>
          <t>7-3/8"</t>
        </is>
      </c>
      <c r="Y37" t="inlineStr">
        <is>
          <t>G11A</t>
        </is>
      </c>
      <c r="Z37" t="inlineStr">
        <is>
          <t>RIM.VERT.ROD</t>
        </is>
      </c>
    </row>
    <row r="38">
      <c r="U38" t="n">
        <v>712</v>
      </c>
      <c r="V38" t="n">
        <v>7.5</v>
      </c>
      <c r="W38" t="inlineStr">
        <is>
          <t>7-1/2"</t>
        </is>
      </c>
      <c r="Y38" t="inlineStr">
        <is>
          <t>G12</t>
        </is>
      </c>
      <c r="Z38" t="inlineStr">
        <is>
          <t>MORT.EXIT</t>
        </is>
      </c>
    </row>
    <row r="39">
      <c r="U39" t="n">
        <v>758</v>
      </c>
      <c r="V39" t="n">
        <v>7.625</v>
      </c>
      <c r="W39" t="inlineStr">
        <is>
          <t>7-5/8"</t>
        </is>
      </c>
      <c r="Y39" t="inlineStr">
        <is>
          <t>G12A</t>
        </is>
      </c>
      <c r="Z39" t="inlineStr">
        <is>
          <t>CONC.VERT.ROD</t>
        </is>
      </c>
    </row>
    <row r="40">
      <c r="U40" t="n">
        <v>734</v>
      </c>
      <c r="V40" t="n">
        <v>7.75</v>
      </c>
      <c r="W40" t="inlineStr">
        <is>
          <t>7-3/4"</t>
        </is>
      </c>
      <c r="Y40" t="inlineStr">
        <is>
          <t>G16</t>
        </is>
      </c>
      <c r="Z40" t="inlineStr">
        <is>
          <t>DB112</t>
        </is>
      </c>
    </row>
    <row r="41">
      <c r="U41" t="n">
        <v>778</v>
      </c>
      <c r="V41" t="n">
        <v>7.875</v>
      </c>
      <c r="W41" t="inlineStr">
        <is>
          <t>7-7/8"</t>
        </is>
      </c>
      <c r="Y41" t="inlineStr">
        <is>
          <t>G17</t>
        </is>
      </c>
      <c r="Z41" t="inlineStr">
        <is>
          <t>MORT.DEADLOCK</t>
        </is>
      </c>
    </row>
    <row r="42">
      <c r="U42" t="n">
        <v>8</v>
      </c>
      <c r="V42" t="n">
        <v>8</v>
      </c>
      <c r="W42" t="inlineStr">
        <is>
          <t>8"</t>
        </is>
      </c>
      <c r="Y42" t="inlineStr">
        <is>
          <t>NO LAB</t>
        </is>
      </c>
      <c r="Z42" t="inlineStr">
        <is>
          <t>NO LABEL</t>
        </is>
      </c>
    </row>
    <row r="43">
      <c r="U43" t="n">
        <v>818</v>
      </c>
      <c r="V43" t="n">
        <v>8.125</v>
      </c>
      <c r="W43" t="inlineStr">
        <is>
          <t>8-1/8"</t>
        </is>
      </c>
      <c r="Y43" t="inlineStr">
        <is>
          <t>20 MIN</t>
        </is>
      </c>
      <c r="Z43" t="inlineStr">
        <is>
          <t>20 MIN</t>
        </is>
      </c>
    </row>
    <row r="44">
      <c r="U44" t="n">
        <v>814</v>
      </c>
      <c r="V44" t="n">
        <v>8.25</v>
      </c>
      <c r="W44" t="inlineStr">
        <is>
          <t>8-1/4"</t>
        </is>
      </c>
      <c r="Y44" t="inlineStr">
        <is>
          <t>45 MIN</t>
        </is>
      </c>
      <c r="Z44" t="inlineStr">
        <is>
          <t>45 MIN</t>
        </is>
      </c>
    </row>
    <row r="45">
      <c r="U45" t="n">
        <v>838</v>
      </c>
      <c r="V45" t="n">
        <v>8.375</v>
      </c>
      <c r="W45" t="inlineStr">
        <is>
          <t>8-3/8"</t>
        </is>
      </c>
      <c r="Y45" t="inlineStr">
        <is>
          <t>60 MIN</t>
        </is>
      </c>
      <c r="Z45" t="inlineStr">
        <is>
          <t>60 MIN</t>
        </is>
      </c>
    </row>
    <row r="46">
      <c r="U46" t="n">
        <v>812</v>
      </c>
      <c r="V46" t="n">
        <v>8.5</v>
      </c>
      <c r="W46" t="inlineStr">
        <is>
          <t>8-1/2"</t>
        </is>
      </c>
      <c r="Y46" t="inlineStr">
        <is>
          <t>90 MIN</t>
        </is>
      </c>
      <c r="Z46" t="inlineStr">
        <is>
          <t>90 MIN</t>
        </is>
      </c>
    </row>
    <row r="47">
      <c r="U47" t="n">
        <v>858</v>
      </c>
      <c r="V47" t="n">
        <v>8.625</v>
      </c>
      <c r="W47" t="inlineStr">
        <is>
          <t>8-5/8"</t>
        </is>
      </c>
      <c r="Y47" t="inlineStr">
        <is>
          <t>180 MIN</t>
        </is>
      </c>
      <c r="Z47" t="inlineStr">
        <is>
          <t>180 MIN</t>
        </is>
      </c>
    </row>
    <row r="48">
      <c r="U48" t="n">
        <v>834</v>
      </c>
      <c r="V48" t="n">
        <v>8.75</v>
      </c>
      <c r="W48" t="inlineStr">
        <is>
          <t>8-3/4"</t>
        </is>
      </c>
    </row>
    <row r="49">
      <c r="U49" t="n">
        <v>878</v>
      </c>
      <c r="V49" t="n">
        <v>8.875</v>
      </c>
      <c r="W49" t="inlineStr">
        <is>
          <t>8-7/8"</t>
        </is>
      </c>
    </row>
    <row r="50">
      <c r="U50" t="n">
        <v>9</v>
      </c>
      <c r="V50" t="n">
        <v>9</v>
      </c>
      <c r="W50" t="inlineStr">
        <is>
          <t>9"</t>
        </is>
      </c>
    </row>
    <row r="51">
      <c r="U51" t="n">
        <v>918</v>
      </c>
      <c r="V51" t="n">
        <v>9.125</v>
      </c>
      <c r="W51" t="inlineStr">
        <is>
          <t>9-1/8"</t>
        </is>
      </c>
    </row>
    <row r="52">
      <c r="U52" t="n">
        <v>914</v>
      </c>
      <c r="V52" t="n">
        <v>9.25</v>
      </c>
      <c r="W52" t="inlineStr">
        <is>
          <t>9-1/4"</t>
        </is>
      </c>
    </row>
    <row r="53">
      <c r="U53" t="n">
        <v>938</v>
      </c>
      <c r="V53" t="n">
        <v>9.375</v>
      </c>
      <c r="W53" t="inlineStr">
        <is>
          <t>9-3/8"</t>
        </is>
      </c>
    </row>
    <row r="54">
      <c r="U54" t="n">
        <v>912</v>
      </c>
      <c r="V54" t="n">
        <v>9.5</v>
      </c>
      <c r="W54" t="inlineStr">
        <is>
          <t>9-1/2"</t>
        </is>
      </c>
    </row>
    <row r="55">
      <c r="U55" t="n">
        <v>958</v>
      </c>
      <c r="V55" t="n">
        <v>9.625</v>
      </c>
      <c r="W55" t="inlineStr">
        <is>
          <t>9-5/8"</t>
        </is>
      </c>
    </row>
    <row r="56">
      <c r="U56" t="n">
        <v>934</v>
      </c>
      <c r="V56" t="n">
        <v>9.75</v>
      </c>
      <c r="W56" t="inlineStr">
        <is>
          <t>9-3/4"</t>
        </is>
      </c>
    </row>
    <row r="57">
      <c r="U57" t="n">
        <v>978</v>
      </c>
      <c r="V57" t="n">
        <v>9.875</v>
      </c>
      <c r="W57" t="inlineStr">
        <is>
          <t>9-7/8"</t>
        </is>
      </c>
    </row>
    <row r="58">
      <c r="U58" t="n">
        <v>10</v>
      </c>
      <c r="V58" t="n">
        <v>10</v>
      </c>
      <c r="W58" t="inlineStr">
        <is>
          <t>10"</t>
        </is>
      </c>
    </row>
    <row r="59">
      <c r="U59" t="n">
        <v>1018</v>
      </c>
      <c r="V59" t="n">
        <v>10.125</v>
      </c>
      <c r="W59" t="inlineStr">
        <is>
          <t>10-1/8"</t>
        </is>
      </c>
    </row>
    <row r="60">
      <c r="U60" t="n">
        <v>1014</v>
      </c>
      <c r="V60" t="n">
        <v>10.25</v>
      </c>
      <c r="W60" t="inlineStr">
        <is>
          <t>10-1/4"</t>
        </is>
      </c>
    </row>
    <row r="61">
      <c r="U61" t="n">
        <v>1038</v>
      </c>
      <c r="V61" t="n">
        <v>10.375</v>
      </c>
      <c r="W61" t="inlineStr">
        <is>
          <t>10-3/8"</t>
        </is>
      </c>
    </row>
    <row r="62">
      <c r="U62" t="n">
        <v>1012</v>
      </c>
      <c r="V62" t="n">
        <v>10.5</v>
      </c>
      <c r="W62" t="inlineStr">
        <is>
          <t>10-1/2"</t>
        </is>
      </c>
    </row>
    <row r="63">
      <c r="U63" t="n">
        <v>1058</v>
      </c>
      <c r="V63" t="n">
        <v>10.625</v>
      </c>
      <c r="W63" t="inlineStr">
        <is>
          <t>10-5/8"</t>
        </is>
      </c>
    </row>
    <row r="64">
      <c r="U64" t="n">
        <v>1034</v>
      </c>
      <c r="V64" t="n">
        <v>10.75</v>
      </c>
      <c r="W64" t="inlineStr">
        <is>
          <t>10-3/4"</t>
        </is>
      </c>
    </row>
    <row r="65">
      <c r="U65" t="n">
        <v>1078</v>
      </c>
      <c r="V65" t="n">
        <v>10.875</v>
      </c>
      <c r="W65" t="inlineStr">
        <is>
          <t>10-7/8"</t>
        </is>
      </c>
    </row>
    <row r="66">
      <c r="U66" t="n">
        <v>11</v>
      </c>
      <c r="V66" t="n">
        <v>11</v>
      </c>
      <c r="W66" t="inlineStr">
        <is>
          <t>11"</t>
        </is>
      </c>
    </row>
    <row r="67">
      <c r="U67" t="n">
        <v>1118</v>
      </c>
      <c r="V67" t="n">
        <v>11.125</v>
      </c>
      <c r="W67" t="inlineStr">
        <is>
          <t>11-1/8"</t>
        </is>
      </c>
    </row>
    <row r="68">
      <c r="U68" t="n">
        <v>1114</v>
      </c>
      <c r="V68" t="n">
        <v>11.25</v>
      </c>
      <c r="W68" t="inlineStr">
        <is>
          <t>11-1/4"</t>
        </is>
      </c>
    </row>
    <row r="69">
      <c r="U69" t="n">
        <v>1138</v>
      </c>
      <c r="V69" t="n">
        <v>11.375</v>
      </c>
      <c r="W69" t="inlineStr">
        <is>
          <t>11-3/8"</t>
        </is>
      </c>
    </row>
    <row r="70">
      <c r="U70" t="n">
        <v>1112</v>
      </c>
      <c r="V70" t="n">
        <v>11.5</v>
      </c>
      <c r="W70" t="inlineStr">
        <is>
          <t>11-1/2"</t>
        </is>
      </c>
    </row>
    <row r="71">
      <c r="U71" t="n">
        <v>1158</v>
      </c>
      <c r="V71" t="n">
        <v>11.625</v>
      </c>
      <c r="W71" t="inlineStr">
        <is>
          <t>11-5/8"</t>
        </is>
      </c>
    </row>
    <row r="72">
      <c r="U72" t="n">
        <v>1134</v>
      </c>
      <c r="V72" t="n">
        <v>11.75</v>
      </c>
      <c r="W72" t="inlineStr">
        <is>
          <t>11-3/4"</t>
        </is>
      </c>
    </row>
    <row r="73">
      <c r="U73" t="n">
        <v>1178</v>
      </c>
      <c r="V73" t="n">
        <v>11.875</v>
      </c>
      <c r="W73" t="inlineStr">
        <is>
          <t>11-7/8"</t>
        </is>
      </c>
    </row>
    <row r="74">
      <c r="U74" t="n">
        <v>12</v>
      </c>
      <c r="V74" t="n">
        <v>12</v>
      </c>
      <c r="W74" t="inlineStr">
        <is>
          <t>12"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5B1"/>
    <outlinePr summaryBelow="1" summaryRight="1"/>
    <pageSetUpPr/>
  </sheetPr>
  <dimension ref="A1:AC38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W</t>
        </is>
      </c>
      <c r="B1">
        <f>N('Tag 1'!$F$7)*12+N('Tag 1'!$G$7)</f>
        <v/>
      </c>
      <c r="F1" t="inlineStr">
        <is>
          <t>W</t>
        </is>
      </c>
      <c r="G1">
        <f>N('Tag 2'!$F$7)*12+N('Tag 2'!$G$7)</f>
        <v/>
      </c>
      <c r="K1" t="inlineStr">
        <is>
          <t>W</t>
        </is>
      </c>
      <c r="L1">
        <f>N('Tag 3'!$F$7)*12+N('Tag 3'!$G$7)</f>
        <v/>
      </c>
      <c r="P1" t="inlineStr">
        <is>
          <t>W</t>
        </is>
      </c>
      <c r="Q1">
        <f>N('Tag 4'!$F$7)*12+N('Tag 4'!$G$7)</f>
        <v/>
      </c>
      <c r="U1" t="inlineStr">
        <is>
          <t>W</t>
        </is>
      </c>
      <c r="V1">
        <f>N('Tag 5'!$F$7)*12+N('Tag 5'!$G$7)</f>
        <v/>
      </c>
      <c r="Z1" t="inlineStr">
        <is>
          <t>W</t>
        </is>
      </c>
      <c r="AA1">
        <f>N('Tag 6'!$F$7)*12+N('Tag 6'!$G$7)</f>
        <v/>
      </c>
    </row>
    <row r="2">
      <c r="A2" t="inlineStr">
        <is>
          <t>H</t>
        </is>
      </c>
      <c r="B2">
        <f>N('Tag 1'!$H$7)*12+N('Tag 1'!$I$7)</f>
        <v/>
      </c>
      <c r="F2" t="inlineStr">
        <is>
          <t>H</t>
        </is>
      </c>
      <c r="G2">
        <f>N('Tag 2'!$H$7)*12+N('Tag 2'!$I$7)</f>
        <v/>
      </c>
      <c r="K2" t="inlineStr">
        <is>
          <t>H</t>
        </is>
      </c>
      <c r="L2">
        <f>N('Tag 3'!$H$7)*12+N('Tag 3'!$I$7)</f>
        <v/>
      </c>
      <c r="P2" t="inlineStr">
        <is>
          <t>H</t>
        </is>
      </c>
      <c r="Q2">
        <f>N('Tag 4'!$H$7)*12+N('Tag 4'!$I$7)</f>
        <v/>
      </c>
      <c r="U2" t="inlineStr">
        <is>
          <t>H</t>
        </is>
      </c>
      <c r="V2">
        <f>N('Tag 5'!$H$7)*12+N('Tag 5'!$I$7)</f>
        <v/>
      </c>
      <c r="Z2" t="inlineStr">
        <is>
          <t>H</t>
        </is>
      </c>
      <c r="AA2">
        <f>N('Tag 6'!$H$7)*12+N('Tag 6'!$I$7)</f>
        <v/>
      </c>
    </row>
    <row r="3">
      <c r="A3" t="inlineStr">
        <is>
          <t>ok</t>
        </is>
      </c>
      <c r="B3">
        <f>AND(Calc!$B$1&gt;0,Calc!$B$2&gt;0)</f>
        <v/>
      </c>
      <c r="F3" t="inlineStr">
        <is>
          <t>ok</t>
        </is>
      </c>
      <c r="G3">
        <f>AND(Calc!$G$1&gt;0,Calc!$G$2&gt;0)</f>
        <v/>
      </c>
      <c r="K3" t="inlineStr">
        <is>
          <t>ok</t>
        </is>
      </c>
      <c r="L3">
        <f>AND(Calc!$L$1&gt;0,Calc!$L$2&gt;0)</f>
        <v/>
      </c>
      <c r="P3" t="inlineStr">
        <is>
          <t>ok</t>
        </is>
      </c>
      <c r="Q3">
        <f>AND(Calc!$Q$1&gt;0,Calc!$Q$2&gt;0)</f>
        <v/>
      </c>
      <c r="U3" t="inlineStr">
        <is>
          <t>ok</t>
        </is>
      </c>
      <c r="V3">
        <f>AND(Calc!$V$1&gt;0,Calc!$V$2&gt;0)</f>
        <v/>
      </c>
      <c r="Z3" t="inlineStr">
        <is>
          <t>ok</t>
        </is>
      </c>
      <c r="AA3">
        <f>AND(Calc!$AA$1&gt;0,Calc!$AA$2&gt;0)</f>
        <v/>
      </c>
    </row>
    <row r="4">
      <c r="A4" t="inlineStr">
        <is>
          <t>pair</t>
        </is>
      </c>
      <c r="B4">
        <f>'Tag 1'!$J$7="Y"</f>
        <v/>
      </c>
      <c r="F4" t="inlineStr">
        <is>
          <t>pair</t>
        </is>
      </c>
      <c r="G4">
        <f>'Tag 2'!$J$7="Y"</f>
        <v/>
      </c>
      <c r="K4" t="inlineStr">
        <is>
          <t>pair</t>
        </is>
      </c>
      <c r="L4">
        <f>'Tag 3'!$J$7="Y"</f>
        <v/>
      </c>
      <c r="P4" t="inlineStr">
        <is>
          <t>pair</t>
        </is>
      </c>
      <c r="Q4">
        <f>'Tag 4'!$J$7="Y"</f>
        <v/>
      </c>
      <c r="U4" t="inlineStr">
        <is>
          <t>pair</t>
        </is>
      </c>
      <c r="V4">
        <f>'Tag 5'!$J$7="Y"</f>
        <v/>
      </c>
      <c r="Z4" t="inlineStr">
        <is>
          <t>pair</t>
        </is>
      </c>
      <c r="AA4">
        <f>'Tag 6'!$J$7="Y"</f>
        <v/>
      </c>
    </row>
    <row r="5">
      <c r="A5" t="inlineStr">
        <is>
          <t>nl</t>
        </is>
      </c>
      <c r="B5">
        <f>IF(Calc!$B$4,2,1)</f>
        <v/>
      </c>
      <c r="F5" t="inlineStr">
        <is>
          <t>nl</t>
        </is>
      </c>
      <c r="G5">
        <f>IF(Calc!$G$4,2,1)</f>
        <v/>
      </c>
      <c r="K5" t="inlineStr">
        <is>
          <t>nl</t>
        </is>
      </c>
      <c r="L5">
        <f>IF(Calc!$L$4,2,1)</f>
        <v/>
      </c>
      <c r="P5" t="inlineStr">
        <is>
          <t>nl</t>
        </is>
      </c>
      <c r="Q5">
        <f>IF(Calc!$Q$4,2,1)</f>
        <v/>
      </c>
      <c r="U5" t="inlineStr">
        <is>
          <t>nl</t>
        </is>
      </c>
      <c r="V5">
        <f>IF(Calc!$V$4,2,1)</f>
        <v/>
      </c>
      <c r="Z5" t="inlineStr">
        <is>
          <t>nl</t>
        </is>
      </c>
      <c r="AA5">
        <f>IF(Calc!$AA$4,2,1)</f>
        <v/>
      </c>
    </row>
    <row r="6">
      <c r="A6" t="inlineStr">
        <is>
          <t>JD</t>
        </is>
      </c>
      <c r="B6">
        <f>IFERROR(VLOOKUP('Tag 1'!$B$7,T_Jamb,2,FALSE),5.75)</f>
        <v/>
      </c>
      <c r="F6" t="inlineStr">
        <is>
          <t>JD</t>
        </is>
      </c>
      <c r="G6">
        <f>IFERROR(VLOOKUP('Tag 2'!$B$7,T_Jamb,2,FALSE),5.75)</f>
        <v/>
      </c>
      <c r="K6" t="inlineStr">
        <is>
          <t>JD</t>
        </is>
      </c>
      <c r="L6">
        <f>IFERROR(VLOOKUP('Tag 3'!$B$7,T_Jamb,2,FALSE),5.75)</f>
        <v/>
      </c>
      <c r="P6" t="inlineStr">
        <is>
          <t>JD</t>
        </is>
      </c>
      <c r="Q6">
        <f>IFERROR(VLOOKUP('Tag 4'!$B$7,T_Jamb,2,FALSE),5.75)</f>
        <v/>
      </c>
      <c r="U6" t="inlineStr">
        <is>
          <t>JD</t>
        </is>
      </c>
      <c r="V6">
        <f>IFERROR(VLOOKUP('Tag 5'!$B$7,T_Jamb,2,FALSE),5.75)</f>
        <v/>
      </c>
      <c r="Z6" t="inlineStr">
        <is>
          <t>JD</t>
        </is>
      </c>
      <c r="AA6">
        <f>IFERROR(VLOOKUP('Tag 6'!$B$7,T_Jamb,2,FALSE),5.75)</f>
        <v/>
      </c>
    </row>
    <row r="7">
      <c r="A7" t="inlineStr">
        <is>
          <t>JDT</t>
        </is>
      </c>
      <c r="B7">
        <f>IFERROR(VLOOKUP('Tag 1'!$B$7,T_Jamb,3,FALSE),"")</f>
        <v/>
      </c>
      <c r="F7" t="inlineStr">
        <is>
          <t>JDT</t>
        </is>
      </c>
      <c r="G7">
        <f>IFERROR(VLOOKUP('Tag 2'!$B$7,T_Jamb,3,FALSE),"")</f>
        <v/>
      </c>
      <c r="K7" t="inlineStr">
        <is>
          <t>JDT</t>
        </is>
      </c>
      <c r="L7">
        <f>IFERROR(VLOOKUP('Tag 3'!$B$7,T_Jamb,3,FALSE),"")</f>
        <v/>
      </c>
      <c r="P7" t="inlineStr">
        <is>
          <t>JDT</t>
        </is>
      </c>
      <c r="Q7">
        <f>IFERROR(VLOOKUP('Tag 4'!$B$7,T_Jamb,3,FALSE),"")</f>
        <v/>
      </c>
      <c r="U7" t="inlineStr">
        <is>
          <t>JDT</t>
        </is>
      </c>
      <c r="V7">
        <f>IFERROR(VLOOKUP('Tag 5'!$B$7,T_Jamb,3,FALSE),"")</f>
        <v/>
      </c>
      <c r="Z7" t="inlineStr">
        <is>
          <t>JDT</t>
        </is>
      </c>
      <c r="AA7">
        <f>IFERROR(VLOOKUP('Tag 6'!$B$7,T_Jamb,3,FALSE),"")</f>
        <v/>
      </c>
    </row>
    <row r="8">
      <c r="A8" t="inlineStr">
        <is>
          <t>mas</t>
        </is>
      </c>
      <c r="B8">
        <f>'Tag 1'!$E$9="MASONRY"</f>
        <v/>
      </c>
      <c r="F8" t="inlineStr">
        <is>
          <t>mas</t>
        </is>
      </c>
      <c r="G8">
        <f>'Tag 2'!$E$9="MASONRY"</f>
        <v/>
      </c>
      <c r="K8" t="inlineStr">
        <is>
          <t>mas</t>
        </is>
      </c>
      <c r="L8">
        <f>'Tag 3'!$E$9="MASONRY"</f>
        <v/>
      </c>
      <c r="P8" t="inlineStr">
        <is>
          <t>mas</t>
        </is>
      </c>
      <c r="Q8">
        <f>'Tag 4'!$E$9="MASONRY"</f>
        <v/>
      </c>
      <c r="U8" t="inlineStr">
        <is>
          <t>mas</t>
        </is>
      </c>
      <c r="V8">
        <f>'Tag 5'!$E$9="MASONRY"</f>
        <v/>
      </c>
      <c r="Z8" t="inlineStr">
        <is>
          <t>mas</t>
        </is>
      </c>
      <c r="AA8">
        <f>'Tag 6'!$E$9="MASONRY"</f>
        <v/>
      </c>
    </row>
    <row r="9">
      <c r="A9" t="inlineStr">
        <is>
          <t>weld</t>
        </is>
      </c>
      <c r="B9">
        <f>'Tag 1'!$K$7="WELDED"</f>
        <v/>
      </c>
      <c r="F9" t="inlineStr">
        <is>
          <t>weld</t>
        </is>
      </c>
      <c r="G9">
        <f>'Tag 2'!$K$7="WELDED"</f>
        <v/>
      </c>
      <c r="K9" t="inlineStr">
        <is>
          <t>weld</t>
        </is>
      </c>
      <c r="L9">
        <f>'Tag 3'!$K$7="WELDED"</f>
        <v/>
      </c>
      <c r="P9" t="inlineStr">
        <is>
          <t>weld</t>
        </is>
      </c>
      <c r="Q9">
        <f>'Tag 4'!$K$7="WELDED"</f>
        <v/>
      </c>
      <c r="U9" t="inlineStr">
        <is>
          <t>weld</t>
        </is>
      </c>
      <c r="V9">
        <f>'Tag 5'!$K$7="WELDED"</f>
        <v/>
      </c>
      <c r="Z9" t="inlineStr">
        <is>
          <t>weld</t>
        </is>
      </c>
      <c r="AA9">
        <f>'Tag 6'!$K$7="WELDED"</f>
        <v/>
      </c>
    </row>
    <row r="10">
      <c r="A10" t="inlineStr">
        <is>
          <t>tol</t>
        </is>
      </c>
      <c r="B10">
        <f>IF(N('Tag 1'!$U$9)&gt;0,'Tag 1'!$U$9,ROTolDef)</f>
        <v/>
      </c>
      <c r="F10" t="inlineStr">
        <is>
          <t>tol</t>
        </is>
      </c>
      <c r="G10">
        <f>IF(N('Tag 2'!$U$9)&gt;0,'Tag 2'!$U$9,ROTolDef)</f>
        <v/>
      </c>
      <c r="K10" t="inlineStr">
        <is>
          <t>tol</t>
        </is>
      </c>
      <c r="L10">
        <f>IF(N('Tag 3'!$U$9)&gt;0,'Tag 3'!$U$9,ROTolDef)</f>
        <v/>
      </c>
      <c r="P10" t="inlineStr">
        <is>
          <t>tol</t>
        </is>
      </c>
      <c r="Q10">
        <f>IF(N('Tag 4'!$U$9)&gt;0,'Tag 4'!$U$9,ROTolDef)</f>
        <v/>
      </c>
      <c r="U10" t="inlineStr">
        <is>
          <t>tol</t>
        </is>
      </c>
      <c r="V10">
        <f>IF(N('Tag 5'!$U$9)&gt;0,'Tag 5'!$U$9,ROTolDef)</f>
        <v/>
      </c>
      <c r="Z10" t="inlineStr">
        <is>
          <t>tol</t>
        </is>
      </c>
      <c r="AA10">
        <f>IF(N('Tag 6'!$U$9)&gt;0,'Tag 6'!$U$9,ROTolDef)</f>
        <v/>
      </c>
    </row>
    <row r="11">
      <c r="A11" t="inlineStr">
        <is>
          <t>jf</t>
        </is>
      </c>
      <c r="B11">
        <f>IF(AND(Calc!$B$8,N('Tag 1'!$Q$9)&gt;0),(('Tag 1'!$Q$9-Calc!$B$1)-2*Calc!$B$10)/2,IF(N('Tag 1'!$L$9)&gt;0,'Tag 1'!$L$9,2))</f>
        <v/>
      </c>
      <c r="F11" t="inlineStr">
        <is>
          <t>jf</t>
        </is>
      </c>
      <c r="G11">
        <f>IF(AND(Calc!$G$8,N('Tag 2'!$Q$9)&gt;0),(('Tag 2'!$Q$9-Calc!$G$1)-2*Calc!$G$10)/2,IF(N('Tag 2'!$L$9)&gt;0,'Tag 2'!$L$9,2))</f>
        <v/>
      </c>
      <c r="K11" t="inlineStr">
        <is>
          <t>jf</t>
        </is>
      </c>
      <c r="L11">
        <f>IF(AND(Calc!$L$8,N('Tag 3'!$Q$9)&gt;0),(('Tag 3'!$Q$9-Calc!$L$1)-2*Calc!$L$10)/2,IF(N('Tag 3'!$L$9)&gt;0,'Tag 3'!$L$9,2))</f>
        <v/>
      </c>
      <c r="P11" t="inlineStr">
        <is>
          <t>jf</t>
        </is>
      </c>
      <c r="Q11">
        <f>IF(AND(Calc!$Q$8,N('Tag 4'!$Q$9)&gt;0),(('Tag 4'!$Q$9-Calc!$Q$1)-2*Calc!$Q$10)/2,IF(N('Tag 4'!$L$9)&gt;0,'Tag 4'!$L$9,2))</f>
        <v/>
      </c>
      <c r="U11" t="inlineStr">
        <is>
          <t>jf</t>
        </is>
      </c>
      <c r="V11">
        <f>IF(AND(Calc!$V$8,N('Tag 5'!$Q$9)&gt;0),(('Tag 5'!$Q$9-Calc!$V$1)-2*Calc!$V$10)/2,IF(N('Tag 5'!$L$9)&gt;0,'Tag 5'!$L$9,2))</f>
        <v/>
      </c>
      <c r="Z11" t="inlineStr">
        <is>
          <t>jf</t>
        </is>
      </c>
      <c r="AA11">
        <f>IF(AND(Calc!$AA$8,N('Tag 6'!$Q$9)&gt;0),(('Tag 6'!$Q$9-Calc!$AA$1)-2*Calc!$AA$10)/2,IF(N('Tag 6'!$L$9)&gt;0,'Tag 6'!$L$9,2))</f>
        <v/>
      </c>
    </row>
    <row r="12">
      <c r="A12" t="inlineStr">
        <is>
          <t>hf</t>
        </is>
      </c>
      <c r="B12">
        <f>IF(AND(Calc!$B$8,N('Tag 1'!$S$9)&gt;0),'Tag 1'!$S$9-Calc!$B$2-Calc!$B$10,IF(N('Tag 1'!$K$9)&gt;0,'Tag 1'!$K$9,2))</f>
        <v/>
      </c>
      <c r="F12" t="inlineStr">
        <is>
          <t>hf</t>
        </is>
      </c>
      <c r="G12">
        <f>IF(AND(Calc!$G$8,N('Tag 2'!$S$9)&gt;0),'Tag 2'!$S$9-Calc!$G$2-Calc!$G$10,IF(N('Tag 2'!$K$9)&gt;0,'Tag 2'!$K$9,2))</f>
        <v/>
      </c>
      <c r="K12" t="inlineStr">
        <is>
          <t>hf</t>
        </is>
      </c>
      <c r="L12">
        <f>IF(AND(Calc!$L$8,N('Tag 3'!$S$9)&gt;0),'Tag 3'!$S$9-Calc!$L$2-Calc!$L$10,IF(N('Tag 3'!$K$9)&gt;0,'Tag 3'!$K$9,2))</f>
        <v/>
      </c>
      <c r="P12" t="inlineStr">
        <is>
          <t>hf</t>
        </is>
      </c>
      <c r="Q12">
        <f>IF(AND(Calc!$Q$8,N('Tag 4'!$S$9)&gt;0),'Tag 4'!$S$9-Calc!$Q$2-Calc!$Q$10,IF(N('Tag 4'!$K$9)&gt;0,'Tag 4'!$K$9,2))</f>
        <v/>
      </c>
      <c r="U12" t="inlineStr">
        <is>
          <t>hf</t>
        </is>
      </c>
      <c r="V12">
        <f>IF(AND(Calc!$V$8,N('Tag 5'!$S$9)&gt;0),'Tag 5'!$S$9-Calc!$V$2-Calc!$V$10,IF(N('Tag 5'!$K$9)&gt;0,'Tag 5'!$K$9,2))</f>
        <v/>
      </c>
      <c r="Z12" t="inlineStr">
        <is>
          <t>hf</t>
        </is>
      </c>
      <c r="AA12">
        <f>IF(AND(Calc!$AA$8,N('Tag 6'!$S$9)&gt;0),'Tag 6'!$S$9-Calc!$AA$2-Calc!$AA$10,IF(N('Tag 6'!$K$9)&gt;0,'Tag 6'!$K$9,2))</f>
        <v/>
      </c>
    </row>
    <row r="13">
      <c r="A13" t="inlineStr">
        <is>
          <t>OW</t>
        </is>
      </c>
      <c r="B13">
        <f>Calc!$B$1+2*Calc!$B$11</f>
        <v/>
      </c>
      <c r="F13" t="inlineStr">
        <is>
          <t>OW</t>
        </is>
      </c>
      <c r="G13">
        <f>Calc!$G$1+2*Calc!$G$11</f>
        <v/>
      </c>
      <c r="K13" t="inlineStr">
        <is>
          <t>OW</t>
        </is>
      </c>
      <c r="L13">
        <f>Calc!$L$1+2*Calc!$L$11</f>
        <v/>
      </c>
      <c r="P13" t="inlineStr">
        <is>
          <t>OW</t>
        </is>
      </c>
      <c r="Q13">
        <f>Calc!$Q$1+2*Calc!$Q$11</f>
        <v/>
      </c>
      <c r="U13" t="inlineStr">
        <is>
          <t>OW</t>
        </is>
      </c>
      <c r="V13">
        <f>Calc!$V$1+2*Calc!$V$11</f>
        <v/>
      </c>
      <c r="Z13" t="inlineStr">
        <is>
          <t>OW</t>
        </is>
      </c>
      <c r="AA13">
        <f>Calc!$AA$1+2*Calc!$AA$11</f>
        <v/>
      </c>
    </row>
    <row r="14">
      <c r="A14" t="inlineStr">
        <is>
          <t>OH</t>
        </is>
      </c>
      <c r="B14">
        <f>Calc!$B$2+Calc!$B$12</f>
        <v/>
      </c>
      <c r="F14" t="inlineStr">
        <is>
          <t>OH</t>
        </is>
      </c>
      <c r="G14">
        <f>Calc!$G$2+Calc!$G$12</f>
        <v/>
      </c>
      <c r="K14" t="inlineStr">
        <is>
          <t>OH</t>
        </is>
      </c>
      <c r="L14">
        <f>Calc!$L$2+Calc!$L$12</f>
        <v/>
      </c>
      <c r="P14" t="inlineStr">
        <is>
          <t>OH</t>
        </is>
      </c>
      <c r="Q14">
        <f>Calc!$Q$2+Calc!$Q$12</f>
        <v/>
      </c>
      <c r="U14" t="inlineStr">
        <is>
          <t>OH</t>
        </is>
      </c>
      <c r="V14">
        <f>Calc!$V$2+Calc!$V$12</f>
        <v/>
      </c>
      <c r="Z14" t="inlineStr">
        <is>
          <t>OH</t>
        </is>
      </c>
      <c r="AA14">
        <f>Calc!$AA$2+Calc!$AA$12</f>
        <v/>
      </c>
    </row>
    <row r="15">
      <c r="A15" t="inlineStr">
        <is>
          <t>throat</t>
        </is>
      </c>
      <c r="B15">
        <f>IF(Calc!$B$8,Calc!$B$6-1.125,Calc!$B$6-0.875)</f>
        <v/>
      </c>
      <c r="F15" t="inlineStr">
        <is>
          <t>throat</t>
        </is>
      </c>
      <c r="G15">
        <f>IF(Calc!$G$8,Calc!$G$6-1.125,Calc!$G$6-0.875)</f>
        <v/>
      </c>
      <c r="K15" t="inlineStr">
        <is>
          <t>throat</t>
        </is>
      </c>
      <c r="L15">
        <f>IF(Calc!$L$8,Calc!$L$6-1.125,Calc!$L$6-0.875)</f>
        <v/>
      </c>
      <c r="P15" t="inlineStr">
        <is>
          <t>throat</t>
        </is>
      </c>
      <c r="Q15">
        <f>IF(Calc!$Q$8,Calc!$Q$6-1.125,Calc!$Q$6-0.875)</f>
        <v/>
      </c>
      <c r="U15" t="inlineStr">
        <is>
          <t>throat</t>
        </is>
      </c>
      <c r="V15">
        <f>IF(Calc!$V$8,Calc!$V$6-1.125,Calc!$V$6-0.875)</f>
        <v/>
      </c>
      <c r="Z15" t="inlineStr">
        <is>
          <t>throat</t>
        </is>
      </c>
      <c r="AA15">
        <f>IF(Calc!$AA$8,Calc!$AA$6-1.125,Calc!$AA$6-0.875)</f>
        <v/>
      </c>
    </row>
    <row r="16">
      <c r="A16" t="inlineStr">
        <is>
          <t>RDW</t>
        </is>
      </c>
      <c r="B16">
        <f>Calc!$B$1+RODryW</f>
        <v/>
      </c>
      <c r="F16" t="inlineStr">
        <is>
          <t>RDW</t>
        </is>
      </c>
      <c r="G16">
        <f>Calc!$G$1+RODryW</f>
        <v/>
      </c>
      <c r="K16" t="inlineStr">
        <is>
          <t>RDW</t>
        </is>
      </c>
      <c r="L16">
        <f>Calc!$L$1+RODryW</f>
        <v/>
      </c>
      <c r="P16" t="inlineStr">
        <is>
          <t>RDW</t>
        </is>
      </c>
      <c r="Q16">
        <f>Calc!$Q$1+RODryW</f>
        <v/>
      </c>
      <c r="U16" t="inlineStr">
        <is>
          <t>RDW</t>
        </is>
      </c>
      <c r="V16">
        <f>Calc!$V$1+RODryW</f>
        <v/>
      </c>
      <c r="Z16" t="inlineStr">
        <is>
          <t>RDW</t>
        </is>
      </c>
      <c r="AA16">
        <f>Calc!$AA$1+RODryW</f>
        <v/>
      </c>
    </row>
    <row r="17">
      <c r="A17" t="inlineStr">
        <is>
          <t>RDH</t>
        </is>
      </c>
      <c r="B17">
        <f>Calc!$B$2+RODryH</f>
        <v/>
      </c>
      <c r="F17" t="inlineStr">
        <is>
          <t>RDH</t>
        </is>
      </c>
      <c r="G17">
        <f>Calc!$G$2+RODryH</f>
        <v/>
      </c>
      <c r="K17" t="inlineStr">
        <is>
          <t>RDH</t>
        </is>
      </c>
      <c r="L17">
        <f>Calc!$L$2+RODryH</f>
        <v/>
      </c>
      <c r="P17" t="inlineStr">
        <is>
          <t>RDH</t>
        </is>
      </c>
      <c r="Q17">
        <f>Calc!$Q$2+RODryH</f>
        <v/>
      </c>
      <c r="U17" t="inlineStr">
        <is>
          <t>RDH</t>
        </is>
      </c>
      <c r="V17">
        <f>Calc!$V$2+RODryH</f>
        <v/>
      </c>
      <c r="Z17" t="inlineStr">
        <is>
          <t>RDH</t>
        </is>
      </c>
      <c r="AA17">
        <f>Calc!$AA$2+RODryH</f>
        <v/>
      </c>
    </row>
    <row r="18">
      <c r="A18" t="inlineStr">
        <is>
          <t>RMW</t>
        </is>
      </c>
      <c r="B18">
        <f>IF(N('Tag 1'!$Q$9)&gt;0,'Tag 1'!$Q$9,Calc!$B$13+2*Calc!$B$10)</f>
        <v/>
      </c>
      <c r="F18" t="inlineStr">
        <is>
          <t>RMW</t>
        </is>
      </c>
      <c r="G18">
        <f>IF(N('Tag 2'!$Q$9)&gt;0,'Tag 2'!$Q$9,Calc!$G$13+2*Calc!$G$10)</f>
        <v/>
      </c>
      <c r="K18" t="inlineStr">
        <is>
          <t>RMW</t>
        </is>
      </c>
      <c r="L18">
        <f>IF(N('Tag 3'!$Q$9)&gt;0,'Tag 3'!$Q$9,Calc!$L$13+2*Calc!$L$10)</f>
        <v/>
      </c>
      <c r="P18" t="inlineStr">
        <is>
          <t>RMW</t>
        </is>
      </c>
      <c r="Q18">
        <f>IF(N('Tag 4'!$Q$9)&gt;0,'Tag 4'!$Q$9,Calc!$Q$13+2*Calc!$Q$10)</f>
        <v/>
      </c>
      <c r="U18" t="inlineStr">
        <is>
          <t>RMW</t>
        </is>
      </c>
      <c r="V18">
        <f>IF(N('Tag 5'!$Q$9)&gt;0,'Tag 5'!$Q$9,Calc!$V$13+2*Calc!$V$10)</f>
        <v/>
      </c>
      <c r="Z18" t="inlineStr">
        <is>
          <t>RMW</t>
        </is>
      </c>
      <c r="AA18">
        <f>IF(N('Tag 6'!$Q$9)&gt;0,'Tag 6'!$Q$9,Calc!$AA$13+2*Calc!$AA$10)</f>
        <v/>
      </c>
    </row>
    <row r="19">
      <c r="A19" t="inlineStr">
        <is>
          <t>RMH</t>
        </is>
      </c>
      <c r="B19">
        <f>IF(N('Tag 1'!$S$9)&gt;0,'Tag 1'!$S$9,Calc!$B$14+Calc!$B$10)</f>
        <v/>
      </c>
      <c r="F19" t="inlineStr">
        <is>
          <t>RMH</t>
        </is>
      </c>
      <c r="G19">
        <f>IF(N('Tag 2'!$S$9)&gt;0,'Tag 2'!$S$9,Calc!$G$14+Calc!$G$10)</f>
        <v/>
      </c>
      <c r="K19" t="inlineStr">
        <is>
          <t>RMH</t>
        </is>
      </c>
      <c r="L19">
        <f>IF(N('Tag 3'!$S$9)&gt;0,'Tag 3'!$S$9,Calc!$L$14+Calc!$L$10)</f>
        <v/>
      </c>
      <c r="P19" t="inlineStr">
        <is>
          <t>RMH</t>
        </is>
      </c>
      <c r="Q19">
        <f>IF(N('Tag 4'!$S$9)&gt;0,'Tag 4'!$S$9,Calc!$Q$14+Calc!$Q$10)</f>
        <v/>
      </c>
      <c r="U19" t="inlineStr">
        <is>
          <t>RMH</t>
        </is>
      </c>
      <c r="V19">
        <f>IF(N('Tag 5'!$S$9)&gt;0,'Tag 5'!$S$9,Calc!$V$14+Calc!$V$10)</f>
        <v/>
      </c>
      <c r="Z19" t="inlineStr">
        <is>
          <t>RMH</t>
        </is>
      </c>
      <c r="AA19">
        <f>IF(N('Tag 6'!$S$9)&gt;0,'Tag 6'!$S$9,Calc!$AA$14+Calc!$AA$10)</f>
        <v/>
      </c>
    </row>
    <row r="20">
      <c r="A20" t="inlineStr">
        <is>
          <t>rvh</t>
        </is>
      </c>
      <c r="B20">
        <f>IF(ISNUMBER('Tag 1'!$M$9),'Tag 1'!$M$9,RevH)</f>
        <v/>
      </c>
      <c r="F20" t="inlineStr">
        <is>
          <t>rvh</t>
        </is>
      </c>
      <c r="G20">
        <f>IF(ISNUMBER('Tag 2'!$M$9),'Tag 2'!$M$9,RevH)</f>
        <v/>
      </c>
      <c r="K20" t="inlineStr">
        <is>
          <t>rvh</t>
        </is>
      </c>
      <c r="L20">
        <f>IF(ISNUMBER('Tag 3'!$M$9),'Tag 3'!$M$9,RevH)</f>
        <v/>
      </c>
      <c r="P20" t="inlineStr">
        <is>
          <t>rvh</t>
        </is>
      </c>
      <c r="Q20">
        <f>IF(ISNUMBER('Tag 4'!$M$9),'Tag 4'!$M$9,RevH)</f>
        <v/>
      </c>
      <c r="U20" t="inlineStr">
        <is>
          <t>rvh</t>
        </is>
      </c>
      <c r="V20">
        <f>IF(ISNUMBER('Tag 5'!$M$9),'Tag 5'!$M$9,RevH)</f>
        <v/>
      </c>
      <c r="Z20" t="inlineStr">
        <is>
          <t>rvh</t>
        </is>
      </c>
      <c r="AA20">
        <f>IF(ISNUMBER('Tag 6'!$M$9),'Tag 6'!$M$9,RevH)</f>
        <v/>
      </c>
    </row>
    <row r="21">
      <c r="A21" t="inlineStr">
        <is>
          <t>rvl</t>
        </is>
      </c>
      <c r="B21">
        <f>IF(ISNUMBER('Tag 1'!$N$9),'Tag 1'!$N$9,RevL)</f>
        <v/>
      </c>
      <c r="F21" t="inlineStr">
        <is>
          <t>rvl</t>
        </is>
      </c>
      <c r="G21">
        <f>IF(ISNUMBER('Tag 2'!$N$9),'Tag 2'!$N$9,RevL)</f>
        <v/>
      </c>
      <c r="K21" t="inlineStr">
        <is>
          <t>rvl</t>
        </is>
      </c>
      <c r="L21">
        <f>IF(ISNUMBER('Tag 3'!$N$9),'Tag 3'!$N$9,RevL)</f>
        <v/>
      </c>
      <c r="P21" t="inlineStr">
        <is>
          <t>rvl</t>
        </is>
      </c>
      <c r="Q21">
        <f>IF(ISNUMBER('Tag 4'!$N$9),'Tag 4'!$N$9,RevL)</f>
        <v/>
      </c>
      <c r="U21" t="inlineStr">
        <is>
          <t>rvl</t>
        </is>
      </c>
      <c r="V21">
        <f>IF(ISNUMBER('Tag 5'!$N$9),'Tag 5'!$N$9,RevL)</f>
        <v/>
      </c>
      <c r="Z21" t="inlineStr">
        <is>
          <t>rvl</t>
        </is>
      </c>
      <c r="AA21">
        <f>IF(ISNUMBER('Tag 6'!$N$9),'Tag 6'!$N$9,RevL)</f>
        <v/>
      </c>
    </row>
    <row r="22">
      <c r="A22" t="inlineStr">
        <is>
          <t>rvt</t>
        </is>
      </c>
      <c r="B22">
        <f>IF(ISNUMBER('Tag 1'!$O$9),'Tag 1'!$O$9,RevT)</f>
        <v/>
      </c>
      <c r="F22" t="inlineStr">
        <is>
          <t>rvt</t>
        </is>
      </c>
      <c r="G22">
        <f>IF(ISNUMBER('Tag 2'!$O$9),'Tag 2'!$O$9,RevT)</f>
        <v/>
      </c>
      <c r="K22" t="inlineStr">
        <is>
          <t>rvt</t>
        </is>
      </c>
      <c r="L22">
        <f>IF(ISNUMBER('Tag 3'!$O$9),'Tag 3'!$O$9,RevT)</f>
        <v/>
      </c>
      <c r="P22" t="inlineStr">
        <is>
          <t>rvt</t>
        </is>
      </c>
      <c r="Q22">
        <f>IF(ISNUMBER('Tag 4'!$O$9),'Tag 4'!$O$9,RevT)</f>
        <v/>
      </c>
      <c r="U22" t="inlineStr">
        <is>
          <t>rvt</t>
        </is>
      </c>
      <c r="V22">
        <f>IF(ISNUMBER('Tag 5'!$O$9),'Tag 5'!$O$9,RevT)</f>
        <v/>
      </c>
      <c r="Z22" t="inlineStr">
        <is>
          <t>rvt</t>
        </is>
      </c>
      <c r="AA22">
        <f>IF(ISNUMBER('Tag 6'!$O$9),'Tag 6'!$O$9,RevT)</f>
        <v/>
      </c>
    </row>
    <row r="23">
      <c r="A23" t="inlineStr">
        <is>
          <t>uc</t>
        </is>
      </c>
      <c r="B23">
        <f>IF(ISNUMBER('Tag 1'!$P$9),'Tag 1'!$P$9,IF(OR('Tag 1'!$X$7="CURRIES",'Tag 1'!$X$7="PIONEER"),UCCur,UCOth))</f>
        <v/>
      </c>
      <c r="F23" t="inlineStr">
        <is>
          <t>uc</t>
        </is>
      </c>
      <c r="G23">
        <f>IF(ISNUMBER('Tag 2'!$P$9),'Tag 2'!$P$9,IF(OR('Tag 2'!$X$7="CURRIES",'Tag 2'!$X$7="PIONEER"),UCCur,UCOth))</f>
        <v/>
      </c>
      <c r="K23" t="inlineStr">
        <is>
          <t>uc</t>
        </is>
      </c>
      <c r="L23">
        <f>IF(ISNUMBER('Tag 3'!$P$9),'Tag 3'!$P$9,IF(OR('Tag 3'!$X$7="CURRIES",'Tag 3'!$X$7="PIONEER"),UCCur,UCOth))</f>
        <v/>
      </c>
      <c r="P23" t="inlineStr">
        <is>
          <t>uc</t>
        </is>
      </c>
      <c r="Q23">
        <f>IF(ISNUMBER('Tag 4'!$P$9),'Tag 4'!$P$9,IF(OR('Tag 4'!$X$7="CURRIES",'Tag 4'!$X$7="PIONEER"),UCCur,UCOth))</f>
        <v/>
      </c>
      <c r="U23" t="inlineStr">
        <is>
          <t>uc</t>
        </is>
      </c>
      <c r="V23">
        <f>IF(ISNUMBER('Tag 5'!$P$9),'Tag 5'!$P$9,IF(OR('Tag 5'!$X$7="CURRIES",'Tag 5'!$X$7="PIONEER"),UCCur,UCOth))</f>
        <v/>
      </c>
      <c r="Z23" t="inlineStr">
        <is>
          <t>uc</t>
        </is>
      </c>
      <c r="AA23">
        <f>IF(ISNUMBER('Tag 6'!$P$9),'Tag 6'!$P$9,IF(OR('Tag 6'!$X$7="CURRIES",'Tag 6'!$X$7="PIONEER"),UCCur,UCOth))</f>
        <v/>
      </c>
    </row>
    <row r="24">
      <c r="A24" t="inlineStr">
        <is>
          <t>LW</t>
        </is>
      </c>
      <c r="B24">
        <f>IF(Calc!$B$4,(Calc!$B$1-2*Calc!$B$20-Calc!$B$21)/2,Calc!$B$1-Calc!$B$20-Calc!$B$21)</f>
        <v/>
      </c>
      <c r="F24" t="inlineStr">
        <is>
          <t>LW</t>
        </is>
      </c>
      <c r="G24">
        <f>IF(Calc!$G$4,(Calc!$G$1-2*Calc!$G$20-Calc!$G$21)/2,Calc!$G$1-Calc!$G$20-Calc!$G$21)</f>
        <v/>
      </c>
      <c r="K24" t="inlineStr">
        <is>
          <t>LW</t>
        </is>
      </c>
      <c r="L24">
        <f>IF(Calc!$L$4,(Calc!$L$1-2*Calc!$L$20-Calc!$L$21)/2,Calc!$L$1-Calc!$L$20-Calc!$L$21)</f>
        <v/>
      </c>
      <c r="P24" t="inlineStr">
        <is>
          <t>LW</t>
        </is>
      </c>
      <c r="Q24">
        <f>IF(Calc!$Q$4,(Calc!$Q$1-2*Calc!$Q$20-Calc!$Q$21)/2,Calc!$Q$1-Calc!$Q$20-Calc!$Q$21)</f>
        <v/>
      </c>
      <c r="U24" t="inlineStr">
        <is>
          <t>LW</t>
        </is>
      </c>
      <c r="V24">
        <f>IF(Calc!$V$4,(Calc!$V$1-2*Calc!$V$20-Calc!$V$21)/2,Calc!$V$1-Calc!$V$20-Calc!$V$21)</f>
        <v/>
      </c>
      <c r="Z24" t="inlineStr">
        <is>
          <t>LW</t>
        </is>
      </c>
      <c r="AA24">
        <f>IF(Calc!$AA$4,(Calc!$AA$1-2*Calc!$AA$20-Calc!$AA$21)/2,Calc!$AA$1-Calc!$AA$20-Calc!$AA$21)</f>
        <v/>
      </c>
    </row>
    <row r="25">
      <c r="A25" t="inlineStr">
        <is>
          <t>LH</t>
        </is>
      </c>
      <c r="B25">
        <f>Calc!$B$2-Calc!$B$22-Calc!$B$23</f>
        <v/>
      </c>
      <c r="F25" t="inlineStr">
        <is>
          <t>LH</t>
        </is>
      </c>
      <c r="G25">
        <f>Calc!$G$2-Calc!$G$22-Calc!$G$23</f>
        <v/>
      </c>
      <c r="K25" t="inlineStr">
        <is>
          <t>LH</t>
        </is>
      </c>
      <c r="L25">
        <f>Calc!$L$2-Calc!$L$22-Calc!$L$23</f>
        <v/>
      </c>
      <c r="P25" t="inlineStr">
        <is>
          <t>LH</t>
        </is>
      </c>
      <c r="Q25">
        <f>Calc!$Q$2-Calc!$Q$22-Calc!$Q$23</f>
        <v/>
      </c>
      <c r="U25" t="inlineStr">
        <is>
          <t>LH</t>
        </is>
      </c>
      <c r="V25">
        <f>Calc!$V$2-Calc!$V$22-Calc!$V$23</f>
        <v/>
      </c>
      <c r="Z25" t="inlineStr">
        <is>
          <t>LH</t>
        </is>
      </c>
      <c r="AA25">
        <f>Calc!$AA$2-Calc!$AA$22-Calc!$AA$23</f>
        <v/>
      </c>
    </row>
    <row r="26">
      <c r="A26" t="inlineStr">
        <is>
          <t>n</t>
        </is>
      </c>
      <c r="B26">
        <f>IF(OR('Tag 1'!$P$7="HGC",'Tag 1'!$P$7="BLANK"),0,IF(LEFT('Tag 1'!$P$7,4)="U454",4,IF(LEFT('Tag 1'!$P$7,4)="U453",3,IF(Calc!$B$25&lt;=60,2,IF(Calc!$B$25&lt;=90,3,4)))))</f>
        <v/>
      </c>
      <c r="F26" t="inlineStr">
        <is>
          <t>n</t>
        </is>
      </c>
      <c r="G26">
        <f>IF(OR('Tag 2'!$P$7="HGC",'Tag 2'!$P$7="BLANK"),0,IF(LEFT('Tag 2'!$P$7,4)="U454",4,IF(LEFT('Tag 2'!$P$7,4)="U453",3,IF(Calc!$G$25&lt;=60,2,IF(Calc!$G$25&lt;=90,3,4)))))</f>
        <v/>
      </c>
      <c r="K26" t="inlineStr">
        <is>
          <t>n</t>
        </is>
      </c>
      <c r="L26">
        <f>IF(OR('Tag 3'!$P$7="HGC",'Tag 3'!$P$7="BLANK"),0,IF(LEFT('Tag 3'!$P$7,4)="U454",4,IF(LEFT('Tag 3'!$P$7,4)="U453",3,IF(Calc!$L$25&lt;=60,2,IF(Calc!$L$25&lt;=90,3,4)))))</f>
        <v/>
      </c>
      <c r="P26" t="inlineStr">
        <is>
          <t>n</t>
        </is>
      </c>
      <c r="Q26">
        <f>IF(OR('Tag 4'!$P$7="HGC",'Tag 4'!$P$7="BLANK"),0,IF(LEFT('Tag 4'!$P$7,4)="U454",4,IF(LEFT('Tag 4'!$P$7,4)="U453",3,IF(Calc!$Q$25&lt;=60,2,IF(Calc!$Q$25&lt;=90,3,4)))))</f>
        <v/>
      </c>
      <c r="U26" t="inlineStr">
        <is>
          <t>n</t>
        </is>
      </c>
      <c r="V26">
        <f>IF(OR('Tag 5'!$P$7="HGC",'Tag 5'!$P$7="BLANK"),0,IF(LEFT('Tag 5'!$P$7,4)="U454",4,IF(LEFT('Tag 5'!$P$7,4)="U453",3,IF(Calc!$V$25&lt;=60,2,IF(Calc!$V$25&lt;=90,3,4)))))</f>
        <v/>
      </c>
      <c r="Z26" t="inlineStr">
        <is>
          <t>n</t>
        </is>
      </c>
      <c r="AA26">
        <f>IF(OR('Tag 6'!$P$7="HGC",'Tag 6'!$P$7="BLANK"),0,IF(LEFT('Tag 6'!$P$7,4)="U454",4,IF(LEFT('Tag 6'!$P$7,4)="U453",3,IF(Calc!$AA$25&lt;=60,2,IF(Calc!$AA$25&lt;=90,3,4)))))</f>
        <v/>
      </c>
    </row>
    <row r="27">
      <c r="A27" t="inlineStr">
        <is>
          <t>cust</t>
        </is>
      </c>
      <c r="B27">
        <f>OR('Tag 1'!$X$7="CUSTOM",N('Tag 1'!$B$11)+N('Tag 1'!$D$11)+N('Tag 1'!$F$11)+N('Tag 1'!$H$11)+N('Tag 1'!$J$11)&gt;0)</f>
        <v/>
      </c>
      <c r="F27" t="inlineStr">
        <is>
          <t>cust</t>
        </is>
      </c>
      <c r="G27">
        <f>OR('Tag 2'!$X$7="CUSTOM",N('Tag 2'!$B$11)+N('Tag 2'!$D$11)+N('Tag 2'!$F$11)+N('Tag 2'!$H$11)+N('Tag 2'!$J$11)&gt;0)</f>
        <v/>
      </c>
      <c r="K27" t="inlineStr">
        <is>
          <t>cust</t>
        </is>
      </c>
      <c r="L27">
        <f>OR('Tag 3'!$X$7="CUSTOM",N('Tag 3'!$B$11)+N('Tag 3'!$D$11)+N('Tag 3'!$F$11)+N('Tag 3'!$H$11)+N('Tag 3'!$J$11)&gt;0)</f>
        <v/>
      </c>
      <c r="P27" t="inlineStr">
        <is>
          <t>cust</t>
        </is>
      </c>
      <c r="Q27">
        <f>OR('Tag 4'!$X$7="CUSTOM",N('Tag 4'!$B$11)+N('Tag 4'!$D$11)+N('Tag 4'!$F$11)+N('Tag 4'!$H$11)+N('Tag 4'!$J$11)&gt;0)</f>
        <v/>
      </c>
      <c r="U27" t="inlineStr">
        <is>
          <t>cust</t>
        </is>
      </c>
      <c r="V27">
        <f>OR('Tag 5'!$X$7="CUSTOM",N('Tag 5'!$B$11)+N('Tag 5'!$D$11)+N('Tag 5'!$F$11)+N('Tag 5'!$H$11)+N('Tag 5'!$J$11)&gt;0)</f>
        <v/>
      </c>
      <c r="Z27" t="inlineStr">
        <is>
          <t>cust</t>
        </is>
      </c>
      <c r="AA27">
        <f>OR('Tag 6'!$X$7="CUSTOM",N('Tag 6'!$B$11)+N('Tag 6'!$D$11)+N('Tag 6'!$F$11)+N('Tag 6'!$H$11)+N('Tag 6'!$J$11)&gt;0)</f>
        <v/>
      </c>
    </row>
    <row r="28">
      <c r="A28" t="inlineStr">
        <is>
          <t>key</t>
        </is>
      </c>
      <c r="B28">
        <f>IF(Calc!$B$2&lt;=80,80,IF(Calc!$B$2&lt;=84,84,96))</f>
        <v/>
      </c>
      <c r="F28" t="inlineStr">
        <is>
          <t>key</t>
        </is>
      </c>
      <c r="G28">
        <f>IF(Calc!$G$2&lt;=80,80,IF(Calc!$G$2&lt;=84,84,96))</f>
        <v/>
      </c>
      <c r="K28" t="inlineStr">
        <is>
          <t>key</t>
        </is>
      </c>
      <c r="L28">
        <f>IF(Calc!$L$2&lt;=80,80,IF(Calc!$L$2&lt;=84,84,96))</f>
        <v/>
      </c>
      <c r="P28" t="inlineStr">
        <is>
          <t>key</t>
        </is>
      </c>
      <c r="Q28">
        <f>IF(Calc!$Q$2&lt;=80,80,IF(Calc!$Q$2&lt;=84,84,96))</f>
        <v/>
      </c>
      <c r="U28" t="inlineStr">
        <is>
          <t>key</t>
        </is>
      </c>
      <c r="V28">
        <f>IF(Calc!$V$2&lt;=80,80,IF(Calc!$V$2&lt;=84,84,96))</f>
        <v/>
      </c>
      <c r="Z28" t="inlineStr">
        <is>
          <t>key</t>
        </is>
      </c>
      <c r="AA28">
        <f>IF(Calc!$AA$2&lt;=80,80,IF(Calc!$AA$2&lt;=84,84,96))</f>
        <v/>
      </c>
    </row>
    <row r="29">
      <c r="A29" t="inlineStr">
        <is>
          <t>inC</t>
        </is>
      </c>
      <c r="B29">
        <f>AND(NOT(Calc!$B$27),Calc!$B$2&lt;=96,ISNUMBER(MATCH('Tag 1'!$X$7&amp;"|80",T_LocKey,0)))</f>
        <v/>
      </c>
      <c r="F29" t="inlineStr">
        <is>
          <t>inC</t>
        </is>
      </c>
      <c r="G29">
        <f>AND(NOT(Calc!$G$27),Calc!$G$2&lt;=96,ISNUMBER(MATCH('Tag 2'!$X$7&amp;"|80",T_LocKey,0)))</f>
        <v/>
      </c>
      <c r="K29" t="inlineStr">
        <is>
          <t>inC</t>
        </is>
      </c>
      <c r="L29">
        <f>AND(NOT(Calc!$L$27),Calc!$L$2&lt;=96,ISNUMBER(MATCH('Tag 3'!$X$7&amp;"|80",T_LocKey,0)))</f>
        <v/>
      </c>
      <c r="P29" t="inlineStr">
        <is>
          <t>inC</t>
        </is>
      </c>
      <c r="Q29">
        <f>AND(NOT(Calc!$Q$27),Calc!$Q$2&lt;=96,ISNUMBER(MATCH('Tag 4'!$X$7&amp;"|80",T_LocKey,0)))</f>
        <v/>
      </c>
      <c r="U29" t="inlineStr">
        <is>
          <t>inC</t>
        </is>
      </c>
      <c r="V29">
        <f>AND(NOT(Calc!$V$27),Calc!$V$2&lt;=96,ISNUMBER(MATCH('Tag 5'!$X$7&amp;"|80",T_LocKey,0)))</f>
        <v/>
      </c>
      <c r="Z29" t="inlineStr">
        <is>
          <t>inC</t>
        </is>
      </c>
      <c r="AA29">
        <f>AND(NOT(Calc!$AA$27),Calc!$AA$2&lt;=96,ISNUMBER(MATCH('Tag 6'!$X$7&amp;"|80",T_LocKey,0)))</f>
        <v/>
      </c>
    </row>
    <row r="30">
      <c r="A30" t="inlineStr">
        <is>
          <t>cA</t>
        </is>
      </c>
      <c r="B30">
        <f>IF(Calc!$B$29,VLOOKUP('Tag 1'!$X$7&amp;"|"&amp;Calc!$B$28,T_Loc,4,FALSE),5)</f>
        <v/>
      </c>
      <c r="F30" t="inlineStr">
        <is>
          <t>cA</t>
        </is>
      </c>
      <c r="G30">
        <f>IF(Calc!$G$29,VLOOKUP('Tag 2'!$X$7&amp;"|"&amp;Calc!$G$28,T_Loc,4,FALSE),5)</f>
        <v/>
      </c>
      <c r="K30" t="inlineStr">
        <is>
          <t>cA</t>
        </is>
      </c>
      <c r="L30">
        <f>IF(Calc!$L$29,VLOOKUP('Tag 3'!$X$7&amp;"|"&amp;Calc!$L$28,T_Loc,4,FALSE),5)</f>
        <v/>
      </c>
      <c r="P30" t="inlineStr">
        <is>
          <t>cA</t>
        </is>
      </c>
      <c r="Q30">
        <f>IF(Calc!$Q$29,VLOOKUP('Tag 4'!$X$7&amp;"|"&amp;Calc!$Q$28,T_Loc,4,FALSE),5)</f>
        <v/>
      </c>
      <c r="U30" t="inlineStr">
        <is>
          <t>cA</t>
        </is>
      </c>
      <c r="V30">
        <f>IF(Calc!$V$29,VLOOKUP('Tag 5'!$X$7&amp;"|"&amp;Calc!$V$28,T_Loc,4,FALSE),5)</f>
        <v/>
      </c>
      <c r="Z30" t="inlineStr">
        <is>
          <t>cA</t>
        </is>
      </c>
      <c r="AA30">
        <f>IF(Calc!$AA$29,VLOOKUP('Tag 6'!$X$7&amp;"|"&amp;Calc!$AA$28,T_Loc,4,FALSE),5)</f>
        <v/>
      </c>
    </row>
    <row r="31">
      <c r="A31" t="inlineStr">
        <is>
          <t>cB</t>
        </is>
      </c>
      <c r="B31">
        <f>IF(Calc!$B$29,VLOOKUP('Tag 1'!$X$7&amp;"|"&amp;Calc!$B$28,T_Loc,5,FALSE),"")</f>
        <v/>
      </c>
      <c r="F31" t="inlineStr">
        <is>
          <t>cB</t>
        </is>
      </c>
      <c r="G31">
        <f>IF(Calc!$G$29,VLOOKUP('Tag 2'!$X$7&amp;"|"&amp;Calc!$G$28,T_Loc,5,FALSE),"")</f>
        <v/>
      </c>
      <c r="K31" t="inlineStr">
        <is>
          <t>cB</t>
        </is>
      </c>
      <c r="L31">
        <f>IF(Calc!$L$29,VLOOKUP('Tag 3'!$X$7&amp;"|"&amp;Calc!$L$28,T_Loc,5,FALSE),"")</f>
        <v/>
      </c>
      <c r="P31" t="inlineStr">
        <is>
          <t>cB</t>
        </is>
      </c>
      <c r="Q31">
        <f>IF(Calc!$Q$29,VLOOKUP('Tag 4'!$X$7&amp;"|"&amp;Calc!$Q$28,T_Loc,5,FALSE),"")</f>
        <v/>
      </c>
      <c r="U31" t="inlineStr">
        <is>
          <t>cB</t>
        </is>
      </c>
      <c r="V31">
        <f>IF(Calc!$V$29,VLOOKUP('Tag 5'!$X$7&amp;"|"&amp;Calc!$V$28,T_Loc,5,FALSE),"")</f>
        <v/>
      </c>
      <c r="Z31" t="inlineStr">
        <is>
          <t>cB</t>
        </is>
      </c>
      <c r="AA31">
        <f>IF(Calc!$AA$29,VLOOKUP('Tag 6'!$X$7&amp;"|"&amp;Calc!$AA$28,T_Loc,5,FALSE),"")</f>
        <v/>
      </c>
    </row>
    <row r="32">
      <c r="A32" t="inlineStr">
        <is>
          <t>cC</t>
        </is>
      </c>
      <c r="B32">
        <f>IF(Calc!$B$29,VLOOKUP('Tag 1'!$X$7&amp;"|"&amp;Calc!$B$28,T_Loc,6,FALSE),"")</f>
        <v/>
      </c>
      <c r="F32" t="inlineStr">
        <is>
          <t>cC</t>
        </is>
      </c>
      <c r="G32">
        <f>IF(Calc!$G$29,VLOOKUP('Tag 2'!$X$7&amp;"|"&amp;Calc!$G$28,T_Loc,6,FALSE),"")</f>
        <v/>
      </c>
      <c r="K32" t="inlineStr">
        <is>
          <t>cC</t>
        </is>
      </c>
      <c r="L32">
        <f>IF(Calc!$L$29,VLOOKUP('Tag 3'!$X$7&amp;"|"&amp;Calc!$L$28,T_Loc,6,FALSE),"")</f>
        <v/>
      </c>
      <c r="P32" t="inlineStr">
        <is>
          <t>cC</t>
        </is>
      </c>
      <c r="Q32">
        <f>IF(Calc!$Q$29,VLOOKUP('Tag 4'!$X$7&amp;"|"&amp;Calc!$Q$28,T_Loc,6,FALSE),"")</f>
        <v/>
      </c>
      <c r="U32" t="inlineStr">
        <is>
          <t>cC</t>
        </is>
      </c>
      <c r="V32">
        <f>IF(Calc!$V$29,VLOOKUP('Tag 5'!$X$7&amp;"|"&amp;Calc!$V$28,T_Loc,6,FALSE),"")</f>
        <v/>
      </c>
      <c r="Z32" t="inlineStr">
        <is>
          <t>cC</t>
        </is>
      </c>
      <c r="AA32">
        <f>IF(Calc!$AA$29,VLOOKUP('Tag 6'!$X$7&amp;"|"&amp;Calc!$AA$28,T_Loc,6,FALSE),"")</f>
        <v/>
      </c>
    </row>
    <row r="33">
      <c r="A33" t="inlineStr">
        <is>
          <t>cD</t>
        </is>
      </c>
      <c r="B33">
        <f>IF(Calc!$B$29,N(VLOOKUP('Tag 1'!$X$7&amp;"|"&amp;Calc!$B$28,T_Loc,7,FALSE)),0)</f>
        <v/>
      </c>
      <c r="F33" t="inlineStr">
        <is>
          <t>cD</t>
        </is>
      </c>
      <c r="G33">
        <f>IF(Calc!$G$29,N(VLOOKUP('Tag 2'!$X$7&amp;"|"&amp;Calc!$G$28,T_Loc,7,FALSE)),0)</f>
        <v/>
      </c>
      <c r="K33" t="inlineStr">
        <is>
          <t>cD</t>
        </is>
      </c>
      <c r="L33">
        <f>IF(Calc!$L$29,N(VLOOKUP('Tag 3'!$X$7&amp;"|"&amp;Calc!$L$28,T_Loc,7,FALSE)),0)</f>
        <v/>
      </c>
      <c r="P33" t="inlineStr">
        <is>
          <t>cD</t>
        </is>
      </c>
      <c r="Q33">
        <f>IF(Calc!$Q$29,N(VLOOKUP('Tag 4'!$X$7&amp;"|"&amp;Calc!$Q$28,T_Loc,7,FALSE)),0)</f>
        <v/>
      </c>
      <c r="U33" t="inlineStr">
        <is>
          <t>cD</t>
        </is>
      </c>
      <c r="V33">
        <f>IF(Calc!$V$29,N(VLOOKUP('Tag 5'!$X$7&amp;"|"&amp;Calc!$V$28,T_Loc,7,FALSE)),0)</f>
        <v/>
      </c>
      <c r="Z33" t="inlineStr">
        <is>
          <t>cD</t>
        </is>
      </c>
      <c r="AA33">
        <f>IF(Calc!$AA$29,N(VLOOKUP('Tag 6'!$X$7&amp;"|"&amp;Calc!$AA$28,T_Loc,7,FALSE)),0)</f>
        <v/>
      </c>
    </row>
    <row r="34">
      <c r="A34" t="inlineStr">
        <is>
          <t>cE</t>
        </is>
      </c>
      <c r="B34">
        <f>IF(Calc!$B$29,VLOOKUP('Tag 1'!$X$7&amp;"|"&amp;Calc!$B$28,T_Loc,8,FALSE),Calc!$B$2-LockAFF)</f>
        <v/>
      </c>
      <c r="F34" t="inlineStr">
        <is>
          <t>cE</t>
        </is>
      </c>
      <c r="G34">
        <f>IF(Calc!$G$29,VLOOKUP('Tag 2'!$X$7&amp;"|"&amp;Calc!$G$28,T_Loc,8,FALSE),Calc!$G$2-LockAFF)</f>
        <v/>
      </c>
      <c r="K34" t="inlineStr">
        <is>
          <t>cE</t>
        </is>
      </c>
      <c r="L34">
        <f>IF(Calc!$L$29,VLOOKUP('Tag 3'!$X$7&amp;"|"&amp;Calc!$L$28,T_Loc,8,FALSE),Calc!$L$2-LockAFF)</f>
        <v/>
      </c>
      <c r="P34" t="inlineStr">
        <is>
          <t>cE</t>
        </is>
      </c>
      <c r="Q34">
        <f>IF(Calc!$Q$29,VLOOKUP('Tag 4'!$X$7&amp;"|"&amp;Calc!$Q$28,T_Loc,8,FALSE),Calc!$Q$2-LockAFF)</f>
        <v/>
      </c>
      <c r="U34" t="inlineStr">
        <is>
          <t>cE</t>
        </is>
      </c>
      <c r="V34">
        <f>IF(Calc!$V$29,VLOOKUP('Tag 5'!$X$7&amp;"|"&amp;Calc!$V$28,T_Loc,8,FALSE),Calc!$V$2-LockAFF)</f>
        <v/>
      </c>
      <c r="Z34" t="inlineStr">
        <is>
          <t>cE</t>
        </is>
      </c>
      <c r="AA34">
        <f>IF(Calc!$AA$29,VLOOKUP('Tag 6'!$X$7&amp;"|"&amp;Calc!$AA$28,T_Loc,8,FALSE),Calc!$AA$2-LockAFF)</f>
        <v/>
      </c>
    </row>
    <row r="35">
      <c r="A35" t="inlineStr">
        <is>
          <t>last</t>
        </is>
      </c>
      <c r="B35">
        <f>IF(Calc!$B$29,IF(Calc!$B$33&gt;0,Calc!$B$33,Calc!$B$32),Calc!$B$2-10-4.5)</f>
        <v/>
      </c>
      <c r="F35" t="inlineStr">
        <is>
          <t>last</t>
        </is>
      </c>
      <c r="G35">
        <f>IF(Calc!$G$29,IF(Calc!$G$33&gt;0,Calc!$G$33,Calc!$G$32),Calc!$G$2-10-4.5)</f>
        <v/>
      </c>
      <c r="K35" t="inlineStr">
        <is>
          <t>last</t>
        </is>
      </c>
      <c r="L35">
        <f>IF(Calc!$L$29,IF(Calc!$L$33&gt;0,Calc!$L$33,Calc!$L$32),Calc!$L$2-10-4.5)</f>
        <v/>
      </c>
      <c r="P35" t="inlineStr">
        <is>
          <t>last</t>
        </is>
      </c>
      <c r="Q35">
        <f>IF(Calc!$Q$29,IF(Calc!$Q$33&gt;0,Calc!$Q$33,Calc!$Q$32),Calc!$Q$2-10-4.5)</f>
        <v/>
      </c>
      <c r="U35" t="inlineStr">
        <is>
          <t>last</t>
        </is>
      </c>
      <c r="V35">
        <f>IF(Calc!$V$29,IF(Calc!$V$33&gt;0,Calc!$V$33,Calc!$V$32),Calc!$V$2-10-4.5)</f>
        <v/>
      </c>
      <c r="Z35" t="inlineStr">
        <is>
          <t>last</t>
        </is>
      </c>
      <c r="AA35">
        <f>IF(Calc!$AA$29,IF(Calc!$AA$33&gt;0,Calc!$AA$33,Calc!$AA$32),Calc!$AA$2-10-4.5)</f>
        <v/>
      </c>
    </row>
    <row r="36">
      <c r="A36" t="inlineStr">
        <is>
          <t>cutOK</t>
        </is>
      </c>
      <c r="B36">
        <f>AND(Calc!$B$29,Calc!$B$2&lt;Calc!$B$28,Calc!$B$2-Calc!$B$35-4.5-0.75&gt;=MinRail)</f>
        <v/>
      </c>
      <c r="F36" t="inlineStr">
        <is>
          <t>cutOK</t>
        </is>
      </c>
      <c r="G36">
        <f>AND(Calc!$G$29,Calc!$G$2&lt;Calc!$G$28,Calc!$G$2-Calc!$G$35-4.5-0.75&gt;=MinRail)</f>
        <v/>
      </c>
      <c r="K36" t="inlineStr">
        <is>
          <t>cutOK</t>
        </is>
      </c>
      <c r="L36">
        <f>AND(Calc!$L$29,Calc!$L$2&lt;Calc!$L$28,Calc!$L$2-Calc!$L$35-4.5-0.75&gt;=MinRail)</f>
        <v/>
      </c>
      <c r="P36" t="inlineStr">
        <is>
          <t>cutOK</t>
        </is>
      </c>
      <c r="Q36">
        <f>AND(Calc!$Q$29,Calc!$Q$2&lt;Calc!$Q$28,Calc!$Q$2-Calc!$Q$35-4.5-0.75&gt;=MinRail)</f>
        <v/>
      </c>
      <c r="U36" t="inlineStr">
        <is>
          <t>cutOK</t>
        </is>
      </c>
      <c r="V36">
        <f>AND(Calc!$V$29,Calc!$V$2&lt;Calc!$V$28,Calc!$V$2-Calc!$V$35-4.5-0.75&gt;=MinRail)</f>
        <v/>
      </c>
      <c r="Z36" t="inlineStr">
        <is>
          <t>cutOK</t>
        </is>
      </c>
      <c r="AA36">
        <f>AND(Calc!$AA$29,Calc!$AA$2&lt;Calc!$AA$28,Calc!$AA$2-Calc!$AA$35-4.5-0.75&gt;=MinRail)</f>
        <v/>
      </c>
    </row>
    <row r="37">
      <c r="A37" t="inlineStr">
        <is>
          <t>exact</t>
        </is>
      </c>
      <c r="B37">
        <f>AND(Calc!$B$29,OR(Calc!$B$2=Calc!$B$28,Calc!$B$36),OR(AND(Calc!$B$26=3,Calc!$B$33=0),AND(Calc!$B$26=4,Calc!$B$33&gt;0)))</f>
        <v/>
      </c>
      <c r="F37" t="inlineStr">
        <is>
          <t>exact</t>
        </is>
      </c>
      <c r="G37">
        <f>AND(Calc!$G$29,OR(Calc!$G$2=Calc!$G$28,Calc!$G$36),OR(AND(Calc!$G$26=3,Calc!$G$33=0),AND(Calc!$G$26=4,Calc!$G$33&gt;0)))</f>
        <v/>
      </c>
      <c r="K37" t="inlineStr">
        <is>
          <t>exact</t>
        </is>
      </c>
      <c r="L37">
        <f>AND(Calc!$L$29,OR(Calc!$L$2=Calc!$L$28,Calc!$L$36),OR(AND(Calc!$L$26=3,Calc!$L$33=0),AND(Calc!$L$26=4,Calc!$L$33&gt;0)))</f>
        <v/>
      </c>
      <c r="P37" t="inlineStr">
        <is>
          <t>exact</t>
        </is>
      </c>
      <c r="Q37">
        <f>AND(Calc!$Q$29,OR(Calc!$Q$2=Calc!$Q$28,Calc!$Q$36),OR(AND(Calc!$Q$26=3,Calc!$Q$33=0),AND(Calc!$Q$26=4,Calc!$Q$33&gt;0)))</f>
        <v/>
      </c>
      <c r="U37" t="inlineStr">
        <is>
          <t>exact</t>
        </is>
      </c>
      <c r="V37">
        <f>AND(Calc!$V$29,OR(Calc!$V$2=Calc!$V$28,Calc!$V$36),OR(AND(Calc!$V$26=3,Calc!$V$33=0),AND(Calc!$V$26=4,Calc!$V$33&gt;0)))</f>
        <v/>
      </c>
      <c r="Z37" t="inlineStr">
        <is>
          <t>exact</t>
        </is>
      </c>
      <c r="AA37">
        <f>AND(Calc!$AA$29,OR(Calc!$AA$2=Calc!$AA$28,Calc!$AA$36),OR(AND(Calc!$AA$26=3,Calc!$AA$33=0),AND(Calc!$AA$26=4,Calc!$AA$33&gt;0)))</f>
        <v/>
      </c>
    </row>
    <row r="38">
      <c r="A38" t="inlineStr">
        <is>
          <t>notStock</t>
        </is>
      </c>
      <c r="B38">
        <f>AND(Calc!$B$29,Calc!$B$2&lt;Calc!$B$28,NOT(Calc!$B$36))</f>
        <v/>
      </c>
      <c r="F38" t="inlineStr">
        <is>
          <t>notStock</t>
        </is>
      </c>
      <c r="G38">
        <f>AND(Calc!$G$29,Calc!$G$2&lt;Calc!$G$28,NOT(Calc!$G$36))</f>
        <v/>
      </c>
      <c r="K38" t="inlineStr">
        <is>
          <t>notStock</t>
        </is>
      </c>
      <c r="L38">
        <f>AND(Calc!$L$29,Calc!$L$2&lt;Calc!$L$28,NOT(Calc!$L$36))</f>
        <v/>
      </c>
      <c r="P38" t="inlineStr">
        <is>
          <t>notStock</t>
        </is>
      </c>
      <c r="Q38">
        <f>AND(Calc!$Q$29,Calc!$Q$2&lt;Calc!$Q$28,NOT(Calc!$Q$36))</f>
        <v/>
      </c>
      <c r="U38" t="inlineStr">
        <is>
          <t>notStock</t>
        </is>
      </c>
      <c r="V38">
        <f>AND(Calc!$V$29,Calc!$V$2&lt;Calc!$V$28,NOT(Calc!$V$36))</f>
        <v/>
      </c>
      <c r="Z38" t="inlineStr">
        <is>
          <t>notStock</t>
        </is>
      </c>
      <c r="AA38">
        <f>AND(Calc!$AA$29,Calc!$AA$2&lt;Calc!$AA$28,NOT(Calc!$AA$36))</f>
        <v/>
      </c>
    </row>
    <row r="39">
      <c r="A39" t="inlineStr">
        <is>
          <t>lastA</t>
        </is>
      </c>
      <c r="B39">
        <f>IF(OR(NOT(Calc!$B$29),Calc!$B$2=Calc!$B$28,Calc!$B$36),Calc!$B$35,Calc!$B$2-(Calc!$B$28-Calc!$B$35))</f>
        <v/>
      </c>
      <c r="F39" t="inlineStr">
        <is>
          <t>lastA</t>
        </is>
      </c>
      <c r="G39">
        <f>IF(OR(NOT(Calc!$G$29),Calc!$G$2=Calc!$G$28,Calc!$G$36),Calc!$G$35,Calc!$G$2-(Calc!$G$28-Calc!$G$35))</f>
        <v/>
      </c>
      <c r="K39" t="inlineStr">
        <is>
          <t>lastA</t>
        </is>
      </c>
      <c r="L39">
        <f>IF(OR(NOT(Calc!$L$29),Calc!$L$2=Calc!$L$28,Calc!$L$36),Calc!$L$35,Calc!$L$2-(Calc!$L$28-Calc!$L$35))</f>
        <v/>
      </c>
      <c r="P39" t="inlineStr">
        <is>
          <t>lastA</t>
        </is>
      </c>
      <c r="Q39">
        <f>IF(OR(NOT(Calc!$Q$29),Calc!$Q$2=Calc!$Q$28,Calc!$Q$36),Calc!$Q$35,Calc!$Q$2-(Calc!$Q$28-Calc!$Q$35))</f>
        <v/>
      </c>
      <c r="U39" t="inlineStr">
        <is>
          <t>lastA</t>
        </is>
      </c>
      <c r="V39">
        <f>IF(OR(NOT(Calc!$V$29),Calc!$V$2=Calc!$V$28,Calc!$V$36),Calc!$V$35,Calc!$V$2-(Calc!$V$28-Calc!$V$35))</f>
        <v/>
      </c>
      <c r="Z39" t="inlineStr">
        <is>
          <t>lastA</t>
        </is>
      </c>
      <c r="AA39">
        <f>IF(OR(NOT(Calc!$AA$29),Calc!$AA$2=Calc!$AA$28,Calc!$AA$36),Calc!$AA$35,Calc!$AA$2-(Calc!$AA$28-Calc!$AA$35))</f>
        <v/>
      </c>
    </row>
    <row r="40">
      <c r="A40" t="inlineStr">
        <is>
          <t>h1</t>
        </is>
      </c>
      <c r="B40">
        <f>IF(1&gt;Calc!$B$26,"",IF(Calc!$B$27,IF(N('Tag 1'!$B$11)&gt;0,'Tag 1'!$B$11,IF(Calc!$B$26=1,5,5+(Calc!$B$2-14.5-5)*0/MAX(1,Calc!$B$26-1))),IF(Calc!$B$37,Calc!$B$30,IF(Calc!$B$26=1,Calc!$B$30,Calc!$B$30+(Calc!$B$39-Calc!$B$30)*0/MAX(1,Calc!$B$26-1)))))</f>
        <v/>
      </c>
      <c r="F40" t="inlineStr">
        <is>
          <t>h1</t>
        </is>
      </c>
      <c r="G40">
        <f>IF(1&gt;Calc!$G$26,"",IF(Calc!$G$27,IF(N('Tag 2'!$B$11)&gt;0,'Tag 2'!$B$11,IF(Calc!$G$26=1,5,5+(Calc!$G$2-14.5-5)*0/MAX(1,Calc!$G$26-1))),IF(Calc!$G$37,Calc!$G$30,IF(Calc!$G$26=1,Calc!$G$30,Calc!$G$30+(Calc!$G$39-Calc!$G$30)*0/MAX(1,Calc!$G$26-1)))))</f>
        <v/>
      </c>
      <c r="K40" t="inlineStr">
        <is>
          <t>h1</t>
        </is>
      </c>
      <c r="L40">
        <f>IF(1&gt;Calc!$L$26,"",IF(Calc!$L$27,IF(N('Tag 3'!$B$11)&gt;0,'Tag 3'!$B$11,IF(Calc!$L$26=1,5,5+(Calc!$L$2-14.5-5)*0/MAX(1,Calc!$L$26-1))),IF(Calc!$L$37,Calc!$L$30,IF(Calc!$L$26=1,Calc!$L$30,Calc!$L$30+(Calc!$L$39-Calc!$L$30)*0/MAX(1,Calc!$L$26-1)))))</f>
        <v/>
      </c>
      <c r="P40" t="inlineStr">
        <is>
          <t>h1</t>
        </is>
      </c>
      <c r="Q40">
        <f>IF(1&gt;Calc!$Q$26,"",IF(Calc!$Q$27,IF(N('Tag 4'!$B$11)&gt;0,'Tag 4'!$B$11,IF(Calc!$Q$26=1,5,5+(Calc!$Q$2-14.5-5)*0/MAX(1,Calc!$Q$26-1))),IF(Calc!$Q$37,Calc!$Q$30,IF(Calc!$Q$26=1,Calc!$Q$30,Calc!$Q$30+(Calc!$Q$39-Calc!$Q$30)*0/MAX(1,Calc!$Q$26-1)))))</f>
        <v/>
      </c>
      <c r="U40" t="inlineStr">
        <is>
          <t>h1</t>
        </is>
      </c>
      <c r="V40">
        <f>IF(1&gt;Calc!$V$26,"",IF(Calc!$V$27,IF(N('Tag 5'!$B$11)&gt;0,'Tag 5'!$B$11,IF(Calc!$V$26=1,5,5+(Calc!$V$2-14.5-5)*0/MAX(1,Calc!$V$26-1))),IF(Calc!$V$37,Calc!$V$30,IF(Calc!$V$26=1,Calc!$V$30,Calc!$V$30+(Calc!$V$39-Calc!$V$30)*0/MAX(1,Calc!$V$26-1)))))</f>
        <v/>
      </c>
      <c r="Z40" t="inlineStr">
        <is>
          <t>h1</t>
        </is>
      </c>
      <c r="AA40">
        <f>IF(1&gt;Calc!$AA$26,"",IF(Calc!$AA$27,IF(N('Tag 6'!$B$11)&gt;0,'Tag 6'!$B$11,IF(Calc!$AA$26=1,5,5+(Calc!$AA$2-14.5-5)*0/MAX(1,Calc!$AA$26-1))),IF(Calc!$AA$37,Calc!$AA$30,IF(Calc!$AA$26=1,Calc!$AA$30,Calc!$AA$30+(Calc!$AA$39-Calc!$AA$30)*0/MAX(1,Calc!$AA$26-1)))))</f>
        <v/>
      </c>
    </row>
    <row r="41">
      <c r="A41" t="inlineStr">
        <is>
          <t>h2</t>
        </is>
      </c>
      <c r="B41">
        <f>IF(2&gt;Calc!$B$26,"",IF(Calc!$B$27,IF(N('Tag 1'!$D$11)&gt;0,'Tag 1'!$D$11,IF(Calc!$B$26=1,5,5+(Calc!$B$2-14.5-5)*1/MAX(1,Calc!$B$26-1))),IF(Calc!$B$37,Calc!$B$31,IF(Calc!$B$26=1,Calc!$B$30,Calc!$B$30+(Calc!$B$39-Calc!$B$30)*1/MAX(1,Calc!$B$26-1)))))</f>
        <v/>
      </c>
      <c r="F41" t="inlineStr">
        <is>
          <t>h2</t>
        </is>
      </c>
      <c r="G41">
        <f>IF(2&gt;Calc!$G$26,"",IF(Calc!$G$27,IF(N('Tag 2'!$D$11)&gt;0,'Tag 2'!$D$11,IF(Calc!$G$26=1,5,5+(Calc!$G$2-14.5-5)*1/MAX(1,Calc!$G$26-1))),IF(Calc!$G$37,Calc!$G$31,IF(Calc!$G$26=1,Calc!$G$30,Calc!$G$30+(Calc!$G$39-Calc!$G$30)*1/MAX(1,Calc!$G$26-1)))))</f>
        <v/>
      </c>
      <c r="K41" t="inlineStr">
        <is>
          <t>h2</t>
        </is>
      </c>
      <c r="L41">
        <f>IF(2&gt;Calc!$L$26,"",IF(Calc!$L$27,IF(N('Tag 3'!$D$11)&gt;0,'Tag 3'!$D$11,IF(Calc!$L$26=1,5,5+(Calc!$L$2-14.5-5)*1/MAX(1,Calc!$L$26-1))),IF(Calc!$L$37,Calc!$L$31,IF(Calc!$L$26=1,Calc!$L$30,Calc!$L$30+(Calc!$L$39-Calc!$L$30)*1/MAX(1,Calc!$L$26-1)))))</f>
        <v/>
      </c>
      <c r="P41" t="inlineStr">
        <is>
          <t>h2</t>
        </is>
      </c>
      <c r="Q41">
        <f>IF(2&gt;Calc!$Q$26,"",IF(Calc!$Q$27,IF(N('Tag 4'!$D$11)&gt;0,'Tag 4'!$D$11,IF(Calc!$Q$26=1,5,5+(Calc!$Q$2-14.5-5)*1/MAX(1,Calc!$Q$26-1))),IF(Calc!$Q$37,Calc!$Q$31,IF(Calc!$Q$26=1,Calc!$Q$30,Calc!$Q$30+(Calc!$Q$39-Calc!$Q$30)*1/MAX(1,Calc!$Q$26-1)))))</f>
        <v/>
      </c>
      <c r="U41" t="inlineStr">
        <is>
          <t>h2</t>
        </is>
      </c>
      <c r="V41">
        <f>IF(2&gt;Calc!$V$26,"",IF(Calc!$V$27,IF(N('Tag 5'!$D$11)&gt;0,'Tag 5'!$D$11,IF(Calc!$V$26=1,5,5+(Calc!$V$2-14.5-5)*1/MAX(1,Calc!$V$26-1))),IF(Calc!$V$37,Calc!$V$31,IF(Calc!$V$26=1,Calc!$V$30,Calc!$V$30+(Calc!$V$39-Calc!$V$30)*1/MAX(1,Calc!$V$26-1)))))</f>
        <v/>
      </c>
      <c r="Z41" t="inlineStr">
        <is>
          <t>h2</t>
        </is>
      </c>
      <c r="AA41">
        <f>IF(2&gt;Calc!$AA$26,"",IF(Calc!$AA$27,IF(N('Tag 6'!$D$11)&gt;0,'Tag 6'!$D$11,IF(Calc!$AA$26=1,5,5+(Calc!$AA$2-14.5-5)*1/MAX(1,Calc!$AA$26-1))),IF(Calc!$AA$37,Calc!$AA$31,IF(Calc!$AA$26=1,Calc!$AA$30,Calc!$AA$30+(Calc!$AA$39-Calc!$AA$30)*1/MAX(1,Calc!$AA$26-1)))))</f>
        <v/>
      </c>
    </row>
    <row r="42">
      <c r="A42" t="inlineStr">
        <is>
          <t>h3</t>
        </is>
      </c>
      <c r="B42">
        <f>IF(3&gt;Calc!$B$26,"",IF(Calc!$B$27,IF(N('Tag 1'!$F$11)&gt;0,'Tag 1'!$F$11,IF(Calc!$B$26=1,5,5+(Calc!$B$2-14.5-5)*2/MAX(1,Calc!$B$26-1))),IF(Calc!$B$37,Calc!$B$32,IF(Calc!$B$26=1,Calc!$B$30,Calc!$B$30+(Calc!$B$39-Calc!$B$30)*2/MAX(1,Calc!$B$26-1)))))</f>
        <v/>
      </c>
      <c r="F42" t="inlineStr">
        <is>
          <t>h3</t>
        </is>
      </c>
      <c r="G42">
        <f>IF(3&gt;Calc!$G$26,"",IF(Calc!$G$27,IF(N('Tag 2'!$F$11)&gt;0,'Tag 2'!$F$11,IF(Calc!$G$26=1,5,5+(Calc!$G$2-14.5-5)*2/MAX(1,Calc!$G$26-1))),IF(Calc!$G$37,Calc!$G$32,IF(Calc!$G$26=1,Calc!$G$30,Calc!$G$30+(Calc!$G$39-Calc!$G$30)*2/MAX(1,Calc!$G$26-1)))))</f>
        <v/>
      </c>
      <c r="K42" t="inlineStr">
        <is>
          <t>h3</t>
        </is>
      </c>
      <c r="L42">
        <f>IF(3&gt;Calc!$L$26,"",IF(Calc!$L$27,IF(N('Tag 3'!$F$11)&gt;0,'Tag 3'!$F$11,IF(Calc!$L$26=1,5,5+(Calc!$L$2-14.5-5)*2/MAX(1,Calc!$L$26-1))),IF(Calc!$L$37,Calc!$L$32,IF(Calc!$L$26=1,Calc!$L$30,Calc!$L$30+(Calc!$L$39-Calc!$L$30)*2/MAX(1,Calc!$L$26-1)))))</f>
        <v/>
      </c>
      <c r="P42" t="inlineStr">
        <is>
          <t>h3</t>
        </is>
      </c>
      <c r="Q42">
        <f>IF(3&gt;Calc!$Q$26,"",IF(Calc!$Q$27,IF(N('Tag 4'!$F$11)&gt;0,'Tag 4'!$F$11,IF(Calc!$Q$26=1,5,5+(Calc!$Q$2-14.5-5)*2/MAX(1,Calc!$Q$26-1))),IF(Calc!$Q$37,Calc!$Q$32,IF(Calc!$Q$26=1,Calc!$Q$30,Calc!$Q$30+(Calc!$Q$39-Calc!$Q$30)*2/MAX(1,Calc!$Q$26-1)))))</f>
        <v/>
      </c>
      <c r="U42" t="inlineStr">
        <is>
          <t>h3</t>
        </is>
      </c>
      <c r="V42">
        <f>IF(3&gt;Calc!$V$26,"",IF(Calc!$V$27,IF(N('Tag 5'!$F$11)&gt;0,'Tag 5'!$F$11,IF(Calc!$V$26=1,5,5+(Calc!$V$2-14.5-5)*2/MAX(1,Calc!$V$26-1))),IF(Calc!$V$37,Calc!$V$32,IF(Calc!$V$26=1,Calc!$V$30,Calc!$V$30+(Calc!$V$39-Calc!$V$30)*2/MAX(1,Calc!$V$26-1)))))</f>
        <v/>
      </c>
      <c r="Z42" t="inlineStr">
        <is>
          <t>h3</t>
        </is>
      </c>
      <c r="AA42">
        <f>IF(3&gt;Calc!$AA$26,"",IF(Calc!$AA$27,IF(N('Tag 6'!$F$11)&gt;0,'Tag 6'!$F$11,IF(Calc!$AA$26=1,5,5+(Calc!$AA$2-14.5-5)*2/MAX(1,Calc!$AA$26-1))),IF(Calc!$AA$37,Calc!$AA$32,IF(Calc!$AA$26=1,Calc!$AA$30,Calc!$AA$30+(Calc!$AA$39-Calc!$AA$30)*2/MAX(1,Calc!$AA$26-1)))))</f>
        <v/>
      </c>
    </row>
    <row r="43">
      <c r="A43" t="inlineStr">
        <is>
          <t>h4</t>
        </is>
      </c>
      <c r="B43">
        <f>IF(4&gt;Calc!$B$26,"",IF(Calc!$B$27,IF(N('Tag 1'!$H$11)&gt;0,'Tag 1'!$H$11,IF(Calc!$B$26=1,5,5+(Calc!$B$2-14.5-5)*3/MAX(1,Calc!$B$26-1))),IF(Calc!$B$37,Calc!$B$33,IF(Calc!$B$26=1,Calc!$B$30,Calc!$B$30+(Calc!$B$39-Calc!$B$30)*3/MAX(1,Calc!$B$26-1)))))</f>
        <v/>
      </c>
      <c r="F43" t="inlineStr">
        <is>
          <t>h4</t>
        </is>
      </c>
      <c r="G43">
        <f>IF(4&gt;Calc!$G$26,"",IF(Calc!$G$27,IF(N('Tag 2'!$H$11)&gt;0,'Tag 2'!$H$11,IF(Calc!$G$26=1,5,5+(Calc!$G$2-14.5-5)*3/MAX(1,Calc!$G$26-1))),IF(Calc!$G$37,Calc!$G$33,IF(Calc!$G$26=1,Calc!$G$30,Calc!$G$30+(Calc!$G$39-Calc!$G$30)*3/MAX(1,Calc!$G$26-1)))))</f>
        <v/>
      </c>
      <c r="K43" t="inlineStr">
        <is>
          <t>h4</t>
        </is>
      </c>
      <c r="L43">
        <f>IF(4&gt;Calc!$L$26,"",IF(Calc!$L$27,IF(N('Tag 3'!$H$11)&gt;0,'Tag 3'!$H$11,IF(Calc!$L$26=1,5,5+(Calc!$L$2-14.5-5)*3/MAX(1,Calc!$L$26-1))),IF(Calc!$L$37,Calc!$L$33,IF(Calc!$L$26=1,Calc!$L$30,Calc!$L$30+(Calc!$L$39-Calc!$L$30)*3/MAX(1,Calc!$L$26-1)))))</f>
        <v/>
      </c>
      <c r="P43" t="inlineStr">
        <is>
          <t>h4</t>
        </is>
      </c>
      <c r="Q43">
        <f>IF(4&gt;Calc!$Q$26,"",IF(Calc!$Q$27,IF(N('Tag 4'!$H$11)&gt;0,'Tag 4'!$H$11,IF(Calc!$Q$26=1,5,5+(Calc!$Q$2-14.5-5)*3/MAX(1,Calc!$Q$26-1))),IF(Calc!$Q$37,Calc!$Q$33,IF(Calc!$Q$26=1,Calc!$Q$30,Calc!$Q$30+(Calc!$Q$39-Calc!$Q$30)*3/MAX(1,Calc!$Q$26-1)))))</f>
        <v/>
      </c>
      <c r="U43" t="inlineStr">
        <is>
          <t>h4</t>
        </is>
      </c>
      <c r="V43">
        <f>IF(4&gt;Calc!$V$26,"",IF(Calc!$V$27,IF(N('Tag 5'!$H$11)&gt;0,'Tag 5'!$H$11,IF(Calc!$V$26=1,5,5+(Calc!$V$2-14.5-5)*3/MAX(1,Calc!$V$26-1))),IF(Calc!$V$37,Calc!$V$33,IF(Calc!$V$26=1,Calc!$V$30,Calc!$V$30+(Calc!$V$39-Calc!$V$30)*3/MAX(1,Calc!$V$26-1)))))</f>
        <v/>
      </c>
      <c r="Z43" t="inlineStr">
        <is>
          <t>h4</t>
        </is>
      </c>
      <c r="AA43">
        <f>IF(4&gt;Calc!$AA$26,"",IF(Calc!$AA$27,IF(N('Tag 6'!$H$11)&gt;0,'Tag 6'!$H$11,IF(Calc!$AA$26=1,5,5+(Calc!$AA$2-14.5-5)*3/MAX(1,Calc!$AA$26-1))),IF(Calc!$AA$37,Calc!$AA$33,IF(Calc!$AA$26=1,Calc!$AA$30,Calc!$AA$30+(Calc!$AA$39-Calc!$AA$30)*3/MAX(1,Calc!$AA$26-1)))))</f>
        <v/>
      </c>
    </row>
    <row r="44">
      <c r="A44" t="inlineStr">
        <is>
          <t>strikeOn</t>
        </is>
      </c>
      <c r="B44">
        <f>NOT(OR('Tag 1'!$R$7="E8",'Tag 1'!$R$7="G18",'Tag 1'!$R$7="RL",'Tag 1'!$R$7=""))</f>
        <v/>
      </c>
      <c r="F44" t="inlineStr">
        <is>
          <t>strikeOn</t>
        </is>
      </c>
      <c r="G44">
        <f>NOT(OR('Tag 2'!$R$7="E8",'Tag 2'!$R$7="G18",'Tag 2'!$R$7="RL",'Tag 2'!$R$7=""))</f>
        <v/>
      </c>
      <c r="K44" t="inlineStr">
        <is>
          <t>strikeOn</t>
        </is>
      </c>
      <c r="L44">
        <f>NOT(OR('Tag 3'!$R$7="E8",'Tag 3'!$R$7="G18",'Tag 3'!$R$7="RL",'Tag 3'!$R$7=""))</f>
        <v/>
      </c>
      <c r="P44" t="inlineStr">
        <is>
          <t>strikeOn</t>
        </is>
      </c>
      <c r="Q44">
        <f>NOT(OR('Tag 4'!$R$7="E8",'Tag 4'!$R$7="G18",'Tag 4'!$R$7="RL",'Tag 4'!$R$7=""))</f>
        <v/>
      </c>
      <c r="U44" t="inlineStr">
        <is>
          <t>strikeOn</t>
        </is>
      </c>
      <c r="V44">
        <f>NOT(OR('Tag 5'!$R$7="E8",'Tag 5'!$R$7="G18",'Tag 5'!$R$7="RL",'Tag 5'!$R$7=""))</f>
        <v/>
      </c>
      <c r="Z44" t="inlineStr">
        <is>
          <t>strikeOn</t>
        </is>
      </c>
      <c r="AA44">
        <f>NOT(OR('Tag 6'!$R$7="E8",'Tag 6'!$R$7="G18",'Tag 6'!$R$7="RL",'Tag 6'!$R$7=""))</f>
        <v/>
      </c>
    </row>
    <row r="45">
      <c r="A45" t="inlineStr">
        <is>
          <t>E</t>
        </is>
      </c>
      <c r="B45">
        <f>IF(N('Tag 1'!$J$11)&gt;0,'Tag 1'!$J$11,IF(Calc!$B$29,IF(OR(Calc!$B$2=Calc!$B$28,Calc!$B$36),Calc!$B$34,Calc!$B$34+(Calc!$B$2-Calc!$B$28)),Calc!$B$2-LockAFF))</f>
        <v/>
      </c>
      <c r="F45" t="inlineStr">
        <is>
          <t>E</t>
        </is>
      </c>
      <c r="G45">
        <f>IF(N('Tag 2'!$J$11)&gt;0,'Tag 2'!$J$11,IF(Calc!$G$29,IF(OR(Calc!$G$2=Calc!$G$28,Calc!$G$36),Calc!$G$34,Calc!$G$34+(Calc!$G$2-Calc!$G$28)),Calc!$G$2-LockAFF))</f>
        <v/>
      </c>
      <c r="K45" t="inlineStr">
        <is>
          <t>E</t>
        </is>
      </c>
      <c r="L45">
        <f>IF(N('Tag 3'!$J$11)&gt;0,'Tag 3'!$J$11,IF(Calc!$L$29,IF(OR(Calc!$L$2=Calc!$L$28,Calc!$L$36),Calc!$L$34,Calc!$L$34+(Calc!$L$2-Calc!$L$28)),Calc!$L$2-LockAFF))</f>
        <v/>
      </c>
      <c r="P45" t="inlineStr">
        <is>
          <t>E</t>
        </is>
      </c>
      <c r="Q45">
        <f>IF(N('Tag 4'!$J$11)&gt;0,'Tag 4'!$J$11,IF(Calc!$Q$29,IF(OR(Calc!$Q$2=Calc!$Q$28,Calc!$Q$36),Calc!$Q$34,Calc!$Q$34+(Calc!$Q$2-Calc!$Q$28)),Calc!$Q$2-LockAFF))</f>
        <v/>
      </c>
      <c r="U45" t="inlineStr">
        <is>
          <t>E</t>
        </is>
      </c>
      <c r="V45">
        <f>IF(N('Tag 5'!$J$11)&gt;0,'Tag 5'!$J$11,IF(Calc!$V$29,IF(OR(Calc!$V$2=Calc!$V$28,Calc!$V$36),Calc!$V$34,Calc!$V$34+(Calc!$V$2-Calc!$V$28)),Calc!$V$2-LockAFF))</f>
        <v/>
      </c>
      <c r="Z45" t="inlineStr">
        <is>
          <t>E</t>
        </is>
      </c>
      <c r="AA45">
        <f>IF(N('Tag 6'!$J$11)&gt;0,'Tag 6'!$J$11,IF(Calc!$AA$29,IF(OR(Calc!$AA$2=Calc!$AA$28,Calc!$AA$36),Calc!$AA$34,Calc!$AA$34+(Calc!$AA$2-Calc!$AA$28)),Calc!$AA$2-LockAFF))</f>
        <v/>
      </c>
    </row>
    <row r="46">
      <c r="A46" t="inlineStr">
        <is>
          <t>E1</t>
        </is>
      </c>
      <c r="B46">
        <f>IF(Calc!$B$44,Calc!$B$45,"")</f>
        <v/>
      </c>
      <c r="F46" t="inlineStr">
        <is>
          <t>E1</t>
        </is>
      </c>
      <c r="G46">
        <f>IF(Calc!$G$44,Calc!$G$45,"")</f>
        <v/>
      </c>
      <c r="K46" t="inlineStr">
        <is>
          <t>E1</t>
        </is>
      </c>
      <c r="L46">
        <f>IF(Calc!$L$44,Calc!$L$45,"")</f>
        <v/>
      </c>
      <c r="P46" t="inlineStr">
        <is>
          <t>E1</t>
        </is>
      </c>
      <c r="Q46">
        <f>IF(Calc!$Q$44,Calc!$Q$45,"")</f>
        <v/>
      </c>
      <c r="U46" t="inlineStr">
        <is>
          <t>E1</t>
        </is>
      </c>
      <c r="V46">
        <f>IF(Calc!$V$44,Calc!$V$45,"")</f>
        <v/>
      </c>
      <c r="Z46" t="inlineStr">
        <is>
          <t>E1</t>
        </is>
      </c>
      <c r="AA46">
        <f>IF(Calc!$AA$44,Calc!$AA$45,"")</f>
        <v/>
      </c>
    </row>
    <row r="47">
      <c r="A47" t="inlineStr">
        <is>
          <t>E2</t>
        </is>
      </c>
      <c r="B47">
        <f>IF(OR('Tag 1'!$R$7="E1E4",'Tag 1'!$T$7="E4"),Calc!$B$2-DBAFF,IF('Tag 1'!$T$7="E3","VERIFY",""))</f>
        <v/>
      </c>
      <c r="F47" t="inlineStr">
        <is>
          <t>E2</t>
        </is>
      </c>
      <c r="G47">
        <f>IF(OR('Tag 2'!$R$7="E1E4",'Tag 2'!$T$7="E4"),Calc!$G$2-DBAFF,IF('Tag 2'!$T$7="E3","VERIFY",""))</f>
        <v/>
      </c>
      <c r="K47" t="inlineStr">
        <is>
          <t>E2</t>
        </is>
      </c>
      <c r="L47">
        <f>IF(OR('Tag 3'!$R$7="E1E4",'Tag 3'!$T$7="E4"),Calc!$L$2-DBAFF,IF('Tag 3'!$T$7="E3","VERIFY",""))</f>
        <v/>
      </c>
      <c r="P47" t="inlineStr">
        <is>
          <t>E2</t>
        </is>
      </c>
      <c r="Q47">
        <f>IF(OR('Tag 4'!$R$7="E1E4",'Tag 4'!$T$7="E4"),Calc!$Q$2-DBAFF,IF('Tag 4'!$T$7="E3","VERIFY",""))</f>
        <v/>
      </c>
      <c r="U47" t="inlineStr">
        <is>
          <t>E2</t>
        </is>
      </c>
      <c r="V47">
        <f>IF(OR('Tag 5'!$R$7="E1E4",'Tag 5'!$T$7="E4"),Calc!$V$2-DBAFF,IF('Tag 5'!$T$7="E3","VERIFY",""))</f>
        <v/>
      </c>
      <c r="Z47" t="inlineStr">
        <is>
          <t>E2</t>
        </is>
      </c>
      <c r="AA47">
        <f>IF(OR('Tag 6'!$R$7="E1E4",'Tag 6'!$T$7="E4"),Calc!$AA$2-DBAFF,IF('Tag 6'!$T$7="E3","VERIFY",""))</f>
        <v/>
      </c>
    </row>
    <row r="48">
      <c r="A48" t="inlineStr">
        <is>
          <t>mort</t>
        </is>
      </c>
      <c r="B48">
        <f>OR(LEFT('Tag 1'!$U$7,2)="G3",'Tag 1'!$U$7="G12")</f>
        <v/>
      </c>
      <c r="F48" t="inlineStr">
        <is>
          <t>mort</t>
        </is>
      </c>
      <c r="G48">
        <f>OR(LEFT('Tag 2'!$U$7,2)="G3",'Tag 2'!$U$7="G12")</f>
        <v/>
      </c>
      <c r="K48" t="inlineStr">
        <is>
          <t>mort</t>
        </is>
      </c>
      <c r="L48">
        <f>OR(LEFT('Tag 3'!$U$7,2)="G3",'Tag 3'!$U$7="G12")</f>
        <v/>
      </c>
      <c r="P48" t="inlineStr">
        <is>
          <t>mort</t>
        </is>
      </c>
      <c r="Q48">
        <f>OR(LEFT('Tag 4'!$U$7,2)="G3",'Tag 4'!$U$7="G12")</f>
        <v/>
      </c>
      <c r="U48" t="inlineStr">
        <is>
          <t>mort</t>
        </is>
      </c>
      <c r="V48">
        <f>OR(LEFT('Tag 5'!$U$7,2)="G3",'Tag 5'!$U$7="G12")</f>
        <v/>
      </c>
      <c r="Z48" t="inlineStr">
        <is>
          <t>mort</t>
        </is>
      </c>
      <c r="AA48">
        <f>OR(LEFT('Tag 6'!$U$7,2)="G3",'Tag 6'!$U$7="G12")</f>
        <v/>
      </c>
    </row>
    <row r="49">
      <c r="A49" t="inlineStr">
        <is>
          <t>cylE</t>
        </is>
      </c>
      <c r="B49">
        <f>IF(OR(Calc!$B$48,'Tag 1'!$U$7="G18",'Tag 1'!$U$7="G11",'Tag 1'!$U$7="G11A",'Tag 1'!$U$7="G12A",NOT(ISNUMBER(Calc!$B$45))),"",Calc!$B$45-Calc!$B$22)</f>
        <v/>
      </c>
      <c r="F49" t="inlineStr">
        <is>
          <t>cylE</t>
        </is>
      </c>
      <c r="G49">
        <f>IF(OR(Calc!$G$48,'Tag 2'!$U$7="G18",'Tag 2'!$U$7="G11",'Tag 2'!$U$7="G11A",'Tag 2'!$U$7="G12A",NOT(ISNUMBER(Calc!$G$45))),"",Calc!$G$45-Calc!$G$22)</f>
        <v/>
      </c>
      <c r="K49" t="inlineStr">
        <is>
          <t>cylE</t>
        </is>
      </c>
      <c r="L49">
        <f>IF(OR(Calc!$L$48,'Tag 3'!$U$7="G18",'Tag 3'!$U$7="G11",'Tag 3'!$U$7="G11A",'Tag 3'!$U$7="G12A",NOT(ISNUMBER(Calc!$L$45))),"",Calc!$L$45-Calc!$L$22)</f>
        <v/>
      </c>
      <c r="P49" t="inlineStr">
        <is>
          <t>cylE</t>
        </is>
      </c>
      <c r="Q49">
        <f>IF(OR(Calc!$Q$48,'Tag 4'!$U$7="G18",'Tag 4'!$U$7="G11",'Tag 4'!$U$7="G11A",'Tag 4'!$U$7="G12A",NOT(ISNUMBER(Calc!$Q$45))),"",Calc!$Q$45-Calc!$Q$22)</f>
        <v/>
      </c>
      <c r="U49" t="inlineStr">
        <is>
          <t>cylE</t>
        </is>
      </c>
      <c r="V49">
        <f>IF(OR(Calc!$V$48,'Tag 5'!$U$7="G18",'Tag 5'!$U$7="G11",'Tag 5'!$U$7="G11A",'Tag 5'!$U$7="G12A",NOT(ISNUMBER(Calc!$V$45))),"",Calc!$V$45-Calc!$V$22)</f>
        <v/>
      </c>
      <c r="Z49" t="inlineStr">
        <is>
          <t>cylE</t>
        </is>
      </c>
      <c r="AA49">
        <f>IF(OR(Calc!$AA$48,'Tag 6'!$U$7="G18",'Tag 6'!$U$7="G11",'Tag 6'!$U$7="G11A",'Tag 6'!$U$7="G12A",NOT(ISNUMBER(Calc!$AA$45))),"",Calc!$AA$45-Calc!$AA$22)</f>
        <v/>
      </c>
    </row>
    <row r="50">
      <c r="A50" t="inlineStr">
        <is>
          <t>cyl2</t>
        </is>
      </c>
      <c r="B50">
        <f>IF(AND(ISNUMBER(Calc!$B$47),OR('Tag 1'!$W$7&lt;&gt;"",'Tag 1'!$U$7="G2G2")),Calc!$B$47-Calc!$B$22,"")</f>
        <v/>
      </c>
      <c r="F50" t="inlineStr">
        <is>
          <t>cyl2</t>
        </is>
      </c>
      <c r="G50">
        <f>IF(AND(ISNUMBER(Calc!$G$47),OR('Tag 2'!$W$7&lt;&gt;"",'Tag 2'!$U$7="G2G2")),Calc!$G$47-Calc!$G$22,"")</f>
        <v/>
      </c>
      <c r="K50" t="inlineStr">
        <is>
          <t>cyl2</t>
        </is>
      </c>
      <c r="L50">
        <f>IF(AND(ISNUMBER(Calc!$L$47),OR('Tag 3'!$W$7&lt;&gt;"",'Tag 3'!$U$7="G2G2")),Calc!$L$47-Calc!$L$22,"")</f>
        <v/>
      </c>
      <c r="P50" t="inlineStr">
        <is>
          <t>cyl2</t>
        </is>
      </c>
      <c r="Q50">
        <f>IF(AND(ISNUMBER(Calc!$Q$47),OR('Tag 4'!$W$7&lt;&gt;"",'Tag 4'!$U$7="G2G2")),Calc!$Q$47-Calc!$Q$22,"")</f>
        <v/>
      </c>
      <c r="U50" t="inlineStr">
        <is>
          <t>cyl2</t>
        </is>
      </c>
      <c r="V50">
        <f>IF(AND(ISNUMBER(Calc!$V$47),OR('Tag 5'!$W$7&lt;&gt;"",'Tag 5'!$U$7="G2G2")),Calc!$V$47-Calc!$V$22,"")</f>
        <v/>
      </c>
      <c r="Z50" t="inlineStr">
        <is>
          <t>cyl2</t>
        </is>
      </c>
      <c r="AA50">
        <f>IF(AND(ISNUMBER(Calc!$AA$47),OR('Tag 6'!$W$7&lt;&gt;"",'Tag 6'!$U$7="G2G2")),Calc!$AA$47-Calc!$AA$22,"")</f>
        <v/>
      </c>
    </row>
    <row r="51">
      <c r="A51" t="inlineStr">
        <is>
          <t>mtop</t>
        </is>
      </c>
      <c r="B51">
        <f>IF(Calc!$B$48,Calc!$B$45+0.25-4,"")</f>
        <v/>
      </c>
      <c r="F51" t="inlineStr">
        <is>
          <t>mtop</t>
        </is>
      </c>
      <c r="G51">
        <f>IF(Calc!$G$48,Calc!$G$45+0.25-4,"")</f>
        <v/>
      </c>
      <c r="K51" t="inlineStr">
        <is>
          <t>mtop</t>
        </is>
      </c>
      <c r="L51">
        <f>IF(Calc!$L$48,Calc!$L$45+0.25-4,"")</f>
        <v/>
      </c>
      <c r="P51" t="inlineStr">
        <is>
          <t>mtop</t>
        </is>
      </c>
      <c r="Q51">
        <f>IF(Calc!$Q$48,Calc!$Q$45+0.25-4,"")</f>
        <v/>
      </c>
      <c r="U51" t="inlineStr">
        <is>
          <t>mtop</t>
        </is>
      </c>
      <c r="V51">
        <f>IF(Calc!$V$48,Calc!$V$45+0.25-4,"")</f>
        <v/>
      </c>
      <c r="Z51" t="inlineStr">
        <is>
          <t>mtop</t>
        </is>
      </c>
      <c r="AA51">
        <f>IF(Calc!$AA$48,Calc!$AA$45+0.25-4,"")</f>
        <v/>
      </c>
    </row>
    <row r="52">
      <c r="A52" t="inlineStr">
        <is>
          <t>mcl</t>
        </is>
      </c>
      <c r="B52">
        <f>IF(Calc!$B$48,Calc!$B$45+0.25,"")</f>
        <v/>
      </c>
      <c r="F52" t="inlineStr">
        <is>
          <t>mcl</t>
        </is>
      </c>
      <c r="G52">
        <f>IF(Calc!$G$48,Calc!$G$45+0.25,"")</f>
        <v/>
      </c>
      <c r="K52" t="inlineStr">
        <is>
          <t>mcl</t>
        </is>
      </c>
      <c r="L52">
        <f>IF(Calc!$L$48,Calc!$L$45+0.25,"")</f>
        <v/>
      </c>
      <c r="P52" t="inlineStr">
        <is>
          <t>mcl</t>
        </is>
      </c>
      <c r="Q52">
        <f>IF(Calc!$Q$48,Calc!$Q$45+0.25,"")</f>
        <v/>
      </c>
      <c r="U52" t="inlineStr">
        <is>
          <t>mcl</t>
        </is>
      </c>
      <c r="V52">
        <f>IF(Calc!$V$48,Calc!$V$45+0.25,"")</f>
        <v/>
      </c>
      <c r="Z52" t="inlineStr">
        <is>
          <t>mcl</t>
        </is>
      </c>
      <c r="AA52">
        <f>IF(Calc!$AA$48,Calc!$AA$45+0.25,"")</f>
        <v/>
      </c>
    </row>
    <row r="53">
      <c r="A53" t="inlineStr">
        <is>
          <t>lockAFF</t>
        </is>
      </c>
      <c r="B53">
        <f>IF(ISNUMBER(Calc!$B$45),Calc!$B$2-Calc!$B$45,"")</f>
        <v/>
      </c>
      <c r="F53" t="inlineStr">
        <is>
          <t>lockAFF</t>
        </is>
      </c>
      <c r="G53">
        <f>IF(ISNUMBER(Calc!$G$45),Calc!$G$2-Calc!$G$45,"")</f>
        <v/>
      </c>
      <c r="K53" t="inlineStr">
        <is>
          <t>lockAFF</t>
        </is>
      </c>
      <c r="L53">
        <f>IF(ISNUMBER(Calc!$L$45),Calc!$L$2-Calc!$L$45,"")</f>
        <v/>
      </c>
      <c r="P53" t="inlineStr">
        <is>
          <t>lockAFF</t>
        </is>
      </c>
      <c r="Q53">
        <f>IF(ISNUMBER(Calc!$Q$45),Calc!$Q$2-Calc!$Q$45,"")</f>
        <v/>
      </c>
      <c r="U53" t="inlineStr">
        <is>
          <t>lockAFF</t>
        </is>
      </c>
      <c r="V53">
        <f>IF(ISNUMBER(Calc!$V$45),Calc!$V$2-Calc!$V$45,"")</f>
        <v/>
      </c>
      <c r="Z53" t="inlineStr">
        <is>
          <t>lockAFF</t>
        </is>
      </c>
      <c r="AA53">
        <f>IF(ISNUMBER(Calc!$AA$45),Calc!$AA$2-Calc!$AA$45,"")</f>
        <v/>
      </c>
    </row>
    <row r="54">
      <c r="A54" t="inlineStr">
        <is>
          <t>elevS</t>
        </is>
      </c>
      <c r="B54">
        <f>SUBSTITUTE(SUBSTITUTE('Tag 1'!$B$9," (WD)",""),CHAR(34),"")</f>
        <v/>
      </c>
      <c r="F54" t="inlineStr">
        <is>
          <t>elevS</t>
        </is>
      </c>
      <c r="G54">
        <f>SUBSTITUTE(SUBSTITUTE('Tag 2'!$B$9," (WD)",""),CHAR(34),"")</f>
        <v/>
      </c>
      <c r="K54" t="inlineStr">
        <is>
          <t>elevS</t>
        </is>
      </c>
      <c r="L54">
        <f>SUBSTITUTE(SUBSTITUTE('Tag 3'!$B$9," (WD)",""),CHAR(34),"")</f>
        <v/>
      </c>
      <c r="P54" t="inlineStr">
        <is>
          <t>elevS</t>
        </is>
      </c>
      <c r="Q54">
        <f>SUBSTITUTE(SUBSTITUTE('Tag 4'!$B$9," (WD)",""),CHAR(34),"")</f>
        <v/>
      </c>
      <c r="U54" t="inlineStr">
        <is>
          <t>elevS</t>
        </is>
      </c>
      <c r="V54">
        <f>SUBSTITUTE(SUBSTITUTE('Tag 5'!$B$9," (WD)",""),CHAR(34),"")</f>
        <v/>
      </c>
      <c r="Z54" t="inlineStr">
        <is>
          <t>elevS</t>
        </is>
      </c>
      <c r="AA54">
        <f>SUBSTITUTE(SUBSTITUTE('Tag 6'!$B$9," (WD)",""),CHAR(34),"")</f>
        <v/>
      </c>
    </row>
    <row r="55">
      <c r="A55" t="inlineStr">
        <is>
          <t>pre</t>
        </is>
      </c>
      <c r="B55">
        <f>IF(OR('Tag 1'!$B$9="",'Tag 1'!$B$9="FLUSH",ISNUMBER(SEARCH("VIEWER",'Tag 1'!$B$9))),"",LEFT('Tag 1'!$B$9,FIND(" ",'Tag 1'!$B$9&amp;" ")-1))</f>
        <v/>
      </c>
      <c r="F55" t="inlineStr">
        <is>
          <t>pre</t>
        </is>
      </c>
      <c r="G55">
        <f>IF(OR('Tag 2'!$B$9="",'Tag 2'!$B$9="FLUSH",ISNUMBER(SEARCH("VIEWER",'Tag 2'!$B$9))),"",LEFT('Tag 2'!$B$9,FIND(" ",'Tag 2'!$B$9&amp;" ")-1))</f>
        <v/>
      </c>
      <c r="K55" t="inlineStr">
        <is>
          <t>pre</t>
        </is>
      </c>
      <c r="L55">
        <f>IF(OR('Tag 3'!$B$9="",'Tag 3'!$B$9="FLUSH",ISNUMBER(SEARCH("VIEWER",'Tag 3'!$B$9))),"",LEFT('Tag 3'!$B$9,FIND(" ",'Tag 3'!$B$9&amp;" ")-1))</f>
        <v/>
      </c>
      <c r="P55" t="inlineStr">
        <is>
          <t>pre</t>
        </is>
      </c>
      <c r="Q55">
        <f>IF(OR('Tag 4'!$B$9="",'Tag 4'!$B$9="FLUSH",ISNUMBER(SEARCH("VIEWER",'Tag 4'!$B$9))),"",LEFT('Tag 4'!$B$9,FIND(" ",'Tag 4'!$B$9&amp;" ")-1))</f>
        <v/>
      </c>
      <c r="U55" t="inlineStr">
        <is>
          <t>pre</t>
        </is>
      </c>
      <c r="V55">
        <f>IF(OR('Tag 5'!$B$9="",'Tag 5'!$B$9="FLUSH",ISNUMBER(SEARCH("VIEWER",'Tag 5'!$B$9))),"",LEFT('Tag 5'!$B$9,FIND(" ",'Tag 5'!$B$9&amp;" ")-1))</f>
        <v/>
      </c>
      <c r="Z55" t="inlineStr">
        <is>
          <t>pre</t>
        </is>
      </c>
      <c r="AA55">
        <f>IF(OR('Tag 6'!$B$9="",'Tag 6'!$B$9="FLUSH",ISNUMBER(SEARCH("VIEWER",'Tag 6'!$B$9))),"",LEFT('Tag 6'!$B$9,FIND(" ",'Tag 6'!$B$9&amp;" ")-1))</f>
        <v/>
      </c>
    </row>
    <row r="56">
      <c r="A56" t="inlineStr">
        <is>
          <t>lw</t>
        </is>
      </c>
      <c r="B56">
        <f>IF(N('Tag 1'!$V$9)&gt;0,'Tag 1'!$V$9,IF(Calc!$B$55="",0,IFERROR(VALUE(MID(Calc!$B$54,FIND(" ",Calc!$B$54)+1,FIND("x",Calc!$B$54)-FIND(" ",Calc!$B$54)-1)),0)))</f>
        <v/>
      </c>
      <c r="F56" t="inlineStr">
        <is>
          <t>lw</t>
        </is>
      </c>
      <c r="G56">
        <f>IF(N('Tag 2'!$V$9)&gt;0,'Tag 2'!$V$9,IF(Calc!$G$55="",0,IFERROR(VALUE(MID(Calc!$G$54,FIND(" ",Calc!$G$54)+1,FIND("x",Calc!$G$54)-FIND(" ",Calc!$G$54)-1)),0)))</f>
        <v/>
      </c>
      <c r="K56" t="inlineStr">
        <is>
          <t>lw</t>
        </is>
      </c>
      <c r="L56">
        <f>IF(N('Tag 3'!$V$9)&gt;0,'Tag 3'!$V$9,IF(Calc!$L$55="",0,IFERROR(VALUE(MID(Calc!$L$54,FIND(" ",Calc!$L$54)+1,FIND("x",Calc!$L$54)-FIND(" ",Calc!$L$54)-1)),0)))</f>
        <v/>
      </c>
      <c r="P56" t="inlineStr">
        <is>
          <t>lw</t>
        </is>
      </c>
      <c r="Q56">
        <f>IF(N('Tag 4'!$V$9)&gt;0,'Tag 4'!$V$9,IF(Calc!$Q$55="",0,IFERROR(VALUE(MID(Calc!$Q$54,FIND(" ",Calc!$Q$54)+1,FIND("x",Calc!$Q$54)-FIND(" ",Calc!$Q$54)-1)),0)))</f>
        <v/>
      </c>
      <c r="U56" t="inlineStr">
        <is>
          <t>lw</t>
        </is>
      </c>
      <c r="V56">
        <f>IF(N('Tag 5'!$V$9)&gt;0,'Tag 5'!$V$9,IF(Calc!$V$55="",0,IFERROR(VALUE(MID(Calc!$V$54,FIND(" ",Calc!$V$54)+1,FIND("x",Calc!$V$54)-FIND(" ",Calc!$V$54)-1)),0)))</f>
        <v/>
      </c>
      <c r="Z56" t="inlineStr">
        <is>
          <t>lw</t>
        </is>
      </c>
      <c r="AA56">
        <f>IF(N('Tag 6'!$V$9)&gt;0,'Tag 6'!$V$9,IF(Calc!$AA$55="",0,IFERROR(VALUE(MID(Calc!$AA$54,FIND(" ",Calc!$AA$54)+1,FIND("x",Calc!$AA$54)-FIND(" ",Calc!$AA$54)-1)),0)))</f>
        <v/>
      </c>
    </row>
    <row r="57">
      <c r="A57" t="inlineStr">
        <is>
          <t>lh</t>
        </is>
      </c>
      <c r="B57">
        <f>IF(N('Tag 1'!$W$9)&gt;0,'Tag 1'!$W$9,IF(Calc!$B$55="",0,IFERROR(VALUE(MID(Calc!$B$54,FIND("x",Calc!$B$54)+1,9)),0)))</f>
        <v/>
      </c>
      <c r="F57" t="inlineStr">
        <is>
          <t>lh</t>
        </is>
      </c>
      <c r="G57">
        <f>IF(N('Tag 2'!$W$9)&gt;0,'Tag 2'!$W$9,IF(Calc!$G$55="",0,IFERROR(VALUE(MID(Calc!$G$54,FIND("x",Calc!$G$54)+1,9)),0)))</f>
        <v/>
      </c>
      <c r="K57" t="inlineStr">
        <is>
          <t>lh</t>
        </is>
      </c>
      <c r="L57">
        <f>IF(N('Tag 3'!$W$9)&gt;0,'Tag 3'!$W$9,IF(Calc!$L$55="",0,IFERROR(VALUE(MID(Calc!$L$54,FIND("x",Calc!$L$54)+1,9)),0)))</f>
        <v/>
      </c>
      <c r="P57" t="inlineStr">
        <is>
          <t>lh</t>
        </is>
      </c>
      <c r="Q57">
        <f>IF(N('Tag 4'!$W$9)&gt;0,'Tag 4'!$W$9,IF(Calc!$Q$55="",0,IFERROR(VALUE(MID(Calc!$Q$54,FIND("x",Calc!$Q$54)+1,9)),0)))</f>
        <v/>
      </c>
      <c r="U57" t="inlineStr">
        <is>
          <t>lh</t>
        </is>
      </c>
      <c r="V57">
        <f>IF(N('Tag 5'!$W$9)&gt;0,'Tag 5'!$W$9,IF(Calc!$V$55="",0,IFERROR(VALUE(MID(Calc!$V$54,FIND("x",Calc!$V$54)+1,9)),0)))</f>
        <v/>
      </c>
      <c r="Z57" t="inlineStr">
        <is>
          <t>lh</t>
        </is>
      </c>
      <c r="AA57">
        <f>IF(N('Tag 6'!$W$9)&gt;0,'Tag 6'!$W$9,IF(Calc!$AA$55="",0,IFERROR(VALUE(MID(Calc!$AA$54,FIND("x",Calc!$AA$54)+1,9)),0)))</f>
        <v/>
      </c>
    </row>
    <row r="58">
      <c r="A58" t="inlineStr">
        <is>
          <t>ltop</t>
        </is>
      </c>
      <c r="B58">
        <f>IF(N('Tag 1'!$X$9)&gt;0,'Tag 1'!$X$9,IF(Calc!$B$55="FL",Calc!$B$25-8-Calc!$B$57,LiteTop))</f>
        <v/>
      </c>
      <c r="F58" t="inlineStr">
        <is>
          <t>ltop</t>
        </is>
      </c>
      <c r="G58">
        <f>IF(N('Tag 2'!$X$9)&gt;0,'Tag 2'!$X$9,IF(Calc!$G$55="FL",Calc!$G$25-8-Calc!$G$57,LiteTop))</f>
        <v/>
      </c>
      <c r="K58" t="inlineStr">
        <is>
          <t>ltop</t>
        </is>
      </c>
      <c r="L58">
        <f>IF(N('Tag 3'!$X$9)&gt;0,'Tag 3'!$X$9,IF(Calc!$L$55="FL",Calc!$L$25-8-Calc!$L$57,LiteTop))</f>
        <v/>
      </c>
      <c r="P58" t="inlineStr">
        <is>
          <t>ltop</t>
        </is>
      </c>
      <c r="Q58">
        <f>IF(N('Tag 4'!$X$9)&gt;0,'Tag 4'!$X$9,IF(Calc!$Q$55="FL",Calc!$Q$25-8-Calc!$Q$57,LiteTop))</f>
        <v/>
      </c>
      <c r="U58" t="inlineStr">
        <is>
          <t>ltop</t>
        </is>
      </c>
      <c r="V58">
        <f>IF(N('Tag 5'!$X$9)&gt;0,'Tag 5'!$X$9,IF(Calc!$V$55="FL",Calc!$V$25-8-Calc!$V$57,LiteTop))</f>
        <v/>
      </c>
      <c r="Z58" t="inlineStr">
        <is>
          <t>ltop</t>
        </is>
      </c>
      <c r="AA58">
        <f>IF(N('Tag 6'!$X$9)&gt;0,'Tag 6'!$X$9,IF(Calc!$AA$55="FL",Calc!$AA$25-8-Calc!$AA$57,LiteTop))</f>
        <v/>
      </c>
    </row>
    <row r="59">
      <c r="A59" t="inlineStr">
        <is>
          <t>hasLite</t>
        </is>
      </c>
      <c r="B59">
        <f>AND(Calc!$B$3,Calc!$B$56&gt;0,Calc!$B$57&gt;0)</f>
        <v/>
      </c>
      <c r="F59" t="inlineStr">
        <is>
          <t>hasLite</t>
        </is>
      </c>
      <c r="G59">
        <f>AND(Calc!$G$3,Calc!$G$56&gt;0,Calc!$G$57&gt;0)</f>
        <v/>
      </c>
      <c r="K59" t="inlineStr">
        <is>
          <t>hasLite</t>
        </is>
      </c>
      <c r="L59">
        <f>AND(Calc!$L$3,Calc!$L$56&gt;0,Calc!$L$57&gt;0)</f>
        <v/>
      </c>
      <c r="P59" t="inlineStr">
        <is>
          <t>hasLite</t>
        </is>
      </c>
      <c r="Q59">
        <f>AND(Calc!$Q$3,Calc!$Q$56&gt;0,Calc!$Q$57&gt;0)</f>
        <v/>
      </c>
      <c r="U59" t="inlineStr">
        <is>
          <t>hasLite</t>
        </is>
      </c>
      <c r="V59">
        <f>AND(Calc!$V$3,Calc!$V$56&gt;0,Calc!$V$57&gt;0)</f>
        <v/>
      </c>
      <c r="Z59" t="inlineStr">
        <is>
          <t>hasLite</t>
        </is>
      </c>
      <c r="AA59">
        <f>AND(Calc!$AA$3,Calc!$AA$56&gt;0,Calc!$AA$57&gt;0)</f>
        <v/>
      </c>
    </row>
    <row r="60">
      <c r="A60" t="inlineStr">
        <is>
          <t>hingeL</t>
        </is>
      </c>
      <c r="B60">
        <f>OR('Tag 1'!$M$7="LH",'Tag 1'!$M$7="LHR",'Tag 1'!$M$7="NH")</f>
        <v/>
      </c>
      <c r="F60" t="inlineStr">
        <is>
          <t>hingeL</t>
        </is>
      </c>
      <c r="G60">
        <f>OR('Tag 2'!$M$7="LH",'Tag 2'!$M$7="LHR",'Tag 2'!$M$7="NH")</f>
        <v/>
      </c>
      <c r="K60" t="inlineStr">
        <is>
          <t>hingeL</t>
        </is>
      </c>
      <c r="L60">
        <f>OR('Tag 3'!$M$7="LH",'Tag 3'!$M$7="LHR",'Tag 3'!$M$7="NH")</f>
        <v/>
      </c>
      <c r="P60" t="inlineStr">
        <is>
          <t>hingeL</t>
        </is>
      </c>
      <c r="Q60">
        <f>OR('Tag 4'!$M$7="LH",'Tag 4'!$M$7="LHR",'Tag 4'!$M$7="NH")</f>
        <v/>
      </c>
      <c r="U60" t="inlineStr">
        <is>
          <t>hingeL</t>
        </is>
      </c>
      <c r="V60">
        <f>OR('Tag 5'!$M$7="LH",'Tag 5'!$M$7="LHR",'Tag 5'!$M$7="NH")</f>
        <v/>
      </c>
      <c r="Z60" t="inlineStr">
        <is>
          <t>hingeL</t>
        </is>
      </c>
      <c r="AA60">
        <f>OR('Tag 6'!$M$7="LH",'Tag 6'!$M$7="LHR",'Tag 6'!$M$7="NH")</f>
        <v/>
      </c>
    </row>
    <row r="61">
      <c r="A61" t="inlineStr">
        <is>
          <t>rev</t>
        </is>
      </c>
      <c r="B61">
        <f>OR('Tag 1'!$M$7="LHR",'Tag 1'!$M$7="RHR")</f>
        <v/>
      </c>
      <c r="F61" t="inlineStr">
        <is>
          <t>rev</t>
        </is>
      </c>
      <c r="G61">
        <f>OR('Tag 2'!$M$7="LHR",'Tag 2'!$M$7="RHR")</f>
        <v/>
      </c>
      <c r="K61" t="inlineStr">
        <is>
          <t>rev</t>
        </is>
      </c>
      <c r="L61">
        <f>OR('Tag 3'!$M$7="LHR",'Tag 3'!$M$7="RHR")</f>
        <v/>
      </c>
      <c r="P61" t="inlineStr">
        <is>
          <t>rev</t>
        </is>
      </c>
      <c r="Q61">
        <f>OR('Tag 4'!$M$7="LHR",'Tag 4'!$M$7="RHR")</f>
        <v/>
      </c>
      <c r="U61" t="inlineStr">
        <is>
          <t>rev</t>
        </is>
      </c>
      <c r="V61">
        <f>OR('Tag 5'!$M$7="LHR",'Tag 5'!$M$7="RHR")</f>
        <v/>
      </c>
      <c r="Z61" t="inlineStr">
        <is>
          <t>rev</t>
        </is>
      </c>
      <c r="AA61">
        <f>OR('Tag 6'!$M$7="LHR",'Tag 6'!$M$7="RHR")</f>
        <v/>
      </c>
    </row>
    <row r="62">
      <c r="A62" t="inlineStr">
        <is>
          <t>hingeTxt</t>
        </is>
      </c>
      <c r="B62">
        <f>IF(AND(Calc!$B$4,LEFT('Tag 1'!$P$7,3)="U45"),(2*VALUE(MID('Tag 1'!$P$7,4,1)))&amp;MID(IFERROR(VLOOKUP('Tag 1'!$P$7,T_Leg,2,FALSE),'Tag 1'!$P$7),2,99),IFERROR(VLOOKUP('Tag 1'!$P$7,T_Leg,2,FALSE),'Tag 1'!$P$7))</f>
        <v/>
      </c>
      <c r="F62" t="inlineStr">
        <is>
          <t>hingeTxt</t>
        </is>
      </c>
      <c r="G62">
        <f>IF(AND(Calc!$G$4,LEFT('Tag 2'!$P$7,3)="U45"),(2*VALUE(MID('Tag 2'!$P$7,4,1)))&amp;MID(IFERROR(VLOOKUP('Tag 2'!$P$7,T_Leg,2,FALSE),'Tag 2'!$P$7),2,99),IFERROR(VLOOKUP('Tag 2'!$P$7,T_Leg,2,FALSE),'Tag 2'!$P$7))</f>
        <v/>
      </c>
      <c r="K62" t="inlineStr">
        <is>
          <t>hingeTxt</t>
        </is>
      </c>
      <c r="L62">
        <f>IF(AND(Calc!$L$4,LEFT('Tag 3'!$P$7,3)="U45"),(2*VALUE(MID('Tag 3'!$P$7,4,1)))&amp;MID(IFERROR(VLOOKUP('Tag 3'!$P$7,T_Leg,2,FALSE),'Tag 3'!$P$7),2,99),IFERROR(VLOOKUP('Tag 3'!$P$7,T_Leg,2,FALSE),'Tag 3'!$P$7))</f>
        <v/>
      </c>
      <c r="P62" t="inlineStr">
        <is>
          <t>hingeTxt</t>
        </is>
      </c>
      <c r="Q62">
        <f>IF(AND(Calc!$Q$4,LEFT('Tag 4'!$P$7,3)="U45"),(2*VALUE(MID('Tag 4'!$P$7,4,1)))&amp;MID(IFERROR(VLOOKUP('Tag 4'!$P$7,T_Leg,2,FALSE),'Tag 4'!$P$7),2,99),IFERROR(VLOOKUP('Tag 4'!$P$7,T_Leg,2,FALSE),'Tag 4'!$P$7))</f>
        <v/>
      </c>
      <c r="U62" t="inlineStr">
        <is>
          <t>hingeTxt</t>
        </is>
      </c>
      <c r="V62">
        <f>IF(AND(Calc!$V$4,LEFT('Tag 5'!$P$7,3)="U45"),(2*VALUE(MID('Tag 5'!$P$7,4,1)))&amp;MID(IFERROR(VLOOKUP('Tag 5'!$P$7,T_Leg,2,FALSE),'Tag 5'!$P$7),2,99),IFERROR(VLOOKUP('Tag 5'!$P$7,T_Leg,2,FALSE),'Tag 5'!$P$7))</f>
        <v/>
      </c>
      <c r="Z62" t="inlineStr">
        <is>
          <t>hingeTxt</t>
        </is>
      </c>
      <c r="AA62">
        <f>IF(AND(Calc!$AA$4,LEFT('Tag 6'!$P$7,3)="U45"),(2*VALUE(MID('Tag 6'!$P$7,4,1)))&amp;MID(IFERROR(VLOOKUP('Tag 6'!$P$7,T_Leg,2,FALSE),'Tag 6'!$P$7),2,99),IFERROR(VLOOKUP('Tag 6'!$P$7,T_Leg,2,FALSE),'Tag 6'!$P$7))</f>
        <v/>
      </c>
    </row>
    <row r="63">
      <c r="A63" t="inlineStr">
        <is>
          <t>code</t>
        </is>
      </c>
      <c r="B63">
        <f>'Tag 1'!$F$7&amp;N('Tag 1'!$G$7)&amp;'Tag 1'!$H$7&amp;N('Tag 1'!$I$7)</f>
        <v/>
      </c>
      <c r="F63" t="inlineStr">
        <is>
          <t>code</t>
        </is>
      </c>
      <c r="G63">
        <f>'Tag 2'!$F$7&amp;N('Tag 2'!$G$7)&amp;'Tag 2'!$H$7&amp;N('Tag 2'!$I$7)</f>
        <v/>
      </c>
      <c r="K63" t="inlineStr">
        <is>
          <t>code</t>
        </is>
      </c>
      <c r="L63">
        <f>'Tag 3'!$F$7&amp;N('Tag 3'!$G$7)&amp;'Tag 3'!$H$7&amp;N('Tag 3'!$I$7)</f>
        <v/>
      </c>
      <c r="P63" t="inlineStr">
        <is>
          <t>code</t>
        </is>
      </c>
      <c r="Q63">
        <f>'Tag 4'!$F$7&amp;N('Tag 4'!$G$7)&amp;'Tag 4'!$H$7&amp;N('Tag 4'!$I$7)</f>
        <v/>
      </c>
      <c r="U63" t="inlineStr">
        <is>
          <t>code</t>
        </is>
      </c>
      <c r="V63">
        <f>'Tag 5'!$F$7&amp;N('Tag 5'!$G$7)&amp;'Tag 5'!$H$7&amp;N('Tag 5'!$I$7)</f>
        <v/>
      </c>
      <c r="Z63" t="inlineStr">
        <is>
          <t>code</t>
        </is>
      </c>
      <c r="AA63">
        <f>'Tag 6'!$F$7&amp;N('Tag 6'!$G$7)&amp;'Tag 6'!$H$7&amp;N('Tag 6'!$I$7)</f>
        <v/>
      </c>
    </row>
    <row r="64">
      <c r="A64" t="inlineStr">
        <is>
          <t>FLINE</t>
        </is>
      </c>
      <c r="B64">
        <f>TRIM(Calc!$B$7&amp;" "&amp;Calc!$B$63&amp;" "&amp;IF(Calc!$B$4,"PAIR",IFERROR(VLOOKUP('Tag 1'!$M$7,T_Leg,2,FALSE),'Tag 1'!$M$7))&amp;" "&amp;IFERROR(VLOOKUP('Tag 1'!$K$7,T_Leg,2,FALSE),'Tag 1'!$K$7)&amp;" FRAME | "&amp;IFERROR(VLOOKUP('Tag 1'!$N$7,T_Leg,2,FALSE),'Tag 1'!$N$7)&amp;" | "&amp;Calc!$B$62&amp;" "&amp;IF(Calc!$B$4,"FB.STK",IFERROR(VLOOKUP('Tag 1'!$R$7,T_Leg,2,FALSE),'Tag 1'!$R$7))&amp;IF('Tag 1'!$T$7="",""," "&amp;IFERROR(VLOOKUP('Tag 1'!$T$7,T_Leg,2,FALSE),'Tag 1'!$T$7))&amp;IF(N(Calc!$B$12)&gt;=4," 4"&amp;CHAR(34)&amp;" HEAD","")&amp;" "&amp;IFERROR(VLOOKUP('Tag 1'!$D$7,T_Leg,2,FALSE),'Tag 1'!$D$7)&amp;IF(AND(NOT(Calc!$B$8),NOT(Calc!$B$9))," ( R.O. "&amp;TRIM(TEXT(Calc!$B$16,"# ?/??"))&amp;CHAR(34)&amp;" x "&amp;TRIM(TEXT(Calc!$B$17,"# ?/??"))&amp;CHAR(34)&amp;" )",""))</f>
        <v/>
      </c>
      <c r="F64" t="inlineStr">
        <is>
          <t>FLINE</t>
        </is>
      </c>
      <c r="G64">
        <f>TRIM(Calc!$G$7&amp;" "&amp;Calc!$G$63&amp;" "&amp;IF(Calc!$G$4,"PAIR",IFERROR(VLOOKUP('Tag 2'!$M$7,T_Leg,2,FALSE),'Tag 2'!$M$7))&amp;" "&amp;IFERROR(VLOOKUP('Tag 2'!$K$7,T_Leg,2,FALSE),'Tag 2'!$K$7)&amp;" FRAME | "&amp;IFERROR(VLOOKUP('Tag 2'!$N$7,T_Leg,2,FALSE),'Tag 2'!$N$7)&amp;" | "&amp;Calc!$G$62&amp;" "&amp;IF(Calc!$G$4,"FB.STK",IFERROR(VLOOKUP('Tag 2'!$R$7,T_Leg,2,FALSE),'Tag 2'!$R$7))&amp;IF('Tag 2'!$T$7="",""," "&amp;IFERROR(VLOOKUP('Tag 2'!$T$7,T_Leg,2,FALSE),'Tag 2'!$T$7))&amp;IF(N(Calc!$G$12)&gt;=4," 4"&amp;CHAR(34)&amp;" HEAD","")&amp;" "&amp;IFERROR(VLOOKUP('Tag 2'!$D$7,T_Leg,2,FALSE),'Tag 2'!$D$7)&amp;IF(AND(NOT(Calc!$G$8),NOT(Calc!$G$9))," ( R.O. "&amp;TRIM(TEXT(Calc!$G$16,"# ?/??"))&amp;CHAR(34)&amp;" x "&amp;TRIM(TEXT(Calc!$G$17,"# ?/??"))&amp;CHAR(34)&amp;" )",""))</f>
        <v/>
      </c>
      <c r="K64" t="inlineStr">
        <is>
          <t>FLINE</t>
        </is>
      </c>
      <c r="L64">
        <f>TRIM(Calc!$L$7&amp;" "&amp;Calc!$L$63&amp;" "&amp;IF(Calc!$L$4,"PAIR",IFERROR(VLOOKUP('Tag 3'!$M$7,T_Leg,2,FALSE),'Tag 3'!$M$7))&amp;" "&amp;IFERROR(VLOOKUP('Tag 3'!$K$7,T_Leg,2,FALSE),'Tag 3'!$K$7)&amp;" FRAME | "&amp;IFERROR(VLOOKUP('Tag 3'!$N$7,T_Leg,2,FALSE),'Tag 3'!$N$7)&amp;" | "&amp;Calc!$L$62&amp;" "&amp;IF(Calc!$L$4,"FB.STK",IFERROR(VLOOKUP('Tag 3'!$R$7,T_Leg,2,FALSE),'Tag 3'!$R$7))&amp;IF('Tag 3'!$T$7="",""," "&amp;IFERROR(VLOOKUP('Tag 3'!$T$7,T_Leg,2,FALSE),'Tag 3'!$T$7))&amp;IF(N(Calc!$L$12)&gt;=4," 4"&amp;CHAR(34)&amp;" HEAD","")&amp;" "&amp;IFERROR(VLOOKUP('Tag 3'!$D$7,T_Leg,2,FALSE),'Tag 3'!$D$7)&amp;IF(AND(NOT(Calc!$L$8),NOT(Calc!$L$9))," ( R.O. "&amp;TRIM(TEXT(Calc!$L$16,"# ?/??"))&amp;CHAR(34)&amp;" x "&amp;TRIM(TEXT(Calc!$L$17,"# ?/??"))&amp;CHAR(34)&amp;" )",""))</f>
        <v/>
      </c>
      <c r="P64" t="inlineStr">
        <is>
          <t>FLINE</t>
        </is>
      </c>
      <c r="Q64">
        <f>TRIM(Calc!$Q$7&amp;" "&amp;Calc!$Q$63&amp;" "&amp;IF(Calc!$Q$4,"PAIR",IFERROR(VLOOKUP('Tag 4'!$M$7,T_Leg,2,FALSE),'Tag 4'!$M$7))&amp;" "&amp;IFERROR(VLOOKUP('Tag 4'!$K$7,T_Leg,2,FALSE),'Tag 4'!$K$7)&amp;" FRAME | "&amp;IFERROR(VLOOKUP('Tag 4'!$N$7,T_Leg,2,FALSE),'Tag 4'!$N$7)&amp;" | "&amp;Calc!$Q$62&amp;" "&amp;IF(Calc!$Q$4,"FB.STK",IFERROR(VLOOKUP('Tag 4'!$R$7,T_Leg,2,FALSE),'Tag 4'!$R$7))&amp;IF('Tag 4'!$T$7="",""," "&amp;IFERROR(VLOOKUP('Tag 4'!$T$7,T_Leg,2,FALSE),'Tag 4'!$T$7))&amp;IF(N(Calc!$Q$12)&gt;=4," 4"&amp;CHAR(34)&amp;" HEAD","")&amp;" "&amp;IFERROR(VLOOKUP('Tag 4'!$D$7,T_Leg,2,FALSE),'Tag 4'!$D$7)&amp;IF(AND(NOT(Calc!$Q$8),NOT(Calc!$Q$9))," ( R.O. "&amp;TRIM(TEXT(Calc!$Q$16,"# ?/??"))&amp;CHAR(34)&amp;" x "&amp;TRIM(TEXT(Calc!$Q$17,"# ?/??"))&amp;CHAR(34)&amp;" )",""))</f>
        <v/>
      </c>
      <c r="U64" t="inlineStr">
        <is>
          <t>FLINE</t>
        </is>
      </c>
      <c r="V64">
        <f>TRIM(Calc!$V$7&amp;" "&amp;Calc!$V$63&amp;" "&amp;IF(Calc!$V$4,"PAIR",IFERROR(VLOOKUP('Tag 5'!$M$7,T_Leg,2,FALSE),'Tag 5'!$M$7))&amp;" "&amp;IFERROR(VLOOKUP('Tag 5'!$K$7,T_Leg,2,FALSE),'Tag 5'!$K$7)&amp;" FRAME | "&amp;IFERROR(VLOOKUP('Tag 5'!$N$7,T_Leg,2,FALSE),'Tag 5'!$N$7)&amp;" | "&amp;Calc!$V$62&amp;" "&amp;IF(Calc!$V$4,"FB.STK",IFERROR(VLOOKUP('Tag 5'!$R$7,T_Leg,2,FALSE),'Tag 5'!$R$7))&amp;IF('Tag 5'!$T$7="",""," "&amp;IFERROR(VLOOKUP('Tag 5'!$T$7,T_Leg,2,FALSE),'Tag 5'!$T$7))&amp;IF(N(Calc!$V$12)&gt;=4," 4"&amp;CHAR(34)&amp;" HEAD","")&amp;" "&amp;IFERROR(VLOOKUP('Tag 5'!$D$7,T_Leg,2,FALSE),'Tag 5'!$D$7)&amp;IF(AND(NOT(Calc!$V$8),NOT(Calc!$V$9))," ( R.O. "&amp;TRIM(TEXT(Calc!$V$16,"# ?/??"))&amp;CHAR(34)&amp;" x "&amp;TRIM(TEXT(Calc!$V$17,"# ?/??"))&amp;CHAR(34)&amp;" )",""))</f>
        <v/>
      </c>
      <c r="Z64" t="inlineStr">
        <is>
          <t>FLINE</t>
        </is>
      </c>
      <c r="AA64">
        <f>TRIM(Calc!$AA$7&amp;" "&amp;Calc!$AA$63&amp;" "&amp;IF(Calc!$AA$4,"PAIR",IFERROR(VLOOKUP('Tag 6'!$M$7,T_Leg,2,FALSE),'Tag 6'!$M$7))&amp;" "&amp;IFERROR(VLOOKUP('Tag 6'!$K$7,T_Leg,2,FALSE),'Tag 6'!$K$7)&amp;" FRAME | "&amp;IFERROR(VLOOKUP('Tag 6'!$N$7,T_Leg,2,FALSE),'Tag 6'!$N$7)&amp;" | "&amp;Calc!$AA$62&amp;" "&amp;IF(Calc!$AA$4,"FB.STK",IFERROR(VLOOKUP('Tag 6'!$R$7,T_Leg,2,FALSE),'Tag 6'!$R$7))&amp;IF('Tag 6'!$T$7="",""," "&amp;IFERROR(VLOOKUP('Tag 6'!$T$7,T_Leg,2,FALSE),'Tag 6'!$T$7))&amp;IF(N(Calc!$AA$12)&gt;=4," 4"&amp;CHAR(34)&amp;" HEAD","")&amp;" "&amp;IFERROR(VLOOKUP('Tag 6'!$D$7,T_Leg,2,FALSE),'Tag 6'!$D$7)&amp;IF(AND(NOT(Calc!$AA$8),NOT(Calc!$AA$9))," ( R.O. "&amp;TRIM(TEXT(Calc!$AA$16,"# ?/??"))&amp;CHAR(34)&amp;" x "&amp;TRIM(TEXT(Calc!$AA$17,"# ?/??"))&amp;CHAR(34)&amp;" )",""))</f>
        <v/>
      </c>
    </row>
    <row r="65">
      <c r="A65" t="inlineStr">
        <is>
          <t>dcode</t>
        </is>
      </c>
      <c r="B65">
        <f>IF(Calc!$B$4,INT(Calc!$B$1/2/12)&amp;MOD(Calc!$B$1/2,12)&amp;'Tag 1'!$H$7&amp;N('Tag 1'!$I$7),Calc!$B$63)</f>
        <v/>
      </c>
      <c r="F65" t="inlineStr">
        <is>
          <t>dcode</t>
        </is>
      </c>
      <c r="G65">
        <f>IF(Calc!$G$4,INT(Calc!$G$1/2/12)&amp;MOD(Calc!$G$1/2,12)&amp;'Tag 2'!$H$7&amp;N('Tag 2'!$I$7),Calc!$G$63)</f>
        <v/>
      </c>
      <c r="K65" t="inlineStr">
        <is>
          <t>dcode</t>
        </is>
      </c>
      <c r="L65">
        <f>IF(Calc!$L$4,INT(Calc!$L$1/2/12)&amp;MOD(Calc!$L$1/2,12)&amp;'Tag 3'!$H$7&amp;N('Tag 3'!$I$7),Calc!$L$63)</f>
        <v/>
      </c>
      <c r="P65" t="inlineStr">
        <is>
          <t>dcode</t>
        </is>
      </c>
      <c r="Q65">
        <f>IF(Calc!$Q$4,INT(Calc!$Q$1/2/12)&amp;MOD(Calc!$Q$1/2,12)&amp;'Tag 4'!$H$7&amp;N('Tag 4'!$I$7),Calc!$Q$63)</f>
        <v/>
      </c>
      <c r="U65" t="inlineStr">
        <is>
          <t>dcode</t>
        </is>
      </c>
      <c r="V65">
        <f>IF(Calc!$V$4,INT(Calc!$V$1/2/12)&amp;MOD(Calc!$V$1/2,12)&amp;'Tag 5'!$H$7&amp;N('Tag 5'!$I$7),Calc!$V$63)</f>
        <v/>
      </c>
      <c r="Z65" t="inlineStr">
        <is>
          <t>dcode</t>
        </is>
      </c>
      <c r="AA65">
        <f>IF(Calc!$AA$4,INT(Calc!$AA$1/2/12)&amp;MOD(Calc!$AA$1/2,12)&amp;'Tag 6'!$H$7&amp;N('Tag 6'!$I$7),Calc!$AA$63)</f>
        <v/>
      </c>
    </row>
    <row r="66">
      <c r="A66" t="inlineStr">
        <is>
          <t>DLINE</t>
        </is>
      </c>
      <c r="B66">
        <f>TRIM(IF('Tag 1'!$H$9="WOOD","WOOD ","HM "&amp;'Tag 1'!$J$9&amp;"GA ")&amp;Calc!$B$65&amp;" "&amp;IF(Calc!$B$4,"PAIR",IFERROR(VLOOKUP('Tag 1'!$M$7,T_Leg,2,FALSE),'Tag 1'!$M$7))&amp;" DOOR | "&amp;'Tag 1'!$B$9&amp;" | "&amp;IFERROR(VLOOKUP('Tag 1'!$P$7,T_Leg,2,FALSE),'Tag 1'!$P$7)&amp;" "&amp;IFERROR(VLOOKUP('Tag 1'!$U$7,T_Leg,2,FALSE),'Tag 1'!$U$7)&amp;IF('Tag 1'!$W$7="",""," "&amp;IFERROR(VLOOKUP('Tag 1'!$W$7,T_Leg,2,FALSE),'Tag 1'!$W$7))&amp;" "&amp;IF(OR('Tag 1'!$X$7="CUSTOM",'Tag 1'!$X$7="ANSI/SDI"),"CUSTOM LOC",'Tag 1'!$X$7)&amp;" "&amp;IFERROR(VLOOKUP('Tag 1'!$D$7,T_Leg,2,FALSE),'Tag 1'!$D$7))</f>
        <v/>
      </c>
      <c r="F66" t="inlineStr">
        <is>
          <t>DLINE</t>
        </is>
      </c>
      <c r="G66">
        <f>TRIM(IF('Tag 2'!$H$9="WOOD","WOOD ","HM "&amp;'Tag 2'!$J$9&amp;"GA ")&amp;Calc!$G$65&amp;" "&amp;IF(Calc!$G$4,"PAIR",IFERROR(VLOOKUP('Tag 2'!$M$7,T_Leg,2,FALSE),'Tag 2'!$M$7))&amp;" DOOR | "&amp;'Tag 2'!$B$9&amp;" | "&amp;IFERROR(VLOOKUP('Tag 2'!$P$7,T_Leg,2,FALSE),'Tag 2'!$P$7)&amp;" "&amp;IFERROR(VLOOKUP('Tag 2'!$U$7,T_Leg,2,FALSE),'Tag 2'!$U$7)&amp;IF('Tag 2'!$W$7="",""," "&amp;IFERROR(VLOOKUP('Tag 2'!$W$7,T_Leg,2,FALSE),'Tag 2'!$W$7))&amp;" "&amp;IF(OR('Tag 2'!$X$7="CUSTOM",'Tag 2'!$X$7="ANSI/SDI"),"CUSTOM LOC",'Tag 2'!$X$7)&amp;" "&amp;IFERROR(VLOOKUP('Tag 2'!$D$7,T_Leg,2,FALSE),'Tag 2'!$D$7))</f>
        <v/>
      </c>
      <c r="K66" t="inlineStr">
        <is>
          <t>DLINE</t>
        </is>
      </c>
      <c r="L66">
        <f>TRIM(IF('Tag 3'!$H$9="WOOD","WOOD ","HM "&amp;'Tag 3'!$J$9&amp;"GA ")&amp;Calc!$L$65&amp;" "&amp;IF(Calc!$L$4,"PAIR",IFERROR(VLOOKUP('Tag 3'!$M$7,T_Leg,2,FALSE),'Tag 3'!$M$7))&amp;" DOOR | "&amp;'Tag 3'!$B$9&amp;" | "&amp;IFERROR(VLOOKUP('Tag 3'!$P$7,T_Leg,2,FALSE),'Tag 3'!$P$7)&amp;" "&amp;IFERROR(VLOOKUP('Tag 3'!$U$7,T_Leg,2,FALSE),'Tag 3'!$U$7)&amp;IF('Tag 3'!$W$7="",""," "&amp;IFERROR(VLOOKUP('Tag 3'!$W$7,T_Leg,2,FALSE),'Tag 3'!$W$7))&amp;" "&amp;IF(OR('Tag 3'!$X$7="CUSTOM",'Tag 3'!$X$7="ANSI/SDI"),"CUSTOM LOC",'Tag 3'!$X$7)&amp;" "&amp;IFERROR(VLOOKUP('Tag 3'!$D$7,T_Leg,2,FALSE),'Tag 3'!$D$7))</f>
        <v/>
      </c>
      <c r="P66" t="inlineStr">
        <is>
          <t>DLINE</t>
        </is>
      </c>
      <c r="Q66">
        <f>TRIM(IF('Tag 4'!$H$9="WOOD","WOOD ","HM "&amp;'Tag 4'!$J$9&amp;"GA ")&amp;Calc!$Q$65&amp;" "&amp;IF(Calc!$Q$4,"PAIR",IFERROR(VLOOKUP('Tag 4'!$M$7,T_Leg,2,FALSE),'Tag 4'!$M$7))&amp;" DOOR | "&amp;'Tag 4'!$B$9&amp;" | "&amp;IFERROR(VLOOKUP('Tag 4'!$P$7,T_Leg,2,FALSE),'Tag 4'!$P$7)&amp;" "&amp;IFERROR(VLOOKUP('Tag 4'!$U$7,T_Leg,2,FALSE),'Tag 4'!$U$7)&amp;IF('Tag 4'!$W$7="",""," "&amp;IFERROR(VLOOKUP('Tag 4'!$W$7,T_Leg,2,FALSE),'Tag 4'!$W$7))&amp;" "&amp;IF(OR('Tag 4'!$X$7="CUSTOM",'Tag 4'!$X$7="ANSI/SDI"),"CUSTOM LOC",'Tag 4'!$X$7)&amp;" "&amp;IFERROR(VLOOKUP('Tag 4'!$D$7,T_Leg,2,FALSE),'Tag 4'!$D$7))</f>
        <v/>
      </c>
      <c r="U66" t="inlineStr">
        <is>
          <t>DLINE</t>
        </is>
      </c>
      <c r="V66">
        <f>TRIM(IF('Tag 5'!$H$9="WOOD","WOOD ","HM "&amp;'Tag 5'!$J$9&amp;"GA ")&amp;Calc!$V$65&amp;" "&amp;IF(Calc!$V$4,"PAIR",IFERROR(VLOOKUP('Tag 5'!$M$7,T_Leg,2,FALSE),'Tag 5'!$M$7))&amp;" DOOR | "&amp;'Tag 5'!$B$9&amp;" | "&amp;IFERROR(VLOOKUP('Tag 5'!$P$7,T_Leg,2,FALSE),'Tag 5'!$P$7)&amp;" "&amp;IFERROR(VLOOKUP('Tag 5'!$U$7,T_Leg,2,FALSE),'Tag 5'!$U$7)&amp;IF('Tag 5'!$W$7="",""," "&amp;IFERROR(VLOOKUP('Tag 5'!$W$7,T_Leg,2,FALSE),'Tag 5'!$W$7))&amp;" "&amp;IF(OR('Tag 5'!$X$7="CUSTOM",'Tag 5'!$X$7="ANSI/SDI"),"CUSTOM LOC",'Tag 5'!$X$7)&amp;" "&amp;IFERROR(VLOOKUP('Tag 5'!$D$7,T_Leg,2,FALSE),'Tag 5'!$D$7))</f>
        <v/>
      </c>
      <c r="Z66" t="inlineStr">
        <is>
          <t>DLINE</t>
        </is>
      </c>
      <c r="AA66">
        <f>TRIM(IF('Tag 6'!$H$9="WOOD","WOOD ","HM "&amp;'Tag 6'!$J$9&amp;"GA ")&amp;Calc!$AA$65&amp;" "&amp;IF(Calc!$AA$4,"PAIR",IFERROR(VLOOKUP('Tag 6'!$M$7,T_Leg,2,FALSE),'Tag 6'!$M$7))&amp;" DOOR | "&amp;'Tag 6'!$B$9&amp;" | "&amp;IFERROR(VLOOKUP('Tag 6'!$P$7,T_Leg,2,FALSE),'Tag 6'!$P$7)&amp;" "&amp;IFERROR(VLOOKUP('Tag 6'!$U$7,T_Leg,2,FALSE),'Tag 6'!$U$7)&amp;IF('Tag 6'!$W$7="",""," "&amp;IFERROR(VLOOKUP('Tag 6'!$W$7,T_Leg,2,FALSE),'Tag 6'!$W$7))&amp;" "&amp;IF(OR('Tag 6'!$X$7="CUSTOM",'Tag 6'!$X$7="ANSI/SDI"),"CUSTOM LOC",'Tag 6'!$X$7)&amp;" "&amp;IFERROR(VLOOKUP('Tag 6'!$D$7,T_Leg,2,FALSE),'Tag 6'!$D$7))</f>
        <v/>
      </c>
    </row>
    <row r="67">
      <c r="A67" t="inlineStr">
        <is>
          <t>th1</t>
        </is>
      </c>
      <c r="B67">
        <f>IF(ISNUMBER(Calc!$B$40),TRIM(TEXT(Calc!$B$40,"# ?/??"))&amp;CHAR(34),"")</f>
        <v/>
      </c>
      <c r="F67" t="inlineStr">
        <is>
          <t>th1</t>
        </is>
      </c>
      <c r="G67">
        <f>IF(ISNUMBER(Calc!$G$40),TRIM(TEXT(Calc!$G$40,"# ?/??"))&amp;CHAR(34),"")</f>
        <v/>
      </c>
      <c r="K67" t="inlineStr">
        <is>
          <t>th1</t>
        </is>
      </c>
      <c r="L67">
        <f>IF(ISNUMBER(Calc!$L$40),TRIM(TEXT(Calc!$L$40,"# ?/??"))&amp;CHAR(34),"")</f>
        <v/>
      </c>
      <c r="P67" t="inlineStr">
        <is>
          <t>th1</t>
        </is>
      </c>
      <c r="Q67">
        <f>IF(ISNUMBER(Calc!$Q$40),TRIM(TEXT(Calc!$Q$40,"# ?/??"))&amp;CHAR(34),"")</f>
        <v/>
      </c>
      <c r="U67" t="inlineStr">
        <is>
          <t>th1</t>
        </is>
      </c>
      <c r="V67">
        <f>IF(ISNUMBER(Calc!$V$40),TRIM(TEXT(Calc!$V$40,"# ?/??"))&amp;CHAR(34),"")</f>
        <v/>
      </c>
      <c r="Z67" t="inlineStr">
        <is>
          <t>th1</t>
        </is>
      </c>
      <c r="AA67">
        <f>IF(ISNUMBER(Calc!$AA$40),TRIM(TEXT(Calc!$AA$40,"# ?/??"))&amp;CHAR(34),"")</f>
        <v/>
      </c>
    </row>
    <row r="68">
      <c r="A68" t="inlineStr">
        <is>
          <t>dh1</t>
        </is>
      </c>
      <c r="B68">
        <f>IF(ISNUMBER(Calc!$B$40),TRIM(TEXT(Calc!$B$40-Calc!$B$22,"# ?/??"))&amp;CHAR(34),"")</f>
        <v/>
      </c>
      <c r="F68" t="inlineStr">
        <is>
          <t>dh1</t>
        </is>
      </c>
      <c r="G68">
        <f>IF(ISNUMBER(Calc!$G$40),TRIM(TEXT(Calc!$G$40-Calc!$G$22,"# ?/??"))&amp;CHAR(34),"")</f>
        <v/>
      </c>
      <c r="K68" t="inlineStr">
        <is>
          <t>dh1</t>
        </is>
      </c>
      <c r="L68">
        <f>IF(ISNUMBER(Calc!$L$40),TRIM(TEXT(Calc!$L$40-Calc!$L$22,"# ?/??"))&amp;CHAR(34),"")</f>
        <v/>
      </c>
      <c r="P68" t="inlineStr">
        <is>
          <t>dh1</t>
        </is>
      </c>
      <c r="Q68">
        <f>IF(ISNUMBER(Calc!$Q$40),TRIM(TEXT(Calc!$Q$40-Calc!$Q$22,"# ?/??"))&amp;CHAR(34),"")</f>
        <v/>
      </c>
      <c r="U68" t="inlineStr">
        <is>
          <t>dh1</t>
        </is>
      </c>
      <c r="V68">
        <f>IF(ISNUMBER(Calc!$V$40),TRIM(TEXT(Calc!$V$40-Calc!$V$22,"# ?/??"))&amp;CHAR(34),"")</f>
        <v/>
      </c>
      <c r="Z68" t="inlineStr">
        <is>
          <t>dh1</t>
        </is>
      </c>
      <c r="AA68">
        <f>IF(ISNUMBER(Calc!$AA$40),TRIM(TEXT(Calc!$AA$40-Calc!$AA$22,"# ?/??"))&amp;CHAR(34),"")</f>
        <v/>
      </c>
    </row>
    <row r="69">
      <c r="A69" t="inlineStr">
        <is>
          <t>th2</t>
        </is>
      </c>
      <c r="B69">
        <f>IF(ISNUMBER(Calc!$B$41),TRIM(TEXT(Calc!$B$41,"# ?/??"))&amp;CHAR(34),"")</f>
        <v/>
      </c>
      <c r="F69" t="inlineStr">
        <is>
          <t>th2</t>
        </is>
      </c>
      <c r="G69">
        <f>IF(ISNUMBER(Calc!$G$41),TRIM(TEXT(Calc!$G$41,"# ?/??"))&amp;CHAR(34),"")</f>
        <v/>
      </c>
      <c r="K69" t="inlineStr">
        <is>
          <t>th2</t>
        </is>
      </c>
      <c r="L69">
        <f>IF(ISNUMBER(Calc!$L$41),TRIM(TEXT(Calc!$L$41,"# ?/??"))&amp;CHAR(34),"")</f>
        <v/>
      </c>
      <c r="P69" t="inlineStr">
        <is>
          <t>th2</t>
        </is>
      </c>
      <c r="Q69">
        <f>IF(ISNUMBER(Calc!$Q$41),TRIM(TEXT(Calc!$Q$41,"# ?/??"))&amp;CHAR(34),"")</f>
        <v/>
      </c>
      <c r="U69" t="inlineStr">
        <is>
          <t>th2</t>
        </is>
      </c>
      <c r="V69">
        <f>IF(ISNUMBER(Calc!$V$41),TRIM(TEXT(Calc!$V$41,"# ?/??"))&amp;CHAR(34),"")</f>
        <v/>
      </c>
      <c r="Z69" t="inlineStr">
        <is>
          <t>th2</t>
        </is>
      </c>
      <c r="AA69">
        <f>IF(ISNUMBER(Calc!$AA$41),TRIM(TEXT(Calc!$AA$41,"# ?/??"))&amp;CHAR(34),"")</f>
        <v/>
      </c>
    </row>
    <row r="70">
      <c r="A70" t="inlineStr">
        <is>
          <t>dh2</t>
        </is>
      </c>
      <c r="B70">
        <f>IF(ISNUMBER(Calc!$B$41),TRIM(TEXT(Calc!$B$41-Calc!$B$22,"# ?/??"))&amp;CHAR(34),"")</f>
        <v/>
      </c>
      <c r="F70" t="inlineStr">
        <is>
          <t>dh2</t>
        </is>
      </c>
      <c r="G70">
        <f>IF(ISNUMBER(Calc!$G$41),TRIM(TEXT(Calc!$G$41-Calc!$G$22,"# ?/??"))&amp;CHAR(34),"")</f>
        <v/>
      </c>
      <c r="K70" t="inlineStr">
        <is>
          <t>dh2</t>
        </is>
      </c>
      <c r="L70">
        <f>IF(ISNUMBER(Calc!$L$41),TRIM(TEXT(Calc!$L$41-Calc!$L$22,"# ?/??"))&amp;CHAR(34),"")</f>
        <v/>
      </c>
      <c r="P70" t="inlineStr">
        <is>
          <t>dh2</t>
        </is>
      </c>
      <c r="Q70">
        <f>IF(ISNUMBER(Calc!$Q$41),TRIM(TEXT(Calc!$Q$41-Calc!$Q$22,"# ?/??"))&amp;CHAR(34),"")</f>
        <v/>
      </c>
      <c r="U70" t="inlineStr">
        <is>
          <t>dh2</t>
        </is>
      </c>
      <c r="V70">
        <f>IF(ISNUMBER(Calc!$V$41),TRIM(TEXT(Calc!$V$41-Calc!$V$22,"# ?/??"))&amp;CHAR(34),"")</f>
        <v/>
      </c>
      <c r="Z70" t="inlineStr">
        <is>
          <t>dh2</t>
        </is>
      </c>
      <c r="AA70">
        <f>IF(ISNUMBER(Calc!$AA$41),TRIM(TEXT(Calc!$AA$41-Calc!$AA$22,"# ?/??"))&amp;CHAR(34),"")</f>
        <v/>
      </c>
    </row>
    <row r="71">
      <c r="A71" t="inlineStr">
        <is>
          <t>th3</t>
        </is>
      </c>
      <c r="B71">
        <f>IF(ISNUMBER(Calc!$B$42),TRIM(TEXT(Calc!$B$42,"# ?/??"))&amp;CHAR(34),"")</f>
        <v/>
      </c>
      <c r="F71" t="inlineStr">
        <is>
          <t>th3</t>
        </is>
      </c>
      <c r="G71">
        <f>IF(ISNUMBER(Calc!$G$42),TRIM(TEXT(Calc!$G$42,"# ?/??"))&amp;CHAR(34),"")</f>
        <v/>
      </c>
      <c r="K71" t="inlineStr">
        <is>
          <t>th3</t>
        </is>
      </c>
      <c r="L71">
        <f>IF(ISNUMBER(Calc!$L$42),TRIM(TEXT(Calc!$L$42,"# ?/??"))&amp;CHAR(34),"")</f>
        <v/>
      </c>
      <c r="P71" t="inlineStr">
        <is>
          <t>th3</t>
        </is>
      </c>
      <c r="Q71">
        <f>IF(ISNUMBER(Calc!$Q$42),TRIM(TEXT(Calc!$Q$42,"# ?/??"))&amp;CHAR(34),"")</f>
        <v/>
      </c>
      <c r="U71" t="inlineStr">
        <is>
          <t>th3</t>
        </is>
      </c>
      <c r="V71">
        <f>IF(ISNUMBER(Calc!$V$42),TRIM(TEXT(Calc!$V$42,"# ?/??"))&amp;CHAR(34),"")</f>
        <v/>
      </c>
      <c r="Z71" t="inlineStr">
        <is>
          <t>th3</t>
        </is>
      </c>
      <c r="AA71">
        <f>IF(ISNUMBER(Calc!$AA$42),TRIM(TEXT(Calc!$AA$42,"# ?/??"))&amp;CHAR(34),"")</f>
        <v/>
      </c>
    </row>
    <row r="72">
      <c r="A72" t="inlineStr">
        <is>
          <t>dh3</t>
        </is>
      </c>
      <c r="B72">
        <f>IF(ISNUMBER(Calc!$B$42),TRIM(TEXT(Calc!$B$42-Calc!$B$22,"# ?/??"))&amp;CHAR(34),"")</f>
        <v/>
      </c>
      <c r="F72" t="inlineStr">
        <is>
          <t>dh3</t>
        </is>
      </c>
      <c r="G72">
        <f>IF(ISNUMBER(Calc!$G$42),TRIM(TEXT(Calc!$G$42-Calc!$G$22,"# ?/??"))&amp;CHAR(34),"")</f>
        <v/>
      </c>
      <c r="K72" t="inlineStr">
        <is>
          <t>dh3</t>
        </is>
      </c>
      <c r="L72">
        <f>IF(ISNUMBER(Calc!$L$42),TRIM(TEXT(Calc!$L$42-Calc!$L$22,"# ?/??"))&amp;CHAR(34),"")</f>
        <v/>
      </c>
      <c r="P72" t="inlineStr">
        <is>
          <t>dh3</t>
        </is>
      </c>
      <c r="Q72">
        <f>IF(ISNUMBER(Calc!$Q$42),TRIM(TEXT(Calc!$Q$42-Calc!$Q$22,"# ?/??"))&amp;CHAR(34),"")</f>
        <v/>
      </c>
      <c r="U72" t="inlineStr">
        <is>
          <t>dh3</t>
        </is>
      </c>
      <c r="V72">
        <f>IF(ISNUMBER(Calc!$V$42),TRIM(TEXT(Calc!$V$42-Calc!$V$22,"# ?/??"))&amp;CHAR(34),"")</f>
        <v/>
      </c>
      <c r="Z72" t="inlineStr">
        <is>
          <t>dh3</t>
        </is>
      </c>
      <c r="AA72">
        <f>IF(ISNUMBER(Calc!$AA$42),TRIM(TEXT(Calc!$AA$42-Calc!$AA$22,"# ?/??"))&amp;CHAR(34),"")</f>
        <v/>
      </c>
    </row>
    <row r="73">
      <c r="A73" t="inlineStr">
        <is>
          <t>th4</t>
        </is>
      </c>
      <c r="B73">
        <f>IF(ISNUMBER(Calc!$B$43),TRIM(TEXT(Calc!$B$43,"# ?/??"))&amp;CHAR(34),"")</f>
        <v/>
      </c>
      <c r="F73" t="inlineStr">
        <is>
          <t>th4</t>
        </is>
      </c>
      <c r="G73">
        <f>IF(ISNUMBER(Calc!$G$43),TRIM(TEXT(Calc!$G$43,"# ?/??"))&amp;CHAR(34),"")</f>
        <v/>
      </c>
      <c r="K73" t="inlineStr">
        <is>
          <t>th4</t>
        </is>
      </c>
      <c r="L73">
        <f>IF(ISNUMBER(Calc!$L$43),TRIM(TEXT(Calc!$L$43,"# ?/??"))&amp;CHAR(34),"")</f>
        <v/>
      </c>
      <c r="P73" t="inlineStr">
        <is>
          <t>th4</t>
        </is>
      </c>
      <c r="Q73">
        <f>IF(ISNUMBER(Calc!$Q$43),TRIM(TEXT(Calc!$Q$43,"# ?/??"))&amp;CHAR(34),"")</f>
        <v/>
      </c>
      <c r="U73" t="inlineStr">
        <is>
          <t>th4</t>
        </is>
      </c>
      <c r="V73">
        <f>IF(ISNUMBER(Calc!$V$43),TRIM(TEXT(Calc!$V$43,"# ?/??"))&amp;CHAR(34),"")</f>
        <v/>
      </c>
      <c r="Z73" t="inlineStr">
        <is>
          <t>th4</t>
        </is>
      </c>
      <c r="AA73">
        <f>IF(ISNUMBER(Calc!$AA$43),TRIM(TEXT(Calc!$AA$43,"# ?/??"))&amp;CHAR(34),"")</f>
        <v/>
      </c>
    </row>
    <row r="74">
      <c r="A74" t="inlineStr">
        <is>
          <t>dh4</t>
        </is>
      </c>
      <c r="B74">
        <f>IF(ISNUMBER(Calc!$B$43),TRIM(TEXT(Calc!$B$43-Calc!$B$22,"# ?/??"))&amp;CHAR(34),"")</f>
        <v/>
      </c>
      <c r="F74" t="inlineStr">
        <is>
          <t>dh4</t>
        </is>
      </c>
      <c r="G74">
        <f>IF(ISNUMBER(Calc!$G$43),TRIM(TEXT(Calc!$G$43-Calc!$G$22,"# ?/??"))&amp;CHAR(34),"")</f>
        <v/>
      </c>
      <c r="K74" t="inlineStr">
        <is>
          <t>dh4</t>
        </is>
      </c>
      <c r="L74">
        <f>IF(ISNUMBER(Calc!$L$43),TRIM(TEXT(Calc!$L$43-Calc!$L$22,"# ?/??"))&amp;CHAR(34),"")</f>
        <v/>
      </c>
      <c r="P74" t="inlineStr">
        <is>
          <t>dh4</t>
        </is>
      </c>
      <c r="Q74">
        <f>IF(ISNUMBER(Calc!$Q$43),TRIM(TEXT(Calc!$Q$43-Calc!$Q$22,"# ?/??"))&amp;CHAR(34),"")</f>
        <v/>
      </c>
      <c r="U74" t="inlineStr">
        <is>
          <t>dh4</t>
        </is>
      </c>
      <c r="V74">
        <f>IF(ISNUMBER(Calc!$V$43),TRIM(TEXT(Calc!$V$43-Calc!$V$22,"# ?/??"))&amp;CHAR(34),"")</f>
        <v/>
      </c>
      <c r="Z74" t="inlineStr">
        <is>
          <t>dh4</t>
        </is>
      </c>
      <c r="AA74">
        <f>IF(ISNUMBER(Calc!$AA$43),TRIM(TEXT(Calc!$AA$43-Calc!$AA$22,"# ?/??"))&amp;CHAR(34),"")</f>
        <v/>
      </c>
    </row>
    <row r="75">
      <c r="A75" t="inlineStr">
        <is>
          <t>tE1</t>
        </is>
      </c>
      <c r="B75">
        <f>IF(ISNUMBER(Calc!$B$46),TRIM(TEXT(Calc!$B$46,"# ?/??"))&amp;CHAR(34)&amp;" TTC","")</f>
        <v/>
      </c>
      <c r="F75" t="inlineStr">
        <is>
          <t>tE1</t>
        </is>
      </c>
      <c r="G75">
        <f>IF(ISNUMBER(Calc!$G$46),TRIM(TEXT(Calc!$G$46,"# ?/??"))&amp;CHAR(34)&amp;" TTC","")</f>
        <v/>
      </c>
      <c r="K75" t="inlineStr">
        <is>
          <t>tE1</t>
        </is>
      </c>
      <c r="L75">
        <f>IF(ISNUMBER(Calc!$L$46),TRIM(TEXT(Calc!$L$46,"# ?/??"))&amp;CHAR(34)&amp;" TTC","")</f>
        <v/>
      </c>
      <c r="P75" t="inlineStr">
        <is>
          <t>tE1</t>
        </is>
      </c>
      <c r="Q75">
        <f>IF(ISNUMBER(Calc!$Q$46),TRIM(TEXT(Calc!$Q$46,"# ?/??"))&amp;CHAR(34)&amp;" TTC","")</f>
        <v/>
      </c>
      <c r="U75" t="inlineStr">
        <is>
          <t>tE1</t>
        </is>
      </c>
      <c r="V75">
        <f>IF(ISNUMBER(Calc!$V$46),TRIM(TEXT(Calc!$V$46,"# ?/??"))&amp;CHAR(34)&amp;" TTC","")</f>
        <v/>
      </c>
      <c r="Z75" t="inlineStr">
        <is>
          <t>tE1</t>
        </is>
      </c>
      <c r="AA75">
        <f>IF(ISNUMBER(Calc!$AA$46),TRIM(TEXT(Calc!$AA$46,"# ?/??"))&amp;CHAR(34)&amp;" TTC","")</f>
        <v/>
      </c>
    </row>
    <row r="76">
      <c r="A76" t="inlineStr">
        <is>
          <t>tE2</t>
        </is>
      </c>
      <c r="B76">
        <f>IF(ISNUMBER(Calc!$B$47),TRIM(TEXT(Calc!$B$47,"# ?/??"))&amp;CHAR(34)&amp;" TTC",IF(Calc!$B$47="VERIFY","VERIFY",""))</f>
        <v/>
      </c>
      <c r="F76" t="inlineStr">
        <is>
          <t>tE2</t>
        </is>
      </c>
      <c r="G76">
        <f>IF(ISNUMBER(Calc!$G$47),TRIM(TEXT(Calc!$G$47,"# ?/??"))&amp;CHAR(34)&amp;" TTC",IF(Calc!$G$47="VERIFY","VERIFY",""))</f>
        <v/>
      </c>
      <c r="K76" t="inlineStr">
        <is>
          <t>tE2</t>
        </is>
      </c>
      <c r="L76">
        <f>IF(ISNUMBER(Calc!$L$47),TRIM(TEXT(Calc!$L$47,"# ?/??"))&amp;CHAR(34)&amp;" TTC",IF(Calc!$L$47="VERIFY","VERIFY",""))</f>
        <v/>
      </c>
      <c r="P76" t="inlineStr">
        <is>
          <t>tE2</t>
        </is>
      </c>
      <c r="Q76">
        <f>IF(ISNUMBER(Calc!$Q$47),TRIM(TEXT(Calc!$Q$47,"# ?/??"))&amp;CHAR(34)&amp;" TTC",IF(Calc!$Q$47="VERIFY","VERIFY",""))</f>
        <v/>
      </c>
      <c r="U76" t="inlineStr">
        <is>
          <t>tE2</t>
        </is>
      </c>
      <c r="V76">
        <f>IF(ISNUMBER(Calc!$V$47),TRIM(TEXT(Calc!$V$47,"# ?/??"))&amp;CHAR(34)&amp;" TTC",IF(Calc!$V$47="VERIFY","VERIFY",""))</f>
        <v/>
      </c>
      <c r="Z76" t="inlineStr">
        <is>
          <t>tE2</t>
        </is>
      </c>
      <c r="AA76">
        <f>IF(ISNUMBER(Calc!$AA$47),TRIM(TEXT(Calc!$AA$47,"# ?/??"))&amp;CHAR(34)&amp;" TTC",IF(Calc!$AA$47="VERIFY","VERIFY",""))</f>
        <v/>
      </c>
    </row>
    <row r="77">
      <c r="A77" t="inlineStr">
        <is>
          <t>tC1</t>
        </is>
      </c>
      <c r="B77">
        <f>IF(ISNUMBER(Calc!$B$49),TRIM(TEXT(Calc!$B$49,"# ?/??"))&amp;CHAR(34)&amp;" CL",IF(ISNUMBER(Calc!$B$52),"MORT "&amp;TRIM(TEXT(Calc!$B$52,"# ?/??"))&amp;CHAR(34),""))</f>
        <v/>
      </c>
      <c r="F77" t="inlineStr">
        <is>
          <t>tC1</t>
        </is>
      </c>
      <c r="G77">
        <f>IF(ISNUMBER(Calc!$G$49),TRIM(TEXT(Calc!$G$49,"# ?/??"))&amp;CHAR(34)&amp;" CL",IF(ISNUMBER(Calc!$G$52),"MORT "&amp;TRIM(TEXT(Calc!$G$52,"# ?/??"))&amp;CHAR(34),""))</f>
        <v/>
      </c>
      <c r="K77" t="inlineStr">
        <is>
          <t>tC1</t>
        </is>
      </c>
      <c r="L77">
        <f>IF(ISNUMBER(Calc!$L$49),TRIM(TEXT(Calc!$L$49,"# ?/??"))&amp;CHAR(34)&amp;" CL",IF(ISNUMBER(Calc!$L$52),"MORT "&amp;TRIM(TEXT(Calc!$L$52,"# ?/??"))&amp;CHAR(34),""))</f>
        <v/>
      </c>
      <c r="P77" t="inlineStr">
        <is>
          <t>tC1</t>
        </is>
      </c>
      <c r="Q77">
        <f>IF(ISNUMBER(Calc!$Q$49),TRIM(TEXT(Calc!$Q$49,"# ?/??"))&amp;CHAR(34)&amp;" CL",IF(ISNUMBER(Calc!$Q$52),"MORT "&amp;TRIM(TEXT(Calc!$Q$52,"# ?/??"))&amp;CHAR(34),""))</f>
        <v/>
      </c>
      <c r="U77" t="inlineStr">
        <is>
          <t>tC1</t>
        </is>
      </c>
      <c r="V77">
        <f>IF(ISNUMBER(Calc!$V$49),TRIM(TEXT(Calc!$V$49,"# ?/??"))&amp;CHAR(34)&amp;" CL",IF(ISNUMBER(Calc!$V$52),"MORT "&amp;TRIM(TEXT(Calc!$V$52,"# ?/??"))&amp;CHAR(34),""))</f>
        <v/>
      </c>
      <c r="Z77" t="inlineStr">
        <is>
          <t>tC1</t>
        </is>
      </c>
      <c r="AA77">
        <f>IF(ISNUMBER(Calc!$AA$49),TRIM(TEXT(Calc!$AA$49,"# ?/??"))&amp;CHAR(34)&amp;" CL",IF(ISNUMBER(Calc!$AA$52),"MORT "&amp;TRIM(TEXT(Calc!$AA$52,"# ?/??"))&amp;CHAR(34),""))</f>
        <v/>
      </c>
    </row>
    <row r="78">
      <c r="A78" t="inlineStr">
        <is>
          <t>tC2</t>
        </is>
      </c>
      <c r="B78">
        <f>IF(ISNUMBER(Calc!$B$50),TRIM(TEXT(Calc!$B$50,"# ?/??"))&amp;CHAR(34)&amp;" CL","")</f>
        <v/>
      </c>
      <c r="F78" t="inlineStr">
        <is>
          <t>tC2</t>
        </is>
      </c>
      <c r="G78">
        <f>IF(ISNUMBER(Calc!$G$50),TRIM(TEXT(Calc!$G$50,"# ?/??"))&amp;CHAR(34)&amp;" CL","")</f>
        <v/>
      </c>
      <c r="K78" t="inlineStr">
        <is>
          <t>tC2</t>
        </is>
      </c>
      <c r="L78">
        <f>IF(ISNUMBER(Calc!$L$50),TRIM(TEXT(Calc!$L$50,"# ?/??"))&amp;CHAR(34)&amp;" CL","")</f>
        <v/>
      </c>
      <c r="P78" t="inlineStr">
        <is>
          <t>tC2</t>
        </is>
      </c>
      <c r="Q78">
        <f>IF(ISNUMBER(Calc!$Q$50),TRIM(TEXT(Calc!$Q$50,"# ?/??"))&amp;CHAR(34)&amp;" CL","")</f>
        <v/>
      </c>
      <c r="U78" t="inlineStr">
        <is>
          <t>tC2</t>
        </is>
      </c>
      <c r="V78">
        <f>IF(ISNUMBER(Calc!$V$50),TRIM(TEXT(Calc!$V$50,"# ?/??"))&amp;CHAR(34)&amp;" CL","")</f>
        <v/>
      </c>
      <c r="Z78" t="inlineStr">
        <is>
          <t>tC2</t>
        </is>
      </c>
      <c r="AA78">
        <f>IF(ISNUMBER(Calc!$AA$50),TRIM(TEXT(Calc!$AA$50,"# ?/??"))&amp;CHAR(34)&amp;" CL","")</f>
        <v/>
      </c>
    </row>
    <row r="79">
      <c r="A79" t="inlineStr">
        <is>
          <t>tW</t>
        </is>
      </c>
      <c r="B79">
        <f>TRIM(TEXT(Calc!$B$1,"# ?/??"))&amp;CHAR(34)</f>
        <v/>
      </c>
      <c r="F79" t="inlineStr">
        <is>
          <t>tW</t>
        </is>
      </c>
      <c r="G79">
        <f>TRIM(TEXT(Calc!$G$1,"# ?/??"))&amp;CHAR(34)</f>
        <v/>
      </c>
      <c r="K79" t="inlineStr">
        <is>
          <t>tW</t>
        </is>
      </c>
      <c r="L79">
        <f>TRIM(TEXT(Calc!$L$1,"# ?/??"))&amp;CHAR(34)</f>
        <v/>
      </c>
      <c r="P79" t="inlineStr">
        <is>
          <t>tW</t>
        </is>
      </c>
      <c r="Q79">
        <f>TRIM(TEXT(Calc!$Q$1,"# ?/??"))&amp;CHAR(34)</f>
        <v/>
      </c>
      <c r="U79" t="inlineStr">
        <is>
          <t>tW</t>
        </is>
      </c>
      <c r="V79">
        <f>TRIM(TEXT(Calc!$V$1,"# ?/??"))&amp;CHAR(34)</f>
        <v/>
      </c>
      <c r="Z79" t="inlineStr">
        <is>
          <t>tW</t>
        </is>
      </c>
      <c r="AA79">
        <f>TRIM(TEXT(Calc!$AA$1,"# ?/??"))&amp;CHAR(34)</f>
        <v/>
      </c>
    </row>
    <row r="80">
      <c r="A80" t="inlineStr">
        <is>
          <t>tH</t>
        </is>
      </c>
      <c r="B80">
        <f>TRIM(TEXT(Calc!$B$2,"# ?/??"))&amp;CHAR(34)</f>
        <v/>
      </c>
      <c r="F80" t="inlineStr">
        <is>
          <t>tH</t>
        </is>
      </c>
      <c r="G80">
        <f>TRIM(TEXT(Calc!$G$2,"# ?/??"))&amp;CHAR(34)</f>
        <v/>
      </c>
      <c r="K80" t="inlineStr">
        <is>
          <t>tH</t>
        </is>
      </c>
      <c r="L80">
        <f>TRIM(TEXT(Calc!$L$2,"# ?/??"))&amp;CHAR(34)</f>
        <v/>
      </c>
      <c r="P80" t="inlineStr">
        <is>
          <t>tH</t>
        </is>
      </c>
      <c r="Q80">
        <f>TRIM(TEXT(Calc!$Q$2,"# ?/??"))&amp;CHAR(34)</f>
        <v/>
      </c>
      <c r="U80" t="inlineStr">
        <is>
          <t>tH</t>
        </is>
      </c>
      <c r="V80">
        <f>TRIM(TEXT(Calc!$V$2,"# ?/??"))&amp;CHAR(34)</f>
        <v/>
      </c>
      <c r="Z80" t="inlineStr">
        <is>
          <t>tH</t>
        </is>
      </c>
      <c r="AA80">
        <f>TRIM(TEXT(Calc!$AA$2,"# ?/??"))&amp;CHAR(34)</f>
        <v/>
      </c>
    </row>
    <row r="81">
      <c r="A81" t="inlineStr">
        <is>
          <t>tOW</t>
        </is>
      </c>
      <c r="B81">
        <f>TRIM(TEXT(Calc!$B$13,"# ?/??"))&amp;CHAR(34)</f>
        <v/>
      </c>
      <c r="F81" t="inlineStr">
        <is>
          <t>tOW</t>
        </is>
      </c>
      <c r="G81">
        <f>TRIM(TEXT(Calc!$G$13,"# ?/??"))&amp;CHAR(34)</f>
        <v/>
      </c>
      <c r="K81" t="inlineStr">
        <is>
          <t>tOW</t>
        </is>
      </c>
      <c r="L81">
        <f>TRIM(TEXT(Calc!$L$13,"# ?/??"))&amp;CHAR(34)</f>
        <v/>
      </c>
      <c r="P81" t="inlineStr">
        <is>
          <t>tOW</t>
        </is>
      </c>
      <c r="Q81">
        <f>TRIM(TEXT(Calc!$Q$13,"# ?/??"))&amp;CHAR(34)</f>
        <v/>
      </c>
      <c r="U81" t="inlineStr">
        <is>
          <t>tOW</t>
        </is>
      </c>
      <c r="V81">
        <f>TRIM(TEXT(Calc!$V$13,"# ?/??"))&amp;CHAR(34)</f>
        <v/>
      </c>
      <c r="Z81" t="inlineStr">
        <is>
          <t>tOW</t>
        </is>
      </c>
      <c r="AA81">
        <f>TRIM(TEXT(Calc!$AA$13,"# ?/??"))&amp;CHAR(34)</f>
        <v/>
      </c>
    </row>
    <row r="82">
      <c r="A82" t="inlineStr">
        <is>
          <t>tOH</t>
        </is>
      </c>
      <c r="B82">
        <f>TRIM(TEXT(Calc!$B$14,"# ?/??"))&amp;CHAR(34)</f>
        <v/>
      </c>
      <c r="F82" t="inlineStr">
        <is>
          <t>tOH</t>
        </is>
      </c>
      <c r="G82">
        <f>TRIM(TEXT(Calc!$G$14,"# ?/??"))&amp;CHAR(34)</f>
        <v/>
      </c>
      <c r="K82" t="inlineStr">
        <is>
          <t>tOH</t>
        </is>
      </c>
      <c r="L82">
        <f>TRIM(TEXT(Calc!$L$14,"# ?/??"))&amp;CHAR(34)</f>
        <v/>
      </c>
      <c r="P82" t="inlineStr">
        <is>
          <t>tOH</t>
        </is>
      </c>
      <c r="Q82">
        <f>TRIM(TEXT(Calc!$Q$14,"# ?/??"))&amp;CHAR(34)</f>
        <v/>
      </c>
      <c r="U82" t="inlineStr">
        <is>
          <t>tOH</t>
        </is>
      </c>
      <c r="V82">
        <f>TRIM(TEXT(Calc!$V$14,"# ?/??"))&amp;CHAR(34)</f>
        <v/>
      </c>
      <c r="Z82" t="inlineStr">
        <is>
          <t>tOH</t>
        </is>
      </c>
      <c r="AA82">
        <f>TRIM(TEXT(Calc!$AA$14,"# ?/??"))&amp;CHAR(34)</f>
        <v/>
      </c>
    </row>
    <row r="83">
      <c r="A83" t="inlineStr">
        <is>
          <t>tLW</t>
        </is>
      </c>
      <c r="B83">
        <f>IF(Calc!$B$4,"2 × ","")&amp;TRIM(TEXT(Calc!$B$24,"# ?/??"))&amp;CHAR(34)</f>
        <v/>
      </c>
      <c r="F83" t="inlineStr">
        <is>
          <t>tLW</t>
        </is>
      </c>
      <c r="G83">
        <f>IF(Calc!$G$4,"2 × ","")&amp;TRIM(TEXT(Calc!$G$24,"# ?/??"))&amp;CHAR(34)</f>
        <v/>
      </c>
      <c r="K83" t="inlineStr">
        <is>
          <t>tLW</t>
        </is>
      </c>
      <c r="L83">
        <f>IF(Calc!$L$4,"2 × ","")&amp;TRIM(TEXT(Calc!$L$24,"# ?/??"))&amp;CHAR(34)</f>
        <v/>
      </c>
      <c r="P83" t="inlineStr">
        <is>
          <t>tLW</t>
        </is>
      </c>
      <c r="Q83">
        <f>IF(Calc!$Q$4,"2 × ","")&amp;TRIM(TEXT(Calc!$Q$24,"# ?/??"))&amp;CHAR(34)</f>
        <v/>
      </c>
      <c r="U83" t="inlineStr">
        <is>
          <t>tLW</t>
        </is>
      </c>
      <c r="V83">
        <f>IF(Calc!$V$4,"2 × ","")&amp;TRIM(TEXT(Calc!$V$24,"# ?/??"))&amp;CHAR(34)</f>
        <v/>
      </c>
      <c r="Z83" t="inlineStr">
        <is>
          <t>tLW</t>
        </is>
      </c>
      <c r="AA83">
        <f>IF(Calc!$AA$4,"2 × ","")&amp;TRIM(TEXT(Calc!$AA$24,"# ?/??"))&amp;CHAR(34)</f>
        <v/>
      </c>
    </row>
    <row r="84">
      <c r="A84" t="inlineStr">
        <is>
          <t>tLH</t>
        </is>
      </c>
      <c r="B84">
        <f>TRIM(TEXT(Calc!$B$25,"# ?/??"))&amp;CHAR(34)</f>
        <v/>
      </c>
      <c r="F84" t="inlineStr">
        <is>
          <t>tLH</t>
        </is>
      </c>
      <c r="G84">
        <f>TRIM(TEXT(Calc!$G$25,"# ?/??"))&amp;CHAR(34)</f>
        <v/>
      </c>
      <c r="K84" t="inlineStr">
        <is>
          <t>tLH</t>
        </is>
      </c>
      <c r="L84">
        <f>TRIM(TEXT(Calc!$L$25,"# ?/??"))&amp;CHAR(34)</f>
        <v/>
      </c>
      <c r="P84" t="inlineStr">
        <is>
          <t>tLH</t>
        </is>
      </c>
      <c r="Q84">
        <f>TRIM(TEXT(Calc!$Q$25,"# ?/??"))&amp;CHAR(34)</f>
        <v/>
      </c>
      <c r="U84" t="inlineStr">
        <is>
          <t>tLH</t>
        </is>
      </c>
      <c r="V84">
        <f>TRIM(TEXT(Calc!$V$25,"# ?/??"))&amp;CHAR(34)</f>
        <v/>
      </c>
      <c r="Z84" t="inlineStr">
        <is>
          <t>tLH</t>
        </is>
      </c>
      <c r="AA84">
        <f>TRIM(TEXT(Calc!$AA$25,"# ?/??"))&amp;CHAR(34)</f>
        <v/>
      </c>
    </row>
    <row r="85">
      <c r="A85" t="inlineStr">
        <is>
          <t>tUC</t>
        </is>
      </c>
      <c r="B85">
        <f>"UC "&amp;TRIM(TEXT(Calc!$B$23,"# ?/??"))&amp;CHAR(34)</f>
        <v/>
      </c>
      <c r="F85" t="inlineStr">
        <is>
          <t>tUC</t>
        </is>
      </c>
      <c r="G85">
        <f>"UC "&amp;TRIM(TEXT(Calc!$G$23,"# ?/??"))&amp;CHAR(34)</f>
        <v/>
      </c>
      <c r="K85" t="inlineStr">
        <is>
          <t>tUC</t>
        </is>
      </c>
      <c r="L85">
        <f>"UC "&amp;TRIM(TEXT(Calc!$L$23,"# ?/??"))&amp;CHAR(34)</f>
        <v/>
      </c>
      <c r="P85" t="inlineStr">
        <is>
          <t>tUC</t>
        </is>
      </c>
      <c r="Q85">
        <f>"UC "&amp;TRIM(TEXT(Calc!$Q$23,"# ?/??"))&amp;CHAR(34)</f>
        <v/>
      </c>
      <c r="U85" t="inlineStr">
        <is>
          <t>tUC</t>
        </is>
      </c>
      <c r="V85">
        <f>"UC "&amp;TRIM(TEXT(Calc!$V$23,"# ?/??"))&amp;CHAR(34)</f>
        <v/>
      </c>
      <c r="Z85" t="inlineStr">
        <is>
          <t>tUC</t>
        </is>
      </c>
      <c r="AA85">
        <f>"UC "&amp;TRIM(TEXT(Calc!$AA$23,"# ?/??"))&amp;CHAR(34)</f>
        <v/>
      </c>
    </row>
    <row r="86">
      <c r="A86" t="inlineStr">
        <is>
          <t>tLite</t>
        </is>
      </c>
      <c r="B86">
        <f>IF(Calc!$B$59,Calc!$B$56&amp;" x "&amp;Calc!$B$57&amp;IF(Calc!$B$55="FL"," LVR",""),"")</f>
        <v/>
      </c>
      <c r="F86" t="inlineStr">
        <is>
          <t>tLite</t>
        </is>
      </c>
      <c r="G86">
        <f>IF(Calc!$G$59,Calc!$G$56&amp;" x "&amp;Calc!$G$57&amp;IF(Calc!$G$55="FL"," LVR",""),"")</f>
        <v/>
      </c>
      <c r="K86" t="inlineStr">
        <is>
          <t>tLite</t>
        </is>
      </c>
      <c r="L86">
        <f>IF(Calc!$L$59,Calc!$L$56&amp;" x "&amp;Calc!$L$57&amp;IF(Calc!$L$55="FL"," LVR",""),"")</f>
        <v/>
      </c>
      <c r="P86" t="inlineStr">
        <is>
          <t>tLite</t>
        </is>
      </c>
      <c r="Q86">
        <f>IF(Calc!$Q$59,Calc!$Q$56&amp;" x "&amp;Calc!$Q$57&amp;IF(Calc!$Q$55="FL"," LVR",""),"")</f>
        <v/>
      </c>
      <c r="U86" t="inlineStr">
        <is>
          <t>tLite</t>
        </is>
      </c>
      <c r="V86">
        <f>IF(Calc!$V$59,Calc!$V$56&amp;" x "&amp;Calc!$V$57&amp;IF(Calc!$V$55="FL"," LVR",""),"")</f>
        <v/>
      </c>
      <c r="Z86" t="inlineStr">
        <is>
          <t>tLite</t>
        </is>
      </c>
      <c r="AA86">
        <f>IF(Calc!$AA$59,Calc!$AA$56&amp;" x "&amp;Calc!$AA$57&amp;IF(Calc!$AA$55="FL"," LVR",""),"")</f>
        <v/>
      </c>
    </row>
    <row r="87">
      <c r="A87" t="inlineStr">
        <is>
          <t>tHand</t>
        </is>
      </c>
      <c r="B87">
        <f>'Tag 1'!$M$7&amp;IF(Calc!$B$4," PAIR","")&amp;IF(Calc!$B$61," · swings out","")</f>
        <v/>
      </c>
      <c r="F87" t="inlineStr">
        <is>
          <t>tHand</t>
        </is>
      </c>
      <c r="G87">
        <f>'Tag 2'!$M$7&amp;IF(Calc!$G$4," PAIR","")&amp;IF(Calc!$G$61," · swings out","")</f>
        <v/>
      </c>
      <c r="K87" t="inlineStr">
        <is>
          <t>tHand</t>
        </is>
      </c>
      <c r="L87">
        <f>'Tag 3'!$M$7&amp;IF(Calc!$L$4," PAIR","")&amp;IF(Calc!$L$61," · swings out","")</f>
        <v/>
      </c>
      <c r="P87" t="inlineStr">
        <is>
          <t>tHand</t>
        </is>
      </c>
      <c r="Q87">
        <f>'Tag 4'!$M$7&amp;IF(Calc!$Q$4," PAIR","")&amp;IF(Calc!$Q$61," · swings out","")</f>
        <v/>
      </c>
      <c r="U87" t="inlineStr">
        <is>
          <t>tHand</t>
        </is>
      </c>
      <c r="V87">
        <f>'Tag 5'!$M$7&amp;IF(Calc!$V$4," PAIR","")&amp;IF(Calc!$V$61," · swings out","")</f>
        <v/>
      </c>
      <c r="Z87" t="inlineStr">
        <is>
          <t>tHand</t>
        </is>
      </c>
      <c r="AA87">
        <f>'Tag 6'!$M$7&amp;IF(Calc!$AA$4," PAIR","")&amp;IF(Calc!$AA$61," · swings out","")</f>
        <v/>
      </c>
    </row>
    <row r="88">
      <c r="A88" t="inlineStr">
        <is>
          <t>fs</t>
        </is>
      </c>
      <c r="B88">
        <f>MIN(96/MAX(1,Calc!$B$13),140/MAX(1,Calc!$B$14))</f>
        <v/>
      </c>
      <c r="F88" t="inlineStr">
        <is>
          <t>fs</t>
        </is>
      </c>
      <c r="G88">
        <f>MIN(96/MAX(1,Calc!$G$13),140/MAX(1,Calc!$G$14))</f>
        <v/>
      </c>
      <c r="K88" t="inlineStr">
        <is>
          <t>fs</t>
        </is>
      </c>
      <c r="L88">
        <f>MIN(96/MAX(1,Calc!$L$13),140/MAX(1,Calc!$L$14))</f>
        <v/>
      </c>
      <c r="P88" t="inlineStr">
        <is>
          <t>fs</t>
        </is>
      </c>
      <c r="Q88">
        <f>MIN(96/MAX(1,Calc!$Q$13),140/MAX(1,Calc!$Q$14))</f>
        <v/>
      </c>
      <c r="U88" t="inlineStr">
        <is>
          <t>fs</t>
        </is>
      </c>
      <c r="V88">
        <f>MIN(96/MAX(1,Calc!$V$13),140/MAX(1,Calc!$V$14))</f>
        <v/>
      </c>
      <c r="Z88" t="inlineStr">
        <is>
          <t>fs</t>
        </is>
      </c>
      <c r="AA88">
        <f>MIN(96/MAX(1,Calc!$AA$13),140/MAX(1,Calc!$AA$14))</f>
        <v/>
      </c>
    </row>
    <row r="89">
      <c r="A89" t="inlineStr">
        <is>
          <t>fx</t>
        </is>
      </c>
      <c r="B89">
        <f>52+(96-Calc!$B$13*Calc!$B$88)/2</f>
        <v/>
      </c>
      <c r="F89" t="inlineStr">
        <is>
          <t>fx</t>
        </is>
      </c>
      <c r="G89">
        <f>52+(96-Calc!$G$13*Calc!$G$88)/2</f>
        <v/>
      </c>
      <c r="K89" t="inlineStr">
        <is>
          <t>fx</t>
        </is>
      </c>
      <c r="L89">
        <f>52+(96-Calc!$L$13*Calc!$L$88)/2</f>
        <v/>
      </c>
      <c r="P89" t="inlineStr">
        <is>
          <t>fx</t>
        </is>
      </c>
      <c r="Q89">
        <f>52+(96-Calc!$Q$13*Calc!$Q$88)/2</f>
        <v/>
      </c>
      <c r="U89" t="inlineStr">
        <is>
          <t>fx</t>
        </is>
      </c>
      <c r="V89">
        <f>52+(96-Calc!$V$13*Calc!$V$88)/2</f>
        <v/>
      </c>
      <c r="Z89" t="inlineStr">
        <is>
          <t>fx</t>
        </is>
      </c>
      <c r="AA89">
        <f>52+(96-Calc!$AA$13*Calc!$AA$88)/2</f>
        <v/>
      </c>
    </row>
    <row r="90">
      <c r="A90" t="inlineStr">
        <is>
          <t>ds</t>
        </is>
      </c>
      <c r="B90">
        <f>MIN(90/MAX(1,Calc!$B$24*Calc!$B$5+IF(Calc!$B$4,1,0)),140/MAX(1,Calc!$B$2))</f>
        <v/>
      </c>
      <c r="F90" t="inlineStr">
        <is>
          <t>ds</t>
        </is>
      </c>
      <c r="G90">
        <f>MIN(90/MAX(1,Calc!$G$24*Calc!$G$5+IF(Calc!$G$4,1,0)),140/MAX(1,Calc!$G$2))</f>
        <v/>
      </c>
      <c r="K90" t="inlineStr">
        <is>
          <t>ds</t>
        </is>
      </c>
      <c r="L90">
        <f>MIN(90/MAX(1,Calc!$L$24*Calc!$L$5+IF(Calc!$L$4,1,0)),140/MAX(1,Calc!$L$2))</f>
        <v/>
      </c>
      <c r="P90" t="inlineStr">
        <is>
          <t>ds</t>
        </is>
      </c>
      <c r="Q90">
        <f>MIN(90/MAX(1,Calc!$Q$24*Calc!$Q$5+IF(Calc!$Q$4,1,0)),140/MAX(1,Calc!$Q$2))</f>
        <v/>
      </c>
      <c r="U90" t="inlineStr">
        <is>
          <t>ds</t>
        </is>
      </c>
      <c r="V90">
        <f>MIN(90/MAX(1,Calc!$V$24*Calc!$V$5+IF(Calc!$V$4,1,0)),140/MAX(1,Calc!$V$2))</f>
        <v/>
      </c>
      <c r="Z90" t="inlineStr">
        <is>
          <t>ds</t>
        </is>
      </c>
      <c r="AA90">
        <f>MIN(90/MAX(1,Calc!$AA$24*Calc!$AA$5+IF(Calc!$AA$4,1,0)),140/MAX(1,Calc!$AA$2))</f>
        <v/>
      </c>
    </row>
    <row r="91">
      <c r="A91" t="inlineStr">
        <is>
          <t>dx</t>
        </is>
      </c>
      <c r="B91">
        <f>55+(90-(Calc!$B$24*Calc!$B$5)*Calc!$B$90)/2</f>
        <v/>
      </c>
      <c r="F91" t="inlineStr">
        <is>
          <t>dx</t>
        </is>
      </c>
      <c r="G91">
        <f>55+(90-(Calc!$G$24*Calc!$G$5)*Calc!$G$90)/2</f>
        <v/>
      </c>
      <c r="K91" t="inlineStr">
        <is>
          <t>dx</t>
        </is>
      </c>
      <c r="L91">
        <f>55+(90-(Calc!$L$24*Calc!$L$5)*Calc!$L$90)/2</f>
        <v/>
      </c>
      <c r="P91" t="inlineStr">
        <is>
          <t>dx</t>
        </is>
      </c>
      <c r="Q91">
        <f>55+(90-(Calc!$Q$24*Calc!$Q$5)*Calc!$Q$90)/2</f>
        <v/>
      </c>
      <c r="U91" t="inlineStr">
        <is>
          <t>dx</t>
        </is>
      </c>
      <c r="V91">
        <f>55+(90-(Calc!$V$24*Calc!$V$5)*Calc!$V$90)/2</f>
        <v/>
      </c>
      <c r="Z91" t="inlineStr">
        <is>
          <t>dx</t>
        </is>
      </c>
      <c r="AA91">
        <f>55+(90-(Calc!$AA$24*Calc!$AA$5)*Calc!$AA$90)/2</f>
        <v/>
      </c>
    </row>
    <row r="92">
      <c r="A92" t="inlineStr">
        <is>
          <t>lx</t>
        </is>
      </c>
      <c r="B92">
        <f>IF(Calc!$B$56&gt;10,(Calc!$B$24-Calc!$B$56)/2,IF(OR(Calc!$B$60,Calc!$B$4),Calc!$B$24-LiteEdge-Calc!$B$56,LiteEdge))</f>
        <v/>
      </c>
      <c r="F92" t="inlineStr">
        <is>
          <t>lx</t>
        </is>
      </c>
      <c r="G92">
        <f>IF(Calc!$G$56&gt;10,(Calc!$G$24-Calc!$G$56)/2,IF(OR(Calc!$G$60,Calc!$G$4),Calc!$G$24-LiteEdge-Calc!$G$56,LiteEdge))</f>
        <v/>
      </c>
      <c r="K92" t="inlineStr">
        <is>
          <t>lx</t>
        </is>
      </c>
      <c r="L92">
        <f>IF(Calc!$L$56&gt;10,(Calc!$L$24-Calc!$L$56)/2,IF(OR(Calc!$L$60,Calc!$L$4),Calc!$L$24-LiteEdge-Calc!$L$56,LiteEdge))</f>
        <v/>
      </c>
      <c r="P92" t="inlineStr">
        <is>
          <t>lx</t>
        </is>
      </c>
      <c r="Q92">
        <f>IF(Calc!$Q$56&gt;10,(Calc!$Q$24-Calc!$Q$56)/2,IF(OR(Calc!$Q$60,Calc!$Q$4),Calc!$Q$24-LiteEdge-Calc!$Q$56,LiteEdge))</f>
        <v/>
      </c>
      <c r="U92" t="inlineStr">
        <is>
          <t>lx</t>
        </is>
      </c>
      <c r="V92">
        <f>IF(Calc!$V$56&gt;10,(Calc!$V$24-Calc!$V$56)/2,IF(OR(Calc!$V$60,Calc!$V$4),Calc!$V$24-LiteEdge-Calc!$V$56,LiteEdge))</f>
        <v/>
      </c>
      <c r="Z92" t="inlineStr">
        <is>
          <t>lx</t>
        </is>
      </c>
      <c r="AA92">
        <f>IF(Calc!$AA$56&gt;10,(Calc!$AA$24-Calc!$AA$56)/2,IF(OR(Calc!$AA$60,Calc!$AA$4),Calc!$AA$24-LiteEdge-Calc!$AA$56,LiteEdge))</f>
        <v/>
      </c>
    </row>
    <row r="93">
      <c r="A93" t="inlineStr">
        <is>
          <t>ps</t>
        </is>
      </c>
      <c r="B93">
        <f>120/MAX(1,Calc!$B$1+30)</f>
        <v/>
      </c>
      <c r="F93" t="inlineStr">
        <is>
          <t>ps</t>
        </is>
      </c>
      <c r="G93">
        <f>120/MAX(1,Calc!$G$1+30)</f>
        <v/>
      </c>
      <c r="K93" t="inlineStr">
        <is>
          <t>ps</t>
        </is>
      </c>
      <c r="L93">
        <f>120/MAX(1,Calc!$L$1+30)</f>
        <v/>
      </c>
      <c r="P93" t="inlineStr">
        <is>
          <t>ps</t>
        </is>
      </c>
      <c r="Q93">
        <f>120/MAX(1,Calc!$Q$1+30)</f>
        <v/>
      </c>
      <c r="U93" t="inlineStr">
        <is>
          <t>ps</t>
        </is>
      </c>
      <c r="V93">
        <f>120/MAX(1,Calc!$V$1+30)</f>
        <v/>
      </c>
      <c r="Z93" t="inlineStr">
        <is>
          <t>ps</t>
        </is>
      </c>
      <c r="AA93">
        <f>120/MAX(1,Calc!$AA$1+30)</f>
        <v/>
      </c>
    </row>
    <row r="94">
      <c r="A94" t="inlineStr">
        <is>
          <t>px</t>
        </is>
      </c>
      <c r="B94">
        <f>100-(Calc!$B$1/2)*Calc!$B$93</f>
        <v/>
      </c>
      <c r="F94" t="inlineStr">
        <is>
          <t>px</t>
        </is>
      </c>
      <c r="G94">
        <f>100-(Calc!$G$1/2)*Calc!$G$93</f>
        <v/>
      </c>
      <c r="K94" t="inlineStr">
        <is>
          <t>px</t>
        </is>
      </c>
      <c r="L94">
        <f>100-(Calc!$L$1/2)*Calc!$L$93</f>
        <v/>
      </c>
      <c r="P94" t="inlineStr">
        <is>
          <t>px</t>
        </is>
      </c>
      <c r="Q94">
        <f>100-(Calc!$Q$1/2)*Calc!$Q$93</f>
        <v/>
      </c>
      <c r="U94" t="inlineStr">
        <is>
          <t>px</t>
        </is>
      </c>
      <c r="V94">
        <f>100-(Calc!$V$1/2)*Calc!$V$93</f>
        <v/>
      </c>
      <c r="Z94" t="inlineStr">
        <is>
          <t>px</t>
        </is>
      </c>
      <c r="AA94">
        <f>100-(Calc!$AA$1/2)*Calc!$AA$93</f>
        <v/>
      </c>
    </row>
    <row r="95">
      <c r="A95" t="inlineStr">
        <is>
          <t>dir</t>
        </is>
      </c>
      <c r="B95">
        <f>IF(Calc!$B$61,-1,1)</f>
        <v/>
      </c>
      <c r="F95" t="inlineStr">
        <is>
          <t>dir</t>
        </is>
      </c>
      <c r="G95">
        <f>IF(Calc!$G$61,-1,1)</f>
        <v/>
      </c>
      <c r="K95" t="inlineStr">
        <is>
          <t>dir</t>
        </is>
      </c>
      <c r="L95">
        <f>IF(Calc!$L$61,-1,1)</f>
        <v/>
      </c>
      <c r="P95" t="inlineStr">
        <is>
          <t>dir</t>
        </is>
      </c>
      <c r="Q95">
        <f>IF(Calc!$Q$61,-1,1)</f>
        <v/>
      </c>
      <c r="U95" t="inlineStr">
        <is>
          <t>dir</t>
        </is>
      </c>
      <c r="V95">
        <f>IF(Calc!$V$61,-1,1)</f>
        <v/>
      </c>
      <c r="Z95" t="inlineStr">
        <is>
          <t>dir</t>
        </is>
      </c>
      <c r="AA95">
        <f>IF(Calc!$AA$61,-1,1)</f>
        <v/>
      </c>
    </row>
    <row r="96">
      <c r="A96" t="inlineStr">
        <is>
          <t>lwp</t>
        </is>
      </c>
      <c r="B96">
        <f>IF(Calc!$B$4,Calc!$B$1/2,Calc!$B$1)</f>
        <v/>
      </c>
      <c r="F96" t="inlineStr">
        <is>
          <t>lwp</t>
        </is>
      </c>
      <c r="G96">
        <f>IF(Calc!$G$4,Calc!$G$1/2,Calc!$G$1)</f>
        <v/>
      </c>
      <c r="K96" t="inlineStr">
        <is>
          <t>lwp</t>
        </is>
      </c>
      <c r="L96">
        <f>IF(Calc!$L$4,Calc!$L$1/2,Calc!$L$1)</f>
        <v/>
      </c>
      <c r="P96" t="inlineStr">
        <is>
          <t>lwp</t>
        </is>
      </c>
      <c r="Q96">
        <f>IF(Calc!$Q$4,Calc!$Q$1/2,Calc!$Q$1)</f>
        <v/>
      </c>
      <c r="U96" t="inlineStr">
        <is>
          <t>lwp</t>
        </is>
      </c>
      <c r="V96">
        <f>IF(Calc!$V$4,Calc!$V$1/2,Calc!$V$1)</f>
        <v/>
      </c>
      <c r="Z96" t="inlineStr">
        <is>
          <t>lwp</t>
        </is>
      </c>
      <c r="AA96">
        <f>IF(Calc!$AA$4,Calc!$AA$1/2,Calc!$AA$1)</f>
        <v/>
      </c>
    </row>
    <row r="97">
      <c r="A97" t="inlineStr">
        <is>
          <t>rs</t>
        </is>
      </c>
      <c r="B97">
        <f>150/MAX(6,Calc!$B$6+3)</f>
        <v/>
      </c>
      <c r="F97" t="inlineStr">
        <is>
          <t>rs</t>
        </is>
      </c>
      <c r="G97">
        <f>150/MAX(6,Calc!$G$6+3)</f>
        <v/>
      </c>
      <c r="K97" t="inlineStr">
        <is>
          <t>rs</t>
        </is>
      </c>
      <c r="L97">
        <f>150/MAX(6,Calc!$L$6+3)</f>
        <v/>
      </c>
      <c r="P97" t="inlineStr">
        <is>
          <t>rs</t>
        </is>
      </c>
      <c r="Q97">
        <f>150/MAX(6,Calc!$Q$6+3)</f>
        <v/>
      </c>
      <c r="U97" t="inlineStr">
        <is>
          <t>rs</t>
        </is>
      </c>
      <c r="V97">
        <f>150/MAX(6,Calc!$V$6+3)</f>
        <v/>
      </c>
      <c r="Z97" t="inlineStr">
        <is>
          <t>rs</t>
        </is>
      </c>
      <c r="AA97">
        <f>150/MAX(6,Calc!$AA$6+3)</f>
        <v/>
      </c>
    </row>
    <row r="98">
      <c r="A98" t="inlineStr">
        <is>
          <t>rx</t>
        </is>
      </c>
      <c r="B98">
        <f>100-(Calc!$B$6/2)*Calc!$B$97</f>
        <v/>
      </c>
      <c r="F98" t="inlineStr">
        <is>
          <t>rx</t>
        </is>
      </c>
      <c r="G98">
        <f>100-(Calc!$G$6/2)*Calc!$G$97</f>
        <v/>
      </c>
      <c r="K98" t="inlineStr">
        <is>
          <t>rx</t>
        </is>
      </c>
      <c r="L98">
        <f>100-(Calc!$L$6/2)*Calc!$L$97</f>
        <v/>
      </c>
      <c r="P98" t="inlineStr">
        <is>
          <t>rx</t>
        </is>
      </c>
      <c r="Q98">
        <f>100-(Calc!$Q$6/2)*Calc!$Q$97</f>
        <v/>
      </c>
      <c r="U98" t="inlineStr">
        <is>
          <t>rx</t>
        </is>
      </c>
      <c r="V98">
        <f>100-(Calc!$V$6/2)*Calc!$V$97</f>
        <v/>
      </c>
      <c r="Z98" t="inlineStr">
        <is>
          <t>rx</t>
        </is>
      </c>
      <c r="AA98">
        <f>100-(Calc!$AA$6/2)*Calc!$AA$97</f>
        <v/>
      </c>
    </row>
    <row r="99">
      <c r="A99" t="inlineStr">
        <is>
          <t>R2</t>
        </is>
      </c>
      <c r="B99">
        <f>1.9375</f>
        <v/>
      </c>
      <c r="F99" t="inlineStr">
        <is>
          <t>R2</t>
        </is>
      </c>
      <c r="G99">
        <f>1.9375</f>
        <v/>
      </c>
      <c r="K99" t="inlineStr">
        <is>
          <t>R2</t>
        </is>
      </c>
      <c r="L99">
        <f>1.9375</f>
        <v/>
      </c>
      <c r="P99" t="inlineStr">
        <is>
          <t>R2</t>
        </is>
      </c>
      <c r="Q99">
        <f>1.9375</f>
        <v/>
      </c>
      <c r="U99" t="inlineStr">
        <is>
          <t>R2</t>
        </is>
      </c>
      <c r="V99">
        <f>1.9375</f>
        <v/>
      </c>
      <c r="Z99" t="inlineStr">
        <is>
          <t>R2</t>
        </is>
      </c>
      <c r="AA99">
        <f>1.9375</f>
        <v/>
      </c>
    </row>
    <row r="100">
      <c r="A100" t="inlineStr">
        <is>
          <t>R1</t>
        </is>
      </c>
      <c r="B100">
        <f>MAX(0.5,MIN(1.9375,Calc!$B$6-1.9375-1))</f>
        <v/>
      </c>
      <c r="F100" t="inlineStr">
        <is>
          <t>R1</t>
        </is>
      </c>
      <c r="G100">
        <f>MAX(0.5,MIN(1.9375,Calc!$G$6-1.9375-1))</f>
        <v/>
      </c>
      <c r="K100" t="inlineStr">
        <is>
          <t>R1</t>
        </is>
      </c>
      <c r="L100">
        <f>MAX(0.5,MIN(1.9375,Calc!$L$6-1.9375-1))</f>
        <v/>
      </c>
      <c r="P100" t="inlineStr">
        <is>
          <t>R1</t>
        </is>
      </c>
      <c r="Q100">
        <f>MAX(0.5,MIN(1.9375,Calc!$Q$6-1.9375-1))</f>
        <v/>
      </c>
      <c r="U100" t="inlineStr">
        <is>
          <t>R1</t>
        </is>
      </c>
      <c r="V100">
        <f>MAX(0.5,MIN(1.9375,Calc!$V$6-1.9375-1))</f>
        <v/>
      </c>
      <c r="Z100" t="inlineStr">
        <is>
          <t>R1</t>
        </is>
      </c>
      <c r="AA100">
        <f>MAX(0.5,MIN(1.9375,Calc!$AA$6-1.9375-1))</f>
        <v/>
      </c>
    </row>
    <row r="101">
      <c r="A101" t="inlineStr">
        <is>
          <t>fc</t>
        </is>
      </c>
      <c r="B101">
        <f>IF(N(Calc!$B$11)&gt;0,MIN(4,Calc!$B$11),2)</f>
        <v/>
      </c>
      <c r="F101" t="inlineStr">
        <is>
          <t>fc</t>
        </is>
      </c>
      <c r="G101">
        <f>IF(N(Calc!$G$11)&gt;0,MIN(4,Calc!$G$11),2)</f>
        <v/>
      </c>
      <c r="K101" t="inlineStr">
        <is>
          <t>fc</t>
        </is>
      </c>
      <c r="L101">
        <f>IF(N(Calc!$L$11)&gt;0,MIN(4,Calc!$L$11),2)</f>
        <v/>
      </c>
      <c r="P101" t="inlineStr">
        <is>
          <t>fc</t>
        </is>
      </c>
      <c r="Q101">
        <f>IF(N(Calc!$Q$11)&gt;0,MIN(4,Calc!$Q$11),2)</f>
        <v/>
      </c>
      <c r="U101" t="inlineStr">
        <is>
          <t>fc</t>
        </is>
      </c>
      <c r="V101">
        <f>IF(N(Calc!$V$11)&gt;0,MIN(4,Calc!$V$11),2)</f>
        <v/>
      </c>
      <c r="Z101" t="inlineStr">
        <is>
          <t>fc</t>
        </is>
      </c>
      <c r="AA101">
        <f>IF(N(Calc!$AA$11)&gt;0,MIN(4,Calc!$AA$11),2)</f>
        <v/>
      </c>
    </row>
    <row r="102">
      <c r="A102" t="inlineStr">
        <is>
          <t>bb</t>
        </is>
      </c>
      <c r="B102">
        <f>IF(Calc!$B$8,0.5,0.4375)</f>
        <v/>
      </c>
      <c r="F102" t="inlineStr">
        <is>
          <t>bb</t>
        </is>
      </c>
      <c r="G102">
        <f>IF(Calc!$G$8,0.5,0.4375)</f>
        <v/>
      </c>
      <c r="K102" t="inlineStr">
        <is>
          <t>bb</t>
        </is>
      </c>
      <c r="L102">
        <f>IF(Calc!$L$8,0.5,0.4375)</f>
        <v/>
      </c>
      <c r="P102" t="inlineStr">
        <is>
          <t>bb</t>
        </is>
      </c>
      <c r="Q102">
        <f>IF(Calc!$Q$8,0.5,0.4375)</f>
        <v/>
      </c>
      <c r="U102" t="inlineStr">
        <is>
          <t>bb</t>
        </is>
      </c>
      <c r="V102">
        <f>IF(Calc!$V$8,0.5,0.4375)</f>
        <v/>
      </c>
      <c r="Z102" t="inlineStr">
        <is>
          <t>bb</t>
        </is>
      </c>
      <c r="AA102">
        <f>IF(Calc!$AA$8,0.5,0.4375)</f>
        <v/>
      </c>
    </row>
    <row r="103">
      <c r="A103" t="inlineStr">
        <is>
          <t>wt</t>
        </is>
      </c>
      <c r="B103">
        <f>Calc!$B$15</f>
        <v/>
      </c>
      <c r="F103" t="inlineStr">
        <is>
          <t>wt</t>
        </is>
      </c>
      <c r="G103">
        <f>Calc!$G$15</f>
        <v/>
      </c>
      <c r="K103" t="inlineStr">
        <is>
          <t>wt</t>
        </is>
      </c>
      <c r="L103">
        <f>Calc!$L$15</f>
        <v/>
      </c>
      <c r="P103" t="inlineStr">
        <is>
          <t>wt</t>
        </is>
      </c>
      <c r="Q103">
        <f>Calc!$Q$15</f>
        <v/>
      </c>
      <c r="U103" t="inlineStr">
        <is>
          <t>wt</t>
        </is>
      </c>
      <c r="V103">
        <f>Calc!$V$15</f>
        <v/>
      </c>
      <c r="Z103" t="inlineStr">
        <is>
          <t>wt</t>
        </is>
      </c>
      <c r="AA103">
        <f>Calc!$AA$15</f>
        <v/>
      </c>
    </row>
    <row r="104">
      <c r="A104" t="inlineStr">
        <is>
          <t>wx</t>
        </is>
      </c>
      <c r="B104">
        <f>(Calc!$B$6-Calc!$B$103)/2</f>
        <v/>
      </c>
      <c r="F104" t="inlineStr">
        <is>
          <t>wx</t>
        </is>
      </c>
      <c r="G104">
        <f>(Calc!$G$6-Calc!$G$103)/2</f>
        <v/>
      </c>
      <c r="K104" t="inlineStr">
        <is>
          <t>wx</t>
        </is>
      </c>
      <c r="L104">
        <f>(Calc!$L$6-Calc!$L$103)/2</f>
        <v/>
      </c>
      <c r="P104" t="inlineStr">
        <is>
          <t>wx</t>
        </is>
      </c>
      <c r="Q104">
        <f>(Calc!$Q$6-Calc!$Q$103)/2</f>
        <v/>
      </c>
      <c r="U104" t="inlineStr">
        <is>
          <t>wx</t>
        </is>
      </c>
      <c r="V104">
        <f>(Calc!$V$6-Calc!$V$103)/2</f>
        <v/>
      </c>
      <c r="Z104" t="inlineStr">
        <is>
          <t>wx</t>
        </is>
      </c>
      <c r="AA104">
        <f>(Calc!$AA$6-Calc!$AA$103)/2</f>
        <v/>
      </c>
    </row>
    <row r="120">
      <c r="A120" t="inlineStr">
        <is>
          <t>outer</t>
        </is>
      </c>
      <c r="B120">
        <f>IF(Calc!$B$3,(Calc!$B$89+(0)*Calc!$B$88),NA())</f>
        <v/>
      </c>
      <c r="C120">
        <f>IF(Calc!$B$3,((0)*Calc!$B$88),NA())</f>
        <v/>
      </c>
      <c r="F120" t="inlineStr">
        <is>
          <t>outer</t>
        </is>
      </c>
      <c r="G120">
        <f>IF(Calc!$G$3,(Calc!$G$89+(0)*Calc!$G$88),NA())</f>
        <v/>
      </c>
      <c r="H120">
        <f>IF(Calc!$G$3,((0)*Calc!$G$88),NA())</f>
        <v/>
      </c>
      <c r="K120" t="inlineStr">
        <is>
          <t>outer</t>
        </is>
      </c>
      <c r="L120">
        <f>IF(Calc!$L$3,(Calc!$L$89+(0)*Calc!$L$88),NA())</f>
        <v/>
      </c>
      <c r="M120">
        <f>IF(Calc!$L$3,((0)*Calc!$L$88),NA())</f>
        <v/>
      </c>
      <c r="P120" t="inlineStr">
        <is>
          <t>outer</t>
        </is>
      </c>
      <c r="Q120">
        <f>IF(Calc!$Q$3,(Calc!$Q$89+(0)*Calc!$Q$88),NA())</f>
        <v/>
      </c>
      <c r="R120">
        <f>IF(Calc!$Q$3,((0)*Calc!$Q$88),NA())</f>
        <v/>
      </c>
      <c r="U120" t="inlineStr">
        <is>
          <t>outer</t>
        </is>
      </c>
      <c r="V120">
        <f>IF(Calc!$V$3,(Calc!$V$89+(0)*Calc!$V$88),NA())</f>
        <v/>
      </c>
      <c r="W120">
        <f>IF(Calc!$V$3,((0)*Calc!$V$88),NA())</f>
        <v/>
      </c>
      <c r="Z120" t="inlineStr">
        <is>
          <t>outer</t>
        </is>
      </c>
      <c r="AA120">
        <f>IF(Calc!$AA$3,(Calc!$AA$89+(0)*Calc!$AA$88),NA())</f>
        <v/>
      </c>
      <c r="AB120">
        <f>IF(Calc!$AA$3,((0)*Calc!$AA$88),NA())</f>
        <v/>
      </c>
    </row>
    <row r="121">
      <c r="A121" t="inlineStr">
        <is>
          <t>outer</t>
        </is>
      </c>
      <c r="B121">
        <f>IF(Calc!$B$3,(Calc!$B$89+(0)*Calc!$B$88),NA())</f>
        <v/>
      </c>
      <c r="C121">
        <f>IF(Calc!$B$3,((Calc!$B$14)*Calc!$B$88),NA())</f>
        <v/>
      </c>
      <c r="F121" t="inlineStr">
        <is>
          <t>outer</t>
        </is>
      </c>
      <c r="G121">
        <f>IF(Calc!$G$3,(Calc!$G$89+(0)*Calc!$G$88),NA())</f>
        <v/>
      </c>
      <c r="H121">
        <f>IF(Calc!$G$3,((Calc!$G$14)*Calc!$G$88),NA())</f>
        <v/>
      </c>
      <c r="K121" t="inlineStr">
        <is>
          <t>outer</t>
        </is>
      </c>
      <c r="L121">
        <f>IF(Calc!$L$3,(Calc!$L$89+(0)*Calc!$L$88),NA())</f>
        <v/>
      </c>
      <c r="M121">
        <f>IF(Calc!$L$3,((Calc!$L$14)*Calc!$L$88),NA())</f>
        <v/>
      </c>
      <c r="P121" t="inlineStr">
        <is>
          <t>outer</t>
        </is>
      </c>
      <c r="Q121">
        <f>IF(Calc!$Q$3,(Calc!$Q$89+(0)*Calc!$Q$88),NA())</f>
        <v/>
      </c>
      <c r="R121">
        <f>IF(Calc!$Q$3,((Calc!$Q$14)*Calc!$Q$88),NA())</f>
        <v/>
      </c>
      <c r="U121" t="inlineStr">
        <is>
          <t>outer</t>
        </is>
      </c>
      <c r="V121">
        <f>IF(Calc!$V$3,(Calc!$V$89+(0)*Calc!$V$88),NA())</f>
        <v/>
      </c>
      <c r="W121">
        <f>IF(Calc!$V$3,((Calc!$V$14)*Calc!$V$88),NA())</f>
        <v/>
      </c>
      <c r="Z121" t="inlineStr">
        <is>
          <t>outer</t>
        </is>
      </c>
      <c r="AA121">
        <f>IF(Calc!$AA$3,(Calc!$AA$89+(0)*Calc!$AA$88),NA())</f>
        <v/>
      </c>
      <c r="AB121">
        <f>IF(Calc!$AA$3,((Calc!$AA$14)*Calc!$AA$88),NA())</f>
        <v/>
      </c>
    </row>
    <row r="122">
      <c r="A122" t="inlineStr">
        <is>
          <t>outer</t>
        </is>
      </c>
      <c r="B122">
        <f>IF(Calc!$B$3,(Calc!$B$89+(Calc!$B$13)*Calc!$B$88),NA())</f>
        <v/>
      </c>
      <c r="C122">
        <f>IF(Calc!$B$3,((Calc!$B$14)*Calc!$B$88),NA())</f>
        <v/>
      </c>
      <c r="F122" t="inlineStr">
        <is>
          <t>outer</t>
        </is>
      </c>
      <c r="G122">
        <f>IF(Calc!$G$3,(Calc!$G$89+(Calc!$G$13)*Calc!$G$88),NA())</f>
        <v/>
      </c>
      <c r="H122">
        <f>IF(Calc!$G$3,((Calc!$G$14)*Calc!$G$88),NA())</f>
        <v/>
      </c>
      <c r="K122" t="inlineStr">
        <is>
          <t>outer</t>
        </is>
      </c>
      <c r="L122">
        <f>IF(Calc!$L$3,(Calc!$L$89+(Calc!$L$13)*Calc!$L$88),NA())</f>
        <v/>
      </c>
      <c r="M122">
        <f>IF(Calc!$L$3,((Calc!$L$14)*Calc!$L$88),NA())</f>
        <v/>
      </c>
      <c r="P122" t="inlineStr">
        <is>
          <t>outer</t>
        </is>
      </c>
      <c r="Q122">
        <f>IF(Calc!$Q$3,(Calc!$Q$89+(Calc!$Q$13)*Calc!$Q$88),NA())</f>
        <v/>
      </c>
      <c r="R122">
        <f>IF(Calc!$Q$3,((Calc!$Q$14)*Calc!$Q$88),NA())</f>
        <v/>
      </c>
      <c r="U122" t="inlineStr">
        <is>
          <t>outer</t>
        </is>
      </c>
      <c r="V122">
        <f>IF(Calc!$V$3,(Calc!$V$89+(Calc!$V$13)*Calc!$V$88),NA())</f>
        <v/>
      </c>
      <c r="W122">
        <f>IF(Calc!$V$3,((Calc!$V$14)*Calc!$V$88),NA())</f>
        <v/>
      </c>
      <c r="Z122" t="inlineStr">
        <is>
          <t>outer</t>
        </is>
      </c>
      <c r="AA122">
        <f>IF(Calc!$AA$3,(Calc!$AA$89+(Calc!$AA$13)*Calc!$AA$88),NA())</f>
        <v/>
      </c>
      <c r="AB122">
        <f>IF(Calc!$AA$3,((Calc!$AA$14)*Calc!$AA$88),NA())</f>
        <v/>
      </c>
    </row>
    <row r="123">
      <c r="A123" t="inlineStr">
        <is>
          <t>outer</t>
        </is>
      </c>
      <c r="B123">
        <f>IF(Calc!$B$3,(Calc!$B$89+(Calc!$B$13)*Calc!$B$88),NA())</f>
        <v/>
      </c>
      <c r="C123">
        <f>IF(Calc!$B$3,((0)*Calc!$B$88),NA())</f>
        <v/>
      </c>
      <c r="F123" t="inlineStr">
        <is>
          <t>outer</t>
        </is>
      </c>
      <c r="G123">
        <f>IF(Calc!$G$3,(Calc!$G$89+(Calc!$G$13)*Calc!$G$88),NA())</f>
        <v/>
      </c>
      <c r="H123">
        <f>IF(Calc!$G$3,((0)*Calc!$G$88),NA())</f>
        <v/>
      </c>
      <c r="K123" t="inlineStr">
        <is>
          <t>outer</t>
        </is>
      </c>
      <c r="L123">
        <f>IF(Calc!$L$3,(Calc!$L$89+(Calc!$L$13)*Calc!$L$88),NA())</f>
        <v/>
      </c>
      <c r="M123">
        <f>IF(Calc!$L$3,((0)*Calc!$L$88),NA())</f>
        <v/>
      </c>
      <c r="P123" t="inlineStr">
        <is>
          <t>outer</t>
        </is>
      </c>
      <c r="Q123">
        <f>IF(Calc!$Q$3,(Calc!$Q$89+(Calc!$Q$13)*Calc!$Q$88),NA())</f>
        <v/>
      </c>
      <c r="R123">
        <f>IF(Calc!$Q$3,((0)*Calc!$Q$88),NA())</f>
        <v/>
      </c>
      <c r="U123" t="inlineStr">
        <is>
          <t>outer</t>
        </is>
      </c>
      <c r="V123">
        <f>IF(Calc!$V$3,(Calc!$V$89+(Calc!$V$13)*Calc!$V$88),NA())</f>
        <v/>
      </c>
      <c r="W123">
        <f>IF(Calc!$V$3,((0)*Calc!$V$88),NA())</f>
        <v/>
      </c>
      <c r="Z123" t="inlineStr">
        <is>
          <t>outer</t>
        </is>
      </c>
      <c r="AA123">
        <f>IF(Calc!$AA$3,(Calc!$AA$89+(Calc!$AA$13)*Calc!$AA$88),NA())</f>
        <v/>
      </c>
      <c r="AB123">
        <f>IF(Calc!$AA$3,((0)*Calc!$AA$88),NA())</f>
        <v/>
      </c>
    </row>
    <row r="125">
      <c r="A125" t="inlineStr">
        <is>
          <t>inner</t>
        </is>
      </c>
      <c r="B125">
        <f>IF(Calc!$B$3,(Calc!$B$89+(Calc!$B$11)*Calc!$B$88),NA())</f>
        <v/>
      </c>
      <c r="C125">
        <f>IF(Calc!$B$3,((0)*Calc!$B$88),NA())</f>
        <v/>
      </c>
      <c r="F125" t="inlineStr">
        <is>
          <t>inner</t>
        </is>
      </c>
      <c r="G125">
        <f>IF(Calc!$G$3,(Calc!$G$89+(Calc!$G$11)*Calc!$G$88),NA())</f>
        <v/>
      </c>
      <c r="H125">
        <f>IF(Calc!$G$3,((0)*Calc!$G$88),NA())</f>
        <v/>
      </c>
      <c r="K125" t="inlineStr">
        <is>
          <t>inner</t>
        </is>
      </c>
      <c r="L125">
        <f>IF(Calc!$L$3,(Calc!$L$89+(Calc!$L$11)*Calc!$L$88),NA())</f>
        <v/>
      </c>
      <c r="M125">
        <f>IF(Calc!$L$3,((0)*Calc!$L$88),NA())</f>
        <v/>
      </c>
      <c r="P125" t="inlineStr">
        <is>
          <t>inner</t>
        </is>
      </c>
      <c r="Q125">
        <f>IF(Calc!$Q$3,(Calc!$Q$89+(Calc!$Q$11)*Calc!$Q$88),NA())</f>
        <v/>
      </c>
      <c r="R125">
        <f>IF(Calc!$Q$3,((0)*Calc!$Q$88),NA())</f>
        <v/>
      </c>
      <c r="U125" t="inlineStr">
        <is>
          <t>inner</t>
        </is>
      </c>
      <c r="V125">
        <f>IF(Calc!$V$3,(Calc!$V$89+(Calc!$V$11)*Calc!$V$88),NA())</f>
        <v/>
      </c>
      <c r="W125">
        <f>IF(Calc!$V$3,((0)*Calc!$V$88),NA())</f>
        <v/>
      </c>
      <c r="Z125" t="inlineStr">
        <is>
          <t>inner</t>
        </is>
      </c>
      <c r="AA125">
        <f>IF(Calc!$AA$3,(Calc!$AA$89+(Calc!$AA$11)*Calc!$AA$88),NA())</f>
        <v/>
      </c>
      <c r="AB125">
        <f>IF(Calc!$AA$3,((0)*Calc!$AA$88),NA())</f>
        <v/>
      </c>
    </row>
    <row r="126">
      <c r="A126" t="inlineStr">
        <is>
          <t>inner</t>
        </is>
      </c>
      <c r="B126">
        <f>IF(Calc!$B$3,(Calc!$B$89+(Calc!$B$11)*Calc!$B$88),NA())</f>
        <v/>
      </c>
      <c r="C126">
        <f>IF(Calc!$B$3,((Calc!$B$2)*Calc!$B$88),NA())</f>
        <v/>
      </c>
      <c r="F126" t="inlineStr">
        <is>
          <t>inner</t>
        </is>
      </c>
      <c r="G126">
        <f>IF(Calc!$G$3,(Calc!$G$89+(Calc!$G$11)*Calc!$G$88),NA())</f>
        <v/>
      </c>
      <c r="H126">
        <f>IF(Calc!$G$3,((Calc!$G$2)*Calc!$G$88),NA())</f>
        <v/>
      </c>
      <c r="K126" t="inlineStr">
        <is>
          <t>inner</t>
        </is>
      </c>
      <c r="L126">
        <f>IF(Calc!$L$3,(Calc!$L$89+(Calc!$L$11)*Calc!$L$88),NA())</f>
        <v/>
      </c>
      <c r="M126">
        <f>IF(Calc!$L$3,((Calc!$L$2)*Calc!$L$88),NA())</f>
        <v/>
      </c>
      <c r="P126" t="inlineStr">
        <is>
          <t>inner</t>
        </is>
      </c>
      <c r="Q126">
        <f>IF(Calc!$Q$3,(Calc!$Q$89+(Calc!$Q$11)*Calc!$Q$88),NA())</f>
        <v/>
      </c>
      <c r="R126">
        <f>IF(Calc!$Q$3,((Calc!$Q$2)*Calc!$Q$88),NA())</f>
        <v/>
      </c>
      <c r="U126" t="inlineStr">
        <is>
          <t>inner</t>
        </is>
      </c>
      <c r="V126">
        <f>IF(Calc!$V$3,(Calc!$V$89+(Calc!$V$11)*Calc!$V$88),NA())</f>
        <v/>
      </c>
      <c r="W126">
        <f>IF(Calc!$V$3,((Calc!$V$2)*Calc!$V$88),NA())</f>
        <v/>
      </c>
      <c r="Z126" t="inlineStr">
        <is>
          <t>inner</t>
        </is>
      </c>
      <c r="AA126">
        <f>IF(Calc!$AA$3,(Calc!$AA$89+(Calc!$AA$11)*Calc!$AA$88),NA())</f>
        <v/>
      </c>
      <c r="AB126">
        <f>IF(Calc!$AA$3,((Calc!$AA$2)*Calc!$AA$88),NA())</f>
        <v/>
      </c>
    </row>
    <row r="127">
      <c r="A127" t="inlineStr">
        <is>
          <t>inner</t>
        </is>
      </c>
      <c r="B127">
        <f>IF(Calc!$B$3,(Calc!$B$89+(Calc!$B$11+Calc!$B$1)*Calc!$B$88),NA())</f>
        <v/>
      </c>
      <c r="C127">
        <f>IF(Calc!$B$3,((Calc!$B$2)*Calc!$B$88),NA())</f>
        <v/>
      </c>
      <c r="F127" t="inlineStr">
        <is>
          <t>inner</t>
        </is>
      </c>
      <c r="G127">
        <f>IF(Calc!$G$3,(Calc!$G$89+(Calc!$G$11+Calc!$G$1)*Calc!$G$88),NA())</f>
        <v/>
      </c>
      <c r="H127">
        <f>IF(Calc!$G$3,((Calc!$G$2)*Calc!$G$88),NA())</f>
        <v/>
      </c>
      <c r="K127" t="inlineStr">
        <is>
          <t>inner</t>
        </is>
      </c>
      <c r="L127">
        <f>IF(Calc!$L$3,(Calc!$L$89+(Calc!$L$11+Calc!$L$1)*Calc!$L$88),NA())</f>
        <v/>
      </c>
      <c r="M127">
        <f>IF(Calc!$L$3,((Calc!$L$2)*Calc!$L$88),NA())</f>
        <v/>
      </c>
      <c r="P127" t="inlineStr">
        <is>
          <t>inner</t>
        </is>
      </c>
      <c r="Q127">
        <f>IF(Calc!$Q$3,(Calc!$Q$89+(Calc!$Q$11+Calc!$Q$1)*Calc!$Q$88),NA())</f>
        <v/>
      </c>
      <c r="R127">
        <f>IF(Calc!$Q$3,((Calc!$Q$2)*Calc!$Q$88),NA())</f>
        <v/>
      </c>
      <c r="U127" t="inlineStr">
        <is>
          <t>inner</t>
        </is>
      </c>
      <c r="V127">
        <f>IF(Calc!$V$3,(Calc!$V$89+(Calc!$V$11+Calc!$V$1)*Calc!$V$88),NA())</f>
        <v/>
      </c>
      <c r="W127">
        <f>IF(Calc!$V$3,((Calc!$V$2)*Calc!$V$88),NA())</f>
        <v/>
      </c>
      <c r="Z127" t="inlineStr">
        <is>
          <t>inner</t>
        </is>
      </c>
      <c r="AA127">
        <f>IF(Calc!$AA$3,(Calc!$AA$89+(Calc!$AA$11+Calc!$AA$1)*Calc!$AA$88),NA())</f>
        <v/>
      </c>
      <c r="AB127">
        <f>IF(Calc!$AA$3,((Calc!$AA$2)*Calc!$AA$88),NA())</f>
        <v/>
      </c>
    </row>
    <row r="128">
      <c r="A128" t="inlineStr">
        <is>
          <t>inner</t>
        </is>
      </c>
      <c r="B128">
        <f>IF(Calc!$B$3,(Calc!$B$89+(Calc!$B$11+Calc!$B$1)*Calc!$B$88),NA())</f>
        <v/>
      </c>
      <c r="C128">
        <f>IF(Calc!$B$3,((0)*Calc!$B$88),NA())</f>
        <v/>
      </c>
      <c r="F128" t="inlineStr">
        <is>
          <t>inner</t>
        </is>
      </c>
      <c r="G128">
        <f>IF(Calc!$G$3,(Calc!$G$89+(Calc!$G$11+Calc!$G$1)*Calc!$G$88),NA())</f>
        <v/>
      </c>
      <c r="H128">
        <f>IF(Calc!$G$3,((0)*Calc!$G$88),NA())</f>
        <v/>
      </c>
      <c r="K128" t="inlineStr">
        <is>
          <t>inner</t>
        </is>
      </c>
      <c r="L128">
        <f>IF(Calc!$L$3,(Calc!$L$89+(Calc!$L$11+Calc!$L$1)*Calc!$L$88),NA())</f>
        <v/>
      </c>
      <c r="M128">
        <f>IF(Calc!$L$3,((0)*Calc!$L$88),NA())</f>
        <v/>
      </c>
      <c r="P128" t="inlineStr">
        <is>
          <t>inner</t>
        </is>
      </c>
      <c r="Q128">
        <f>IF(Calc!$Q$3,(Calc!$Q$89+(Calc!$Q$11+Calc!$Q$1)*Calc!$Q$88),NA())</f>
        <v/>
      </c>
      <c r="R128">
        <f>IF(Calc!$Q$3,((0)*Calc!$Q$88),NA())</f>
        <v/>
      </c>
      <c r="U128" t="inlineStr">
        <is>
          <t>inner</t>
        </is>
      </c>
      <c r="V128">
        <f>IF(Calc!$V$3,(Calc!$V$89+(Calc!$V$11+Calc!$V$1)*Calc!$V$88),NA())</f>
        <v/>
      </c>
      <c r="W128">
        <f>IF(Calc!$V$3,((0)*Calc!$V$88),NA())</f>
        <v/>
      </c>
      <c r="Z128" t="inlineStr">
        <is>
          <t>inner</t>
        </is>
      </c>
      <c r="AA128">
        <f>IF(Calc!$AA$3,(Calc!$AA$89+(Calc!$AA$11+Calc!$AA$1)*Calc!$AA$88),NA())</f>
        <v/>
      </c>
      <c r="AB128">
        <f>IF(Calc!$AA$3,((0)*Calc!$AA$88),NA())</f>
        <v/>
      </c>
    </row>
    <row r="130">
      <c r="A130" t="inlineStr">
        <is>
          <t>floor</t>
        </is>
      </c>
      <c r="B130">
        <f>IF(Calc!$B$3,(Calc!$B$89+(-8)*Calc!$B$88),NA())</f>
        <v/>
      </c>
      <c r="C130">
        <f>IF(Calc!$B$3,((0)*Calc!$B$88),NA())</f>
        <v/>
      </c>
      <c r="F130" t="inlineStr">
        <is>
          <t>floor</t>
        </is>
      </c>
      <c r="G130">
        <f>IF(Calc!$G$3,(Calc!$G$89+(-8)*Calc!$G$88),NA())</f>
        <v/>
      </c>
      <c r="H130">
        <f>IF(Calc!$G$3,((0)*Calc!$G$88),NA())</f>
        <v/>
      </c>
      <c r="K130" t="inlineStr">
        <is>
          <t>floor</t>
        </is>
      </c>
      <c r="L130">
        <f>IF(Calc!$L$3,(Calc!$L$89+(-8)*Calc!$L$88),NA())</f>
        <v/>
      </c>
      <c r="M130">
        <f>IF(Calc!$L$3,((0)*Calc!$L$88),NA())</f>
        <v/>
      </c>
      <c r="P130" t="inlineStr">
        <is>
          <t>floor</t>
        </is>
      </c>
      <c r="Q130">
        <f>IF(Calc!$Q$3,(Calc!$Q$89+(-8)*Calc!$Q$88),NA())</f>
        <v/>
      </c>
      <c r="R130">
        <f>IF(Calc!$Q$3,((0)*Calc!$Q$88),NA())</f>
        <v/>
      </c>
      <c r="U130" t="inlineStr">
        <is>
          <t>floor</t>
        </is>
      </c>
      <c r="V130">
        <f>IF(Calc!$V$3,(Calc!$V$89+(-8)*Calc!$V$88),NA())</f>
        <v/>
      </c>
      <c r="W130">
        <f>IF(Calc!$V$3,((0)*Calc!$V$88),NA())</f>
        <v/>
      </c>
      <c r="Z130" t="inlineStr">
        <is>
          <t>floor</t>
        </is>
      </c>
      <c r="AA130">
        <f>IF(Calc!$AA$3,(Calc!$AA$89+(-8)*Calc!$AA$88),NA())</f>
        <v/>
      </c>
      <c r="AB130">
        <f>IF(Calc!$AA$3,((0)*Calc!$AA$88),NA())</f>
        <v/>
      </c>
    </row>
    <row r="131">
      <c r="A131" t="inlineStr">
        <is>
          <t>floor</t>
        </is>
      </c>
      <c r="B131">
        <f>IF(Calc!$B$3,(Calc!$B$89+(Calc!$B$13+8)*Calc!$B$88),NA())</f>
        <v/>
      </c>
      <c r="C131">
        <f>IF(Calc!$B$3,((0)*Calc!$B$88),NA())</f>
        <v/>
      </c>
      <c r="F131" t="inlineStr">
        <is>
          <t>floor</t>
        </is>
      </c>
      <c r="G131">
        <f>IF(Calc!$G$3,(Calc!$G$89+(Calc!$G$13+8)*Calc!$G$88),NA())</f>
        <v/>
      </c>
      <c r="H131">
        <f>IF(Calc!$G$3,((0)*Calc!$G$88),NA())</f>
        <v/>
      </c>
      <c r="K131" t="inlineStr">
        <is>
          <t>floor</t>
        </is>
      </c>
      <c r="L131">
        <f>IF(Calc!$L$3,(Calc!$L$89+(Calc!$L$13+8)*Calc!$L$88),NA())</f>
        <v/>
      </c>
      <c r="M131">
        <f>IF(Calc!$L$3,((0)*Calc!$L$88),NA())</f>
        <v/>
      </c>
      <c r="P131" t="inlineStr">
        <is>
          <t>floor</t>
        </is>
      </c>
      <c r="Q131">
        <f>IF(Calc!$Q$3,(Calc!$Q$89+(Calc!$Q$13+8)*Calc!$Q$88),NA())</f>
        <v/>
      </c>
      <c r="R131">
        <f>IF(Calc!$Q$3,((0)*Calc!$Q$88),NA())</f>
        <v/>
      </c>
      <c r="U131" t="inlineStr">
        <is>
          <t>floor</t>
        </is>
      </c>
      <c r="V131">
        <f>IF(Calc!$V$3,(Calc!$V$89+(Calc!$V$13+8)*Calc!$V$88),NA())</f>
        <v/>
      </c>
      <c r="W131">
        <f>IF(Calc!$V$3,((0)*Calc!$V$88),NA())</f>
        <v/>
      </c>
      <c r="Z131" t="inlineStr">
        <is>
          <t>floor</t>
        </is>
      </c>
      <c r="AA131">
        <f>IF(Calc!$AA$3,(Calc!$AA$89+(Calc!$AA$13+8)*Calc!$AA$88),NA())</f>
        <v/>
      </c>
      <c r="AB131">
        <f>IF(Calc!$AA$3,((0)*Calc!$AA$88),NA())</f>
        <v/>
      </c>
    </row>
    <row r="133">
      <c r="A133" t="inlineStr">
        <is>
          <t>hngh1</t>
        </is>
      </c>
      <c r="B133">
        <f>IF(Calc!$B$3*ISNUMBER(Calc!$B$40),(Calc!$B$89+((IF(Calc!$B$60,Calc!$B$11,Calc!$B$11+Calc!$B$1)))*Calc!$B$88),NA())</f>
        <v/>
      </c>
      <c r="C133">
        <f>IF(Calc!$B$3*ISNUMBER(Calc!$B$40),((Calc!$B$2-Calc!$B$40)*Calc!$B$88),NA())</f>
        <v/>
      </c>
      <c r="F133" t="inlineStr">
        <is>
          <t>hngh1</t>
        </is>
      </c>
      <c r="G133">
        <f>IF(Calc!$G$3*ISNUMBER(Calc!$G$40),(Calc!$G$89+((IF(Calc!$G$60,Calc!$G$11,Calc!$G$11+Calc!$G$1)))*Calc!$G$88),NA())</f>
        <v/>
      </c>
      <c r="H133">
        <f>IF(Calc!$G$3*ISNUMBER(Calc!$G$40),((Calc!$G$2-Calc!$G$40)*Calc!$G$88),NA())</f>
        <v/>
      </c>
      <c r="K133" t="inlineStr">
        <is>
          <t>hngh1</t>
        </is>
      </c>
      <c r="L133">
        <f>IF(Calc!$L$3*ISNUMBER(Calc!$L$40),(Calc!$L$89+((IF(Calc!$L$60,Calc!$L$11,Calc!$L$11+Calc!$L$1)))*Calc!$L$88),NA())</f>
        <v/>
      </c>
      <c r="M133">
        <f>IF(Calc!$L$3*ISNUMBER(Calc!$L$40),((Calc!$L$2-Calc!$L$40)*Calc!$L$88),NA())</f>
        <v/>
      </c>
      <c r="P133" t="inlineStr">
        <is>
          <t>hngh1</t>
        </is>
      </c>
      <c r="Q133">
        <f>IF(Calc!$Q$3*ISNUMBER(Calc!$Q$40),(Calc!$Q$89+((IF(Calc!$Q$60,Calc!$Q$11,Calc!$Q$11+Calc!$Q$1)))*Calc!$Q$88),NA())</f>
        <v/>
      </c>
      <c r="R133">
        <f>IF(Calc!$Q$3*ISNUMBER(Calc!$Q$40),((Calc!$Q$2-Calc!$Q$40)*Calc!$Q$88),NA())</f>
        <v/>
      </c>
      <c r="U133" t="inlineStr">
        <is>
          <t>hngh1</t>
        </is>
      </c>
      <c r="V133">
        <f>IF(Calc!$V$3*ISNUMBER(Calc!$V$40),(Calc!$V$89+((IF(Calc!$V$60,Calc!$V$11,Calc!$V$11+Calc!$V$1)))*Calc!$V$88),NA())</f>
        <v/>
      </c>
      <c r="W133">
        <f>IF(Calc!$V$3*ISNUMBER(Calc!$V$40),((Calc!$V$2-Calc!$V$40)*Calc!$V$88),NA())</f>
        <v/>
      </c>
      <c r="Z133" t="inlineStr">
        <is>
          <t>hngh1</t>
        </is>
      </c>
      <c r="AA133">
        <f>IF(Calc!$AA$3*ISNUMBER(Calc!$AA$40),(Calc!$AA$89+((IF(Calc!$AA$60,Calc!$AA$11,Calc!$AA$11+Calc!$AA$1)))*Calc!$AA$88),NA())</f>
        <v/>
      </c>
      <c r="AB133">
        <f>IF(Calc!$AA$3*ISNUMBER(Calc!$AA$40),((Calc!$AA$2-Calc!$AA$40)*Calc!$AA$88),NA())</f>
        <v/>
      </c>
    </row>
    <row r="134">
      <c r="A134" t="inlineStr">
        <is>
          <t>hngh1</t>
        </is>
      </c>
      <c r="B134">
        <f>IF(Calc!$B$3*ISNUMBER(Calc!$B$40),(Calc!$B$89+((IF(Calc!$B$60,Calc!$B$11,Calc!$B$11+Calc!$B$1)))*Calc!$B$88),NA())</f>
        <v/>
      </c>
      <c r="C134">
        <f>IF(Calc!$B$3*ISNUMBER(Calc!$B$40),((Calc!$B$2-Calc!$B$40-4.5)*Calc!$B$88),NA())</f>
        <v/>
      </c>
      <c r="F134" t="inlineStr">
        <is>
          <t>hngh1</t>
        </is>
      </c>
      <c r="G134">
        <f>IF(Calc!$G$3*ISNUMBER(Calc!$G$40),(Calc!$G$89+((IF(Calc!$G$60,Calc!$G$11,Calc!$G$11+Calc!$G$1)))*Calc!$G$88),NA())</f>
        <v/>
      </c>
      <c r="H134">
        <f>IF(Calc!$G$3*ISNUMBER(Calc!$G$40),((Calc!$G$2-Calc!$G$40-4.5)*Calc!$G$88),NA())</f>
        <v/>
      </c>
      <c r="K134" t="inlineStr">
        <is>
          <t>hngh1</t>
        </is>
      </c>
      <c r="L134">
        <f>IF(Calc!$L$3*ISNUMBER(Calc!$L$40),(Calc!$L$89+((IF(Calc!$L$60,Calc!$L$11,Calc!$L$11+Calc!$L$1)))*Calc!$L$88),NA())</f>
        <v/>
      </c>
      <c r="M134">
        <f>IF(Calc!$L$3*ISNUMBER(Calc!$L$40),((Calc!$L$2-Calc!$L$40-4.5)*Calc!$L$88),NA())</f>
        <v/>
      </c>
      <c r="P134" t="inlineStr">
        <is>
          <t>hngh1</t>
        </is>
      </c>
      <c r="Q134">
        <f>IF(Calc!$Q$3*ISNUMBER(Calc!$Q$40),(Calc!$Q$89+((IF(Calc!$Q$60,Calc!$Q$11,Calc!$Q$11+Calc!$Q$1)))*Calc!$Q$88),NA())</f>
        <v/>
      </c>
      <c r="R134">
        <f>IF(Calc!$Q$3*ISNUMBER(Calc!$Q$40),((Calc!$Q$2-Calc!$Q$40-4.5)*Calc!$Q$88),NA())</f>
        <v/>
      </c>
      <c r="U134" t="inlineStr">
        <is>
          <t>hngh1</t>
        </is>
      </c>
      <c r="V134">
        <f>IF(Calc!$V$3*ISNUMBER(Calc!$V$40),(Calc!$V$89+((IF(Calc!$V$60,Calc!$V$11,Calc!$V$11+Calc!$V$1)))*Calc!$V$88),NA())</f>
        <v/>
      </c>
      <c r="W134">
        <f>IF(Calc!$V$3*ISNUMBER(Calc!$V$40),((Calc!$V$2-Calc!$V$40-4.5)*Calc!$V$88),NA())</f>
        <v/>
      </c>
      <c r="Z134" t="inlineStr">
        <is>
          <t>hngh1</t>
        </is>
      </c>
      <c r="AA134">
        <f>IF(Calc!$AA$3*ISNUMBER(Calc!$AA$40),(Calc!$AA$89+((IF(Calc!$AA$60,Calc!$AA$11,Calc!$AA$11+Calc!$AA$1)))*Calc!$AA$88),NA())</f>
        <v/>
      </c>
      <c r="AB134">
        <f>IF(Calc!$AA$3*ISNUMBER(Calc!$AA$40),((Calc!$AA$2-Calc!$AA$40-4.5)*Calc!$AA$88),NA())</f>
        <v/>
      </c>
    </row>
    <row r="136">
      <c r="A136" t="inlineStr">
        <is>
          <t>hngPh1</t>
        </is>
      </c>
      <c r="B136">
        <f>IF(Calc!$B$3*ISNUMBER(Calc!$B$40)*Calc!$B$4,(Calc!$B$89+(Calc!$B$11+Calc!$B$1)*Calc!$B$88),NA())</f>
        <v/>
      </c>
      <c r="C136">
        <f>IF(Calc!$B$3*ISNUMBER(Calc!$B$40)*Calc!$B$4,((Calc!$B$2-Calc!$B$40)*Calc!$B$88),NA())</f>
        <v/>
      </c>
      <c r="F136" t="inlineStr">
        <is>
          <t>hngPh1</t>
        </is>
      </c>
      <c r="G136">
        <f>IF(Calc!$G$3*ISNUMBER(Calc!$G$40)*Calc!$G$4,(Calc!$G$89+(Calc!$G$11+Calc!$G$1)*Calc!$G$88),NA())</f>
        <v/>
      </c>
      <c r="H136">
        <f>IF(Calc!$G$3*ISNUMBER(Calc!$G$40)*Calc!$G$4,((Calc!$G$2-Calc!$G$40)*Calc!$G$88),NA())</f>
        <v/>
      </c>
      <c r="K136" t="inlineStr">
        <is>
          <t>hngPh1</t>
        </is>
      </c>
      <c r="L136">
        <f>IF(Calc!$L$3*ISNUMBER(Calc!$L$40)*Calc!$L$4,(Calc!$L$89+(Calc!$L$11+Calc!$L$1)*Calc!$L$88),NA())</f>
        <v/>
      </c>
      <c r="M136">
        <f>IF(Calc!$L$3*ISNUMBER(Calc!$L$40)*Calc!$L$4,((Calc!$L$2-Calc!$L$40)*Calc!$L$88),NA())</f>
        <v/>
      </c>
      <c r="P136" t="inlineStr">
        <is>
          <t>hngPh1</t>
        </is>
      </c>
      <c r="Q136">
        <f>IF(Calc!$Q$3*ISNUMBER(Calc!$Q$40)*Calc!$Q$4,(Calc!$Q$89+(Calc!$Q$11+Calc!$Q$1)*Calc!$Q$88),NA())</f>
        <v/>
      </c>
      <c r="R136">
        <f>IF(Calc!$Q$3*ISNUMBER(Calc!$Q$40)*Calc!$Q$4,((Calc!$Q$2-Calc!$Q$40)*Calc!$Q$88),NA())</f>
        <v/>
      </c>
      <c r="U136" t="inlineStr">
        <is>
          <t>hngPh1</t>
        </is>
      </c>
      <c r="V136">
        <f>IF(Calc!$V$3*ISNUMBER(Calc!$V$40)*Calc!$V$4,(Calc!$V$89+(Calc!$V$11+Calc!$V$1)*Calc!$V$88),NA())</f>
        <v/>
      </c>
      <c r="W136">
        <f>IF(Calc!$V$3*ISNUMBER(Calc!$V$40)*Calc!$V$4,((Calc!$V$2-Calc!$V$40)*Calc!$V$88),NA())</f>
        <v/>
      </c>
      <c r="Z136" t="inlineStr">
        <is>
          <t>hngPh1</t>
        </is>
      </c>
      <c r="AA136">
        <f>IF(Calc!$AA$3*ISNUMBER(Calc!$AA$40)*Calc!$AA$4,(Calc!$AA$89+(Calc!$AA$11+Calc!$AA$1)*Calc!$AA$88),NA())</f>
        <v/>
      </c>
      <c r="AB136">
        <f>IF(Calc!$AA$3*ISNUMBER(Calc!$AA$40)*Calc!$AA$4,((Calc!$AA$2-Calc!$AA$40)*Calc!$AA$88),NA())</f>
        <v/>
      </c>
    </row>
    <row r="137">
      <c r="A137" t="inlineStr">
        <is>
          <t>hngPh1</t>
        </is>
      </c>
      <c r="B137">
        <f>IF(Calc!$B$3*ISNUMBER(Calc!$B$40)*Calc!$B$4,(Calc!$B$89+(Calc!$B$11+Calc!$B$1)*Calc!$B$88),NA())</f>
        <v/>
      </c>
      <c r="C137">
        <f>IF(Calc!$B$3*ISNUMBER(Calc!$B$40)*Calc!$B$4,((Calc!$B$2-Calc!$B$40-4.5)*Calc!$B$88),NA())</f>
        <v/>
      </c>
      <c r="F137" t="inlineStr">
        <is>
          <t>hngPh1</t>
        </is>
      </c>
      <c r="G137">
        <f>IF(Calc!$G$3*ISNUMBER(Calc!$G$40)*Calc!$G$4,(Calc!$G$89+(Calc!$G$11+Calc!$G$1)*Calc!$G$88),NA())</f>
        <v/>
      </c>
      <c r="H137">
        <f>IF(Calc!$G$3*ISNUMBER(Calc!$G$40)*Calc!$G$4,((Calc!$G$2-Calc!$G$40-4.5)*Calc!$G$88),NA())</f>
        <v/>
      </c>
      <c r="K137" t="inlineStr">
        <is>
          <t>hngPh1</t>
        </is>
      </c>
      <c r="L137">
        <f>IF(Calc!$L$3*ISNUMBER(Calc!$L$40)*Calc!$L$4,(Calc!$L$89+(Calc!$L$11+Calc!$L$1)*Calc!$L$88),NA())</f>
        <v/>
      </c>
      <c r="M137">
        <f>IF(Calc!$L$3*ISNUMBER(Calc!$L$40)*Calc!$L$4,((Calc!$L$2-Calc!$L$40-4.5)*Calc!$L$88),NA())</f>
        <v/>
      </c>
      <c r="P137" t="inlineStr">
        <is>
          <t>hngPh1</t>
        </is>
      </c>
      <c r="Q137">
        <f>IF(Calc!$Q$3*ISNUMBER(Calc!$Q$40)*Calc!$Q$4,(Calc!$Q$89+(Calc!$Q$11+Calc!$Q$1)*Calc!$Q$88),NA())</f>
        <v/>
      </c>
      <c r="R137">
        <f>IF(Calc!$Q$3*ISNUMBER(Calc!$Q$40)*Calc!$Q$4,((Calc!$Q$2-Calc!$Q$40-4.5)*Calc!$Q$88),NA())</f>
        <v/>
      </c>
      <c r="U137" t="inlineStr">
        <is>
          <t>hngPh1</t>
        </is>
      </c>
      <c r="V137">
        <f>IF(Calc!$V$3*ISNUMBER(Calc!$V$40)*Calc!$V$4,(Calc!$V$89+(Calc!$V$11+Calc!$V$1)*Calc!$V$88),NA())</f>
        <v/>
      </c>
      <c r="W137">
        <f>IF(Calc!$V$3*ISNUMBER(Calc!$V$40)*Calc!$V$4,((Calc!$V$2-Calc!$V$40-4.5)*Calc!$V$88),NA())</f>
        <v/>
      </c>
      <c r="Z137" t="inlineStr">
        <is>
          <t>hngPh1</t>
        </is>
      </c>
      <c r="AA137">
        <f>IF(Calc!$AA$3*ISNUMBER(Calc!$AA$40)*Calc!$AA$4,(Calc!$AA$89+(Calc!$AA$11+Calc!$AA$1)*Calc!$AA$88),NA())</f>
        <v/>
      </c>
      <c r="AB137">
        <f>IF(Calc!$AA$3*ISNUMBER(Calc!$AA$40)*Calc!$AA$4,((Calc!$AA$2-Calc!$AA$40-4.5)*Calc!$AA$88),NA())</f>
        <v/>
      </c>
    </row>
    <row r="139">
      <c r="A139" t="inlineStr">
        <is>
          <t>lhRh1</t>
        </is>
      </c>
      <c r="B139">
        <f>IF(Calc!$B$3*ISNUMBER(Calc!$B$40)*Calc!$B$60,(Calc!$B$89+(0)*Calc!$B$88),NA())</f>
        <v/>
      </c>
      <c r="C139">
        <f>IF(Calc!$B$3*ISNUMBER(Calc!$B$40)*Calc!$B$60,((Calc!$B$2-Calc!$B$40-2.25)*Calc!$B$88),NA())</f>
        <v/>
      </c>
      <c r="D139">
        <f>Calc!$B$67</f>
        <v/>
      </c>
      <c r="F139" t="inlineStr">
        <is>
          <t>lhRh1</t>
        </is>
      </c>
      <c r="G139">
        <f>IF(Calc!$G$3*ISNUMBER(Calc!$G$40)*Calc!$G$60,(Calc!$G$89+(0)*Calc!$G$88),NA())</f>
        <v/>
      </c>
      <c r="H139">
        <f>IF(Calc!$G$3*ISNUMBER(Calc!$G$40)*Calc!$G$60,((Calc!$G$2-Calc!$G$40-2.25)*Calc!$G$88),NA())</f>
        <v/>
      </c>
      <c r="I139">
        <f>Calc!$G$67</f>
        <v/>
      </c>
      <c r="K139" t="inlineStr">
        <is>
          <t>lhRh1</t>
        </is>
      </c>
      <c r="L139">
        <f>IF(Calc!$L$3*ISNUMBER(Calc!$L$40)*Calc!$L$60,(Calc!$L$89+(0)*Calc!$L$88),NA())</f>
        <v/>
      </c>
      <c r="M139">
        <f>IF(Calc!$L$3*ISNUMBER(Calc!$L$40)*Calc!$L$60,((Calc!$L$2-Calc!$L$40-2.25)*Calc!$L$88),NA())</f>
        <v/>
      </c>
      <c r="N139">
        <f>Calc!$L$67</f>
        <v/>
      </c>
      <c r="P139" t="inlineStr">
        <is>
          <t>lhRh1</t>
        </is>
      </c>
      <c r="Q139">
        <f>IF(Calc!$Q$3*ISNUMBER(Calc!$Q$40)*Calc!$Q$60,(Calc!$Q$89+(0)*Calc!$Q$88),NA())</f>
        <v/>
      </c>
      <c r="R139">
        <f>IF(Calc!$Q$3*ISNUMBER(Calc!$Q$40)*Calc!$Q$60,((Calc!$Q$2-Calc!$Q$40-2.25)*Calc!$Q$88),NA())</f>
        <v/>
      </c>
      <c r="S139">
        <f>Calc!$Q$67</f>
        <v/>
      </c>
      <c r="U139" t="inlineStr">
        <is>
          <t>lhRh1</t>
        </is>
      </c>
      <c r="V139">
        <f>IF(Calc!$V$3*ISNUMBER(Calc!$V$40)*Calc!$V$60,(Calc!$V$89+(0)*Calc!$V$88),NA())</f>
        <v/>
      </c>
      <c r="W139">
        <f>IF(Calc!$V$3*ISNUMBER(Calc!$V$40)*Calc!$V$60,((Calc!$V$2-Calc!$V$40-2.25)*Calc!$V$88),NA())</f>
        <v/>
      </c>
      <c r="X139">
        <f>Calc!$V$67</f>
        <v/>
      </c>
      <c r="Z139" t="inlineStr">
        <is>
          <t>lhRh1</t>
        </is>
      </c>
      <c r="AA139">
        <f>IF(Calc!$AA$3*ISNUMBER(Calc!$AA$40)*Calc!$AA$60,(Calc!$AA$89+(0)*Calc!$AA$88),NA())</f>
        <v/>
      </c>
      <c r="AB139">
        <f>IF(Calc!$AA$3*ISNUMBER(Calc!$AA$40)*Calc!$AA$60,((Calc!$AA$2-Calc!$AA$40-2.25)*Calc!$AA$88),NA())</f>
        <v/>
      </c>
      <c r="AC139">
        <f>Calc!$AA$67</f>
        <v/>
      </c>
    </row>
    <row r="141">
      <c r="A141" t="inlineStr">
        <is>
          <t>lhLh1</t>
        </is>
      </c>
      <c r="B141">
        <f>IF(Calc!$B$3*ISNUMBER(Calc!$B$40)*NOT(Calc!$B$60),(Calc!$B$89+(Calc!$B$13)*Calc!$B$88),NA())</f>
        <v/>
      </c>
      <c r="C141">
        <f>IF(Calc!$B$3*ISNUMBER(Calc!$B$40)*NOT(Calc!$B$60),((Calc!$B$2-Calc!$B$40-2.25)*Calc!$B$88),NA())</f>
        <v/>
      </c>
      <c r="D141">
        <f>Calc!$B$67</f>
        <v/>
      </c>
      <c r="F141" t="inlineStr">
        <is>
          <t>lhLh1</t>
        </is>
      </c>
      <c r="G141">
        <f>IF(Calc!$G$3*ISNUMBER(Calc!$G$40)*NOT(Calc!$G$60),(Calc!$G$89+(Calc!$G$13)*Calc!$G$88),NA())</f>
        <v/>
      </c>
      <c r="H141">
        <f>IF(Calc!$G$3*ISNUMBER(Calc!$G$40)*NOT(Calc!$G$60),((Calc!$G$2-Calc!$G$40-2.25)*Calc!$G$88),NA())</f>
        <v/>
      </c>
      <c r="I141">
        <f>Calc!$G$67</f>
        <v/>
      </c>
      <c r="K141" t="inlineStr">
        <is>
          <t>lhLh1</t>
        </is>
      </c>
      <c r="L141">
        <f>IF(Calc!$L$3*ISNUMBER(Calc!$L$40)*NOT(Calc!$L$60),(Calc!$L$89+(Calc!$L$13)*Calc!$L$88),NA())</f>
        <v/>
      </c>
      <c r="M141">
        <f>IF(Calc!$L$3*ISNUMBER(Calc!$L$40)*NOT(Calc!$L$60),((Calc!$L$2-Calc!$L$40-2.25)*Calc!$L$88),NA())</f>
        <v/>
      </c>
      <c r="N141">
        <f>Calc!$L$67</f>
        <v/>
      </c>
      <c r="P141" t="inlineStr">
        <is>
          <t>lhLh1</t>
        </is>
      </c>
      <c r="Q141">
        <f>IF(Calc!$Q$3*ISNUMBER(Calc!$Q$40)*NOT(Calc!$Q$60),(Calc!$Q$89+(Calc!$Q$13)*Calc!$Q$88),NA())</f>
        <v/>
      </c>
      <c r="R141">
        <f>IF(Calc!$Q$3*ISNUMBER(Calc!$Q$40)*NOT(Calc!$Q$60),((Calc!$Q$2-Calc!$Q$40-2.25)*Calc!$Q$88),NA())</f>
        <v/>
      </c>
      <c r="S141">
        <f>Calc!$Q$67</f>
        <v/>
      </c>
      <c r="U141" t="inlineStr">
        <is>
          <t>lhLh1</t>
        </is>
      </c>
      <c r="V141">
        <f>IF(Calc!$V$3*ISNUMBER(Calc!$V$40)*NOT(Calc!$V$60),(Calc!$V$89+(Calc!$V$13)*Calc!$V$88),NA())</f>
        <v/>
      </c>
      <c r="W141">
        <f>IF(Calc!$V$3*ISNUMBER(Calc!$V$40)*NOT(Calc!$V$60),((Calc!$V$2-Calc!$V$40-2.25)*Calc!$V$88),NA())</f>
        <v/>
      </c>
      <c r="X141">
        <f>Calc!$V$67</f>
        <v/>
      </c>
      <c r="Z141" t="inlineStr">
        <is>
          <t>lhLh1</t>
        </is>
      </c>
      <c r="AA141">
        <f>IF(Calc!$AA$3*ISNUMBER(Calc!$AA$40)*NOT(Calc!$AA$60),(Calc!$AA$89+(Calc!$AA$13)*Calc!$AA$88),NA())</f>
        <v/>
      </c>
      <c r="AB141">
        <f>IF(Calc!$AA$3*ISNUMBER(Calc!$AA$40)*NOT(Calc!$AA$60),((Calc!$AA$2-Calc!$AA$40-2.25)*Calc!$AA$88),NA())</f>
        <v/>
      </c>
      <c r="AC141">
        <f>Calc!$AA$67</f>
        <v/>
      </c>
    </row>
    <row r="143">
      <c r="A143" t="inlineStr">
        <is>
          <t>hngh2</t>
        </is>
      </c>
      <c r="B143">
        <f>IF(Calc!$B$3*ISNUMBER(Calc!$B$41),(Calc!$B$89+((IF(Calc!$B$60,Calc!$B$11,Calc!$B$11+Calc!$B$1)))*Calc!$B$88),NA())</f>
        <v/>
      </c>
      <c r="C143">
        <f>IF(Calc!$B$3*ISNUMBER(Calc!$B$41),((Calc!$B$2-Calc!$B$41)*Calc!$B$88),NA())</f>
        <v/>
      </c>
      <c r="F143" t="inlineStr">
        <is>
          <t>hngh2</t>
        </is>
      </c>
      <c r="G143">
        <f>IF(Calc!$G$3*ISNUMBER(Calc!$G$41),(Calc!$G$89+((IF(Calc!$G$60,Calc!$G$11,Calc!$G$11+Calc!$G$1)))*Calc!$G$88),NA())</f>
        <v/>
      </c>
      <c r="H143">
        <f>IF(Calc!$G$3*ISNUMBER(Calc!$G$41),((Calc!$G$2-Calc!$G$41)*Calc!$G$88),NA())</f>
        <v/>
      </c>
      <c r="K143" t="inlineStr">
        <is>
          <t>hngh2</t>
        </is>
      </c>
      <c r="L143">
        <f>IF(Calc!$L$3*ISNUMBER(Calc!$L$41),(Calc!$L$89+((IF(Calc!$L$60,Calc!$L$11,Calc!$L$11+Calc!$L$1)))*Calc!$L$88),NA())</f>
        <v/>
      </c>
      <c r="M143">
        <f>IF(Calc!$L$3*ISNUMBER(Calc!$L$41),((Calc!$L$2-Calc!$L$41)*Calc!$L$88),NA())</f>
        <v/>
      </c>
      <c r="P143" t="inlineStr">
        <is>
          <t>hngh2</t>
        </is>
      </c>
      <c r="Q143">
        <f>IF(Calc!$Q$3*ISNUMBER(Calc!$Q$41),(Calc!$Q$89+((IF(Calc!$Q$60,Calc!$Q$11,Calc!$Q$11+Calc!$Q$1)))*Calc!$Q$88),NA())</f>
        <v/>
      </c>
      <c r="R143">
        <f>IF(Calc!$Q$3*ISNUMBER(Calc!$Q$41),((Calc!$Q$2-Calc!$Q$41)*Calc!$Q$88),NA())</f>
        <v/>
      </c>
      <c r="U143" t="inlineStr">
        <is>
          <t>hngh2</t>
        </is>
      </c>
      <c r="V143">
        <f>IF(Calc!$V$3*ISNUMBER(Calc!$V$41),(Calc!$V$89+((IF(Calc!$V$60,Calc!$V$11,Calc!$V$11+Calc!$V$1)))*Calc!$V$88),NA())</f>
        <v/>
      </c>
      <c r="W143">
        <f>IF(Calc!$V$3*ISNUMBER(Calc!$V$41),((Calc!$V$2-Calc!$V$41)*Calc!$V$88),NA())</f>
        <v/>
      </c>
      <c r="Z143" t="inlineStr">
        <is>
          <t>hngh2</t>
        </is>
      </c>
      <c r="AA143">
        <f>IF(Calc!$AA$3*ISNUMBER(Calc!$AA$41),(Calc!$AA$89+((IF(Calc!$AA$60,Calc!$AA$11,Calc!$AA$11+Calc!$AA$1)))*Calc!$AA$88),NA())</f>
        <v/>
      </c>
      <c r="AB143">
        <f>IF(Calc!$AA$3*ISNUMBER(Calc!$AA$41),((Calc!$AA$2-Calc!$AA$41)*Calc!$AA$88),NA())</f>
        <v/>
      </c>
    </row>
    <row r="144">
      <c r="A144" t="inlineStr">
        <is>
          <t>hngh2</t>
        </is>
      </c>
      <c r="B144">
        <f>IF(Calc!$B$3*ISNUMBER(Calc!$B$41),(Calc!$B$89+((IF(Calc!$B$60,Calc!$B$11,Calc!$B$11+Calc!$B$1)))*Calc!$B$88),NA())</f>
        <v/>
      </c>
      <c r="C144">
        <f>IF(Calc!$B$3*ISNUMBER(Calc!$B$41),((Calc!$B$2-Calc!$B$41-4.5)*Calc!$B$88),NA())</f>
        <v/>
      </c>
      <c r="F144" t="inlineStr">
        <is>
          <t>hngh2</t>
        </is>
      </c>
      <c r="G144">
        <f>IF(Calc!$G$3*ISNUMBER(Calc!$G$41),(Calc!$G$89+((IF(Calc!$G$60,Calc!$G$11,Calc!$G$11+Calc!$G$1)))*Calc!$G$88),NA())</f>
        <v/>
      </c>
      <c r="H144">
        <f>IF(Calc!$G$3*ISNUMBER(Calc!$G$41),((Calc!$G$2-Calc!$G$41-4.5)*Calc!$G$88),NA())</f>
        <v/>
      </c>
      <c r="K144" t="inlineStr">
        <is>
          <t>hngh2</t>
        </is>
      </c>
      <c r="L144">
        <f>IF(Calc!$L$3*ISNUMBER(Calc!$L$41),(Calc!$L$89+((IF(Calc!$L$60,Calc!$L$11,Calc!$L$11+Calc!$L$1)))*Calc!$L$88),NA())</f>
        <v/>
      </c>
      <c r="M144">
        <f>IF(Calc!$L$3*ISNUMBER(Calc!$L$41),((Calc!$L$2-Calc!$L$41-4.5)*Calc!$L$88),NA())</f>
        <v/>
      </c>
      <c r="P144" t="inlineStr">
        <is>
          <t>hngh2</t>
        </is>
      </c>
      <c r="Q144">
        <f>IF(Calc!$Q$3*ISNUMBER(Calc!$Q$41),(Calc!$Q$89+((IF(Calc!$Q$60,Calc!$Q$11,Calc!$Q$11+Calc!$Q$1)))*Calc!$Q$88),NA())</f>
        <v/>
      </c>
      <c r="R144">
        <f>IF(Calc!$Q$3*ISNUMBER(Calc!$Q$41),((Calc!$Q$2-Calc!$Q$41-4.5)*Calc!$Q$88),NA())</f>
        <v/>
      </c>
      <c r="U144" t="inlineStr">
        <is>
          <t>hngh2</t>
        </is>
      </c>
      <c r="V144">
        <f>IF(Calc!$V$3*ISNUMBER(Calc!$V$41),(Calc!$V$89+((IF(Calc!$V$60,Calc!$V$11,Calc!$V$11+Calc!$V$1)))*Calc!$V$88),NA())</f>
        <v/>
      </c>
      <c r="W144">
        <f>IF(Calc!$V$3*ISNUMBER(Calc!$V$41),((Calc!$V$2-Calc!$V$41-4.5)*Calc!$V$88),NA())</f>
        <v/>
      </c>
      <c r="Z144" t="inlineStr">
        <is>
          <t>hngh2</t>
        </is>
      </c>
      <c r="AA144">
        <f>IF(Calc!$AA$3*ISNUMBER(Calc!$AA$41),(Calc!$AA$89+((IF(Calc!$AA$60,Calc!$AA$11,Calc!$AA$11+Calc!$AA$1)))*Calc!$AA$88),NA())</f>
        <v/>
      </c>
      <c r="AB144">
        <f>IF(Calc!$AA$3*ISNUMBER(Calc!$AA$41),((Calc!$AA$2-Calc!$AA$41-4.5)*Calc!$AA$88),NA())</f>
        <v/>
      </c>
    </row>
    <row r="146">
      <c r="A146" t="inlineStr">
        <is>
          <t>hngPh2</t>
        </is>
      </c>
      <c r="B146">
        <f>IF(Calc!$B$3*ISNUMBER(Calc!$B$41)*Calc!$B$4,(Calc!$B$89+(Calc!$B$11+Calc!$B$1)*Calc!$B$88),NA())</f>
        <v/>
      </c>
      <c r="C146">
        <f>IF(Calc!$B$3*ISNUMBER(Calc!$B$41)*Calc!$B$4,((Calc!$B$2-Calc!$B$41)*Calc!$B$88),NA())</f>
        <v/>
      </c>
      <c r="F146" t="inlineStr">
        <is>
          <t>hngPh2</t>
        </is>
      </c>
      <c r="G146">
        <f>IF(Calc!$G$3*ISNUMBER(Calc!$G$41)*Calc!$G$4,(Calc!$G$89+(Calc!$G$11+Calc!$G$1)*Calc!$G$88),NA())</f>
        <v/>
      </c>
      <c r="H146">
        <f>IF(Calc!$G$3*ISNUMBER(Calc!$G$41)*Calc!$G$4,((Calc!$G$2-Calc!$G$41)*Calc!$G$88),NA())</f>
        <v/>
      </c>
      <c r="K146" t="inlineStr">
        <is>
          <t>hngPh2</t>
        </is>
      </c>
      <c r="L146">
        <f>IF(Calc!$L$3*ISNUMBER(Calc!$L$41)*Calc!$L$4,(Calc!$L$89+(Calc!$L$11+Calc!$L$1)*Calc!$L$88),NA())</f>
        <v/>
      </c>
      <c r="M146">
        <f>IF(Calc!$L$3*ISNUMBER(Calc!$L$41)*Calc!$L$4,((Calc!$L$2-Calc!$L$41)*Calc!$L$88),NA())</f>
        <v/>
      </c>
      <c r="P146" t="inlineStr">
        <is>
          <t>hngPh2</t>
        </is>
      </c>
      <c r="Q146">
        <f>IF(Calc!$Q$3*ISNUMBER(Calc!$Q$41)*Calc!$Q$4,(Calc!$Q$89+(Calc!$Q$11+Calc!$Q$1)*Calc!$Q$88),NA())</f>
        <v/>
      </c>
      <c r="R146">
        <f>IF(Calc!$Q$3*ISNUMBER(Calc!$Q$41)*Calc!$Q$4,((Calc!$Q$2-Calc!$Q$41)*Calc!$Q$88),NA())</f>
        <v/>
      </c>
      <c r="U146" t="inlineStr">
        <is>
          <t>hngPh2</t>
        </is>
      </c>
      <c r="V146">
        <f>IF(Calc!$V$3*ISNUMBER(Calc!$V$41)*Calc!$V$4,(Calc!$V$89+(Calc!$V$11+Calc!$V$1)*Calc!$V$88),NA())</f>
        <v/>
      </c>
      <c r="W146">
        <f>IF(Calc!$V$3*ISNUMBER(Calc!$V$41)*Calc!$V$4,((Calc!$V$2-Calc!$V$41)*Calc!$V$88),NA())</f>
        <v/>
      </c>
      <c r="Z146" t="inlineStr">
        <is>
          <t>hngPh2</t>
        </is>
      </c>
      <c r="AA146">
        <f>IF(Calc!$AA$3*ISNUMBER(Calc!$AA$41)*Calc!$AA$4,(Calc!$AA$89+(Calc!$AA$11+Calc!$AA$1)*Calc!$AA$88),NA())</f>
        <v/>
      </c>
      <c r="AB146">
        <f>IF(Calc!$AA$3*ISNUMBER(Calc!$AA$41)*Calc!$AA$4,((Calc!$AA$2-Calc!$AA$41)*Calc!$AA$88),NA())</f>
        <v/>
      </c>
    </row>
    <row r="147">
      <c r="A147" t="inlineStr">
        <is>
          <t>hngPh2</t>
        </is>
      </c>
      <c r="B147">
        <f>IF(Calc!$B$3*ISNUMBER(Calc!$B$41)*Calc!$B$4,(Calc!$B$89+(Calc!$B$11+Calc!$B$1)*Calc!$B$88),NA())</f>
        <v/>
      </c>
      <c r="C147">
        <f>IF(Calc!$B$3*ISNUMBER(Calc!$B$41)*Calc!$B$4,((Calc!$B$2-Calc!$B$41-4.5)*Calc!$B$88),NA())</f>
        <v/>
      </c>
      <c r="F147" t="inlineStr">
        <is>
          <t>hngPh2</t>
        </is>
      </c>
      <c r="G147">
        <f>IF(Calc!$G$3*ISNUMBER(Calc!$G$41)*Calc!$G$4,(Calc!$G$89+(Calc!$G$11+Calc!$G$1)*Calc!$G$88),NA())</f>
        <v/>
      </c>
      <c r="H147">
        <f>IF(Calc!$G$3*ISNUMBER(Calc!$G$41)*Calc!$G$4,((Calc!$G$2-Calc!$G$41-4.5)*Calc!$G$88),NA())</f>
        <v/>
      </c>
      <c r="K147" t="inlineStr">
        <is>
          <t>hngPh2</t>
        </is>
      </c>
      <c r="L147">
        <f>IF(Calc!$L$3*ISNUMBER(Calc!$L$41)*Calc!$L$4,(Calc!$L$89+(Calc!$L$11+Calc!$L$1)*Calc!$L$88),NA())</f>
        <v/>
      </c>
      <c r="M147">
        <f>IF(Calc!$L$3*ISNUMBER(Calc!$L$41)*Calc!$L$4,((Calc!$L$2-Calc!$L$41-4.5)*Calc!$L$88),NA())</f>
        <v/>
      </c>
      <c r="P147" t="inlineStr">
        <is>
          <t>hngPh2</t>
        </is>
      </c>
      <c r="Q147">
        <f>IF(Calc!$Q$3*ISNUMBER(Calc!$Q$41)*Calc!$Q$4,(Calc!$Q$89+(Calc!$Q$11+Calc!$Q$1)*Calc!$Q$88),NA())</f>
        <v/>
      </c>
      <c r="R147">
        <f>IF(Calc!$Q$3*ISNUMBER(Calc!$Q$41)*Calc!$Q$4,((Calc!$Q$2-Calc!$Q$41-4.5)*Calc!$Q$88),NA())</f>
        <v/>
      </c>
      <c r="U147" t="inlineStr">
        <is>
          <t>hngPh2</t>
        </is>
      </c>
      <c r="V147">
        <f>IF(Calc!$V$3*ISNUMBER(Calc!$V$41)*Calc!$V$4,(Calc!$V$89+(Calc!$V$11+Calc!$V$1)*Calc!$V$88),NA())</f>
        <v/>
      </c>
      <c r="W147">
        <f>IF(Calc!$V$3*ISNUMBER(Calc!$V$41)*Calc!$V$4,((Calc!$V$2-Calc!$V$41-4.5)*Calc!$V$88),NA())</f>
        <v/>
      </c>
      <c r="Z147" t="inlineStr">
        <is>
          <t>hngPh2</t>
        </is>
      </c>
      <c r="AA147">
        <f>IF(Calc!$AA$3*ISNUMBER(Calc!$AA$41)*Calc!$AA$4,(Calc!$AA$89+(Calc!$AA$11+Calc!$AA$1)*Calc!$AA$88),NA())</f>
        <v/>
      </c>
      <c r="AB147">
        <f>IF(Calc!$AA$3*ISNUMBER(Calc!$AA$41)*Calc!$AA$4,((Calc!$AA$2-Calc!$AA$41-4.5)*Calc!$AA$88),NA())</f>
        <v/>
      </c>
    </row>
    <row r="149">
      <c r="A149" t="inlineStr">
        <is>
          <t>lhRh2</t>
        </is>
      </c>
      <c r="B149">
        <f>IF(Calc!$B$3*ISNUMBER(Calc!$B$41)*Calc!$B$60,(Calc!$B$89+(0)*Calc!$B$88),NA())</f>
        <v/>
      </c>
      <c r="C149">
        <f>IF(Calc!$B$3*ISNUMBER(Calc!$B$41)*Calc!$B$60,((Calc!$B$2-Calc!$B$41-2.25)*Calc!$B$88),NA())</f>
        <v/>
      </c>
      <c r="D149">
        <f>Calc!$B$69</f>
        <v/>
      </c>
      <c r="F149" t="inlineStr">
        <is>
          <t>lhRh2</t>
        </is>
      </c>
      <c r="G149">
        <f>IF(Calc!$G$3*ISNUMBER(Calc!$G$41)*Calc!$G$60,(Calc!$G$89+(0)*Calc!$G$88),NA())</f>
        <v/>
      </c>
      <c r="H149">
        <f>IF(Calc!$G$3*ISNUMBER(Calc!$G$41)*Calc!$G$60,((Calc!$G$2-Calc!$G$41-2.25)*Calc!$G$88),NA())</f>
        <v/>
      </c>
      <c r="I149">
        <f>Calc!$G$69</f>
        <v/>
      </c>
      <c r="K149" t="inlineStr">
        <is>
          <t>lhRh2</t>
        </is>
      </c>
      <c r="L149">
        <f>IF(Calc!$L$3*ISNUMBER(Calc!$L$41)*Calc!$L$60,(Calc!$L$89+(0)*Calc!$L$88),NA())</f>
        <v/>
      </c>
      <c r="M149">
        <f>IF(Calc!$L$3*ISNUMBER(Calc!$L$41)*Calc!$L$60,((Calc!$L$2-Calc!$L$41-2.25)*Calc!$L$88),NA())</f>
        <v/>
      </c>
      <c r="N149">
        <f>Calc!$L$69</f>
        <v/>
      </c>
      <c r="P149" t="inlineStr">
        <is>
          <t>lhRh2</t>
        </is>
      </c>
      <c r="Q149">
        <f>IF(Calc!$Q$3*ISNUMBER(Calc!$Q$41)*Calc!$Q$60,(Calc!$Q$89+(0)*Calc!$Q$88),NA())</f>
        <v/>
      </c>
      <c r="R149">
        <f>IF(Calc!$Q$3*ISNUMBER(Calc!$Q$41)*Calc!$Q$60,((Calc!$Q$2-Calc!$Q$41-2.25)*Calc!$Q$88),NA())</f>
        <v/>
      </c>
      <c r="S149">
        <f>Calc!$Q$69</f>
        <v/>
      </c>
      <c r="U149" t="inlineStr">
        <is>
          <t>lhRh2</t>
        </is>
      </c>
      <c r="V149">
        <f>IF(Calc!$V$3*ISNUMBER(Calc!$V$41)*Calc!$V$60,(Calc!$V$89+(0)*Calc!$V$88),NA())</f>
        <v/>
      </c>
      <c r="W149">
        <f>IF(Calc!$V$3*ISNUMBER(Calc!$V$41)*Calc!$V$60,((Calc!$V$2-Calc!$V$41-2.25)*Calc!$V$88),NA())</f>
        <v/>
      </c>
      <c r="X149">
        <f>Calc!$V$69</f>
        <v/>
      </c>
      <c r="Z149" t="inlineStr">
        <is>
          <t>lhRh2</t>
        </is>
      </c>
      <c r="AA149">
        <f>IF(Calc!$AA$3*ISNUMBER(Calc!$AA$41)*Calc!$AA$60,(Calc!$AA$89+(0)*Calc!$AA$88),NA())</f>
        <v/>
      </c>
      <c r="AB149">
        <f>IF(Calc!$AA$3*ISNUMBER(Calc!$AA$41)*Calc!$AA$60,((Calc!$AA$2-Calc!$AA$41-2.25)*Calc!$AA$88),NA())</f>
        <v/>
      </c>
      <c r="AC149">
        <f>Calc!$AA$69</f>
        <v/>
      </c>
    </row>
    <row r="151">
      <c r="A151" t="inlineStr">
        <is>
          <t>lhLh2</t>
        </is>
      </c>
      <c r="B151">
        <f>IF(Calc!$B$3*ISNUMBER(Calc!$B$41)*NOT(Calc!$B$60),(Calc!$B$89+(Calc!$B$13)*Calc!$B$88),NA())</f>
        <v/>
      </c>
      <c r="C151">
        <f>IF(Calc!$B$3*ISNUMBER(Calc!$B$41)*NOT(Calc!$B$60),((Calc!$B$2-Calc!$B$41-2.25)*Calc!$B$88),NA())</f>
        <v/>
      </c>
      <c r="D151">
        <f>Calc!$B$69</f>
        <v/>
      </c>
      <c r="F151" t="inlineStr">
        <is>
          <t>lhLh2</t>
        </is>
      </c>
      <c r="G151">
        <f>IF(Calc!$G$3*ISNUMBER(Calc!$G$41)*NOT(Calc!$G$60),(Calc!$G$89+(Calc!$G$13)*Calc!$G$88),NA())</f>
        <v/>
      </c>
      <c r="H151">
        <f>IF(Calc!$G$3*ISNUMBER(Calc!$G$41)*NOT(Calc!$G$60),((Calc!$G$2-Calc!$G$41-2.25)*Calc!$G$88),NA())</f>
        <v/>
      </c>
      <c r="I151">
        <f>Calc!$G$69</f>
        <v/>
      </c>
      <c r="K151" t="inlineStr">
        <is>
          <t>lhLh2</t>
        </is>
      </c>
      <c r="L151">
        <f>IF(Calc!$L$3*ISNUMBER(Calc!$L$41)*NOT(Calc!$L$60),(Calc!$L$89+(Calc!$L$13)*Calc!$L$88),NA())</f>
        <v/>
      </c>
      <c r="M151">
        <f>IF(Calc!$L$3*ISNUMBER(Calc!$L$41)*NOT(Calc!$L$60),((Calc!$L$2-Calc!$L$41-2.25)*Calc!$L$88),NA())</f>
        <v/>
      </c>
      <c r="N151">
        <f>Calc!$L$69</f>
        <v/>
      </c>
      <c r="P151" t="inlineStr">
        <is>
          <t>lhLh2</t>
        </is>
      </c>
      <c r="Q151">
        <f>IF(Calc!$Q$3*ISNUMBER(Calc!$Q$41)*NOT(Calc!$Q$60),(Calc!$Q$89+(Calc!$Q$13)*Calc!$Q$88),NA())</f>
        <v/>
      </c>
      <c r="R151">
        <f>IF(Calc!$Q$3*ISNUMBER(Calc!$Q$41)*NOT(Calc!$Q$60),((Calc!$Q$2-Calc!$Q$41-2.25)*Calc!$Q$88),NA())</f>
        <v/>
      </c>
      <c r="S151">
        <f>Calc!$Q$69</f>
        <v/>
      </c>
      <c r="U151" t="inlineStr">
        <is>
          <t>lhLh2</t>
        </is>
      </c>
      <c r="V151">
        <f>IF(Calc!$V$3*ISNUMBER(Calc!$V$41)*NOT(Calc!$V$60),(Calc!$V$89+(Calc!$V$13)*Calc!$V$88),NA())</f>
        <v/>
      </c>
      <c r="W151">
        <f>IF(Calc!$V$3*ISNUMBER(Calc!$V$41)*NOT(Calc!$V$60),((Calc!$V$2-Calc!$V$41-2.25)*Calc!$V$88),NA())</f>
        <v/>
      </c>
      <c r="X151">
        <f>Calc!$V$69</f>
        <v/>
      </c>
      <c r="Z151" t="inlineStr">
        <is>
          <t>lhLh2</t>
        </is>
      </c>
      <c r="AA151">
        <f>IF(Calc!$AA$3*ISNUMBER(Calc!$AA$41)*NOT(Calc!$AA$60),(Calc!$AA$89+(Calc!$AA$13)*Calc!$AA$88),NA())</f>
        <v/>
      </c>
      <c r="AB151">
        <f>IF(Calc!$AA$3*ISNUMBER(Calc!$AA$41)*NOT(Calc!$AA$60),((Calc!$AA$2-Calc!$AA$41-2.25)*Calc!$AA$88),NA())</f>
        <v/>
      </c>
      <c r="AC151">
        <f>Calc!$AA$69</f>
        <v/>
      </c>
    </row>
    <row r="153">
      <c r="A153" t="inlineStr">
        <is>
          <t>hngh3</t>
        </is>
      </c>
      <c r="B153">
        <f>IF(Calc!$B$3*ISNUMBER(Calc!$B$42),(Calc!$B$89+((IF(Calc!$B$60,Calc!$B$11,Calc!$B$11+Calc!$B$1)))*Calc!$B$88),NA())</f>
        <v/>
      </c>
      <c r="C153">
        <f>IF(Calc!$B$3*ISNUMBER(Calc!$B$42),((Calc!$B$2-Calc!$B$42)*Calc!$B$88),NA())</f>
        <v/>
      </c>
      <c r="F153" t="inlineStr">
        <is>
          <t>hngh3</t>
        </is>
      </c>
      <c r="G153">
        <f>IF(Calc!$G$3*ISNUMBER(Calc!$G$42),(Calc!$G$89+((IF(Calc!$G$60,Calc!$G$11,Calc!$G$11+Calc!$G$1)))*Calc!$G$88),NA())</f>
        <v/>
      </c>
      <c r="H153">
        <f>IF(Calc!$G$3*ISNUMBER(Calc!$G$42),((Calc!$G$2-Calc!$G$42)*Calc!$G$88),NA())</f>
        <v/>
      </c>
      <c r="K153" t="inlineStr">
        <is>
          <t>hngh3</t>
        </is>
      </c>
      <c r="L153">
        <f>IF(Calc!$L$3*ISNUMBER(Calc!$L$42),(Calc!$L$89+((IF(Calc!$L$60,Calc!$L$11,Calc!$L$11+Calc!$L$1)))*Calc!$L$88),NA())</f>
        <v/>
      </c>
      <c r="M153">
        <f>IF(Calc!$L$3*ISNUMBER(Calc!$L$42),((Calc!$L$2-Calc!$L$42)*Calc!$L$88),NA())</f>
        <v/>
      </c>
      <c r="P153" t="inlineStr">
        <is>
          <t>hngh3</t>
        </is>
      </c>
      <c r="Q153">
        <f>IF(Calc!$Q$3*ISNUMBER(Calc!$Q$42),(Calc!$Q$89+((IF(Calc!$Q$60,Calc!$Q$11,Calc!$Q$11+Calc!$Q$1)))*Calc!$Q$88),NA())</f>
        <v/>
      </c>
      <c r="R153">
        <f>IF(Calc!$Q$3*ISNUMBER(Calc!$Q$42),((Calc!$Q$2-Calc!$Q$42)*Calc!$Q$88),NA())</f>
        <v/>
      </c>
      <c r="U153" t="inlineStr">
        <is>
          <t>hngh3</t>
        </is>
      </c>
      <c r="V153">
        <f>IF(Calc!$V$3*ISNUMBER(Calc!$V$42),(Calc!$V$89+((IF(Calc!$V$60,Calc!$V$11,Calc!$V$11+Calc!$V$1)))*Calc!$V$88),NA())</f>
        <v/>
      </c>
      <c r="W153">
        <f>IF(Calc!$V$3*ISNUMBER(Calc!$V$42),((Calc!$V$2-Calc!$V$42)*Calc!$V$88),NA())</f>
        <v/>
      </c>
      <c r="Z153" t="inlineStr">
        <is>
          <t>hngh3</t>
        </is>
      </c>
      <c r="AA153">
        <f>IF(Calc!$AA$3*ISNUMBER(Calc!$AA$42),(Calc!$AA$89+((IF(Calc!$AA$60,Calc!$AA$11,Calc!$AA$11+Calc!$AA$1)))*Calc!$AA$88),NA())</f>
        <v/>
      </c>
      <c r="AB153">
        <f>IF(Calc!$AA$3*ISNUMBER(Calc!$AA$42),((Calc!$AA$2-Calc!$AA$42)*Calc!$AA$88),NA())</f>
        <v/>
      </c>
    </row>
    <row r="154">
      <c r="A154" t="inlineStr">
        <is>
          <t>hngh3</t>
        </is>
      </c>
      <c r="B154">
        <f>IF(Calc!$B$3*ISNUMBER(Calc!$B$42),(Calc!$B$89+((IF(Calc!$B$60,Calc!$B$11,Calc!$B$11+Calc!$B$1)))*Calc!$B$88),NA())</f>
        <v/>
      </c>
      <c r="C154">
        <f>IF(Calc!$B$3*ISNUMBER(Calc!$B$42),((Calc!$B$2-Calc!$B$42-4.5)*Calc!$B$88),NA())</f>
        <v/>
      </c>
      <c r="F154" t="inlineStr">
        <is>
          <t>hngh3</t>
        </is>
      </c>
      <c r="G154">
        <f>IF(Calc!$G$3*ISNUMBER(Calc!$G$42),(Calc!$G$89+((IF(Calc!$G$60,Calc!$G$11,Calc!$G$11+Calc!$G$1)))*Calc!$G$88),NA())</f>
        <v/>
      </c>
      <c r="H154">
        <f>IF(Calc!$G$3*ISNUMBER(Calc!$G$42),((Calc!$G$2-Calc!$G$42-4.5)*Calc!$G$88),NA())</f>
        <v/>
      </c>
      <c r="K154" t="inlineStr">
        <is>
          <t>hngh3</t>
        </is>
      </c>
      <c r="L154">
        <f>IF(Calc!$L$3*ISNUMBER(Calc!$L$42),(Calc!$L$89+((IF(Calc!$L$60,Calc!$L$11,Calc!$L$11+Calc!$L$1)))*Calc!$L$88),NA())</f>
        <v/>
      </c>
      <c r="M154">
        <f>IF(Calc!$L$3*ISNUMBER(Calc!$L$42),((Calc!$L$2-Calc!$L$42-4.5)*Calc!$L$88),NA())</f>
        <v/>
      </c>
      <c r="P154" t="inlineStr">
        <is>
          <t>hngh3</t>
        </is>
      </c>
      <c r="Q154">
        <f>IF(Calc!$Q$3*ISNUMBER(Calc!$Q$42),(Calc!$Q$89+((IF(Calc!$Q$60,Calc!$Q$11,Calc!$Q$11+Calc!$Q$1)))*Calc!$Q$88),NA())</f>
        <v/>
      </c>
      <c r="R154">
        <f>IF(Calc!$Q$3*ISNUMBER(Calc!$Q$42),((Calc!$Q$2-Calc!$Q$42-4.5)*Calc!$Q$88),NA())</f>
        <v/>
      </c>
      <c r="U154" t="inlineStr">
        <is>
          <t>hngh3</t>
        </is>
      </c>
      <c r="V154">
        <f>IF(Calc!$V$3*ISNUMBER(Calc!$V$42),(Calc!$V$89+((IF(Calc!$V$60,Calc!$V$11,Calc!$V$11+Calc!$V$1)))*Calc!$V$88),NA())</f>
        <v/>
      </c>
      <c r="W154">
        <f>IF(Calc!$V$3*ISNUMBER(Calc!$V$42),((Calc!$V$2-Calc!$V$42-4.5)*Calc!$V$88),NA())</f>
        <v/>
      </c>
      <c r="Z154" t="inlineStr">
        <is>
          <t>hngh3</t>
        </is>
      </c>
      <c r="AA154">
        <f>IF(Calc!$AA$3*ISNUMBER(Calc!$AA$42),(Calc!$AA$89+((IF(Calc!$AA$60,Calc!$AA$11,Calc!$AA$11+Calc!$AA$1)))*Calc!$AA$88),NA())</f>
        <v/>
      </c>
      <c r="AB154">
        <f>IF(Calc!$AA$3*ISNUMBER(Calc!$AA$42),((Calc!$AA$2-Calc!$AA$42-4.5)*Calc!$AA$88),NA())</f>
        <v/>
      </c>
    </row>
    <row r="156">
      <c r="A156" t="inlineStr">
        <is>
          <t>hngPh3</t>
        </is>
      </c>
      <c r="B156">
        <f>IF(Calc!$B$3*ISNUMBER(Calc!$B$42)*Calc!$B$4,(Calc!$B$89+(Calc!$B$11+Calc!$B$1)*Calc!$B$88),NA())</f>
        <v/>
      </c>
      <c r="C156">
        <f>IF(Calc!$B$3*ISNUMBER(Calc!$B$42)*Calc!$B$4,((Calc!$B$2-Calc!$B$42)*Calc!$B$88),NA())</f>
        <v/>
      </c>
      <c r="F156" t="inlineStr">
        <is>
          <t>hngPh3</t>
        </is>
      </c>
      <c r="G156">
        <f>IF(Calc!$G$3*ISNUMBER(Calc!$G$42)*Calc!$G$4,(Calc!$G$89+(Calc!$G$11+Calc!$G$1)*Calc!$G$88),NA())</f>
        <v/>
      </c>
      <c r="H156">
        <f>IF(Calc!$G$3*ISNUMBER(Calc!$G$42)*Calc!$G$4,((Calc!$G$2-Calc!$G$42)*Calc!$G$88),NA())</f>
        <v/>
      </c>
      <c r="K156" t="inlineStr">
        <is>
          <t>hngPh3</t>
        </is>
      </c>
      <c r="L156">
        <f>IF(Calc!$L$3*ISNUMBER(Calc!$L$42)*Calc!$L$4,(Calc!$L$89+(Calc!$L$11+Calc!$L$1)*Calc!$L$88),NA())</f>
        <v/>
      </c>
      <c r="M156">
        <f>IF(Calc!$L$3*ISNUMBER(Calc!$L$42)*Calc!$L$4,((Calc!$L$2-Calc!$L$42)*Calc!$L$88),NA())</f>
        <v/>
      </c>
      <c r="P156" t="inlineStr">
        <is>
          <t>hngPh3</t>
        </is>
      </c>
      <c r="Q156">
        <f>IF(Calc!$Q$3*ISNUMBER(Calc!$Q$42)*Calc!$Q$4,(Calc!$Q$89+(Calc!$Q$11+Calc!$Q$1)*Calc!$Q$88),NA())</f>
        <v/>
      </c>
      <c r="R156">
        <f>IF(Calc!$Q$3*ISNUMBER(Calc!$Q$42)*Calc!$Q$4,((Calc!$Q$2-Calc!$Q$42)*Calc!$Q$88),NA())</f>
        <v/>
      </c>
      <c r="U156" t="inlineStr">
        <is>
          <t>hngPh3</t>
        </is>
      </c>
      <c r="V156">
        <f>IF(Calc!$V$3*ISNUMBER(Calc!$V$42)*Calc!$V$4,(Calc!$V$89+(Calc!$V$11+Calc!$V$1)*Calc!$V$88),NA())</f>
        <v/>
      </c>
      <c r="W156">
        <f>IF(Calc!$V$3*ISNUMBER(Calc!$V$42)*Calc!$V$4,((Calc!$V$2-Calc!$V$42)*Calc!$V$88),NA())</f>
        <v/>
      </c>
      <c r="Z156" t="inlineStr">
        <is>
          <t>hngPh3</t>
        </is>
      </c>
      <c r="AA156">
        <f>IF(Calc!$AA$3*ISNUMBER(Calc!$AA$42)*Calc!$AA$4,(Calc!$AA$89+(Calc!$AA$11+Calc!$AA$1)*Calc!$AA$88),NA())</f>
        <v/>
      </c>
      <c r="AB156">
        <f>IF(Calc!$AA$3*ISNUMBER(Calc!$AA$42)*Calc!$AA$4,((Calc!$AA$2-Calc!$AA$42)*Calc!$AA$88),NA())</f>
        <v/>
      </c>
    </row>
    <row r="157">
      <c r="A157" t="inlineStr">
        <is>
          <t>hngPh3</t>
        </is>
      </c>
      <c r="B157">
        <f>IF(Calc!$B$3*ISNUMBER(Calc!$B$42)*Calc!$B$4,(Calc!$B$89+(Calc!$B$11+Calc!$B$1)*Calc!$B$88),NA())</f>
        <v/>
      </c>
      <c r="C157">
        <f>IF(Calc!$B$3*ISNUMBER(Calc!$B$42)*Calc!$B$4,((Calc!$B$2-Calc!$B$42-4.5)*Calc!$B$88),NA())</f>
        <v/>
      </c>
      <c r="F157" t="inlineStr">
        <is>
          <t>hngPh3</t>
        </is>
      </c>
      <c r="G157">
        <f>IF(Calc!$G$3*ISNUMBER(Calc!$G$42)*Calc!$G$4,(Calc!$G$89+(Calc!$G$11+Calc!$G$1)*Calc!$G$88),NA())</f>
        <v/>
      </c>
      <c r="H157">
        <f>IF(Calc!$G$3*ISNUMBER(Calc!$G$42)*Calc!$G$4,((Calc!$G$2-Calc!$G$42-4.5)*Calc!$G$88),NA())</f>
        <v/>
      </c>
      <c r="K157" t="inlineStr">
        <is>
          <t>hngPh3</t>
        </is>
      </c>
      <c r="L157">
        <f>IF(Calc!$L$3*ISNUMBER(Calc!$L$42)*Calc!$L$4,(Calc!$L$89+(Calc!$L$11+Calc!$L$1)*Calc!$L$88),NA())</f>
        <v/>
      </c>
      <c r="M157">
        <f>IF(Calc!$L$3*ISNUMBER(Calc!$L$42)*Calc!$L$4,((Calc!$L$2-Calc!$L$42-4.5)*Calc!$L$88),NA())</f>
        <v/>
      </c>
      <c r="P157" t="inlineStr">
        <is>
          <t>hngPh3</t>
        </is>
      </c>
      <c r="Q157">
        <f>IF(Calc!$Q$3*ISNUMBER(Calc!$Q$42)*Calc!$Q$4,(Calc!$Q$89+(Calc!$Q$11+Calc!$Q$1)*Calc!$Q$88),NA())</f>
        <v/>
      </c>
      <c r="R157">
        <f>IF(Calc!$Q$3*ISNUMBER(Calc!$Q$42)*Calc!$Q$4,((Calc!$Q$2-Calc!$Q$42-4.5)*Calc!$Q$88),NA())</f>
        <v/>
      </c>
      <c r="U157" t="inlineStr">
        <is>
          <t>hngPh3</t>
        </is>
      </c>
      <c r="V157">
        <f>IF(Calc!$V$3*ISNUMBER(Calc!$V$42)*Calc!$V$4,(Calc!$V$89+(Calc!$V$11+Calc!$V$1)*Calc!$V$88),NA())</f>
        <v/>
      </c>
      <c r="W157">
        <f>IF(Calc!$V$3*ISNUMBER(Calc!$V$42)*Calc!$V$4,((Calc!$V$2-Calc!$V$42-4.5)*Calc!$V$88),NA())</f>
        <v/>
      </c>
      <c r="Z157" t="inlineStr">
        <is>
          <t>hngPh3</t>
        </is>
      </c>
      <c r="AA157">
        <f>IF(Calc!$AA$3*ISNUMBER(Calc!$AA$42)*Calc!$AA$4,(Calc!$AA$89+(Calc!$AA$11+Calc!$AA$1)*Calc!$AA$88),NA())</f>
        <v/>
      </c>
      <c r="AB157">
        <f>IF(Calc!$AA$3*ISNUMBER(Calc!$AA$42)*Calc!$AA$4,((Calc!$AA$2-Calc!$AA$42-4.5)*Calc!$AA$88),NA())</f>
        <v/>
      </c>
    </row>
    <row r="159">
      <c r="A159" t="inlineStr">
        <is>
          <t>lhRh3</t>
        </is>
      </c>
      <c r="B159">
        <f>IF(Calc!$B$3*ISNUMBER(Calc!$B$42)*Calc!$B$60,(Calc!$B$89+(0)*Calc!$B$88),NA())</f>
        <v/>
      </c>
      <c r="C159">
        <f>IF(Calc!$B$3*ISNUMBER(Calc!$B$42)*Calc!$B$60,((Calc!$B$2-Calc!$B$42-2.25)*Calc!$B$88),NA())</f>
        <v/>
      </c>
      <c r="D159">
        <f>Calc!$B$71</f>
        <v/>
      </c>
      <c r="F159" t="inlineStr">
        <is>
          <t>lhRh3</t>
        </is>
      </c>
      <c r="G159">
        <f>IF(Calc!$G$3*ISNUMBER(Calc!$G$42)*Calc!$G$60,(Calc!$G$89+(0)*Calc!$G$88),NA())</f>
        <v/>
      </c>
      <c r="H159">
        <f>IF(Calc!$G$3*ISNUMBER(Calc!$G$42)*Calc!$G$60,((Calc!$G$2-Calc!$G$42-2.25)*Calc!$G$88),NA())</f>
        <v/>
      </c>
      <c r="I159">
        <f>Calc!$G$71</f>
        <v/>
      </c>
      <c r="K159" t="inlineStr">
        <is>
          <t>lhRh3</t>
        </is>
      </c>
      <c r="L159">
        <f>IF(Calc!$L$3*ISNUMBER(Calc!$L$42)*Calc!$L$60,(Calc!$L$89+(0)*Calc!$L$88),NA())</f>
        <v/>
      </c>
      <c r="M159">
        <f>IF(Calc!$L$3*ISNUMBER(Calc!$L$42)*Calc!$L$60,((Calc!$L$2-Calc!$L$42-2.25)*Calc!$L$88),NA())</f>
        <v/>
      </c>
      <c r="N159">
        <f>Calc!$L$71</f>
        <v/>
      </c>
      <c r="P159" t="inlineStr">
        <is>
          <t>lhRh3</t>
        </is>
      </c>
      <c r="Q159">
        <f>IF(Calc!$Q$3*ISNUMBER(Calc!$Q$42)*Calc!$Q$60,(Calc!$Q$89+(0)*Calc!$Q$88),NA())</f>
        <v/>
      </c>
      <c r="R159">
        <f>IF(Calc!$Q$3*ISNUMBER(Calc!$Q$42)*Calc!$Q$60,((Calc!$Q$2-Calc!$Q$42-2.25)*Calc!$Q$88),NA())</f>
        <v/>
      </c>
      <c r="S159">
        <f>Calc!$Q$71</f>
        <v/>
      </c>
      <c r="U159" t="inlineStr">
        <is>
          <t>lhRh3</t>
        </is>
      </c>
      <c r="V159">
        <f>IF(Calc!$V$3*ISNUMBER(Calc!$V$42)*Calc!$V$60,(Calc!$V$89+(0)*Calc!$V$88),NA())</f>
        <v/>
      </c>
      <c r="W159">
        <f>IF(Calc!$V$3*ISNUMBER(Calc!$V$42)*Calc!$V$60,((Calc!$V$2-Calc!$V$42-2.25)*Calc!$V$88),NA())</f>
        <v/>
      </c>
      <c r="X159">
        <f>Calc!$V$71</f>
        <v/>
      </c>
      <c r="Z159" t="inlineStr">
        <is>
          <t>lhRh3</t>
        </is>
      </c>
      <c r="AA159">
        <f>IF(Calc!$AA$3*ISNUMBER(Calc!$AA$42)*Calc!$AA$60,(Calc!$AA$89+(0)*Calc!$AA$88),NA())</f>
        <v/>
      </c>
      <c r="AB159">
        <f>IF(Calc!$AA$3*ISNUMBER(Calc!$AA$42)*Calc!$AA$60,((Calc!$AA$2-Calc!$AA$42-2.25)*Calc!$AA$88),NA())</f>
        <v/>
      </c>
      <c r="AC159">
        <f>Calc!$AA$71</f>
        <v/>
      </c>
    </row>
    <row r="161">
      <c r="A161" t="inlineStr">
        <is>
          <t>lhLh3</t>
        </is>
      </c>
      <c r="B161">
        <f>IF(Calc!$B$3*ISNUMBER(Calc!$B$42)*NOT(Calc!$B$60),(Calc!$B$89+(Calc!$B$13)*Calc!$B$88),NA())</f>
        <v/>
      </c>
      <c r="C161">
        <f>IF(Calc!$B$3*ISNUMBER(Calc!$B$42)*NOT(Calc!$B$60),((Calc!$B$2-Calc!$B$42-2.25)*Calc!$B$88),NA())</f>
        <v/>
      </c>
      <c r="D161">
        <f>Calc!$B$71</f>
        <v/>
      </c>
      <c r="F161" t="inlineStr">
        <is>
          <t>lhLh3</t>
        </is>
      </c>
      <c r="G161">
        <f>IF(Calc!$G$3*ISNUMBER(Calc!$G$42)*NOT(Calc!$G$60),(Calc!$G$89+(Calc!$G$13)*Calc!$G$88),NA())</f>
        <v/>
      </c>
      <c r="H161">
        <f>IF(Calc!$G$3*ISNUMBER(Calc!$G$42)*NOT(Calc!$G$60),((Calc!$G$2-Calc!$G$42-2.25)*Calc!$G$88),NA())</f>
        <v/>
      </c>
      <c r="I161">
        <f>Calc!$G$71</f>
        <v/>
      </c>
      <c r="K161" t="inlineStr">
        <is>
          <t>lhLh3</t>
        </is>
      </c>
      <c r="L161">
        <f>IF(Calc!$L$3*ISNUMBER(Calc!$L$42)*NOT(Calc!$L$60),(Calc!$L$89+(Calc!$L$13)*Calc!$L$88),NA())</f>
        <v/>
      </c>
      <c r="M161">
        <f>IF(Calc!$L$3*ISNUMBER(Calc!$L$42)*NOT(Calc!$L$60),((Calc!$L$2-Calc!$L$42-2.25)*Calc!$L$88),NA())</f>
        <v/>
      </c>
      <c r="N161">
        <f>Calc!$L$71</f>
        <v/>
      </c>
      <c r="P161" t="inlineStr">
        <is>
          <t>lhLh3</t>
        </is>
      </c>
      <c r="Q161">
        <f>IF(Calc!$Q$3*ISNUMBER(Calc!$Q$42)*NOT(Calc!$Q$60),(Calc!$Q$89+(Calc!$Q$13)*Calc!$Q$88),NA())</f>
        <v/>
      </c>
      <c r="R161">
        <f>IF(Calc!$Q$3*ISNUMBER(Calc!$Q$42)*NOT(Calc!$Q$60),((Calc!$Q$2-Calc!$Q$42-2.25)*Calc!$Q$88),NA())</f>
        <v/>
      </c>
      <c r="S161">
        <f>Calc!$Q$71</f>
        <v/>
      </c>
      <c r="U161" t="inlineStr">
        <is>
          <t>lhLh3</t>
        </is>
      </c>
      <c r="V161">
        <f>IF(Calc!$V$3*ISNUMBER(Calc!$V$42)*NOT(Calc!$V$60),(Calc!$V$89+(Calc!$V$13)*Calc!$V$88),NA())</f>
        <v/>
      </c>
      <c r="W161">
        <f>IF(Calc!$V$3*ISNUMBER(Calc!$V$42)*NOT(Calc!$V$60),((Calc!$V$2-Calc!$V$42-2.25)*Calc!$V$88),NA())</f>
        <v/>
      </c>
      <c r="X161">
        <f>Calc!$V$71</f>
        <v/>
      </c>
      <c r="Z161" t="inlineStr">
        <is>
          <t>lhLh3</t>
        </is>
      </c>
      <c r="AA161">
        <f>IF(Calc!$AA$3*ISNUMBER(Calc!$AA$42)*NOT(Calc!$AA$60),(Calc!$AA$89+(Calc!$AA$13)*Calc!$AA$88),NA())</f>
        <v/>
      </c>
      <c r="AB161">
        <f>IF(Calc!$AA$3*ISNUMBER(Calc!$AA$42)*NOT(Calc!$AA$60),((Calc!$AA$2-Calc!$AA$42-2.25)*Calc!$AA$88),NA())</f>
        <v/>
      </c>
      <c r="AC161">
        <f>Calc!$AA$71</f>
        <v/>
      </c>
    </row>
    <row r="163">
      <c r="A163" t="inlineStr">
        <is>
          <t>hngh4</t>
        </is>
      </c>
      <c r="B163">
        <f>IF(Calc!$B$3*ISNUMBER(Calc!$B$43),(Calc!$B$89+((IF(Calc!$B$60,Calc!$B$11,Calc!$B$11+Calc!$B$1)))*Calc!$B$88),NA())</f>
        <v/>
      </c>
      <c r="C163">
        <f>IF(Calc!$B$3*ISNUMBER(Calc!$B$43),((Calc!$B$2-Calc!$B$43)*Calc!$B$88),NA())</f>
        <v/>
      </c>
      <c r="F163" t="inlineStr">
        <is>
          <t>hngh4</t>
        </is>
      </c>
      <c r="G163">
        <f>IF(Calc!$G$3*ISNUMBER(Calc!$G$43),(Calc!$G$89+((IF(Calc!$G$60,Calc!$G$11,Calc!$G$11+Calc!$G$1)))*Calc!$G$88),NA())</f>
        <v/>
      </c>
      <c r="H163">
        <f>IF(Calc!$G$3*ISNUMBER(Calc!$G$43),((Calc!$G$2-Calc!$G$43)*Calc!$G$88),NA())</f>
        <v/>
      </c>
      <c r="K163" t="inlineStr">
        <is>
          <t>hngh4</t>
        </is>
      </c>
      <c r="L163">
        <f>IF(Calc!$L$3*ISNUMBER(Calc!$L$43),(Calc!$L$89+((IF(Calc!$L$60,Calc!$L$11,Calc!$L$11+Calc!$L$1)))*Calc!$L$88),NA())</f>
        <v/>
      </c>
      <c r="M163">
        <f>IF(Calc!$L$3*ISNUMBER(Calc!$L$43),((Calc!$L$2-Calc!$L$43)*Calc!$L$88),NA())</f>
        <v/>
      </c>
      <c r="P163" t="inlineStr">
        <is>
          <t>hngh4</t>
        </is>
      </c>
      <c r="Q163">
        <f>IF(Calc!$Q$3*ISNUMBER(Calc!$Q$43),(Calc!$Q$89+((IF(Calc!$Q$60,Calc!$Q$11,Calc!$Q$11+Calc!$Q$1)))*Calc!$Q$88),NA())</f>
        <v/>
      </c>
      <c r="R163">
        <f>IF(Calc!$Q$3*ISNUMBER(Calc!$Q$43),((Calc!$Q$2-Calc!$Q$43)*Calc!$Q$88),NA())</f>
        <v/>
      </c>
      <c r="U163" t="inlineStr">
        <is>
          <t>hngh4</t>
        </is>
      </c>
      <c r="V163">
        <f>IF(Calc!$V$3*ISNUMBER(Calc!$V$43),(Calc!$V$89+((IF(Calc!$V$60,Calc!$V$11,Calc!$V$11+Calc!$V$1)))*Calc!$V$88),NA())</f>
        <v/>
      </c>
      <c r="W163">
        <f>IF(Calc!$V$3*ISNUMBER(Calc!$V$43),((Calc!$V$2-Calc!$V$43)*Calc!$V$88),NA())</f>
        <v/>
      </c>
      <c r="Z163" t="inlineStr">
        <is>
          <t>hngh4</t>
        </is>
      </c>
      <c r="AA163">
        <f>IF(Calc!$AA$3*ISNUMBER(Calc!$AA$43),(Calc!$AA$89+((IF(Calc!$AA$60,Calc!$AA$11,Calc!$AA$11+Calc!$AA$1)))*Calc!$AA$88),NA())</f>
        <v/>
      </c>
      <c r="AB163">
        <f>IF(Calc!$AA$3*ISNUMBER(Calc!$AA$43),((Calc!$AA$2-Calc!$AA$43)*Calc!$AA$88),NA())</f>
        <v/>
      </c>
    </row>
    <row r="164">
      <c r="A164" t="inlineStr">
        <is>
          <t>hngh4</t>
        </is>
      </c>
      <c r="B164">
        <f>IF(Calc!$B$3*ISNUMBER(Calc!$B$43),(Calc!$B$89+((IF(Calc!$B$60,Calc!$B$11,Calc!$B$11+Calc!$B$1)))*Calc!$B$88),NA())</f>
        <v/>
      </c>
      <c r="C164">
        <f>IF(Calc!$B$3*ISNUMBER(Calc!$B$43),((Calc!$B$2-Calc!$B$43-4.5)*Calc!$B$88),NA())</f>
        <v/>
      </c>
      <c r="F164" t="inlineStr">
        <is>
          <t>hngh4</t>
        </is>
      </c>
      <c r="G164">
        <f>IF(Calc!$G$3*ISNUMBER(Calc!$G$43),(Calc!$G$89+((IF(Calc!$G$60,Calc!$G$11,Calc!$G$11+Calc!$G$1)))*Calc!$G$88),NA())</f>
        <v/>
      </c>
      <c r="H164">
        <f>IF(Calc!$G$3*ISNUMBER(Calc!$G$43),((Calc!$G$2-Calc!$G$43-4.5)*Calc!$G$88),NA())</f>
        <v/>
      </c>
      <c r="K164" t="inlineStr">
        <is>
          <t>hngh4</t>
        </is>
      </c>
      <c r="L164">
        <f>IF(Calc!$L$3*ISNUMBER(Calc!$L$43),(Calc!$L$89+((IF(Calc!$L$60,Calc!$L$11,Calc!$L$11+Calc!$L$1)))*Calc!$L$88),NA())</f>
        <v/>
      </c>
      <c r="M164">
        <f>IF(Calc!$L$3*ISNUMBER(Calc!$L$43),((Calc!$L$2-Calc!$L$43-4.5)*Calc!$L$88),NA())</f>
        <v/>
      </c>
      <c r="P164" t="inlineStr">
        <is>
          <t>hngh4</t>
        </is>
      </c>
      <c r="Q164">
        <f>IF(Calc!$Q$3*ISNUMBER(Calc!$Q$43),(Calc!$Q$89+((IF(Calc!$Q$60,Calc!$Q$11,Calc!$Q$11+Calc!$Q$1)))*Calc!$Q$88),NA())</f>
        <v/>
      </c>
      <c r="R164">
        <f>IF(Calc!$Q$3*ISNUMBER(Calc!$Q$43),((Calc!$Q$2-Calc!$Q$43-4.5)*Calc!$Q$88),NA())</f>
        <v/>
      </c>
      <c r="U164" t="inlineStr">
        <is>
          <t>hngh4</t>
        </is>
      </c>
      <c r="V164">
        <f>IF(Calc!$V$3*ISNUMBER(Calc!$V$43),(Calc!$V$89+((IF(Calc!$V$60,Calc!$V$11,Calc!$V$11+Calc!$V$1)))*Calc!$V$88),NA())</f>
        <v/>
      </c>
      <c r="W164">
        <f>IF(Calc!$V$3*ISNUMBER(Calc!$V$43),((Calc!$V$2-Calc!$V$43-4.5)*Calc!$V$88),NA())</f>
        <v/>
      </c>
      <c r="Z164" t="inlineStr">
        <is>
          <t>hngh4</t>
        </is>
      </c>
      <c r="AA164">
        <f>IF(Calc!$AA$3*ISNUMBER(Calc!$AA$43),(Calc!$AA$89+((IF(Calc!$AA$60,Calc!$AA$11,Calc!$AA$11+Calc!$AA$1)))*Calc!$AA$88),NA())</f>
        <v/>
      </c>
      <c r="AB164">
        <f>IF(Calc!$AA$3*ISNUMBER(Calc!$AA$43),((Calc!$AA$2-Calc!$AA$43-4.5)*Calc!$AA$88),NA())</f>
        <v/>
      </c>
    </row>
    <row r="166">
      <c r="A166" t="inlineStr">
        <is>
          <t>hngPh4</t>
        </is>
      </c>
      <c r="B166">
        <f>IF(Calc!$B$3*ISNUMBER(Calc!$B$43)*Calc!$B$4,(Calc!$B$89+(Calc!$B$11+Calc!$B$1)*Calc!$B$88),NA())</f>
        <v/>
      </c>
      <c r="C166">
        <f>IF(Calc!$B$3*ISNUMBER(Calc!$B$43)*Calc!$B$4,((Calc!$B$2-Calc!$B$43)*Calc!$B$88),NA())</f>
        <v/>
      </c>
      <c r="F166" t="inlineStr">
        <is>
          <t>hngPh4</t>
        </is>
      </c>
      <c r="G166">
        <f>IF(Calc!$G$3*ISNUMBER(Calc!$G$43)*Calc!$G$4,(Calc!$G$89+(Calc!$G$11+Calc!$G$1)*Calc!$G$88),NA())</f>
        <v/>
      </c>
      <c r="H166">
        <f>IF(Calc!$G$3*ISNUMBER(Calc!$G$43)*Calc!$G$4,((Calc!$G$2-Calc!$G$43)*Calc!$G$88),NA())</f>
        <v/>
      </c>
      <c r="K166" t="inlineStr">
        <is>
          <t>hngPh4</t>
        </is>
      </c>
      <c r="L166">
        <f>IF(Calc!$L$3*ISNUMBER(Calc!$L$43)*Calc!$L$4,(Calc!$L$89+(Calc!$L$11+Calc!$L$1)*Calc!$L$88),NA())</f>
        <v/>
      </c>
      <c r="M166">
        <f>IF(Calc!$L$3*ISNUMBER(Calc!$L$43)*Calc!$L$4,((Calc!$L$2-Calc!$L$43)*Calc!$L$88),NA())</f>
        <v/>
      </c>
      <c r="P166" t="inlineStr">
        <is>
          <t>hngPh4</t>
        </is>
      </c>
      <c r="Q166">
        <f>IF(Calc!$Q$3*ISNUMBER(Calc!$Q$43)*Calc!$Q$4,(Calc!$Q$89+(Calc!$Q$11+Calc!$Q$1)*Calc!$Q$88),NA())</f>
        <v/>
      </c>
      <c r="R166">
        <f>IF(Calc!$Q$3*ISNUMBER(Calc!$Q$43)*Calc!$Q$4,((Calc!$Q$2-Calc!$Q$43)*Calc!$Q$88),NA())</f>
        <v/>
      </c>
      <c r="U166" t="inlineStr">
        <is>
          <t>hngPh4</t>
        </is>
      </c>
      <c r="V166">
        <f>IF(Calc!$V$3*ISNUMBER(Calc!$V$43)*Calc!$V$4,(Calc!$V$89+(Calc!$V$11+Calc!$V$1)*Calc!$V$88),NA())</f>
        <v/>
      </c>
      <c r="W166">
        <f>IF(Calc!$V$3*ISNUMBER(Calc!$V$43)*Calc!$V$4,((Calc!$V$2-Calc!$V$43)*Calc!$V$88),NA())</f>
        <v/>
      </c>
      <c r="Z166" t="inlineStr">
        <is>
          <t>hngPh4</t>
        </is>
      </c>
      <c r="AA166">
        <f>IF(Calc!$AA$3*ISNUMBER(Calc!$AA$43)*Calc!$AA$4,(Calc!$AA$89+(Calc!$AA$11+Calc!$AA$1)*Calc!$AA$88),NA())</f>
        <v/>
      </c>
      <c r="AB166">
        <f>IF(Calc!$AA$3*ISNUMBER(Calc!$AA$43)*Calc!$AA$4,((Calc!$AA$2-Calc!$AA$43)*Calc!$AA$88),NA())</f>
        <v/>
      </c>
    </row>
    <row r="167">
      <c r="A167" t="inlineStr">
        <is>
          <t>hngPh4</t>
        </is>
      </c>
      <c r="B167">
        <f>IF(Calc!$B$3*ISNUMBER(Calc!$B$43)*Calc!$B$4,(Calc!$B$89+(Calc!$B$11+Calc!$B$1)*Calc!$B$88),NA())</f>
        <v/>
      </c>
      <c r="C167">
        <f>IF(Calc!$B$3*ISNUMBER(Calc!$B$43)*Calc!$B$4,((Calc!$B$2-Calc!$B$43-4.5)*Calc!$B$88),NA())</f>
        <v/>
      </c>
      <c r="F167" t="inlineStr">
        <is>
          <t>hngPh4</t>
        </is>
      </c>
      <c r="G167">
        <f>IF(Calc!$G$3*ISNUMBER(Calc!$G$43)*Calc!$G$4,(Calc!$G$89+(Calc!$G$11+Calc!$G$1)*Calc!$G$88),NA())</f>
        <v/>
      </c>
      <c r="H167">
        <f>IF(Calc!$G$3*ISNUMBER(Calc!$G$43)*Calc!$G$4,((Calc!$G$2-Calc!$G$43-4.5)*Calc!$G$88),NA())</f>
        <v/>
      </c>
      <c r="K167" t="inlineStr">
        <is>
          <t>hngPh4</t>
        </is>
      </c>
      <c r="L167">
        <f>IF(Calc!$L$3*ISNUMBER(Calc!$L$43)*Calc!$L$4,(Calc!$L$89+(Calc!$L$11+Calc!$L$1)*Calc!$L$88),NA())</f>
        <v/>
      </c>
      <c r="M167">
        <f>IF(Calc!$L$3*ISNUMBER(Calc!$L$43)*Calc!$L$4,((Calc!$L$2-Calc!$L$43-4.5)*Calc!$L$88),NA())</f>
        <v/>
      </c>
      <c r="P167" t="inlineStr">
        <is>
          <t>hngPh4</t>
        </is>
      </c>
      <c r="Q167">
        <f>IF(Calc!$Q$3*ISNUMBER(Calc!$Q$43)*Calc!$Q$4,(Calc!$Q$89+(Calc!$Q$11+Calc!$Q$1)*Calc!$Q$88),NA())</f>
        <v/>
      </c>
      <c r="R167">
        <f>IF(Calc!$Q$3*ISNUMBER(Calc!$Q$43)*Calc!$Q$4,((Calc!$Q$2-Calc!$Q$43-4.5)*Calc!$Q$88),NA())</f>
        <v/>
      </c>
      <c r="U167" t="inlineStr">
        <is>
          <t>hngPh4</t>
        </is>
      </c>
      <c r="V167">
        <f>IF(Calc!$V$3*ISNUMBER(Calc!$V$43)*Calc!$V$4,(Calc!$V$89+(Calc!$V$11+Calc!$V$1)*Calc!$V$88),NA())</f>
        <v/>
      </c>
      <c r="W167">
        <f>IF(Calc!$V$3*ISNUMBER(Calc!$V$43)*Calc!$V$4,((Calc!$V$2-Calc!$V$43-4.5)*Calc!$V$88),NA())</f>
        <v/>
      </c>
      <c r="Z167" t="inlineStr">
        <is>
          <t>hngPh4</t>
        </is>
      </c>
      <c r="AA167">
        <f>IF(Calc!$AA$3*ISNUMBER(Calc!$AA$43)*Calc!$AA$4,(Calc!$AA$89+(Calc!$AA$11+Calc!$AA$1)*Calc!$AA$88),NA())</f>
        <v/>
      </c>
      <c r="AB167">
        <f>IF(Calc!$AA$3*ISNUMBER(Calc!$AA$43)*Calc!$AA$4,((Calc!$AA$2-Calc!$AA$43-4.5)*Calc!$AA$88),NA())</f>
        <v/>
      </c>
    </row>
    <row r="169">
      <c r="A169" t="inlineStr">
        <is>
          <t>lhRh4</t>
        </is>
      </c>
      <c r="B169">
        <f>IF(Calc!$B$3*ISNUMBER(Calc!$B$43)*Calc!$B$60,(Calc!$B$89+(0)*Calc!$B$88),NA())</f>
        <v/>
      </c>
      <c r="C169">
        <f>IF(Calc!$B$3*ISNUMBER(Calc!$B$43)*Calc!$B$60,((Calc!$B$2-Calc!$B$43-2.25)*Calc!$B$88),NA())</f>
        <v/>
      </c>
      <c r="D169">
        <f>Calc!$B$73</f>
        <v/>
      </c>
      <c r="F169" t="inlineStr">
        <is>
          <t>lhRh4</t>
        </is>
      </c>
      <c r="G169">
        <f>IF(Calc!$G$3*ISNUMBER(Calc!$G$43)*Calc!$G$60,(Calc!$G$89+(0)*Calc!$G$88),NA())</f>
        <v/>
      </c>
      <c r="H169">
        <f>IF(Calc!$G$3*ISNUMBER(Calc!$G$43)*Calc!$G$60,((Calc!$G$2-Calc!$G$43-2.25)*Calc!$G$88),NA())</f>
        <v/>
      </c>
      <c r="I169">
        <f>Calc!$G$73</f>
        <v/>
      </c>
      <c r="K169" t="inlineStr">
        <is>
          <t>lhRh4</t>
        </is>
      </c>
      <c r="L169">
        <f>IF(Calc!$L$3*ISNUMBER(Calc!$L$43)*Calc!$L$60,(Calc!$L$89+(0)*Calc!$L$88),NA())</f>
        <v/>
      </c>
      <c r="M169">
        <f>IF(Calc!$L$3*ISNUMBER(Calc!$L$43)*Calc!$L$60,((Calc!$L$2-Calc!$L$43-2.25)*Calc!$L$88),NA())</f>
        <v/>
      </c>
      <c r="N169">
        <f>Calc!$L$73</f>
        <v/>
      </c>
      <c r="P169" t="inlineStr">
        <is>
          <t>lhRh4</t>
        </is>
      </c>
      <c r="Q169">
        <f>IF(Calc!$Q$3*ISNUMBER(Calc!$Q$43)*Calc!$Q$60,(Calc!$Q$89+(0)*Calc!$Q$88),NA())</f>
        <v/>
      </c>
      <c r="R169">
        <f>IF(Calc!$Q$3*ISNUMBER(Calc!$Q$43)*Calc!$Q$60,((Calc!$Q$2-Calc!$Q$43-2.25)*Calc!$Q$88),NA())</f>
        <v/>
      </c>
      <c r="S169">
        <f>Calc!$Q$73</f>
        <v/>
      </c>
      <c r="U169" t="inlineStr">
        <is>
          <t>lhRh4</t>
        </is>
      </c>
      <c r="V169">
        <f>IF(Calc!$V$3*ISNUMBER(Calc!$V$43)*Calc!$V$60,(Calc!$V$89+(0)*Calc!$V$88),NA())</f>
        <v/>
      </c>
      <c r="W169">
        <f>IF(Calc!$V$3*ISNUMBER(Calc!$V$43)*Calc!$V$60,((Calc!$V$2-Calc!$V$43-2.25)*Calc!$V$88),NA())</f>
        <v/>
      </c>
      <c r="X169">
        <f>Calc!$V$73</f>
        <v/>
      </c>
      <c r="Z169" t="inlineStr">
        <is>
          <t>lhRh4</t>
        </is>
      </c>
      <c r="AA169">
        <f>IF(Calc!$AA$3*ISNUMBER(Calc!$AA$43)*Calc!$AA$60,(Calc!$AA$89+(0)*Calc!$AA$88),NA())</f>
        <v/>
      </c>
      <c r="AB169">
        <f>IF(Calc!$AA$3*ISNUMBER(Calc!$AA$43)*Calc!$AA$60,((Calc!$AA$2-Calc!$AA$43-2.25)*Calc!$AA$88),NA())</f>
        <v/>
      </c>
      <c r="AC169">
        <f>Calc!$AA$73</f>
        <v/>
      </c>
    </row>
    <row r="171">
      <c r="A171" t="inlineStr">
        <is>
          <t>lhLh4</t>
        </is>
      </c>
      <c r="B171">
        <f>IF(Calc!$B$3*ISNUMBER(Calc!$B$43)*NOT(Calc!$B$60),(Calc!$B$89+(Calc!$B$13)*Calc!$B$88),NA())</f>
        <v/>
      </c>
      <c r="C171">
        <f>IF(Calc!$B$3*ISNUMBER(Calc!$B$43)*NOT(Calc!$B$60),((Calc!$B$2-Calc!$B$43-2.25)*Calc!$B$88),NA())</f>
        <v/>
      </c>
      <c r="D171">
        <f>Calc!$B$73</f>
        <v/>
      </c>
      <c r="F171" t="inlineStr">
        <is>
          <t>lhLh4</t>
        </is>
      </c>
      <c r="G171">
        <f>IF(Calc!$G$3*ISNUMBER(Calc!$G$43)*NOT(Calc!$G$60),(Calc!$G$89+(Calc!$G$13)*Calc!$G$88),NA())</f>
        <v/>
      </c>
      <c r="H171">
        <f>IF(Calc!$G$3*ISNUMBER(Calc!$G$43)*NOT(Calc!$G$60),((Calc!$G$2-Calc!$G$43-2.25)*Calc!$G$88),NA())</f>
        <v/>
      </c>
      <c r="I171">
        <f>Calc!$G$73</f>
        <v/>
      </c>
      <c r="K171" t="inlineStr">
        <is>
          <t>lhLh4</t>
        </is>
      </c>
      <c r="L171">
        <f>IF(Calc!$L$3*ISNUMBER(Calc!$L$43)*NOT(Calc!$L$60),(Calc!$L$89+(Calc!$L$13)*Calc!$L$88),NA())</f>
        <v/>
      </c>
      <c r="M171">
        <f>IF(Calc!$L$3*ISNUMBER(Calc!$L$43)*NOT(Calc!$L$60),((Calc!$L$2-Calc!$L$43-2.25)*Calc!$L$88),NA())</f>
        <v/>
      </c>
      <c r="N171">
        <f>Calc!$L$73</f>
        <v/>
      </c>
      <c r="P171" t="inlineStr">
        <is>
          <t>lhLh4</t>
        </is>
      </c>
      <c r="Q171">
        <f>IF(Calc!$Q$3*ISNUMBER(Calc!$Q$43)*NOT(Calc!$Q$60),(Calc!$Q$89+(Calc!$Q$13)*Calc!$Q$88),NA())</f>
        <v/>
      </c>
      <c r="R171">
        <f>IF(Calc!$Q$3*ISNUMBER(Calc!$Q$43)*NOT(Calc!$Q$60),((Calc!$Q$2-Calc!$Q$43-2.25)*Calc!$Q$88),NA())</f>
        <v/>
      </c>
      <c r="S171">
        <f>Calc!$Q$73</f>
        <v/>
      </c>
      <c r="U171" t="inlineStr">
        <is>
          <t>lhLh4</t>
        </is>
      </c>
      <c r="V171">
        <f>IF(Calc!$V$3*ISNUMBER(Calc!$V$43)*NOT(Calc!$V$60),(Calc!$V$89+(Calc!$V$13)*Calc!$V$88),NA())</f>
        <v/>
      </c>
      <c r="W171">
        <f>IF(Calc!$V$3*ISNUMBER(Calc!$V$43)*NOT(Calc!$V$60),((Calc!$V$2-Calc!$V$43-2.25)*Calc!$V$88),NA())</f>
        <v/>
      </c>
      <c r="X171">
        <f>Calc!$V$73</f>
        <v/>
      </c>
      <c r="Z171" t="inlineStr">
        <is>
          <t>lhLh4</t>
        </is>
      </c>
      <c r="AA171">
        <f>IF(Calc!$AA$3*ISNUMBER(Calc!$AA$43)*NOT(Calc!$AA$60),(Calc!$AA$89+(Calc!$AA$13)*Calc!$AA$88),NA())</f>
        <v/>
      </c>
      <c r="AB171">
        <f>IF(Calc!$AA$3*ISNUMBER(Calc!$AA$43)*NOT(Calc!$AA$60),((Calc!$AA$2-Calc!$AA$43-2.25)*Calc!$AA$88),NA())</f>
        <v/>
      </c>
      <c r="AC171">
        <f>Calc!$AA$73</f>
        <v/>
      </c>
    </row>
    <row r="173">
      <c r="A173" t="inlineStr">
        <is>
          <t>stkE1</t>
        </is>
      </c>
      <c r="B173">
        <f>IF(Calc!$B$3*ISNUMBER(Calc!$B$46)*NOT(Calc!$B$4),(Calc!$B$89+((IF(Calc!$B$60,Calc!$B$11+Calc!$B$1,Calc!$B$11)))*Calc!$B$88),NA())</f>
        <v/>
      </c>
      <c r="C173">
        <f>IF(Calc!$B$3*ISNUMBER(Calc!$B$46)*NOT(Calc!$B$4),((Calc!$B$2-Calc!$B$46+1.2)*Calc!$B$88),NA())</f>
        <v/>
      </c>
      <c r="F173" t="inlineStr">
        <is>
          <t>stkE1</t>
        </is>
      </c>
      <c r="G173">
        <f>IF(Calc!$G$3*ISNUMBER(Calc!$G$46)*NOT(Calc!$G$4),(Calc!$G$89+((IF(Calc!$G$60,Calc!$G$11+Calc!$G$1,Calc!$G$11)))*Calc!$G$88),NA())</f>
        <v/>
      </c>
      <c r="H173">
        <f>IF(Calc!$G$3*ISNUMBER(Calc!$G$46)*NOT(Calc!$G$4),((Calc!$G$2-Calc!$G$46+1.2)*Calc!$G$88),NA())</f>
        <v/>
      </c>
      <c r="K173" t="inlineStr">
        <is>
          <t>stkE1</t>
        </is>
      </c>
      <c r="L173">
        <f>IF(Calc!$L$3*ISNUMBER(Calc!$L$46)*NOT(Calc!$L$4),(Calc!$L$89+((IF(Calc!$L$60,Calc!$L$11+Calc!$L$1,Calc!$L$11)))*Calc!$L$88),NA())</f>
        <v/>
      </c>
      <c r="M173">
        <f>IF(Calc!$L$3*ISNUMBER(Calc!$L$46)*NOT(Calc!$L$4),((Calc!$L$2-Calc!$L$46+1.2)*Calc!$L$88),NA())</f>
        <v/>
      </c>
      <c r="P173" t="inlineStr">
        <is>
          <t>stkE1</t>
        </is>
      </c>
      <c r="Q173">
        <f>IF(Calc!$Q$3*ISNUMBER(Calc!$Q$46)*NOT(Calc!$Q$4),(Calc!$Q$89+((IF(Calc!$Q$60,Calc!$Q$11+Calc!$Q$1,Calc!$Q$11)))*Calc!$Q$88),NA())</f>
        <v/>
      </c>
      <c r="R173">
        <f>IF(Calc!$Q$3*ISNUMBER(Calc!$Q$46)*NOT(Calc!$Q$4),((Calc!$Q$2-Calc!$Q$46+1.2)*Calc!$Q$88),NA())</f>
        <v/>
      </c>
      <c r="U173" t="inlineStr">
        <is>
          <t>stkE1</t>
        </is>
      </c>
      <c r="V173">
        <f>IF(Calc!$V$3*ISNUMBER(Calc!$V$46)*NOT(Calc!$V$4),(Calc!$V$89+((IF(Calc!$V$60,Calc!$V$11+Calc!$V$1,Calc!$V$11)))*Calc!$V$88),NA())</f>
        <v/>
      </c>
      <c r="W173">
        <f>IF(Calc!$V$3*ISNUMBER(Calc!$V$46)*NOT(Calc!$V$4),((Calc!$V$2-Calc!$V$46+1.2)*Calc!$V$88),NA())</f>
        <v/>
      </c>
      <c r="Z173" t="inlineStr">
        <is>
          <t>stkE1</t>
        </is>
      </c>
      <c r="AA173">
        <f>IF(Calc!$AA$3*ISNUMBER(Calc!$AA$46)*NOT(Calc!$AA$4),(Calc!$AA$89+((IF(Calc!$AA$60,Calc!$AA$11+Calc!$AA$1,Calc!$AA$11)))*Calc!$AA$88),NA())</f>
        <v/>
      </c>
      <c r="AB173">
        <f>IF(Calc!$AA$3*ISNUMBER(Calc!$AA$46)*NOT(Calc!$AA$4),((Calc!$AA$2-Calc!$AA$46+1.2)*Calc!$AA$88),NA())</f>
        <v/>
      </c>
    </row>
    <row r="174">
      <c r="A174" t="inlineStr">
        <is>
          <t>stkE1</t>
        </is>
      </c>
      <c r="B174">
        <f>IF(Calc!$B$3*ISNUMBER(Calc!$B$46)*NOT(Calc!$B$4),(Calc!$B$89+((IF(Calc!$B$60,Calc!$B$11+Calc!$B$1,Calc!$B$11)))*Calc!$B$88),NA())</f>
        <v/>
      </c>
      <c r="C174">
        <f>IF(Calc!$B$3*ISNUMBER(Calc!$B$46)*NOT(Calc!$B$4),((Calc!$B$2-Calc!$B$46-1.2)*Calc!$B$88),NA())</f>
        <v/>
      </c>
      <c r="F174" t="inlineStr">
        <is>
          <t>stkE1</t>
        </is>
      </c>
      <c r="G174">
        <f>IF(Calc!$G$3*ISNUMBER(Calc!$G$46)*NOT(Calc!$G$4),(Calc!$G$89+((IF(Calc!$G$60,Calc!$G$11+Calc!$G$1,Calc!$G$11)))*Calc!$G$88),NA())</f>
        <v/>
      </c>
      <c r="H174">
        <f>IF(Calc!$G$3*ISNUMBER(Calc!$G$46)*NOT(Calc!$G$4),((Calc!$G$2-Calc!$G$46-1.2)*Calc!$G$88),NA())</f>
        <v/>
      </c>
      <c r="K174" t="inlineStr">
        <is>
          <t>stkE1</t>
        </is>
      </c>
      <c r="L174">
        <f>IF(Calc!$L$3*ISNUMBER(Calc!$L$46)*NOT(Calc!$L$4),(Calc!$L$89+((IF(Calc!$L$60,Calc!$L$11+Calc!$L$1,Calc!$L$11)))*Calc!$L$88),NA())</f>
        <v/>
      </c>
      <c r="M174">
        <f>IF(Calc!$L$3*ISNUMBER(Calc!$L$46)*NOT(Calc!$L$4),((Calc!$L$2-Calc!$L$46-1.2)*Calc!$L$88),NA())</f>
        <v/>
      </c>
      <c r="P174" t="inlineStr">
        <is>
          <t>stkE1</t>
        </is>
      </c>
      <c r="Q174">
        <f>IF(Calc!$Q$3*ISNUMBER(Calc!$Q$46)*NOT(Calc!$Q$4),(Calc!$Q$89+((IF(Calc!$Q$60,Calc!$Q$11+Calc!$Q$1,Calc!$Q$11)))*Calc!$Q$88),NA())</f>
        <v/>
      </c>
      <c r="R174">
        <f>IF(Calc!$Q$3*ISNUMBER(Calc!$Q$46)*NOT(Calc!$Q$4),((Calc!$Q$2-Calc!$Q$46-1.2)*Calc!$Q$88),NA())</f>
        <v/>
      </c>
      <c r="U174" t="inlineStr">
        <is>
          <t>stkE1</t>
        </is>
      </c>
      <c r="V174">
        <f>IF(Calc!$V$3*ISNUMBER(Calc!$V$46)*NOT(Calc!$V$4),(Calc!$V$89+((IF(Calc!$V$60,Calc!$V$11+Calc!$V$1,Calc!$V$11)))*Calc!$V$88),NA())</f>
        <v/>
      </c>
      <c r="W174">
        <f>IF(Calc!$V$3*ISNUMBER(Calc!$V$46)*NOT(Calc!$V$4),((Calc!$V$2-Calc!$V$46-1.2)*Calc!$V$88),NA())</f>
        <v/>
      </c>
      <c r="Z174" t="inlineStr">
        <is>
          <t>stkE1</t>
        </is>
      </c>
      <c r="AA174">
        <f>IF(Calc!$AA$3*ISNUMBER(Calc!$AA$46)*NOT(Calc!$AA$4),(Calc!$AA$89+((IF(Calc!$AA$60,Calc!$AA$11+Calc!$AA$1,Calc!$AA$11)))*Calc!$AA$88),NA())</f>
        <v/>
      </c>
      <c r="AB174">
        <f>IF(Calc!$AA$3*ISNUMBER(Calc!$AA$46)*NOT(Calc!$AA$4),((Calc!$AA$2-Calc!$AA$46-1.2)*Calc!$AA$88),NA())</f>
        <v/>
      </c>
    </row>
    <row r="176">
      <c r="A176" t="inlineStr">
        <is>
          <t>slRE1</t>
        </is>
      </c>
      <c r="B176">
        <f>IF(Calc!$B$3*ISNUMBER(Calc!$B$46)*NOT(Calc!$B$4)*Calc!$B$60,(Calc!$B$89+(Calc!$B$13)*Calc!$B$88),NA())</f>
        <v/>
      </c>
      <c r="C176">
        <f>IF(Calc!$B$3*ISNUMBER(Calc!$B$46)*NOT(Calc!$B$4)*Calc!$B$60,((Calc!$B$2-Calc!$B$46)*Calc!$B$88),NA())</f>
        <v/>
      </c>
      <c r="D176">
        <f>Calc!$B$75</f>
        <v/>
      </c>
      <c r="F176" t="inlineStr">
        <is>
          <t>slRE1</t>
        </is>
      </c>
      <c r="G176">
        <f>IF(Calc!$G$3*ISNUMBER(Calc!$G$46)*NOT(Calc!$G$4)*Calc!$G$60,(Calc!$G$89+(Calc!$G$13)*Calc!$G$88),NA())</f>
        <v/>
      </c>
      <c r="H176">
        <f>IF(Calc!$G$3*ISNUMBER(Calc!$G$46)*NOT(Calc!$G$4)*Calc!$G$60,((Calc!$G$2-Calc!$G$46)*Calc!$G$88),NA())</f>
        <v/>
      </c>
      <c r="I176">
        <f>Calc!$G$75</f>
        <v/>
      </c>
      <c r="K176" t="inlineStr">
        <is>
          <t>slRE1</t>
        </is>
      </c>
      <c r="L176">
        <f>IF(Calc!$L$3*ISNUMBER(Calc!$L$46)*NOT(Calc!$L$4)*Calc!$L$60,(Calc!$L$89+(Calc!$L$13)*Calc!$L$88),NA())</f>
        <v/>
      </c>
      <c r="M176">
        <f>IF(Calc!$L$3*ISNUMBER(Calc!$L$46)*NOT(Calc!$L$4)*Calc!$L$60,((Calc!$L$2-Calc!$L$46)*Calc!$L$88),NA())</f>
        <v/>
      </c>
      <c r="N176">
        <f>Calc!$L$75</f>
        <v/>
      </c>
      <c r="P176" t="inlineStr">
        <is>
          <t>slRE1</t>
        </is>
      </c>
      <c r="Q176">
        <f>IF(Calc!$Q$3*ISNUMBER(Calc!$Q$46)*NOT(Calc!$Q$4)*Calc!$Q$60,(Calc!$Q$89+(Calc!$Q$13)*Calc!$Q$88),NA())</f>
        <v/>
      </c>
      <c r="R176">
        <f>IF(Calc!$Q$3*ISNUMBER(Calc!$Q$46)*NOT(Calc!$Q$4)*Calc!$Q$60,((Calc!$Q$2-Calc!$Q$46)*Calc!$Q$88),NA())</f>
        <v/>
      </c>
      <c r="S176">
        <f>Calc!$Q$75</f>
        <v/>
      </c>
      <c r="U176" t="inlineStr">
        <is>
          <t>slRE1</t>
        </is>
      </c>
      <c r="V176">
        <f>IF(Calc!$V$3*ISNUMBER(Calc!$V$46)*NOT(Calc!$V$4)*Calc!$V$60,(Calc!$V$89+(Calc!$V$13)*Calc!$V$88),NA())</f>
        <v/>
      </c>
      <c r="W176">
        <f>IF(Calc!$V$3*ISNUMBER(Calc!$V$46)*NOT(Calc!$V$4)*Calc!$V$60,((Calc!$V$2-Calc!$V$46)*Calc!$V$88),NA())</f>
        <v/>
      </c>
      <c r="X176">
        <f>Calc!$V$75</f>
        <v/>
      </c>
      <c r="Z176" t="inlineStr">
        <is>
          <t>slRE1</t>
        </is>
      </c>
      <c r="AA176">
        <f>IF(Calc!$AA$3*ISNUMBER(Calc!$AA$46)*NOT(Calc!$AA$4)*Calc!$AA$60,(Calc!$AA$89+(Calc!$AA$13)*Calc!$AA$88),NA())</f>
        <v/>
      </c>
      <c r="AB176">
        <f>IF(Calc!$AA$3*ISNUMBER(Calc!$AA$46)*NOT(Calc!$AA$4)*Calc!$AA$60,((Calc!$AA$2-Calc!$AA$46)*Calc!$AA$88),NA())</f>
        <v/>
      </c>
      <c r="AC176">
        <f>Calc!$AA$75</f>
        <v/>
      </c>
    </row>
    <row r="178">
      <c r="A178" t="inlineStr">
        <is>
          <t>slLE1</t>
        </is>
      </c>
      <c r="B178">
        <f>IF(Calc!$B$3*ISNUMBER(Calc!$B$46)*NOT(Calc!$B$4)*NOT(Calc!$B$60),(Calc!$B$89+(0)*Calc!$B$88),NA())</f>
        <v/>
      </c>
      <c r="C178">
        <f>IF(Calc!$B$3*ISNUMBER(Calc!$B$46)*NOT(Calc!$B$4)*NOT(Calc!$B$60),((Calc!$B$2-Calc!$B$46)*Calc!$B$88),NA())</f>
        <v/>
      </c>
      <c r="D178">
        <f>Calc!$B$75</f>
        <v/>
      </c>
      <c r="F178" t="inlineStr">
        <is>
          <t>slLE1</t>
        </is>
      </c>
      <c r="G178">
        <f>IF(Calc!$G$3*ISNUMBER(Calc!$G$46)*NOT(Calc!$G$4)*NOT(Calc!$G$60),(Calc!$G$89+(0)*Calc!$G$88),NA())</f>
        <v/>
      </c>
      <c r="H178">
        <f>IF(Calc!$G$3*ISNUMBER(Calc!$G$46)*NOT(Calc!$G$4)*NOT(Calc!$G$60),((Calc!$G$2-Calc!$G$46)*Calc!$G$88),NA())</f>
        <v/>
      </c>
      <c r="I178">
        <f>Calc!$G$75</f>
        <v/>
      </c>
      <c r="K178" t="inlineStr">
        <is>
          <t>slLE1</t>
        </is>
      </c>
      <c r="L178">
        <f>IF(Calc!$L$3*ISNUMBER(Calc!$L$46)*NOT(Calc!$L$4)*NOT(Calc!$L$60),(Calc!$L$89+(0)*Calc!$L$88),NA())</f>
        <v/>
      </c>
      <c r="M178">
        <f>IF(Calc!$L$3*ISNUMBER(Calc!$L$46)*NOT(Calc!$L$4)*NOT(Calc!$L$60),((Calc!$L$2-Calc!$L$46)*Calc!$L$88),NA())</f>
        <v/>
      </c>
      <c r="N178">
        <f>Calc!$L$75</f>
        <v/>
      </c>
      <c r="P178" t="inlineStr">
        <is>
          <t>slLE1</t>
        </is>
      </c>
      <c r="Q178">
        <f>IF(Calc!$Q$3*ISNUMBER(Calc!$Q$46)*NOT(Calc!$Q$4)*NOT(Calc!$Q$60),(Calc!$Q$89+(0)*Calc!$Q$88),NA())</f>
        <v/>
      </c>
      <c r="R178">
        <f>IF(Calc!$Q$3*ISNUMBER(Calc!$Q$46)*NOT(Calc!$Q$4)*NOT(Calc!$Q$60),((Calc!$Q$2-Calc!$Q$46)*Calc!$Q$88),NA())</f>
        <v/>
      </c>
      <c r="S178">
        <f>Calc!$Q$75</f>
        <v/>
      </c>
      <c r="U178" t="inlineStr">
        <is>
          <t>slLE1</t>
        </is>
      </c>
      <c r="V178">
        <f>IF(Calc!$V$3*ISNUMBER(Calc!$V$46)*NOT(Calc!$V$4)*NOT(Calc!$V$60),(Calc!$V$89+(0)*Calc!$V$88),NA())</f>
        <v/>
      </c>
      <c r="W178">
        <f>IF(Calc!$V$3*ISNUMBER(Calc!$V$46)*NOT(Calc!$V$4)*NOT(Calc!$V$60),((Calc!$V$2-Calc!$V$46)*Calc!$V$88),NA())</f>
        <v/>
      </c>
      <c r="X178">
        <f>Calc!$V$75</f>
        <v/>
      </c>
      <c r="Z178" t="inlineStr">
        <is>
          <t>slLE1</t>
        </is>
      </c>
      <c r="AA178">
        <f>IF(Calc!$AA$3*ISNUMBER(Calc!$AA$46)*NOT(Calc!$AA$4)*NOT(Calc!$AA$60),(Calc!$AA$89+(0)*Calc!$AA$88),NA())</f>
        <v/>
      </c>
      <c r="AB178">
        <f>IF(Calc!$AA$3*ISNUMBER(Calc!$AA$46)*NOT(Calc!$AA$4)*NOT(Calc!$AA$60),((Calc!$AA$2-Calc!$AA$46)*Calc!$AA$88),NA())</f>
        <v/>
      </c>
      <c r="AC178">
        <f>Calc!$AA$75</f>
        <v/>
      </c>
    </row>
    <row r="180">
      <c r="A180" t="inlineStr">
        <is>
          <t>stkE2</t>
        </is>
      </c>
      <c r="B180">
        <f>IF(Calc!$B$3*ISNUMBER(Calc!$B$47)*NOT(Calc!$B$4),(Calc!$B$89+((IF(Calc!$B$60,Calc!$B$11+Calc!$B$1,Calc!$B$11)))*Calc!$B$88),NA())</f>
        <v/>
      </c>
      <c r="C180">
        <f>IF(Calc!$B$3*ISNUMBER(Calc!$B$47)*NOT(Calc!$B$4),((Calc!$B$2-Calc!$B$47+1.2)*Calc!$B$88),NA())</f>
        <v/>
      </c>
      <c r="F180" t="inlineStr">
        <is>
          <t>stkE2</t>
        </is>
      </c>
      <c r="G180">
        <f>IF(Calc!$G$3*ISNUMBER(Calc!$G$47)*NOT(Calc!$G$4),(Calc!$G$89+((IF(Calc!$G$60,Calc!$G$11+Calc!$G$1,Calc!$G$11)))*Calc!$G$88),NA())</f>
        <v/>
      </c>
      <c r="H180">
        <f>IF(Calc!$G$3*ISNUMBER(Calc!$G$47)*NOT(Calc!$G$4),((Calc!$G$2-Calc!$G$47+1.2)*Calc!$G$88),NA())</f>
        <v/>
      </c>
      <c r="K180" t="inlineStr">
        <is>
          <t>stkE2</t>
        </is>
      </c>
      <c r="L180">
        <f>IF(Calc!$L$3*ISNUMBER(Calc!$L$47)*NOT(Calc!$L$4),(Calc!$L$89+((IF(Calc!$L$60,Calc!$L$11+Calc!$L$1,Calc!$L$11)))*Calc!$L$88),NA())</f>
        <v/>
      </c>
      <c r="M180">
        <f>IF(Calc!$L$3*ISNUMBER(Calc!$L$47)*NOT(Calc!$L$4),((Calc!$L$2-Calc!$L$47+1.2)*Calc!$L$88),NA())</f>
        <v/>
      </c>
      <c r="P180" t="inlineStr">
        <is>
          <t>stkE2</t>
        </is>
      </c>
      <c r="Q180">
        <f>IF(Calc!$Q$3*ISNUMBER(Calc!$Q$47)*NOT(Calc!$Q$4),(Calc!$Q$89+((IF(Calc!$Q$60,Calc!$Q$11+Calc!$Q$1,Calc!$Q$11)))*Calc!$Q$88),NA())</f>
        <v/>
      </c>
      <c r="R180">
        <f>IF(Calc!$Q$3*ISNUMBER(Calc!$Q$47)*NOT(Calc!$Q$4),((Calc!$Q$2-Calc!$Q$47+1.2)*Calc!$Q$88),NA())</f>
        <v/>
      </c>
      <c r="U180" t="inlineStr">
        <is>
          <t>stkE2</t>
        </is>
      </c>
      <c r="V180">
        <f>IF(Calc!$V$3*ISNUMBER(Calc!$V$47)*NOT(Calc!$V$4),(Calc!$V$89+((IF(Calc!$V$60,Calc!$V$11+Calc!$V$1,Calc!$V$11)))*Calc!$V$88),NA())</f>
        <v/>
      </c>
      <c r="W180">
        <f>IF(Calc!$V$3*ISNUMBER(Calc!$V$47)*NOT(Calc!$V$4),((Calc!$V$2-Calc!$V$47+1.2)*Calc!$V$88),NA())</f>
        <v/>
      </c>
      <c r="Z180" t="inlineStr">
        <is>
          <t>stkE2</t>
        </is>
      </c>
      <c r="AA180">
        <f>IF(Calc!$AA$3*ISNUMBER(Calc!$AA$47)*NOT(Calc!$AA$4),(Calc!$AA$89+((IF(Calc!$AA$60,Calc!$AA$11+Calc!$AA$1,Calc!$AA$11)))*Calc!$AA$88),NA())</f>
        <v/>
      </c>
      <c r="AB180">
        <f>IF(Calc!$AA$3*ISNUMBER(Calc!$AA$47)*NOT(Calc!$AA$4),((Calc!$AA$2-Calc!$AA$47+1.2)*Calc!$AA$88),NA())</f>
        <v/>
      </c>
    </row>
    <row r="181">
      <c r="A181" t="inlineStr">
        <is>
          <t>stkE2</t>
        </is>
      </c>
      <c r="B181">
        <f>IF(Calc!$B$3*ISNUMBER(Calc!$B$47)*NOT(Calc!$B$4),(Calc!$B$89+((IF(Calc!$B$60,Calc!$B$11+Calc!$B$1,Calc!$B$11)))*Calc!$B$88),NA())</f>
        <v/>
      </c>
      <c r="C181">
        <f>IF(Calc!$B$3*ISNUMBER(Calc!$B$47)*NOT(Calc!$B$4),((Calc!$B$2-Calc!$B$47-1.2)*Calc!$B$88),NA())</f>
        <v/>
      </c>
      <c r="F181" t="inlineStr">
        <is>
          <t>stkE2</t>
        </is>
      </c>
      <c r="G181">
        <f>IF(Calc!$G$3*ISNUMBER(Calc!$G$47)*NOT(Calc!$G$4),(Calc!$G$89+((IF(Calc!$G$60,Calc!$G$11+Calc!$G$1,Calc!$G$11)))*Calc!$G$88),NA())</f>
        <v/>
      </c>
      <c r="H181">
        <f>IF(Calc!$G$3*ISNUMBER(Calc!$G$47)*NOT(Calc!$G$4),((Calc!$G$2-Calc!$G$47-1.2)*Calc!$G$88),NA())</f>
        <v/>
      </c>
      <c r="K181" t="inlineStr">
        <is>
          <t>stkE2</t>
        </is>
      </c>
      <c r="L181">
        <f>IF(Calc!$L$3*ISNUMBER(Calc!$L$47)*NOT(Calc!$L$4),(Calc!$L$89+((IF(Calc!$L$60,Calc!$L$11+Calc!$L$1,Calc!$L$11)))*Calc!$L$88),NA())</f>
        <v/>
      </c>
      <c r="M181">
        <f>IF(Calc!$L$3*ISNUMBER(Calc!$L$47)*NOT(Calc!$L$4),((Calc!$L$2-Calc!$L$47-1.2)*Calc!$L$88),NA())</f>
        <v/>
      </c>
      <c r="P181" t="inlineStr">
        <is>
          <t>stkE2</t>
        </is>
      </c>
      <c r="Q181">
        <f>IF(Calc!$Q$3*ISNUMBER(Calc!$Q$47)*NOT(Calc!$Q$4),(Calc!$Q$89+((IF(Calc!$Q$60,Calc!$Q$11+Calc!$Q$1,Calc!$Q$11)))*Calc!$Q$88),NA())</f>
        <v/>
      </c>
      <c r="R181">
        <f>IF(Calc!$Q$3*ISNUMBER(Calc!$Q$47)*NOT(Calc!$Q$4),((Calc!$Q$2-Calc!$Q$47-1.2)*Calc!$Q$88),NA())</f>
        <v/>
      </c>
      <c r="U181" t="inlineStr">
        <is>
          <t>stkE2</t>
        </is>
      </c>
      <c r="V181">
        <f>IF(Calc!$V$3*ISNUMBER(Calc!$V$47)*NOT(Calc!$V$4),(Calc!$V$89+((IF(Calc!$V$60,Calc!$V$11+Calc!$V$1,Calc!$V$11)))*Calc!$V$88),NA())</f>
        <v/>
      </c>
      <c r="W181">
        <f>IF(Calc!$V$3*ISNUMBER(Calc!$V$47)*NOT(Calc!$V$4),((Calc!$V$2-Calc!$V$47-1.2)*Calc!$V$88),NA())</f>
        <v/>
      </c>
      <c r="Z181" t="inlineStr">
        <is>
          <t>stkE2</t>
        </is>
      </c>
      <c r="AA181">
        <f>IF(Calc!$AA$3*ISNUMBER(Calc!$AA$47)*NOT(Calc!$AA$4),(Calc!$AA$89+((IF(Calc!$AA$60,Calc!$AA$11+Calc!$AA$1,Calc!$AA$11)))*Calc!$AA$88),NA())</f>
        <v/>
      </c>
      <c r="AB181">
        <f>IF(Calc!$AA$3*ISNUMBER(Calc!$AA$47)*NOT(Calc!$AA$4),((Calc!$AA$2-Calc!$AA$47-1.2)*Calc!$AA$88),NA())</f>
        <v/>
      </c>
    </row>
    <row r="183">
      <c r="A183" t="inlineStr">
        <is>
          <t>slRE2</t>
        </is>
      </c>
      <c r="B183">
        <f>IF(Calc!$B$3*ISNUMBER(Calc!$B$47)*NOT(Calc!$B$4)*Calc!$B$60,(Calc!$B$89+(Calc!$B$13)*Calc!$B$88),NA())</f>
        <v/>
      </c>
      <c r="C183">
        <f>IF(Calc!$B$3*ISNUMBER(Calc!$B$47)*NOT(Calc!$B$4)*Calc!$B$60,((Calc!$B$2-Calc!$B$47)*Calc!$B$88),NA())</f>
        <v/>
      </c>
      <c r="D183">
        <f>Calc!$B$76</f>
        <v/>
      </c>
      <c r="F183" t="inlineStr">
        <is>
          <t>slRE2</t>
        </is>
      </c>
      <c r="G183">
        <f>IF(Calc!$G$3*ISNUMBER(Calc!$G$47)*NOT(Calc!$G$4)*Calc!$G$60,(Calc!$G$89+(Calc!$G$13)*Calc!$G$88),NA())</f>
        <v/>
      </c>
      <c r="H183">
        <f>IF(Calc!$G$3*ISNUMBER(Calc!$G$47)*NOT(Calc!$G$4)*Calc!$G$60,((Calc!$G$2-Calc!$G$47)*Calc!$G$88),NA())</f>
        <v/>
      </c>
      <c r="I183">
        <f>Calc!$G$76</f>
        <v/>
      </c>
      <c r="K183" t="inlineStr">
        <is>
          <t>slRE2</t>
        </is>
      </c>
      <c r="L183">
        <f>IF(Calc!$L$3*ISNUMBER(Calc!$L$47)*NOT(Calc!$L$4)*Calc!$L$60,(Calc!$L$89+(Calc!$L$13)*Calc!$L$88),NA())</f>
        <v/>
      </c>
      <c r="M183">
        <f>IF(Calc!$L$3*ISNUMBER(Calc!$L$47)*NOT(Calc!$L$4)*Calc!$L$60,((Calc!$L$2-Calc!$L$47)*Calc!$L$88),NA())</f>
        <v/>
      </c>
      <c r="N183">
        <f>Calc!$L$76</f>
        <v/>
      </c>
      <c r="P183" t="inlineStr">
        <is>
          <t>slRE2</t>
        </is>
      </c>
      <c r="Q183">
        <f>IF(Calc!$Q$3*ISNUMBER(Calc!$Q$47)*NOT(Calc!$Q$4)*Calc!$Q$60,(Calc!$Q$89+(Calc!$Q$13)*Calc!$Q$88),NA())</f>
        <v/>
      </c>
      <c r="R183">
        <f>IF(Calc!$Q$3*ISNUMBER(Calc!$Q$47)*NOT(Calc!$Q$4)*Calc!$Q$60,((Calc!$Q$2-Calc!$Q$47)*Calc!$Q$88),NA())</f>
        <v/>
      </c>
      <c r="S183">
        <f>Calc!$Q$76</f>
        <v/>
      </c>
      <c r="U183" t="inlineStr">
        <is>
          <t>slRE2</t>
        </is>
      </c>
      <c r="V183">
        <f>IF(Calc!$V$3*ISNUMBER(Calc!$V$47)*NOT(Calc!$V$4)*Calc!$V$60,(Calc!$V$89+(Calc!$V$13)*Calc!$V$88),NA())</f>
        <v/>
      </c>
      <c r="W183">
        <f>IF(Calc!$V$3*ISNUMBER(Calc!$V$47)*NOT(Calc!$V$4)*Calc!$V$60,((Calc!$V$2-Calc!$V$47)*Calc!$V$88),NA())</f>
        <v/>
      </c>
      <c r="X183">
        <f>Calc!$V$76</f>
        <v/>
      </c>
      <c r="Z183" t="inlineStr">
        <is>
          <t>slRE2</t>
        </is>
      </c>
      <c r="AA183">
        <f>IF(Calc!$AA$3*ISNUMBER(Calc!$AA$47)*NOT(Calc!$AA$4)*Calc!$AA$60,(Calc!$AA$89+(Calc!$AA$13)*Calc!$AA$88),NA())</f>
        <v/>
      </c>
      <c r="AB183">
        <f>IF(Calc!$AA$3*ISNUMBER(Calc!$AA$47)*NOT(Calc!$AA$4)*Calc!$AA$60,((Calc!$AA$2-Calc!$AA$47)*Calc!$AA$88),NA())</f>
        <v/>
      </c>
      <c r="AC183">
        <f>Calc!$AA$76</f>
        <v/>
      </c>
    </row>
    <row r="185">
      <c r="A185" t="inlineStr">
        <is>
          <t>slLE2</t>
        </is>
      </c>
      <c r="B185">
        <f>IF(Calc!$B$3*ISNUMBER(Calc!$B$47)*NOT(Calc!$B$4)*NOT(Calc!$B$60),(Calc!$B$89+(0)*Calc!$B$88),NA())</f>
        <v/>
      </c>
      <c r="C185">
        <f>IF(Calc!$B$3*ISNUMBER(Calc!$B$47)*NOT(Calc!$B$4)*NOT(Calc!$B$60),((Calc!$B$2-Calc!$B$47)*Calc!$B$88),NA())</f>
        <v/>
      </c>
      <c r="D185">
        <f>Calc!$B$76</f>
        <v/>
      </c>
      <c r="F185" t="inlineStr">
        <is>
          <t>slLE2</t>
        </is>
      </c>
      <c r="G185">
        <f>IF(Calc!$G$3*ISNUMBER(Calc!$G$47)*NOT(Calc!$G$4)*NOT(Calc!$G$60),(Calc!$G$89+(0)*Calc!$G$88),NA())</f>
        <v/>
      </c>
      <c r="H185">
        <f>IF(Calc!$G$3*ISNUMBER(Calc!$G$47)*NOT(Calc!$G$4)*NOT(Calc!$G$60),((Calc!$G$2-Calc!$G$47)*Calc!$G$88),NA())</f>
        <v/>
      </c>
      <c r="I185">
        <f>Calc!$G$76</f>
        <v/>
      </c>
      <c r="K185" t="inlineStr">
        <is>
          <t>slLE2</t>
        </is>
      </c>
      <c r="L185">
        <f>IF(Calc!$L$3*ISNUMBER(Calc!$L$47)*NOT(Calc!$L$4)*NOT(Calc!$L$60),(Calc!$L$89+(0)*Calc!$L$88),NA())</f>
        <v/>
      </c>
      <c r="M185">
        <f>IF(Calc!$L$3*ISNUMBER(Calc!$L$47)*NOT(Calc!$L$4)*NOT(Calc!$L$60),((Calc!$L$2-Calc!$L$47)*Calc!$L$88),NA())</f>
        <v/>
      </c>
      <c r="N185">
        <f>Calc!$L$76</f>
        <v/>
      </c>
      <c r="P185" t="inlineStr">
        <is>
          <t>slLE2</t>
        </is>
      </c>
      <c r="Q185">
        <f>IF(Calc!$Q$3*ISNUMBER(Calc!$Q$47)*NOT(Calc!$Q$4)*NOT(Calc!$Q$60),(Calc!$Q$89+(0)*Calc!$Q$88),NA())</f>
        <v/>
      </c>
      <c r="R185">
        <f>IF(Calc!$Q$3*ISNUMBER(Calc!$Q$47)*NOT(Calc!$Q$4)*NOT(Calc!$Q$60),((Calc!$Q$2-Calc!$Q$47)*Calc!$Q$88),NA())</f>
        <v/>
      </c>
      <c r="S185">
        <f>Calc!$Q$76</f>
        <v/>
      </c>
      <c r="U185" t="inlineStr">
        <is>
          <t>slLE2</t>
        </is>
      </c>
      <c r="V185">
        <f>IF(Calc!$V$3*ISNUMBER(Calc!$V$47)*NOT(Calc!$V$4)*NOT(Calc!$V$60),(Calc!$V$89+(0)*Calc!$V$88),NA())</f>
        <v/>
      </c>
      <c r="W185">
        <f>IF(Calc!$V$3*ISNUMBER(Calc!$V$47)*NOT(Calc!$V$4)*NOT(Calc!$V$60),((Calc!$V$2-Calc!$V$47)*Calc!$V$88),NA())</f>
        <v/>
      </c>
      <c r="X185">
        <f>Calc!$V$76</f>
        <v/>
      </c>
      <c r="Z185" t="inlineStr">
        <is>
          <t>slLE2</t>
        </is>
      </c>
      <c r="AA185">
        <f>IF(Calc!$AA$3*ISNUMBER(Calc!$AA$47)*NOT(Calc!$AA$4)*NOT(Calc!$AA$60),(Calc!$AA$89+(0)*Calc!$AA$88),NA())</f>
        <v/>
      </c>
      <c r="AB185">
        <f>IF(Calc!$AA$3*ISNUMBER(Calc!$AA$47)*NOT(Calc!$AA$4)*NOT(Calc!$AA$60),((Calc!$AA$2-Calc!$AA$47)*Calc!$AA$88),NA())</f>
        <v/>
      </c>
      <c r="AC185">
        <f>Calc!$AA$76</f>
        <v/>
      </c>
    </row>
    <row r="187">
      <c r="A187" t="inlineStr">
        <is>
          <t>dOW</t>
        </is>
      </c>
      <c r="B187">
        <f>IF(Calc!$B$3,(Calc!$B$89+(0)*Calc!$B$88),NA())</f>
        <v/>
      </c>
      <c r="C187">
        <f>IF(Calc!$B$3,(Calc!$B$14*Calc!$B$88+8)-2,NA())</f>
        <v/>
      </c>
      <c r="F187" t="inlineStr">
        <is>
          <t>dOW</t>
        </is>
      </c>
      <c r="G187">
        <f>IF(Calc!$G$3,(Calc!$G$89+(0)*Calc!$G$88),NA())</f>
        <v/>
      </c>
      <c r="H187">
        <f>IF(Calc!$G$3,(Calc!$G$14*Calc!$G$88+8)-2,NA())</f>
        <v/>
      </c>
      <c r="K187" t="inlineStr">
        <is>
          <t>dOW</t>
        </is>
      </c>
      <c r="L187">
        <f>IF(Calc!$L$3,(Calc!$L$89+(0)*Calc!$L$88),NA())</f>
        <v/>
      </c>
      <c r="M187">
        <f>IF(Calc!$L$3,(Calc!$L$14*Calc!$L$88+8)-2,NA())</f>
        <v/>
      </c>
      <c r="P187" t="inlineStr">
        <is>
          <t>dOW</t>
        </is>
      </c>
      <c r="Q187">
        <f>IF(Calc!$Q$3,(Calc!$Q$89+(0)*Calc!$Q$88),NA())</f>
        <v/>
      </c>
      <c r="R187">
        <f>IF(Calc!$Q$3,(Calc!$Q$14*Calc!$Q$88+8)-2,NA())</f>
        <v/>
      </c>
      <c r="U187" t="inlineStr">
        <is>
          <t>dOW</t>
        </is>
      </c>
      <c r="V187">
        <f>IF(Calc!$V$3,(Calc!$V$89+(0)*Calc!$V$88),NA())</f>
        <v/>
      </c>
      <c r="W187">
        <f>IF(Calc!$V$3,(Calc!$V$14*Calc!$V$88+8)-2,NA())</f>
        <v/>
      </c>
      <c r="Z187" t="inlineStr">
        <is>
          <t>dOW</t>
        </is>
      </c>
      <c r="AA187">
        <f>IF(Calc!$AA$3,(Calc!$AA$89+(0)*Calc!$AA$88),NA())</f>
        <v/>
      </c>
      <c r="AB187">
        <f>IF(Calc!$AA$3,(Calc!$AA$14*Calc!$AA$88+8)-2,NA())</f>
        <v/>
      </c>
    </row>
    <row r="188">
      <c r="A188" t="inlineStr">
        <is>
          <t>dOW</t>
        </is>
      </c>
      <c r="B188">
        <f>IF(Calc!$B$3,(Calc!$B$89+(0)*Calc!$B$88),NA())</f>
        <v/>
      </c>
      <c r="C188">
        <f>IF(Calc!$B$3,(Calc!$B$14*Calc!$B$88+8)+2,NA())</f>
        <v/>
      </c>
      <c r="F188" t="inlineStr">
        <is>
          <t>dOW</t>
        </is>
      </c>
      <c r="G188">
        <f>IF(Calc!$G$3,(Calc!$G$89+(0)*Calc!$G$88),NA())</f>
        <v/>
      </c>
      <c r="H188">
        <f>IF(Calc!$G$3,(Calc!$G$14*Calc!$G$88+8)+2,NA())</f>
        <v/>
      </c>
      <c r="K188" t="inlineStr">
        <is>
          <t>dOW</t>
        </is>
      </c>
      <c r="L188">
        <f>IF(Calc!$L$3,(Calc!$L$89+(0)*Calc!$L$88),NA())</f>
        <v/>
      </c>
      <c r="M188">
        <f>IF(Calc!$L$3,(Calc!$L$14*Calc!$L$88+8)+2,NA())</f>
        <v/>
      </c>
      <c r="P188" t="inlineStr">
        <is>
          <t>dOW</t>
        </is>
      </c>
      <c r="Q188">
        <f>IF(Calc!$Q$3,(Calc!$Q$89+(0)*Calc!$Q$88),NA())</f>
        <v/>
      </c>
      <c r="R188">
        <f>IF(Calc!$Q$3,(Calc!$Q$14*Calc!$Q$88+8)+2,NA())</f>
        <v/>
      </c>
      <c r="U188" t="inlineStr">
        <is>
          <t>dOW</t>
        </is>
      </c>
      <c r="V188">
        <f>IF(Calc!$V$3,(Calc!$V$89+(0)*Calc!$V$88),NA())</f>
        <v/>
      </c>
      <c r="W188">
        <f>IF(Calc!$V$3,(Calc!$V$14*Calc!$V$88+8)+2,NA())</f>
        <v/>
      </c>
      <c r="Z188" t="inlineStr">
        <is>
          <t>dOW</t>
        </is>
      </c>
      <c r="AA188">
        <f>IF(Calc!$AA$3,(Calc!$AA$89+(0)*Calc!$AA$88),NA())</f>
        <v/>
      </c>
      <c r="AB188">
        <f>IF(Calc!$AA$3,(Calc!$AA$14*Calc!$AA$88+8)+2,NA())</f>
        <v/>
      </c>
    </row>
    <row r="189">
      <c r="A189" t="inlineStr">
        <is>
          <t>dOW</t>
        </is>
      </c>
      <c r="B189">
        <f>IF(Calc!$B$3,(Calc!$B$89+(0)*Calc!$B$88),NA())</f>
        <v/>
      </c>
      <c r="C189">
        <f>IF(Calc!$B$3,(Calc!$B$14*Calc!$B$88+8),NA())</f>
        <v/>
      </c>
      <c r="F189" t="inlineStr">
        <is>
          <t>dOW</t>
        </is>
      </c>
      <c r="G189">
        <f>IF(Calc!$G$3,(Calc!$G$89+(0)*Calc!$G$88),NA())</f>
        <v/>
      </c>
      <c r="H189">
        <f>IF(Calc!$G$3,(Calc!$G$14*Calc!$G$88+8),NA())</f>
        <v/>
      </c>
      <c r="K189" t="inlineStr">
        <is>
          <t>dOW</t>
        </is>
      </c>
      <c r="L189">
        <f>IF(Calc!$L$3,(Calc!$L$89+(0)*Calc!$L$88),NA())</f>
        <v/>
      </c>
      <c r="M189">
        <f>IF(Calc!$L$3,(Calc!$L$14*Calc!$L$88+8),NA())</f>
        <v/>
      </c>
      <c r="P189" t="inlineStr">
        <is>
          <t>dOW</t>
        </is>
      </c>
      <c r="Q189">
        <f>IF(Calc!$Q$3,(Calc!$Q$89+(0)*Calc!$Q$88),NA())</f>
        <v/>
      </c>
      <c r="R189">
        <f>IF(Calc!$Q$3,(Calc!$Q$14*Calc!$Q$88+8),NA())</f>
        <v/>
      </c>
      <c r="U189" t="inlineStr">
        <is>
          <t>dOW</t>
        </is>
      </c>
      <c r="V189">
        <f>IF(Calc!$V$3,(Calc!$V$89+(0)*Calc!$V$88),NA())</f>
        <v/>
      </c>
      <c r="W189">
        <f>IF(Calc!$V$3,(Calc!$V$14*Calc!$V$88+8),NA())</f>
        <v/>
      </c>
      <c r="Z189" t="inlineStr">
        <is>
          <t>dOW</t>
        </is>
      </c>
      <c r="AA189">
        <f>IF(Calc!$AA$3,(Calc!$AA$89+(0)*Calc!$AA$88),NA())</f>
        <v/>
      </c>
      <c r="AB189">
        <f>IF(Calc!$AA$3,(Calc!$AA$14*Calc!$AA$88+8),NA())</f>
        <v/>
      </c>
    </row>
    <row r="190">
      <c r="A190" t="inlineStr">
        <is>
          <t>dOW</t>
        </is>
      </c>
      <c r="B190">
        <f>IF(Calc!$B$3,(Calc!$B$89+(Calc!$B$13)*Calc!$B$88),NA())</f>
        <v/>
      </c>
      <c r="C190">
        <f>IF(Calc!$B$3,(Calc!$B$14*Calc!$B$88+8),NA())</f>
        <v/>
      </c>
      <c r="F190" t="inlineStr">
        <is>
          <t>dOW</t>
        </is>
      </c>
      <c r="G190">
        <f>IF(Calc!$G$3,(Calc!$G$89+(Calc!$G$13)*Calc!$G$88),NA())</f>
        <v/>
      </c>
      <c r="H190">
        <f>IF(Calc!$G$3,(Calc!$G$14*Calc!$G$88+8),NA())</f>
        <v/>
      </c>
      <c r="K190" t="inlineStr">
        <is>
          <t>dOW</t>
        </is>
      </c>
      <c r="L190">
        <f>IF(Calc!$L$3,(Calc!$L$89+(Calc!$L$13)*Calc!$L$88),NA())</f>
        <v/>
      </c>
      <c r="M190">
        <f>IF(Calc!$L$3,(Calc!$L$14*Calc!$L$88+8),NA())</f>
        <v/>
      </c>
      <c r="P190" t="inlineStr">
        <is>
          <t>dOW</t>
        </is>
      </c>
      <c r="Q190">
        <f>IF(Calc!$Q$3,(Calc!$Q$89+(Calc!$Q$13)*Calc!$Q$88),NA())</f>
        <v/>
      </c>
      <c r="R190">
        <f>IF(Calc!$Q$3,(Calc!$Q$14*Calc!$Q$88+8),NA())</f>
        <v/>
      </c>
      <c r="U190" t="inlineStr">
        <is>
          <t>dOW</t>
        </is>
      </c>
      <c r="V190">
        <f>IF(Calc!$V$3,(Calc!$V$89+(Calc!$V$13)*Calc!$V$88),NA())</f>
        <v/>
      </c>
      <c r="W190">
        <f>IF(Calc!$V$3,(Calc!$V$14*Calc!$V$88+8),NA())</f>
        <v/>
      </c>
      <c r="Z190" t="inlineStr">
        <is>
          <t>dOW</t>
        </is>
      </c>
      <c r="AA190">
        <f>IF(Calc!$AA$3,(Calc!$AA$89+(Calc!$AA$13)*Calc!$AA$88),NA())</f>
        <v/>
      </c>
      <c r="AB190">
        <f>IF(Calc!$AA$3,(Calc!$AA$14*Calc!$AA$88+8),NA())</f>
        <v/>
      </c>
    </row>
    <row r="191">
      <c r="A191" t="inlineStr">
        <is>
          <t>dOW</t>
        </is>
      </c>
      <c r="B191">
        <f>IF(Calc!$B$3,(Calc!$B$89+(Calc!$B$13)*Calc!$B$88),NA())</f>
        <v/>
      </c>
      <c r="C191">
        <f>IF(Calc!$B$3,(Calc!$B$14*Calc!$B$88+8)+2,NA())</f>
        <v/>
      </c>
      <c r="F191" t="inlineStr">
        <is>
          <t>dOW</t>
        </is>
      </c>
      <c r="G191">
        <f>IF(Calc!$G$3,(Calc!$G$89+(Calc!$G$13)*Calc!$G$88),NA())</f>
        <v/>
      </c>
      <c r="H191">
        <f>IF(Calc!$G$3,(Calc!$G$14*Calc!$G$88+8)+2,NA())</f>
        <v/>
      </c>
      <c r="K191" t="inlineStr">
        <is>
          <t>dOW</t>
        </is>
      </c>
      <c r="L191">
        <f>IF(Calc!$L$3,(Calc!$L$89+(Calc!$L$13)*Calc!$L$88),NA())</f>
        <v/>
      </c>
      <c r="M191">
        <f>IF(Calc!$L$3,(Calc!$L$14*Calc!$L$88+8)+2,NA())</f>
        <v/>
      </c>
      <c r="P191" t="inlineStr">
        <is>
          <t>dOW</t>
        </is>
      </c>
      <c r="Q191">
        <f>IF(Calc!$Q$3,(Calc!$Q$89+(Calc!$Q$13)*Calc!$Q$88),NA())</f>
        <v/>
      </c>
      <c r="R191">
        <f>IF(Calc!$Q$3,(Calc!$Q$14*Calc!$Q$88+8)+2,NA())</f>
        <v/>
      </c>
      <c r="U191" t="inlineStr">
        <is>
          <t>dOW</t>
        </is>
      </c>
      <c r="V191">
        <f>IF(Calc!$V$3,(Calc!$V$89+(Calc!$V$13)*Calc!$V$88),NA())</f>
        <v/>
      </c>
      <c r="W191">
        <f>IF(Calc!$V$3,(Calc!$V$14*Calc!$V$88+8)+2,NA())</f>
        <v/>
      </c>
      <c r="Z191" t="inlineStr">
        <is>
          <t>dOW</t>
        </is>
      </c>
      <c r="AA191">
        <f>IF(Calc!$AA$3,(Calc!$AA$89+(Calc!$AA$13)*Calc!$AA$88),NA())</f>
        <v/>
      </c>
      <c r="AB191">
        <f>IF(Calc!$AA$3,(Calc!$AA$14*Calc!$AA$88+8)+2,NA())</f>
        <v/>
      </c>
    </row>
    <row r="192">
      <c r="A192" t="inlineStr">
        <is>
          <t>dOW</t>
        </is>
      </c>
      <c r="B192">
        <f>IF(Calc!$B$3,(Calc!$B$89+(Calc!$B$13)*Calc!$B$88),NA())</f>
        <v/>
      </c>
      <c r="C192">
        <f>IF(Calc!$B$3,(Calc!$B$14*Calc!$B$88+8)-2,NA())</f>
        <v/>
      </c>
      <c r="F192" t="inlineStr">
        <is>
          <t>dOW</t>
        </is>
      </c>
      <c r="G192">
        <f>IF(Calc!$G$3,(Calc!$G$89+(Calc!$G$13)*Calc!$G$88),NA())</f>
        <v/>
      </c>
      <c r="H192">
        <f>IF(Calc!$G$3,(Calc!$G$14*Calc!$G$88+8)-2,NA())</f>
        <v/>
      </c>
      <c r="K192" t="inlineStr">
        <is>
          <t>dOW</t>
        </is>
      </c>
      <c r="L192">
        <f>IF(Calc!$L$3,(Calc!$L$89+(Calc!$L$13)*Calc!$L$88),NA())</f>
        <v/>
      </c>
      <c r="M192">
        <f>IF(Calc!$L$3,(Calc!$L$14*Calc!$L$88+8)-2,NA())</f>
        <v/>
      </c>
      <c r="P192" t="inlineStr">
        <is>
          <t>dOW</t>
        </is>
      </c>
      <c r="Q192">
        <f>IF(Calc!$Q$3,(Calc!$Q$89+(Calc!$Q$13)*Calc!$Q$88),NA())</f>
        <v/>
      </c>
      <c r="R192">
        <f>IF(Calc!$Q$3,(Calc!$Q$14*Calc!$Q$88+8)-2,NA())</f>
        <v/>
      </c>
      <c r="U192" t="inlineStr">
        <is>
          <t>dOW</t>
        </is>
      </c>
      <c r="V192">
        <f>IF(Calc!$V$3,(Calc!$V$89+(Calc!$V$13)*Calc!$V$88),NA())</f>
        <v/>
      </c>
      <c r="W192">
        <f>IF(Calc!$V$3,(Calc!$V$14*Calc!$V$88+8)-2,NA())</f>
        <v/>
      </c>
      <c r="Z192" t="inlineStr">
        <is>
          <t>dOW</t>
        </is>
      </c>
      <c r="AA192">
        <f>IF(Calc!$AA$3,(Calc!$AA$89+(Calc!$AA$13)*Calc!$AA$88),NA())</f>
        <v/>
      </c>
      <c r="AB192">
        <f>IF(Calc!$AA$3,(Calc!$AA$14*Calc!$AA$88+8)-2,NA())</f>
        <v/>
      </c>
    </row>
    <row r="194">
      <c r="A194" t="inlineStr">
        <is>
          <t>lOW</t>
        </is>
      </c>
      <c r="B194">
        <f>IF(Calc!$B$3,(Calc!$B$89+(Calc!$B$13/2)*Calc!$B$88),NA())</f>
        <v/>
      </c>
      <c r="C194">
        <f>IF(Calc!$B$3,(Calc!$B$14*Calc!$B$88+8),NA())</f>
        <v/>
      </c>
      <c r="D194">
        <f>Calc!$B$81</f>
        <v/>
      </c>
      <c r="F194" t="inlineStr">
        <is>
          <t>lOW</t>
        </is>
      </c>
      <c r="G194">
        <f>IF(Calc!$G$3,(Calc!$G$89+(Calc!$G$13/2)*Calc!$G$88),NA())</f>
        <v/>
      </c>
      <c r="H194">
        <f>IF(Calc!$G$3,(Calc!$G$14*Calc!$G$88+8),NA())</f>
        <v/>
      </c>
      <c r="I194">
        <f>Calc!$G$81</f>
        <v/>
      </c>
      <c r="K194" t="inlineStr">
        <is>
          <t>lOW</t>
        </is>
      </c>
      <c r="L194">
        <f>IF(Calc!$L$3,(Calc!$L$89+(Calc!$L$13/2)*Calc!$L$88),NA())</f>
        <v/>
      </c>
      <c r="M194">
        <f>IF(Calc!$L$3,(Calc!$L$14*Calc!$L$88+8),NA())</f>
        <v/>
      </c>
      <c r="N194">
        <f>Calc!$L$81</f>
        <v/>
      </c>
      <c r="P194" t="inlineStr">
        <is>
          <t>lOW</t>
        </is>
      </c>
      <c r="Q194">
        <f>IF(Calc!$Q$3,(Calc!$Q$89+(Calc!$Q$13/2)*Calc!$Q$88),NA())</f>
        <v/>
      </c>
      <c r="R194">
        <f>IF(Calc!$Q$3,(Calc!$Q$14*Calc!$Q$88+8),NA())</f>
        <v/>
      </c>
      <c r="S194">
        <f>Calc!$Q$81</f>
        <v/>
      </c>
      <c r="U194" t="inlineStr">
        <is>
          <t>lOW</t>
        </is>
      </c>
      <c r="V194">
        <f>IF(Calc!$V$3,(Calc!$V$89+(Calc!$V$13/2)*Calc!$V$88),NA())</f>
        <v/>
      </c>
      <c r="W194">
        <f>IF(Calc!$V$3,(Calc!$V$14*Calc!$V$88+8),NA())</f>
        <v/>
      </c>
      <c r="X194">
        <f>Calc!$V$81</f>
        <v/>
      </c>
      <c r="Z194" t="inlineStr">
        <is>
          <t>lOW</t>
        </is>
      </c>
      <c r="AA194">
        <f>IF(Calc!$AA$3,(Calc!$AA$89+(Calc!$AA$13/2)*Calc!$AA$88),NA())</f>
        <v/>
      </c>
      <c r="AB194">
        <f>IF(Calc!$AA$3,(Calc!$AA$14*Calc!$AA$88+8),NA())</f>
        <v/>
      </c>
      <c r="AC194">
        <f>Calc!$AA$81</f>
        <v/>
      </c>
    </row>
    <row r="196">
      <c r="A196" t="inlineStr">
        <is>
          <t>dW</t>
        </is>
      </c>
      <c r="B196">
        <f>IF(Calc!$B$3,(Calc!$B$89+(Calc!$B$11)*Calc!$B$88),NA())</f>
        <v/>
      </c>
      <c r="C196">
        <f>IF(Calc!$B$3,-8,NA())</f>
        <v/>
      </c>
      <c r="F196" t="inlineStr">
        <is>
          <t>dW</t>
        </is>
      </c>
      <c r="G196">
        <f>IF(Calc!$G$3,(Calc!$G$89+(Calc!$G$11)*Calc!$G$88),NA())</f>
        <v/>
      </c>
      <c r="H196">
        <f>IF(Calc!$G$3,-8,NA())</f>
        <v/>
      </c>
      <c r="K196" t="inlineStr">
        <is>
          <t>dW</t>
        </is>
      </c>
      <c r="L196">
        <f>IF(Calc!$L$3,(Calc!$L$89+(Calc!$L$11)*Calc!$L$88),NA())</f>
        <v/>
      </c>
      <c r="M196">
        <f>IF(Calc!$L$3,-8,NA())</f>
        <v/>
      </c>
      <c r="P196" t="inlineStr">
        <is>
          <t>dW</t>
        </is>
      </c>
      <c r="Q196">
        <f>IF(Calc!$Q$3,(Calc!$Q$89+(Calc!$Q$11)*Calc!$Q$88),NA())</f>
        <v/>
      </c>
      <c r="R196">
        <f>IF(Calc!$Q$3,-8,NA())</f>
        <v/>
      </c>
      <c r="U196" t="inlineStr">
        <is>
          <t>dW</t>
        </is>
      </c>
      <c r="V196">
        <f>IF(Calc!$V$3,(Calc!$V$89+(Calc!$V$11)*Calc!$V$88),NA())</f>
        <v/>
      </c>
      <c r="W196">
        <f>IF(Calc!$V$3,-8,NA())</f>
        <v/>
      </c>
      <c r="Z196" t="inlineStr">
        <is>
          <t>dW</t>
        </is>
      </c>
      <c r="AA196">
        <f>IF(Calc!$AA$3,(Calc!$AA$89+(Calc!$AA$11)*Calc!$AA$88),NA())</f>
        <v/>
      </c>
      <c r="AB196">
        <f>IF(Calc!$AA$3,-8,NA())</f>
        <v/>
      </c>
    </row>
    <row r="197">
      <c r="A197" t="inlineStr">
        <is>
          <t>dW</t>
        </is>
      </c>
      <c r="B197">
        <f>IF(Calc!$B$3,(Calc!$B$89+(Calc!$B$11+Calc!$B$1)*Calc!$B$88),NA())</f>
        <v/>
      </c>
      <c r="C197">
        <f>IF(Calc!$B$3,-8,NA())</f>
        <v/>
      </c>
      <c r="F197" t="inlineStr">
        <is>
          <t>dW</t>
        </is>
      </c>
      <c r="G197">
        <f>IF(Calc!$G$3,(Calc!$G$89+(Calc!$G$11+Calc!$G$1)*Calc!$G$88),NA())</f>
        <v/>
      </c>
      <c r="H197">
        <f>IF(Calc!$G$3,-8,NA())</f>
        <v/>
      </c>
      <c r="K197" t="inlineStr">
        <is>
          <t>dW</t>
        </is>
      </c>
      <c r="L197">
        <f>IF(Calc!$L$3,(Calc!$L$89+(Calc!$L$11+Calc!$L$1)*Calc!$L$88),NA())</f>
        <v/>
      </c>
      <c r="M197">
        <f>IF(Calc!$L$3,-8,NA())</f>
        <v/>
      </c>
      <c r="P197" t="inlineStr">
        <is>
          <t>dW</t>
        </is>
      </c>
      <c r="Q197">
        <f>IF(Calc!$Q$3,(Calc!$Q$89+(Calc!$Q$11+Calc!$Q$1)*Calc!$Q$88),NA())</f>
        <v/>
      </c>
      <c r="R197">
        <f>IF(Calc!$Q$3,-8,NA())</f>
        <v/>
      </c>
      <c r="U197" t="inlineStr">
        <is>
          <t>dW</t>
        </is>
      </c>
      <c r="V197">
        <f>IF(Calc!$V$3,(Calc!$V$89+(Calc!$V$11+Calc!$V$1)*Calc!$V$88),NA())</f>
        <v/>
      </c>
      <c r="W197">
        <f>IF(Calc!$V$3,-8,NA())</f>
        <v/>
      </c>
      <c r="Z197" t="inlineStr">
        <is>
          <t>dW</t>
        </is>
      </c>
      <c r="AA197">
        <f>IF(Calc!$AA$3,(Calc!$AA$89+(Calc!$AA$11+Calc!$AA$1)*Calc!$AA$88),NA())</f>
        <v/>
      </c>
      <c r="AB197">
        <f>IF(Calc!$AA$3,-8,NA())</f>
        <v/>
      </c>
    </row>
    <row r="199">
      <c r="A199" t="inlineStr">
        <is>
          <t>lW</t>
        </is>
      </c>
      <c r="B199">
        <f>IF(Calc!$B$3,(Calc!$B$89+(Calc!$B$11+Calc!$B$1/2)*Calc!$B$88),NA())</f>
        <v/>
      </c>
      <c r="C199">
        <f>IF(Calc!$B$3,-8,NA())</f>
        <v/>
      </c>
      <c r="D199">
        <f>Calc!$B$79</f>
        <v/>
      </c>
      <c r="F199" t="inlineStr">
        <is>
          <t>lW</t>
        </is>
      </c>
      <c r="G199">
        <f>IF(Calc!$G$3,(Calc!$G$89+(Calc!$G$11+Calc!$G$1/2)*Calc!$G$88),NA())</f>
        <v/>
      </c>
      <c r="H199">
        <f>IF(Calc!$G$3,-8,NA())</f>
        <v/>
      </c>
      <c r="I199">
        <f>Calc!$G$79</f>
        <v/>
      </c>
      <c r="K199" t="inlineStr">
        <is>
          <t>lW</t>
        </is>
      </c>
      <c r="L199">
        <f>IF(Calc!$L$3,(Calc!$L$89+(Calc!$L$11+Calc!$L$1/2)*Calc!$L$88),NA())</f>
        <v/>
      </c>
      <c r="M199">
        <f>IF(Calc!$L$3,-8,NA())</f>
        <v/>
      </c>
      <c r="N199">
        <f>Calc!$L$79</f>
        <v/>
      </c>
      <c r="P199" t="inlineStr">
        <is>
          <t>lW</t>
        </is>
      </c>
      <c r="Q199">
        <f>IF(Calc!$Q$3,(Calc!$Q$89+(Calc!$Q$11+Calc!$Q$1/2)*Calc!$Q$88),NA())</f>
        <v/>
      </c>
      <c r="R199">
        <f>IF(Calc!$Q$3,-8,NA())</f>
        <v/>
      </c>
      <c r="S199">
        <f>Calc!$Q$79</f>
        <v/>
      </c>
      <c r="U199" t="inlineStr">
        <is>
          <t>lW</t>
        </is>
      </c>
      <c r="V199">
        <f>IF(Calc!$V$3,(Calc!$V$89+(Calc!$V$11+Calc!$V$1/2)*Calc!$V$88),NA())</f>
        <v/>
      </c>
      <c r="W199">
        <f>IF(Calc!$V$3,-8,NA())</f>
        <v/>
      </c>
      <c r="X199">
        <f>Calc!$V$79</f>
        <v/>
      </c>
      <c r="Z199" t="inlineStr">
        <is>
          <t>lW</t>
        </is>
      </c>
      <c r="AA199">
        <f>IF(Calc!$AA$3,(Calc!$AA$89+(Calc!$AA$11+Calc!$AA$1/2)*Calc!$AA$88),NA())</f>
        <v/>
      </c>
      <c r="AB199">
        <f>IF(Calc!$AA$3,-8,NA())</f>
        <v/>
      </c>
      <c r="AC199">
        <f>Calc!$AA$79</f>
        <v/>
      </c>
    </row>
    <row r="201">
      <c r="A201" t="inlineStr">
        <is>
          <t>dOH</t>
        </is>
      </c>
      <c r="B201">
        <f>IF(Calc!$B$3,(Calc!$B$89+Calc!$B$13*Calc!$B$88+30),NA())</f>
        <v/>
      </c>
      <c r="C201">
        <f>IF(Calc!$B$3,((0)*Calc!$B$88),NA())</f>
        <v/>
      </c>
      <c r="F201" t="inlineStr">
        <is>
          <t>dOH</t>
        </is>
      </c>
      <c r="G201">
        <f>IF(Calc!$G$3,(Calc!$G$89+Calc!$G$13*Calc!$G$88+30),NA())</f>
        <v/>
      </c>
      <c r="H201">
        <f>IF(Calc!$G$3,((0)*Calc!$G$88),NA())</f>
        <v/>
      </c>
      <c r="K201" t="inlineStr">
        <is>
          <t>dOH</t>
        </is>
      </c>
      <c r="L201">
        <f>IF(Calc!$L$3,(Calc!$L$89+Calc!$L$13*Calc!$L$88+30),NA())</f>
        <v/>
      </c>
      <c r="M201">
        <f>IF(Calc!$L$3,((0)*Calc!$L$88),NA())</f>
        <v/>
      </c>
      <c r="P201" t="inlineStr">
        <is>
          <t>dOH</t>
        </is>
      </c>
      <c r="Q201">
        <f>IF(Calc!$Q$3,(Calc!$Q$89+Calc!$Q$13*Calc!$Q$88+30),NA())</f>
        <v/>
      </c>
      <c r="R201">
        <f>IF(Calc!$Q$3,((0)*Calc!$Q$88),NA())</f>
        <v/>
      </c>
      <c r="U201" t="inlineStr">
        <is>
          <t>dOH</t>
        </is>
      </c>
      <c r="V201">
        <f>IF(Calc!$V$3,(Calc!$V$89+Calc!$V$13*Calc!$V$88+30),NA())</f>
        <v/>
      </c>
      <c r="W201">
        <f>IF(Calc!$V$3,((0)*Calc!$V$88),NA())</f>
        <v/>
      </c>
      <c r="Z201" t="inlineStr">
        <is>
          <t>dOH</t>
        </is>
      </c>
      <c r="AA201">
        <f>IF(Calc!$AA$3,(Calc!$AA$89+Calc!$AA$13*Calc!$AA$88+30),NA())</f>
        <v/>
      </c>
      <c r="AB201">
        <f>IF(Calc!$AA$3,((0)*Calc!$AA$88),NA())</f>
        <v/>
      </c>
    </row>
    <row r="202">
      <c r="A202" t="inlineStr">
        <is>
          <t>dOH</t>
        </is>
      </c>
      <c r="B202">
        <f>IF(Calc!$B$3,(Calc!$B$89+Calc!$B$13*Calc!$B$88+30),NA())</f>
        <v/>
      </c>
      <c r="C202">
        <f>IF(Calc!$B$3,((Calc!$B$14)*Calc!$B$88),NA())</f>
        <v/>
      </c>
      <c r="F202" t="inlineStr">
        <is>
          <t>dOH</t>
        </is>
      </c>
      <c r="G202">
        <f>IF(Calc!$G$3,(Calc!$G$89+Calc!$G$13*Calc!$G$88+30),NA())</f>
        <v/>
      </c>
      <c r="H202">
        <f>IF(Calc!$G$3,((Calc!$G$14)*Calc!$G$88),NA())</f>
        <v/>
      </c>
      <c r="K202" t="inlineStr">
        <is>
          <t>dOH</t>
        </is>
      </c>
      <c r="L202">
        <f>IF(Calc!$L$3,(Calc!$L$89+Calc!$L$13*Calc!$L$88+30),NA())</f>
        <v/>
      </c>
      <c r="M202">
        <f>IF(Calc!$L$3,((Calc!$L$14)*Calc!$L$88),NA())</f>
        <v/>
      </c>
      <c r="P202" t="inlineStr">
        <is>
          <t>dOH</t>
        </is>
      </c>
      <c r="Q202">
        <f>IF(Calc!$Q$3,(Calc!$Q$89+Calc!$Q$13*Calc!$Q$88+30),NA())</f>
        <v/>
      </c>
      <c r="R202">
        <f>IF(Calc!$Q$3,((Calc!$Q$14)*Calc!$Q$88),NA())</f>
        <v/>
      </c>
      <c r="U202" t="inlineStr">
        <is>
          <t>dOH</t>
        </is>
      </c>
      <c r="V202">
        <f>IF(Calc!$V$3,(Calc!$V$89+Calc!$V$13*Calc!$V$88+30),NA())</f>
        <v/>
      </c>
      <c r="W202">
        <f>IF(Calc!$V$3,((Calc!$V$14)*Calc!$V$88),NA())</f>
        <v/>
      </c>
      <c r="Z202" t="inlineStr">
        <is>
          <t>dOH</t>
        </is>
      </c>
      <c r="AA202">
        <f>IF(Calc!$AA$3,(Calc!$AA$89+Calc!$AA$13*Calc!$AA$88+30),NA())</f>
        <v/>
      </c>
      <c r="AB202">
        <f>IF(Calc!$AA$3,((Calc!$AA$14)*Calc!$AA$88),NA())</f>
        <v/>
      </c>
    </row>
    <row r="204">
      <c r="A204" t="inlineStr">
        <is>
          <t>lOH</t>
        </is>
      </c>
      <c r="B204">
        <f>IF(Calc!$B$3,(Calc!$B$89+Calc!$B$13*Calc!$B$88+30),NA())</f>
        <v/>
      </c>
      <c r="C204">
        <f>IF(Calc!$B$3,((Calc!$B$14/2)*Calc!$B$88),NA())</f>
        <v/>
      </c>
      <c r="D204">
        <f>Calc!$B$82</f>
        <v/>
      </c>
      <c r="F204" t="inlineStr">
        <is>
          <t>lOH</t>
        </is>
      </c>
      <c r="G204">
        <f>IF(Calc!$G$3,(Calc!$G$89+Calc!$G$13*Calc!$G$88+30),NA())</f>
        <v/>
      </c>
      <c r="H204">
        <f>IF(Calc!$G$3,((Calc!$G$14/2)*Calc!$G$88),NA())</f>
        <v/>
      </c>
      <c r="I204">
        <f>Calc!$G$82</f>
        <v/>
      </c>
      <c r="K204" t="inlineStr">
        <is>
          <t>lOH</t>
        </is>
      </c>
      <c r="L204">
        <f>IF(Calc!$L$3,(Calc!$L$89+Calc!$L$13*Calc!$L$88+30),NA())</f>
        <v/>
      </c>
      <c r="M204">
        <f>IF(Calc!$L$3,((Calc!$L$14/2)*Calc!$L$88),NA())</f>
        <v/>
      </c>
      <c r="N204">
        <f>Calc!$L$82</f>
        <v/>
      </c>
      <c r="P204" t="inlineStr">
        <is>
          <t>lOH</t>
        </is>
      </c>
      <c r="Q204">
        <f>IF(Calc!$Q$3,(Calc!$Q$89+Calc!$Q$13*Calc!$Q$88+30),NA())</f>
        <v/>
      </c>
      <c r="R204">
        <f>IF(Calc!$Q$3,((Calc!$Q$14/2)*Calc!$Q$88),NA())</f>
        <v/>
      </c>
      <c r="S204">
        <f>Calc!$Q$82</f>
        <v/>
      </c>
      <c r="U204" t="inlineStr">
        <is>
          <t>lOH</t>
        </is>
      </c>
      <c r="V204">
        <f>IF(Calc!$V$3,(Calc!$V$89+Calc!$V$13*Calc!$V$88+30),NA())</f>
        <v/>
      </c>
      <c r="W204">
        <f>IF(Calc!$V$3,((Calc!$V$14/2)*Calc!$V$88),NA())</f>
        <v/>
      </c>
      <c r="X204">
        <f>Calc!$V$82</f>
        <v/>
      </c>
      <c r="Z204" t="inlineStr">
        <is>
          <t>lOH</t>
        </is>
      </c>
      <c r="AA204">
        <f>IF(Calc!$AA$3,(Calc!$AA$89+Calc!$AA$13*Calc!$AA$88+30),NA())</f>
        <v/>
      </c>
      <c r="AB204">
        <f>IF(Calc!$AA$3,((Calc!$AA$14/2)*Calc!$AA$88),NA())</f>
        <v/>
      </c>
      <c r="AC204">
        <f>Calc!$AA$82</f>
        <v/>
      </c>
    </row>
    <row r="206">
      <c r="A206" t="inlineStr">
        <is>
          <t>dH</t>
        </is>
      </c>
      <c r="B206">
        <f>IF(Calc!$B$3,(Calc!$B$89-30),NA())</f>
        <v/>
      </c>
      <c r="C206">
        <f>IF(Calc!$B$3,((0)*Calc!$B$88),NA())</f>
        <v/>
      </c>
      <c r="F206" t="inlineStr">
        <is>
          <t>dH</t>
        </is>
      </c>
      <c r="G206">
        <f>IF(Calc!$G$3,(Calc!$G$89-30),NA())</f>
        <v/>
      </c>
      <c r="H206">
        <f>IF(Calc!$G$3,((0)*Calc!$G$88),NA())</f>
        <v/>
      </c>
      <c r="K206" t="inlineStr">
        <is>
          <t>dH</t>
        </is>
      </c>
      <c r="L206">
        <f>IF(Calc!$L$3,(Calc!$L$89-30),NA())</f>
        <v/>
      </c>
      <c r="M206">
        <f>IF(Calc!$L$3,((0)*Calc!$L$88),NA())</f>
        <v/>
      </c>
      <c r="P206" t="inlineStr">
        <is>
          <t>dH</t>
        </is>
      </c>
      <c r="Q206">
        <f>IF(Calc!$Q$3,(Calc!$Q$89-30),NA())</f>
        <v/>
      </c>
      <c r="R206">
        <f>IF(Calc!$Q$3,((0)*Calc!$Q$88),NA())</f>
        <v/>
      </c>
      <c r="U206" t="inlineStr">
        <is>
          <t>dH</t>
        </is>
      </c>
      <c r="V206">
        <f>IF(Calc!$V$3,(Calc!$V$89-30),NA())</f>
        <v/>
      </c>
      <c r="W206">
        <f>IF(Calc!$V$3,((0)*Calc!$V$88),NA())</f>
        <v/>
      </c>
      <c r="Z206" t="inlineStr">
        <is>
          <t>dH</t>
        </is>
      </c>
      <c r="AA206">
        <f>IF(Calc!$AA$3,(Calc!$AA$89-30),NA())</f>
        <v/>
      </c>
      <c r="AB206">
        <f>IF(Calc!$AA$3,((0)*Calc!$AA$88),NA())</f>
        <v/>
      </c>
    </row>
    <row r="207">
      <c r="A207" t="inlineStr">
        <is>
          <t>dH</t>
        </is>
      </c>
      <c r="B207">
        <f>IF(Calc!$B$3,(Calc!$B$89-30),NA())</f>
        <v/>
      </c>
      <c r="C207">
        <f>IF(Calc!$B$3,((Calc!$B$2)*Calc!$B$88),NA())</f>
        <v/>
      </c>
      <c r="F207" t="inlineStr">
        <is>
          <t>dH</t>
        </is>
      </c>
      <c r="G207">
        <f>IF(Calc!$G$3,(Calc!$G$89-30),NA())</f>
        <v/>
      </c>
      <c r="H207">
        <f>IF(Calc!$G$3,((Calc!$G$2)*Calc!$G$88),NA())</f>
        <v/>
      </c>
      <c r="K207" t="inlineStr">
        <is>
          <t>dH</t>
        </is>
      </c>
      <c r="L207">
        <f>IF(Calc!$L$3,(Calc!$L$89-30),NA())</f>
        <v/>
      </c>
      <c r="M207">
        <f>IF(Calc!$L$3,((Calc!$L$2)*Calc!$L$88),NA())</f>
        <v/>
      </c>
      <c r="P207" t="inlineStr">
        <is>
          <t>dH</t>
        </is>
      </c>
      <c r="Q207">
        <f>IF(Calc!$Q$3,(Calc!$Q$89-30),NA())</f>
        <v/>
      </c>
      <c r="R207">
        <f>IF(Calc!$Q$3,((Calc!$Q$2)*Calc!$Q$88),NA())</f>
        <v/>
      </c>
      <c r="U207" t="inlineStr">
        <is>
          <t>dH</t>
        </is>
      </c>
      <c r="V207">
        <f>IF(Calc!$V$3,(Calc!$V$89-30),NA())</f>
        <v/>
      </c>
      <c r="W207">
        <f>IF(Calc!$V$3,((Calc!$V$2)*Calc!$V$88),NA())</f>
        <v/>
      </c>
      <c r="Z207" t="inlineStr">
        <is>
          <t>dH</t>
        </is>
      </c>
      <c r="AA207">
        <f>IF(Calc!$AA$3,(Calc!$AA$89-30),NA())</f>
        <v/>
      </c>
      <c r="AB207">
        <f>IF(Calc!$AA$3,((Calc!$AA$2)*Calc!$AA$88),NA())</f>
        <v/>
      </c>
    </row>
    <row r="209">
      <c r="A209" t="inlineStr">
        <is>
          <t>lH</t>
        </is>
      </c>
      <c r="B209">
        <f>IF(Calc!$B$3,(Calc!$B$89-30),NA())</f>
        <v/>
      </c>
      <c r="C209">
        <f>IF(Calc!$B$3,((Calc!$B$2/2)*Calc!$B$88),NA())</f>
        <v/>
      </c>
      <c r="D209">
        <f>Calc!$B$80</f>
        <v/>
      </c>
      <c r="F209" t="inlineStr">
        <is>
          <t>lH</t>
        </is>
      </c>
      <c r="G209">
        <f>IF(Calc!$G$3,(Calc!$G$89-30),NA())</f>
        <v/>
      </c>
      <c r="H209">
        <f>IF(Calc!$G$3,((Calc!$G$2/2)*Calc!$G$88),NA())</f>
        <v/>
      </c>
      <c r="I209">
        <f>Calc!$G$80</f>
        <v/>
      </c>
      <c r="K209" t="inlineStr">
        <is>
          <t>lH</t>
        </is>
      </c>
      <c r="L209">
        <f>IF(Calc!$L$3,(Calc!$L$89-30),NA())</f>
        <v/>
      </c>
      <c r="M209">
        <f>IF(Calc!$L$3,((Calc!$L$2/2)*Calc!$L$88),NA())</f>
        <v/>
      </c>
      <c r="N209">
        <f>Calc!$L$80</f>
        <v/>
      </c>
      <c r="P209" t="inlineStr">
        <is>
          <t>lH</t>
        </is>
      </c>
      <c r="Q209">
        <f>IF(Calc!$Q$3,(Calc!$Q$89-30),NA())</f>
        <v/>
      </c>
      <c r="R209">
        <f>IF(Calc!$Q$3,((Calc!$Q$2/2)*Calc!$Q$88),NA())</f>
        <v/>
      </c>
      <c r="S209">
        <f>Calc!$Q$80</f>
        <v/>
      </c>
      <c r="U209" t="inlineStr">
        <is>
          <t>lH</t>
        </is>
      </c>
      <c r="V209">
        <f>IF(Calc!$V$3,(Calc!$V$89-30),NA())</f>
        <v/>
      </c>
      <c r="W209">
        <f>IF(Calc!$V$3,((Calc!$V$2/2)*Calc!$V$88),NA())</f>
        <v/>
      </c>
      <c r="X209">
        <f>Calc!$V$80</f>
        <v/>
      </c>
      <c r="Z209" t="inlineStr">
        <is>
          <t>lH</t>
        </is>
      </c>
      <c r="AA209">
        <f>IF(Calc!$AA$3,(Calc!$AA$89-30),NA())</f>
        <v/>
      </c>
      <c r="AB209">
        <f>IF(Calc!$AA$3,((Calc!$AA$2/2)*Calc!$AA$88),NA())</f>
        <v/>
      </c>
      <c r="AC209">
        <f>Calc!$AA$80</f>
        <v/>
      </c>
    </row>
    <row r="211">
      <c r="A211" t="inlineStr">
        <is>
          <t>leaf</t>
        </is>
      </c>
      <c r="B211">
        <f>IF(Calc!$B$3,(Calc!$B$91+(0)*Calc!$B$90),NA())</f>
        <v/>
      </c>
      <c r="C211">
        <f>IF(Calc!$B$3,((Calc!$B$23)*Calc!$B$90),NA())</f>
        <v/>
      </c>
      <c r="F211" t="inlineStr">
        <is>
          <t>leaf</t>
        </is>
      </c>
      <c r="G211">
        <f>IF(Calc!$G$3,(Calc!$G$91+(0)*Calc!$G$90),NA())</f>
        <v/>
      </c>
      <c r="H211">
        <f>IF(Calc!$G$3,((Calc!$G$23)*Calc!$G$90),NA())</f>
        <v/>
      </c>
      <c r="K211" t="inlineStr">
        <is>
          <t>leaf</t>
        </is>
      </c>
      <c r="L211">
        <f>IF(Calc!$L$3,(Calc!$L$91+(0)*Calc!$L$90),NA())</f>
        <v/>
      </c>
      <c r="M211">
        <f>IF(Calc!$L$3,((Calc!$L$23)*Calc!$L$90),NA())</f>
        <v/>
      </c>
      <c r="P211" t="inlineStr">
        <is>
          <t>leaf</t>
        </is>
      </c>
      <c r="Q211">
        <f>IF(Calc!$Q$3,(Calc!$Q$91+(0)*Calc!$Q$90),NA())</f>
        <v/>
      </c>
      <c r="R211">
        <f>IF(Calc!$Q$3,((Calc!$Q$23)*Calc!$Q$90),NA())</f>
        <v/>
      </c>
      <c r="U211" t="inlineStr">
        <is>
          <t>leaf</t>
        </is>
      </c>
      <c r="V211">
        <f>IF(Calc!$V$3,(Calc!$V$91+(0)*Calc!$V$90),NA())</f>
        <v/>
      </c>
      <c r="W211">
        <f>IF(Calc!$V$3,((Calc!$V$23)*Calc!$V$90),NA())</f>
        <v/>
      </c>
      <c r="Z211" t="inlineStr">
        <is>
          <t>leaf</t>
        </is>
      </c>
      <c r="AA211">
        <f>IF(Calc!$AA$3,(Calc!$AA$91+(0)*Calc!$AA$90),NA())</f>
        <v/>
      </c>
      <c r="AB211">
        <f>IF(Calc!$AA$3,((Calc!$AA$23)*Calc!$AA$90),NA())</f>
        <v/>
      </c>
    </row>
    <row r="212">
      <c r="A212" t="inlineStr">
        <is>
          <t>leaf</t>
        </is>
      </c>
      <c r="B212">
        <f>IF(Calc!$B$3,(Calc!$B$91+(0)*Calc!$B$90),NA())</f>
        <v/>
      </c>
      <c r="C212">
        <f>IF(Calc!$B$3,(((Calc!$B$23+Calc!$B$25))*Calc!$B$90),NA())</f>
        <v/>
      </c>
      <c r="F212" t="inlineStr">
        <is>
          <t>leaf</t>
        </is>
      </c>
      <c r="G212">
        <f>IF(Calc!$G$3,(Calc!$G$91+(0)*Calc!$G$90),NA())</f>
        <v/>
      </c>
      <c r="H212">
        <f>IF(Calc!$G$3,(((Calc!$G$23+Calc!$G$25))*Calc!$G$90),NA())</f>
        <v/>
      </c>
      <c r="K212" t="inlineStr">
        <is>
          <t>leaf</t>
        </is>
      </c>
      <c r="L212">
        <f>IF(Calc!$L$3,(Calc!$L$91+(0)*Calc!$L$90),NA())</f>
        <v/>
      </c>
      <c r="M212">
        <f>IF(Calc!$L$3,(((Calc!$L$23+Calc!$L$25))*Calc!$L$90),NA())</f>
        <v/>
      </c>
      <c r="P212" t="inlineStr">
        <is>
          <t>leaf</t>
        </is>
      </c>
      <c r="Q212">
        <f>IF(Calc!$Q$3,(Calc!$Q$91+(0)*Calc!$Q$90),NA())</f>
        <v/>
      </c>
      <c r="R212">
        <f>IF(Calc!$Q$3,(((Calc!$Q$23+Calc!$Q$25))*Calc!$Q$90),NA())</f>
        <v/>
      </c>
      <c r="U212" t="inlineStr">
        <is>
          <t>leaf</t>
        </is>
      </c>
      <c r="V212">
        <f>IF(Calc!$V$3,(Calc!$V$91+(0)*Calc!$V$90),NA())</f>
        <v/>
      </c>
      <c r="W212">
        <f>IF(Calc!$V$3,(((Calc!$V$23+Calc!$V$25))*Calc!$V$90),NA())</f>
        <v/>
      </c>
      <c r="Z212" t="inlineStr">
        <is>
          <t>leaf</t>
        </is>
      </c>
      <c r="AA212">
        <f>IF(Calc!$AA$3,(Calc!$AA$91+(0)*Calc!$AA$90),NA())</f>
        <v/>
      </c>
      <c r="AB212">
        <f>IF(Calc!$AA$3,(((Calc!$AA$23+Calc!$AA$25))*Calc!$AA$90),NA())</f>
        <v/>
      </c>
    </row>
    <row r="213">
      <c r="A213" t="inlineStr">
        <is>
          <t>leaf</t>
        </is>
      </c>
      <c r="B213">
        <f>IF(Calc!$B$3,(Calc!$B$91+(Calc!$B$24)*Calc!$B$90),NA())</f>
        <v/>
      </c>
      <c r="C213">
        <f>IF(Calc!$B$3,(((Calc!$B$23+Calc!$B$25))*Calc!$B$90),NA())</f>
        <v/>
      </c>
      <c r="F213" t="inlineStr">
        <is>
          <t>leaf</t>
        </is>
      </c>
      <c r="G213">
        <f>IF(Calc!$G$3,(Calc!$G$91+(Calc!$G$24)*Calc!$G$90),NA())</f>
        <v/>
      </c>
      <c r="H213">
        <f>IF(Calc!$G$3,(((Calc!$G$23+Calc!$G$25))*Calc!$G$90),NA())</f>
        <v/>
      </c>
      <c r="K213" t="inlineStr">
        <is>
          <t>leaf</t>
        </is>
      </c>
      <c r="L213">
        <f>IF(Calc!$L$3,(Calc!$L$91+(Calc!$L$24)*Calc!$L$90),NA())</f>
        <v/>
      </c>
      <c r="M213">
        <f>IF(Calc!$L$3,(((Calc!$L$23+Calc!$L$25))*Calc!$L$90),NA())</f>
        <v/>
      </c>
      <c r="P213" t="inlineStr">
        <is>
          <t>leaf</t>
        </is>
      </c>
      <c r="Q213">
        <f>IF(Calc!$Q$3,(Calc!$Q$91+(Calc!$Q$24)*Calc!$Q$90),NA())</f>
        <v/>
      </c>
      <c r="R213">
        <f>IF(Calc!$Q$3,(((Calc!$Q$23+Calc!$Q$25))*Calc!$Q$90),NA())</f>
        <v/>
      </c>
      <c r="U213" t="inlineStr">
        <is>
          <t>leaf</t>
        </is>
      </c>
      <c r="V213">
        <f>IF(Calc!$V$3,(Calc!$V$91+(Calc!$V$24)*Calc!$V$90),NA())</f>
        <v/>
      </c>
      <c r="W213">
        <f>IF(Calc!$V$3,(((Calc!$V$23+Calc!$V$25))*Calc!$V$90),NA())</f>
        <v/>
      </c>
      <c r="Z213" t="inlineStr">
        <is>
          <t>leaf</t>
        </is>
      </c>
      <c r="AA213">
        <f>IF(Calc!$AA$3,(Calc!$AA$91+(Calc!$AA$24)*Calc!$AA$90),NA())</f>
        <v/>
      </c>
      <c r="AB213">
        <f>IF(Calc!$AA$3,(((Calc!$AA$23+Calc!$AA$25))*Calc!$AA$90),NA())</f>
        <v/>
      </c>
    </row>
    <row r="214">
      <c r="A214" t="inlineStr">
        <is>
          <t>leaf</t>
        </is>
      </c>
      <c r="B214">
        <f>IF(Calc!$B$3,(Calc!$B$91+(Calc!$B$24)*Calc!$B$90),NA())</f>
        <v/>
      </c>
      <c r="C214">
        <f>IF(Calc!$B$3,((Calc!$B$23)*Calc!$B$90),NA())</f>
        <v/>
      </c>
      <c r="F214" t="inlineStr">
        <is>
          <t>leaf</t>
        </is>
      </c>
      <c r="G214">
        <f>IF(Calc!$G$3,(Calc!$G$91+(Calc!$G$24)*Calc!$G$90),NA())</f>
        <v/>
      </c>
      <c r="H214">
        <f>IF(Calc!$G$3,((Calc!$G$23)*Calc!$G$90),NA())</f>
        <v/>
      </c>
      <c r="K214" t="inlineStr">
        <is>
          <t>leaf</t>
        </is>
      </c>
      <c r="L214">
        <f>IF(Calc!$L$3,(Calc!$L$91+(Calc!$L$24)*Calc!$L$90),NA())</f>
        <v/>
      </c>
      <c r="M214">
        <f>IF(Calc!$L$3,((Calc!$L$23)*Calc!$L$90),NA())</f>
        <v/>
      </c>
      <c r="P214" t="inlineStr">
        <is>
          <t>leaf</t>
        </is>
      </c>
      <c r="Q214">
        <f>IF(Calc!$Q$3,(Calc!$Q$91+(Calc!$Q$24)*Calc!$Q$90),NA())</f>
        <v/>
      </c>
      <c r="R214">
        <f>IF(Calc!$Q$3,((Calc!$Q$23)*Calc!$Q$90),NA())</f>
        <v/>
      </c>
      <c r="U214" t="inlineStr">
        <is>
          <t>leaf</t>
        </is>
      </c>
      <c r="V214">
        <f>IF(Calc!$V$3,(Calc!$V$91+(Calc!$V$24)*Calc!$V$90),NA())</f>
        <v/>
      </c>
      <c r="W214">
        <f>IF(Calc!$V$3,((Calc!$V$23)*Calc!$V$90),NA())</f>
        <v/>
      </c>
      <c r="Z214" t="inlineStr">
        <is>
          <t>leaf</t>
        </is>
      </c>
      <c r="AA214">
        <f>IF(Calc!$AA$3,(Calc!$AA$91+(Calc!$AA$24)*Calc!$AA$90),NA())</f>
        <v/>
      </c>
      <c r="AB214">
        <f>IF(Calc!$AA$3,((Calc!$AA$23)*Calc!$AA$90),NA())</f>
        <v/>
      </c>
    </row>
    <row r="215">
      <c r="A215" t="inlineStr">
        <is>
          <t>leaf</t>
        </is>
      </c>
      <c r="B215">
        <f>IF(Calc!$B$3,(Calc!$B$91+(0)*Calc!$B$90),NA())</f>
        <v/>
      </c>
      <c r="C215">
        <f>IF(Calc!$B$3,((Calc!$B$23)*Calc!$B$90),NA())</f>
        <v/>
      </c>
      <c r="F215" t="inlineStr">
        <is>
          <t>leaf</t>
        </is>
      </c>
      <c r="G215">
        <f>IF(Calc!$G$3,(Calc!$G$91+(0)*Calc!$G$90),NA())</f>
        <v/>
      </c>
      <c r="H215">
        <f>IF(Calc!$G$3,((Calc!$G$23)*Calc!$G$90),NA())</f>
        <v/>
      </c>
      <c r="K215" t="inlineStr">
        <is>
          <t>leaf</t>
        </is>
      </c>
      <c r="L215">
        <f>IF(Calc!$L$3,(Calc!$L$91+(0)*Calc!$L$90),NA())</f>
        <v/>
      </c>
      <c r="M215">
        <f>IF(Calc!$L$3,((Calc!$L$23)*Calc!$L$90),NA())</f>
        <v/>
      </c>
      <c r="P215" t="inlineStr">
        <is>
          <t>leaf</t>
        </is>
      </c>
      <c r="Q215">
        <f>IF(Calc!$Q$3,(Calc!$Q$91+(0)*Calc!$Q$90),NA())</f>
        <v/>
      </c>
      <c r="R215">
        <f>IF(Calc!$Q$3,((Calc!$Q$23)*Calc!$Q$90),NA())</f>
        <v/>
      </c>
      <c r="U215" t="inlineStr">
        <is>
          <t>leaf</t>
        </is>
      </c>
      <c r="V215">
        <f>IF(Calc!$V$3,(Calc!$V$91+(0)*Calc!$V$90),NA())</f>
        <v/>
      </c>
      <c r="W215">
        <f>IF(Calc!$V$3,((Calc!$V$23)*Calc!$V$90),NA())</f>
        <v/>
      </c>
      <c r="Z215" t="inlineStr">
        <is>
          <t>leaf</t>
        </is>
      </c>
      <c r="AA215">
        <f>IF(Calc!$AA$3,(Calc!$AA$91+(0)*Calc!$AA$90),NA())</f>
        <v/>
      </c>
      <c r="AB215">
        <f>IF(Calc!$AA$3,((Calc!$AA$23)*Calc!$AA$90),NA())</f>
        <v/>
      </c>
    </row>
    <row r="217">
      <c r="A217" t="inlineStr">
        <is>
          <t>leaf2</t>
        </is>
      </c>
      <c r="B217">
        <f>IF(Calc!$B$3*Calc!$B$4,(Calc!$B$91+(Calc!$B$24+1)*Calc!$B$90),NA())</f>
        <v/>
      </c>
      <c r="C217">
        <f>IF(Calc!$B$3*Calc!$B$4,((Calc!$B$23)*Calc!$B$90),NA())</f>
        <v/>
      </c>
      <c r="F217" t="inlineStr">
        <is>
          <t>leaf2</t>
        </is>
      </c>
      <c r="G217">
        <f>IF(Calc!$G$3*Calc!$G$4,(Calc!$G$91+(Calc!$G$24+1)*Calc!$G$90),NA())</f>
        <v/>
      </c>
      <c r="H217">
        <f>IF(Calc!$G$3*Calc!$G$4,((Calc!$G$23)*Calc!$G$90),NA())</f>
        <v/>
      </c>
      <c r="K217" t="inlineStr">
        <is>
          <t>leaf2</t>
        </is>
      </c>
      <c r="L217">
        <f>IF(Calc!$L$3*Calc!$L$4,(Calc!$L$91+(Calc!$L$24+1)*Calc!$L$90),NA())</f>
        <v/>
      </c>
      <c r="M217">
        <f>IF(Calc!$L$3*Calc!$L$4,((Calc!$L$23)*Calc!$L$90),NA())</f>
        <v/>
      </c>
      <c r="P217" t="inlineStr">
        <is>
          <t>leaf2</t>
        </is>
      </c>
      <c r="Q217">
        <f>IF(Calc!$Q$3*Calc!$Q$4,(Calc!$Q$91+(Calc!$Q$24+1)*Calc!$Q$90),NA())</f>
        <v/>
      </c>
      <c r="R217">
        <f>IF(Calc!$Q$3*Calc!$Q$4,((Calc!$Q$23)*Calc!$Q$90),NA())</f>
        <v/>
      </c>
      <c r="U217" t="inlineStr">
        <is>
          <t>leaf2</t>
        </is>
      </c>
      <c r="V217">
        <f>IF(Calc!$V$3*Calc!$V$4,(Calc!$V$91+(Calc!$V$24+1)*Calc!$V$90),NA())</f>
        <v/>
      </c>
      <c r="W217">
        <f>IF(Calc!$V$3*Calc!$V$4,((Calc!$V$23)*Calc!$V$90),NA())</f>
        <v/>
      </c>
      <c r="Z217" t="inlineStr">
        <is>
          <t>leaf2</t>
        </is>
      </c>
      <c r="AA217">
        <f>IF(Calc!$AA$3*Calc!$AA$4,(Calc!$AA$91+(Calc!$AA$24+1)*Calc!$AA$90),NA())</f>
        <v/>
      </c>
      <c r="AB217">
        <f>IF(Calc!$AA$3*Calc!$AA$4,((Calc!$AA$23)*Calc!$AA$90),NA())</f>
        <v/>
      </c>
    </row>
    <row r="218">
      <c r="A218" t="inlineStr">
        <is>
          <t>leaf2</t>
        </is>
      </c>
      <c r="B218">
        <f>IF(Calc!$B$3*Calc!$B$4,(Calc!$B$91+(Calc!$B$24+1)*Calc!$B$90),NA())</f>
        <v/>
      </c>
      <c r="C218">
        <f>IF(Calc!$B$3*Calc!$B$4,(((Calc!$B$23+Calc!$B$25))*Calc!$B$90),NA())</f>
        <v/>
      </c>
      <c r="F218" t="inlineStr">
        <is>
          <t>leaf2</t>
        </is>
      </c>
      <c r="G218">
        <f>IF(Calc!$G$3*Calc!$G$4,(Calc!$G$91+(Calc!$G$24+1)*Calc!$G$90),NA())</f>
        <v/>
      </c>
      <c r="H218">
        <f>IF(Calc!$G$3*Calc!$G$4,(((Calc!$G$23+Calc!$G$25))*Calc!$G$90),NA())</f>
        <v/>
      </c>
      <c r="K218" t="inlineStr">
        <is>
          <t>leaf2</t>
        </is>
      </c>
      <c r="L218">
        <f>IF(Calc!$L$3*Calc!$L$4,(Calc!$L$91+(Calc!$L$24+1)*Calc!$L$90),NA())</f>
        <v/>
      </c>
      <c r="M218">
        <f>IF(Calc!$L$3*Calc!$L$4,(((Calc!$L$23+Calc!$L$25))*Calc!$L$90),NA())</f>
        <v/>
      </c>
      <c r="P218" t="inlineStr">
        <is>
          <t>leaf2</t>
        </is>
      </c>
      <c r="Q218">
        <f>IF(Calc!$Q$3*Calc!$Q$4,(Calc!$Q$91+(Calc!$Q$24+1)*Calc!$Q$90),NA())</f>
        <v/>
      </c>
      <c r="R218">
        <f>IF(Calc!$Q$3*Calc!$Q$4,(((Calc!$Q$23+Calc!$Q$25))*Calc!$Q$90),NA())</f>
        <v/>
      </c>
      <c r="U218" t="inlineStr">
        <is>
          <t>leaf2</t>
        </is>
      </c>
      <c r="V218">
        <f>IF(Calc!$V$3*Calc!$V$4,(Calc!$V$91+(Calc!$V$24+1)*Calc!$V$90),NA())</f>
        <v/>
      </c>
      <c r="W218">
        <f>IF(Calc!$V$3*Calc!$V$4,(((Calc!$V$23+Calc!$V$25))*Calc!$V$90),NA())</f>
        <v/>
      </c>
      <c r="Z218" t="inlineStr">
        <is>
          <t>leaf2</t>
        </is>
      </c>
      <c r="AA218">
        <f>IF(Calc!$AA$3*Calc!$AA$4,(Calc!$AA$91+(Calc!$AA$24+1)*Calc!$AA$90),NA())</f>
        <v/>
      </c>
      <c r="AB218">
        <f>IF(Calc!$AA$3*Calc!$AA$4,(((Calc!$AA$23+Calc!$AA$25))*Calc!$AA$90),NA())</f>
        <v/>
      </c>
    </row>
    <row r="219">
      <c r="A219" t="inlineStr">
        <is>
          <t>leaf2</t>
        </is>
      </c>
      <c r="B219">
        <f>IF(Calc!$B$3*Calc!$B$4,(Calc!$B$91+(2*Calc!$B$24+1)*Calc!$B$90),NA())</f>
        <v/>
      </c>
      <c r="C219">
        <f>IF(Calc!$B$3*Calc!$B$4,(((Calc!$B$23+Calc!$B$25))*Calc!$B$90),NA())</f>
        <v/>
      </c>
      <c r="F219" t="inlineStr">
        <is>
          <t>leaf2</t>
        </is>
      </c>
      <c r="G219">
        <f>IF(Calc!$G$3*Calc!$G$4,(Calc!$G$91+(2*Calc!$G$24+1)*Calc!$G$90),NA())</f>
        <v/>
      </c>
      <c r="H219">
        <f>IF(Calc!$G$3*Calc!$G$4,(((Calc!$G$23+Calc!$G$25))*Calc!$G$90),NA())</f>
        <v/>
      </c>
      <c r="K219" t="inlineStr">
        <is>
          <t>leaf2</t>
        </is>
      </c>
      <c r="L219">
        <f>IF(Calc!$L$3*Calc!$L$4,(Calc!$L$91+(2*Calc!$L$24+1)*Calc!$L$90),NA())</f>
        <v/>
      </c>
      <c r="M219">
        <f>IF(Calc!$L$3*Calc!$L$4,(((Calc!$L$23+Calc!$L$25))*Calc!$L$90),NA())</f>
        <v/>
      </c>
      <c r="P219" t="inlineStr">
        <is>
          <t>leaf2</t>
        </is>
      </c>
      <c r="Q219">
        <f>IF(Calc!$Q$3*Calc!$Q$4,(Calc!$Q$91+(2*Calc!$Q$24+1)*Calc!$Q$90),NA())</f>
        <v/>
      </c>
      <c r="R219">
        <f>IF(Calc!$Q$3*Calc!$Q$4,(((Calc!$Q$23+Calc!$Q$25))*Calc!$Q$90),NA())</f>
        <v/>
      </c>
      <c r="U219" t="inlineStr">
        <is>
          <t>leaf2</t>
        </is>
      </c>
      <c r="V219">
        <f>IF(Calc!$V$3*Calc!$V$4,(Calc!$V$91+(2*Calc!$V$24+1)*Calc!$V$90),NA())</f>
        <v/>
      </c>
      <c r="W219">
        <f>IF(Calc!$V$3*Calc!$V$4,(((Calc!$V$23+Calc!$V$25))*Calc!$V$90),NA())</f>
        <v/>
      </c>
      <c r="Z219" t="inlineStr">
        <is>
          <t>leaf2</t>
        </is>
      </c>
      <c r="AA219">
        <f>IF(Calc!$AA$3*Calc!$AA$4,(Calc!$AA$91+(2*Calc!$AA$24+1)*Calc!$AA$90),NA())</f>
        <v/>
      </c>
      <c r="AB219">
        <f>IF(Calc!$AA$3*Calc!$AA$4,(((Calc!$AA$23+Calc!$AA$25))*Calc!$AA$90),NA())</f>
        <v/>
      </c>
    </row>
    <row r="220">
      <c r="A220" t="inlineStr">
        <is>
          <t>leaf2</t>
        </is>
      </c>
      <c r="B220">
        <f>IF(Calc!$B$3*Calc!$B$4,(Calc!$B$91+(2*Calc!$B$24+1)*Calc!$B$90),NA())</f>
        <v/>
      </c>
      <c r="C220">
        <f>IF(Calc!$B$3*Calc!$B$4,((Calc!$B$23)*Calc!$B$90),NA())</f>
        <v/>
      </c>
      <c r="F220" t="inlineStr">
        <is>
          <t>leaf2</t>
        </is>
      </c>
      <c r="G220">
        <f>IF(Calc!$G$3*Calc!$G$4,(Calc!$G$91+(2*Calc!$G$24+1)*Calc!$G$90),NA())</f>
        <v/>
      </c>
      <c r="H220">
        <f>IF(Calc!$G$3*Calc!$G$4,((Calc!$G$23)*Calc!$G$90),NA())</f>
        <v/>
      </c>
      <c r="K220" t="inlineStr">
        <is>
          <t>leaf2</t>
        </is>
      </c>
      <c r="L220">
        <f>IF(Calc!$L$3*Calc!$L$4,(Calc!$L$91+(2*Calc!$L$24+1)*Calc!$L$90),NA())</f>
        <v/>
      </c>
      <c r="M220">
        <f>IF(Calc!$L$3*Calc!$L$4,((Calc!$L$23)*Calc!$L$90),NA())</f>
        <v/>
      </c>
      <c r="P220" t="inlineStr">
        <is>
          <t>leaf2</t>
        </is>
      </c>
      <c r="Q220">
        <f>IF(Calc!$Q$3*Calc!$Q$4,(Calc!$Q$91+(2*Calc!$Q$24+1)*Calc!$Q$90),NA())</f>
        <v/>
      </c>
      <c r="R220">
        <f>IF(Calc!$Q$3*Calc!$Q$4,((Calc!$Q$23)*Calc!$Q$90),NA())</f>
        <v/>
      </c>
      <c r="U220" t="inlineStr">
        <is>
          <t>leaf2</t>
        </is>
      </c>
      <c r="V220">
        <f>IF(Calc!$V$3*Calc!$V$4,(Calc!$V$91+(2*Calc!$V$24+1)*Calc!$V$90),NA())</f>
        <v/>
      </c>
      <c r="W220">
        <f>IF(Calc!$V$3*Calc!$V$4,((Calc!$V$23)*Calc!$V$90),NA())</f>
        <v/>
      </c>
      <c r="Z220" t="inlineStr">
        <is>
          <t>leaf2</t>
        </is>
      </c>
      <c r="AA220">
        <f>IF(Calc!$AA$3*Calc!$AA$4,(Calc!$AA$91+(2*Calc!$AA$24+1)*Calc!$AA$90),NA())</f>
        <v/>
      </c>
      <c r="AB220">
        <f>IF(Calc!$AA$3*Calc!$AA$4,((Calc!$AA$23)*Calc!$AA$90),NA())</f>
        <v/>
      </c>
    </row>
    <row r="221">
      <c r="A221" t="inlineStr">
        <is>
          <t>leaf2</t>
        </is>
      </c>
      <c r="B221">
        <f>IF(Calc!$B$3*Calc!$B$4,(Calc!$B$91+(Calc!$B$24+1)*Calc!$B$90),NA())</f>
        <v/>
      </c>
      <c r="C221">
        <f>IF(Calc!$B$3*Calc!$B$4,((Calc!$B$23)*Calc!$B$90),NA())</f>
        <v/>
      </c>
      <c r="F221" t="inlineStr">
        <is>
          <t>leaf2</t>
        </is>
      </c>
      <c r="G221">
        <f>IF(Calc!$G$3*Calc!$G$4,(Calc!$G$91+(Calc!$G$24+1)*Calc!$G$90),NA())</f>
        <v/>
      </c>
      <c r="H221">
        <f>IF(Calc!$G$3*Calc!$G$4,((Calc!$G$23)*Calc!$G$90),NA())</f>
        <v/>
      </c>
      <c r="K221" t="inlineStr">
        <is>
          <t>leaf2</t>
        </is>
      </c>
      <c r="L221">
        <f>IF(Calc!$L$3*Calc!$L$4,(Calc!$L$91+(Calc!$L$24+1)*Calc!$L$90),NA())</f>
        <v/>
      </c>
      <c r="M221">
        <f>IF(Calc!$L$3*Calc!$L$4,((Calc!$L$23)*Calc!$L$90),NA())</f>
        <v/>
      </c>
      <c r="P221" t="inlineStr">
        <is>
          <t>leaf2</t>
        </is>
      </c>
      <c r="Q221">
        <f>IF(Calc!$Q$3*Calc!$Q$4,(Calc!$Q$91+(Calc!$Q$24+1)*Calc!$Q$90),NA())</f>
        <v/>
      </c>
      <c r="R221">
        <f>IF(Calc!$Q$3*Calc!$Q$4,((Calc!$Q$23)*Calc!$Q$90),NA())</f>
        <v/>
      </c>
      <c r="U221" t="inlineStr">
        <is>
          <t>leaf2</t>
        </is>
      </c>
      <c r="V221">
        <f>IF(Calc!$V$3*Calc!$V$4,(Calc!$V$91+(Calc!$V$24+1)*Calc!$V$90),NA())</f>
        <v/>
      </c>
      <c r="W221">
        <f>IF(Calc!$V$3*Calc!$V$4,((Calc!$V$23)*Calc!$V$90),NA())</f>
        <v/>
      </c>
      <c r="Z221" t="inlineStr">
        <is>
          <t>leaf2</t>
        </is>
      </c>
      <c r="AA221">
        <f>IF(Calc!$AA$3*Calc!$AA$4,(Calc!$AA$91+(Calc!$AA$24+1)*Calc!$AA$90),NA())</f>
        <v/>
      </c>
      <c r="AB221">
        <f>IF(Calc!$AA$3*Calc!$AA$4,((Calc!$AA$23)*Calc!$AA$90),NA())</f>
        <v/>
      </c>
    </row>
    <row r="223">
      <c r="A223" t="inlineStr">
        <is>
          <t>floor</t>
        </is>
      </c>
      <c r="B223">
        <f>IF(Calc!$B$3,(Calc!$B$91+(-8)*Calc!$B$90),NA())</f>
        <v/>
      </c>
      <c r="C223">
        <f>IF(Calc!$B$3,((0)*Calc!$B$90),NA())</f>
        <v/>
      </c>
      <c r="F223" t="inlineStr">
        <is>
          <t>floor</t>
        </is>
      </c>
      <c r="G223">
        <f>IF(Calc!$G$3,(Calc!$G$91+(-8)*Calc!$G$90),NA())</f>
        <v/>
      </c>
      <c r="H223">
        <f>IF(Calc!$G$3,((0)*Calc!$G$90),NA())</f>
        <v/>
      </c>
      <c r="K223" t="inlineStr">
        <is>
          <t>floor</t>
        </is>
      </c>
      <c r="L223">
        <f>IF(Calc!$L$3,(Calc!$L$91+(-8)*Calc!$L$90),NA())</f>
        <v/>
      </c>
      <c r="M223">
        <f>IF(Calc!$L$3,((0)*Calc!$L$90),NA())</f>
        <v/>
      </c>
      <c r="P223" t="inlineStr">
        <is>
          <t>floor</t>
        </is>
      </c>
      <c r="Q223">
        <f>IF(Calc!$Q$3,(Calc!$Q$91+(-8)*Calc!$Q$90),NA())</f>
        <v/>
      </c>
      <c r="R223">
        <f>IF(Calc!$Q$3,((0)*Calc!$Q$90),NA())</f>
        <v/>
      </c>
      <c r="U223" t="inlineStr">
        <is>
          <t>floor</t>
        </is>
      </c>
      <c r="V223">
        <f>IF(Calc!$V$3,(Calc!$V$91+(-8)*Calc!$V$90),NA())</f>
        <v/>
      </c>
      <c r="W223">
        <f>IF(Calc!$V$3,((0)*Calc!$V$90),NA())</f>
        <v/>
      </c>
      <c r="Z223" t="inlineStr">
        <is>
          <t>floor</t>
        </is>
      </c>
      <c r="AA223">
        <f>IF(Calc!$AA$3,(Calc!$AA$91+(-8)*Calc!$AA$90),NA())</f>
        <v/>
      </c>
      <c r="AB223">
        <f>IF(Calc!$AA$3,((0)*Calc!$AA$90),NA())</f>
        <v/>
      </c>
    </row>
    <row r="224">
      <c r="A224" t="inlineStr">
        <is>
          <t>floor</t>
        </is>
      </c>
      <c r="B224">
        <f>IF(Calc!$B$3,(Calc!$B$91+(Calc!$B$24*Calc!$B$5+9)*Calc!$B$90),NA())</f>
        <v/>
      </c>
      <c r="C224">
        <f>IF(Calc!$B$3,((0)*Calc!$B$90),NA())</f>
        <v/>
      </c>
      <c r="F224" t="inlineStr">
        <is>
          <t>floor</t>
        </is>
      </c>
      <c r="G224">
        <f>IF(Calc!$G$3,(Calc!$G$91+(Calc!$G$24*Calc!$G$5+9)*Calc!$G$90),NA())</f>
        <v/>
      </c>
      <c r="H224">
        <f>IF(Calc!$G$3,((0)*Calc!$G$90),NA())</f>
        <v/>
      </c>
      <c r="K224" t="inlineStr">
        <is>
          <t>floor</t>
        </is>
      </c>
      <c r="L224">
        <f>IF(Calc!$L$3,(Calc!$L$91+(Calc!$L$24*Calc!$L$5+9)*Calc!$L$90),NA())</f>
        <v/>
      </c>
      <c r="M224">
        <f>IF(Calc!$L$3,((0)*Calc!$L$90),NA())</f>
        <v/>
      </c>
      <c r="P224" t="inlineStr">
        <is>
          <t>floor</t>
        </is>
      </c>
      <c r="Q224">
        <f>IF(Calc!$Q$3,(Calc!$Q$91+(Calc!$Q$24*Calc!$Q$5+9)*Calc!$Q$90),NA())</f>
        <v/>
      </c>
      <c r="R224">
        <f>IF(Calc!$Q$3,((0)*Calc!$Q$90),NA())</f>
        <v/>
      </c>
      <c r="U224" t="inlineStr">
        <is>
          <t>floor</t>
        </is>
      </c>
      <c r="V224">
        <f>IF(Calc!$V$3,(Calc!$V$91+(Calc!$V$24*Calc!$V$5+9)*Calc!$V$90),NA())</f>
        <v/>
      </c>
      <c r="W224">
        <f>IF(Calc!$V$3,((0)*Calc!$V$90),NA())</f>
        <v/>
      </c>
      <c r="Z224" t="inlineStr">
        <is>
          <t>floor</t>
        </is>
      </c>
      <c r="AA224">
        <f>IF(Calc!$AA$3,(Calc!$AA$91+(Calc!$AA$24*Calc!$AA$5+9)*Calc!$AA$90),NA())</f>
        <v/>
      </c>
      <c r="AB224">
        <f>IF(Calc!$AA$3,((0)*Calc!$AA$90),NA())</f>
        <v/>
      </c>
    </row>
    <row r="226">
      <c r="A226" t="inlineStr">
        <is>
          <t>lite</t>
        </is>
      </c>
      <c r="B226">
        <f>IF(Calc!$B$59,(Calc!$B$91+(Calc!$B$92)*Calc!$B$90),NA())</f>
        <v/>
      </c>
      <c r="C226">
        <f>IF(Calc!$B$59,(((Calc!$B$23+Calc!$B$25)-Calc!$B$58)*Calc!$B$90),NA())</f>
        <v/>
      </c>
      <c r="F226" t="inlineStr">
        <is>
          <t>lite</t>
        </is>
      </c>
      <c r="G226">
        <f>IF(Calc!$G$59,(Calc!$G$91+(Calc!$G$92)*Calc!$G$90),NA())</f>
        <v/>
      </c>
      <c r="H226">
        <f>IF(Calc!$G$59,(((Calc!$G$23+Calc!$G$25)-Calc!$G$58)*Calc!$G$90),NA())</f>
        <v/>
      </c>
      <c r="K226" t="inlineStr">
        <is>
          <t>lite</t>
        </is>
      </c>
      <c r="L226">
        <f>IF(Calc!$L$59,(Calc!$L$91+(Calc!$L$92)*Calc!$L$90),NA())</f>
        <v/>
      </c>
      <c r="M226">
        <f>IF(Calc!$L$59,(((Calc!$L$23+Calc!$L$25)-Calc!$L$58)*Calc!$L$90),NA())</f>
        <v/>
      </c>
      <c r="P226" t="inlineStr">
        <is>
          <t>lite</t>
        </is>
      </c>
      <c r="Q226">
        <f>IF(Calc!$Q$59,(Calc!$Q$91+(Calc!$Q$92)*Calc!$Q$90),NA())</f>
        <v/>
      </c>
      <c r="R226">
        <f>IF(Calc!$Q$59,(((Calc!$Q$23+Calc!$Q$25)-Calc!$Q$58)*Calc!$Q$90),NA())</f>
        <v/>
      </c>
      <c r="U226" t="inlineStr">
        <is>
          <t>lite</t>
        </is>
      </c>
      <c r="V226">
        <f>IF(Calc!$V$59,(Calc!$V$91+(Calc!$V$92)*Calc!$V$90),NA())</f>
        <v/>
      </c>
      <c r="W226">
        <f>IF(Calc!$V$59,(((Calc!$V$23+Calc!$V$25)-Calc!$V$58)*Calc!$V$90),NA())</f>
        <v/>
      </c>
      <c r="Z226" t="inlineStr">
        <is>
          <t>lite</t>
        </is>
      </c>
      <c r="AA226">
        <f>IF(Calc!$AA$59,(Calc!$AA$91+(Calc!$AA$92)*Calc!$AA$90),NA())</f>
        <v/>
      </c>
      <c r="AB226">
        <f>IF(Calc!$AA$59,(((Calc!$AA$23+Calc!$AA$25)-Calc!$AA$58)*Calc!$AA$90),NA())</f>
        <v/>
      </c>
    </row>
    <row r="227">
      <c r="A227" t="inlineStr">
        <is>
          <t>lite</t>
        </is>
      </c>
      <c r="B227">
        <f>IF(Calc!$B$59,(Calc!$B$91+(Calc!$B$92)*Calc!$B$90),NA())</f>
        <v/>
      </c>
      <c r="C227">
        <f>IF(Calc!$B$59,(((Calc!$B$23+Calc!$B$25)-Calc!$B$58-Calc!$B$57)*Calc!$B$90),NA())</f>
        <v/>
      </c>
      <c r="F227" t="inlineStr">
        <is>
          <t>lite</t>
        </is>
      </c>
      <c r="G227">
        <f>IF(Calc!$G$59,(Calc!$G$91+(Calc!$G$92)*Calc!$G$90),NA())</f>
        <v/>
      </c>
      <c r="H227">
        <f>IF(Calc!$G$59,(((Calc!$G$23+Calc!$G$25)-Calc!$G$58-Calc!$G$57)*Calc!$G$90),NA())</f>
        <v/>
      </c>
      <c r="K227" t="inlineStr">
        <is>
          <t>lite</t>
        </is>
      </c>
      <c r="L227">
        <f>IF(Calc!$L$59,(Calc!$L$91+(Calc!$L$92)*Calc!$L$90),NA())</f>
        <v/>
      </c>
      <c r="M227">
        <f>IF(Calc!$L$59,(((Calc!$L$23+Calc!$L$25)-Calc!$L$58-Calc!$L$57)*Calc!$L$90),NA())</f>
        <v/>
      </c>
      <c r="P227" t="inlineStr">
        <is>
          <t>lite</t>
        </is>
      </c>
      <c r="Q227">
        <f>IF(Calc!$Q$59,(Calc!$Q$91+(Calc!$Q$92)*Calc!$Q$90),NA())</f>
        <v/>
      </c>
      <c r="R227">
        <f>IF(Calc!$Q$59,(((Calc!$Q$23+Calc!$Q$25)-Calc!$Q$58-Calc!$Q$57)*Calc!$Q$90),NA())</f>
        <v/>
      </c>
      <c r="U227" t="inlineStr">
        <is>
          <t>lite</t>
        </is>
      </c>
      <c r="V227">
        <f>IF(Calc!$V$59,(Calc!$V$91+(Calc!$V$92)*Calc!$V$90),NA())</f>
        <v/>
      </c>
      <c r="W227">
        <f>IF(Calc!$V$59,(((Calc!$V$23+Calc!$V$25)-Calc!$V$58-Calc!$V$57)*Calc!$V$90),NA())</f>
        <v/>
      </c>
      <c r="Z227" t="inlineStr">
        <is>
          <t>lite</t>
        </is>
      </c>
      <c r="AA227">
        <f>IF(Calc!$AA$59,(Calc!$AA$91+(Calc!$AA$92)*Calc!$AA$90),NA())</f>
        <v/>
      </c>
      <c r="AB227">
        <f>IF(Calc!$AA$59,(((Calc!$AA$23+Calc!$AA$25)-Calc!$AA$58-Calc!$AA$57)*Calc!$AA$90),NA())</f>
        <v/>
      </c>
    </row>
    <row r="228">
      <c r="A228" t="inlineStr">
        <is>
          <t>lite</t>
        </is>
      </c>
      <c r="B228">
        <f>IF(Calc!$B$59,(Calc!$B$91+(Calc!$B$92+Calc!$B$56)*Calc!$B$90),NA())</f>
        <v/>
      </c>
      <c r="C228">
        <f>IF(Calc!$B$59,(((Calc!$B$23+Calc!$B$25)-Calc!$B$58-Calc!$B$57)*Calc!$B$90),NA())</f>
        <v/>
      </c>
      <c r="F228" t="inlineStr">
        <is>
          <t>lite</t>
        </is>
      </c>
      <c r="G228">
        <f>IF(Calc!$G$59,(Calc!$G$91+(Calc!$G$92+Calc!$G$56)*Calc!$G$90),NA())</f>
        <v/>
      </c>
      <c r="H228">
        <f>IF(Calc!$G$59,(((Calc!$G$23+Calc!$G$25)-Calc!$G$58-Calc!$G$57)*Calc!$G$90),NA())</f>
        <v/>
      </c>
      <c r="K228" t="inlineStr">
        <is>
          <t>lite</t>
        </is>
      </c>
      <c r="L228">
        <f>IF(Calc!$L$59,(Calc!$L$91+(Calc!$L$92+Calc!$L$56)*Calc!$L$90),NA())</f>
        <v/>
      </c>
      <c r="M228">
        <f>IF(Calc!$L$59,(((Calc!$L$23+Calc!$L$25)-Calc!$L$58-Calc!$L$57)*Calc!$L$90),NA())</f>
        <v/>
      </c>
      <c r="P228" t="inlineStr">
        <is>
          <t>lite</t>
        </is>
      </c>
      <c r="Q228">
        <f>IF(Calc!$Q$59,(Calc!$Q$91+(Calc!$Q$92+Calc!$Q$56)*Calc!$Q$90),NA())</f>
        <v/>
      </c>
      <c r="R228">
        <f>IF(Calc!$Q$59,(((Calc!$Q$23+Calc!$Q$25)-Calc!$Q$58-Calc!$Q$57)*Calc!$Q$90),NA())</f>
        <v/>
      </c>
      <c r="U228" t="inlineStr">
        <is>
          <t>lite</t>
        </is>
      </c>
      <c r="V228">
        <f>IF(Calc!$V$59,(Calc!$V$91+(Calc!$V$92+Calc!$V$56)*Calc!$V$90),NA())</f>
        <v/>
      </c>
      <c r="W228">
        <f>IF(Calc!$V$59,(((Calc!$V$23+Calc!$V$25)-Calc!$V$58-Calc!$V$57)*Calc!$V$90),NA())</f>
        <v/>
      </c>
      <c r="Z228" t="inlineStr">
        <is>
          <t>lite</t>
        </is>
      </c>
      <c r="AA228">
        <f>IF(Calc!$AA$59,(Calc!$AA$91+(Calc!$AA$92+Calc!$AA$56)*Calc!$AA$90),NA())</f>
        <v/>
      </c>
      <c r="AB228">
        <f>IF(Calc!$AA$59,(((Calc!$AA$23+Calc!$AA$25)-Calc!$AA$58-Calc!$AA$57)*Calc!$AA$90),NA())</f>
        <v/>
      </c>
    </row>
    <row r="229">
      <c r="A229" t="inlineStr">
        <is>
          <t>lite</t>
        </is>
      </c>
      <c r="B229">
        <f>IF(Calc!$B$59,(Calc!$B$91+(Calc!$B$92+Calc!$B$56)*Calc!$B$90),NA())</f>
        <v/>
      </c>
      <c r="C229">
        <f>IF(Calc!$B$59,(((Calc!$B$23+Calc!$B$25)-Calc!$B$58)*Calc!$B$90),NA())</f>
        <v/>
      </c>
      <c r="F229" t="inlineStr">
        <is>
          <t>lite</t>
        </is>
      </c>
      <c r="G229">
        <f>IF(Calc!$G$59,(Calc!$G$91+(Calc!$G$92+Calc!$G$56)*Calc!$G$90),NA())</f>
        <v/>
      </c>
      <c r="H229">
        <f>IF(Calc!$G$59,(((Calc!$G$23+Calc!$G$25)-Calc!$G$58)*Calc!$G$90),NA())</f>
        <v/>
      </c>
      <c r="K229" t="inlineStr">
        <is>
          <t>lite</t>
        </is>
      </c>
      <c r="L229">
        <f>IF(Calc!$L$59,(Calc!$L$91+(Calc!$L$92+Calc!$L$56)*Calc!$L$90),NA())</f>
        <v/>
      </c>
      <c r="M229">
        <f>IF(Calc!$L$59,(((Calc!$L$23+Calc!$L$25)-Calc!$L$58)*Calc!$L$90),NA())</f>
        <v/>
      </c>
      <c r="P229" t="inlineStr">
        <is>
          <t>lite</t>
        </is>
      </c>
      <c r="Q229">
        <f>IF(Calc!$Q$59,(Calc!$Q$91+(Calc!$Q$92+Calc!$Q$56)*Calc!$Q$90),NA())</f>
        <v/>
      </c>
      <c r="R229">
        <f>IF(Calc!$Q$59,(((Calc!$Q$23+Calc!$Q$25)-Calc!$Q$58)*Calc!$Q$90),NA())</f>
        <v/>
      </c>
      <c r="U229" t="inlineStr">
        <is>
          <t>lite</t>
        </is>
      </c>
      <c r="V229">
        <f>IF(Calc!$V$59,(Calc!$V$91+(Calc!$V$92+Calc!$V$56)*Calc!$V$90),NA())</f>
        <v/>
      </c>
      <c r="W229">
        <f>IF(Calc!$V$59,(((Calc!$V$23+Calc!$V$25)-Calc!$V$58)*Calc!$V$90),NA())</f>
        <v/>
      </c>
      <c r="Z229" t="inlineStr">
        <is>
          <t>lite</t>
        </is>
      </c>
      <c r="AA229">
        <f>IF(Calc!$AA$59,(Calc!$AA$91+(Calc!$AA$92+Calc!$AA$56)*Calc!$AA$90),NA())</f>
        <v/>
      </c>
      <c r="AB229">
        <f>IF(Calc!$AA$59,(((Calc!$AA$23+Calc!$AA$25)-Calc!$AA$58)*Calc!$AA$90),NA())</f>
        <v/>
      </c>
    </row>
    <row r="230">
      <c r="A230" t="inlineStr">
        <is>
          <t>lite</t>
        </is>
      </c>
      <c r="B230">
        <f>IF(Calc!$B$59,(Calc!$B$91+(Calc!$B$92)*Calc!$B$90),NA())</f>
        <v/>
      </c>
      <c r="C230">
        <f>IF(Calc!$B$59,(((Calc!$B$23+Calc!$B$25)-Calc!$B$58)*Calc!$B$90),NA())</f>
        <v/>
      </c>
      <c r="F230" t="inlineStr">
        <is>
          <t>lite</t>
        </is>
      </c>
      <c r="G230">
        <f>IF(Calc!$G$59,(Calc!$G$91+(Calc!$G$92)*Calc!$G$90),NA())</f>
        <v/>
      </c>
      <c r="H230">
        <f>IF(Calc!$G$59,(((Calc!$G$23+Calc!$G$25)-Calc!$G$58)*Calc!$G$90),NA())</f>
        <v/>
      </c>
      <c r="K230" t="inlineStr">
        <is>
          <t>lite</t>
        </is>
      </c>
      <c r="L230">
        <f>IF(Calc!$L$59,(Calc!$L$91+(Calc!$L$92)*Calc!$L$90),NA())</f>
        <v/>
      </c>
      <c r="M230">
        <f>IF(Calc!$L$59,(((Calc!$L$23+Calc!$L$25)-Calc!$L$58)*Calc!$L$90),NA())</f>
        <v/>
      </c>
      <c r="P230" t="inlineStr">
        <is>
          <t>lite</t>
        </is>
      </c>
      <c r="Q230">
        <f>IF(Calc!$Q$59,(Calc!$Q$91+(Calc!$Q$92)*Calc!$Q$90),NA())</f>
        <v/>
      </c>
      <c r="R230">
        <f>IF(Calc!$Q$59,(((Calc!$Q$23+Calc!$Q$25)-Calc!$Q$58)*Calc!$Q$90),NA())</f>
        <v/>
      </c>
      <c r="U230" t="inlineStr">
        <is>
          <t>lite</t>
        </is>
      </c>
      <c r="V230">
        <f>IF(Calc!$V$59,(Calc!$V$91+(Calc!$V$92)*Calc!$V$90),NA())</f>
        <v/>
      </c>
      <c r="W230">
        <f>IF(Calc!$V$59,(((Calc!$V$23+Calc!$V$25)-Calc!$V$58)*Calc!$V$90),NA())</f>
        <v/>
      </c>
      <c r="Z230" t="inlineStr">
        <is>
          <t>lite</t>
        </is>
      </c>
      <c r="AA230">
        <f>IF(Calc!$AA$59,(Calc!$AA$91+(Calc!$AA$92)*Calc!$AA$90),NA())</f>
        <v/>
      </c>
      <c r="AB230">
        <f>IF(Calc!$AA$59,(((Calc!$AA$23+Calc!$AA$25)-Calc!$AA$58)*Calc!$AA$90),NA())</f>
        <v/>
      </c>
    </row>
    <row r="232">
      <c r="A232" t="inlineStr">
        <is>
          <t>liteL</t>
        </is>
      </c>
      <c r="B232">
        <f>IF(Calc!$B$59,(Calc!$B$91+(Calc!$B$92+Calc!$B$56/2)*Calc!$B$90),NA())</f>
        <v/>
      </c>
      <c r="C232">
        <f>IF(Calc!$B$59,(((Calc!$B$23+Calc!$B$25)-Calc!$B$58-Calc!$B$57)*Calc!$B$90),NA())</f>
        <v/>
      </c>
      <c r="D232">
        <f>Calc!$B$86</f>
        <v/>
      </c>
      <c r="F232" t="inlineStr">
        <is>
          <t>liteL</t>
        </is>
      </c>
      <c r="G232">
        <f>IF(Calc!$G$59,(Calc!$G$91+(Calc!$G$92+Calc!$G$56/2)*Calc!$G$90),NA())</f>
        <v/>
      </c>
      <c r="H232">
        <f>IF(Calc!$G$59,(((Calc!$G$23+Calc!$G$25)-Calc!$G$58-Calc!$G$57)*Calc!$G$90),NA())</f>
        <v/>
      </c>
      <c r="I232">
        <f>Calc!$G$86</f>
        <v/>
      </c>
      <c r="K232" t="inlineStr">
        <is>
          <t>liteL</t>
        </is>
      </c>
      <c r="L232">
        <f>IF(Calc!$L$59,(Calc!$L$91+(Calc!$L$92+Calc!$L$56/2)*Calc!$L$90),NA())</f>
        <v/>
      </c>
      <c r="M232">
        <f>IF(Calc!$L$59,(((Calc!$L$23+Calc!$L$25)-Calc!$L$58-Calc!$L$57)*Calc!$L$90),NA())</f>
        <v/>
      </c>
      <c r="N232">
        <f>Calc!$L$86</f>
        <v/>
      </c>
      <c r="P232" t="inlineStr">
        <is>
          <t>liteL</t>
        </is>
      </c>
      <c r="Q232">
        <f>IF(Calc!$Q$59,(Calc!$Q$91+(Calc!$Q$92+Calc!$Q$56/2)*Calc!$Q$90),NA())</f>
        <v/>
      </c>
      <c r="R232">
        <f>IF(Calc!$Q$59,(((Calc!$Q$23+Calc!$Q$25)-Calc!$Q$58-Calc!$Q$57)*Calc!$Q$90),NA())</f>
        <v/>
      </c>
      <c r="S232">
        <f>Calc!$Q$86</f>
        <v/>
      </c>
      <c r="U232" t="inlineStr">
        <is>
          <t>liteL</t>
        </is>
      </c>
      <c r="V232">
        <f>IF(Calc!$V$59,(Calc!$V$91+(Calc!$V$92+Calc!$V$56/2)*Calc!$V$90),NA())</f>
        <v/>
      </c>
      <c r="W232">
        <f>IF(Calc!$V$59,(((Calc!$V$23+Calc!$V$25)-Calc!$V$58-Calc!$V$57)*Calc!$V$90),NA())</f>
        <v/>
      </c>
      <c r="X232">
        <f>Calc!$V$86</f>
        <v/>
      </c>
      <c r="Z232" t="inlineStr">
        <is>
          <t>liteL</t>
        </is>
      </c>
      <c r="AA232">
        <f>IF(Calc!$AA$59,(Calc!$AA$91+(Calc!$AA$92+Calc!$AA$56/2)*Calc!$AA$90),NA())</f>
        <v/>
      </c>
      <c r="AB232">
        <f>IF(Calc!$AA$59,(((Calc!$AA$23+Calc!$AA$25)-Calc!$AA$58-Calc!$AA$57)*Calc!$AA$90),NA())</f>
        <v/>
      </c>
      <c r="AC232">
        <f>Calc!$AA$86</f>
        <v/>
      </c>
    </row>
    <row r="234">
      <c r="A234" t="inlineStr">
        <is>
          <t>dhgh1</t>
        </is>
      </c>
      <c r="B234">
        <f>IF(Calc!$B$3*ISNUMBER(Calc!$B$40),(Calc!$B$91+((IF(OR(Calc!$B$60,Calc!$B$4),0,Calc!$B$24)))*Calc!$B$90),NA())</f>
        <v/>
      </c>
      <c r="C234">
        <f>IF(Calc!$B$3*ISNUMBER(Calc!$B$40),(((Calc!$B$23+Calc!$B$25)+Calc!$B$22-Calc!$B$40)*Calc!$B$90),NA())</f>
        <v/>
      </c>
      <c r="F234" t="inlineStr">
        <is>
          <t>dhgh1</t>
        </is>
      </c>
      <c r="G234">
        <f>IF(Calc!$G$3*ISNUMBER(Calc!$G$40),(Calc!$G$91+((IF(OR(Calc!$G$60,Calc!$G$4),0,Calc!$G$24)))*Calc!$G$90),NA())</f>
        <v/>
      </c>
      <c r="H234">
        <f>IF(Calc!$G$3*ISNUMBER(Calc!$G$40),(((Calc!$G$23+Calc!$G$25)+Calc!$G$22-Calc!$G$40)*Calc!$G$90),NA())</f>
        <v/>
      </c>
      <c r="K234" t="inlineStr">
        <is>
          <t>dhgh1</t>
        </is>
      </c>
      <c r="L234">
        <f>IF(Calc!$L$3*ISNUMBER(Calc!$L$40),(Calc!$L$91+((IF(OR(Calc!$L$60,Calc!$L$4),0,Calc!$L$24)))*Calc!$L$90),NA())</f>
        <v/>
      </c>
      <c r="M234">
        <f>IF(Calc!$L$3*ISNUMBER(Calc!$L$40),(((Calc!$L$23+Calc!$L$25)+Calc!$L$22-Calc!$L$40)*Calc!$L$90),NA())</f>
        <v/>
      </c>
      <c r="P234" t="inlineStr">
        <is>
          <t>dhgh1</t>
        </is>
      </c>
      <c r="Q234">
        <f>IF(Calc!$Q$3*ISNUMBER(Calc!$Q$40),(Calc!$Q$91+((IF(OR(Calc!$Q$60,Calc!$Q$4),0,Calc!$Q$24)))*Calc!$Q$90),NA())</f>
        <v/>
      </c>
      <c r="R234">
        <f>IF(Calc!$Q$3*ISNUMBER(Calc!$Q$40),(((Calc!$Q$23+Calc!$Q$25)+Calc!$Q$22-Calc!$Q$40)*Calc!$Q$90),NA())</f>
        <v/>
      </c>
      <c r="U234" t="inlineStr">
        <is>
          <t>dhgh1</t>
        </is>
      </c>
      <c r="V234">
        <f>IF(Calc!$V$3*ISNUMBER(Calc!$V$40),(Calc!$V$91+((IF(OR(Calc!$V$60,Calc!$V$4),0,Calc!$V$24)))*Calc!$V$90),NA())</f>
        <v/>
      </c>
      <c r="W234">
        <f>IF(Calc!$V$3*ISNUMBER(Calc!$V$40),(((Calc!$V$23+Calc!$V$25)+Calc!$V$22-Calc!$V$40)*Calc!$V$90),NA())</f>
        <v/>
      </c>
      <c r="Z234" t="inlineStr">
        <is>
          <t>dhgh1</t>
        </is>
      </c>
      <c r="AA234">
        <f>IF(Calc!$AA$3*ISNUMBER(Calc!$AA$40),(Calc!$AA$91+((IF(OR(Calc!$AA$60,Calc!$AA$4),0,Calc!$AA$24)))*Calc!$AA$90),NA())</f>
        <v/>
      </c>
      <c r="AB234">
        <f>IF(Calc!$AA$3*ISNUMBER(Calc!$AA$40),(((Calc!$AA$23+Calc!$AA$25)+Calc!$AA$22-Calc!$AA$40)*Calc!$AA$90),NA())</f>
        <v/>
      </c>
    </row>
    <row r="235">
      <c r="A235" t="inlineStr">
        <is>
          <t>dhgh1</t>
        </is>
      </c>
      <c r="B235">
        <f>IF(Calc!$B$3*ISNUMBER(Calc!$B$40),(Calc!$B$91+((IF(OR(Calc!$B$60,Calc!$B$4),0,Calc!$B$24)))*Calc!$B$90),NA())</f>
        <v/>
      </c>
      <c r="C235">
        <f>IF(Calc!$B$3*ISNUMBER(Calc!$B$40),(((Calc!$B$23+Calc!$B$25)+Calc!$B$22-Calc!$B$40-4.5)*Calc!$B$90),NA())</f>
        <v/>
      </c>
      <c r="F235" t="inlineStr">
        <is>
          <t>dhgh1</t>
        </is>
      </c>
      <c r="G235">
        <f>IF(Calc!$G$3*ISNUMBER(Calc!$G$40),(Calc!$G$91+((IF(OR(Calc!$G$60,Calc!$G$4),0,Calc!$G$24)))*Calc!$G$90),NA())</f>
        <v/>
      </c>
      <c r="H235">
        <f>IF(Calc!$G$3*ISNUMBER(Calc!$G$40),(((Calc!$G$23+Calc!$G$25)+Calc!$G$22-Calc!$G$40-4.5)*Calc!$G$90),NA())</f>
        <v/>
      </c>
      <c r="K235" t="inlineStr">
        <is>
          <t>dhgh1</t>
        </is>
      </c>
      <c r="L235">
        <f>IF(Calc!$L$3*ISNUMBER(Calc!$L$40),(Calc!$L$91+((IF(OR(Calc!$L$60,Calc!$L$4),0,Calc!$L$24)))*Calc!$L$90),NA())</f>
        <v/>
      </c>
      <c r="M235">
        <f>IF(Calc!$L$3*ISNUMBER(Calc!$L$40),(((Calc!$L$23+Calc!$L$25)+Calc!$L$22-Calc!$L$40-4.5)*Calc!$L$90),NA())</f>
        <v/>
      </c>
      <c r="P235" t="inlineStr">
        <is>
          <t>dhgh1</t>
        </is>
      </c>
      <c r="Q235">
        <f>IF(Calc!$Q$3*ISNUMBER(Calc!$Q$40),(Calc!$Q$91+((IF(OR(Calc!$Q$60,Calc!$Q$4),0,Calc!$Q$24)))*Calc!$Q$90),NA())</f>
        <v/>
      </c>
      <c r="R235">
        <f>IF(Calc!$Q$3*ISNUMBER(Calc!$Q$40),(((Calc!$Q$23+Calc!$Q$25)+Calc!$Q$22-Calc!$Q$40-4.5)*Calc!$Q$90),NA())</f>
        <v/>
      </c>
      <c r="U235" t="inlineStr">
        <is>
          <t>dhgh1</t>
        </is>
      </c>
      <c r="V235">
        <f>IF(Calc!$V$3*ISNUMBER(Calc!$V$40),(Calc!$V$91+((IF(OR(Calc!$V$60,Calc!$V$4),0,Calc!$V$24)))*Calc!$V$90),NA())</f>
        <v/>
      </c>
      <c r="W235">
        <f>IF(Calc!$V$3*ISNUMBER(Calc!$V$40),(((Calc!$V$23+Calc!$V$25)+Calc!$V$22-Calc!$V$40-4.5)*Calc!$V$90),NA())</f>
        <v/>
      </c>
      <c r="Z235" t="inlineStr">
        <is>
          <t>dhgh1</t>
        </is>
      </c>
      <c r="AA235">
        <f>IF(Calc!$AA$3*ISNUMBER(Calc!$AA$40),(Calc!$AA$91+((IF(OR(Calc!$AA$60,Calc!$AA$4),0,Calc!$AA$24)))*Calc!$AA$90),NA())</f>
        <v/>
      </c>
      <c r="AB235">
        <f>IF(Calc!$AA$3*ISNUMBER(Calc!$AA$40),(((Calc!$AA$23+Calc!$AA$25)+Calc!$AA$22-Calc!$AA$40-4.5)*Calc!$AA$90),NA())</f>
        <v/>
      </c>
    </row>
    <row r="237">
      <c r="A237" t="inlineStr">
        <is>
          <t>dhlRh1</t>
        </is>
      </c>
      <c r="B237">
        <f>IF(Calc!$B$3*ISNUMBER(Calc!$B$40)*OR(Calc!$B$60,Calc!$B$4),(Calc!$B$91+((IF(OR(Calc!$B$60,Calc!$B$4),0,Calc!$B$24))-1)*Calc!$B$90),NA())</f>
        <v/>
      </c>
      <c r="C237">
        <f>IF(Calc!$B$3*ISNUMBER(Calc!$B$40)*OR(Calc!$B$60,Calc!$B$4),(((Calc!$B$23+Calc!$B$25)+Calc!$B$22-Calc!$B$40-2.25)*Calc!$B$90),NA())</f>
        <v/>
      </c>
      <c r="D237">
        <f>Calc!$B$68</f>
        <v/>
      </c>
      <c r="F237" t="inlineStr">
        <is>
          <t>dhlRh1</t>
        </is>
      </c>
      <c r="G237">
        <f>IF(Calc!$G$3*ISNUMBER(Calc!$G$40)*OR(Calc!$G$60,Calc!$G$4),(Calc!$G$91+((IF(OR(Calc!$G$60,Calc!$G$4),0,Calc!$G$24))-1)*Calc!$G$90),NA())</f>
        <v/>
      </c>
      <c r="H237">
        <f>IF(Calc!$G$3*ISNUMBER(Calc!$G$40)*OR(Calc!$G$60,Calc!$G$4),(((Calc!$G$23+Calc!$G$25)+Calc!$G$22-Calc!$G$40-2.25)*Calc!$G$90),NA())</f>
        <v/>
      </c>
      <c r="I237">
        <f>Calc!$G$68</f>
        <v/>
      </c>
      <c r="K237" t="inlineStr">
        <is>
          <t>dhlRh1</t>
        </is>
      </c>
      <c r="L237">
        <f>IF(Calc!$L$3*ISNUMBER(Calc!$L$40)*OR(Calc!$L$60,Calc!$L$4),(Calc!$L$91+((IF(OR(Calc!$L$60,Calc!$L$4),0,Calc!$L$24))-1)*Calc!$L$90),NA())</f>
        <v/>
      </c>
      <c r="M237">
        <f>IF(Calc!$L$3*ISNUMBER(Calc!$L$40)*OR(Calc!$L$60,Calc!$L$4),(((Calc!$L$23+Calc!$L$25)+Calc!$L$22-Calc!$L$40-2.25)*Calc!$L$90),NA())</f>
        <v/>
      </c>
      <c r="N237">
        <f>Calc!$L$68</f>
        <v/>
      </c>
      <c r="P237" t="inlineStr">
        <is>
          <t>dhlRh1</t>
        </is>
      </c>
      <c r="Q237">
        <f>IF(Calc!$Q$3*ISNUMBER(Calc!$Q$40)*OR(Calc!$Q$60,Calc!$Q$4),(Calc!$Q$91+((IF(OR(Calc!$Q$60,Calc!$Q$4),0,Calc!$Q$24))-1)*Calc!$Q$90),NA())</f>
        <v/>
      </c>
      <c r="R237">
        <f>IF(Calc!$Q$3*ISNUMBER(Calc!$Q$40)*OR(Calc!$Q$60,Calc!$Q$4),(((Calc!$Q$23+Calc!$Q$25)+Calc!$Q$22-Calc!$Q$40-2.25)*Calc!$Q$90),NA())</f>
        <v/>
      </c>
      <c r="S237">
        <f>Calc!$Q$68</f>
        <v/>
      </c>
      <c r="U237" t="inlineStr">
        <is>
          <t>dhlRh1</t>
        </is>
      </c>
      <c r="V237">
        <f>IF(Calc!$V$3*ISNUMBER(Calc!$V$40)*OR(Calc!$V$60,Calc!$V$4),(Calc!$V$91+((IF(OR(Calc!$V$60,Calc!$V$4),0,Calc!$V$24))-1)*Calc!$V$90),NA())</f>
        <v/>
      </c>
      <c r="W237">
        <f>IF(Calc!$V$3*ISNUMBER(Calc!$V$40)*OR(Calc!$V$60,Calc!$V$4),(((Calc!$V$23+Calc!$V$25)+Calc!$V$22-Calc!$V$40-2.25)*Calc!$V$90),NA())</f>
        <v/>
      </c>
      <c r="X237">
        <f>Calc!$V$68</f>
        <v/>
      </c>
      <c r="Z237" t="inlineStr">
        <is>
          <t>dhlRh1</t>
        </is>
      </c>
      <c r="AA237">
        <f>IF(Calc!$AA$3*ISNUMBER(Calc!$AA$40)*OR(Calc!$AA$60,Calc!$AA$4),(Calc!$AA$91+((IF(OR(Calc!$AA$60,Calc!$AA$4),0,Calc!$AA$24))-1)*Calc!$AA$90),NA())</f>
        <v/>
      </c>
      <c r="AB237">
        <f>IF(Calc!$AA$3*ISNUMBER(Calc!$AA$40)*OR(Calc!$AA$60,Calc!$AA$4),(((Calc!$AA$23+Calc!$AA$25)+Calc!$AA$22-Calc!$AA$40-2.25)*Calc!$AA$90),NA())</f>
        <v/>
      </c>
      <c r="AC237">
        <f>Calc!$AA$68</f>
        <v/>
      </c>
    </row>
    <row r="239">
      <c r="A239" t="inlineStr">
        <is>
          <t>dhlLh1</t>
        </is>
      </c>
      <c r="B239">
        <f>IF(Calc!$B$3*ISNUMBER(Calc!$B$40)*NOT(OR(Calc!$B$60,Calc!$B$4)),(Calc!$B$91+((IF(OR(Calc!$B$60,Calc!$B$4),0,Calc!$B$24))+1)*Calc!$B$90),NA())</f>
        <v/>
      </c>
      <c r="C239">
        <f>IF(Calc!$B$3*ISNUMBER(Calc!$B$40)*NOT(OR(Calc!$B$60,Calc!$B$4)),(((Calc!$B$23+Calc!$B$25)+Calc!$B$22-Calc!$B$40-2.25)*Calc!$B$90),NA())</f>
        <v/>
      </c>
      <c r="D239">
        <f>Calc!$B$68</f>
        <v/>
      </c>
      <c r="F239" t="inlineStr">
        <is>
          <t>dhlLh1</t>
        </is>
      </c>
      <c r="G239">
        <f>IF(Calc!$G$3*ISNUMBER(Calc!$G$40)*NOT(OR(Calc!$G$60,Calc!$G$4)),(Calc!$G$91+((IF(OR(Calc!$G$60,Calc!$G$4),0,Calc!$G$24))+1)*Calc!$G$90),NA())</f>
        <v/>
      </c>
      <c r="H239">
        <f>IF(Calc!$G$3*ISNUMBER(Calc!$G$40)*NOT(OR(Calc!$G$60,Calc!$G$4)),(((Calc!$G$23+Calc!$G$25)+Calc!$G$22-Calc!$G$40-2.25)*Calc!$G$90),NA())</f>
        <v/>
      </c>
      <c r="I239">
        <f>Calc!$G$68</f>
        <v/>
      </c>
      <c r="K239" t="inlineStr">
        <is>
          <t>dhlLh1</t>
        </is>
      </c>
      <c r="L239">
        <f>IF(Calc!$L$3*ISNUMBER(Calc!$L$40)*NOT(OR(Calc!$L$60,Calc!$L$4)),(Calc!$L$91+((IF(OR(Calc!$L$60,Calc!$L$4),0,Calc!$L$24))+1)*Calc!$L$90),NA())</f>
        <v/>
      </c>
      <c r="M239">
        <f>IF(Calc!$L$3*ISNUMBER(Calc!$L$40)*NOT(OR(Calc!$L$60,Calc!$L$4)),(((Calc!$L$23+Calc!$L$25)+Calc!$L$22-Calc!$L$40-2.25)*Calc!$L$90),NA())</f>
        <v/>
      </c>
      <c r="N239">
        <f>Calc!$L$68</f>
        <v/>
      </c>
      <c r="P239" t="inlineStr">
        <is>
          <t>dhlLh1</t>
        </is>
      </c>
      <c r="Q239">
        <f>IF(Calc!$Q$3*ISNUMBER(Calc!$Q$40)*NOT(OR(Calc!$Q$60,Calc!$Q$4)),(Calc!$Q$91+((IF(OR(Calc!$Q$60,Calc!$Q$4),0,Calc!$Q$24))+1)*Calc!$Q$90),NA())</f>
        <v/>
      </c>
      <c r="R239">
        <f>IF(Calc!$Q$3*ISNUMBER(Calc!$Q$40)*NOT(OR(Calc!$Q$60,Calc!$Q$4)),(((Calc!$Q$23+Calc!$Q$25)+Calc!$Q$22-Calc!$Q$40-2.25)*Calc!$Q$90),NA())</f>
        <v/>
      </c>
      <c r="S239">
        <f>Calc!$Q$68</f>
        <v/>
      </c>
      <c r="U239" t="inlineStr">
        <is>
          <t>dhlLh1</t>
        </is>
      </c>
      <c r="V239">
        <f>IF(Calc!$V$3*ISNUMBER(Calc!$V$40)*NOT(OR(Calc!$V$60,Calc!$V$4)),(Calc!$V$91+((IF(OR(Calc!$V$60,Calc!$V$4),0,Calc!$V$24))+1)*Calc!$V$90),NA())</f>
        <v/>
      </c>
      <c r="W239">
        <f>IF(Calc!$V$3*ISNUMBER(Calc!$V$40)*NOT(OR(Calc!$V$60,Calc!$V$4)),(((Calc!$V$23+Calc!$V$25)+Calc!$V$22-Calc!$V$40-2.25)*Calc!$V$90),NA())</f>
        <v/>
      </c>
      <c r="X239">
        <f>Calc!$V$68</f>
        <v/>
      </c>
      <c r="Z239" t="inlineStr">
        <is>
          <t>dhlLh1</t>
        </is>
      </c>
      <c r="AA239">
        <f>IF(Calc!$AA$3*ISNUMBER(Calc!$AA$40)*NOT(OR(Calc!$AA$60,Calc!$AA$4)),(Calc!$AA$91+((IF(OR(Calc!$AA$60,Calc!$AA$4),0,Calc!$AA$24))+1)*Calc!$AA$90),NA())</f>
        <v/>
      </c>
      <c r="AB239">
        <f>IF(Calc!$AA$3*ISNUMBER(Calc!$AA$40)*NOT(OR(Calc!$AA$60,Calc!$AA$4)),(((Calc!$AA$23+Calc!$AA$25)+Calc!$AA$22-Calc!$AA$40-2.25)*Calc!$AA$90),NA())</f>
        <v/>
      </c>
      <c r="AC239">
        <f>Calc!$AA$68</f>
        <v/>
      </c>
    </row>
    <row r="241">
      <c r="A241" t="inlineStr">
        <is>
          <t>dhgh2</t>
        </is>
      </c>
      <c r="B241">
        <f>IF(Calc!$B$3*ISNUMBER(Calc!$B$41),(Calc!$B$91+((IF(OR(Calc!$B$60,Calc!$B$4),0,Calc!$B$24)))*Calc!$B$90),NA())</f>
        <v/>
      </c>
      <c r="C241">
        <f>IF(Calc!$B$3*ISNUMBER(Calc!$B$41),(((Calc!$B$23+Calc!$B$25)+Calc!$B$22-Calc!$B$41)*Calc!$B$90),NA())</f>
        <v/>
      </c>
      <c r="F241" t="inlineStr">
        <is>
          <t>dhgh2</t>
        </is>
      </c>
      <c r="G241">
        <f>IF(Calc!$G$3*ISNUMBER(Calc!$G$41),(Calc!$G$91+((IF(OR(Calc!$G$60,Calc!$G$4),0,Calc!$G$24)))*Calc!$G$90),NA())</f>
        <v/>
      </c>
      <c r="H241">
        <f>IF(Calc!$G$3*ISNUMBER(Calc!$G$41),(((Calc!$G$23+Calc!$G$25)+Calc!$G$22-Calc!$G$41)*Calc!$G$90),NA())</f>
        <v/>
      </c>
      <c r="K241" t="inlineStr">
        <is>
          <t>dhgh2</t>
        </is>
      </c>
      <c r="L241">
        <f>IF(Calc!$L$3*ISNUMBER(Calc!$L$41),(Calc!$L$91+((IF(OR(Calc!$L$60,Calc!$L$4),0,Calc!$L$24)))*Calc!$L$90),NA())</f>
        <v/>
      </c>
      <c r="M241">
        <f>IF(Calc!$L$3*ISNUMBER(Calc!$L$41),(((Calc!$L$23+Calc!$L$25)+Calc!$L$22-Calc!$L$41)*Calc!$L$90),NA())</f>
        <v/>
      </c>
      <c r="P241" t="inlineStr">
        <is>
          <t>dhgh2</t>
        </is>
      </c>
      <c r="Q241">
        <f>IF(Calc!$Q$3*ISNUMBER(Calc!$Q$41),(Calc!$Q$91+((IF(OR(Calc!$Q$60,Calc!$Q$4),0,Calc!$Q$24)))*Calc!$Q$90),NA())</f>
        <v/>
      </c>
      <c r="R241">
        <f>IF(Calc!$Q$3*ISNUMBER(Calc!$Q$41),(((Calc!$Q$23+Calc!$Q$25)+Calc!$Q$22-Calc!$Q$41)*Calc!$Q$90),NA())</f>
        <v/>
      </c>
      <c r="U241" t="inlineStr">
        <is>
          <t>dhgh2</t>
        </is>
      </c>
      <c r="V241">
        <f>IF(Calc!$V$3*ISNUMBER(Calc!$V$41),(Calc!$V$91+((IF(OR(Calc!$V$60,Calc!$V$4),0,Calc!$V$24)))*Calc!$V$90),NA())</f>
        <v/>
      </c>
      <c r="W241">
        <f>IF(Calc!$V$3*ISNUMBER(Calc!$V$41),(((Calc!$V$23+Calc!$V$25)+Calc!$V$22-Calc!$V$41)*Calc!$V$90),NA())</f>
        <v/>
      </c>
      <c r="Z241" t="inlineStr">
        <is>
          <t>dhgh2</t>
        </is>
      </c>
      <c r="AA241">
        <f>IF(Calc!$AA$3*ISNUMBER(Calc!$AA$41),(Calc!$AA$91+((IF(OR(Calc!$AA$60,Calc!$AA$4),0,Calc!$AA$24)))*Calc!$AA$90),NA())</f>
        <v/>
      </c>
      <c r="AB241">
        <f>IF(Calc!$AA$3*ISNUMBER(Calc!$AA$41),(((Calc!$AA$23+Calc!$AA$25)+Calc!$AA$22-Calc!$AA$41)*Calc!$AA$90),NA())</f>
        <v/>
      </c>
    </row>
    <row r="242">
      <c r="A242" t="inlineStr">
        <is>
          <t>dhgh2</t>
        </is>
      </c>
      <c r="B242">
        <f>IF(Calc!$B$3*ISNUMBER(Calc!$B$41),(Calc!$B$91+((IF(OR(Calc!$B$60,Calc!$B$4),0,Calc!$B$24)))*Calc!$B$90),NA())</f>
        <v/>
      </c>
      <c r="C242">
        <f>IF(Calc!$B$3*ISNUMBER(Calc!$B$41),(((Calc!$B$23+Calc!$B$25)+Calc!$B$22-Calc!$B$41-4.5)*Calc!$B$90),NA())</f>
        <v/>
      </c>
      <c r="F242" t="inlineStr">
        <is>
          <t>dhgh2</t>
        </is>
      </c>
      <c r="G242">
        <f>IF(Calc!$G$3*ISNUMBER(Calc!$G$41),(Calc!$G$91+((IF(OR(Calc!$G$60,Calc!$G$4),0,Calc!$G$24)))*Calc!$G$90),NA())</f>
        <v/>
      </c>
      <c r="H242">
        <f>IF(Calc!$G$3*ISNUMBER(Calc!$G$41),(((Calc!$G$23+Calc!$G$25)+Calc!$G$22-Calc!$G$41-4.5)*Calc!$G$90),NA())</f>
        <v/>
      </c>
      <c r="K242" t="inlineStr">
        <is>
          <t>dhgh2</t>
        </is>
      </c>
      <c r="L242">
        <f>IF(Calc!$L$3*ISNUMBER(Calc!$L$41),(Calc!$L$91+((IF(OR(Calc!$L$60,Calc!$L$4),0,Calc!$L$24)))*Calc!$L$90),NA())</f>
        <v/>
      </c>
      <c r="M242">
        <f>IF(Calc!$L$3*ISNUMBER(Calc!$L$41),(((Calc!$L$23+Calc!$L$25)+Calc!$L$22-Calc!$L$41-4.5)*Calc!$L$90),NA())</f>
        <v/>
      </c>
      <c r="P242" t="inlineStr">
        <is>
          <t>dhgh2</t>
        </is>
      </c>
      <c r="Q242">
        <f>IF(Calc!$Q$3*ISNUMBER(Calc!$Q$41),(Calc!$Q$91+((IF(OR(Calc!$Q$60,Calc!$Q$4),0,Calc!$Q$24)))*Calc!$Q$90),NA())</f>
        <v/>
      </c>
      <c r="R242">
        <f>IF(Calc!$Q$3*ISNUMBER(Calc!$Q$41),(((Calc!$Q$23+Calc!$Q$25)+Calc!$Q$22-Calc!$Q$41-4.5)*Calc!$Q$90),NA())</f>
        <v/>
      </c>
      <c r="U242" t="inlineStr">
        <is>
          <t>dhgh2</t>
        </is>
      </c>
      <c r="V242">
        <f>IF(Calc!$V$3*ISNUMBER(Calc!$V$41),(Calc!$V$91+((IF(OR(Calc!$V$60,Calc!$V$4),0,Calc!$V$24)))*Calc!$V$90),NA())</f>
        <v/>
      </c>
      <c r="W242">
        <f>IF(Calc!$V$3*ISNUMBER(Calc!$V$41),(((Calc!$V$23+Calc!$V$25)+Calc!$V$22-Calc!$V$41-4.5)*Calc!$V$90),NA())</f>
        <v/>
      </c>
      <c r="Z242" t="inlineStr">
        <is>
          <t>dhgh2</t>
        </is>
      </c>
      <c r="AA242">
        <f>IF(Calc!$AA$3*ISNUMBER(Calc!$AA$41),(Calc!$AA$91+((IF(OR(Calc!$AA$60,Calc!$AA$4),0,Calc!$AA$24)))*Calc!$AA$90),NA())</f>
        <v/>
      </c>
      <c r="AB242">
        <f>IF(Calc!$AA$3*ISNUMBER(Calc!$AA$41),(((Calc!$AA$23+Calc!$AA$25)+Calc!$AA$22-Calc!$AA$41-4.5)*Calc!$AA$90),NA())</f>
        <v/>
      </c>
    </row>
    <row r="244">
      <c r="A244" t="inlineStr">
        <is>
          <t>dhlRh2</t>
        </is>
      </c>
      <c r="B244">
        <f>IF(Calc!$B$3*ISNUMBER(Calc!$B$41)*OR(Calc!$B$60,Calc!$B$4),(Calc!$B$91+((IF(OR(Calc!$B$60,Calc!$B$4),0,Calc!$B$24))-1)*Calc!$B$90),NA())</f>
        <v/>
      </c>
      <c r="C244">
        <f>IF(Calc!$B$3*ISNUMBER(Calc!$B$41)*OR(Calc!$B$60,Calc!$B$4),(((Calc!$B$23+Calc!$B$25)+Calc!$B$22-Calc!$B$41-2.25)*Calc!$B$90),NA())</f>
        <v/>
      </c>
      <c r="D244">
        <f>Calc!$B$70</f>
        <v/>
      </c>
      <c r="F244" t="inlineStr">
        <is>
          <t>dhlRh2</t>
        </is>
      </c>
      <c r="G244">
        <f>IF(Calc!$G$3*ISNUMBER(Calc!$G$41)*OR(Calc!$G$60,Calc!$G$4),(Calc!$G$91+((IF(OR(Calc!$G$60,Calc!$G$4),0,Calc!$G$24))-1)*Calc!$G$90),NA())</f>
        <v/>
      </c>
      <c r="H244">
        <f>IF(Calc!$G$3*ISNUMBER(Calc!$G$41)*OR(Calc!$G$60,Calc!$G$4),(((Calc!$G$23+Calc!$G$25)+Calc!$G$22-Calc!$G$41-2.25)*Calc!$G$90),NA())</f>
        <v/>
      </c>
      <c r="I244">
        <f>Calc!$G$70</f>
        <v/>
      </c>
      <c r="K244" t="inlineStr">
        <is>
          <t>dhlRh2</t>
        </is>
      </c>
      <c r="L244">
        <f>IF(Calc!$L$3*ISNUMBER(Calc!$L$41)*OR(Calc!$L$60,Calc!$L$4),(Calc!$L$91+((IF(OR(Calc!$L$60,Calc!$L$4),0,Calc!$L$24))-1)*Calc!$L$90),NA())</f>
        <v/>
      </c>
      <c r="M244">
        <f>IF(Calc!$L$3*ISNUMBER(Calc!$L$41)*OR(Calc!$L$60,Calc!$L$4),(((Calc!$L$23+Calc!$L$25)+Calc!$L$22-Calc!$L$41-2.25)*Calc!$L$90),NA())</f>
        <v/>
      </c>
      <c r="N244">
        <f>Calc!$L$70</f>
        <v/>
      </c>
      <c r="P244" t="inlineStr">
        <is>
          <t>dhlRh2</t>
        </is>
      </c>
      <c r="Q244">
        <f>IF(Calc!$Q$3*ISNUMBER(Calc!$Q$41)*OR(Calc!$Q$60,Calc!$Q$4),(Calc!$Q$91+((IF(OR(Calc!$Q$60,Calc!$Q$4),0,Calc!$Q$24))-1)*Calc!$Q$90),NA())</f>
        <v/>
      </c>
      <c r="R244">
        <f>IF(Calc!$Q$3*ISNUMBER(Calc!$Q$41)*OR(Calc!$Q$60,Calc!$Q$4),(((Calc!$Q$23+Calc!$Q$25)+Calc!$Q$22-Calc!$Q$41-2.25)*Calc!$Q$90),NA())</f>
        <v/>
      </c>
      <c r="S244">
        <f>Calc!$Q$70</f>
        <v/>
      </c>
      <c r="U244" t="inlineStr">
        <is>
          <t>dhlRh2</t>
        </is>
      </c>
      <c r="V244">
        <f>IF(Calc!$V$3*ISNUMBER(Calc!$V$41)*OR(Calc!$V$60,Calc!$V$4),(Calc!$V$91+((IF(OR(Calc!$V$60,Calc!$V$4),0,Calc!$V$24))-1)*Calc!$V$90),NA())</f>
        <v/>
      </c>
      <c r="W244">
        <f>IF(Calc!$V$3*ISNUMBER(Calc!$V$41)*OR(Calc!$V$60,Calc!$V$4),(((Calc!$V$23+Calc!$V$25)+Calc!$V$22-Calc!$V$41-2.25)*Calc!$V$90),NA())</f>
        <v/>
      </c>
      <c r="X244">
        <f>Calc!$V$70</f>
        <v/>
      </c>
      <c r="Z244" t="inlineStr">
        <is>
          <t>dhlRh2</t>
        </is>
      </c>
      <c r="AA244">
        <f>IF(Calc!$AA$3*ISNUMBER(Calc!$AA$41)*OR(Calc!$AA$60,Calc!$AA$4),(Calc!$AA$91+((IF(OR(Calc!$AA$60,Calc!$AA$4),0,Calc!$AA$24))-1)*Calc!$AA$90),NA())</f>
        <v/>
      </c>
      <c r="AB244">
        <f>IF(Calc!$AA$3*ISNUMBER(Calc!$AA$41)*OR(Calc!$AA$60,Calc!$AA$4),(((Calc!$AA$23+Calc!$AA$25)+Calc!$AA$22-Calc!$AA$41-2.25)*Calc!$AA$90),NA())</f>
        <v/>
      </c>
      <c r="AC244">
        <f>Calc!$AA$70</f>
        <v/>
      </c>
    </row>
    <row r="246">
      <c r="A246" t="inlineStr">
        <is>
          <t>dhlLh2</t>
        </is>
      </c>
      <c r="B246">
        <f>IF(Calc!$B$3*ISNUMBER(Calc!$B$41)*NOT(OR(Calc!$B$60,Calc!$B$4)),(Calc!$B$91+((IF(OR(Calc!$B$60,Calc!$B$4),0,Calc!$B$24))+1)*Calc!$B$90),NA())</f>
        <v/>
      </c>
      <c r="C246">
        <f>IF(Calc!$B$3*ISNUMBER(Calc!$B$41)*NOT(OR(Calc!$B$60,Calc!$B$4)),(((Calc!$B$23+Calc!$B$25)+Calc!$B$22-Calc!$B$41-2.25)*Calc!$B$90),NA())</f>
        <v/>
      </c>
      <c r="D246">
        <f>Calc!$B$70</f>
        <v/>
      </c>
      <c r="F246" t="inlineStr">
        <is>
          <t>dhlLh2</t>
        </is>
      </c>
      <c r="G246">
        <f>IF(Calc!$G$3*ISNUMBER(Calc!$G$41)*NOT(OR(Calc!$G$60,Calc!$G$4)),(Calc!$G$91+((IF(OR(Calc!$G$60,Calc!$G$4),0,Calc!$G$24))+1)*Calc!$G$90),NA())</f>
        <v/>
      </c>
      <c r="H246">
        <f>IF(Calc!$G$3*ISNUMBER(Calc!$G$41)*NOT(OR(Calc!$G$60,Calc!$G$4)),(((Calc!$G$23+Calc!$G$25)+Calc!$G$22-Calc!$G$41-2.25)*Calc!$G$90),NA())</f>
        <v/>
      </c>
      <c r="I246">
        <f>Calc!$G$70</f>
        <v/>
      </c>
      <c r="K246" t="inlineStr">
        <is>
          <t>dhlLh2</t>
        </is>
      </c>
      <c r="L246">
        <f>IF(Calc!$L$3*ISNUMBER(Calc!$L$41)*NOT(OR(Calc!$L$60,Calc!$L$4)),(Calc!$L$91+((IF(OR(Calc!$L$60,Calc!$L$4),0,Calc!$L$24))+1)*Calc!$L$90),NA())</f>
        <v/>
      </c>
      <c r="M246">
        <f>IF(Calc!$L$3*ISNUMBER(Calc!$L$41)*NOT(OR(Calc!$L$60,Calc!$L$4)),(((Calc!$L$23+Calc!$L$25)+Calc!$L$22-Calc!$L$41-2.25)*Calc!$L$90),NA())</f>
        <v/>
      </c>
      <c r="N246">
        <f>Calc!$L$70</f>
        <v/>
      </c>
      <c r="P246" t="inlineStr">
        <is>
          <t>dhlLh2</t>
        </is>
      </c>
      <c r="Q246">
        <f>IF(Calc!$Q$3*ISNUMBER(Calc!$Q$41)*NOT(OR(Calc!$Q$60,Calc!$Q$4)),(Calc!$Q$91+((IF(OR(Calc!$Q$60,Calc!$Q$4),0,Calc!$Q$24))+1)*Calc!$Q$90),NA())</f>
        <v/>
      </c>
      <c r="R246">
        <f>IF(Calc!$Q$3*ISNUMBER(Calc!$Q$41)*NOT(OR(Calc!$Q$60,Calc!$Q$4)),(((Calc!$Q$23+Calc!$Q$25)+Calc!$Q$22-Calc!$Q$41-2.25)*Calc!$Q$90),NA())</f>
        <v/>
      </c>
      <c r="S246">
        <f>Calc!$Q$70</f>
        <v/>
      </c>
      <c r="U246" t="inlineStr">
        <is>
          <t>dhlLh2</t>
        </is>
      </c>
      <c r="V246">
        <f>IF(Calc!$V$3*ISNUMBER(Calc!$V$41)*NOT(OR(Calc!$V$60,Calc!$V$4)),(Calc!$V$91+((IF(OR(Calc!$V$60,Calc!$V$4),0,Calc!$V$24))+1)*Calc!$V$90),NA())</f>
        <v/>
      </c>
      <c r="W246">
        <f>IF(Calc!$V$3*ISNUMBER(Calc!$V$41)*NOT(OR(Calc!$V$60,Calc!$V$4)),(((Calc!$V$23+Calc!$V$25)+Calc!$V$22-Calc!$V$41-2.25)*Calc!$V$90),NA())</f>
        <v/>
      </c>
      <c r="X246">
        <f>Calc!$V$70</f>
        <v/>
      </c>
      <c r="Z246" t="inlineStr">
        <is>
          <t>dhlLh2</t>
        </is>
      </c>
      <c r="AA246">
        <f>IF(Calc!$AA$3*ISNUMBER(Calc!$AA$41)*NOT(OR(Calc!$AA$60,Calc!$AA$4)),(Calc!$AA$91+((IF(OR(Calc!$AA$60,Calc!$AA$4),0,Calc!$AA$24))+1)*Calc!$AA$90),NA())</f>
        <v/>
      </c>
      <c r="AB246">
        <f>IF(Calc!$AA$3*ISNUMBER(Calc!$AA$41)*NOT(OR(Calc!$AA$60,Calc!$AA$4)),(((Calc!$AA$23+Calc!$AA$25)+Calc!$AA$22-Calc!$AA$41-2.25)*Calc!$AA$90),NA())</f>
        <v/>
      </c>
      <c r="AC246">
        <f>Calc!$AA$70</f>
        <v/>
      </c>
    </row>
    <row r="248">
      <c r="A248" t="inlineStr">
        <is>
          <t>dhgh3</t>
        </is>
      </c>
      <c r="B248">
        <f>IF(Calc!$B$3*ISNUMBER(Calc!$B$42),(Calc!$B$91+((IF(OR(Calc!$B$60,Calc!$B$4),0,Calc!$B$24)))*Calc!$B$90),NA())</f>
        <v/>
      </c>
      <c r="C248">
        <f>IF(Calc!$B$3*ISNUMBER(Calc!$B$42),(((Calc!$B$23+Calc!$B$25)+Calc!$B$22-Calc!$B$42)*Calc!$B$90),NA())</f>
        <v/>
      </c>
      <c r="F248" t="inlineStr">
        <is>
          <t>dhgh3</t>
        </is>
      </c>
      <c r="G248">
        <f>IF(Calc!$G$3*ISNUMBER(Calc!$G$42),(Calc!$G$91+((IF(OR(Calc!$G$60,Calc!$G$4),0,Calc!$G$24)))*Calc!$G$90),NA())</f>
        <v/>
      </c>
      <c r="H248">
        <f>IF(Calc!$G$3*ISNUMBER(Calc!$G$42),(((Calc!$G$23+Calc!$G$25)+Calc!$G$22-Calc!$G$42)*Calc!$G$90),NA())</f>
        <v/>
      </c>
      <c r="K248" t="inlineStr">
        <is>
          <t>dhgh3</t>
        </is>
      </c>
      <c r="L248">
        <f>IF(Calc!$L$3*ISNUMBER(Calc!$L$42),(Calc!$L$91+((IF(OR(Calc!$L$60,Calc!$L$4),0,Calc!$L$24)))*Calc!$L$90),NA())</f>
        <v/>
      </c>
      <c r="M248">
        <f>IF(Calc!$L$3*ISNUMBER(Calc!$L$42),(((Calc!$L$23+Calc!$L$25)+Calc!$L$22-Calc!$L$42)*Calc!$L$90),NA())</f>
        <v/>
      </c>
      <c r="P248" t="inlineStr">
        <is>
          <t>dhgh3</t>
        </is>
      </c>
      <c r="Q248">
        <f>IF(Calc!$Q$3*ISNUMBER(Calc!$Q$42),(Calc!$Q$91+((IF(OR(Calc!$Q$60,Calc!$Q$4),0,Calc!$Q$24)))*Calc!$Q$90),NA())</f>
        <v/>
      </c>
      <c r="R248">
        <f>IF(Calc!$Q$3*ISNUMBER(Calc!$Q$42),(((Calc!$Q$23+Calc!$Q$25)+Calc!$Q$22-Calc!$Q$42)*Calc!$Q$90),NA())</f>
        <v/>
      </c>
      <c r="U248" t="inlineStr">
        <is>
          <t>dhgh3</t>
        </is>
      </c>
      <c r="V248">
        <f>IF(Calc!$V$3*ISNUMBER(Calc!$V$42),(Calc!$V$91+((IF(OR(Calc!$V$60,Calc!$V$4),0,Calc!$V$24)))*Calc!$V$90),NA())</f>
        <v/>
      </c>
      <c r="W248">
        <f>IF(Calc!$V$3*ISNUMBER(Calc!$V$42),(((Calc!$V$23+Calc!$V$25)+Calc!$V$22-Calc!$V$42)*Calc!$V$90),NA())</f>
        <v/>
      </c>
      <c r="Z248" t="inlineStr">
        <is>
          <t>dhgh3</t>
        </is>
      </c>
      <c r="AA248">
        <f>IF(Calc!$AA$3*ISNUMBER(Calc!$AA$42),(Calc!$AA$91+((IF(OR(Calc!$AA$60,Calc!$AA$4),0,Calc!$AA$24)))*Calc!$AA$90),NA())</f>
        <v/>
      </c>
      <c r="AB248">
        <f>IF(Calc!$AA$3*ISNUMBER(Calc!$AA$42),(((Calc!$AA$23+Calc!$AA$25)+Calc!$AA$22-Calc!$AA$42)*Calc!$AA$90),NA())</f>
        <v/>
      </c>
    </row>
    <row r="249">
      <c r="A249" t="inlineStr">
        <is>
          <t>dhgh3</t>
        </is>
      </c>
      <c r="B249">
        <f>IF(Calc!$B$3*ISNUMBER(Calc!$B$42),(Calc!$B$91+((IF(OR(Calc!$B$60,Calc!$B$4),0,Calc!$B$24)))*Calc!$B$90),NA())</f>
        <v/>
      </c>
      <c r="C249">
        <f>IF(Calc!$B$3*ISNUMBER(Calc!$B$42),(((Calc!$B$23+Calc!$B$25)+Calc!$B$22-Calc!$B$42-4.5)*Calc!$B$90),NA())</f>
        <v/>
      </c>
      <c r="F249" t="inlineStr">
        <is>
          <t>dhgh3</t>
        </is>
      </c>
      <c r="G249">
        <f>IF(Calc!$G$3*ISNUMBER(Calc!$G$42),(Calc!$G$91+((IF(OR(Calc!$G$60,Calc!$G$4),0,Calc!$G$24)))*Calc!$G$90),NA())</f>
        <v/>
      </c>
      <c r="H249">
        <f>IF(Calc!$G$3*ISNUMBER(Calc!$G$42),(((Calc!$G$23+Calc!$G$25)+Calc!$G$22-Calc!$G$42-4.5)*Calc!$G$90),NA())</f>
        <v/>
      </c>
      <c r="K249" t="inlineStr">
        <is>
          <t>dhgh3</t>
        </is>
      </c>
      <c r="L249">
        <f>IF(Calc!$L$3*ISNUMBER(Calc!$L$42),(Calc!$L$91+((IF(OR(Calc!$L$60,Calc!$L$4),0,Calc!$L$24)))*Calc!$L$90),NA())</f>
        <v/>
      </c>
      <c r="M249">
        <f>IF(Calc!$L$3*ISNUMBER(Calc!$L$42),(((Calc!$L$23+Calc!$L$25)+Calc!$L$22-Calc!$L$42-4.5)*Calc!$L$90),NA())</f>
        <v/>
      </c>
      <c r="P249" t="inlineStr">
        <is>
          <t>dhgh3</t>
        </is>
      </c>
      <c r="Q249">
        <f>IF(Calc!$Q$3*ISNUMBER(Calc!$Q$42),(Calc!$Q$91+((IF(OR(Calc!$Q$60,Calc!$Q$4),0,Calc!$Q$24)))*Calc!$Q$90),NA())</f>
        <v/>
      </c>
      <c r="R249">
        <f>IF(Calc!$Q$3*ISNUMBER(Calc!$Q$42),(((Calc!$Q$23+Calc!$Q$25)+Calc!$Q$22-Calc!$Q$42-4.5)*Calc!$Q$90),NA())</f>
        <v/>
      </c>
      <c r="U249" t="inlineStr">
        <is>
          <t>dhgh3</t>
        </is>
      </c>
      <c r="V249">
        <f>IF(Calc!$V$3*ISNUMBER(Calc!$V$42),(Calc!$V$91+((IF(OR(Calc!$V$60,Calc!$V$4),0,Calc!$V$24)))*Calc!$V$90),NA())</f>
        <v/>
      </c>
      <c r="W249">
        <f>IF(Calc!$V$3*ISNUMBER(Calc!$V$42),(((Calc!$V$23+Calc!$V$25)+Calc!$V$22-Calc!$V$42-4.5)*Calc!$V$90),NA())</f>
        <v/>
      </c>
      <c r="Z249" t="inlineStr">
        <is>
          <t>dhgh3</t>
        </is>
      </c>
      <c r="AA249">
        <f>IF(Calc!$AA$3*ISNUMBER(Calc!$AA$42),(Calc!$AA$91+((IF(OR(Calc!$AA$60,Calc!$AA$4),0,Calc!$AA$24)))*Calc!$AA$90),NA())</f>
        <v/>
      </c>
      <c r="AB249">
        <f>IF(Calc!$AA$3*ISNUMBER(Calc!$AA$42),(((Calc!$AA$23+Calc!$AA$25)+Calc!$AA$22-Calc!$AA$42-4.5)*Calc!$AA$90),NA())</f>
        <v/>
      </c>
    </row>
    <row r="251">
      <c r="A251" t="inlineStr">
        <is>
          <t>dhlRh3</t>
        </is>
      </c>
      <c r="B251">
        <f>IF(Calc!$B$3*ISNUMBER(Calc!$B$42)*OR(Calc!$B$60,Calc!$B$4),(Calc!$B$91+((IF(OR(Calc!$B$60,Calc!$B$4),0,Calc!$B$24))-1)*Calc!$B$90),NA())</f>
        <v/>
      </c>
      <c r="C251">
        <f>IF(Calc!$B$3*ISNUMBER(Calc!$B$42)*OR(Calc!$B$60,Calc!$B$4),(((Calc!$B$23+Calc!$B$25)+Calc!$B$22-Calc!$B$42-2.25)*Calc!$B$90),NA())</f>
        <v/>
      </c>
      <c r="D251">
        <f>Calc!$B$72</f>
        <v/>
      </c>
      <c r="F251" t="inlineStr">
        <is>
          <t>dhlRh3</t>
        </is>
      </c>
      <c r="G251">
        <f>IF(Calc!$G$3*ISNUMBER(Calc!$G$42)*OR(Calc!$G$60,Calc!$G$4),(Calc!$G$91+((IF(OR(Calc!$G$60,Calc!$G$4),0,Calc!$G$24))-1)*Calc!$G$90),NA())</f>
        <v/>
      </c>
      <c r="H251">
        <f>IF(Calc!$G$3*ISNUMBER(Calc!$G$42)*OR(Calc!$G$60,Calc!$G$4),(((Calc!$G$23+Calc!$G$25)+Calc!$G$22-Calc!$G$42-2.25)*Calc!$G$90),NA())</f>
        <v/>
      </c>
      <c r="I251">
        <f>Calc!$G$72</f>
        <v/>
      </c>
      <c r="K251" t="inlineStr">
        <is>
          <t>dhlRh3</t>
        </is>
      </c>
      <c r="L251">
        <f>IF(Calc!$L$3*ISNUMBER(Calc!$L$42)*OR(Calc!$L$60,Calc!$L$4),(Calc!$L$91+((IF(OR(Calc!$L$60,Calc!$L$4),0,Calc!$L$24))-1)*Calc!$L$90),NA())</f>
        <v/>
      </c>
      <c r="M251">
        <f>IF(Calc!$L$3*ISNUMBER(Calc!$L$42)*OR(Calc!$L$60,Calc!$L$4),(((Calc!$L$23+Calc!$L$25)+Calc!$L$22-Calc!$L$42-2.25)*Calc!$L$90),NA())</f>
        <v/>
      </c>
      <c r="N251">
        <f>Calc!$L$72</f>
        <v/>
      </c>
      <c r="P251" t="inlineStr">
        <is>
          <t>dhlRh3</t>
        </is>
      </c>
      <c r="Q251">
        <f>IF(Calc!$Q$3*ISNUMBER(Calc!$Q$42)*OR(Calc!$Q$60,Calc!$Q$4),(Calc!$Q$91+((IF(OR(Calc!$Q$60,Calc!$Q$4),0,Calc!$Q$24))-1)*Calc!$Q$90),NA())</f>
        <v/>
      </c>
      <c r="R251">
        <f>IF(Calc!$Q$3*ISNUMBER(Calc!$Q$42)*OR(Calc!$Q$60,Calc!$Q$4),(((Calc!$Q$23+Calc!$Q$25)+Calc!$Q$22-Calc!$Q$42-2.25)*Calc!$Q$90),NA())</f>
        <v/>
      </c>
      <c r="S251">
        <f>Calc!$Q$72</f>
        <v/>
      </c>
      <c r="U251" t="inlineStr">
        <is>
          <t>dhlRh3</t>
        </is>
      </c>
      <c r="V251">
        <f>IF(Calc!$V$3*ISNUMBER(Calc!$V$42)*OR(Calc!$V$60,Calc!$V$4),(Calc!$V$91+((IF(OR(Calc!$V$60,Calc!$V$4),0,Calc!$V$24))-1)*Calc!$V$90),NA())</f>
        <v/>
      </c>
      <c r="W251">
        <f>IF(Calc!$V$3*ISNUMBER(Calc!$V$42)*OR(Calc!$V$60,Calc!$V$4),(((Calc!$V$23+Calc!$V$25)+Calc!$V$22-Calc!$V$42-2.25)*Calc!$V$90),NA())</f>
        <v/>
      </c>
      <c r="X251">
        <f>Calc!$V$72</f>
        <v/>
      </c>
      <c r="Z251" t="inlineStr">
        <is>
          <t>dhlRh3</t>
        </is>
      </c>
      <c r="AA251">
        <f>IF(Calc!$AA$3*ISNUMBER(Calc!$AA$42)*OR(Calc!$AA$60,Calc!$AA$4),(Calc!$AA$91+((IF(OR(Calc!$AA$60,Calc!$AA$4),0,Calc!$AA$24))-1)*Calc!$AA$90),NA())</f>
        <v/>
      </c>
      <c r="AB251">
        <f>IF(Calc!$AA$3*ISNUMBER(Calc!$AA$42)*OR(Calc!$AA$60,Calc!$AA$4),(((Calc!$AA$23+Calc!$AA$25)+Calc!$AA$22-Calc!$AA$42-2.25)*Calc!$AA$90),NA())</f>
        <v/>
      </c>
      <c r="AC251">
        <f>Calc!$AA$72</f>
        <v/>
      </c>
    </row>
    <row r="253">
      <c r="A253" t="inlineStr">
        <is>
          <t>dhlLh3</t>
        </is>
      </c>
      <c r="B253">
        <f>IF(Calc!$B$3*ISNUMBER(Calc!$B$42)*NOT(OR(Calc!$B$60,Calc!$B$4)),(Calc!$B$91+((IF(OR(Calc!$B$60,Calc!$B$4),0,Calc!$B$24))+1)*Calc!$B$90),NA())</f>
        <v/>
      </c>
      <c r="C253">
        <f>IF(Calc!$B$3*ISNUMBER(Calc!$B$42)*NOT(OR(Calc!$B$60,Calc!$B$4)),(((Calc!$B$23+Calc!$B$25)+Calc!$B$22-Calc!$B$42-2.25)*Calc!$B$90),NA())</f>
        <v/>
      </c>
      <c r="D253">
        <f>Calc!$B$72</f>
        <v/>
      </c>
      <c r="F253" t="inlineStr">
        <is>
          <t>dhlLh3</t>
        </is>
      </c>
      <c r="G253">
        <f>IF(Calc!$G$3*ISNUMBER(Calc!$G$42)*NOT(OR(Calc!$G$60,Calc!$G$4)),(Calc!$G$91+((IF(OR(Calc!$G$60,Calc!$G$4),0,Calc!$G$24))+1)*Calc!$G$90),NA())</f>
        <v/>
      </c>
      <c r="H253">
        <f>IF(Calc!$G$3*ISNUMBER(Calc!$G$42)*NOT(OR(Calc!$G$60,Calc!$G$4)),(((Calc!$G$23+Calc!$G$25)+Calc!$G$22-Calc!$G$42-2.25)*Calc!$G$90),NA())</f>
        <v/>
      </c>
      <c r="I253">
        <f>Calc!$G$72</f>
        <v/>
      </c>
      <c r="K253" t="inlineStr">
        <is>
          <t>dhlLh3</t>
        </is>
      </c>
      <c r="L253">
        <f>IF(Calc!$L$3*ISNUMBER(Calc!$L$42)*NOT(OR(Calc!$L$60,Calc!$L$4)),(Calc!$L$91+((IF(OR(Calc!$L$60,Calc!$L$4),0,Calc!$L$24))+1)*Calc!$L$90),NA())</f>
        <v/>
      </c>
      <c r="M253">
        <f>IF(Calc!$L$3*ISNUMBER(Calc!$L$42)*NOT(OR(Calc!$L$60,Calc!$L$4)),(((Calc!$L$23+Calc!$L$25)+Calc!$L$22-Calc!$L$42-2.25)*Calc!$L$90),NA())</f>
        <v/>
      </c>
      <c r="N253">
        <f>Calc!$L$72</f>
        <v/>
      </c>
      <c r="P253" t="inlineStr">
        <is>
          <t>dhlLh3</t>
        </is>
      </c>
      <c r="Q253">
        <f>IF(Calc!$Q$3*ISNUMBER(Calc!$Q$42)*NOT(OR(Calc!$Q$60,Calc!$Q$4)),(Calc!$Q$91+((IF(OR(Calc!$Q$60,Calc!$Q$4),0,Calc!$Q$24))+1)*Calc!$Q$90),NA())</f>
        <v/>
      </c>
      <c r="R253">
        <f>IF(Calc!$Q$3*ISNUMBER(Calc!$Q$42)*NOT(OR(Calc!$Q$60,Calc!$Q$4)),(((Calc!$Q$23+Calc!$Q$25)+Calc!$Q$22-Calc!$Q$42-2.25)*Calc!$Q$90),NA())</f>
        <v/>
      </c>
      <c r="S253">
        <f>Calc!$Q$72</f>
        <v/>
      </c>
      <c r="U253" t="inlineStr">
        <is>
          <t>dhlLh3</t>
        </is>
      </c>
      <c r="V253">
        <f>IF(Calc!$V$3*ISNUMBER(Calc!$V$42)*NOT(OR(Calc!$V$60,Calc!$V$4)),(Calc!$V$91+((IF(OR(Calc!$V$60,Calc!$V$4),0,Calc!$V$24))+1)*Calc!$V$90),NA())</f>
        <v/>
      </c>
      <c r="W253">
        <f>IF(Calc!$V$3*ISNUMBER(Calc!$V$42)*NOT(OR(Calc!$V$60,Calc!$V$4)),(((Calc!$V$23+Calc!$V$25)+Calc!$V$22-Calc!$V$42-2.25)*Calc!$V$90),NA())</f>
        <v/>
      </c>
      <c r="X253">
        <f>Calc!$V$72</f>
        <v/>
      </c>
      <c r="Z253" t="inlineStr">
        <is>
          <t>dhlLh3</t>
        </is>
      </c>
      <c r="AA253">
        <f>IF(Calc!$AA$3*ISNUMBER(Calc!$AA$42)*NOT(OR(Calc!$AA$60,Calc!$AA$4)),(Calc!$AA$91+((IF(OR(Calc!$AA$60,Calc!$AA$4),0,Calc!$AA$24))+1)*Calc!$AA$90),NA())</f>
        <v/>
      </c>
      <c r="AB253">
        <f>IF(Calc!$AA$3*ISNUMBER(Calc!$AA$42)*NOT(OR(Calc!$AA$60,Calc!$AA$4)),(((Calc!$AA$23+Calc!$AA$25)+Calc!$AA$22-Calc!$AA$42-2.25)*Calc!$AA$90),NA())</f>
        <v/>
      </c>
      <c r="AC253">
        <f>Calc!$AA$72</f>
        <v/>
      </c>
    </row>
    <row r="255">
      <c r="A255" t="inlineStr">
        <is>
          <t>dhgh4</t>
        </is>
      </c>
      <c r="B255">
        <f>IF(Calc!$B$3*ISNUMBER(Calc!$B$43),(Calc!$B$91+((IF(OR(Calc!$B$60,Calc!$B$4),0,Calc!$B$24)))*Calc!$B$90),NA())</f>
        <v/>
      </c>
      <c r="C255">
        <f>IF(Calc!$B$3*ISNUMBER(Calc!$B$43),(((Calc!$B$23+Calc!$B$25)+Calc!$B$22-Calc!$B$43)*Calc!$B$90),NA())</f>
        <v/>
      </c>
      <c r="F255" t="inlineStr">
        <is>
          <t>dhgh4</t>
        </is>
      </c>
      <c r="G255">
        <f>IF(Calc!$G$3*ISNUMBER(Calc!$G$43),(Calc!$G$91+((IF(OR(Calc!$G$60,Calc!$G$4),0,Calc!$G$24)))*Calc!$G$90),NA())</f>
        <v/>
      </c>
      <c r="H255">
        <f>IF(Calc!$G$3*ISNUMBER(Calc!$G$43),(((Calc!$G$23+Calc!$G$25)+Calc!$G$22-Calc!$G$43)*Calc!$G$90),NA())</f>
        <v/>
      </c>
      <c r="K255" t="inlineStr">
        <is>
          <t>dhgh4</t>
        </is>
      </c>
      <c r="L255">
        <f>IF(Calc!$L$3*ISNUMBER(Calc!$L$43),(Calc!$L$91+((IF(OR(Calc!$L$60,Calc!$L$4),0,Calc!$L$24)))*Calc!$L$90),NA())</f>
        <v/>
      </c>
      <c r="M255">
        <f>IF(Calc!$L$3*ISNUMBER(Calc!$L$43),(((Calc!$L$23+Calc!$L$25)+Calc!$L$22-Calc!$L$43)*Calc!$L$90),NA())</f>
        <v/>
      </c>
      <c r="P255" t="inlineStr">
        <is>
          <t>dhgh4</t>
        </is>
      </c>
      <c r="Q255">
        <f>IF(Calc!$Q$3*ISNUMBER(Calc!$Q$43),(Calc!$Q$91+((IF(OR(Calc!$Q$60,Calc!$Q$4),0,Calc!$Q$24)))*Calc!$Q$90),NA())</f>
        <v/>
      </c>
      <c r="R255">
        <f>IF(Calc!$Q$3*ISNUMBER(Calc!$Q$43),(((Calc!$Q$23+Calc!$Q$25)+Calc!$Q$22-Calc!$Q$43)*Calc!$Q$90),NA())</f>
        <v/>
      </c>
      <c r="U255" t="inlineStr">
        <is>
          <t>dhgh4</t>
        </is>
      </c>
      <c r="V255">
        <f>IF(Calc!$V$3*ISNUMBER(Calc!$V$43),(Calc!$V$91+((IF(OR(Calc!$V$60,Calc!$V$4),0,Calc!$V$24)))*Calc!$V$90),NA())</f>
        <v/>
      </c>
      <c r="W255">
        <f>IF(Calc!$V$3*ISNUMBER(Calc!$V$43),(((Calc!$V$23+Calc!$V$25)+Calc!$V$22-Calc!$V$43)*Calc!$V$90),NA())</f>
        <v/>
      </c>
      <c r="Z255" t="inlineStr">
        <is>
          <t>dhgh4</t>
        </is>
      </c>
      <c r="AA255">
        <f>IF(Calc!$AA$3*ISNUMBER(Calc!$AA$43),(Calc!$AA$91+((IF(OR(Calc!$AA$60,Calc!$AA$4),0,Calc!$AA$24)))*Calc!$AA$90),NA())</f>
        <v/>
      </c>
      <c r="AB255">
        <f>IF(Calc!$AA$3*ISNUMBER(Calc!$AA$43),(((Calc!$AA$23+Calc!$AA$25)+Calc!$AA$22-Calc!$AA$43)*Calc!$AA$90),NA())</f>
        <v/>
      </c>
    </row>
    <row r="256">
      <c r="A256" t="inlineStr">
        <is>
          <t>dhgh4</t>
        </is>
      </c>
      <c r="B256">
        <f>IF(Calc!$B$3*ISNUMBER(Calc!$B$43),(Calc!$B$91+((IF(OR(Calc!$B$60,Calc!$B$4),0,Calc!$B$24)))*Calc!$B$90),NA())</f>
        <v/>
      </c>
      <c r="C256">
        <f>IF(Calc!$B$3*ISNUMBER(Calc!$B$43),(((Calc!$B$23+Calc!$B$25)+Calc!$B$22-Calc!$B$43-4.5)*Calc!$B$90),NA())</f>
        <v/>
      </c>
      <c r="F256" t="inlineStr">
        <is>
          <t>dhgh4</t>
        </is>
      </c>
      <c r="G256">
        <f>IF(Calc!$G$3*ISNUMBER(Calc!$G$43),(Calc!$G$91+((IF(OR(Calc!$G$60,Calc!$G$4),0,Calc!$G$24)))*Calc!$G$90),NA())</f>
        <v/>
      </c>
      <c r="H256">
        <f>IF(Calc!$G$3*ISNUMBER(Calc!$G$43),(((Calc!$G$23+Calc!$G$25)+Calc!$G$22-Calc!$G$43-4.5)*Calc!$G$90),NA())</f>
        <v/>
      </c>
      <c r="K256" t="inlineStr">
        <is>
          <t>dhgh4</t>
        </is>
      </c>
      <c r="L256">
        <f>IF(Calc!$L$3*ISNUMBER(Calc!$L$43),(Calc!$L$91+((IF(OR(Calc!$L$60,Calc!$L$4),0,Calc!$L$24)))*Calc!$L$90),NA())</f>
        <v/>
      </c>
      <c r="M256">
        <f>IF(Calc!$L$3*ISNUMBER(Calc!$L$43),(((Calc!$L$23+Calc!$L$25)+Calc!$L$22-Calc!$L$43-4.5)*Calc!$L$90),NA())</f>
        <v/>
      </c>
      <c r="P256" t="inlineStr">
        <is>
          <t>dhgh4</t>
        </is>
      </c>
      <c r="Q256">
        <f>IF(Calc!$Q$3*ISNUMBER(Calc!$Q$43),(Calc!$Q$91+((IF(OR(Calc!$Q$60,Calc!$Q$4),0,Calc!$Q$24)))*Calc!$Q$90),NA())</f>
        <v/>
      </c>
      <c r="R256">
        <f>IF(Calc!$Q$3*ISNUMBER(Calc!$Q$43),(((Calc!$Q$23+Calc!$Q$25)+Calc!$Q$22-Calc!$Q$43-4.5)*Calc!$Q$90),NA())</f>
        <v/>
      </c>
      <c r="U256" t="inlineStr">
        <is>
          <t>dhgh4</t>
        </is>
      </c>
      <c r="V256">
        <f>IF(Calc!$V$3*ISNUMBER(Calc!$V$43),(Calc!$V$91+((IF(OR(Calc!$V$60,Calc!$V$4),0,Calc!$V$24)))*Calc!$V$90),NA())</f>
        <v/>
      </c>
      <c r="W256">
        <f>IF(Calc!$V$3*ISNUMBER(Calc!$V$43),(((Calc!$V$23+Calc!$V$25)+Calc!$V$22-Calc!$V$43-4.5)*Calc!$V$90),NA())</f>
        <v/>
      </c>
      <c r="Z256" t="inlineStr">
        <is>
          <t>dhgh4</t>
        </is>
      </c>
      <c r="AA256">
        <f>IF(Calc!$AA$3*ISNUMBER(Calc!$AA$43),(Calc!$AA$91+((IF(OR(Calc!$AA$60,Calc!$AA$4),0,Calc!$AA$24)))*Calc!$AA$90),NA())</f>
        <v/>
      </c>
      <c r="AB256">
        <f>IF(Calc!$AA$3*ISNUMBER(Calc!$AA$43),(((Calc!$AA$23+Calc!$AA$25)+Calc!$AA$22-Calc!$AA$43-4.5)*Calc!$AA$90),NA())</f>
        <v/>
      </c>
    </row>
    <row r="258">
      <c r="A258" t="inlineStr">
        <is>
          <t>dhlRh4</t>
        </is>
      </c>
      <c r="B258">
        <f>IF(Calc!$B$3*ISNUMBER(Calc!$B$43)*OR(Calc!$B$60,Calc!$B$4),(Calc!$B$91+((IF(OR(Calc!$B$60,Calc!$B$4),0,Calc!$B$24))-1)*Calc!$B$90),NA())</f>
        <v/>
      </c>
      <c r="C258">
        <f>IF(Calc!$B$3*ISNUMBER(Calc!$B$43)*OR(Calc!$B$60,Calc!$B$4),(((Calc!$B$23+Calc!$B$25)+Calc!$B$22-Calc!$B$43-2.25)*Calc!$B$90),NA())</f>
        <v/>
      </c>
      <c r="D258">
        <f>Calc!$B$74</f>
        <v/>
      </c>
      <c r="F258" t="inlineStr">
        <is>
          <t>dhlRh4</t>
        </is>
      </c>
      <c r="G258">
        <f>IF(Calc!$G$3*ISNUMBER(Calc!$G$43)*OR(Calc!$G$60,Calc!$G$4),(Calc!$G$91+((IF(OR(Calc!$G$60,Calc!$G$4),0,Calc!$G$24))-1)*Calc!$G$90),NA())</f>
        <v/>
      </c>
      <c r="H258">
        <f>IF(Calc!$G$3*ISNUMBER(Calc!$G$43)*OR(Calc!$G$60,Calc!$G$4),(((Calc!$G$23+Calc!$G$25)+Calc!$G$22-Calc!$G$43-2.25)*Calc!$G$90),NA())</f>
        <v/>
      </c>
      <c r="I258">
        <f>Calc!$G$74</f>
        <v/>
      </c>
      <c r="K258" t="inlineStr">
        <is>
          <t>dhlRh4</t>
        </is>
      </c>
      <c r="L258">
        <f>IF(Calc!$L$3*ISNUMBER(Calc!$L$43)*OR(Calc!$L$60,Calc!$L$4),(Calc!$L$91+((IF(OR(Calc!$L$60,Calc!$L$4),0,Calc!$L$24))-1)*Calc!$L$90),NA())</f>
        <v/>
      </c>
      <c r="M258">
        <f>IF(Calc!$L$3*ISNUMBER(Calc!$L$43)*OR(Calc!$L$60,Calc!$L$4),(((Calc!$L$23+Calc!$L$25)+Calc!$L$22-Calc!$L$43-2.25)*Calc!$L$90),NA())</f>
        <v/>
      </c>
      <c r="N258">
        <f>Calc!$L$74</f>
        <v/>
      </c>
      <c r="P258" t="inlineStr">
        <is>
          <t>dhlRh4</t>
        </is>
      </c>
      <c r="Q258">
        <f>IF(Calc!$Q$3*ISNUMBER(Calc!$Q$43)*OR(Calc!$Q$60,Calc!$Q$4),(Calc!$Q$91+((IF(OR(Calc!$Q$60,Calc!$Q$4),0,Calc!$Q$24))-1)*Calc!$Q$90),NA())</f>
        <v/>
      </c>
      <c r="R258">
        <f>IF(Calc!$Q$3*ISNUMBER(Calc!$Q$43)*OR(Calc!$Q$60,Calc!$Q$4),(((Calc!$Q$23+Calc!$Q$25)+Calc!$Q$22-Calc!$Q$43-2.25)*Calc!$Q$90),NA())</f>
        <v/>
      </c>
      <c r="S258">
        <f>Calc!$Q$74</f>
        <v/>
      </c>
      <c r="U258" t="inlineStr">
        <is>
          <t>dhlRh4</t>
        </is>
      </c>
      <c r="V258">
        <f>IF(Calc!$V$3*ISNUMBER(Calc!$V$43)*OR(Calc!$V$60,Calc!$V$4),(Calc!$V$91+((IF(OR(Calc!$V$60,Calc!$V$4),0,Calc!$V$24))-1)*Calc!$V$90),NA())</f>
        <v/>
      </c>
      <c r="W258">
        <f>IF(Calc!$V$3*ISNUMBER(Calc!$V$43)*OR(Calc!$V$60,Calc!$V$4),(((Calc!$V$23+Calc!$V$25)+Calc!$V$22-Calc!$V$43-2.25)*Calc!$V$90),NA())</f>
        <v/>
      </c>
      <c r="X258">
        <f>Calc!$V$74</f>
        <v/>
      </c>
      <c r="Z258" t="inlineStr">
        <is>
          <t>dhlRh4</t>
        </is>
      </c>
      <c r="AA258">
        <f>IF(Calc!$AA$3*ISNUMBER(Calc!$AA$43)*OR(Calc!$AA$60,Calc!$AA$4),(Calc!$AA$91+((IF(OR(Calc!$AA$60,Calc!$AA$4),0,Calc!$AA$24))-1)*Calc!$AA$90),NA())</f>
        <v/>
      </c>
      <c r="AB258">
        <f>IF(Calc!$AA$3*ISNUMBER(Calc!$AA$43)*OR(Calc!$AA$60,Calc!$AA$4),(((Calc!$AA$23+Calc!$AA$25)+Calc!$AA$22-Calc!$AA$43-2.25)*Calc!$AA$90),NA())</f>
        <v/>
      </c>
      <c r="AC258">
        <f>Calc!$AA$74</f>
        <v/>
      </c>
    </row>
    <row r="260">
      <c r="A260" t="inlineStr">
        <is>
          <t>dhlLh4</t>
        </is>
      </c>
      <c r="B260">
        <f>IF(Calc!$B$3*ISNUMBER(Calc!$B$43)*NOT(OR(Calc!$B$60,Calc!$B$4)),(Calc!$B$91+((IF(OR(Calc!$B$60,Calc!$B$4),0,Calc!$B$24))+1)*Calc!$B$90),NA())</f>
        <v/>
      </c>
      <c r="C260">
        <f>IF(Calc!$B$3*ISNUMBER(Calc!$B$43)*NOT(OR(Calc!$B$60,Calc!$B$4)),(((Calc!$B$23+Calc!$B$25)+Calc!$B$22-Calc!$B$43-2.25)*Calc!$B$90),NA())</f>
        <v/>
      </c>
      <c r="D260">
        <f>Calc!$B$74</f>
        <v/>
      </c>
      <c r="F260" t="inlineStr">
        <is>
          <t>dhlLh4</t>
        </is>
      </c>
      <c r="G260">
        <f>IF(Calc!$G$3*ISNUMBER(Calc!$G$43)*NOT(OR(Calc!$G$60,Calc!$G$4)),(Calc!$G$91+((IF(OR(Calc!$G$60,Calc!$G$4),0,Calc!$G$24))+1)*Calc!$G$90),NA())</f>
        <v/>
      </c>
      <c r="H260">
        <f>IF(Calc!$G$3*ISNUMBER(Calc!$G$43)*NOT(OR(Calc!$G$60,Calc!$G$4)),(((Calc!$G$23+Calc!$G$25)+Calc!$G$22-Calc!$G$43-2.25)*Calc!$G$90),NA())</f>
        <v/>
      </c>
      <c r="I260">
        <f>Calc!$G$74</f>
        <v/>
      </c>
      <c r="K260" t="inlineStr">
        <is>
          <t>dhlLh4</t>
        </is>
      </c>
      <c r="L260">
        <f>IF(Calc!$L$3*ISNUMBER(Calc!$L$43)*NOT(OR(Calc!$L$60,Calc!$L$4)),(Calc!$L$91+((IF(OR(Calc!$L$60,Calc!$L$4),0,Calc!$L$24))+1)*Calc!$L$90),NA())</f>
        <v/>
      </c>
      <c r="M260">
        <f>IF(Calc!$L$3*ISNUMBER(Calc!$L$43)*NOT(OR(Calc!$L$60,Calc!$L$4)),(((Calc!$L$23+Calc!$L$25)+Calc!$L$22-Calc!$L$43-2.25)*Calc!$L$90),NA())</f>
        <v/>
      </c>
      <c r="N260">
        <f>Calc!$L$74</f>
        <v/>
      </c>
      <c r="P260" t="inlineStr">
        <is>
          <t>dhlLh4</t>
        </is>
      </c>
      <c r="Q260">
        <f>IF(Calc!$Q$3*ISNUMBER(Calc!$Q$43)*NOT(OR(Calc!$Q$60,Calc!$Q$4)),(Calc!$Q$91+((IF(OR(Calc!$Q$60,Calc!$Q$4),0,Calc!$Q$24))+1)*Calc!$Q$90),NA())</f>
        <v/>
      </c>
      <c r="R260">
        <f>IF(Calc!$Q$3*ISNUMBER(Calc!$Q$43)*NOT(OR(Calc!$Q$60,Calc!$Q$4)),(((Calc!$Q$23+Calc!$Q$25)+Calc!$Q$22-Calc!$Q$43-2.25)*Calc!$Q$90),NA())</f>
        <v/>
      </c>
      <c r="S260">
        <f>Calc!$Q$74</f>
        <v/>
      </c>
      <c r="U260" t="inlineStr">
        <is>
          <t>dhlLh4</t>
        </is>
      </c>
      <c r="V260">
        <f>IF(Calc!$V$3*ISNUMBER(Calc!$V$43)*NOT(OR(Calc!$V$60,Calc!$V$4)),(Calc!$V$91+((IF(OR(Calc!$V$60,Calc!$V$4),0,Calc!$V$24))+1)*Calc!$V$90),NA())</f>
        <v/>
      </c>
      <c r="W260">
        <f>IF(Calc!$V$3*ISNUMBER(Calc!$V$43)*NOT(OR(Calc!$V$60,Calc!$V$4)),(((Calc!$V$23+Calc!$V$25)+Calc!$V$22-Calc!$V$43-2.25)*Calc!$V$90),NA())</f>
        <v/>
      </c>
      <c r="X260">
        <f>Calc!$V$74</f>
        <v/>
      </c>
      <c r="Z260" t="inlineStr">
        <is>
          <t>dhlLh4</t>
        </is>
      </c>
      <c r="AA260">
        <f>IF(Calc!$AA$3*ISNUMBER(Calc!$AA$43)*NOT(OR(Calc!$AA$60,Calc!$AA$4)),(Calc!$AA$91+((IF(OR(Calc!$AA$60,Calc!$AA$4),0,Calc!$AA$24))+1)*Calc!$AA$90),NA())</f>
        <v/>
      </c>
      <c r="AB260">
        <f>IF(Calc!$AA$3*ISNUMBER(Calc!$AA$43)*NOT(OR(Calc!$AA$60,Calc!$AA$4)),(((Calc!$AA$23+Calc!$AA$25)+Calc!$AA$22-Calc!$AA$43-2.25)*Calc!$AA$90),NA())</f>
        <v/>
      </c>
      <c r="AC260">
        <f>Calc!$AA$74</f>
        <v/>
      </c>
    </row>
    <row r="262">
      <c r="A262" t="inlineStr">
        <is>
          <t>lkcylE</t>
        </is>
      </c>
      <c r="B262">
        <f>IF(Calc!$B$3*ISNUMBER(Calc!$B$49),(Calc!$B$91+((IF(OR(Calc!$B$60,Calc!$B$4),Calc!$B$24,0))+IF(OR(Calc!$B$60,Calc!$B$4),-2.375,2.375))*Calc!$B$90),NA())</f>
        <v/>
      </c>
      <c r="C262">
        <f>IF(Calc!$B$3*ISNUMBER(Calc!$B$49),(((Calc!$B$23+Calc!$B$25)-Calc!$B$49)*Calc!$B$90),NA())</f>
        <v/>
      </c>
      <c r="F262" t="inlineStr">
        <is>
          <t>lkcylE</t>
        </is>
      </c>
      <c r="G262">
        <f>IF(Calc!$G$3*ISNUMBER(Calc!$G$49),(Calc!$G$91+((IF(OR(Calc!$G$60,Calc!$G$4),Calc!$G$24,0))+IF(OR(Calc!$G$60,Calc!$G$4),-2.375,2.375))*Calc!$G$90),NA())</f>
        <v/>
      </c>
      <c r="H262">
        <f>IF(Calc!$G$3*ISNUMBER(Calc!$G$49),(((Calc!$G$23+Calc!$G$25)-Calc!$G$49)*Calc!$G$90),NA())</f>
        <v/>
      </c>
      <c r="K262" t="inlineStr">
        <is>
          <t>lkcylE</t>
        </is>
      </c>
      <c r="L262">
        <f>IF(Calc!$L$3*ISNUMBER(Calc!$L$49),(Calc!$L$91+((IF(OR(Calc!$L$60,Calc!$L$4),Calc!$L$24,0))+IF(OR(Calc!$L$60,Calc!$L$4),-2.375,2.375))*Calc!$L$90),NA())</f>
        <v/>
      </c>
      <c r="M262">
        <f>IF(Calc!$L$3*ISNUMBER(Calc!$L$49),(((Calc!$L$23+Calc!$L$25)-Calc!$L$49)*Calc!$L$90),NA())</f>
        <v/>
      </c>
      <c r="P262" t="inlineStr">
        <is>
          <t>lkcylE</t>
        </is>
      </c>
      <c r="Q262">
        <f>IF(Calc!$Q$3*ISNUMBER(Calc!$Q$49),(Calc!$Q$91+((IF(OR(Calc!$Q$60,Calc!$Q$4),Calc!$Q$24,0))+IF(OR(Calc!$Q$60,Calc!$Q$4),-2.375,2.375))*Calc!$Q$90),NA())</f>
        <v/>
      </c>
      <c r="R262">
        <f>IF(Calc!$Q$3*ISNUMBER(Calc!$Q$49),(((Calc!$Q$23+Calc!$Q$25)-Calc!$Q$49)*Calc!$Q$90),NA())</f>
        <v/>
      </c>
      <c r="U262" t="inlineStr">
        <is>
          <t>lkcylE</t>
        </is>
      </c>
      <c r="V262">
        <f>IF(Calc!$V$3*ISNUMBER(Calc!$V$49),(Calc!$V$91+((IF(OR(Calc!$V$60,Calc!$V$4),Calc!$V$24,0))+IF(OR(Calc!$V$60,Calc!$V$4),-2.375,2.375))*Calc!$V$90),NA())</f>
        <v/>
      </c>
      <c r="W262">
        <f>IF(Calc!$V$3*ISNUMBER(Calc!$V$49),(((Calc!$V$23+Calc!$V$25)-Calc!$V$49)*Calc!$V$90),NA())</f>
        <v/>
      </c>
      <c r="Z262" t="inlineStr">
        <is>
          <t>lkcylE</t>
        </is>
      </c>
      <c r="AA262">
        <f>IF(Calc!$AA$3*ISNUMBER(Calc!$AA$49),(Calc!$AA$91+((IF(OR(Calc!$AA$60,Calc!$AA$4),Calc!$AA$24,0))+IF(OR(Calc!$AA$60,Calc!$AA$4),-2.375,2.375))*Calc!$AA$90),NA())</f>
        <v/>
      </c>
      <c r="AB262">
        <f>IF(Calc!$AA$3*ISNUMBER(Calc!$AA$49),(((Calc!$AA$23+Calc!$AA$25)-Calc!$AA$49)*Calc!$AA$90),NA())</f>
        <v/>
      </c>
    </row>
    <row r="264">
      <c r="A264" t="inlineStr">
        <is>
          <t>lklRcylE</t>
        </is>
      </c>
      <c r="B264">
        <f>IF(Calc!$B$3*ISNUMBER(Calc!$B$49)*OR(Calc!$B$60,Calc!$B$4),(Calc!$B$91+(IF(Calc!$B$4,2*Calc!$B$24+1,Calc!$B$24)+1)*Calc!$B$90),NA())</f>
        <v/>
      </c>
      <c r="C264">
        <f>IF(Calc!$B$3*ISNUMBER(Calc!$B$49)*OR(Calc!$B$60,Calc!$B$4),(((Calc!$B$23+Calc!$B$25)-Calc!$B$49)*Calc!$B$90),NA())</f>
        <v/>
      </c>
      <c r="D264">
        <f>Calc!$B$77</f>
        <v/>
      </c>
      <c r="F264" t="inlineStr">
        <is>
          <t>lklRcylE</t>
        </is>
      </c>
      <c r="G264">
        <f>IF(Calc!$G$3*ISNUMBER(Calc!$G$49)*OR(Calc!$G$60,Calc!$G$4),(Calc!$G$91+(IF(Calc!$G$4,2*Calc!$G$24+1,Calc!$G$24)+1)*Calc!$G$90),NA())</f>
        <v/>
      </c>
      <c r="H264">
        <f>IF(Calc!$G$3*ISNUMBER(Calc!$G$49)*OR(Calc!$G$60,Calc!$G$4),(((Calc!$G$23+Calc!$G$25)-Calc!$G$49)*Calc!$G$90),NA())</f>
        <v/>
      </c>
      <c r="I264">
        <f>Calc!$G$77</f>
        <v/>
      </c>
      <c r="K264" t="inlineStr">
        <is>
          <t>lklRcylE</t>
        </is>
      </c>
      <c r="L264">
        <f>IF(Calc!$L$3*ISNUMBER(Calc!$L$49)*OR(Calc!$L$60,Calc!$L$4),(Calc!$L$91+(IF(Calc!$L$4,2*Calc!$L$24+1,Calc!$L$24)+1)*Calc!$L$90),NA())</f>
        <v/>
      </c>
      <c r="M264">
        <f>IF(Calc!$L$3*ISNUMBER(Calc!$L$49)*OR(Calc!$L$60,Calc!$L$4),(((Calc!$L$23+Calc!$L$25)-Calc!$L$49)*Calc!$L$90),NA())</f>
        <v/>
      </c>
      <c r="N264">
        <f>Calc!$L$77</f>
        <v/>
      </c>
      <c r="P264" t="inlineStr">
        <is>
          <t>lklRcylE</t>
        </is>
      </c>
      <c r="Q264">
        <f>IF(Calc!$Q$3*ISNUMBER(Calc!$Q$49)*OR(Calc!$Q$60,Calc!$Q$4),(Calc!$Q$91+(IF(Calc!$Q$4,2*Calc!$Q$24+1,Calc!$Q$24)+1)*Calc!$Q$90),NA())</f>
        <v/>
      </c>
      <c r="R264">
        <f>IF(Calc!$Q$3*ISNUMBER(Calc!$Q$49)*OR(Calc!$Q$60,Calc!$Q$4),(((Calc!$Q$23+Calc!$Q$25)-Calc!$Q$49)*Calc!$Q$90),NA())</f>
        <v/>
      </c>
      <c r="S264">
        <f>Calc!$Q$77</f>
        <v/>
      </c>
      <c r="U264" t="inlineStr">
        <is>
          <t>lklRcylE</t>
        </is>
      </c>
      <c r="V264">
        <f>IF(Calc!$V$3*ISNUMBER(Calc!$V$49)*OR(Calc!$V$60,Calc!$V$4),(Calc!$V$91+(IF(Calc!$V$4,2*Calc!$V$24+1,Calc!$V$24)+1)*Calc!$V$90),NA())</f>
        <v/>
      </c>
      <c r="W264">
        <f>IF(Calc!$V$3*ISNUMBER(Calc!$V$49)*OR(Calc!$V$60,Calc!$V$4),(((Calc!$V$23+Calc!$V$25)-Calc!$V$49)*Calc!$V$90),NA())</f>
        <v/>
      </c>
      <c r="X264">
        <f>Calc!$V$77</f>
        <v/>
      </c>
      <c r="Z264" t="inlineStr">
        <is>
          <t>lklRcylE</t>
        </is>
      </c>
      <c r="AA264">
        <f>IF(Calc!$AA$3*ISNUMBER(Calc!$AA$49)*OR(Calc!$AA$60,Calc!$AA$4),(Calc!$AA$91+(IF(Calc!$AA$4,2*Calc!$AA$24+1,Calc!$AA$24)+1)*Calc!$AA$90),NA())</f>
        <v/>
      </c>
      <c r="AB264">
        <f>IF(Calc!$AA$3*ISNUMBER(Calc!$AA$49)*OR(Calc!$AA$60,Calc!$AA$4),(((Calc!$AA$23+Calc!$AA$25)-Calc!$AA$49)*Calc!$AA$90),NA())</f>
        <v/>
      </c>
      <c r="AC264">
        <f>Calc!$AA$77</f>
        <v/>
      </c>
    </row>
    <row r="266">
      <c r="A266" t="inlineStr">
        <is>
          <t>lklLcylE</t>
        </is>
      </c>
      <c r="B266">
        <f>IF(Calc!$B$3*ISNUMBER(Calc!$B$49)*NOT(OR(Calc!$B$60,Calc!$B$4)),(Calc!$B$91+(-1)*Calc!$B$90),NA())</f>
        <v/>
      </c>
      <c r="C266">
        <f>IF(Calc!$B$3*ISNUMBER(Calc!$B$49)*NOT(OR(Calc!$B$60,Calc!$B$4)),(((Calc!$B$23+Calc!$B$25)-Calc!$B$49)*Calc!$B$90),NA())</f>
        <v/>
      </c>
      <c r="D266">
        <f>Calc!$B$77</f>
        <v/>
      </c>
      <c r="F266" t="inlineStr">
        <is>
          <t>lklLcylE</t>
        </is>
      </c>
      <c r="G266">
        <f>IF(Calc!$G$3*ISNUMBER(Calc!$G$49)*NOT(OR(Calc!$G$60,Calc!$G$4)),(Calc!$G$91+(-1)*Calc!$G$90),NA())</f>
        <v/>
      </c>
      <c r="H266">
        <f>IF(Calc!$G$3*ISNUMBER(Calc!$G$49)*NOT(OR(Calc!$G$60,Calc!$G$4)),(((Calc!$G$23+Calc!$G$25)-Calc!$G$49)*Calc!$G$90),NA())</f>
        <v/>
      </c>
      <c r="I266">
        <f>Calc!$G$77</f>
        <v/>
      </c>
      <c r="K266" t="inlineStr">
        <is>
          <t>lklLcylE</t>
        </is>
      </c>
      <c r="L266">
        <f>IF(Calc!$L$3*ISNUMBER(Calc!$L$49)*NOT(OR(Calc!$L$60,Calc!$L$4)),(Calc!$L$91+(-1)*Calc!$L$90),NA())</f>
        <v/>
      </c>
      <c r="M266">
        <f>IF(Calc!$L$3*ISNUMBER(Calc!$L$49)*NOT(OR(Calc!$L$60,Calc!$L$4)),(((Calc!$L$23+Calc!$L$25)-Calc!$L$49)*Calc!$L$90),NA())</f>
        <v/>
      </c>
      <c r="N266">
        <f>Calc!$L$77</f>
        <v/>
      </c>
      <c r="P266" t="inlineStr">
        <is>
          <t>lklLcylE</t>
        </is>
      </c>
      <c r="Q266">
        <f>IF(Calc!$Q$3*ISNUMBER(Calc!$Q$49)*NOT(OR(Calc!$Q$60,Calc!$Q$4)),(Calc!$Q$91+(-1)*Calc!$Q$90),NA())</f>
        <v/>
      </c>
      <c r="R266">
        <f>IF(Calc!$Q$3*ISNUMBER(Calc!$Q$49)*NOT(OR(Calc!$Q$60,Calc!$Q$4)),(((Calc!$Q$23+Calc!$Q$25)-Calc!$Q$49)*Calc!$Q$90),NA())</f>
        <v/>
      </c>
      <c r="S266">
        <f>Calc!$Q$77</f>
        <v/>
      </c>
      <c r="U266" t="inlineStr">
        <is>
          <t>lklLcylE</t>
        </is>
      </c>
      <c r="V266">
        <f>IF(Calc!$V$3*ISNUMBER(Calc!$V$49)*NOT(OR(Calc!$V$60,Calc!$V$4)),(Calc!$V$91+(-1)*Calc!$V$90),NA())</f>
        <v/>
      </c>
      <c r="W266">
        <f>IF(Calc!$V$3*ISNUMBER(Calc!$V$49)*NOT(OR(Calc!$V$60,Calc!$V$4)),(((Calc!$V$23+Calc!$V$25)-Calc!$V$49)*Calc!$V$90),NA())</f>
        <v/>
      </c>
      <c r="X266">
        <f>Calc!$V$77</f>
        <v/>
      </c>
      <c r="Z266" t="inlineStr">
        <is>
          <t>lklLcylE</t>
        </is>
      </c>
      <c r="AA266">
        <f>IF(Calc!$AA$3*ISNUMBER(Calc!$AA$49)*NOT(OR(Calc!$AA$60,Calc!$AA$4)),(Calc!$AA$91+(-1)*Calc!$AA$90),NA())</f>
        <v/>
      </c>
      <c r="AB266">
        <f>IF(Calc!$AA$3*ISNUMBER(Calc!$AA$49)*NOT(OR(Calc!$AA$60,Calc!$AA$4)),(((Calc!$AA$23+Calc!$AA$25)-Calc!$AA$49)*Calc!$AA$90),NA())</f>
        <v/>
      </c>
      <c r="AC266">
        <f>Calc!$AA$77</f>
        <v/>
      </c>
    </row>
    <row r="268">
      <c r="A268" t="inlineStr">
        <is>
          <t>lkcyl2</t>
        </is>
      </c>
      <c r="B268">
        <f>IF(Calc!$B$3*ISNUMBER(Calc!$B$50),(Calc!$B$91+((IF(OR(Calc!$B$60,Calc!$B$4),Calc!$B$24,0))+IF(OR(Calc!$B$60,Calc!$B$4),-2.375,2.375))*Calc!$B$90),NA())</f>
        <v/>
      </c>
      <c r="C268">
        <f>IF(Calc!$B$3*ISNUMBER(Calc!$B$50),(((Calc!$B$23+Calc!$B$25)-Calc!$B$50)*Calc!$B$90),NA())</f>
        <v/>
      </c>
      <c r="F268" t="inlineStr">
        <is>
          <t>lkcyl2</t>
        </is>
      </c>
      <c r="G268">
        <f>IF(Calc!$G$3*ISNUMBER(Calc!$G$50),(Calc!$G$91+((IF(OR(Calc!$G$60,Calc!$G$4),Calc!$G$24,0))+IF(OR(Calc!$G$60,Calc!$G$4),-2.375,2.375))*Calc!$G$90),NA())</f>
        <v/>
      </c>
      <c r="H268">
        <f>IF(Calc!$G$3*ISNUMBER(Calc!$G$50),(((Calc!$G$23+Calc!$G$25)-Calc!$G$50)*Calc!$G$90),NA())</f>
        <v/>
      </c>
      <c r="K268" t="inlineStr">
        <is>
          <t>lkcyl2</t>
        </is>
      </c>
      <c r="L268">
        <f>IF(Calc!$L$3*ISNUMBER(Calc!$L$50),(Calc!$L$91+((IF(OR(Calc!$L$60,Calc!$L$4),Calc!$L$24,0))+IF(OR(Calc!$L$60,Calc!$L$4),-2.375,2.375))*Calc!$L$90),NA())</f>
        <v/>
      </c>
      <c r="M268">
        <f>IF(Calc!$L$3*ISNUMBER(Calc!$L$50),(((Calc!$L$23+Calc!$L$25)-Calc!$L$50)*Calc!$L$90),NA())</f>
        <v/>
      </c>
      <c r="P268" t="inlineStr">
        <is>
          <t>lkcyl2</t>
        </is>
      </c>
      <c r="Q268">
        <f>IF(Calc!$Q$3*ISNUMBER(Calc!$Q$50),(Calc!$Q$91+((IF(OR(Calc!$Q$60,Calc!$Q$4),Calc!$Q$24,0))+IF(OR(Calc!$Q$60,Calc!$Q$4),-2.375,2.375))*Calc!$Q$90),NA())</f>
        <v/>
      </c>
      <c r="R268">
        <f>IF(Calc!$Q$3*ISNUMBER(Calc!$Q$50),(((Calc!$Q$23+Calc!$Q$25)-Calc!$Q$50)*Calc!$Q$90),NA())</f>
        <v/>
      </c>
      <c r="U268" t="inlineStr">
        <is>
          <t>lkcyl2</t>
        </is>
      </c>
      <c r="V268">
        <f>IF(Calc!$V$3*ISNUMBER(Calc!$V$50),(Calc!$V$91+((IF(OR(Calc!$V$60,Calc!$V$4),Calc!$V$24,0))+IF(OR(Calc!$V$60,Calc!$V$4),-2.375,2.375))*Calc!$V$90),NA())</f>
        <v/>
      </c>
      <c r="W268">
        <f>IF(Calc!$V$3*ISNUMBER(Calc!$V$50),(((Calc!$V$23+Calc!$V$25)-Calc!$V$50)*Calc!$V$90),NA())</f>
        <v/>
      </c>
      <c r="Z268" t="inlineStr">
        <is>
          <t>lkcyl2</t>
        </is>
      </c>
      <c r="AA268">
        <f>IF(Calc!$AA$3*ISNUMBER(Calc!$AA$50),(Calc!$AA$91+((IF(OR(Calc!$AA$60,Calc!$AA$4),Calc!$AA$24,0))+IF(OR(Calc!$AA$60,Calc!$AA$4),-2.375,2.375))*Calc!$AA$90),NA())</f>
        <v/>
      </c>
      <c r="AB268">
        <f>IF(Calc!$AA$3*ISNUMBER(Calc!$AA$50),(((Calc!$AA$23+Calc!$AA$25)-Calc!$AA$50)*Calc!$AA$90),NA())</f>
        <v/>
      </c>
    </row>
    <row r="270">
      <c r="A270" t="inlineStr">
        <is>
          <t>lklRcyl2</t>
        </is>
      </c>
      <c r="B270">
        <f>IF(Calc!$B$3*ISNUMBER(Calc!$B$50)*OR(Calc!$B$60,Calc!$B$4),(Calc!$B$91+(IF(Calc!$B$4,2*Calc!$B$24+1,Calc!$B$24)+1)*Calc!$B$90),NA())</f>
        <v/>
      </c>
      <c r="C270">
        <f>IF(Calc!$B$3*ISNUMBER(Calc!$B$50)*OR(Calc!$B$60,Calc!$B$4),(((Calc!$B$23+Calc!$B$25)-Calc!$B$50)*Calc!$B$90),NA())</f>
        <v/>
      </c>
      <c r="D270">
        <f>Calc!$B$78</f>
        <v/>
      </c>
      <c r="F270" t="inlineStr">
        <is>
          <t>lklRcyl2</t>
        </is>
      </c>
      <c r="G270">
        <f>IF(Calc!$G$3*ISNUMBER(Calc!$G$50)*OR(Calc!$G$60,Calc!$G$4),(Calc!$G$91+(IF(Calc!$G$4,2*Calc!$G$24+1,Calc!$G$24)+1)*Calc!$G$90),NA())</f>
        <v/>
      </c>
      <c r="H270">
        <f>IF(Calc!$G$3*ISNUMBER(Calc!$G$50)*OR(Calc!$G$60,Calc!$G$4),(((Calc!$G$23+Calc!$G$25)-Calc!$G$50)*Calc!$G$90),NA())</f>
        <v/>
      </c>
      <c r="I270">
        <f>Calc!$G$78</f>
        <v/>
      </c>
      <c r="K270" t="inlineStr">
        <is>
          <t>lklRcyl2</t>
        </is>
      </c>
      <c r="L270">
        <f>IF(Calc!$L$3*ISNUMBER(Calc!$L$50)*OR(Calc!$L$60,Calc!$L$4),(Calc!$L$91+(IF(Calc!$L$4,2*Calc!$L$24+1,Calc!$L$24)+1)*Calc!$L$90),NA())</f>
        <v/>
      </c>
      <c r="M270">
        <f>IF(Calc!$L$3*ISNUMBER(Calc!$L$50)*OR(Calc!$L$60,Calc!$L$4),(((Calc!$L$23+Calc!$L$25)-Calc!$L$50)*Calc!$L$90),NA())</f>
        <v/>
      </c>
      <c r="N270">
        <f>Calc!$L$78</f>
        <v/>
      </c>
      <c r="P270" t="inlineStr">
        <is>
          <t>lklRcyl2</t>
        </is>
      </c>
      <c r="Q270">
        <f>IF(Calc!$Q$3*ISNUMBER(Calc!$Q$50)*OR(Calc!$Q$60,Calc!$Q$4),(Calc!$Q$91+(IF(Calc!$Q$4,2*Calc!$Q$24+1,Calc!$Q$24)+1)*Calc!$Q$90),NA())</f>
        <v/>
      </c>
      <c r="R270">
        <f>IF(Calc!$Q$3*ISNUMBER(Calc!$Q$50)*OR(Calc!$Q$60,Calc!$Q$4),(((Calc!$Q$23+Calc!$Q$25)-Calc!$Q$50)*Calc!$Q$90),NA())</f>
        <v/>
      </c>
      <c r="S270">
        <f>Calc!$Q$78</f>
        <v/>
      </c>
      <c r="U270" t="inlineStr">
        <is>
          <t>lklRcyl2</t>
        </is>
      </c>
      <c r="V270">
        <f>IF(Calc!$V$3*ISNUMBER(Calc!$V$50)*OR(Calc!$V$60,Calc!$V$4),(Calc!$V$91+(IF(Calc!$V$4,2*Calc!$V$24+1,Calc!$V$24)+1)*Calc!$V$90),NA())</f>
        <v/>
      </c>
      <c r="W270">
        <f>IF(Calc!$V$3*ISNUMBER(Calc!$V$50)*OR(Calc!$V$60,Calc!$V$4),(((Calc!$V$23+Calc!$V$25)-Calc!$V$50)*Calc!$V$90),NA())</f>
        <v/>
      </c>
      <c r="X270">
        <f>Calc!$V$78</f>
        <v/>
      </c>
      <c r="Z270" t="inlineStr">
        <is>
          <t>lklRcyl2</t>
        </is>
      </c>
      <c r="AA270">
        <f>IF(Calc!$AA$3*ISNUMBER(Calc!$AA$50)*OR(Calc!$AA$60,Calc!$AA$4),(Calc!$AA$91+(IF(Calc!$AA$4,2*Calc!$AA$24+1,Calc!$AA$24)+1)*Calc!$AA$90),NA())</f>
        <v/>
      </c>
      <c r="AB270">
        <f>IF(Calc!$AA$3*ISNUMBER(Calc!$AA$50)*OR(Calc!$AA$60,Calc!$AA$4),(((Calc!$AA$23+Calc!$AA$25)-Calc!$AA$50)*Calc!$AA$90),NA())</f>
        <v/>
      </c>
      <c r="AC270">
        <f>Calc!$AA$78</f>
        <v/>
      </c>
    </row>
    <row r="272">
      <c r="A272" t="inlineStr">
        <is>
          <t>lklLcyl2</t>
        </is>
      </c>
      <c r="B272">
        <f>IF(Calc!$B$3*ISNUMBER(Calc!$B$50)*NOT(OR(Calc!$B$60,Calc!$B$4)),(Calc!$B$91+(-1)*Calc!$B$90),NA())</f>
        <v/>
      </c>
      <c r="C272">
        <f>IF(Calc!$B$3*ISNUMBER(Calc!$B$50)*NOT(OR(Calc!$B$60,Calc!$B$4)),(((Calc!$B$23+Calc!$B$25)-Calc!$B$50)*Calc!$B$90),NA())</f>
        <v/>
      </c>
      <c r="D272">
        <f>Calc!$B$78</f>
        <v/>
      </c>
      <c r="F272" t="inlineStr">
        <is>
          <t>lklLcyl2</t>
        </is>
      </c>
      <c r="G272">
        <f>IF(Calc!$G$3*ISNUMBER(Calc!$G$50)*NOT(OR(Calc!$G$60,Calc!$G$4)),(Calc!$G$91+(-1)*Calc!$G$90),NA())</f>
        <v/>
      </c>
      <c r="H272">
        <f>IF(Calc!$G$3*ISNUMBER(Calc!$G$50)*NOT(OR(Calc!$G$60,Calc!$G$4)),(((Calc!$G$23+Calc!$G$25)-Calc!$G$50)*Calc!$G$90),NA())</f>
        <v/>
      </c>
      <c r="I272">
        <f>Calc!$G$78</f>
        <v/>
      </c>
      <c r="K272" t="inlineStr">
        <is>
          <t>lklLcyl2</t>
        </is>
      </c>
      <c r="L272">
        <f>IF(Calc!$L$3*ISNUMBER(Calc!$L$50)*NOT(OR(Calc!$L$60,Calc!$L$4)),(Calc!$L$91+(-1)*Calc!$L$90),NA())</f>
        <v/>
      </c>
      <c r="M272">
        <f>IF(Calc!$L$3*ISNUMBER(Calc!$L$50)*NOT(OR(Calc!$L$60,Calc!$L$4)),(((Calc!$L$23+Calc!$L$25)-Calc!$L$50)*Calc!$L$90),NA())</f>
        <v/>
      </c>
      <c r="N272">
        <f>Calc!$L$78</f>
        <v/>
      </c>
      <c r="P272" t="inlineStr">
        <is>
          <t>lklLcyl2</t>
        </is>
      </c>
      <c r="Q272">
        <f>IF(Calc!$Q$3*ISNUMBER(Calc!$Q$50)*NOT(OR(Calc!$Q$60,Calc!$Q$4)),(Calc!$Q$91+(-1)*Calc!$Q$90),NA())</f>
        <v/>
      </c>
      <c r="R272">
        <f>IF(Calc!$Q$3*ISNUMBER(Calc!$Q$50)*NOT(OR(Calc!$Q$60,Calc!$Q$4)),(((Calc!$Q$23+Calc!$Q$25)-Calc!$Q$50)*Calc!$Q$90),NA())</f>
        <v/>
      </c>
      <c r="S272">
        <f>Calc!$Q$78</f>
        <v/>
      </c>
      <c r="U272" t="inlineStr">
        <is>
          <t>lklLcyl2</t>
        </is>
      </c>
      <c r="V272">
        <f>IF(Calc!$V$3*ISNUMBER(Calc!$V$50)*NOT(OR(Calc!$V$60,Calc!$V$4)),(Calc!$V$91+(-1)*Calc!$V$90),NA())</f>
        <v/>
      </c>
      <c r="W272">
        <f>IF(Calc!$V$3*ISNUMBER(Calc!$V$50)*NOT(OR(Calc!$V$60,Calc!$V$4)),(((Calc!$V$23+Calc!$V$25)-Calc!$V$50)*Calc!$V$90),NA())</f>
        <v/>
      </c>
      <c r="X272">
        <f>Calc!$V$78</f>
        <v/>
      </c>
      <c r="Z272" t="inlineStr">
        <is>
          <t>lklLcyl2</t>
        </is>
      </c>
      <c r="AA272">
        <f>IF(Calc!$AA$3*ISNUMBER(Calc!$AA$50)*NOT(OR(Calc!$AA$60,Calc!$AA$4)),(Calc!$AA$91+(-1)*Calc!$AA$90),NA())</f>
        <v/>
      </c>
      <c r="AB272">
        <f>IF(Calc!$AA$3*ISNUMBER(Calc!$AA$50)*NOT(OR(Calc!$AA$60,Calc!$AA$4)),(((Calc!$AA$23+Calc!$AA$25)-Calc!$AA$50)*Calc!$AA$90),NA())</f>
        <v/>
      </c>
      <c r="AC272">
        <f>Calc!$AA$78</f>
        <v/>
      </c>
    </row>
    <row r="274">
      <c r="A274" t="inlineStr">
        <is>
          <t>lkmcl</t>
        </is>
      </c>
      <c r="B274">
        <f>IF(Calc!$B$3*ISNUMBER(Calc!$B$52)*NOT(ISNUMBER(Calc!$B$49)),(Calc!$B$91+((IF(OR(Calc!$B$60,Calc!$B$4),Calc!$B$24,0))+IF(OR(Calc!$B$60,Calc!$B$4),-2.375,2.375))*Calc!$B$90),NA())</f>
        <v/>
      </c>
      <c r="C274">
        <f>IF(Calc!$B$3*ISNUMBER(Calc!$B$52)*NOT(ISNUMBER(Calc!$B$49)),(((Calc!$B$23+Calc!$B$25)-Calc!$B$52)*Calc!$B$90),NA())</f>
        <v/>
      </c>
      <c r="F274" t="inlineStr">
        <is>
          <t>lkmcl</t>
        </is>
      </c>
      <c r="G274">
        <f>IF(Calc!$G$3*ISNUMBER(Calc!$G$52)*NOT(ISNUMBER(Calc!$G$49)),(Calc!$G$91+((IF(OR(Calc!$G$60,Calc!$G$4),Calc!$G$24,0))+IF(OR(Calc!$G$60,Calc!$G$4),-2.375,2.375))*Calc!$G$90),NA())</f>
        <v/>
      </c>
      <c r="H274">
        <f>IF(Calc!$G$3*ISNUMBER(Calc!$G$52)*NOT(ISNUMBER(Calc!$G$49)),(((Calc!$G$23+Calc!$G$25)-Calc!$G$52)*Calc!$G$90),NA())</f>
        <v/>
      </c>
      <c r="K274" t="inlineStr">
        <is>
          <t>lkmcl</t>
        </is>
      </c>
      <c r="L274">
        <f>IF(Calc!$L$3*ISNUMBER(Calc!$L$52)*NOT(ISNUMBER(Calc!$L$49)),(Calc!$L$91+((IF(OR(Calc!$L$60,Calc!$L$4),Calc!$L$24,0))+IF(OR(Calc!$L$60,Calc!$L$4),-2.375,2.375))*Calc!$L$90),NA())</f>
        <v/>
      </c>
      <c r="M274">
        <f>IF(Calc!$L$3*ISNUMBER(Calc!$L$52)*NOT(ISNUMBER(Calc!$L$49)),(((Calc!$L$23+Calc!$L$25)-Calc!$L$52)*Calc!$L$90),NA())</f>
        <v/>
      </c>
      <c r="P274" t="inlineStr">
        <is>
          <t>lkmcl</t>
        </is>
      </c>
      <c r="Q274">
        <f>IF(Calc!$Q$3*ISNUMBER(Calc!$Q$52)*NOT(ISNUMBER(Calc!$Q$49)),(Calc!$Q$91+((IF(OR(Calc!$Q$60,Calc!$Q$4),Calc!$Q$24,0))+IF(OR(Calc!$Q$60,Calc!$Q$4),-2.375,2.375))*Calc!$Q$90),NA())</f>
        <v/>
      </c>
      <c r="R274">
        <f>IF(Calc!$Q$3*ISNUMBER(Calc!$Q$52)*NOT(ISNUMBER(Calc!$Q$49)),(((Calc!$Q$23+Calc!$Q$25)-Calc!$Q$52)*Calc!$Q$90),NA())</f>
        <v/>
      </c>
      <c r="U274" t="inlineStr">
        <is>
          <t>lkmcl</t>
        </is>
      </c>
      <c r="V274">
        <f>IF(Calc!$V$3*ISNUMBER(Calc!$V$52)*NOT(ISNUMBER(Calc!$V$49)),(Calc!$V$91+((IF(OR(Calc!$V$60,Calc!$V$4),Calc!$V$24,0))+IF(OR(Calc!$V$60,Calc!$V$4),-2.375,2.375))*Calc!$V$90),NA())</f>
        <v/>
      </c>
      <c r="W274">
        <f>IF(Calc!$V$3*ISNUMBER(Calc!$V$52)*NOT(ISNUMBER(Calc!$V$49)),(((Calc!$V$23+Calc!$V$25)-Calc!$V$52)*Calc!$V$90),NA())</f>
        <v/>
      </c>
      <c r="Z274" t="inlineStr">
        <is>
          <t>lkmcl</t>
        </is>
      </c>
      <c r="AA274">
        <f>IF(Calc!$AA$3*ISNUMBER(Calc!$AA$52)*NOT(ISNUMBER(Calc!$AA$49)),(Calc!$AA$91+((IF(OR(Calc!$AA$60,Calc!$AA$4),Calc!$AA$24,0))+IF(OR(Calc!$AA$60,Calc!$AA$4),-2.375,2.375))*Calc!$AA$90),NA())</f>
        <v/>
      </c>
      <c r="AB274">
        <f>IF(Calc!$AA$3*ISNUMBER(Calc!$AA$52)*NOT(ISNUMBER(Calc!$AA$49)),(((Calc!$AA$23+Calc!$AA$25)-Calc!$AA$52)*Calc!$AA$90),NA())</f>
        <v/>
      </c>
    </row>
    <row r="276">
      <c r="A276" t="inlineStr">
        <is>
          <t>lklRmcl</t>
        </is>
      </c>
      <c r="B276">
        <f>IF(Calc!$B$3*ISNUMBER(Calc!$B$52)*NOT(ISNUMBER(Calc!$B$49))*OR(Calc!$B$60,Calc!$B$4),(Calc!$B$91+(IF(Calc!$B$4,2*Calc!$B$24+1,Calc!$B$24)+1)*Calc!$B$90),NA())</f>
        <v/>
      </c>
      <c r="C276">
        <f>IF(Calc!$B$3*ISNUMBER(Calc!$B$52)*NOT(ISNUMBER(Calc!$B$49))*OR(Calc!$B$60,Calc!$B$4),(((Calc!$B$23+Calc!$B$25)-Calc!$B$52)*Calc!$B$90),NA())</f>
        <v/>
      </c>
      <c r="D276">
        <f>Calc!$B$77</f>
        <v/>
      </c>
      <c r="F276" t="inlineStr">
        <is>
          <t>lklRmcl</t>
        </is>
      </c>
      <c r="G276">
        <f>IF(Calc!$G$3*ISNUMBER(Calc!$G$52)*NOT(ISNUMBER(Calc!$G$49))*OR(Calc!$G$60,Calc!$G$4),(Calc!$G$91+(IF(Calc!$G$4,2*Calc!$G$24+1,Calc!$G$24)+1)*Calc!$G$90),NA())</f>
        <v/>
      </c>
      <c r="H276">
        <f>IF(Calc!$G$3*ISNUMBER(Calc!$G$52)*NOT(ISNUMBER(Calc!$G$49))*OR(Calc!$G$60,Calc!$G$4),(((Calc!$G$23+Calc!$G$25)-Calc!$G$52)*Calc!$G$90),NA())</f>
        <v/>
      </c>
      <c r="I276">
        <f>Calc!$G$77</f>
        <v/>
      </c>
      <c r="K276" t="inlineStr">
        <is>
          <t>lklRmcl</t>
        </is>
      </c>
      <c r="L276">
        <f>IF(Calc!$L$3*ISNUMBER(Calc!$L$52)*NOT(ISNUMBER(Calc!$L$49))*OR(Calc!$L$60,Calc!$L$4),(Calc!$L$91+(IF(Calc!$L$4,2*Calc!$L$24+1,Calc!$L$24)+1)*Calc!$L$90),NA())</f>
        <v/>
      </c>
      <c r="M276">
        <f>IF(Calc!$L$3*ISNUMBER(Calc!$L$52)*NOT(ISNUMBER(Calc!$L$49))*OR(Calc!$L$60,Calc!$L$4),(((Calc!$L$23+Calc!$L$25)-Calc!$L$52)*Calc!$L$90),NA())</f>
        <v/>
      </c>
      <c r="N276">
        <f>Calc!$L$77</f>
        <v/>
      </c>
      <c r="P276" t="inlineStr">
        <is>
          <t>lklRmcl</t>
        </is>
      </c>
      <c r="Q276">
        <f>IF(Calc!$Q$3*ISNUMBER(Calc!$Q$52)*NOT(ISNUMBER(Calc!$Q$49))*OR(Calc!$Q$60,Calc!$Q$4),(Calc!$Q$91+(IF(Calc!$Q$4,2*Calc!$Q$24+1,Calc!$Q$24)+1)*Calc!$Q$90),NA())</f>
        <v/>
      </c>
      <c r="R276">
        <f>IF(Calc!$Q$3*ISNUMBER(Calc!$Q$52)*NOT(ISNUMBER(Calc!$Q$49))*OR(Calc!$Q$60,Calc!$Q$4),(((Calc!$Q$23+Calc!$Q$25)-Calc!$Q$52)*Calc!$Q$90),NA())</f>
        <v/>
      </c>
      <c r="S276">
        <f>Calc!$Q$77</f>
        <v/>
      </c>
      <c r="U276" t="inlineStr">
        <is>
          <t>lklRmcl</t>
        </is>
      </c>
      <c r="V276">
        <f>IF(Calc!$V$3*ISNUMBER(Calc!$V$52)*NOT(ISNUMBER(Calc!$V$49))*OR(Calc!$V$60,Calc!$V$4),(Calc!$V$91+(IF(Calc!$V$4,2*Calc!$V$24+1,Calc!$V$24)+1)*Calc!$V$90),NA())</f>
        <v/>
      </c>
      <c r="W276">
        <f>IF(Calc!$V$3*ISNUMBER(Calc!$V$52)*NOT(ISNUMBER(Calc!$V$49))*OR(Calc!$V$60,Calc!$V$4),(((Calc!$V$23+Calc!$V$25)-Calc!$V$52)*Calc!$V$90),NA())</f>
        <v/>
      </c>
      <c r="X276">
        <f>Calc!$V$77</f>
        <v/>
      </c>
      <c r="Z276" t="inlineStr">
        <is>
          <t>lklRmcl</t>
        </is>
      </c>
      <c r="AA276">
        <f>IF(Calc!$AA$3*ISNUMBER(Calc!$AA$52)*NOT(ISNUMBER(Calc!$AA$49))*OR(Calc!$AA$60,Calc!$AA$4),(Calc!$AA$91+(IF(Calc!$AA$4,2*Calc!$AA$24+1,Calc!$AA$24)+1)*Calc!$AA$90),NA())</f>
        <v/>
      </c>
      <c r="AB276">
        <f>IF(Calc!$AA$3*ISNUMBER(Calc!$AA$52)*NOT(ISNUMBER(Calc!$AA$49))*OR(Calc!$AA$60,Calc!$AA$4),(((Calc!$AA$23+Calc!$AA$25)-Calc!$AA$52)*Calc!$AA$90),NA())</f>
        <v/>
      </c>
      <c r="AC276">
        <f>Calc!$AA$77</f>
        <v/>
      </c>
    </row>
    <row r="278">
      <c r="A278" t="inlineStr">
        <is>
          <t>lklLmcl</t>
        </is>
      </c>
      <c r="B278">
        <f>IF(Calc!$B$3*ISNUMBER(Calc!$B$52)*NOT(ISNUMBER(Calc!$B$49))*NOT(OR(Calc!$B$60,Calc!$B$4)),(Calc!$B$91+(-1)*Calc!$B$90),NA())</f>
        <v/>
      </c>
      <c r="C278">
        <f>IF(Calc!$B$3*ISNUMBER(Calc!$B$52)*NOT(ISNUMBER(Calc!$B$49))*NOT(OR(Calc!$B$60,Calc!$B$4)),(((Calc!$B$23+Calc!$B$25)-Calc!$B$52)*Calc!$B$90),NA())</f>
        <v/>
      </c>
      <c r="D278">
        <f>Calc!$B$77</f>
        <v/>
      </c>
      <c r="F278" t="inlineStr">
        <is>
          <t>lklLmcl</t>
        </is>
      </c>
      <c r="G278">
        <f>IF(Calc!$G$3*ISNUMBER(Calc!$G$52)*NOT(ISNUMBER(Calc!$G$49))*NOT(OR(Calc!$G$60,Calc!$G$4)),(Calc!$G$91+(-1)*Calc!$G$90),NA())</f>
        <v/>
      </c>
      <c r="H278">
        <f>IF(Calc!$G$3*ISNUMBER(Calc!$G$52)*NOT(ISNUMBER(Calc!$G$49))*NOT(OR(Calc!$G$60,Calc!$G$4)),(((Calc!$G$23+Calc!$G$25)-Calc!$G$52)*Calc!$G$90),NA())</f>
        <v/>
      </c>
      <c r="I278">
        <f>Calc!$G$77</f>
        <v/>
      </c>
      <c r="K278" t="inlineStr">
        <is>
          <t>lklLmcl</t>
        </is>
      </c>
      <c r="L278">
        <f>IF(Calc!$L$3*ISNUMBER(Calc!$L$52)*NOT(ISNUMBER(Calc!$L$49))*NOT(OR(Calc!$L$60,Calc!$L$4)),(Calc!$L$91+(-1)*Calc!$L$90),NA())</f>
        <v/>
      </c>
      <c r="M278">
        <f>IF(Calc!$L$3*ISNUMBER(Calc!$L$52)*NOT(ISNUMBER(Calc!$L$49))*NOT(OR(Calc!$L$60,Calc!$L$4)),(((Calc!$L$23+Calc!$L$25)-Calc!$L$52)*Calc!$L$90),NA())</f>
        <v/>
      </c>
      <c r="N278">
        <f>Calc!$L$77</f>
        <v/>
      </c>
      <c r="P278" t="inlineStr">
        <is>
          <t>lklLmcl</t>
        </is>
      </c>
      <c r="Q278">
        <f>IF(Calc!$Q$3*ISNUMBER(Calc!$Q$52)*NOT(ISNUMBER(Calc!$Q$49))*NOT(OR(Calc!$Q$60,Calc!$Q$4)),(Calc!$Q$91+(-1)*Calc!$Q$90),NA())</f>
        <v/>
      </c>
      <c r="R278">
        <f>IF(Calc!$Q$3*ISNUMBER(Calc!$Q$52)*NOT(ISNUMBER(Calc!$Q$49))*NOT(OR(Calc!$Q$60,Calc!$Q$4)),(((Calc!$Q$23+Calc!$Q$25)-Calc!$Q$52)*Calc!$Q$90),NA())</f>
        <v/>
      </c>
      <c r="S278">
        <f>Calc!$Q$77</f>
        <v/>
      </c>
      <c r="U278" t="inlineStr">
        <is>
          <t>lklLmcl</t>
        </is>
      </c>
      <c r="V278">
        <f>IF(Calc!$V$3*ISNUMBER(Calc!$V$52)*NOT(ISNUMBER(Calc!$V$49))*NOT(OR(Calc!$V$60,Calc!$V$4)),(Calc!$V$91+(-1)*Calc!$V$90),NA())</f>
        <v/>
      </c>
      <c r="W278">
        <f>IF(Calc!$V$3*ISNUMBER(Calc!$V$52)*NOT(ISNUMBER(Calc!$V$49))*NOT(OR(Calc!$V$60,Calc!$V$4)),(((Calc!$V$23+Calc!$V$25)-Calc!$V$52)*Calc!$V$90),NA())</f>
        <v/>
      </c>
      <c r="X278">
        <f>Calc!$V$77</f>
        <v/>
      </c>
      <c r="Z278" t="inlineStr">
        <is>
          <t>lklLmcl</t>
        </is>
      </c>
      <c r="AA278">
        <f>IF(Calc!$AA$3*ISNUMBER(Calc!$AA$52)*NOT(ISNUMBER(Calc!$AA$49))*NOT(OR(Calc!$AA$60,Calc!$AA$4)),(Calc!$AA$91+(-1)*Calc!$AA$90),NA())</f>
        <v/>
      </c>
      <c r="AB278">
        <f>IF(Calc!$AA$3*ISNUMBER(Calc!$AA$52)*NOT(ISNUMBER(Calc!$AA$49))*NOT(OR(Calc!$AA$60,Calc!$AA$4)),(((Calc!$AA$23+Calc!$AA$25)-Calc!$AA$52)*Calc!$AA$90),NA())</f>
        <v/>
      </c>
      <c r="AC278">
        <f>Calc!$AA$77</f>
        <v/>
      </c>
    </row>
    <row r="280">
      <c r="A280" t="inlineStr">
        <is>
          <t>dLW</t>
        </is>
      </c>
      <c r="B280">
        <f>IF(Calc!$B$3,(Calc!$B$91+(0)*Calc!$B$90),NA())</f>
        <v/>
      </c>
      <c r="C280">
        <f>IF(Calc!$B$3,(((Calc!$B$23+Calc!$B$25))*Calc!$B$90)+7,NA())</f>
        <v/>
      </c>
      <c r="F280" t="inlineStr">
        <is>
          <t>dLW</t>
        </is>
      </c>
      <c r="G280">
        <f>IF(Calc!$G$3,(Calc!$G$91+(0)*Calc!$G$90),NA())</f>
        <v/>
      </c>
      <c r="H280">
        <f>IF(Calc!$G$3,(((Calc!$G$23+Calc!$G$25))*Calc!$G$90)+7,NA())</f>
        <v/>
      </c>
      <c r="K280" t="inlineStr">
        <is>
          <t>dLW</t>
        </is>
      </c>
      <c r="L280">
        <f>IF(Calc!$L$3,(Calc!$L$91+(0)*Calc!$L$90),NA())</f>
        <v/>
      </c>
      <c r="M280">
        <f>IF(Calc!$L$3,(((Calc!$L$23+Calc!$L$25))*Calc!$L$90)+7,NA())</f>
        <v/>
      </c>
      <c r="P280" t="inlineStr">
        <is>
          <t>dLW</t>
        </is>
      </c>
      <c r="Q280">
        <f>IF(Calc!$Q$3,(Calc!$Q$91+(0)*Calc!$Q$90),NA())</f>
        <v/>
      </c>
      <c r="R280">
        <f>IF(Calc!$Q$3,(((Calc!$Q$23+Calc!$Q$25))*Calc!$Q$90)+7,NA())</f>
        <v/>
      </c>
      <c r="U280" t="inlineStr">
        <is>
          <t>dLW</t>
        </is>
      </c>
      <c r="V280">
        <f>IF(Calc!$V$3,(Calc!$V$91+(0)*Calc!$V$90),NA())</f>
        <v/>
      </c>
      <c r="W280">
        <f>IF(Calc!$V$3,(((Calc!$V$23+Calc!$V$25))*Calc!$V$90)+7,NA())</f>
        <v/>
      </c>
      <c r="Z280" t="inlineStr">
        <is>
          <t>dLW</t>
        </is>
      </c>
      <c r="AA280">
        <f>IF(Calc!$AA$3,(Calc!$AA$91+(0)*Calc!$AA$90),NA())</f>
        <v/>
      </c>
      <c r="AB280">
        <f>IF(Calc!$AA$3,(((Calc!$AA$23+Calc!$AA$25))*Calc!$AA$90)+7,NA())</f>
        <v/>
      </c>
    </row>
    <row r="281">
      <c r="A281" t="inlineStr">
        <is>
          <t>dLW</t>
        </is>
      </c>
      <c r="B281">
        <f>IF(Calc!$B$3,(Calc!$B$91+(Calc!$B$24)*Calc!$B$90),NA())</f>
        <v/>
      </c>
      <c r="C281">
        <f>IF(Calc!$B$3,(((Calc!$B$23+Calc!$B$25))*Calc!$B$90)+7,NA())</f>
        <v/>
      </c>
      <c r="F281" t="inlineStr">
        <is>
          <t>dLW</t>
        </is>
      </c>
      <c r="G281">
        <f>IF(Calc!$G$3,(Calc!$G$91+(Calc!$G$24)*Calc!$G$90),NA())</f>
        <v/>
      </c>
      <c r="H281">
        <f>IF(Calc!$G$3,(((Calc!$G$23+Calc!$G$25))*Calc!$G$90)+7,NA())</f>
        <v/>
      </c>
      <c r="K281" t="inlineStr">
        <is>
          <t>dLW</t>
        </is>
      </c>
      <c r="L281">
        <f>IF(Calc!$L$3,(Calc!$L$91+(Calc!$L$24)*Calc!$L$90),NA())</f>
        <v/>
      </c>
      <c r="M281">
        <f>IF(Calc!$L$3,(((Calc!$L$23+Calc!$L$25))*Calc!$L$90)+7,NA())</f>
        <v/>
      </c>
      <c r="P281" t="inlineStr">
        <is>
          <t>dLW</t>
        </is>
      </c>
      <c r="Q281">
        <f>IF(Calc!$Q$3,(Calc!$Q$91+(Calc!$Q$24)*Calc!$Q$90),NA())</f>
        <v/>
      </c>
      <c r="R281">
        <f>IF(Calc!$Q$3,(((Calc!$Q$23+Calc!$Q$25))*Calc!$Q$90)+7,NA())</f>
        <v/>
      </c>
      <c r="U281" t="inlineStr">
        <is>
          <t>dLW</t>
        </is>
      </c>
      <c r="V281">
        <f>IF(Calc!$V$3,(Calc!$V$91+(Calc!$V$24)*Calc!$V$90),NA())</f>
        <v/>
      </c>
      <c r="W281">
        <f>IF(Calc!$V$3,(((Calc!$V$23+Calc!$V$25))*Calc!$V$90)+7,NA())</f>
        <v/>
      </c>
      <c r="Z281" t="inlineStr">
        <is>
          <t>dLW</t>
        </is>
      </c>
      <c r="AA281">
        <f>IF(Calc!$AA$3,(Calc!$AA$91+(Calc!$AA$24)*Calc!$AA$90),NA())</f>
        <v/>
      </c>
      <c r="AB281">
        <f>IF(Calc!$AA$3,(((Calc!$AA$23+Calc!$AA$25))*Calc!$AA$90)+7,NA())</f>
        <v/>
      </c>
    </row>
    <row r="283">
      <c r="A283" t="inlineStr">
        <is>
          <t>lLW</t>
        </is>
      </c>
      <c r="B283">
        <f>IF(Calc!$B$3,(Calc!$B$91+(Calc!$B$24/2)*Calc!$B$90),NA())</f>
        <v/>
      </c>
      <c r="C283">
        <f>IF(Calc!$B$3,(((Calc!$B$23+Calc!$B$25))*Calc!$B$90)+7,NA())</f>
        <v/>
      </c>
      <c r="D283">
        <f>Calc!$B$83</f>
        <v/>
      </c>
      <c r="F283" t="inlineStr">
        <is>
          <t>lLW</t>
        </is>
      </c>
      <c r="G283">
        <f>IF(Calc!$G$3,(Calc!$G$91+(Calc!$G$24/2)*Calc!$G$90),NA())</f>
        <v/>
      </c>
      <c r="H283">
        <f>IF(Calc!$G$3,(((Calc!$G$23+Calc!$G$25))*Calc!$G$90)+7,NA())</f>
        <v/>
      </c>
      <c r="I283">
        <f>Calc!$G$83</f>
        <v/>
      </c>
      <c r="K283" t="inlineStr">
        <is>
          <t>lLW</t>
        </is>
      </c>
      <c r="L283">
        <f>IF(Calc!$L$3,(Calc!$L$91+(Calc!$L$24/2)*Calc!$L$90),NA())</f>
        <v/>
      </c>
      <c r="M283">
        <f>IF(Calc!$L$3,(((Calc!$L$23+Calc!$L$25))*Calc!$L$90)+7,NA())</f>
        <v/>
      </c>
      <c r="N283">
        <f>Calc!$L$83</f>
        <v/>
      </c>
      <c r="P283" t="inlineStr">
        <is>
          <t>lLW</t>
        </is>
      </c>
      <c r="Q283">
        <f>IF(Calc!$Q$3,(Calc!$Q$91+(Calc!$Q$24/2)*Calc!$Q$90),NA())</f>
        <v/>
      </c>
      <c r="R283">
        <f>IF(Calc!$Q$3,(((Calc!$Q$23+Calc!$Q$25))*Calc!$Q$90)+7,NA())</f>
        <v/>
      </c>
      <c r="S283">
        <f>Calc!$Q$83</f>
        <v/>
      </c>
      <c r="U283" t="inlineStr">
        <is>
          <t>lLW</t>
        </is>
      </c>
      <c r="V283">
        <f>IF(Calc!$V$3,(Calc!$V$91+(Calc!$V$24/2)*Calc!$V$90),NA())</f>
        <v/>
      </c>
      <c r="W283">
        <f>IF(Calc!$V$3,(((Calc!$V$23+Calc!$V$25))*Calc!$V$90)+7,NA())</f>
        <v/>
      </c>
      <c r="X283">
        <f>Calc!$V$83</f>
        <v/>
      </c>
      <c r="Z283" t="inlineStr">
        <is>
          <t>lLW</t>
        </is>
      </c>
      <c r="AA283">
        <f>IF(Calc!$AA$3,(Calc!$AA$91+(Calc!$AA$24/2)*Calc!$AA$90),NA())</f>
        <v/>
      </c>
      <c r="AB283">
        <f>IF(Calc!$AA$3,(((Calc!$AA$23+Calc!$AA$25))*Calc!$AA$90)+7,NA())</f>
        <v/>
      </c>
      <c r="AC283">
        <f>Calc!$AA$83</f>
        <v/>
      </c>
    </row>
    <row r="285">
      <c r="A285" t="inlineStr">
        <is>
          <t>dLH</t>
        </is>
      </c>
      <c r="B285">
        <f>IF(Calc!$B$3,(Calc!$B$91+(Calc!$B$24*Calc!$B$5+IF(Calc!$B$4,1,0))*Calc!$B$90)+30,NA())</f>
        <v/>
      </c>
      <c r="C285">
        <f>IF(Calc!$B$3,((Calc!$B$23)*Calc!$B$90),NA())</f>
        <v/>
      </c>
      <c r="F285" t="inlineStr">
        <is>
          <t>dLH</t>
        </is>
      </c>
      <c r="G285">
        <f>IF(Calc!$G$3,(Calc!$G$91+(Calc!$G$24*Calc!$G$5+IF(Calc!$G$4,1,0))*Calc!$G$90)+30,NA())</f>
        <v/>
      </c>
      <c r="H285">
        <f>IF(Calc!$G$3,((Calc!$G$23)*Calc!$G$90),NA())</f>
        <v/>
      </c>
      <c r="K285" t="inlineStr">
        <is>
          <t>dLH</t>
        </is>
      </c>
      <c r="L285">
        <f>IF(Calc!$L$3,(Calc!$L$91+(Calc!$L$24*Calc!$L$5+IF(Calc!$L$4,1,0))*Calc!$L$90)+30,NA())</f>
        <v/>
      </c>
      <c r="M285">
        <f>IF(Calc!$L$3,((Calc!$L$23)*Calc!$L$90),NA())</f>
        <v/>
      </c>
      <c r="P285" t="inlineStr">
        <is>
          <t>dLH</t>
        </is>
      </c>
      <c r="Q285">
        <f>IF(Calc!$Q$3,(Calc!$Q$91+(Calc!$Q$24*Calc!$Q$5+IF(Calc!$Q$4,1,0))*Calc!$Q$90)+30,NA())</f>
        <v/>
      </c>
      <c r="R285">
        <f>IF(Calc!$Q$3,((Calc!$Q$23)*Calc!$Q$90),NA())</f>
        <v/>
      </c>
      <c r="U285" t="inlineStr">
        <is>
          <t>dLH</t>
        </is>
      </c>
      <c r="V285">
        <f>IF(Calc!$V$3,(Calc!$V$91+(Calc!$V$24*Calc!$V$5+IF(Calc!$V$4,1,0))*Calc!$V$90)+30,NA())</f>
        <v/>
      </c>
      <c r="W285">
        <f>IF(Calc!$V$3,((Calc!$V$23)*Calc!$V$90),NA())</f>
        <v/>
      </c>
      <c r="Z285" t="inlineStr">
        <is>
          <t>dLH</t>
        </is>
      </c>
      <c r="AA285">
        <f>IF(Calc!$AA$3,(Calc!$AA$91+(Calc!$AA$24*Calc!$AA$5+IF(Calc!$AA$4,1,0))*Calc!$AA$90)+30,NA())</f>
        <v/>
      </c>
      <c r="AB285">
        <f>IF(Calc!$AA$3,((Calc!$AA$23)*Calc!$AA$90),NA())</f>
        <v/>
      </c>
    </row>
    <row r="286">
      <c r="A286" t="inlineStr">
        <is>
          <t>dLH</t>
        </is>
      </c>
      <c r="B286">
        <f>IF(Calc!$B$3,(Calc!$B$91+(Calc!$B$24*Calc!$B$5+IF(Calc!$B$4,1,0))*Calc!$B$90)+30,NA())</f>
        <v/>
      </c>
      <c r="C286">
        <f>IF(Calc!$B$3,(((Calc!$B$23+Calc!$B$25))*Calc!$B$90),NA())</f>
        <v/>
      </c>
      <c r="F286" t="inlineStr">
        <is>
          <t>dLH</t>
        </is>
      </c>
      <c r="G286">
        <f>IF(Calc!$G$3,(Calc!$G$91+(Calc!$G$24*Calc!$G$5+IF(Calc!$G$4,1,0))*Calc!$G$90)+30,NA())</f>
        <v/>
      </c>
      <c r="H286">
        <f>IF(Calc!$G$3,(((Calc!$G$23+Calc!$G$25))*Calc!$G$90),NA())</f>
        <v/>
      </c>
      <c r="K286" t="inlineStr">
        <is>
          <t>dLH</t>
        </is>
      </c>
      <c r="L286">
        <f>IF(Calc!$L$3,(Calc!$L$91+(Calc!$L$24*Calc!$L$5+IF(Calc!$L$4,1,0))*Calc!$L$90)+30,NA())</f>
        <v/>
      </c>
      <c r="M286">
        <f>IF(Calc!$L$3,(((Calc!$L$23+Calc!$L$25))*Calc!$L$90),NA())</f>
        <v/>
      </c>
      <c r="P286" t="inlineStr">
        <is>
          <t>dLH</t>
        </is>
      </c>
      <c r="Q286">
        <f>IF(Calc!$Q$3,(Calc!$Q$91+(Calc!$Q$24*Calc!$Q$5+IF(Calc!$Q$4,1,0))*Calc!$Q$90)+30,NA())</f>
        <v/>
      </c>
      <c r="R286">
        <f>IF(Calc!$Q$3,(((Calc!$Q$23+Calc!$Q$25))*Calc!$Q$90),NA())</f>
        <v/>
      </c>
      <c r="U286" t="inlineStr">
        <is>
          <t>dLH</t>
        </is>
      </c>
      <c r="V286">
        <f>IF(Calc!$V$3,(Calc!$V$91+(Calc!$V$24*Calc!$V$5+IF(Calc!$V$4,1,0))*Calc!$V$90)+30,NA())</f>
        <v/>
      </c>
      <c r="W286">
        <f>IF(Calc!$V$3,(((Calc!$V$23+Calc!$V$25))*Calc!$V$90),NA())</f>
        <v/>
      </c>
      <c r="Z286" t="inlineStr">
        <is>
          <t>dLH</t>
        </is>
      </c>
      <c r="AA286">
        <f>IF(Calc!$AA$3,(Calc!$AA$91+(Calc!$AA$24*Calc!$AA$5+IF(Calc!$AA$4,1,0))*Calc!$AA$90)+30,NA())</f>
        <v/>
      </c>
      <c r="AB286">
        <f>IF(Calc!$AA$3,(((Calc!$AA$23+Calc!$AA$25))*Calc!$AA$90),NA())</f>
        <v/>
      </c>
    </row>
    <row r="288">
      <c r="A288" t="inlineStr">
        <is>
          <t>lLH</t>
        </is>
      </c>
      <c r="B288">
        <f>IF(Calc!$B$3,(Calc!$B$91+(Calc!$B$24*Calc!$B$5+IF(Calc!$B$4,1,0))*Calc!$B$90)+30,NA())</f>
        <v/>
      </c>
      <c r="C288">
        <f>IF(Calc!$B$3,(((Calc!$B$23+(Calc!$B$23+Calc!$B$25))/2)*Calc!$B$90),NA())</f>
        <v/>
      </c>
      <c r="D288">
        <f>Calc!$B$84</f>
        <v/>
      </c>
      <c r="F288" t="inlineStr">
        <is>
          <t>lLH</t>
        </is>
      </c>
      <c r="G288">
        <f>IF(Calc!$G$3,(Calc!$G$91+(Calc!$G$24*Calc!$G$5+IF(Calc!$G$4,1,0))*Calc!$G$90)+30,NA())</f>
        <v/>
      </c>
      <c r="H288">
        <f>IF(Calc!$G$3,(((Calc!$G$23+(Calc!$G$23+Calc!$G$25))/2)*Calc!$G$90),NA())</f>
        <v/>
      </c>
      <c r="I288">
        <f>Calc!$G$84</f>
        <v/>
      </c>
      <c r="K288" t="inlineStr">
        <is>
          <t>lLH</t>
        </is>
      </c>
      <c r="L288">
        <f>IF(Calc!$L$3,(Calc!$L$91+(Calc!$L$24*Calc!$L$5+IF(Calc!$L$4,1,0))*Calc!$L$90)+30,NA())</f>
        <v/>
      </c>
      <c r="M288">
        <f>IF(Calc!$L$3,(((Calc!$L$23+(Calc!$L$23+Calc!$L$25))/2)*Calc!$L$90),NA())</f>
        <v/>
      </c>
      <c r="N288">
        <f>Calc!$L$84</f>
        <v/>
      </c>
      <c r="P288" t="inlineStr">
        <is>
          <t>lLH</t>
        </is>
      </c>
      <c r="Q288">
        <f>IF(Calc!$Q$3,(Calc!$Q$91+(Calc!$Q$24*Calc!$Q$5+IF(Calc!$Q$4,1,0))*Calc!$Q$90)+30,NA())</f>
        <v/>
      </c>
      <c r="R288">
        <f>IF(Calc!$Q$3,(((Calc!$Q$23+(Calc!$Q$23+Calc!$Q$25))/2)*Calc!$Q$90),NA())</f>
        <v/>
      </c>
      <c r="S288">
        <f>Calc!$Q$84</f>
        <v/>
      </c>
      <c r="U288" t="inlineStr">
        <is>
          <t>lLH</t>
        </is>
      </c>
      <c r="V288">
        <f>IF(Calc!$V$3,(Calc!$V$91+(Calc!$V$24*Calc!$V$5+IF(Calc!$V$4,1,0))*Calc!$V$90)+30,NA())</f>
        <v/>
      </c>
      <c r="W288">
        <f>IF(Calc!$V$3,(((Calc!$V$23+(Calc!$V$23+Calc!$V$25))/2)*Calc!$V$90),NA())</f>
        <v/>
      </c>
      <c r="X288">
        <f>Calc!$V$84</f>
        <v/>
      </c>
      <c r="Z288" t="inlineStr">
        <is>
          <t>lLH</t>
        </is>
      </c>
      <c r="AA288">
        <f>IF(Calc!$AA$3,(Calc!$AA$91+(Calc!$AA$24*Calc!$AA$5+IF(Calc!$AA$4,1,0))*Calc!$AA$90)+30,NA())</f>
        <v/>
      </c>
      <c r="AB288">
        <f>IF(Calc!$AA$3,(((Calc!$AA$23+(Calc!$AA$23+Calc!$AA$25))/2)*Calc!$AA$90),NA())</f>
        <v/>
      </c>
      <c r="AC288">
        <f>Calc!$AA$84</f>
        <v/>
      </c>
    </row>
    <row r="290">
      <c r="A290" t="inlineStr">
        <is>
          <t>lUC</t>
        </is>
      </c>
      <c r="B290">
        <f>IF(Calc!$B$3,(Calc!$B$91+(Calc!$B$24/2)*Calc!$B$90),NA())</f>
        <v/>
      </c>
      <c r="C290">
        <f>IF(Calc!$B$3,((Calc!$B$23)*Calc!$B$90),NA())</f>
        <v/>
      </c>
      <c r="D290">
        <f>Calc!$B$85</f>
        <v/>
      </c>
      <c r="F290" t="inlineStr">
        <is>
          <t>lUC</t>
        </is>
      </c>
      <c r="G290">
        <f>IF(Calc!$G$3,(Calc!$G$91+(Calc!$G$24/2)*Calc!$G$90),NA())</f>
        <v/>
      </c>
      <c r="H290">
        <f>IF(Calc!$G$3,((Calc!$G$23)*Calc!$G$90),NA())</f>
        <v/>
      </c>
      <c r="I290">
        <f>Calc!$G$85</f>
        <v/>
      </c>
      <c r="K290" t="inlineStr">
        <is>
          <t>lUC</t>
        </is>
      </c>
      <c r="L290">
        <f>IF(Calc!$L$3,(Calc!$L$91+(Calc!$L$24/2)*Calc!$L$90),NA())</f>
        <v/>
      </c>
      <c r="M290">
        <f>IF(Calc!$L$3,((Calc!$L$23)*Calc!$L$90),NA())</f>
        <v/>
      </c>
      <c r="N290">
        <f>Calc!$L$85</f>
        <v/>
      </c>
      <c r="P290" t="inlineStr">
        <is>
          <t>lUC</t>
        </is>
      </c>
      <c r="Q290">
        <f>IF(Calc!$Q$3,(Calc!$Q$91+(Calc!$Q$24/2)*Calc!$Q$90),NA())</f>
        <v/>
      </c>
      <c r="R290">
        <f>IF(Calc!$Q$3,((Calc!$Q$23)*Calc!$Q$90),NA())</f>
        <v/>
      </c>
      <c r="S290">
        <f>Calc!$Q$85</f>
        <v/>
      </c>
      <c r="U290" t="inlineStr">
        <is>
          <t>lUC</t>
        </is>
      </c>
      <c r="V290">
        <f>IF(Calc!$V$3,(Calc!$V$91+(Calc!$V$24/2)*Calc!$V$90),NA())</f>
        <v/>
      </c>
      <c r="W290">
        <f>IF(Calc!$V$3,((Calc!$V$23)*Calc!$V$90),NA())</f>
        <v/>
      </c>
      <c r="X290">
        <f>Calc!$V$85</f>
        <v/>
      </c>
      <c r="Z290" t="inlineStr">
        <is>
          <t>lUC</t>
        </is>
      </c>
      <c r="AA290">
        <f>IF(Calc!$AA$3,(Calc!$AA$91+(Calc!$AA$24/2)*Calc!$AA$90),NA())</f>
        <v/>
      </c>
      <c r="AB290">
        <f>IF(Calc!$AA$3,((Calc!$AA$23)*Calc!$AA$90),NA())</f>
        <v/>
      </c>
      <c r="AC290">
        <f>Calc!$AA$85</f>
        <v/>
      </c>
    </row>
    <row r="292">
      <c r="A292" t="inlineStr">
        <is>
          <t>wallL</t>
        </is>
      </c>
      <c r="B292">
        <f>IF(Calc!$B$3,(Calc!$B$94+(-14)*Calc!$B$93),NA())</f>
        <v/>
      </c>
      <c r="C292">
        <f>IF(Calc!$B$3,(75+(3)*Calc!$B$93),NA())</f>
        <v/>
      </c>
      <c r="F292" t="inlineStr">
        <is>
          <t>wallL</t>
        </is>
      </c>
      <c r="G292">
        <f>IF(Calc!$G$3,(Calc!$G$94+(-14)*Calc!$G$93),NA())</f>
        <v/>
      </c>
      <c r="H292">
        <f>IF(Calc!$G$3,(75+(3)*Calc!$G$93),NA())</f>
        <v/>
      </c>
      <c r="K292" t="inlineStr">
        <is>
          <t>wallL</t>
        </is>
      </c>
      <c r="L292">
        <f>IF(Calc!$L$3,(Calc!$L$94+(-14)*Calc!$L$93),NA())</f>
        <v/>
      </c>
      <c r="M292">
        <f>IF(Calc!$L$3,(75+(3)*Calc!$L$93),NA())</f>
        <v/>
      </c>
      <c r="P292" t="inlineStr">
        <is>
          <t>wallL</t>
        </is>
      </c>
      <c r="Q292">
        <f>IF(Calc!$Q$3,(Calc!$Q$94+(-14)*Calc!$Q$93),NA())</f>
        <v/>
      </c>
      <c r="R292">
        <f>IF(Calc!$Q$3,(75+(3)*Calc!$Q$93),NA())</f>
        <v/>
      </c>
      <c r="U292" t="inlineStr">
        <is>
          <t>wallL</t>
        </is>
      </c>
      <c r="V292">
        <f>IF(Calc!$V$3,(Calc!$V$94+(-14)*Calc!$V$93),NA())</f>
        <v/>
      </c>
      <c r="W292">
        <f>IF(Calc!$V$3,(75+(3)*Calc!$V$93),NA())</f>
        <v/>
      </c>
      <c r="Z292" t="inlineStr">
        <is>
          <t>wallL</t>
        </is>
      </c>
      <c r="AA292">
        <f>IF(Calc!$AA$3,(Calc!$AA$94+(-14)*Calc!$AA$93),NA())</f>
        <v/>
      </c>
      <c r="AB292">
        <f>IF(Calc!$AA$3,(75+(3)*Calc!$AA$93),NA())</f>
        <v/>
      </c>
    </row>
    <row r="293">
      <c r="A293" t="inlineStr">
        <is>
          <t>wallL</t>
        </is>
      </c>
      <c r="B293">
        <f>IF(Calc!$B$3,(Calc!$B$94+(-2)*Calc!$B$93),NA())</f>
        <v/>
      </c>
      <c r="C293">
        <f>IF(Calc!$B$3,(75+(3)*Calc!$B$93),NA())</f>
        <v/>
      </c>
      <c r="F293" t="inlineStr">
        <is>
          <t>wallL</t>
        </is>
      </c>
      <c r="G293">
        <f>IF(Calc!$G$3,(Calc!$G$94+(-2)*Calc!$G$93),NA())</f>
        <v/>
      </c>
      <c r="H293">
        <f>IF(Calc!$G$3,(75+(3)*Calc!$G$93),NA())</f>
        <v/>
      </c>
      <c r="K293" t="inlineStr">
        <is>
          <t>wallL</t>
        </is>
      </c>
      <c r="L293">
        <f>IF(Calc!$L$3,(Calc!$L$94+(-2)*Calc!$L$93),NA())</f>
        <v/>
      </c>
      <c r="M293">
        <f>IF(Calc!$L$3,(75+(3)*Calc!$L$93),NA())</f>
        <v/>
      </c>
      <c r="P293" t="inlineStr">
        <is>
          <t>wallL</t>
        </is>
      </c>
      <c r="Q293">
        <f>IF(Calc!$Q$3,(Calc!$Q$94+(-2)*Calc!$Q$93),NA())</f>
        <v/>
      </c>
      <c r="R293">
        <f>IF(Calc!$Q$3,(75+(3)*Calc!$Q$93),NA())</f>
        <v/>
      </c>
      <c r="U293" t="inlineStr">
        <is>
          <t>wallL</t>
        </is>
      </c>
      <c r="V293">
        <f>IF(Calc!$V$3,(Calc!$V$94+(-2)*Calc!$V$93),NA())</f>
        <v/>
      </c>
      <c r="W293">
        <f>IF(Calc!$V$3,(75+(3)*Calc!$V$93),NA())</f>
        <v/>
      </c>
      <c r="Z293" t="inlineStr">
        <is>
          <t>wallL</t>
        </is>
      </c>
      <c r="AA293">
        <f>IF(Calc!$AA$3,(Calc!$AA$94+(-2)*Calc!$AA$93),NA())</f>
        <v/>
      </c>
      <c r="AB293">
        <f>IF(Calc!$AA$3,(75+(3)*Calc!$AA$93),NA())</f>
        <v/>
      </c>
    </row>
    <row r="294">
      <c r="A294" t="inlineStr">
        <is>
          <t>wallL</t>
        </is>
      </c>
      <c r="B294">
        <f>IF(Calc!$B$3,(Calc!$B$94+(-2)*Calc!$B$93),NA())</f>
        <v/>
      </c>
      <c r="C294">
        <f>IF(Calc!$B$3,(75+(-3)*Calc!$B$93),NA())</f>
        <v/>
      </c>
      <c r="F294" t="inlineStr">
        <is>
          <t>wallL</t>
        </is>
      </c>
      <c r="G294">
        <f>IF(Calc!$G$3,(Calc!$G$94+(-2)*Calc!$G$93),NA())</f>
        <v/>
      </c>
      <c r="H294">
        <f>IF(Calc!$G$3,(75+(-3)*Calc!$G$93),NA())</f>
        <v/>
      </c>
      <c r="K294" t="inlineStr">
        <is>
          <t>wallL</t>
        </is>
      </c>
      <c r="L294">
        <f>IF(Calc!$L$3,(Calc!$L$94+(-2)*Calc!$L$93),NA())</f>
        <v/>
      </c>
      <c r="M294">
        <f>IF(Calc!$L$3,(75+(-3)*Calc!$L$93),NA())</f>
        <v/>
      </c>
      <c r="P294" t="inlineStr">
        <is>
          <t>wallL</t>
        </is>
      </c>
      <c r="Q294">
        <f>IF(Calc!$Q$3,(Calc!$Q$94+(-2)*Calc!$Q$93),NA())</f>
        <v/>
      </c>
      <c r="R294">
        <f>IF(Calc!$Q$3,(75+(-3)*Calc!$Q$93),NA())</f>
        <v/>
      </c>
      <c r="U294" t="inlineStr">
        <is>
          <t>wallL</t>
        </is>
      </c>
      <c r="V294">
        <f>IF(Calc!$V$3,(Calc!$V$94+(-2)*Calc!$V$93),NA())</f>
        <v/>
      </c>
      <c r="W294">
        <f>IF(Calc!$V$3,(75+(-3)*Calc!$V$93),NA())</f>
        <v/>
      </c>
      <c r="Z294" t="inlineStr">
        <is>
          <t>wallL</t>
        </is>
      </c>
      <c r="AA294">
        <f>IF(Calc!$AA$3,(Calc!$AA$94+(-2)*Calc!$AA$93),NA())</f>
        <v/>
      </c>
      <c r="AB294">
        <f>IF(Calc!$AA$3,(75+(-3)*Calc!$AA$93),NA())</f>
        <v/>
      </c>
    </row>
    <row r="295">
      <c r="A295" t="inlineStr">
        <is>
          <t>wallL</t>
        </is>
      </c>
      <c r="B295">
        <f>IF(Calc!$B$3,(Calc!$B$94+(-14)*Calc!$B$93),NA())</f>
        <v/>
      </c>
      <c r="C295">
        <f>IF(Calc!$B$3,(75+(-3)*Calc!$B$93),NA())</f>
        <v/>
      </c>
      <c r="F295" t="inlineStr">
        <is>
          <t>wallL</t>
        </is>
      </c>
      <c r="G295">
        <f>IF(Calc!$G$3,(Calc!$G$94+(-14)*Calc!$G$93),NA())</f>
        <v/>
      </c>
      <c r="H295">
        <f>IF(Calc!$G$3,(75+(-3)*Calc!$G$93),NA())</f>
        <v/>
      </c>
      <c r="K295" t="inlineStr">
        <is>
          <t>wallL</t>
        </is>
      </c>
      <c r="L295">
        <f>IF(Calc!$L$3,(Calc!$L$94+(-14)*Calc!$L$93),NA())</f>
        <v/>
      </c>
      <c r="M295">
        <f>IF(Calc!$L$3,(75+(-3)*Calc!$L$93),NA())</f>
        <v/>
      </c>
      <c r="P295" t="inlineStr">
        <is>
          <t>wallL</t>
        </is>
      </c>
      <c r="Q295">
        <f>IF(Calc!$Q$3,(Calc!$Q$94+(-14)*Calc!$Q$93),NA())</f>
        <v/>
      </c>
      <c r="R295">
        <f>IF(Calc!$Q$3,(75+(-3)*Calc!$Q$93),NA())</f>
        <v/>
      </c>
      <c r="U295" t="inlineStr">
        <is>
          <t>wallL</t>
        </is>
      </c>
      <c r="V295">
        <f>IF(Calc!$V$3,(Calc!$V$94+(-14)*Calc!$V$93),NA())</f>
        <v/>
      </c>
      <c r="W295">
        <f>IF(Calc!$V$3,(75+(-3)*Calc!$V$93),NA())</f>
        <v/>
      </c>
      <c r="Z295" t="inlineStr">
        <is>
          <t>wallL</t>
        </is>
      </c>
      <c r="AA295">
        <f>IF(Calc!$AA$3,(Calc!$AA$94+(-14)*Calc!$AA$93),NA())</f>
        <v/>
      </c>
      <c r="AB295">
        <f>IF(Calc!$AA$3,(75+(-3)*Calc!$AA$93),NA())</f>
        <v/>
      </c>
    </row>
    <row r="297">
      <c r="A297" t="inlineStr">
        <is>
          <t>wallR</t>
        </is>
      </c>
      <c r="B297">
        <f>IF(Calc!$B$3,(Calc!$B$94+(Calc!$B$1+14)*Calc!$B$93),NA())</f>
        <v/>
      </c>
      <c r="C297">
        <f>IF(Calc!$B$3,(75+(3)*Calc!$B$93),NA())</f>
        <v/>
      </c>
      <c r="F297" t="inlineStr">
        <is>
          <t>wallR</t>
        </is>
      </c>
      <c r="G297">
        <f>IF(Calc!$G$3,(Calc!$G$94+(Calc!$G$1+14)*Calc!$G$93),NA())</f>
        <v/>
      </c>
      <c r="H297">
        <f>IF(Calc!$G$3,(75+(3)*Calc!$G$93),NA())</f>
        <v/>
      </c>
      <c r="K297" t="inlineStr">
        <is>
          <t>wallR</t>
        </is>
      </c>
      <c r="L297">
        <f>IF(Calc!$L$3,(Calc!$L$94+(Calc!$L$1+14)*Calc!$L$93),NA())</f>
        <v/>
      </c>
      <c r="M297">
        <f>IF(Calc!$L$3,(75+(3)*Calc!$L$93),NA())</f>
        <v/>
      </c>
      <c r="P297" t="inlineStr">
        <is>
          <t>wallR</t>
        </is>
      </c>
      <c r="Q297">
        <f>IF(Calc!$Q$3,(Calc!$Q$94+(Calc!$Q$1+14)*Calc!$Q$93),NA())</f>
        <v/>
      </c>
      <c r="R297">
        <f>IF(Calc!$Q$3,(75+(3)*Calc!$Q$93),NA())</f>
        <v/>
      </c>
      <c r="U297" t="inlineStr">
        <is>
          <t>wallR</t>
        </is>
      </c>
      <c r="V297">
        <f>IF(Calc!$V$3,(Calc!$V$94+(Calc!$V$1+14)*Calc!$V$93),NA())</f>
        <v/>
      </c>
      <c r="W297">
        <f>IF(Calc!$V$3,(75+(3)*Calc!$V$93),NA())</f>
        <v/>
      </c>
      <c r="Z297" t="inlineStr">
        <is>
          <t>wallR</t>
        </is>
      </c>
      <c r="AA297">
        <f>IF(Calc!$AA$3,(Calc!$AA$94+(Calc!$AA$1+14)*Calc!$AA$93),NA())</f>
        <v/>
      </c>
      <c r="AB297">
        <f>IF(Calc!$AA$3,(75+(3)*Calc!$AA$93),NA())</f>
        <v/>
      </c>
    </row>
    <row r="298">
      <c r="A298" t="inlineStr">
        <is>
          <t>wallR</t>
        </is>
      </c>
      <c r="B298">
        <f>IF(Calc!$B$3,(Calc!$B$94+(Calc!$B$1+2)*Calc!$B$93),NA())</f>
        <v/>
      </c>
      <c r="C298">
        <f>IF(Calc!$B$3,(75+(3)*Calc!$B$93),NA())</f>
        <v/>
      </c>
      <c r="F298" t="inlineStr">
        <is>
          <t>wallR</t>
        </is>
      </c>
      <c r="G298">
        <f>IF(Calc!$G$3,(Calc!$G$94+(Calc!$G$1+2)*Calc!$G$93),NA())</f>
        <v/>
      </c>
      <c r="H298">
        <f>IF(Calc!$G$3,(75+(3)*Calc!$G$93),NA())</f>
        <v/>
      </c>
      <c r="K298" t="inlineStr">
        <is>
          <t>wallR</t>
        </is>
      </c>
      <c r="L298">
        <f>IF(Calc!$L$3,(Calc!$L$94+(Calc!$L$1+2)*Calc!$L$93),NA())</f>
        <v/>
      </c>
      <c r="M298">
        <f>IF(Calc!$L$3,(75+(3)*Calc!$L$93),NA())</f>
        <v/>
      </c>
      <c r="P298" t="inlineStr">
        <is>
          <t>wallR</t>
        </is>
      </c>
      <c r="Q298">
        <f>IF(Calc!$Q$3,(Calc!$Q$94+(Calc!$Q$1+2)*Calc!$Q$93),NA())</f>
        <v/>
      </c>
      <c r="R298">
        <f>IF(Calc!$Q$3,(75+(3)*Calc!$Q$93),NA())</f>
        <v/>
      </c>
      <c r="U298" t="inlineStr">
        <is>
          <t>wallR</t>
        </is>
      </c>
      <c r="V298">
        <f>IF(Calc!$V$3,(Calc!$V$94+(Calc!$V$1+2)*Calc!$V$93),NA())</f>
        <v/>
      </c>
      <c r="W298">
        <f>IF(Calc!$V$3,(75+(3)*Calc!$V$93),NA())</f>
        <v/>
      </c>
      <c r="Z298" t="inlineStr">
        <is>
          <t>wallR</t>
        </is>
      </c>
      <c r="AA298">
        <f>IF(Calc!$AA$3,(Calc!$AA$94+(Calc!$AA$1+2)*Calc!$AA$93),NA())</f>
        <v/>
      </c>
      <c r="AB298">
        <f>IF(Calc!$AA$3,(75+(3)*Calc!$AA$93),NA())</f>
        <v/>
      </c>
    </row>
    <row r="299">
      <c r="A299" t="inlineStr">
        <is>
          <t>wallR</t>
        </is>
      </c>
      <c r="B299">
        <f>IF(Calc!$B$3,(Calc!$B$94+(Calc!$B$1+2)*Calc!$B$93),NA())</f>
        <v/>
      </c>
      <c r="C299">
        <f>IF(Calc!$B$3,(75+(-3)*Calc!$B$93),NA())</f>
        <v/>
      </c>
      <c r="F299" t="inlineStr">
        <is>
          <t>wallR</t>
        </is>
      </c>
      <c r="G299">
        <f>IF(Calc!$G$3,(Calc!$G$94+(Calc!$G$1+2)*Calc!$G$93),NA())</f>
        <v/>
      </c>
      <c r="H299">
        <f>IF(Calc!$G$3,(75+(-3)*Calc!$G$93),NA())</f>
        <v/>
      </c>
      <c r="K299" t="inlineStr">
        <is>
          <t>wallR</t>
        </is>
      </c>
      <c r="L299">
        <f>IF(Calc!$L$3,(Calc!$L$94+(Calc!$L$1+2)*Calc!$L$93),NA())</f>
        <v/>
      </c>
      <c r="M299">
        <f>IF(Calc!$L$3,(75+(-3)*Calc!$L$93),NA())</f>
        <v/>
      </c>
      <c r="P299" t="inlineStr">
        <is>
          <t>wallR</t>
        </is>
      </c>
      <c r="Q299">
        <f>IF(Calc!$Q$3,(Calc!$Q$94+(Calc!$Q$1+2)*Calc!$Q$93),NA())</f>
        <v/>
      </c>
      <c r="R299">
        <f>IF(Calc!$Q$3,(75+(-3)*Calc!$Q$93),NA())</f>
        <v/>
      </c>
      <c r="U299" t="inlineStr">
        <is>
          <t>wallR</t>
        </is>
      </c>
      <c r="V299">
        <f>IF(Calc!$V$3,(Calc!$V$94+(Calc!$V$1+2)*Calc!$V$93),NA())</f>
        <v/>
      </c>
      <c r="W299">
        <f>IF(Calc!$V$3,(75+(-3)*Calc!$V$93),NA())</f>
        <v/>
      </c>
      <c r="Z299" t="inlineStr">
        <is>
          <t>wallR</t>
        </is>
      </c>
      <c r="AA299">
        <f>IF(Calc!$AA$3,(Calc!$AA$94+(Calc!$AA$1+2)*Calc!$AA$93),NA())</f>
        <v/>
      </c>
      <c r="AB299">
        <f>IF(Calc!$AA$3,(75+(-3)*Calc!$AA$93),NA())</f>
        <v/>
      </c>
    </row>
    <row r="300">
      <c r="A300" t="inlineStr">
        <is>
          <t>wallR</t>
        </is>
      </c>
      <c r="B300">
        <f>IF(Calc!$B$3,(Calc!$B$94+(Calc!$B$1+14)*Calc!$B$93),NA())</f>
        <v/>
      </c>
      <c r="C300">
        <f>IF(Calc!$B$3,(75+(-3)*Calc!$B$93),NA())</f>
        <v/>
      </c>
      <c r="F300" t="inlineStr">
        <is>
          <t>wallR</t>
        </is>
      </c>
      <c r="G300">
        <f>IF(Calc!$G$3,(Calc!$G$94+(Calc!$G$1+14)*Calc!$G$93),NA())</f>
        <v/>
      </c>
      <c r="H300">
        <f>IF(Calc!$G$3,(75+(-3)*Calc!$G$93),NA())</f>
        <v/>
      </c>
      <c r="K300" t="inlineStr">
        <is>
          <t>wallR</t>
        </is>
      </c>
      <c r="L300">
        <f>IF(Calc!$L$3,(Calc!$L$94+(Calc!$L$1+14)*Calc!$L$93),NA())</f>
        <v/>
      </c>
      <c r="M300">
        <f>IF(Calc!$L$3,(75+(-3)*Calc!$L$93),NA())</f>
        <v/>
      </c>
      <c r="P300" t="inlineStr">
        <is>
          <t>wallR</t>
        </is>
      </c>
      <c r="Q300">
        <f>IF(Calc!$Q$3,(Calc!$Q$94+(Calc!$Q$1+14)*Calc!$Q$93),NA())</f>
        <v/>
      </c>
      <c r="R300">
        <f>IF(Calc!$Q$3,(75+(-3)*Calc!$Q$93),NA())</f>
        <v/>
      </c>
      <c r="U300" t="inlineStr">
        <is>
          <t>wallR</t>
        </is>
      </c>
      <c r="V300">
        <f>IF(Calc!$V$3,(Calc!$V$94+(Calc!$V$1+14)*Calc!$V$93),NA())</f>
        <v/>
      </c>
      <c r="W300">
        <f>IF(Calc!$V$3,(75+(-3)*Calc!$V$93),NA())</f>
        <v/>
      </c>
      <c r="Z300" t="inlineStr">
        <is>
          <t>wallR</t>
        </is>
      </c>
      <c r="AA300">
        <f>IF(Calc!$AA$3,(Calc!$AA$94+(Calc!$AA$1+14)*Calc!$AA$93),NA())</f>
        <v/>
      </c>
      <c r="AB300">
        <f>IF(Calc!$AA$3,(75+(-3)*Calc!$AA$93),NA())</f>
        <v/>
      </c>
    </row>
    <row r="302">
      <c r="A302" t="inlineStr">
        <is>
          <t>jambL</t>
        </is>
      </c>
      <c r="B302">
        <f>IF(Calc!$B$3,(Calc!$B$94+(-2)*Calc!$B$93),NA())</f>
        <v/>
      </c>
      <c r="C302">
        <f>IF(Calc!$B$3,(75+(3)*Calc!$B$93),NA())</f>
        <v/>
      </c>
      <c r="F302" t="inlineStr">
        <is>
          <t>jambL</t>
        </is>
      </c>
      <c r="G302">
        <f>IF(Calc!$G$3,(Calc!$G$94+(-2)*Calc!$G$93),NA())</f>
        <v/>
      </c>
      <c r="H302">
        <f>IF(Calc!$G$3,(75+(3)*Calc!$G$93),NA())</f>
        <v/>
      </c>
      <c r="K302" t="inlineStr">
        <is>
          <t>jambL</t>
        </is>
      </c>
      <c r="L302">
        <f>IF(Calc!$L$3,(Calc!$L$94+(-2)*Calc!$L$93),NA())</f>
        <v/>
      </c>
      <c r="M302">
        <f>IF(Calc!$L$3,(75+(3)*Calc!$L$93),NA())</f>
        <v/>
      </c>
      <c r="P302" t="inlineStr">
        <is>
          <t>jambL</t>
        </is>
      </c>
      <c r="Q302">
        <f>IF(Calc!$Q$3,(Calc!$Q$94+(-2)*Calc!$Q$93),NA())</f>
        <v/>
      </c>
      <c r="R302">
        <f>IF(Calc!$Q$3,(75+(3)*Calc!$Q$93),NA())</f>
        <v/>
      </c>
      <c r="U302" t="inlineStr">
        <is>
          <t>jambL</t>
        </is>
      </c>
      <c r="V302">
        <f>IF(Calc!$V$3,(Calc!$V$94+(-2)*Calc!$V$93),NA())</f>
        <v/>
      </c>
      <c r="W302">
        <f>IF(Calc!$V$3,(75+(3)*Calc!$V$93),NA())</f>
        <v/>
      </c>
      <c r="Z302" t="inlineStr">
        <is>
          <t>jambL</t>
        </is>
      </c>
      <c r="AA302">
        <f>IF(Calc!$AA$3,(Calc!$AA$94+(-2)*Calc!$AA$93),NA())</f>
        <v/>
      </c>
      <c r="AB302">
        <f>IF(Calc!$AA$3,(75+(3)*Calc!$AA$93),NA())</f>
        <v/>
      </c>
    </row>
    <row r="303">
      <c r="A303" t="inlineStr">
        <is>
          <t>jambL</t>
        </is>
      </c>
      <c r="B303">
        <f>IF(Calc!$B$3,(Calc!$B$94+(0)*Calc!$B$93),NA())</f>
        <v/>
      </c>
      <c r="C303">
        <f>IF(Calc!$B$3,(75+(3)*Calc!$B$93),NA())</f>
        <v/>
      </c>
      <c r="F303" t="inlineStr">
        <is>
          <t>jambL</t>
        </is>
      </c>
      <c r="G303">
        <f>IF(Calc!$G$3,(Calc!$G$94+(0)*Calc!$G$93),NA())</f>
        <v/>
      </c>
      <c r="H303">
        <f>IF(Calc!$G$3,(75+(3)*Calc!$G$93),NA())</f>
        <v/>
      </c>
      <c r="K303" t="inlineStr">
        <is>
          <t>jambL</t>
        </is>
      </c>
      <c r="L303">
        <f>IF(Calc!$L$3,(Calc!$L$94+(0)*Calc!$L$93),NA())</f>
        <v/>
      </c>
      <c r="M303">
        <f>IF(Calc!$L$3,(75+(3)*Calc!$L$93),NA())</f>
        <v/>
      </c>
      <c r="P303" t="inlineStr">
        <is>
          <t>jambL</t>
        </is>
      </c>
      <c r="Q303">
        <f>IF(Calc!$Q$3,(Calc!$Q$94+(0)*Calc!$Q$93),NA())</f>
        <v/>
      </c>
      <c r="R303">
        <f>IF(Calc!$Q$3,(75+(3)*Calc!$Q$93),NA())</f>
        <v/>
      </c>
      <c r="U303" t="inlineStr">
        <is>
          <t>jambL</t>
        </is>
      </c>
      <c r="V303">
        <f>IF(Calc!$V$3,(Calc!$V$94+(0)*Calc!$V$93),NA())</f>
        <v/>
      </c>
      <c r="W303">
        <f>IF(Calc!$V$3,(75+(3)*Calc!$V$93),NA())</f>
        <v/>
      </c>
      <c r="Z303" t="inlineStr">
        <is>
          <t>jambL</t>
        </is>
      </c>
      <c r="AA303">
        <f>IF(Calc!$AA$3,(Calc!$AA$94+(0)*Calc!$AA$93),NA())</f>
        <v/>
      </c>
      <c r="AB303">
        <f>IF(Calc!$AA$3,(75+(3)*Calc!$AA$93),NA())</f>
        <v/>
      </c>
    </row>
    <row r="304">
      <c r="A304" t="inlineStr">
        <is>
          <t>jambL</t>
        </is>
      </c>
      <c r="B304">
        <f>IF(Calc!$B$3,(Calc!$B$94+(0)*Calc!$B$93),NA())</f>
        <v/>
      </c>
      <c r="C304">
        <f>IF(Calc!$B$3,(75+(-3)*Calc!$B$93),NA())</f>
        <v/>
      </c>
      <c r="F304" t="inlineStr">
        <is>
          <t>jambL</t>
        </is>
      </c>
      <c r="G304">
        <f>IF(Calc!$G$3,(Calc!$G$94+(0)*Calc!$G$93),NA())</f>
        <v/>
      </c>
      <c r="H304">
        <f>IF(Calc!$G$3,(75+(-3)*Calc!$G$93),NA())</f>
        <v/>
      </c>
      <c r="K304" t="inlineStr">
        <is>
          <t>jambL</t>
        </is>
      </c>
      <c r="L304">
        <f>IF(Calc!$L$3,(Calc!$L$94+(0)*Calc!$L$93),NA())</f>
        <v/>
      </c>
      <c r="M304">
        <f>IF(Calc!$L$3,(75+(-3)*Calc!$L$93),NA())</f>
        <v/>
      </c>
      <c r="P304" t="inlineStr">
        <is>
          <t>jambL</t>
        </is>
      </c>
      <c r="Q304">
        <f>IF(Calc!$Q$3,(Calc!$Q$94+(0)*Calc!$Q$93),NA())</f>
        <v/>
      </c>
      <c r="R304">
        <f>IF(Calc!$Q$3,(75+(-3)*Calc!$Q$93),NA())</f>
        <v/>
      </c>
      <c r="U304" t="inlineStr">
        <is>
          <t>jambL</t>
        </is>
      </c>
      <c r="V304">
        <f>IF(Calc!$V$3,(Calc!$V$94+(0)*Calc!$V$93),NA())</f>
        <v/>
      </c>
      <c r="W304">
        <f>IF(Calc!$V$3,(75+(-3)*Calc!$V$93),NA())</f>
        <v/>
      </c>
      <c r="Z304" t="inlineStr">
        <is>
          <t>jambL</t>
        </is>
      </c>
      <c r="AA304">
        <f>IF(Calc!$AA$3,(Calc!$AA$94+(0)*Calc!$AA$93),NA())</f>
        <v/>
      </c>
      <c r="AB304">
        <f>IF(Calc!$AA$3,(75+(-3)*Calc!$AA$93),NA())</f>
        <v/>
      </c>
    </row>
    <row r="305">
      <c r="A305" t="inlineStr">
        <is>
          <t>jambL</t>
        </is>
      </c>
      <c r="B305">
        <f>IF(Calc!$B$3,(Calc!$B$94+(-2)*Calc!$B$93),NA())</f>
        <v/>
      </c>
      <c r="C305">
        <f>IF(Calc!$B$3,(75+(-3)*Calc!$B$93),NA())</f>
        <v/>
      </c>
      <c r="F305" t="inlineStr">
        <is>
          <t>jambL</t>
        </is>
      </c>
      <c r="G305">
        <f>IF(Calc!$G$3,(Calc!$G$94+(-2)*Calc!$G$93),NA())</f>
        <v/>
      </c>
      <c r="H305">
        <f>IF(Calc!$G$3,(75+(-3)*Calc!$G$93),NA())</f>
        <v/>
      </c>
      <c r="K305" t="inlineStr">
        <is>
          <t>jambL</t>
        </is>
      </c>
      <c r="L305">
        <f>IF(Calc!$L$3,(Calc!$L$94+(-2)*Calc!$L$93),NA())</f>
        <v/>
      </c>
      <c r="M305">
        <f>IF(Calc!$L$3,(75+(-3)*Calc!$L$93),NA())</f>
        <v/>
      </c>
      <c r="P305" t="inlineStr">
        <is>
          <t>jambL</t>
        </is>
      </c>
      <c r="Q305">
        <f>IF(Calc!$Q$3,(Calc!$Q$94+(-2)*Calc!$Q$93),NA())</f>
        <v/>
      </c>
      <c r="R305">
        <f>IF(Calc!$Q$3,(75+(-3)*Calc!$Q$93),NA())</f>
        <v/>
      </c>
      <c r="U305" t="inlineStr">
        <is>
          <t>jambL</t>
        </is>
      </c>
      <c r="V305">
        <f>IF(Calc!$V$3,(Calc!$V$94+(-2)*Calc!$V$93),NA())</f>
        <v/>
      </c>
      <c r="W305">
        <f>IF(Calc!$V$3,(75+(-3)*Calc!$V$93),NA())</f>
        <v/>
      </c>
      <c r="Z305" t="inlineStr">
        <is>
          <t>jambL</t>
        </is>
      </c>
      <c r="AA305">
        <f>IF(Calc!$AA$3,(Calc!$AA$94+(-2)*Calc!$AA$93),NA())</f>
        <v/>
      </c>
      <c r="AB305">
        <f>IF(Calc!$AA$3,(75+(-3)*Calc!$AA$93),NA())</f>
        <v/>
      </c>
    </row>
    <row r="307">
      <c r="A307" t="inlineStr">
        <is>
          <t>jambR</t>
        </is>
      </c>
      <c r="B307">
        <f>IF(Calc!$B$3,(Calc!$B$94+(Calc!$B$1+2)*Calc!$B$93),NA())</f>
        <v/>
      </c>
      <c r="C307">
        <f>IF(Calc!$B$3,(75+(3)*Calc!$B$93),NA())</f>
        <v/>
      </c>
      <c r="F307" t="inlineStr">
        <is>
          <t>jambR</t>
        </is>
      </c>
      <c r="G307">
        <f>IF(Calc!$G$3,(Calc!$G$94+(Calc!$G$1+2)*Calc!$G$93),NA())</f>
        <v/>
      </c>
      <c r="H307">
        <f>IF(Calc!$G$3,(75+(3)*Calc!$G$93),NA())</f>
        <v/>
      </c>
      <c r="K307" t="inlineStr">
        <is>
          <t>jambR</t>
        </is>
      </c>
      <c r="L307">
        <f>IF(Calc!$L$3,(Calc!$L$94+(Calc!$L$1+2)*Calc!$L$93),NA())</f>
        <v/>
      </c>
      <c r="M307">
        <f>IF(Calc!$L$3,(75+(3)*Calc!$L$93),NA())</f>
        <v/>
      </c>
      <c r="P307" t="inlineStr">
        <is>
          <t>jambR</t>
        </is>
      </c>
      <c r="Q307">
        <f>IF(Calc!$Q$3,(Calc!$Q$94+(Calc!$Q$1+2)*Calc!$Q$93),NA())</f>
        <v/>
      </c>
      <c r="R307">
        <f>IF(Calc!$Q$3,(75+(3)*Calc!$Q$93),NA())</f>
        <v/>
      </c>
      <c r="U307" t="inlineStr">
        <is>
          <t>jambR</t>
        </is>
      </c>
      <c r="V307">
        <f>IF(Calc!$V$3,(Calc!$V$94+(Calc!$V$1+2)*Calc!$V$93),NA())</f>
        <v/>
      </c>
      <c r="W307">
        <f>IF(Calc!$V$3,(75+(3)*Calc!$V$93),NA())</f>
        <v/>
      </c>
      <c r="Z307" t="inlineStr">
        <is>
          <t>jambR</t>
        </is>
      </c>
      <c r="AA307">
        <f>IF(Calc!$AA$3,(Calc!$AA$94+(Calc!$AA$1+2)*Calc!$AA$93),NA())</f>
        <v/>
      </c>
      <c r="AB307">
        <f>IF(Calc!$AA$3,(75+(3)*Calc!$AA$93),NA())</f>
        <v/>
      </c>
    </row>
    <row r="308">
      <c r="A308" t="inlineStr">
        <is>
          <t>jambR</t>
        </is>
      </c>
      <c r="B308">
        <f>IF(Calc!$B$3,(Calc!$B$94+(Calc!$B$1)*Calc!$B$93),NA())</f>
        <v/>
      </c>
      <c r="C308">
        <f>IF(Calc!$B$3,(75+(3)*Calc!$B$93),NA())</f>
        <v/>
      </c>
      <c r="F308" t="inlineStr">
        <is>
          <t>jambR</t>
        </is>
      </c>
      <c r="G308">
        <f>IF(Calc!$G$3,(Calc!$G$94+(Calc!$G$1)*Calc!$G$93),NA())</f>
        <v/>
      </c>
      <c r="H308">
        <f>IF(Calc!$G$3,(75+(3)*Calc!$G$93),NA())</f>
        <v/>
      </c>
      <c r="K308" t="inlineStr">
        <is>
          <t>jambR</t>
        </is>
      </c>
      <c r="L308">
        <f>IF(Calc!$L$3,(Calc!$L$94+(Calc!$L$1)*Calc!$L$93),NA())</f>
        <v/>
      </c>
      <c r="M308">
        <f>IF(Calc!$L$3,(75+(3)*Calc!$L$93),NA())</f>
        <v/>
      </c>
      <c r="P308" t="inlineStr">
        <is>
          <t>jambR</t>
        </is>
      </c>
      <c r="Q308">
        <f>IF(Calc!$Q$3,(Calc!$Q$94+(Calc!$Q$1)*Calc!$Q$93),NA())</f>
        <v/>
      </c>
      <c r="R308">
        <f>IF(Calc!$Q$3,(75+(3)*Calc!$Q$93),NA())</f>
        <v/>
      </c>
      <c r="U308" t="inlineStr">
        <is>
          <t>jambR</t>
        </is>
      </c>
      <c r="V308">
        <f>IF(Calc!$V$3,(Calc!$V$94+(Calc!$V$1)*Calc!$V$93),NA())</f>
        <v/>
      </c>
      <c r="W308">
        <f>IF(Calc!$V$3,(75+(3)*Calc!$V$93),NA())</f>
        <v/>
      </c>
      <c r="Z308" t="inlineStr">
        <is>
          <t>jambR</t>
        </is>
      </c>
      <c r="AA308">
        <f>IF(Calc!$AA$3,(Calc!$AA$94+(Calc!$AA$1)*Calc!$AA$93),NA())</f>
        <v/>
      </c>
      <c r="AB308">
        <f>IF(Calc!$AA$3,(75+(3)*Calc!$AA$93),NA())</f>
        <v/>
      </c>
    </row>
    <row r="309">
      <c r="A309" t="inlineStr">
        <is>
          <t>jambR</t>
        </is>
      </c>
      <c r="B309">
        <f>IF(Calc!$B$3,(Calc!$B$94+(Calc!$B$1)*Calc!$B$93),NA())</f>
        <v/>
      </c>
      <c r="C309">
        <f>IF(Calc!$B$3,(75+(-3)*Calc!$B$93),NA())</f>
        <v/>
      </c>
      <c r="F309" t="inlineStr">
        <is>
          <t>jambR</t>
        </is>
      </c>
      <c r="G309">
        <f>IF(Calc!$G$3,(Calc!$G$94+(Calc!$G$1)*Calc!$G$93),NA())</f>
        <v/>
      </c>
      <c r="H309">
        <f>IF(Calc!$G$3,(75+(-3)*Calc!$G$93),NA())</f>
        <v/>
      </c>
      <c r="K309" t="inlineStr">
        <is>
          <t>jambR</t>
        </is>
      </c>
      <c r="L309">
        <f>IF(Calc!$L$3,(Calc!$L$94+(Calc!$L$1)*Calc!$L$93),NA())</f>
        <v/>
      </c>
      <c r="M309">
        <f>IF(Calc!$L$3,(75+(-3)*Calc!$L$93),NA())</f>
        <v/>
      </c>
      <c r="P309" t="inlineStr">
        <is>
          <t>jambR</t>
        </is>
      </c>
      <c r="Q309">
        <f>IF(Calc!$Q$3,(Calc!$Q$94+(Calc!$Q$1)*Calc!$Q$93),NA())</f>
        <v/>
      </c>
      <c r="R309">
        <f>IF(Calc!$Q$3,(75+(-3)*Calc!$Q$93),NA())</f>
        <v/>
      </c>
      <c r="U309" t="inlineStr">
        <is>
          <t>jambR</t>
        </is>
      </c>
      <c r="V309">
        <f>IF(Calc!$V$3,(Calc!$V$94+(Calc!$V$1)*Calc!$V$93),NA())</f>
        <v/>
      </c>
      <c r="W309">
        <f>IF(Calc!$V$3,(75+(-3)*Calc!$V$93),NA())</f>
        <v/>
      </c>
      <c r="Z309" t="inlineStr">
        <is>
          <t>jambR</t>
        </is>
      </c>
      <c r="AA309">
        <f>IF(Calc!$AA$3,(Calc!$AA$94+(Calc!$AA$1)*Calc!$AA$93),NA())</f>
        <v/>
      </c>
      <c r="AB309">
        <f>IF(Calc!$AA$3,(75+(-3)*Calc!$AA$93),NA())</f>
        <v/>
      </c>
    </row>
    <row r="310">
      <c r="A310" t="inlineStr">
        <is>
          <t>jambR</t>
        </is>
      </c>
      <c r="B310">
        <f>IF(Calc!$B$3,(Calc!$B$94+(Calc!$B$1+2)*Calc!$B$93),NA())</f>
        <v/>
      </c>
      <c r="C310">
        <f>IF(Calc!$B$3,(75+(-3)*Calc!$B$93),NA())</f>
        <v/>
      </c>
      <c r="F310" t="inlineStr">
        <is>
          <t>jambR</t>
        </is>
      </c>
      <c r="G310">
        <f>IF(Calc!$G$3,(Calc!$G$94+(Calc!$G$1+2)*Calc!$G$93),NA())</f>
        <v/>
      </c>
      <c r="H310">
        <f>IF(Calc!$G$3,(75+(-3)*Calc!$G$93),NA())</f>
        <v/>
      </c>
      <c r="K310" t="inlineStr">
        <is>
          <t>jambR</t>
        </is>
      </c>
      <c r="L310">
        <f>IF(Calc!$L$3,(Calc!$L$94+(Calc!$L$1+2)*Calc!$L$93),NA())</f>
        <v/>
      </c>
      <c r="M310">
        <f>IF(Calc!$L$3,(75+(-3)*Calc!$L$93),NA())</f>
        <v/>
      </c>
      <c r="P310" t="inlineStr">
        <is>
          <t>jambR</t>
        </is>
      </c>
      <c r="Q310">
        <f>IF(Calc!$Q$3,(Calc!$Q$94+(Calc!$Q$1+2)*Calc!$Q$93),NA())</f>
        <v/>
      </c>
      <c r="R310">
        <f>IF(Calc!$Q$3,(75+(-3)*Calc!$Q$93),NA())</f>
        <v/>
      </c>
      <c r="U310" t="inlineStr">
        <is>
          <t>jambR</t>
        </is>
      </c>
      <c r="V310">
        <f>IF(Calc!$V$3,(Calc!$V$94+(Calc!$V$1+2)*Calc!$V$93),NA())</f>
        <v/>
      </c>
      <c r="W310">
        <f>IF(Calc!$V$3,(75+(-3)*Calc!$V$93),NA())</f>
        <v/>
      </c>
      <c r="Z310" t="inlineStr">
        <is>
          <t>jambR</t>
        </is>
      </c>
      <c r="AA310">
        <f>IF(Calc!$AA$3,(Calc!$AA$94+(Calc!$AA$1+2)*Calc!$AA$93),NA())</f>
        <v/>
      </c>
      <c r="AB310">
        <f>IF(Calc!$AA$3,(75+(-3)*Calc!$AA$93),NA())</f>
        <v/>
      </c>
    </row>
    <row r="312">
      <c r="A312" t="inlineStr">
        <is>
          <t>leaf</t>
        </is>
      </c>
      <c r="B312">
        <f>IF(Calc!$B$3*NOT(Calc!$B$4),(Calc!$B$94+(IF(Calc!$B$60,0,Calc!$B$1))*Calc!$B$93),NA())</f>
        <v/>
      </c>
      <c r="C312">
        <f>IF(Calc!$B$3*NOT(Calc!$B$4),(75+(0)*Calc!$B$93),NA())</f>
        <v/>
      </c>
      <c r="F312" t="inlineStr">
        <is>
          <t>leaf</t>
        </is>
      </c>
      <c r="G312">
        <f>IF(Calc!$G$3*NOT(Calc!$G$4),(Calc!$G$94+(IF(Calc!$G$60,0,Calc!$G$1))*Calc!$G$93),NA())</f>
        <v/>
      </c>
      <c r="H312">
        <f>IF(Calc!$G$3*NOT(Calc!$G$4),(75+(0)*Calc!$G$93),NA())</f>
        <v/>
      </c>
      <c r="K312" t="inlineStr">
        <is>
          <t>leaf</t>
        </is>
      </c>
      <c r="L312">
        <f>IF(Calc!$L$3*NOT(Calc!$L$4),(Calc!$L$94+(IF(Calc!$L$60,0,Calc!$L$1))*Calc!$L$93),NA())</f>
        <v/>
      </c>
      <c r="M312">
        <f>IF(Calc!$L$3*NOT(Calc!$L$4),(75+(0)*Calc!$L$93),NA())</f>
        <v/>
      </c>
      <c r="P312" t="inlineStr">
        <is>
          <t>leaf</t>
        </is>
      </c>
      <c r="Q312">
        <f>IF(Calc!$Q$3*NOT(Calc!$Q$4),(Calc!$Q$94+(IF(Calc!$Q$60,0,Calc!$Q$1))*Calc!$Q$93),NA())</f>
        <v/>
      </c>
      <c r="R312">
        <f>IF(Calc!$Q$3*NOT(Calc!$Q$4),(75+(0)*Calc!$Q$93),NA())</f>
        <v/>
      </c>
      <c r="U312" t="inlineStr">
        <is>
          <t>leaf</t>
        </is>
      </c>
      <c r="V312">
        <f>IF(Calc!$V$3*NOT(Calc!$V$4),(Calc!$V$94+(IF(Calc!$V$60,0,Calc!$V$1))*Calc!$V$93),NA())</f>
        <v/>
      </c>
      <c r="W312">
        <f>IF(Calc!$V$3*NOT(Calc!$V$4),(75+(0)*Calc!$V$93),NA())</f>
        <v/>
      </c>
      <c r="Z312" t="inlineStr">
        <is>
          <t>leaf</t>
        </is>
      </c>
      <c r="AA312">
        <f>IF(Calc!$AA$3*NOT(Calc!$AA$4),(Calc!$AA$94+(IF(Calc!$AA$60,0,Calc!$AA$1))*Calc!$AA$93),NA())</f>
        <v/>
      </c>
      <c r="AB312">
        <f>IF(Calc!$AA$3*NOT(Calc!$AA$4),(75+(0)*Calc!$AA$93),NA())</f>
        <v/>
      </c>
    </row>
    <row r="313">
      <c r="A313" t="inlineStr">
        <is>
          <t>leaf</t>
        </is>
      </c>
      <c r="B313">
        <f>IF(Calc!$B$3*NOT(Calc!$B$4),(Calc!$B$94+(IF(Calc!$B$60,0,Calc!$B$1))*Calc!$B$93),NA())</f>
        <v/>
      </c>
      <c r="C313">
        <f>IF(Calc!$B$3*NOT(Calc!$B$4),(75+(Calc!$B$95*Calc!$B$96)*Calc!$B$93),NA())</f>
        <v/>
      </c>
      <c r="F313" t="inlineStr">
        <is>
          <t>leaf</t>
        </is>
      </c>
      <c r="G313">
        <f>IF(Calc!$G$3*NOT(Calc!$G$4),(Calc!$G$94+(IF(Calc!$G$60,0,Calc!$G$1))*Calc!$G$93),NA())</f>
        <v/>
      </c>
      <c r="H313">
        <f>IF(Calc!$G$3*NOT(Calc!$G$4),(75+(Calc!$G$95*Calc!$G$96)*Calc!$G$93),NA())</f>
        <v/>
      </c>
      <c r="K313" t="inlineStr">
        <is>
          <t>leaf</t>
        </is>
      </c>
      <c r="L313">
        <f>IF(Calc!$L$3*NOT(Calc!$L$4),(Calc!$L$94+(IF(Calc!$L$60,0,Calc!$L$1))*Calc!$L$93),NA())</f>
        <v/>
      </c>
      <c r="M313">
        <f>IF(Calc!$L$3*NOT(Calc!$L$4),(75+(Calc!$L$95*Calc!$L$96)*Calc!$L$93),NA())</f>
        <v/>
      </c>
      <c r="P313" t="inlineStr">
        <is>
          <t>leaf</t>
        </is>
      </c>
      <c r="Q313">
        <f>IF(Calc!$Q$3*NOT(Calc!$Q$4),(Calc!$Q$94+(IF(Calc!$Q$60,0,Calc!$Q$1))*Calc!$Q$93),NA())</f>
        <v/>
      </c>
      <c r="R313">
        <f>IF(Calc!$Q$3*NOT(Calc!$Q$4),(75+(Calc!$Q$95*Calc!$Q$96)*Calc!$Q$93),NA())</f>
        <v/>
      </c>
      <c r="U313" t="inlineStr">
        <is>
          <t>leaf</t>
        </is>
      </c>
      <c r="V313">
        <f>IF(Calc!$V$3*NOT(Calc!$V$4),(Calc!$V$94+(IF(Calc!$V$60,0,Calc!$V$1))*Calc!$V$93),NA())</f>
        <v/>
      </c>
      <c r="W313">
        <f>IF(Calc!$V$3*NOT(Calc!$V$4),(75+(Calc!$V$95*Calc!$V$96)*Calc!$V$93),NA())</f>
        <v/>
      </c>
      <c r="Z313" t="inlineStr">
        <is>
          <t>leaf</t>
        </is>
      </c>
      <c r="AA313">
        <f>IF(Calc!$AA$3*NOT(Calc!$AA$4),(Calc!$AA$94+(IF(Calc!$AA$60,0,Calc!$AA$1))*Calc!$AA$93),NA())</f>
        <v/>
      </c>
      <c r="AB313">
        <f>IF(Calc!$AA$3*NOT(Calc!$AA$4),(75+(Calc!$AA$95*Calc!$AA$96)*Calc!$AA$93),NA())</f>
        <v/>
      </c>
    </row>
    <row r="315">
      <c r="A315" t="inlineStr">
        <is>
          <t>arc</t>
        </is>
      </c>
      <c r="B315">
        <f>IF(Calc!$B$3*NOT(Calc!$B$4),(Calc!$B$94+(IF(Calc!$B$60,0,Calc!$B$1)+(IF(Calc!$B$60,1,-1))*Calc!$B$96*1.0000)*Calc!$B$93),NA())</f>
        <v/>
      </c>
      <c r="C315">
        <f>IF(Calc!$B$3*NOT(Calc!$B$4),(75+(Calc!$B$95*Calc!$B$96*0.0000)*Calc!$B$93),NA())</f>
        <v/>
      </c>
      <c r="F315" t="inlineStr">
        <is>
          <t>arc</t>
        </is>
      </c>
      <c r="G315">
        <f>IF(Calc!$G$3*NOT(Calc!$G$4),(Calc!$G$94+(IF(Calc!$G$60,0,Calc!$G$1)+(IF(Calc!$G$60,1,-1))*Calc!$G$96*1.0000)*Calc!$G$93),NA())</f>
        <v/>
      </c>
      <c r="H315">
        <f>IF(Calc!$G$3*NOT(Calc!$G$4),(75+(Calc!$G$95*Calc!$G$96*0.0000)*Calc!$G$93),NA())</f>
        <v/>
      </c>
      <c r="K315" t="inlineStr">
        <is>
          <t>arc</t>
        </is>
      </c>
      <c r="L315">
        <f>IF(Calc!$L$3*NOT(Calc!$L$4),(Calc!$L$94+(IF(Calc!$L$60,0,Calc!$L$1)+(IF(Calc!$L$60,1,-1))*Calc!$L$96*1.0000)*Calc!$L$93),NA())</f>
        <v/>
      </c>
      <c r="M315">
        <f>IF(Calc!$L$3*NOT(Calc!$L$4),(75+(Calc!$L$95*Calc!$L$96*0.0000)*Calc!$L$93),NA())</f>
        <v/>
      </c>
      <c r="P315" t="inlineStr">
        <is>
          <t>arc</t>
        </is>
      </c>
      <c r="Q315">
        <f>IF(Calc!$Q$3*NOT(Calc!$Q$4),(Calc!$Q$94+(IF(Calc!$Q$60,0,Calc!$Q$1)+(IF(Calc!$Q$60,1,-1))*Calc!$Q$96*1.0000)*Calc!$Q$93),NA())</f>
        <v/>
      </c>
      <c r="R315">
        <f>IF(Calc!$Q$3*NOT(Calc!$Q$4),(75+(Calc!$Q$95*Calc!$Q$96*0.0000)*Calc!$Q$93),NA())</f>
        <v/>
      </c>
      <c r="U315" t="inlineStr">
        <is>
          <t>arc</t>
        </is>
      </c>
      <c r="V315">
        <f>IF(Calc!$V$3*NOT(Calc!$V$4),(Calc!$V$94+(IF(Calc!$V$60,0,Calc!$V$1)+(IF(Calc!$V$60,1,-1))*Calc!$V$96*1.0000)*Calc!$V$93),NA())</f>
        <v/>
      </c>
      <c r="W315">
        <f>IF(Calc!$V$3*NOT(Calc!$V$4),(75+(Calc!$V$95*Calc!$V$96*0.0000)*Calc!$V$93),NA())</f>
        <v/>
      </c>
      <c r="Z315" t="inlineStr">
        <is>
          <t>arc</t>
        </is>
      </c>
      <c r="AA315">
        <f>IF(Calc!$AA$3*NOT(Calc!$AA$4),(Calc!$AA$94+(IF(Calc!$AA$60,0,Calc!$AA$1)+(IF(Calc!$AA$60,1,-1))*Calc!$AA$96*1.0000)*Calc!$AA$93),NA())</f>
        <v/>
      </c>
      <c r="AB315">
        <f>IF(Calc!$AA$3*NOT(Calc!$AA$4),(75+(Calc!$AA$95*Calc!$AA$96*0.0000)*Calc!$AA$93),NA())</f>
        <v/>
      </c>
    </row>
    <row r="316">
      <c r="A316" t="inlineStr">
        <is>
          <t>arc</t>
        </is>
      </c>
      <c r="B316">
        <f>IF(Calc!$B$3*NOT(Calc!$B$4),(Calc!$B$94+(IF(Calc!$B$60,0,Calc!$B$1)+(IF(Calc!$B$60,1,-1))*Calc!$B$96*0.9848)*Calc!$B$93),NA())</f>
        <v/>
      </c>
      <c r="C316">
        <f>IF(Calc!$B$3*NOT(Calc!$B$4),(75+(Calc!$B$95*Calc!$B$96*0.1736)*Calc!$B$93),NA())</f>
        <v/>
      </c>
      <c r="F316" t="inlineStr">
        <is>
          <t>arc</t>
        </is>
      </c>
      <c r="G316">
        <f>IF(Calc!$G$3*NOT(Calc!$G$4),(Calc!$G$94+(IF(Calc!$G$60,0,Calc!$G$1)+(IF(Calc!$G$60,1,-1))*Calc!$G$96*0.9848)*Calc!$G$93),NA())</f>
        <v/>
      </c>
      <c r="H316">
        <f>IF(Calc!$G$3*NOT(Calc!$G$4),(75+(Calc!$G$95*Calc!$G$96*0.1736)*Calc!$G$93),NA())</f>
        <v/>
      </c>
      <c r="K316" t="inlineStr">
        <is>
          <t>arc</t>
        </is>
      </c>
      <c r="L316">
        <f>IF(Calc!$L$3*NOT(Calc!$L$4),(Calc!$L$94+(IF(Calc!$L$60,0,Calc!$L$1)+(IF(Calc!$L$60,1,-1))*Calc!$L$96*0.9848)*Calc!$L$93),NA())</f>
        <v/>
      </c>
      <c r="M316">
        <f>IF(Calc!$L$3*NOT(Calc!$L$4),(75+(Calc!$L$95*Calc!$L$96*0.1736)*Calc!$L$93),NA())</f>
        <v/>
      </c>
      <c r="P316" t="inlineStr">
        <is>
          <t>arc</t>
        </is>
      </c>
      <c r="Q316">
        <f>IF(Calc!$Q$3*NOT(Calc!$Q$4),(Calc!$Q$94+(IF(Calc!$Q$60,0,Calc!$Q$1)+(IF(Calc!$Q$60,1,-1))*Calc!$Q$96*0.9848)*Calc!$Q$93),NA())</f>
        <v/>
      </c>
      <c r="R316">
        <f>IF(Calc!$Q$3*NOT(Calc!$Q$4),(75+(Calc!$Q$95*Calc!$Q$96*0.1736)*Calc!$Q$93),NA())</f>
        <v/>
      </c>
      <c r="U316" t="inlineStr">
        <is>
          <t>arc</t>
        </is>
      </c>
      <c r="V316">
        <f>IF(Calc!$V$3*NOT(Calc!$V$4),(Calc!$V$94+(IF(Calc!$V$60,0,Calc!$V$1)+(IF(Calc!$V$60,1,-1))*Calc!$V$96*0.9848)*Calc!$V$93),NA())</f>
        <v/>
      </c>
      <c r="W316">
        <f>IF(Calc!$V$3*NOT(Calc!$V$4),(75+(Calc!$V$95*Calc!$V$96*0.1736)*Calc!$V$93),NA())</f>
        <v/>
      </c>
      <c r="Z316" t="inlineStr">
        <is>
          <t>arc</t>
        </is>
      </c>
      <c r="AA316">
        <f>IF(Calc!$AA$3*NOT(Calc!$AA$4),(Calc!$AA$94+(IF(Calc!$AA$60,0,Calc!$AA$1)+(IF(Calc!$AA$60,1,-1))*Calc!$AA$96*0.9848)*Calc!$AA$93),NA())</f>
        <v/>
      </c>
      <c r="AB316">
        <f>IF(Calc!$AA$3*NOT(Calc!$AA$4),(75+(Calc!$AA$95*Calc!$AA$96*0.1736)*Calc!$AA$93),NA())</f>
        <v/>
      </c>
    </row>
    <row r="317">
      <c r="A317" t="inlineStr">
        <is>
          <t>arc</t>
        </is>
      </c>
      <c r="B317">
        <f>IF(Calc!$B$3*NOT(Calc!$B$4),(Calc!$B$94+(IF(Calc!$B$60,0,Calc!$B$1)+(IF(Calc!$B$60,1,-1))*Calc!$B$96*0.9397)*Calc!$B$93),NA())</f>
        <v/>
      </c>
      <c r="C317">
        <f>IF(Calc!$B$3*NOT(Calc!$B$4),(75+(Calc!$B$95*Calc!$B$96*0.3420)*Calc!$B$93),NA())</f>
        <v/>
      </c>
      <c r="F317" t="inlineStr">
        <is>
          <t>arc</t>
        </is>
      </c>
      <c r="G317">
        <f>IF(Calc!$G$3*NOT(Calc!$G$4),(Calc!$G$94+(IF(Calc!$G$60,0,Calc!$G$1)+(IF(Calc!$G$60,1,-1))*Calc!$G$96*0.9397)*Calc!$G$93),NA())</f>
        <v/>
      </c>
      <c r="H317">
        <f>IF(Calc!$G$3*NOT(Calc!$G$4),(75+(Calc!$G$95*Calc!$G$96*0.3420)*Calc!$G$93),NA())</f>
        <v/>
      </c>
      <c r="K317" t="inlineStr">
        <is>
          <t>arc</t>
        </is>
      </c>
      <c r="L317">
        <f>IF(Calc!$L$3*NOT(Calc!$L$4),(Calc!$L$94+(IF(Calc!$L$60,0,Calc!$L$1)+(IF(Calc!$L$60,1,-1))*Calc!$L$96*0.9397)*Calc!$L$93),NA())</f>
        <v/>
      </c>
      <c r="M317">
        <f>IF(Calc!$L$3*NOT(Calc!$L$4),(75+(Calc!$L$95*Calc!$L$96*0.3420)*Calc!$L$93),NA())</f>
        <v/>
      </c>
      <c r="P317" t="inlineStr">
        <is>
          <t>arc</t>
        </is>
      </c>
      <c r="Q317">
        <f>IF(Calc!$Q$3*NOT(Calc!$Q$4),(Calc!$Q$94+(IF(Calc!$Q$60,0,Calc!$Q$1)+(IF(Calc!$Q$60,1,-1))*Calc!$Q$96*0.9397)*Calc!$Q$93),NA())</f>
        <v/>
      </c>
      <c r="R317">
        <f>IF(Calc!$Q$3*NOT(Calc!$Q$4),(75+(Calc!$Q$95*Calc!$Q$96*0.3420)*Calc!$Q$93),NA())</f>
        <v/>
      </c>
      <c r="U317" t="inlineStr">
        <is>
          <t>arc</t>
        </is>
      </c>
      <c r="V317">
        <f>IF(Calc!$V$3*NOT(Calc!$V$4),(Calc!$V$94+(IF(Calc!$V$60,0,Calc!$V$1)+(IF(Calc!$V$60,1,-1))*Calc!$V$96*0.9397)*Calc!$V$93),NA())</f>
        <v/>
      </c>
      <c r="W317">
        <f>IF(Calc!$V$3*NOT(Calc!$V$4),(75+(Calc!$V$95*Calc!$V$96*0.3420)*Calc!$V$93),NA())</f>
        <v/>
      </c>
      <c r="Z317" t="inlineStr">
        <is>
          <t>arc</t>
        </is>
      </c>
      <c r="AA317">
        <f>IF(Calc!$AA$3*NOT(Calc!$AA$4),(Calc!$AA$94+(IF(Calc!$AA$60,0,Calc!$AA$1)+(IF(Calc!$AA$60,1,-1))*Calc!$AA$96*0.9397)*Calc!$AA$93),NA())</f>
        <v/>
      </c>
      <c r="AB317">
        <f>IF(Calc!$AA$3*NOT(Calc!$AA$4),(75+(Calc!$AA$95*Calc!$AA$96*0.3420)*Calc!$AA$93),NA())</f>
        <v/>
      </c>
    </row>
    <row r="318">
      <c r="A318" t="inlineStr">
        <is>
          <t>arc</t>
        </is>
      </c>
      <c r="B318">
        <f>IF(Calc!$B$3*NOT(Calc!$B$4),(Calc!$B$94+(IF(Calc!$B$60,0,Calc!$B$1)+(IF(Calc!$B$60,1,-1))*Calc!$B$96*0.8660)*Calc!$B$93),NA())</f>
        <v/>
      </c>
      <c r="C318">
        <f>IF(Calc!$B$3*NOT(Calc!$B$4),(75+(Calc!$B$95*Calc!$B$96*0.5000)*Calc!$B$93),NA())</f>
        <v/>
      </c>
      <c r="F318" t="inlineStr">
        <is>
          <t>arc</t>
        </is>
      </c>
      <c r="G318">
        <f>IF(Calc!$G$3*NOT(Calc!$G$4),(Calc!$G$94+(IF(Calc!$G$60,0,Calc!$G$1)+(IF(Calc!$G$60,1,-1))*Calc!$G$96*0.8660)*Calc!$G$93),NA())</f>
        <v/>
      </c>
      <c r="H318">
        <f>IF(Calc!$G$3*NOT(Calc!$G$4),(75+(Calc!$G$95*Calc!$G$96*0.5000)*Calc!$G$93),NA())</f>
        <v/>
      </c>
      <c r="K318" t="inlineStr">
        <is>
          <t>arc</t>
        </is>
      </c>
      <c r="L318">
        <f>IF(Calc!$L$3*NOT(Calc!$L$4),(Calc!$L$94+(IF(Calc!$L$60,0,Calc!$L$1)+(IF(Calc!$L$60,1,-1))*Calc!$L$96*0.8660)*Calc!$L$93),NA())</f>
        <v/>
      </c>
      <c r="M318">
        <f>IF(Calc!$L$3*NOT(Calc!$L$4),(75+(Calc!$L$95*Calc!$L$96*0.5000)*Calc!$L$93),NA())</f>
        <v/>
      </c>
      <c r="P318" t="inlineStr">
        <is>
          <t>arc</t>
        </is>
      </c>
      <c r="Q318">
        <f>IF(Calc!$Q$3*NOT(Calc!$Q$4),(Calc!$Q$94+(IF(Calc!$Q$60,0,Calc!$Q$1)+(IF(Calc!$Q$60,1,-1))*Calc!$Q$96*0.8660)*Calc!$Q$93),NA())</f>
        <v/>
      </c>
      <c r="R318">
        <f>IF(Calc!$Q$3*NOT(Calc!$Q$4),(75+(Calc!$Q$95*Calc!$Q$96*0.5000)*Calc!$Q$93),NA())</f>
        <v/>
      </c>
      <c r="U318" t="inlineStr">
        <is>
          <t>arc</t>
        </is>
      </c>
      <c r="V318">
        <f>IF(Calc!$V$3*NOT(Calc!$V$4),(Calc!$V$94+(IF(Calc!$V$60,0,Calc!$V$1)+(IF(Calc!$V$60,1,-1))*Calc!$V$96*0.8660)*Calc!$V$93),NA())</f>
        <v/>
      </c>
      <c r="W318">
        <f>IF(Calc!$V$3*NOT(Calc!$V$4),(75+(Calc!$V$95*Calc!$V$96*0.5000)*Calc!$V$93),NA())</f>
        <v/>
      </c>
      <c r="Z318" t="inlineStr">
        <is>
          <t>arc</t>
        </is>
      </c>
      <c r="AA318">
        <f>IF(Calc!$AA$3*NOT(Calc!$AA$4),(Calc!$AA$94+(IF(Calc!$AA$60,0,Calc!$AA$1)+(IF(Calc!$AA$60,1,-1))*Calc!$AA$96*0.8660)*Calc!$AA$93),NA())</f>
        <v/>
      </c>
      <c r="AB318">
        <f>IF(Calc!$AA$3*NOT(Calc!$AA$4),(75+(Calc!$AA$95*Calc!$AA$96*0.5000)*Calc!$AA$93),NA())</f>
        <v/>
      </c>
    </row>
    <row r="319">
      <c r="A319" t="inlineStr">
        <is>
          <t>arc</t>
        </is>
      </c>
      <c r="B319">
        <f>IF(Calc!$B$3*NOT(Calc!$B$4),(Calc!$B$94+(IF(Calc!$B$60,0,Calc!$B$1)+(IF(Calc!$B$60,1,-1))*Calc!$B$96*0.7660)*Calc!$B$93),NA())</f>
        <v/>
      </c>
      <c r="C319">
        <f>IF(Calc!$B$3*NOT(Calc!$B$4),(75+(Calc!$B$95*Calc!$B$96*0.6428)*Calc!$B$93),NA())</f>
        <v/>
      </c>
      <c r="F319" t="inlineStr">
        <is>
          <t>arc</t>
        </is>
      </c>
      <c r="G319">
        <f>IF(Calc!$G$3*NOT(Calc!$G$4),(Calc!$G$94+(IF(Calc!$G$60,0,Calc!$G$1)+(IF(Calc!$G$60,1,-1))*Calc!$G$96*0.7660)*Calc!$G$93),NA())</f>
        <v/>
      </c>
      <c r="H319">
        <f>IF(Calc!$G$3*NOT(Calc!$G$4),(75+(Calc!$G$95*Calc!$G$96*0.6428)*Calc!$G$93),NA())</f>
        <v/>
      </c>
      <c r="K319" t="inlineStr">
        <is>
          <t>arc</t>
        </is>
      </c>
      <c r="L319">
        <f>IF(Calc!$L$3*NOT(Calc!$L$4),(Calc!$L$94+(IF(Calc!$L$60,0,Calc!$L$1)+(IF(Calc!$L$60,1,-1))*Calc!$L$96*0.7660)*Calc!$L$93),NA())</f>
        <v/>
      </c>
      <c r="M319">
        <f>IF(Calc!$L$3*NOT(Calc!$L$4),(75+(Calc!$L$95*Calc!$L$96*0.6428)*Calc!$L$93),NA())</f>
        <v/>
      </c>
      <c r="P319" t="inlineStr">
        <is>
          <t>arc</t>
        </is>
      </c>
      <c r="Q319">
        <f>IF(Calc!$Q$3*NOT(Calc!$Q$4),(Calc!$Q$94+(IF(Calc!$Q$60,0,Calc!$Q$1)+(IF(Calc!$Q$60,1,-1))*Calc!$Q$96*0.7660)*Calc!$Q$93),NA())</f>
        <v/>
      </c>
      <c r="R319">
        <f>IF(Calc!$Q$3*NOT(Calc!$Q$4),(75+(Calc!$Q$95*Calc!$Q$96*0.6428)*Calc!$Q$93),NA())</f>
        <v/>
      </c>
      <c r="U319" t="inlineStr">
        <is>
          <t>arc</t>
        </is>
      </c>
      <c r="V319">
        <f>IF(Calc!$V$3*NOT(Calc!$V$4),(Calc!$V$94+(IF(Calc!$V$60,0,Calc!$V$1)+(IF(Calc!$V$60,1,-1))*Calc!$V$96*0.7660)*Calc!$V$93),NA())</f>
        <v/>
      </c>
      <c r="W319">
        <f>IF(Calc!$V$3*NOT(Calc!$V$4),(75+(Calc!$V$95*Calc!$V$96*0.6428)*Calc!$V$93),NA())</f>
        <v/>
      </c>
      <c r="Z319" t="inlineStr">
        <is>
          <t>arc</t>
        </is>
      </c>
      <c r="AA319">
        <f>IF(Calc!$AA$3*NOT(Calc!$AA$4),(Calc!$AA$94+(IF(Calc!$AA$60,0,Calc!$AA$1)+(IF(Calc!$AA$60,1,-1))*Calc!$AA$96*0.7660)*Calc!$AA$93),NA())</f>
        <v/>
      </c>
      <c r="AB319">
        <f>IF(Calc!$AA$3*NOT(Calc!$AA$4),(75+(Calc!$AA$95*Calc!$AA$96*0.6428)*Calc!$AA$93),NA())</f>
        <v/>
      </c>
    </row>
    <row r="320">
      <c r="A320" t="inlineStr">
        <is>
          <t>arc</t>
        </is>
      </c>
      <c r="B320">
        <f>IF(Calc!$B$3*NOT(Calc!$B$4),(Calc!$B$94+(IF(Calc!$B$60,0,Calc!$B$1)+(IF(Calc!$B$60,1,-1))*Calc!$B$96*0.6428)*Calc!$B$93),NA())</f>
        <v/>
      </c>
      <c r="C320">
        <f>IF(Calc!$B$3*NOT(Calc!$B$4),(75+(Calc!$B$95*Calc!$B$96*0.7660)*Calc!$B$93),NA())</f>
        <v/>
      </c>
      <c r="F320" t="inlineStr">
        <is>
          <t>arc</t>
        </is>
      </c>
      <c r="G320">
        <f>IF(Calc!$G$3*NOT(Calc!$G$4),(Calc!$G$94+(IF(Calc!$G$60,0,Calc!$G$1)+(IF(Calc!$G$60,1,-1))*Calc!$G$96*0.6428)*Calc!$G$93),NA())</f>
        <v/>
      </c>
      <c r="H320">
        <f>IF(Calc!$G$3*NOT(Calc!$G$4),(75+(Calc!$G$95*Calc!$G$96*0.7660)*Calc!$G$93),NA())</f>
        <v/>
      </c>
      <c r="K320" t="inlineStr">
        <is>
          <t>arc</t>
        </is>
      </c>
      <c r="L320">
        <f>IF(Calc!$L$3*NOT(Calc!$L$4),(Calc!$L$94+(IF(Calc!$L$60,0,Calc!$L$1)+(IF(Calc!$L$60,1,-1))*Calc!$L$96*0.6428)*Calc!$L$93),NA())</f>
        <v/>
      </c>
      <c r="M320">
        <f>IF(Calc!$L$3*NOT(Calc!$L$4),(75+(Calc!$L$95*Calc!$L$96*0.7660)*Calc!$L$93),NA())</f>
        <v/>
      </c>
      <c r="P320" t="inlineStr">
        <is>
          <t>arc</t>
        </is>
      </c>
      <c r="Q320">
        <f>IF(Calc!$Q$3*NOT(Calc!$Q$4),(Calc!$Q$94+(IF(Calc!$Q$60,0,Calc!$Q$1)+(IF(Calc!$Q$60,1,-1))*Calc!$Q$96*0.6428)*Calc!$Q$93),NA())</f>
        <v/>
      </c>
      <c r="R320">
        <f>IF(Calc!$Q$3*NOT(Calc!$Q$4),(75+(Calc!$Q$95*Calc!$Q$96*0.7660)*Calc!$Q$93),NA())</f>
        <v/>
      </c>
      <c r="U320" t="inlineStr">
        <is>
          <t>arc</t>
        </is>
      </c>
      <c r="V320">
        <f>IF(Calc!$V$3*NOT(Calc!$V$4),(Calc!$V$94+(IF(Calc!$V$60,0,Calc!$V$1)+(IF(Calc!$V$60,1,-1))*Calc!$V$96*0.6428)*Calc!$V$93),NA())</f>
        <v/>
      </c>
      <c r="W320">
        <f>IF(Calc!$V$3*NOT(Calc!$V$4),(75+(Calc!$V$95*Calc!$V$96*0.7660)*Calc!$V$93),NA())</f>
        <v/>
      </c>
      <c r="Z320" t="inlineStr">
        <is>
          <t>arc</t>
        </is>
      </c>
      <c r="AA320">
        <f>IF(Calc!$AA$3*NOT(Calc!$AA$4),(Calc!$AA$94+(IF(Calc!$AA$60,0,Calc!$AA$1)+(IF(Calc!$AA$60,1,-1))*Calc!$AA$96*0.6428)*Calc!$AA$93),NA())</f>
        <v/>
      </c>
      <c r="AB320">
        <f>IF(Calc!$AA$3*NOT(Calc!$AA$4),(75+(Calc!$AA$95*Calc!$AA$96*0.7660)*Calc!$AA$93),NA())</f>
        <v/>
      </c>
    </row>
    <row r="321">
      <c r="A321" t="inlineStr">
        <is>
          <t>arc</t>
        </is>
      </c>
      <c r="B321">
        <f>IF(Calc!$B$3*NOT(Calc!$B$4),(Calc!$B$94+(IF(Calc!$B$60,0,Calc!$B$1)+(IF(Calc!$B$60,1,-1))*Calc!$B$96*0.5000)*Calc!$B$93),NA())</f>
        <v/>
      </c>
      <c r="C321">
        <f>IF(Calc!$B$3*NOT(Calc!$B$4),(75+(Calc!$B$95*Calc!$B$96*0.8660)*Calc!$B$93),NA())</f>
        <v/>
      </c>
      <c r="F321" t="inlineStr">
        <is>
          <t>arc</t>
        </is>
      </c>
      <c r="G321">
        <f>IF(Calc!$G$3*NOT(Calc!$G$4),(Calc!$G$94+(IF(Calc!$G$60,0,Calc!$G$1)+(IF(Calc!$G$60,1,-1))*Calc!$G$96*0.5000)*Calc!$G$93),NA())</f>
        <v/>
      </c>
      <c r="H321">
        <f>IF(Calc!$G$3*NOT(Calc!$G$4),(75+(Calc!$G$95*Calc!$G$96*0.8660)*Calc!$G$93),NA())</f>
        <v/>
      </c>
      <c r="K321" t="inlineStr">
        <is>
          <t>arc</t>
        </is>
      </c>
      <c r="L321">
        <f>IF(Calc!$L$3*NOT(Calc!$L$4),(Calc!$L$94+(IF(Calc!$L$60,0,Calc!$L$1)+(IF(Calc!$L$60,1,-1))*Calc!$L$96*0.5000)*Calc!$L$93),NA())</f>
        <v/>
      </c>
      <c r="M321">
        <f>IF(Calc!$L$3*NOT(Calc!$L$4),(75+(Calc!$L$95*Calc!$L$96*0.8660)*Calc!$L$93),NA())</f>
        <v/>
      </c>
      <c r="P321" t="inlineStr">
        <is>
          <t>arc</t>
        </is>
      </c>
      <c r="Q321">
        <f>IF(Calc!$Q$3*NOT(Calc!$Q$4),(Calc!$Q$94+(IF(Calc!$Q$60,0,Calc!$Q$1)+(IF(Calc!$Q$60,1,-1))*Calc!$Q$96*0.5000)*Calc!$Q$93),NA())</f>
        <v/>
      </c>
      <c r="R321">
        <f>IF(Calc!$Q$3*NOT(Calc!$Q$4),(75+(Calc!$Q$95*Calc!$Q$96*0.8660)*Calc!$Q$93),NA())</f>
        <v/>
      </c>
      <c r="U321" t="inlineStr">
        <is>
          <t>arc</t>
        </is>
      </c>
      <c r="V321">
        <f>IF(Calc!$V$3*NOT(Calc!$V$4),(Calc!$V$94+(IF(Calc!$V$60,0,Calc!$V$1)+(IF(Calc!$V$60,1,-1))*Calc!$V$96*0.5000)*Calc!$V$93),NA())</f>
        <v/>
      </c>
      <c r="W321">
        <f>IF(Calc!$V$3*NOT(Calc!$V$4),(75+(Calc!$V$95*Calc!$V$96*0.8660)*Calc!$V$93),NA())</f>
        <v/>
      </c>
      <c r="Z321" t="inlineStr">
        <is>
          <t>arc</t>
        </is>
      </c>
      <c r="AA321">
        <f>IF(Calc!$AA$3*NOT(Calc!$AA$4),(Calc!$AA$94+(IF(Calc!$AA$60,0,Calc!$AA$1)+(IF(Calc!$AA$60,1,-1))*Calc!$AA$96*0.5000)*Calc!$AA$93),NA())</f>
        <v/>
      </c>
      <c r="AB321">
        <f>IF(Calc!$AA$3*NOT(Calc!$AA$4),(75+(Calc!$AA$95*Calc!$AA$96*0.8660)*Calc!$AA$93),NA())</f>
        <v/>
      </c>
    </row>
    <row r="322">
      <c r="A322" t="inlineStr">
        <is>
          <t>arc</t>
        </is>
      </c>
      <c r="B322">
        <f>IF(Calc!$B$3*NOT(Calc!$B$4),(Calc!$B$94+(IF(Calc!$B$60,0,Calc!$B$1)+(IF(Calc!$B$60,1,-1))*Calc!$B$96*0.3420)*Calc!$B$93),NA())</f>
        <v/>
      </c>
      <c r="C322">
        <f>IF(Calc!$B$3*NOT(Calc!$B$4),(75+(Calc!$B$95*Calc!$B$96*0.9397)*Calc!$B$93),NA())</f>
        <v/>
      </c>
      <c r="F322" t="inlineStr">
        <is>
          <t>arc</t>
        </is>
      </c>
      <c r="G322">
        <f>IF(Calc!$G$3*NOT(Calc!$G$4),(Calc!$G$94+(IF(Calc!$G$60,0,Calc!$G$1)+(IF(Calc!$G$60,1,-1))*Calc!$G$96*0.3420)*Calc!$G$93),NA())</f>
        <v/>
      </c>
      <c r="H322">
        <f>IF(Calc!$G$3*NOT(Calc!$G$4),(75+(Calc!$G$95*Calc!$G$96*0.9397)*Calc!$G$93),NA())</f>
        <v/>
      </c>
      <c r="K322" t="inlineStr">
        <is>
          <t>arc</t>
        </is>
      </c>
      <c r="L322">
        <f>IF(Calc!$L$3*NOT(Calc!$L$4),(Calc!$L$94+(IF(Calc!$L$60,0,Calc!$L$1)+(IF(Calc!$L$60,1,-1))*Calc!$L$96*0.3420)*Calc!$L$93),NA())</f>
        <v/>
      </c>
      <c r="M322">
        <f>IF(Calc!$L$3*NOT(Calc!$L$4),(75+(Calc!$L$95*Calc!$L$96*0.9397)*Calc!$L$93),NA())</f>
        <v/>
      </c>
      <c r="P322" t="inlineStr">
        <is>
          <t>arc</t>
        </is>
      </c>
      <c r="Q322">
        <f>IF(Calc!$Q$3*NOT(Calc!$Q$4),(Calc!$Q$94+(IF(Calc!$Q$60,0,Calc!$Q$1)+(IF(Calc!$Q$60,1,-1))*Calc!$Q$96*0.3420)*Calc!$Q$93),NA())</f>
        <v/>
      </c>
      <c r="R322">
        <f>IF(Calc!$Q$3*NOT(Calc!$Q$4),(75+(Calc!$Q$95*Calc!$Q$96*0.9397)*Calc!$Q$93),NA())</f>
        <v/>
      </c>
      <c r="U322" t="inlineStr">
        <is>
          <t>arc</t>
        </is>
      </c>
      <c r="V322">
        <f>IF(Calc!$V$3*NOT(Calc!$V$4),(Calc!$V$94+(IF(Calc!$V$60,0,Calc!$V$1)+(IF(Calc!$V$60,1,-1))*Calc!$V$96*0.3420)*Calc!$V$93),NA())</f>
        <v/>
      </c>
      <c r="W322">
        <f>IF(Calc!$V$3*NOT(Calc!$V$4),(75+(Calc!$V$95*Calc!$V$96*0.9397)*Calc!$V$93),NA())</f>
        <v/>
      </c>
      <c r="Z322" t="inlineStr">
        <is>
          <t>arc</t>
        </is>
      </c>
      <c r="AA322">
        <f>IF(Calc!$AA$3*NOT(Calc!$AA$4),(Calc!$AA$94+(IF(Calc!$AA$60,0,Calc!$AA$1)+(IF(Calc!$AA$60,1,-1))*Calc!$AA$96*0.3420)*Calc!$AA$93),NA())</f>
        <v/>
      </c>
      <c r="AB322">
        <f>IF(Calc!$AA$3*NOT(Calc!$AA$4),(75+(Calc!$AA$95*Calc!$AA$96*0.9397)*Calc!$AA$93),NA())</f>
        <v/>
      </c>
    </row>
    <row r="323">
      <c r="A323" t="inlineStr">
        <is>
          <t>arc</t>
        </is>
      </c>
      <c r="B323">
        <f>IF(Calc!$B$3*NOT(Calc!$B$4),(Calc!$B$94+(IF(Calc!$B$60,0,Calc!$B$1)+(IF(Calc!$B$60,1,-1))*Calc!$B$96*0.1736)*Calc!$B$93),NA())</f>
        <v/>
      </c>
      <c r="C323">
        <f>IF(Calc!$B$3*NOT(Calc!$B$4),(75+(Calc!$B$95*Calc!$B$96*0.9848)*Calc!$B$93),NA())</f>
        <v/>
      </c>
      <c r="F323" t="inlineStr">
        <is>
          <t>arc</t>
        </is>
      </c>
      <c r="G323">
        <f>IF(Calc!$G$3*NOT(Calc!$G$4),(Calc!$G$94+(IF(Calc!$G$60,0,Calc!$G$1)+(IF(Calc!$G$60,1,-1))*Calc!$G$96*0.1736)*Calc!$G$93),NA())</f>
        <v/>
      </c>
      <c r="H323">
        <f>IF(Calc!$G$3*NOT(Calc!$G$4),(75+(Calc!$G$95*Calc!$G$96*0.9848)*Calc!$G$93),NA())</f>
        <v/>
      </c>
      <c r="K323" t="inlineStr">
        <is>
          <t>arc</t>
        </is>
      </c>
      <c r="L323">
        <f>IF(Calc!$L$3*NOT(Calc!$L$4),(Calc!$L$94+(IF(Calc!$L$60,0,Calc!$L$1)+(IF(Calc!$L$60,1,-1))*Calc!$L$96*0.1736)*Calc!$L$93),NA())</f>
        <v/>
      </c>
      <c r="M323">
        <f>IF(Calc!$L$3*NOT(Calc!$L$4),(75+(Calc!$L$95*Calc!$L$96*0.9848)*Calc!$L$93),NA())</f>
        <v/>
      </c>
      <c r="P323" t="inlineStr">
        <is>
          <t>arc</t>
        </is>
      </c>
      <c r="Q323">
        <f>IF(Calc!$Q$3*NOT(Calc!$Q$4),(Calc!$Q$94+(IF(Calc!$Q$60,0,Calc!$Q$1)+(IF(Calc!$Q$60,1,-1))*Calc!$Q$96*0.1736)*Calc!$Q$93),NA())</f>
        <v/>
      </c>
      <c r="R323">
        <f>IF(Calc!$Q$3*NOT(Calc!$Q$4),(75+(Calc!$Q$95*Calc!$Q$96*0.9848)*Calc!$Q$93),NA())</f>
        <v/>
      </c>
      <c r="U323" t="inlineStr">
        <is>
          <t>arc</t>
        </is>
      </c>
      <c r="V323">
        <f>IF(Calc!$V$3*NOT(Calc!$V$4),(Calc!$V$94+(IF(Calc!$V$60,0,Calc!$V$1)+(IF(Calc!$V$60,1,-1))*Calc!$V$96*0.1736)*Calc!$V$93),NA())</f>
        <v/>
      </c>
      <c r="W323">
        <f>IF(Calc!$V$3*NOT(Calc!$V$4),(75+(Calc!$V$95*Calc!$V$96*0.9848)*Calc!$V$93),NA())</f>
        <v/>
      </c>
      <c r="Z323" t="inlineStr">
        <is>
          <t>arc</t>
        </is>
      </c>
      <c r="AA323">
        <f>IF(Calc!$AA$3*NOT(Calc!$AA$4),(Calc!$AA$94+(IF(Calc!$AA$60,0,Calc!$AA$1)+(IF(Calc!$AA$60,1,-1))*Calc!$AA$96*0.1736)*Calc!$AA$93),NA())</f>
        <v/>
      </c>
      <c r="AB323">
        <f>IF(Calc!$AA$3*NOT(Calc!$AA$4),(75+(Calc!$AA$95*Calc!$AA$96*0.9848)*Calc!$AA$93),NA())</f>
        <v/>
      </c>
    </row>
    <row r="324">
      <c r="A324" t="inlineStr">
        <is>
          <t>arc</t>
        </is>
      </c>
      <c r="B324">
        <f>IF(Calc!$B$3*NOT(Calc!$B$4),(Calc!$B$94+(IF(Calc!$B$60,0,Calc!$B$1)+(IF(Calc!$B$60,1,-1))*Calc!$B$96*0.0000)*Calc!$B$93),NA())</f>
        <v/>
      </c>
      <c r="C324">
        <f>IF(Calc!$B$3*NOT(Calc!$B$4),(75+(Calc!$B$95*Calc!$B$96*1.0000)*Calc!$B$93),NA())</f>
        <v/>
      </c>
      <c r="F324" t="inlineStr">
        <is>
          <t>arc</t>
        </is>
      </c>
      <c r="G324">
        <f>IF(Calc!$G$3*NOT(Calc!$G$4),(Calc!$G$94+(IF(Calc!$G$60,0,Calc!$G$1)+(IF(Calc!$G$60,1,-1))*Calc!$G$96*0.0000)*Calc!$G$93),NA())</f>
        <v/>
      </c>
      <c r="H324">
        <f>IF(Calc!$G$3*NOT(Calc!$G$4),(75+(Calc!$G$95*Calc!$G$96*1.0000)*Calc!$G$93),NA())</f>
        <v/>
      </c>
      <c r="K324" t="inlineStr">
        <is>
          <t>arc</t>
        </is>
      </c>
      <c r="L324">
        <f>IF(Calc!$L$3*NOT(Calc!$L$4),(Calc!$L$94+(IF(Calc!$L$60,0,Calc!$L$1)+(IF(Calc!$L$60,1,-1))*Calc!$L$96*0.0000)*Calc!$L$93),NA())</f>
        <v/>
      </c>
      <c r="M324">
        <f>IF(Calc!$L$3*NOT(Calc!$L$4),(75+(Calc!$L$95*Calc!$L$96*1.0000)*Calc!$L$93),NA())</f>
        <v/>
      </c>
      <c r="P324" t="inlineStr">
        <is>
          <t>arc</t>
        </is>
      </c>
      <c r="Q324">
        <f>IF(Calc!$Q$3*NOT(Calc!$Q$4),(Calc!$Q$94+(IF(Calc!$Q$60,0,Calc!$Q$1)+(IF(Calc!$Q$60,1,-1))*Calc!$Q$96*0.0000)*Calc!$Q$93),NA())</f>
        <v/>
      </c>
      <c r="R324">
        <f>IF(Calc!$Q$3*NOT(Calc!$Q$4),(75+(Calc!$Q$95*Calc!$Q$96*1.0000)*Calc!$Q$93),NA())</f>
        <v/>
      </c>
      <c r="U324" t="inlineStr">
        <is>
          <t>arc</t>
        </is>
      </c>
      <c r="V324">
        <f>IF(Calc!$V$3*NOT(Calc!$V$4),(Calc!$V$94+(IF(Calc!$V$60,0,Calc!$V$1)+(IF(Calc!$V$60,1,-1))*Calc!$V$96*0.0000)*Calc!$V$93),NA())</f>
        <v/>
      </c>
      <c r="W324">
        <f>IF(Calc!$V$3*NOT(Calc!$V$4),(75+(Calc!$V$95*Calc!$V$96*1.0000)*Calc!$V$93),NA())</f>
        <v/>
      </c>
      <c r="Z324" t="inlineStr">
        <is>
          <t>arc</t>
        </is>
      </c>
      <c r="AA324">
        <f>IF(Calc!$AA$3*NOT(Calc!$AA$4),(Calc!$AA$94+(IF(Calc!$AA$60,0,Calc!$AA$1)+(IF(Calc!$AA$60,1,-1))*Calc!$AA$96*0.0000)*Calc!$AA$93),NA())</f>
        <v/>
      </c>
      <c r="AB324">
        <f>IF(Calc!$AA$3*NOT(Calc!$AA$4),(75+(Calc!$AA$95*Calc!$AA$96*1.0000)*Calc!$AA$93),NA())</f>
        <v/>
      </c>
    </row>
    <row r="326">
      <c r="A326" t="inlineStr">
        <is>
          <t>leaf</t>
        </is>
      </c>
      <c r="B326">
        <f>IF(Calc!$B$3*Calc!$B$4,(Calc!$B$94+(0)*Calc!$B$93),NA())</f>
        <v/>
      </c>
      <c r="C326">
        <f>IF(Calc!$B$3*Calc!$B$4,(75+(0)*Calc!$B$93),NA())</f>
        <v/>
      </c>
      <c r="F326" t="inlineStr">
        <is>
          <t>leaf</t>
        </is>
      </c>
      <c r="G326">
        <f>IF(Calc!$G$3*Calc!$G$4,(Calc!$G$94+(0)*Calc!$G$93),NA())</f>
        <v/>
      </c>
      <c r="H326">
        <f>IF(Calc!$G$3*Calc!$G$4,(75+(0)*Calc!$G$93),NA())</f>
        <v/>
      </c>
      <c r="K326" t="inlineStr">
        <is>
          <t>leaf</t>
        </is>
      </c>
      <c r="L326">
        <f>IF(Calc!$L$3*Calc!$L$4,(Calc!$L$94+(0)*Calc!$L$93),NA())</f>
        <v/>
      </c>
      <c r="M326">
        <f>IF(Calc!$L$3*Calc!$L$4,(75+(0)*Calc!$L$93),NA())</f>
        <v/>
      </c>
      <c r="P326" t="inlineStr">
        <is>
          <t>leaf</t>
        </is>
      </c>
      <c r="Q326">
        <f>IF(Calc!$Q$3*Calc!$Q$4,(Calc!$Q$94+(0)*Calc!$Q$93),NA())</f>
        <v/>
      </c>
      <c r="R326">
        <f>IF(Calc!$Q$3*Calc!$Q$4,(75+(0)*Calc!$Q$93),NA())</f>
        <v/>
      </c>
      <c r="U326" t="inlineStr">
        <is>
          <t>leaf</t>
        </is>
      </c>
      <c r="V326">
        <f>IF(Calc!$V$3*Calc!$V$4,(Calc!$V$94+(0)*Calc!$V$93),NA())</f>
        <v/>
      </c>
      <c r="W326">
        <f>IF(Calc!$V$3*Calc!$V$4,(75+(0)*Calc!$V$93),NA())</f>
        <v/>
      </c>
      <c r="Z326" t="inlineStr">
        <is>
          <t>leaf</t>
        </is>
      </c>
      <c r="AA326">
        <f>IF(Calc!$AA$3*Calc!$AA$4,(Calc!$AA$94+(0)*Calc!$AA$93),NA())</f>
        <v/>
      </c>
      <c r="AB326">
        <f>IF(Calc!$AA$3*Calc!$AA$4,(75+(0)*Calc!$AA$93),NA())</f>
        <v/>
      </c>
    </row>
    <row r="327">
      <c r="A327" t="inlineStr">
        <is>
          <t>leaf</t>
        </is>
      </c>
      <c r="B327">
        <f>IF(Calc!$B$3*Calc!$B$4,(Calc!$B$94+(0)*Calc!$B$93),NA())</f>
        <v/>
      </c>
      <c r="C327">
        <f>IF(Calc!$B$3*Calc!$B$4,(75+(Calc!$B$95*Calc!$B$96)*Calc!$B$93),NA())</f>
        <v/>
      </c>
      <c r="F327" t="inlineStr">
        <is>
          <t>leaf</t>
        </is>
      </c>
      <c r="G327">
        <f>IF(Calc!$G$3*Calc!$G$4,(Calc!$G$94+(0)*Calc!$G$93),NA())</f>
        <v/>
      </c>
      <c r="H327">
        <f>IF(Calc!$G$3*Calc!$G$4,(75+(Calc!$G$95*Calc!$G$96)*Calc!$G$93),NA())</f>
        <v/>
      </c>
      <c r="K327" t="inlineStr">
        <is>
          <t>leaf</t>
        </is>
      </c>
      <c r="L327">
        <f>IF(Calc!$L$3*Calc!$L$4,(Calc!$L$94+(0)*Calc!$L$93),NA())</f>
        <v/>
      </c>
      <c r="M327">
        <f>IF(Calc!$L$3*Calc!$L$4,(75+(Calc!$L$95*Calc!$L$96)*Calc!$L$93),NA())</f>
        <v/>
      </c>
      <c r="P327" t="inlineStr">
        <is>
          <t>leaf</t>
        </is>
      </c>
      <c r="Q327">
        <f>IF(Calc!$Q$3*Calc!$Q$4,(Calc!$Q$94+(0)*Calc!$Q$93),NA())</f>
        <v/>
      </c>
      <c r="R327">
        <f>IF(Calc!$Q$3*Calc!$Q$4,(75+(Calc!$Q$95*Calc!$Q$96)*Calc!$Q$93),NA())</f>
        <v/>
      </c>
      <c r="U327" t="inlineStr">
        <is>
          <t>leaf</t>
        </is>
      </c>
      <c r="V327">
        <f>IF(Calc!$V$3*Calc!$V$4,(Calc!$V$94+(0)*Calc!$V$93),NA())</f>
        <v/>
      </c>
      <c r="W327">
        <f>IF(Calc!$V$3*Calc!$V$4,(75+(Calc!$V$95*Calc!$V$96)*Calc!$V$93),NA())</f>
        <v/>
      </c>
      <c r="Z327" t="inlineStr">
        <is>
          <t>leaf</t>
        </is>
      </c>
      <c r="AA327">
        <f>IF(Calc!$AA$3*Calc!$AA$4,(Calc!$AA$94+(0)*Calc!$AA$93),NA())</f>
        <v/>
      </c>
      <c r="AB327">
        <f>IF(Calc!$AA$3*Calc!$AA$4,(75+(Calc!$AA$95*Calc!$AA$96)*Calc!$AA$93),NA())</f>
        <v/>
      </c>
    </row>
    <row r="329">
      <c r="A329" t="inlineStr">
        <is>
          <t>arc</t>
        </is>
      </c>
      <c r="B329">
        <f>IF(Calc!$B$3*Calc!$B$4,(Calc!$B$94+(0+(1)*Calc!$B$96*1.0000)*Calc!$B$93),NA())</f>
        <v/>
      </c>
      <c r="C329">
        <f>IF(Calc!$B$3*Calc!$B$4,(75+(Calc!$B$95*Calc!$B$96*0.0000)*Calc!$B$93),NA())</f>
        <v/>
      </c>
      <c r="F329" t="inlineStr">
        <is>
          <t>arc</t>
        </is>
      </c>
      <c r="G329">
        <f>IF(Calc!$G$3*Calc!$G$4,(Calc!$G$94+(0+(1)*Calc!$G$96*1.0000)*Calc!$G$93),NA())</f>
        <v/>
      </c>
      <c r="H329">
        <f>IF(Calc!$G$3*Calc!$G$4,(75+(Calc!$G$95*Calc!$G$96*0.0000)*Calc!$G$93),NA())</f>
        <v/>
      </c>
      <c r="K329" t="inlineStr">
        <is>
          <t>arc</t>
        </is>
      </c>
      <c r="L329">
        <f>IF(Calc!$L$3*Calc!$L$4,(Calc!$L$94+(0+(1)*Calc!$L$96*1.0000)*Calc!$L$93),NA())</f>
        <v/>
      </c>
      <c r="M329">
        <f>IF(Calc!$L$3*Calc!$L$4,(75+(Calc!$L$95*Calc!$L$96*0.0000)*Calc!$L$93),NA())</f>
        <v/>
      </c>
      <c r="P329" t="inlineStr">
        <is>
          <t>arc</t>
        </is>
      </c>
      <c r="Q329">
        <f>IF(Calc!$Q$3*Calc!$Q$4,(Calc!$Q$94+(0+(1)*Calc!$Q$96*1.0000)*Calc!$Q$93),NA())</f>
        <v/>
      </c>
      <c r="R329">
        <f>IF(Calc!$Q$3*Calc!$Q$4,(75+(Calc!$Q$95*Calc!$Q$96*0.0000)*Calc!$Q$93),NA())</f>
        <v/>
      </c>
      <c r="U329" t="inlineStr">
        <is>
          <t>arc</t>
        </is>
      </c>
      <c r="V329">
        <f>IF(Calc!$V$3*Calc!$V$4,(Calc!$V$94+(0+(1)*Calc!$V$96*1.0000)*Calc!$V$93),NA())</f>
        <v/>
      </c>
      <c r="W329">
        <f>IF(Calc!$V$3*Calc!$V$4,(75+(Calc!$V$95*Calc!$V$96*0.0000)*Calc!$V$93),NA())</f>
        <v/>
      </c>
      <c r="Z329" t="inlineStr">
        <is>
          <t>arc</t>
        </is>
      </c>
      <c r="AA329">
        <f>IF(Calc!$AA$3*Calc!$AA$4,(Calc!$AA$94+(0+(1)*Calc!$AA$96*1.0000)*Calc!$AA$93),NA())</f>
        <v/>
      </c>
      <c r="AB329">
        <f>IF(Calc!$AA$3*Calc!$AA$4,(75+(Calc!$AA$95*Calc!$AA$96*0.0000)*Calc!$AA$93),NA())</f>
        <v/>
      </c>
    </row>
    <row r="330">
      <c r="A330" t="inlineStr">
        <is>
          <t>arc</t>
        </is>
      </c>
      <c r="B330">
        <f>IF(Calc!$B$3*Calc!$B$4,(Calc!$B$94+(0+(1)*Calc!$B$96*0.9848)*Calc!$B$93),NA())</f>
        <v/>
      </c>
      <c r="C330">
        <f>IF(Calc!$B$3*Calc!$B$4,(75+(Calc!$B$95*Calc!$B$96*0.1736)*Calc!$B$93),NA())</f>
        <v/>
      </c>
      <c r="F330" t="inlineStr">
        <is>
          <t>arc</t>
        </is>
      </c>
      <c r="G330">
        <f>IF(Calc!$G$3*Calc!$G$4,(Calc!$G$94+(0+(1)*Calc!$G$96*0.9848)*Calc!$G$93),NA())</f>
        <v/>
      </c>
      <c r="H330">
        <f>IF(Calc!$G$3*Calc!$G$4,(75+(Calc!$G$95*Calc!$G$96*0.1736)*Calc!$G$93),NA())</f>
        <v/>
      </c>
      <c r="K330" t="inlineStr">
        <is>
          <t>arc</t>
        </is>
      </c>
      <c r="L330">
        <f>IF(Calc!$L$3*Calc!$L$4,(Calc!$L$94+(0+(1)*Calc!$L$96*0.9848)*Calc!$L$93),NA())</f>
        <v/>
      </c>
      <c r="M330">
        <f>IF(Calc!$L$3*Calc!$L$4,(75+(Calc!$L$95*Calc!$L$96*0.1736)*Calc!$L$93),NA())</f>
        <v/>
      </c>
      <c r="P330" t="inlineStr">
        <is>
          <t>arc</t>
        </is>
      </c>
      <c r="Q330">
        <f>IF(Calc!$Q$3*Calc!$Q$4,(Calc!$Q$94+(0+(1)*Calc!$Q$96*0.9848)*Calc!$Q$93),NA())</f>
        <v/>
      </c>
      <c r="R330">
        <f>IF(Calc!$Q$3*Calc!$Q$4,(75+(Calc!$Q$95*Calc!$Q$96*0.1736)*Calc!$Q$93),NA())</f>
        <v/>
      </c>
      <c r="U330" t="inlineStr">
        <is>
          <t>arc</t>
        </is>
      </c>
      <c r="V330">
        <f>IF(Calc!$V$3*Calc!$V$4,(Calc!$V$94+(0+(1)*Calc!$V$96*0.9848)*Calc!$V$93),NA())</f>
        <v/>
      </c>
      <c r="W330">
        <f>IF(Calc!$V$3*Calc!$V$4,(75+(Calc!$V$95*Calc!$V$96*0.1736)*Calc!$V$93),NA())</f>
        <v/>
      </c>
      <c r="Z330" t="inlineStr">
        <is>
          <t>arc</t>
        </is>
      </c>
      <c r="AA330">
        <f>IF(Calc!$AA$3*Calc!$AA$4,(Calc!$AA$94+(0+(1)*Calc!$AA$96*0.9848)*Calc!$AA$93),NA())</f>
        <v/>
      </c>
      <c r="AB330">
        <f>IF(Calc!$AA$3*Calc!$AA$4,(75+(Calc!$AA$95*Calc!$AA$96*0.1736)*Calc!$AA$93),NA())</f>
        <v/>
      </c>
    </row>
    <row r="331">
      <c r="A331" t="inlineStr">
        <is>
          <t>arc</t>
        </is>
      </c>
      <c r="B331">
        <f>IF(Calc!$B$3*Calc!$B$4,(Calc!$B$94+(0+(1)*Calc!$B$96*0.9397)*Calc!$B$93),NA())</f>
        <v/>
      </c>
      <c r="C331">
        <f>IF(Calc!$B$3*Calc!$B$4,(75+(Calc!$B$95*Calc!$B$96*0.3420)*Calc!$B$93),NA())</f>
        <v/>
      </c>
      <c r="F331" t="inlineStr">
        <is>
          <t>arc</t>
        </is>
      </c>
      <c r="G331">
        <f>IF(Calc!$G$3*Calc!$G$4,(Calc!$G$94+(0+(1)*Calc!$G$96*0.9397)*Calc!$G$93),NA())</f>
        <v/>
      </c>
      <c r="H331">
        <f>IF(Calc!$G$3*Calc!$G$4,(75+(Calc!$G$95*Calc!$G$96*0.3420)*Calc!$G$93),NA())</f>
        <v/>
      </c>
      <c r="K331" t="inlineStr">
        <is>
          <t>arc</t>
        </is>
      </c>
      <c r="L331">
        <f>IF(Calc!$L$3*Calc!$L$4,(Calc!$L$94+(0+(1)*Calc!$L$96*0.9397)*Calc!$L$93),NA())</f>
        <v/>
      </c>
      <c r="M331">
        <f>IF(Calc!$L$3*Calc!$L$4,(75+(Calc!$L$95*Calc!$L$96*0.3420)*Calc!$L$93),NA())</f>
        <v/>
      </c>
      <c r="P331" t="inlineStr">
        <is>
          <t>arc</t>
        </is>
      </c>
      <c r="Q331">
        <f>IF(Calc!$Q$3*Calc!$Q$4,(Calc!$Q$94+(0+(1)*Calc!$Q$96*0.9397)*Calc!$Q$93),NA())</f>
        <v/>
      </c>
      <c r="R331">
        <f>IF(Calc!$Q$3*Calc!$Q$4,(75+(Calc!$Q$95*Calc!$Q$96*0.3420)*Calc!$Q$93),NA())</f>
        <v/>
      </c>
      <c r="U331" t="inlineStr">
        <is>
          <t>arc</t>
        </is>
      </c>
      <c r="V331">
        <f>IF(Calc!$V$3*Calc!$V$4,(Calc!$V$94+(0+(1)*Calc!$V$96*0.9397)*Calc!$V$93),NA())</f>
        <v/>
      </c>
      <c r="W331">
        <f>IF(Calc!$V$3*Calc!$V$4,(75+(Calc!$V$95*Calc!$V$96*0.3420)*Calc!$V$93),NA())</f>
        <v/>
      </c>
      <c r="Z331" t="inlineStr">
        <is>
          <t>arc</t>
        </is>
      </c>
      <c r="AA331">
        <f>IF(Calc!$AA$3*Calc!$AA$4,(Calc!$AA$94+(0+(1)*Calc!$AA$96*0.9397)*Calc!$AA$93),NA())</f>
        <v/>
      </c>
      <c r="AB331">
        <f>IF(Calc!$AA$3*Calc!$AA$4,(75+(Calc!$AA$95*Calc!$AA$96*0.3420)*Calc!$AA$93),NA())</f>
        <v/>
      </c>
    </row>
    <row r="332">
      <c r="A332" t="inlineStr">
        <is>
          <t>arc</t>
        </is>
      </c>
      <c r="B332">
        <f>IF(Calc!$B$3*Calc!$B$4,(Calc!$B$94+(0+(1)*Calc!$B$96*0.8660)*Calc!$B$93),NA())</f>
        <v/>
      </c>
      <c r="C332">
        <f>IF(Calc!$B$3*Calc!$B$4,(75+(Calc!$B$95*Calc!$B$96*0.5000)*Calc!$B$93),NA())</f>
        <v/>
      </c>
      <c r="F332" t="inlineStr">
        <is>
          <t>arc</t>
        </is>
      </c>
      <c r="G332">
        <f>IF(Calc!$G$3*Calc!$G$4,(Calc!$G$94+(0+(1)*Calc!$G$96*0.8660)*Calc!$G$93),NA())</f>
        <v/>
      </c>
      <c r="H332">
        <f>IF(Calc!$G$3*Calc!$G$4,(75+(Calc!$G$95*Calc!$G$96*0.5000)*Calc!$G$93),NA())</f>
        <v/>
      </c>
      <c r="K332" t="inlineStr">
        <is>
          <t>arc</t>
        </is>
      </c>
      <c r="L332">
        <f>IF(Calc!$L$3*Calc!$L$4,(Calc!$L$94+(0+(1)*Calc!$L$96*0.8660)*Calc!$L$93),NA())</f>
        <v/>
      </c>
      <c r="M332">
        <f>IF(Calc!$L$3*Calc!$L$4,(75+(Calc!$L$95*Calc!$L$96*0.5000)*Calc!$L$93),NA())</f>
        <v/>
      </c>
      <c r="P332" t="inlineStr">
        <is>
          <t>arc</t>
        </is>
      </c>
      <c r="Q332">
        <f>IF(Calc!$Q$3*Calc!$Q$4,(Calc!$Q$94+(0+(1)*Calc!$Q$96*0.8660)*Calc!$Q$93),NA())</f>
        <v/>
      </c>
      <c r="R332">
        <f>IF(Calc!$Q$3*Calc!$Q$4,(75+(Calc!$Q$95*Calc!$Q$96*0.5000)*Calc!$Q$93),NA())</f>
        <v/>
      </c>
      <c r="U332" t="inlineStr">
        <is>
          <t>arc</t>
        </is>
      </c>
      <c r="V332">
        <f>IF(Calc!$V$3*Calc!$V$4,(Calc!$V$94+(0+(1)*Calc!$V$96*0.8660)*Calc!$V$93),NA())</f>
        <v/>
      </c>
      <c r="W332">
        <f>IF(Calc!$V$3*Calc!$V$4,(75+(Calc!$V$95*Calc!$V$96*0.5000)*Calc!$V$93),NA())</f>
        <v/>
      </c>
      <c r="Z332" t="inlineStr">
        <is>
          <t>arc</t>
        </is>
      </c>
      <c r="AA332">
        <f>IF(Calc!$AA$3*Calc!$AA$4,(Calc!$AA$94+(0+(1)*Calc!$AA$96*0.8660)*Calc!$AA$93),NA())</f>
        <v/>
      </c>
      <c r="AB332">
        <f>IF(Calc!$AA$3*Calc!$AA$4,(75+(Calc!$AA$95*Calc!$AA$96*0.5000)*Calc!$AA$93),NA())</f>
        <v/>
      </c>
    </row>
    <row r="333">
      <c r="A333" t="inlineStr">
        <is>
          <t>arc</t>
        </is>
      </c>
      <c r="B333">
        <f>IF(Calc!$B$3*Calc!$B$4,(Calc!$B$94+(0+(1)*Calc!$B$96*0.7660)*Calc!$B$93),NA())</f>
        <v/>
      </c>
      <c r="C333">
        <f>IF(Calc!$B$3*Calc!$B$4,(75+(Calc!$B$95*Calc!$B$96*0.6428)*Calc!$B$93),NA())</f>
        <v/>
      </c>
      <c r="F333" t="inlineStr">
        <is>
          <t>arc</t>
        </is>
      </c>
      <c r="G333">
        <f>IF(Calc!$G$3*Calc!$G$4,(Calc!$G$94+(0+(1)*Calc!$G$96*0.7660)*Calc!$G$93),NA())</f>
        <v/>
      </c>
      <c r="H333">
        <f>IF(Calc!$G$3*Calc!$G$4,(75+(Calc!$G$95*Calc!$G$96*0.6428)*Calc!$G$93),NA())</f>
        <v/>
      </c>
      <c r="K333" t="inlineStr">
        <is>
          <t>arc</t>
        </is>
      </c>
      <c r="L333">
        <f>IF(Calc!$L$3*Calc!$L$4,(Calc!$L$94+(0+(1)*Calc!$L$96*0.7660)*Calc!$L$93),NA())</f>
        <v/>
      </c>
      <c r="M333">
        <f>IF(Calc!$L$3*Calc!$L$4,(75+(Calc!$L$95*Calc!$L$96*0.6428)*Calc!$L$93),NA())</f>
        <v/>
      </c>
      <c r="P333" t="inlineStr">
        <is>
          <t>arc</t>
        </is>
      </c>
      <c r="Q333">
        <f>IF(Calc!$Q$3*Calc!$Q$4,(Calc!$Q$94+(0+(1)*Calc!$Q$96*0.7660)*Calc!$Q$93),NA())</f>
        <v/>
      </c>
      <c r="R333">
        <f>IF(Calc!$Q$3*Calc!$Q$4,(75+(Calc!$Q$95*Calc!$Q$96*0.6428)*Calc!$Q$93),NA())</f>
        <v/>
      </c>
      <c r="U333" t="inlineStr">
        <is>
          <t>arc</t>
        </is>
      </c>
      <c r="V333">
        <f>IF(Calc!$V$3*Calc!$V$4,(Calc!$V$94+(0+(1)*Calc!$V$96*0.7660)*Calc!$V$93),NA())</f>
        <v/>
      </c>
      <c r="W333">
        <f>IF(Calc!$V$3*Calc!$V$4,(75+(Calc!$V$95*Calc!$V$96*0.6428)*Calc!$V$93),NA())</f>
        <v/>
      </c>
      <c r="Z333" t="inlineStr">
        <is>
          <t>arc</t>
        </is>
      </c>
      <c r="AA333">
        <f>IF(Calc!$AA$3*Calc!$AA$4,(Calc!$AA$94+(0+(1)*Calc!$AA$96*0.7660)*Calc!$AA$93),NA())</f>
        <v/>
      </c>
      <c r="AB333">
        <f>IF(Calc!$AA$3*Calc!$AA$4,(75+(Calc!$AA$95*Calc!$AA$96*0.6428)*Calc!$AA$93),NA())</f>
        <v/>
      </c>
    </row>
    <row r="334">
      <c r="A334" t="inlineStr">
        <is>
          <t>arc</t>
        </is>
      </c>
      <c r="B334">
        <f>IF(Calc!$B$3*Calc!$B$4,(Calc!$B$94+(0+(1)*Calc!$B$96*0.6428)*Calc!$B$93),NA())</f>
        <v/>
      </c>
      <c r="C334">
        <f>IF(Calc!$B$3*Calc!$B$4,(75+(Calc!$B$95*Calc!$B$96*0.7660)*Calc!$B$93),NA())</f>
        <v/>
      </c>
      <c r="F334" t="inlineStr">
        <is>
          <t>arc</t>
        </is>
      </c>
      <c r="G334">
        <f>IF(Calc!$G$3*Calc!$G$4,(Calc!$G$94+(0+(1)*Calc!$G$96*0.6428)*Calc!$G$93),NA())</f>
        <v/>
      </c>
      <c r="H334">
        <f>IF(Calc!$G$3*Calc!$G$4,(75+(Calc!$G$95*Calc!$G$96*0.7660)*Calc!$G$93),NA())</f>
        <v/>
      </c>
      <c r="K334" t="inlineStr">
        <is>
          <t>arc</t>
        </is>
      </c>
      <c r="L334">
        <f>IF(Calc!$L$3*Calc!$L$4,(Calc!$L$94+(0+(1)*Calc!$L$96*0.6428)*Calc!$L$93),NA())</f>
        <v/>
      </c>
      <c r="M334">
        <f>IF(Calc!$L$3*Calc!$L$4,(75+(Calc!$L$95*Calc!$L$96*0.7660)*Calc!$L$93),NA())</f>
        <v/>
      </c>
      <c r="P334" t="inlineStr">
        <is>
          <t>arc</t>
        </is>
      </c>
      <c r="Q334">
        <f>IF(Calc!$Q$3*Calc!$Q$4,(Calc!$Q$94+(0+(1)*Calc!$Q$96*0.6428)*Calc!$Q$93),NA())</f>
        <v/>
      </c>
      <c r="R334">
        <f>IF(Calc!$Q$3*Calc!$Q$4,(75+(Calc!$Q$95*Calc!$Q$96*0.7660)*Calc!$Q$93),NA())</f>
        <v/>
      </c>
      <c r="U334" t="inlineStr">
        <is>
          <t>arc</t>
        </is>
      </c>
      <c r="V334">
        <f>IF(Calc!$V$3*Calc!$V$4,(Calc!$V$94+(0+(1)*Calc!$V$96*0.6428)*Calc!$V$93),NA())</f>
        <v/>
      </c>
      <c r="W334">
        <f>IF(Calc!$V$3*Calc!$V$4,(75+(Calc!$V$95*Calc!$V$96*0.7660)*Calc!$V$93),NA())</f>
        <v/>
      </c>
      <c r="Z334" t="inlineStr">
        <is>
          <t>arc</t>
        </is>
      </c>
      <c r="AA334">
        <f>IF(Calc!$AA$3*Calc!$AA$4,(Calc!$AA$94+(0+(1)*Calc!$AA$96*0.6428)*Calc!$AA$93),NA())</f>
        <v/>
      </c>
      <c r="AB334">
        <f>IF(Calc!$AA$3*Calc!$AA$4,(75+(Calc!$AA$95*Calc!$AA$96*0.7660)*Calc!$AA$93),NA())</f>
        <v/>
      </c>
    </row>
    <row r="335">
      <c r="A335" t="inlineStr">
        <is>
          <t>arc</t>
        </is>
      </c>
      <c r="B335">
        <f>IF(Calc!$B$3*Calc!$B$4,(Calc!$B$94+(0+(1)*Calc!$B$96*0.5000)*Calc!$B$93),NA())</f>
        <v/>
      </c>
      <c r="C335">
        <f>IF(Calc!$B$3*Calc!$B$4,(75+(Calc!$B$95*Calc!$B$96*0.8660)*Calc!$B$93),NA())</f>
        <v/>
      </c>
      <c r="F335" t="inlineStr">
        <is>
          <t>arc</t>
        </is>
      </c>
      <c r="G335">
        <f>IF(Calc!$G$3*Calc!$G$4,(Calc!$G$94+(0+(1)*Calc!$G$96*0.5000)*Calc!$G$93),NA())</f>
        <v/>
      </c>
      <c r="H335">
        <f>IF(Calc!$G$3*Calc!$G$4,(75+(Calc!$G$95*Calc!$G$96*0.8660)*Calc!$G$93),NA())</f>
        <v/>
      </c>
      <c r="K335" t="inlineStr">
        <is>
          <t>arc</t>
        </is>
      </c>
      <c r="L335">
        <f>IF(Calc!$L$3*Calc!$L$4,(Calc!$L$94+(0+(1)*Calc!$L$96*0.5000)*Calc!$L$93),NA())</f>
        <v/>
      </c>
      <c r="M335">
        <f>IF(Calc!$L$3*Calc!$L$4,(75+(Calc!$L$95*Calc!$L$96*0.8660)*Calc!$L$93),NA())</f>
        <v/>
      </c>
      <c r="P335" t="inlineStr">
        <is>
          <t>arc</t>
        </is>
      </c>
      <c r="Q335">
        <f>IF(Calc!$Q$3*Calc!$Q$4,(Calc!$Q$94+(0+(1)*Calc!$Q$96*0.5000)*Calc!$Q$93),NA())</f>
        <v/>
      </c>
      <c r="R335">
        <f>IF(Calc!$Q$3*Calc!$Q$4,(75+(Calc!$Q$95*Calc!$Q$96*0.8660)*Calc!$Q$93),NA())</f>
        <v/>
      </c>
      <c r="U335" t="inlineStr">
        <is>
          <t>arc</t>
        </is>
      </c>
      <c r="V335">
        <f>IF(Calc!$V$3*Calc!$V$4,(Calc!$V$94+(0+(1)*Calc!$V$96*0.5000)*Calc!$V$93),NA())</f>
        <v/>
      </c>
      <c r="W335">
        <f>IF(Calc!$V$3*Calc!$V$4,(75+(Calc!$V$95*Calc!$V$96*0.8660)*Calc!$V$93),NA())</f>
        <v/>
      </c>
      <c r="Z335" t="inlineStr">
        <is>
          <t>arc</t>
        </is>
      </c>
      <c r="AA335">
        <f>IF(Calc!$AA$3*Calc!$AA$4,(Calc!$AA$94+(0+(1)*Calc!$AA$96*0.5000)*Calc!$AA$93),NA())</f>
        <v/>
      </c>
      <c r="AB335">
        <f>IF(Calc!$AA$3*Calc!$AA$4,(75+(Calc!$AA$95*Calc!$AA$96*0.8660)*Calc!$AA$93),NA())</f>
        <v/>
      </c>
    </row>
    <row r="336">
      <c r="A336" t="inlineStr">
        <is>
          <t>arc</t>
        </is>
      </c>
      <c r="B336">
        <f>IF(Calc!$B$3*Calc!$B$4,(Calc!$B$94+(0+(1)*Calc!$B$96*0.3420)*Calc!$B$93),NA())</f>
        <v/>
      </c>
      <c r="C336">
        <f>IF(Calc!$B$3*Calc!$B$4,(75+(Calc!$B$95*Calc!$B$96*0.9397)*Calc!$B$93),NA())</f>
        <v/>
      </c>
      <c r="F336" t="inlineStr">
        <is>
          <t>arc</t>
        </is>
      </c>
      <c r="G336">
        <f>IF(Calc!$G$3*Calc!$G$4,(Calc!$G$94+(0+(1)*Calc!$G$96*0.3420)*Calc!$G$93),NA())</f>
        <v/>
      </c>
      <c r="H336">
        <f>IF(Calc!$G$3*Calc!$G$4,(75+(Calc!$G$95*Calc!$G$96*0.9397)*Calc!$G$93),NA())</f>
        <v/>
      </c>
      <c r="K336" t="inlineStr">
        <is>
          <t>arc</t>
        </is>
      </c>
      <c r="L336">
        <f>IF(Calc!$L$3*Calc!$L$4,(Calc!$L$94+(0+(1)*Calc!$L$96*0.3420)*Calc!$L$93),NA())</f>
        <v/>
      </c>
      <c r="M336">
        <f>IF(Calc!$L$3*Calc!$L$4,(75+(Calc!$L$95*Calc!$L$96*0.9397)*Calc!$L$93),NA())</f>
        <v/>
      </c>
      <c r="P336" t="inlineStr">
        <is>
          <t>arc</t>
        </is>
      </c>
      <c r="Q336">
        <f>IF(Calc!$Q$3*Calc!$Q$4,(Calc!$Q$94+(0+(1)*Calc!$Q$96*0.3420)*Calc!$Q$93),NA())</f>
        <v/>
      </c>
      <c r="R336">
        <f>IF(Calc!$Q$3*Calc!$Q$4,(75+(Calc!$Q$95*Calc!$Q$96*0.9397)*Calc!$Q$93),NA())</f>
        <v/>
      </c>
      <c r="U336" t="inlineStr">
        <is>
          <t>arc</t>
        </is>
      </c>
      <c r="V336">
        <f>IF(Calc!$V$3*Calc!$V$4,(Calc!$V$94+(0+(1)*Calc!$V$96*0.3420)*Calc!$V$93),NA())</f>
        <v/>
      </c>
      <c r="W336">
        <f>IF(Calc!$V$3*Calc!$V$4,(75+(Calc!$V$95*Calc!$V$96*0.9397)*Calc!$V$93),NA())</f>
        <v/>
      </c>
      <c r="Z336" t="inlineStr">
        <is>
          <t>arc</t>
        </is>
      </c>
      <c r="AA336">
        <f>IF(Calc!$AA$3*Calc!$AA$4,(Calc!$AA$94+(0+(1)*Calc!$AA$96*0.3420)*Calc!$AA$93),NA())</f>
        <v/>
      </c>
      <c r="AB336">
        <f>IF(Calc!$AA$3*Calc!$AA$4,(75+(Calc!$AA$95*Calc!$AA$96*0.9397)*Calc!$AA$93),NA())</f>
        <v/>
      </c>
    </row>
    <row r="337">
      <c r="A337" t="inlineStr">
        <is>
          <t>arc</t>
        </is>
      </c>
      <c r="B337">
        <f>IF(Calc!$B$3*Calc!$B$4,(Calc!$B$94+(0+(1)*Calc!$B$96*0.1736)*Calc!$B$93),NA())</f>
        <v/>
      </c>
      <c r="C337">
        <f>IF(Calc!$B$3*Calc!$B$4,(75+(Calc!$B$95*Calc!$B$96*0.9848)*Calc!$B$93),NA())</f>
        <v/>
      </c>
      <c r="F337" t="inlineStr">
        <is>
          <t>arc</t>
        </is>
      </c>
      <c r="G337">
        <f>IF(Calc!$G$3*Calc!$G$4,(Calc!$G$94+(0+(1)*Calc!$G$96*0.1736)*Calc!$G$93),NA())</f>
        <v/>
      </c>
      <c r="H337">
        <f>IF(Calc!$G$3*Calc!$G$4,(75+(Calc!$G$95*Calc!$G$96*0.9848)*Calc!$G$93),NA())</f>
        <v/>
      </c>
      <c r="K337" t="inlineStr">
        <is>
          <t>arc</t>
        </is>
      </c>
      <c r="L337">
        <f>IF(Calc!$L$3*Calc!$L$4,(Calc!$L$94+(0+(1)*Calc!$L$96*0.1736)*Calc!$L$93),NA())</f>
        <v/>
      </c>
      <c r="M337">
        <f>IF(Calc!$L$3*Calc!$L$4,(75+(Calc!$L$95*Calc!$L$96*0.9848)*Calc!$L$93),NA())</f>
        <v/>
      </c>
      <c r="P337" t="inlineStr">
        <is>
          <t>arc</t>
        </is>
      </c>
      <c r="Q337">
        <f>IF(Calc!$Q$3*Calc!$Q$4,(Calc!$Q$94+(0+(1)*Calc!$Q$96*0.1736)*Calc!$Q$93),NA())</f>
        <v/>
      </c>
      <c r="R337">
        <f>IF(Calc!$Q$3*Calc!$Q$4,(75+(Calc!$Q$95*Calc!$Q$96*0.9848)*Calc!$Q$93),NA())</f>
        <v/>
      </c>
      <c r="U337" t="inlineStr">
        <is>
          <t>arc</t>
        </is>
      </c>
      <c r="V337">
        <f>IF(Calc!$V$3*Calc!$V$4,(Calc!$V$94+(0+(1)*Calc!$V$96*0.1736)*Calc!$V$93),NA())</f>
        <v/>
      </c>
      <c r="W337">
        <f>IF(Calc!$V$3*Calc!$V$4,(75+(Calc!$V$95*Calc!$V$96*0.9848)*Calc!$V$93),NA())</f>
        <v/>
      </c>
      <c r="Z337" t="inlineStr">
        <is>
          <t>arc</t>
        </is>
      </c>
      <c r="AA337">
        <f>IF(Calc!$AA$3*Calc!$AA$4,(Calc!$AA$94+(0+(1)*Calc!$AA$96*0.1736)*Calc!$AA$93),NA())</f>
        <v/>
      </c>
      <c r="AB337">
        <f>IF(Calc!$AA$3*Calc!$AA$4,(75+(Calc!$AA$95*Calc!$AA$96*0.9848)*Calc!$AA$93),NA())</f>
        <v/>
      </c>
    </row>
    <row r="338">
      <c r="A338" t="inlineStr">
        <is>
          <t>arc</t>
        </is>
      </c>
      <c r="B338">
        <f>IF(Calc!$B$3*Calc!$B$4,(Calc!$B$94+(0+(1)*Calc!$B$96*0.0000)*Calc!$B$93),NA())</f>
        <v/>
      </c>
      <c r="C338">
        <f>IF(Calc!$B$3*Calc!$B$4,(75+(Calc!$B$95*Calc!$B$96*1.0000)*Calc!$B$93),NA())</f>
        <v/>
      </c>
      <c r="F338" t="inlineStr">
        <is>
          <t>arc</t>
        </is>
      </c>
      <c r="G338">
        <f>IF(Calc!$G$3*Calc!$G$4,(Calc!$G$94+(0+(1)*Calc!$G$96*0.0000)*Calc!$G$93),NA())</f>
        <v/>
      </c>
      <c r="H338">
        <f>IF(Calc!$G$3*Calc!$G$4,(75+(Calc!$G$95*Calc!$G$96*1.0000)*Calc!$G$93),NA())</f>
        <v/>
      </c>
      <c r="K338" t="inlineStr">
        <is>
          <t>arc</t>
        </is>
      </c>
      <c r="L338">
        <f>IF(Calc!$L$3*Calc!$L$4,(Calc!$L$94+(0+(1)*Calc!$L$96*0.0000)*Calc!$L$93),NA())</f>
        <v/>
      </c>
      <c r="M338">
        <f>IF(Calc!$L$3*Calc!$L$4,(75+(Calc!$L$95*Calc!$L$96*1.0000)*Calc!$L$93),NA())</f>
        <v/>
      </c>
      <c r="P338" t="inlineStr">
        <is>
          <t>arc</t>
        </is>
      </c>
      <c r="Q338">
        <f>IF(Calc!$Q$3*Calc!$Q$4,(Calc!$Q$94+(0+(1)*Calc!$Q$96*0.0000)*Calc!$Q$93),NA())</f>
        <v/>
      </c>
      <c r="R338">
        <f>IF(Calc!$Q$3*Calc!$Q$4,(75+(Calc!$Q$95*Calc!$Q$96*1.0000)*Calc!$Q$93),NA())</f>
        <v/>
      </c>
      <c r="U338" t="inlineStr">
        <is>
          <t>arc</t>
        </is>
      </c>
      <c r="V338">
        <f>IF(Calc!$V$3*Calc!$V$4,(Calc!$V$94+(0+(1)*Calc!$V$96*0.0000)*Calc!$V$93),NA())</f>
        <v/>
      </c>
      <c r="W338">
        <f>IF(Calc!$V$3*Calc!$V$4,(75+(Calc!$V$95*Calc!$V$96*1.0000)*Calc!$V$93),NA())</f>
        <v/>
      </c>
      <c r="Z338" t="inlineStr">
        <is>
          <t>arc</t>
        </is>
      </c>
      <c r="AA338">
        <f>IF(Calc!$AA$3*Calc!$AA$4,(Calc!$AA$94+(0+(1)*Calc!$AA$96*0.0000)*Calc!$AA$93),NA())</f>
        <v/>
      </c>
      <c r="AB338">
        <f>IF(Calc!$AA$3*Calc!$AA$4,(75+(Calc!$AA$95*Calc!$AA$96*1.0000)*Calc!$AA$93),NA())</f>
        <v/>
      </c>
    </row>
    <row r="340">
      <c r="A340" t="inlineStr">
        <is>
          <t>leaf</t>
        </is>
      </c>
      <c r="B340">
        <f>IF(Calc!$B$3*Calc!$B$4,(Calc!$B$94+(Calc!$B$1)*Calc!$B$93),NA())</f>
        <v/>
      </c>
      <c r="C340">
        <f>IF(Calc!$B$3*Calc!$B$4,(75+(0)*Calc!$B$93),NA())</f>
        <v/>
      </c>
      <c r="F340" t="inlineStr">
        <is>
          <t>leaf</t>
        </is>
      </c>
      <c r="G340">
        <f>IF(Calc!$G$3*Calc!$G$4,(Calc!$G$94+(Calc!$G$1)*Calc!$G$93),NA())</f>
        <v/>
      </c>
      <c r="H340">
        <f>IF(Calc!$G$3*Calc!$G$4,(75+(0)*Calc!$G$93),NA())</f>
        <v/>
      </c>
      <c r="K340" t="inlineStr">
        <is>
          <t>leaf</t>
        </is>
      </c>
      <c r="L340">
        <f>IF(Calc!$L$3*Calc!$L$4,(Calc!$L$94+(Calc!$L$1)*Calc!$L$93),NA())</f>
        <v/>
      </c>
      <c r="M340">
        <f>IF(Calc!$L$3*Calc!$L$4,(75+(0)*Calc!$L$93),NA())</f>
        <v/>
      </c>
      <c r="P340" t="inlineStr">
        <is>
          <t>leaf</t>
        </is>
      </c>
      <c r="Q340">
        <f>IF(Calc!$Q$3*Calc!$Q$4,(Calc!$Q$94+(Calc!$Q$1)*Calc!$Q$93),NA())</f>
        <v/>
      </c>
      <c r="R340">
        <f>IF(Calc!$Q$3*Calc!$Q$4,(75+(0)*Calc!$Q$93),NA())</f>
        <v/>
      </c>
      <c r="U340" t="inlineStr">
        <is>
          <t>leaf</t>
        </is>
      </c>
      <c r="V340">
        <f>IF(Calc!$V$3*Calc!$V$4,(Calc!$V$94+(Calc!$V$1)*Calc!$V$93),NA())</f>
        <v/>
      </c>
      <c r="W340">
        <f>IF(Calc!$V$3*Calc!$V$4,(75+(0)*Calc!$V$93),NA())</f>
        <v/>
      </c>
      <c r="Z340" t="inlineStr">
        <is>
          <t>leaf</t>
        </is>
      </c>
      <c r="AA340">
        <f>IF(Calc!$AA$3*Calc!$AA$4,(Calc!$AA$94+(Calc!$AA$1)*Calc!$AA$93),NA())</f>
        <v/>
      </c>
      <c r="AB340">
        <f>IF(Calc!$AA$3*Calc!$AA$4,(75+(0)*Calc!$AA$93),NA())</f>
        <v/>
      </c>
    </row>
    <row r="341">
      <c r="A341" t="inlineStr">
        <is>
          <t>leaf</t>
        </is>
      </c>
      <c r="B341">
        <f>IF(Calc!$B$3*Calc!$B$4,(Calc!$B$94+(Calc!$B$1)*Calc!$B$93),NA())</f>
        <v/>
      </c>
      <c r="C341">
        <f>IF(Calc!$B$3*Calc!$B$4,(75+(Calc!$B$95*Calc!$B$96)*Calc!$B$93),NA())</f>
        <v/>
      </c>
      <c r="F341" t="inlineStr">
        <is>
          <t>leaf</t>
        </is>
      </c>
      <c r="G341">
        <f>IF(Calc!$G$3*Calc!$G$4,(Calc!$G$94+(Calc!$G$1)*Calc!$G$93),NA())</f>
        <v/>
      </c>
      <c r="H341">
        <f>IF(Calc!$G$3*Calc!$G$4,(75+(Calc!$G$95*Calc!$G$96)*Calc!$G$93),NA())</f>
        <v/>
      </c>
      <c r="K341" t="inlineStr">
        <is>
          <t>leaf</t>
        </is>
      </c>
      <c r="L341">
        <f>IF(Calc!$L$3*Calc!$L$4,(Calc!$L$94+(Calc!$L$1)*Calc!$L$93),NA())</f>
        <v/>
      </c>
      <c r="M341">
        <f>IF(Calc!$L$3*Calc!$L$4,(75+(Calc!$L$95*Calc!$L$96)*Calc!$L$93),NA())</f>
        <v/>
      </c>
      <c r="P341" t="inlineStr">
        <is>
          <t>leaf</t>
        </is>
      </c>
      <c r="Q341">
        <f>IF(Calc!$Q$3*Calc!$Q$4,(Calc!$Q$94+(Calc!$Q$1)*Calc!$Q$93),NA())</f>
        <v/>
      </c>
      <c r="R341">
        <f>IF(Calc!$Q$3*Calc!$Q$4,(75+(Calc!$Q$95*Calc!$Q$96)*Calc!$Q$93),NA())</f>
        <v/>
      </c>
      <c r="U341" t="inlineStr">
        <is>
          <t>leaf</t>
        </is>
      </c>
      <c r="V341">
        <f>IF(Calc!$V$3*Calc!$V$4,(Calc!$V$94+(Calc!$V$1)*Calc!$V$93),NA())</f>
        <v/>
      </c>
      <c r="W341">
        <f>IF(Calc!$V$3*Calc!$V$4,(75+(Calc!$V$95*Calc!$V$96)*Calc!$V$93),NA())</f>
        <v/>
      </c>
      <c r="Z341" t="inlineStr">
        <is>
          <t>leaf</t>
        </is>
      </c>
      <c r="AA341">
        <f>IF(Calc!$AA$3*Calc!$AA$4,(Calc!$AA$94+(Calc!$AA$1)*Calc!$AA$93),NA())</f>
        <v/>
      </c>
      <c r="AB341">
        <f>IF(Calc!$AA$3*Calc!$AA$4,(75+(Calc!$AA$95*Calc!$AA$96)*Calc!$AA$93),NA())</f>
        <v/>
      </c>
    </row>
    <row r="343">
      <c r="A343" t="inlineStr">
        <is>
          <t>arc</t>
        </is>
      </c>
      <c r="B343">
        <f>IF(Calc!$B$3*Calc!$B$4,(Calc!$B$94+(Calc!$B$1+(-1)*Calc!$B$96*1.0000)*Calc!$B$93),NA())</f>
        <v/>
      </c>
      <c r="C343">
        <f>IF(Calc!$B$3*Calc!$B$4,(75+(Calc!$B$95*Calc!$B$96*0.0000)*Calc!$B$93),NA())</f>
        <v/>
      </c>
      <c r="F343" t="inlineStr">
        <is>
          <t>arc</t>
        </is>
      </c>
      <c r="G343">
        <f>IF(Calc!$G$3*Calc!$G$4,(Calc!$G$94+(Calc!$G$1+(-1)*Calc!$G$96*1.0000)*Calc!$G$93),NA())</f>
        <v/>
      </c>
      <c r="H343">
        <f>IF(Calc!$G$3*Calc!$G$4,(75+(Calc!$G$95*Calc!$G$96*0.0000)*Calc!$G$93),NA())</f>
        <v/>
      </c>
      <c r="K343" t="inlineStr">
        <is>
          <t>arc</t>
        </is>
      </c>
      <c r="L343">
        <f>IF(Calc!$L$3*Calc!$L$4,(Calc!$L$94+(Calc!$L$1+(-1)*Calc!$L$96*1.0000)*Calc!$L$93),NA())</f>
        <v/>
      </c>
      <c r="M343">
        <f>IF(Calc!$L$3*Calc!$L$4,(75+(Calc!$L$95*Calc!$L$96*0.0000)*Calc!$L$93),NA())</f>
        <v/>
      </c>
      <c r="P343" t="inlineStr">
        <is>
          <t>arc</t>
        </is>
      </c>
      <c r="Q343">
        <f>IF(Calc!$Q$3*Calc!$Q$4,(Calc!$Q$94+(Calc!$Q$1+(-1)*Calc!$Q$96*1.0000)*Calc!$Q$93),NA())</f>
        <v/>
      </c>
      <c r="R343">
        <f>IF(Calc!$Q$3*Calc!$Q$4,(75+(Calc!$Q$95*Calc!$Q$96*0.0000)*Calc!$Q$93),NA())</f>
        <v/>
      </c>
      <c r="U343" t="inlineStr">
        <is>
          <t>arc</t>
        </is>
      </c>
      <c r="V343">
        <f>IF(Calc!$V$3*Calc!$V$4,(Calc!$V$94+(Calc!$V$1+(-1)*Calc!$V$96*1.0000)*Calc!$V$93),NA())</f>
        <v/>
      </c>
      <c r="W343">
        <f>IF(Calc!$V$3*Calc!$V$4,(75+(Calc!$V$95*Calc!$V$96*0.0000)*Calc!$V$93),NA())</f>
        <v/>
      </c>
      <c r="Z343" t="inlineStr">
        <is>
          <t>arc</t>
        </is>
      </c>
      <c r="AA343">
        <f>IF(Calc!$AA$3*Calc!$AA$4,(Calc!$AA$94+(Calc!$AA$1+(-1)*Calc!$AA$96*1.0000)*Calc!$AA$93),NA())</f>
        <v/>
      </c>
      <c r="AB343">
        <f>IF(Calc!$AA$3*Calc!$AA$4,(75+(Calc!$AA$95*Calc!$AA$96*0.0000)*Calc!$AA$93),NA())</f>
        <v/>
      </c>
    </row>
    <row r="344">
      <c r="A344" t="inlineStr">
        <is>
          <t>arc</t>
        </is>
      </c>
      <c r="B344">
        <f>IF(Calc!$B$3*Calc!$B$4,(Calc!$B$94+(Calc!$B$1+(-1)*Calc!$B$96*0.9848)*Calc!$B$93),NA())</f>
        <v/>
      </c>
      <c r="C344">
        <f>IF(Calc!$B$3*Calc!$B$4,(75+(Calc!$B$95*Calc!$B$96*0.1736)*Calc!$B$93),NA())</f>
        <v/>
      </c>
      <c r="F344" t="inlineStr">
        <is>
          <t>arc</t>
        </is>
      </c>
      <c r="G344">
        <f>IF(Calc!$G$3*Calc!$G$4,(Calc!$G$94+(Calc!$G$1+(-1)*Calc!$G$96*0.9848)*Calc!$G$93),NA())</f>
        <v/>
      </c>
      <c r="H344">
        <f>IF(Calc!$G$3*Calc!$G$4,(75+(Calc!$G$95*Calc!$G$96*0.1736)*Calc!$G$93),NA())</f>
        <v/>
      </c>
      <c r="K344" t="inlineStr">
        <is>
          <t>arc</t>
        </is>
      </c>
      <c r="L344">
        <f>IF(Calc!$L$3*Calc!$L$4,(Calc!$L$94+(Calc!$L$1+(-1)*Calc!$L$96*0.9848)*Calc!$L$93),NA())</f>
        <v/>
      </c>
      <c r="M344">
        <f>IF(Calc!$L$3*Calc!$L$4,(75+(Calc!$L$95*Calc!$L$96*0.1736)*Calc!$L$93),NA())</f>
        <v/>
      </c>
      <c r="P344" t="inlineStr">
        <is>
          <t>arc</t>
        </is>
      </c>
      <c r="Q344">
        <f>IF(Calc!$Q$3*Calc!$Q$4,(Calc!$Q$94+(Calc!$Q$1+(-1)*Calc!$Q$96*0.9848)*Calc!$Q$93),NA())</f>
        <v/>
      </c>
      <c r="R344">
        <f>IF(Calc!$Q$3*Calc!$Q$4,(75+(Calc!$Q$95*Calc!$Q$96*0.1736)*Calc!$Q$93),NA())</f>
        <v/>
      </c>
      <c r="U344" t="inlineStr">
        <is>
          <t>arc</t>
        </is>
      </c>
      <c r="V344">
        <f>IF(Calc!$V$3*Calc!$V$4,(Calc!$V$94+(Calc!$V$1+(-1)*Calc!$V$96*0.9848)*Calc!$V$93),NA())</f>
        <v/>
      </c>
      <c r="W344">
        <f>IF(Calc!$V$3*Calc!$V$4,(75+(Calc!$V$95*Calc!$V$96*0.1736)*Calc!$V$93),NA())</f>
        <v/>
      </c>
      <c r="Z344" t="inlineStr">
        <is>
          <t>arc</t>
        </is>
      </c>
      <c r="AA344">
        <f>IF(Calc!$AA$3*Calc!$AA$4,(Calc!$AA$94+(Calc!$AA$1+(-1)*Calc!$AA$96*0.9848)*Calc!$AA$93),NA())</f>
        <v/>
      </c>
      <c r="AB344">
        <f>IF(Calc!$AA$3*Calc!$AA$4,(75+(Calc!$AA$95*Calc!$AA$96*0.1736)*Calc!$AA$93),NA())</f>
        <v/>
      </c>
    </row>
    <row r="345">
      <c r="A345" t="inlineStr">
        <is>
          <t>arc</t>
        </is>
      </c>
      <c r="B345">
        <f>IF(Calc!$B$3*Calc!$B$4,(Calc!$B$94+(Calc!$B$1+(-1)*Calc!$B$96*0.9397)*Calc!$B$93),NA())</f>
        <v/>
      </c>
      <c r="C345">
        <f>IF(Calc!$B$3*Calc!$B$4,(75+(Calc!$B$95*Calc!$B$96*0.3420)*Calc!$B$93),NA())</f>
        <v/>
      </c>
      <c r="F345" t="inlineStr">
        <is>
          <t>arc</t>
        </is>
      </c>
      <c r="G345">
        <f>IF(Calc!$G$3*Calc!$G$4,(Calc!$G$94+(Calc!$G$1+(-1)*Calc!$G$96*0.9397)*Calc!$G$93),NA())</f>
        <v/>
      </c>
      <c r="H345">
        <f>IF(Calc!$G$3*Calc!$G$4,(75+(Calc!$G$95*Calc!$G$96*0.3420)*Calc!$G$93),NA())</f>
        <v/>
      </c>
      <c r="K345" t="inlineStr">
        <is>
          <t>arc</t>
        </is>
      </c>
      <c r="L345">
        <f>IF(Calc!$L$3*Calc!$L$4,(Calc!$L$94+(Calc!$L$1+(-1)*Calc!$L$96*0.9397)*Calc!$L$93),NA())</f>
        <v/>
      </c>
      <c r="M345">
        <f>IF(Calc!$L$3*Calc!$L$4,(75+(Calc!$L$95*Calc!$L$96*0.3420)*Calc!$L$93),NA())</f>
        <v/>
      </c>
      <c r="P345" t="inlineStr">
        <is>
          <t>arc</t>
        </is>
      </c>
      <c r="Q345">
        <f>IF(Calc!$Q$3*Calc!$Q$4,(Calc!$Q$94+(Calc!$Q$1+(-1)*Calc!$Q$96*0.9397)*Calc!$Q$93),NA())</f>
        <v/>
      </c>
      <c r="R345">
        <f>IF(Calc!$Q$3*Calc!$Q$4,(75+(Calc!$Q$95*Calc!$Q$96*0.3420)*Calc!$Q$93),NA())</f>
        <v/>
      </c>
      <c r="U345" t="inlineStr">
        <is>
          <t>arc</t>
        </is>
      </c>
      <c r="V345">
        <f>IF(Calc!$V$3*Calc!$V$4,(Calc!$V$94+(Calc!$V$1+(-1)*Calc!$V$96*0.9397)*Calc!$V$93),NA())</f>
        <v/>
      </c>
      <c r="W345">
        <f>IF(Calc!$V$3*Calc!$V$4,(75+(Calc!$V$95*Calc!$V$96*0.3420)*Calc!$V$93),NA())</f>
        <v/>
      </c>
      <c r="Z345" t="inlineStr">
        <is>
          <t>arc</t>
        </is>
      </c>
      <c r="AA345">
        <f>IF(Calc!$AA$3*Calc!$AA$4,(Calc!$AA$94+(Calc!$AA$1+(-1)*Calc!$AA$96*0.9397)*Calc!$AA$93),NA())</f>
        <v/>
      </c>
      <c r="AB345">
        <f>IF(Calc!$AA$3*Calc!$AA$4,(75+(Calc!$AA$95*Calc!$AA$96*0.3420)*Calc!$AA$93),NA())</f>
        <v/>
      </c>
    </row>
    <row r="346">
      <c r="A346" t="inlineStr">
        <is>
          <t>arc</t>
        </is>
      </c>
      <c r="B346">
        <f>IF(Calc!$B$3*Calc!$B$4,(Calc!$B$94+(Calc!$B$1+(-1)*Calc!$B$96*0.8660)*Calc!$B$93),NA())</f>
        <v/>
      </c>
      <c r="C346">
        <f>IF(Calc!$B$3*Calc!$B$4,(75+(Calc!$B$95*Calc!$B$96*0.5000)*Calc!$B$93),NA())</f>
        <v/>
      </c>
      <c r="F346" t="inlineStr">
        <is>
          <t>arc</t>
        </is>
      </c>
      <c r="G346">
        <f>IF(Calc!$G$3*Calc!$G$4,(Calc!$G$94+(Calc!$G$1+(-1)*Calc!$G$96*0.8660)*Calc!$G$93),NA())</f>
        <v/>
      </c>
      <c r="H346">
        <f>IF(Calc!$G$3*Calc!$G$4,(75+(Calc!$G$95*Calc!$G$96*0.5000)*Calc!$G$93),NA())</f>
        <v/>
      </c>
      <c r="K346" t="inlineStr">
        <is>
          <t>arc</t>
        </is>
      </c>
      <c r="L346">
        <f>IF(Calc!$L$3*Calc!$L$4,(Calc!$L$94+(Calc!$L$1+(-1)*Calc!$L$96*0.8660)*Calc!$L$93),NA())</f>
        <v/>
      </c>
      <c r="M346">
        <f>IF(Calc!$L$3*Calc!$L$4,(75+(Calc!$L$95*Calc!$L$96*0.5000)*Calc!$L$93),NA())</f>
        <v/>
      </c>
      <c r="P346" t="inlineStr">
        <is>
          <t>arc</t>
        </is>
      </c>
      <c r="Q346">
        <f>IF(Calc!$Q$3*Calc!$Q$4,(Calc!$Q$94+(Calc!$Q$1+(-1)*Calc!$Q$96*0.8660)*Calc!$Q$93),NA())</f>
        <v/>
      </c>
      <c r="R346">
        <f>IF(Calc!$Q$3*Calc!$Q$4,(75+(Calc!$Q$95*Calc!$Q$96*0.5000)*Calc!$Q$93),NA())</f>
        <v/>
      </c>
      <c r="U346" t="inlineStr">
        <is>
          <t>arc</t>
        </is>
      </c>
      <c r="V346">
        <f>IF(Calc!$V$3*Calc!$V$4,(Calc!$V$94+(Calc!$V$1+(-1)*Calc!$V$96*0.8660)*Calc!$V$93),NA())</f>
        <v/>
      </c>
      <c r="W346">
        <f>IF(Calc!$V$3*Calc!$V$4,(75+(Calc!$V$95*Calc!$V$96*0.5000)*Calc!$V$93),NA())</f>
        <v/>
      </c>
      <c r="Z346" t="inlineStr">
        <is>
          <t>arc</t>
        </is>
      </c>
      <c r="AA346">
        <f>IF(Calc!$AA$3*Calc!$AA$4,(Calc!$AA$94+(Calc!$AA$1+(-1)*Calc!$AA$96*0.8660)*Calc!$AA$93),NA())</f>
        <v/>
      </c>
      <c r="AB346">
        <f>IF(Calc!$AA$3*Calc!$AA$4,(75+(Calc!$AA$95*Calc!$AA$96*0.5000)*Calc!$AA$93),NA())</f>
        <v/>
      </c>
    </row>
    <row r="347">
      <c r="A347" t="inlineStr">
        <is>
          <t>arc</t>
        </is>
      </c>
      <c r="B347">
        <f>IF(Calc!$B$3*Calc!$B$4,(Calc!$B$94+(Calc!$B$1+(-1)*Calc!$B$96*0.7660)*Calc!$B$93),NA())</f>
        <v/>
      </c>
      <c r="C347">
        <f>IF(Calc!$B$3*Calc!$B$4,(75+(Calc!$B$95*Calc!$B$96*0.6428)*Calc!$B$93),NA())</f>
        <v/>
      </c>
      <c r="F347" t="inlineStr">
        <is>
          <t>arc</t>
        </is>
      </c>
      <c r="G347">
        <f>IF(Calc!$G$3*Calc!$G$4,(Calc!$G$94+(Calc!$G$1+(-1)*Calc!$G$96*0.7660)*Calc!$G$93),NA())</f>
        <v/>
      </c>
      <c r="H347">
        <f>IF(Calc!$G$3*Calc!$G$4,(75+(Calc!$G$95*Calc!$G$96*0.6428)*Calc!$G$93),NA())</f>
        <v/>
      </c>
      <c r="K347" t="inlineStr">
        <is>
          <t>arc</t>
        </is>
      </c>
      <c r="L347">
        <f>IF(Calc!$L$3*Calc!$L$4,(Calc!$L$94+(Calc!$L$1+(-1)*Calc!$L$96*0.7660)*Calc!$L$93),NA())</f>
        <v/>
      </c>
      <c r="M347">
        <f>IF(Calc!$L$3*Calc!$L$4,(75+(Calc!$L$95*Calc!$L$96*0.6428)*Calc!$L$93),NA())</f>
        <v/>
      </c>
      <c r="P347" t="inlineStr">
        <is>
          <t>arc</t>
        </is>
      </c>
      <c r="Q347">
        <f>IF(Calc!$Q$3*Calc!$Q$4,(Calc!$Q$94+(Calc!$Q$1+(-1)*Calc!$Q$96*0.7660)*Calc!$Q$93),NA())</f>
        <v/>
      </c>
      <c r="R347">
        <f>IF(Calc!$Q$3*Calc!$Q$4,(75+(Calc!$Q$95*Calc!$Q$96*0.6428)*Calc!$Q$93),NA())</f>
        <v/>
      </c>
      <c r="U347" t="inlineStr">
        <is>
          <t>arc</t>
        </is>
      </c>
      <c r="V347">
        <f>IF(Calc!$V$3*Calc!$V$4,(Calc!$V$94+(Calc!$V$1+(-1)*Calc!$V$96*0.7660)*Calc!$V$93),NA())</f>
        <v/>
      </c>
      <c r="W347">
        <f>IF(Calc!$V$3*Calc!$V$4,(75+(Calc!$V$95*Calc!$V$96*0.6428)*Calc!$V$93),NA())</f>
        <v/>
      </c>
      <c r="Z347" t="inlineStr">
        <is>
          <t>arc</t>
        </is>
      </c>
      <c r="AA347">
        <f>IF(Calc!$AA$3*Calc!$AA$4,(Calc!$AA$94+(Calc!$AA$1+(-1)*Calc!$AA$96*0.7660)*Calc!$AA$93),NA())</f>
        <v/>
      </c>
      <c r="AB347">
        <f>IF(Calc!$AA$3*Calc!$AA$4,(75+(Calc!$AA$95*Calc!$AA$96*0.6428)*Calc!$AA$93),NA())</f>
        <v/>
      </c>
    </row>
    <row r="348">
      <c r="A348" t="inlineStr">
        <is>
          <t>arc</t>
        </is>
      </c>
      <c r="B348">
        <f>IF(Calc!$B$3*Calc!$B$4,(Calc!$B$94+(Calc!$B$1+(-1)*Calc!$B$96*0.6428)*Calc!$B$93),NA())</f>
        <v/>
      </c>
      <c r="C348">
        <f>IF(Calc!$B$3*Calc!$B$4,(75+(Calc!$B$95*Calc!$B$96*0.7660)*Calc!$B$93),NA())</f>
        <v/>
      </c>
      <c r="F348" t="inlineStr">
        <is>
          <t>arc</t>
        </is>
      </c>
      <c r="G348">
        <f>IF(Calc!$G$3*Calc!$G$4,(Calc!$G$94+(Calc!$G$1+(-1)*Calc!$G$96*0.6428)*Calc!$G$93),NA())</f>
        <v/>
      </c>
      <c r="H348">
        <f>IF(Calc!$G$3*Calc!$G$4,(75+(Calc!$G$95*Calc!$G$96*0.7660)*Calc!$G$93),NA())</f>
        <v/>
      </c>
      <c r="K348" t="inlineStr">
        <is>
          <t>arc</t>
        </is>
      </c>
      <c r="L348">
        <f>IF(Calc!$L$3*Calc!$L$4,(Calc!$L$94+(Calc!$L$1+(-1)*Calc!$L$96*0.6428)*Calc!$L$93),NA())</f>
        <v/>
      </c>
      <c r="M348">
        <f>IF(Calc!$L$3*Calc!$L$4,(75+(Calc!$L$95*Calc!$L$96*0.7660)*Calc!$L$93),NA())</f>
        <v/>
      </c>
      <c r="P348" t="inlineStr">
        <is>
          <t>arc</t>
        </is>
      </c>
      <c r="Q348">
        <f>IF(Calc!$Q$3*Calc!$Q$4,(Calc!$Q$94+(Calc!$Q$1+(-1)*Calc!$Q$96*0.6428)*Calc!$Q$93),NA())</f>
        <v/>
      </c>
      <c r="R348">
        <f>IF(Calc!$Q$3*Calc!$Q$4,(75+(Calc!$Q$95*Calc!$Q$96*0.7660)*Calc!$Q$93),NA())</f>
        <v/>
      </c>
      <c r="U348" t="inlineStr">
        <is>
          <t>arc</t>
        </is>
      </c>
      <c r="V348">
        <f>IF(Calc!$V$3*Calc!$V$4,(Calc!$V$94+(Calc!$V$1+(-1)*Calc!$V$96*0.6428)*Calc!$V$93),NA())</f>
        <v/>
      </c>
      <c r="W348">
        <f>IF(Calc!$V$3*Calc!$V$4,(75+(Calc!$V$95*Calc!$V$96*0.7660)*Calc!$V$93),NA())</f>
        <v/>
      </c>
      <c r="Z348" t="inlineStr">
        <is>
          <t>arc</t>
        </is>
      </c>
      <c r="AA348">
        <f>IF(Calc!$AA$3*Calc!$AA$4,(Calc!$AA$94+(Calc!$AA$1+(-1)*Calc!$AA$96*0.6428)*Calc!$AA$93),NA())</f>
        <v/>
      </c>
      <c r="AB348">
        <f>IF(Calc!$AA$3*Calc!$AA$4,(75+(Calc!$AA$95*Calc!$AA$96*0.7660)*Calc!$AA$93),NA())</f>
        <v/>
      </c>
    </row>
    <row r="349">
      <c r="A349" t="inlineStr">
        <is>
          <t>arc</t>
        </is>
      </c>
      <c r="B349">
        <f>IF(Calc!$B$3*Calc!$B$4,(Calc!$B$94+(Calc!$B$1+(-1)*Calc!$B$96*0.5000)*Calc!$B$93),NA())</f>
        <v/>
      </c>
      <c r="C349">
        <f>IF(Calc!$B$3*Calc!$B$4,(75+(Calc!$B$95*Calc!$B$96*0.8660)*Calc!$B$93),NA())</f>
        <v/>
      </c>
      <c r="F349" t="inlineStr">
        <is>
          <t>arc</t>
        </is>
      </c>
      <c r="G349">
        <f>IF(Calc!$G$3*Calc!$G$4,(Calc!$G$94+(Calc!$G$1+(-1)*Calc!$G$96*0.5000)*Calc!$G$93),NA())</f>
        <v/>
      </c>
      <c r="H349">
        <f>IF(Calc!$G$3*Calc!$G$4,(75+(Calc!$G$95*Calc!$G$96*0.8660)*Calc!$G$93),NA())</f>
        <v/>
      </c>
      <c r="K349" t="inlineStr">
        <is>
          <t>arc</t>
        </is>
      </c>
      <c r="L349">
        <f>IF(Calc!$L$3*Calc!$L$4,(Calc!$L$94+(Calc!$L$1+(-1)*Calc!$L$96*0.5000)*Calc!$L$93),NA())</f>
        <v/>
      </c>
      <c r="M349">
        <f>IF(Calc!$L$3*Calc!$L$4,(75+(Calc!$L$95*Calc!$L$96*0.8660)*Calc!$L$93),NA())</f>
        <v/>
      </c>
      <c r="P349" t="inlineStr">
        <is>
          <t>arc</t>
        </is>
      </c>
      <c r="Q349">
        <f>IF(Calc!$Q$3*Calc!$Q$4,(Calc!$Q$94+(Calc!$Q$1+(-1)*Calc!$Q$96*0.5000)*Calc!$Q$93),NA())</f>
        <v/>
      </c>
      <c r="R349">
        <f>IF(Calc!$Q$3*Calc!$Q$4,(75+(Calc!$Q$95*Calc!$Q$96*0.8660)*Calc!$Q$93),NA())</f>
        <v/>
      </c>
      <c r="U349" t="inlineStr">
        <is>
          <t>arc</t>
        </is>
      </c>
      <c r="V349">
        <f>IF(Calc!$V$3*Calc!$V$4,(Calc!$V$94+(Calc!$V$1+(-1)*Calc!$V$96*0.5000)*Calc!$V$93),NA())</f>
        <v/>
      </c>
      <c r="W349">
        <f>IF(Calc!$V$3*Calc!$V$4,(75+(Calc!$V$95*Calc!$V$96*0.8660)*Calc!$V$93),NA())</f>
        <v/>
      </c>
      <c r="Z349" t="inlineStr">
        <is>
          <t>arc</t>
        </is>
      </c>
      <c r="AA349">
        <f>IF(Calc!$AA$3*Calc!$AA$4,(Calc!$AA$94+(Calc!$AA$1+(-1)*Calc!$AA$96*0.5000)*Calc!$AA$93),NA())</f>
        <v/>
      </c>
      <c r="AB349">
        <f>IF(Calc!$AA$3*Calc!$AA$4,(75+(Calc!$AA$95*Calc!$AA$96*0.8660)*Calc!$AA$93),NA())</f>
        <v/>
      </c>
    </row>
    <row r="350">
      <c r="A350" t="inlineStr">
        <is>
          <t>arc</t>
        </is>
      </c>
      <c r="B350">
        <f>IF(Calc!$B$3*Calc!$B$4,(Calc!$B$94+(Calc!$B$1+(-1)*Calc!$B$96*0.3420)*Calc!$B$93),NA())</f>
        <v/>
      </c>
      <c r="C350">
        <f>IF(Calc!$B$3*Calc!$B$4,(75+(Calc!$B$95*Calc!$B$96*0.9397)*Calc!$B$93),NA())</f>
        <v/>
      </c>
      <c r="F350" t="inlineStr">
        <is>
          <t>arc</t>
        </is>
      </c>
      <c r="G350">
        <f>IF(Calc!$G$3*Calc!$G$4,(Calc!$G$94+(Calc!$G$1+(-1)*Calc!$G$96*0.3420)*Calc!$G$93),NA())</f>
        <v/>
      </c>
      <c r="H350">
        <f>IF(Calc!$G$3*Calc!$G$4,(75+(Calc!$G$95*Calc!$G$96*0.9397)*Calc!$G$93),NA())</f>
        <v/>
      </c>
      <c r="K350" t="inlineStr">
        <is>
          <t>arc</t>
        </is>
      </c>
      <c r="L350">
        <f>IF(Calc!$L$3*Calc!$L$4,(Calc!$L$94+(Calc!$L$1+(-1)*Calc!$L$96*0.3420)*Calc!$L$93),NA())</f>
        <v/>
      </c>
      <c r="M350">
        <f>IF(Calc!$L$3*Calc!$L$4,(75+(Calc!$L$95*Calc!$L$96*0.9397)*Calc!$L$93),NA())</f>
        <v/>
      </c>
      <c r="P350" t="inlineStr">
        <is>
          <t>arc</t>
        </is>
      </c>
      <c r="Q350">
        <f>IF(Calc!$Q$3*Calc!$Q$4,(Calc!$Q$94+(Calc!$Q$1+(-1)*Calc!$Q$96*0.3420)*Calc!$Q$93),NA())</f>
        <v/>
      </c>
      <c r="R350">
        <f>IF(Calc!$Q$3*Calc!$Q$4,(75+(Calc!$Q$95*Calc!$Q$96*0.9397)*Calc!$Q$93),NA())</f>
        <v/>
      </c>
      <c r="U350" t="inlineStr">
        <is>
          <t>arc</t>
        </is>
      </c>
      <c r="V350">
        <f>IF(Calc!$V$3*Calc!$V$4,(Calc!$V$94+(Calc!$V$1+(-1)*Calc!$V$96*0.3420)*Calc!$V$93),NA())</f>
        <v/>
      </c>
      <c r="W350">
        <f>IF(Calc!$V$3*Calc!$V$4,(75+(Calc!$V$95*Calc!$V$96*0.9397)*Calc!$V$93),NA())</f>
        <v/>
      </c>
      <c r="Z350" t="inlineStr">
        <is>
          <t>arc</t>
        </is>
      </c>
      <c r="AA350">
        <f>IF(Calc!$AA$3*Calc!$AA$4,(Calc!$AA$94+(Calc!$AA$1+(-1)*Calc!$AA$96*0.3420)*Calc!$AA$93),NA())</f>
        <v/>
      </c>
      <c r="AB350">
        <f>IF(Calc!$AA$3*Calc!$AA$4,(75+(Calc!$AA$95*Calc!$AA$96*0.9397)*Calc!$AA$93),NA())</f>
        <v/>
      </c>
    </row>
    <row r="351">
      <c r="A351" t="inlineStr">
        <is>
          <t>arc</t>
        </is>
      </c>
      <c r="B351">
        <f>IF(Calc!$B$3*Calc!$B$4,(Calc!$B$94+(Calc!$B$1+(-1)*Calc!$B$96*0.1736)*Calc!$B$93),NA())</f>
        <v/>
      </c>
      <c r="C351">
        <f>IF(Calc!$B$3*Calc!$B$4,(75+(Calc!$B$95*Calc!$B$96*0.9848)*Calc!$B$93),NA())</f>
        <v/>
      </c>
      <c r="F351" t="inlineStr">
        <is>
          <t>arc</t>
        </is>
      </c>
      <c r="G351">
        <f>IF(Calc!$G$3*Calc!$G$4,(Calc!$G$94+(Calc!$G$1+(-1)*Calc!$G$96*0.1736)*Calc!$G$93),NA())</f>
        <v/>
      </c>
      <c r="H351">
        <f>IF(Calc!$G$3*Calc!$G$4,(75+(Calc!$G$95*Calc!$G$96*0.9848)*Calc!$G$93),NA())</f>
        <v/>
      </c>
      <c r="K351" t="inlineStr">
        <is>
          <t>arc</t>
        </is>
      </c>
      <c r="L351">
        <f>IF(Calc!$L$3*Calc!$L$4,(Calc!$L$94+(Calc!$L$1+(-1)*Calc!$L$96*0.1736)*Calc!$L$93),NA())</f>
        <v/>
      </c>
      <c r="M351">
        <f>IF(Calc!$L$3*Calc!$L$4,(75+(Calc!$L$95*Calc!$L$96*0.9848)*Calc!$L$93),NA())</f>
        <v/>
      </c>
      <c r="P351" t="inlineStr">
        <is>
          <t>arc</t>
        </is>
      </c>
      <c r="Q351">
        <f>IF(Calc!$Q$3*Calc!$Q$4,(Calc!$Q$94+(Calc!$Q$1+(-1)*Calc!$Q$96*0.1736)*Calc!$Q$93),NA())</f>
        <v/>
      </c>
      <c r="R351">
        <f>IF(Calc!$Q$3*Calc!$Q$4,(75+(Calc!$Q$95*Calc!$Q$96*0.9848)*Calc!$Q$93),NA())</f>
        <v/>
      </c>
      <c r="U351" t="inlineStr">
        <is>
          <t>arc</t>
        </is>
      </c>
      <c r="V351">
        <f>IF(Calc!$V$3*Calc!$V$4,(Calc!$V$94+(Calc!$V$1+(-1)*Calc!$V$96*0.1736)*Calc!$V$93),NA())</f>
        <v/>
      </c>
      <c r="W351">
        <f>IF(Calc!$V$3*Calc!$V$4,(75+(Calc!$V$95*Calc!$V$96*0.9848)*Calc!$V$93),NA())</f>
        <v/>
      </c>
      <c r="Z351" t="inlineStr">
        <is>
          <t>arc</t>
        </is>
      </c>
      <c r="AA351">
        <f>IF(Calc!$AA$3*Calc!$AA$4,(Calc!$AA$94+(Calc!$AA$1+(-1)*Calc!$AA$96*0.1736)*Calc!$AA$93),NA())</f>
        <v/>
      </c>
      <c r="AB351">
        <f>IF(Calc!$AA$3*Calc!$AA$4,(75+(Calc!$AA$95*Calc!$AA$96*0.9848)*Calc!$AA$93),NA())</f>
        <v/>
      </c>
    </row>
    <row r="352">
      <c r="A352" t="inlineStr">
        <is>
          <t>arc</t>
        </is>
      </c>
      <c r="B352">
        <f>IF(Calc!$B$3*Calc!$B$4,(Calc!$B$94+(Calc!$B$1+(-1)*Calc!$B$96*0.0000)*Calc!$B$93),NA())</f>
        <v/>
      </c>
      <c r="C352">
        <f>IF(Calc!$B$3*Calc!$B$4,(75+(Calc!$B$95*Calc!$B$96*1.0000)*Calc!$B$93),NA())</f>
        <v/>
      </c>
      <c r="F352" t="inlineStr">
        <is>
          <t>arc</t>
        </is>
      </c>
      <c r="G352">
        <f>IF(Calc!$G$3*Calc!$G$4,(Calc!$G$94+(Calc!$G$1+(-1)*Calc!$G$96*0.0000)*Calc!$G$93),NA())</f>
        <v/>
      </c>
      <c r="H352">
        <f>IF(Calc!$G$3*Calc!$G$4,(75+(Calc!$G$95*Calc!$G$96*1.0000)*Calc!$G$93),NA())</f>
        <v/>
      </c>
      <c r="K352" t="inlineStr">
        <is>
          <t>arc</t>
        </is>
      </c>
      <c r="L352">
        <f>IF(Calc!$L$3*Calc!$L$4,(Calc!$L$94+(Calc!$L$1+(-1)*Calc!$L$96*0.0000)*Calc!$L$93),NA())</f>
        <v/>
      </c>
      <c r="M352">
        <f>IF(Calc!$L$3*Calc!$L$4,(75+(Calc!$L$95*Calc!$L$96*1.0000)*Calc!$L$93),NA())</f>
        <v/>
      </c>
      <c r="P352" t="inlineStr">
        <is>
          <t>arc</t>
        </is>
      </c>
      <c r="Q352">
        <f>IF(Calc!$Q$3*Calc!$Q$4,(Calc!$Q$94+(Calc!$Q$1+(-1)*Calc!$Q$96*0.0000)*Calc!$Q$93),NA())</f>
        <v/>
      </c>
      <c r="R352">
        <f>IF(Calc!$Q$3*Calc!$Q$4,(75+(Calc!$Q$95*Calc!$Q$96*1.0000)*Calc!$Q$93),NA())</f>
        <v/>
      </c>
      <c r="U352" t="inlineStr">
        <is>
          <t>arc</t>
        </is>
      </c>
      <c r="V352">
        <f>IF(Calc!$V$3*Calc!$V$4,(Calc!$V$94+(Calc!$V$1+(-1)*Calc!$V$96*0.0000)*Calc!$V$93),NA())</f>
        <v/>
      </c>
      <c r="W352">
        <f>IF(Calc!$V$3*Calc!$V$4,(75+(Calc!$V$95*Calc!$V$96*1.0000)*Calc!$V$93),NA())</f>
        <v/>
      </c>
      <c r="Z352" t="inlineStr">
        <is>
          <t>arc</t>
        </is>
      </c>
      <c r="AA352">
        <f>IF(Calc!$AA$3*Calc!$AA$4,(Calc!$AA$94+(Calc!$AA$1+(-1)*Calc!$AA$96*0.0000)*Calc!$AA$93),NA())</f>
        <v/>
      </c>
      <c r="AB352">
        <f>IF(Calc!$AA$3*Calc!$AA$4,(75+(Calc!$AA$95*Calc!$AA$96*1.0000)*Calc!$AA$93),NA())</f>
        <v/>
      </c>
    </row>
    <row r="354">
      <c r="A354" t="inlineStr">
        <is>
          <t>push</t>
        </is>
      </c>
      <c r="B354">
        <f>IF(Calc!$B$3,(Calc!$B$94+(Calc!$B$1/2)*Calc!$B$93),NA())</f>
        <v/>
      </c>
      <c r="C354">
        <f>IF(Calc!$B$3,(75+(-Calc!$B$95*16)*Calc!$B$93),NA())</f>
        <v/>
      </c>
      <c r="D354">
        <f>"PUSH SIDE"</f>
        <v/>
      </c>
      <c r="F354" t="inlineStr">
        <is>
          <t>push</t>
        </is>
      </c>
      <c r="G354">
        <f>IF(Calc!$G$3,(Calc!$G$94+(Calc!$G$1/2)*Calc!$G$93),NA())</f>
        <v/>
      </c>
      <c r="H354">
        <f>IF(Calc!$G$3,(75+(-Calc!$G$95*16)*Calc!$G$93),NA())</f>
        <v/>
      </c>
      <c r="I354">
        <f>"PUSH SIDE"</f>
        <v/>
      </c>
      <c r="K354" t="inlineStr">
        <is>
          <t>push</t>
        </is>
      </c>
      <c r="L354">
        <f>IF(Calc!$L$3,(Calc!$L$94+(Calc!$L$1/2)*Calc!$L$93),NA())</f>
        <v/>
      </c>
      <c r="M354">
        <f>IF(Calc!$L$3,(75+(-Calc!$L$95*16)*Calc!$L$93),NA())</f>
        <v/>
      </c>
      <c r="N354">
        <f>"PUSH SIDE"</f>
        <v/>
      </c>
      <c r="P354" t="inlineStr">
        <is>
          <t>push</t>
        </is>
      </c>
      <c r="Q354">
        <f>IF(Calc!$Q$3,(Calc!$Q$94+(Calc!$Q$1/2)*Calc!$Q$93),NA())</f>
        <v/>
      </c>
      <c r="R354">
        <f>IF(Calc!$Q$3,(75+(-Calc!$Q$95*16)*Calc!$Q$93),NA())</f>
        <v/>
      </c>
      <c r="S354">
        <f>"PUSH SIDE"</f>
        <v/>
      </c>
      <c r="U354" t="inlineStr">
        <is>
          <t>push</t>
        </is>
      </c>
      <c r="V354">
        <f>IF(Calc!$V$3,(Calc!$V$94+(Calc!$V$1/2)*Calc!$V$93),NA())</f>
        <v/>
      </c>
      <c r="W354">
        <f>IF(Calc!$V$3,(75+(-Calc!$V$95*16)*Calc!$V$93),NA())</f>
        <v/>
      </c>
      <c r="X354">
        <f>"PUSH SIDE"</f>
        <v/>
      </c>
      <c r="Z354" t="inlineStr">
        <is>
          <t>push</t>
        </is>
      </c>
      <c r="AA354">
        <f>IF(Calc!$AA$3,(Calc!$AA$94+(Calc!$AA$1/2)*Calc!$AA$93),NA())</f>
        <v/>
      </c>
      <c r="AB354">
        <f>IF(Calc!$AA$3,(75+(-Calc!$AA$95*16)*Calc!$AA$93),NA())</f>
        <v/>
      </c>
      <c r="AC354">
        <f>"PUSH SIDE"</f>
        <v/>
      </c>
    </row>
    <row r="356">
      <c r="A356" t="inlineStr">
        <is>
          <t>hand</t>
        </is>
      </c>
      <c r="B356">
        <f>IF(Calc!$B$3,(Calc!$B$94+(Calc!$B$1/2)*Calc!$B$93),NA())</f>
        <v/>
      </c>
      <c r="C356">
        <f>IF(Calc!$B$3,160,NA())</f>
        <v/>
      </c>
      <c r="D356">
        <f>Calc!$B$87</f>
        <v/>
      </c>
      <c r="F356" t="inlineStr">
        <is>
          <t>hand</t>
        </is>
      </c>
      <c r="G356">
        <f>IF(Calc!$G$3,(Calc!$G$94+(Calc!$G$1/2)*Calc!$G$93),NA())</f>
        <v/>
      </c>
      <c r="H356">
        <f>IF(Calc!$G$3,160,NA())</f>
        <v/>
      </c>
      <c r="I356">
        <f>Calc!$G$87</f>
        <v/>
      </c>
      <c r="K356" t="inlineStr">
        <is>
          <t>hand</t>
        </is>
      </c>
      <c r="L356">
        <f>IF(Calc!$L$3,(Calc!$L$94+(Calc!$L$1/2)*Calc!$L$93),NA())</f>
        <v/>
      </c>
      <c r="M356">
        <f>IF(Calc!$L$3,160,NA())</f>
        <v/>
      </c>
      <c r="N356">
        <f>Calc!$L$87</f>
        <v/>
      </c>
      <c r="P356" t="inlineStr">
        <is>
          <t>hand</t>
        </is>
      </c>
      <c r="Q356">
        <f>IF(Calc!$Q$3,(Calc!$Q$94+(Calc!$Q$1/2)*Calc!$Q$93),NA())</f>
        <v/>
      </c>
      <c r="R356">
        <f>IF(Calc!$Q$3,160,NA())</f>
        <v/>
      </c>
      <c r="S356">
        <f>Calc!$Q$87</f>
        <v/>
      </c>
      <c r="U356" t="inlineStr">
        <is>
          <t>hand</t>
        </is>
      </c>
      <c r="V356">
        <f>IF(Calc!$V$3,(Calc!$V$94+(Calc!$V$1/2)*Calc!$V$93),NA())</f>
        <v/>
      </c>
      <c r="W356">
        <f>IF(Calc!$V$3,160,NA())</f>
        <v/>
      </c>
      <c r="X356">
        <f>Calc!$V$87</f>
        <v/>
      </c>
      <c r="Z356" t="inlineStr">
        <is>
          <t>hand</t>
        </is>
      </c>
      <c r="AA356">
        <f>IF(Calc!$AA$3,(Calc!$AA$94+(Calc!$AA$1/2)*Calc!$AA$93),NA())</f>
        <v/>
      </c>
      <c r="AB356">
        <f>IF(Calc!$AA$3,160,NA())</f>
        <v/>
      </c>
      <c r="AC356">
        <f>Calc!$AA$87</f>
        <v/>
      </c>
    </row>
    <row r="358">
      <c r="A358" t="inlineStr">
        <is>
          <t>prof</t>
        </is>
      </c>
      <c r="B358">
        <f>IF(Calc!$B$3,(Calc!$B$98+(Calc!$B$102)*Calc!$B$97),NA())</f>
        <v/>
      </c>
      <c r="C358">
        <f>IF(Calc!$B$3,(70+(Calc!$B$101)*Calc!$B$97),NA())</f>
        <v/>
      </c>
      <c r="F358" t="inlineStr">
        <is>
          <t>prof</t>
        </is>
      </c>
      <c r="G358">
        <f>IF(Calc!$G$3,(Calc!$G$98+(Calc!$G$102)*Calc!$G$97),NA())</f>
        <v/>
      </c>
      <c r="H358">
        <f>IF(Calc!$G$3,(70+(Calc!$G$101)*Calc!$G$97),NA())</f>
        <v/>
      </c>
      <c r="K358" t="inlineStr">
        <is>
          <t>prof</t>
        </is>
      </c>
      <c r="L358">
        <f>IF(Calc!$L$3,(Calc!$L$98+(Calc!$L$102)*Calc!$L$97),NA())</f>
        <v/>
      </c>
      <c r="M358">
        <f>IF(Calc!$L$3,(70+(Calc!$L$101)*Calc!$L$97),NA())</f>
        <v/>
      </c>
      <c r="P358" t="inlineStr">
        <is>
          <t>prof</t>
        </is>
      </c>
      <c r="Q358">
        <f>IF(Calc!$Q$3,(Calc!$Q$98+(Calc!$Q$102)*Calc!$Q$97),NA())</f>
        <v/>
      </c>
      <c r="R358">
        <f>IF(Calc!$Q$3,(70+(Calc!$Q$101)*Calc!$Q$97),NA())</f>
        <v/>
      </c>
      <c r="U358" t="inlineStr">
        <is>
          <t>prof</t>
        </is>
      </c>
      <c r="V358">
        <f>IF(Calc!$V$3,(Calc!$V$98+(Calc!$V$102)*Calc!$V$97),NA())</f>
        <v/>
      </c>
      <c r="W358">
        <f>IF(Calc!$V$3,(70+(Calc!$V$101)*Calc!$V$97),NA())</f>
        <v/>
      </c>
      <c r="Z358" t="inlineStr">
        <is>
          <t>prof</t>
        </is>
      </c>
      <c r="AA358">
        <f>IF(Calc!$AA$3,(Calc!$AA$98+(Calc!$AA$102)*Calc!$AA$97),NA())</f>
        <v/>
      </c>
      <c r="AB358">
        <f>IF(Calc!$AA$3,(70+(Calc!$AA$101)*Calc!$AA$97),NA())</f>
        <v/>
      </c>
    </row>
    <row r="359">
      <c r="A359" t="inlineStr">
        <is>
          <t>prof</t>
        </is>
      </c>
      <c r="B359">
        <f>IF(Calc!$B$3,(Calc!$B$98+(0)*Calc!$B$97),NA())</f>
        <v/>
      </c>
      <c r="C359">
        <f>IF(Calc!$B$3,(70+(Calc!$B$101)*Calc!$B$97),NA())</f>
        <v/>
      </c>
      <c r="F359" t="inlineStr">
        <is>
          <t>prof</t>
        </is>
      </c>
      <c r="G359">
        <f>IF(Calc!$G$3,(Calc!$G$98+(0)*Calc!$G$97),NA())</f>
        <v/>
      </c>
      <c r="H359">
        <f>IF(Calc!$G$3,(70+(Calc!$G$101)*Calc!$G$97),NA())</f>
        <v/>
      </c>
      <c r="K359" t="inlineStr">
        <is>
          <t>prof</t>
        </is>
      </c>
      <c r="L359">
        <f>IF(Calc!$L$3,(Calc!$L$98+(0)*Calc!$L$97),NA())</f>
        <v/>
      </c>
      <c r="M359">
        <f>IF(Calc!$L$3,(70+(Calc!$L$101)*Calc!$L$97),NA())</f>
        <v/>
      </c>
      <c r="P359" t="inlineStr">
        <is>
          <t>prof</t>
        </is>
      </c>
      <c r="Q359">
        <f>IF(Calc!$Q$3,(Calc!$Q$98+(0)*Calc!$Q$97),NA())</f>
        <v/>
      </c>
      <c r="R359">
        <f>IF(Calc!$Q$3,(70+(Calc!$Q$101)*Calc!$Q$97),NA())</f>
        <v/>
      </c>
      <c r="U359" t="inlineStr">
        <is>
          <t>prof</t>
        </is>
      </c>
      <c r="V359">
        <f>IF(Calc!$V$3,(Calc!$V$98+(0)*Calc!$V$97),NA())</f>
        <v/>
      </c>
      <c r="W359">
        <f>IF(Calc!$V$3,(70+(Calc!$V$101)*Calc!$V$97),NA())</f>
        <v/>
      </c>
      <c r="Z359" t="inlineStr">
        <is>
          <t>prof</t>
        </is>
      </c>
      <c r="AA359">
        <f>IF(Calc!$AA$3,(Calc!$AA$98+(0)*Calc!$AA$97),NA())</f>
        <v/>
      </c>
      <c r="AB359">
        <f>IF(Calc!$AA$3,(70+(Calc!$AA$101)*Calc!$AA$97),NA())</f>
        <v/>
      </c>
    </row>
    <row r="360">
      <c r="A360" t="inlineStr">
        <is>
          <t>prof</t>
        </is>
      </c>
      <c r="B360">
        <f>IF(Calc!$B$3,(Calc!$B$98+(0)*Calc!$B$97),NA())</f>
        <v/>
      </c>
      <c r="C360">
        <f>IF(Calc!$B$3,(70+(0)*Calc!$B$97),NA())</f>
        <v/>
      </c>
      <c r="F360" t="inlineStr">
        <is>
          <t>prof</t>
        </is>
      </c>
      <c r="G360">
        <f>IF(Calc!$G$3,(Calc!$G$98+(0)*Calc!$G$97),NA())</f>
        <v/>
      </c>
      <c r="H360">
        <f>IF(Calc!$G$3,(70+(0)*Calc!$G$97),NA())</f>
        <v/>
      </c>
      <c r="K360" t="inlineStr">
        <is>
          <t>prof</t>
        </is>
      </c>
      <c r="L360">
        <f>IF(Calc!$L$3,(Calc!$L$98+(0)*Calc!$L$97),NA())</f>
        <v/>
      </c>
      <c r="M360">
        <f>IF(Calc!$L$3,(70+(0)*Calc!$L$97),NA())</f>
        <v/>
      </c>
      <c r="P360" t="inlineStr">
        <is>
          <t>prof</t>
        </is>
      </c>
      <c r="Q360">
        <f>IF(Calc!$Q$3,(Calc!$Q$98+(0)*Calc!$Q$97),NA())</f>
        <v/>
      </c>
      <c r="R360">
        <f>IF(Calc!$Q$3,(70+(0)*Calc!$Q$97),NA())</f>
        <v/>
      </c>
      <c r="U360" t="inlineStr">
        <is>
          <t>prof</t>
        </is>
      </c>
      <c r="V360">
        <f>IF(Calc!$V$3,(Calc!$V$98+(0)*Calc!$V$97),NA())</f>
        <v/>
      </c>
      <c r="W360">
        <f>IF(Calc!$V$3,(70+(0)*Calc!$V$97),NA())</f>
        <v/>
      </c>
      <c r="Z360" t="inlineStr">
        <is>
          <t>prof</t>
        </is>
      </c>
      <c r="AA360">
        <f>IF(Calc!$AA$3,(Calc!$AA$98+(0)*Calc!$AA$97),NA())</f>
        <v/>
      </c>
      <c r="AB360">
        <f>IF(Calc!$AA$3,(70+(0)*Calc!$AA$97),NA())</f>
        <v/>
      </c>
    </row>
    <row r="361">
      <c r="A361" t="inlineStr">
        <is>
          <t>prof</t>
        </is>
      </c>
      <c r="B361">
        <f>IF(Calc!$B$3,(Calc!$B$98+(Calc!$B$100)*Calc!$B$97),NA())</f>
        <v/>
      </c>
      <c r="C361">
        <f>IF(Calc!$B$3,(70+(0)*Calc!$B$97),NA())</f>
        <v/>
      </c>
      <c r="F361" t="inlineStr">
        <is>
          <t>prof</t>
        </is>
      </c>
      <c r="G361">
        <f>IF(Calc!$G$3,(Calc!$G$98+(Calc!$G$100)*Calc!$G$97),NA())</f>
        <v/>
      </c>
      <c r="H361">
        <f>IF(Calc!$G$3,(70+(0)*Calc!$G$97),NA())</f>
        <v/>
      </c>
      <c r="K361" t="inlineStr">
        <is>
          <t>prof</t>
        </is>
      </c>
      <c r="L361">
        <f>IF(Calc!$L$3,(Calc!$L$98+(Calc!$L$100)*Calc!$L$97),NA())</f>
        <v/>
      </c>
      <c r="M361">
        <f>IF(Calc!$L$3,(70+(0)*Calc!$L$97),NA())</f>
        <v/>
      </c>
      <c r="P361" t="inlineStr">
        <is>
          <t>prof</t>
        </is>
      </c>
      <c r="Q361">
        <f>IF(Calc!$Q$3,(Calc!$Q$98+(Calc!$Q$100)*Calc!$Q$97),NA())</f>
        <v/>
      </c>
      <c r="R361">
        <f>IF(Calc!$Q$3,(70+(0)*Calc!$Q$97),NA())</f>
        <v/>
      </c>
      <c r="U361" t="inlineStr">
        <is>
          <t>prof</t>
        </is>
      </c>
      <c r="V361">
        <f>IF(Calc!$V$3,(Calc!$V$98+(Calc!$V$100)*Calc!$V$97),NA())</f>
        <v/>
      </c>
      <c r="W361">
        <f>IF(Calc!$V$3,(70+(0)*Calc!$V$97),NA())</f>
        <v/>
      </c>
      <c r="Z361" t="inlineStr">
        <is>
          <t>prof</t>
        </is>
      </c>
      <c r="AA361">
        <f>IF(Calc!$AA$3,(Calc!$AA$98+(Calc!$AA$100)*Calc!$AA$97),NA())</f>
        <v/>
      </c>
      <c r="AB361">
        <f>IF(Calc!$AA$3,(70+(0)*Calc!$AA$97),NA())</f>
        <v/>
      </c>
    </row>
    <row r="362">
      <c r="A362" t="inlineStr">
        <is>
          <t>prof</t>
        </is>
      </c>
      <c r="B362">
        <f>IF(Calc!$B$3,(Calc!$B$98+(Calc!$B$100)*Calc!$B$97),NA())</f>
        <v/>
      </c>
      <c r="C362">
        <f>IF(Calc!$B$3,(70+(-0.625)*Calc!$B$97),NA())</f>
        <v/>
      </c>
      <c r="F362" t="inlineStr">
        <is>
          <t>prof</t>
        </is>
      </c>
      <c r="G362">
        <f>IF(Calc!$G$3,(Calc!$G$98+(Calc!$G$100)*Calc!$G$97),NA())</f>
        <v/>
      </c>
      <c r="H362">
        <f>IF(Calc!$G$3,(70+(-0.625)*Calc!$G$97),NA())</f>
        <v/>
      </c>
      <c r="K362" t="inlineStr">
        <is>
          <t>prof</t>
        </is>
      </c>
      <c r="L362">
        <f>IF(Calc!$L$3,(Calc!$L$98+(Calc!$L$100)*Calc!$L$97),NA())</f>
        <v/>
      </c>
      <c r="M362">
        <f>IF(Calc!$L$3,(70+(-0.625)*Calc!$L$97),NA())</f>
        <v/>
      </c>
      <c r="P362" t="inlineStr">
        <is>
          <t>prof</t>
        </is>
      </c>
      <c r="Q362">
        <f>IF(Calc!$Q$3,(Calc!$Q$98+(Calc!$Q$100)*Calc!$Q$97),NA())</f>
        <v/>
      </c>
      <c r="R362">
        <f>IF(Calc!$Q$3,(70+(-0.625)*Calc!$Q$97),NA())</f>
        <v/>
      </c>
      <c r="U362" t="inlineStr">
        <is>
          <t>prof</t>
        </is>
      </c>
      <c r="V362">
        <f>IF(Calc!$V$3,(Calc!$V$98+(Calc!$V$100)*Calc!$V$97),NA())</f>
        <v/>
      </c>
      <c r="W362">
        <f>IF(Calc!$V$3,(70+(-0.625)*Calc!$V$97),NA())</f>
        <v/>
      </c>
      <c r="Z362" t="inlineStr">
        <is>
          <t>prof</t>
        </is>
      </c>
      <c r="AA362">
        <f>IF(Calc!$AA$3,(Calc!$AA$98+(Calc!$AA$100)*Calc!$AA$97),NA())</f>
        <v/>
      </c>
      <c r="AB362">
        <f>IF(Calc!$AA$3,(70+(-0.625)*Calc!$AA$97),NA())</f>
        <v/>
      </c>
    </row>
    <row r="363">
      <c r="A363" t="inlineStr">
        <is>
          <t>prof</t>
        </is>
      </c>
      <c r="B363">
        <f>IF(Calc!$B$3,(Calc!$B$98+(Calc!$B$6-Calc!$B$99)*Calc!$B$97),NA())</f>
        <v/>
      </c>
      <c r="C363">
        <f>IF(Calc!$B$3,(70+(-0.625)*Calc!$B$97),NA())</f>
        <v/>
      </c>
      <c r="F363" t="inlineStr">
        <is>
          <t>prof</t>
        </is>
      </c>
      <c r="G363">
        <f>IF(Calc!$G$3,(Calc!$G$98+(Calc!$G$6-Calc!$G$99)*Calc!$G$97),NA())</f>
        <v/>
      </c>
      <c r="H363">
        <f>IF(Calc!$G$3,(70+(-0.625)*Calc!$G$97),NA())</f>
        <v/>
      </c>
      <c r="K363" t="inlineStr">
        <is>
          <t>prof</t>
        </is>
      </c>
      <c r="L363">
        <f>IF(Calc!$L$3,(Calc!$L$98+(Calc!$L$6-Calc!$L$99)*Calc!$L$97),NA())</f>
        <v/>
      </c>
      <c r="M363">
        <f>IF(Calc!$L$3,(70+(-0.625)*Calc!$L$97),NA())</f>
        <v/>
      </c>
      <c r="P363" t="inlineStr">
        <is>
          <t>prof</t>
        </is>
      </c>
      <c r="Q363">
        <f>IF(Calc!$Q$3,(Calc!$Q$98+(Calc!$Q$6-Calc!$Q$99)*Calc!$Q$97),NA())</f>
        <v/>
      </c>
      <c r="R363">
        <f>IF(Calc!$Q$3,(70+(-0.625)*Calc!$Q$97),NA())</f>
        <v/>
      </c>
      <c r="U363" t="inlineStr">
        <is>
          <t>prof</t>
        </is>
      </c>
      <c r="V363">
        <f>IF(Calc!$V$3,(Calc!$V$98+(Calc!$V$6-Calc!$V$99)*Calc!$V$97),NA())</f>
        <v/>
      </c>
      <c r="W363">
        <f>IF(Calc!$V$3,(70+(-0.625)*Calc!$V$97),NA())</f>
        <v/>
      </c>
      <c r="Z363" t="inlineStr">
        <is>
          <t>prof</t>
        </is>
      </c>
      <c r="AA363">
        <f>IF(Calc!$AA$3,(Calc!$AA$98+(Calc!$AA$6-Calc!$AA$99)*Calc!$AA$97),NA())</f>
        <v/>
      </c>
      <c r="AB363">
        <f>IF(Calc!$AA$3,(70+(-0.625)*Calc!$AA$97),NA())</f>
        <v/>
      </c>
    </row>
    <row r="364">
      <c r="A364" t="inlineStr">
        <is>
          <t>prof</t>
        </is>
      </c>
      <c r="B364">
        <f>IF(Calc!$B$3,(Calc!$B$98+(Calc!$B$6-Calc!$B$99)*Calc!$B$97),NA())</f>
        <v/>
      </c>
      <c r="C364">
        <f>IF(Calc!$B$3,(70+(0)*Calc!$B$97),NA())</f>
        <v/>
      </c>
      <c r="F364" t="inlineStr">
        <is>
          <t>prof</t>
        </is>
      </c>
      <c r="G364">
        <f>IF(Calc!$G$3,(Calc!$G$98+(Calc!$G$6-Calc!$G$99)*Calc!$G$97),NA())</f>
        <v/>
      </c>
      <c r="H364">
        <f>IF(Calc!$G$3,(70+(0)*Calc!$G$97),NA())</f>
        <v/>
      </c>
      <c r="K364" t="inlineStr">
        <is>
          <t>prof</t>
        </is>
      </c>
      <c r="L364">
        <f>IF(Calc!$L$3,(Calc!$L$98+(Calc!$L$6-Calc!$L$99)*Calc!$L$97),NA())</f>
        <v/>
      </c>
      <c r="M364">
        <f>IF(Calc!$L$3,(70+(0)*Calc!$L$97),NA())</f>
        <v/>
      </c>
      <c r="P364" t="inlineStr">
        <is>
          <t>prof</t>
        </is>
      </c>
      <c r="Q364">
        <f>IF(Calc!$Q$3,(Calc!$Q$98+(Calc!$Q$6-Calc!$Q$99)*Calc!$Q$97),NA())</f>
        <v/>
      </c>
      <c r="R364">
        <f>IF(Calc!$Q$3,(70+(0)*Calc!$Q$97),NA())</f>
        <v/>
      </c>
      <c r="U364" t="inlineStr">
        <is>
          <t>prof</t>
        </is>
      </c>
      <c r="V364">
        <f>IF(Calc!$V$3,(Calc!$V$98+(Calc!$V$6-Calc!$V$99)*Calc!$V$97),NA())</f>
        <v/>
      </c>
      <c r="W364">
        <f>IF(Calc!$V$3,(70+(0)*Calc!$V$97),NA())</f>
        <v/>
      </c>
      <c r="Z364" t="inlineStr">
        <is>
          <t>prof</t>
        </is>
      </c>
      <c r="AA364">
        <f>IF(Calc!$AA$3,(Calc!$AA$98+(Calc!$AA$6-Calc!$AA$99)*Calc!$AA$97),NA())</f>
        <v/>
      </c>
      <c r="AB364">
        <f>IF(Calc!$AA$3,(70+(0)*Calc!$AA$97),NA())</f>
        <v/>
      </c>
    </row>
    <row r="365">
      <c r="A365" t="inlineStr">
        <is>
          <t>prof</t>
        </is>
      </c>
      <c r="B365">
        <f>IF(Calc!$B$3,(Calc!$B$98+(Calc!$B$6)*Calc!$B$97),NA())</f>
        <v/>
      </c>
      <c r="C365">
        <f>IF(Calc!$B$3,(70+(0)*Calc!$B$97),NA())</f>
        <v/>
      </c>
      <c r="F365" t="inlineStr">
        <is>
          <t>prof</t>
        </is>
      </c>
      <c r="G365">
        <f>IF(Calc!$G$3,(Calc!$G$98+(Calc!$G$6)*Calc!$G$97),NA())</f>
        <v/>
      </c>
      <c r="H365">
        <f>IF(Calc!$G$3,(70+(0)*Calc!$G$97),NA())</f>
        <v/>
      </c>
      <c r="K365" t="inlineStr">
        <is>
          <t>prof</t>
        </is>
      </c>
      <c r="L365">
        <f>IF(Calc!$L$3,(Calc!$L$98+(Calc!$L$6)*Calc!$L$97),NA())</f>
        <v/>
      </c>
      <c r="M365">
        <f>IF(Calc!$L$3,(70+(0)*Calc!$L$97),NA())</f>
        <v/>
      </c>
      <c r="P365" t="inlineStr">
        <is>
          <t>prof</t>
        </is>
      </c>
      <c r="Q365">
        <f>IF(Calc!$Q$3,(Calc!$Q$98+(Calc!$Q$6)*Calc!$Q$97),NA())</f>
        <v/>
      </c>
      <c r="R365">
        <f>IF(Calc!$Q$3,(70+(0)*Calc!$Q$97),NA())</f>
        <v/>
      </c>
      <c r="U365" t="inlineStr">
        <is>
          <t>prof</t>
        </is>
      </c>
      <c r="V365">
        <f>IF(Calc!$V$3,(Calc!$V$98+(Calc!$V$6)*Calc!$V$97),NA())</f>
        <v/>
      </c>
      <c r="W365">
        <f>IF(Calc!$V$3,(70+(0)*Calc!$V$97),NA())</f>
        <v/>
      </c>
      <c r="Z365" t="inlineStr">
        <is>
          <t>prof</t>
        </is>
      </c>
      <c r="AA365">
        <f>IF(Calc!$AA$3,(Calc!$AA$98+(Calc!$AA$6)*Calc!$AA$97),NA())</f>
        <v/>
      </c>
      <c r="AB365">
        <f>IF(Calc!$AA$3,(70+(0)*Calc!$AA$97),NA())</f>
        <v/>
      </c>
    </row>
    <row r="366">
      <c r="A366" t="inlineStr">
        <is>
          <t>prof</t>
        </is>
      </c>
      <c r="B366">
        <f>IF(Calc!$B$3,(Calc!$B$98+(Calc!$B$6)*Calc!$B$97),NA())</f>
        <v/>
      </c>
      <c r="C366">
        <f>IF(Calc!$B$3,(70+(Calc!$B$101)*Calc!$B$97),NA())</f>
        <v/>
      </c>
      <c r="F366" t="inlineStr">
        <is>
          <t>prof</t>
        </is>
      </c>
      <c r="G366">
        <f>IF(Calc!$G$3,(Calc!$G$98+(Calc!$G$6)*Calc!$G$97),NA())</f>
        <v/>
      </c>
      <c r="H366">
        <f>IF(Calc!$G$3,(70+(Calc!$G$101)*Calc!$G$97),NA())</f>
        <v/>
      </c>
      <c r="K366" t="inlineStr">
        <is>
          <t>prof</t>
        </is>
      </c>
      <c r="L366">
        <f>IF(Calc!$L$3,(Calc!$L$98+(Calc!$L$6)*Calc!$L$97),NA())</f>
        <v/>
      </c>
      <c r="M366">
        <f>IF(Calc!$L$3,(70+(Calc!$L$101)*Calc!$L$97),NA())</f>
        <v/>
      </c>
      <c r="P366" t="inlineStr">
        <is>
          <t>prof</t>
        </is>
      </c>
      <c r="Q366">
        <f>IF(Calc!$Q$3,(Calc!$Q$98+(Calc!$Q$6)*Calc!$Q$97),NA())</f>
        <v/>
      </c>
      <c r="R366">
        <f>IF(Calc!$Q$3,(70+(Calc!$Q$101)*Calc!$Q$97),NA())</f>
        <v/>
      </c>
      <c r="U366" t="inlineStr">
        <is>
          <t>prof</t>
        </is>
      </c>
      <c r="V366">
        <f>IF(Calc!$V$3,(Calc!$V$98+(Calc!$V$6)*Calc!$V$97),NA())</f>
        <v/>
      </c>
      <c r="W366">
        <f>IF(Calc!$V$3,(70+(Calc!$V$101)*Calc!$V$97),NA())</f>
        <v/>
      </c>
      <c r="Z366" t="inlineStr">
        <is>
          <t>prof</t>
        </is>
      </c>
      <c r="AA366">
        <f>IF(Calc!$AA$3,(Calc!$AA$98+(Calc!$AA$6)*Calc!$AA$97),NA())</f>
        <v/>
      </c>
      <c r="AB366">
        <f>IF(Calc!$AA$3,(70+(Calc!$AA$101)*Calc!$AA$97),NA())</f>
        <v/>
      </c>
    </row>
    <row r="367">
      <c r="A367" t="inlineStr">
        <is>
          <t>prof</t>
        </is>
      </c>
      <c r="B367">
        <f>IF(Calc!$B$3,(Calc!$B$98+(Calc!$B$6-Calc!$B$102)*Calc!$B$97),NA())</f>
        <v/>
      </c>
      <c r="C367">
        <f>IF(Calc!$B$3,(70+(Calc!$B$101)*Calc!$B$97),NA())</f>
        <v/>
      </c>
      <c r="F367" t="inlineStr">
        <is>
          <t>prof</t>
        </is>
      </c>
      <c r="G367">
        <f>IF(Calc!$G$3,(Calc!$G$98+(Calc!$G$6-Calc!$G$102)*Calc!$G$97),NA())</f>
        <v/>
      </c>
      <c r="H367">
        <f>IF(Calc!$G$3,(70+(Calc!$G$101)*Calc!$G$97),NA())</f>
        <v/>
      </c>
      <c r="K367" t="inlineStr">
        <is>
          <t>prof</t>
        </is>
      </c>
      <c r="L367">
        <f>IF(Calc!$L$3,(Calc!$L$98+(Calc!$L$6-Calc!$L$102)*Calc!$L$97),NA())</f>
        <v/>
      </c>
      <c r="M367">
        <f>IF(Calc!$L$3,(70+(Calc!$L$101)*Calc!$L$97),NA())</f>
        <v/>
      </c>
      <c r="P367" t="inlineStr">
        <is>
          <t>prof</t>
        </is>
      </c>
      <c r="Q367">
        <f>IF(Calc!$Q$3,(Calc!$Q$98+(Calc!$Q$6-Calc!$Q$102)*Calc!$Q$97),NA())</f>
        <v/>
      </c>
      <c r="R367">
        <f>IF(Calc!$Q$3,(70+(Calc!$Q$101)*Calc!$Q$97),NA())</f>
        <v/>
      </c>
      <c r="U367" t="inlineStr">
        <is>
          <t>prof</t>
        </is>
      </c>
      <c r="V367">
        <f>IF(Calc!$V$3,(Calc!$V$98+(Calc!$V$6-Calc!$V$102)*Calc!$V$97),NA())</f>
        <v/>
      </c>
      <c r="W367">
        <f>IF(Calc!$V$3,(70+(Calc!$V$101)*Calc!$V$97),NA())</f>
        <v/>
      </c>
      <c r="Z367" t="inlineStr">
        <is>
          <t>prof</t>
        </is>
      </c>
      <c r="AA367">
        <f>IF(Calc!$AA$3,(Calc!$AA$98+(Calc!$AA$6-Calc!$AA$102)*Calc!$AA$97),NA())</f>
        <v/>
      </c>
      <c r="AB367">
        <f>IF(Calc!$AA$3,(70+(Calc!$AA$101)*Calc!$AA$97),NA())</f>
        <v/>
      </c>
    </row>
    <row r="369">
      <c r="A369" t="inlineStr">
        <is>
          <t>wall</t>
        </is>
      </c>
      <c r="B369">
        <f>IF(Calc!$B$3,(Calc!$B$98+(Calc!$B$104)*Calc!$B$97),NA())</f>
        <v/>
      </c>
      <c r="C369">
        <f>IF(Calc!$B$3,(70+(Calc!$B$101+3)*Calc!$B$97),NA())</f>
        <v/>
      </c>
      <c r="F369" t="inlineStr">
        <is>
          <t>wall</t>
        </is>
      </c>
      <c r="G369">
        <f>IF(Calc!$G$3,(Calc!$G$98+(Calc!$G$104)*Calc!$G$97),NA())</f>
        <v/>
      </c>
      <c r="H369">
        <f>IF(Calc!$G$3,(70+(Calc!$G$101+3)*Calc!$G$97),NA())</f>
        <v/>
      </c>
      <c r="K369" t="inlineStr">
        <is>
          <t>wall</t>
        </is>
      </c>
      <c r="L369">
        <f>IF(Calc!$L$3,(Calc!$L$98+(Calc!$L$104)*Calc!$L$97),NA())</f>
        <v/>
      </c>
      <c r="M369">
        <f>IF(Calc!$L$3,(70+(Calc!$L$101+3)*Calc!$L$97),NA())</f>
        <v/>
      </c>
      <c r="P369" t="inlineStr">
        <is>
          <t>wall</t>
        </is>
      </c>
      <c r="Q369">
        <f>IF(Calc!$Q$3,(Calc!$Q$98+(Calc!$Q$104)*Calc!$Q$97),NA())</f>
        <v/>
      </c>
      <c r="R369">
        <f>IF(Calc!$Q$3,(70+(Calc!$Q$101+3)*Calc!$Q$97),NA())</f>
        <v/>
      </c>
      <c r="U369" t="inlineStr">
        <is>
          <t>wall</t>
        </is>
      </c>
      <c r="V369">
        <f>IF(Calc!$V$3,(Calc!$V$98+(Calc!$V$104)*Calc!$V$97),NA())</f>
        <v/>
      </c>
      <c r="W369">
        <f>IF(Calc!$V$3,(70+(Calc!$V$101+3)*Calc!$V$97),NA())</f>
        <v/>
      </c>
      <c r="Z369" t="inlineStr">
        <is>
          <t>wall</t>
        </is>
      </c>
      <c r="AA369">
        <f>IF(Calc!$AA$3,(Calc!$AA$98+(Calc!$AA$104)*Calc!$AA$97),NA())</f>
        <v/>
      </c>
      <c r="AB369">
        <f>IF(Calc!$AA$3,(70+(Calc!$AA$101+3)*Calc!$AA$97),NA())</f>
        <v/>
      </c>
    </row>
    <row r="370">
      <c r="A370" t="inlineStr">
        <is>
          <t>wall</t>
        </is>
      </c>
      <c r="B370">
        <f>IF(Calc!$B$3,(Calc!$B$98+(Calc!$B$104)*Calc!$B$97),NA())</f>
        <v/>
      </c>
      <c r="C370">
        <f>IF(Calc!$B$3,(70+(0.3)*Calc!$B$97),NA())</f>
        <v/>
      </c>
      <c r="F370" t="inlineStr">
        <is>
          <t>wall</t>
        </is>
      </c>
      <c r="G370">
        <f>IF(Calc!$G$3,(Calc!$G$98+(Calc!$G$104)*Calc!$G$97),NA())</f>
        <v/>
      </c>
      <c r="H370">
        <f>IF(Calc!$G$3,(70+(0.3)*Calc!$G$97),NA())</f>
        <v/>
      </c>
      <c r="K370" t="inlineStr">
        <is>
          <t>wall</t>
        </is>
      </c>
      <c r="L370">
        <f>IF(Calc!$L$3,(Calc!$L$98+(Calc!$L$104)*Calc!$L$97),NA())</f>
        <v/>
      </c>
      <c r="M370">
        <f>IF(Calc!$L$3,(70+(0.3)*Calc!$L$97),NA())</f>
        <v/>
      </c>
      <c r="P370" t="inlineStr">
        <is>
          <t>wall</t>
        </is>
      </c>
      <c r="Q370">
        <f>IF(Calc!$Q$3,(Calc!$Q$98+(Calc!$Q$104)*Calc!$Q$97),NA())</f>
        <v/>
      </c>
      <c r="R370">
        <f>IF(Calc!$Q$3,(70+(0.3)*Calc!$Q$97),NA())</f>
        <v/>
      </c>
      <c r="U370" t="inlineStr">
        <is>
          <t>wall</t>
        </is>
      </c>
      <c r="V370">
        <f>IF(Calc!$V$3,(Calc!$V$98+(Calc!$V$104)*Calc!$V$97),NA())</f>
        <v/>
      </c>
      <c r="W370">
        <f>IF(Calc!$V$3,(70+(0.3)*Calc!$V$97),NA())</f>
        <v/>
      </c>
      <c r="Z370" t="inlineStr">
        <is>
          <t>wall</t>
        </is>
      </c>
      <c r="AA370">
        <f>IF(Calc!$AA$3,(Calc!$AA$98+(Calc!$AA$104)*Calc!$AA$97),NA())</f>
        <v/>
      </c>
      <c r="AB370">
        <f>IF(Calc!$AA$3,(70+(0.3)*Calc!$AA$97),NA())</f>
        <v/>
      </c>
    </row>
    <row r="371">
      <c r="A371" t="inlineStr">
        <is>
          <t>wall</t>
        </is>
      </c>
      <c r="B371">
        <f>IF(Calc!$B$3,(Calc!$B$98+(Calc!$B$104+Calc!$B$103)*Calc!$B$97),NA())</f>
        <v/>
      </c>
      <c r="C371">
        <f>IF(Calc!$B$3,(70+(0.3)*Calc!$B$97),NA())</f>
        <v/>
      </c>
      <c r="F371" t="inlineStr">
        <is>
          <t>wall</t>
        </is>
      </c>
      <c r="G371">
        <f>IF(Calc!$G$3,(Calc!$G$98+(Calc!$G$104+Calc!$G$103)*Calc!$G$97),NA())</f>
        <v/>
      </c>
      <c r="H371">
        <f>IF(Calc!$G$3,(70+(0.3)*Calc!$G$97),NA())</f>
        <v/>
      </c>
      <c r="K371" t="inlineStr">
        <is>
          <t>wall</t>
        </is>
      </c>
      <c r="L371">
        <f>IF(Calc!$L$3,(Calc!$L$98+(Calc!$L$104+Calc!$L$103)*Calc!$L$97),NA())</f>
        <v/>
      </c>
      <c r="M371">
        <f>IF(Calc!$L$3,(70+(0.3)*Calc!$L$97),NA())</f>
        <v/>
      </c>
      <c r="P371" t="inlineStr">
        <is>
          <t>wall</t>
        </is>
      </c>
      <c r="Q371">
        <f>IF(Calc!$Q$3,(Calc!$Q$98+(Calc!$Q$104+Calc!$Q$103)*Calc!$Q$97),NA())</f>
        <v/>
      </c>
      <c r="R371">
        <f>IF(Calc!$Q$3,(70+(0.3)*Calc!$Q$97),NA())</f>
        <v/>
      </c>
      <c r="U371" t="inlineStr">
        <is>
          <t>wall</t>
        </is>
      </c>
      <c r="V371">
        <f>IF(Calc!$V$3,(Calc!$V$98+(Calc!$V$104+Calc!$V$103)*Calc!$V$97),NA())</f>
        <v/>
      </c>
      <c r="W371">
        <f>IF(Calc!$V$3,(70+(0.3)*Calc!$V$97),NA())</f>
        <v/>
      </c>
      <c r="Z371" t="inlineStr">
        <is>
          <t>wall</t>
        </is>
      </c>
      <c r="AA371">
        <f>IF(Calc!$AA$3,(Calc!$AA$98+(Calc!$AA$104+Calc!$AA$103)*Calc!$AA$97),NA())</f>
        <v/>
      </c>
      <c r="AB371">
        <f>IF(Calc!$AA$3,(70+(0.3)*Calc!$AA$97),NA())</f>
        <v/>
      </c>
    </row>
    <row r="372">
      <c r="A372" t="inlineStr">
        <is>
          <t>wall</t>
        </is>
      </c>
      <c r="B372">
        <f>IF(Calc!$B$3,(Calc!$B$98+(Calc!$B$104+Calc!$B$103)*Calc!$B$97),NA())</f>
        <v/>
      </c>
      <c r="C372">
        <f>IF(Calc!$B$3,(70+(Calc!$B$101+3)*Calc!$B$97),NA())</f>
        <v/>
      </c>
      <c r="F372" t="inlineStr">
        <is>
          <t>wall</t>
        </is>
      </c>
      <c r="G372">
        <f>IF(Calc!$G$3,(Calc!$G$98+(Calc!$G$104+Calc!$G$103)*Calc!$G$97),NA())</f>
        <v/>
      </c>
      <c r="H372">
        <f>IF(Calc!$G$3,(70+(Calc!$G$101+3)*Calc!$G$97),NA())</f>
        <v/>
      </c>
      <c r="K372" t="inlineStr">
        <is>
          <t>wall</t>
        </is>
      </c>
      <c r="L372">
        <f>IF(Calc!$L$3,(Calc!$L$98+(Calc!$L$104+Calc!$L$103)*Calc!$L$97),NA())</f>
        <v/>
      </c>
      <c r="M372">
        <f>IF(Calc!$L$3,(70+(Calc!$L$101+3)*Calc!$L$97),NA())</f>
        <v/>
      </c>
      <c r="P372" t="inlineStr">
        <is>
          <t>wall</t>
        </is>
      </c>
      <c r="Q372">
        <f>IF(Calc!$Q$3,(Calc!$Q$98+(Calc!$Q$104+Calc!$Q$103)*Calc!$Q$97),NA())</f>
        <v/>
      </c>
      <c r="R372">
        <f>IF(Calc!$Q$3,(70+(Calc!$Q$101+3)*Calc!$Q$97),NA())</f>
        <v/>
      </c>
      <c r="U372" t="inlineStr">
        <is>
          <t>wall</t>
        </is>
      </c>
      <c r="V372">
        <f>IF(Calc!$V$3,(Calc!$V$98+(Calc!$V$104+Calc!$V$103)*Calc!$V$97),NA())</f>
        <v/>
      </c>
      <c r="W372">
        <f>IF(Calc!$V$3,(70+(Calc!$V$101+3)*Calc!$V$97),NA())</f>
        <v/>
      </c>
      <c r="Z372" t="inlineStr">
        <is>
          <t>wall</t>
        </is>
      </c>
      <c r="AA372">
        <f>IF(Calc!$AA$3,(Calc!$AA$98+(Calc!$AA$104+Calc!$AA$103)*Calc!$AA$97),NA())</f>
        <v/>
      </c>
      <c r="AB372">
        <f>IF(Calc!$AA$3,(70+(Calc!$AA$101+3)*Calc!$AA$97),NA())</f>
        <v/>
      </c>
    </row>
    <row r="374">
      <c r="A374" t="inlineStr">
        <is>
          <t>dJ</t>
        </is>
      </c>
      <c r="B374">
        <f>IF(Calc!$B$3,(Calc!$B$98+(0)*Calc!$B$97),NA())</f>
        <v/>
      </c>
      <c r="C374">
        <f>IF(Calc!$B$3,(70+(-2.2)*Calc!$B$97),NA())</f>
        <v/>
      </c>
      <c r="F374" t="inlineStr">
        <is>
          <t>dJ</t>
        </is>
      </c>
      <c r="G374">
        <f>IF(Calc!$G$3,(Calc!$G$98+(0)*Calc!$G$97),NA())</f>
        <v/>
      </c>
      <c r="H374">
        <f>IF(Calc!$G$3,(70+(-2.2)*Calc!$G$97),NA())</f>
        <v/>
      </c>
      <c r="K374" t="inlineStr">
        <is>
          <t>dJ</t>
        </is>
      </c>
      <c r="L374">
        <f>IF(Calc!$L$3,(Calc!$L$98+(0)*Calc!$L$97),NA())</f>
        <v/>
      </c>
      <c r="M374">
        <f>IF(Calc!$L$3,(70+(-2.2)*Calc!$L$97),NA())</f>
        <v/>
      </c>
      <c r="P374" t="inlineStr">
        <is>
          <t>dJ</t>
        </is>
      </c>
      <c r="Q374">
        <f>IF(Calc!$Q$3,(Calc!$Q$98+(0)*Calc!$Q$97),NA())</f>
        <v/>
      </c>
      <c r="R374">
        <f>IF(Calc!$Q$3,(70+(-2.2)*Calc!$Q$97),NA())</f>
        <v/>
      </c>
      <c r="U374" t="inlineStr">
        <is>
          <t>dJ</t>
        </is>
      </c>
      <c r="V374">
        <f>IF(Calc!$V$3,(Calc!$V$98+(0)*Calc!$V$97),NA())</f>
        <v/>
      </c>
      <c r="W374">
        <f>IF(Calc!$V$3,(70+(-2.2)*Calc!$V$97),NA())</f>
        <v/>
      </c>
      <c r="Z374" t="inlineStr">
        <is>
          <t>dJ</t>
        </is>
      </c>
      <c r="AA374">
        <f>IF(Calc!$AA$3,(Calc!$AA$98+(0)*Calc!$AA$97),NA())</f>
        <v/>
      </c>
      <c r="AB374">
        <f>IF(Calc!$AA$3,(70+(-2.2)*Calc!$AA$97),NA())</f>
        <v/>
      </c>
    </row>
    <row r="375">
      <c r="A375" t="inlineStr">
        <is>
          <t>dJ</t>
        </is>
      </c>
      <c r="B375">
        <f>IF(Calc!$B$3,(Calc!$B$98+(Calc!$B$6)*Calc!$B$97),NA())</f>
        <v/>
      </c>
      <c r="C375">
        <f>IF(Calc!$B$3,(70+(-2.2)*Calc!$B$97),NA())</f>
        <v/>
      </c>
      <c r="F375" t="inlineStr">
        <is>
          <t>dJ</t>
        </is>
      </c>
      <c r="G375">
        <f>IF(Calc!$G$3,(Calc!$G$98+(Calc!$G$6)*Calc!$G$97),NA())</f>
        <v/>
      </c>
      <c r="H375">
        <f>IF(Calc!$G$3,(70+(-2.2)*Calc!$G$97),NA())</f>
        <v/>
      </c>
      <c r="K375" t="inlineStr">
        <is>
          <t>dJ</t>
        </is>
      </c>
      <c r="L375">
        <f>IF(Calc!$L$3,(Calc!$L$98+(Calc!$L$6)*Calc!$L$97),NA())</f>
        <v/>
      </c>
      <c r="M375">
        <f>IF(Calc!$L$3,(70+(-2.2)*Calc!$L$97),NA())</f>
        <v/>
      </c>
      <c r="P375" t="inlineStr">
        <is>
          <t>dJ</t>
        </is>
      </c>
      <c r="Q375">
        <f>IF(Calc!$Q$3,(Calc!$Q$98+(Calc!$Q$6)*Calc!$Q$97),NA())</f>
        <v/>
      </c>
      <c r="R375">
        <f>IF(Calc!$Q$3,(70+(-2.2)*Calc!$Q$97),NA())</f>
        <v/>
      </c>
      <c r="U375" t="inlineStr">
        <is>
          <t>dJ</t>
        </is>
      </c>
      <c r="V375">
        <f>IF(Calc!$V$3,(Calc!$V$98+(Calc!$V$6)*Calc!$V$97),NA())</f>
        <v/>
      </c>
      <c r="W375">
        <f>IF(Calc!$V$3,(70+(-2.2)*Calc!$V$97),NA())</f>
        <v/>
      </c>
      <c r="Z375" t="inlineStr">
        <is>
          <t>dJ</t>
        </is>
      </c>
      <c r="AA375">
        <f>IF(Calc!$AA$3,(Calc!$AA$98+(Calc!$AA$6)*Calc!$AA$97),NA())</f>
        <v/>
      </c>
      <c r="AB375">
        <f>IF(Calc!$AA$3,(70+(-2.2)*Calc!$AA$97),NA())</f>
        <v/>
      </c>
    </row>
    <row r="377">
      <c r="A377" t="inlineStr">
        <is>
          <t>lJ</t>
        </is>
      </c>
      <c r="B377">
        <f>IF(Calc!$B$3,(Calc!$B$98+(Calc!$B$6/2)*Calc!$B$97),NA())</f>
        <v/>
      </c>
      <c r="C377">
        <f>IF(Calc!$B$3,(70+(-2.2)*Calc!$B$97),NA())</f>
        <v/>
      </c>
      <c r="D377">
        <f>"JAMB "&amp;Calc!$B$7</f>
        <v/>
      </c>
      <c r="F377" t="inlineStr">
        <is>
          <t>lJ</t>
        </is>
      </c>
      <c r="G377">
        <f>IF(Calc!$G$3,(Calc!$G$98+(Calc!$G$6/2)*Calc!$G$97),NA())</f>
        <v/>
      </c>
      <c r="H377">
        <f>IF(Calc!$G$3,(70+(-2.2)*Calc!$G$97),NA())</f>
        <v/>
      </c>
      <c r="I377">
        <f>"JAMB "&amp;Calc!$G$7</f>
        <v/>
      </c>
      <c r="K377" t="inlineStr">
        <is>
          <t>lJ</t>
        </is>
      </c>
      <c r="L377">
        <f>IF(Calc!$L$3,(Calc!$L$98+(Calc!$L$6/2)*Calc!$L$97),NA())</f>
        <v/>
      </c>
      <c r="M377">
        <f>IF(Calc!$L$3,(70+(-2.2)*Calc!$L$97),NA())</f>
        <v/>
      </c>
      <c r="N377">
        <f>"JAMB "&amp;Calc!$L$7</f>
        <v/>
      </c>
      <c r="P377" t="inlineStr">
        <is>
          <t>lJ</t>
        </is>
      </c>
      <c r="Q377">
        <f>IF(Calc!$Q$3,(Calc!$Q$98+(Calc!$Q$6/2)*Calc!$Q$97),NA())</f>
        <v/>
      </c>
      <c r="R377">
        <f>IF(Calc!$Q$3,(70+(-2.2)*Calc!$Q$97),NA())</f>
        <v/>
      </c>
      <c r="S377">
        <f>"JAMB "&amp;Calc!$Q$7</f>
        <v/>
      </c>
      <c r="U377" t="inlineStr">
        <is>
          <t>lJ</t>
        </is>
      </c>
      <c r="V377">
        <f>IF(Calc!$V$3,(Calc!$V$98+(Calc!$V$6/2)*Calc!$V$97),NA())</f>
        <v/>
      </c>
      <c r="W377">
        <f>IF(Calc!$V$3,(70+(-2.2)*Calc!$V$97),NA())</f>
        <v/>
      </c>
      <c r="X377">
        <f>"JAMB "&amp;Calc!$V$7</f>
        <v/>
      </c>
      <c r="Z377" t="inlineStr">
        <is>
          <t>lJ</t>
        </is>
      </c>
      <c r="AA377">
        <f>IF(Calc!$AA$3,(Calc!$AA$98+(Calc!$AA$6/2)*Calc!$AA$97),NA())</f>
        <v/>
      </c>
      <c r="AB377">
        <f>IF(Calc!$AA$3,(70+(-2.2)*Calc!$AA$97),NA())</f>
        <v/>
      </c>
      <c r="AC377">
        <f>"JAMB "&amp;Calc!$AA$7</f>
        <v/>
      </c>
    </row>
    <row r="379">
      <c r="A379" t="inlineStr">
        <is>
          <t>lF</t>
        </is>
      </c>
      <c r="B379">
        <f>IF(Calc!$B$3,(Calc!$B$98+(0)*Calc!$B$97),NA())</f>
        <v/>
      </c>
      <c r="C379">
        <f>IF(Calc!$B$3,(70+(Calc!$B$101/2)*Calc!$B$97),NA())</f>
        <v/>
      </c>
      <c r="D379">
        <f>"FACE "&amp;TRIM(TEXT(Calc!$B$101,"# ?/??"))&amp;CHAR(34)</f>
        <v/>
      </c>
      <c r="F379" t="inlineStr">
        <is>
          <t>lF</t>
        </is>
      </c>
      <c r="G379">
        <f>IF(Calc!$G$3,(Calc!$G$98+(0)*Calc!$G$97),NA())</f>
        <v/>
      </c>
      <c r="H379">
        <f>IF(Calc!$G$3,(70+(Calc!$G$101/2)*Calc!$G$97),NA())</f>
        <v/>
      </c>
      <c r="I379">
        <f>"FACE "&amp;TRIM(TEXT(Calc!$G$101,"# ?/??"))&amp;CHAR(34)</f>
        <v/>
      </c>
      <c r="K379" t="inlineStr">
        <is>
          <t>lF</t>
        </is>
      </c>
      <c r="L379">
        <f>IF(Calc!$L$3,(Calc!$L$98+(0)*Calc!$L$97),NA())</f>
        <v/>
      </c>
      <c r="M379">
        <f>IF(Calc!$L$3,(70+(Calc!$L$101/2)*Calc!$L$97),NA())</f>
        <v/>
      </c>
      <c r="N379">
        <f>"FACE "&amp;TRIM(TEXT(Calc!$L$101,"# ?/??"))&amp;CHAR(34)</f>
        <v/>
      </c>
      <c r="P379" t="inlineStr">
        <is>
          <t>lF</t>
        </is>
      </c>
      <c r="Q379">
        <f>IF(Calc!$Q$3,(Calc!$Q$98+(0)*Calc!$Q$97),NA())</f>
        <v/>
      </c>
      <c r="R379">
        <f>IF(Calc!$Q$3,(70+(Calc!$Q$101/2)*Calc!$Q$97),NA())</f>
        <v/>
      </c>
      <c r="S379">
        <f>"FACE "&amp;TRIM(TEXT(Calc!$Q$101,"# ?/??"))&amp;CHAR(34)</f>
        <v/>
      </c>
      <c r="U379" t="inlineStr">
        <is>
          <t>lF</t>
        </is>
      </c>
      <c r="V379">
        <f>IF(Calc!$V$3,(Calc!$V$98+(0)*Calc!$V$97),NA())</f>
        <v/>
      </c>
      <c r="W379">
        <f>IF(Calc!$V$3,(70+(Calc!$V$101/2)*Calc!$V$97),NA())</f>
        <v/>
      </c>
      <c r="X379">
        <f>"FACE "&amp;TRIM(TEXT(Calc!$V$101,"# ?/??"))&amp;CHAR(34)</f>
        <v/>
      </c>
      <c r="Z379" t="inlineStr">
        <is>
          <t>lF</t>
        </is>
      </c>
      <c r="AA379">
        <f>IF(Calc!$AA$3,(Calc!$AA$98+(0)*Calc!$AA$97),NA())</f>
        <v/>
      </c>
      <c r="AB379">
        <f>IF(Calc!$AA$3,(70+(Calc!$AA$101/2)*Calc!$AA$97),NA())</f>
        <v/>
      </c>
      <c r="AC379">
        <f>"FACE "&amp;TRIM(TEXT(Calc!$AA$101,"# ?/??"))&amp;CHAR(34)</f>
        <v/>
      </c>
    </row>
    <row r="381">
      <c r="A381" t="inlineStr">
        <is>
          <t>lR</t>
        </is>
      </c>
      <c r="B381">
        <f>IF(Calc!$B$3,(Calc!$B$98+(Calc!$B$6-Calc!$B$99/2)*Calc!$B$97),NA())</f>
        <v/>
      </c>
      <c r="C381">
        <f>IF(Calc!$B$3,(70+(0)*Calc!$B$97),NA())</f>
        <v/>
      </c>
      <c r="D381">
        <f>"RABBET "&amp;TRIM(TEXT(Calc!$B$99,"# ?/??"))&amp;CHAR(34)</f>
        <v/>
      </c>
      <c r="F381" t="inlineStr">
        <is>
          <t>lR</t>
        </is>
      </c>
      <c r="G381">
        <f>IF(Calc!$G$3,(Calc!$G$98+(Calc!$G$6-Calc!$G$99/2)*Calc!$G$97),NA())</f>
        <v/>
      </c>
      <c r="H381">
        <f>IF(Calc!$G$3,(70+(0)*Calc!$G$97),NA())</f>
        <v/>
      </c>
      <c r="I381">
        <f>"RABBET "&amp;TRIM(TEXT(Calc!$G$99,"# ?/??"))&amp;CHAR(34)</f>
        <v/>
      </c>
      <c r="K381" t="inlineStr">
        <is>
          <t>lR</t>
        </is>
      </c>
      <c r="L381">
        <f>IF(Calc!$L$3,(Calc!$L$98+(Calc!$L$6-Calc!$L$99/2)*Calc!$L$97),NA())</f>
        <v/>
      </c>
      <c r="M381">
        <f>IF(Calc!$L$3,(70+(0)*Calc!$L$97),NA())</f>
        <v/>
      </c>
      <c r="N381">
        <f>"RABBET "&amp;TRIM(TEXT(Calc!$L$99,"# ?/??"))&amp;CHAR(34)</f>
        <v/>
      </c>
      <c r="P381" t="inlineStr">
        <is>
          <t>lR</t>
        </is>
      </c>
      <c r="Q381">
        <f>IF(Calc!$Q$3,(Calc!$Q$98+(Calc!$Q$6-Calc!$Q$99/2)*Calc!$Q$97),NA())</f>
        <v/>
      </c>
      <c r="R381">
        <f>IF(Calc!$Q$3,(70+(0)*Calc!$Q$97),NA())</f>
        <v/>
      </c>
      <c r="S381">
        <f>"RABBET "&amp;TRIM(TEXT(Calc!$Q$99,"# ?/??"))&amp;CHAR(34)</f>
        <v/>
      </c>
      <c r="U381" t="inlineStr">
        <is>
          <t>lR</t>
        </is>
      </c>
      <c r="V381">
        <f>IF(Calc!$V$3,(Calc!$V$98+(Calc!$V$6-Calc!$V$99/2)*Calc!$V$97),NA())</f>
        <v/>
      </c>
      <c r="W381">
        <f>IF(Calc!$V$3,(70+(0)*Calc!$V$97),NA())</f>
        <v/>
      </c>
      <c r="X381">
        <f>"RABBET "&amp;TRIM(TEXT(Calc!$V$99,"# ?/??"))&amp;CHAR(34)</f>
        <v/>
      </c>
      <c r="Z381" t="inlineStr">
        <is>
          <t>lR</t>
        </is>
      </c>
      <c r="AA381">
        <f>IF(Calc!$AA$3,(Calc!$AA$98+(Calc!$AA$6-Calc!$AA$99/2)*Calc!$AA$97),NA())</f>
        <v/>
      </c>
      <c r="AB381">
        <f>IF(Calc!$AA$3,(70+(0)*Calc!$AA$97),NA())</f>
        <v/>
      </c>
      <c r="AC381">
        <f>"RABBET "&amp;TRIM(TEXT(Calc!$AA$99,"# ?/??"))&amp;CHAR(34)</f>
        <v/>
      </c>
    </row>
    <row r="383">
      <c r="A383" t="inlineStr">
        <is>
          <t>lW</t>
        </is>
      </c>
      <c r="B383">
        <f>IF(Calc!$B$3,(Calc!$B$98+(Calc!$B$6/2)*Calc!$B$97),NA())</f>
        <v/>
      </c>
      <c r="C383">
        <f>IF(Calc!$B$3,(70+(Calc!$B$101+3)*Calc!$B$97),NA())</f>
        <v/>
      </c>
      <c r="D383">
        <f>IF(Calc!$B$8,"MASONRY ","WALL ")&amp;TRIM(TEXT(Calc!$B$103,"# ?/??"))&amp;CHAR(34)</f>
        <v/>
      </c>
      <c r="F383" t="inlineStr">
        <is>
          <t>lW</t>
        </is>
      </c>
      <c r="G383">
        <f>IF(Calc!$G$3,(Calc!$G$98+(Calc!$G$6/2)*Calc!$G$97),NA())</f>
        <v/>
      </c>
      <c r="H383">
        <f>IF(Calc!$G$3,(70+(Calc!$G$101+3)*Calc!$G$97),NA())</f>
        <v/>
      </c>
      <c r="I383">
        <f>IF(Calc!$G$8,"MASONRY ","WALL ")&amp;TRIM(TEXT(Calc!$G$103,"# ?/??"))&amp;CHAR(34)</f>
        <v/>
      </c>
      <c r="K383" t="inlineStr">
        <is>
          <t>lW</t>
        </is>
      </c>
      <c r="L383">
        <f>IF(Calc!$L$3,(Calc!$L$98+(Calc!$L$6/2)*Calc!$L$97),NA())</f>
        <v/>
      </c>
      <c r="M383">
        <f>IF(Calc!$L$3,(70+(Calc!$L$101+3)*Calc!$L$97),NA())</f>
        <v/>
      </c>
      <c r="N383">
        <f>IF(Calc!$L$8,"MASONRY ","WALL ")&amp;TRIM(TEXT(Calc!$L$103,"# ?/??"))&amp;CHAR(34)</f>
        <v/>
      </c>
      <c r="P383" t="inlineStr">
        <is>
          <t>lW</t>
        </is>
      </c>
      <c r="Q383">
        <f>IF(Calc!$Q$3,(Calc!$Q$98+(Calc!$Q$6/2)*Calc!$Q$97),NA())</f>
        <v/>
      </c>
      <c r="R383">
        <f>IF(Calc!$Q$3,(70+(Calc!$Q$101+3)*Calc!$Q$97),NA())</f>
        <v/>
      </c>
      <c r="S383">
        <f>IF(Calc!$Q$8,"MASONRY ","WALL ")&amp;TRIM(TEXT(Calc!$Q$103,"# ?/??"))&amp;CHAR(34)</f>
        <v/>
      </c>
      <c r="U383" t="inlineStr">
        <is>
          <t>lW</t>
        </is>
      </c>
      <c r="V383">
        <f>IF(Calc!$V$3,(Calc!$V$98+(Calc!$V$6/2)*Calc!$V$97),NA())</f>
        <v/>
      </c>
      <c r="W383">
        <f>IF(Calc!$V$3,(70+(Calc!$V$101+3)*Calc!$V$97),NA())</f>
        <v/>
      </c>
      <c r="X383">
        <f>IF(Calc!$V$8,"MASONRY ","WALL ")&amp;TRIM(TEXT(Calc!$V$103,"# ?/??"))&amp;CHAR(34)</f>
        <v/>
      </c>
      <c r="Z383" t="inlineStr">
        <is>
          <t>lW</t>
        </is>
      </c>
      <c r="AA383">
        <f>IF(Calc!$AA$3,(Calc!$AA$98+(Calc!$AA$6/2)*Calc!$AA$97),NA())</f>
        <v/>
      </c>
      <c r="AB383">
        <f>IF(Calc!$AA$3,(70+(Calc!$AA$101+3)*Calc!$AA$97),NA())</f>
        <v/>
      </c>
      <c r="AC383">
        <f>IF(Calc!$AA$8,"MASONRY ","WALL ")&amp;TRIM(TEXT(Calc!$AA$103,"# ?/??"))&amp;CHAR(34)</f>
        <v/>
      </c>
    </row>
    <row r="385">
      <c r="A385" t="inlineStr">
        <is>
          <t>lS</t>
        </is>
      </c>
      <c r="B385">
        <f>IF(Calc!$B$3,(Calc!$B$98+((Calc!$B$100+Calc!$B$6-Calc!$B$99)/2)*Calc!$B$97),NA())</f>
        <v/>
      </c>
      <c r="C385">
        <f>IF(Calc!$B$3,(70+(-0.625)*Calc!$B$97),NA())</f>
        <v/>
      </c>
      <c r="D385">
        <f>"STOP 5/8"&amp;CHAR(34)</f>
        <v/>
      </c>
      <c r="F385" t="inlineStr">
        <is>
          <t>lS</t>
        </is>
      </c>
      <c r="G385">
        <f>IF(Calc!$G$3,(Calc!$G$98+((Calc!$G$100+Calc!$G$6-Calc!$G$99)/2)*Calc!$G$97),NA())</f>
        <v/>
      </c>
      <c r="H385">
        <f>IF(Calc!$G$3,(70+(-0.625)*Calc!$G$97),NA())</f>
        <v/>
      </c>
      <c r="I385">
        <f>"STOP 5/8"&amp;CHAR(34)</f>
        <v/>
      </c>
      <c r="K385" t="inlineStr">
        <is>
          <t>lS</t>
        </is>
      </c>
      <c r="L385">
        <f>IF(Calc!$L$3,(Calc!$L$98+((Calc!$L$100+Calc!$L$6-Calc!$L$99)/2)*Calc!$L$97),NA())</f>
        <v/>
      </c>
      <c r="M385">
        <f>IF(Calc!$L$3,(70+(-0.625)*Calc!$L$97),NA())</f>
        <v/>
      </c>
      <c r="N385">
        <f>"STOP 5/8"&amp;CHAR(34)</f>
        <v/>
      </c>
      <c r="P385" t="inlineStr">
        <is>
          <t>lS</t>
        </is>
      </c>
      <c r="Q385">
        <f>IF(Calc!$Q$3,(Calc!$Q$98+((Calc!$Q$100+Calc!$Q$6-Calc!$Q$99)/2)*Calc!$Q$97),NA())</f>
        <v/>
      </c>
      <c r="R385">
        <f>IF(Calc!$Q$3,(70+(-0.625)*Calc!$Q$97),NA())</f>
        <v/>
      </c>
      <c r="S385">
        <f>"STOP 5/8"&amp;CHAR(34)</f>
        <v/>
      </c>
      <c r="U385" t="inlineStr">
        <is>
          <t>lS</t>
        </is>
      </c>
      <c r="V385">
        <f>IF(Calc!$V$3,(Calc!$V$98+((Calc!$V$100+Calc!$V$6-Calc!$V$99)/2)*Calc!$V$97),NA())</f>
        <v/>
      </c>
      <c r="W385">
        <f>IF(Calc!$V$3,(70+(-0.625)*Calc!$V$97),NA())</f>
        <v/>
      </c>
      <c r="X385">
        <f>"STOP 5/8"&amp;CHAR(34)</f>
        <v/>
      </c>
      <c r="Z385" t="inlineStr">
        <is>
          <t>lS</t>
        </is>
      </c>
      <c r="AA385">
        <f>IF(Calc!$AA$3,(Calc!$AA$98+((Calc!$AA$100+Calc!$AA$6-Calc!$AA$99)/2)*Calc!$AA$97),NA())</f>
        <v/>
      </c>
      <c r="AB385">
        <f>IF(Calc!$AA$3,(70+(-0.625)*Calc!$AA$97),NA())</f>
        <v/>
      </c>
      <c r="AC385">
        <f>"STOP 5/8"&amp;CHAR(34)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2026-10-28T15:33:15Z</dcterms:created>
  <dcterms:modified xmlns:dcterms="http://purl.org/dc/terms/" xmlns:xsi="http://www.w3.org/2001/XMLSchema-instance" xsi:type="dcterms:W3CDTF">2026-10-28T15:33:16Z</dcterms:modified>
</cp:coreProperties>
</file>