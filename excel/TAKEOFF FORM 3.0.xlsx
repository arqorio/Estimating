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Job" sheetId="2" state="visible" r:id="rId2"/>
    <sheet xmlns:r="http://schemas.openxmlformats.org/officeDocument/2006/relationships" name="Takeoff" sheetId="3" state="visible" r:id="rId3"/>
    <sheet xmlns:r="http://schemas.openxmlformats.org/officeDocument/2006/relationships" name="Elevation" sheetId="4" state="visible" r:id="rId4"/>
    <sheet xmlns:r="http://schemas.openxmlformats.org/officeDocument/2006/relationships" name="Elevations" sheetId="5" state="visible" r:id="rId5"/>
    <sheet xmlns:r="http://schemas.openxmlformats.org/officeDocument/2006/relationships" name="Hardware" sheetId="6" state="visible" r:id="rId6"/>
    <sheet xmlns:r="http://schemas.openxmlformats.org/officeDocument/2006/relationships" name="Frame order" sheetId="7" state="visible" r:id="rId7"/>
    <sheet xmlns:r="http://schemas.openxmlformats.org/officeDocument/2006/relationships" name="Door order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Lists" sheetId="10" state="visible" r:id="rId10"/>
    <sheet xmlns:r="http://schemas.openxmlformats.org/officeDocument/2006/relationships" name="Codes" sheetId="11" state="visible" r:id="rId11"/>
    <sheet xmlns:r="http://schemas.openxmlformats.org/officeDocument/2006/relationships" name="ElevCalc" sheetId="12" state="hidden" r:id="rId12"/>
  </sheets>
  <definedNames>
    <definedName name="Scope">Lists!$A$5:$A$7</definedName>
    <definedName name="Floor">Lists!$B$5:$B$15</definedName>
    <definedName name="Category">Lists!$C$5:$C$6</definedName>
    <definedName name="FireRating">Lists!$D$5:$D$10</definedName>
    <definedName name="FrameType">Lists!$E$5:$E$10</definedName>
    <definedName name="Profile">Lists!$F$5:$F$8</definedName>
    <definedName name="JambDepth">Lists!$G$5:$G$77</definedName>
    <definedName name="GaugeFrame">Lists!$H$5:$H$6</definedName>
    <definedName name="SteelType">Lists!$I$5:$I$8</definedName>
    <definedName name="Construction">Lists!$J$5:$J$6</definedName>
    <definedName name="AnchorType">Lists!$K$5:$K$12</definedName>
    <definedName name="Handing">Lists!$L$5:$L$20</definedName>
    <definedName name="YesNo">Lists!$M$5:$M$6</definedName>
    <definedName name="Manufacturer">Lists!$N$5:$N$6</definedName>
    <definedName name="HingePrep">Lists!$O$5:$O$12</definedName>
    <definedName name="StrikePrep">Lists!$P$5:$P$15</definedName>
    <definedName name="HeaderPrep">Lists!$Q$5:$Q$9</definedName>
    <definedName name="CloserPrep">Lists!$R$5:$R$11</definedName>
    <definedName name="DoorMaterial">Lists!$S$5:$S$14</definedName>
    <definedName name="GaugeDoor">Lists!$T$5:$T$7</definedName>
    <definedName name="WoodCore">Lists!$U$5:$U$8</definedName>
    <definedName name="FaceType">Lists!$V$5:$V$23</definedName>
    <definedName name="ManufLoc">Lists!$W$5:$W$10</definedName>
    <definedName name="LockPrep">Lists!$X$5:$X$27</definedName>
    <definedName name="Edge">Lists!$Y$5:$Y$8</definedName>
    <definedName name="Astragal">Lists!$Z$5:$Z$6</definedName>
    <definedName name="Series">Lists!$AA$5:$AA$11</definedName>
    <definedName name="WoodFinish">Lists!$AB$5:$AB$12</definedName>
    <definedName name="WallType">Lists!$AD$5:$AD$12</definedName>
    <definedName name="WallHR">Lists!$AE$5:$AE$11</definedName>
    <definedName name="SLSide">Lists!$AF$5:$AF$7</definedName>
    <definedName name="IBC">Lists!$AH$5:$AI$23</definedName>
    <definedName name="CODES">Codes!$A$5:$B$400</definedName>
    <definedName name="JobName">Job!$C$5</definedName>
    <definedName name="JobNo">Job!$C$6</definedName>
    <definedName name="JobAddress">Job!$C$7</definedName>
    <definedName name="JobGC">Job!$C$8</definedName>
    <definedName name="JobArch">Job!$C$9</definedName>
    <definedName name="JobEst">Job!$C$10</definedName>
    <definedName name="JobDate">Job!$C$11</definedName>
    <definedName name="JobBid">Job!$C$12</definedName>
    <definedName name="JobSupplier">Job!$C$13</definedName>
    <definedName name="JobRev">Job!$C$14</definedName>
    <definedName name="JobDocs">Job!$C$15</definedName>
    <definedName name="FaceW">Job!$C$21</definedName>
    <definedName name="EdgeClr">Job!$C$22</definedName>
    <definedName name="MeetClr">Job!$C$23</definedName>
    <definedName name="HeadClr">Job!$C$24</definedName>
    <definedName name="Undercut">Job!$C$25</definedName>
    <definedName name="ROSide">Job!$C$26</definedName>
    <definedName name="ROTop">Job!$C$27</definedName>
    <definedName name="ClearDeduct">Job!$C$28</definedName>
    <definedName name="LockAFF">Job!$C$29</definedName>
    <definedName name="tk_MARK">Takeoff!$A$6:$A$505</definedName>
    <definedName name="tk_QTY">Takeoff!$B$6:$B$505</definedName>
    <definedName name="tk_SCOPE">Takeoff!$C$6:$C$505</definedName>
    <definedName name="tk_FLOOR">Takeoff!$D$6:$D$505</definedName>
    <definedName name="tk_CAT">Takeoff!$E$6:$E$505</definedName>
    <definedName name="tk_ROOMF">Takeoff!$F$6:$F$505</definedName>
    <definedName name="tk_ROOMT">Takeoff!$G$6:$G$505</definedName>
    <definedName name="tk_RATING">Takeoff!$H$6:$H$505</definedName>
    <definedName name="tk_WALL">Takeoff!$I$6:$I$505</definedName>
    <definedName name="tk_WALLHR">Takeoff!$J$6:$J$505</definedName>
    <definedName name="tk_WFT">Takeoff!$K$6:$K$505</definedName>
    <definedName name="tk_WIN">Takeoff!$L$6:$L$505</definedName>
    <definedName name="tk_HFT">Takeoff!$M$6:$M$505</definedName>
    <definedName name="tk_HIN">Takeoff!$N$6:$N$505</definedName>
    <definedName name="tk_PAIR">Takeoff!$O$6:$O$505</definedName>
    <definedName name="tk_TRANS">Takeoff!$P$6:$P$505</definedName>
    <definedName name="tk_SLW">Takeoff!$Q$6:$Q$505</definedName>
    <definedName name="tk_SLSIDE">Takeoff!$R$6:$R$505</definedName>
    <definedName name="tk_FDESC">Takeoff!$S$6:$S$505</definedName>
    <definedName name="tk_PROFILE">Takeoff!$T$6:$T$505</definedName>
    <definedName name="tk_JAMB">Takeoff!$U$6:$U$505</definedName>
    <definedName name="tk_FGA">Takeoff!$V$6:$V$505</definedName>
    <definedName name="tk_STEEL">Takeoff!$W$6:$W$505</definedName>
    <definedName name="tk_CONSTR">Takeoff!$X$6:$X$505</definedName>
    <definedName name="tk_ANCHOR">Takeoff!$Y$6:$Y$505</definedName>
    <definedName name="tk_HAND">Takeoff!$Z$6:$Z$505</definedName>
    <definedName name="tk_MANUF">Takeoff!$AA$6:$AA$505</definedName>
    <definedName name="tk_HEAD4">Takeoff!$AB$6:$AB$505</definedName>
    <definedName name="tk_FHINGE">Takeoff!$AC$6:$AC$505</definedName>
    <definedName name="tk_STRIKE">Takeoff!$AD$6:$AD$505</definedName>
    <definedName name="tk_HDRPREP">Takeoff!$AE$6:$AE$505</definedName>
    <definedName name="tk_CLOSER">Takeoff!$AF$6:$AF$505</definedName>
    <definedName name="tk_FNOTES">Takeoff!$AG$6:$AG$505</definedName>
    <definedName name="tk_DMAT">Takeoff!$AH$6:$AH$505</definedName>
    <definedName name="tk_DGA">Takeoff!$AI$6:$AI$505</definedName>
    <definedName name="tk_CORE">Takeoff!$AJ$6:$AJ$505</definedName>
    <definedName name="tk_FINISH">Takeoff!$AK$6:$AK$505</definedName>
    <definedName name="tk_FACE">Takeoff!$AL$6:$AL$505</definedName>
    <definedName name="tk_SERIES">Takeoff!$AM$6:$AM$505</definedName>
    <definedName name="tk_DHAND">Takeoff!$AN$6:$AN$505</definedName>
    <definedName name="tk_HWLOC">Takeoff!$AO$6:$AO$505</definedName>
    <definedName name="tk_DHINGE">Takeoff!$AP$6:$AP$505</definedName>
    <definedName name="tk_LOCK">Takeoff!$AQ$6:$AQ$505</definedName>
    <definedName name="tk_EDGE">Takeoff!$AR$6:$AR$505</definedName>
    <definedName name="tk_ASTR">Takeoff!$AS$6:$AS$505</definedName>
    <definedName name="tk_DNOTES">Takeoff!$AT$6:$AT$505</definedName>
    <definedName name="tk_HWSET">Takeoff!$AU$6:$AU$505</definedName>
    <definedName name="tk_HWNOTES">Takeoff!$AV$6:$AV$505</definedName>
    <definedName name="tk_CHECK">Takeoff!$AW$6:$AW$505</definedName>
    <definedName name="tk_WHY">Takeoff!$AX$6:$AX$505</definedName>
    <definedName name="tk_SIZE">Takeoff!$AY$6:$AY$505</definedName>
    <definedName name="tk_CODE">Takeoff!$AZ$6:$AZ$505</definedName>
    <definedName name="tk_WI">Takeoff!$BA$6:$BA$505</definedName>
    <definedName name="tk_HI">Takeoff!$BB$6:$BB$505</definedName>
    <definedName name="tk_LEAVES">Takeoff!$BC$6:$BC$505</definedName>
    <definedName name="tk_LEAFW">Takeoff!$BD$6:$BD$505</definedName>
    <definedName name="tk_LEAFH">Takeoff!$BE$6:$BE$505</definedName>
    <definedName name="tk_OAW">Takeoff!$BF$6:$BF$505</definedName>
    <definedName name="tk_OAH">Takeoff!$BG$6:$BG$505</definedName>
    <definedName name="tk_ROW">Takeoff!$BH$6:$BH$505</definedName>
    <definedName name="tk_ROH">Takeoff!$BI$6:$BI$505</definedName>
    <definedName name="tk_CLEARW">Takeoff!$BJ$6:$BJ$505</definedName>
    <definedName name="tk_HINGES">Takeoff!$BK$6:$BK$505</definedName>
    <definedName name="tk_LITEKIT">Takeoff!$BL$6:$BL$505</definedName>
    <definedName name="tk_LITEW">Takeoff!$BM$6:$BM$505</definedName>
    <definedName name="tk_LITEH">Takeoff!$BN$6:$BN$505</definedName>
    <definedName name="tk_DMIN">Takeoff!$BO$6:$BO$505</definedName>
    <definedName name="tk_REQ">Takeoff!$BP$6:$BP$505</definedName>
    <definedName name="tk_FLINE">Takeoff!$BQ$6:$BQ$505</definedName>
    <definedName name="tk_DLINE">Takeoff!$BR$6:$BR$505</definedName>
    <definedName name="tk_ETYPE">Takeoff!$BS$6:$BS$505</definedName>
    <definedName name="tk_FSEQ">Takeoff!$BT$6:$BT$505</definedName>
    <definedName name="tk_DSEQ">Takeoff!$BU$6:$BU$505</definedName>
    <definedName name="tk_EKEY">Takeoff!$BV$6:$BV$505</definedName>
    <definedName name="tk_ERRS">Takeoff!$BW$6:$BW$505</definedName>
    <definedName name="tk_WARNS">Takeoff!$BX$6:$BX$505</definedName>
    <definedName name="HWSets">Hardware!$B$6:$B$45</definedName>
    <definedName name="_xlnm._FilterDatabase" localSheetId="2" hidden="1">'Takeoff'!$A$5:$BR$505</definedName>
    <definedName name="_xlnm.Print_Titles" localSheetId="2">'Takeoff'!$4:$5</definedName>
    <definedName name="_xlnm.Print_Area" localSheetId="2">'Takeoff'!$A$1:$BR$505</definedName>
    <definedName name="_xlnm.Print_Area" localSheetId="3">'Elevation'!$A$1:$R$43</definedName>
    <definedName name="_xlnm.Print_Area" localSheetId="4">'Elevations'!$A$1:$V$55</definedName>
    <definedName name="_xlnm.Print_Titles" localSheetId="6">'Frame order'!$5:$5</definedName>
    <definedName name="_xlnm.Print_Titles" localSheetId="7">'Door order'!$5:$5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0.000"/>
    <numFmt numFmtId="166" formatCode="0.0"/>
    <numFmt numFmtId="167" formatCode="0;-0;&quot;-&quot;"/>
    <numFmt numFmtId="168" formatCode="0&quot; MIN&quot;"/>
    <numFmt numFmtId="169" formatCode="0.0&quot; sq ft&quot;"/>
  </numFmts>
  <fonts count="41">
    <font>
      <name val="Calibri"/>
      <family val="2"/>
      <color theme="1"/>
      <sz val="11"/>
      <scheme val="minor"/>
    </font>
    <font>
      <name val="Arial"/>
      <i val="1"/>
      <color rgb="001F2933"/>
      <sz val="8"/>
    </font>
    <font>
      <name val="Arial"/>
      <b val="1"/>
      <color rgb="001C3D5A"/>
      <sz val="16"/>
    </font>
    <font>
      <name val="Arial"/>
      <i val="1"/>
      <color rgb="001F2933"/>
      <sz val="9"/>
    </font>
    <font>
      <name val="Arial"/>
      <b val="1"/>
      <color rgb="00FFFFFF"/>
      <sz val="9"/>
    </font>
    <font>
      <name val="Arial"/>
      <i val="1"/>
      <color rgb="007B8794"/>
      <sz val="8"/>
    </font>
    <font>
      <name val="Arial"/>
      <color rgb="000B3D91"/>
      <sz val="9"/>
    </font>
    <font>
      <name val="Arial"/>
      <color rgb="001F2933"/>
      <sz val="9"/>
    </font>
    <font>
      <name val="Arial"/>
      <b val="1"/>
      <color rgb="001C3D5A"/>
      <sz val="18"/>
    </font>
    <font>
      <name val="Arial"/>
      <i val="1"/>
      <color rgb="005B6770"/>
      <sz val="10"/>
    </font>
    <font>
      <name val="Arial"/>
      <b val="1"/>
      <color rgb="001F2933"/>
      <sz val="10"/>
    </font>
    <font>
      <name val="Arial"/>
      <color rgb="000B3D91"/>
      <sz val="11"/>
    </font>
    <font>
      <name val="Arial"/>
      <b val="1"/>
      <color rgb="001C3D5A"/>
      <sz val="12"/>
    </font>
    <font>
      <name val="Arial"/>
      <color rgb="001F2933"/>
      <sz val="10"/>
    </font>
    <font>
      <name val="Arial"/>
      <i val="1"/>
      <color rgb="005B6770"/>
      <sz val="8"/>
    </font>
    <font>
      <name val="Arial"/>
      <b val="1"/>
      <color rgb="005B6770"/>
      <sz val="10"/>
    </font>
    <font>
      <name val="Arial"/>
      <i val="1"/>
      <color rgb="005B6770"/>
      <sz val="9"/>
    </font>
    <font>
      <name val="Arial"/>
      <b val="1"/>
      <color rgb="00FFFFFF"/>
      <sz val="8"/>
    </font>
    <font>
      <name val="Arial"/>
      <color rgb="000B3D91"/>
      <sz val="10"/>
    </font>
    <font>
      <name val="Arial"/>
      <color rgb="0037424D"/>
      <sz val="9"/>
    </font>
    <font>
      <name val="Arial"/>
      <b val="1"/>
      <color rgb="000B3D91"/>
      <sz val="10"/>
    </font>
    <font>
      <name val="Arial"/>
      <color rgb="0037424D"/>
      <sz val="8"/>
    </font>
    <font>
      <name val="Arial"/>
      <color rgb="0037424D"/>
      <sz val="10"/>
    </font>
    <font>
      <name val="Arial"/>
      <b val="1"/>
      <color rgb="000B3D91"/>
      <sz val="9"/>
    </font>
    <font>
      <name val="Arial"/>
      <color rgb="005B6770"/>
      <sz val="10"/>
    </font>
    <font>
      <name val="Arial"/>
      <b val="1"/>
      <color rgb="005B6770"/>
      <sz val="9"/>
    </font>
    <font>
      <name val="Arial"/>
      <b val="1"/>
      <color rgb="001C3D5A"/>
      <sz val="20"/>
    </font>
    <font>
      <name val="Arial"/>
      <b val="1"/>
      <color rgb="00A61B1B"/>
      <sz val="20"/>
    </font>
    <font>
      <name val="Arial"/>
      <b val="1"/>
      <color rgb="00FFFFFF"/>
      <sz val="10"/>
    </font>
    <font>
      <name val="Arial"/>
      <b val="1"/>
      <color rgb="001C3D5A"/>
      <sz val="10"/>
    </font>
    <font>
      <name val="Arial"/>
      <b val="1"/>
      <color rgb="001C3D5A"/>
      <sz val="14"/>
    </font>
    <font>
      <name val="Arial"/>
      <b val="1"/>
      <color rgb="001C3D5A"/>
      <sz val="11"/>
    </font>
    <font>
      <name val="Arial"/>
      <b val="1"/>
      <color rgb="000B3D91"/>
      <sz val="16"/>
    </font>
    <font>
      <name val="Arial"/>
      <b val="1"/>
      <color rgb="007B8794"/>
      <sz val="8"/>
    </font>
    <font>
      <name val="Arial"/>
      <b val="1"/>
      <color rgb="000B3D91"/>
      <sz val="14"/>
    </font>
    <font>
      <name val="Arial"/>
      <b val="1"/>
      <color rgb="00B23A1C"/>
      <sz val="9"/>
    </font>
    <font>
      <name val="Arial"/>
      <b val="1"/>
      <color rgb="001C3D5A"/>
      <sz val="24"/>
    </font>
    <font>
      <name val="Arial"/>
      <color rgb="005B6770"/>
      <sz val="11"/>
    </font>
    <font>
      <name val="Arial"/>
      <b val="1"/>
      <color rgb="007B8794"/>
      <sz val="10"/>
    </font>
    <font>
      <name val="Arial"/>
      <b val="1"/>
      <color rgb="001C5975"/>
      <sz val="11"/>
      <u val="single"/>
    </font>
    <font>
      <name val="Arial"/>
      <b val="1"/>
      <color rgb="00C07F00"/>
      <sz val="12"/>
    </font>
  </fonts>
  <fills count="17">
    <fill>
      <patternFill/>
    </fill>
    <fill>
      <patternFill patternType="gray125"/>
    </fill>
    <fill>
      <patternFill patternType="solid">
        <fgColor rgb="001C5975"/>
        <bgColor rgb="001C5975"/>
      </patternFill>
    </fill>
    <fill>
      <patternFill patternType="solid">
        <fgColor rgb="00FFFDE7"/>
        <bgColor rgb="00FFFDE7"/>
      </patternFill>
    </fill>
    <fill>
      <patternFill patternType="solid">
        <fgColor rgb="002E6B4F"/>
        <bgColor rgb="002E6B4F"/>
      </patternFill>
    </fill>
    <fill>
      <patternFill patternType="solid">
        <fgColor rgb="007A4E1C"/>
        <bgColor rgb="007A4E1C"/>
      </patternFill>
    </fill>
    <fill>
      <patternFill patternType="solid">
        <fgColor rgb="006B4A8E"/>
        <bgColor rgb="006B4A8E"/>
      </patternFill>
    </fill>
    <fill>
      <patternFill patternType="solid">
        <fgColor rgb="004A5560"/>
        <bgColor rgb="004A5560"/>
      </patternFill>
    </fill>
    <fill>
      <patternFill patternType="solid">
        <fgColor rgb="00EAF3F7"/>
        <bgColor rgb="00EAF3F7"/>
      </patternFill>
    </fill>
    <fill>
      <patternFill patternType="solid">
        <fgColor rgb="00EDF6F0"/>
        <bgColor rgb="00EDF6F0"/>
      </patternFill>
    </fill>
    <fill>
      <patternFill patternType="solid">
        <fgColor rgb="00FBF2E6"/>
        <bgColor rgb="00FBF2E6"/>
      </patternFill>
    </fill>
    <fill>
      <patternFill patternType="solid">
        <fgColor rgb="00F3EEF8"/>
        <bgColor rgb="00F3EEF8"/>
      </patternFill>
    </fill>
    <fill>
      <patternFill patternType="solid">
        <fgColor rgb="00F4F6F8"/>
        <bgColor rgb="00F4F6F8"/>
      </patternFill>
    </fill>
    <fill>
      <patternFill patternType="solid">
        <fgColor rgb="001C3D5A"/>
        <bgColor rgb="001C3D5A"/>
      </patternFill>
    </fill>
    <fill>
      <patternFill patternType="solid">
        <fgColor rgb="00FFF3B0"/>
        <bgColor rgb="00FFF3B0"/>
      </patternFill>
    </fill>
    <fill>
      <patternFill patternType="solid">
        <fgColor rgb="00F1F3F5"/>
        <bgColor rgb="00F1F3F5"/>
      </patternFill>
    </fill>
    <fill>
      <patternFill patternType="solid">
        <fgColor rgb="00FFE08A"/>
        <bgColor rgb="00FFE08A"/>
      </patternFill>
    </fill>
  </fills>
  <borders count="4">
    <border>
      <left/>
      <right/>
      <top/>
      <bottom/>
      <diagonal/>
    </border>
    <border>
      <left style="thin">
        <color rgb="00C9D2DA"/>
      </left>
      <right style="thin">
        <color rgb="00C9D2DA"/>
      </right>
      <top style="thin">
        <color rgb="00C9D2DA"/>
      </top>
      <bottom style="thin">
        <color rgb="00C9D2DA"/>
      </bottom>
    </border>
    <border>
      <left style="thin">
        <color rgb="00FFFFFF"/>
      </left>
      <right style="thin">
        <color rgb="00FFFFFF"/>
      </right>
    </border>
    <border>
      <left style="medium">
        <color rgb="001C3D5A"/>
      </left>
      <right style="medium">
        <color rgb="001C3D5A"/>
      </right>
      <top style="medium">
        <color rgb="001C3D5A"/>
      </top>
      <bottom style="medium">
        <color rgb="001C3D5A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0" fontId="22" fillId="0" borderId="0" pivotButton="0" quotePrefix="0" xfId="0"/>
    <xf numFmtId="0" fontId="12" fillId="0" borderId="0" pivotButton="0" quotePrefix="0" xfId="0"/>
    <xf numFmtId="0" fontId="40" fillId="0" borderId="0" applyAlignment="1" pivotButton="0" quotePrefix="0" xfId="0">
      <alignment horizontal="right" vertical="top"/>
    </xf>
    <xf numFmtId="0" fontId="13" fillId="0" borderId="0" applyAlignment="1" pivotButton="0" quotePrefix="0" xfId="0">
      <alignment horizontal="left" vertical="top" wrapText="1"/>
    </xf>
    <xf numFmtId="0" fontId="0" fillId="2" borderId="0" pivotButton="0" quotePrefix="0" xfId="0"/>
    <xf numFmtId="0" fontId="13" fillId="8" borderId="0" pivotButton="0" quotePrefix="0" xfId="0"/>
    <xf numFmtId="0" fontId="0" fillId="4" borderId="0" pivotButton="0" quotePrefix="0" xfId="0"/>
    <xf numFmtId="0" fontId="13" fillId="9" borderId="0" pivotButton="0" quotePrefix="0" xfId="0"/>
    <xf numFmtId="0" fontId="0" fillId="5" borderId="0" pivotButton="0" quotePrefix="0" xfId="0"/>
    <xf numFmtId="0" fontId="13" fillId="10" borderId="0" pivotButton="0" quotePrefix="0" xfId="0"/>
    <xf numFmtId="0" fontId="0" fillId="6" borderId="0" pivotButton="0" quotePrefix="0" xfId="0"/>
    <xf numFmtId="0" fontId="13" fillId="11" borderId="0" pivotButton="0" quotePrefix="0" xfId="0"/>
    <xf numFmtId="0" fontId="0" fillId="7" borderId="0" pivotButton="0" quotePrefix="0" xfId="0"/>
    <xf numFmtId="0" fontId="13" fillId="15" borderId="0" pivotButton="0" quotePrefix="0" xfId="0"/>
    <xf numFmtId="0" fontId="0" fillId="16" borderId="0" pivotButton="0" quotePrefix="0" xfId="0"/>
    <xf numFmtId="0" fontId="13" fillId="0" borderId="0" pivotButton="0" quotePrefix="0" xfId="0"/>
    <xf numFmtId="0" fontId="20" fillId="0" borderId="0" pivotButton="0" quotePrefix="0" xfId="0"/>
    <xf numFmtId="0" fontId="0" fillId="0" borderId="0" applyAlignment="1" pivotButton="0" quotePrefix="0" xfId="0">
      <alignment horizontal="right" vertical="top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1" pivotButton="0" quotePrefix="0" xfId="0"/>
    <xf numFmtId="164" fontId="11" fillId="3" borderId="1" pivotButton="0" quotePrefix="0" xfId="0"/>
    <xf numFmtId="0" fontId="3" fillId="0" borderId="0" pivotButton="0" quotePrefix="0" xfId="0"/>
    <xf numFmtId="165" fontId="11" fillId="3" borderId="1" pivotButton="0" quotePrefix="0" xfId="0"/>
    <xf numFmtId="0" fontId="14" fillId="0" borderId="0" pivotButton="0" quotePrefix="0" xfId="0"/>
    <xf numFmtId="0" fontId="2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0" fontId="17" fillId="2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  <xf numFmtId="0" fontId="17" fillId="6" borderId="2" applyAlignment="1" pivotButton="0" quotePrefix="0" xfId="0">
      <alignment horizontal="center" vertical="center" wrapText="1"/>
    </xf>
    <xf numFmtId="0" fontId="17" fillId="7" borderId="2" applyAlignment="1" pivotButton="0" quotePrefix="0" xfId="0">
      <alignment horizontal="center" vertical="center" wrapText="1"/>
    </xf>
    <xf numFmtId="0" fontId="20" fillId="8" borderId="1" pivotButton="0" quotePrefix="0" xfId="0"/>
    <xf numFmtId="0" fontId="18" fillId="8" borderId="1" pivotButton="0" quotePrefix="0" xfId="0"/>
    <xf numFmtId="0" fontId="18" fillId="9" borderId="1" pivotButton="0" quotePrefix="0" xfId="0"/>
    <xf numFmtId="0" fontId="18" fillId="10" borderId="1" pivotButton="0" quotePrefix="0" xfId="0"/>
    <xf numFmtId="0" fontId="18" fillId="11" borderId="1" pivotButton="0" quotePrefix="0" xfId="0"/>
    <xf numFmtId="0" fontId="19" fillId="12" borderId="1" pivotButton="0" quotePrefix="0" xfId="0"/>
    <xf numFmtId="0" fontId="21" fillId="12" borderId="1" pivotButton="0" quotePrefix="0" xfId="0"/>
    <xf numFmtId="165" fontId="19" fillId="12" borderId="1" pivotButton="0" quotePrefix="0" xfId="0"/>
    <xf numFmtId="166" fontId="19" fillId="12" borderId="1" pivotButton="0" quotePrefix="0" xfId="0"/>
    <xf numFmtId="167" fontId="19" fillId="12" borderId="1" pivotButton="0" quotePrefix="0" xfId="0"/>
    <xf numFmtId="168" fontId="19" fillId="12" borderId="1" pivotButton="0" quotePrefix="0" xfId="0"/>
    <xf numFmtId="0" fontId="31" fillId="0" borderId="0" applyAlignment="1" pivotButton="0" quotePrefix="0" xfId="0">
      <alignment horizontal="right"/>
    </xf>
    <xf numFmtId="0" fontId="32" fillId="14" borderId="3" applyAlignment="1" pivotButton="0" quotePrefix="0" xfId="0">
      <alignment horizontal="center" vertical="center" wrapText="1"/>
    </xf>
    <xf numFmtId="0" fontId="33" fillId="0" borderId="0" pivotButton="0" quotePrefix="0" xfId="0"/>
    <xf numFmtId="0" fontId="10" fillId="0" borderId="0" applyAlignment="1" pivotButton="0" quotePrefix="0" xfId="0">
      <alignment horizontal="left" vertical="top" wrapText="1"/>
    </xf>
    <xf numFmtId="0" fontId="34" fillId="14" borderId="3" applyAlignment="1" pivotButton="0" quotePrefix="0" xfId="0">
      <alignment horizontal="center" vertical="center" wrapText="1"/>
    </xf>
    <xf numFmtId="0" fontId="24" fillId="0" borderId="0" pivotButton="0" quotePrefix="0" xfId="0"/>
    <xf numFmtId="0" fontId="31" fillId="0" borderId="0" pivotButton="0" quotePrefix="0" xfId="0"/>
    <xf numFmtId="0" fontId="19" fillId="0" borderId="0" pivotButton="0" quotePrefix="0" xfId="0"/>
    <xf numFmtId="0" fontId="35" fillId="0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20" fillId="11" borderId="1" pivotButton="0" quotePrefix="0" xfId="0"/>
    <xf numFmtId="0" fontId="22" fillId="12" borderId="1" pivotButton="0" quotePrefix="0" xfId="0"/>
    <xf numFmtId="0" fontId="23" fillId="11" borderId="1" pivotButton="0" quotePrefix="0" xfId="0"/>
    <xf numFmtId="0" fontId="6" fillId="11" borderId="1" pivotButton="0" quotePrefix="0" xfId="0"/>
    <xf numFmtId="0" fontId="4" fillId="1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2" borderId="0" pivotButton="0" quotePrefix="0" xfId="0"/>
    <xf numFmtId="0" fontId="4" fillId="2" borderId="0" pivotButton="0" quotePrefix="0" xfId="0"/>
    <xf numFmtId="0" fontId="13" fillId="0" borderId="1" pivotButton="0" quotePrefix="0" xfId="0"/>
    <xf numFmtId="0" fontId="10" fillId="0" borderId="1" pivotButton="0" quotePrefix="0" xfId="0"/>
    <xf numFmtId="0" fontId="29" fillId="0" borderId="0" pivotButton="0" quotePrefix="0" xfId="0"/>
    <xf numFmtId="169" fontId="3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10">
    <dxf>
      <font>
        <name val="Arial"/>
        <b val="1"/>
        <color rgb="001B6E3A"/>
      </font>
      <fill>
        <patternFill patternType="solid">
          <fgColor rgb="00D8F3DC"/>
          <bgColor rgb="00D8F3DC"/>
        </patternFill>
      </fill>
    </dxf>
    <dxf>
      <font>
        <name val="Arial"/>
        <b val="1"/>
        <color rgb="00A61B1B"/>
      </font>
      <fill>
        <patternFill patternType="solid">
          <fgColor rgb="00FAD4D4"/>
          <bgColor rgb="00FAD4D4"/>
        </patternFill>
      </fill>
    </dxf>
    <dxf>
      <font>
        <name val="Arial"/>
        <b val="1"/>
        <color rgb="008A5A00"/>
      </font>
      <fill>
        <patternFill patternType="solid">
          <fgColor rgb="00FFF1C2"/>
          <bgColor rgb="00FFF1C2"/>
        </patternFill>
      </fill>
    </dxf>
    <dxf>
      <font>
        <name val="Arial"/>
        <color rgb="00A61B1B"/>
      </font>
    </dxf>
    <dxf>
      <fill>
        <patternFill patternType="solid">
          <fgColor rgb="00FAD4D4"/>
          <bgColor rgb="00FAD4D4"/>
        </patternFill>
      </fill>
    </dxf>
    <dxf>
      <font>
        <name val="Arial"/>
        <b val="1"/>
        <color rgb="00B23A1C"/>
      </font>
    </dxf>
    <dxf>
      <fill>
        <patternFill patternType="solid">
          <fgColor rgb="00FFE08A"/>
          <bgColor rgb="00FFE08A"/>
        </patternFill>
      </fill>
    </dxf>
    <dxf>
      <fill>
        <patternFill patternType="solid">
          <fgColor rgb="00D8F3DC"/>
          <bgColor rgb="00D8F3DC"/>
        </patternFill>
      </fill>
    </dxf>
    <dxf>
      <fill>
        <patternFill patternType="solid">
          <fgColor rgb="00FFF1C2"/>
          <bgColor rgb="00FFF1C2"/>
        </patternFill>
      </fill>
    </dxf>
    <dxf>
      <fill>
        <patternFill patternType="solid">
          <fgColor rgb="00F1F5F8"/>
          <bgColor rgb="00F1F5F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28575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'ElevCalc'!$B$120:$B$124</f>
            </numRef>
          </xVal>
          <yVal>
            <numRef>
              <f>'ElevCalc'!$C$120:$C$124</f>
            </numRef>
          </yVal>
          <smooth val="0"/>
        </ser>
        <ser>
          <idx val="1"/>
          <order val="1"/>
          <spPr>
            <a:ln xmlns:a="http://schemas.openxmlformats.org/drawingml/2006/main" w="9525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'ElevCalc'!$B$126:$B$130</f>
            </numRef>
          </xVal>
          <yVal>
            <numRef>
              <f>'ElevCalc'!$C$126:$C$130</f>
            </numRef>
          </yVal>
          <smooth val="0"/>
        </ser>
        <ser>
          <idx val="2"/>
          <order val="2"/>
          <spPr>
            <a:ln xmlns:a="http://schemas.openxmlformats.org/drawingml/2006/main" w="9525">
              <a:solidFill>
                <a:srgbClr val="9AA5B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'ElevCalc'!$B$132:$B$136</f>
            </numRef>
          </xVal>
          <yVal>
            <numRef>
              <f>'ElevCalc'!$C$132:$C$136</f>
            </numRef>
          </yVal>
          <smooth val="0"/>
        </ser>
        <ser>
          <idx val="3"/>
          <order val="3"/>
          <spPr>
            <a:ln xmlns:a="http://schemas.openxmlformats.org/drawingml/2006/main" w="9525">
              <a:solidFill>
                <a:srgbClr val="9AA5B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'ElevCalc'!$B$138:$B$142</f>
            </numRef>
          </xVal>
          <yVal>
            <numRef>
              <f>'ElevCalc'!$C$138:$C$142</f>
            </numRef>
          </yVal>
          <smooth val="0"/>
        </ser>
        <ser>
          <idx val="4"/>
          <order val="4"/>
          <spPr>
            <a:ln xmlns:a="http://schemas.openxmlformats.org/drawingml/2006/main" w="12700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'ElevCalc'!$B$144:$B$148</f>
            </numRef>
          </xVal>
          <yVal>
            <numRef>
              <f>'ElevCalc'!$C$144:$C$148</f>
            </numRef>
          </yVal>
          <smooth val="0"/>
        </ser>
        <ser>
          <idx val="5"/>
          <order val="5"/>
          <spPr>
            <a:ln xmlns:a="http://schemas.openxmlformats.org/drawingml/2006/main" w="12700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'ElevCalc'!$B$150:$B$154</f>
            </numRef>
          </xVal>
          <yVal>
            <numRef>
              <f>'ElevCalc'!$C$150:$C$154</f>
            </numRef>
          </yVal>
          <smooth val="0"/>
        </ser>
        <ser>
          <idx val="6"/>
          <order val="6"/>
          <spPr>
            <a:ln xmlns:a="http://schemas.openxmlformats.org/drawingml/2006/main" w="12700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'ElevCalc'!$B$156:$B$160</f>
            </numRef>
          </xVal>
          <yVal>
            <numRef>
              <f>'ElevCalc'!$C$156:$C$160</f>
            </numRef>
          </yVal>
          <smooth val="0"/>
        </ser>
        <ser>
          <idx val="7"/>
          <order val="7"/>
          <spPr>
            <a:ln xmlns:a="http://schemas.openxmlformats.org/drawingml/2006/main" w="1270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'ElevCalc'!$B$162:$B$166</f>
            </numRef>
          </xVal>
          <yVal>
            <numRef>
              <f>'ElevCalc'!$C$162:$C$166</f>
            </numRef>
          </yVal>
          <smooth val="0"/>
        </ser>
        <ser>
          <idx val="8"/>
          <order val="8"/>
          <spPr>
            <a:ln xmlns:a="http://schemas.openxmlformats.org/drawingml/2006/main" w="19050">
              <a:solidFill>
                <a:srgbClr val="3A3F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'ElevCalc'!$B$168:$B$172</f>
            </numRef>
          </xVal>
          <yVal>
            <numRef>
              <f>'ElevCalc'!$C$168:$C$172</f>
            </numRef>
          </yVal>
          <smooth val="0"/>
        </ser>
        <ser>
          <idx val="9"/>
          <order val="9"/>
          <spPr>
            <a:ln xmlns:a="http://schemas.openxmlformats.org/drawingml/2006/main" w="19050">
              <a:solidFill>
                <a:srgbClr val="3A3F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'ElevCalc'!$B$174:$B$178</f>
            </numRef>
          </xVal>
          <yVal>
            <numRef>
              <f>'ElevCalc'!$C$174:$C$178</f>
            </numRef>
          </yVal>
          <smooth val="0"/>
        </ser>
        <ser>
          <idx val="10"/>
          <order val="10"/>
          <spPr>
            <a:ln xmlns:a="http://schemas.openxmlformats.org/drawingml/2006/main" w="1270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'ElevCalc'!$B$180:$B$184</f>
            </numRef>
          </xVal>
          <yVal>
            <numRef>
              <f>'ElevCalc'!$C$180:$C$184</f>
            </numRef>
          </yVal>
          <smooth val="0"/>
        </ser>
        <ser>
          <idx val="11"/>
          <order val="11"/>
          <spPr>
            <a:ln xmlns:a="http://schemas.openxmlformats.org/drawingml/2006/main" w="1270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'ElevCalc'!$B$186:$B$190</f>
            </numRef>
          </xVal>
          <yVal>
            <numRef>
              <f>'ElevCalc'!$C$186:$C$190</f>
            </numRef>
          </yVal>
          <smooth val="0"/>
        </ser>
        <ser>
          <idx val="12"/>
          <order val="12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'ElevCalc'!$B$192:$B$193</f>
            </numRef>
          </xVal>
          <yVal>
            <numRef>
              <f>'ElevCalc'!$C$192:$C$193</f>
            </numRef>
          </yVal>
          <smooth val="0"/>
        </ser>
        <ser>
          <idx val="13"/>
          <order val="13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'ElevCalc'!$B$195:$B$196</f>
            </numRef>
          </xVal>
          <yVal>
            <numRef>
              <f>'ElevCalc'!$C$195:$C$196</f>
            </numRef>
          </yVal>
          <smooth val="0"/>
        </ser>
        <ser>
          <idx val="14"/>
          <order val="14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'ElevCalc'!$B$198:$B$199</f>
            </numRef>
          </xVal>
          <yVal>
            <numRef>
              <f>'ElevCalc'!$C$198:$C$199</f>
            </numRef>
          </yVal>
          <smooth val="0"/>
        </ser>
        <ser>
          <idx val="15"/>
          <order val="15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'ElevCalc'!$B$201:$B$202</f>
            </numRef>
          </xVal>
          <yVal>
            <numRef>
              <f>'ElevCalc'!$C$201:$C$202</f>
            </numRef>
          </yVal>
          <smooth val="0"/>
        </ser>
        <ser>
          <idx val="16"/>
          <order val="16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'ElevCalc'!$B$204:$B$205</f>
            </numRef>
          </xVal>
          <yVal>
            <numRef>
              <f>'ElevCalc'!$C$204:$C$205</f>
            </numRef>
          </yVal>
          <smooth val="0"/>
        </ser>
        <ser>
          <idx val="17"/>
          <order val="17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'ElevCalc'!$B$207:$B$208</f>
            </numRef>
          </xVal>
          <yVal>
            <numRef>
              <f>'ElevCalc'!$C$207:$C$208</f>
            </numRef>
          </yVal>
          <smooth val="0"/>
        </ser>
        <ser>
          <idx val="18"/>
          <order val="18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'ElevCalc'!$B$210:$B$211</f>
            </numRef>
          </xVal>
          <yVal>
            <numRef>
              <f>'ElevCalc'!$C$210:$C$211</f>
            </numRef>
          </yVal>
          <smooth val="0"/>
        </ser>
        <ser>
          <idx val="19"/>
          <order val="19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'ElevCalc'!$B$213:$B$214</f>
            </numRef>
          </xVal>
          <yVal>
            <numRef>
              <f>'ElevCalc'!$C$213:$C$214</f>
            </numRef>
          </yVal>
          <smooth val="0"/>
        </ser>
        <ser>
          <idx val="20"/>
          <order val="20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'ElevCalc'!$B$216:$B$217</f>
            </numRef>
          </xVal>
          <yVal>
            <numRef>
              <f>'ElevCalc'!$C$216:$C$217</f>
            </numRef>
          </yVal>
          <smooth val="0"/>
        </ser>
        <ser>
          <idx val="21"/>
          <order val="21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'ElevCalc'!$B$219:$B$220</f>
            </numRef>
          </xVal>
          <yVal>
            <numRef>
              <f>'ElevCalc'!$C$219:$C$220</f>
            </numRef>
          </yVal>
          <smooth val="0"/>
        </ser>
        <ser>
          <idx val="22"/>
          <order val="22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'ElevCalc'!$B$222:$B$224</f>
            </numRef>
          </xVal>
          <yVal>
            <numRef>
              <f>'ElevCalc'!$C$222:$C$224</f>
            </numRef>
          </yVal>
          <smooth val="0"/>
        </ser>
        <ser>
          <idx val="23"/>
          <order val="23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'ElevCalc'!$B$226:$B$228</f>
            </numRef>
          </xVal>
          <yVal>
            <numRef>
              <f>'ElevCalc'!$C$226:$C$228</f>
            </numRef>
          </yVal>
          <smooth val="0"/>
        </ser>
        <ser>
          <idx val="24"/>
          <order val="24"/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C07F00"/>
              </a:solidFill>
              <a:ln xmlns:a="http://schemas.openxmlformats.org/drawingml/2006/main">
                <a:solidFill>
                  <a:srgbClr val="C07F00"/>
                </a:solidFill>
                <a:prstDash val="solid"/>
              </a:ln>
            </spPr>
          </marker>
          <xVal>
            <numRef>
              <f>'ElevCalc'!$B$230:$B$239</f>
            </numRef>
          </xVal>
          <yVal>
            <numRef>
              <f>'ElevCalc'!$C$230:$C$239</f>
            </numRef>
          </yVal>
          <smooth val="0"/>
        </ser>
        <ser>
          <idx val="25"/>
          <order val="25"/>
          <spPr>
            <a:ln xmlns:a="http://schemas.openxmlformats.org/drawingml/2006/main" w="381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'ElevCalc'!$B$241:$B$242</f>
            </numRef>
          </xVal>
          <yVal>
            <numRef>
              <f>'ElevCalc'!$C$241:$C$242</f>
            </numRef>
          </yVal>
          <smooth val="0"/>
        </ser>
        <ser>
          <idx val="26"/>
          <order val="26"/>
          <spPr>
            <a:ln xmlns:a="http://schemas.openxmlformats.org/drawingml/2006/main" w="381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'ElevCalc'!$B$244:$B$245</f>
            </numRef>
          </xVal>
          <yVal>
            <numRef>
              <f>'ElevCalc'!$C$244:$C$245</f>
            </numRef>
          </yVal>
          <smooth val="0"/>
        </ser>
        <ser>
          <idx val="27"/>
          <order val="27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'ElevCalc'!$B$247</f>
            </numRef>
          </xVal>
          <yVal>
            <numRef>
              <f>'ElevCalc'!$C$247</f>
            </numRef>
          </yVal>
          <smooth val="0"/>
        </ser>
        <ser>
          <idx val="28"/>
          <order val="28"/>
          <spPr>
            <a:ln xmlns:a="http://schemas.openxmlformats.org/drawingml/2006/main" w="31750">
              <a:solidFill>
                <a:srgbClr val="5B677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'ElevCalc'!$B$249:$B$250</f>
            </numRef>
          </xVal>
          <yVal>
            <numRef>
              <f>'ElevCalc'!$C$249:$C$250</f>
            </numRef>
          </yVal>
          <smooth val="0"/>
        </ser>
        <ser>
          <idx val="29"/>
          <order val="29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'ElevCalc'!$B$252:$B$257</f>
            </numRef>
          </xVal>
          <yVal>
            <numRef>
              <f>'ElevCalc'!$C$252:$C$257</f>
            </numRef>
          </yVal>
          <smooth val="0"/>
        </ser>
        <ser>
          <idx val="30"/>
          <order val="30"/>
          <tx>
            <strRef>
              <f>'ElevCalc'!$D$259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1000" b="1">
                  <a:solidFill>
                    <a:srgbClr val="1F2933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'ElevCalc'!$B$259</f>
            </numRef>
          </xVal>
          <yVal>
            <numRef>
              <f>'ElevCalc'!$C$259</f>
            </numRef>
          </yVal>
          <smooth val="0"/>
        </ser>
        <ser>
          <idx val="31"/>
          <order val="31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'ElevCalc'!$B$261:$B$266</f>
            </numRef>
          </xVal>
          <yVal>
            <numRef>
              <f>'ElevCalc'!$C$261:$C$266</f>
            </numRef>
          </yVal>
          <smooth val="0"/>
        </ser>
        <ser>
          <idx val="32"/>
          <order val="32"/>
          <tx>
            <strRef>
              <f>'ElevCalc'!$D$268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1000" b="1">
                  <a:solidFill>
                    <a:srgbClr val="1F2933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'ElevCalc'!$B$268</f>
            </numRef>
          </xVal>
          <yVal>
            <numRef>
              <f>'ElevCalc'!$C$268</f>
            </numRef>
          </yVal>
          <smooth val="0"/>
        </ser>
        <ser>
          <idx val="33"/>
          <order val="33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'ElevCalc'!$B$270:$B$275</f>
            </numRef>
          </xVal>
          <yVal>
            <numRef>
              <f>'ElevCalc'!$C$270:$C$275</f>
            </numRef>
          </yVal>
          <smooth val="0"/>
        </ser>
        <ser>
          <idx val="34"/>
          <order val="34"/>
          <tx>
            <strRef>
              <f>'ElevCalc'!$D$277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1000" b="1">
                  <a:solidFill>
                    <a:srgbClr val="1F2933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'ElevCalc'!$B$277</f>
            </numRef>
          </xVal>
          <yVal>
            <numRef>
              <f>'ElevCalc'!$C$277</f>
            </numRef>
          </yVal>
          <smooth val="0"/>
        </ser>
        <ser>
          <idx val="35"/>
          <order val="35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'ElevCalc'!$B$279:$B$284</f>
            </numRef>
          </xVal>
          <yVal>
            <numRef>
              <f>'ElevCalc'!$C$279:$C$284</f>
            </numRef>
          </yVal>
          <smooth val="0"/>
        </ser>
        <ser>
          <idx val="36"/>
          <order val="36"/>
          <tx>
            <strRef>
              <f>'ElevCalc'!$D$286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1000" b="1">
                  <a:solidFill>
                    <a:srgbClr val="1F2933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'ElevCalc'!$B$286</f>
            </numRef>
          </xVal>
          <yVal>
            <numRef>
              <f>'ElevCalc'!$C$286</f>
            </numRef>
          </yVal>
          <smooth val="0"/>
        </ser>
        <ser>
          <idx val="37"/>
          <order val="37"/>
          <tx>
            <strRef>
              <f>'ElevCalc'!$D$288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2B7BB9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2B7BB9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'ElevCalc'!$B$288</f>
            </numRef>
          </xVal>
          <yVal>
            <numRef>
              <f>'ElevCalc'!$C$288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28575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'ElevCalc'!$G$120:$G$124</f>
            </numRef>
          </xVal>
          <yVal>
            <numRef>
              <f>'ElevCalc'!$H$120:$H$124</f>
            </numRef>
          </yVal>
          <smooth val="0"/>
        </ser>
        <ser>
          <idx val="1"/>
          <order val="1"/>
          <spPr>
            <a:ln xmlns:a="http://schemas.openxmlformats.org/drawingml/2006/main" w="9525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'ElevCalc'!$G$126:$G$130</f>
            </numRef>
          </xVal>
          <yVal>
            <numRef>
              <f>'ElevCalc'!$H$126:$H$130</f>
            </numRef>
          </yVal>
          <smooth val="0"/>
        </ser>
        <ser>
          <idx val="2"/>
          <order val="2"/>
          <spPr>
            <a:ln xmlns:a="http://schemas.openxmlformats.org/drawingml/2006/main" w="9525">
              <a:solidFill>
                <a:srgbClr val="9AA5B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'ElevCalc'!$G$132:$G$136</f>
            </numRef>
          </xVal>
          <yVal>
            <numRef>
              <f>'ElevCalc'!$H$132:$H$136</f>
            </numRef>
          </yVal>
          <smooth val="0"/>
        </ser>
        <ser>
          <idx val="3"/>
          <order val="3"/>
          <spPr>
            <a:ln xmlns:a="http://schemas.openxmlformats.org/drawingml/2006/main" w="9525">
              <a:solidFill>
                <a:srgbClr val="9AA5B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'ElevCalc'!$G$138:$G$142</f>
            </numRef>
          </xVal>
          <yVal>
            <numRef>
              <f>'ElevCalc'!$H$138:$H$142</f>
            </numRef>
          </yVal>
          <smooth val="0"/>
        </ser>
        <ser>
          <idx val="4"/>
          <order val="4"/>
          <spPr>
            <a:ln xmlns:a="http://schemas.openxmlformats.org/drawingml/2006/main" w="12700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'ElevCalc'!$G$144:$G$148</f>
            </numRef>
          </xVal>
          <yVal>
            <numRef>
              <f>'ElevCalc'!$H$144:$H$148</f>
            </numRef>
          </yVal>
          <smooth val="0"/>
        </ser>
        <ser>
          <idx val="5"/>
          <order val="5"/>
          <spPr>
            <a:ln xmlns:a="http://schemas.openxmlformats.org/drawingml/2006/main" w="12700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'ElevCalc'!$G$150:$G$154</f>
            </numRef>
          </xVal>
          <yVal>
            <numRef>
              <f>'ElevCalc'!$H$150:$H$154</f>
            </numRef>
          </yVal>
          <smooth val="0"/>
        </ser>
        <ser>
          <idx val="6"/>
          <order val="6"/>
          <spPr>
            <a:ln xmlns:a="http://schemas.openxmlformats.org/drawingml/2006/main" w="12700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'ElevCalc'!$G$156:$G$160</f>
            </numRef>
          </xVal>
          <yVal>
            <numRef>
              <f>'ElevCalc'!$H$156:$H$160</f>
            </numRef>
          </yVal>
          <smooth val="0"/>
        </ser>
        <ser>
          <idx val="7"/>
          <order val="7"/>
          <spPr>
            <a:ln xmlns:a="http://schemas.openxmlformats.org/drawingml/2006/main" w="1270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'ElevCalc'!$G$162:$G$166</f>
            </numRef>
          </xVal>
          <yVal>
            <numRef>
              <f>'ElevCalc'!$H$162:$H$166</f>
            </numRef>
          </yVal>
          <smooth val="0"/>
        </ser>
        <ser>
          <idx val="8"/>
          <order val="8"/>
          <spPr>
            <a:ln xmlns:a="http://schemas.openxmlformats.org/drawingml/2006/main" w="19050">
              <a:solidFill>
                <a:srgbClr val="3A3F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'ElevCalc'!$G$168:$G$172</f>
            </numRef>
          </xVal>
          <yVal>
            <numRef>
              <f>'ElevCalc'!$H$168:$H$172</f>
            </numRef>
          </yVal>
          <smooth val="0"/>
        </ser>
        <ser>
          <idx val="9"/>
          <order val="9"/>
          <spPr>
            <a:ln xmlns:a="http://schemas.openxmlformats.org/drawingml/2006/main" w="19050">
              <a:solidFill>
                <a:srgbClr val="3A3F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'ElevCalc'!$G$174:$G$178</f>
            </numRef>
          </xVal>
          <yVal>
            <numRef>
              <f>'ElevCalc'!$H$174:$H$178</f>
            </numRef>
          </yVal>
          <smooth val="0"/>
        </ser>
        <ser>
          <idx val="10"/>
          <order val="10"/>
          <spPr>
            <a:ln xmlns:a="http://schemas.openxmlformats.org/drawingml/2006/main" w="1270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'ElevCalc'!$G$180:$G$184</f>
            </numRef>
          </xVal>
          <yVal>
            <numRef>
              <f>'ElevCalc'!$H$180:$H$184</f>
            </numRef>
          </yVal>
          <smooth val="0"/>
        </ser>
        <ser>
          <idx val="11"/>
          <order val="11"/>
          <spPr>
            <a:ln xmlns:a="http://schemas.openxmlformats.org/drawingml/2006/main" w="1270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'ElevCalc'!$G$186:$G$190</f>
            </numRef>
          </xVal>
          <yVal>
            <numRef>
              <f>'ElevCalc'!$H$186:$H$190</f>
            </numRef>
          </yVal>
          <smooth val="0"/>
        </ser>
        <ser>
          <idx val="12"/>
          <order val="12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'ElevCalc'!$G$192:$G$193</f>
            </numRef>
          </xVal>
          <yVal>
            <numRef>
              <f>'ElevCalc'!$H$192:$H$193</f>
            </numRef>
          </yVal>
          <smooth val="0"/>
        </ser>
        <ser>
          <idx val="13"/>
          <order val="13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'ElevCalc'!$G$195:$G$196</f>
            </numRef>
          </xVal>
          <yVal>
            <numRef>
              <f>'ElevCalc'!$H$195:$H$196</f>
            </numRef>
          </yVal>
          <smooth val="0"/>
        </ser>
        <ser>
          <idx val="14"/>
          <order val="14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'ElevCalc'!$G$198:$G$199</f>
            </numRef>
          </xVal>
          <yVal>
            <numRef>
              <f>'ElevCalc'!$H$198:$H$199</f>
            </numRef>
          </yVal>
          <smooth val="0"/>
        </ser>
        <ser>
          <idx val="15"/>
          <order val="15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'ElevCalc'!$G$201:$G$202</f>
            </numRef>
          </xVal>
          <yVal>
            <numRef>
              <f>'ElevCalc'!$H$201:$H$202</f>
            </numRef>
          </yVal>
          <smooth val="0"/>
        </ser>
        <ser>
          <idx val="16"/>
          <order val="16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'ElevCalc'!$G$204:$G$205</f>
            </numRef>
          </xVal>
          <yVal>
            <numRef>
              <f>'ElevCalc'!$H$204:$H$205</f>
            </numRef>
          </yVal>
          <smooth val="0"/>
        </ser>
        <ser>
          <idx val="17"/>
          <order val="17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'ElevCalc'!$G$207:$G$208</f>
            </numRef>
          </xVal>
          <yVal>
            <numRef>
              <f>'ElevCalc'!$H$207:$H$208</f>
            </numRef>
          </yVal>
          <smooth val="0"/>
        </ser>
        <ser>
          <idx val="18"/>
          <order val="18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'ElevCalc'!$G$210:$G$211</f>
            </numRef>
          </xVal>
          <yVal>
            <numRef>
              <f>'ElevCalc'!$H$210:$H$211</f>
            </numRef>
          </yVal>
          <smooth val="0"/>
        </ser>
        <ser>
          <idx val="19"/>
          <order val="19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'ElevCalc'!$G$213:$G$214</f>
            </numRef>
          </xVal>
          <yVal>
            <numRef>
              <f>'ElevCalc'!$H$213:$H$214</f>
            </numRef>
          </yVal>
          <smooth val="0"/>
        </ser>
        <ser>
          <idx val="20"/>
          <order val="20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'ElevCalc'!$G$216:$G$217</f>
            </numRef>
          </xVal>
          <yVal>
            <numRef>
              <f>'ElevCalc'!$H$216:$H$217</f>
            </numRef>
          </yVal>
          <smooth val="0"/>
        </ser>
        <ser>
          <idx val="21"/>
          <order val="21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'ElevCalc'!$G$219:$G$220</f>
            </numRef>
          </xVal>
          <yVal>
            <numRef>
              <f>'ElevCalc'!$H$219:$H$220</f>
            </numRef>
          </yVal>
          <smooth val="0"/>
        </ser>
        <ser>
          <idx val="22"/>
          <order val="22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'ElevCalc'!$G$222:$G$224</f>
            </numRef>
          </xVal>
          <yVal>
            <numRef>
              <f>'ElevCalc'!$H$222:$H$224</f>
            </numRef>
          </yVal>
          <smooth val="0"/>
        </ser>
        <ser>
          <idx val="23"/>
          <order val="23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'ElevCalc'!$G$226:$G$228</f>
            </numRef>
          </xVal>
          <yVal>
            <numRef>
              <f>'ElevCalc'!$H$226:$H$228</f>
            </numRef>
          </yVal>
          <smooth val="0"/>
        </ser>
        <ser>
          <idx val="24"/>
          <order val="24"/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C07F00"/>
              </a:solidFill>
              <a:ln xmlns:a="http://schemas.openxmlformats.org/drawingml/2006/main">
                <a:solidFill>
                  <a:srgbClr val="C07F00"/>
                </a:solidFill>
                <a:prstDash val="solid"/>
              </a:ln>
            </spPr>
          </marker>
          <xVal>
            <numRef>
              <f>'ElevCalc'!$G$230:$G$239</f>
            </numRef>
          </xVal>
          <yVal>
            <numRef>
              <f>'ElevCalc'!$H$230:$H$239</f>
            </numRef>
          </yVal>
          <smooth val="0"/>
        </ser>
        <ser>
          <idx val="25"/>
          <order val="25"/>
          <spPr>
            <a:ln xmlns:a="http://schemas.openxmlformats.org/drawingml/2006/main" w="381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'ElevCalc'!$G$241:$G$242</f>
            </numRef>
          </xVal>
          <yVal>
            <numRef>
              <f>'ElevCalc'!$H$241:$H$242</f>
            </numRef>
          </yVal>
          <smooth val="0"/>
        </ser>
        <ser>
          <idx val="26"/>
          <order val="26"/>
          <spPr>
            <a:ln xmlns:a="http://schemas.openxmlformats.org/drawingml/2006/main" w="381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'ElevCalc'!$G$244:$G$245</f>
            </numRef>
          </xVal>
          <yVal>
            <numRef>
              <f>'ElevCalc'!$H$244:$H$245</f>
            </numRef>
          </yVal>
          <smooth val="0"/>
        </ser>
        <ser>
          <idx val="27"/>
          <order val="27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'ElevCalc'!$G$247</f>
            </numRef>
          </xVal>
          <yVal>
            <numRef>
              <f>'ElevCalc'!$H$247</f>
            </numRef>
          </yVal>
          <smooth val="0"/>
        </ser>
        <ser>
          <idx val="28"/>
          <order val="28"/>
          <spPr>
            <a:ln xmlns:a="http://schemas.openxmlformats.org/drawingml/2006/main" w="31750">
              <a:solidFill>
                <a:srgbClr val="5B677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'ElevCalc'!$G$249:$G$250</f>
            </numRef>
          </xVal>
          <yVal>
            <numRef>
              <f>'ElevCalc'!$H$249:$H$250</f>
            </numRef>
          </yVal>
          <smooth val="0"/>
        </ser>
        <ser>
          <idx val="29"/>
          <order val="29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'ElevCalc'!$G$252:$G$257</f>
            </numRef>
          </xVal>
          <yVal>
            <numRef>
              <f>'ElevCalc'!$H$252:$H$257</f>
            </numRef>
          </yVal>
          <smooth val="0"/>
        </ser>
        <ser>
          <idx val="30"/>
          <order val="30"/>
          <tx>
            <strRef>
              <f>'ElevCalc'!$I$259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1F2933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'ElevCalc'!$G$259</f>
            </numRef>
          </xVal>
          <yVal>
            <numRef>
              <f>'ElevCalc'!$H$259</f>
            </numRef>
          </yVal>
          <smooth val="0"/>
        </ser>
        <ser>
          <idx val="31"/>
          <order val="31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'ElevCalc'!$G$261:$G$266</f>
            </numRef>
          </xVal>
          <yVal>
            <numRef>
              <f>'ElevCalc'!$H$261:$H$266</f>
            </numRef>
          </yVal>
          <smooth val="0"/>
        </ser>
        <ser>
          <idx val="32"/>
          <order val="32"/>
          <tx>
            <strRef>
              <f>'ElevCalc'!$I$268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1F2933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'ElevCalc'!$G$268</f>
            </numRef>
          </xVal>
          <yVal>
            <numRef>
              <f>'ElevCalc'!$H$268</f>
            </numRef>
          </yVal>
          <smooth val="0"/>
        </ser>
        <ser>
          <idx val="33"/>
          <order val="33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'ElevCalc'!$G$270:$G$275</f>
            </numRef>
          </xVal>
          <yVal>
            <numRef>
              <f>'ElevCalc'!$H$270:$H$275</f>
            </numRef>
          </yVal>
          <smooth val="0"/>
        </ser>
        <ser>
          <idx val="34"/>
          <order val="34"/>
          <tx>
            <strRef>
              <f>'ElevCalc'!$I$277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1F2933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'ElevCalc'!$G$277</f>
            </numRef>
          </xVal>
          <yVal>
            <numRef>
              <f>'ElevCalc'!$H$277</f>
            </numRef>
          </yVal>
          <smooth val="0"/>
        </ser>
        <ser>
          <idx val="35"/>
          <order val="35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'ElevCalc'!$G$279:$G$284</f>
            </numRef>
          </xVal>
          <yVal>
            <numRef>
              <f>'ElevCalc'!$H$279:$H$284</f>
            </numRef>
          </yVal>
          <smooth val="0"/>
        </ser>
        <ser>
          <idx val="36"/>
          <order val="36"/>
          <tx>
            <strRef>
              <f>'ElevCalc'!$I$286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1F2933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'ElevCalc'!$G$286</f>
            </numRef>
          </xVal>
          <yVal>
            <numRef>
              <f>'ElevCalc'!$H$286</f>
            </numRef>
          </yVal>
          <smooth val="0"/>
        </ser>
        <ser>
          <idx val="37"/>
          <order val="37"/>
          <tx>
            <strRef>
              <f>'ElevCalc'!$I$288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40" b="0">
                    <a:solidFill>
                      <a:srgbClr val="2B7BB9"/>
                    </a:solidFill>
                    <a:latin typeface="Arial"/>
                  </a:defRPr>
                </a:pPr>
                <a:r>
                  <a:t/>
                </a:r>
                <a:endParaRPr sz="640" b="0">
                  <a:solidFill>
                    <a:srgbClr val="2B7BB9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'ElevCalc'!$G$288</f>
            </numRef>
          </xVal>
          <yVal>
            <numRef>
              <f>'ElevCalc'!$H$288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28575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'ElevCalc'!$L$120:$L$124</f>
            </numRef>
          </xVal>
          <yVal>
            <numRef>
              <f>'ElevCalc'!$M$120:$M$124</f>
            </numRef>
          </yVal>
          <smooth val="0"/>
        </ser>
        <ser>
          <idx val="1"/>
          <order val="1"/>
          <spPr>
            <a:ln xmlns:a="http://schemas.openxmlformats.org/drawingml/2006/main" w="9525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'ElevCalc'!$L$126:$L$130</f>
            </numRef>
          </xVal>
          <yVal>
            <numRef>
              <f>'ElevCalc'!$M$126:$M$130</f>
            </numRef>
          </yVal>
          <smooth val="0"/>
        </ser>
        <ser>
          <idx val="2"/>
          <order val="2"/>
          <spPr>
            <a:ln xmlns:a="http://schemas.openxmlformats.org/drawingml/2006/main" w="9525">
              <a:solidFill>
                <a:srgbClr val="9AA5B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'ElevCalc'!$L$132:$L$136</f>
            </numRef>
          </xVal>
          <yVal>
            <numRef>
              <f>'ElevCalc'!$M$132:$M$136</f>
            </numRef>
          </yVal>
          <smooth val="0"/>
        </ser>
        <ser>
          <idx val="3"/>
          <order val="3"/>
          <spPr>
            <a:ln xmlns:a="http://schemas.openxmlformats.org/drawingml/2006/main" w="9525">
              <a:solidFill>
                <a:srgbClr val="9AA5B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'ElevCalc'!$L$138:$L$142</f>
            </numRef>
          </xVal>
          <yVal>
            <numRef>
              <f>'ElevCalc'!$M$138:$M$142</f>
            </numRef>
          </yVal>
          <smooth val="0"/>
        </ser>
        <ser>
          <idx val="4"/>
          <order val="4"/>
          <spPr>
            <a:ln xmlns:a="http://schemas.openxmlformats.org/drawingml/2006/main" w="12700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'ElevCalc'!$L$144:$L$148</f>
            </numRef>
          </xVal>
          <yVal>
            <numRef>
              <f>'ElevCalc'!$M$144:$M$148</f>
            </numRef>
          </yVal>
          <smooth val="0"/>
        </ser>
        <ser>
          <idx val="5"/>
          <order val="5"/>
          <spPr>
            <a:ln xmlns:a="http://schemas.openxmlformats.org/drawingml/2006/main" w="12700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'ElevCalc'!$L$150:$L$154</f>
            </numRef>
          </xVal>
          <yVal>
            <numRef>
              <f>'ElevCalc'!$M$150:$M$154</f>
            </numRef>
          </yVal>
          <smooth val="0"/>
        </ser>
        <ser>
          <idx val="6"/>
          <order val="6"/>
          <spPr>
            <a:ln xmlns:a="http://schemas.openxmlformats.org/drawingml/2006/main" w="12700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'ElevCalc'!$L$156:$L$160</f>
            </numRef>
          </xVal>
          <yVal>
            <numRef>
              <f>'ElevCalc'!$M$156:$M$160</f>
            </numRef>
          </yVal>
          <smooth val="0"/>
        </ser>
        <ser>
          <idx val="7"/>
          <order val="7"/>
          <spPr>
            <a:ln xmlns:a="http://schemas.openxmlformats.org/drawingml/2006/main" w="1270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'ElevCalc'!$L$162:$L$166</f>
            </numRef>
          </xVal>
          <yVal>
            <numRef>
              <f>'ElevCalc'!$M$162:$M$166</f>
            </numRef>
          </yVal>
          <smooth val="0"/>
        </ser>
        <ser>
          <idx val="8"/>
          <order val="8"/>
          <spPr>
            <a:ln xmlns:a="http://schemas.openxmlformats.org/drawingml/2006/main" w="19050">
              <a:solidFill>
                <a:srgbClr val="3A3F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'ElevCalc'!$L$168:$L$172</f>
            </numRef>
          </xVal>
          <yVal>
            <numRef>
              <f>'ElevCalc'!$M$168:$M$172</f>
            </numRef>
          </yVal>
          <smooth val="0"/>
        </ser>
        <ser>
          <idx val="9"/>
          <order val="9"/>
          <spPr>
            <a:ln xmlns:a="http://schemas.openxmlformats.org/drawingml/2006/main" w="19050">
              <a:solidFill>
                <a:srgbClr val="3A3F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'ElevCalc'!$L$174:$L$178</f>
            </numRef>
          </xVal>
          <yVal>
            <numRef>
              <f>'ElevCalc'!$M$174:$M$178</f>
            </numRef>
          </yVal>
          <smooth val="0"/>
        </ser>
        <ser>
          <idx val="10"/>
          <order val="10"/>
          <spPr>
            <a:ln xmlns:a="http://schemas.openxmlformats.org/drawingml/2006/main" w="1270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'ElevCalc'!$L$180:$L$184</f>
            </numRef>
          </xVal>
          <yVal>
            <numRef>
              <f>'ElevCalc'!$M$180:$M$184</f>
            </numRef>
          </yVal>
          <smooth val="0"/>
        </ser>
        <ser>
          <idx val="11"/>
          <order val="11"/>
          <spPr>
            <a:ln xmlns:a="http://schemas.openxmlformats.org/drawingml/2006/main" w="1270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'ElevCalc'!$L$186:$L$190</f>
            </numRef>
          </xVal>
          <yVal>
            <numRef>
              <f>'ElevCalc'!$M$186:$M$190</f>
            </numRef>
          </yVal>
          <smooth val="0"/>
        </ser>
        <ser>
          <idx val="12"/>
          <order val="12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'ElevCalc'!$L$192:$L$193</f>
            </numRef>
          </xVal>
          <yVal>
            <numRef>
              <f>'ElevCalc'!$M$192:$M$193</f>
            </numRef>
          </yVal>
          <smooth val="0"/>
        </ser>
        <ser>
          <idx val="13"/>
          <order val="13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'ElevCalc'!$L$195:$L$196</f>
            </numRef>
          </xVal>
          <yVal>
            <numRef>
              <f>'ElevCalc'!$M$195:$M$196</f>
            </numRef>
          </yVal>
          <smooth val="0"/>
        </ser>
        <ser>
          <idx val="14"/>
          <order val="14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'ElevCalc'!$L$198:$L$199</f>
            </numRef>
          </xVal>
          <yVal>
            <numRef>
              <f>'ElevCalc'!$M$198:$M$199</f>
            </numRef>
          </yVal>
          <smooth val="0"/>
        </ser>
        <ser>
          <idx val="15"/>
          <order val="15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'ElevCalc'!$L$201:$L$202</f>
            </numRef>
          </xVal>
          <yVal>
            <numRef>
              <f>'ElevCalc'!$M$201:$M$202</f>
            </numRef>
          </yVal>
          <smooth val="0"/>
        </ser>
        <ser>
          <idx val="16"/>
          <order val="16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'ElevCalc'!$L$204:$L$205</f>
            </numRef>
          </xVal>
          <yVal>
            <numRef>
              <f>'ElevCalc'!$M$204:$M$205</f>
            </numRef>
          </yVal>
          <smooth val="0"/>
        </ser>
        <ser>
          <idx val="17"/>
          <order val="17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'ElevCalc'!$L$207:$L$208</f>
            </numRef>
          </xVal>
          <yVal>
            <numRef>
              <f>'ElevCalc'!$M$207:$M$208</f>
            </numRef>
          </yVal>
          <smooth val="0"/>
        </ser>
        <ser>
          <idx val="18"/>
          <order val="18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'ElevCalc'!$L$210:$L$211</f>
            </numRef>
          </xVal>
          <yVal>
            <numRef>
              <f>'ElevCalc'!$M$210:$M$211</f>
            </numRef>
          </yVal>
          <smooth val="0"/>
        </ser>
        <ser>
          <idx val="19"/>
          <order val="19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'ElevCalc'!$L$213:$L$214</f>
            </numRef>
          </xVal>
          <yVal>
            <numRef>
              <f>'ElevCalc'!$M$213:$M$214</f>
            </numRef>
          </yVal>
          <smooth val="0"/>
        </ser>
        <ser>
          <idx val="20"/>
          <order val="20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'ElevCalc'!$L$216:$L$217</f>
            </numRef>
          </xVal>
          <yVal>
            <numRef>
              <f>'ElevCalc'!$M$216:$M$217</f>
            </numRef>
          </yVal>
          <smooth val="0"/>
        </ser>
        <ser>
          <idx val="21"/>
          <order val="21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'ElevCalc'!$L$219:$L$220</f>
            </numRef>
          </xVal>
          <yVal>
            <numRef>
              <f>'ElevCalc'!$M$219:$M$220</f>
            </numRef>
          </yVal>
          <smooth val="0"/>
        </ser>
        <ser>
          <idx val="22"/>
          <order val="22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'ElevCalc'!$L$222:$L$224</f>
            </numRef>
          </xVal>
          <yVal>
            <numRef>
              <f>'ElevCalc'!$M$222:$M$224</f>
            </numRef>
          </yVal>
          <smooth val="0"/>
        </ser>
        <ser>
          <idx val="23"/>
          <order val="23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'ElevCalc'!$L$226:$L$228</f>
            </numRef>
          </xVal>
          <yVal>
            <numRef>
              <f>'ElevCalc'!$M$226:$M$228</f>
            </numRef>
          </yVal>
          <smooth val="0"/>
        </ser>
        <ser>
          <idx val="24"/>
          <order val="24"/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C07F00"/>
              </a:solidFill>
              <a:ln xmlns:a="http://schemas.openxmlformats.org/drawingml/2006/main">
                <a:solidFill>
                  <a:srgbClr val="C07F00"/>
                </a:solidFill>
                <a:prstDash val="solid"/>
              </a:ln>
            </spPr>
          </marker>
          <xVal>
            <numRef>
              <f>'ElevCalc'!$L$230:$L$239</f>
            </numRef>
          </xVal>
          <yVal>
            <numRef>
              <f>'ElevCalc'!$M$230:$M$239</f>
            </numRef>
          </yVal>
          <smooth val="0"/>
        </ser>
        <ser>
          <idx val="25"/>
          <order val="25"/>
          <spPr>
            <a:ln xmlns:a="http://schemas.openxmlformats.org/drawingml/2006/main" w="381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'ElevCalc'!$L$241:$L$242</f>
            </numRef>
          </xVal>
          <yVal>
            <numRef>
              <f>'ElevCalc'!$M$241:$M$242</f>
            </numRef>
          </yVal>
          <smooth val="0"/>
        </ser>
        <ser>
          <idx val="26"/>
          <order val="26"/>
          <spPr>
            <a:ln xmlns:a="http://schemas.openxmlformats.org/drawingml/2006/main" w="381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'ElevCalc'!$L$244:$L$245</f>
            </numRef>
          </xVal>
          <yVal>
            <numRef>
              <f>'ElevCalc'!$M$244:$M$245</f>
            </numRef>
          </yVal>
          <smooth val="0"/>
        </ser>
        <ser>
          <idx val="27"/>
          <order val="27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'ElevCalc'!$L$247</f>
            </numRef>
          </xVal>
          <yVal>
            <numRef>
              <f>'ElevCalc'!$M$247</f>
            </numRef>
          </yVal>
          <smooth val="0"/>
        </ser>
        <ser>
          <idx val="28"/>
          <order val="28"/>
          <spPr>
            <a:ln xmlns:a="http://schemas.openxmlformats.org/drawingml/2006/main" w="31750">
              <a:solidFill>
                <a:srgbClr val="5B677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'ElevCalc'!$L$249:$L$250</f>
            </numRef>
          </xVal>
          <yVal>
            <numRef>
              <f>'ElevCalc'!$M$249:$M$250</f>
            </numRef>
          </yVal>
          <smooth val="0"/>
        </ser>
        <ser>
          <idx val="29"/>
          <order val="29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'ElevCalc'!$L$252:$L$257</f>
            </numRef>
          </xVal>
          <yVal>
            <numRef>
              <f>'ElevCalc'!$M$252:$M$257</f>
            </numRef>
          </yVal>
          <smooth val="0"/>
        </ser>
        <ser>
          <idx val="30"/>
          <order val="30"/>
          <tx>
            <strRef>
              <f>'ElevCalc'!$N$259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1F2933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'ElevCalc'!$L$259</f>
            </numRef>
          </xVal>
          <yVal>
            <numRef>
              <f>'ElevCalc'!$M$259</f>
            </numRef>
          </yVal>
          <smooth val="0"/>
        </ser>
        <ser>
          <idx val="31"/>
          <order val="31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'ElevCalc'!$L$261:$L$266</f>
            </numRef>
          </xVal>
          <yVal>
            <numRef>
              <f>'ElevCalc'!$M$261:$M$266</f>
            </numRef>
          </yVal>
          <smooth val="0"/>
        </ser>
        <ser>
          <idx val="32"/>
          <order val="32"/>
          <tx>
            <strRef>
              <f>'ElevCalc'!$N$268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1F2933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'ElevCalc'!$L$268</f>
            </numRef>
          </xVal>
          <yVal>
            <numRef>
              <f>'ElevCalc'!$M$268</f>
            </numRef>
          </yVal>
          <smooth val="0"/>
        </ser>
        <ser>
          <idx val="33"/>
          <order val="33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'ElevCalc'!$L$270:$L$275</f>
            </numRef>
          </xVal>
          <yVal>
            <numRef>
              <f>'ElevCalc'!$M$270:$M$275</f>
            </numRef>
          </yVal>
          <smooth val="0"/>
        </ser>
        <ser>
          <idx val="34"/>
          <order val="34"/>
          <tx>
            <strRef>
              <f>'ElevCalc'!$N$277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1F2933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'ElevCalc'!$L$277</f>
            </numRef>
          </xVal>
          <yVal>
            <numRef>
              <f>'ElevCalc'!$M$277</f>
            </numRef>
          </yVal>
          <smooth val="0"/>
        </ser>
        <ser>
          <idx val="35"/>
          <order val="35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'ElevCalc'!$L$279:$L$284</f>
            </numRef>
          </xVal>
          <yVal>
            <numRef>
              <f>'ElevCalc'!$M$279:$M$284</f>
            </numRef>
          </yVal>
          <smooth val="0"/>
        </ser>
        <ser>
          <idx val="36"/>
          <order val="36"/>
          <tx>
            <strRef>
              <f>'ElevCalc'!$N$286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1F2933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'ElevCalc'!$L$286</f>
            </numRef>
          </xVal>
          <yVal>
            <numRef>
              <f>'ElevCalc'!$M$286</f>
            </numRef>
          </yVal>
          <smooth val="0"/>
        </ser>
        <ser>
          <idx val="37"/>
          <order val="37"/>
          <tx>
            <strRef>
              <f>'ElevCalc'!$N$288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40" b="0">
                    <a:solidFill>
                      <a:srgbClr val="2B7BB9"/>
                    </a:solidFill>
                    <a:latin typeface="Arial"/>
                  </a:defRPr>
                </a:pPr>
                <a:r>
                  <a:t/>
                </a:r>
                <a:endParaRPr sz="640" b="0">
                  <a:solidFill>
                    <a:srgbClr val="2B7BB9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'ElevCalc'!$L$288</f>
            </numRef>
          </xVal>
          <yVal>
            <numRef>
              <f>'ElevCalc'!$M$288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28575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'ElevCalc'!$Q$120:$Q$124</f>
            </numRef>
          </xVal>
          <yVal>
            <numRef>
              <f>'ElevCalc'!$R$120:$R$124</f>
            </numRef>
          </yVal>
          <smooth val="0"/>
        </ser>
        <ser>
          <idx val="1"/>
          <order val="1"/>
          <spPr>
            <a:ln xmlns:a="http://schemas.openxmlformats.org/drawingml/2006/main" w="9525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'ElevCalc'!$Q$126:$Q$130</f>
            </numRef>
          </xVal>
          <yVal>
            <numRef>
              <f>'ElevCalc'!$R$126:$R$130</f>
            </numRef>
          </yVal>
          <smooth val="0"/>
        </ser>
        <ser>
          <idx val="2"/>
          <order val="2"/>
          <spPr>
            <a:ln xmlns:a="http://schemas.openxmlformats.org/drawingml/2006/main" w="9525">
              <a:solidFill>
                <a:srgbClr val="9AA5B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'ElevCalc'!$Q$132:$Q$136</f>
            </numRef>
          </xVal>
          <yVal>
            <numRef>
              <f>'ElevCalc'!$R$132:$R$136</f>
            </numRef>
          </yVal>
          <smooth val="0"/>
        </ser>
        <ser>
          <idx val="3"/>
          <order val="3"/>
          <spPr>
            <a:ln xmlns:a="http://schemas.openxmlformats.org/drawingml/2006/main" w="9525">
              <a:solidFill>
                <a:srgbClr val="9AA5B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'ElevCalc'!$Q$138:$Q$142</f>
            </numRef>
          </xVal>
          <yVal>
            <numRef>
              <f>'ElevCalc'!$R$138:$R$142</f>
            </numRef>
          </yVal>
          <smooth val="0"/>
        </ser>
        <ser>
          <idx val="4"/>
          <order val="4"/>
          <spPr>
            <a:ln xmlns:a="http://schemas.openxmlformats.org/drawingml/2006/main" w="12700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'ElevCalc'!$Q$144:$Q$148</f>
            </numRef>
          </xVal>
          <yVal>
            <numRef>
              <f>'ElevCalc'!$R$144:$R$148</f>
            </numRef>
          </yVal>
          <smooth val="0"/>
        </ser>
        <ser>
          <idx val="5"/>
          <order val="5"/>
          <spPr>
            <a:ln xmlns:a="http://schemas.openxmlformats.org/drawingml/2006/main" w="12700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'ElevCalc'!$Q$150:$Q$154</f>
            </numRef>
          </xVal>
          <yVal>
            <numRef>
              <f>'ElevCalc'!$R$150:$R$154</f>
            </numRef>
          </yVal>
          <smooth val="0"/>
        </ser>
        <ser>
          <idx val="6"/>
          <order val="6"/>
          <spPr>
            <a:ln xmlns:a="http://schemas.openxmlformats.org/drawingml/2006/main" w="12700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'ElevCalc'!$Q$156:$Q$160</f>
            </numRef>
          </xVal>
          <yVal>
            <numRef>
              <f>'ElevCalc'!$R$156:$R$160</f>
            </numRef>
          </yVal>
          <smooth val="0"/>
        </ser>
        <ser>
          <idx val="7"/>
          <order val="7"/>
          <spPr>
            <a:ln xmlns:a="http://schemas.openxmlformats.org/drawingml/2006/main" w="1270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'ElevCalc'!$Q$162:$Q$166</f>
            </numRef>
          </xVal>
          <yVal>
            <numRef>
              <f>'ElevCalc'!$R$162:$R$166</f>
            </numRef>
          </yVal>
          <smooth val="0"/>
        </ser>
        <ser>
          <idx val="8"/>
          <order val="8"/>
          <spPr>
            <a:ln xmlns:a="http://schemas.openxmlformats.org/drawingml/2006/main" w="19050">
              <a:solidFill>
                <a:srgbClr val="3A3F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'ElevCalc'!$Q$168:$Q$172</f>
            </numRef>
          </xVal>
          <yVal>
            <numRef>
              <f>'ElevCalc'!$R$168:$R$172</f>
            </numRef>
          </yVal>
          <smooth val="0"/>
        </ser>
        <ser>
          <idx val="9"/>
          <order val="9"/>
          <spPr>
            <a:ln xmlns:a="http://schemas.openxmlformats.org/drawingml/2006/main" w="19050">
              <a:solidFill>
                <a:srgbClr val="3A3F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'ElevCalc'!$Q$174:$Q$178</f>
            </numRef>
          </xVal>
          <yVal>
            <numRef>
              <f>'ElevCalc'!$R$174:$R$178</f>
            </numRef>
          </yVal>
          <smooth val="0"/>
        </ser>
        <ser>
          <idx val="10"/>
          <order val="10"/>
          <spPr>
            <a:ln xmlns:a="http://schemas.openxmlformats.org/drawingml/2006/main" w="1270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'ElevCalc'!$Q$180:$Q$184</f>
            </numRef>
          </xVal>
          <yVal>
            <numRef>
              <f>'ElevCalc'!$R$180:$R$184</f>
            </numRef>
          </yVal>
          <smooth val="0"/>
        </ser>
        <ser>
          <idx val="11"/>
          <order val="11"/>
          <spPr>
            <a:ln xmlns:a="http://schemas.openxmlformats.org/drawingml/2006/main" w="1270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'ElevCalc'!$Q$186:$Q$190</f>
            </numRef>
          </xVal>
          <yVal>
            <numRef>
              <f>'ElevCalc'!$R$186:$R$190</f>
            </numRef>
          </yVal>
          <smooth val="0"/>
        </ser>
        <ser>
          <idx val="12"/>
          <order val="12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'ElevCalc'!$Q$192:$Q$193</f>
            </numRef>
          </xVal>
          <yVal>
            <numRef>
              <f>'ElevCalc'!$R$192:$R$193</f>
            </numRef>
          </yVal>
          <smooth val="0"/>
        </ser>
        <ser>
          <idx val="13"/>
          <order val="13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'ElevCalc'!$Q$195:$Q$196</f>
            </numRef>
          </xVal>
          <yVal>
            <numRef>
              <f>'ElevCalc'!$R$195:$R$196</f>
            </numRef>
          </yVal>
          <smooth val="0"/>
        </ser>
        <ser>
          <idx val="14"/>
          <order val="14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'ElevCalc'!$Q$198:$Q$199</f>
            </numRef>
          </xVal>
          <yVal>
            <numRef>
              <f>'ElevCalc'!$R$198:$R$199</f>
            </numRef>
          </yVal>
          <smooth val="0"/>
        </ser>
        <ser>
          <idx val="15"/>
          <order val="15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'ElevCalc'!$Q$201:$Q$202</f>
            </numRef>
          </xVal>
          <yVal>
            <numRef>
              <f>'ElevCalc'!$R$201:$R$202</f>
            </numRef>
          </yVal>
          <smooth val="0"/>
        </ser>
        <ser>
          <idx val="16"/>
          <order val="16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'ElevCalc'!$Q$204:$Q$205</f>
            </numRef>
          </xVal>
          <yVal>
            <numRef>
              <f>'ElevCalc'!$R$204:$R$205</f>
            </numRef>
          </yVal>
          <smooth val="0"/>
        </ser>
        <ser>
          <idx val="17"/>
          <order val="17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'ElevCalc'!$Q$207:$Q$208</f>
            </numRef>
          </xVal>
          <yVal>
            <numRef>
              <f>'ElevCalc'!$R$207:$R$208</f>
            </numRef>
          </yVal>
          <smooth val="0"/>
        </ser>
        <ser>
          <idx val="18"/>
          <order val="18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'ElevCalc'!$Q$210:$Q$211</f>
            </numRef>
          </xVal>
          <yVal>
            <numRef>
              <f>'ElevCalc'!$R$210:$R$211</f>
            </numRef>
          </yVal>
          <smooth val="0"/>
        </ser>
        <ser>
          <idx val="19"/>
          <order val="19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'ElevCalc'!$Q$213:$Q$214</f>
            </numRef>
          </xVal>
          <yVal>
            <numRef>
              <f>'ElevCalc'!$R$213:$R$214</f>
            </numRef>
          </yVal>
          <smooth val="0"/>
        </ser>
        <ser>
          <idx val="20"/>
          <order val="20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'ElevCalc'!$Q$216:$Q$217</f>
            </numRef>
          </xVal>
          <yVal>
            <numRef>
              <f>'ElevCalc'!$R$216:$R$217</f>
            </numRef>
          </yVal>
          <smooth val="0"/>
        </ser>
        <ser>
          <idx val="21"/>
          <order val="21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'ElevCalc'!$Q$219:$Q$220</f>
            </numRef>
          </xVal>
          <yVal>
            <numRef>
              <f>'ElevCalc'!$R$219:$R$220</f>
            </numRef>
          </yVal>
          <smooth val="0"/>
        </ser>
        <ser>
          <idx val="22"/>
          <order val="22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'ElevCalc'!$Q$222:$Q$224</f>
            </numRef>
          </xVal>
          <yVal>
            <numRef>
              <f>'ElevCalc'!$R$222:$R$224</f>
            </numRef>
          </yVal>
          <smooth val="0"/>
        </ser>
        <ser>
          <idx val="23"/>
          <order val="23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'ElevCalc'!$Q$226:$Q$228</f>
            </numRef>
          </xVal>
          <yVal>
            <numRef>
              <f>'ElevCalc'!$R$226:$R$228</f>
            </numRef>
          </yVal>
          <smooth val="0"/>
        </ser>
        <ser>
          <idx val="24"/>
          <order val="24"/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C07F00"/>
              </a:solidFill>
              <a:ln xmlns:a="http://schemas.openxmlformats.org/drawingml/2006/main">
                <a:solidFill>
                  <a:srgbClr val="C07F00"/>
                </a:solidFill>
                <a:prstDash val="solid"/>
              </a:ln>
            </spPr>
          </marker>
          <xVal>
            <numRef>
              <f>'ElevCalc'!$Q$230:$Q$239</f>
            </numRef>
          </xVal>
          <yVal>
            <numRef>
              <f>'ElevCalc'!$R$230:$R$239</f>
            </numRef>
          </yVal>
          <smooth val="0"/>
        </ser>
        <ser>
          <idx val="25"/>
          <order val="25"/>
          <spPr>
            <a:ln xmlns:a="http://schemas.openxmlformats.org/drawingml/2006/main" w="381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'ElevCalc'!$Q$241:$Q$242</f>
            </numRef>
          </xVal>
          <yVal>
            <numRef>
              <f>'ElevCalc'!$R$241:$R$242</f>
            </numRef>
          </yVal>
          <smooth val="0"/>
        </ser>
        <ser>
          <idx val="26"/>
          <order val="26"/>
          <spPr>
            <a:ln xmlns:a="http://schemas.openxmlformats.org/drawingml/2006/main" w="381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'ElevCalc'!$Q$244:$Q$245</f>
            </numRef>
          </xVal>
          <yVal>
            <numRef>
              <f>'ElevCalc'!$R$244:$R$245</f>
            </numRef>
          </yVal>
          <smooth val="0"/>
        </ser>
        <ser>
          <idx val="27"/>
          <order val="27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'ElevCalc'!$Q$247</f>
            </numRef>
          </xVal>
          <yVal>
            <numRef>
              <f>'ElevCalc'!$R$247</f>
            </numRef>
          </yVal>
          <smooth val="0"/>
        </ser>
        <ser>
          <idx val="28"/>
          <order val="28"/>
          <spPr>
            <a:ln xmlns:a="http://schemas.openxmlformats.org/drawingml/2006/main" w="31750">
              <a:solidFill>
                <a:srgbClr val="5B677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'ElevCalc'!$Q$249:$Q$250</f>
            </numRef>
          </xVal>
          <yVal>
            <numRef>
              <f>'ElevCalc'!$R$249:$R$250</f>
            </numRef>
          </yVal>
          <smooth val="0"/>
        </ser>
        <ser>
          <idx val="29"/>
          <order val="29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'ElevCalc'!$Q$252:$Q$257</f>
            </numRef>
          </xVal>
          <yVal>
            <numRef>
              <f>'ElevCalc'!$R$252:$R$257</f>
            </numRef>
          </yVal>
          <smooth val="0"/>
        </ser>
        <ser>
          <idx val="30"/>
          <order val="30"/>
          <tx>
            <strRef>
              <f>'ElevCalc'!$S$259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1F2933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'ElevCalc'!$Q$259</f>
            </numRef>
          </xVal>
          <yVal>
            <numRef>
              <f>'ElevCalc'!$R$259</f>
            </numRef>
          </yVal>
          <smooth val="0"/>
        </ser>
        <ser>
          <idx val="31"/>
          <order val="31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'ElevCalc'!$Q$261:$Q$266</f>
            </numRef>
          </xVal>
          <yVal>
            <numRef>
              <f>'ElevCalc'!$R$261:$R$266</f>
            </numRef>
          </yVal>
          <smooth val="0"/>
        </ser>
        <ser>
          <idx val="32"/>
          <order val="32"/>
          <tx>
            <strRef>
              <f>'ElevCalc'!$S$268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1F2933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'ElevCalc'!$Q$268</f>
            </numRef>
          </xVal>
          <yVal>
            <numRef>
              <f>'ElevCalc'!$R$268</f>
            </numRef>
          </yVal>
          <smooth val="0"/>
        </ser>
        <ser>
          <idx val="33"/>
          <order val="33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'ElevCalc'!$Q$270:$Q$275</f>
            </numRef>
          </xVal>
          <yVal>
            <numRef>
              <f>'ElevCalc'!$R$270:$R$275</f>
            </numRef>
          </yVal>
          <smooth val="0"/>
        </ser>
        <ser>
          <idx val="34"/>
          <order val="34"/>
          <tx>
            <strRef>
              <f>'ElevCalc'!$S$277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1F2933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'ElevCalc'!$Q$277</f>
            </numRef>
          </xVal>
          <yVal>
            <numRef>
              <f>'ElevCalc'!$R$277</f>
            </numRef>
          </yVal>
          <smooth val="0"/>
        </ser>
        <ser>
          <idx val="35"/>
          <order val="35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'ElevCalc'!$Q$279:$Q$284</f>
            </numRef>
          </xVal>
          <yVal>
            <numRef>
              <f>'ElevCalc'!$R$279:$R$284</f>
            </numRef>
          </yVal>
          <smooth val="0"/>
        </ser>
        <ser>
          <idx val="36"/>
          <order val="36"/>
          <tx>
            <strRef>
              <f>'ElevCalc'!$S$286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1F2933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'ElevCalc'!$Q$286</f>
            </numRef>
          </xVal>
          <yVal>
            <numRef>
              <f>'ElevCalc'!$R$286</f>
            </numRef>
          </yVal>
          <smooth val="0"/>
        </ser>
        <ser>
          <idx val="37"/>
          <order val="37"/>
          <tx>
            <strRef>
              <f>'ElevCalc'!$S$288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40" b="0">
                    <a:solidFill>
                      <a:srgbClr val="2B7BB9"/>
                    </a:solidFill>
                    <a:latin typeface="Arial"/>
                  </a:defRPr>
                </a:pPr>
                <a:r>
                  <a:t/>
                </a:r>
                <a:endParaRPr sz="640" b="0">
                  <a:solidFill>
                    <a:srgbClr val="2B7BB9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'ElevCalc'!$Q$288</f>
            </numRef>
          </xVal>
          <yVal>
            <numRef>
              <f>'ElevCalc'!$R$288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28575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'ElevCalc'!$V$120:$V$124</f>
            </numRef>
          </xVal>
          <yVal>
            <numRef>
              <f>'ElevCalc'!$W$120:$W$124</f>
            </numRef>
          </yVal>
          <smooth val="0"/>
        </ser>
        <ser>
          <idx val="1"/>
          <order val="1"/>
          <spPr>
            <a:ln xmlns:a="http://schemas.openxmlformats.org/drawingml/2006/main" w="9525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'ElevCalc'!$V$126:$V$130</f>
            </numRef>
          </xVal>
          <yVal>
            <numRef>
              <f>'ElevCalc'!$W$126:$W$130</f>
            </numRef>
          </yVal>
          <smooth val="0"/>
        </ser>
        <ser>
          <idx val="2"/>
          <order val="2"/>
          <spPr>
            <a:ln xmlns:a="http://schemas.openxmlformats.org/drawingml/2006/main" w="9525">
              <a:solidFill>
                <a:srgbClr val="9AA5B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'ElevCalc'!$V$132:$V$136</f>
            </numRef>
          </xVal>
          <yVal>
            <numRef>
              <f>'ElevCalc'!$W$132:$W$136</f>
            </numRef>
          </yVal>
          <smooth val="0"/>
        </ser>
        <ser>
          <idx val="3"/>
          <order val="3"/>
          <spPr>
            <a:ln xmlns:a="http://schemas.openxmlformats.org/drawingml/2006/main" w="9525">
              <a:solidFill>
                <a:srgbClr val="9AA5B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'ElevCalc'!$V$138:$V$142</f>
            </numRef>
          </xVal>
          <yVal>
            <numRef>
              <f>'ElevCalc'!$W$138:$W$142</f>
            </numRef>
          </yVal>
          <smooth val="0"/>
        </ser>
        <ser>
          <idx val="4"/>
          <order val="4"/>
          <spPr>
            <a:ln xmlns:a="http://schemas.openxmlformats.org/drawingml/2006/main" w="12700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'ElevCalc'!$V$144:$V$148</f>
            </numRef>
          </xVal>
          <yVal>
            <numRef>
              <f>'ElevCalc'!$W$144:$W$148</f>
            </numRef>
          </yVal>
          <smooth val="0"/>
        </ser>
        <ser>
          <idx val="5"/>
          <order val="5"/>
          <spPr>
            <a:ln xmlns:a="http://schemas.openxmlformats.org/drawingml/2006/main" w="12700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'ElevCalc'!$V$150:$V$154</f>
            </numRef>
          </xVal>
          <yVal>
            <numRef>
              <f>'ElevCalc'!$W$150:$W$154</f>
            </numRef>
          </yVal>
          <smooth val="0"/>
        </ser>
        <ser>
          <idx val="6"/>
          <order val="6"/>
          <spPr>
            <a:ln xmlns:a="http://schemas.openxmlformats.org/drawingml/2006/main" w="12700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'ElevCalc'!$V$156:$V$160</f>
            </numRef>
          </xVal>
          <yVal>
            <numRef>
              <f>'ElevCalc'!$W$156:$W$160</f>
            </numRef>
          </yVal>
          <smooth val="0"/>
        </ser>
        <ser>
          <idx val="7"/>
          <order val="7"/>
          <spPr>
            <a:ln xmlns:a="http://schemas.openxmlformats.org/drawingml/2006/main" w="1270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'ElevCalc'!$V$162:$V$166</f>
            </numRef>
          </xVal>
          <yVal>
            <numRef>
              <f>'ElevCalc'!$W$162:$W$166</f>
            </numRef>
          </yVal>
          <smooth val="0"/>
        </ser>
        <ser>
          <idx val="8"/>
          <order val="8"/>
          <spPr>
            <a:ln xmlns:a="http://schemas.openxmlformats.org/drawingml/2006/main" w="19050">
              <a:solidFill>
                <a:srgbClr val="3A3F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'ElevCalc'!$V$168:$V$172</f>
            </numRef>
          </xVal>
          <yVal>
            <numRef>
              <f>'ElevCalc'!$W$168:$W$172</f>
            </numRef>
          </yVal>
          <smooth val="0"/>
        </ser>
        <ser>
          <idx val="9"/>
          <order val="9"/>
          <spPr>
            <a:ln xmlns:a="http://schemas.openxmlformats.org/drawingml/2006/main" w="19050">
              <a:solidFill>
                <a:srgbClr val="3A3F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'ElevCalc'!$V$174:$V$178</f>
            </numRef>
          </xVal>
          <yVal>
            <numRef>
              <f>'ElevCalc'!$W$174:$W$178</f>
            </numRef>
          </yVal>
          <smooth val="0"/>
        </ser>
        <ser>
          <idx val="10"/>
          <order val="10"/>
          <spPr>
            <a:ln xmlns:a="http://schemas.openxmlformats.org/drawingml/2006/main" w="1270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'ElevCalc'!$V$180:$V$184</f>
            </numRef>
          </xVal>
          <yVal>
            <numRef>
              <f>'ElevCalc'!$W$180:$W$184</f>
            </numRef>
          </yVal>
          <smooth val="0"/>
        </ser>
        <ser>
          <idx val="11"/>
          <order val="11"/>
          <spPr>
            <a:ln xmlns:a="http://schemas.openxmlformats.org/drawingml/2006/main" w="1270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'ElevCalc'!$V$186:$V$190</f>
            </numRef>
          </xVal>
          <yVal>
            <numRef>
              <f>'ElevCalc'!$W$186:$W$190</f>
            </numRef>
          </yVal>
          <smooth val="0"/>
        </ser>
        <ser>
          <idx val="12"/>
          <order val="12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'ElevCalc'!$V$192:$V$193</f>
            </numRef>
          </xVal>
          <yVal>
            <numRef>
              <f>'ElevCalc'!$W$192:$W$193</f>
            </numRef>
          </yVal>
          <smooth val="0"/>
        </ser>
        <ser>
          <idx val="13"/>
          <order val="13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'ElevCalc'!$V$195:$V$196</f>
            </numRef>
          </xVal>
          <yVal>
            <numRef>
              <f>'ElevCalc'!$W$195:$W$196</f>
            </numRef>
          </yVal>
          <smooth val="0"/>
        </ser>
        <ser>
          <idx val="14"/>
          <order val="14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'ElevCalc'!$V$198:$V$199</f>
            </numRef>
          </xVal>
          <yVal>
            <numRef>
              <f>'ElevCalc'!$W$198:$W$199</f>
            </numRef>
          </yVal>
          <smooth val="0"/>
        </ser>
        <ser>
          <idx val="15"/>
          <order val="15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'ElevCalc'!$V$201:$V$202</f>
            </numRef>
          </xVal>
          <yVal>
            <numRef>
              <f>'ElevCalc'!$W$201:$W$202</f>
            </numRef>
          </yVal>
          <smooth val="0"/>
        </ser>
        <ser>
          <idx val="16"/>
          <order val="16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'ElevCalc'!$V$204:$V$205</f>
            </numRef>
          </xVal>
          <yVal>
            <numRef>
              <f>'ElevCalc'!$W$204:$W$205</f>
            </numRef>
          </yVal>
          <smooth val="0"/>
        </ser>
        <ser>
          <idx val="17"/>
          <order val="17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'ElevCalc'!$V$207:$V$208</f>
            </numRef>
          </xVal>
          <yVal>
            <numRef>
              <f>'ElevCalc'!$W$207:$W$208</f>
            </numRef>
          </yVal>
          <smooth val="0"/>
        </ser>
        <ser>
          <idx val="18"/>
          <order val="18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'ElevCalc'!$V$210:$V$211</f>
            </numRef>
          </xVal>
          <yVal>
            <numRef>
              <f>'ElevCalc'!$W$210:$W$211</f>
            </numRef>
          </yVal>
          <smooth val="0"/>
        </ser>
        <ser>
          <idx val="19"/>
          <order val="19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'ElevCalc'!$V$213:$V$214</f>
            </numRef>
          </xVal>
          <yVal>
            <numRef>
              <f>'ElevCalc'!$W$213:$W$214</f>
            </numRef>
          </yVal>
          <smooth val="0"/>
        </ser>
        <ser>
          <idx val="20"/>
          <order val="20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'ElevCalc'!$V$216:$V$217</f>
            </numRef>
          </xVal>
          <yVal>
            <numRef>
              <f>'ElevCalc'!$W$216:$W$217</f>
            </numRef>
          </yVal>
          <smooth val="0"/>
        </ser>
        <ser>
          <idx val="21"/>
          <order val="21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'ElevCalc'!$V$219:$V$220</f>
            </numRef>
          </xVal>
          <yVal>
            <numRef>
              <f>'ElevCalc'!$W$219:$W$220</f>
            </numRef>
          </yVal>
          <smooth val="0"/>
        </ser>
        <ser>
          <idx val="22"/>
          <order val="22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'ElevCalc'!$V$222:$V$224</f>
            </numRef>
          </xVal>
          <yVal>
            <numRef>
              <f>'ElevCalc'!$W$222:$W$224</f>
            </numRef>
          </yVal>
          <smooth val="0"/>
        </ser>
        <ser>
          <idx val="23"/>
          <order val="23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'ElevCalc'!$V$226:$V$228</f>
            </numRef>
          </xVal>
          <yVal>
            <numRef>
              <f>'ElevCalc'!$W$226:$W$228</f>
            </numRef>
          </yVal>
          <smooth val="0"/>
        </ser>
        <ser>
          <idx val="24"/>
          <order val="24"/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C07F00"/>
              </a:solidFill>
              <a:ln xmlns:a="http://schemas.openxmlformats.org/drawingml/2006/main">
                <a:solidFill>
                  <a:srgbClr val="C07F00"/>
                </a:solidFill>
                <a:prstDash val="solid"/>
              </a:ln>
            </spPr>
          </marker>
          <xVal>
            <numRef>
              <f>'ElevCalc'!$V$230:$V$239</f>
            </numRef>
          </xVal>
          <yVal>
            <numRef>
              <f>'ElevCalc'!$W$230:$W$239</f>
            </numRef>
          </yVal>
          <smooth val="0"/>
        </ser>
        <ser>
          <idx val="25"/>
          <order val="25"/>
          <spPr>
            <a:ln xmlns:a="http://schemas.openxmlformats.org/drawingml/2006/main" w="381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'ElevCalc'!$V$241:$V$242</f>
            </numRef>
          </xVal>
          <yVal>
            <numRef>
              <f>'ElevCalc'!$W$241:$W$242</f>
            </numRef>
          </yVal>
          <smooth val="0"/>
        </ser>
        <ser>
          <idx val="26"/>
          <order val="26"/>
          <spPr>
            <a:ln xmlns:a="http://schemas.openxmlformats.org/drawingml/2006/main" w="381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'ElevCalc'!$V$244:$V$245</f>
            </numRef>
          </xVal>
          <yVal>
            <numRef>
              <f>'ElevCalc'!$W$244:$W$245</f>
            </numRef>
          </yVal>
          <smooth val="0"/>
        </ser>
        <ser>
          <idx val="27"/>
          <order val="27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'ElevCalc'!$V$247</f>
            </numRef>
          </xVal>
          <yVal>
            <numRef>
              <f>'ElevCalc'!$W$247</f>
            </numRef>
          </yVal>
          <smooth val="0"/>
        </ser>
        <ser>
          <idx val="28"/>
          <order val="28"/>
          <spPr>
            <a:ln xmlns:a="http://schemas.openxmlformats.org/drawingml/2006/main" w="31750">
              <a:solidFill>
                <a:srgbClr val="5B677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'ElevCalc'!$V$249:$V$250</f>
            </numRef>
          </xVal>
          <yVal>
            <numRef>
              <f>'ElevCalc'!$W$249:$W$250</f>
            </numRef>
          </yVal>
          <smooth val="0"/>
        </ser>
        <ser>
          <idx val="29"/>
          <order val="29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'ElevCalc'!$V$252:$V$257</f>
            </numRef>
          </xVal>
          <yVal>
            <numRef>
              <f>'ElevCalc'!$W$252:$W$257</f>
            </numRef>
          </yVal>
          <smooth val="0"/>
        </ser>
        <ser>
          <idx val="30"/>
          <order val="30"/>
          <tx>
            <strRef>
              <f>'ElevCalc'!$X$259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1F2933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'ElevCalc'!$V$259</f>
            </numRef>
          </xVal>
          <yVal>
            <numRef>
              <f>'ElevCalc'!$W$259</f>
            </numRef>
          </yVal>
          <smooth val="0"/>
        </ser>
        <ser>
          <idx val="31"/>
          <order val="31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'ElevCalc'!$V$261:$V$266</f>
            </numRef>
          </xVal>
          <yVal>
            <numRef>
              <f>'ElevCalc'!$W$261:$W$266</f>
            </numRef>
          </yVal>
          <smooth val="0"/>
        </ser>
        <ser>
          <idx val="32"/>
          <order val="32"/>
          <tx>
            <strRef>
              <f>'ElevCalc'!$X$268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1F2933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'ElevCalc'!$V$268</f>
            </numRef>
          </xVal>
          <yVal>
            <numRef>
              <f>'ElevCalc'!$W$268</f>
            </numRef>
          </yVal>
          <smooth val="0"/>
        </ser>
        <ser>
          <idx val="33"/>
          <order val="33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'ElevCalc'!$V$270:$V$275</f>
            </numRef>
          </xVal>
          <yVal>
            <numRef>
              <f>'ElevCalc'!$W$270:$W$275</f>
            </numRef>
          </yVal>
          <smooth val="0"/>
        </ser>
        <ser>
          <idx val="34"/>
          <order val="34"/>
          <tx>
            <strRef>
              <f>'ElevCalc'!$X$277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1F2933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'ElevCalc'!$V$277</f>
            </numRef>
          </xVal>
          <yVal>
            <numRef>
              <f>'ElevCalc'!$W$277</f>
            </numRef>
          </yVal>
          <smooth val="0"/>
        </ser>
        <ser>
          <idx val="35"/>
          <order val="35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'ElevCalc'!$V$279:$V$284</f>
            </numRef>
          </xVal>
          <yVal>
            <numRef>
              <f>'ElevCalc'!$W$279:$W$284</f>
            </numRef>
          </yVal>
          <smooth val="0"/>
        </ser>
        <ser>
          <idx val="36"/>
          <order val="36"/>
          <tx>
            <strRef>
              <f>'ElevCalc'!$X$286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1F2933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'ElevCalc'!$V$286</f>
            </numRef>
          </xVal>
          <yVal>
            <numRef>
              <f>'ElevCalc'!$W$286</f>
            </numRef>
          </yVal>
          <smooth val="0"/>
        </ser>
        <ser>
          <idx val="37"/>
          <order val="37"/>
          <tx>
            <strRef>
              <f>'ElevCalc'!$X$288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40" b="0">
                    <a:solidFill>
                      <a:srgbClr val="2B7BB9"/>
                    </a:solidFill>
                    <a:latin typeface="Arial"/>
                  </a:defRPr>
                </a:pPr>
                <a:r>
                  <a:t/>
                </a:r>
                <a:endParaRPr sz="640" b="0">
                  <a:solidFill>
                    <a:srgbClr val="2B7BB9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'ElevCalc'!$V$288</f>
            </numRef>
          </xVal>
          <yVal>
            <numRef>
              <f>'ElevCalc'!$W$288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28575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'ElevCalc'!$AA$120:$AA$124</f>
            </numRef>
          </xVal>
          <yVal>
            <numRef>
              <f>'ElevCalc'!$AB$120:$AB$124</f>
            </numRef>
          </yVal>
          <smooth val="0"/>
        </ser>
        <ser>
          <idx val="1"/>
          <order val="1"/>
          <spPr>
            <a:ln xmlns:a="http://schemas.openxmlformats.org/drawingml/2006/main" w="9525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'ElevCalc'!$AA$126:$AA$130</f>
            </numRef>
          </xVal>
          <yVal>
            <numRef>
              <f>'ElevCalc'!$AB$126:$AB$130</f>
            </numRef>
          </yVal>
          <smooth val="0"/>
        </ser>
        <ser>
          <idx val="2"/>
          <order val="2"/>
          <spPr>
            <a:ln xmlns:a="http://schemas.openxmlformats.org/drawingml/2006/main" w="9525">
              <a:solidFill>
                <a:srgbClr val="9AA5B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'ElevCalc'!$AA$132:$AA$136</f>
            </numRef>
          </xVal>
          <yVal>
            <numRef>
              <f>'ElevCalc'!$AB$132:$AB$136</f>
            </numRef>
          </yVal>
          <smooth val="0"/>
        </ser>
        <ser>
          <idx val="3"/>
          <order val="3"/>
          <spPr>
            <a:ln xmlns:a="http://schemas.openxmlformats.org/drawingml/2006/main" w="9525">
              <a:solidFill>
                <a:srgbClr val="9AA5B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'ElevCalc'!$AA$138:$AA$142</f>
            </numRef>
          </xVal>
          <yVal>
            <numRef>
              <f>'ElevCalc'!$AB$138:$AB$142</f>
            </numRef>
          </yVal>
          <smooth val="0"/>
        </ser>
        <ser>
          <idx val="4"/>
          <order val="4"/>
          <spPr>
            <a:ln xmlns:a="http://schemas.openxmlformats.org/drawingml/2006/main" w="12700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'ElevCalc'!$AA$144:$AA$148</f>
            </numRef>
          </xVal>
          <yVal>
            <numRef>
              <f>'ElevCalc'!$AB$144:$AB$148</f>
            </numRef>
          </yVal>
          <smooth val="0"/>
        </ser>
        <ser>
          <idx val="5"/>
          <order val="5"/>
          <spPr>
            <a:ln xmlns:a="http://schemas.openxmlformats.org/drawingml/2006/main" w="12700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'ElevCalc'!$AA$150:$AA$154</f>
            </numRef>
          </xVal>
          <yVal>
            <numRef>
              <f>'ElevCalc'!$AB$150:$AB$154</f>
            </numRef>
          </yVal>
          <smooth val="0"/>
        </ser>
        <ser>
          <idx val="6"/>
          <order val="6"/>
          <spPr>
            <a:ln xmlns:a="http://schemas.openxmlformats.org/drawingml/2006/main" w="12700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'ElevCalc'!$AA$156:$AA$160</f>
            </numRef>
          </xVal>
          <yVal>
            <numRef>
              <f>'ElevCalc'!$AB$156:$AB$160</f>
            </numRef>
          </yVal>
          <smooth val="0"/>
        </ser>
        <ser>
          <idx val="7"/>
          <order val="7"/>
          <spPr>
            <a:ln xmlns:a="http://schemas.openxmlformats.org/drawingml/2006/main" w="1270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'ElevCalc'!$AA$162:$AA$166</f>
            </numRef>
          </xVal>
          <yVal>
            <numRef>
              <f>'ElevCalc'!$AB$162:$AB$166</f>
            </numRef>
          </yVal>
          <smooth val="0"/>
        </ser>
        <ser>
          <idx val="8"/>
          <order val="8"/>
          <spPr>
            <a:ln xmlns:a="http://schemas.openxmlformats.org/drawingml/2006/main" w="19050">
              <a:solidFill>
                <a:srgbClr val="3A3F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'ElevCalc'!$AA$168:$AA$172</f>
            </numRef>
          </xVal>
          <yVal>
            <numRef>
              <f>'ElevCalc'!$AB$168:$AB$172</f>
            </numRef>
          </yVal>
          <smooth val="0"/>
        </ser>
        <ser>
          <idx val="9"/>
          <order val="9"/>
          <spPr>
            <a:ln xmlns:a="http://schemas.openxmlformats.org/drawingml/2006/main" w="19050">
              <a:solidFill>
                <a:srgbClr val="3A3F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'ElevCalc'!$AA$174:$AA$178</f>
            </numRef>
          </xVal>
          <yVal>
            <numRef>
              <f>'ElevCalc'!$AB$174:$AB$178</f>
            </numRef>
          </yVal>
          <smooth val="0"/>
        </ser>
        <ser>
          <idx val="10"/>
          <order val="10"/>
          <spPr>
            <a:ln xmlns:a="http://schemas.openxmlformats.org/drawingml/2006/main" w="1270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'ElevCalc'!$AA$180:$AA$184</f>
            </numRef>
          </xVal>
          <yVal>
            <numRef>
              <f>'ElevCalc'!$AB$180:$AB$184</f>
            </numRef>
          </yVal>
          <smooth val="0"/>
        </ser>
        <ser>
          <idx val="11"/>
          <order val="11"/>
          <spPr>
            <a:ln xmlns:a="http://schemas.openxmlformats.org/drawingml/2006/main" w="1270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'ElevCalc'!$AA$186:$AA$190</f>
            </numRef>
          </xVal>
          <yVal>
            <numRef>
              <f>'ElevCalc'!$AB$186:$AB$190</f>
            </numRef>
          </yVal>
          <smooth val="0"/>
        </ser>
        <ser>
          <idx val="12"/>
          <order val="12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'ElevCalc'!$AA$192:$AA$193</f>
            </numRef>
          </xVal>
          <yVal>
            <numRef>
              <f>'ElevCalc'!$AB$192:$AB$193</f>
            </numRef>
          </yVal>
          <smooth val="0"/>
        </ser>
        <ser>
          <idx val="13"/>
          <order val="13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'ElevCalc'!$AA$195:$AA$196</f>
            </numRef>
          </xVal>
          <yVal>
            <numRef>
              <f>'ElevCalc'!$AB$195:$AB$196</f>
            </numRef>
          </yVal>
          <smooth val="0"/>
        </ser>
        <ser>
          <idx val="14"/>
          <order val="14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'ElevCalc'!$AA$198:$AA$199</f>
            </numRef>
          </xVal>
          <yVal>
            <numRef>
              <f>'ElevCalc'!$AB$198:$AB$199</f>
            </numRef>
          </yVal>
          <smooth val="0"/>
        </ser>
        <ser>
          <idx val="15"/>
          <order val="15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'ElevCalc'!$AA$201:$AA$202</f>
            </numRef>
          </xVal>
          <yVal>
            <numRef>
              <f>'ElevCalc'!$AB$201:$AB$202</f>
            </numRef>
          </yVal>
          <smooth val="0"/>
        </ser>
        <ser>
          <idx val="16"/>
          <order val="16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'ElevCalc'!$AA$204:$AA$205</f>
            </numRef>
          </xVal>
          <yVal>
            <numRef>
              <f>'ElevCalc'!$AB$204:$AB$205</f>
            </numRef>
          </yVal>
          <smooth val="0"/>
        </ser>
        <ser>
          <idx val="17"/>
          <order val="17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'ElevCalc'!$AA$207:$AA$208</f>
            </numRef>
          </xVal>
          <yVal>
            <numRef>
              <f>'ElevCalc'!$AB$207:$AB$208</f>
            </numRef>
          </yVal>
          <smooth val="0"/>
        </ser>
        <ser>
          <idx val="18"/>
          <order val="18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'ElevCalc'!$AA$210:$AA$211</f>
            </numRef>
          </xVal>
          <yVal>
            <numRef>
              <f>'ElevCalc'!$AB$210:$AB$211</f>
            </numRef>
          </yVal>
          <smooth val="0"/>
        </ser>
        <ser>
          <idx val="19"/>
          <order val="19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'ElevCalc'!$AA$213:$AA$214</f>
            </numRef>
          </xVal>
          <yVal>
            <numRef>
              <f>'ElevCalc'!$AB$213:$AB$214</f>
            </numRef>
          </yVal>
          <smooth val="0"/>
        </ser>
        <ser>
          <idx val="20"/>
          <order val="20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'ElevCalc'!$AA$216:$AA$217</f>
            </numRef>
          </xVal>
          <yVal>
            <numRef>
              <f>'ElevCalc'!$AB$216:$AB$217</f>
            </numRef>
          </yVal>
          <smooth val="0"/>
        </ser>
        <ser>
          <idx val="21"/>
          <order val="21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'ElevCalc'!$AA$219:$AA$220</f>
            </numRef>
          </xVal>
          <yVal>
            <numRef>
              <f>'ElevCalc'!$AB$219:$AB$220</f>
            </numRef>
          </yVal>
          <smooth val="0"/>
        </ser>
        <ser>
          <idx val="22"/>
          <order val="22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'ElevCalc'!$AA$222:$AA$224</f>
            </numRef>
          </xVal>
          <yVal>
            <numRef>
              <f>'ElevCalc'!$AB$222:$AB$224</f>
            </numRef>
          </yVal>
          <smooth val="0"/>
        </ser>
        <ser>
          <idx val="23"/>
          <order val="23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'ElevCalc'!$AA$226:$AA$228</f>
            </numRef>
          </xVal>
          <yVal>
            <numRef>
              <f>'ElevCalc'!$AB$226:$AB$228</f>
            </numRef>
          </yVal>
          <smooth val="0"/>
        </ser>
        <ser>
          <idx val="24"/>
          <order val="24"/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C07F00"/>
              </a:solidFill>
              <a:ln xmlns:a="http://schemas.openxmlformats.org/drawingml/2006/main">
                <a:solidFill>
                  <a:srgbClr val="C07F00"/>
                </a:solidFill>
                <a:prstDash val="solid"/>
              </a:ln>
            </spPr>
          </marker>
          <xVal>
            <numRef>
              <f>'ElevCalc'!$AA$230:$AA$239</f>
            </numRef>
          </xVal>
          <yVal>
            <numRef>
              <f>'ElevCalc'!$AB$230:$AB$239</f>
            </numRef>
          </yVal>
          <smooth val="0"/>
        </ser>
        <ser>
          <idx val="25"/>
          <order val="25"/>
          <spPr>
            <a:ln xmlns:a="http://schemas.openxmlformats.org/drawingml/2006/main" w="381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'ElevCalc'!$AA$241:$AA$242</f>
            </numRef>
          </xVal>
          <yVal>
            <numRef>
              <f>'ElevCalc'!$AB$241:$AB$242</f>
            </numRef>
          </yVal>
          <smooth val="0"/>
        </ser>
        <ser>
          <idx val="26"/>
          <order val="26"/>
          <spPr>
            <a:ln xmlns:a="http://schemas.openxmlformats.org/drawingml/2006/main" w="381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'ElevCalc'!$AA$244:$AA$245</f>
            </numRef>
          </xVal>
          <yVal>
            <numRef>
              <f>'ElevCalc'!$AB$244:$AB$245</f>
            </numRef>
          </yVal>
          <smooth val="0"/>
        </ser>
        <ser>
          <idx val="27"/>
          <order val="27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'ElevCalc'!$AA$247</f>
            </numRef>
          </xVal>
          <yVal>
            <numRef>
              <f>'ElevCalc'!$AB$247</f>
            </numRef>
          </yVal>
          <smooth val="0"/>
        </ser>
        <ser>
          <idx val="28"/>
          <order val="28"/>
          <spPr>
            <a:ln xmlns:a="http://schemas.openxmlformats.org/drawingml/2006/main" w="31750">
              <a:solidFill>
                <a:srgbClr val="5B677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'ElevCalc'!$AA$249:$AA$250</f>
            </numRef>
          </xVal>
          <yVal>
            <numRef>
              <f>'ElevCalc'!$AB$249:$AB$250</f>
            </numRef>
          </yVal>
          <smooth val="0"/>
        </ser>
        <ser>
          <idx val="29"/>
          <order val="29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'ElevCalc'!$AA$252:$AA$257</f>
            </numRef>
          </xVal>
          <yVal>
            <numRef>
              <f>'ElevCalc'!$AB$252:$AB$257</f>
            </numRef>
          </yVal>
          <smooth val="0"/>
        </ser>
        <ser>
          <idx val="30"/>
          <order val="30"/>
          <tx>
            <strRef>
              <f>'ElevCalc'!$AC$259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1F2933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'ElevCalc'!$AA$259</f>
            </numRef>
          </xVal>
          <yVal>
            <numRef>
              <f>'ElevCalc'!$AB$259</f>
            </numRef>
          </yVal>
          <smooth val="0"/>
        </ser>
        <ser>
          <idx val="31"/>
          <order val="31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'ElevCalc'!$AA$261:$AA$266</f>
            </numRef>
          </xVal>
          <yVal>
            <numRef>
              <f>'ElevCalc'!$AB$261:$AB$266</f>
            </numRef>
          </yVal>
          <smooth val="0"/>
        </ser>
        <ser>
          <idx val="32"/>
          <order val="32"/>
          <tx>
            <strRef>
              <f>'ElevCalc'!$AC$268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1F2933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'ElevCalc'!$AA$268</f>
            </numRef>
          </xVal>
          <yVal>
            <numRef>
              <f>'ElevCalc'!$AB$268</f>
            </numRef>
          </yVal>
          <smooth val="0"/>
        </ser>
        <ser>
          <idx val="33"/>
          <order val="33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'ElevCalc'!$AA$270:$AA$275</f>
            </numRef>
          </xVal>
          <yVal>
            <numRef>
              <f>'ElevCalc'!$AB$270:$AB$275</f>
            </numRef>
          </yVal>
          <smooth val="0"/>
        </ser>
        <ser>
          <idx val="34"/>
          <order val="34"/>
          <tx>
            <strRef>
              <f>'ElevCalc'!$AC$277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1F2933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'ElevCalc'!$AA$277</f>
            </numRef>
          </xVal>
          <yVal>
            <numRef>
              <f>'ElevCalc'!$AB$277</f>
            </numRef>
          </yVal>
          <smooth val="0"/>
        </ser>
        <ser>
          <idx val="35"/>
          <order val="35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'ElevCalc'!$AA$279:$AA$284</f>
            </numRef>
          </xVal>
          <yVal>
            <numRef>
              <f>'ElevCalc'!$AB$279:$AB$284</f>
            </numRef>
          </yVal>
          <smooth val="0"/>
        </ser>
        <ser>
          <idx val="36"/>
          <order val="36"/>
          <tx>
            <strRef>
              <f>'ElevCalc'!$AC$286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1F2933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'ElevCalc'!$AA$286</f>
            </numRef>
          </xVal>
          <yVal>
            <numRef>
              <f>'ElevCalc'!$AB$286</f>
            </numRef>
          </yVal>
          <smooth val="0"/>
        </ser>
        <ser>
          <idx val="37"/>
          <order val="37"/>
          <tx>
            <strRef>
              <f>'ElevCalc'!$AC$288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40" b="0">
                    <a:solidFill>
                      <a:srgbClr val="2B7BB9"/>
                    </a:solidFill>
                    <a:latin typeface="Arial"/>
                  </a:defRPr>
                </a:pPr>
                <a:r>
                  <a:t/>
                </a:r>
                <a:endParaRPr sz="640" b="0">
                  <a:solidFill>
                    <a:srgbClr val="2B7BB9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'ElevCalc'!$AA$288</f>
            </numRef>
          </xVal>
          <yVal>
            <numRef>
              <f>'ElevCalc'!$AB$288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28575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'ElevCalc'!$AF$120:$AF$124</f>
            </numRef>
          </xVal>
          <yVal>
            <numRef>
              <f>'ElevCalc'!$AG$120:$AG$124</f>
            </numRef>
          </yVal>
          <smooth val="0"/>
        </ser>
        <ser>
          <idx val="1"/>
          <order val="1"/>
          <spPr>
            <a:ln xmlns:a="http://schemas.openxmlformats.org/drawingml/2006/main" w="9525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'ElevCalc'!$AF$126:$AF$130</f>
            </numRef>
          </xVal>
          <yVal>
            <numRef>
              <f>'ElevCalc'!$AG$126:$AG$130</f>
            </numRef>
          </yVal>
          <smooth val="0"/>
        </ser>
        <ser>
          <idx val="2"/>
          <order val="2"/>
          <spPr>
            <a:ln xmlns:a="http://schemas.openxmlformats.org/drawingml/2006/main" w="9525">
              <a:solidFill>
                <a:srgbClr val="9AA5B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'ElevCalc'!$AF$132:$AF$136</f>
            </numRef>
          </xVal>
          <yVal>
            <numRef>
              <f>'ElevCalc'!$AG$132:$AG$136</f>
            </numRef>
          </yVal>
          <smooth val="0"/>
        </ser>
        <ser>
          <idx val="3"/>
          <order val="3"/>
          <spPr>
            <a:ln xmlns:a="http://schemas.openxmlformats.org/drawingml/2006/main" w="9525">
              <a:solidFill>
                <a:srgbClr val="9AA5B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'ElevCalc'!$AF$138:$AF$142</f>
            </numRef>
          </xVal>
          <yVal>
            <numRef>
              <f>'ElevCalc'!$AG$138:$AG$142</f>
            </numRef>
          </yVal>
          <smooth val="0"/>
        </ser>
        <ser>
          <idx val="4"/>
          <order val="4"/>
          <spPr>
            <a:ln xmlns:a="http://schemas.openxmlformats.org/drawingml/2006/main" w="12700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'ElevCalc'!$AF$144:$AF$148</f>
            </numRef>
          </xVal>
          <yVal>
            <numRef>
              <f>'ElevCalc'!$AG$144:$AG$148</f>
            </numRef>
          </yVal>
          <smooth val="0"/>
        </ser>
        <ser>
          <idx val="5"/>
          <order val="5"/>
          <spPr>
            <a:ln xmlns:a="http://schemas.openxmlformats.org/drawingml/2006/main" w="12700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'ElevCalc'!$AF$150:$AF$154</f>
            </numRef>
          </xVal>
          <yVal>
            <numRef>
              <f>'ElevCalc'!$AG$150:$AG$154</f>
            </numRef>
          </yVal>
          <smooth val="0"/>
        </ser>
        <ser>
          <idx val="6"/>
          <order val="6"/>
          <spPr>
            <a:ln xmlns:a="http://schemas.openxmlformats.org/drawingml/2006/main" w="12700">
              <a:solidFill>
                <a:srgbClr val="1C3D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'ElevCalc'!$AF$156:$AF$160</f>
            </numRef>
          </xVal>
          <yVal>
            <numRef>
              <f>'ElevCalc'!$AG$156:$AG$160</f>
            </numRef>
          </yVal>
          <smooth val="0"/>
        </ser>
        <ser>
          <idx val="7"/>
          <order val="7"/>
          <spPr>
            <a:ln xmlns:a="http://schemas.openxmlformats.org/drawingml/2006/main" w="1270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'ElevCalc'!$AF$162:$AF$166</f>
            </numRef>
          </xVal>
          <yVal>
            <numRef>
              <f>'ElevCalc'!$AG$162:$AG$166</f>
            </numRef>
          </yVal>
          <smooth val="0"/>
        </ser>
        <ser>
          <idx val="8"/>
          <order val="8"/>
          <spPr>
            <a:ln xmlns:a="http://schemas.openxmlformats.org/drawingml/2006/main" w="19050">
              <a:solidFill>
                <a:srgbClr val="3A3F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'ElevCalc'!$AF$168:$AF$172</f>
            </numRef>
          </xVal>
          <yVal>
            <numRef>
              <f>'ElevCalc'!$AG$168:$AG$172</f>
            </numRef>
          </yVal>
          <smooth val="0"/>
        </ser>
        <ser>
          <idx val="9"/>
          <order val="9"/>
          <spPr>
            <a:ln xmlns:a="http://schemas.openxmlformats.org/drawingml/2006/main" w="19050">
              <a:solidFill>
                <a:srgbClr val="3A3F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'ElevCalc'!$AF$174:$AF$178</f>
            </numRef>
          </xVal>
          <yVal>
            <numRef>
              <f>'ElevCalc'!$AG$174:$AG$178</f>
            </numRef>
          </yVal>
          <smooth val="0"/>
        </ser>
        <ser>
          <idx val="10"/>
          <order val="10"/>
          <spPr>
            <a:ln xmlns:a="http://schemas.openxmlformats.org/drawingml/2006/main" w="1270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'ElevCalc'!$AF$180:$AF$184</f>
            </numRef>
          </xVal>
          <yVal>
            <numRef>
              <f>'ElevCalc'!$AG$180:$AG$184</f>
            </numRef>
          </yVal>
          <smooth val="0"/>
        </ser>
        <ser>
          <idx val="11"/>
          <order val="11"/>
          <spPr>
            <a:ln xmlns:a="http://schemas.openxmlformats.org/drawingml/2006/main" w="1270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'ElevCalc'!$AF$186:$AF$190</f>
            </numRef>
          </xVal>
          <yVal>
            <numRef>
              <f>'ElevCalc'!$AG$186:$AG$190</f>
            </numRef>
          </yVal>
          <smooth val="0"/>
        </ser>
        <ser>
          <idx val="12"/>
          <order val="12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'ElevCalc'!$AF$192:$AF$193</f>
            </numRef>
          </xVal>
          <yVal>
            <numRef>
              <f>'ElevCalc'!$AG$192:$AG$193</f>
            </numRef>
          </yVal>
          <smooth val="0"/>
        </ser>
        <ser>
          <idx val="13"/>
          <order val="13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'ElevCalc'!$AF$195:$AF$196</f>
            </numRef>
          </xVal>
          <yVal>
            <numRef>
              <f>'ElevCalc'!$AG$195:$AG$196</f>
            </numRef>
          </yVal>
          <smooth val="0"/>
        </ser>
        <ser>
          <idx val="14"/>
          <order val="14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'ElevCalc'!$AF$198:$AF$199</f>
            </numRef>
          </xVal>
          <yVal>
            <numRef>
              <f>'ElevCalc'!$AG$198:$AG$199</f>
            </numRef>
          </yVal>
          <smooth val="0"/>
        </ser>
        <ser>
          <idx val="15"/>
          <order val="15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'ElevCalc'!$AF$201:$AF$202</f>
            </numRef>
          </xVal>
          <yVal>
            <numRef>
              <f>'ElevCalc'!$AG$201:$AG$202</f>
            </numRef>
          </yVal>
          <smooth val="0"/>
        </ser>
        <ser>
          <idx val="16"/>
          <order val="16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'ElevCalc'!$AF$204:$AF$205</f>
            </numRef>
          </xVal>
          <yVal>
            <numRef>
              <f>'ElevCalc'!$AG$204:$AG$205</f>
            </numRef>
          </yVal>
          <smooth val="0"/>
        </ser>
        <ser>
          <idx val="17"/>
          <order val="17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'ElevCalc'!$AF$207:$AF$208</f>
            </numRef>
          </xVal>
          <yVal>
            <numRef>
              <f>'ElevCalc'!$AG$207:$AG$208</f>
            </numRef>
          </yVal>
          <smooth val="0"/>
        </ser>
        <ser>
          <idx val="18"/>
          <order val="18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'ElevCalc'!$AF$210:$AF$211</f>
            </numRef>
          </xVal>
          <yVal>
            <numRef>
              <f>'ElevCalc'!$AG$210:$AG$211</f>
            </numRef>
          </yVal>
          <smooth val="0"/>
        </ser>
        <ser>
          <idx val="19"/>
          <order val="19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'ElevCalc'!$AF$213:$AF$214</f>
            </numRef>
          </xVal>
          <yVal>
            <numRef>
              <f>'ElevCalc'!$AG$213:$AG$214</f>
            </numRef>
          </yVal>
          <smooth val="0"/>
        </ser>
        <ser>
          <idx val="20"/>
          <order val="20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'ElevCalc'!$AF$216:$AF$217</f>
            </numRef>
          </xVal>
          <yVal>
            <numRef>
              <f>'ElevCalc'!$AG$216:$AG$217</f>
            </numRef>
          </yVal>
          <smooth val="0"/>
        </ser>
        <ser>
          <idx val="21"/>
          <order val="21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'ElevCalc'!$AF$219:$AF$220</f>
            </numRef>
          </xVal>
          <yVal>
            <numRef>
              <f>'ElevCalc'!$AG$219:$AG$220</f>
            </numRef>
          </yVal>
          <smooth val="0"/>
        </ser>
        <ser>
          <idx val="22"/>
          <order val="22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'ElevCalc'!$AF$222:$AF$224</f>
            </numRef>
          </xVal>
          <yVal>
            <numRef>
              <f>'ElevCalc'!$AG$222:$AG$224</f>
            </numRef>
          </yVal>
          <smooth val="0"/>
        </ser>
        <ser>
          <idx val="23"/>
          <order val="23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'ElevCalc'!$AF$226:$AF$228</f>
            </numRef>
          </xVal>
          <yVal>
            <numRef>
              <f>'ElevCalc'!$AG$226:$AG$228</f>
            </numRef>
          </yVal>
          <smooth val="0"/>
        </ser>
        <ser>
          <idx val="24"/>
          <order val="24"/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C07F00"/>
              </a:solidFill>
              <a:ln xmlns:a="http://schemas.openxmlformats.org/drawingml/2006/main">
                <a:solidFill>
                  <a:srgbClr val="C07F00"/>
                </a:solidFill>
                <a:prstDash val="solid"/>
              </a:ln>
            </spPr>
          </marker>
          <xVal>
            <numRef>
              <f>'ElevCalc'!$AF$230:$AF$239</f>
            </numRef>
          </xVal>
          <yVal>
            <numRef>
              <f>'ElevCalc'!$AG$230:$AG$239</f>
            </numRef>
          </yVal>
          <smooth val="0"/>
        </ser>
        <ser>
          <idx val="25"/>
          <order val="25"/>
          <spPr>
            <a:ln xmlns:a="http://schemas.openxmlformats.org/drawingml/2006/main" w="381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'ElevCalc'!$AF$241:$AF$242</f>
            </numRef>
          </xVal>
          <yVal>
            <numRef>
              <f>'ElevCalc'!$AG$241:$AG$242</f>
            </numRef>
          </yVal>
          <smooth val="0"/>
        </ser>
        <ser>
          <idx val="26"/>
          <order val="26"/>
          <spPr>
            <a:ln xmlns:a="http://schemas.openxmlformats.org/drawingml/2006/main" w="381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'ElevCalc'!$AF$244:$AF$245</f>
            </numRef>
          </xVal>
          <yVal>
            <numRef>
              <f>'ElevCalc'!$AG$244:$AG$245</f>
            </numRef>
          </yVal>
          <smooth val="0"/>
        </ser>
        <ser>
          <idx val="27"/>
          <order val="27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'ElevCalc'!$AF$247</f>
            </numRef>
          </xVal>
          <yVal>
            <numRef>
              <f>'ElevCalc'!$AG$247</f>
            </numRef>
          </yVal>
          <smooth val="0"/>
        </ser>
        <ser>
          <idx val="28"/>
          <order val="28"/>
          <spPr>
            <a:ln xmlns:a="http://schemas.openxmlformats.org/drawingml/2006/main" w="31750">
              <a:solidFill>
                <a:srgbClr val="5B677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'ElevCalc'!$AF$249:$AF$250</f>
            </numRef>
          </xVal>
          <yVal>
            <numRef>
              <f>'ElevCalc'!$AG$249:$AG$250</f>
            </numRef>
          </yVal>
          <smooth val="0"/>
        </ser>
        <ser>
          <idx val="29"/>
          <order val="29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'ElevCalc'!$AF$252:$AF$257</f>
            </numRef>
          </xVal>
          <yVal>
            <numRef>
              <f>'ElevCalc'!$AG$252:$AG$257</f>
            </numRef>
          </yVal>
          <smooth val="0"/>
        </ser>
        <ser>
          <idx val="30"/>
          <order val="30"/>
          <tx>
            <strRef>
              <f>'ElevCalc'!$AH$259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1F2933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'ElevCalc'!$AF$259</f>
            </numRef>
          </xVal>
          <yVal>
            <numRef>
              <f>'ElevCalc'!$AG$259</f>
            </numRef>
          </yVal>
          <smooth val="0"/>
        </ser>
        <ser>
          <idx val="31"/>
          <order val="31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'ElevCalc'!$AF$261:$AF$266</f>
            </numRef>
          </xVal>
          <yVal>
            <numRef>
              <f>'ElevCalc'!$AG$261:$AG$266</f>
            </numRef>
          </yVal>
          <smooth val="0"/>
        </ser>
        <ser>
          <idx val="32"/>
          <order val="32"/>
          <tx>
            <strRef>
              <f>'ElevCalc'!$AH$268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1F2933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'ElevCalc'!$AF$268</f>
            </numRef>
          </xVal>
          <yVal>
            <numRef>
              <f>'ElevCalc'!$AG$268</f>
            </numRef>
          </yVal>
          <smooth val="0"/>
        </ser>
        <ser>
          <idx val="33"/>
          <order val="33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'ElevCalc'!$AF$270:$AF$275</f>
            </numRef>
          </xVal>
          <yVal>
            <numRef>
              <f>'ElevCalc'!$AG$270:$AG$275</f>
            </numRef>
          </yVal>
          <smooth val="0"/>
        </ser>
        <ser>
          <idx val="34"/>
          <order val="34"/>
          <tx>
            <strRef>
              <f>'ElevCalc'!$AH$277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1F2933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'ElevCalc'!$AF$277</f>
            </numRef>
          </xVal>
          <yVal>
            <numRef>
              <f>'ElevCalc'!$AG$277</f>
            </numRef>
          </yVal>
          <smooth val="0"/>
        </ser>
        <ser>
          <idx val="35"/>
          <order val="35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'ElevCalc'!$AF$279:$AF$284</f>
            </numRef>
          </xVal>
          <yVal>
            <numRef>
              <f>'ElevCalc'!$AG$279:$AG$284</f>
            </numRef>
          </yVal>
          <smooth val="0"/>
        </ser>
        <ser>
          <idx val="36"/>
          <order val="36"/>
          <tx>
            <strRef>
              <f>'ElevCalc'!$AH$286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1F2933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'ElevCalc'!$AF$286</f>
            </numRef>
          </xVal>
          <yVal>
            <numRef>
              <f>'ElevCalc'!$AG$286</f>
            </numRef>
          </yVal>
          <smooth val="0"/>
        </ser>
        <ser>
          <idx val="37"/>
          <order val="37"/>
          <tx>
            <strRef>
              <f>'ElevCalc'!$AH$288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40" b="0">
                    <a:solidFill>
                      <a:srgbClr val="2B7BB9"/>
                    </a:solidFill>
                    <a:latin typeface="Arial"/>
                  </a:defRPr>
                </a:pPr>
                <a:r>
                  <a:t/>
                </a:r>
                <a:endParaRPr sz="640" b="0">
                  <a:solidFill>
                    <a:srgbClr val="2B7BB9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'ElevCalc'!$AF$288</f>
            </numRef>
          </xVal>
          <yVal>
            <numRef>
              <f>'ElevCalc'!$AG$288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Openings by fire rating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B23A1C"/>
            </a:solidFill>
            <a:ln xmlns:a="http://schemas.openxmlformats.org/drawingml/2006/main">
              <a:prstDash val="solid"/>
            </a:ln>
          </spPr>
          <cat>
            <numRef>
              <f>'Summary'!$B$15:$B$20</f>
            </numRef>
          </cat>
          <val>
            <numRef>
              <f>'Summary'!$C$15:$C$20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Takeoff 3.0</author>
  </authors>
  <commentList>
    <comment ref="AX5" authorId="0" shapeId="0">
      <text>
        <t>FIX = something missing or wrong (blocks the order).
CHECK = worth a look before quoting.
Rules: NFPA 80, IBC 716.1(2), ADA clear width, SDI sizes.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Relationship Type="http://schemas.openxmlformats.org/officeDocument/2006/relationships/chart" Target="/xl/charts/chart5.xml" Id="rId4"/><Relationship Type="http://schemas.openxmlformats.org/officeDocument/2006/relationships/chart" Target="/xl/charts/chart6.xml" Id="rId5"/><Relationship Type="http://schemas.openxmlformats.org/officeDocument/2006/relationships/chart" Target="/xl/charts/chart7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5</row>
      <rowOff>0</rowOff>
    </from>
    <ext cx="6300000" cy="63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9</row>
      <rowOff>0</rowOff>
    </from>
    <ext cx="378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9</row>
      <rowOff>0</rowOff>
    </from>
    <ext cx="3780000" cy="37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15</col>
      <colOff>0</colOff>
      <row>9</row>
      <rowOff>0</rowOff>
    </from>
    <ext cx="3780000" cy="37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34</row>
      <rowOff>0</rowOff>
    </from>
    <ext cx="3780000" cy="37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8</col>
      <colOff>0</colOff>
      <row>34</row>
      <rowOff>0</rowOff>
    </from>
    <ext cx="3780000" cy="37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34</row>
      <rowOff>0</rowOff>
    </from>
    <ext cx="3780000" cy="37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Job'!A1" TargetMode="External" Id="rId1"/><Relationship Type="http://schemas.openxmlformats.org/officeDocument/2006/relationships/hyperlink" Target="#'Takeoff'!A1" TargetMode="External" Id="rId2"/><Relationship Type="http://schemas.openxmlformats.org/officeDocument/2006/relationships/hyperlink" Target="#'Elevation'!A1" TargetMode="External" Id="rId3"/><Relationship Type="http://schemas.openxmlformats.org/officeDocument/2006/relationships/hyperlink" Target="#'Elevations'!A1" TargetMode="External" Id="rId4"/><Relationship Type="http://schemas.openxmlformats.org/officeDocument/2006/relationships/hyperlink" Target="#'Hardware'!A1" TargetMode="External" Id="rId5"/><Relationship Type="http://schemas.openxmlformats.org/officeDocument/2006/relationships/hyperlink" Target="#'Frame order'!A1" TargetMode="External" Id="rId6"/><Relationship Type="http://schemas.openxmlformats.org/officeDocument/2006/relationships/hyperlink" Target="#'Door order'!A1" TargetMode="External" Id="rId7"/><Relationship Type="http://schemas.openxmlformats.org/officeDocument/2006/relationships/hyperlink" Target="#'Summary'!A1" TargetMode="External" Id="rId8"/><Relationship Type="http://schemas.openxmlformats.org/officeDocument/2006/relationships/hyperlink" Target="#'Lists'!A1" TargetMode="External" Id="rId9"/><Relationship Type="http://schemas.openxmlformats.org/officeDocument/2006/relationships/hyperlink" Target="#'Codes'!A1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C3D5A"/>
    <outlinePr summaryBelow="1" summaryRight="1"/>
    <pageSetUpPr/>
  </sheetPr>
  <dimension ref="B2:C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10" customWidth="1" min="3" max="3"/>
  </cols>
  <sheetData>
    <row r="2">
      <c r="B2" s="1" t="inlineStr">
        <is>
          <t>TAKEOFF FORM 3.0</t>
        </is>
      </c>
    </row>
    <row r="3">
      <c r="B3" s="2" t="inlineStr">
        <is>
          <t>Door, frame and hardware takeoff  ·  live elevations  ·  code checks  ·  order lines</t>
        </is>
      </c>
    </row>
    <row r="5">
      <c r="B5" s="3" t="inlineStr">
        <is>
          <t>GO TO</t>
        </is>
      </c>
    </row>
    <row r="6">
      <c r="B6" s="4" t="inlineStr">
        <is>
          <t>Job</t>
        </is>
      </c>
      <c r="C6" s="5" t="inlineStr">
        <is>
          <t>Job name, dates, clearances</t>
        </is>
      </c>
    </row>
    <row r="7">
      <c r="B7" s="4" t="inlineStr">
        <is>
          <t>Takeoff</t>
        </is>
      </c>
      <c r="C7" s="5" t="inlineStr">
        <is>
          <t>One row per opening — the only place you type openings</t>
        </is>
      </c>
    </row>
    <row r="8">
      <c r="B8" s="4" t="inlineStr">
        <is>
          <t>Elevation</t>
        </is>
      </c>
      <c r="C8" s="5" t="inlineStr">
        <is>
          <t>Pick a mark: drawing, sizes, order lines, checks</t>
        </is>
      </c>
    </row>
    <row r="9">
      <c r="B9" s="4" t="inlineStr">
        <is>
          <t>Elevations</t>
        </is>
      </c>
      <c r="C9" s="5" t="inlineStr">
        <is>
          <t>Every elevation type, six to a page, ready to print</t>
        </is>
      </c>
    </row>
    <row r="10">
      <c r="B10" s="4" t="inlineStr">
        <is>
          <t>Hardware</t>
        </is>
      </c>
      <c r="C10" s="5" t="inlineStr">
        <is>
          <t>Hardware sets, items, opening counts and job quantities</t>
        </is>
      </c>
    </row>
    <row r="11">
      <c r="B11" s="4" t="inlineStr">
        <is>
          <t>Frame order</t>
        </is>
      </c>
      <c r="C11" s="5" t="inlineStr">
        <is>
          <t>Frame order lines for the supplier</t>
        </is>
      </c>
    </row>
    <row r="12">
      <c r="B12" s="4" t="inlineStr">
        <is>
          <t>Door order</t>
        </is>
      </c>
      <c r="C12" s="5" t="inlineStr">
        <is>
          <t>Door order lines with leaf sizes</t>
        </is>
      </c>
    </row>
    <row r="13">
      <c r="B13" s="4" t="inlineStr">
        <is>
          <t>Summary</t>
        </is>
      </c>
      <c r="C13" s="5" t="inlineStr">
        <is>
          <t>Counts by rating, scope, floor, material, lite</t>
        </is>
      </c>
    </row>
    <row r="14">
      <c r="B14" s="4" t="inlineStr">
        <is>
          <t>Lists</t>
        </is>
      </c>
      <c r="C14" s="5" t="inlineStr">
        <is>
          <t>Every dropdown — edit here</t>
        </is>
      </c>
    </row>
    <row r="15">
      <c r="B15" s="4" t="inlineStr">
        <is>
          <t>Codes</t>
        </is>
      </c>
      <c r="C15" s="5" t="inlineStr">
        <is>
          <t>What each code prints on an order line</t>
        </is>
      </c>
    </row>
    <row r="19">
      <c r="B19" s="6" t="inlineStr">
        <is>
          <t>HOW TO USE IT</t>
        </is>
      </c>
    </row>
    <row r="20" ht="30" customHeight="1">
      <c r="B20" s="7" t="n">
        <v>1</v>
      </c>
      <c r="C20" s="8" t="inlineStr">
        <is>
          <t>Fill in the Job sheet once. Set the clearances (undercut, edge gaps, frame face) to suit your frame maker.</t>
        </is>
      </c>
    </row>
    <row r="21" ht="30" customHeight="1">
      <c r="B21" s="7" t="n">
        <v>2</v>
      </c>
      <c r="C21" s="8" t="inlineStr">
        <is>
          <t>On Takeoff type one row per opening. Pick SCOPE first: it decides whether the row makes a frame line, a door line, or both.</t>
        </is>
      </c>
    </row>
    <row r="22" ht="30" customHeight="1">
      <c r="B22" s="7" t="n">
        <v>3</v>
      </c>
      <c r="C22" s="8" t="inlineStr">
        <is>
          <t>Size: W FT, W IN, H FT, H IN (3 · 0 · 7 · 0 = 3070). Fractions as decimals: 0.5 = 1/2". PAIR = Y for a pair. Transom and sidelite are glass sizes in inches.</t>
        </is>
      </c>
    </row>
    <row r="23" ht="30" customHeight="1">
      <c r="B23" s="7" t="n">
        <v>4</v>
      </c>
      <c r="C23" s="8" t="inlineStr">
        <is>
          <t>Give WALL TYPE and WALL HR when the plans show them: the sheet then checks the door rating against IBC Table 716.1(2).</t>
        </is>
      </c>
    </row>
    <row r="24" ht="30" customHeight="1">
      <c r="B24" s="7" t="n">
        <v>5</v>
      </c>
      <c r="C24" s="8" t="inlineStr">
        <is>
          <t>Amber cells are required and still empty. CHECK says OK, CHECK (worth a look) or FIX (missing or wrong) and the next column says why.</t>
        </is>
      </c>
    </row>
    <row r="25" ht="30" customHeight="1">
      <c r="B25" s="7" t="n">
        <v>6</v>
      </c>
      <c r="C25" s="8" t="inlineStr">
        <is>
          <t>Elevation draws any mark at scale; Elevations draws one of each type for the submittal or the shop. Both follow the Takeoff live.</t>
        </is>
      </c>
    </row>
    <row r="26" ht="30" customHeight="1">
      <c r="B26" s="7" t="n">
        <v>7</v>
      </c>
      <c r="C26" s="8" t="inlineStr">
        <is>
          <t>Hardware: list each set on the Hardware sheet, then pick the set on the Takeoff. Opening counts and job quantities follow.</t>
        </is>
      </c>
    </row>
    <row r="27" ht="30" customHeight="1">
      <c r="B27" s="7" t="n">
        <v>8</v>
      </c>
      <c r="C27" s="8" t="inlineStr">
        <is>
          <t>Frame order and Door order build themselves. Print them or copy the lines into the supplier’s portal.</t>
        </is>
      </c>
    </row>
    <row r="28" ht="30" customHeight="1">
      <c r="B28" s="7" t="n">
        <v>9</v>
      </c>
      <c r="C28" s="8" t="inlineStr">
        <is>
          <t>The eight sample openings (101–108) show every feature. Select the white/yellow input cells of those rows and press Delete to start a job; the formulas stay.</t>
        </is>
      </c>
    </row>
    <row r="31">
      <c r="B31" s="6" t="inlineStr">
        <is>
          <t>COLOUR KEY</t>
        </is>
      </c>
    </row>
    <row r="32">
      <c r="B32" s="9" t="n"/>
      <c r="C32" s="10" t="inlineStr">
        <is>
          <t>Opening inputs</t>
        </is>
      </c>
    </row>
    <row r="33">
      <c r="B33" s="11" t="n"/>
      <c r="C33" s="12" t="inlineStr">
        <is>
          <t>Frame inputs</t>
        </is>
      </c>
    </row>
    <row r="34">
      <c r="B34" s="13" t="n"/>
      <c r="C34" s="14" t="inlineStr">
        <is>
          <t>Door inputs</t>
        </is>
      </c>
    </row>
    <row r="35">
      <c r="B35" s="15" t="n"/>
      <c r="C35" s="16" t="inlineStr">
        <is>
          <t>Hardware</t>
        </is>
      </c>
    </row>
    <row r="36">
      <c r="B36" s="17" t="n"/>
      <c r="C36" s="18" t="inlineStr">
        <is>
          <t>Calculated — do not type</t>
        </is>
      </c>
    </row>
    <row r="38">
      <c r="B38" s="19" t="n"/>
      <c r="C38" s="20" t="inlineStr">
        <is>
          <t>Required and still empty</t>
        </is>
      </c>
    </row>
    <row r="39">
      <c r="B39" s="21" t="inlineStr">
        <is>
          <t>Blue</t>
        </is>
      </c>
      <c r="C39" s="20" t="inlineStr">
        <is>
          <t>Text you typed (inputs)</t>
        </is>
      </c>
    </row>
    <row r="41">
      <c r="B41" s="6" t="inlineStr">
        <is>
          <t>WHAT IS NEW IN 3.0 (vs. 2.0)</t>
        </is>
      </c>
    </row>
    <row r="42" ht="28" customHeight="1">
      <c r="B42" s="22" t="inlineStr">
        <is>
          <t>•</t>
        </is>
      </c>
      <c r="C42" s="8" t="inlineStr">
        <is>
          <t>Live elevations at scale: frame, leaves, lites/louvers, transom, sidelites, hinges, lever, swing and dimensions — for one mark or every type.</t>
        </is>
      </c>
    </row>
    <row r="43" ht="28" customHeight="1">
      <c r="B43" s="22" t="inlineStr">
        <is>
          <t>•</t>
        </is>
      </c>
      <c r="C43" s="8" t="inlineStr">
        <is>
          <t>Calculated leaf size, frame overall, rough opening, clear width, hinges per leaf, lite size and elevation type on every row.</t>
        </is>
      </c>
    </row>
    <row r="44" ht="28" customHeight="1">
      <c r="B44" s="22" t="inlineStr">
        <is>
          <t>•</t>
        </is>
      </c>
      <c r="C44" s="8" t="inlineStr">
        <is>
          <t>Code checks: door vs wall rating (IBC 716.1(2)), FRP labels, pair/hand both ways, 180/90 min glass limit, ADA 32" clear, S-label corridors, closer reinforcement, oversize leaves.</t>
        </is>
      </c>
    </row>
    <row r="45" ht="28" customHeight="1">
      <c r="B45" s="22" t="inlineStr">
        <is>
          <t>•</t>
        </is>
      </c>
      <c r="C45" s="8" t="inlineStr">
        <is>
          <t>Two levels: FIX (blocks the order) and CHECK (worth a look). Required cells light up amber until filled.</t>
        </is>
      </c>
    </row>
    <row r="46" ht="28" customHeight="1">
      <c r="B46" s="22" t="inlineStr">
        <is>
          <t>•</t>
        </is>
      </c>
      <c r="C46" s="8" t="inlineStr">
        <is>
          <t>Hardware sets with items, opening counts and job quantities.</t>
        </is>
      </c>
    </row>
    <row r="47" ht="28" customHeight="1">
      <c r="B47" s="22" t="inlineStr">
        <is>
          <t>•</t>
        </is>
      </c>
      <c r="C47" s="8" t="inlineStr">
        <is>
          <t>Transom, sidelite and wall columns; door hand and hinge prep default to the frame when blank; foldable column groups; filters; print setup on every sheet.</t>
        </is>
      </c>
    </row>
    <row r="48" ht="28" customHeight="1">
      <c r="B48" s="22" t="inlineStr">
        <is>
          <t>•</t>
        </is>
      </c>
      <c r="C48" s="8" t="inlineStr">
        <is>
          <t>Same codes and lists as 2.0: order lines read exactly as before.</t>
        </is>
      </c>
    </row>
  </sheetData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C5975"/>
    <outlinePr summaryBelow="1" summaryRight="1"/>
    <pageSetUpPr/>
  </sheetPr>
  <dimension ref="B2:D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34" customWidth="1" min="3" max="3"/>
    <col width="90" customWidth="1" min="4" max="4"/>
  </cols>
  <sheetData>
    <row r="2">
      <c r="B2" s="23" t="inlineStr">
        <is>
          <t>JOB</t>
        </is>
      </c>
    </row>
    <row r="3">
      <c r="B3" s="24" t="inlineStr">
        <is>
          <t>Fill this in once. It prints on the takeoff, the order sheets and the elevations.</t>
        </is>
      </c>
    </row>
    <row r="5">
      <c r="B5" s="25" t="inlineStr">
        <is>
          <t>Job name</t>
        </is>
      </c>
      <c r="C5" s="26" t="inlineStr"/>
    </row>
    <row r="6">
      <c r="B6" s="25" t="inlineStr">
        <is>
          <t>Job number</t>
        </is>
      </c>
      <c r="C6" s="26" t="inlineStr"/>
    </row>
    <row r="7">
      <c r="B7" s="25" t="inlineStr">
        <is>
          <t>Address</t>
        </is>
      </c>
      <c r="C7" s="26" t="inlineStr"/>
    </row>
    <row r="8">
      <c r="B8" s="25" t="inlineStr">
        <is>
          <t>General contractor</t>
        </is>
      </c>
      <c r="C8" s="26" t="inlineStr"/>
    </row>
    <row r="9">
      <c r="B9" s="25" t="inlineStr">
        <is>
          <t>Architect</t>
        </is>
      </c>
      <c r="C9" s="26" t="inlineStr"/>
    </row>
    <row r="10">
      <c r="B10" s="25" t="inlineStr">
        <is>
          <t>Estimator</t>
        </is>
      </c>
      <c r="C10" s="26" t="inlineStr"/>
    </row>
    <row r="11">
      <c r="B11" s="25" t="inlineStr">
        <is>
          <t>Date</t>
        </is>
      </c>
      <c r="C11" s="27">
        <f>TODAY()</f>
        <v/>
      </c>
    </row>
    <row r="12">
      <c r="B12" s="25" t="inlineStr">
        <is>
          <t>Bid date</t>
        </is>
      </c>
      <c r="C12" s="27" t="inlineStr"/>
    </row>
    <row r="13">
      <c r="B13" s="25" t="inlineStr">
        <is>
          <t>Supplier</t>
        </is>
      </c>
      <c r="C13" s="26" t="inlineStr">
        <is>
          <t>CURRIES</t>
        </is>
      </c>
    </row>
    <row r="14">
      <c r="B14" s="25" t="inlineStr">
        <is>
          <t>Revision</t>
        </is>
      </c>
      <c r="C14" s="26" t="inlineStr">
        <is>
          <t>REV 0</t>
        </is>
      </c>
    </row>
    <row r="15">
      <c r="B15" s="25" t="inlineStr">
        <is>
          <t>Drawings / addenda</t>
        </is>
      </c>
      <c r="C15" s="26" t="inlineStr"/>
    </row>
    <row r="18">
      <c r="B18" s="6" t="inlineStr">
        <is>
          <t>SIZES AND CLEARANCES (inches)</t>
        </is>
      </c>
    </row>
    <row r="19">
      <c r="B19" s="28" t="inlineStr">
        <is>
          <t>Used for leaf size, frame overall, rough opening, clear width and the elevations. Change them to suit the frame maker.</t>
        </is>
      </c>
    </row>
    <row r="21">
      <c r="B21" s="20" t="inlineStr">
        <is>
          <t>Frame face (jamb &amp; head)</t>
        </is>
      </c>
      <c r="C21" s="29" t="n">
        <v>2</v>
      </c>
      <c r="D21" s="30" t="inlineStr">
        <is>
          <t>Standard 2" face. A 4" head is picked per opening on the Takeoff.</t>
        </is>
      </c>
    </row>
    <row r="22">
      <c r="B22" s="20" t="inlineStr">
        <is>
          <t>Hinge &amp; strike edge clearance</t>
        </is>
      </c>
      <c r="C22" s="29" t="n">
        <v>0.125</v>
      </c>
      <c r="D22" s="30" t="inlineStr">
        <is>
          <t>Gap each side between leaf and frame rabbet (NFPA 80 max 1/8" on steel).</t>
        </is>
      </c>
    </row>
    <row r="23">
      <c r="B23" s="20" t="inlineStr">
        <is>
          <t>Meeting edge clearance (pairs)</t>
        </is>
      </c>
      <c r="C23" s="29" t="n">
        <v>0.125</v>
      </c>
      <c r="D23" s="30" t="inlineStr">
        <is>
          <t>Gap between leaves of a pair.</t>
        </is>
      </c>
    </row>
    <row r="24">
      <c r="B24" s="20" t="inlineStr">
        <is>
          <t>Head clearance</t>
        </is>
      </c>
      <c r="C24" s="29" t="n">
        <v>0.125</v>
      </c>
      <c r="D24" s="30" t="inlineStr">
        <is>
          <t>Gap between top of leaf and head rabbet.</t>
        </is>
      </c>
    </row>
    <row r="25">
      <c r="B25" s="20" t="inlineStr">
        <is>
          <t>Undercut</t>
        </is>
      </c>
      <c r="C25" s="29" t="n">
        <v>0.75</v>
      </c>
      <c r="D25" s="30" t="inlineStr">
        <is>
          <t>Floor to bottom of leaf. NFPA 80 allows 3/4" max on rated doors over a non-combustible floor.</t>
        </is>
      </c>
    </row>
    <row r="26">
      <c r="B26" s="20" t="inlineStr">
        <is>
          <t>Rough opening allowance, each side</t>
        </is>
      </c>
      <c r="C26" s="29" t="n">
        <v>0.25</v>
      </c>
      <c r="D26" s="30" t="inlineStr">
        <is>
          <t>Added to frame overall width, each side.</t>
        </is>
      </c>
    </row>
    <row r="27">
      <c r="B27" s="20" t="inlineStr">
        <is>
          <t>Rough opening allowance, head</t>
        </is>
      </c>
      <c r="C27" s="29" t="n">
        <v>0.25</v>
      </c>
      <c r="D27" s="30" t="inlineStr">
        <is>
          <t>Added to frame overall height.</t>
        </is>
      </c>
    </row>
    <row r="28">
      <c r="B28" s="20" t="inlineStr">
        <is>
          <t>Clear width deduction</t>
        </is>
      </c>
      <c r="C28" s="29" t="n">
        <v>2.625</v>
      </c>
      <c r="D28" s="30" t="inlineStr">
        <is>
          <t>Nominal leaf width minus this = approx. clear opening at 90° (stop + 1-3/4" door + knuckle).</t>
        </is>
      </c>
    </row>
    <row r="29">
      <c r="B29" s="20" t="inlineStr">
        <is>
          <t>Lock / lever height (AFF)</t>
        </is>
      </c>
      <c r="C29" s="29" t="n">
        <v>40.3125</v>
      </c>
      <c r="D29" s="30" t="inlineStr">
        <is>
          <t>Lock centre line from finished floor, for the elevation.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C5975"/>
    <outlinePr summaryBelow="1" summaryRight="0"/>
    <pageSetUpPr fitToPage="1"/>
  </sheetPr>
  <dimension ref="A1:BX505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" customWidth="1" min="2" max="2"/>
    <col width="14" customWidth="1" min="3" max="3"/>
    <col width="9" customWidth="1" min="4" max="4"/>
    <col width="10" customWidth="1" min="5" max="5"/>
    <col width="13" customWidth="1" min="6" max="6"/>
    <col width="13" customWidth="1" min="7" max="7"/>
    <col width="9" customWidth="1" min="8" max="8"/>
    <col width="15" customWidth="1" min="9" max="9"/>
    <col width="6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8" customWidth="1" min="16" max="16"/>
    <col width="8" customWidth="1" min="17" max="17"/>
    <col width="7" customWidth="1" min="18" max="18"/>
    <col width="8" customWidth="1" min="19" max="19"/>
    <col outlineLevel="1" width="7" customWidth="1" min="20" max="33"/>
    <col width="9" customWidth="1" min="34" max="34"/>
    <col outlineLevel="1" width="6" customWidth="1" min="35" max="46"/>
    <col width="7" customWidth="1" min="47" max="47"/>
    <col width="16" customWidth="1" min="48" max="48"/>
    <col width="7" customWidth="1" min="49" max="49"/>
    <col width="46" customWidth="1" min="50" max="50"/>
    <col outlineLevel="1" width="13" customWidth="1" min="51" max="68"/>
    <col width="60" customWidth="1" min="69" max="69"/>
    <col width="60" customWidth="1" min="70" max="70"/>
    <col hidden="1" outlineLevel="1" width="6" customWidth="1" min="71" max="76"/>
  </cols>
  <sheetData>
    <row r="1">
      <c r="A1" s="31">
        <f>IF(JobName="","TAKEOFF — fill in the job on the Job sheet",JobName&amp;IF(JobNo="",""," — job "&amp;JobNo))</f>
        <v/>
      </c>
    </row>
    <row r="2">
      <c r="A2" s="32">
        <f>COUNTIF(tk_MARK,"?*")&amp;" rows  ·  "&amp;SUM(tk_QTY)&amp;" openings  ·  "&amp;SUMPRODUCT(tk_QTY,tk_LEAVES)&amp;" leaves  ·  "&amp;COUNTIF(tk_CHECK,"FIX")&amp;" to fix  ·  "&amp;COUNTIF(tk_CHECK,"CHECK")&amp;" to check"</f>
        <v/>
      </c>
    </row>
    <row r="3">
      <c r="A3" s="33" t="inlineStr">
        <is>
          <t>Yellow-tinted columns are yours; grey ones calculate. Pick from the dropdowns. Click a group’s [−] above the letters to fold it away.</t>
        </is>
      </c>
    </row>
    <row r="4">
      <c r="A4" s="34" t="inlineStr">
        <is>
          <t>OPENING</t>
        </is>
      </c>
      <c r="B4" s="34" t="n"/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5" t="inlineStr">
        <is>
          <t>FRAME</t>
        </is>
      </c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  <c r="AC4" s="35" t="n"/>
      <c r="AD4" s="35" t="n"/>
      <c r="AE4" s="35" t="n"/>
      <c r="AF4" s="35" t="n"/>
      <c r="AG4" s="35" t="n"/>
      <c r="AH4" s="36" t="inlineStr">
        <is>
          <t>DOOR</t>
        </is>
      </c>
      <c r="AI4" s="36" t="n"/>
      <c r="AJ4" s="36" t="n"/>
      <c r="AK4" s="36" t="n"/>
      <c r="AL4" s="36" t="n"/>
      <c r="AM4" s="36" t="n"/>
      <c r="AN4" s="36" t="n"/>
      <c r="AO4" s="36" t="n"/>
      <c r="AP4" s="36" t="n"/>
      <c r="AQ4" s="36" t="n"/>
      <c r="AR4" s="36" t="n"/>
      <c r="AS4" s="36" t="n"/>
      <c r="AT4" s="36" t="n"/>
      <c r="AU4" s="37" t="inlineStr">
        <is>
          <t>HARDWARE</t>
        </is>
      </c>
      <c r="AV4" s="37" t="n"/>
      <c r="AW4" s="38" t="inlineStr">
        <is>
          <t>CALCULATED</t>
        </is>
      </c>
      <c r="AX4" s="38" t="n"/>
      <c r="AY4" s="38" t="n"/>
      <c r="AZ4" s="38" t="n"/>
      <c r="BA4" s="38" t="n"/>
      <c r="BB4" s="38" t="n"/>
      <c r="BC4" s="38" t="n"/>
      <c r="BD4" s="38" t="n"/>
      <c r="BE4" s="38" t="n"/>
      <c r="BF4" s="38" t="n"/>
      <c r="BG4" s="38" t="n"/>
      <c r="BH4" s="38" t="n"/>
      <c r="BI4" s="38" t="n"/>
      <c r="BJ4" s="38" t="n"/>
      <c r="BK4" s="38" t="n"/>
      <c r="BL4" s="38" t="n"/>
      <c r="BM4" s="38" t="n"/>
      <c r="BN4" s="38" t="n"/>
      <c r="BO4" s="38" t="n"/>
      <c r="BP4" s="38" t="n"/>
      <c r="BQ4" s="38" t="n"/>
      <c r="BR4" s="38" t="n"/>
      <c r="BS4" s="38" t="n"/>
      <c r="BT4" s="38" t="n"/>
      <c r="BU4" s="38" t="n"/>
      <c r="BV4" s="38" t="n"/>
      <c r="BW4" s="38" t="n"/>
      <c r="BX4" s="38" t="n"/>
    </row>
    <row r="5" ht="42" customHeight="1">
      <c r="A5" s="39" t="inlineStr">
        <is>
          <t>MARK</t>
        </is>
      </c>
      <c r="B5" s="39" t="inlineStr">
        <is>
          <t>QTY</t>
        </is>
      </c>
      <c r="C5" s="39" t="inlineStr">
        <is>
          <t>SCOPE</t>
        </is>
      </c>
      <c r="D5" s="39" t="inlineStr">
        <is>
          <t>FLOOR</t>
        </is>
      </c>
      <c r="E5" s="39" t="inlineStr">
        <is>
          <t>CATEGORY</t>
        </is>
      </c>
      <c r="F5" s="39" t="inlineStr">
        <is>
          <t>ROOM FROM</t>
        </is>
      </c>
      <c r="G5" s="39" t="inlineStr">
        <is>
          <t>ROOM TO</t>
        </is>
      </c>
      <c r="H5" s="39" t="inlineStr">
        <is>
          <t>FIRE RATING</t>
        </is>
      </c>
      <c r="I5" s="39" t="inlineStr">
        <is>
          <t>WALL TYPE</t>
        </is>
      </c>
      <c r="J5" s="39" t="inlineStr">
        <is>
          <t>WALL HR</t>
        </is>
      </c>
      <c r="K5" s="39" t="inlineStr">
        <is>
          <t>W FT</t>
        </is>
      </c>
      <c r="L5" s="39" t="inlineStr">
        <is>
          <t>W IN</t>
        </is>
      </c>
      <c r="M5" s="39" t="inlineStr">
        <is>
          <t>H FT</t>
        </is>
      </c>
      <c r="N5" s="39" t="inlineStr">
        <is>
          <t>H IN</t>
        </is>
      </c>
      <c r="O5" s="39" t="inlineStr">
        <is>
          <t>PAIR</t>
        </is>
      </c>
      <c r="P5" s="39" t="inlineStr">
        <is>
          <t>TRANSOM H (IN)</t>
        </is>
      </c>
      <c r="Q5" s="39" t="inlineStr">
        <is>
          <t>SIDELITE W (IN)</t>
        </is>
      </c>
      <c r="R5" s="39" t="inlineStr">
        <is>
          <t>SIDELITE SIDE</t>
        </is>
      </c>
      <c r="S5" s="40" t="inlineStr">
        <is>
          <t>FRAME TYPE</t>
        </is>
      </c>
      <c r="T5" s="40" t="inlineStr">
        <is>
          <t>PROFILE</t>
        </is>
      </c>
      <c r="U5" s="40" t="inlineStr">
        <is>
          <t>JAMB DEPTH</t>
        </is>
      </c>
      <c r="V5" s="40" t="inlineStr">
        <is>
          <t>GAUGE</t>
        </is>
      </c>
      <c r="W5" s="40" t="inlineStr">
        <is>
          <t>STEEL</t>
        </is>
      </c>
      <c r="X5" s="40" t="inlineStr">
        <is>
          <t>CONSTR.</t>
        </is>
      </c>
      <c r="Y5" s="40" t="inlineStr">
        <is>
          <t>ANCHOR</t>
        </is>
      </c>
      <c r="Z5" s="40" t="inlineStr">
        <is>
          <t>HAND</t>
        </is>
      </c>
      <c r="AA5" s="40" t="inlineStr">
        <is>
          <t>MANUF.</t>
        </is>
      </c>
      <c r="AB5" s="40" t="inlineStr">
        <is>
          <t>4" HEAD</t>
        </is>
      </c>
      <c r="AC5" s="40" t="inlineStr">
        <is>
          <t>HINGE PREP</t>
        </is>
      </c>
      <c r="AD5" s="40" t="inlineStr">
        <is>
          <t>STRIKE PREP</t>
        </is>
      </c>
      <c r="AE5" s="40" t="inlineStr">
        <is>
          <t>HEADER PREP</t>
        </is>
      </c>
      <c r="AF5" s="40" t="inlineStr">
        <is>
          <t>CLOSER REINF.</t>
        </is>
      </c>
      <c r="AG5" s="40" t="inlineStr">
        <is>
          <t>FRAME NOTES</t>
        </is>
      </c>
      <c r="AH5" s="41" t="inlineStr">
        <is>
          <t>MATERIAL</t>
        </is>
      </c>
      <c r="AI5" s="41" t="inlineStr">
        <is>
          <t>GAUGE</t>
        </is>
      </c>
      <c r="AJ5" s="41" t="inlineStr">
        <is>
          <t>WOOD CORE</t>
        </is>
      </c>
      <c r="AK5" s="41" t="inlineStr">
        <is>
          <t>WOOD FINISH</t>
        </is>
      </c>
      <c r="AL5" s="41" t="inlineStr">
        <is>
          <t>FACE TYPE</t>
        </is>
      </c>
      <c r="AM5" s="41" t="inlineStr">
        <is>
          <t>SERIES</t>
        </is>
      </c>
      <c r="AN5" s="41" t="inlineStr">
        <is>
          <t>DOOR HAND (blank = frame)</t>
        </is>
      </c>
      <c r="AO5" s="41" t="inlineStr">
        <is>
          <t>HW LOCATIONS</t>
        </is>
      </c>
      <c r="AP5" s="41" t="inlineStr">
        <is>
          <t>HINGE PREP (blank = frame)</t>
        </is>
      </c>
      <c r="AQ5" s="41" t="inlineStr">
        <is>
          <t>LOCK PREP</t>
        </is>
      </c>
      <c r="AR5" s="41" t="inlineStr">
        <is>
          <t>EDGE</t>
        </is>
      </c>
      <c r="AS5" s="41" t="inlineStr">
        <is>
          <t>ASTRAGAL</t>
        </is>
      </c>
      <c r="AT5" s="41" t="inlineStr">
        <is>
          <t>DOOR NOTES</t>
        </is>
      </c>
      <c r="AU5" s="42" t="inlineStr">
        <is>
          <t>HW SET</t>
        </is>
      </c>
      <c r="AV5" s="42" t="inlineStr">
        <is>
          <t>HARDWARE NOTES</t>
        </is>
      </c>
      <c r="AW5" s="43" t="inlineStr">
        <is>
          <t>CHECK</t>
        </is>
      </c>
      <c r="AX5" s="43" t="inlineStr">
        <is>
          <t>WHAT TO FIX / CHECK</t>
        </is>
      </c>
      <c r="AY5" s="43" t="inlineStr">
        <is>
          <t>SIZE</t>
        </is>
      </c>
      <c r="AZ5" s="43" t="inlineStr">
        <is>
          <t>CODE</t>
        </is>
      </c>
      <c r="BA5" s="43" t="inlineStr">
        <is>
          <t>W (IN)</t>
        </is>
      </c>
      <c r="BB5" s="43" t="inlineStr">
        <is>
          <t>H (IN)</t>
        </is>
      </c>
      <c r="BC5" s="43" t="inlineStr">
        <is>
          <t>LEAVES</t>
        </is>
      </c>
      <c r="BD5" s="43" t="inlineStr">
        <is>
          <t>LEAF W</t>
        </is>
      </c>
      <c r="BE5" s="43" t="inlineStr">
        <is>
          <t>LEAF H</t>
        </is>
      </c>
      <c r="BF5" s="43" t="inlineStr">
        <is>
          <t>FRAME O/A W</t>
        </is>
      </c>
      <c r="BG5" s="43" t="inlineStr">
        <is>
          <t>FRAME O/A H</t>
        </is>
      </c>
      <c r="BH5" s="43" t="inlineStr">
        <is>
          <t>ROUGH OPG W</t>
        </is>
      </c>
      <c r="BI5" s="43" t="inlineStr">
        <is>
          <t>ROUGH OPG H</t>
        </is>
      </c>
      <c r="BJ5" s="43" t="inlineStr">
        <is>
          <t>CLEAR W (approx)</t>
        </is>
      </c>
      <c r="BK5" s="43" t="inlineStr">
        <is>
          <t>HINGES / LEAF</t>
        </is>
      </c>
      <c r="BL5" s="43" t="inlineStr">
        <is>
          <t>LITE KIT</t>
        </is>
      </c>
      <c r="BM5" s="43" t="inlineStr">
        <is>
          <t>LITE W</t>
        </is>
      </c>
      <c r="BN5" s="43" t="inlineStr">
        <is>
          <t>LITE H</t>
        </is>
      </c>
      <c r="BO5" s="43" t="inlineStr">
        <is>
          <t>DOOR MIN</t>
        </is>
      </c>
      <c r="BP5" s="43" t="inlineStr">
        <is>
          <t>WALL NEEDS (MIN)</t>
        </is>
      </c>
      <c r="BQ5" s="43" t="inlineStr">
        <is>
          <t>FRAME ORDER LINE</t>
        </is>
      </c>
      <c r="BR5" s="43" t="inlineStr">
        <is>
          <t>DOOR ORDER LINE</t>
        </is>
      </c>
      <c r="BS5" s="43" t="inlineStr">
        <is>
          <t>ELEV TYPE</t>
        </is>
      </c>
      <c r="BT5" s="43" t="inlineStr">
        <is>
          <t>FSEQ</t>
        </is>
      </c>
      <c r="BU5" s="43" t="inlineStr">
        <is>
          <t>DSEQ</t>
        </is>
      </c>
      <c r="BV5" s="43" t="inlineStr">
        <is>
          <t>EKEY</t>
        </is>
      </c>
      <c r="BW5" s="43" t="inlineStr">
        <is>
          <t>ERRS</t>
        </is>
      </c>
      <c r="BX5" s="43" t="inlineStr">
        <is>
          <t>WARNS</t>
        </is>
      </c>
    </row>
    <row r="6" ht="15" customHeight="1">
      <c r="A6" s="44" t="inlineStr">
        <is>
          <t>101</t>
        </is>
      </c>
      <c r="B6" s="45" t="n">
        <v>1</v>
      </c>
      <c r="C6" s="45" t="inlineStr">
        <is>
          <t>FRAME &amp; DOOR</t>
        </is>
      </c>
      <c r="D6" s="45" t="inlineStr">
        <is>
          <t>1st</t>
        </is>
      </c>
      <c r="E6" s="45" t="inlineStr">
        <is>
          <t>INTERIOR</t>
        </is>
      </c>
      <c r="F6" s="45" t="inlineStr">
        <is>
          <t>CORRIDOR</t>
        </is>
      </c>
      <c r="G6" s="45" t="inlineStr">
        <is>
          <t>OFFICE 101</t>
        </is>
      </c>
      <c r="H6" s="45" t="inlineStr">
        <is>
          <t>20 MIN</t>
        </is>
      </c>
      <c r="I6" s="45" t="inlineStr">
        <is>
          <t>CORRIDOR</t>
        </is>
      </c>
      <c r="J6" s="45" t="n">
        <v>1</v>
      </c>
      <c r="K6" s="45" t="n">
        <v>3</v>
      </c>
      <c r="L6" s="45" t="n">
        <v>0</v>
      </c>
      <c r="M6" s="45" t="n">
        <v>7</v>
      </c>
      <c r="N6" s="45" t="n">
        <v>0</v>
      </c>
      <c r="O6" s="45" t="n"/>
      <c r="P6" s="45" t="n"/>
      <c r="Q6" s="45" t="n"/>
      <c r="R6" s="45" t="n"/>
      <c r="S6" s="46" t="inlineStr">
        <is>
          <t>3F</t>
        </is>
      </c>
      <c r="T6" s="46" t="inlineStr">
        <is>
          <t>M</t>
        </is>
      </c>
      <c r="U6" s="46" t="n">
        <v>534</v>
      </c>
      <c r="V6" s="46" t="n">
        <v>16</v>
      </c>
      <c r="W6" s="46" t="inlineStr">
        <is>
          <t>CR</t>
        </is>
      </c>
      <c r="X6" s="46" t="inlineStr">
        <is>
          <t>KD</t>
        </is>
      </c>
      <c r="Y6" s="46" t="inlineStr">
        <is>
          <t>SC</t>
        </is>
      </c>
      <c r="Z6" s="46" t="inlineStr">
        <is>
          <t>R</t>
        </is>
      </c>
      <c r="AA6" s="46" t="inlineStr">
        <is>
          <t>CU</t>
        </is>
      </c>
      <c r="AB6" s="46" t="n"/>
      <c r="AC6" s="46" t="inlineStr">
        <is>
          <t>U453</t>
        </is>
      </c>
      <c r="AD6" s="46" t="inlineStr">
        <is>
          <t>E1</t>
        </is>
      </c>
      <c r="AE6" s="46" t="n"/>
      <c r="AF6" s="46" t="inlineStr">
        <is>
          <t>E11</t>
        </is>
      </c>
      <c r="AG6" s="46" t="n"/>
      <c r="AH6" s="47" t="inlineStr">
        <is>
          <t>CR</t>
        </is>
      </c>
      <c r="AI6" s="47" t="n">
        <v>18</v>
      </c>
      <c r="AJ6" s="47" t="n"/>
      <c r="AK6" s="47" t="n"/>
      <c r="AL6" s="47" t="inlineStr">
        <is>
          <t>FNV-6"x27"</t>
        </is>
      </c>
      <c r="AM6" s="47" t="n">
        <v>707</v>
      </c>
      <c r="AN6" s="47" t="n"/>
      <c r="AO6" s="47" t="inlineStr">
        <is>
          <t>CURRIES</t>
        </is>
      </c>
      <c r="AP6" s="47" t="n"/>
      <c r="AQ6" s="47" t="inlineStr">
        <is>
          <t>G2</t>
        </is>
      </c>
      <c r="AR6" s="47" t="n"/>
      <c r="AS6" s="47" t="n"/>
      <c r="AT6" s="47" t="n"/>
      <c r="AU6" s="48" t="inlineStr">
        <is>
          <t>1</t>
        </is>
      </c>
      <c r="AV6" s="48" t="n"/>
      <c r="AW6" s="49">
        <f>IF($A6="","",IF($BW6&lt;&gt;"","FIX",IF($BX6&lt;&gt;"","CHECK","OK")))</f>
        <v/>
      </c>
      <c r="AX6" s="50">
        <f>IF($A6="","",IF($BW6&lt;&gt;"","FIX: "&amp;LEFT($BW6,LEN($BW6)-2)&amp;IF($BX6&lt;&gt;"","  ·  ",""),"")&amp;IF($BX6&lt;&gt;"","CHECK: "&amp;LEFT($BX6,LEN($BX6)-2),""))</f>
        <v/>
      </c>
      <c r="AY6" s="49">
        <f>IF(OR($A6="",$K6=""),"",$K6&amp;"'-"&amp;N($L6)&amp;CHAR(34)&amp;" x "&amp;$M6&amp;"'-"&amp;N($N6)&amp;CHAR(34))</f>
        <v/>
      </c>
      <c r="AZ6" s="49">
        <f>IF(OR($A6="",$K6=""),"",$K6&amp;N($L6)&amp;$M6&amp;N($N6))</f>
        <v/>
      </c>
      <c r="BA6" s="49">
        <f>IF(OR($A6="",$K6=""),"",$K6*12+N($L6))</f>
        <v/>
      </c>
      <c r="BB6" s="49">
        <f>IF(OR($A6="",$M6=""),"",$M6*12+N($N6))</f>
        <v/>
      </c>
      <c r="BC6" s="49">
        <f>IF($A6="","",IF(OR($C6="FRAME ONLY",$S6="BL"),0,IF($O6="Y",2,1)))</f>
        <v/>
      </c>
      <c r="BD6" s="51">
        <f>IF(OR(N($BC6)=0,$BA6=""),"",($BA6-2*EdgeClr-IF($BC6=2,MeetClr,0))/$BC6)</f>
        <v/>
      </c>
      <c r="BE6" s="51">
        <f>IF(OR(N($BC6)=0,$BB6=""),"",$BB6-HeadClr-Undercut)</f>
        <v/>
      </c>
      <c r="BF6" s="51">
        <f>IF($BA6="","",$BA6+2*FaceW+IF(N($Q6)&gt;0,($Q6+FaceW)*IF($R6="LR",2,1),0))</f>
        <v/>
      </c>
      <c r="BG6" s="51">
        <f>IF($BB6="","",$BB6+IF($AB6="Y",4,FaceW)+IF(N($P6)&gt;0,$P6+FaceW,0)+IF(OR($S6="4F",$S6="BL"),FaceW,0))</f>
        <v/>
      </c>
      <c r="BH6" s="51">
        <f>IF($BF6="","",$BF6+2*ROSide)</f>
        <v/>
      </c>
      <c r="BI6" s="51">
        <f>IF($BG6="","",$BG6+ROTop)</f>
        <v/>
      </c>
      <c r="BJ6" s="52">
        <f>IF(OR(N($BC6)=0,$BA6=""),"",$BA6/$BC6-ClearDeduct)</f>
        <v/>
      </c>
      <c r="BK6" s="49">
        <f>IF(OR(N($BC6)=0,$BE6=""),"",IF(OR($AC6="HGC",$AP6="HGC"),"CONT",IF($BE6&lt;=60,2,IF($BE6&lt;=90,3,IF($BE6&lt;=120,4,5)))))</f>
        <v/>
      </c>
      <c r="BL6" s="49">
        <f>IF(N($BC6)=0,"",IF(OR($AL6="",$AL6="FLUSH"),"FLUSH",IFERROR(LEFT($AL6,FIND("-",$AL6)-1),LEFT($AL6,2))))</f>
        <v/>
      </c>
      <c r="BM6" s="49">
        <f>IF($BL6="","",IFERROR(VALUE(MID($AL6,FIND("-",$AL6)+1,FIND(CHAR(34)&amp;"x",$AL6)-FIND("-",$AL6)-1)),0))</f>
        <v/>
      </c>
      <c r="BN6" s="49">
        <f>IF($BL6="","",IFERROR(VALUE(MID($AL6,FIND(CHAR(34)&amp;"x",$AL6)+2,FIND(CHAR(34),$AL6,FIND(CHAR(34)&amp;"x",$AL6)+2)-FIND(CHAR(34)&amp;"x",$AL6)-2)),0))</f>
        <v/>
      </c>
      <c r="BO6" s="53">
        <f>IF(OR($A6="",$H6="",$H6="NO LAB"),0,IFERROR(VALUE(LEFT($H6,FIND(" ",$H6)-1)),0))</f>
        <v/>
      </c>
      <c r="BP6" s="54">
        <f>IF(OR($A6="",$I6="",$I6="NON-RATED",N($J6)=0),"",IFERROR(VLOOKUP($I6&amp;"|"&amp;$J6,IBC,2,FALSE),"?"))</f>
        <v/>
      </c>
      <c r="BQ6" s="50">
        <f>IF(NOT(AND($A6&lt;&gt;"",$C6&lt;&gt;"DOOR ONLY")),"",TRIM(IFERROR(VLOOKUP($U6,CODES,2,FALSE),"")&amp;" "&amp;$AZ6&amp;" "&amp;IFERROR(VLOOKUP($Z6,CODES,2,FALSE),"")&amp;" "&amp;IFERROR(VLOOKUP($X6,CODES,2,FALSE),"")&amp;" "&amp;IFERROR(VLOOKUP($S6,CODES,2,FALSE),"")&amp;IF(N($P6)&gt;0," w/TRANSOM "&amp;$P6&amp;CHAR(34),"")&amp;IF(N($Q6)&gt;0," w/SIDELITE "&amp;$Q6&amp;CHAR(34)&amp;" "&amp;IF($R6="","R",$R6),"")&amp;IF($Y6="","  |  "," | "&amp;IFERROR(VLOOKUP($Y6,CODES,2,FALSE),"")&amp;" | ")&amp;IFERROR(VLOOKUP($AC6,CODES,2,FALSE),"")&amp;" "&amp;IFERROR(VLOOKUP($AD6,CODES,2,FALSE),"")&amp;IF(OR($AE6="",$AE6="-"),""," "&amp;$AE6)&amp;IF(OR($AF6="",$AF6="-"),""," "&amp;$AF6)&amp;IF($AB6="Y"," 4"&amp;CHAR(34)&amp;" HEAD","")&amp;" "&amp;IFERROR(VLOOKUP($H6,CODES,2,FALSE),"")))</f>
        <v/>
      </c>
      <c r="BR6" s="50">
        <f>IF(NOT(AND($A6&lt;&gt;"",N($BC6)&gt;0)),"",TRIM(IFERROR(VLOOKUP($AH6,CODES,2,FALSE),"")&amp;IF($AI6=""," "," "&amp;$AI6&amp;"GA ")&amp;$AZ6&amp;" "&amp;IF($AN6="",IFERROR(VLOOKUP($Z6,CODES,2,FALSE),""),IFERROR(VLOOKUP($AN6,CODES,2,FALSE),""))&amp;IF($BC6=2," PAIR","")&amp;" DOOR | "&amp;IF($AL6="","?",$AL6)&amp;" | "&amp;IF($AP6="",IFERROR(VLOOKUP($AC6,CODES,2,FALSE),""),IFERROR(VLOOKUP($AP6,CODES,2,FALSE),""))&amp;" "&amp;IFERROR(VLOOKUP($AQ6,CODES,2,FALSE),"")&amp;IF(OR($AR6="",$AR6="-"),""," SEAM "&amp;$AR6)&amp;IF($AS6="Y"," ASTRAGAL","")&amp;IF($AJ6=""," "," "&amp;$AJ6)&amp;IF($AK6=""," "," "&amp;$AK6)&amp;IF($AO6="",""," "&amp;$AO6)&amp;IF($AM6=""," "," SERIES "&amp;$AM6)&amp;" "&amp;IFERROR(VLOOKUP($H6,CODES,2,FALSE),"")))</f>
        <v/>
      </c>
      <c r="BS6" s="49">
        <f>IF(BV6="","",IF(COUNTIF($BV$6:BV6,BV6)=1,MAX($BS$5:BS5)+1,INDEX($BS$5:BS5,MATCH(BV6,$BV$5:BV5,0))))</f>
        <v/>
      </c>
      <c r="BT6" s="49">
        <f>IF(NOT(AND($A6&lt;&gt;"",$C6&lt;&gt;"DOOR ONLY")),"",MAX($BT$5:BT5)+1)</f>
        <v/>
      </c>
      <c r="BU6" s="49">
        <f>IF(NOT(AND($A6&lt;&gt;"",N($BC6)&gt;0)),"",MAX($BU$5:BU5)+1)</f>
        <v/>
      </c>
      <c r="BV6" s="49">
        <f>IF(OR($A6="",$BA6="",$BB6=""),"",$AZ6&amp;"|"&amp;$O6&amp;"|"&amp;$AL6&amp;"|"&amp;$S6&amp;"|"&amp;$P6&amp;"|"&amp;$Q6&amp;$R6&amp;"|"&amp;$C6&amp;"|"&amp;$AB6)</f>
        <v/>
      </c>
      <c r="BW6" s="49">
        <f>IF($A6="","",IF($B6="","qty, ","")&amp;IF($C6="","scope, ","")&amp;IF(OR($K6="",$M6=""),"size, ","")&amp;IF(AND($A6&lt;&gt;"",$C6&lt;&gt;"DOOR ONLY"),IF($U6="","jamb depth, ","")&amp;IF($X6="","construction, ","")&amp;IF($Y6="","anchor, ","")&amp;IF($S6="","frame type, ",""),"")&amp;IF(AND(N($BC6)&gt;0,$Z6=""),"hand, ","")&amp;IF(N($BC6)&gt;0,IF($AH6="","door material, ","")&amp;IF($AL6="","face type, ","")&amp;IF($AQ6="","lock prep, ","")&amp;IF(AND($AP6="",$AC6=""),"hinge prep, ",""),"")&amp;IF(AND($BO6&gt;0,$AH6="FRP"),"FRP cannot carry a label, ","")&amp;IF(AND($O6="Y",OR($Z6="L",$Z6="R",$Z6="LR",$Z6="RR")),"pair marked but hand is single, ","")&amp;IF(AND($O6&lt;&gt;"Y",OR($Z6="PR",AND(LEN($Z6)&gt;1,ISNUMBER(SEARCH("-",$Z6))))),"pair hand on a single door, ","")&amp;IF(AND(ISNUMBER($BP6),$BO6&lt;N($BP6)),"wall needs a "&amp;$BP6&amp;" min door, ","")&amp;IF(AND($BO6&gt;=180,AND(OR($BL6="FG",$BL6="HG",$BL6="FNV",$BL6="FV"),N($BM6)*N($BN6)&gt;100)),"180 min lite over 100 sq in, ","")&amp;IF(N($BD6)&gt;48,"leaf wider than 4'-0"&amp;CHAR(34)&amp;", ",""))</f>
        <v/>
      </c>
      <c r="BX6" s="49">
        <f>IF($A6="","",IF(AND($BO6&gt;0,AND($A6&lt;&gt;"",$C6&lt;&gt;"DOOR ONLY"),$X6="KD",$E6="EXTERIOR"),"KD label on an exterior opening, ","")&amp;IF(AND($E6="EXTERIOR",OR(AND(AND($A6&lt;&gt;"",$C6&lt;&gt;"DOOR ONLY"),$W6="CR"),AND(N($BC6)&gt;0,$AH6="CR"))),"exterior in CR steel (G9?), ","")&amp;IF(AND(ISNUMBER($BJ6),N($BJ6)&lt;32),"clear width ~"&amp;TEXT($BJ6,"0.0")&amp;CHAR(34)&amp;" under 32"&amp;CHAR(34)&amp;" (ADA), ","")&amp;IF(AND($BO6=90,AND(OR($BL6="FG",$BL6="HG",$BL6="FNV",$BL6="FV"),N($BM6)*N($BN6)&gt;100)),"90 min lite over 100 sq in (stair/exit), ","")&amp;IF(AND($BO6&gt;0,AND($A6&lt;&gt;"",$C6&lt;&gt;"DOOR ONLY"),OR($AF6="",$AF6="-")),"rated: closer reinf.?, ","")&amp;IF(OR($I6="CORRIDOR",$I6="SMOKE BARRIER"),"S label + smoke gasketing, ","")&amp;IF($BP6="?","wall type/hr not in IBC table, ","")&amp;IF(AND(N($BC6)&gt;0,$AU6=""),"no hardware set, ","")&amp;IF(AND($AU6&lt;&gt;"",ISNA(MATCH($AU6,HWSets,0))),"set "&amp;$AU6&amp;" not on Hardware sheet, ","")&amp;IF(N($BE6)&gt;96,"leaf over 8'-0"&amp;CHAR(34)&amp;" - check listing, ",""))</f>
        <v/>
      </c>
    </row>
    <row r="7" ht="15" customHeight="1">
      <c r="A7" s="44" t="inlineStr">
        <is>
          <t>102</t>
        </is>
      </c>
      <c r="B7" s="45" t="n">
        <v>4</v>
      </c>
      <c r="C7" s="45" t="inlineStr">
        <is>
          <t>FRAME &amp; DOOR</t>
        </is>
      </c>
      <c r="D7" s="45" t="inlineStr">
        <is>
          <t>1st</t>
        </is>
      </c>
      <c r="E7" s="45" t="inlineStr">
        <is>
          <t>INTERIOR</t>
        </is>
      </c>
      <c r="F7" s="45" t="inlineStr">
        <is>
          <t>OFFICE</t>
        </is>
      </c>
      <c r="G7" s="45" t="inlineStr">
        <is>
          <t>STORAGE</t>
        </is>
      </c>
      <c r="H7" s="45" t="inlineStr">
        <is>
          <t>NO LAB</t>
        </is>
      </c>
      <c r="I7" s="45" t="inlineStr">
        <is>
          <t>NON-RATED</t>
        </is>
      </c>
      <c r="J7" s="45" t="n"/>
      <c r="K7" s="45" t="n">
        <v>3</v>
      </c>
      <c r="L7" s="45" t="n">
        <v>0</v>
      </c>
      <c r="M7" s="45" t="n">
        <v>7</v>
      </c>
      <c r="N7" s="45" t="n">
        <v>0</v>
      </c>
      <c r="O7" s="45" t="n"/>
      <c r="P7" s="45" t="n"/>
      <c r="Q7" s="45" t="n"/>
      <c r="R7" s="45" t="n"/>
      <c r="S7" s="46" t="inlineStr">
        <is>
          <t>3F</t>
        </is>
      </c>
      <c r="T7" s="46" t="inlineStr">
        <is>
          <t>M</t>
        </is>
      </c>
      <c r="U7" s="46" t="n">
        <v>478</v>
      </c>
      <c r="V7" s="46" t="n">
        <v>16</v>
      </c>
      <c r="W7" s="46" t="inlineStr">
        <is>
          <t>CR</t>
        </is>
      </c>
      <c r="X7" s="46" t="inlineStr">
        <is>
          <t>KD</t>
        </is>
      </c>
      <c r="Y7" s="46" t="inlineStr">
        <is>
          <t>SC</t>
        </is>
      </c>
      <c r="Z7" s="46" t="inlineStr">
        <is>
          <t>LR</t>
        </is>
      </c>
      <c r="AA7" s="46" t="inlineStr">
        <is>
          <t>CU</t>
        </is>
      </c>
      <c r="AB7" s="46" t="n"/>
      <c r="AC7" s="46" t="inlineStr">
        <is>
          <t>U453</t>
        </is>
      </c>
      <c r="AD7" s="46" t="inlineStr">
        <is>
          <t>E1</t>
        </is>
      </c>
      <c r="AE7" s="46" t="n"/>
      <c r="AF7" s="46" t="n"/>
      <c r="AG7" s="46" t="n"/>
      <c r="AH7" s="47" t="inlineStr">
        <is>
          <t>OAK-PC</t>
        </is>
      </c>
      <c r="AI7" s="47" t="n"/>
      <c r="AJ7" s="47" t="inlineStr">
        <is>
          <t>PC</t>
        </is>
      </c>
      <c r="AK7" s="47" t="inlineStr">
        <is>
          <t>RNB</t>
        </is>
      </c>
      <c r="AL7" s="47" t="inlineStr">
        <is>
          <t>FLUSH</t>
        </is>
      </c>
      <c r="AM7" s="47" t="n"/>
      <c r="AN7" s="47" t="n"/>
      <c r="AO7" s="47" t="n"/>
      <c r="AP7" s="47" t="n"/>
      <c r="AQ7" s="47" t="inlineStr">
        <is>
          <t>G2</t>
        </is>
      </c>
      <c r="AR7" s="47" t="n"/>
      <c r="AS7" s="47" t="n"/>
      <c r="AT7" s="47" t="n"/>
      <c r="AU7" s="48" t="inlineStr">
        <is>
          <t>1</t>
        </is>
      </c>
      <c r="AV7" s="48" t="n"/>
      <c r="AW7" s="49">
        <f>IF($A7="","",IF($BW7&lt;&gt;"","FIX",IF($BX7&lt;&gt;"","CHECK","OK")))</f>
        <v/>
      </c>
      <c r="AX7" s="50">
        <f>IF($A7="","",IF($BW7&lt;&gt;"","FIX: "&amp;LEFT($BW7,LEN($BW7)-2)&amp;IF($BX7&lt;&gt;"","  ·  ",""),"")&amp;IF($BX7&lt;&gt;"","CHECK: "&amp;LEFT($BX7,LEN($BX7)-2),""))</f>
        <v/>
      </c>
      <c r="AY7" s="49">
        <f>IF(OR($A7="",$K7=""),"",$K7&amp;"'-"&amp;N($L7)&amp;CHAR(34)&amp;" x "&amp;$M7&amp;"'-"&amp;N($N7)&amp;CHAR(34))</f>
        <v/>
      </c>
      <c r="AZ7" s="49">
        <f>IF(OR($A7="",$K7=""),"",$K7&amp;N($L7)&amp;$M7&amp;N($N7))</f>
        <v/>
      </c>
      <c r="BA7" s="49">
        <f>IF(OR($A7="",$K7=""),"",$K7*12+N($L7))</f>
        <v/>
      </c>
      <c r="BB7" s="49">
        <f>IF(OR($A7="",$M7=""),"",$M7*12+N($N7))</f>
        <v/>
      </c>
      <c r="BC7" s="49">
        <f>IF($A7="","",IF(OR($C7="FRAME ONLY",$S7="BL"),0,IF($O7="Y",2,1)))</f>
        <v/>
      </c>
      <c r="BD7" s="51">
        <f>IF(OR(N($BC7)=0,$BA7=""),"",($BA7-2*EdgeClr-IF($BC7=2,MeetClr,0))/$BC7)</f>
        <v/>
      </c>
      <c r="BE7" s="51">
        <f>IF(OR(N($BC7)=0,$BB7=""),"",$BB7-HeadClr-Undercut)</f>
        <v/>
      </c>
      <c r="BF7" s="51">
        <f>IF($BA7="","",$BA7+2*FaceW+IF(N($Q7)&gt;0,($Q7+FaceW)*IF($R7="LR",2,1),0))</f>
        <v/>
      </c>
      <c r="BG7" s="51">
        <f>IF($BB7="","",$BB7+IF($AB7="Y",4,FaceW)+IF(N($P7)&gt;0,$P7+FaceW,0)+IF(OR($S7="4F",$S7="BL"),FaceW,0))</f>
        <v/>
      </c>
      <c r="BH7" s="51">
        <f>IF($BF7="","",$BF7+2*ROSide)</f>
        <v/>
      </c>
      <c r="BI7" s="51">
        <f>IF($BG7="","",$BG7+ROTop)</f>
        <v/>
      </c>
      <c r="BJ7" s="52">
        <f>IF(OR(N($BC7)=0,$BA7=""),"",$BA7/$BC7-ClearDeduct)</f>
        <v/>
      </c>
      <c r="BK7" s="49">
        <f>IF(OR(N($BC7)=0,$BE7=""),"",IF(OR($AC7="HGC",$AP7="HGC"),"CONT",IF($BE7&lt;=60,2,IF($BE7&lt;=90,3,IF($BE7&lt;=120,4,5)))))</f>
        <v/>
      </c>
      <c r="BL7" s="49">
        <f>IF(N($BC7)=0,"",IF(OR($AL7="",$AL7="FLUSH"),"FLUSH",IFERROR(LEFT($AL7,FIND("-",$AL7)-1),LEFT($AL7,2))))</f>
        <v/>
      </c>
      <c r="BM7" s="49">
        <f>IF($BL7="","",IFERROR(VALUE(MID($AL7,FIND("-",$AL7)+1,FIND(CHAR(34)&amp;"x",$AL7)-FIND("-",$AL7)-1)),0))</f>
        <v/>
      </c>
      <c r="BN7" s="49">
        <f>IF($BL7="","",IFERROR(VALUE(MID($AL7,FIND(CHAR(34)&amp;"x",$AL7)+2,FIND(CHAR(34),$AL7,FIND(CHAR(34)&amp;"x",$AL7)+2)-FIND(CHAR(34)&amp;"x",$AL7)-2)),0))</f>
        <v/>
      </c>
      <c r="BO7" s="53">
        <f>IF(OR($A7="",$H7="",$H7="NO LAB"),0,IFERROR(VALUE(LEFT($H7,FIND(" ",$H7)-1)),0))</f>
        <v/>
      </c>
      <c r="BP7" s="54">
        <f>IF(OR($A7="",$I7="",$I7="NON-RATED",N($J7)=0),"",IFERROR(VLOOKUP($I7&amp;"|"&amp;$J7,IBC,2,FALSE),"?"))</f>
        <v/>
      </c>
      <c r="BQ7" s="50">
        <f>IF(NOT(AND($A7&lt;&gt;"",$C7&lt;&gt;"DOOR ONLY")),"",TRIM(IFERROR(VLOOKUP($U7,CODES,2,FALSE),"")&amp;" "&amp;$AZ7&amp;" "&amp;IFERROR(VLOOKUP($Z7,CODES,2,FALSE),"")&amp;" "&amp;IFERROR(VLOOKUP($X7,CODES,2,FALSE),"")&amp;" "&amp;IFERROR(VLOOKUP($S7,CODES,2,FALSE),"")&amp;IF(N($P7)&gt;0," w/TRANSOM "&amp;$P7&amp;CHAR(34),"")&amp;IF(N($Q7)&gt;0," w/SIDELITE "&amp;$Q7&amp;CHAR(34)&amp;" "&amp;IF($R7="","R",$R7),"")&amp;IF($Y7="","  |  "," | "&amp;IFERROR(VLOOKUP($Y7,CODES,2,FALSE),"")&amp;" | ")&amp;IFERROR(VLOOKUP($AC7,CODES,2,FALSE),"")&amp;" "&amp;IFERROR(VLOOKUP($AD7,CODES,2,FALSE),"")&amp;IF(OR($AE7="",$AE7="-"),""," "&amp;$AE7)&amp;IF(OR($AF7="",$AF7="-"),""," "&amp;$AF7)&amp;IF($AB7="Y"," 4"&amp;CHAR(34)&amp;" HEAD","")&amp;" "&amp;IFERROR(VLOOKUP($H7,CODES,2,FALSE),"")))</f>
        <v/>
      </c>
      <c r="BR7" s="50">
        <f>IF(NOT(AND($A7&lt;&gt;"",N($BC7)&gt;0)),"",TRIM(IFERROR(VLOOKUP($AH7,CODES,2,FALSE),"")&amp;IF($AI7=""," "," "&amp;$AI7&amp;"GA ")&amp;$AZ7&amp;" "&amp;IF($AN7="",IFERROR(VLOOKUP($Z7,CODES,2,FALSE),""),IFERROR(VLOOKUP($AN7,CODES,2,FALSE),""))&amp;IF($BC7=2," PAIR","")&amp;" DOOR | "&amp;IF($AL7="","?",$AL7)&amp;" | "&amp;IF($AP7="",IFERROR(VLOOKUP($AC7,CODES,2,FALSE),""),IFERROR(VLOOKUP($AP7,CODES,2,FALSE),""))&amp;" "&amp;IFERROR(VLOOKUP($AQ7,CODES,2,FALSE),"")&amp;IF(OR($AR7="",$AR7="-"),""," SEAM "&amp;$AR7)&amp;IF($AS7="Y"," ASTRAGAL","")&amp;IF($AJ7=""," "," "&amp;$AJ7)&amp;IF($AK7=""," "," "&amp;$AK7)&amp;IF($AO7="",""," "&amp;$AO7)&amp;IF($AM7=""," "," SERIES "&amp;$AM7)&amp;" "&amp;IFERROR(VLOOKUP($H7,CODES,2,FALSE),"")))</f>
        <v/>
      </c>
      <c r="BS7" s="49">
        <f>IF(BV7="","",IF(COUNTIF($BV$6:BV7,BV7)=1,MAX($BS$5:BS6)+1,INDEX($BS$5:BS6,MATCH(BV7,$BV$5:BV6,0))))</f>
        <v/>
      </c>
      <c r="BT7" s="49">
        <f>IF(NOT(AND($A7&lt;&gt;"",$C7&lt;&gt;"DOOR ONLY")),"",MAX($BT$5:BT6)+1)</f>
        <v/>
      </c>
      <c r="BU7" s="49">
        <f>IF(NOT(AND($A7&lt;&gt;"",N($BC7)&gt;0)),"",MAX($BU$5:BU6)+1)</f>
        <v/>
      </c>
      <c r="BV7" s="49">
        <f>IF(OR($A7="",$BA7="",$BB7=""),"",$AZ7&amp;"|"&amp;$O7&amp;"|"&amp;$AL7&amp;"|"&amp;$S7&amp;"|"&amp;$P7&amp;"|"&amp;$Q7&amp;$R7&amp;"|"&amp;$C7&amp;"|"&amp;$AB7)</f>
        <v/>
      </c>
      <c r="BW7" s="49">
        <f>IF($A7="","",IF($B7="","qty, ","")&amp;IF($C7="","scope, ","")&amp;IF(OR($K7="",$M7=""),"size, ","")&amp;IF(AND($A7&lt;&gt;"",$C7&lt;&gt;"DOOR ONLY"),IF($U7="","jamb depth, ","")&amp;IF($X7="","construction, ","")&amp;IF($Y7="","anchor, ","")&amp;IF($S7="","frame type, ",""),"")&amp;IF(AND(N($BC7)&gt;0,$Z7=""),"hand, ","")&amp;IF(N($BC7)&gt;0,IF($AH7="","door material, ","")&amp;IF($AL7="","face type, ","")&amp;IF($AQ7="","lock prep, ","")&amp;IF(AND($AP7="",$AC7=""),"hinge prep, ",""),"")&amp;IF(AND($BO7&gt;0,$AH7="FRP"),"FRP cannot carry a label, ","")&amp;IF(AND($O7="Y",OR($Z7="L",$Z7="R",$Z7="LR",$Z7="RR")),"pair marked but hand is single, ","")&amp;IF(AND($O7&lt;&gt;"Y",OR($Z7="PR",AND(LEN($Z7)&gt;1,ISNUMBER(SEARCH("-",$Z7))))),"pair hand on a single door, ","")&amp;IF(AND(ISNUMBER($BP7),$BO7&lt;N($BP7)),"wall needs a "&amp;$BP7&amp;" min door, ","")&amp;IF(AND($BO7&gt;=180,AND(OR($BL7="FG",$BL7="HG",$BL7="FNV",$BL7="FV"),N($BM7)*N($BN7)&gt;100)),"180 min lite over 100 sq in, ","")&amp;IF(N($BD7)&gt;48,"leaf wider than 4'-0"&amp;CHAR(34)&amp;", ",""))</f>
        <v/>
      </c>
      <c r="BX7" s="49">
        <f>IF($A7="","",IF(AND($BO7&gt;0,AND($A7&lt;&gt;"",$C7&lt;&gt;"DOOR ONLY"),$X7="KD",$E7="EXTERIOR"),"KD label on an exterior opening, ","")&amp;IF(AND($E7="EXTERIOR",OR(AND(AND($A7&lt;&gt;"",$C7&lt;&gt;"DOOR ONLY"),$W7="CR"),AND(N($BC7)&gt;0,$AH7="CR"))),"exterior in CR steel (G9?), ","")&amp;IF(AND(ISNUMBER($BJ7),N($BJ7)&lt;32),"clear width ~"&amp;TEXT($BJ7,"0.0")&amp;CHAR(34)&amp;" under 32"&amp;CHAR(34)&amp;" (ADA), ","")&amp;IF(AND($BO7=90,AND(OR($BL7="FG",$BL7="HG",$BL7="FNV",$BL7="FV"),N($BM7)*N($BN7)&gt;100)),"90 min lite over 100 sq in (stair/exit), ","")&amp;IF(AND($BO7&gt;0,AND($A7&lt;&gt;"",$C7&lt;&gt;"DOOR ONLY"),OR($AF7="",$AF7="-")),"rated: closer reinf.?, ","")&amp;IF(OR($I7="CORRIDOR",$I7="SMOKE BARRIER"),"S label + smoke gasketing, ","")&amp;IF($BP7="?","wall type/hr not in IBC table, ","")&amp;IF(AND(N($BC7)&gt;0,$AU7=""),"no hardware set, ","")&amp;IF(AND($AU7&lt;&gt;"",ISNA(MATCH($AU7,HWSets,0))),"set "&amp;$AU7&amp;" not on Hardware sheet, ","")&amp;IF(N($BE7)&gt;96,"leaf over 8'-0"&amp;CHAR(34)&amp;" - check listing, ",""))</f>
        <v/>
      </c>
    </row>
    <row r="8" ht="15" customHeight="1">
      <c r="A8" s="44" t="inlineStr">
        <is>
          <t>103</t>
        </is>
      </c>
      <c r="B8" s="45" t="n">
        <v>1</v>
      </c>
      <c r="C8" s="45" t="inlineStr">
        <is>
          <t>FRAME &amp; DOOR</t>
        </is>
      </c>
      <c r="D8" s="45" t="inlineStr">
        <is>
          <t>1st</t>
        </is>
      </c>
      <c r="E8" s="45" t="inlineStr">
        <is>
          <t>INTERIOR</t>
        </is>
      </c>
      <c r="F8" s="45" t="inlineStr">
        <is>
          <t>CORRIDOR</t>
        </is>
      </c>
      <c r="G8" s="45" t="inlineStr">
        <is>
          <t>STAIR 1</t>
        </is>
      </c>
      <c r="H8" s="45" t="inlineStr">
        <is>
          <t>90 MIN</t>
        </is>
      </c>
      <c r="I8" s="45" t="inlineStr">
        <is>
          <t>SHAFT / EXIT ENCL.</t>
        </is>
      </c>
      <c r="J8" s="45" t="n">
        <v>2</v>
      </c>
      <c r="K8" s="45" t="n">
        <v>6</v>
      </c>
      <c r="L8" s="45" t="n">
        <v>0</v>
      </c>
      <c r="M8" s="45" t="n">
        <v>7</v>
      </c>
      <c r="N8" s="45" t="n">
        <v>0</v>
      </c>
      <c r="O8" s="45" t="inlineStr">
        <is>
          <t>Y</t>
        </is>
      </c>
      <c r="P8" s="45" t="n"/>
      <c r="Q8" s="45" t="n"/>
      <c r="R8" s="45" t="n"/>
      <c r="S8" s="46" t="inlineStr">
        <is>
          <t>3F</t>
        </is>
      </c>
      <c r="T8" s="46" t="inlineStr">
        <is>
          <t>M</t>
        </is>
      </c>
      <c r="U8" s="46" t="n">
        <v>834</v>
      </c>
      <c r="V8" s="46" t="n">
        <v>14</v>
      </c>
      <c r="W8" s="46" t="inlineStr">
        <is>
          <t>CR</t>
        </is>
      </c>
      <c r="X8" s="46" t="inlineStr">
        <is>
          <t>WGS</t>
        </is>
      </c>
      <c r="Y8" s="46" t="inlineStr">
        <is>
          <t>T</t>
        </is>
      </c>
      <c r="Z8" s="46" t="inlineStr">
        <is>
          <t>RR-A</t>
        </is>
      </c>
      <c r="AA8" s="46" t="inlineStr">
        <is>
          <t>CU</t>
        </is>
      </c>
      <c r="AB8" s="46" t="n"/>
      <c r="AC8" s="46" t="inlineStr">
        <is>
          <t>U454</t>
        </is>
      </c>
      <c r="AD8" s="46" t="inlineStr">
        <is>
          <t>E1</t>
        </is>
      </c>
      <c r="AE8" s="46" t="inlineStr">
        <is>
          <t>H5</t>
        </is>
      </c>
      <c r="AF8" s="46" t="inlineStr">
        <is>
          <t>E11</t>
        </is>
      </c>
      <c r="AG8" s="46" t="n"/>
      <c r="AH8" s="47" t="inlineStr">
        <is>
          <t>CR</t>
        </is>
      </c>
      <c r="AI8" s="47" t="n">
        <v>16</v>
      </c>
      <c r="AJ8" s="47" t="n"/>
      <c r="AK8" s="47" t="n"/>
      <c r="AL8" s="47" t="inlineStr">
        <is>
          <t>HG-24"x30"</t>
        </is>
      </c>
      <c r="AM8" s="47" t="n">
        <v>707</v>
      </c>
      <c r="AN8" s="47" t="n"/>
      <c r="AO8" s="47" t="inlineStr">
        <is>
          <t>CURRIES</t>
        </is>
      </c>
      <c r="AP8" s="47" t="n"/>
      <c r="AQ8" s="47" t="inlineStr">
        <is>
          <t>G12</t>
        </is>
      </c>
      <c r="AR8" s="47" t="inlineStr">
        <is>
          <t>-</t>
        </is>
      </c>
      <c r="AS8" s="47" t="inlineStr">
        <is>
          <t>Y</t>
        </is>
      </c>
      <c r="AT8" s="47" t="n"/>
      <c r="AU8" s="48" t="inlineStr">
        <is>
          <t>2</t>
        </is>
      </c>
      <c r="AV8" s="48" t="n"/>
      <c r="AW8" s="49">
        <f>IF($A8="","",IF($BW8&lt;&gt;"","FIX",IF($BX8&lt;&gt;"","CHECK","OK")))</f>
        <v/>
      </c>
      <c r="AX8" s="50">
        <f>IF($A8="","",IF($BW8&lt;&gt;"","FIX: "&amp;LEFT($BW8,LEN($BW8)-2)&amp;IF($BX8&lt;&gt;"","  ·  ",""),"")&amp;IF($BX8&lt;&gt;"","CHECK: "&amp;LEFT($BX8,LEN($BX8)-2),""))</f>
        <v/>
      </c>
      <c r="AY8" s="49">
        <f>IF(OR($A8="",$K8=""),"",$K8&amp;"'-"&amp;N($L8)&amp;CHAR(34)&amp;" x "&amp;$M8&amp;"'-"&amp;N($N8)&amp;CHAR(34))</f>
        <v/>
      </c>
      <c r="AZ8" s="49">
        <f>IF(OR($A8="",$K8=""),"",$K8&amp;N($L8)&amp;$M8&amp;N($N8))</f>
        <v/>
      </c>
      <c r="BA8" s="49">
        <f>IF(OR($A8="",$K8=""),"",$K8*12+N($L8))</f>
        <v/>
      </c>
      <c r="BB8" s="49">
        <f>IF(OR($A8="",$M8=""),"",$M8*12+N($N8))</f>
        <v/>
      </c>
      <c r="BC8" s="49">
        <f>IF($A8="","",IF(OR($C8="FRAME ONLY",$S8="BL"),0,IF($O8="Y",2,1)))</f>
        <v/>
      </c>
      <c r="BD8" s="51">
        <f>IF(OR(N($BC8)=0,$BA8=""),"",($BA8-2*EdgeClr-IF($BC8=2,MeetClr,0))/$BC8)</f>
        <v/>
      </c>
      <c r="BE8" s="51">
        <f>IF(OR(N($BC8)=0,$BB8=""),"",$BB8-HeadClr-Undercut)</f>
        <v/>
      </c>
      <c r="BF8" s="51">
        <f>IF($BA8="","",$BA8+2*FaceW+IF(N($Q8)&gt;0,($Q8+FaceW)*IF($R8="LR",2,1),0))</f>
        <v/>
      </c>
      <c r="BG8" s="51">
        <f>IF($BB8="","",$BB8+IF($AB8="Y",4,FaceW)+IF(N($P8)&gt;0,$P8+FaceW,0)+IF(OR($S8="4F",$S8="BL"),FaceW,0))</f>
        <v/>
      </c>
      <c r="BH8" s="51">
        <f>IF($BF8="","",$BF8+2*ROSide)</f>
        <v/>
      </c>
      <c r="BI8" s="51">
        <f>IF($BG8="","",$BG8+ROTop)</f>
        <v/>
      </c>
      <c r="BJ8" s="52">
        <f>IF(OR(N($BC8)=0,$BA8=""),"",$BA8/$BC8-ClearDeduct)</f>
        <v/>
      </c>
      <c r="BK8" s="49">
        <f>IF(OR(N($BC8)=0,$BE8=""),"",IF(OR($AC8="HGC",$AP8="HGC"),"CONT",IF($BE8&lt;=60,2,IF($BE8&lt;=90,3,IF($BE8&lt;=120,4,5)))))</f>
        <v/>
      </c>
      <c r="BL8" s="49">
        <f>IF(N($BC8)=0,"",IF(OR($AL8="",$AL8="FLUSH"),"FLUSH",IFERROR(LEFT($AL8,FIND("-",$AL8)-1),LEFT($AL8,2))))</f>
        <v/>
      </c>
      <c r="BM8" s="49">
        <f>IF($BL8="","",IFERROR(VALUE(MID($AL8,FIND("-",$AL8)+1,FIND(CHAR(34)&amp;"x",$AL8)-FIND("-",$AL8)-1)),0))</f>
        <v/>
      </c>
      <c r="BN8" s="49">
        <f>IF($BL8="","",IFERROR(VALUE(MID($AL8,FIND(CHAR(34)&amp;"x",$AL8)+2,FIND(CHAR(34),$AL8,FIND(CHAR(34)&amp;"x",$AL8)+2)-FIND(CHAR(34)&amp;"x",$AL8)-2)),0))</f>
        <v/>
      </c>
      <c r="BO8" s="53">
        <f>IF(OR($A8="",$H8="",$H8="NO LAB"),0,IFERROR(VALUE(LEFT($H8,FIND(" ",$H8)-1)),0))</f>
        <v/>
      </c>
      <c r="BP8" s="54">
        <f>IF(OR($A8="",$I8="",$I8="NON-RATED",N($J8)=0),"",IFERROR(VLOOKUP($I8&amp;"|"&amp;$J8,IBC,2,FALSE),"?"))</f>
        <v/>
      </c>
      <c r="BQ8" s="50">
        <f>IF(NOT(AND($A8&lt;&gt;"",$C8&lt;&gt;"DOOR ONLY")),"",TRIM(IFERROR(VLOOKUP($U8,CODES,2,FALSE),"")&amp;" "&amp;$AZ8&amp;" "&amp;IFERROR(VLOOKUP($Z8,CODES,2,FALSE),"")&amp;" "&amp;IFERROR(VLOOKUP($X8,CODES,2,FALSE),"")&amp;" "&amp;IFERROR(VLOOKUP($S8,CODES,2,FALSE),"")&amp;IF(N($P8)&gt;0," w/TRANSOM "&amp;$P8&amp;CHAR(34),"")&amp;IF(N($Q8)&gt;0," w/SIDELITE "&amp;$Q8&amp;CHAR(34)&amp;" "&amp;IF($R8="","R",$R8),"")&amp;IF($Y8="","  |  "," | "&amp;IFERROR(VLOOKUP($Y8,CODES,2,FALSE),"")&amp;" | ")&amp;IFERROR(VLOOKUP($AC8,CODES,2,FALSE),"")&amp;" "&amp;IFERROR(VLOOKUP($AD8,CODES,2,FALSE),"")&amp;IF(OR($AE8="",$AE8="-"),""," "&amp;$AE8)&amp;IF(OR($AF8="",$AF8="-"),""," "&amp;$AF8)&amp;IF($AB8="Y"," 4"&amp;CHAR(34)&amp;" HEAD","")&amp;" "&amp;IFERROR(VLOOKUP($H8,CODES,2,FALSE),"")))</f>
        <v/>
      </c>
      <c r="BR8" s="50">
        <f>IF(NOT(AND($A8&lt;&gt;"",N($BC8)&gt;0)),"",TRIM(IFERROR(VLOOKUP($AH8,CODES,2,FALSE),"")&amp;IF($AI8=""," "," "&amp;$AI8&amp;"GA ")&amp;$AZ8&amp;" "&amp;IF($AN8="",IFERROR(VLOOKUP($Z8,CODES,2,FALSE),""),IFERROR(VLOOKUP($AN8,CODES,2,FALSE),""))&amp;IF($BC8=2," PAIR","")&amp;" DOOR | "&amp;IF($AL8="","?",$AL8)&amp;" | "&amp;IF($AP8="",IFERROR(VLOOKUP($AC8,CODES,2,FALSE),""),IFERROR(VLOOKUP($AP8,CODES,2,FALSE),""))&amp;" "&amp;IFERROR(VLOOKUP($AQ8,CODES,2,FALSE),"")&amp;IF(OR($AR8="",$AR8="-"),""," SEAM "&amp;$AR8)&amp;IF($AS8="Y"," ASTRAGAL","")&amp;IF($AJ8=""," "," "&amp;$AJ8)&amp;IF($AK8=""," "," "&amp;$AK8)&amp;IF($AO8="",""," "&amp;$AO8)&amp;IF($AM8=""," "," SERIES "&amp;$AM8)&amp;" "&amp;IFERROR(VLOOKUP($H8,CODES,2,FALSE),"")))</f>
        <v/>
      </c>
      <c r="BS8" s="49">
        <f>IF(BV8="","",IF(COUNTIF($BV$6:BV8,BV8)=1,MAX($BS$5:BS7)+1,INDEX($BS$5:BS7,MATCH(BV8,$BV$5:BV7,0))))</f>
        <v/>
      </c>
      <c r="BT8" s="49">
        <f>IF(NOT(AND($A8&lt;&gt;"",$C8&lt;&gt;"DOOR ONLY")),"",MAX($BT$5:BT7)+1)</f>
        <v/>
      </c>
      <c r="BU8" s="49">
        <f>IF(NOT(AND($A8&lt;&gt;"",N($BC8)&gt;0)),"",MAX($BU$5:BU7)+1)</f>
        <v/>
      </c>
      <c r="BV8" s="49">
        <f>IF(OR($A8="",$BA8="",$BB8=""),"",$AZ8&amp;"|"&amp;$O8&amp;"|"&amp;$AL8&amp;"|"&amp;$S8&amp;"|"&amp;$P8&amp;"|"&amp;$Q8&amp;$R8&amp;"|"&amp;$C8&amp;"|"&amp;$AB8)</f>
        <v/>
      </c>
      <c r="BW8" s="49">
        <f>IF($A8="","",IF($B8="","qty, ","")&amp;IF($C8="","scope, ","")&amp;IF(OR($K8="",$M8=""),"size, ","")&amp;IF(AND($A8&lt;&gt;"",$C8&lt;&gt;"DOOR ONLY"),IF($U8="","jamb depth, ","")&amp;IF($X8="","construction, ","")&amp;IF($Y8="","anchor, ","")&amp;IF($S8="","frame type, ",""),"")&amp;IF(AND(N($BC8)&gt;0,$Z8=""),"hand, ","")&amp;IF(N($BC8)&gt;0,IF($AH8="","door material, ","")&amp;IF($AL8="","face type, ","")&amp;IF($AQ8="","lock prep, ","")&amp;IF(AND($AP8="",$AC8=""),"hinge prep, ",""),"")&amp;IF(AND($BO8&gt;0,$AH8="FRP"),"FRP cannot carry a label, ","")&amp;IF(AND($O8="Y",OR($Z8="L",$Z8="R",$Z8="LR",$Z8="RR")),"pair marked but hand is single, ","")&amp;IF(AND($O8&lt;&gt;"Y",OR($Z8="PR",AND(LEN($Z8)&gt;1,ISNUMBER(SEARCH("-",$Z8))))),"pair hand on a single door, ","")&amp;IF(AND(ISNUMBER($BP8),$BO8&lt;N($BP8)),"wall needs a "&amp;$BP8&amp;" min door, ","")&amp;IF(AND($BO8&gt;=180,AND(OR($BL8="FG",$BL8="HG",$BL8="FNV",$BL8="FV"),N($BM8)*N($BN8)&gt;100)),"180 min lite over 100 sq in, ","")&amp;IF(N($BD8)&gt;48,"leaf wider than 4'-0"&amp;CHAR(34)&amp;", ",""))</f>
        <v/>
      </c>
      <c r="BX8" s="49">
        <f>IF($A8="","",IF(AND($BO8&gt;0,AND($A8&lt;&gt;"",$C8&lt;&gt;"DOOR ONLY"),$X8="KD",$E8="EXTERIOR"),"KD label on an exterior opening, ","")&amp;IF(AND($E8="EXTERIOR",OR(AND(AND($A8&lt;&gt;"",$C8&lt;&gt;"DOOR ONLY"),$W8="CR"),AND(N($BC8)&gt;0,$AH8="CR"))),"exterior in CR steel (G9?), ","")&amp;IF(AND(ISNUMBER($BJ8),N($BJ8)&lt;32),"clear width ~"&amp;TEXT($BJ8,"0.0")&amp;CHAR(34)&amp;" under 32"&amp;CHAR(34)&amp;" (ADA), ","")&amp;IF(AND($BO8=90,AND(OR($BL8="FG",$BL8="HG",$BL8="FNV",$BL8="FV"),N($BM8)*N($BN8)&gt;100)),"90 min lite over 100 sq in (stair/exit), ","")&amp;IF(AND($BO8&gt;0,AND($A8&lt;&gt;"",$C8&lt;&gt;"DOOR ONLY"),OR($AF8="",$AF8="-")),"rated: closer reinf.?, ","")&amp;IF(OR($I8="CORRIDOR",$I8="SMOKE BARRIER"),"S label + smoke gasketing, ","")&amp;IF($BP8="?","wall type/hr not in IBC table, ","")&amp;IF(AND(N($BC8)&gt;0,$AU8=""),"no hardware set, ","")&amp;IF(AND($AU8&lt;&gt;"",ISNA(MATCH($AU8,HWSets,0))),"set "&amp;$AU8&amp;" not on Hardware sheet, ","")&amp;IF(N($BE8)&gt;96,"leaf over 8'-0"&amp;CHAR(34)&amp;" - check listing, ",""))</f>
        <v/>
      </c>
    </row>
    <row r="9" ht="15" customHeight="1">
      <c r="A9" s="44" t="inlineStr">
        <is>
          <t>104</t>
        </is>
      </c>
      <c r="B9" s="45" t="n">
        <v>1</v>
      </c>
      <c r="C9" s="45" t="inlineStr">
        <is>
          <t>FRAME &amp; DOOR</t>
        </is>
      </c>
      <c r="D9" s="45" t="inlineStr">
        <is>
          <t>GROUND</t>
        </is>
      </c>
      <c r="E9" s="45" t="inlineStr">
        <is>
          <t>EXTERIOR</t>
        </is>
      </c>
      <c r="F9" s="45" t="inlineStr">
        <is>
          <t>EXTERIOR</t>
        </is>
      </c>
      <c r="G9" s="45" t="inlineStr">
        <is>
          <t>LOBBY</t>
        </is>
      </c>
      <c r="H9" s="45" t="inlineStr">
        <is>
          <t>NO LAB</t>
        </is>
      </c>
      <c r="I9" s="45" t="inlineStr">
        <is>
          <t>EXTERIOR</t>
        </is>
      </c>
      <c r="J9" s="45" t="n">
        <v>0</v>
      </c>
      <c r="K9" s="45" t="n">
        <v>3</v>
      </c>
      <c r="L9" s="45" t="n">
        <v>0</v>
      </c>
      <c r="M9" s="45" t="n">
        <v>7</v>
      </c>
      <c r="N9" s="45" t="n">
        <v>0</v>
      </c>
      <c r="O9" s="45" t="n"/>
      <c r="P9" s="45" t="n">
        <v>24</v>
      </c>
      <c r="Q9" s="45" t="n">
        <v>18</v>
      </c>
      <c r="R9" s="45" t="inlineStr">
        <is>
          <t>R</t>
        </is>
      </c>
      <c r="S9" s="46" t="inlineStr">
        <is>
          <t>3FV</t>
        </is>
      </c>
      <c r="T9" s="46" t="inlineStr">
        <is>
          <t>M</t>
        </is>
      </c>
      <c r="U9" s="46" t="n">
        <v>658</v>
      </c>
      <c r="V9" s="46" t="n">
        <v>14</v>
      </c>
      <c r="W9" s="46" t="inlineStr">
        <is>
          <t>G9</t>
        </is>
      </c>
      <c r="X9" s="46" t="inlineStr">
        <is>
          <t>WGS</t>
        </is>
      </c>
      <c r="Y9" s="46" t="inlineStr">
        <is>
          <t>WMA</t>
        </is>
      </c>
      <c r="Z9" s="46" t="inlineStr">
        <is>
          <t>L</t>
        </is>
      </c>
      <c r="AA9" s="46" t="inlineStr">
        <is>
          <t>CU</t>
        </is>
      </c>
      <c r="AB9" s="46" t="inlineStr">
        <is>
          <t>Y</t>
        </is>
      </c>
      <c r="AC9" s="46" t="inlineStr">
        <is>
          <t>HGC</t>
        </is>
      </c>
      <c r="AD9" s="46" t="inlineStr">
        <is>
          <t>G18</t>
        </is>
      </c>
      <c r="AE9" s="46" t="n"/>
      <c r="AF9" s="46" t="inlineStr">
        <is>
          <t>E11</t>
        </is>
      </c>
      <c r="AG9" s="46" t="n"/>
      <c r="AH9" s="47" t="inlineStr">
        <is>
          <t>RK</t>
        </is>
      </c>
      <c r="AI9" s="47" t="n">
        <v>16</v>
      </c>
      <c r="AJ9" s="47" t="n"/>
      <c r="AK9" s="47" t="n"/>
      <c r="AL9" s="47" t="inlineStr">
        <is>
          <t>FG-24"x64"</t>
        </is>
      </c>
      <c r="AM9" s="47" t="n">
        <v>707</v>
      </c>
      <c r="AN9" s="47" t="n"/>
      <c r="AO9" s="47" t="inlineStr">
        <is>
          <t>CURRIES</t>
        </is>
      </c>
      <c r="AP9" s="47" t="n"/>
      <c r="AQ9" s="47" t="inlineStr">
        <is>
          <t>G11</t>
        </is>
      </c>
      <c r="AR9" s="47" t="n"/>
      <c r="AS9" s="47" t="n"/>
      <c r="AT9" s="47" t="n"/>
      <c r="AU9" s="48" t="inlineStr">
        <is>
          <t>3</t>
        </is>
      </c>
      <c r="AV9" s="48" t="n"/>
      <c r="AW9" s="49">
        <f>IF($A9="","",IF($BW9&lt;&gt;"","FIX",IF($BX9&lt;&gt;"","CHECK","OK")))</f>
        <v/>
      </c>
      <c r="AX9" s="50">
        <f>IF($A9="","",IF($BW9&lt;&gt;"","FIX: "&amp;LEFT($BW9,LEN($BW9)-2)&amp;IF($BX9&lt;&gt;"","  ·  ",""),"")&amp;IF($BX9&lt;&gt;"","CHECK: "&amp;LEFT($BX9,LEN($BX9)-2),""))</f>
        <v/>
      </c>
      <c r="AY9" s="49">
        <f>IF(OR($A9="",$K9=""),"",$K9&amp;"'-"&amp;N($L9)&amp;CHAR(34)&amp;" x "&amp;$M9&amp;"'-"&amp;N($N9)&amp;CHAR(34))</f>
        <v/>
      </c>
      <c r="AZ9" s="49">
        <f>IF(OR($A9="",$K9=""),"",$K9&amp;N($L9)&amp;$M9&amp;N($N9))</f>
        <v/>
      </c>
      <c r="BA9" s="49">
        <f>IF(OR($A9="",$K9=""),"",$K9*12+N($L9))</f>
        <v/>
      </c>
      <c r="BB9" s="49">
        <f>IF(OR($A9="",$M9=""),"",$M9*12+N($N9))</f>
        <v/>
      </c>
      <c r="BC9" s="49">
        <f>IF($A9="","",IF(OR($C9="FRAME ONLY",$S9="BL"),0,IF($O9="Y",2,1)))</f>
        <v/>
      </c>
      <c r="BD9" s="51">
        <f>IF(OR(N($BC9)=0,$BA9=""),"",($BA9-2*EdgeClr-IF($BC9=2,MeetClr,0))/$BC9)</f>
        <v/>
      </c>
      <c r="BE9" s="51">
        <f>IF(OR(N($BC9)=0,$BB9=""),"",$BB9-HeadClr-Undercut)</f>
        <v/>
      </c>
      <c r="BF9" s="51">
        <f>IF($BA9="","",$BA9+2*FaceW+IF(N($Q9)&gt;0,($Q9+FaceW)*IF($R9="LR",2,1),0))</f>
        <v/>
      </c>
      <c r="BG9" s="51">
        <f>IF($BB9="","",$BB9+IF($AB9="Y",4,FaceW)+IF(N($P9)&gt;0,$P9+FaceW,0)+IF(OR($S9="4F",$S9="BL"),FaceW,0))</f>
        <v/>
      </c>
      <c r="BH9" s="51">
        <f>IF($BF9="","",$BF9+2*ROSide)</f>
        <v/>
      </c>
      <c r="BI9" s="51">
        <f>IF($BG9="","",$BG9+ROTop)</f>
        <v/>
      </c>
      <c r="BJ9" s="52">
        <f>IF(OR(N($BC9)=0,$BA9=""),"",$BA9/$BC9-ClearDeduct)</f>
        <v/>
      </c>
      <c r="BK9" s="49">
        <f>IF(OR(N($BC9)=0,$BE9=""),"",IF(OR($AC9="HGC",$AP9="HGC"),"CONT",IF($BE9&lt;=60,2,IF($BE9&lt;=90,3,IF($BE9&lt;=120,4,5)))))</f>
        <v/>
      </c>
      <c r="BL9" s="49">
        <f>IF(N($BC9)=0,"",IF(OR($AL9="",$AL9="FLUSH"),"FLUSH",IFERROR(LEFT($AL9,FIND("-",$AL9)-1),LEFT($AL9,2))))</f>
        <v/>
      </c>
      <c r="BM9" s="49">
        <f>IF($BL9="","",IFERROR(VALUE(MID($AL9,FIND("-",$AL9)+1,FIND(CHAR(34)&amp;"x",$AL9)-FIND("-",$AL9)-1)),0))</f>
        <v/>
      </c>
      <c r="BN9" s="49">
        <f>IF($BL9="","",IFERROR(VALUE(MID($AL9,FIND(CHAR(34)&amp;"x",$AL9)+2,FIND(CHAR(34),$AL9,FIND(CHAR(34)&amp;"x",$AL9)+2)-FIND(CHAR(34)&amp;"x",$AL9)-2)),0))</f>
        <v/>
      </c>
      <c r="BO9" s="53">
        <f>IF(OR($A9="",$H9="",$H9="NO LAB"),0,IFERROR(VALUE(LEFT($H9,FIND(" ",$H9)-1)),0))</f>
        <v/>
      </c>
      <c r="BP9" s="54">
        <f>IF(OR($A9="",$I9="",$I9="NON-RATED",N($J9)=0),"",IFERROR(VLOOKUP($I9&amp;"|"&amp;$J9,IBC,2,FALSE),"?"))</f>
        <v/>
      </c>
      <c r="BQ9" s="50">
        <f>IF(NOT(AND($A9&lt;&gt;"",$C9&lt;&gt;"DOOR ONLY")),"",TRIM(IFERROR(VLOOKUP($U9,CODES,2,FALSE),"")&amp;" "&amp;$AZ9&amp;" "&amp;IFERROR(VLOOKUP($Z9,CODES,2,FALSE),"")&amp;" "&amp;IFERROR(VLOOKUP($X9,CODES,2,FALSE),"")&amp;" "&amp;IFERROR(VLOOKUP($S9,CODES,2,FALSE),"")&amp;IF(N($P9)&gt;0," w/TRANSOM "&amp;$P9&amp;CHAR(34),"")&amp;IF(N($Q9)&gt;0," w/SIDELITE "&amp;$Q9&amp;CHAR(34)&amp;" "&amp;IF($R9="","R",$R9),"")&amp;IF($Y9="","  |  "," | "&amp;IFERROR(VLOOKUP($Y9,CODES,2,FALSE),"")&amp;" | ")&amp;IFERROR(VLOOKUP($AC9,CODES,2,FALSE),"")&amp;" "&amp;IFERROR(VLOOKUP($AD9,CODES,2,FALSE),"")&amp;IF(OR($AE9="",$AE9="-"),""," "&amp;$AE9)&amp;IF(OR($AF9="",$AF9="-"),""," "&amp;$AF9)&amp;IF($AB9="Y"," 4"&amp;CHAR(34)&amp;" HEAD","")&amp;" "&amp;IFERROR(VLOOKUP($H9,CODES,2,FALSE),"")))</f>
        <v/>
      </c>
      <c r="BR9" s="50">
        <f>IF(NOT(AND($A9&lt;&gt;"",N($BC9)&gt;0)),"",TRIM(IFERROR(VLOOKUP($AH9,CODES,2,FALSE),"")&amp;IF($AI9=""," "," "&amp;$AI9&amp;"GA ")&amp;$AZ9&amp;" "&amp;IF($AN9="",IFERROR(VLOOKUP($Z9,CODES,2,FALSE),""),IFERROR(VLOOKUP($AN9,CODES,2,FALSE),""))&amp;IF($BC9=2," PAIR","")&amp;" DOOR | "&amp;IF($AL9="","?",$AL9)&amp;" | "&amp;IF($AP9="",IFERROR(VLOOKUP($AC9,CODES,2,FALSE),""),IFERROR(VLOOKUP($AP9,CODES,2,FALSE),""))&amp;" "&amp;IFERROR(VLOOKUP($AQ9,CODES,2,FALSE),"")&amp;IF(OR($AR9="",$AR9="-"),""," SEAM "&amp;$AR9)&amp;IF($AS9="Y"," ASTRAGAL","")&amp;IF($AJ9=""," "," "&amp;$AJ9)&amp;IF($AK9=""," "," "&amp;$AK9)&amp;IF($AO9="",""," "&amp;$AO9)&amp;IF($AM9=""," "," SERIES "&amp;$AM9)&amp;" "&amp;IFERROR(VLOOKUP($H9,CODES,2,FALSE),"")))</f>
        <v/>
      </c>
      <c r="BS9" s="49">
        <f>IF(BV9="","",IF(COUNTIF($BV$6:BV9,BV9)=1,MAX($BS$5:BS8)+1,INDEX($BS$5:BS8,MATCH(BV9,$BV$5:BV8,0))))</f>
        <v/>
      </c>
      <c r="BT9" s="49">
        <f>IF(NOT(AND($A9&lt;&gt;"",$C9&lt;&gt;"DOOR ONLY")),"",MAX($BT$5:BT8)+1)</f>
        <v/>
      </c>
      <c r="BU9" s="49">
        <f>IF(NOT(AND($A9&lt;&gt;"",N($BC9)&gt;0)),"",MAX($BU$5:BU8)+1)</f>
        <v/>
      </c>
      <c r="BV9" s="49">
        <f>IF(OR($A9="",$BA9="",$BB9=""),"",$AZ9&amp;"|"&amp;$O9&amp;"|"&amp;$AL9&amp;"|"&amp;$S9&amp;"|"&amp;$P9&amp;"|"&amp;$Q9&amp;$R9&amp;"|"&amp;$C9&amp;"|"&amp;$AB9)</f>
        <v/>
      </c>
      <c r="BW9" s="49">
        <f>IF($A9="","",IF($B9="","qty, ","")&amp;IF($C9="","scope, ","")&amp;IF(OR($K9="",$M9=""),"size, ","")&amp;IF(AND($A9&lt;&gt;"",$C9&lt;&gt;"DOOR ONLY"),IF($U9="","jamb depth, ","")&amp;IF($X9="","construction, ","")&amp;IF($Y9="","anchor, ","")&amp;IF($S9="","frame type, ",""),"")&amp;IF(AND(N($BC9)&gt;0,$Z9=""),"hand, ","")&amp;IF(N($BC9)&gt;0,IF($AH9="","door material, ","")&amp;IF($AL9="","face type, ","")&amp;IF($AQ9="","lock prep, ","")&amp;IF(AND($AP9="",$AC9=""),"hinge prep, ",""),"")&amp;IF(AND($BO9&gt;0,$AH9="FRP"),"FRP cannot carry a label, ","")&amp;IF(AND($O9="Y",OR($Z9="L",$Z9="R",$Z9="LR",$Z9="RR")),"pair marked but hand is single, ","")&amp;IF(AND($O9&lt;&gt;"Y",OR($Z9="PR",AND(LEN($Z9)&gt;1,ISNUMBER(SEARCH("-",$Z9))))),"pair hand on a single door, ","")&amp;IF(AND(ISNUMBER($BP9),$BO9&lt;N($BP9)),"wall needs a "&amp;$BP9&amp;" min door, ","")&amp;IF(AND($BO9&gt;=180,AND(OR($BL9="FG",$BL9="HG",$BL9="FNV",$BL9="FV"),N($BM9)*N($BN9)&gt;100)),"180 min lite over 100 sq in, ","")&amp;IF(N($BD9)&gt;48,"leaf wider than 4'-0"&amp;CHAR(34)&amp;", ",""))</f>
        <v/>
      </c>
      <c r="BX9" s="49">
        <f>IF($A9="","",IF(AND($BO9&gt;0,AND($A9&lt;&gt;"",$C9&lt;&gt;"DOOR ONLY"),$X9="KD",$E9="EXTERIOR"),"KD label on an exterior opening, ","")&amp;IF(AND($E9="EXTERIOR",OR(AND(AND($A9&lt;&gt;"",$C9&lt;&gt;"DOOR ONLY"),$W9="CR"),AND(N($BC9)&gt;0,$AH9="CR"))),"exterior in CR steel (G9?), ","")&amp;IF(AND(ISNUMBER($BJ9),N($BJ9)&lt;32),"clear width ~"&amp;TEXT($BJ9,"0.0")&amp;CHAR(34)&amp;" under 32"&amp;CHAR(34)&amp;" (ADA), ","")&amp;IF(AND($BO9=90,AND(OR($BL9="FG",$BL9="HG",$BL9="FNV",$BL9="FV"),N($BM9)*N($BN9)&gt;100)),"90 min lite over 100 sq in (stair/exit), ","")&amp;IF(AND($BO9&gt;0,AND($A9&lt;&gt;"",$C9&lt;&gt;"DOOR ONLY"),OR($AF9="",$AF9="-")),"rated: closer reinf.?, ","")&amp;IF(OR($I9="CORRIDOR",$I9="SMOKE BARRIER"),"S label + smoke gasketing, ","")&amp;IF($BP9="?","wall type/hr not in IBC table, ","")&amp;IF(AND(N($BC9)&gt;0,$AU9=""),"no hardware set, ","")&amp;IF(AND($AU9&lt;&gt;"",ISNA(MATCH($AU9,HWSets,0))),"set "&amp;$AU9&amp;" not on Hardware sheet, ","")&amp;IF(N($BE9)&gt;96,"leaf over 8'-0"&amp;CHAR(34)&amp;" - check listing, ",""))</f>
        <v/>
      </c>
    </row>
    <row r="10" ht="15" customHeight="1">
      <c r="A10" s="44" t="inlineStr">
        <is>
          <t>105</t>
        </is>
      </c>
      <c r="B10" s="45" t="n">
        <v>2</v>
      </c>
      <c r="C10" s="45" t="inlineStr">
        <is>
          <t>FRAME ONLY</t>
        </is>
      </c>
      <c r="D10" s="45" t="inlineStr">
        <is>
          <t>1st</t>
        </is>
      </c>
      <c r="E10" s="45" t="inlineStr">
        <is>
          <t>INTERIOR</t>
        </is>
      </c>
      <c r="F10" s="45" t="inlineStr">
        <is>
          <t>RECEPTION</t>
        </is>
      </c>
      <c r="G10" s="45" t="inlineStr">
        <is>
          <t>OFFICE</t>
        </is>
      </c>
      <c r="H10" s="45" t="inlineStr">
        <is>
          <t>NO LAB</t>
        </is>
      </c>
      <c r="I10" s="45" t="n"/>
      <c r="J10" s="45" t="n"/>
      <c r="K10" s="45" t="n">
        <v>4</v>
      </c>
      <c r="L10" s="45" t="n">
        <v>0</v>
      </c>
      <c r="M10" s="45" t="n">
        <v>3</v>
      </c>
      <c r="N10" s="45" t="n">
        <v>0</v>
      </c>
      <c r="O10" s="45" t="n"/>
      <c r="P10" s="45" t="n"/>
      <c r="Q10" s="45" t="n"/>
      <c r="R10" s="45" t="n"/>
      <c r="S10" s="46" t="inlineStr">
        <is>
          <t>BL</t>
        </is>
      </c>
      <c r="T10" s="46" t="inlineStr">
        <is>
          <t>C</t>
        </is>
      </c>
      <c r="U10" s="46" t="n">
        <v>478</v>
      </c>
      <c r="V10" s="46" t="n">
        <v>16</v>
      </c>
      <c r="W10" s="46" t="inlineStr">
        <is>
          <t>CR</t>
        </is>
      </c>
      <c r="X10" s="46" t="inlineStr">
        <is>
          <t>KD</t>
        </is>
      </c>
      <c r="Y10" s="46" t="inlineStr">
        <is>
          <t>SC</t>
        </is>
      </c>
      <c r="Z10" s="46" t="n"/>
      <c r="AA10" s="46" t="inlineStr">
        <is>
          <t>CU</t>
        </is>
      </c>
      <c r="AB10" s="46" t="n"/>
      <c r="AC10" s="46" t="inlineStr">
        <is>
          <t>BLK</t>
        </is>
      </c>
      <c r="AD10" s="46" t="n"/>
      <c r="AE10" s="46" t="n"/>
      <c r="AF10" s="46" t="n"/>
      <c r="AG10" s="46" t="n"/>
      <c r="AH10" s="47" t="n"/>
      <c r="AI10" s="47" t="n"/>
      <c r="AJ10" s="47" t="n"/>
      <c r="AK10" s="47" t="n"/>
      <c r="AL10" s="47" t="n"/>
      <c r="AM10" s="47" t="n"/>
      <c r="AN10" s="47" t="n"/>
      <c r="AO10" s="47" t="n"/>
      <c r="AP10" s="47" t="n"/>
      <c r="AQ10" s="47" t="n"/>
      <c r="AR10" s="47" t="n"/>
      <c r="AS10" s="47" t="n"/>
      <c r="AT10" s="47" t="n"/>
      <c r="AU10" s="48" t="n"/>
      <c r="AV10" s="48" t="n"/>
      <c r="AW10" s="49">
        <f>IF($A10="","",IF($BW10&lt;&gt;"","FIX",IF($BX10&lt;&gt;"","CHECK","OK")))</f>
        <v/>
      </c>
      <c r="AX10" s="50">
        <f>IF($A10="","",IF($BW10&lt;&gt;"","FIX: "&amp;LEFT($BW10,LEN($BW10)-2)&amp;IF($BX10&lt;&gt;"","  ·  ",""),"")&amp;IF($BX10&lt;&gt;"","CHECK: "&amp;LEFT($BX10,LEN($BX10)-2),""))</f>
        <v/>
      </c>
      <c r="AY10" s="49">
        <f>IF(OR($A10="",$K10=""),"",$K10&amp;"'-"&amp;N($L10)&amp;CHAR(34)&amp;" x "&amp;$M10&amp;"'-"&amp;N($N10)&amp;CHAR(34))</f>
        <v/>
      </c>
      <c r="AZ10" s="49">
        <f>IF(OR($A10="",$K10=""),"",$K10&amp;N($L10)&amp;$M10&amp;N($N10))</f>
        <v/>
      </c>
      <c r="BA10" s="49">
        <f>IF(OR($A10="",$K10=""),"",$K10*12+N($L10))</f>
        <v/>
      </c>
      <c r="BB10" s="49">
        <f>IF(OR($A10="",$M10=""),"",$M10*12+N($N10))</f>
        <v/>
      </c>
      <c r="BC10" s="49">
        <f>IF($A10="","",IF(OR($C10="FRAME ONLY",$S10="BL"),0,IF($O10="Y",2,1)))</f>
        <v/>
      </c>
      <c r="BD10" s="51">
        <f>IF(OR(N($BC10)=0,$BA10=""),"",($BA10-2*EdgeClr-IF($BC10=2,MeetClr,0))/$BC10)</f>
        <v/>
      </c>
      <c r="BE10" s="51">
        <f>IF(OR(N($BC10)=0,$BB10=""),"",$BB10-HeadClr-Undercut)</f>
        <v/>
      </c>
      <c r="BF10" s="51">
        <f>IF($BA10="","",$BA10+2*FaceW+IF(N($Q10)&gt;0,($Q10+FaceW)*IF($R10="LR",2,1),0))</f>
        <v/>
      </c>
      <c r="BG10" s="51">
        <f>IF($BB10="","",$BB10+IF($AB10="Y",4,FaceW)+IF(N($P10)&gt;0,$P10+FaceW,0)+IF(OR($S10="4F",$S10="BL"),FaceW,0))</f>
        <v/>
      </c>
      <c r="BH10" s="51">
        <f>IF($BF10="","",$BF10+2*ROSide)</f>
        <v/>
      </c>
      <c r="BI10" s="51">
        <f>IF($BG10="","",$BG10+ROTop)</f>
        <v/>
      </c>
      <c r="BJ10" s="52">
        <f>IF(OR(N($BC10)=0,$BA10=""),"",$BA10/$BC10-ClearDeduct)</f>
        <v/>
      </c>
      <c r="BK10" s="49">
        <f>IF(OR(N($BC10)=0,$BE10=""),"",IF(OR($AC10="HGC",$AP10="HGC"),"CONT",IF($BE10&lt;=60,2,IF($BE10&lt;=90,3,IF($BE10&lt;=120,4,5)))))</f>
        <v/>
      </c>
      <c r="BL10" s="49">
        <f>IF(N($BC10)=0,"",IF(OR($AL10="",$AL10="FLUSH"),"FLUSH",IFERROR(LEFT($AL10,FIND("-",$AL10)-1),LEFT($AL10,2))))</f>
        <v/>
      </c>
      <c r="BM10" s="49">
        <f>IF($BL10="","",IFERROR(VALUE(MID($AL10,FIND("-",$AL10)+1,FIND(CHAR(34)&amp;"x",$AL10)-FIND("-",$AL10)-1)),0))</f>
        <v/>
      </c>
      <c r="BN10" s="49">
        <f>IF($BL10="","",IFERROR(VALUE(MID($AL10,FIND(CHAR(34)&amp;"x",$AL10)+2,FIND(CHAR(34),$AL10,FIND(CHAR(34)&amp;"x",$AL10)+2)-FIND(CHAR(34)&amp;"x",$AL10)-2)),0))</f>
        <v/>
      </c>
      <c r="BO10" s="53">
        <f>IF(OR($A10="",$H10="",$H10="NO LAB"),0,IFERROR(VALUE(LEFT($H10,FIND(" ",$H10)-1)),0))</f>
        <v/>
      </c>
      <c r="BP10" s="54">
        <f>IF(OR($A10="",$I10="",$I10="NON-RATED",N($J10)=0),"",IFERROR(VLOOKUP($I10&amp;"|"&amp;$J10,IBC,2,FALSE),"?"))</f>
        <v/>
      </c>
      <c r="BQ10" s="50">
        <f>IF(NOT(AND($A10&lt;&gt;"",$C10&lt;&gt;"DOOR ONLY")),"",TRIM(IFERROR(VLOOKUP($U10,CODES,2,FALSE),"")&amp;" "&amp;$AZ10&amp;" "&amp;IFERROR(VLOOKUP($Z10,CODES,2,FALSE),"")&amp;" "&amp;IFERROR(VLOOKUP($X10,CODES,2,FALSE),"")&amp;" "&amp;IFERROR(VLOOKUP($S10,CODES,2,FALSE),"")&amp;IF(N($P10)&gt;0," w/TRANSOM "&amp;$P10&amp;CHAR(34),"")&amp;IF(N($Q10)&gt;0," w/SIDELITE "&amp;$Q10&amp;CHAR(34)&amp;" "&amp;IF($R10="","R",$R10),"")&amp;IF($Y10="","  |  "," | "&amp;IFERROR(VLOOKUP($Y10,CODES,2,FALSE),"")&amp;" | ")&amp;IFERROR(VLOOKUP($AC10,CODES,2,FALSE),"")&amp;" "&amp;IFERROR(VLOOKUP($AD10,CODES,2,FALSE),"")&amp;IF(OR($AE10="",$AE10="-"),""," "&amp;$AE10)&amp;IF(OR($AF10="",$AF10="-"),""," "&amp;$AF10)&amp;IF($AB10="Y"," 4"&amp;CHAR(34)&amp;" HEAD","")&amp;" "&amp;IFERROR(VLOOKUP($H10,CODES,2,FALSE),"")))</f>
        <v/>
      </c>
      <c r="BR10" s="50">
        <f>IF(NOT(AND($A10&lt;&gt;"",N($BC10)&gt;0)),"",TRIM(IFERROR(VLOOKUP($AH10,CODES,2,FALSE),"")&amp;IF($AI10=""," "," "&amp;$AI10&amp;"GA ")&amp;$AZ10&amp;" "&amp;IF($AN10="",IFERROR(VLOOKUP($Z10,CODES,2,FALSE),""),IFERROR(VLOOKUP($AN10,CODES,2,FALSE),""))&amp;IF($BC10=2," PAIR","")&amp;" DOOR | "&amp;IF($AL10="","?",$AL10)&amp;" | "&amp;IF($AP10="",IFERROR(VLOOKUP($AC10,CODES,2,FALSE),""),IFERROR(VLOOKUP($AP10,CODES,2,FALSE),""))&amp;" "&amp;IFERROR(VLOOKUP($AQ10,CODES,2,FALSE),"")&amp;IF(OR($AR10="",$AR10="-"),""," SEAM "&amp;$AR10)&amp;IF($AS10="Y"," ASTRAGAL","")&amp;IF($AJ10=""," "," "&amp;$AJ10)&amp;IF($AK10=""," "," "&amp;$AK10)&amp;IF($AO10="",""," "&amp;$AO10)&amp;IF($AM10=""," "," SERIES "&amp;$AM10)&amp;" "&amp;IFERROR(VLOOKUP($H10,CODES,2,FALSE),"")))</f>
        <v/>
      </c>
      <c r="BS10" s="49">
        <f>IF(BV10="","",IF(COUNTIF($BV$6:BV10,BV10)=1,MAX($BS$5:BS9)+1,INDEX($BS$5:BS9,MATCH(BV10,$BV$5:BV9,0))))</f>
        <v/>
      </c>
      <c r="BT10" s="49">
        <f>IF(NOT(AND($A10&lt;&gt;"",$C10&lt;&gt;"DOOR ONLY")),"",MAX($BT$5:BT9)+1)</f>
        <v/>
      </c>
      <c r="BU10" s="49">
        <f>IF(NOT(AND($A10&lt;&gt;"",N($BC10)&gt;0)),"",MAX($BU$5:BU9)+1)</f>
        <v/>
      </c>
      <c r="BV10" s="49">
        <f>IF(OR($A10="",$BA10="",$BB10=""),"",$AZ10&amp;"|"&amp;$O10&amp;"|"&amp;$AL10&amp;"|"&amp;$S10&amp;"|"&amp;$P10&amp;"|"&amp;$Q10&amp;$R10&amp;"|"&amp;$C10&amp;"|"&amp;$AB10)</f>
        <v/>
      </c>
      <c r="BW10" s="49">
        <f>IF($A10="","",IF($B10="","qty, ","")&amp;IF($C10="","scope, ","")&amp;IF(OR($K10="",$M10=""),"size, ","")&amp;IF(AND($A10&lt;&gt;"",$C10&lt;&gt;"DOOR ONLY"),IF($U10="","jamb depth, ","")&amp;IF($X10="","construction, ","")&amp;IF($Y10="","anchor, ","")&amp;IF($S10="","frame type, ",""),"")&amp;IF(AND(N($BC10)&gt;0,$Z10=""),"hand, ","")&amp;IF(N($BC10)&gt;0,IF($AH10="","door material, ","")&amp;IF($AL10="","face type, ","")&amp;IF($AQ10="","lock prep, ","")&amp;IF(AND($AP10="",$AC10=""),"hinge prep, ",""),"")&amp;IF(AND($BO10&gt;0,$AH10="FRP"),"FRP cannot carry a label, ","")&amp;IF(AND($O10="Y",OR($Z10="L",$Z10="R",$Z10="LR",$Z10="RR")),"pair marked but hand is single, ","")&amp;IF(AND($O10&lt;&gt;"Y",OR($Z10="PR",AND(LEN($Z10)&gt;1,ISNUMBER(SEARCH("-",$Z10))))),"pair hand on a single door, ","")&amp;IF(AND(ISNUMBER($BP10),$BO10&lt;N($BP10)),"wall needs a "&amp;$BP10&amp;" min door, ","")&amp;IF(AND($BO10&gt;=180,AND(OR($BL10="FG",$BL10="HG",$BL10="FNV",$BL10="FV"),N($BM10)*N($BN10)&gt;100)),"180 min lite over 100 sq in, ","")&amp;IF(N($BD10)&gt;48,"leaf wider than 4'-0"&amp;CHAR(34)&amp;", ",""))</f>
        <v/>
      </c>
      <c r="BX10" s="49">
        <f>IF($A10="","",IF(AND($BO10&gt;0,AND($A10&lt;&gt;"",$C10&lt;&gt;"DOOR ONLY"),$X10="KD",$E10="EXTERIOR"),"KD label on an exterior opening, ","")&amp;IF(AND($E10="EXTERIOR",OR(AND(AND($A10&lt;&gt;"",$C10&lt;&gt;"DOOR ONLY"),$W10="CR"),AND(N($BC10)&gt;0,$AH10="CR"))),"exterior in CR steel (G9?), ","")&amp;IF(AND(ISNUMBER($BJ10),N($BJ10)&lt;32),"clear width ~"&amp;TEXT($BJ10,"0.0")&amp;CHAR(34)&amp;" under 32"&amp;CHAR(34)&amp;" (ADA), ","")&amp;IF(AND($BO10=90,AND(OR($BL10="FG",$BL10="HG",$BL10="FNV",$BL10="FV"),N($BM10)*N($BN10)&gt;100)),"90 min lite over 100 sq in (stair/exit), ","")&amp;IF(AND($BO10&gt;0,AND($A10&lt;&gt;"",$C10&lt;&gt;"DOOR ONLY"),OR($AF10="",$AF10="-")),"rated: closer reinf.?, ","")&amp;IF(OR($I10="CORRIDOR",$I10="SMOKE BARRIER"),"S label + smoke gasketing, ","")&amp;IF($BP10="?","wall type/hr not in IBC table, ","")&amp;IF(AND(N($BC10)&gt;0,$AU10=""),"no hardware set, ","")&amp;IF(AND($AU10&lt;&gt;"",ISNA(MATCH($AU10,HWSets,0))),"set "&amp;$AU10&amp;" not on Hardware sheet, ","")&amp;IF(N($BE10)&gt;96,"leaf over 8'-0"&amp;CHAR(34)&amp;" - check listing, ",""))</f>
        <v/>
      </c>
    </row>
    <row r="11" ht="15" customHeight="1">
      <c r="A11" s="44" t="inlineStr">
        <is>
          <t>106</t>
        </is>
      </c>
      <c r="B11" s="45" t="n">
        <v>1</v>
      </c>
      <c r="C11" s="45" t="inlineStr">
        <is>
          <t>FRAME &amp; DOOR</t>
        </is>
      </c>
      <c r="D11" s="45" t="inlineStr">
        <is>
          <t>2nd</t>
        </is>
      </c>
      <c r="E11" s="45" t="inlineStr">
        <is>
          <t>INTERIOR</t>
        </is>
      </c>
      <c r="F11" s="45" t="inlineStr">
        <is>
          <t>CORRIDOR</t>
        </is>
      </c>
      <c r="G11" s="45" t="inlineStr">
        <is>
          <t>MECH 201</t>
        </is>
      </c>
      <c r="H11" s="45" t="inlineStr">
        <is>
          <t>60 MIN</t>
        </is>
      </c>
      <c r="I11" s="45" t="inlineStr">
        <is>
          <t>FIRE BARRIER</t>
        </is>
      </c>
      <c r="J11" s="45" t="n">
        <v>2</v>
      </c>
      <c r="K11" s="45" t="n">
        <v>3</v>
      </c>
      <c r="L11" s="45" t="n">
        <v>6</v>
      </c>
      <c r="M11" s="45" t="n">
        <v>7</v>
      </c>
      <c r="N11" s="45" t="n">
        <v>0</v>
      </c>
      <c r="O11" s="45" t="n"/>
      <c r="P11" s="45" t="n"/>
      <c r="Q11" s="45" t="n"/>
      <c r="R11" s="45" t="n"/>
      <c r="S11" s="46" t="inlineStr">
        <is>
          <t>3F</t>
        </is>
      </c>
      <c r="T11" s="46" t="inlineStr">
        <is>
          <t>M</t>
        </is>
      </c>
      <c r="U11" s="46" t="n">
        <v>534</v>
      </c>
      <c r="V11" s="46" t="n">
        <v>16</v>
      </c>
      <c r="W11" s="46" t="inlineStr">
        <is>
          <t>CR</t>
        </is>
      </c>
      <c r="X11" s="46" t="inlineStr">
        <is>
          <t>KD</t>
        </is>
      </c>
      <c r="Y11" s="46" t="inlineStr">
        <is>
          <t>SC</t>
        </is>
      </c>
      <c r="Z11" s="46" t="inlineStr">
        <is>
          <t>L</t>
        </is>
      </c>
      <c r="AA11" s="46" t="inlineStr">
        <is>
          <t>CU</t>
        </is>
      </c>
      <c r="AB11" s="46" t="n"/>
      <c r="AC11" s="46" t="inlineStr">
        <is>
          <t>U453</t>
        </is>
      </c>
      <c r="AD11" s="46" t="inlineStr">
        <is>
          <t>E1</t>
        </is>
      </c>
      <c r="AE11" s="46" t="n"/>
      <c r="AF11" s="46" t="inlineStr">
        <is>
          <t>E11</t>
        </is>
      </c>
      <c r="AG11" s="46" t="n"/>
      <c r="AH11" s="47" t="inlineStr">
        <is>
          <t>CR</t>
        </is>
      </c>
      <c r="AI11" s="47" t="n">
        <v>18</v>
      </c>
      <c r="AJ11" s="47" t="n"/>
      <c r="AK11" s="47" t="n"/>
      <c r="AL11" s="47" t="inlineStr">
        <is>
          <t>FLUSH</t>
        </is>
      </c>
      <c r="AM11" s="47" t="n">
        <v>707</v>
      </c>
      <c r="AN11" s="47" t="n"/>
      <c r="AO11" s="47" t="inlineStr">
        <is>
          <t>CURRIES</t>
        </is>
      </c>
      <c r="AP11" s="47" t="n"/>
      <c r="AQ11" s="47" t="inlineStr">
        <is>
          <t>G2</t>
        </is>
      </c>
      <c r="AR11" s="47" t="n"/>
      <c r="AS11" s="47" t="n"/>
      <c r="AT11" s="47" t="n"/>
      <c r="AU11" s="48" t="inlineStr">
        <is>
          <t>1</t>
        </is>
      </c>
      <c r="AV11" s="48" t="n"/>
      <c r="AW11" s="49">
        <f>IF($A11="","",IF($BW11&lt;&gt;"","FIX",IF($BX11&lt;&gt;"","CHECK","OK")))</f>
        <v/>
      </c>
      <c r="AX11" s="50">
        <f>IF($A11="","",IF($BW11&lt;&gt;"","FIX: "&amp;LEFT($BW11,LEN($BW11)-2)&amp;IF($BX11&lt;&gt;"","  ·  ",""),"")&amp;IF($BX11&lt;&gt;"","CHECK: "&amp;LEFT($BX11,LEN($BX11)-2),""))</f>
        <v/>
      </c>
      <c r="AY11" s="49">
        <f>IF(OR($A11="",$K11=""),"",$K11&amp;"'-"&amp;N($L11)&amp;CHAR(34)&amp;" x "&amp;$M11&amp;"'-"&amp;N($N11)&amp;CHAR(34))</f>
        <v/>
      </c>
      <c r="AZ11" s="49">
        <f>IF(OR($A11="",$K11=""),"",$K11&amp;N($L11)&amp;$M11&amp;N($N11))</f>
        <v/>
      </c>
      <c r="BA11" s="49">
        <f>IF(OR($A11="",$K11=""),"",$K11*12+N($L11))</f>
        <v/>
      </c>
      <c r="BB11" s="49">
        <f>IF(OR($A11="",$M11=""),"",$M11*12+N($N11))</f>
        <v/>
      </c>
      <c r="BC11" s="49">
        <f>IF($A11="","",IF(OR($C11="FRAME ONLY",$S11="BL"),0,IF($O11="Y",2,1)))</f>
        <v/>
      </c>
      <c r="BD11" s="51">
        <f>IF(OR(N($BC11)=0,$BA11=""),"",($BA11-2*EdgeClr-IF($BC11=2,MeetClr,0))/$BC11)</f>
        <v/>
      </c>
      <c r="BE11" s="51">
        <f>IF(OR(N($BC11)=0,$BB11=""),"",$BB11-HeadClr-Undercut)</f>
        <v/>
      </c>
      <c r="BF11" s="51">
        <f>IF($BA11="","",$BA11+2*FaceW+IF(N($Q11)&gt;0,($Q11+FaceW)*IF($R11="LR",2,1),0))</f>
        <v/>
      </c>
      <c r="BG11" s="51">
        <f>IF($BB11="","",$BB11+IF($AB11="Y",4,FaceW)+IF(N($P11)&gt;0,$P11+FaceW,0)+IF(OR($S11="4F",$S11="BL"),FaceW,0))</f>
        <v/>
      </c>
      <c r="BH11" s="51">
        <f>IF($BF11="","",$BF11+2*ROSide)</f>
        <v/>
      </c>
      <c r="BI11" s="51">
        <f>IF($BG11="","",$BG11+ROTop)</f>
        <v/>
      </c>
      <c r="BJ11" s="52">
        <f>IF(OR(N($BC11)=0,$BA11=""),"",$BA11/$BC11-ClearDeduct)</f>
        <v/>
      </c>
      <c r="BK11" s="49">
        <f>IF(OR(N($BC11)=0,$BE11=""),"",IF(OR($AC11="HGC",$AP11="HGC"),"CONT",IF($BE11&lt;=60,2,IF($BE11&lt;=90,3,IF($BE11&lt;=120,4,5)))))</f>
        <v/>
      </c>
      <c r="BL11" s="49">
        <f>IF(N($BC11)=0,"",IF(OR($AL11="",$AL11="FLUSH"),"FLUSH",IFERROR(LEFT($AL11,FIND("-",$AL11)-1),LEFT($AL11,2))))</f>
        <v/>
      </c>
      <c r="BM11" s="49">
        <f>IF($BL11="","",IFERROR(VALUE(MID($AL11,FIND("-",$AL11)+1,FIND(CHAR(34)&amp;"x",$AL11)-FIND("-",$AL11)-1)),0))</f>
        <v/>
      </c>
      <c r="BN11" s="49">
        <f>IF($BL11="","",IFERROR(VALUE(MID($AL11,FIND(CHAR(34)&amp;"x",$AL11)+2,FIND(CHAR(34),$AL11,FIND(CHAR(34)&amp;"x",$AL11)+2)-FIND(CHAR(34)&amp;"x",$AL11)-2)),0))</f>
        <v/>
      </c>
      <c r="BO11" s="53">
        <f>IF(OR($A11="",$H11="",$H11="NO LAB"),0,IFERROR(VALUE(LEFT($H11,FIND(" ",$H11)-1)),0))</f>
        <v/>
      </c>
      <c r="BP11" s="54">
        <f>IF(OR($A11="",$I11="",$I11="NON-RATED",N($J11)=0),"",IFERROR(VLOOKUP($I11&amp;"|"&amp;$J11,IBC,2,FALSE),"?"))</f>
        <v/>
      </c>
      <c r="BQ11" s="50">
        <f>IF(NOT(AND($A11&lt;&gt;"",$C11&lt;&gt;"DOOR ONLY")),"",TRIM(IFERROR(VLOOKUP($U11,CODES,2,FALSE),"")&amp;" "&amp;$AZ11&amp;" "&amp;IFERROR(VLOOKUP($Z11,CODES,2,FALSE),"")&amp;" "&amp;IFERROR(VLOOKUP($X11,CODES,2,FALSE),"")&amp;" "&amp;IFERROR(VLOOKUP($S11,CODES,2,FALSE),"")&amp;IF(N($P11)&gt;0," w/TRANSOM "&amp;$P11&amp;CHAR(34),"")&amp;IF(N($Q11)&gt;0," w/SIDELITE "&amp;$Q11&amp;CHAR(34)&amp;" "&amp;IF($R11="","R",$R11),"")&amp;IF($Y11="","  |  "," | "&amp;IFERROR(VLOOKUP($Y11,CODES,2,FALSE),"")&amp;" | ")&amp;IFERROR(VLOOKUP($AC11,CODES,2,FALSE),"")&amp;" "&amp;IFERROR(VLOOKUP($AD11,CODES,2,FALSE),"")&amp;IF(OR($AE11="",$AE11="-"),""," "&amp;$AE11)&amp;IF(OR($AF11="",$AF11="-"),""," "&amp;$AF11)&amp;IF($AB11="Y"," 4"&amp;CHAR(34)&amp;" HEAD","")&amp;" "&amp;IFERROR(VLOOKUP($H11,CODES,2,FALSE),"")))</f>
        <v/>
      </c>
      <c r="BR11" s="50">
        <f>IF(NOT(AND($A11&lt;&gt;"",N($BC11)&gt;0)),"",TRIM(IFERROR(VLOOKUP($AH11,CODES,2,FALSE),"")&amp;IF($AI11=""," "," "&amp;$AI11&amp;"GA ")&amp;$AZ11&amp;" "&amp;IF($AN11="",IFERROR(VLOOKUP($Z11,CODES,2,FALSE),""),IFERROR(VLOOKUP($AN11,CODES,2,FALSE),""))&amp;IF($BC11=2," PAIR","")&amp;" DOOR | "&amp;IF($AL11="","?",$AL11)&amp;" | "&amp;IF($AP11="",IFERROR(VLOOKUP($AC11,CODES,2,FALSE),""),IFERROR(VLOOKUP($AP11,CODES,2,FALSE),""))&amp;" "&amp;IFERROR(VLOOKUP($AQ11,CODES,2,FALSE),"")&amp;IF(OR($AR11="",$AR11="-"),""," SEAM "&amp;$AR11)&amp;IF($AS11="Y"," ASTRAGAL","")&amp;IF($AJ11=""," "," "&amp;$AJ11)&amp;IF($AK11=""," "," "&amp;$AK11)&amp;IF($AO11="",""," "&amp;$AO11)&amp;IF($AM11=""," "," SERIES "&amp;$AM11)&amp;" "&amp;IFERROR(VLOOKUP($H11,CODES,2,FALSE),"")))</f>
        <v/>
      </c>
      <c r="BS11" s="49">
        <f>IF(BV11="","",IF(COUNTIF($BV$6:BV11,BV11)=1,MAX($BS$5:BS10)+1,INDEX($BS$5:BS10,MATCH(BV11,$BV$5:BV10,0))))</f>
        <v/>
      </c>
      <c r="BT11" s="49">
        <f>IF(NOT(AND($A11&lt;&gt;"",$C11&lt;&gt;"DOOR ONLY")),"",MAX($BT$5:BT10)+1)</f>
        <v/>
      </c>
      <c r="BU11" s="49">
        <f>IF(NOT(AND($A11&lt;&gt;"",N($BC11)&gt;0)),"",MAX($BU$5:BU10)+1)</f>
        <v/>
      </c>
      <c r="BV11" s="49">
        <f>IF(OR($A11="",$BA11="",$BB11=""),"",$AZ11&amp;"|"&amp;$O11&amp;"|"&amp;$AL11&amp;"|"&amp;$S11&amp;"|"&amp;$P11&amp;"|"&amp;$Q11&amp;$R11&amp;"|"&amp;$C11&amp;"|"&amp;$AB11)</f>
        <v/>
      </c>
      <c r="BW11" s="49">
        <f>IF($A11="","",IF($B11="","qty, ","")&amp;IF($C11="","scope, ","")&amp;IF(OR($K11="",$M11=""),"size, ","")&amp;IF(AND($A11&lt;&gt;"",$C11&lt;&gt;"DOOR ONLY"),IF($U11="","jamb depth, ","")&amp;IF($X11="","construction, ","")&amp;IF($Y11="","anchor, ","")&amp;IF($S11="","frame type, ",""),"")&amp;IF(AND(N($BC11)&gt;0,$Z11=""),"hand, ","")&amp;IF(N($BC11)&gt;0,IF($AH11="","door material, ","")&amp;IF($AL11="","face type, ","")&amp;IF($AQ11="","lock prep, ","")&amp;IF(AND($AP11="",$AC11=""),"hinge prep, ",""),"")&amp;IF(AND($BO11&gt;0,$AH11="FRP"),"FRP cannot carry a label, ","")&amp;IF(AND($O11="Y",OR($Z11="L",$Z11="R",$Z11="LR",$Z11="RR")),"pair marked but hand is single, ","")&amp;IF(AND($O11&lt;&gt;"Y",OR($Z11="PR",AND(LEN($Z11)&gt;1,ISNUMBER(SEARCH("-",$Z11))))),"pair hand on a single door, ","")&amp;IF(AND(ISNUMBER($BP11),$BO11&lt;N($BP11)),"wall needs a "&amp;$BP11&amp;" min door, ","")&amp;IF(AND($BO11&gt;=180,AND(OR($BL11="FG",$BL11="HG",$BL11="FNV",$BL11="FV"),N($BM11)*N($BN11)&gt;100)),"180 min lite over 100 sq in, ","")&amp;IF(N($BD11)&gt;48,"leaf wider than 4'-0"&amp;CHAR(34)&amp;", ",""))</f>
        <v/>
      </c>
      <c r="BX11" s="49">
        <f>IF($A11="","",IF(AND($BO11&gt;0,AND($A11&lt;&gt;"",$C11&lt;&gt;"DOOR ONLY"),$X11="KD",$E11="EXTERIOR"),"KD label on an exterior opening, ","")&amp;IF(AND($E11="EXTERIOR",OR(AND(AND($A11&lt;&gt;"",$C11&lt;&gt;"DOOR ONLY"),$W11="CR"),AND(N($BC11)&gt;0,$AH11="CR"))),"exterior in CR steel (G9?), ","")&amp;IF(AND(ISNUMBER($BJ11),N($BJ11)&lt;32),"clear width ~"&amp;TEXT($BJ11,"0.0")&amp;CHAR(34)&amp;" under 32"&amp;CHAR(34)&amp;" (ADA), ","")&amp;IF(AND($BO11=90,AND(OR($BL11="FG",$BL11="HG",$BL11="FNV",$BL11="FV"),N($BM11)*N($BN11)&gt;100)),"90 min lite over 100 sq in (stair/exit), ","")&amp;IF(AND($BO11&gt;0,AND($A11&lt;&gt;"",$C11&lt;&gt;"DOOR ONLY"),OR($AF11="",$AF11="-")),"rated: closer reinf.?, ","")&amp;IF(OR($I11="CORRIDOR",$I11="SMOKE BARRIER"),"S label + smoke gasketing, ","")&amp;IF($BP11="?","wall type/hr not in IBC table, ","")&amp;IF(AND(N($BC11)&gt;0,$AU11=""),"no hardware set, ","")&amp;IF(AND($AU11&lt;&gt;"",ISNA(MATCH($AU11,HWSets,0))),"set "&amp;$AU11&amp;" not on Hardware sheet, ","")&amp;IF(N($BE11)&gt;96,"leaf over 8'-0"&amp;CHAR(34)&amp;" - check listing, ",""))</f>
        <v/>
      </c>
    </row>
    <row r="12" ht="15" customHeight="1">
      <c r="A12" s="44" t="inlineStr">
        <is>
          <t>107</t>
        </is>
      </c>
      <c r="B12" s="45" t="n">
        <v>2</v>
      </c>
      <c r="C12" s="45" t="inlineStr">
        <is>
          <t>DOOR ONLY</t>
        </is>
      </c>
      <c r="D12" s="45" t="inlineStr">
        <is>
          <t>2nd</t>
        </is>
      </c>
      <c r="E12" s="45" t="inlineStr">
        <is>
          <t>INTERIOR</t>
        </is>
      </c>
      <c r="F12" s="45" t="inlineStr">
        <is>
          <t>OFFICE</t>
        </is>
      </c>
      <c r="G12" s="45" t="inlineStr">
        <is>
          <t>TOILET</t>
        </is>
      </c>
      <c r="H12" s="45" t="inlineStr">
        <is>
          <t>NO LAB</t>
        </is>
      </c>
      <c r="I12" s="45" t="inlineStr">
        <is>
          <t>NON-RATED</t>
        </is>
      </c>
      <c r="J12" s="45" t="n"/>
      <c r="K12" s="45" t="n">
        <v>2</v>
      </c>
      <c r="L12" s="45" t="n">
        <v>8</v>
      </c>
      <c r="M12" s="45" t="n">
        <v>7</v>
      </c>
      <c r="N12" s="45" t="n">
        <v>0</v>
      </c>
      <c r="O12" s="45" t="n"/>
      <c r="P12" s="45" t="n"/>
      <c r="Q12" s="45" t="n"/>
      <c r="R12" s="45" t="n"/>
      <c r="S12" s="46" t="n"/>
      <c r="T12" s="46" t="n"/>
      <c r="U12" s="46" t="n"/>
      <c r="V12" s="46" t="n"/>
      <c r="W12" s="46" t="n"/>
      <c r="X12" s="46" t="n"/>
      <c r="Y12" s="46" t="n"/>
      <c r="Z12" s="46" t="inlineStr">
        <is>
          <t>RR</t>
        </is>
      </c>
      <c r="AA12" s="46" t="n"/>
      <c r="AB12" s="46" t="n"/>
      <c r="AC12" s="46" t="inlineStr">
        <is>
          <t>U453</t>
        </is>
      </c>
      <c r="AD12" s="46" t="n"/>
      <c r="AE12" s="46" t="n"/>
      <c r="AF12" s="46" t="n"/>
      <c r="AG12" s="46" t="n"/>
      <c r="AH12" s="47" t="inlineStr">
        <is>
          <t>BIR-PC</t>
        </is>
      </c>
      <c r="AI12" s="47" t="n"/>
      <c r="AJ12" s="47" t="inlineStr">
        <is>
          <t>PC</t>
        </is>
      </c>
      <c r="AK12" s="47" t="inlineStr">
        <is>
          <t>RWB</t>
        </is>
      </c>
      <c r="AL12" s="47" t="inlineStr">
        <is>
          <t>FLUSH</t>
        </is>
      </c>
      <c r="AM12" s="47" t="n"/>
      <c r="AN12" s="47" t="n"/>
      <c r="AO12" s="47" t="n"/>
      <c r="AP12" s="47" t="n"/>
      <c r="AQ12" s="47" t="inlineStr">
        <is>
          <t>G2</t>
        </is>
      </c>
      <c r="AR12" s="47" t="n"/>
      <c r="AS12" s="47" t="n"/>
      <c r="AT12" s="47" t="n"/>
      <c r="AU12" s="48" t="inlineStr">
        <is>
          <t>1</t>
        </is>
      </c>
      <c r="AV12" s="48" t="n"/>
      <c r="AW12" s="49">
        <f>IF($A12="","",IF($BW12&lt;&gt;"","FIX",IF($BX12&lt;&gt;"","CHECK","OK")))</f>
        <v/>
      </c>
      <c r="AX12" s="50">
        <f>IF($A12="","",IF($BW12&lt;&gt;"","FIX: "&amp;LEFT($BW12,LEN($BW12)-2)&amp;IF($BX12&lt;&gt;"","  ·  ",""),"")&amp;IF($BX12&lt;&gt;"","CHECK: "&amp;LEFT($BX12,LEN($BX12)-2),""))</f>
        <v/>
      </c>
      <c r="AY12" s="49">
        <f>IF(OR($A12="",$K12=""),"",$K12&amp;"'-"&amp;N($L12)&amp;CHAR(34)&amp;" x "&amp;$M12&amp;"'-"&amp;N($N12)&amp;CHAR(34))</f>
        <v/>
      </c>
      <c r="AZ12" s="49">
        <f>IF(OR($A12="",$K12=""),"",$K12&amp;N($L12)&amp;$M12&amp;N($N12))</f>
        <v/>
      </c>
      <c r="BA12" s="49">
        <f>IF(OR($A12="",$K12=""),"",$K12*12+N($L12))</f>
        <v/>
      </c>
      <c r="BB12" s="49">
        <f>IF(OR($A12="",$M12=""),"",$M12*12+N($N12))</f>
        <v/>
      </c>
      <c r="BC12" s="49">
        <f>IF($A12="","",IF(OR($C12="FRAME ONLY",$S12="BL"),0,IF($O12="Y",2,1)))</f>
        <v/>
      </c>
      <c r="BD12" s="51">
        <f>IF(OR(N($BC12)=0,$BA12=""),"",($BA12-2*EdgeClr-IF($BC12=2,MeetClr,0))/$BC12)</f>
        <v/>
      </c>
      <c r="BE12" s="51">
        <f>IF(OR(N($BC12)=0,$BB12=""),"",$BB12-HeadClr-Undercut)</f>
        <v/>
      </c>
      <c r="BF12" s="51">
        <f>IF($BA12="","",$BA12+2*FaceW+IF(N($Q12)&gt;0,($Q12+FaceW)*IF($R12="LR",2,1),0))</f>
        <v/>
      </c>
      <c r="BG12" s="51">
        <f>IF($BB12="","",$BB12+IF($AB12="Y",4,FaceW)+IF(N($P12)&gt;0,$P12+FaceW,0)+IF(OR($S12="4F",$S12="BL"),FaceW,0))</f>
        <v/>
      </c>
      <c r="BH12" s="51">
        <f>IF($BF12="","",$BF12+2*ROSide)</f>
        <v/>
      </c>
      <c r="BI12" s="51">
        <f>IF($BG12="","",$BG12+ROTop)</f>
        <v/>
      </c>
      <c r="BJ12" s="52">
        <f>IF(OR(N($BC12)=0,$BA12=""),"",$BA12/$BC12-ClearDeduct)</f>
        <v/>
      </c>
      <c r="BK12" s="49">
        <f>IF(OR(N($BC12)=0,$BE12=""),"",IF(OR($AC12="HGC",$AP12="HGC"),"CONT",IF($BE12&lt;=60,2,IF($BE12&lt;=90,3,IF($BE12&lt;=120,4,5)))))</f>
        <v/>
      </c>
      <c r="BL12" s="49">
        <f>IF(N($BC12)=0,"",IF(OR($AL12="",$AL12="FLUSH"),"FLUSH",IFERROR(LEFT($AL12,FIND("-",$AL12)-1),LEFT($AL12,2))))</f>
        <v/>
      </c>
      <c r="BM12" s="49">
        <f>IF($BL12="","",IFERROR(VALUE(MID($AL12,FIND("-",$AL12)+1,FIND(CHAR(34)&amp;"x",$AL12)-FIND("-",$AL12)-1)),0))</f>
        <v/>
      </c>
      <c r="BN12" s="49">
        <f>IF($BL12="","",IFERROR(VALUE(MID($AL12,FIND(CHAR(34)&amp;"x",$AL12)+2,FIND(CHAR(34),$AL12,FIND(CHAR(34)&amp;"x",$AL12)+2)-FIND(CHAR(34)&amp;"x",$AL12)-2)),0))</f>
        <v/>
      </c>
      <c r="BO12" s="53">
        <f>IF(OR($A12="",$H12="",$H12="NO LAB"),0,IFERROR(VALUE(LEFT($H12,FIND(" ",$H12)-1)),0))</f>
        <v/>
      </c>
      <c r="BP12" s="54">
        <f>IF(OR($A12="",$I12="",$I12="NON-RATED",N($J12)=0),"",IFERROR(VLOOKUP($I12&amp;"|"&amp;$J12,IBC,2,FALSE),"?"))</f>
        <v/>
      </c>
      <c r="BQ12" s="50">
        <f>IF(NOT(AND($A12&lt;&gt;"",$C12&lt;&gt;"DOOR ONLY")),"",TRIM(IFERROR(VLOOKUP($U12,CODES,2,FALSE),"")&amp;" "&amp;$AZ12&amp;" "&amp;IFERROR(VLOOKUP($Z12,CODES,2,FALSE),"")&amp;" "&amp;IFERROR(VLOOKUP($X12,CODES,2,FALSE),"")&amp;" "&amp;IFERROR(VLOOKUP($S12,CODES,2,FALSE),"")&amp;IF(N($P12)&gt;0," w/TRANSOM "&amp;$P12&amp;CHAR(34),"")&amp;IF(N($Q12)&gt;0," w/SIDELITE "&amp;$Q12&amp;CHAR(34)&amp;" "&amp;IF($R12="","R",$R12),"")&amp;IF($Y12="","  |  "," | "&amp;IFERROR(VLOOKUP($Y12,CODES,2,FALSE),"")&amp;" | ")&amp;IFERROR(VLOOKUP($AC12,CODES,2,FALSE),"")&amp;" "&amp;IFERROR(VLOOKUP($AD12,CODES,2,FALSE),"")&amp;IF(OR($AE12="",$AE12="-"),""," "&amp;$AE12)&amp;IF(OR($AF12="",$AF12="-"),""," "&amp;$AF12)&amp;IF($AB12="Y"," 4"&amp;CHAR(34)&amp;" HEAD","")&amp;" "&amp;IFERROR(VLOOKUP($H12,CODES,2,FALSE),"")))</f>
        <v/>
      </c>
      <c r="BR12" s="50">
        <f>IF(NOT(AND($A12&lt;&gt;"",N($BC12)&gt;0)),"",TRIM(IFERROR(VLOOKUP($AH12,CODES,2,FALSE),"")&amp;IF($AI12=""," "," "&amp;$AI12&amp;"GA ")&amp;$AZ12&amp;" "&amp;IF($AN12="",IFERROR(VLOOKUP($Z12,CODES,2,FALSE),""),IFERROR(VLOOKUP($AN12,CODES,2,FALSE),""))&amp;IF($BC12=2," PAIR","")&amp;" DOOR | "&amp;IF($AL12="","?",$AL12)&amp;" | "&amp;IF($AP12="",IFERROR(VLOOKUP($AC12,CODES,2,FALSE),""),IFERROR(VLOOKUP($AP12,CODES,2,FALSE),""))&amp;" "&amp;IFERROR(VLOOKUP($AQ12,CODES,2,FALSE),"")&amp;IF(OR($AR12="",$AR12="-"),""," SEAM "&amp;$AR12)&amp;IF($AS12="Y"," ASTRAGAL","")&amp;IF($AJ12=""," "," "&amp;$AJ12)&amp;IF($AK12=""," "," "&amp;$AK12)&amp;IF($AO12="",""," "&amp;$AO12)&amp;IF($AM12=""," "," SERIES "&amp;$AM12)&amp;" "&amp;IFERROR(VLOOKUP($H12,CODES,2,FALSE),"")))</f>
        <v/>
      </c>
      <c r="BS12" s="49">
        <f>IF(BV12="","",IF(COUNTIF($BV$6:BV12,BV12)=1,MAX($BS$5:BS11)+1,INDEX($BS$5:BS11,MATCH(BV12,$BV$5:BV11,0))))</f>
        <v/>
      </c>
      <c r="BT12" s="49">
        <f>IF(NOT(AND($A12&lt;&gt;"",$C12&lt;&gt;"DOOR ONLY")),"",MAX($BT$5:BT11)+1)</f>
        <v/>
      </c>
      <c r="BU12" s="49">
        <f>IF(NOT(AND($A12&lt;&gt;"",N($BC12)&gt;0)),"",MAX($BU$5:BU11)+1)</f>
        <v/>
      </c>
      <c r="BV12" s="49">
        <f>IF(OR($A12="",$BA12="",$BB12=""),"",$AZ12&amp;"|"&amp;$O12&amp;"|"&amp;$AL12&amp;"|"&amp;$S12&amp;"|"&amp;$P12&amp;"|"&amp;$Q12&amp;$R12&amp;"|"&amp;$C12&amp;"|"&amp;$AB12)</f>
        <v/>
      </c>
      <c r="BW12" s="49">
        <f>IF($A12="","",IF($B12="","qty, ","")&amp;IF($C12="","scope, ","")&amp;IF(OR($K12="",$M12=""),"size, ","")&amp;IF(AND($A12&lt;&gt;"",$C12&lt;&gt;"DOOR ONLY"),IF($U12="","jamb depth, ","")&amp;IF($X12="","construction, ","")&amp;IF($Y12="","anchor, ","")&amp;IF($S12="","frame type, ",""),"")&amp;IF(AND(N($BC12)&gt;0,$Z12=""),"hand, ","")&amp;IF(N($BC12)&gt;0,IF($AH12="","door material, ","")&amp;IF($AL12="","face type, ","")&amp;IF($AQ12="","lock prep, ","")&amp;IF(AND($AP12="",$AC12=""),"hinge prep, ",""),"")&amp;IF(AND($BO12&gt;0,$AH12="FRP"),"FRP cannot carry a label, ","")&amp;IF(AND($O12="Y",OR($Z12="L",$Z12="R",$Z12="LR",$Z12="RR")),"pair marked but hand is single, ","")&amp;IF(AND($O12&lt;&gt;"Y",OR($Z12="PR",AND(LEN($Z12)&gt;1,ISNUMBER(SEARCH("-",$Z12))))),"pair hand on a single door, ","")&amp;IF(AND(ISNUMBER($BP12),$BO12&lt;N($BP12)),"wall needs a "&amp;$BP12&amp;" min door, ","")&amp;IF(AND($BO12&gt;=180,AND(OR($BL12="FG",$BL12="HG",$BL12="FNV",$BL12="FV"),N($BM12)*N($BN12)&gt;100)),"180 min lite over 100 sq in, ","")&amp;IF(N($BD12)&gt;48,"leaf wider than 4'-0"&amp;CHAR(34)&amp;", ",""))</f>
        <v/>
      </c>
      <c r="BX12" s="49">
        <f>IF($A12="","",IF(AND($BO12&gt;0,AND($A12&lt;&gt;"",$C12&lt;&gt;"DOOR ONLY"),$X12="KD",$E12="EXTERIOR"),"KD label on an exterior opening, ","")&amp;IF(AND($E12="EXTERIOR",OR(AND(AND($A12&lt;&gt;"",$C12&lt;&gt;"DOOR ONLY"),$W12="CR"),AND(N($BC12)&gt;0,$AH12="CR"))),"exterior in CR steel (G9?), ","")&amp;IF(AND(ISNUMBER($BJ12),N($BJ12)&lt;32),"clear width ~"&amp;TEXT($BJ12,"0.0")&amp;CHAR(34)&amp;" under 32"&amp;CHAR(34)&amp;" (ADA), ","")&amp;IF(AND($BO12=90,AND(OR($BL12="FG",$BL12="HG",$BL12="FNV",$BL12="FV"),N($BM12)*N($BN12)&gt;100)),"90 min lite over 100 sq in (stair/exit), ","")&amp;IF(AND($BO12&gt;0,AND($A12&lt;&gt;"",$C12&lt;&gt;"DOOR ONLY"),OR($AF12="",$AF12="-")),"rated: closer reinf.?, ","")&amp;IF(OR($I12="CORRIDOR",$I12="SMOKE BARRIER"),"S label + smoke gasketing, ","")&amp;IF($BP12="?","wall type/hr not in IBC table, ","")&amp;IF(AND(N($BC12)&gt;0,$AU12=""),"no hardware set, ","")&amp;IF(AND($AU12&lt;&gt;"",ISNA(MATCH($AU12,HWSets,0))),"set "&amp;$AU12&amp;" not on Hardware sheet, ","")&amp;IF(N($BE12)&gt;96,"leaf over 8'-0"&amp;CHAR(34)&amp;" - check listing, ",""))</f>
        <v/>
      </c>
    </row>
    <row r="13" ht="15" customHeight="1">
      <c r="A13" s="44" t="inlineStr">
        <is>
          <t>108</t>
        </is>
      </c>
      <c r="B13" s="45" t="n">
        <v>1</v>
      </c>
      <c r="C13" s="45" t="inlineStr">
        <is>
          <t>FRAME &amp; DOOR</t>
        </is>
      </c>
      <c r="D13" s="45" t="inlineStr">
        <is>
          <t>2nd</t>
        </is>
      </c>
      <c r="E13" s="45" t="inlineStr">
        <is>
          <t>INTERIOR</t>
        </is>
      </c>
      <c r="F13" s="45" t="inlineStr">
        <is>
          <t>CORRIDOR</t>
        </is>
      </c>
      <c r="G13" s="45" t="inlineStr">
        <is>
          <t>CONFERENCE</t>
        </is>
      </c>
      <c r="H13" s="45" t="inlineStr">
        <is>
          <t>20 MIN</t>
        </is>
      </c>
      <c r="I13" s="45" t="inlineStr">
        <is>
          <t>CORRIDOR</t>
        </is>
      </c>
      <c r="J13" s="45" t="n">
        <v>1</v>
      </c>
      <c r="K13" s="45" t="n">
        <v>6</v>
      </c>
      <c r="L13" s="45" t="n">
        <v>0</v>
      </c>
      <c r="M13" s="45" t="n">
        <v>8</v>
      </c>
      <c r="N13" s="45" t="n">
        <v>0</v>
      </c>
      <c r="O13" s="45" t="inlineStr">
        <is>
          <t>Y</t>
        </is>
      </c>
      <c r="P13" s="45" t="n"/>
      <c r="Q13" s="45" t="n"/>
      <c r="R13" s="45" t="n"/>
      <c r="S13" s="46" t="inlineStr">
        <is>
          <t>3F</t>
        </is>
      </c>
      <c r="T13" s="46" t="inlineStr">
        <is>
          <t>M</t>
        </is>
      </c>
      <c r="U13" s="46" t="n">
        <v>534</v>
      </c>
      <c r="V13" s="46" t="n">
        <v>16</v>
      </c>
      <c r="W13" s="46" t="inlineStr">
        <is>
          <t>CR</t>
        </is>
      </c>
      <c r="X13" s="46" t="inlineStr">
        <is>
          <t>KD</t>
        </is>
      </c>
      <c r="Y13" s="46" t="inlineStr">
        <is>
          <t>SC</t>
        </is>
      </c>
      <c r="Z13" s="46" t="inlineStr">
        <is>
          <t>LR-A</t>
        </is>
      </c>
      <c r="AA13" s="46" t="inlineStr">
        <is>
          <t>CU</t>
        </is>
      </c>
      <c r="AB13" s="46" t="n"/>
      <c r="AC13" s="46" t="inlineStr">
        <is>
          <t>U454</t>
        </is>
      </c>
      <c r="AD13" s="46" t="inlineStr">
        <is>
          <t>E1</t>
        </is>
      </c>
      <c r="AE13" s="46" t="n"/>
      <c r="AF13" s="46" t="inlineStr">
        <is>
          <t>E11</t>
        </is>
      </c>
      <c r="AG13" s="46" t="n"/>
      <c r="AH13" s="47" t="inlineStr">
        <is>
          <t>MAP-MC</t>
        </is>
      </c>
      <c r="AI13" s="47" t="n"/>
      <c r="AJ13" s="47" t="inlineStr">
        <is>
          <t>MC</t>
        </is>
      </c>
      <c r="AK13" s="47" t="inlineStr">
        <is>
          <t>PWM</t>
        </is>
      </c>
      <c r="AL13" s="47" t="inlineStr">
        <is>
          <t>FG-22"x64" (WD)</t>
        </is>
      </c>
      <c r="AM13" s="47" t="n"/>
      <c r="AN13" s="47" t="n"/>
      <c r="AO13" s="47" t="n"/>
      <c r="AP13" s="47" t="n"/>
      <c r="AQ13" s="47" t="inlineStr">
        <is>
          <t>G2</t>
        </is>
      </c>
      <c r="AR13" s="47" t="n"/>
      <c r="AS13" s="47" t="inlineStr">
        <is>
          <t>Y</t>
        </is>
      </c>
      <c r="AT13" s="47" t="n"/>
      <c r="AU13" s="48" t="inlineStr">
        <is>
          <t>2</t>
        </is>
      </c>
      <c r="AV13" s="48" t="n"/>
      <c r="AW13" s="49">
        <f>IF($A13="","",IF($BW13&lt;&gt;"","FIX",IF($BX13&lt;&gt;"","CHECK","OK")))</f>
        <v/>
      </c>
      <c r="AX13" s="50">
        <f>IF($A13="","",IF($BW13&lt;&gt;"","FIX: "&amp;LEFT($BW13,LEN($BW13)-2)&amp;IF($BX13&lt;&gt;"","  ·  ",""),"")&amp;IF($BX13&lt;&gt;"","CHECK: "&amp;LEFT($BX13,LEN($BX13)-2),""))</f>
        <v/>
      </c>
      <c r="AY13" s="49">
        <f>IF(OR($A13="",$K13=""),"",$K13&amp;"'-"&amp;N($L13)&amp;CHAR(34)&amp;" x "&amp;$M13&amp;"'-"&amp;N($N13)&amp;CHAR(34))</f>
        <v/>
      </c>
      <c r="AZ13" s="49">
        <f>IF(OR($A13="",$K13=""),"",$K13&amp;N($L13)&amp;$M13&amp;N($N13))</f>
        <v/>
      </c>
      <c r="BA13" s="49">
        <f>IF(OR($A13="",$K13=""),"",$K13*12+N($L13))</f>
        <v/>
      </c>
      <c r="BB13" s="49">
        <f>IF(OR($A13="",$M13=""),"",$M13*12+N($N13))</f>
        <v/>
      </c>
      <c r="BC13" s="49">
        <f>IF($A13="","",IF(OR($C13="FRAME ONLY",$S13="BL"),0,IF($O13="Y",2,1)))</f>
        <v/>
      </c>
      <c r="BD13" s="51">
        <f>IF(OR(N($BC13)=0,$BA13=""),"",($BA13-2*EdgeClr-IF($BC13=2,MeetClr,0))/$BC13)</f>
        <v/>
      </c>
      <c r="BE13" s="51">
        <f>IF(OR(N($BC13)=0,$BB13=""),"",$BB13-HeadClr-Undercut)</f>
        <v/>
      </c>
      <c r="BF13" s="51">
        <f>IF($BA13="","",$BA13+2*FaceW+IF(N($Q13)&gt;0,($Q13+FaceW)*IF($R13="LR",2,1),0))</f>
        <v/>
      </c>
      <c r="BG13" s="51">
        <f>IF($BB13="","",$BB13+IF($AB13="Y",4,FaceW)+IF(N($P13)&gt;0,$P13+FaceW,0)+IF(OR($S13="4F",$S13="BL"),FaceW,0))</f>
        <v/>
      </c>
      <c r="BH13" s="51">
        <f>IF($BF13="","",$BF13+2*ROSide)</f>
        <v/>
      </c>
      <c r="BI13" s="51">
        <f>IF($BG13="","",$BG13+ROTop)</f>
        <v/>
      </c>
      <c r="BJ13" s="52">
        <f>IF(OR(N($BC13)=0,$BA13=""),"",$BA13/$BC13-ClearDeduct)</f>
        <v/>
      </c>
      <c r="BK13" s="49">
        <f>IF(OR(N($BC13)=0,$BE13=""),"",IF(OR($AC13="HGC",$AP13="HGC"),"CONT",IF($BE13&lt;=60,2,IF($BE13&lt;=90,3,IF($BE13&lt;=120,4,5)))))</f>
        <v/>
      </c>
      <c r="BL13" s="49">
        <f>IF(N($BC13)=0,"",IF(OR($AL13="",$AL13="FLUSH"),"FLUSH",IFERROR(LEFT($AL13,FIND("-",$AL13)-1),LEFT($AL13,2))))</f>
        <v/>
      </c>
      <c r="BM13" s="49">
        <f>IF($BL13="","",IFERROR(VALUE(MID($AL13,FIND("-",$AL13)+1,FIND(CHAR(34)&amp;"x",$AL13)-FIND("-",$AL13)-1)),0))</f>
        <v/>
      </c>
      <c r="BN13" s="49">
        <f>IF($BL13="","",IFERROR(VALUE(MID($AL13,FIND(CHAR(34)&amp;"x",$AL13)+2,FIND(CHAR(34),$AL13,FIND(CHAR(34)&amp;"x",$AL13)+2)-FIND(CHAR(34)&amp;"x",$AL13)-2)),0))</f>
        <v/>
      </c>
      <c r="BO13" s="53">
        <f>IF(OR($A13="",$H13="",$H13="NO LAB"),0,IFERROR(VALUE(LEFT($H13,FIND(" ",$H13)-1)),0))</f>
        <v/>
      </c>
      <c r="BP13" s="54">
        <f>IF(OR($A13="",$I13="",$I13="NON-RATED",N($J13)=0),"",IFERROR(VLOOKUP($I13&amp;"|"&amp;$J13,IBC,2,FALSE),"?"))</f>
        <v/>
      </c>
      <c r="BQ13" s="50">
        <f>IF(NOT(AND($A13&lt;&gt;"",$C13&lt;&gt;"DOOR ONLY")),"",TRIM(IFERROR(VLOOKUP($U13,CODES,2,FALSE),"")&amp;" "&amp;$AZ13&amp;" "&amp;IFERROR(VLOOKUP($Z13,CODES,2,FALSE),"")&amp;" "&amp;IFERROR(VLOOKUP($X13,CODES,2,FALSE),"")&amp;" "&amp;IFERROR(VLOOKUP($S13,CODES,2,FALSE),"")&amp;IF(N($P13)&gt;0," w/TRANSOM "&amp;$P13&amp;CHAR(34),"")&amp;IF(N($Q13)&gt;0," w/SIDELITE "&amp;$Q13&amp;CHAR(34)&amp;" "&amp;IF($R13="","R",$R13),"")&amp;IF($Y13="","  |  "," | "&amp;IFERROR(VLOOKUP($Y13,CODES,2,FALSE),"")&amp;" | ")&amp;IFERROR(VLOOKUP($AC13,CODES,2,FALSE),"")&amp;" "&amp;IFERROR(VLOOKUP($AD13,CODES,2,FALSE),"")&amp;IF(OR($AE13="",$AE13="-"),""," "&amp;$AE13)&amp;IF(OR($AF13="",$AF13="-"),""," "&amp;$AF13)&amp;IF($AB13="Y"," 4"&amp;CHAR(34)&amp;" HEAD","")&amp;" "&amp;IFERROR(VLOOKUP($H13,CODES,2,FALSE),"")))</f>
        <v/>
      </c>
      <c r="BR13" s="50">
        <f>IF(NOT(AND($A13&lt;&gt;"",N($BC13)&gt;0)),"",TRIM(IFERROR(VLOOKUP($AH13,CODES,2,FALSE),"")&amp;IF($AI13=""," "," "&amp;$AI13&amp;"GA ")&amp;$AZ13&amp;" "&amp;IF($AN13="",IFERROR(VLOOKUP($Z13,CODES,2,FALSE),""),IFERROR(VLOOKUP($AN13,CODES,2,FALSE),""))&amp;IF($BC13=2," PAIR","")&amp;" DOOR | "&amp;IF($AL13="","?",$AL13)&amp;" | "&amp;IF($AP13="",IFERROR(VLOOKUP($AC13,CODES,2,FALSE),""),IFERROR(VLOOKUP($AP13,CODES,2,FALSE),""))&amp;" "&amp;IFERROR(VLOOKUP($AQ13,CODES,2,FALSE),"")&amp;IF(OR($AR13="",$AR13="-"),""," SEAM "&amp;$AR13)&amp;IF($AS13="Y"," ASTRAGAL","")&amp;IF($AJ13=""," "," "&amp;$AJ13)&amp;IF($AK13=""," "," "&amp;$AK13)&amp;IF($AO13="",""," "&amp;$AO13)&amp;IF($AM13=""," "," SERIES "&amp;$AM13)&amp;" "&amp;IFERROR(VLOOKUP($H13,CODES,2,FALSE),"")))</f>
        <v/>
      </c>
      <c r="BS13" s="49">
        <f>IF(BV13="","",IF(COUNTIF($BV$6:BV13,BV13)=1,MAX($BS$5:BS12)+1,INDEX($BS$5:BS12,MATCH(BV13,$BV$5:BV12,0))))</f>
        <v/>
      </c>
      <c r="BT13" s="49">
        <f>IF(NOT(AND($A13&lt;&gt;"",$C13&lt;&gt;"DOOR ONLY")),"",MAX($BT$5:BT12)+1)</f>
        <v/>
      </c>
      <c r="BU13" s="49">
        <f>IF(NOT(AND($A13&lt;&gt;"",N($BC13)&gt;0)),"",MAX($BU$5:BU12)+1)</f>
        <v/>
      </c>
      <c r="BV13" s="49">
        <f>IF(OR($A13="",$BA13="",$BB13=""),"",$AZ13&amp;"|"&amp;$O13&amp;"|"&amp;$AL13&amp;"|"&amp;$S13&amp;"|"&amp;$P13&amp;"|"&amp;$Q13&amp;$R13&amp;"|"&amp;$C13&amp;"|"&amp;$AB13)</f>
        <v/>
      </c>
      <c r="BW13" s="49">
        <f>IF($A13="","",IF($B13="","qty, ","")&amp;IF($C13="","scope, ","")&amp;IF(OR($K13="",$M13=""),"size, ","")&amp;IF(AND($A13&lt;&gt;"",$C13&lt;&gt;"DOOR ONLY"),IF($U13="","jamb depth, ","")&amp;IF($X13="","construction, ","")&amp;IF($Y13="","anchor, ","")&amp;IF($S13="","frame type, ",""),"")&amp;IF(AND(N($BC13)&gt;0,$Z13=""),"hand, ","")&amp;IF(N($BC13)&gt;0,IF($AH13="","door material, ","")&amp;IF($AL13="","face type, ","")&amp;IF($AQ13="","lock prep, ","")&amp;IF(AND($AP13="",$AC13=""),"hinge prep, ",""),"")&amp;IF(AND($BO13&gt;0,$AH13="FRP"),"FRP cannot carry a label, ","")&amp;IF(AND($O13="Y",OR($Z13="L",$Z13="R",$Z13="LR",$Z13="RR")),"pair marked but hand is single, ","")&amp;IF(AND($O13&lt;&gt;"Y",OR($Z13="PR",AND(LEN($Z13)&gt;1,ISNUMBER(SEARCH("-",$Z13))))),"pair hand on a single door, ","")&amp;IF(AND(ISNUMBER($BP13),$BO13&lt;N($BP13)),"wall needs a "&amp;$BP13&amp;" min door, ","")&amp;IF(AND($BO13&gt;=180,AND(OR($BL13="FG",$BL13="HG",$BL13="FNV",$BL13="FV"),N($BM13)*N($BN13)&gt;100)),"180 min lite over 100 sq in, ","")&amp;IF(N($BD13)&gt;48,"leaf wider than 4'-0"&amp;CHAR(34)&amp;", ",""))</f>
        <v/>
      </c>
      <c r="BX13" s="49">
        <f>IF($A13="","",IF(AND($BO13&gt;0,AND($A13&lt;&gt;"",$C13&lt;&gt;"DOOR ONLY"),$X13="KD",$E13="EXTERIOR"),"KD label on an exterior opening, ","")&amp;IF(AND($E13="EXTERIOR",OR(AND(AND($A13&lt;&gt;"",$C13&lt;&gt;"DOOR ONLY"),$W13="CR"),AND(N($BC13)&gt;0,$AH13="CR"))),"exterior in CR steel (G9?), ","")&amp;IF(AND(ISNUMBER($BJ13),N($BJ13)&lt;32),"clear width ~"&amp;TEXT($BJ13,"0.0")&amp;CHAR(34)&amp;" under 32"&amp;CHAR(34)&amp;" (ADA), ","")&amp;IF(AND($BO13=90,AND(OR($BL13="FG",$BL13="HG",$BL13="FNV",$BL13="FV"),N($BM13)*N($BN13)&gt;100)),"90 min lite over 100 sq in (stair/exit), ","")&amp;IF(AND($BO13&gt;0,AND($A13&lt;&gt;"",$C13&lt;&gt;"DOOR ONLY"),OR($AF13="",$AF13="-")),"rated: closer reinf.?, ","")&amp;IF(OR($I13="CORRIDOR",$I13="SMOKE BARRIER"),"S label + smoke gasketing, ","")&amp;IF($BP13="?","wall type/hr not in IBC table, ","")&amp;IF(AND(N($BC13)&gt;0,$AU13=""),"no hardware set, ","")&amp;IF(AND($AU13&lt;&gt;"",ISNA(MATCH($AU13,HWSets,0))),"set "&amp;$AU13&amp;" not on Hardware sheet, ","")&amp;IF(N($BE13)&gt;96,"leaf over 8'-0"&amp;CHAR(34)&amp;" - check listing, ",""))</f>
        <v/>
      </c>
    </row>
    <row r="14" ht="15" customHeight="1">
      <c r="A14" s="44" t="n"/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6" t="n"/>
      <c r="AH14" s="47" t="n"/>
      <c r="AI14" s="47" t="n"/>
      <c r="AJ14" s="47" t="n"/>
      <c r="AK14" s="47" t="n"/>
      <c r="AL14" s="47" t="n"/>
      <c r="AM14" s="47" t="n"/>
      <c r="AN14" s="47" t="n"/>
      <c r="AO14" s="47" t="n"/>
      <c r="AP14" s="47" t="n"/>
      <c r="AQ14" s="47" t="n"/>
      <c r="AR14" s="47" t="n"/>
      <c r="AS14" s="47" t="n"/>
      <c r="AT14" s="47" t="n"/>
      <c r="AU14" s="48" t="n"/>
      <c r="AV14" s="48" t="n"/>
      <c r="AW14" s="49">
        <f>IF($A14="","",IF($BW14&lt;&gt;"","FIX",IF($BX14&lt;&gt;"","CHECK","OK")))</f>
        <v/>
      </c>
      <c r="AX14" s="50">
        <f>IF($A14="","",IF($BW14&lt;&gt;"","FIX: "&amp;LEFT($BW14,LEN($BW14)-2)&amp;IF($BX14&lt;&gt;"","  ·  ",""),"")&amp;IF($BX14&lt;&gt;"","CHECK: "&amp;LEFT($BX14,LEN($BX14)-2),""))</f>
        <v/>
      </c>
      <c r="AY14" s="49">
        <f>IF(OR($A14="",$K14=""),"",$K14&amp;"'-"&amp;N($L14)&amp;CHAR(34)&amp;" x "&amp;$M14&amp;"'-"&amp;N($N14)&amp;CHAR(34))</f>
        <v/>
      </c>
      <c r="AZ14" s="49">
        <f>IF(OR($A14="",$K14=""),"",$K14&amp;N($L14)&amp;$M14&amp;N($N14))</f>
        <v/>
      </c>
      <c r="BA14" s="49">
        <f>IF(OR($A14="",$K14=""),"",$K14*12+N($L14))</f>
        <v/>
      </c>
      <c r="BB14" s="49">
        <f>IF(OR($A14="",$M14=""),"",$M14*12+N($N14))</f>
        <v/>
      </c>
      <c r="BC14" s="49">
        <f>IF($A14="","",IF(OR($C14="FRAME ONLY",$S14="BL"),0,IF($O14="Y",2,1)))</f>
        <v/>
      </c>
      <c r="BD14" s="51">
        <f>IF(OR(N($BC14)=0,$BA14=""),"",($BA14-2*EdgeClr-IF($BC14=2,MeetClr,0))/$BC14)</f>
        <v/>
      </c>
      <c r="BE14" s="51">
        <f>IF(OR(N($BC14)=0,$BB14=""),"",$BB14-HeadClr-Undercut)</f>
        <v/>
      </c>
      <c r="BF14" s="51">
        <f>IF($BA14="","",$BA14+2*FaceW+IF(N($Q14)&gt;0,($Q14+FaceW)*IF($R14="LR",2,1),0))</f>
        <v/>
      </c>
      <c r="BG14" s="51">
        <f>IF($BB14="","",$BB14+IF($AB14="Y",4,FaceW)+IF(N($P14)&gt;0,$P14+FaceW,0)+IF(OR($S14="4F",$S14="BL"),FaceW,0))</f>
        <v/>
      </c>
      <c r="BH14" s="51">
        <f>IF($BF14="","",$BF14+2*ROSide)</f>
        <v/>
      </c>
      <c r="BI14" s="51">
        <f>IF($BG14="","",$BG14+ROTop)</f>
        <v/>
      </c>
      <c r="BJ14" s="52">
        <f>IF(OR(N($BC14)=0,$BA14=""),"",$BA14/$BC14-ClearDeduct)</f>
        <v/>
      </c>
      <c r="BK14" s="49">
        <f>IF(OR(N($BC14)=0,$BE14=""),"",IF(OR($AC14="HGC",$AP14="HGC"),"CONT",IF($BE14&lt;=60,2,IF($BE14&lt;=90,3,IF($BE14&lt;=120,4,5)))))</f>
        <v/>
      </c>
      <c r="BL14" s="49">
        <f>IF(N($BC14)=0,"",IF(OR($AL14="",$AL14="FLUSH"),"FLUSH",IFERROR(LEFT($AL14,FIND("-",$AL14)-1),LEFT($AL14,2))))</f>
        <v/>
      </c>
      <c r="BM14" s="49">
        <f>IF($BL14="","",IFERROR(VALUE(MID($AL14,FIND("-",$AL14)+1,FIND(CHAR(34)&amp;"x",$AL14)-FIND("-",$AL14)-1)),0))</f>
        <v/>
      </c>
      <c r="BN14" s="49">
        <f>IF($BL14="","",IFERROR(VALUE(MID($AL14,FIND(CHAR(34)&amp;"x",$AL14)+2,FIND(CHAR(34),$AL14,FIND(CHAR(34)&amp;"x",$AL14)+2)-FIND(CHAR(34)&amp;"x",$AL14)-2)),0))</f>
        <v/>
      </c>
      <c r="BO14" s="53">
        <f>IF(OR($A14="",$H14="",$H14="NO LAB"),0,IFERROR(VALUE(LEFT($H14,FIND(" ",$H14)-1)),0))</f>
        <v/>
      </c>
      <c r="BP14" s="54">
        <f>IF(OR($A14="",$I14="",$I14="NON-RATED",N($J14)=0),"",IFERROR(VLOOKUP($I14&amp;"|"&amp;$J14,IBC,2,FALSE),"?"))</f>
        <v/>
      </c>
      <c r="BQ14" s="50">
        <f>IF(NOT(AND($A14&lt;&gt;"",$C14&lt;&gt;"DOOR ONLY")),"",TRIM(IFERROR(VLOOKUP($U14,CODES,2,FALSE),"")&amp;" "&amp;$AZ14&amp;" "&amp;IFERROR(VLOOKUP($Z14,CODES,2,FALSE),"")&amp;" "&amp;IFERROR(VLOOKUP($X14,CODES,2,FALSE),"")&amp;" "&amp;IFERROR(VLOOKUP($S14,CODES,2,FALSE),"")&amp;IF(N($P14)&gt;0," w/TRANSOM "&amp;$P14&amp;CHAR(34),"")&amp;IF(N($Q14)&gt;0," w/SIDELITE "&amp;$Q14&amp;CHAR(34)&amp;" "&amp;IF($R14="","R",$R14),"")&amp;IF($Y14="","  |  "," | "&amp;IFERROR(VLOOKUP($Y14,CODES,2,FALSE),"")&amp;" | ")&amp;IFERROR(VLOOKUP($AC14,CODES,2,FALSE),"")&amp;" "&amp;IFERROR(VLOOKUP($AD14,CODES,2,FALSE),"")&amp;IF(OR($AE14="",$AE14="-"),""," "&amp;$AE14)&amp;IF(OR($AF14="",$AF14="-"),""," "&amp;$AF14)&amp;IF($AB14="Y"," 4"&amp;CHAR(34)&amp;" HEAD","")&amp;" "&amp;IFERROR(VLOOKUP($H14,CODES,2,FALSE),"")))</f>
        <v/>
      </c>
      <c r="BR14" s="50">
        <f>IF(NOT(AND($A14&lt;&gt;"",N($BC14)&gt;0)),"",TRIM(IFERROR(VLOOKUP($AH14,CODES,2,FALSE),"")&amp;IF($AI14=""," "," "&amp;$AI14&amp;"GA ")&amp;$AZ14&amp;" "&amp;IF($AN14="",IFERROR(VLOOKUP($Z14,CODES,2,FALSE),""),IFERROR(VLOOKUP($AN14,CODES,2,FALSE),""))&amp;IF($BC14=2," PAIR","")&amp;" DOOR | "&amp;IF($AL14="","?",$AL14)&amp;" | "&amp;IF($AP14="",IFERROR(VLOOKUP($AC14,CODES,2,FALSE),""),IFERROR(VLOOKUP($AP14,CODES,2,FALSE),""))&amp;" "&amp;IFERROR(VLOOKUP($AQ14,CODES,2,FALSE),"")&amp;IF(OR($AR14="",$AR14="-"),""," SEAM "&amp;$AR14)&amp;IF($AS14="Y"," ASTRAGAL","")&amp;IF($AJ14=""," "," "&amp;$AJ14)&amp;IF($AK14=""," "," "&amp;$AK14)&amp;IF($AO14="",""," "&amp;$AO14)&amp;IF($AM14=""," "," SERIES "&amp;$AM14)&amp;" "&amp;IFERROR(VLOOKUP($H14,CODES,2,FALSE),"")))</f>
        <v/>
      </c>
      <c r="BS14" s="49">
        <f>IF(BV14="","",IF(COUNTIF($BV$6:BV14,BV14)=1,MAX($BS$5:BS13)+1,INDEX($BS$5:BS13,MATCH(BV14,$BV$5:BV13,0))))</f>
        <v/>
      </c>
      <c r="BT14" s="49">
        <f>IF(NOT(AND($A14&lt;&gt;"",$C14&lt;&gt;"DOOR ONLY")),"",MAX($BT$5:BT13)+1)</f>
        <v/>
      </c>
      <c r="BU14" s="49">
        <f>IF(NOT(AND($A14&lt;&gt;"",N($BC14)&gt;0)),"",MAX($BU$5:BU13)+1)</f>
        <v/>
      </c>
      <c r="BV14" s="49">
        <f>IF(OR($A14="",$BA14="",$BB14=""),"",$AZ14&amp;"|"&amp;$O14&amp;"|"&amp;$AL14&amp;"|"&amp;$S14&amp;"|"&amp;$P14&amp;"|"&amp;$Q14&amp;$R14&amp;"|"&amp;$C14&amp;"|"&amp;$AB14)</f>
        <v/>
      </c>
      <c r="BW14" s="49">
        <f>IF($A14="","",IF($B14="","qty, ","")&amp;IF($C14="","scope, ","")&amp;IF(OR($K14="",$M14=""),"size, ","")&amp;IF(AND($A14&lt;&gt;"",$C14&lt;&gt;"DOOR ONLY"),IF($U14="","jamb depth, ","")&amp;IF($X14="","construction, ","")&amp;IF($Y14="","anchor, ","")&amp;IF($S14="","frame type, ",""),"")&amp;IF(AND(N($BC14)&gt;0,$Z14=""),"hand, ","")&amp;IF(N($BC14)&gt;0,IF($AH14="","door material, ","")&amp;IF($AL14="","face type, ","")&amp;IF($AQ14="","lock prep, ","")&amp;IF(AND($AP14="",$AC14=""),"hinge prep, ",""),"")&amp;IF(AND($BO14&gt;0,$AH14="FRP"),"FRP cannot carry a label, ","")&amp;IF(AND($O14="Y",OR($Z14="L",$Z14="R",$Z14="LR",$Z14="RR")),"pair marked but hand is single, ","")&amp;IF(AND($O14&lt;&gt;"Y",OR($Z14="PR",AND(LEN($Z14)&gt;1,ISNUMBER(SEARCH("-",$Z14))))),"pair hand on a single door, ","")&amp;IF(AND(ISNUMBER($BP14),$BO14&lt;N($BP14)),"wall needs a "&amp;$BP14&amp;" min door, ","")&amp;IF(AND($BO14&gt;=180,AND(OR($BL14="FG",$BL14="HG",$BL14="FNV",$BL14="FV"),N($BM14)*N($BN14)&gt;100)),"180 min lite over 100 sq in, ","")&amp;IF(N($BD14)&gt;48,"leaf wider than 4'-0"&amp;CHAR(34)&amp;", ",""))</f>
        <v/>
      </c>
      <c r="BX14" s="49">
        <f>IF($A14="","",IF(AND($BO14&gt;0,AND($A14&lt;&gt;"",$C14&lt;&gt;"DOOR ONLY"),$X14="KD",$E14="EXTERIOR"),"KD label on an exterior opening, ","")&amp;IF(AND($E14="EXTERIOR",OR(AND(AND($A14&lt;&gt;"",$C14&lt;&gt;"DOOR ONLY"),$W14="CR"),AND(N($BC14)&gt;0,$AH14="CR"))),"exterior in CR steel (G9?), ","")&amp;IF(AND(ISNUMBER($BJ14),N($BJ14)&lt;32),"clear width ~"&amp;TEXT($BJ14,"0.0")&amp;CHAR(34)&amp;" under 32"&amp;CHAR(34)&amp;" (ADA), ","")&amp;IF(AND($BO14=90,AND(OR($BL14="FG",$BL14="HG",$BL14="FNV",$BL14="FV"),N($BM14)*N($BN14)&gt;100)),"90 min lite over 100 sq in (stair/exit), ","")&amp;IF(AND($BO14&gt;0,AND($A14&lt;&gt;"",$C14&lt;&gt;"DOOR ONLY"),OR($AF14="",$AF14="-")),"rated: closer reinf.?, ","")&amp;IF(OR($I14="CORRIDOR",$I14="SMOKE BARRIER"),"S label + smoke gasketing, ","")&amp;IF($BP14="?","wall type/hr not in IBC table, ","")&amp;IF(AND(N($BC14)&gt;0,$AU14=""),"no hardware set, ","")&amp;IF(AND($AU14&lt;&gt;"",ISNA(MATCH($AU14,HWSets,0))),"set "&amp;$AU14&amp;" not on Hardware sheet, ","")&amp;IF(N($BE14)&gt;96,"leaf over 8'-0"&amp;CHAR(34)&amp;" - check listing, ",""))</f>
        <v/>
      </c>
    </row>
    <row r="15" ht="15" customHeight="1">
      <c r="A15" s="44" t="n"/>
      <c r="B15" s="45" t="n"/>
      <c r="C15" s="45" t="n"/>
      <c r="D15" s="45" t="n"/>
      <c r="E15" s="45" t="n"/>
      <c r="F15" s="45" t="n"/>
      <c r="G15" s="45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6" t="n"/>
      <c r="T15" s="46" t="n"/>
      <c r="U15" s="46" t="n"/>
      <c r="V15" s="46" t="n"/>
      <c r="W15" s="46" t="n"/>
      <c r="X15" s="46" t="n"/>
      <c r="Y15" s="46" t="n"/>
      <c r="Z15" s="46" t="n"/>
      <c r="AA15" s="46" t="n"/>
      <c r="AB15" s="46" t="n"/>
      <c r="AC15" s="46" t="n"/>
      <c r="AD15" s="46" t="n"/>
      <c r="AE15" s="46" t="n"/>
      <c r="AF15" s="46" t="n"/>
      <c r="AG15" s="46" t="n"/>
      <c r="AH15" s="47" t="n"/>
      <c r="AI15" s="47" t="n"/>
      <c r="AJ15" s="47" t="n"/>
      <c r="AK15" s="47" t="n"/>
      <c r="AL15" s="47" t="n"/>
      <c r="AM15" s="47" t="n"/>
      <c r="AN15" s="47" t="n"/>
      <c r="AO15" s="47" t="n"/>
      <c r="AP15" s="47" t="n"/>
      <c r="AQ15" s="47" t="n"/>
      <c r="AR15" s="47" t="n"/>
      <c r="AS15" s="47" t="n"/>
      <c r="AT15" s="47" t="n"/>
      <c r="AU15" s="48" t="n"/>
      <c r="AV15" s="48" t="n"/>
      <c r="AW15" s="49">
        <f>IF($A15="","",IF($BW15&lt;&gt;"","FIX",IF($BX15&lt;&gt;"","CHECK","OK")))</f>
        <v/>
      </c>
      <c r="AX15" s="50">
        <f>IF($A15="","",IF($BW15&lt;&gt;"","FIX: "&amp;LEFT($BW15,LEN($BW15)-2)&amp;IF($BX15&lt;&gt;"","  ·  ",""),"")&amp;IF($BX15&lt;&gt;"","CHECK: "&amp;LEFT($BX15,LEN($BX15)-2),""))</f>
        <v/>
      </c>
      <c r="AY15" s="49">
        <f>IF(OR($A15="",$K15=""),"",$K15&amp;"'-"&amp;N($L15)&amp;CHAR(34)&amp;" x "&amp;$M15&amp;"'-"&amp;N($N15)&amp;CHAR(34))</f>
        <v/>
      </c>
      <c r="AZ15" s="49">
        <f>IF(OR($A15="",$K15=""),"",$K15&amp;N($L15)&amp;$M15&amp;N($N15))</f>
        <v/>
      </c>
      <c r="BA15" s="49">
        <f>IF(OR($A15="",$K15=""),"",$K15*12+N($L15))</f>
        <v/>
      </c>
      <c r="BB15" s="49">
        <f>IF(OR($A15="",$M15=""),"",$M15*12+N($N15))</f>
        <v/>
      </c>
      <c r="BC15" s="49">
        <f>IF($A15="","",IF(OR($C15="FRAME ONLY",$S15="BL"),0,IF($O15="Y",2,1)))</f>
        <v/>
      </c>
      <c r="BD15" s="51">
        <f>IF(OR(N($BC15)=0,$BA15=""),"",($BA15-2*EdgeClr-IF($BC15=2,MeetClr,0))/$BC15)</f>
        <v/>
      </c>
      <c r="BE15" s="51">
        <f>IF(OR(N($BC15)=0,$BB15=""),"",$BB15-HeadClr-Undercut)</f>
        <v/>
      </c>
      <c r="BF15" s="51">
        <f>IF($BA15="","",$BA15+2*FaceW+IF(N($Q15)&gt;0,($Q15+FaceW)*IF($R15="LR",2,1),0))</f>
        <v/>
      </c>
      <c r="BG15" s="51">
        <f>IF($BB15="","",$BB15+IF($AB15="Y",4,FaceW)+IF(N($P15)&gt;0,$P15+FaceW,0)+IF(OR($S15="4F",$S15="BL"),FaceW,0))</f>
        <v/>
      </c>
      <c r="BH15" s="51">
        <f>IF($BF15="","",$BF15+2*ROSide)</f>
        <v/>
      </c>
      <c r="BI15" s="51">
        <f>IF($BG15="","",$BG15+ROTop)</f>
        <v/>
      </c>
      <c r="BJ15" s="52">
        <f>IF(OR(N($BC15)=0,$BA15=""),"",$BA15/$BC15-ClearDeduct)</f>
        <v/>
      </c>
      <c r="BK15" s="49">
        <f>IF(OR(N($BC15)=0,$BE15=""),"",IF(OR($AC15="HGC",$AP15="HGC"),"CONT",IF($BE15&lt;=60,2,IF($BE15&lt;=90,3,IF($BE15&lt;=120,4,5)))))</f>
        <v/>
      </c>
      <c r="BL15" s="49">
        <f>IF(N($BC15)=0,"",IF(OR($AL15="",$AL15="FLUSH"),"FLUSH",IFERROR(LEFT($AL15,FIND("-",$AL15)-1),LEFT($AL15,2))))</f>
        <v/>
      </c>
      <c r="BM15" s="49">
        <f>IF($BL15="","",IFERROR(VALUE(MID($AL15,FIND("-",$AL15)+1,FIND(CHAR(34)&amp;"x",$AL15)-FIND("-",$AL15)-1)),0))</f>
        <v/>
      </c>
      <c r="BN15" s="49">
        <f>IF($BL15="","",IFERROR(VALUE(MID($AL15,FIND(CHAR(34)&amp;"x",$AL15)+2,FIND(CHAR(34),$AL15,FIND(CHAR(34)&amp;"x",$AL15)+2)-FIND(CHAR(34)&amp;"x",$AL15)-2)),0))</f>
        <v/>
      </c>
      <c r="BO15" s="53">
        <f>IF(OR($A15="",$H15="",$H15="NO LAB"),0,IFERROR(VALUE(LEFT($H15,FIND(" ",$H15)-1)),0))</f>
        <v/>
      </c>
      <c r="BP15" s="54">
        <f>IF(OR($A15="",$I15="",$I15="NON-RATED",N($J15)=0),"",IFERROR(VLOOKUP($I15&amp;"|"&amp;$J15,IBC,2,FALSE),"?"))</f>
        <v/>
      </c>
      <c r="BQ15" s="50">
        <f>IF(NOT(AND($A15&lt;&gt;"",$C15&lt;&gt;"DOOR ONLY")),"",TRIM(IFERROR(VLOOKUP($U15,CODES,2,FALSE),"")&amp;" "&amp;$AZ15&amp;" "&amp;IFERROR(VLOOKUP($Z15,CODES,2,FALSE),"")&amp;" "&amp;IFERROR(VLOOKUP($X15,CODES,2,FALSE),"")&amp;" "&amp;IFERROR(VLOOKUP($S15,CODES,2,FALSE),"")&amp;IF(N($P15)&gt;0," w/TRANSOM "&amp;$P15&amp;CHAR(34),"")&amp;IF(N($Q15)&gt;0," w/SIDELITE "&amp;$Q15&amp;CHAR(34)&amp;" "&amp;IF($R15="","R",$R15),"")&amp;IF($Y15="","  |  "," | "&amp;IFERROR(VLOOKUP($Y15,CODES,2,FALSE),"")&amp;" | ")&amp;IFERROR(VLOOKUP($AC15,CODES,2,FALSE),"")&amp;" "&amp;IFERROR(VLOOKUP($AD15,CODES,2,FALSE),"")&amp;IF(OR($AE15="",$AE15="-"),""," "&amp;$AE15)&amp;IF(OR($AF15="",$AF15="-"),""," "&amp;$AF15)&amp;IF($AB15="Y"," 4"&amp;CHAR(34)&amp;" HEAD","")&amp;" "&amp;IFERROR(VLOOKUP($H15,CODES,2,FALSE),"")))</f>
        <v/>
      </c>
      <c r="BR15" s="50">
        <f>IF(NOT(AND($A15&lt;&gt;"",N($BC15)&gt;0)),"",TRIM(IFERROR(VLOOKUP($AH15,CODES,2,FALSE),"")&amp;IF($AI15=""," "," "&amp;$AI15&amp;"GA ")&amp;$AZ15&amp;" "&amp;IF($AN15="",IFERROR(VLOOKUP($Z15,CODES,2,FALSE),""),IFERROR(VLOOKUP($AN15,CODES,2,FALSE),""))&amp;IF($BC15=2," PAIR","")&amp;" DOOR | "&amp;IF($AL15="","?",$AL15)&amp;" | "&amp;IF($AP15="",IFERROR(VLOOKUP($AC15,CODES,2,FALSE),""),IFERROR(VLOOKUP($AP15,CODES,2,FALSE),""))&amp;" "&amp;IFERROR(VLOOKUP($AQ15,CODES,2,FALSE),"")&amp;IF(OR($AR15="",$AR15="-"),""," SEAM "&amp;$AR15)&amp;IF($AS15="Y"," ASTRAGAL","")&amp;IF($AJ15=""," "," "&amp;$AJ15)&amp;IF($AK15=""," "," "&amp;$AK15)&amp;IF($AO15="",""," "&amp;$AO15)&amp;IF($AM15=""," "," SERIES "&amp;$AM15)&amp;" "&amp;IFERROR(VLOOKUP($H15,CODES,2,FALSE),"")))</f>
        <v/>
      </c>
      <c r="BS15" s="49">
        <f>IF(BV15="","",IF(COUNTIF($BV$6:BV15,BV15)=1,MAX($BS$5:BS14)+1,INDEX($BS$5:BS14,MATCH(BV15,$BV$5:BV14,0))))</f>
        <v/>
      </c>
      <c r="BT15" s="49">
        <f>IF(NOT(AND($A15&lt;&gt;"",$C15&lt;&gt;"DOOR ONLY")),"",MAX($BT$5:BT14)+1)</f>
        <v/>
      </c>
      <c r="BU15" s="49">
        <f>IF(NOT(AND($A15&lt;&gt;"",N($BC15)&gt;0)),"",MAX($BU$5:BU14)+1)</f>
        <v/>
      </c>
      <c r="BV15" s="49">
        <f>IF(OR($A15="",$BA15="",$BB15=""),"",$AZ15&amp;"|"&amp;$O15&amp;"|"&amp;$AL15&amp;"|"&amp;$S15&amp;"|"&amp;$P15&amp;"|"&amp;$Q15&amp;$R15&amp;"|"&amp;$C15&amp;"|"&amp;$AB15)</f>
        <v/>
      </c>
      <c r="BW15" s="49">
        <f>IF($A15="","",IF($B15="","qty, ","")&amp;IF($C15="","scope, ","")&amp;IF(OR($K15="",$M15=""),"size, ","")&amp;IF(AND($A15&lt;&gt;"",$C15&lt;&gt;"DOOR ONLY"),IF($U15="","jamb depth, ","")&amp;IF($X15="","construction, ","")&amp;IF($Y15="","anchor, ","")&amp;IF($S15="","frame type, ",""),"")&amp;IF(AND(N($BC15)&gt;0,$Z15=""),"hand, ","")&amp;IF(N($BC15)&gt;0,IF($AH15="","door material, ","")&amp;IF($AL15="","face type, ","")&amp;IF($AQ15="","lock prep, ","")&amp;IF(AND($AP15="",$AC15=""),"hinge prep, ",""),"")&amp;IF(AND($BO15&gt;0,$AH15="FRP"),"FRP cannot carry a label, ","")&amp;IF(AND($O15="Y",OR($Z15="L",$Z15="R",$Z15="LR",$Z15="RR")),"pair marked but hand is single, ","")&amp;IF(AND($O15&lt;&gt;"Y",OR($Z15="PR",AND(LEN($Z15)&gt;1,ISNUMBER(SEARCH("-",$Z15))))),"pair hand on a single door, ","")&amp;IF(AND(ISNUMBER($BP15),$BO15&lt;N($BP15)),"wall needs a "&amp;$BP15&amp;" min door, ","")&amp;IF(AND($BO15&gt;=180,AND(OR($BL15="FG",$BL15="HG",$BL15="FNV",$BL15="FV"),N($BM15)*N($BN15)&gt;100)),"180 min lite over 100 sq in, ","")&amp;IF(N($BD15)&gt;48,"leaf wider than 4'-0"&amp;CHAR(34)&amp;", ",""))</f>
        <v/>
      </c>
      <c r="BX15" s="49">
        <f>IF($A15="","",IF(AND($BO15&gt;0,AND($A15&lt;&gt;"",$C15&lt;&gt;"DOOR ONLY"),$X15="KD",$E15="EXTERIOR"),"KD label on an exterior opening, ","")&amp;IF(AND($E15="EXTERIOR",OR(AND(AND($A15&lt;&gt;"",$C15&lt;&gt;"DOOR ONLY"),$W15="CR"),AND(N($BC15)&gt;0,$AH15="CR"))),"exterior in CR steel (G9?), ","")&amp;IF(AND(ISNUMBER($BJ15),N($BJ15)&lt;32),"clear width ~"&amp;TEXT($BJ15,"0.0")&amp;CHAR(34)&amp;" under 32"&amp;CHAR(34)&amp;" (ADA), ","")&amp;IF(AND($BO15=90,AND(OR($BL15="FG",$BL15="HG",$BL15="FNV",$BL15="FV"),N($BM15)*N($BN15)&gt;100)),"90 min lite over 100 sq in (stair/exit), ","")&amp;IF(AND($BO15&gt;0,AND($A15&lt;&gt;"",$C15&lt;&gt;"DOOR ONLY"),OR($AF15="",$AF15="-")),"rated: closer reinf.?, ","")&amp;IF(OR($I15="CORRIDOR",$I15="SMOKE BARRIER"),"S label + smoke gasketing, ","")&amp;IF($BP15="?","wall type/hr not in IBC table, ","")&amp;IF(AND(N($BC15)&gt;0,$AU15=""),"no hardware set, ","")&amp;IF(AND($AU15&lt;&gt;"",ISNA(MATCH($AU15,HWSets,0))),"set "&amp;$AU15&amp;" not on Hardware sheet, ","")&amp;IF(N($BE15)&gt;96,"leaf over 8'-0"&amp;CHAR(34)&amp;" - check listing, ",""))</f>
        <v/>
      </c>
    </row>
    <row r="16" ht="15" customHeight="1">
      <c r="A16" s="44" t="n"/>
      <c r="B16" s="45" t="n"/>
      <c r="C16" s="45" t="n"/>
      <c r="D16" s="45" t="n"/>
      <c r="E16" s="45" t="n"/>
      <c r="F16" s="45" t="n"/>
      <c r="G16" s="45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6" t="n"/>
      <c r="T16" s="46" t="n"/>
      <c r="U16" s="46" t="n"/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  <c r="AG16" s="46" t="n"/>
      <c r="AH16" s="47" t="n"/>
      <c r="AI16" s="47" t="n"/>
      <c r="AJ16" s="47" t="n"/>
      <c r="AK16" s="47" t="n"/>
      <c r="AL16" s="47" t="n"/>
      <c r="AM16" s="47" t="n"/>
      <c r="AN16" s="47" t="n"/>
      <c r="AO16" s="47" t="n"/>
      <c r="AP16" s="47" t="n"/>
      <c r="AQ16" s="47" t="n"/>
      <c r="AR16" s="47" t="n"/>
      <c r="AS16" s="47" t="n"/>
      <c r="AT16" s="47" t="n"/>
      <c r="AU16" s="48" t="n"/>
      <c r="AV16" s="48" t="n"/>
      <c r="AW16" s="49">
        <f>IF($A16="","",IF($BW16&lt;&gt;"","FIX",IF($BX16&lt;&gt;"","CHECK","OK")))</f>
        <v/>
      </c>
      <c r="AX16" s="50">
        <f>IF($A16="","",IF($BW16&lt;&gt;"","FIX: "&amp;LEFT($BW16,LEN($BW16)-2)&amp;IF($BX16&lt;&gt;"","  ·  ",""),"")&amp;IF($BX16&lt;&gt;"","CHECK: "&amp;LEFT($BX16,LEN($BX16)-2),""))</f>
        <v/>
      </c>
      <c r="AY16" s="49">
        <f>IF(OR($A16="",$K16=""),"",$K16&amp;"'-"&amp;N($L16)&amp;CHAR(34)&amp;" x "&amp;$M16&amp;"'-"&amp;N($N16)&amp;CHAR(34))</f>
        <v/>
      </c>
      <c r="AZ16" s="49">
        <f>IF(OR($A16="",$K16=""),"",$K16&amp;N($L16)&amp;$M16&amp;N($N16))</f>
        <v/>
      </c>
      <c r="BA16" s="49">
        <f>IF(OR($A16="",$K16=""),"",$K16*12+N($L16))</f>
        <v/>
      </c>
      <c r="BB16" s="49">
        <f>IF(OR($A16="",$M16=""),"",$M16*12+N($N16))</f>
        <v/>
      </c>
      <c r="BC16" s="49">
        <f>IF($A16="","",IF(OR($C16="FRAME ONLY",$S16="BL"),0,IF($O16="Y",2,1)))</f>
        <v/>
      </c>
      <c r="BD16" s="51">
        <f>IF(OR(N($BC16)=0,$BA16=""),"",($BA16-2*EdgeClr-IF($BC16=2,MeetClr,0))/$BC16)</f>
        <v/>
      </c>
      <c r="BE16" s="51">
        <f>IF(OR(N($BC16)=0,$BB16=""),"",$BB16-HeadClr-Undercut)</f>
        <v/>
      </c>
      <c r="BF16" s="51">
        <f>IF($BA16="","",$BA16+2*FaceW+IF(N($Q16)&gt;0,($Q16+FaceW)*IF($R16="LR",2,1),0))</f>
        <v/>
      </c>
      <c r="BG16" s="51">
        <f>IF($BB16="","",$BB16+IF($AB16="Y",4,FaceW)+IF(N($P16)&gt;0,$P16+FaceW,0)+IF(OR($S16="4F",$S16="BL"),FaceW,0))</f>
        <v/>
      </c>
      <c r="BH16" s="51">
        <f>IF($BF16="","",$BF16+2*ROSide)</f>
        <v/>
      </c>
      <c r="BI16" s="51">
        <f>IF($BG16="","",$BG16+ROTop)</f>
        <v/>
      </c>
      <c r="BJ16" s="52">
        <f>IF(OR(N($BC16)=0,$BA16=""),"",$BA16/$BC16-ClearDeduct)</f>
        <v/>
      </c>
      <c r="BK16" s="49">
        <f>IF(OR(N($BC16)=0,$BE16=""),"",IF(OR($AC16="HGC",$AP16="HGC"),"CONT",IF($BE16&lt;=60,2,IF($BE16&lt;=90,3,IF($BE16&lt;=120,4,5)))))</f>
        <v/>
      </c>
      <c r="BL16" s="49">
        <f>IF(N($BC16)=0,"",IF(OR($AL16="",$AL16="FLUSH"),"FLUSH",IFERROR(LEFT($AL16,FIND("-",$AL16)-1),LEFT($AL16,2))))</f>
        <v/>
      </c>
      <c r="BM16" s="49">
        <f>IF($BL16="","",IFERROR(VALUE(MID($AL16,FIND("-",$AL16)+1,FIND(CHAR(34)&amp;"x",$AL16)-FIND("-",$AL16)-1)),0))</f>
        <v/>
      </c>
      <c r="BN16" s="49">
        <f>IF($BL16="","",IFERROR(VALUE(MID($AL16,FIND(CHAR(34)&amp;"x",$AL16)+2,FIND(CHAR(34),$AL16,FIND(CHAR(34)&amp;"x",$AL16)+2)-FIND(CHAR(34)&amp;"x",$AL16)-2)),0))</f>
        <v/>
      </c>
      <c r="BO16" s="53">
        <f>IF(OR($A16="",$H16="",$H16="NO LAB"),0,IFERROR(VALUE(LEFT($H16,FIND(" ",$H16)-1)),0))</f>
        <v/>
      </c>
      <c r="BP16" s="54">
        <f>IF(OR($A16="",$I16="",$I16="NON-RATED",N($J16)=0),"",IFERROR(VLOOKUP($I16&amp;"|"&amp;$J16,IBC,2,FALSE),"?"))</f>
        <v/>
      </c>
      <c r="BQ16" s="50">
        <f>IF(NOT(AND($A16&lt;&gt;"",$C16&lt;&gt;"DOOR ONLY")),"",TRIM(IFERROR(VLOOKUP($U16,CODES,2,FALSE),"")&amp;" "&amp;$AZ16&amp;" "&amp;IFERROR(VLOOKUP($Z16,CODES,2,FALSE),"")&amp;" "&amp;IFERROR(VLOOKUP($X16,CODES,2,FALSE),"")&amp;" "&amp;IFERROR(VLOOKUP($S16,CODES,2,FALSE),"")&amp;IF(N($P16)&gt;0," w/TRANSOM "&amp;$P16&amp;CHAR(34),"")&amp;IF(N($Q16)&gt;0," w/SIDELITE "&amp;$Q16&amp;CHAR(34)&amp;" "&amp;IF($R16="","R",$R16),"")&amp;IF($Y16="","  |  "," | "&amp;IFERROR(VLOOKUP($Y16,CODES,2,FALSE),"")&amp;" | ")&amp;IFERROR(VLOOKUP($AC16,CODES,2,FALSE),"")&amp;" "&amp;IFERROR(VLOOKUP($AD16,CODES,2,FALSE),"")&amp;IF(OR($AE16="",$AE16="-"),""," "&amp;$AE16)&amp;IF(OR($AF16="",$AF16="-"),""," "&amp;$AF16)&amp;IF($AB16="Y"," 4"&amp;CHAR(34)&amp;" HEAD","")&amp;" "&amp;IFERROR(VLOOKUP($H16,CODES,2,FALSE),"")))</f>
        <v/>
      </c>
      <c r="BR16" s="50">
        <f>IF(NOT(AND($A16&lt;&gt;"",N($BC16)&gt;0)),"",TRIM(IFERROR(VLOOKUP($AH16,CODES,2,FALSE),"")&amp;IF($AI16=""," "," "&amp;$AI16&amp;"GA ")&amp;$AZ16&amp;" "&amp;IF($AN16="",IFERROR(VLOOKUP($Z16,CODES,2,FALSE),""),IFERROR(VLOOKUP($AN16,CODES,2,FALSE),""))&amp;IF($BC16=2," PAIR","")&amp;" DOOR | "&amp;IF($AL16="","?",$AL16)&amp;" | "&amp;IF($AP16="",IFERROR(VLOOKUP($AC16,CODES,2,FALSE),""),IFERROR(VLOOKUP($AP16,CODES,2,FALSE),""))&amp;" "&amp;IFERROR(VLOOKUP($AQ16,CODES,2,FALSE),"")&amp;IF(OR($AR16="",$AR16="-"),""," SEAM "&amp;$AR16)&amp;IF($AS16="Y"," ASTRAGAL","")&amp;IF($AJ16=""," "," "&amp;$AJ16)&amp;IF($AK16=""," "," "&amp;$AK16)&amp;IF($AO16="",""," "&amp;$AO16)&amp;IF($AM16=""," "," SERIES "&amp;$AM16)&amp;" "&amp;IFERROR(VLOOKUP($H16,CODES,2,FALSE),"")))</f>
        <v/>
      </c>
      <c r="BS16" s="49">
        <f>IF(BV16="","",IF(COUNTIF($BV$6:BV16,BV16)=1,MAX($BS$5:BS15)+1,INDEX($BS$5:BS15,MATCH(BV16,$BV$5:BV15,0))))</f>
        <v/>
      </c>
      <c r="BT16" s="49">
        <f>IF(NOT(AND($A16&lt;&gt;"",$C16&lt;&gt;"DOOR ONLY")),"",MAX($BT$5:BT15)+1)</f>
        <v/>
      </c>
      <c r="BU16" s="49">
        <f>IF(NOT(AND($A16&lt;&gt;"",N($BC16)&gt;0)),"",MAX($BU$5:BU15)+1)</f>
        <v/>
      </c>
      <c r="BV16" s="49">
        <f>IF(OR($A16="",$BA16="",$BB16=""),"",$AZ16&amp;"|"&amp;$O16&amp;"|"&amp;$AL16&amp;"|"&amp;$S16&amp;"|"&amp;$P16&amp;"|"&amp;$Q16&amp;$R16&amp;"|"&amp;$C16&amp;"|"&amp;$AB16)</f>
        <v/>
      </c>
      <c r="BW16" s="49">
        <f>IF($A16="","",IF($B16="","qty, ","")&amp;IF($C16="","scope, ","")&amp;IF(OR($K16="",$M16=""),"size, ","")&amp;IF(AND($A16&lt;&gt;"",$C16&lt;&gt;"DOOR ONLY"),IF($U16="","jamb depth, ","")&amp;IF($X16="","construction, ","")&amp;IF($Y16="","anchor, ","")&amp;IF($S16="","frame type, ",""),"")&amp;IF(AND(N($BC16)&gt;0,$Z16=""),"hand, ","")&amp;IF(N($BC16)&gt;0,IF($AH16="","door material, ","")&amp;IF($AL16="","face type, ","")&amp;IF($AQ16="","lock prep, ","")&amp;IF(AND($AP16="",$AC16=""),"hinge prep, ",""),"")&amp;IF(AND($BO16&gt;0,$AH16="FRP"),"FRP cannot carry a label, ","")&amp;IF(AND($O16="Y",OR($Z16="L",$Z16="R",$Z16="LR",$Z16="RR")),"pair marked but hand is single, ","")&amp;IF(AND($O16&lt;&gt;"Y",OR($Z16="PR",AND(LEN($Z16)&gt;1,ISNUMBER(SEARCH("-",$Z16))))),"pair hand on a single door, ","")&amp;IF(AND(ISNUMBER($BP16),$BO16&lt;N($BP16)),"wall needs a "&amp;$BP16&amp;" min door, ","")&amp;IF(AND($BO16&gt;=180,AND(OR($BL16="FG",$BL16="HG",$BL16="FNV",$BL16="FV"),N($BM16)*N($BN16)&gt;100)),"180 min lite over 100 sq in, ","")&amp;IF(N($BD16)&gt;48,"leaf wider than 4'-0"&amp;CHAR(34)&amp;", ",""))</f>
        <v/>
      </c>
      <c r="BX16" s="49">
        <f>IF($A16="","",IF(AND($BO16&gt;0,AND($A16&lt;&gt;"",$C16&lt;&gt;"DOOR ONLY"),$X16="KD",$E16="EXTERIOR"),"KD label on an exterior opening, ","")&amp;IF(AND($E16="EXTERIOR",OR(AND(AND($A16&lt;&gt;"",$C16&lt;&gt;"DOOR ONLY"),$W16="CR"),AND(N($BC16)&gt;0,$AH16="CR"))),"exterior in CR steel (G9?), ","")&amp;IF(AND(ISNUMBER($BJ16),N($BJ16)&lt;32),"clear width ~"&amp;TEXT($BJ16,"0.0")&amp;CHAR(34)&amp;" under 32"&amp;CHAR(34)&amp;" (ADA), ","")&amp;IF(AND($BO16=90,AND(OR($BL16="FG",$BL16="HG",$BL16="FNV",$BL16="FV"),N($BM16)*N($BN16)&gt;100)),"90 min lite over 100 sq in (stair/exit), ","")&amp;IF(AND($BO16&gt;0,AND($A16&lt;&gt;"",$C16&lt;&gt;"DOOR ONLY"),OR($AF16="",$AF16="-")),"rated: closer reinf.?, ","")&amp;IF(OR($I16="CORRIDOR",$I16="SMOKE BARRIER"),"S label + smoke gasketing, ","")&amp;IF($BP16="?","wall type/hr not in IBC table, ","")&amp;IF(AND(N($BC16)&gt;0,$AU16=""),"no hardware set, ","")&amp;IF(AND($AU16&lt;&gt;"",ISNA(MATCH($AU16,HWSets,0))),"set "&amp;$AU16&amp;" not on Hardware sheet, ","")&amp;IF(N($BE16)&gt;96,"leaf over 8'-0"&amp;CHAR(34)&amp;" - check listing, ",""))</f>
        <v/>
      </c>
    </row>
    <row r="17" ht="15" customHeight="1">
      <c r="A17" s="44" t="n"/>
      <c r="B17" s="45" t="n"/>
      <c r="C17" s="45" t="n"/>
      <c r="D17" s="45" t="n"/>
      <c r="E17" s="45" t="n"/>
      <c r="F17" s="45" t="n"/>
      <c r="G17" s="45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  <c r="AG17" s="46" t="n"/>
      <c r="AH17" s="47" t="n"/>
      <c r="AI17" s="47" t="n"/>
      <c r="AJ17" s="47" t="n"/>
      <c r="AK17" s="47" t="n"/>
      <c r="AL17" s="47" t="n"/>
      <c r="AM17" s="47" t="n"/>
      <c r="AN17" s="47" t="n"/>
      <c r="AO17" s="47" t="n"/>
      <c r="AP17" s="47" t="n"/>
      <c r="AQ17" s="47" t="n"/>
      <c r="AR17" s="47" t="n"/>
      <c r="AS17" s="47" t="n"/>
      <c r="AT17" s="47" t="n"/>
      <c r="AU17" s="48" t="n"/>
      <c r="AV17" s="48" t="n"/>
      <c r="AW17" s="49">
        <f>IF($A17="","",IF($BW17&lt;&gt;"","FIX",IF($BX17&lt;&gt;"","CHECK","OK")))</f>
        <v/>
      </c>
      <c r="AX17" s="50">
        <f>IF($A17="","",IF($BW17&lt;&gt;"","FIX: "&amp;LEFT($BW17,LEN($BW17)-2)&amp;IF($BX17&lt;&gt;"","  ·  ",""),"")&amp;IF($BX17&lt;&gt;"","CHECK: "&amp;LEFT($BX17,LEN($BX17)-2),""))</f>
        <v/>
      </c>
      <c r="AY17" s="49">
        <f>IF(OR($A17="",$K17=""),"",$K17&amp;"'-"&amp;N($L17)&amp;CHAR(34)&amp;" x "&amp;$M17&amp;"'-"&amp;N($N17)&amp;CHAR(34))</f>
        <v/>
      </c>
      <c r="AZ17" s="49">
        <f>IF(OR($A17="",$K17=""),"",$K17&amp;N($L17)&amp;$M17&amp;N($N17))</f>
        <v/>
      </c>
      <c r="BA17" s="49">
        <f>IF(OR($A17="",$K17=""),"",$K17*12+N($L17))</f>
        <v/>
      </c>
      <c r="BB17" s="49">
        <f>IF(OR($A17="",$M17=""),"",$M17*12+N($N17))</f>
        <v/>
      </c>
      <c r="BC17" s="49">
        <f>IF($A17="","",IF(OR($C17="FRAME ONLY",$S17="BL"),0,IF($O17="Y",2,1)))</f>
        <v/>
      </c>
      <c r="BD17" s="51">
        <f>IF(OR(N($BC17)=0,$BA17=""),"",($BA17-2*EdgeClr-IF($BC17=2,MeetClr,0))/$BC17)</f>
        <v/>
      </c>
      <c r="BE17" s="51">
        <f>IF(OR(N($BC17)=0,$BB17=""),"",$BB17-HeadClr-Undercut)</f>
        <v/>
      </c>
      <c r="BF17" s="51">
        <f>IF($BA17="","",$BA17+2*FaceW+IF(N($Q17)&gt;0,($Q17+FaceW)*IF($R17="LR",2,1),0))</f>
        <v/>
      </c>
      <c r="BG17" s="51">
        <f>IF($BB17="","",$BB17+IF($AB17="Y",4,FaceW)+IF(N($P17)&gt;0,$P17+FaceW,0)+IF(OR($S17="4F",$S17="BL"),FaceW,0))</f>
        <v/>
      </c>
      <c r="BH17" s="51">
        <f>IF($BF17="","",$BF17+2*ROSide)</f>
        <v/>
      </c>
      <c r="BI17" s="51">
        <f>IF($BG17="","",$BG17+ROTop)</f>
        <v/>
      </c>
      <c r="BJ17" s="52">
        <f>IF(OR(N($BC17)=0,$BA17=""),"",$BA17/$BC17-ClearDeduct)</f>
        <v/>
      </c>
      <c r="BK17" s="49">
        <f>IF(OR(N($BC17)=0,$BE17=""),"",IF(OR($AC17="HGC",$AP17="HGC"),"CONT",IF($BE17&lt;=60,2,IF($BE17&lt;=90,3,IF($BE17&lt;=120,4,5)))))</f>
        <v/>
      </c>
      <c r="BL17" s="49">
        <f>IF(N($BC17)=0,"",IF(OR($AL17="",$AL17="FLUSH"),"FLUSH",IFERROR(LEFT($AL17,FIND("-",$AL17)-1),LEFT($AL17,2))))</f>
        <v/>
      </c>
      <c r="BM17" s="49">
        <f>IF($BL17="","",IFERROR(VALUE(MID($AL17,FIND("-",$AL17)+1,FIND(CHAR(34)&amp;"x",$AL17)-FIND("-",$AL17)-1)),0))</f>
        <v/>
      </c>
      <c r="BN17" s="49">
        <f>IF($BL17="","",IFERROR(VALUE(MID($AL17,FIND(CHAR(34)&amp;"x",$AL17)+2,FIND(CHAR(34),$AL17,FIND(CHAR(34)&amp;"x",$AL17)+2)-FIND(CHAR(34)&amp;"x",$AL17)-2)),0))</f>
        <v/>
      </c>
      <c r="BO17" s="53">
        <f>IF(OR($A17="",$H17="",$H17="NO LAB"),0,IFERROR(VALUE(LEFT($H17,FIND(" ",$H17)-1)),0))</f>
        <v/>
      </c>
      <c r="BP17" s="54">
        <f>IF(OR($A17="",$I17="",$I17="NON-RATED",N($J17)=0),"",IFERROR(VLOOKUP($I17&amp;"|"&amp;$J17,IBC,2,FALSE),"?"))</f>
        <v/>
      </c>
      <c r="BQ17" s="50">
        <f>IF(NOT(AND($A17&lt;&gt;"",$C17&lt;&gt;"DOOR ONLY")),"",TRIM(IFERROR(VLOOKUP($U17,CODES,2,FALSE),"")&amp;" "&amp;$AZ17&amp;" "&amp;IFERROR(VLOOKUP($Z17,CODES,2,FALSE),"")&amp;" "&amp;IFERROR(VLOOKUP($X17,CODES,2,FALSE),"")&amp;" "&amp;IFERROR(VLOOKUP($S17,CODES,2,FALSE),"")&amp;IF(N($P17)&gt;0," w/TRANSOM "&amp;$P17&amp;CHAR(34),"")&amp;IF(N($Q17)&gt;0," w/SIDELITE "&amp;$Q17&amp;CHAR(34)&amp;" "&amp;IF($R17="","R",$R17),"")&amp;IF($Y17="","  |  "," | "&amp;IFERROR(VLOOKUP($Y17,CODES,2,FALSE),"")&amp;" | ")&amp;IFERROR(VLOOKUP($AC17,CODES,2,FALSE),"")&amp;" "&amp;IFERROR(VLOOKUP($AD17,CODES,2,FALSE),"")&amp;IF(OR($AE17="",$AE17="-"),""," "&amp;$AE17)&amp;IF(OR($AF17="",$AF17="-"),""," "&amp;$AF17)&amp;IF($AB17="Y"," 4"&amp;CHAR(34)&amp;" HEAD","")&amp;" "&amp;IFERROR(VLOOKUP($H17,CODES,2,FALSE),"")))</f>
        <v/>
      </c>
      <c r="BR17" s="50">
        <f>IF(NOT(AND($A17&lt;&gt;"",N($BC17)&gt;0)),"",TRIM(IFERROR(VLOOKUP($AH17,CODES,2,FALSE),"")&amp;IF($AI17=""," "," "&amp;$AI17&amp;"GA ")&amp;$AZ17&amp;" "&amp;IF($AN17="",IFERROR(VLOOKUP($Z17,CODES,2,FALSE),""),IFERROR(VLOOKUP($AN17,CODES,2,FALSE),""))&amp;IF($BC17=2," PAIR","")&amp;" DOOR | "&amp;IF($AL17="","?",$AL17)&amp;" | "&amp;IF($AP17="",IFERROR(VLOOKUP($AC17,CODES,2,FALSE),""),IFERROR(VLOOKUP($AP17,CODES,2,FALSE),""))&amp;" "&amp;IFERROR(VLOOKUP($AQ17,CODES,2,FALSE),"")&amp;IF(OR($AR17="",$AR17="-"),""," SEAM "&amp;$AR17)&amp;IF($AS17="Y"," ASTRAGAL","")&amp;IF($AJ17=""," "," "&amp;$AJ17)&amp;IF($AK17=""," "," "&amp;$AK17)&amp;IF($AO17="",""," "&amp;$AO17)&amp;IF($AM17=""," "," SERIES "&amp;$AM17)&amp;" "&amp;IFERROR(VLOOKUP($H17,CODES,2,FALSE),"")))</f>
        <v/>
      </c>
      <c r="BS17" s="49">
        <f>IF(BV17="","",IF(COUNTIF($BV$6:BV17,BV17)=1,MAX($BS$5:BS16)+1,INDEX($BS$5:BS16,MATCH(BV17,$BV$5:BV16,0))))</f>
        <v/>
      </c>
      <c r="BT17" s="49">
        <f>IF(NOT(AND($A17&lt;&gt;"",$C17&lt;&gt;"DOOR ONLY")),"",MAX($BT$5:BT16)+1)</f>
        <v/>
      </c>
      <c r="BU17" s="49">
        <f>IF(NOT(AND($A17&lt;&gt;"",N($BC17)&gt;0)),"",MAX($BU$5:BU16)+1)</f>
        <v/>
      </c>
      <c r="BV17" s="49">
        <f>IF(OR($A17="",$BA17="",$BB17=""),"",$AZ17&amp;"|"&amp;$O17&amp;"|"&amp;$AL17&amp;"|"&amp;$S17&amp;"|"&amp;$P17&amp;"|"&amp;$Q17&amp;$R17&amp;"|"&amp;$C17&amp;"|"&amp;$AB17)</f>
        <v/>
      </c>
      <c r="BW17" s="49">
        <f>IF($A17="","",IF($B17="","qty, ","")&amp;IF($C17="","scope, ","")&amp;IF(OR($K17="",$M17=""),"size, ","")&amp;IF(AND($A17&lt;&gt;"",$C17&lt;&gt;"DOOR ONLY"),IF($U17="","jamb depth, ","")&amp;IF($X17="","construction, ","")&amp;IF($Y17="","anchor, ","")&amp;IF($S17="","frame type, ",""),"")&amp;IF(AND(N($BC17)&gt;0,$Z17=""),"hand, ","")&amp;IF(N($BC17)&gt;0,IF($AH17="","door material, ","")&amp;IF($AL17="","face type, ","")&amp;IF($AQ17="","lock prep, ","")&amp;IF(AND($AP17="",$AC17=""),"hinge prep, ",""),"")&amp;IF(AND($BO17&gt;0,$AH17="FRP"),"FRP cannot carry a label, ","")&amp;IF(AND($O17="Y",OR($Z17="L",$Z17="R",$Z17="LR",$Z17="RR")),"pair marked but hand is single, ","")&amp;IF(AND($O17&lt;&gt;"Y",OR($Z17="PR",AND(LEN($Z17)&gt;1,ISNUMBER(SEARCH("-",$Z17))))),"pair hand on a single door, ","")&amp;IF(AND(ISNUMBER($BP17),$BO17&lt;N($BP17)),"wall needs a "&amp;$BP17&amp;" min door, ","")&amp;IF(AND($BO17&gt;=180,AND(OR($BL17="FG",$BL17="HG",$BL17="FNV",$BL17="FV"),N($BM17)*N($BN17)&gt;100)),"180 min lite over 100 sq in, ","")&amp;IF(N($BD17)&gt;48,"leaf wider than 4'-0"&amp;CHAR(34)&amp;", ",""))</f>
        <v/>
      </c>
      <c r="BX17" s="49">
        <f>IF($A17="","",IF(AND($BO17&gt;0,AND($A17&lt;&gt;"",$C17&lt;&gt;"DOOR ONLY"),$X17="KD",$E17="EXTERIOR"),"KD label on an exterior opening, ","")&amp;IF(AND($E17="EXTERIOR",OR(AND(AND($A17&lt;&gt;"",$C17&lt;&gt;"DOOR ONLY"),$W17="CR"),AND(N($BC17)&gt;0,$AH17="CR"))),"exterior in CR steel (G9?), ","")&amp;IF(AND(ISNUMBER($BJ17),N($BJ17)&lt;32),"clear width ~"&amp;TEXT($BJ17,"0.0")&amp;CHAR(34)&amp;" under 32"&amp;CHAR(34)&amp;" (ADA), ","")&amp;IF(AND($BO17=90,AND(OR($BL17="FG",$BL17="HG",$BL17="FNV",$BL17="FV"),N($BM17)*N($BN17)&gt;100)),"90 min lite over 100 sq in (stair/exit), ","")&amp;IF(AND($BO17&gt;0,AND($A17&lt;&gt;"",$C17&lt;&gt;"DOOR ONLY"),OR($AF17="",$AF17="-")),"rated: closer reinf.?, ","")&amp;IF(OR($I17="CORRIDOR",$I17="SMOKE BARRIER"),"S label + smoke gasketing, ","")&amp;IF($BP17="?","wall type/hr not in IBC table, ","")&amp;IF(AND(N($BC17)&gt;0,$AU17=""),"no hardware set, ","")&amp;IF(AND($AU17&lt;&gt;"",ISNA(MATCH($AU17,HWSets,0))),"set "&amp;$AU17&amp;" not on Hardware sheet, ","")&amp;IF(N($BE17)&gt;96,"leaf over 8'-0"&amp;CHAR(34)&amp;" - check listing, ",""))</f>
        <v/>
      </c>
    </row>
    <row r="18" ht="15" customHeight="1">
      <c r="A18" s="44" t="n"/>
      <c r="B18" s="45" t="n"/>
      <c r="C18" s="45" t="n"/>
      <c r="D18" s="45" t="n"/>
      <c r="E18" s="45" t="n"/>
      <c r="F18" s="45" t="n"/>
      <c r="G18" s="45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6" t="n"/>
      <c r="T18" s="46" t="n"/>
      <c r="U18" s="46" t="n"/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46" t="n"/>
      <c r="AE18" s="46" t="n"/>
      <c r="AF18" s="46" t="n"/>
      <c r="AG18" s="46" t="n"/>
      <c r="AH18" s="47" t="n"/>
      <c r="AI18" s="47" t="n"/>
      <c r="AJ18" s="47" t="n"/>
      <c r="AK18" s="47" t="n"/>
      <c r="AL18" s="47" t="n"/>
      <c r="AM18" s="47" t="n"/>
      <c r="AN18" s="47" t="n"/>
      <c r="AO18" s="47" t="n"/>
      <c r="AP18" s="47" t="n"/>
      <c r="AQ18" s="47" t="n"/>
      <c r="AR18" s="47" t="n"/>
      <c r="AS18" s="47" t="n"/>
      <c r="AT18" s="47" t="n"/>
      <c r="AU18" s="48" t="n"/>
      <c r="AV18" s="48" t="n"/>
      <c r="AW18" s="49">
        <f>IF($A18="","",IF($BW18&lt;&gt;"","FIX",IF($BX18&lt;&gt;"","CHECK","OK")))</f>
        <v/>
      </c>
      <c r="AX18" s="50">
        <f>IF($A18="","",IF($BW18&lt;&gt;"","FIX: "&amp;LEFT($BW18,LEN($BW18)-2)&amp;IF($BX18&lt;&gt;"","  ·  ",""),"")&amp;IF($BX18&lt;&gt;"","CHECK: "&amp;LEFT($BX18,LEN($BX18)-2),""))</f>
        <v/>
      </c>
      <c r="AY18" s="49">
        <f>IF(OR($A18="",$K18=""),"",$K18&amp;"'-"&amp;N($L18)&amp;CHAR(34)&amp;" x "&amp;$M18&amp;"'-"&amp;N($N18)&amp;CHAR(34))</f>
        <v/>
      </c>
      <c r="AZ18" s="49">
        <f>IF(OR($A18="",$K18=""),"",$K18&amp;N($L18)&amp;$M18&amp;N($N18))</f>
        <v/>
      </c>
      <c r="BA18" s="49">
        <f>IF(OR($A18="",$K18=""),"",$K18*12+N($L18))</f>
        <v/>
      </c>
      <c r="BB18" s="49">
        <f>IF(OR($A18="",$M18=""),"",$M18*12+N($N18))</f>
        <v/>
      </c>
      <c r="BC18" s="49">
        <f>IF($A18="","",IF(OR($C18="FRAME ONLY",$S18="BL"),0,IF($O18="Y",2,1)))</f>
        <v/>
      </c>
      <c r="BD18" s="51">
        <f>IF(OR(N($BC18)=0,$BA18=""),"",($BA18-2*EdgeClr-IF($BC18=2,MeetClr,0))/$BC18)</f>
        <v/>
      </c>
      <c r="BE18" s="51">
        <f>IF(OR(N($BC18)=0,$BB18=""),"",$BB18-HeadClr-Undercut)</f>
        <v/>
      </c>
      <c r="BF18" s="51">
        <f>IF($BA18="","",$BA18+2*FaceW+IF(N($Q18)&gt;0,($Q18+FaceW)*IF($R18="LR",2,1),0))</f>
        <v/>
      </c>
      <c r="BG18" s="51">
        <f>IF($BB18="","",$BB18+IF($AB18="Y",4,FaceW)+IF(N($P18)&gt;0,$P18+FaceW,0)+IF(OR($S18="4F",$S18="BL"),FaceW,0))</f>
        <v/>
      </c>
      <c r="BH18" s="51">
        <f>IF($BF18="","",$BF18+2*ROSide)</f>
        <v/>
      </c>
      <c r="BI18" s="51">
        <f>IF($BG18="","",$BG18+ROTop)</f>
        <v/>
      </c>
      <c r="BJ18" s="52">
        <f>IF(OR(N($BC18)=0,$BA18=""),"",$BA18/$BC18-ClearDeduct)</f>
        <v/>
      </c>
      <c r="BK18" s="49">
        <f>IF(OR(N($BC18)=0,$BE18=""),"",IF(OR($AC18="HGC",$AP18="HGC"),"CONT",IF($BE18&lt;=60,2,IF($BE18&lt;=90,3,IF($BE18&lt;=120,4,5)))))</f>
        <v/>
      </c>
      <c r="BL18" s="49">
        <f>IF(N($BC18)=0,"",IF(OR($AL18="",$AL18="FLUSH"),"FLUSH",IFERROR(LEFT($AL18,FIND("-",$AL18)-1),LEFT($AL18,2))))</f>
        <v/>
      </c>
      <c r="BM18" s="49">
        <f>IF($BL18="","",IFERROR(VALUE(MID($AL18,FIND("-",$AL18)+1,FIND(CHAR(34)&amp;"x",$AL18)-FIND("-",$AL18)-1)),0))</f>
        <v/>
      </c>
      <c r="BN18" s="49">
        <f>IF($BL18="","",IFERROR(VALUE(MID($AL18,FIND(CHAR(34)&amp;"x",$AL18)+2,FIND(CHAR(34),$AL18,FIND(CHAR(34)&amp;"x",$AL18)+2)-FIND(CHAR(34)&amp;"x",$AL18)-2)),0))</f>
        <v/>
      </c>
      <c r="BO18" s="53">
        <f>IF(OR($A18="",$H18="",$H18="NO LAB"),0,IFERROR(VALUE(LEFT($H18,FIND(" ",$H18)-1)),0))</f>
        <v/>
      </c>
      <c r="BP18" s="54">
        <f>IF(OR($A18="",$I18="",$I18="NON-RATED",N($J18)=0),"",IFERROR(VLOOKUP($I18&amp;"|"&amp;$J18,IBC,2,FALSE),"?"))</f>
        <v/>
      </c>
      <c r="BQ18" s="50">
        <f>IF(NOT(AND($A18&lt;&gt;"",$C18&lt;&gt;"DOOR ONLY")),"",TRIM(IFERROR(VLOOKUP($U18,CODES,2,FALSE),"")&amp;" "&amp;$AZ18&amp;" "&amp;IFERROR(VLOOKUP($Z18,CODES,2,FALSE),"")&amp;" "&amp;IFERROR(VLOOKUP($X18,CODES,2,FALSE),"")&amp;" "&amp;IFERROR(VLOOKUP($S18,CODES,2,FALSE),"")&amp;IF(N($P18)&gt;0," w/TRANSOM "&amp;$P18&amp;CHAR(34),"")&amp;IF(N($Q18)&gt;0," w/SIDELITE "&amp;$Q18&amp;CHAR(34)&amp;" "&amp;IF($R18="","R",$R18),"")&amp;IF($Y18="","  |  "," | "&amp;IFERROR(VLOOKUP($Y18,CODES,2,FALSE),"")&amp;" | ")&amp;IFERROR(VLOOKUP($AC18,CODES,2,FALSE),"")&amp;" "&amp;IFERROR(VLOOKUP($AD18,CODES,2,FALSE),"")&amp;IF(OR($AE18="",$AE18="-"),""," "&amp;$AE18)&amp;IF(OR($AF18="",$AF18="-"),""," "&amp;$AF18)&amp;IF($AB18="Y"," 4"&amp;CHAR(34)&amp;" HEAD","")&amp;" "&amp;IFERROR(VLOOKUP($H18,CODES,2,FALSE),"")))</f>
        <v/>
      </c>
      <c r="BR18" s="50">
        <f>IF(NOT(AND($A18&lt;&gt;"",N($BC18)&gt;0)),"",TRIM(IFERROR(VLOOKUP($AH18,CODES,2,FALSE),"")&amp;IF($AI18=""," "," "&amp;$AI18&amp;"GA ")&amp;$AZ18&amp;" "&amp;IF($AN18="",IFERROR(VLOOKUP($Z18,CODES,2,FALSE),""),IFERROR(VLOOKUP($AN18,CODES,2,FALSE),""))&amp;IF($BC18=2," PAIR","")&amp;" DOOR | "&amp;IF($AL18="","?",$AL18)&amp;" | "&amp;IF($AP18="",IFERROR(VLOOKUP($AC18,CODES,2,FALSE),""),IFERROR(VLOOKUP($AP18,CODES,2,FALSE),""))&amp;" "&amp;IFERROR(VLOOKUP($AQ18,CODES,2,FALSE),"")&amp;IF(OR($AR18="",$AR18="-"),""," SEAM "&amp;$AR18)&amp;IF($AS18="Y"," ASTRAGAL","")&amp;IF($AJ18=""," "," "&amp;$AJ18)&amp;IF($AK18=""," "," "&amp;$AK18)&amp;IF($AO18="",""," "&amp;$AO18)&amp;IF($AM18=""," "," SERIES "&amp;$AM18)&amp;" "&amp;IFERROR(VLOOKUP($H18,CODES,2,FALSE),"")))</f>
        <v/>
      </c>
      <c r="BS18" s="49">
        <f>IF(BV18="","",IF(COUNTIF($BV$6:BV18,BV18)=1,MAX($BS$5:BS17)+1,INDEX($BS$5:BS17,MATCH(BV18,$BV$5:BV17,0))))</f>
        <v/>
      </c>
      <c r="BT18" s="49">
        <f>IF(NOT(AND($A18&lt;&gt;"",$C18&lt;&gt;"DOOR ONLY")),"",MAX($BT$5:BT17)+1)</f>
        <v/>
      </c>
      <c r="BU18" s="49">
        <f>IF(NOT(AND($A18&lt;&gt;"",N($BC18)&gt;0)),"",MAX($BU$5:BU17)+1)</f>
        <v/>
      </c>
      <c r="BV18" s="49">
        <f>IF(OR($A18="",$BA18="",$BB18=""),"",$AZ18&amp;"|"&amp;$O18&amp;"|"&amp;$AL18&amp;"|"&amp;$S18&amp;"|"&amp;$P18&amp;"|"&amp;$Q18&amp;$R18&amp;"|"&amp;$C18&amp;"|"&amp;$AB18)</f>
        <v/>
      </c>
      <c r="BW18" s="49">
        <f>IF($A18="","",IF($B18="","qty, ","")&amp;IF($C18="","scope, ","")&amp;IF(OR($K18="",$M18=""),"size, ","")&amp;IF(AND($A18&lt;&gt;"",$C18&lt;&gt;"DOOR ONLY"),IF($U18="","jamb depth, ","")&amp;IF($X18="","construction, ","")&amp;IF($Y18="","anchor, ","")&amp;IF($S18="","frame type, ",""),"")&amp;IF(AND(N($BC18)&gt;0,$Z18=""),"hand, ","")&amp;IF(N($BC18)&gt;0,IF($AH18="","door material, ","")&amp;IF($AL18="","face type, ","")&amp;IF($AQ18="","lock prep, ","")&amp;IF(AND($AP18="",$AC18=""),"hinge prep, ",""),"")&amp;IF(AND($BO18&gt;0,$AH18="FRP"),"FRP cannot carry a label, ","")&amp;IF(AND($O18="Y",OR($Z18="L",$Z18="R",$Z18="LR",$Z18="RR")),"pair marked but hand is single, ","")&amp;IF(AND($O18&lt;&gt;"Y",OR($Z18="PR",AND(LEN($Z18)&gt;1,ISNUMBER(SEARCH("-",$Z18))))),"pair hand on a single door, ","")&amp;IF(AND(ISNUMBER($BP18),$BO18&lt;N($BP18)),"wall needs a "&amp;$BP18&amp;" min door, ","")&amp;IF(AND($BO18&gt;=180,AND(OR($BL18="FG",$BL18="HG",$BL18="FNV",$BL18="FV"),N($BM18)*N($BN18)&gt;100)),"180 min lite over 100 sq in, ","")&amp;IF(N($BD18)&gt;48,"leaf wider than 4'-0"&amp;CHAR(34)&amp;", ",""))</f>
        <v/>
      </c>
      <c r="BX18" s="49">
        <f>IF($A18="","",IF(AND($BO18&gt;0,AND($A18&lt;&gt;"",$C18&lt;&gt;"DOOR ONLY"),$X18="KD",$E18="EXTERIOR"),"KD label on an exterior opening, ","")&amp;IF(AND($E18="EXTERIOR",OR(AND(AND($A18&lt;&gt;"",$C18&lt;&gt;"DOOR ONLY"),$W18="CR"),AND(N($BC18)&gt;0,$AH18="CR"))),"exterior in CR steel (G9?), ","")&amp;IF(AND(ISNUMBER($BJ18),N($BJ18)&lt;32),"clear width ~"&amp;TEXT($BJ18,"0.0")&amp;CHAR(34)&amp;" under 32"&amp;CHAR(34)&amp;" (ADA), ","")&amp;IF(AND($BO18=90,AND(OR($BL18="FG",$BL18="HG",$BL18="FNV",$BL18="FV"),N($BM18)*N($BN18)&gt;100)),"90 min lite over 100 sq in (stair/exit), ","")&amp;IF(AND($BO18&gt;0,AND($A18&lt;&gt;"",$C18&lt;&gt;"DOOR ONLY"),OR($AF18="",$AF18="-")),"rated: closer reinf.?, ","")&amp;IF(OR($I18="CORRIDOR",$I18="SMOKE BARRIER"),"S label + smoke gasketing, ","")&amp;IF($BP18="?","wall type/hr not in IBC table, ","")&amp;IF(AND(N($BC18)&gt;0,$AU18=""),"no hardware set, ","")&amp;IF(AND($AU18&lt;&gt;"",ISNA(MATCH($AU18,HWSets,0))),"set "&amp;$AU18&amp;" not on Hardware sheet, ","")&amp;IF(N($BE18)&gt;96,"leaf over 8'-0"&amp;CHAR(34)&amp;" - check listing, ",""))</f>
        <v/>
      </c>
    </row>
    <row r="19" ht="15" customHeight="1">
      <c r="A19" s="44" t="n"/>
      <c r="B19" s="45" t="n"/>
      <c r="C19" s="45" t="n"/>
      <c r="D19" s="45" t="n"/>
      <c r="E19" s="45" t="n"/>
      <c r="F19" s="45" t="n"/>
      <c r="G19" s="45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6" t="n"/>
      <c r="AG19" s="46" t="n"/>
      <c r="AH19" s="47" t="n"/>
      <c r="AI19" s="47" t="n"/>
      <c r="AJ19" s="47" t="n"/>
      <c r="AK19" s="47" t="n"/>
      <c r="AL19" s="47" t="n"/>
      <c r="AM19" s="47" t="n"/>
      <c r="AN19" s="47" t="n"/>
      <c r="AO19" s="47" t="n"/>
      <c r="AP19" s="47" t="n"/>
      <c r="AQ19" s="47" t="n"/>
      <c r="AR19" s="47" t="n"/>
      <c r="AS19" s="47" t="n"/>
      <c r="AT19" s="47" t="n"/>
      <c r="AU19" s="48" t="n"/>
      <c r="AV19" s="48" t="n"/>
      <c r="AW19" s="49">
        <f>IF($A19="","",IF($BW19&lt;&gt;"","FIX",IF($BX19&lt;&gt;"","CHECK","OK")))</f>
        <v/>
      </c>
      <c r="AX19" s="50">
        <f>IF($A19="","",IF($BW19&lt;&gt;"","FIX: "&amp;LEFT($BW19,LEN($BW19)-2)&amp;IF($BX19&lt;&gt;"","  ·  ",""),"")&amp;IF($BX19&lt;&gt;"","CHECK: "&amp;LEFT($BX19,LEN($BX19)-2),""))</f>
        <v/>
      </c>
      <c r="AY19" s="49">
        <f>IF(OR($A19="",$K19=""),"",$K19&amp;"'-"&amp;N($L19)&amp;CHAR(34)&amp;" x "&amp;$M19&amp;"'-"&amp;N($N19)&amp;CHAR(34))</f>
        <v/>
      </c>
      <c r="AZ19" s="49">
        <f>IF(OR($A19="",$K19=""),"",$K19&amp;N($L19)&amp;$M19&amp;N($N19))</f>
        <v/>
      </c>
      <c r="BA19" s="49">
        <f>IF(OR($A19="",$K19=""),"",$K19*12+N($L19))</f>
        <v/>
      </c>
      <c r="BB19" s="49">
        <f>IF(OR($A19="",$M19=""),"",$M19*12+N($N19))</f>
        <v/>
      </c>
      <c r="BC19" s="49">
        <f>IF($A19="","",IF(OR($C19="FRAME ONLY",$S19="BL"),0,IF($O19="Y",2,1)))</f>
        <v/>
      </c>
      <c r="BD19" s="51">
        <f>IF(OR(N($BC19)=0,$BA19=""),"",($BA19-2*EdgeClr-IF($BC19=2,MeetClr,0))/$BC19)</f>
        <v/>
      </c>
      <c r="BE19" s="51">
        <f>IF(OR(N($BC19)=0,$BB19=""),"",$BB19-HeadClr-Undercut)</f>
        <v/>
      </c>
      <c r="BF19" s="51">
        <f>IF($BA19="","",$BA19+2*FaceW+IF(N($Q19)&gt;0,($Q19+FaceW)*IF($R19="LR",2,1),0))</f>
        <v/>
      </c>
      <c r="BG19" s="51">
        <f>IF($BB19="","",$BB19+IF($AB19="Y",4,FaceW)+IF(N($P19)&gt;0,$P19+FaceW,0)+IF(OR($S19="4F",$S19="BL"),FaceW,0))</f>
        <v/>
      </c>
      <c r="BH19" s="51">
        <f>IF($BF19="","",$BF19+2*ROSide)</f>
        <v/>
      </c>
      <c r="BI19" s="51">
        <f>IF($BG19="","",$BG19+ROTop)</f>
        <v/>
      </c>
      <c r="BJ19" s="52">
        <f>IF(OR(N($BC19)=0,$BA19=""),"",$BA19/$BC19-ClearDeduct)</f>
        <v/>
      </c>
      <c r="BK19" s="49">
        <f>IF(OR(N($BC19)=0,$BE19=""),"",IF(OR($AC19="HGC",$AP19="HGC"),"CONT",IF($BE19&lt;=60,2,IF($BE19&lt;=90,3,IF($BE19&lt;=120,4,5)))))</f>
        <v/>
      </c>
      <c r="BL19" s="49">
        <f>IF(N($BC19)=0,"",IF(OR($AL19="",$AL19="FLUSH"),"FLUSH",IFERROR(LEFT($AL19,FIND("-",$AL19)-1),LEFT($AL19,2))))</f>
        <v/>
      </c>
      <c r="BM19" s="49">
        <f>IF($BL19="","",IFERROR(VALUE(MID($AL19,FIND("-",$AL19)+1,FIND(CHAR(34)&amp;"x",$AL19)-FIND("-",$AL19)-1)),0))</f>
        <v/>
      </c>
      <c r="BN19" s="49">
        <f>IF($BL19="","",IFERROR(VALUE(MID($AL19,FIND(CHAR(34)&amp;"x",$AL19)+2,FIND(CHAR(34),$AL19,FIND(CHAR(34)&amp;"x",$AL19)+2)-FIND(CHAR(34)&amp;"x",$AL19)-2)),0))</f>
        <v/>
      </c>
      <c r="BO19" s="53">
        <f>IF(OR($A19="",$H19="",$H19="NO LAB"),0,IFERROR(VALUE(LEFT($H19,FIND(" ",$H19)-1)),0))</f>
        <v/>
      </c>
      <c r="BP19" s="54">
        <f>IF(OR($A19="",$I19="",$I19="NON-RATED",N($J19)=0),"",IFERROR(VLOOKUP($I19&amp;"|"&amp;$J19,IBC,2,FALSE),"?"))</f>
        <v/>
      </c>
      <c r="BQ19" s="50">
        <f>IF(NOT(AND($A19&lt;&gt;"",$C19&lt;&gt;"DOOR ONLY")),"",TRIM(IFERROR(VLOOKUP($U19,CODES,2,FALSE),"")&amp;" "&amp;$AZ19&amp;" "&amp;IFERROR(VLOOKUP($Z19,CODES,2,FALSE),"")&amp;" "&amp;IFERROR(VLOOKUP($X19,CODES,2,FALSE),"")&amp;" "&amp;IFERROR(VLOOKUP($S19,CODES,2,FALSE),"")&amp;IF(N($P19)&gt;0," w/TRANSOM "&amp;$P19&amp;CHAR(34),"")&amp;IF(N($Q19)&gt;0," w/SIDELITE "&amp;$Q19&amp;CHAR(34)&amp;" "&amp;IF($R19="","R",$R19),"")&amp;IF($Y19="","  |  "," | "&amp;IFERROR(VLOOKUP($Y19,CODES,2,FALSE),"")&amp;" | ")&amp;IFERROR(VLOOKUP($AC19,CODES,2,FALSE),"")&amp;" "&amp;IFERROR(VLOOKUP($AD19,CODES,2,FALSE),"")&amp;IF(OR($AE19="",$AE19="-"),""," "&amp;$AE19)&amp;IF(OR($AF19="",$AF19="-"),""," "&amp;$AF19)&amp;IF($AB19="Y"," 4"&amp;CHAR(34)&amp;" HEAD","")&amp;" "&amp;IFERROR(VLOOKUP($H19,CODES,2,FALSE),"")))</f>
        <v/>
      </c>
      <c r="BR19" s="50">
        <f>IF(NOT(AND($A19&lt;&gt;"",N($BC19)&gt;0)),"",TRIM(IFERROR(VLOOKUP($AH19,CODES,2,FALSE),"")&amp;IF($AI19=""," "," "&amp;$AI19&amp;"GA ")&amp;$AZ19&amp;" "&amp;IF($AN19="",IFERROR(VLOOKUP($Z19,CODES,2,FALSE),""),IFERROR(VLOOKUP($AN19,CODES,2,FALSE),""))&amp;IF($BC19=2," PAIR","")&amp;" DOOR | "&amp;IF($AL19="","?",$AL19)&amp;" | "&amp;IF($AP19="",IFERROR(VLOOKUP($AC19,CODES,2,FALSE),""),IFERROR(VLOOKUP($AP19,CODES,2,FALSE),""))&amp;" "&amp;IFERROR(VLOOKUP($AQ19,CODES,2,FALSE),"")&amp;IF(OR($AR19="",$AR19="-"),""," SEAM "&amp;$AR19)&amp;IF($AS19="Y"," ASTRAGAL","")&amp;IF($AJ19=""," "," "&amp;$AJ19)&amp;IF($AK19=""," "," "&amp;$AK19)&amp;IF($AO19="",""," "&amp;$AO19)&amp;IF($AM19=""," "," SERIES "&amp;$AM19)&amp;" "&amp;IFERROR(VLOOKUP($H19,CODES,2,FALSE),"")))</f>
        <v/>
      </c>
      <c r="BS19" s="49">
        <f>IF(BV19="","",IF(COUNTIF($BV$6:BV19,BV19)=1,MAX($BS$5:BS18)+1,INDEX($BS$5:BS18,MATCH(BV19,$BV$5:BV18,0))))</f>
        <v/>
      </c>
      <c r="BT19" s="49">
        <f>IF(NOT(AND($A19&lt;&gt;"",$C19&lt;&gt;"DOOR ONLY")),"",MAX($BT$5:BT18)+1)</f>
        <v/>
      </c>
      <c r="BU19" s="49">
        <f>IF(NOT(AND($A19&lt;&gt;"",N($BC19)&gt;0)),"",MAX($BU$5:BU18)+1)</f>
        <v/>
      </c>
      <c r="BV19" s="49">
        <f>IF(OR($A19="",$BA19="",$BB19=""),"",$AZ19&amp;"|"&amp;$O19&amp;"|"&amp;$AL19&amp;"|"&amp;$S19&amp;"|"&amp;$P19&amp;"|"&amp;$Q19&amp;$R19&amp;"|"&amp;$C19&amp;"|"&amp;$AB19)</f>
        <v/>
      </c>
      <c r="BW19" s="49">
        <f>IF($A19="","",IF($B19="","qty, ","")&amp;IF($C19="","scope, ","")&amp;IF(OR($K19="",$M19=""),"size, ","")&amp;IF(AND($A19&lt;&gt;"",$C19&lt;&gt;"DOOR ONLY"),IF($U19="","jamb depth, ","")&amp;IF($X19="","construction, ","")&amp;IF($Y19="","anchor, ","")&amp;IF($S19="","frame type, ",""),"")&amp;IF(AND(N($BC19)&gt;0,$Z19=""),"hand, ","")&amp;IF(N($BC19)&gt;0,IF($AH19="","door material, ","")&amp;IF($AL19="","face type, ","")&amp;IF($AQ19="","lock prep, ","")&amp;IF(AND($AP19="",$AC19=""),"hinge prep, ",""),"")&amp;IF(AND($BO19&gt;0,$AH19="FRP"),"FRP cannot carry a label, ","")&amp;IF(AND($O19="Y",OR($Z19="L",$Z19="R",$Z19="LR",$Z19="RR")),"pair marked but hand is single, ","")&amp;IF(AND($O19&lt;&gt;"Y",OR($Z19="PR",AND(LEN($Z19)&gt;1,ISNUMBER(SEARCH("-",$Z19))))),"pair hand on a single door, ","")&amp;IF(AND(ISNUMBER($BP19),$BO19&lt;N($BP19)),"wall needs a "&amp;$BP19&amp;" min door, ","")&amp;IF(AND($BO19&gt;=180,AND(OR($BL19="FG",$BL19="HG",$BL19="FNV",$BL19="FV"),N($BM19)*N($BN19)&gt;100)),"180 min lite over 100 sq in, ","")&amp;IF(N($BD19)&gt;48,"leaf wider than 4'-0"&amp;CHAR(34)&amp;", ",""))</f>
        <v/>
      </c>
      <c r="BX19" s="49">
        <f>IF($A19="","",IF(AND($BO19&gt;0,AND($A19&lt;&gt;"",$C19&lt;&gt;"DOOR ONLY"),$X19="KD",$E19="EXTERIOR"),"KD label on an exterior opening, ","")&amp;IF(AND($E19="EXTERIOR",OR(AND(AND($A19&lt;&gt;"",$C19&lt;&gt;"DOOR ONLY"),$W19="CR"),AND(N($BC19)&gt;0,$AH19="CR"))),"exterior in CR steel (G9?), ","")&amp;IF(AND(ISNUMBER($BJ19),N($BJ19)&lt;32),"clear width ~"&amp;TEXT($BJ19,"0.0")&amp;CHAR(34)&amp;" under 32"&amp;CHAR(34)&amp;" (ADA), ","")&amp;IF(AND($BO19=90,AND(OR($BL19="FG",$BL19="HG",$BL19="FNV",$BL19="FV"),N($BM19)*N($BN19)&gt;100)),"90 min lite over 100 sq in (stair/exit), ","")&amp;IF(AND($BO19&gt;0,AND($A19&lt;&gt;"",$C19&lt;&gt;"DOOR ONLY"),OR($AF19="",$AF19="-")),"rated: closer reinf.?, ","")&amp;IF(OR($I19="CORRIDOR",$I19="SMOKE BARRIER"),"S label + smoke gasketing, ","")&amp;IF($BP19="?","wall type/hr not in IBC table, ","")&amp;IF(AND(N($BC19)&gt;0,$AU19=""),"no hardware set, ","")&amp;IF(AND($AU19&lt;&gt;"",ISNA(MATCH($AU19,HWSets,0))),"set "&amp;$AU19&amp;" not on Hardware sheet, ","")&amp;IF(N($BE19)&gt;96,"leaf over 8'-0"&amp;CHAR(34)&amp;" - check listing, ",""))</f>
        <v/>
      </c>
    </row>
    <row r="20" ht="15" customHeight="1">
      <c r="A20" s="44" t="n"/>
      <c r="B20" s="45" t="n"/>
      <c r="C20" s="45" t="n"/>
      <c r="D20" s="45" t="n"/>
      <c r="E20" s="45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  <c r="AE20" s="46" t="n"/>
      <c r="AF20" s="46" t="n"/>
      <c r="AG20" s="46" t="n"/>
      <c r="AH20" s="47" t="n"/>
      <c r="AI20" s="47" t="n"/>
      <c r="AJ20" s="47" t="n"/>
      <c r="AK20" s="47" t="n"/>
      <c r="AL20" s="47" t="n"/>
      <c r="AM20" s="47" t="n"/>
      <c r="AN20" s="47" t="n"/>
      <c r="AO20" s="47" t="n"/>
      <c r="AP20" s="47" t="n"/>
      <c r="AQ20" s="47" t="n"/>
      <c r="AR20" s="47" t="n"/>
      <c r="AS20" s="47" t="n"/>
      <c r="AT20" s="47" t="n"/>
      <c r="AU20" s="48" t="n"/>
      <c r="AV20" s="48" t="n"/>
      <c r="AW20" s="49">
        <f>IF($A20="","",IF($BW20&lt;&gt;"","FIX",IF($BX20&lt;&gt;"","CHECK","OK")))</f>
        <v/>
      </c>
      <c r="AX20" s="50">
        <f>IF($A20="","",IF($BW20&lt;&gt;"","FIX: "&amp;LEFT($BW20,LEN($BW20)-2)&amp;IF($BX20&lt;&gt;"","  ·  ",""),"")&amp;IF($BX20&lt;&gt;"","CHECK: "&amp;LEFT($BX20,LEN($BX20)-2),""))</f>
        <v/>
      </c>
      <c r="AY20" s="49">
        <f>IF(OR($A20="",$K20=""),"",$K20&amp;"'-"&amp;N($L20)&amp;CHAR(34)&amp;" x "&amp;$M20&amp;"'-"&amp;N($N20)&amp;CHAR(34))</f>
        <v/>
      </c>
      <c r="AZ20" s="49">
        <f>IF(OR($A20="",$K20=""),"",$K20&amp;N($L20)&amp;$M20&amp;N($N20))</f>
        <v/>
      </c>
      <c r="BA20" s="49">
        <f>IF(OR($A20="",$K20=""),"",$K20*12+N($L20))</f>
        <v/>
      </c>
      <c r="BB20" s="49">
        <f>IF(OR($A20="",$M20=""),"",$M20*12+N($N20))</f>
        <v/>
      </c>
      <c r="BC20" s="49">
        <f>IF($A20="","",IF(OR($C20="FRAME ONLY",$S20="BL"),0,IF($O20="Y",2,1)))</f>
        <v/>
      </c>
      <c r="BD20" s="51">
        <f>IF(OR(N($BC20)=0,$BA20=""),"",($BA20-2*EdgeClr-IF($BC20=2,MeetClr,0))/$BC20)</f>
        <v/>
      </c>
      <c r="BE20" s="51">
        <f>IF(OR(N($BC20)=0,$BB20=""),"",$BB20-HeadClr-Undercut)</f>
        <v/>
      </c>
      <c r="BF20" s="51">
        <f>IF($BA20="","",$BA20+2*FaceW+IF(N($Q20)&gt;0,($Q20+FaceW)*IF($R20="LR",2,1),0))</f>
        <v/>
      </c>
      <c r="BG20" s="51">
        <f>IF($BB20="","",$BB20+IF($AB20="Y",4,FaceW)+IF(N($P20)&gt;0,$P20+FaceW,0)+IF(OR($S20="4F",$S20="BL"),FaceW,0))</f>
        <v/>
      </c>
      <c r="BH20" s="51">
        <f>IF($BF20="","",$BF20+2*ROSide)</f>
        <v/>
      </c>
      <c r="BI20" s="51">
        <f>IF($BG20="","",$BG20+ROTop)</f>
        <v/>
      </c>
      <c r="BJ20" s="52">
        <f>IF(OR(N($BC20)=0,$BA20=""),"",$BA20/$BC20-ClearDeduct)</f>
        <v/>
      </c>
      <c r="BK20" s="49">
        <f>IF(OR(N($BC20)=0,$BE20=""),"",IF(OR($AC20="HGC",$AP20="HGC"),"CONT",IF($BE20&lt;=60,2,IF($BE20&lt;=90,3,IF($BE20&lt;=120,4,5)))))</f>
        <v/>
      </c>
      <c r="BL20" s="49">
        <f>IF(N($BC20)=0,"",IF(OR($AL20="",$AL20="FLUSH"),"FLUSH",IFERROR(LEFT($AL20,FIND("-",$AL20)-1),LEFT($AL20,2))))</f>
        <v/>
      </c>
      <c r="BM20" s="49">
        <f>IF($BL20="","",IFERROR(VALUE(MID($AL20,FIND("-",$AL20)+1,FIND(CHAR(34)&amp;"x",$AL20)-FIND("-",$AL20)-1)),0))</f>
        <v/>
      </c>
      <c r="BN20" s="49">
        <f>IF($BL20="","",IFERROR(VALUE(MID($AL20,FIND(CHAR(34)&amp;"x",$AL20)+2,FIND(CHAR(34),$AL20,FIND(CHAR(34)&amp;"x",$AL20)+2)-FIND(CHAR(34)&amp;"x",$AL20)-2)),0))</f>
        <v/>
      </c>
      <c r="BO20" s="53">
        <f>IF(OR($A20="",$H20="",$H20="NO LAB"),0,IFERROR(VALUE(LEFT($H20,FIND(" ",$H20)-1)),0))</f>
        <v/>
      </c>
      <c r="BP20" s="54">
        <f>IF(OR($A20="",$I20="",$I20="NON-RATED",N($J20)=0),"",IFERROR(VLOOKUP($I20&amp;"|"&amp;$J20,IBC,2,FALSE),"?"))</f>
        <v/>
      </c>
      <c r="BQ20" s="50">
        <f>IF(NOT(AND($A20&lt;&gt;"",$C20&lt;&gt;"DOOR ONLY")),"",TRIM(IFERROR(VLOOKUP($U20,CODES,2,FALSE),"")&amp;" "&amp;$AZ20&amp;" "&amp;IFERROR(VLOOKUP($Z20,CODES,2,FALSE),"")&amp;" "&amp;IFERROR(VLOOKUP($X20,CODES,2,FALSE),"")&amp;" "&amp;IFERROR(VLOOKUP($S20,CODES,2,FALSE),"")&amp;IF(N($P20)&gt;0," w/TRANSOM "&amp;$P20&amp;CHAR(34),"")&amp;IF(N($Q20)&gt;0," w/SIDELITE "&amp;$Q20&amp;CHAR(34)&amp;" "&amp;IF($R20="","R",$R20),"")&amp;IF($Y20="","  |  "," | "&amp;IFERROR(VLOOKUP($Y20,CODES,2,FALSE),"")&amp;" | ")&amp;IFERROR(VLOOKUP($AC20,CODES,2,FALSE),"")&amp;" "&amp;IFERROR(VLOOKUP($AD20,CODES,2,FALSE),"")&amp;IF(OR($AE20="",$AE20="-"),""," "&amp;$AE20)&amp;IF(OR($AF20="",$AF20="-"),""," "&amp;$AF20)&amp;IF($AB20="Y"," 4"&amp;CHAR(34)&amp;" HEAD","")&amp;" "&amp;IFERROR(VLOOKUP($H20,CODES,2,FALSE),"")))</f>
        <v/>
      </c>
      <c r="BR20" s="50">
        <f>IF(NOT(AND($A20&lt;&gt;"",N($BC20)&gt;0)),"",TRIM(IFERROR(VLOOKUP($AH20,CODES,2,FALSE),"")&amp;IF($AI20=""," "," "&amp;$AI20&amp;"GA ")&amp;$AZ20&amp;" "&amp;IF($AN20="",IFERROR(VLOOKUP($Z20,CODES,2,FALSE),""),IFERROR(VLOOKUP($AN20,CODES,2,FALSE),""))&amp;IF($BC20=2," PAIR","")&amp;" DOOR | "&amp;IF($AL20="","?",$AL20)&amp;" | "&amp;IF($AP20="",IFERROR(VLOOKUP($AC20,CODES,2,FALSE),""),IFERROR(VLOOKUP($AP20,CODES,2,FALSE),""))&amp;" "&amp;IFERROR(VLOOKUP($AQ20,CODES,2,FALSE),"")&amp;IF(OR($AR20="",$AR20="-"),""," SEAM "&amp;$AR20)&amp;IF($AS20="Y"," ASTRAGAL","")&amp;IF($AJ20=""," "," "&amp;$AJ20)&amp;IF($AK20=""," "," "&amp;$AK20)&amp;IF($AO20="",""," "&amp;$AO20)&amp;IF($AM20=""," "," SERIES "&amp;$AM20)&amp;" "&amp;IFERROR(VLOOKUP($H20,CODES,2,FALSE),"")))</f>
        <v/>
      </c>
      <c r="BS20" s="49">
        <f>IF(BV20="","",IF(COUNTIF($BV$6:BV20,BV20)=1,MAX($BS$5:BS19)+1,INDEX($BS$5:BS19,MATCH(BV20,$BV$5:BV19,0))))</f>
        <v/>
      </c>
      <c r="BT20" s="49">
        <f>IF(NOT(AND($A20&lt;&gt;"",$C20&lt;&gt;"DOOR ONLY")),"",MAX($BT$5:BT19)+1)</f>
        <v/>
      </c>
      <c r="BU20" s="49">
        <f>IF(NOT(AND($A20&lt;&gt;"",N($BC20)&gt;0)),"",MAX($BU$5:BU19)+1)</f>
        <v/>
      </c>
      <c r="BV20" s="49">
        <f>IF(OR($A20="",$BA20="",$BB20=""),"",$AZ20&amp;"|"&amp;$O20&amp;"|"&amp;$AL20&amp;"|"&amp;$S20&amp;"|"&amp;$P20&amp;"|"&amp;$Q20&amp;$R20&amp;"|"&amp;$C20&amp;"|"&amp;$AB20)</f>
        <v/>
      </c>
      <c r="BW20" s="49">
        <f>IF($A20="","",IF($B20="","qty, ","")&amp;IF($C20="","scope, ","")&amp;IF(OR($K20="",$M20=""),"size, ","")&amp;IF(AND($A20&lt;&gt;"",$C20&lt;&gt;"DOOR ONLY"),IF($U20="","jamb depth, ","")&amp;IF($X20="","construction, ","")&amp;IF($Y20="","anchor, ","")&amp;IF($S20="","frame type, ",""),"")&amp;IF(AND(N($BC20)&gt;0,$Z20=""),"hand, ","")&amp;IF(N($BC20)&gt;0,IF($AH20="","door material, ","")&amp;IF($AL20="","face type, ","")&amp;IF($AQ20="","lock prep, ","")&amp;IF(AND($AP20="",$AC20=""),"hinge prep, ",""),"")&amp;IF(AND($BO20&gt;0,$AH20="FRP"),"FRP cannot carry a label, ","")&amp;IF(AND($O20="Y",OR($Z20="L",$Z20="R",$Z20="LR",$Z20="RR")),"pair marked but hand is single, ","")&amp;IF(AND($O20&lt;&gt;"Y",OR($Z20="PR",AND(LEN($Z20)&gt;1,ISNUMBER(SEARCH("-",$Z20))))),"pair hand on a single door, ","")&amp;IF(AND(ISNUMBER($BP20),$BO20&lt;N($BP20)),"wall needs a "&amp;$BP20&amp;" min door, ","")&amp;IF(AND($BO20&gt;=180,AND(OR($BL20="FG",$BL20="HG",$BL20="FNV",$BL20="FV"),N($BM20)*N($BN20)&gt;100)),"180 min lite over 100 sq in, ","")&amp;IF(N($BD20)&gt;48,"leaf wider than 4'-0"&amp;CHAR(34)&amp;", ",""))</f>
        <v/>
      </c>
      <c r="BX20" s="49">
        <f>IF($A20="","",IF(AND($BO20&gt;0,AND($A20&lt;&gt;"",$C20&lt;&gt;"DOOR ONLY"),$X20="KD",$E20="EXTERIOR"),"KD label on an exterior opening, ","")&amp;IF(AND($E20="EXTERIOR",OR(AND(AND($A20&lt;&gt;"",$C20&lt;&gt;"DOOR ONLY"),$W20="CR"),AND(N($BC20)&gt;0,$AH20="CR"))),"exterior in CR steel (G9?), ","")&amp;IF(AND(ISNUMBER($BJ20),N($BJ20)&lt;32),"clear width ~"&amp;TEXT($BJ20,"0.0")&amp;CHAR(34)&amp;" under 32"&amp;CHAR(34)&amp;" (ADA), ","")&amp;IF(AND($BO20=90,AND(OR($BL20="FG",$BL20="HG",$BL20="FNV",$BL20="FV"),N($BM20)*N($BN20)&gt;100)),"90 min lite over 100 sq in (stair/exit), ","")&amp;IF(AND($BO20&gt;0,AND($A20&lt;&gt;"",$C20&lt;&gt;"DOOR ONLY"),OR($AF20="",$AF20="-")),"rated: closer reinf.?, ","")&amp;IF(OR($I20="CORRIDOR",$I20="SMOKE BARRIER"),"S label + smoke gasketing, ","")&amp;IF($BP20="?","wall type/hr not in IBC table, ","")&amp;IF(AND(N($BC20)&gt;0,$AU20=""),"no hardware set, ","")&amp;IF(AND($AU20&lt;&gt;"",ISNA(MATCH($AU20,HWSets,0))),"set "&amp;$AU20&amp;" not on Hardware sheet, ","")&amp;IF(N($BE20)&gt;96,"leaf over 8'-0"&amp;CHAR(34)&amp;" - check listing, ",""))</f>
        <v/>
      </c>
    </row>
    <row r="21" ht="15" customHeight="1">
      <c r="A21" s="44" t="n"/>
      <c r="B21" s="45" t="n"/>
      <c r="C21" s="45" t="n"/>
      <c r="D21" s="45" t="n"/>
      <c r="E21" s="45" t="n"/>
      <c r="F21" s="45" t="n"/>
      <c r="G21" s="45" t="n"/>
      <c r="H21" s="45" t="n"/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6" t="n"/>
      <c r="T21" s="46" t="n"/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46" t="n"/>
      <c r="AE21" s="46" t="n"/>
      <c r="AF21" s="46" t="n"/>
      <c r="AG21" s="46" t="n"/>
      <c r="AH21" s="47" t="n"/>
      <c r="AI21" s="47" t="n"/>
      <c r="AJ21" s="47" t="n"/>
      <c r="AK21" s="47" t="n"/>
      <c r="AL21" s="47" t="n"/>
      <c r="AM21" s="47" t="n"/>
      <c r="AN21" s="47" t="n"/>
      <c r="AO21" s="47" t="n"/>
      <c r="AP21" s="47" t="n"/>
      <c r="AQ21" s="47" t="n"/>
      <c r="AR21" s="47" t="n"/>
      <c r="AS21" s="47" t="n"/>
      <c r="AT21" s="47" t="n"/>
      <c r="AU21" s="48" t="n"/>
      <c r="AV21" s="48" t="n"/>
      <c r="AW21" s="49">
        <f>IF($A21="","",IF($BW21&lt;&gt;"","FIX",IF($BX21&lt;&gt;"","CHECK","OK")))</f>
        <v/>
      </c>
      <c r="AX21" s="50">
        <f>IF($A21="","",IF($BW21&lt;&gt;"","FIX: "&amp;LEFT($BW21,LEN($BW21)-2)&amp;IF($BX21&lt;&gt;"","  ·  ",""),"")&amp;IF($BX21&lt;&gt;"","CHECK: "&amp;LEFT($BX21,LEN($BX21)-2),""))</f>
        <v/>
      </c>
      <c r="AY21" s="49">
        <f>IF(OR($A21="",$K21=""),"",$K21&amp;"'-"&amp;N($L21)&amp;CHAR(34)&amp;" x "&amp;$M21&amp;"'-"&amp;N($N21)&amp;CHAR(34))</f>
        <v/>
      </c>
      <c r="AZ21" s="49">
        <f>IF(OR($A21="",$K21=""),"",$K21&amp;N($L21)&amp;$M21&amp;N($N21))</f>
        <v/>
      </c>
      <c r="BA21" s="49">
        <f>IF(OR($A21="",$K21=""),"",$K21*12+N($L21))</f>
        <v/>
      </c>
      <c r="BB21" s="49">
        <f>IF(OR($A21="",$M21=""),"",$M21*12+N($N21))</f>
        <v/>
      </c>
      <c r="BC21" s="49">
        <f>IF($A21="","",IF(OR($C21="FRAME ONLY",$S21="BL"),0,IF($O21="Y",2,1)))</f>
        <v/>
      </c>
      <c r="BD21" s="51">
        <f>IF(OR(N($BC21)=0,$BA21=""),"",($BA21-2*EdgeClr-IF($BC21=2,MeetClr,0))/$BC21)</f>
        <v/>
      </c>
      <c r="BE21" s="51">
        <f>IF(OR(N($BC21)=0,$BB21=""),"",$BB21-HeadClr-Undercut)</f>
        <v/>
      </c>
      <c r="BF21" s="51">
        <f>IF($BA21="","",$BA21+2*FaceW+IF(N($Q21)&gt;0,($Q21+FaceW)*IF($R21="LR",2,1),0))</f>
        <v/>
      </c>
      <c r="BG21" s="51">
        <f>IF($BB21="","",$BB21+IF($AB21="Y",4,FaceW)+IF(N($P21)&gt;0,$P21+FaceW,0)+IF(OR($S21="4F",$S21="BL"),FaceW,0))</f>
        <v/>
      </c>
      <c r="BH21" s="51">
        <f>IF($BF21="","",$BF21+2*ROSide)</f>
        <v/>
      </c>
      <c r="BI21" s="51">
        <f>IF($BG21="","",$BG21+ROTop)</f>
        <v/>
      </c>
      <c r="BJ21" s="52">
        <f>IF(OR(N($BC21)=0,$BA21=""),"",$BA21/$BC21-ClearDeduct)</f>
        <v/>
      </c>
      <c r="BK21" s="49">
        <f>IF(OR(N($BC21)=0,$BE21=""),"",IF(OR($AC21="HGC",$AP21="HGC"),"CONT",IF($BE21&lt;=60,2,IF($BE21&lt;=90,3,IF($BE21&lt;=120,4,5)))))</f>
        <v/>
      </c>
      <c r="BL21" s="49">
        <f>IF(N($BC21)=0,"",IF(OR($AL21="",$AL21="FLUSH"),"FLUSH",IFERROR(LEFT($AL21,FIND("-",$AL21)-1),LEFT($AL21,2))))</f>
        <v/>
      </c>
      <c r="BM21" s="49">
        <f>IF($BL21="","",IFERROR(VALUE(MID($AL21,FIND("-",$AL21)+1,FIND(CHAR(34)&amp;"x",$AL21)-FIND("-",$AL21)-1)),0))</f>
        <v/>
      </c>
      <c r="BN21" s="49">
        <f>IF($BL21="","",IFERROR(VALUE(MID($AL21,FIND(CHAR(34)&amp;"x",$AL21)+2,FIND(CHAR(34),$AL21,FIND(CHAR(34)&amp;"x",$AL21)+2)-FIND(CHAR(34)&amp;"x",$AL21)-2)),0))</f>
        <v/>
      </c>
      <c r="BO21" s="53">
        <f>IF(OR($A21="",$H21="",$H21="NO LAB"),0,IFERROR(VALUE(LEFT($H21,FIND(" ",$H21)-1)),0))</f>
        <v/>
      </c>
      <c r="BP21" s="54">
        <f>IF(OR($A21="",$I21="",$I21="NON-RATED",N($J21)=0),"",IFERROR(VLOOKUP($I21&amp;"|"&amp;$J21,IBC,2,FALSE),"?"))</f>
        <v/>
      </c>
      <c r="BQ21" s="50">
        <f>IF(NOT(AND($A21&lt;&gt;"",$C21&lt;&gt;"DOOR ONLY")),"",TRIM(IFERROR(VLOOKUP($U21,CODES,2,FALSE),"")&amp;" "&amp;$AZ21&amp;" "&amp;IFERROR(VLOOKUP($Z21,CODES,2,FALSE),"")&amp;" "&amp;IFERROR(VLOOKUP($X21,CODES,2,FALSE),"")&amp;" "&amp;IFERROR(VLOOKUP($S21,CODES,2,FALSE),"")&amp;IF(N($P21)&gt;0," w/TRANSOM "&amp;$P21&amp;CHAR(34),"")&amp;IF(N($Q21)&gt;0," w/SIDELITE "&amp;$Q21&amp;CHAR(34)&amp;" "&amp;IF($R21="","R",$R21),"")&amp;IF($Y21="","  |  "," | "&amp;IFERROR(VLOOKUP($Y21,CODES,2,FALSE),"")&amp;" | ")&amp;IFERROR(VLOOKUP($AC21,CODES,2,FALSE),"")&amp;" "&amp;IFERROR(VLOOKUP($AD21,CODES,2,FALSE),"")&amp;IF(OR($AE21="",$AE21="-"),""," "&amp;$AE21)&amp;IF(OR($AF21="",$AF21="-"),""," "&amp;$AF21)&amp;IF($AB21="Y"," 4"&amp;CHAR(34)&amp;" HEAD","")&amp;" "&amp;IFERROR(VLOOKUP($H21,CODES,2,FALSE),"")))</f>
        <v/>
      </c>
      <c r="BR21" s="50">
        <f>IF(NOT(AND($A21&lt;&gt;"",N($BC21)&gt;0)),"",TRIM(IFERROR(VLOOKUP($AH21,CODES,2,FALSE),"")&amp;IF($AI21=""," "," "&amp;$AI21&amp;"GA ")&amp;$AZ21&amp;" "&amp;IF($AN21="",IFERROR(VLOOKUP($Z21,CODES,2,FALSE),""),IFERROR(VLOOKUP($AN21,CODES,2,FALSE),""))&amp;IF($BC21=2," PAIR","")&amp;" DOOR | "&amp;IF($AL21="","?",$AL21)&amp;" | "&amp;IF($AP21="",IFERROR(VLOOKUP($AC21,CODES,2,FALSE),""),IFERROR(VLOOKUP($AP21,CODES,2,FALSE),""))&amp;" "&amp;IFERROR(VLOOKUP($AQ21,CODES,2,FALSE),"")&amp;IF(OR($AR21="",$AR21="-"),""," SEAM "&amp;$AR21)&amp;IF($AS21="Y"," ASTRAGAL","")&amp;IF($AJ21=""," "," "&amp;$AJ21)&amp;IF($AK21=""," "," "&amp;$AK21)&amp;IF($AO21="",""," "&amp;$AO21)&amp;IF($AM21=""," "," SERIES "&amp;$AM21)&amp;" "&amp;IFERROR(VLOOKUP($H21,CODES,2,FALSE),"")))</f>
        <v/>
      </c>
      <c r="BS21" s="49">
        <f>IF(BV21="","",IF(COUNTIF($BV$6:BV21,BV21)=1,MAX($BS$5:BS20)+1,INDEX($BS$5:BS20,MATCH(BV21,$BV$5:BV20,0))))</f>
        <v/>
      </c>
      <c r="BT21" s="49">
        <f>IF(NOT(AND($A21&lt;&gt;"",$C21&lt;&gt;"DOOR ONLY")),"",MAX($BT$5:BT20)+1)</f>
        <v/>
      </c>
      <c r="BU21" s="49">
        <f>IF(NOT(AND($A21&lt;&gt;"",N($BC21)&gt;0)),"",MAX($BU$5:BU20)+1)</f>
        <v/>
      </c>
      <c r="BV21" s="49">
        <f>IF(OR($A21="",$BA21="",$BB21=""),"",$AZ21&amp;"|"&amp;$O21&amp;"|"&amp;$AL21&amp;"|"&amp;$S21&amp;"|"&amp;$P21&amp;"|"&amp;$Q21&amp;$R21&amp;"|"&amp;$C21&amp;"|"&amp;$AB21)</f>
        <v/>
      </c>
      <c r="BW21" s="49">
        <f>IF($A21="","",IF($B21="","qty, ","")&amp;IF($C21="","scope, ","")&amp;IF(OR($K21="",$M21=""),"size, ","")&amp;IF(AND($A21&lt;&gt;"",$C21&lt;&gt;"DOOR ONLY"),IF($U21="","jamb depth, ","")&amp;IF($X21="","construction, ","")&amp;IF($Y21="","anchor, ","")&amp;IF($S21="","frame type, ",""),"")&amp;IF(AND(N($BC21)&gt;0,$Z21=""),"hand, ","")&amp;IF(N($BC21)&gt;0,IF($AH21="","door material, ","")&amp;IF($AL21="","face type, ","")&amp;IF($AQ21="","lock prep, ","")&amp;IF(AND($AP21="",$AC21=""),"hinge prep, ",""),"")&amp;IF(AND($BO21&gt;0,$AH21="FRP"),"FRP cannot carry a label, ","")&amp;IF(AND($O21="Y",OR($Z21="L",$Z21="R",$Z21="LR",$Z21="RR")),"pair marked but hand is single, ","")&amp;IF(AND($O21&lt;&gt;"Y",OR($Z21="PR",AND(LEN($Z21)&gt;1,ISNUMBER(SEARCH("-",$Z21))))),"pair hand on a single door, ","")&amp;IF(AND(ISNUMBER($BP21),$BO21&lt;N($BP21)),"wall needs a "&amp;$BP21&amp;" min door, ","")&amp;IF(AND($BO21&gt;=180,AND(OR($BL21="FG",$BL21="HG",$BL21="FNV",$BL21="FV"),N($BM21)*N($BN21)&gt;100)),"180 min lite over 100 sq in, ","")&amp;IF(N($BD21)&gt;48,"leaf wider than 4'-0"&amp;CHAR(34)&amp;", ",""))</f>
        <v/>
      </c>
      <c r="BX21" s="49">
        <f>IF($A21="","",IF(AND($BO21&gt;0,AND($A21&lt;&gt;"",$C21&lt;&gt;"DOOR ONLY"),$X21="KD",$E21="EXTERIOR"),"KD label on an exterior opening, ","")&amp;IF(AND($E21="EXTERIOR",OR(AND(AND($A21&lt;&gt;"",$C21&lt;&gt;"DOOR ONLY"),$W21="CR"),AND(N($BC21)&gt;0,$AH21="CR"))),"exterior in CR steel (G9?), ","")&amp;IF(AND(ISNUMBER($BJ21),N($BJ21)&lt;32),"clear width ~"&amp;TEXT($BJ21,"0.0")&amp;CHAR(34)&amp;" under 32"&amp;CHAR(34)&amp;" (ADA), ","")&amp;IF(AND($BO21=90,AND(OR($BL21="FG",$BL21="HG",$BL21="FNV",$BL21="FV"),N($BM21)*N($BN21)&gt;100)),"90 min lite over 100 sq in (stair/exit), ","")&amp;IF(AND($BO21&gt;0,AND($A21&lt;&gt;"",$C21&lt;&gt;"DOOR ONLY"),OR($AF21="",$AF21="-")),"rated: closer reinf.?, ","")&amp;IF(OR($I21="CORRIDOR",$I21="SMOKE BARRIER"),"S label + smoke gasketing, ","")&amp;IF($BP21="?","wall type/hr not in IBC table, ","")&amp;IF(AND(N($BC21)&gt;0,$AU21=""),"no hardware set, ","")&amp;IF(AND($AU21&lt;&gt;"",ISNA(MATCH($AU21,HWSets,0))),"set "&amp;$AU21&amp;" not on Hardware sheet, ","")&amp;IF(N($BE21)&gt;96,"leaf over 8'-0"&amp;CHAR(34)&amp;" - check listing, ",""))</f>
        <v/>
      </c>
    </row>
    <row r="22" ht="15" customHeight="1">
      <c r="A22" s="44" t="n"/>
      <c r="B22" s="45" t="n"/>
      <c r="C22" s="45" t="n"/>
      <c r="D22" s="45" t="n"/>
      <c r="E22" s="45" t="n"/>
      <c r="F22" s="45" t="n"/>
      <c r="G22" s="45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6" t="n"/>
      <c r="T22" s="46" t="n"/>
      <c r="U22" s="46" t="n"/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47" t="n"/>
      <c r="AI22" s="47" t="n"/>
      <c r="AJ22" s="47" t="n"/>
      <c r="AK22" s="47" t="n"/>
      <c r="AL22" s="47" t="n"/>
      <c r="AM22" s="47" t="n"/>
      <c r="AN22" s="47" t="n"/>
      <c r="AO22" s="47" t="n"/>
      <c r="AP22" s="47" t="n"/>
      <c r="AQ22" s="47" t="n"/>
      <c r="AR22" s="47" t="n"/>
      <c r="AS22" s="47" t="n"/>
      <c r="AT22" s="47" t="n"/>
      <c r="AU22" s="48" t="n"/>
      <c r="AV22" s="48" t="n"/>
      <c r="AW22" s="49">
        <f>IF($A22="","",IF($BW22&lt;&gt;"","FIX",IF($BX22&lt;&gt;"","CHECK","OK")))</f>
        <v/>
      </c>
      <c r="AX22" s="50">
        <f>IF($A22="","",IF($BW22&lt;&gt;"","FIX: "&amp;LEFT($BW22,LEN($BW22)-2)&amp;IF($BX22&lt;&gt;"","  ·  ",""),"")&amp;IF($BX22&lt;&gt;"","CHECK: "&amp;LEFT($BX22,LEN($BX22)-2),""))</f>
        <v/>
      </c>
      <c r="AY22" s="49">
        <f>IF(OR($A22="",$K22=""),"",$K22&amp;"'-"&amp;N($L22)&amp;CHAR(34)&amp;" x "&amp;$M22&amp;"'-"&amp;N($N22)&amp;CHAR(34))</f>
        <v/>
      </c>
      <c r="AZ22" s="49">
        <f>IF(OR($A22="",$K22=""),"",$K22&amp;N($L22)&amp;$M22&amp;N($N22))</f>
        <v/>
      </c>
      <c r="BA22" s="49">
        <f>IF(OR($A22="",$K22=""),"",$K22*12+N($L22))</f>
        <v/>
      </c>
      <c r="BB22" s="49">
        <f>IF(OR($A22="",$M22=""),"",$M22*12+N($N22))</f>
        <v/>
      </c>
      <c r="BC22" s="49">
        <f>IF($A22="","",IF(OR($C22="FRAME ONLY",$S22="BL"),0,IF($O22="Y",2,1)))</f>
        <v/>
      </c>
      <c r="BD22" s="51">
        <f>IF(OR(N($BC22)=0,$BA22=""),"",($BA22-2*EdgeClr-IF($BC22=2,MeetClr,0))/$BC22)</f>
        <v/>
      </c>
      <c r="BE22" s="51">
        <f>IF(OR(N($BC22)=0,$BB22=""),"",$BB22-HeadClr-Undercut)</f>
        <v/>
      </c>
      <c r="BF22" s="51">
        <f>IF($BA22="","",$BA22+2*FaceW+IF(N($Q22)&gt;0,($Q22+FaceW)*IF($R22="LR",2,1),0))</f>
        <v/>
      </c>
      <c r="BG22" s="51">
        <f>IF($BB22="","",$BB22+IF($AB22="Y",4,FaceW)+IF(N($P22)&gt;0,$P22+FaceW,0)+IF(OR($S22="4F",$S22="BL"),FaceW,0))</f>
        <v/>
      </c>
      <c r="BH22" s="51">
        <f>IF($BF22="","",$BF22+2*ROSide)</f>
        <v/>
      </c>
      <c r="BI22" s="51">
        <f>IF($BG22="","",$BG22+ROTop)</f>
        <v/>
      </c>
      <c r="BJ22" s="52">
        <f>IF(OR(N($BC22)=0,$BA22=""),"",$BA22/$BC22-ClearDeduct)</f>
        <v/>
      </c>
      <c r="BK22" s="49">
        <f>IF(OR(N($BC22)=0,$BE22=""),"",IF(OR($AC22="HGC",$AP22="HGC"),"CONT",IF($BE22&lt;=60,2,IF($BE22&lt;=90,3,IF($BE22&lt;=120,4,5)))))</f>
        <v/>
      </c>
      <c r="BL22" s="49">
        <f>IF(N($BC22)=0,"",IF(OR($AL22="",$AL22="FLUSH"),"FLUSH",IFERROR(LEFT($AL22,FIND("-",$AL22)-1),LEFT($AL22,2))))</f>
        <v/>
      </c>
      <c r="BM22" s="49">
        <f>IF($BL22="","",IFERROR(VALUE(MID($AL22,FIND("-",$AL22)+1,FIND(CHAR(34)&amp;"x",$AL22)-FIND("-",$AL22)-1)),0))</f>
        <v/>
      </c>
      <c r="BN22" s="49">
        <f>IF($BL22="","",IFERROR(VALUE(MID($AL22,FIND(CHAR(34)&amp;"x",$AL22)+2,FIND(CHAR(34),$AL22,FIND(CHAR(34)&amp;"x",$AL22)+2)-FIND(CHAR(34)&amp;"x",$AL22)-2)),0))</f>
        <v/>
      </c>
      <c r="BO22" s="53">
        <f>IF(OR($A22="",$H22="",$H22="NO LAB"),0,IFERROR(VALUE(LEFT($H22,FIND(" ",$H22)-1)),0))</f>
        <v/>
      </c>
      <c r="BP22" s="54">
        <f>IF(OR($A22="",$I22="",$I22="NON-RATED",N($J22)=0),"",IFERROR(VLOOKUP($I22&amp;"|"&amp;$J22,IBC,2,FALSE),"?"))</f>
        <v/>
      </c>
      <c r="BQ22" s="50">
        <f>IF(NOT(AND($A22&lt;&gt;"",$C22&lt;&gt;"DOOR ONLY")),"",TRIM(IFERROR(VLOOKUP($U22,CODES,2,FALSE),"")&amp;" "&amp;$AZ22&amp;" "&amp;IFERROR(VLOOKUP($Z22,CODES,2,FALSE),"")&amp;" "&amp;IFERROR(VLOOKUP($X22,CODES,2,FALSE),"")&amp;" "&amp;IFERROR(VLOOKUP($S22,CODES,2,FALSE),"")&amp;IF(N($P22)&gt;0," w/TRANSOM "&amp;$P22&amp;CHAR(34),"")&amp;IF(N($Q22)&gt;0," w/SIDELITE "&amp;$Q22&amp;CHAR(34)&amp;" "&amp;IF($R22="","R",$R22),"")&amp;IF($Y22="","  |  "," | "&amp;IFERROR(VLOOKUP($Y22,CODES,2,FALSE),"")&amp;" | ")&amp;IFERROR(VLOOKUP($AC22,CODES,2,FALSE),"")&amp;" "&amp;IFERROR(VLOOKUP($AD22,CODES,2,FALSE),"")&amp;IF(OR($AE22="",$AE22="-"),""," "&amp;$AE22)&amp;IF(OR($AF22="",$AF22="-"),""," "&amp;$AF22)&amp;IF($AB22="Y"," 4"&amp;CHAR(34)&amp;" HEAD","")&amp;" "&amp;IFERROR(VLOOKUP($H22,CODES,2,FALSE),"")))</f>
        <v/>
      </c>
      <c r="BR22" s="50">
        <f>IF(NOT(AND($A22&lt;&gt;"",N($BC22)&gt;0)),"",TRIM(IFERROR(VLOOKUP($AH22,CODES,2,FALSE),"")&amp;IF($AI22=""," "," "&amp;$AI22&amp;"GA ")&amp;$AZ22&amp;" "&amp;IF($AN22="",IFERROR(VLOOKUP($Z22,CODES,2,FALSE),""),IFERROR(VLOOKUP($AN22,CODES,2,FALSE),""))&amp;IF($BC22=2," PAIR","")&amp;" DOOR | "&amp;IF($AL22="","?",$AL22)&amp;" | "&amp;IF($AP22="",IFERROR(VLOOKUP($AC22,CODES,2,FALSE),""),IFERROR(VLOOKUP($AP22,CODES,2,FALSE),""))&amp;" "&amp;IFERROR(VLOOKUP($AQ22,CODES,2,FALSE),"")&amp;IF(OR($AR22="",$AR22="-"),""," SEAM "&amp;$AR22)&amp;IF($AS22="Y"," ASTRAGAL","")&amp;IF($AJ22=""," "," "&amp;$AJ22)&amp;IF($AK22=""," "," "&amp;$AK22)&amp;IF($AO22="",""," "&amp;$AO22)&amp;IF($AM22=""," "," SERIES "&amp;$AM22)&amp;" "&amp;IFERROR(VLOOKUP($H22,CODES,2,FALSE),"")))</f>
        <v/>
      </c>
      <c r="BS22" s="49">
        <f>IF(BV22="","",IF(COUNTIF($BV$6:BV22,BV22)=1,MAX($BS$5:BS21)+1,INDEX($BS$5:BS21,MATCH(BV22,$BV$5:BV21,0))))</f>
        <v/>
      </c>
      <c r="BT22" s="49">
        <f>IF(NOT(AND($A22&lt;&gt;"",$C22&lt;&gt;"DOOR ONLY")),"",MAX($BT$5:BT21)+1)</f>
        <v/>
      </c>
      <c r="BU22" s="49">
        <f>IF(NOT(AND($A22&lt;&gt;"",N($BC22)&gt;0)),"",MAX($BU$5:BU21)+1)</f>
        <v/>
      </c>
      <c r="BV22" s="49">
        <f>IF(OR($A22="",$BA22="",$BB22=""),"",$AZ22&amp;"|"&amp;$O22&amp;"|"&amp;$AL22&amp;"|"&amp;$S22&amp;"|"&amp;$P22&amp;"|"&amp;$Q22&amp;$R22&amp;"|"&amp;$C22&amp;"|"&amp;$AB22)</f>
        <v/>
      </c>
      <c r="BW22" s="49">
        <f>IF($A22="","",IF($B22="","qty, ","")&amp;IF($C22="","scope, ","")&amp;IF(OR($K22="",$M22=""),"size, ","")&amp;IF(AND($A22&lt;&gt;"",$C22&lt;&gt;"DOOR ONLY"),IF($U22="","jamb depth, ","")&amp;IF($X22="","construction, ","")&amp;IF($Y22="","anchor, ","")&amp;IF($S22="","frame type, ",""),"")&amp;IF(AND(N($BC22)&gt;0,$Z22=""),"hand, ","")&amp;IF(N($BC22)&gt;0,IF($AH22="","door material, ","")&amp;IF($AL22="","face type, ","")&amp;IF($AQ22="","lock prep, ","")&amp;IF(AND($AP22="",$AC22=""),"hinge prep, ",""),"")&amp;IF(AND($BO22&gt;0,$AH22="FRP"),"FRP cannot carry a label, ","")&amp;IF(AND($O22="Y",OR($Z22="L",$Z22="R",$Z22="LR",$Z22="RR")),"pair marked but hand is single, ","")&amp;IF(AND($O22&lt;&gt;"Y",OR($Z22="PR",AND(LEN($Z22)&gt;1,ISNUMBER(SEARCH("-",$Z22))))),"pair hand on a single door, ","")&amp;IF(AND(ISNUMBER($BP22),$BO22&lt;N($BP22)),"wall needs a "&amp;$BP22&amp;" min door, ","")&amp;IF(AND($BO22&gt;=180,AND(OR($BL22="FG",$BL22="HG",$BL22="FNV",$BL22="FV"),N($BM22)*N($BN22)&gt;100)),"180 min lite over 100 sq in, ","")&amp;IF(N($BD22)&gt;48,"leaf wider than 4'-0"&amp;CHAR(34)&amp;", ",""))</f>
        <v/>
      </c>
      <c r="BX22" s="49">
        <f>IF($A22="","",IF(AND($BO22&gt;0,AND($A22&lt;&gt;"",$C22&lt;&gt;"DOOR ONLY"),$X22="KD",$E22="EXTERIOR"),"KD label on an exterior opening, ","")&amp;IF(AND($E22="EXTERIOR",OR(AND(AND($A22&lt;&gt;"",$C22&lt;&gt;"DOOR ONLY"),$W22="CR"),AND(N($BC22)&gt;0,$AH22="CR"))),"exterior in CR steel (G9?), ","")&amp;IF(AND(ISNUMBER($BJ22),N($BJ22)&lt;32),"clear width ~"&amp;TEXT($BJ22,"0.0")&amp;CHAR(34)&amp;" under 32"&amp;CHAR(34)&amp;" (ADA), ","")&amp;IF(AND($BO22=90,AND(OR($BL22="FG",$BL22="HG",$BL22="FNV",$BL22="FV"),N($BM22)*N($BN22)&gt;100)),"90 min lite over 100 sq in (stair/exit), ","")&amp;IF(AND($BO22&gt;0,AND($A22&lt;&gt;"",$C22&lt;&gt;"DOOR ONLY"),OR($AF22="",$AF22="-")),"rated: closer reinf.?, ","")&amp;IF(OR($I22="CORRIDOR",$I22="SMOKE BARRIER"),"S label + smoke gasketing, ","")&amp;IF($BP22="?","wall type/hr not in IBC table, ","")&amp;IF(AND(N($BC22)&gt;0,$AU22=""),"no hardware set, ","")&amp;IF(AND($AU22&lt;&gt;"",ISNA(MATCH($AU22,HWSets,0))),"set "&amp;$AU22&amp;" not on Hardware sheet, ","")&amp;IF(N($BE22)&gt;96,"leaf over 8'-0"&amp;CHAR(34)&amp;" - check listing, ",""))</f>
        <v/>
      </c>
    </row>
    <row r="23" ht="15" customHeight="1">
      <c r="A23" s="44" t="n"/>
      <c r="B23" s="45" t="n"/>
      <c r="C23" s="45" t="n"/>
      <c r="D23" s="45" t="n"/>
      <c r="E23" s="45" t="n"/>
      <c r="F23" s="45" t="n"/>
      <c r="G23" s="45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6" t="n"/>
      <c r="T23" s="46" t="n"/>
      <c r="U23" s="46" t="n"/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  <c r="AG23" s="46" t="n"/>
      <c r="AH23" s="47" t="n"/>
      <c r="AI23" s="47" t="n"/>
      <c r="AJ23" s="47" t="n"/>
      <c r="AK23" s="47" t="n"/>
      <c r="AL23" s="47" t="n"/>
      <c r="AM23" s="47" t="n"/>
      <c r="AN23" s="47" t="n"/>
      <c r="AO23" s="47" t="n"/>
      <c r="AP23" s="47" t="n"/>
      <c r="AQ23" s="47" t="n"/>
      <c r="AR23" s="47" t="n"/>
      <c r="AS23" s="47" t="n"/>
      <c r="AT23" s="47" t="n"/>
      <c r="AU23" s="48" t="n"/>
      <c r="AV23" s="48" t="n"/>
      <c r="AW23" s="49">
        <f>IF($A23="","",IF($BW23&lt;&gt;"","FIX",IF($BX23&lt;&gt;"","CHECK","OK")))</f>
        <v/>
      </c>
      <c r="AX23" s="50">
        <f>IF($A23="","",IF($BW23&lt;&gt;"","FIX: "&amp;LEFT($BW23,LEN($BW23)-2)&amp;IF($BX23&lt;&gt;"","  ·  ",""),"")&amp;IF($BX23&lt;&gt;"","CHECK: "&amp;LEFT($BX23,LEN($BX23)-2),""))</f>
        <v/>
      </c>
      <c r="AY23" s="49">
        <f>IF(OR($A23="",$K23=""),"",$K23&amp;"'-"&amp;N($L23)&amp;CHAR(34)&amp;" x "&amp;$M23&amp;"'-"&amp;N($N23)&amp;CHAR(34))</f>
        <v/>
      </c>
      <c r="AZ23" s="49">
        <f>IF(OR($A23="",$K23=""),"",$K23&amp;N($L23)&amp;$M23&amp;N($N23))</f>
        <v/>
      </c>
      <c r="BA23" s="49">
        <f>IF(OR($A23="",$K23=""),"",$K23*12+N($L23))</f>
        <v/>
      </c>
      <c r="BB23" s="49">
        <f>IF(OR($A23="",$M23=""),"",$M23*12+N($N23))</f>
        <v/>
      </c>
      <c r="BC23" s="49">
        <f>IF($A23="","",IF(OR($C23="FRAME ONLY",$S23="BL"),0,IF($O23="Y",2,1)))</f>
        <v/>
      </c>
      <c r="BD23" s="51">
        <f>IF(OR(N($BC23)=0,$BA23=""),"",($BA23-2*EdgeClr-IF($BC23=2,MeetClr,0))/$BC23)</f>
        <v/>
      </c>
      <c r="BE23" s="51">
        <f>IF(OR(N($BC23)=0,$BB23=""),"",$BB23-HeadClr-Undercut)</f>
        <v/>
      </c>
      <c r="BF23" s="51">
        <f>IF($BA23="","",$BA23+2*FaceW+IF(N($Q23)&gt;0,($Q23+FaceW)*IF($R23="LR",2,1),0))</f>
        <v/>
      </c>
      <c r="BG23" s="51">
        <f>IF($BB23="","",$BB23+IF($AB23="Y",4,FaceW)+IF(N($P23)&gt;0,$P23+FaceW,0)+IF(OR($S23="4F",$S23="BL"),FaceW,0))</f>
        <v/>
      </c>
      <c r="BH23" s="51">
        <f>IF($BF23="","",$BF23+2*ROSide)</f>
        <v/>
      </c>
      <c r="BI23" s="51">
        <f>IF($BG23="","",$BG23+ROTop)</f>
        <v/>
      </c>
      <c r="BJ23" s="52">
        <f>IF(OR(N($BC23)=0,$BA23=""),"",$BA23/$BC23-ClearDeduct)</f>
        <v/>
      </c>
      <c r="BK23" s="49">
        <f>IF(OR(N($BC23)=0,$BE23=""),"",IF(OR($AC23="HGC",$AP23="HGC"),"CONT",IF($BE23&lt;=60,2,IF($BE23&lt;=90,3,IF($BE23&lt;=120,4,5)))))</f>
        <v/>
      </c>
      <c r="BL23" s="49">
        <f>IF(N($BC23)=0,"",IF(OR($AL23="",$AL23="FLUSH"),"FLUSH",IFERROR(LEFT($AL23,FIND("-",$AL23)-1),LEFT($AL23,2))))</f>
        <v/>
      </c>
      <c r="BM23" s="49">
        <f>IF($BL23="","",IFERROR(VALUE(MID($AL23,FIND("-",$AL23)+1,FIND(CHAR(34)&amp;"x",$AL23)-FIND("-",$AL23)-1)),0))</f>
        <v/>
      </c>
      <c r="BN23" s="49">
        <f>IF($BL23="","",IFERROR(VALUE(MID($AL23,FIND(CHAR(34)&amp;"x",$AL23)+2,FIND(CHAR(34),$AL23,FIND(CHAR(34)&amp;"x",$AL23)+2)-FIND(CHAR(34)&amp;"x",$AL23)-2)),0))</f>
        <v/>
      </c>
      <c r="BO23" s="53">
        <f>IF(OR($A23="",$H23="",$H23="NO LAB"),0,IFERROR(VALUE(LEFT($H23,FIND(" ",$H23)-1)),0))</f>
        <v/>
      </c>
      <c r="BP23" s="54">
        <f>IF(OR($A23="",$I23="",$I23="NON-RATED",N($J23)=0),"",IFERROR(VLOOKUP($I23&amp;"|"&amp;$J23,IBC,2,FALSE),"?"))</f>
        <v/>
      </c>
      <c r="BQ23" s="50">
        <f>IF(NOT(AND($A23&lt;&gt;"",$C23&lt;&gt;"DOOR ONLY")),"",TRIM(IFERROR(VLOOKUP($U23,CODES,2,FALSE),"")&amp;" "&amp;$AZ23&amp;" "&amp;IFERROR(VLOOKUP($Z23,CODES,2,FALSE),"")&amp;" "&amp;IFERROR(VLOOKUP($X23,CODES,2,FALSE),"")&amp;" "&amp;IFERROR(VLOOKUP($S23,CODES,2,FALSE),"")&amp;IF(N($P23)&gt;0," w/TRANSOM "&amp;$P23&amp;CHAR(34),"")&amp;IF(N($Q23)&gt;0," w/SIDELITE "&amp;$Q23&amp;CHAR(34)&amp;" "&amp;IF($R23="","R",$R23),"")&amp;IF($Y23="","  |  "," | "&amp;IFERROR(VLOOKUP($Y23,CODES,2,FALSE),"")&amp;" | ")&amp;IFERROR(VLOOKUP($AC23,CODES,2,FALSE),"")&amp;" "&amp;IFERROR(VLOOKUP($AD23,CODES,2,FALSE),"")&amp;IF(OR($AE23="",$AE23="-"),""," "&amp;$AE23)&amp;IF(OR($AF23="",$AF23="-"),""," "&amp;$AF23)&amp;IF($AB23="Y"," 4"&amp;CHAR(34)&amp;" HEAD","")&amp;" "&amp;IFERROR(VLOOKUP($H23,CODES,2,FALSE),"")))</f>
        <v/>
      </c>
      <c r="BR23" s="50">
        <f>IF(NOT(AND($A23&lt;&gt;"",N($BC23)&gt;0)),"",TRIM(IFERROR(VLOOKUP($AH23,CODES,2,FALSE),"")&amp;IF($AI23=""," "," "&amp;$AI23&amp;"GA ")&amp;$AZ23&amp;" "&amp;IF($AN23="",IFERROR(VLOOKUP($Z23,CODES,2,FALSE),""),IFERROR(VLOOKUP($AN23,CODES,2,FALSE),""))&amp;IF($BC23=2," PAIR","")&amp;" DOOR | "&amp;IF($AL23="","?",$AL23)&amp;" | "&amp;IF($AP23="",IFERROR(VLOOKUP($AC23,CODES,2,FALSE),""),IFERROR(VLOOKUP($AP23,CODES,2,FALSE),""))&amp;" "&amp;IFERROR(VLOOKUP($AQ23,CODES,2,FALSE),"")&amp;IF(OR($AR23="",$AR23="-"),""," SEAM "&amp;$AR23)&amp;IF($AS23="Y"," ASTRAGAL","")&amp;IF($AJ23=""," "," "&amp;$AJ23)&amp;IF($AK23=""," "," "&amp;$AK23)&amp;IF($AO23="",""," "&amp;$AO23)&amp;IF($AM23=""," "," SERIES "&amp;$AM23)&amp;" "&amp;IFERROR(VLOOKUP($H23,CODES,2,FALSE),"")))</f>
        <v/>
      </c>
      <c r="BS23" s="49">
        <f>IF(BV23="","",IF(COUNTIF($BV$6:BV23,BV23)=1,MAX($BS$5:BS22)+1,INDEX($BS$5:BS22,MATCH(BV23,$BV$5:BV22,0))))</f>
        <v/>
      </c>
      <c r="BT23" s="49">
        <f>IF(NOT(AND($A23&lt;&gt;"",$C23&lt;&gt;"DOOR ONLY")),"",MAX($BT$5:BT22)+1)</f>
        <v/>
      </c>
      <c r="BU23" s="49">
        <f>IF(NOT(AND($A23&lt;&gt;"",N($BC23)&gt;0)),"",MAX($BU$5:BU22)+1)</f>
        <v/>
      </c>
      <c r="BV23" s="49">
        <f>IF(OR($A23="",$BA23="",$BB23=""),"",$AZ23&amp;"|"&amp;$O23&amp;"|"&amp;$AL23&amp;"|"&amp;$S23&amp;"|"&amp;$P23&amp;"|"&amp;$Q23&amp;$R23&amp;"|"&amp;$C23&amp;"|"&amp;$AB23)</f>
        <v/>
      </c>
      <c r="BW23" s="49">
        <f>IF($A23="","",IF($B23="","qty, ","")&amp;IF($C23="","scope, ","")&amp;IF(OR($K23="",$M23=""),"size, ","")&amp;IF(AND($A23&lt;&gt;"",$C23&lt;&gt;"DOOR ONLY"),IF($U23="","jamb depth, ","")&amp;IF($X23="","construction, ","")&amp;IF($Y23="","anchor, ","")&amp;IF($S23="","frame type, ",""),"")&amp;IF(AND(N($BC23)&gt;0,$Z23=""),"hand, ","")&amp;IF(N($BC23)&gt;0,IF($AH23="","door material, ","")&amp;IF($AL23="","face type, ","")&amp;IF($AQ23="","lock prep, ","")&amp;IF(AND($AP23="",$AC23=""),"hinge prep, ",""),"")&amp;IF(AND($BO23&gt;0,$AH23="FRP"),"FRP cannot carry a label, ","")&amp;IF(AND($O23="Y",OR($Z23="L",$Z23="R",$Z23="LR",$Z23="RR")),"pair marked but hand is single, ","")&amp;IF(AND($O23&lt;&gt;"Y",OR($Z23="PR",AND(LEN($Z23)&gt;1,ISNUMBER(SEARCH("-",$Z23))))),"pair hand on a single door, ","")&amp;IF(AND(ISNUMBER($BP23),$BO23&lt;N($BP23)),"wall needs a "&amp;$BP23&amp;" min door, ","")&amp;IF(AND($BO23&gt;=180,AND(OR($BL23="FG",$BL23="HG",$BL23="FNV",$BL23="FV"),N($BM23)*N($BN23)&gt;100)),"180 min lite over 100 sq in, ","")&amp;IF(N($BD23)&gt;48,"leaf wider than 4'-0"&amp;CHAR(34)&amp;", ",""))</f>
        <v/>
      </c>
      <c r="BX23" s="49">
        <f>IF($A23="","",IF(AND($BO23&gt;0,AND($A23&lt;&gt;"",$C23&lt;&gt;"DOOR ONLY"),$X23="KD",$E23="EXTERIOR"),"KD label on an exterior opening, ","")&amp;IF(AND($E23="EXTERIOR",OR(AND(AND($A23&lt;&gt;"",$C23&lt;&gt;"DOOR ONLY"),$W23="CR"),AND(N($BC23)&gt;0,$AH23="CR"))),"exterior in CR steel (G9?), ","")&amp;IF(AND(ISNUMBER($BJ23),N($BJ23)&lt;32),"clear width ~"&amp;TEXT($BJ23,"0.0")&amp;CHAR(34)&amp;" under 32"&amp;CHAR(34)&amp;" (ADA), ","")&amp;IF(AND($BO23=90,AND(OR($BL23="FG",$BL23="HG",$BL23="FNV",$BL23="FV"),N($BM23)*N($BN23)&gt;100)),"90 min lite over 100 sq in (stair/exit), ","")&amp;IF(AND($BO23&gt;0,AND($A23&lt;&gt;"",$C23&lt;&gt;"DOOR ONLY"),OR($AF23="",$AF23="-")),"rated: closer reinf.?, ","")&amp;IF(OR($I23="CORRIDOR",$I23="SMOKE BARRIER"),"S label + smoke gasketing, ","")&amp;IF($BP23="?","wall type/hr not in IBC table, ","")&amp;IF(AND(N($BC23)&gt;0,$AU23=""),"no hardware set, ","")&amp;IF(AND($AU23&lt;&gt;"",ISNA(MATCH($AU23,HWSets,0))),"set "&amp;$AU23&amp;" not on Hardware sheet, ","")&amp;IF(N($BE23)&gt;96,"leaf over 8'-0"&amp;CHAR(34)&amp;" - check listing, ",""))</f>
        <v/>
      </c>
    </row>
    <row r="24" ht="15" customHeight="1">
      <c r="A24" s="44" t="n"/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6" t="n"/>
      <c r="AB24" s="46" t="n"/>
      <c r="AC24" s="46" t="n"/>
      <c r="AD24" s="46" t="n"/>
      <c r="AE24" s="46" t="n"/>
      <c r="AF24" s="46" t="n"/>
      <c r="AG24" s="46" t="n"/>
      <c r="AH24" s="47" t="n"/>
      <c r="AI24" s="47" t="n"/>
      <c r="AJ24" s="47" t="n"/>
      <c r="AK24" s="47" t="n"/>
      <c r="AL24" s="47" t="n"/>
      <c r="AM24" s="47" t="n"/>
      <c r="AN24" s="47" t="n"/>
      <c r="AO24" s="47" t="n"/>
      <c r="AP24" s="47" t="n"/>
      <c r="AQ24" s="47" t="n"/>
      <c r="AR24" s="47" t="n"/>
      <c r="AS24" s="47" t="n"/>
      <c r="AT24" s="47" t="n"/>
      <c r="AU24" s="48" t="n"/>
      <c r="AV24" s="48" t="n"/>
      <c r="AW24" s="49">
        <f>IF($A24="","",IF($BW24&lt;&gt;"","FIX",IF($BX24&lt;&gt;"","CHECK","OK")))</f>
        <v/>
      </c>
      <c r="AX24" s="50">
        <f>IF($A24="","",IF($BW24&lt;&gt;"","FIX: "&amp;LEFT($BW24,LEN($BW24)-2)&amp;IF($BX24&lt;&gt;"","  ·  ",""),"")&amp;IF($BX24&lt;&gt;"","CHECK: "&amp;LEFT($BX24,LEN($BX24)-2),""))</f>
        <v/>
      </c>
      <c r="AY24" s="49">
        <f>IF(OR($A24="",$K24=""),"",$K24&amp;"'-"&amp;N($L24)&amp;CHAR(34)&amp;" x "&amp;$M24&amp;"'-"&amp;N($N24)&amp;CHAR(34))</f>
        <v/>
      </c>
      <c r="AZ24" s="49">
        <f>IF(OR($A24="",$K24=""),"",$K24&amp;N($L24)&amp;$M24&amp;N($N24))</f>
        <v/>
      </c>
      <c r="BA24" s="49">
        <f>IF(OR($A24="",$K24=""),"",$K24*12+N($L24))</f>
        <v/>
      </c>
      <c r="BB24" s="49">
        <f>IF(OR($A24="",$M24=""),"",$M24*12+N($N24))</f>
        <v/>
      </c>
      <c r="BC24" s="49">
        <f>IF($A24="","",IF(OR($C24="FRAME ONLY",$S24="BL"),0,IF($O24="Y",2,1)))</f>
        <v/>
      </c>
      <c r="BD24" s="51">
        <f>IF(OR(N($BC24)=0,$BA24=""),"",($BA24-2*EdgeClr-IF($BC24=2,MeetClr,0))/$BC24)</f>
        <v/>
      </c>
      <c r="BE24" s="51">
        <f>IF(OR(N($BC24)=0,$BB24=""),"",$BB24-HeadClr-Undercut)</f>
        <v/>
      </c>
      <c r="BF24" s="51">
        <f>IF($BA24="","",$BA24+2*FaceW+IF(N($Q24)&gt;0,($Q24+FaceW)*IF($R24="LR",2,1),0))</f>
        <v/>
      </c>
      <c r="BG24" s="51">
        <f>IF($BB24="","",$BB24+IF($AB24="Y",4,FaceW)+IF(N($P24)&gt;0,$P24+FaceW,0)+IF(OR($S24="4F",$S24="BL"),FaceW,0))</f>
        <v/>
      </c>
      <c r="BH24" s="51">
        <f>IF($BF24="","",$BF24+2*ROSide)</f>
        <v/>
      </c>
      <c r="BI24" s="51">
        <f>IF($BG24="","",$BG24+ROTop)</f>
        <v/>
      </c>
      <c r="BJ24" s="52">
        <f>IF(OR(N($BC24)=0,$BA24=""),"",$BA24/$BC24-ClearDeduct)</f>
        <v/>
      </c>
      <c r="BK24" s="49">
        <f>IF(OR(N($BC24)=0,$BE24=""),"",IF(OR($AC24="HGC",$AP24="HGC"),"CONT",IF($BE24&lt;=60,2,IF($BE24&lt;=90,3,IF($BE24&lt;=120,4,5)))))</f>
        <v/>
      </c>
      <c r="BL24" s="49">
        <f>IF(N($BC24)=0,"",IF(OR($AL24="",$AL24="FLUSH"),"FLUSH",IFERROR(LEFT($AL24,FIND("-",$AL24)-1),LEFT($AL24,2))))</f>
        <v/>
      </c>
      <c r="BM24" s="49">
        <f>IF($BL24="","",IFERROR(VALUE(MID($AL24,FIND("-",$AL24)+1,FIND(CHAR(34)&amp;"x",$AL24)-FIND("-",$AL24)-1)),0))</f>
        <v/>
      </c>
      <c r="BN24" s="49">
        <f>IF($BL24="","",IFERROR(VALUE(MID($AL24,FIND(CHAR(34)&amp;"x",$AL24)+2,FIND(CHAR(34),$AL24,FIND(CHAR(34)&amp;"x",$AL24)+2)-FIND(CHAR(34)&amp;"x",$AL24)-2)),0))</f>
        <v/>
      </c>
      <c r="BO24" s="53">
        <f>IF(OR($A24="",$H24="",$H24="NO LAB"),0,IFERROR(VALUE(LEFT($H24,FIND(" ",$H24)-1)),0))</f>
        <v/>
      </c>
      <c r="BP24" s="54">
        <f>IF(OR($A24="",$I24="",$I24="NON-RATED",N($J24)=0),"",IFERROR(VLOOKUP($I24&amp;"|"&amp;$J24,IBC,2,FALSE),"?"))</f>
        <v/>
      </c>
      <c r="BQ24" s="50">
        <f>IF(NOT(AND($A24&lt;&gt;"",$C24&lt;&gt;"DOOR ONLY")),"",TRIM(IFERROR(VLOOKUP($U24,CODES,2,FALSE),"")&amp;" "&amp;$AZ24&amp;" "&amp;IFERROR(VLOOKUP($Z24,CODES,2,FALSE),"")&amp;" "&amp;IFERROR(VLOOKUP($X24,CODES,2,FALSE),"")&amp;" "&amp;IFERROR(VLOOKUP($S24,CODES,2,FALSE),"")&amp;IF(N($P24)&gt;0," w/TRANSOM "&amp;$P24&amp;CHAR(34),"")&amp;IF(N($Q24)&gt;0," w/SIDELITE "&amp;$Q24&amp;CHAR(34)&amp;" "&amp;IF($R24="","R",$R24),"")&amp;IF($Y24="","  |  "," | "&amp;IFERROR(VLOOKUP($Y24,CODES,2,FALSE),"")&amp;" | ")&amp;IFERROR(VLOOKUP($AC24,CODES,2,FALSE),"")&amp;" "&amp;IFERROR(VLOOKUP($AD24,CODES,2,FALSE),"")&amp;IF(OR($AE24="",$AE24="-"),""," "&amp;$AE24)&amp;IF(OR($AF24="",$AF24="-"),""," "&amp;$AF24)&amp;IF($AB24="Y"," 4"&amp;CHAR(34)&amp;" HEAD","")&amp;" "&amp;IFERROR(VLOOKUP($H24,CODES,2,FALSE),"")))</f>
        <v/>
      </c>
      <c r="BR24" s="50">
        <f>IF(NOT(AND($A24&lt;&gt;"",N($BC24)&gt;0)),"",TRIM(IFERROR(VLOOKUP($AH24,CODES,2,FALSE),"")&amp;IF($AI24=""," "," "&amp;$AI24&amp;"GA ")&amp;$AZ24&amp;" "&amp;IF($AN24="",IFERROR(VLOOKUP($Z24,CODES,2,FALSE),""),IFERROR(VLOOKUP($AN24,CODES,2,FALSE),""))&amp;IF($BC24=2," PAIR","")&amp;" DOOR | "&amp;IF($AL24="","?",$AL24)&amp;" | "&amp;IF($AP24="",IFERROR(VLOOKUP($AC24,CODES,2,FALSE),""),IFERROR(VLOOKUP($AP24,CODES,2,FALSE),""))&amp;" "&amp;IFERROR(VLOOKUP($AQ24,CODES,2,FALSE),"")&amp;IF(OR($AR24="",$AR24="-"),""," SEAM "&amp;$AR24)&amp;IF($AS24="Y"," ASTRAGAL","")&amp;IF($AJ24=""," "," "&amp;$AJ24)&amp;IF($AK24=""," "," "&amp;$AK24)&amp;IF($AO24="",""," "&amp;$AO24)&amp;IF($AM24=""," "," SERIES "&amp;$AM24)&amp;" "&amp;IFERROR(VLOOKUP($H24,CODES,2,FALSE),"")))</f>
        <v/>
      </c>
      <c r="BS24" s="49">
        <f>IF(BV24="","",IF(COUNTIF($BV$6:BV24,BV24)=1,MAX($BS$5:BS23)+1,INDEX($BS$5:BS23,MATCH(BV24,$BV$5:BV23,0))))</f>
        <v/>
      </c>
      <c r="BT24" s="49">
        <f>IF(NOT(AND($A24&lt;&gt;"",$C24&lt;&gt;"DOOR ONLY")),"",MAX($BT$5:BT23)+1)</f>
        <v/>
      </c>
      <c r="BU24" s="49">
        <f>IF(NOT(AND($A24&lt;&gt;"",N($BC24)&gt;0)),"",MAX($BU$5:BU23)+1)</f>
        <v/>
      </c>
      <c r="BV24" s="49">
        <f>IF(OR($A24="",$BA24="",$BB24=""),"",$AZ24&amp;"|"&amp;$O24&amp;"|"&amp;$AL24&amp;"|"&amp;$S24&amp;"|"&amp;$P24&amp;"|"&amp;$Q24&amp;$R24&amp;"|"&amp;$C24&amp;"|"&amp;$AB24)</f>
        <v/>
      </c>
      <c r="BW24" s="49">
        <f>IF($A24="","",IF($B24="","qty, ","")&amp;IF($C24="","scope, ","")&amp;IF(OR($K24="",$M24=""),"size, ","")&amp;IF(AND($A24&lt;&gt;"",$C24&lt;&gt;"DOOR ONLY"),IF($U24="","jamb depth, ","")&amp;IF($X24="","construction, ","")&amp;IF($Y24="","anchor, ","")&amp;IF($S24="","frame type, ",""),"")&amp;IF(AND(N($BC24)&gt;0,$Z24=""),"hand, ","")&amp;IF(N($BC24)&gt;0,IF($AH24="","door material, ","")&amp;IF($AL24="","face type, ","")&amp;IF($AQ24="","lock prep, ","")&amp;IF(AND($AP24="",$AC24=""),"hinge prep, ",""),"")&amp;IF(AND($BO24&gt;0,$AH24="FRP"),"FRP cannot carry a label, ","")&amp;IF(AND($O24="Y",OR($Z24="L",$Z24="R",$Z24="LR",$Z24="RR")),"pair marked but hand is single, ","")&amp;IF(AND($O24&lt;&gt;"Y",OR($Z24="PR",AND(LEN($Z24)&gt;1,ISNUMBER(SEARCH("-",$Z24))))),"pair hand on a single door, ","")&amp;IF(AND(ISNUMBER($BP24),$BO24&lt;N($BP24)),"wall needs a "&amp;$BP24&amp;" min door, ","")&amp;IF(AND($BO24&gt;=180,AND(OR($BL24="FG",$BL24="HG",$BL24="FNV",$BL24="FV"),N($BM24)*N($BN24)&gt;100)),"180 min lite over 100 sq in, ","")&amp;IF(N($BD24)&gt;48,"leaf wider than 4'-0"&amp;CHAR(34)&amp;", ",""))</f>
        <v/>
      </c>
      <c r="BX24" s="49">
        <f>IF($A24="","",IF(AND($BO24&gt;0,AND($A24&lt;&gt;"",$C24&lt;&gt;"DOOR ONLY"),$X24="KD",$E24="EXTERIOR"),"KD label on an exterior opening, ","")&amp;IF(AND($E24="EXTERIOR",OR(AND(AND($A24&lt;&gt;"",$C24&lt;&gt;"DOOR ONLY"),$W24="CR"),AND(N($BC24)&gt;0,$AH24="CR"))),"exterior in CR steel (G9?), ","")&amp;IF(AND(ISNUMBER($BJ24),N($BJ24)&lt;32),"clear width ~"&amp;TEXT($BJ24,"0.0")&amp;CHAR(34)&amp;" under 32"&amp;CHAR(34)&amp;" (ADA), ","")&amp;IF(AND($BO24=90,AND(OR($BL24="FG",$BL24="HG",$BL24="FNV",$BL24="FV"),N($BM24)*N($BN24)&gt;100)),"90 min lite over 100 sq in (stair/exit), ","")&amp;IF(AND($BO24&gt;0,AND($A24&lt;&gt;"",$C24&lt;&gt;"DOOR ONLY"),OR($AF24="",$AF24="-")),"rated: closer reinf.?, ","")&amp;IF(OR($I24="CORRIDOR",$I24="SMOKE BARRIER"),"S label + smoke gasketing, ","")&amp;IF($BP24="?","wall type/hr not in IBC table, ","")&amp;IF(AND(N($BC24)&gt;0,$AU24=""),"no hardware set, ","")&amp;IF(AND($AU24&lt;&gt;"",ISNA(MATCH($AU24,HWSets,0))),"set "&amp;$AU24&amp;" not on Hardware sheet, ","")&amp;IF(N($BE24)&gt;96,"leaf over 8'-0"&amp;CHAR(34)&amp;" - check listing, ",""))</f>
        <v/>
      </c>
    </row>
    <row r="25" ht="15" customHeight="1">
      <c r="A25" s="44" t="n"/>
      <c r="B25" s="45" t="n"/>
      <c r="C25" s="45" t="n"/>
      <c r="D25" s="45" t="n"/>
      <c r="E25" s="45" t="n"/>
      <c r="F25" s="45" t="n"/>
      <c r="G25" s="45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6" t="n"/>
      <c r="T25" s="46" t="n"/>
      <c r="U25" s="46" t="n"/>
      <c r="V25" s="46" t="n"/>
      <c r="W25" s="46" t="n"/>
      <c r="X25" s="46" t="n"/>
      <c r="Y25" s="46" t="n"/>
      <c r="Z25" s="46" t="n"/>
      <c r="AA25" s="46" t="n"/>
      <c r="AB25" s="46" t="n"/>
      <c r="AC25" s="46" t="n"/>
      <c r="AD25" s="46" t="n"/>
      <c r="AE25" s="46" t="n"/>
      <c r="AF25" s="46" t="n"/>
      <c r="AG25" s="46" t="n"/>
      <c r="AH25" s="47" t="n"/>
      <c r="AI25" s="47" t="n"/>
      <c r="AJ25" s="47" t="n"/>
      <c r="AK25" s="47" t="n"/>
      <c r="AL25" s="47" t="n"/>
      <c r="AM25" s="47" t="n"/>
      <c r="AN25" s="47" t="n"/>
      <c r="AO25" s="47" t="n"/>
      <c r="AP25" s="47" t="n"/>
      <c r="AQ25" s="47" t="n"/>
      <c r="AR25" s="47" t="n"/>
      <c r="AS25" s="47" t="n"/>
      <c r="AT25" s="47" t="n"/>
      <c r="AU25" s="48" t="n"/>
      <c r="AV25" s="48" t="n"/>
      <c r="AW25" s="49">
        <f>IF($A25="","",IF($BW25&lt;&gt;"","FIX",IF($BX25&lt;&gt;"","CHECK","OK")))</f>
        <v/>
      </c>
      <c r="AX25" s="50">
        <f>IF($A25="","",IF($BW25&lt;&gt;"","FIX: "&amp;LEFT($BW25,LEN($BW25)-2)&amp;IF($BX25&lt;&gt;"","  ·  ",""),"")&amp;IF($BX25&lt;&gt;"","CHECK: "&amp;LEFT($BX25,LEN($BX25)-2),""))</f>
        <v/>
      </c>
      <c r="AY25" s="49">
        <f>IF(OR($A25="",$K25=""),"",$K25&amp;"'-"&amp;N($L25)&amp;CHAR(34)&amp;" x "&amp;$M25&amp;"'-"&amp;N($N25)&amp;CHAR(34))</f>
        <v/>
      </c>
      <c r="AZ25" s="49">
        <f>IF(OR($A25="",$K25=""),"",$K25&amp;N($L25)&amp;$M25&amp;N($N25))</f>
        <v/>
      </c>
      <c r="BA25" s="49">
        <f>IF(OR($A25="",$K25=""),"",$K25*12+N($L25))</f>
        <v/>
      </c>
      <c r="BB25" s="49">
        <f>IF(OR($A25="",$M25=""),"",$M25*12+N($N25))</f>
        <v/>
      </c>
      <c r="BC25" s="49">
        <f>IF($A25="","",IF(OR($C25="FRAME ONLY",$S25="BL"),0,IF($O25="Y",2,1)))</f>
        <v/>
      </c>
      <c r="BD25" s="51">
        <f>IF(OR(N($BC25)=0,$BA25=""),"",($BA25-2*EdgeClr-IF($BC25=2,MeetClr,0))/$BC25)</f>
        <v/>
      </c>
      <c r="BE25" s="51">
        <f>IF(OR(N($BC25)=0,$BB25=""),"",$BB25-HeadClr-Undercut)</f>
        <v/>
      </c>
      <c r="BF25" s="51">
        <f>IF($BA25="","",$BA25+2*FaceW+IF(N($Q25)&gt;0,($Q25+FaceW)*IF($R25="LR",2,1),0))</f>
        <v/>
      </c>
      <c r="BG25" s="51">
        <f>IF($BB25="","",$BB25+IF($AB25="Y",4,FaceW)+IF(N($P25)&gt;0,$P25+FaceW,0)+IF(OR($S25="4F",$S25="BL"),FaceW,0))</f>
        <v/>
      </c>
      <c r="BH25" s="51">
        <f>IF($BF25="","",$BF25+2*ROSide)</f>
        <v/>
      </c>
      <c r="BI25" s="51">
        <f>IF($BG25="","",$BG25+ROTop)</f>
        <v/>
      </c>
      <c r="BJ25" s="52">
        <f>IF(OR(N($BC25)=0,$BA25=""),"",$BA25/$BC25-ClearDeduct)</f>
        <v/>
      </c>
      <c r="BK25" s="49">
        <f>IF(OR(N($BC25)=0,$BE25=""),"",IF(OR($AC25="HGC",$AP25="HGC"),"CONT",IF($BE25&lt;=60,2,IF($BE25&lt;=90,3,IF($BE25&lt;=120,4,5)))))</f>
        <v/>
      </c>
      <c r="BL25" s="49">
        <f>IF(N($BC25)=0,"",IF(OR($AL25="",$AL25="FLUSH"),"FLUSH",IFERROR(LEFT($AL25,FIND("-",$AL25)-1),LEFT($AL25,2))))</f>
        <v/>
      </c>
      <c r="BM25" s="49">
        <f>IF($BL25="","",IFERROR(VALUE(MID($AL25,FIND("-",$AL25)+1,FIND(CHAR(34)&amp;"x",$AL25)-FIND("-",$AL25)-1)),0))</f>
        <v/>
      </c>
      <c r="BN25" s="49">
        <f>IF($BL25="","",IFERROR(VALUE(MID($AL25,FIND(CHAR(34)&amp;"x",$AL25)+2,FIND(CHAR(34),$AL25,FIND(CHAR(34)&amp;"x",$AL25)+2)-FIND(CHAR(34)&amp;"x",$AL25)-2)),0))</f>
        <v/>
      </c>
      <c r="BO25" s="53">
        <f>IF(OR($A25="",$H25="",$H25="NO LAB"),0,IFERROR(VALUE(LEFT($H25,FIND(" ",$H25)-1)),0))</f>
        <v/>
      </c>
      <c r="BP25" s="54">
        <f>IF(OR($A25="",$I25="",$I25="NON-RATED",N($J25)=0),"",IFERROR(VLOOKUP($I25&amp;"|"&amp;$J25,IBC,2,FALSE),"?"))</f>
        <v/>
      </c>
      <c r="BQ25" s="50">
        <f>IF(NOT(AND($A25&lt;&gt;"",$C25&lt;&gt;"DOOR ONLY")),"",TRIM(IFERROR(VLOOKUP($U25,CODES,2,FALSE),"")&amp;" "&amp;$AZ25&amp;" "&amp;IFERROR(VLOOKUP($Z25,CODES,2,FALSE),"")&amp;" "&amp;IFERROR(VLOOKUP($X25,CODES,2,FALSE),"")&amp;" "&amp;IFERROR(VLOOKUP($S25,CODES,2,FALSE),"")&amp;IF(N($P25)&gt;0," w/TRANSOM "&amp;$P25&amp;CHAR(34),"")&amp;IF(N($Q25)&gt;0," w/SIDELITE "&amp;$Q25&amp;CHAR(34)&amp;" "&amp;IF($R25="","R",$R25),"")&amp;IF($Y25="","  |  "," | "&amp;IFERROR(VLOOKUP($Y25,CODES,2,FALSE),"")&amp;" | ")&amp;IFERROR(VLOOKUP($AC25,CODES,2,FALSE),"")&amp;" "&amp;IFERROR(VLOOKUP($AD25,CODES,2,FALSE),"")&amp;IF(OR($AE25="",$AE25="-"),""," "&amp;$AE25)&amp;IF(OR($AF25="",$AF25="-"),""," "&amp;$AF25)&amp;IF($AB25="Y"," 4"&amp;CHAR(34)&amp;" HEAD","")&amp;" "&amp;IFERROR(VLOOKUP($H25,CODES,2,FALSE),"")))</f>
        <v/>
      </c>
      <c r="BR25" s="50">
        <f>IF(NOT(AND($A25&lt;&gt;"",N($BC25)&gt;0)),"",TRIM(IFERROR(VLOOKUP($AH25,CODES,2,FALSE),"")&amp;IF($AI25=""," "," "&amp;$AI25&amp;"GA ")&amp;$AZ25&amp;" "&amp;IF($AN25="",IFERROR(VLOOKUP($Z25,CODES,2,FALSE),""),IFERROR(VLOOKUP($AN25,CODES,2,FALSE),""))&amp;IF($BC25=2," PAIR","")&amp;" DOOR | "&amp;IF($AL25="","?",$AL25)&amp;" | "&amp;IF($AP25="",IFERROR(VLOOKUP($AC25,CODES,2,FALSE),""),IFERROR(VLOOKUP($AP25,CODES,2,FALSE),""))&amp;" "&amp;IFERROR(VLOOKUP($AQ25,CODES,2,FALSE),"")&amp;IF(OR($AR25="",$AR25="-"),""," SEAM "&amp;$AR25)&amp;IF($AS25="Y"," ASTRAGAL","")&amp;IF($AJ25=""," "," "&amp;$AJ25)&amp;IF($AK25=""," "," "&amp;$AK25)&amp;IF($AO25="",""," "&amp;$AO25)&amp;IF($AM25=""," "," SERIES "&amp;$AM25)&amp;" "&amp;IFERROR(VLOOKUP($H25,CODES,2,FALSE),"")))</f>
        <v/>
      </c>
      <c r="BS25" s="49">
        <f>IF(BV25="","",IF(COUNTIF($BV$6:BV25,BV25)=1,MAX($BS$5:BS24)+1,INDEX($BS$5:BS24,MATCH(BV25,$BV$5:BV24,0))))</f>
        <v/>
      </c>
      <c r="BT25" s="49">
        <f>IF(NOT(AND($A25&lt;&gt;"",$C25&lt;&gt;"DOOR ONLY")),"",MAX($BT$5:BT24)+1)</f>
        <v/>
      </c>
      <c r="BU25" s="49">
        <f>IF(NOT(AND($A25&lt;&gt;"",N($BC25)&gt;0)),"",MAX($BU$5:BU24)+1)</f>
        <v/>
      </c>
      <c r="BV25" s="49">
        <f>IF(OR($A25="",$BA25="",$BB25=""),"",$AZ25&amp;"|"&amp;$O25&amp;"|"&amp;$AL25&amp;"|"&amp;$S25&amp;"|"&amp;$P25&amp;"|"&amp;$Q25&amp;$R25&amp;"|"&amp;$C25&amp;"|"&amp;$AB25)</f>
        <v/>
      </c>
      <c r="BW25" s="49">
        <f>IF($A25="","",IF($B25="","qty, ","")&amp;IF($C25="","scope, ","")&amp;IF(OR($K25="",$M25=""),"size, ","")&amp;IF(AND($A25&lt;&gt;"",$C25&lt;&gt;"DOOR ONLY"),IF($U25="","jamb depth, ","")&amp;IF($X25="","construction, ","")&amp;IF($Y25="","anchor, ","")&amp;IF($S25="","frame type, ",""),"")&amp;IF(AND(N($BC25)&gt;0,$Z25=""),"hand, ","")&amp;IF(N($BC25)&gt;0,IF($AH25="","door material, ","")&amp;IF($AL25="","face type, ","")&amp;IF($AQ25="","lock prep, ","")&amp;IF(AND($AP25="",$AC25=""),"hinge prep, ",""),"")&amp;IF(AND($BO25&gt;0,$AH25="FRP"),"FRP cannot carry a label, ","")&amp;IF(AND($O25="Y",OR($Z25="L",$Z25="R",$Z25="LR",$Z25="RR")),"pair marked but hand is single, ","")&amp;IF(AND($O25&lt;&gt;"Y",OR($Z25="PR",AND(LEN($Z25)&gt;1,ISNUMBER(SEARCH("-",$Z25))))),"pair hand on a single door, ","")&amp;IF(AND(ISNUMBER($BP25),$BO25&lt;N($BP25)),"wall needs a "&amp;$BP25&amp;" min door, ","")&amp;IF(AND($BO25&gt;=180,AND(OR($BL25="FG",$BL25="HG",$BL25="FNV",$BL25="FV"),N($BM25)*N($BN25)&gt;100)),"180 min lite over 100 sq in, ","")&amp;IF(N($BD25)&gt;48,"leaf wider than 4'-0"&amp;CHAR(34)&amp;", ",""))</f>
        <v/>
      </c>
      <c r="BX25" s="49">
        <f>IF($A25="","",IF(AND($BO25&gt;0,AND($A25&lt;&gt;"",$C25&lt;&gt;"DOOR ONLY"),$X25="KD",$E25="EXTERIOR"),"KD label on an exterior opening, ","")&amp;IF(AND($E25="EXTERIOR",OR(AND(AND($A25&lt;&gt;"",$C25&lt;&gt;"DOOR ONLY"),$W25="CR"),AND(N($BC25)&gt;0,$AH25="CR"))),"exterior in CR steel (G9?), ","")&amp;IF(AND(ISNUMBER($BJ25),N($BJ25)&lt;32),"clear width ~"&amp;TEXT($BJ25,"0.0")&amp;CHAR(34)&amp;" under 32"&amp;CHAR(34)&amp;" (ADA), ","")&amp;IF(AND($BO25=90,AND(OR($BL25="FG",$BL25="HG",$BL25="FNV",$BL25="FV"),N($BM25)*N($BN25)&gt;100)),"90 min lite over 100 sq in (stair/exit), ","")&amp;IF(AND($BO25&gt;0,AND($A25&lt;&gt;"",$C25&lt;&gt;"DOOR ONLY"),OR($AF25="",$AF25="-")),"rated: closer reinf.?, ","")&amp;IF(OR($I25="CORRIDOR",$I25="SMOKE BARRIER"),"S label + smoke gasketing, ","")&amp;IF($BP25="?","wall type/hr not in IBC table, ","")&amp;IF(AND(N($BC25)&gt;0,$AU25=""),"no hardware set, ","")&amp;IF(AND($AU25&lt;&gt;"",ISNA(MATCH($AU25,HWSets,0))),"set "&amp;$AU25&amp;" not on Hardware sheet, ","")&amp;IF(N($BE25)&gt;96,"leaf over 8'-0"&amp;CHAR(34)&amp;" - check listing, ",""))</f>
        <v/>
      </c>
    </row>
    <row r="26" ht="15" customHeight="1">
      <c r="A26" s="44" t="n"/>
      <c r="B26" s="45" t="n"/>
      <c r="C26" s="45" t="n"/>
      <c r="D26" s="45" t="n"/>
      <c r="E26" s="45" t="n"/>
      <c r="F26" s="45" t="n"/>
      <c r="G26" s="45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6" t="n"/>
      <c r="T26" s="46" t="n"/>
      <c r="U26" s="46" t="n"/>
      <c r="V26" s="46" t="n"/>
      <c r="W26" s="46" t="n"/>
      <c r="X26" s="46" t="n"/>
      <c r="Y26" s="46" t="n"/>
      <c r="Z26" s="46" t="n"/>
      <c r="AA26" s="46" t="n"/>
      <c r="AB26" s="46" t="n"/>
      <c r="AC26" s="46" t="n"/>
      <c r="AD26" s="46" t="n"/>
      <c r="AE26" s="46" t="n"/>
      <c r="AF26" s="46" t="n"/>
      <c r="AG26" s="46" t="n"/>
      <c r="AH26" s="47" t="n"/>
      <c r="AI26" s="47" t="n"/>
      <c r="AJ26" s="47" t="n"/>
      <c r="AK26" s="47" t="n"/>
      <c r="AL26" s="47" t="n"/>
      <c r="AM26" s="47" t="n"/>
      <c r="AN26" s="47" t="n"/>
      <c r="AO26" s="47" t="n"/>
      <c r="AP26" s="47" t="n"/>
      <c r="AQ26" s="47" t="n"/>
      <c r="AR26" s="47" t="n"/>
      <c r="AS26" s="47" t="n"/>
      <c r="AT26" s="47" t="n"/>
      <c r="AU26" s="48" t="n"/>
      <c r="AV26" s="48" t="n"/>
      <c r="AW26" s="49">
        <f>IF($A26="","",IF($BW26&lt;&gt;"","FIX",IF($BX26&lt;&gt;"","CHECK","OK")))</f>
        <v/>
      </c>
      <c r="AX26" s="50">
        <f>IF($A26="","",IF($BW26&lt;&gt;"","FIX: "&amp;LEFT($BW26,LEN($BW26)-2)&amp;IF($BX26&lt;&gt;"","  ·  ",""),"")&amp;IF($BX26&lt;&gt;"","CHECK: "&amp;LEFT($BX26,LEN($BX26)-2),""))</f>
        <v/>
      </c>
      <c r="AY26" s="49">
        <f>IF(OR($A26="",$K26=""),"",$K26&amp;"'-"&amp;N($L26)&amp;CHAR(34)&amp;" x "&amp;$M26&amp;"'-"&amp;N($N26)&amp;CHAR(34))</f>
        <v/>
      </c>
      <c r="AZ26" s="49">
        <f>IF(OR($A26="",$K26=""),"",$K26&amp;N($L26)&amp;$M26&amp;N($N26))</f>
        <v/>
      </c>
      <c r="BA26" s="49">
        <f>IF(OR($A26="",$K26=""),"",$K26*12+N($L26))</f>
        <v/>
      </c>
      <c r="BB26" s="49">
        <f>IF(OR($A26="",$M26=""),"",$M26*12+N($N26))</f>
        <v/>
      </c>
      <c r="BC26" s="49">
        <f>IF($A26="","",IF(OR($C26="FRAME ONLY",$S26="BL"),0,IF($O26="Y",2,1)))</f>
        <v/>
      </c>
      <c r="BD26" s="51">
        <f>IF(OR(N($BC26)=0,$BA26=""),"",($BA26-2*EdgeClr-IF($BC26=2,MeetClr,0))/$BC26)</f>
        <v/>
      </c>
      <c r="BE26" s="51">
        <f>IF(OR(N($BC26)=0,$BB26=""),"",$BB26-HeadClr-Undercut)</f>
        <v/>
      </c>
      <c r="BF26" s="51">
        <f>IF($BA26="","",$BA26+2*FaceW+IF(N($Q26)&gt;0,($Q26+FaceW)*IF($R26="LR",2,1),0))</f>
        <v/>
      </c>
      <c r="BG26" s="51">
        <f>IF($BB26="","",$BB26+IF($AB26="Y",4,FaceW)+IF(N($P26)&gt;0,$P26+FaceW,0)+IF(OR($S26="4F",$S26="BL"),FaceW,0))</f>
        <v/>
      </c>
      <c r="BH26" s="51">
        <f>IF($BF26="","",$BF26+2*ROSide)</f>
        <v/>
      </c>
      <c r="BI26" s="51">
        <f>IF($BG26="","",$BG26+ROTop)</f>
        <v/>
      </c>
      <c r="BJ26" s="52">
        <f>IF(OR(N($BC26)=0,$BA26=""),"",$BA26/$BC26-ClearDeduct)</f>
        <v/>
      </c>
      <c r="BK26" s="49">
        <f>IF(OR(N($BC26)=0,$BE26=""),"",IF(OR($AC26="HGC",$AP26="HGC"),"CONT",IF($BE26&lt;=60,2,IF($BE26&lt;=90,3,IF($BE26&lt;=120,4,5)))))</f>
        <v/>
      </c>
      <c r="BL26" s="49">
        <f>IF(N($BC26)=0,"",IF(OR($AL26="",$AL26="FLUSH"),"FLUSH",IFERROR(LEFT($AL26,FIND("-",$AL26)-1),LEFT($AL26,2))))</f>
        <v/>
      </c>
      <c r="BM26" s="49">
        <f>IF($BL26="","",IFERROR(VALUE(MID($AL26,FIND("-",$AL26)+1,FIND(CHAR(34)&amp;"x",$AL26)-FIND("-",$AL26)-1)),0))</f>
        <v/>
      </c>
      <c r="BN26" s="49">
        <f>IF($BL26="","",IFERROR(VALUE(MID($AL26,FIND(CHAR(34)&amp;"x",$AL26)+2,FIND(CHAR(34),$AL26,FIND(CHAR(34)&amp;"x",$AL26)+2)-FIND(CHAR(34)&amp;"x",$AL26)-2)),0))</f>
        <v/>
      </c>
      <c r="BO26" s="53">
        <f>IF(OR($A26="",$H26="",$H26="NO LAB"),0,IFERROR(VALUE(LEFT($H26,FIND(" ",$H26)-1)),0))</f>
        <v/>
      </c>
      <c r="BP26" s="54">
        <f>IF(OR($A26="",$I26="",$I26="NON-RATED",N($J26)=0),"",IFERROR(VLOOKUP($I26&amp;"|"&amp;$J26,IBC,2,FALSE),"?"))</f>
        <v/>
      </c>
      <c r="BQ26" s="50">
        <f>IF(NOT(AND($A26&lt;&gt;"",$C26&lt;&gt;"DOOR ONLY")),"",TRIM(IFERROR(VLOOKUP($U26,CODES,2,FALSE),"")&amp;" "&amp;$AZ26&amp;" "&amp;IFERROR(VLOOKUP($Z26,CODES,2,FALSE),"")&amp;" "&amp;IFERROR(VLOOKUP($X26,CODES,2,FALSE),"")&amp;" "&amp;IFERROR(VLOOKUP($S26,CODES,2,FALSE),"")&amp;IF(N($P26)&gt;0," w/TRANSOM "&amp;$P26&amp;CHAR(34),"")&amp;IF(N($Q26)&gt;0," w/SIDELITE "&amp;$Q26&amp;CHAR(34)&amp;" "&amp;IF($R26="","R",$R26),"")&amp;IF($Y26="","  |  "," | "&amp;IFERROR(VLOOKUP($Y26,CODES,2,FALSE),"")&amp;" | ")&amp;IFERROR(VLOOKUP($AC26,CODES,2,FALSE),"")&amp;" "&amp;IFERROR(VLOOKUP($AD26,CODES,2,FALSE),"")&amp;IF(OR($AE26="",$AE26="-"),""," "&amp;$AE26)&amp;IF(OR($AF26="",$AF26="-"),""," "&amp;$AF26)&amp;IF($AB26="Y"," 4"&amp;CHAR(34)&amp;" HEAD","")&amp;" "&amp;IFERROR(VLOOKUP($H26,CODES,2,FALSE),"")))</f>
        <v/>
      </c>
      <c r="BR26" s="50">
        <f>IF(NOT(AND($A26&lt;&gt;"",N($BC26)&gt;0)),"",TRIM(IFERROR(VLOOKUP($AH26,CODES,2,FALSE),"")&amp;IF($AI26=""," "," "&amp;$AI26&amp;"GA ")&amp;$AZ26&amp;" "&amp;IF($AN26="",IFERROR(VLOOKUP($Z26,CODES,2,FALSE),""),IFERROR(VLOOKUP($AN26,CODES,2,FALSE),""))&amp;IF($BC26=2," PAIR","")&amp;" DOOR | "&amp;IF($AL26="","?",$AL26)&amp;" | "&amp;IF($AP26="",IFERROR(VLOOKUP($AC26,CODES,2,FALSE),""),IFERROR(VLOOKUP($AP26,CODES,2,FALSE),""))&amp;" "&amp;IFERROR(VLOOKUP($AQ26,CODES,2,FALSE),"")&amp;IF(OR($AR26="",$AR26="-"),""," SEAM "&amp;$AR26)&amp;IF($AS26="Y"," ASTRAGAL","")&amp;IF($AJ26=""," "," "&amp;$AJ26)&amp;IF($AK26=""," "," "&amp;$AK26)&amp;IF($AO26="",""," "&amp;$AO26)&amp;IF($AM26=""," "," SERIES "&amp;$AM26)&amp;" "&amp;IFERROR(VLOOKUP($H26,CODES,2,FALSE),"")))</f>
        <v/>
      </c>
      <c r="BS26" s="49">
        <f>IF(BV26="","",IF(COUNTIF($BV$6:BV26,BV26)=1,MAX($BS$5:BS25)+1,INDEX($BS$5:BS25,MATCH(BV26,$BV$5:BV25,0))))</f>
        <v/>
      </c>
      <c r="BT26" s="49">
        <f>IF(NOT(AND($A26&lt;&gt;"",$C26&lt;&gt;"DOOR ONLY")),"",MAX($BT$5:BT25)+1)</f>
        <v/>
      </c>
      <c r="BU26" s="49">
        <f>IF(NOT(AND($A26&lt;&gt;"",N($BC26)&gt;0)),"",MAX($BU$5:BU25)+1)</f>
        <v/>
      </c>
      <c r="BV26" s="49">
        <f>IF(OR($A26="",$BA26="",$BB26=""),"",$AZ26&amp;"|"&amp;$O26&amp;"|"&amp;$AL26&amp;"|"&amp;$S26&amp;"|"&amp;$P26&amp;"|"&amp;$Q26&amp;$R26&amp;"|"&amp;$C26&amp;"|"&amp;$AB26)</f>
        <v/>
      </c>
      <c r="BW26" s="49">
        <f>IF($A26="","",IF($B26="","qty, ","")&amp;IF($C26="","scope, ","")&amp;IF(OR($K26="",$M26=""),"size, ","")&amp;IF(AND($A26&lt;&gt;"",$C26&lt;&gt;"DOOR ONLY"),IF($U26="","jamb depth, ","")&amp;IF($X26="","construction, ","")&amp;IF($Y26="","anchor, ","")&amp;IF($S26="","frame type, ",""),"")&amp;IF(AND(N($BC26)&gt;0,$Z26=""),"hand, ","")&amp;IF(N($BC26)&gt;0,IF($AH26="","door material, ","")&amp;IF($AL26="","face type, ","")&amp;IF($AQ26="","lock prep, ","")&amp;IF(AND($AP26="",$AC26=""),"hinge prep, ",""),"")&amp;IF(AND($BO26&gt;0,$AH26="FRP"),"FRP cannot carry a label, ","")&amp;IF(AND($O26="Y",OR($Z26="L",$Z26="R",$Z26="LR",$Z26="RR")),"pair marked but hand is single, ","")&amp;IF(AND($O26&lt;&gt;"Y",OR($Z26="PR",AND(LEN($Z26)&gt;1,ISNUMBER(SEARCH("-",$Z26))))),"pair hand on a single door, ","")&amp;IF(AND(ISNUMBER($BP26),$BO26&lt;N($BP26)),"wall needs a "&amp;$BP26&amp;" min door, ","")&amp;IF(AND($BO26&gt;=180,AND(OR($BL26="FG",$BL26="HG",$BL26="FNV",$BL26="FV"),N($BM26)*N($BN26)&gt;100)),"180 min lite over 100 sq in, ","")&amp;IF(N($BD26)&gt;48,"leaf wider than 4'-0"&amp;CHAR(34)&amp;", ",""))</f>
        <v/>
      </c>
      <c r="BX26" s="49">
        <f>IF($A26="","",IF(AND($BO26&gt;0,AND($A26&lt;&gt;"",$C26&lt;&gt;"DOOR ONLY"),$X26="KD",$E26="EXTERIOR"),"KD label on an exterior opening, ","")&amp;IF(AND($E26="EXTERIOR",OR(AND(AND($A26&lt;&gt;"",$C26&lt;&gt;"DOOR ONLY"),$W26="CR"),AND(N($BC26)&gt;0,$AH26="CR"))),"exterior in CR steel (G9?), ","")&amp;IF(AND(ISNUMBER($BJ26),N($BJ26)&lt;32),"clear width ~"&amp;TEXT($BJ26,"0.0")&amp;CHAR(34)&amp;" under 32"&amp;CHAR(34)&amp;" (ADA), ","")&amp;IF(AND($BO26=90,AND(OR($BL26="FG",$BL26="HG",$BL26="FNV",$BL26="FV"),N($BM26)*N($BN26)&gt;100)),"90 min lite over 100 sq in (stair/exit), ","")&amp;IF(AND($BO26&gt;0,AND($A26&lt;&gt;"",$C26&lt;&gt;"DOOR ONLY"),OR($AF26="",$AF26="-")),"rated: closer reinf.?, ","")&amp;IF(OR($I26="CORRIDOR",$I26="SMOKE BARRIER"),"S label + smoke gasketing, ","")&amp;IF($BP26="?","wall type/hr not in IBC table, ","")&amp;IF(AND(N($BC26)&gt;0,$AU26=""),"no hardware set, ","")&amp;IF(AND($AU26&lt;&gt;"",ISNA(MATCH($AU26,HWSets,0))),"set "&amp;$AU26&amp;" not on Hardware sheet, ","")&amp;IF(N($BE26)&gt;96,"leaf over 8'-0"&amp;CHAR(34)&amp;" - check listing, ",""))</f>
        <v/>
      </c>
    </row>
    <row r="27" ht="15" customHeight="1">
      <c r="A27" s="44" t="n"/>
      <c r="B27" s="45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6" t="n"/>
      <c r="T27" s="46" t="n"/>
      <c r="U27" s="46" t="n"/>
      <c r="V27" s="46" t="n"/>
      <c r="W27" s="46" t="n"/>
      <c r="X27" s="46" t="n"/>
      <c r="Y27" s="46" t="n"/>
      <c r="Z27" s="46" t="n"/>
      <c r="AA27" s="46" t="n"/>
      <c r="AB27" s="46" t="n"/>
      <c r="AC27" s="46" t="n"/>
      <c r="AD27" s="46" t="n"/>
      <c r="AE27" s="46" t="n"/>
      <c r="AF27" s="46" t="n"/>
      <c r="AG27" s="46" t="n"/>
      <c r="AH27" s="47" t="n"/>
      <c r="AI27" s="47" t="n"/>
      <c r="AJ27" s="47" t="n"/>
      <c r="AK27" s="47" t="n"/>
      <c r="AL27" s="47" t="n"/>
      <c r="AM27" s="47" t="n"/>
      <c r="AN27" s="47" t="n"/>
      <c r="AO27" s="47" t="n"/>
      <c r="AP27" s="47" t="n"/>
      <c r="AQ27" s="47" t="n"/>
      <c r="AR27" s="47" t="n"/>
      <c r="AS27" s="47" t="n"/>
      <c r="AT27" s="47" t="n"/>
      <c r="AU27" s="48" t="n"/>
      <c r="AV27" s="48" t="n"/>
      <c r="AW27" s="49">
        <f>IF($A27="","",IF($BW27&lt;&gt;"","FIX",IF($BX27&lt;&gt;"","CHECK","OK")))</f>
        <v/>
      </c>
      <c r="AX27" s="50">
        <f>IF($A27="","",IF($BW27&lt;&gt;"","FIX: "&amp;LEFT($BW27,LEN($BW27)-2)&amp;IF($BX27&lt;&gt;"","  ·  ",""),"")&amp;IF($BX27&lt;&gt;"","CHECK: "&amp;LEFT($BX27,LEN($BX27)-2),""))</f>
        <v/>
      </c>
      <c r="AY27" s="49">
        <f>IF(OR($A27="",$K27=""),"",$K27&amp;"'-"&amp;N($L27)&amp;CHAR(34)&amp;" x "&amp;$M27&amp;"'-"&amp;N($N27)&amp;CHAR(34))</f>
        <v/>
      </c>
      <c r="AZ27" s="49">
        <f>IF(OR($A27="",$K27=""),"",$K27&amp;N($L27)&amp;$M27&amp;N($N27))</f>
        <v/>
      </c>
      <c r="BA27" s="49">
        <f>IF(OR($A27="",$K27=""),"",$K27*12+N($L27))</f>
        <v/>
      </c>
      <c r="BB27" s="49">
        <f>IF(OR($A27="",$M27=""),"",$M27*12+N($N27))</f>
        <v/>
      </c>
      <c r="BC27" s="49">
        <f>IF($A27="","",IF(OR($C27="FRAME ONLY",$S27="BL"),0,IF($O27="Y",2,1)))</f>
        <v/>
      </c>
      <c r="BD27" s="51">
        <f>IF(OR(N($BC27)=0,$BA27=""),"",($BA27-2*EdgeClr-IF($BC27=2,MeetClr,0))/$BC27)</f>
        <v/>
      </c>
      <c r="BE27" s="51">
        <f>IF(OR(N($BC27)=0,$BB27=""),"",$BB27-HeadClr-Undercut)</f>
        <v/>
      </c>
      <c r="BF27" s="51">
        <f>IF($BA27="","",$BA27+2*FaceW+IF(N($Q27)&gt;0,($Q27+FaceW)*IF($R27="LR",2,1),0))</f>
        <v/>
      </c>
      <c r="BG27" s="51">
        <f>IF($BB27="","",$BB27+IF($AB27="Y",4,FaceW)+IF(N($P27)&gt;0,$P27+FaceW,0)+IF(OR($S27="4F",$S27="BL"),FaceW,0))</f>
        <v/>
      </c>
      <c r="BH27" s="51">
        <f>IF($BF27="","",$BF27+2*ROSide)</f>
        <v/>
      </c>
      <c r="BI27" s="51">
        <f>IF($BG27="","",$BG27+ROTop)</f>
        <v/>
      </c>
      <c r="BJ27" s="52">
        <f>IF(OR(N($BC27)=0,$BA27=""),"",$BA27/$BC27-ClearDeduct)</f>
        <v/>
      </c>
      <c r="BK27" s="49">
        <f>IF(OR(N($BC27)=0,$BE27=""),"",IF(OR($AC27="HGC",$AP27="HGC"),"CONT",IF($BE27&lt;=60,2,IF($BE27&lt;=90,3,IF($BE27&lt;=120,4,5)))))</f>
        <v/>
      </c>
      <c r="BL27" s="49">
        <f>IF(N($BC27)=0,"",IF(OR($AL27="",$AL27="FLUSH"),"FLUSH",IFERROR(LEFT($AL27,FIND("-",$AL27)-1),LEFT($AL27,2))))</f>
        <v/>
      </c>
      <c r="BM27" s="49">
        <f>IF($BL27="","",IFERROR(VALUE(MID($AL27,FIND("-",$AL27)+1,FIND(CHAR(34)&amp;"x",$AL27)-FIND("-",$AL27)-1)),0))</f>
        <v/>
      </c>
      <c r="BN27" s="49">
        <f>IF($BL27="","",IFERROR(VALUE(MID($AL27,FIND(CHAR(34)&amp;"x",$AL27)+2,FIND(CHAR(34),$AL27,FIND(CHAR(34)&amp;"x",$AL27)+2)-FIND(CHAR(34)&amp;"x",$AL27)-2)),0))</f>
        <v/>
      </c>
      <c r="BO27" s="53">
        <f>IF(OR($A27="",$H27="",$H27="NO LAB"),0,IFERROR(VALUE(LEFT($H27,FIND(" ",$H27)-1)),0))</f>
        <v/>
      </c>
      <c r="BP27" s="54">
        <f>IF(OR($A27="",$I27="",$I27="NON-RATED",N($J27)=0),"",IFERROR(VLOOKUP($I27&amp;"|"&amp;$J27,IBC,2,FALSE),"?"))</f>
        <v/>
      </c>
      <c r="BQ27" s="50">
        <f>IF(NOT(AND($A27&lt;&gt;"",$C27&lt;&gt;"DOOR ONLY")),"",TRIM(IFERROR(VLOOKUP($U27,CODES,2,FALSE),"")&amp;" "&amp;$AZ27&amp;" "&amp;IFERROR(VLOOKUP($Z27,CODES,2,FALSE),"")&amp;" "&amp;IFERROR(VLOOKUP($X27,CODES,2,FALSE),"")&amp;" "&amp;IFERROR(VLOOKUP($S27,CODES,2,FALSE),"")&amp;IF(N($P27)&gt;0," w/TRANSOM "&amp;$P27&amp;CHAR(34),"")&amp;IF(N($Q27)&gt;0," w/SIDELITE "&amp;$Q27&amp;CHAR(34)&amp;" "&amp;IF($R27="","R",$R27),"")&amp;IF($Y27="","  |  "," | "&amp;IFERROR(VLOOKUP($Y27,CODES,2,FALSE),"")&amp;" | ")&amp;IFERROR(VLOOKUP($AC27,CODES,2,FALSE),"")&amp;" "&amp;IFERROR(VLOOKUP($AD27,CODES,2,FALSE),"")&amp;IF(OR($AE27="",$AE27="-"),""," "&amp;$AE27)&amp;IF(OR($AF27="",$AF27="-"),""," "&amp;$AF27)&amp;IF($AB27="Y"," 4"&amp;CHAR(34)&amp;" HEAD","")&amp;" "&amp;IFERROR(VLOOKUP($H27,CODES,2,FALSE),"")))</f>
        <v/>
      </c>
      <c r="BR27" s="50">
        <f>IF(NOT(AND($A27&lt;&gt;"",N($BC27)&gt;0)),"",TRIM(IFERROR(VLOOKUP($AH27,CODES,2,FALSE),"")&amp;IF($AI27=""," "," "&amp;$AI27&amp;"GA ")&amp;$AZ27&amp;" "&amp;IF($AN27="",IFERROR(VLOOKUP($Z27,CODES,2,FALSE),""),IFERROR(VLOOKUP($AN27,CODES,2,FALSE),""))&amp;IF($BC27=2," PAIR","")&amp;" DOOR | "&amp;IF($AL27="","?",$AL27)&amp;" | "&amp;IF($AP27="",IFERROR(VLOOKUP($AC27,CODES,2,FALSE),""),IFERROR(VLOOKUP($AP27,CODES,2,FALSE),""))&amp;" "&amp;IFERROR(VLOOKUP($AQ27,CODES,2,FALSE),"")&amp;IF(OR($AR27="",$AR27="-"),""," SEAM "&amp;$AR27)&amp;IF($AS27="Y"," ASTRAGAL","")&amp;IF($AJ27=""," "," "&amp;$AJ27)&amp;IF($AK27=""," "," "&amp;$AK27)&amp;IF($AO27="",""," "&amp;$AO27)&amp;IF($AM27=""," "," SERIES "&amp;$AM27)&amp;" "&amp;IFERROR(VLOOKUP($H27,CODES,2,FALSE),"")))</f>
        <v/>
      </c>
      <c r="BS27" s="49">
        <f>IF(BV27="","",IF(COUNTIF($BV$6:BV27,BV27)=1,MAX($BS$5:BS26)+1,INDEX($BS$5:BS26,MATCH(BV27,$BV$5:BV26,0))))</f>
        <v/>
      </c>
      <c r="BT27" s="49">
        <f>IF(NOT(AND($A27&lt;&gt;"",$C27&lt;&gt;"DOOR ONLY")),"",MAX($BT$5:BT26)+1)</f>
        <v/>
      </c>
      <c r="BU27" s="49">
        <f>IF(NOT(AND($A27&lt;&gt;"",N($BC27)&gt;0)),"",MAX($BU$5:BU26)+1)</f>
        <v/>
      </c>
      <c r="BV27" s="49">
        <f>IF(OR($A27="",$BA27="",$BB27=""),"",$AZ27&amp;"|"&amp;$O27&amp;"|"&amp;$AL27&amp;"|"&amp;$S27&amp;"|"&amp;$P27&amp;"|"&amp;$Q27&amp;$R27&amp;"|"&amp;$C27&amp;"|"&amp;$AB27)</f>
        <v/>
      </c>
      <c r="BW27" s="49">
        <f>IF($A27="","",IF($B27="","qty, ","")&amp;IF($C27="","scope, ","")&amp;IF(OR($K27="",$M27=""),"size, ","")&amp;IF(AND($A27&lt;&gt;"",$C27&lt;&gt;"DOOR ONLY"),IF($U27="","jamb depth, ","")&amp;IF($X27="","construction, ","")&amp;IF($Y27="","anchor, ","")&amp;IF($S27="","frame type, ",""),"")&amp;IF(AND(N($BC27)&gt;0,$Z27=""),"hand, ","")&amp;IF(N($BC27)&gt;0,IF($AH27="","door material, ","")&amp;IF($AL27="","face type, ","")&amp;IF($AQ27="","lock prep, ","")&amp;IF(AND($AP27="",$AC27=""),"hinge prep, ",""),"")&amp;IF(AND($BO27&gt;0,$AH27="FRP"),"FRP cannot carry a label, ","")&amp;IF(AND($O27="Y",OR($Z27="L",$Z27="R",$Z27="LR",$Z27="RR")),"pair marked but hand is single, ","")&amp;IF(AND($O27&lt;&gt;"Y",OR($Z27="PR",AND(LEN($Z27)&gt;1,ISNUMBER(SEARCH("-",$Z27))))),"pair hand on a single door, ","")&amp;IF(AND(ISNUMBER($BP27),$BO27&lt;N($BP27)),"wall needs a "&amp;$BP27&amp;" min door, ","")&amp;IF(AND($BO27&gt;=180,AND(OR($BL27="FG",$BL27="HG",$BL27="FNV",$BL27="FV"),N($BM27)*N($BN27)&gt;100)),"180 min lite over 100 sq in, ","")&amp;IF(N($BD27)&gt;48,"leaf wider than 4'-0"&amp;CHAR(34)&amp;", ",""))</f>
        <v/>
      </c>
      <c r="BX27" s="49">
        <f>IF($A27="","",IF(AND($BO27&gt;0,AND($A27&lt;&gt;"",$C27&lt;&gt;"DOOR ONLY"),$X27="KD",$E27="EXTERIOR"),"KD label on an exterior opening, ","")&amp;IF(AND($E27="EXTERIOR",OR(AND(AND($A27&lt;&gt;"",$C27&lt;&gt;"DOOR ONLY"),$W27="CR"),AND(N($BC27)&gt;0,$AH27="CR"))),"exterior in CR steel (G9?), ","")&amp;IF(AND(ISNUMBER($BJ27),N($BJ27)&lt;32),"clear width ~"&amp;TEXT($BJ27,"0.0")&amp;CHAR(34)&amp;" under 32"&amp;CHAR(34)&amp;" (ADA), ","")&amp;IF(AND($BO27=90,AND(OR($BL27="FG",$BL27="HG",$BL27="FNV",$BL27="FV"),N($BM27)*N($BN27)&gt;100)),"90 min lite over 100 sq in (stair/exit), ","")&amp;IF(AND($BO27&gt;0,AND($A27&lt;&gt;"",$C27&lt;&gt;"DOOR ONLY"),OR($AF27="",$AF27="-")),"rated: closer reinf.?, ","")&amp;IF(OR($I27="CORRIDOR",$I27="SMOKE BARRIER"),"S label + smoke gasketing, ","")&amp;IF($BP27="?","wall type/hr not in IBC table, ","")&amp;IF(AND(N($BC27)&gt;0,$AU27=""),"no hardware set, ","")&amp;IF(AND($AU27&lt;&gt;"",ISNA(MATCH($AU27,HWSets,0))),"set "&amp;$AU27&amp;" not on Hardware sheet, ","")&amp;IF(N($BE27)&gt;96,"leaf over 8'-0"&amp;CHAR(34)&amp;" - check listing, ",""))</f>
        <v/>
      </c>
    </row>
    <row r="28" ht="15" customHeight="1">
      <c r="A28" s="44" t="n"/>
      <c r="B28" s="45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6" t="n"/>
      <c r="AB28" s="46" t="n"/>
      <c r="AC28" s="46" t="n"/>
      <c r="AD28" s="46" t="n"/>
      <c r="AE28" s="46" t="n"/>
      <c r="AF28" s="46" t="n"/>
      <c r="AG28" s="46" t="n"/>
      <c r="AH28" s="47" t="n"/>
      <c r="AI28" s="47" t="n"/>
      <c r="AJ28" s="47" t="n"/>
      <c r="AK28" s="47" t="n"/>
      <c r="AL28" s="47" t="n"/>
      <c r="AM28" s="47" t="n"/>
      <c r="AN28" s="47" t="n"/>
      <c r="AO28" s="47" t="n"/>
      <c r="AP28" s="47" t="n"/>
      <c r="AQ28" s="47" t="n"/>
      <c r="AR28" s="47" t="n"/>
      <c r="AS28" s="47" t="n"/>
      <c r="AT28" s="47" t="n"/>
      <c r="AU28" s="48" t="n"/>
      <c r="AV28" s="48" t="n"/>
      <c r="AW28" s="49">
        <f>IF($A28="","",IF($BW28&lt;&gt;"","FIX",IF($BX28&lt;&gt;"","CHECK","OK")))</f>
        <v/>
      </c>
      <c r="AX28" s="50">
        <f>IF($A28="","",IF($BW28&lt;&gt;"","FIX: "&amp;LEFT($BW28,LEN($BW28)-2)&amp;IF($BX28&lt;&gt;"","  ·  ",""),"")&amp;IF($BX28&lt;&gt;"","CHECK: "&amp;LEFT($BX28,LEN($BX28)-2),""))</f>
        <v/>
      </c>
      <c r="AY28" s="49">
        <f>IF(OR($A28="",$K28=""),"",$K28&amp;"'-"&amp;N($L28)&amp;CHAR(34)&amp;" x "&amp;$M28&amp;"'-"&amp;N($N28)&amp;CHAR(34))</f>
        <v/>
      </c>
      <c r="AZ28" s="49">
        <f>IF(OR($A28="",$K28=""),"",$K28&amp;N($L28)&amp;$M28&amp;N($N28))</f>
        <v/>
      </c>
      <c r="BA28" s="49">
        <f>IF(OR($A28="",$K28=""),"",$K28*12+N($L28))</f>
        <v/>
      </c>
      <c r="BB28" s="49">
        <f>IF(OR($A28="",$M28=""),"",$M28*12+N($N28))</f>
        <v/>
      </c>
      <c r="BC28" s="49">
        <f>IF($A28="","",IF(OR($C28="FRAME ONLY",$S28="BL"),0,IF($O28="Y",2,1)))</f>
        <v/>
      </c>
      <c r="BD28" s="51">
        <f>IF(OR(N($BC28)=0,$BA28=""),"",($BA28-2*EdgeClr-IF($BC28=2,MeetClr,0))/$BC28)</f>
        <v/>
      </c>
      <c r="BE28" s="51">
        <f>IF(OR(N($BC28)=0,$BB28=""),"",$BB28-HeadClr-Undercut)</f>
        <v/>
      </c>
      <c r="BF28" s="51">
        <f>IF($BA28="","",$BA28+2*FaceW+IF(N($Q28)&gt;0,($Q28+FaceW)*IF($R28="LR",2,1),0))</f>
        <v/>
      </c>
      <c r="BG28" s="51">
        <f>IF($BB28="","",$BB28+IF($AB28="Y",4,FaceW)+IF(N($P28)&gt;0,$P28+FaceW,0)+IF(OR($S28="4F",$S28="BL"),FaceW,0))</f>
        <v/>
      </c>
      <c r="BH28" s="51">
        <f>IF($BF28="","",$BF28+2*ROSide)</f>
        <v/>
      </c>
      <c r="BI28" s="51">
        <f>IF($BG28="","",$BG28+ROTop)</f>
        <v/>
      </c>
      <c r="BJ28" s="52">
        <f>IF(OR(N($BC28)=0,$BA28=""),"",$BA28/$BC28-ClearDeduct)</f>
        <v/>
      </c>
      <c r="BK28" s="49">
        <f>IF(OR(N($BC28)=0,$BE28=""),"",IF(OR($AC28="HGC",$AP28="HGC"),"CONT",IF($BE28&lt;=60,2,IF($BE28&lt;=90,3,IF($BE28&lt;=120,4,5)))))</f>
        <v/>
      </c>
      <c r="BL28" s="49">
        <f>IF(N($BC28)=0,"",IF(OR($AL28="",$AL28="FLUSH"),"FLUSH",IFERROR(LEFT($AL28,FIND("-",$AL28)-1),LEFT($AL28,2))))</f>
        <v/>
      </c>
      <c r="BM28" s="49">
        <f>IF($BL28="","",IFERROR(VALUE(MID($AL28,FIND("-",$AL28)+1,FIND(CHAR(34)&amp;"x",$AL28)-FIND("-",$AL28)-1)),0))</f>
        <v/>
      </c>
      <c r="BN28" s="49">
        <f>IF($BL28="","",IFERROR(VALUE(MID($AL28,FIND(CHAR(34)&amp;"x",$AL28)+2,FIND(CHAR(34),$AL28,FIND(CHAR(34)&amp;"x",$AL28)+2)-FIND(CHAR(34)&amp;"x",$AL28)-2)),0))</f>
        <v/>
      </c>
      <c r="BO28" s="53">
        <f>IF(OR($A28="",$H28="",$H28="NO LAB"),0,IFERROR(VALUE(LEFT($H28,FIND(" ",$H28)-1)),0))</f>
        <v/>
      </c>
      <c r="BP28" s="54">
        <f>IF(OR($A28="",$I28="",$I28="NON-RATED",N($J28)=0),"",IFERROR(VLOOKUP($I28&amp;"|"&amp;$J28,IBC,2,FALSE),"?"))</f>
        <v/>
      </c>
      <c r="BQ28" s="50">
        <f>IF(NOT(AND($A28&lt;&gt;"",$C28&lt;&gt;"DOOR ONLY")),"",TRIM(IFERROR(VLOOKUP($U28,CODES,2,FALSE),"")&amp;" "&amp;$AZ28&amp;" "&amp;IFERROR(VLOOKUP($Z28,CODES,2,FALSE),"")&amp;" "&amp;IFERROR(VLOOKUP($X28,CODES,2,FALSE),"")&amp;" "&amp;IFERROR(VLOOKUP($S28,CODES,2,FALSE),"")&amp;IF(N($P28)&gt;0," w/TRANSOM "&amp;$P28&amp;CHAR(34),"")&amp;IF(N($Q28)&gt;0," w/SIDELITE "&amp;$Q28&amp;CHAR(34)&amp;" "&amp;IF($R28="","R",$R28),"")&amp;IF($Y28="","  |  "," | "&amp;IFERROR(VLOOKUP($Y28,CODES,2,FALSE),"")&amp;" | ")&amp;IFERROR(VLOOKUP($AC28,CODES,2,FALSE),"")&amp;" "&amp;IFERROR(VLOOKUP($AD28,CODES,2,FALSE),"")&amp;IF(OR($AE28="",$AE28="-"),""," "&amp;$AE28)&amp;IF(OR($AF28="",$AF28="-"),""," "&amp;$AF28)&amp;IF($AB28="Y"," 4"&amp;CHAR(34)&amp;" HEAD","")&amp;" "&amp;IFERROR(VLOOKUP($H28,CODES,2,FALSE),"")))</f>
        <v/>
      </c>
      <c r="BR28" s="50">
        <f>IF(NOT(AND($A28&lt;&gt;"",N($BC28)&gt;0)),"",TRIM(IFERROR(VLOOKUP($AH28,CODES,2,FALSE),"")&amp;IF($AI28=""," "," "&amp;$AI28&amp;"GA ")&amp;$AZ28&amp;" "&amp;IF($AN28="",IFERROR(VLOOKUP($Z28,CODES,2,FALSE),""),IFERROR(VLOOKUP($AN28,CODES,2,FALSE),""))&amp;IF($BC28=2," PAIR","")&amp;" DOOR | "&amp;IF($AL28="","?",$AL28)&amp;" | "&amp;IF($AP28="",IFERROR(VLOOKUP($AC28,CODES,2,FALSE),""),IFERROR(VLOOKUP($AP28,CODES,2,FALSE),""))&amp;" "&amp;IFERROR(VLOOKUP($AQ28,CODES,2,FALSE),"")&amp;IF(OR($AR28="",$AR28="-"),""," SEAM "&amp;$AR28)&amp;IF($AS28="Y"," ASTRAGAL","")&amp;IF($AJ28=""," "," "&amp;$AJ28)&amp;IF($AK28=""," "," "&amp;$AK28)&amp;IF($AO28="",""," "&amp;$AO28)&amp;IF($AM28=""," "," SERIES "&amp;$AM28)&amp;" "&amp;IFERROR(VLOOKUP($H28,CODES,2,FALSE),"")))</f>
        <v/>
      </c>
      <c r="BS28" s="49">
        <f>IF(BV28="","",IF(COUNTIF($BV$6:BV28,BV28)=1,MAX($BS$5:BS27)+1,INDEX($BS$5:BS27,MATCH(BV28,$BV$5:BV27,0))))</f>
        <v/>
      </c>
      <c r="BT28" s="49">
        <f>IF(NOT(AND($A28&lt;&gt;"",$C28&lt;&gt;"DOOR ONLY")),"",MAX($BT$5:BT27)+1)</f>
        <v/>
      </c>
      <c r="BU28" s="49">
        <f>IF(NOT(AND($A28&lt;&gt;"",N($BC28)&gt;0)),"",MAX($BU$5:BU27)+1)</f>
        <v/>
      </c>
      <c r="BV28" s="49">
        <f>IF(OR($A28="",$BA28="",$BB28=""),"",$AZ28&amp;"|"&amp;$O28&amp;"|"&amp;$AL28&amp;"|"&amp;$S28&amp;"|"&amp;$P28&amp;"|"&amp;$Q28&amp;$R28&amp;"|"&amp;$C28&amp;"|"&amp;$AB28)</f>
        <v/>
      </c>
      <c r="BW28" s="49">
        <f>IF($A28="","",IF($B28="","qty, ","")&amp;IF($C28="","scope, ","")&amp;IF(OR($K28="",$M28=""),"size, ","")&amp;IF(AND($A28&lt;&gt;"",$C28&lt;&gt;"DOOR ONLY"),IF($U28="","jamb depth, ","")&amp;IF($X28="","construction, ","")&amp;IF($Y28="","anchor, ","")&amp;IF($S28="","frame type, ",""),"")&amp;IF(AND(N($BC28)&gt;0,$Z28=""),"hand, ","")&amp;IF(N($BC28)&gt;0,IF($AH28="","door material, ","")&amp;IF($AL28="","face type, ","")&amp;IF($AQ28="","lock prep, ","")&amp;IF(AND($AP28="",$AC28=""),"hinge prep, ",""),"")&amp;IF(AND($BO28&gt;0,$AH28="FRP"),"FRP cannot carry a label, ","")&amp;IF(AND($O28="Y",OR($Z28="L",$Z28="R",$Z28="LR",$Z28="RR")),"pair marked but hand is single, ","")&amp;IF(AND($O28&lt;&gt;"Y",OR($Z28="PR",AND(LEN($Z28)&gt;1,ISNUMBER(SEARCH("-",$Z28))))),"pair hand on a single door, ","")&amp;IF(AND(ISNUMBER($BP28),$BO28&lt;N($BP28)),"wall needs a "&amp;$BP28&amp;" min door, ","")&amp;IF(AND($BO28&gt;=180,AND(OR($BL28="FG",$BL28="HG",$BL28="FNV",$BL28="FV"),N($BM28)*N($BN28)&gt;100)),"180 min lite over 100 sq in, ","")&amp;IF(N($BD28)&gt;48,"leaf wider than 4'-0"&amp;CHAR(34)&amp;", ",""))</f>
        <v/>
      </c>
      <c r="BX28" s="49">
        <f>IF($A28="","",IF(AND($BO28&gt;0,AND($A28&lt;&gt;"",$C28&lt;&gt;"DOOR ONLY"),$X28="KD",$E28="EXTERIOR"),"KD label on an exterior opening, ","")&amp;IF(AND($E28="EXTERIOR",OR(AND(AND($A28&lt;&gt;"",$C28&lt;&gt;"DOOR ONLY"),$W28="CR"),AND(N($BC28)&gt;0,$AH28="CR"))),"exterior in CR steel (G9?), ","")&amp;IF(AND(ISNUMBER($BJ28),N($BJ28)&lt;32),"clear width ~"&amp;TEXT($BJ28,"0.0")&amp;CHAR(34)&amp;" under 32"&amp;CHAR(34)&amp;" (ADA), ","")&amp;IF(AND($BO28=90,AND(OR($BL28="FG",$BL28="HG",$BL28="FNV",$BL28="FV"),N($BM28)*N($BN28)&gt;100)),"90 min lite over 100 sq in (stair/exit), ","")&amp;IF(AND($BO28&gt;0,AND($A28&lt;&gt;"",$C28&lt;&gt;"DOOR ONLY"),OR($AF28="",$AF28="-")),"rated: closer reinf.?, ","")&amp;IF(OR($I28="CORRIDOR",$I28="SMOKE BARRIER"),"S label + smoke gasketing, ","")&amp;IF($BP28="?","wall type/hr not in IBC table, ","")&amp;IF(AND(N($BC28)&gt;0,$AU28=""),"no hardware set, ","")&amp;IF(AND($AU28&lt;&gt;"",ISNA(MATCH($AU28,HWSets,0))),"set "&amp;$AU28&amp;" not on Hardware sheet, ","")&amp;IF(N($BE28)&gt;96,"leaf over 8'-0"&amp;CHAR(34)&amp;" - check listing, ",""))</f>
        <v/>
      </c>
    </row>
    <row r="29" ht="15" customHeight="1">
      <c r="A29" s="44" t="n"/>
      <c r="B29" s="45" t="n"/>
      <c r="C29" s="45" t="n"/>
      <c r="D29" s="45" t="n"/>
      <c r="E29" s="45" t="n"/>
      <c r="F29" s="45" t="n"/>
      <c r="G29" s="45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6" t="n"/>
      <c r="AB29" s="46" t="n"/>
      <c r="AC29" s="46" t="n"/>
      <c r="AD29" s="46" t="n"/>
      <c r="AE29" s="46" t="n"/>
      <c r="AF29" s="46" t="n"/>
      <c r="AG29" s="46" t="n"/>
      <c r="AH29" s="47" t="n"/>
      <c r="AI29" s="47" t="n"/>
      <c r="AJ29" s="47" t="n"/>
      <c r="AK29" s="47" t="n"/>
      <c r="AL29" s="47" t="n"/>
      <c r="AM29" s="47" t="n"/>
      <c r="AN29" s="47" t="n"/>
      <c r="AO29" s="47" t="n"/>
      <c r="AP29" s="47" t="n"/>
      <c r="AQ29" s="47" t="n"/>
      <c r="AR29" s="47" t="n"/>
      <c r="AS29" s="47" t="n"/>
      <c r="AT29" s="47" t="n"/>
      <c r="AU29" s="48" t="n"/>
      <c r="AV29" s="48" t="n"/>
      <c r="AW29" s="49">
        <f>IF($A29="","",IF($BW29&lt;&gt;"","FIX",IF($BX29&lt;&gt;"","CHECK","OK")))</f>
        <v/>
      </c>
      <c r="AX29" s="50">
        <f>IF($A29="","",IF($BW29&lt;&gt;"","FIX: "&amp;LEFT($BW29,LEN($BW29)-2)&amp;IF($BX29&lt;&gt;"","  ·  ",""),"")&amp;IF($BX29&lt;&gt;"","CHECK: "&amp;LEFT($BX29,LEN($BX29)-2),""))</f>
        <v/>
      </c>
      <c r="AY29" s="49">
        <f>IF(OR($A29="",$K29=""),"",$K29&amp;"'-"&amp;N($L29)&amp;CHAR(34)&amp;" x "&amp;$M29&amp;"'-"&amp;N($N29)&amp;CHAR(34))</f>
        <v/>
      </c>
      <c r="AZ29" s="49">
        <f>IF(OR($A29="",$K29=""),"",$K29&amp;N($L29)&amp;$M29&amp;N($N29))</f>
        <v/>
      </c>
      <c r="BA29" s="49">
        <f>IF(OR($A29="",$K29=""),"",$K29*12+N($L29))</f>
        <v/>
      </c>
      <c r="BB29" s="49">
        <f>IF(OR($A29="",$M29=""),"",$M29*12+N($N29))</f>
        <v/>
      </c>
      <c r="BC29" s="49">
        <f>IF($A29="","",IF(OR($C29="FRAME ONLY",$S29="BL"),0,IF($O29="Y",2,1)))</f>
        <v/>
      </c>
      <c r="BD29" s="51">
        <f>IF(OR(N($BC29)=0,$BA29=""),"",($BA29-2*EdgeClr-IF($BC29=2,MeetClr,0))/$BC29)</f>
        <v/>
      </c>
      <c r="BE29" s="51">
        <f>IF(OR(N($BC29)=0,$BB29=""),"",$BB29-HeadClr-Undercut)</f>
        <v/>
      </c>
      <c r="BF29" s="51">
        <f>IF($BA29="","",$BA29+2*FaceW+IF(N($Q29)&gt;0,($Q29+FaceW)*IF($R29="LR",2,1),0))</f>
        <v/>
      </c>
      <c r="BG29" s="51">
        <f>IF($BB29="","",$BB29+IF($AB29="Y",4,FaceW)+IF(N($P29)&gt;0,$P29+FaceW,0)+IF(OR($S29="4F",$S29="BL"),FaceW,0))</f>
        <v/>
      </c>
      <c r="BH29" s="51">
        <f>IF($BF29="","",$BF29+2*ROSide)</f>
        <v/>
      </c>
      <c r="BI29" s="51">
        <f>IF($BG29="","",$BG29+ROTop)</f>
        <v/>
      </c>
      <c r="BJ29" s="52">
        <f>IF(OR(N($BC29)=0,$BA29=""),"",$BA29/$BC29-ClearDeduct)</f>
        <v/>
      </c>
      <c r="BK29" s="49">
        <f>IF(OR(N($BC29)=0,$BE29=""),"",IF(OR($AC29="HGC",$AP29="HGC"),"CONT",IF($BE29&lt;=60,2,IF($BE29&lt;=90,3,IF($BE29&lt;=120,4,5)))))</f>
        <v/>
      </c>
      <c r="BL29" s="49">
        <f>IF(N($BC29)=0,"",IF(OR($AL29="",$AL29="FLUSH"),"FLUSH",IFERROR(LEFT($AL29,FIND("-",$AL29)-1),LEFT($AL29,2))))</f>
        <v/>
      </c>
      <c r="BM29" s="49">
        <f>IF($BL29="","",IFERROR(VALUE(MID($AL29,FIND("-",$AL29)+1,FIND(CHAR(34)&amp;"x",$AL29)-FIND("-",$AL29)-1)),0))</f>
        <v/>
      </c>
      <c r="BN29" s="49">
        <f>IF($BL29="","",IFERROR(VALUE(MID($AL29,FIND(CHAR(34)&amp;"x",$AL29)+2,FIND(CHAR(34),$AL29,FIND(CHAR(34)&amp;"x",$AL29)+2)-FIND(CHAR(34)&amp;"x",$AL29)-2)),0))</f>
        <v/>
      </c>
      <c r="BO29" s="53">
        <f>IF(OR($A29="",$H29="",$H29="NO LAB"),0,IFERROR(VALUE(LEFT($H29,FIND(" ",$H29)-1)),0))</f>
        <v/>
      </c>
      <c r="BP29" s="54">
        <f>IF(OR($A29="",$I29="",$I29="NON-RATED",N($J29)=0),"",IFERROR(VLOOKUP($I29&amp;"|"&amp;$J29,IBC,2,FALSE),"?"))</f>
        <v/>
      </c>
      <c r="BQ29" s="50">
        <f>IF(NOT(AND($A29&lt;&gt;"",$C29&lt;&gt;"DOOR ONLY")),"",TRIM(IFERROR(VLOOKUP($U29,CODES,2,FALSE),"")&amp;" "&amp;$AZ29&amp;" "&amp;IFERROR(VLOOKUP($Z29,CODES,2,FALSE),"")&amp;" "&amp;IFERROR(VLOOKUP($X29,CODES,2,FALSE),"")&amp;" "&amp;IFERROR(VLOOKUP($S29,CODES,2,FALSE),"")&amp;IF(N($P29)&gt;0," w/TRANSOM "&amp;$P29&amp;CHAR(34),"")&amp;IF(N($Q29)&gt;0," w/SIDELITE "&amp;$Q29&amp;CHAR(34)&amp;" "&amp;IF($R29="","R",$R29),"")&amp;IF($Y29="","  |  "," | "&amp;IFERROR(VLOOKUP($Y29,CODES,2,FALSE),"")&amp;" | ")&amp;IFERROR(VLOOKUP($AC29,CODES,2,FALSE),"")&amp;" "&amp;IFERROR(VLOOKUP($AD29,CODES,2,FALSE),"")&amp;IF(OR($AE29="",$AE29="-"),""," "&amp;$AE29)&amp;IF(OR($AF29="",$AF29="-"),""," "&amp;$AF29)&amp;IF($AB29="Y"," 4"&amp;CHAR(34)&amp;" HEAD","")&amp;" "&amp;IFERROR(VLOOKUP($H29,CODES,2,FALSE),"")))</f>
        <v/>
      </c>
      <c r="BR29" s="50">
        <f>IF(NOT(AND($A29&lt;&gt;"",N($BC29)&gt;0)),"",TRIM(IFERROR(VLOOKUP($AH29,CODES,2,FALSE),"")&amp;IF($AI29=""," "," "&amp;$AI29&amp;"GA ")&amp;$AZ29&amp;" "&amp;IF($AN29="",IFERROR(VLOOKUP($Z29,CODES,2,FALSE),""),IFERROR(VLOOKUP($AN29,CODES,2,FALSE),""))&amp;IF($BC29=2," PAIR","")&amp;" DOOR | "&amp;IF($AL29="","?",$AL29)&amp;" | "&amp;IF($AP29="",IFERROR(VLOOKUP($AC29,CODES,2,FALSE),""),IFERROR(VLOOKUP($AP29,CODES,2,FALSE),""))&amp;" "&amp;IFERROR(VLOOKUP($AQ29,CODES,2,FALSE),"")&amp;IF(OR($AR29="",$AR29="-"),""," SEAM "&amp;$AR29)&amp;IF($AS29="Y"," ASTRAGAL","")&amp;IF($AJ29=""," "," "&amp;$AJ29)&amp;IF($AK29=""," "," "&amp;$AK29)&amp;IF($AO29="",""," "&amp;$AO29)&amp;IF($AM29=""," "," SERIES "&amp;$AM29)&amp;" "&amp;IFERROR(VLOOKUP($H29,CODES,2,FALSE),"")))</f>
        <v/>
      </c>
      <c r="BS29" s="49">
        <f>IF(BV29="","",IF(COUNTIF($BV$6:BV29,BV29)=1,MAX($BS$5:BS28)+1,INDEX($BS$5:BS28,MATCH(BV29,$BV$5:BV28,0))))</f>
        <v/>
      </c>
      <c r="BT29" s="49">
        <f>IF(NOT(AND($A29&lt;&gt;"",$C29&lt;&gt;"DOOR ONLY")),"",MAX($BT$5:BT28)+1)</f>
        <v/>
      </c>
      <c r="BU29" s="49">
        <f>IF(NOT(AND($A29&lt;&gt;"",N($BC29)&gt;0)),"",MAX($BU$5:BU28)+1)</f>
        <v/>
      </c>
      <c r="BV29" s="49">
        <f>IF(OR($A29="",$BA29="",$BB29=""),"",$AZ29&amp;"|"&amp;$O29&amp;"|"&amp;$AL29&amp;"|"&amp;$S29&amp;"|"&amp;$P29&amp;"|"&amp;$Q29&amp;$R29&amp;"|"&amp;$C29&amp;"|"&amp;$AB29)</f>
        <v/>
      </c>
      <c r="BW29" s="49">
        <f>IF($A29="","",IF($B29="","qty, ","")&amp;IF($C29="","scope, ","")&amp;IF(OR($K29="",$M29=""),"size, ","")&amp;IF(AND($A29&lt;&gt;"",$C29&lt;&gt;"DOOR ONLY"),IF($U29="","jamb depth, ","")&amp;IF($X29="","construction, ","")&amp;IF($Y29="","anchor, ","")&amp;IF($S29="","frame type, ",""),"")&amp;IF(AND(N($BC29)&gt;0,$Z29=""),"hand, ","")&amp;IF(N($BC29)&gt;0,IF($AH29="","door material, ","")&amp;IF($AL29="","face type, ","")&amp;IF($AQ29="","lock prep, ","")&amp;IF(AND($AP29="",$AC29=""),"hinge prep, ",""),"")&amp;IF(AND($BO29&gt;0,$AH29="FRP"),"FRP cannot carry a label, ","")&amp;IF(AND($O29="Y",OR($Z29="L",$Z29="R",$Z29="LR",$Z29="RR")),"pair marked but hand is single, ","")&amp;IF(AND($O29&lt;&gt;"Y",OR($Z29="PR",AND(LEN($Z29)&gt;1,ISNUMBER(SEARCH("-",$Z29))))),"pair hand on a single door, ","")&amp;IF(AND(ISNUMBER($BP29),$BO29&lt;N($BP29)),"wall needs a "&amp;$BP29&amp;" min door, ","")&amp;IF(AND($BO29&gt;=180,AND(OR($BL29="FG",$BL29="HG",$BL29="FNV",$BL29="FV"),N($BM29)*N($BN29)&gt;100)),"180 min lite over 100 sq in, ","")&amp;IF(N($BD29)&gt;48,"leaf wider than 4'-0"&amp;CHAR(34)&amp;", ",""))</f>
        <v/>
      </c>
      <c r="BX29" s="49">
        <f>IF($A29="","",IF(AND($BO29&gt;0,AND($A29&lt;&gt;"",$C29&lt;&gt;"DOOR ONLY"),$X29="KD",$E29="EXTERIOR"),"KD label on an exterior opening, ","")&amp;IF(AND($E29="EXTERIOR",OR(AND(AND($A29&lt;&gt;"",$C29&lt;&gt;"DOOR ONLY"),$W29="CR"),AND(N($BC29)&gt;0,$AH29="CR"))),"exterior in CR steel (G9?), ","")&amp;IF(AND(ISNUMBER($BJ29),N($BJ29)&lt;32),"clear width ~"&amp;TEXT($BJ29,"0.0")&amp;CHAR(34)&amp;" under 32"&amp;CHAR(34)&amp;" (ADA), ","")&amp;IF(AND($BO29=90,AND(OR($BL29="FG",$BL29="HG",$BL29="FNV",$BL29="FV"),N($BM29)*N($BN29)&gt;100)),"90 min lite over 100 sq in (stair/exit), ","")&amp;IF(AND($BO29&gt;0,AND($A29&lt;&gt;"",$C29&lt;&gt;"DOOR ONLY"),OR($AF29="",$AF29="-")),"rated: closer reinf.?, ","")&amp;IF(OR($I29="CORRIDOR",$I29="SMOKE BARRIER"),"S label + smoke gasketing, ","")&amp;IF($BP29="?","wall type/hr not in IBC table, ","")&amp;IF(AND(N($BC29)&gt;0,$AU29=""),"no hardware set, ","")&amp;IF(AND($AU29&lt;&gt;"",ISNA(MATCH($AU29,HWSets,0))),"set "&amp;$AU29&amp;" not on Hardware sheet, ","")&amp;IF(N($BE29)&gt;96,"leaf over 8'-0"&amp;CHAR(34)&amp;" - check listing, ",""))</f>
        <v/>
      </c>
    </row>
    <row r="30" ht="15" customHeight="1">
      <c r="A30" s="44" t="n"/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6" t="n"/>
      <c r="T30" s="46" t="n"/>
      <c r="U30" s="46" t="n"/>
      <c r="V30" s="46" t="n"/>
      <c r="W30" s="46" t="n"/>
      <c r="X30" s="46" t="n"/>
      <c r="Y30" s="46" t="n"/>
      <c r="Z30" s="46" t="n"/>
      <c r="AA30" s="46" t="n"/>
      <c r="AB30" s="46" t="n"/>
      <c r="AC30" s="46" t="n"/>
      <c r="AD30" s="46" t="n"/>
      <c r="AE30" s="46" t="n"/>
      <c r="AF30" s="46" t="n"/>
      <c r="AG30" s="46" t="n"/>
      <c r="AH30" s="47" t="n"/>
      <c r="AI30" s="47" t="n"/>
      <c r="AJ30" s="47" t="n"/>
      <c r="AK30" s="47" t="n"/>
      <c r="AL30" s="47" t="n"/>
      <c r="AM30" s="47" t="n"/>
      <c r="AN30" s="47" t="n"/>
      <c r="AO30" s="47" t="n"/>
      <c r="AP30" s="47" t="n"/>
      <c r="AQ30" s="47" t="n"/>
      <c r="AR30" s="47" t="n"/>
      <c r="AS30" s="47" t="n"/>
      <c r="AT30" s="47" t="n"/>
      <c r="AU30" s="48" t="n"/>
      <c r="AV30" s="48" t="n"/>
      <c r="AW30" s="49">
        <f>IF($A30="","",IF($BW30&lt;&gt;"","FIX",IF($BX30&lt;&gt;"","CHECK","OK")))</f>
        <v/>
      </c>
      <c r="AX30" s="50">
        <f>IF($A30="","",IF($BW30&lt;&gt;"","FIX: "&amp;LEFT($BW30,LEN($BW30)-2)&amp;IF($BX30&lt;&gt;"","  ·  ",""),"")&amp;IF($BX30&lt;&gt;"","CHECK: "&amp;LEFT($BX30,LEN($BX30)-2),""))</f>
        <v/>
      </c>
      <c r="AY30" s="49">
        <f>IF(OR($A30="",$K30=""),"",$K30&amp;"'-"&amp;N($L30)&amp;CHAR(34)&amp;" x "&amp;$M30&amp;"'-"&amp;N($N30)&amp;CHAR(34))</f>
        <v/>
      </c>
      <c r="AZ30" s="49">
        <f>IF(OR($A30="",$K30=""),"",$K30&amp;N($L30)&amp;$M30&amp;N($N30))</f>
        <v/>
      </c>
      <c r="BA30" s="49">
        <f>IF(OR($A30="",$K30=""),"",$K30*12+N($L30))</f>
        <v/>
      </c>
      <c r="BB30" s="49">
        <f>IF(OR($A30="",$M30=""),"",$M30*12+N($N30))</f>
        <v/>
      </c>
      <c r="BC30" s="49">
        <f>IF($A30="","",IF(OR($C30="FRAME ONLY",$S30="BL"),0,IF($O30="Y",2,1)))</f>
        <v/>
      </c>
      <c r="BD30" s="51">
        <f>IF(OR(N($BC30)=0,$BA30=""),"",($BA30-2*EdgeClr-IF($BC30=2,MeetClr,0))/$BC30)</f>
        <v/>
      </c>
      <c r="BE30" s="51">
        <f>IF(OR(N($BC30)=0,$BB30=""),"",$BB30-HeadClr-Undercut)</f>
        <v/>
      </c>
      <c r="BF30" s="51">
        <f>IF($BA30="","",$BA30+2*FaceW+IF(N($Q30)&gt;0,($Q30+FaceW)*IF($R30="LR",2,1),0))</f>
        <v/>
      </c>
      <c r="BG30" s="51">
        <f>IF($BB30="","",$BB30+IF($AB30="Y",4,FaceW)+IF(N($P30)&gt;0,$P30+FaceW,0)+IF(OR($S30="4F",$S30="BL"),FaceW,0))</f>
        <v/>
      </c>
      <c r="BH30" s="51">
        <f>IF($BF30="","",$BF30+2*ROSide)</f>
        <v/>
      </c>
      <c r="BI30" s="51">
        <f>IF($BG30="","",$BG30+ROTop)</f>
        <v/>
      </c>
      <c r="BJ30" s="52">
        <f>IF(OR(N($BC30)=0,$BA30=""),"",$BA30/$BC30-ClearDeduct)</f>
        <v/>
      </c>
      <c r="BK30" s="49">
        <f>IF(OR(N($BC30)=0,$BE30=""),"",IF(OR($AC30="HGC",$AP30="HGC"),"CONT",IF($BE30&lt;=60,2,IF($BE30&lt;=90,3,IF($BE30&lt;=120,4,5)))))</f>
        <v/>
      </c>
      <c r="BL30" s="49">
        <f>IF(N($BC30)=0,"",IF(OR($AL30="",$AL30="FLUSH"),"FLUSH",IFERROR(LEFT($AL30,FIND("-",$AL30)-1),LEFT($AL30,2))))</f>
        <v/>
      </c>
      <c r="BM30" s="49">
        <f>IF($BL30="","",IFERROR(VALUE(MID($AL30,FIND("-",$AL30)+1,FIND(CHAR(34)&amp;"x",$AL30)-FIND("-",$AL30)-1)),0))</f>
        <v/>
      </c>
      <c r="BN30" s="49">
        <f>IF($BL30="","",IFERROR(VALUE(MID($AL30,FIND(CHAR(34)&amp;"x",$AL30)+2,FIND(CHAR(34),$AL30,FIND(CHAR(34)&amp;"x",$AL30)+2)-FIND(CHAR(34)&amp;"x",$AL30)-2)),0))</f>
        <v/>
      </c>
      <c r="BO30" s="53">
        <f>IF(OR($A30="",$H30="",$H30="NO LAB"),0,IFERROR(VALUE(LEFT($H30,FIND(" ",$H30)-1)),0))</f>
        <v/>
      </c>
      <c r="BP30" s="54">
        <f>IF(OR($A30="",$I30="",$I30="NON-RATED",N($J30)=0),"",IFERROR(VLOOKUP($I30&amp;"|"&amp;$J30,IBC,2,FALSE),"?"))</f>
        <v/>
      </c>
      <c r="BQ30" s="50">
        <f>IF(NOT(AND($A30&lt;&gt;"",$C30&lt;&gt;"DOOR ONLY")),"",TRIM(IFERROR(VLOOKUP($U30,CODES,2,FALSE),"")&amp;" "&amp;$AZ30&amp;" "&amp;IFERROR(VLOOKUP($Z30,CODES,2,FALSE),"")&amp;" "&amp;IFERROR(VLOOKUP($X30,CODES,2,FALSE),"")&amp;" "&amp;IFERROR(VLOOKUP($S30,CODES,2,FALSE),"")&amp;IF(N($P30)&gt;0," w/TRANSOM "&amp;$P30&amp;CHAR(34),"")&amp;IF(N($Q30)&gt;0," w/SIDELITE "&amp;$Q30&amp;CHAR(34)&amp;" "&amp;IF($R30="","R",$R30),"")&amp;IF($Y30="","  |  "," | "&amp;IFERROR(VLOOKUP($Y30,CODES,2,FALSE),"")&amp;" | ")&amp;IFERROR(VLOOKUP($AC30,CODES,2,FALSE),"")&amp;" "&amp;IFERROR(VLOOKUP($AD30,CODES,2,FALSE),"")&amp;IF(OR($AE30="",$AE30="-"),""," "&amp;$AE30)&amp;IF(OR($AF30="",$AF30="-"),""," "&amp;$AF30)&amp;IF($AB30="Y"," 4"&amp;CHAR(34)&amp;" HEAD","")&amp;" "&amp;IFERROR(VLOOKUP($H30,CODES,2,FALSE),"")))</f>
        <v/>
      </c>
      <c r="BR30" s="50">
        <f>IF(NOT(AND($A30&lt;&gt;"",N($BC30)&gt;0)),"",TRIM(IFERROR(VLOOKUP($AH30,CODES,2,FALSE),"")&amp;IF($AI30=""," "," "&amp;$AI30&amp;"GA ")&amp;$AZ30&amp;" "&amp;IF($AN30="",IFERROR(VLOOKUP($Z30,CODES,2,FALSE),""),IFERROR(VLOOKUP($AN30,CODES,2,FALSE),""))&amp;IF($BC30=2," PAIR","")&amp;" DOOR | "&amp;IF($AL30="","?",$AL30)&amp;" | "&amp;IF($AP30="",IFERROR(VLOOKUP($AC30,CODES,2,FALSE),""),IFERROR(VLOOKUP($AP30,CODES,2,FALSE),""))&amp;" "&amp;IFERROR(VLOOKUP($AQ30,CODES,2,FALSE),"")&amp;IF(OR($AR30="",$AR30="-"),""," SEAM "&amp;$AR30)&amp;IF($AS30="Y"," ASTRAGAL","")&amp;IF($AJ30=""," "," "&amp;$AJ30)&amp;IF($AK30=""," "," "&amp;$AK30)&amp;IF($AO30="",""," "&amp;$AO30)&amp;IF($AM30=""," "," SERIES "&amp;$AM30)&amp;" "&amp;IFERROR(VLOOKUP($H30,CODES,2,FALSE),"")))</f>
        <v/>
      </c>
      <c r="BS30" s="49">
        <f>IF(BV30="","",IF(COUNTIF($BV$6:BV30,BV30)=1,MAX($BS$5:BS29)+1,INDEX($BS$5:BS29,MATCH(BV30,$BV$5:BV29,0))))</f>
        <v/>
      </c>
      <c r="BT30" s="49">
        <f>IF(NOT(AND($A30&lt;&gt;"",$C30&lt;&gt;"DOOR ONLY")),"",MAX($BT$5:BT29)+1)</f>
        <v/>
      </c>
      <c r="BU30" s="49">
        <f>IF(NOT(AND($A30&lt;&gt;"",N($BC30)&gt;0)),"",MAX($BU$5:BU29)+1)</f>
        <v/>
      </c>
      <c r="BV30" s="49">
        <f>IF(OR($A30="",$BA30="",$BB30=""),"",$AZ30&amp;"|"&amp;$O30&amp;"|"&amp;$AL30&amp;"|"&amp;$S30&amp;"|"&amp;$P30&amp;"|"&amp;$Q30&amp;$R30&amp;"|"&amp;$C30&amp;"|"&amp;$AB30)</f>
        <v/>
      </c>
      <c r="BW30" s="49">
        <f>IF($A30="","",IF($B30="","qty, ","")&amp;IF($C30="","scope, ","")&amp;IF(OR($K30="",$M30=""),"size, ","")&amp;IF(AND($A30&lt;&gt;"",$C30&lt;&gt;"DOOR ONLY"),IF($U30="","jamb depth, ","")&amp;IF($X30="","construction, ","")&amp;IF($Y30="","anchor, ","")&amp;IF($S30="","frame type, ",""),"")&amp;IF(AND(N($BC30)&gt;0,$Z30=""),"hand, ","")&amp;IF(N($BC30)&gt;0,IF($AH30="","door material, ","")&amp;IF($AL30="","face type, ","")&amp;IF($AQ30="","lock prep, ","")&amp;IF(AND($AP30="",$AC30=""),"hinge prep, ",""),"")&amp;IF(AND($BO30&gt;0,$AH30="FRP"),"FRP cannot carry a label, ","")&amp;IF(AND($O30="Y",OR($Z30="L",$Z30="R",$Z30="LR",$Z30="RR")),"pair marked but hand is single, ","")&amp;IF(AND($O30&lt;&gt;"Y",OR($Z30="PR",AND(LEN($Z30)&gt;1,ISNUMBER(SEARCH("-",$Z30))))),"pair hand on a single door, ","")&amp;IF(AND(ISNUMBER($BP30),$BO30&lt;N($BP30)),"wall needs a "&amp;$BP30&amp;" min door, ","")&amp;IF(AND($BO30&gt;=180,AND(OR($BL30="FG",$BL30="HG",$BL30="FNV",$BL30="FV"),N($BM30)*N($BN30)&gt;100)),"180 min lite over 100 sq in, ","")&amp;IF(N($BD30)&gt;48,"leaf wider than 4'-0"&amp;CHAR(34)&amp;", ",""))</f>
        <v/>
      </c>
      <c r="BX30" s="49">
        <f>IF($A30="","",IF(AND($BO30&gt;0,AND($A30&lt;&gt;"",$C30&lt;&gt;"DOOR ONLY"),$X30="KD",$E30="EXTERIOR"),"KD label on an exterior opening, ","")&amp;IF(AND($E30="EXTERIOR",OR(AND(AND($A30&lt;&gt;"",$C30&lt;&gt;"DOOR ONLY"),$W30="CR"),AND(N($BC30)&gt;0,$AH30="CR"))),"exterior in CR steel (G9?), ","")&amp;IF(AND(ISNUMBER($BJ30),N($BJ30)&lt;32),"clear width ~"&amp;TEXT($BJ30,"0.0")&amp;CHAR(34)&amp;" under 32"&amp;CHAR(34)&amp;" (ADA), ","")&amp;IF(AND($BO30=90,AND(OR($BL30="FG",$BL30="HG",$BL30="FNV",$BL30="FV"),N($BM30)*N($BN30)&gt;100)),"90 min lite over 100 sq in (stair/exit), ","")&amp;IF(AND($BO30&gt;0,AND($A30&lt;&gt;"",$C30&lt;&gt;"DOOR ONLY"),OR($AF30="",$AF30="-")),"rated: closer reinf.?, ","")&amp;IF(OR($I30="CORRIDOR",$I30="SMOKE BARRIER"),"S label + smoke gasketing, ","")&amp;IF($BP30="?","wall type/hr not in IBC table, ","")&amp;IF(AND(N($BC30)&gt;0,$AU30=""),"no hardware set, ","")&amp;IF(AND($AU30&lt;&gt;"",ISNA(MATCH($AU30,HWSets,0))),"set "&amp;$AU30&amp;" not on Hardware sheet, ","")&amp;IF(N($BE30)&gt;96,"leaf over 8'-0"&amp;CHAR(34)&amp;" - check listing, ",""))</f>
        <v/>
      </c>
    </row>
    <row r="31" ht="15" customHeight="1">
      <c r="A31" s="44" t="n"/>
      <c r="B31" s="45" t="n"/>
      <c r="C31" s="45" t="n"/>
      <c r="D31" s="45" t="n"/>
      <c r="E31" s="45" t="n"/>
      <c r="F31" s="45" t="n"/>
      <c r="G31" s="45" t="n"/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/>
      <c r="Q31" s="45" t="n"/>
      <c r="R31" s="45" t="n"/>
      <c r="S31" s="46" t="n"/>
      <c r="T31" s="46" t="n"/>
      <c r="U31" s="46" t="n"/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46" t="n"/>
      <c r="AE31" s="46" t="n"/>
      <c r="AF31" s="46" t="n"/>
      <c r="AG31" s="46" t="n"/>
      <c r="AH31" s="47" t="n"/>
      <c r="AI31" s="47" t="n"/>
      <c r="AJ31" s="47" t="n"/>
      <c r="AK31" s="47" t="n"/>
      <c r="AL31" s="47" t="n"/>
      <c r="AM31" s="47" t="n"/>
      <c r="AN31" s="47" t="n"/>
      <c r="AO31" s="47" t="n"/>
      <c r="AP31" s="47" t="n"/>
      <c r="AQ31" s="47" t="n"/>
      <c r="AR31" s="47" t="n"/>
      <c r="AS31" s="47" t="n"/>
      <c r="AT31" s="47" t="n"/>
      <c r="AU31" s="48" t="n"/>
      <c r="AV31" s="48" t="n"/>
      <c r="AW31" s="49">
        <f>IF($A31="","",IF($BW31&lt;&gt;"","FIX",IF($BX31&lt;&gt;"","CHECK","OK")))</f>
        <v/>
      </c>
      <c r="AX31" s="50">
        <f>IF($A31="","",IF($BW31&lt;&gt;"","FIX: "&amp;LEFT($BW31,LEN($BW31)-2)&amp;IF($BX31&lt;&gt;"","  ·  ",""),"")&amp;IF($BX31&lt;&gt;"","CHECK: "&amp;LEFT($BX31,LEN($BX31)-2),""))</f>
        <v/>
      </c>
      <c r="AY31" s="49">
        <f>IF(OR($A31="",$K31=""),"",$K31&amp;"'-"&amp;N($L31)&amp;CHAR(34)&amp;" x "&amp;$M31&amp;"'-"&amp;N($N31)&amp;CHAR(34))</f>
        <v/>
      </c>
      <c r="AZ31" s="49">
        <f>IF(OR($A31="",$K31=""),"",$K31&amp;N($L31)&amp;$M31&amp;N($N31))</f>
        <v/>
      </c>
      <c r="BA31" s="49">
        <f>IF(OR($A31="",$K31=""),"",$K31*12+N($L31))</f>
        <v/>
      </c>
      <c r="BB31" s="49">
        <f>IF(OR($A31="",$M31=""),"",$M31*12+N($N31))</f>
        <v/>
      </c>
      <c r="BC31" s="49">
        <f>IF($A31="","",IF(OR($C31="FRAME ONLY",$S31="BL"),0,IF($O31="Y",2,1)))</f>
        <v/>
      </c>
      <c r="BD31" s="51">
        <f>IF(OR(N($BC31)=0,$BA31=""),"",($BA31-2*EdgeClr-IF($BC31=2,MeetClr,0))/$BC31)</f>
        <v/>
      </c>
      <c r="BE31" s="51">
        <f>IF(OR(N($BC31)=0,$BB31=""),"",$BB31-HeadClr-Undercut)</f>
        <v/>
      </c>
      <c r="BF31" s="51">
        <f>IF($BA31="","",$BA31+2*FaceW+IF(N($Q31)&gt;0,($Q31+FaceW)*IF($R31="LR",2,1),0))</f>
        <v/>
      </c>
      <c r="BG31" s="51">
        <f>IF($BB31="","",$BB31+IF($AB31="Y",4,FaceW)+IF(N($P31)&gt;0,$P31+FaceW,0)+IF(OR($S31="4F",$S31="BL"),FaceW,0))</f>
        <v/>
      </c>
      <c r="BH31" s="51">
        <f>IF($BF31="","",$BF31+2*ROSide)</f>
        <v/>
      </c>
      <c r="BI31" s="51">
        <f>IF($BG31="","",$BG31+ROTop)</f>
        <v/>
      </c>
      <c r="BJ31" s="52">
        <f>IF(OR(N($BC31)=0,$BA31=""),"",$BA31/$BC31-ClearDeduct)</f>
        <v/>
      </c>
      <c r="BK31" s="49">
        <f>IF(OR(N($BC31)=0,$BE31=""),"",IF(OR($AC31="HGC",$AP31="HGC"),"CONT",IF($BE31&lt;=60,2,IF($BE31&lt;=90,3,IF($BE31&lt;=120,4,5)))))</f>
        <v/>
      </c>
      <c r="BL31" s="49">
        <f>IF(N($BC31)=0,"",IF(OR($AL31="",$AL31="FLUSH"),"FLUSH",IFERROR(LEFT($AL31,FIND("-",$AL31)-1),LEFT($AL31,2))))</f>
        <v/>
      </c>
      <c r="BM31" s="49">
        <f>IF($BL31="","",IFERROR(VALUE(MID($AL31,FIND("-",$AL31)+1,FIND(CHAR(34)&amp;"x",$AL31)-FIND("-",$AL31)-1)),0))</f>
        <v/>
      </c>
      <c r="BN31" s="49">
        <f>IF($BL31="","",IFERROR(VALUE(MID($AL31,FIND(CHAR(34)&amp;"x",$AL31)+2,FIND(CHAR(34),$AL31,FIND(CHAR(34)&amp;"x",$AL31)+2)-FIND(CHAR(34)&amp;"x",$AL31)-2)),0))</f>
        <v/>
      </c>
      <c r="BO31" s="53">
        <f>IF(OR($A31="",$H31="",$H31="NO LAB"),0,IFERROR(VALUE(LEFT($H31,FIND(" ",$H31)-1)),0))</f>
        <v/>
      </c>
      <c r="BP31" s="54">
        <f>IF(OR($A31="",$I31="",$I31="NON-RATED",N($J31)=0),"",IFERROR(VLOOKUP($I31&amp;"|"&amp;$J31,IBC,2,FALSE),"?"))</f>
        <v/>
      </c>
      <c r="BQ31" s="50">
        <f>IF(NOT(AND($A31&lt;&gt;"",$C31&lt;&gt;"DOOR ONLY")),"",TRIM(IFERROR(VLOOKUP($U31,CODES,2,FALSE),"")&amp;" "&amp;$AZ31&amp;" "&amp;IFERROR(VLOOKUP($Z31,CODES,2,FALSE),"")&amp;" "&amp;IFERROR(VLOOKUP($X31,CODES,2,FALSE),"")&amp;" "&amp;IFERROR(VLOOKUP($S31,CODES,2,FALSE),"")&amp;IF(N($P31)&gt;0," w/TRANSOM "&amp;$P31&amp;CHAR(34),"")&amp;IF(N($Q31)&gt;0," w/SIDELITE "&amp;$Q31&amp;CHAR(34)&amp;" "&amp;IF($R31="","R",$R31),"")&amp;IF($Y31="","  |  "," | "&amp;IFERROR(VLOOKUP($Y31,CODES,2,FALSE),"")&amp;" | ")&amp;IFERROR(VLOOKUP($AC31,CODES,2,FALSE),"")&amp;" "&amp;IFERROR(VLOOKUP($AD31,CODES,2,FALSE),"")&amp;IF(OR($AE31="",$AE31="-"),""," "&amp;$AE31)&amp;IF(OR($AF31="",$AF31="-"),""," "&amp;$AF31)&amp;IF($AB31="Y"," 4"&amp;CHAR(34)&amp;" HEAD","")&amp;" "&amp;IFERROR(VLOOKUP($H31,CODES,2,FALSE),"")))</f>
        <v/>
      </c>
      <c r="BR31" s="50">
        <f>IF(NOT(AND($A31&lt;&gt;"",N($BC31)&gt;0)),"",TRIM(IFERROR(VLOOKUP($AH31,CODES,2,FALSE),"")&amp;IF($AI31=""," "," "&amp;$AI31&amp;"GA ")&amp;$AZ31&amp;" "&amp;IF($AN31="",IFERROR(VLOOKUP($Z31,CODES,2,FALSE),""),IFERROR(VLOOKUP($AN31,CODES,2,FALSE),""))&amp;IF($BC31=2," PAIR","")&amp;" DOOR | "&amp;IF($AL31="","?",$AL31)&amp;" | "&amp;IF($AP31="",IFERROR(VLOOKUP($AC31,CODES,2,FALSE),""),IFERROR(VLOOKUP($AP31,CODES,2,FALSE),""))&amp;" "&amp;IFERROR(VLOOKUP($AQ31,CODES,2,FALSE),"")&amp;IF(OR($AR31="",$AR31="-"),""," SEAM "&amp;$AR31)&amp;IF($AS31="Y"," ASTRAGAL","")&amp;IF($AJ31=""," "," "&amp;$AJ31)&amp;IF($AK31=""," "," "&amp;$AK31)&amp;IF($AO31="",""," "&amp;$AO31)&amp;IF($AM31=""," "," SERIES "&amp;$AM31)&amp;" "&amp;IFERROR(VLOOKUP($H31,CODES,2,FALSE),"")))</f>
        <v/>
      </c>
      <c r="BS31" s="49">
        <f>IF(BV31="","",IF(COUNTIF($BV$6:BV31,BV31)=1,MAX($BS$5:BS30)+1,INDEX($BS$5:BS30,MATCH(BV31,$BV$5:BV30,0))))</f>
        <v/>
      </c>
      <c r="BT31" s="49">
        <f>IF(NOT(AND($A31&lt;&gt;"",$C31&lt;&gt;"DOOR ONLY")),"",MAX($BT$5:BT30)+1)</f>
        <v/>
      </c>
      <c r="BU31" s="49">
        <f>IF(NOT(AND($A31&lt;&gt;"",N($BC31)&gt;0)),"",MAX($BU$5:BU30)+1)</f>
        <v/>
      </c>
      <c r="BV31" s="49">
        <f>IF(OR($A31="",$BA31="",$BB31=""),"",$AZ31&amp;"|"&amp;$O31&amp;"|"&amp;$AL31&amp;"|"&amp;$S31&amp;"|"&amp;$P31&amp;"|"&amp;$Q31&amp;$R31&amp;"|"&amp;$C31&amp;"|"&amp;$AB31)</f>
        <v/>
      </c>
      <c r="BW31" s="49">
        <f>IF($A31="","",IF($B31="","qty, ","")&amp;IF($C31="","scope, ","")&amp;IF(OR($K31="",$M31=""),"size, ","")&amp;IF(AND($A31&lt;&gt;"",$C31&lt;&gt;"DOOR ONLY"),IF($U31="","jamb depth, ","")&amp;IF($X31="","construction, ","")&amp;IF($Y31="","anchor, ","")&amp;IF($S31="","frame type, ",""),"")&amp;IF(AND(N($BC31)&gt;0,$Z31=""),"hand, ","")&amp;IF(N($BC31)&gt;0,IF($AH31="","door material, ","")&amp;IF($AL31="","face type, ","")&amp;IF($AQ31="","lock prep, ","")&amp;IF(AND($AP31="",$AC31=""),"hinge prep, ",""),"")&amp;IF(AND($BO31&gt;0,$AH31="FRP"),"FRP cannot carry a label, ","")&amp;IF(AND($O31="Y",OR($Z31="L",$Z31="R",$Z31="LR",$Z31="RR")),"pair marked but hand is single, ","")&amp;IF(AND($O31&lt;&gt;"Y",OR($Z31="PR",AND(LEN($Z31)&gt;1,ISNUMBER(SEARCH("-",$Z31))))),"pair hand on a single door, ","")&amp;IF(AND(ISNUMBER($BP31),$BO31&lt;N($BP31)),"wall needs a "&amp;$BP31&amp;" min door, ","")&amp;IF(AND($BO31&gt;=180,AND(OR($BL31="FG",$BL31="HG",$BL31="FNV",$BL31="FV"),N($BM31)*N($BN31)&gt;100)),"180 min lite over 100 sq in, ","")&amp;IF(N($BD31)&gt;48,"leaf wider than 4'-0"&amp;CHAR(34)&amp;", ",""))</f>
        <v/>
      </c>
      <c r="BX31" s="49">
        <f>IF($A31="","",IF(AND($BO31&gt;0,AND($A31&lt;&gt;"",$C31&lt;&gt;"DOOR ONLY"),$X31="KD",$E31="EXTERIOR"),"KD label on an exterior opening, ","")&amp;IF(AND($E31="EXTERIOR",OR(AND(AND($A31&lt;&gt;"",$C31&lt;&gt;"DOOR ONLY"),$W31="CR"),AND(N($BC31)&gt;0,$AH31="CR"))),"exterior in CR steel (G9?), ","")&amp;IF(AND(ISNUMBER($BJ31),N($BJ31)&lt;32),"clear width ~"&amp;TEXT($BJ31,"0.0")&amp;CHAR(34)&amp;" under 32"&amp;CHAR(34)&amp;" (ADA), ","")&amp;IF(AND($BO31=90,AND(OR($BL31="FG",$BL31="HG",$BL31="FNV",$BL31="FV"),N($BM31)*N($BN31)&gt;100)),"90 min lite over 100 sq in (stair/exit), ","")&amp;IF(AND($BO31&gt;0,AND($A31&lt;&gt;"",$C31&lt;&gt;"DOOR ONLY"),OR($AF31="",$AF31="-")),"rated: closer reinf.?, ","")&amp;IF(OR($I31="CORRIDOR",$I31="SMOKE BARRIER"),"S label + smoke gasketing, ","")&amp;IF($BP31="?","wall type/hr not in IBC table, ","")&amp;IF(AND(N($BC31)&gt;0,$AU31=""),"no hardware set, ","")&amp;IF(AND($AU31&lt;&gt;"",ISNA(MATCH($AU31,HWSets,0))),"set "&amp;$AU31&amp;" not on Hardware sheet, ","")&amp;IF(N($BE31)&gt;96,"leaf over 8'-0"&amp;CHAR(34)&amp;" - check listing, ",""))</f>
        <v/>
      </c>
    </row>
    <row r="32" ht="15" customHeight="1">
      <c r="A32" s="44" t="n"/>
      <c r="B32" s="45" t="n"/>
      <c r="C32" s="45" t="n"/>
      <c r="D32" s="45" t="n"/>
      <c r="E32" s="45" t="n"/>
      <c r="F32" s="45" t="n"/>
      <c r="G32" s="45" t="n"/>
      <c r="H32" s="45" t="n"/>
      <c r="I32" s="45" t="n"/>
      <c r="J32" s="45" t="n"/>
      <c r="K32" s="45" t="n"/>
      <c r="L32" s="45" t="n"/>
      <c r="M32" s="45" t="n"/>
      <c r="N32" s="45" t="n"/>
      <c r="O32" s="45" t="n"/>
      <c r="P32" s="45" t="n"/>
      <c r="Q32" s="45" t="n"/>
      <c r="R32" s="45" t="n"/>
      <c r="S32" s="46" t="n"/>
      <c r="T32" s="46" t="n"/>
      <c r="U32" s="46" t="n"/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46" t="n"/>
      <c r="AE32" s="46" t="n"/>
      <c r="AF32" s="46" t="n"/>
      <c r="AG32" s="46" t="n"/>
      <c r="AH32" s="47" t="n"/>
      <c r="AI32" s="47" t="n"/>
      <c r="AJ32" s="47" t="n"/>
      <c r="AK32" s="47" t="n"/>
      <c r="AL32" s="47" t="n"/>
      <c r="AM32" s="47" t="n"/>
      <c r="AN32" s="47" t="n"/>
      <c r="AO32" s="47" t="n"/>
      <c r="AP32" s="47" t="n"/>
      <c r="AQ32" s="47" t="n"/>
      <c r="AR32" s="47" t="n"/>
      <c r="AS32" s="47" t="n"/>
      <c r="AT32" s="47" t="n"/>
      <c r="AU32" s="48" t="n"/>
      <c r="AV32" s="48" t="n"/>
      <c r="AW32" s="49">
        <f>IF($A32="","",IF($BW32&lt;&gt;"","FIX",IF($BX32&lt;&gt;"","CHECK","OK")))</f>
        <v/>
      </c>
      <c r="AX32" s="50">
        <f>IF($A32="","",IF($BW32&lt;&gt;"","FIX: "&amp;LEFT($BW32,LEN($BW32)-2)&amp;IF($BX32&lt;&gt;"","  ·  ",""),"")&amp;IF($BX32&lt;&gt;"","CHECK: "&amp;LEFT($BX32,LEN($BX32)-2),""))</f>
        <v/>
      </c>
      <c r="AY32" s="49">
        <f>IF(OR($A32="",$K32=""),"",$K32&amp;"'-"&amp;N($L32)&amp;CHAR(34)&amp;" x "&amp;$M32&amp;"'-"&amp;N($N32)&amp;CHAR(34))</f>
        <v/>
      </c>
      <c r="AZ32" s="49">
        <f>IF(OR($A32="",$K32=""),"",$K32&amp;N($L32)&amp;$M32&amp;N($N32))</f>
        <v/>
      </c>
      <c r="BA32" s="49">
        <f>IF(OR($A32="",$K32=""),"",$K32*12+N($L32))</f>
        <v/>
      </c>
      <c r="BB32" s="49">
        <f>IF(OR($A32="",$M32=""),"",$M32*12+N($N32))</f>
        <v/>
      </c>
      <c r="BC32" s="49">
        <f>IF($A32="","",IF(OR($C32="FRAME ONLY",$S32="BL"),0,IF($O32="Y",2,1)))</f>
        <v/>
      </c>
      <c r="BD32" s="51">
        <f>IF(OR(N($BC32)=0,$BA32=""),"",($BA32-2*EdgeClr-IF($BC32=2,MeetClr,0))/$BC32)</f>
        <v/>
      </c>
      <c r="BE32" s="51">
        <f>IF(OR(N($BC32)=0,$BB32=""),"",$BB32-HeadClr-Undercut)</f>
        <v/>
      </c>
      <c r="BF32" s="51">
        <f>IF($BA32="","",$BA32+2*FaceW+IF(N($Q32)&gt;0,($Q32+FaceW)*IF($R32="LR",2,1),0))</f>
        <v/>
      </c>
      <c r="BG32" s="51">
        <f>IF($BB32="","",$BB32+IF($AB32="Y",4,FaceW)+IF(N($P32)&gt;0,$P32+FaceW,0)+IF(OR($S32="4F",$S32="BL"),FaceW,0))</f>
        <v/>
      </c>
      <c r="BH32" s="51">
        <f>IF($BF32="","",$BF32+2*ROSide)</f>
        <v/>
      </c>
      <c r="BI32" s="51">
        <f>IF($BG32="","",$BG32+ROTop)</f>
        <v/>
      </c>
      <c r="BJ32" s="52">
        <f>IF(OR(N($BC32)=0,$BA32=""),"",$BA32/$BC32-ClearDeduct)</f>
        <v/>
      </c>
      <c r="BK32" s="49">
        <f>IF(OR(N($BC32)=0,$BE32=""),"",IF(OR($AC32="HGC",$AP32="HGC"),"CONT",IF($BE32&lt;=60,2,IF($BE32&lt;=90,3,IF($BE32&lt;=120,4,5)))))</f>
        <v/>
      </c>
      <c r="BL32" s="49">
        <f>IF(N($BC32)=0,"",IF(OR($AL32="",$AL32="FLUSH"),"FLUSH",IFERROR(LEFT($AL32,FIND("-",$AL32)-1),LEFT($AL32,2))))</f>
        <v/>
      </c>
      <c r="BM32" s="49">
        <f>IF($BL32="","",IFERROR(VALUE(MID($AL32,FIND("-",$AL32)+1,FIND(CHAR(34)&amp;"x",$AL32)-FIND("-",$AL32)-1)),0))</f>
        <v/>
      </c>
      <c r="BN32" s="49">
        <f>IF($BL32="","",IFERROR(VALUE(MID($AL32,FIND(CHAR(34)&amp;"x",$AL32)+2,FIND(CHAR(34),$AL32,FIND(CHAR(34)&amp;"x",$AL32)+2)-FIND(CHAR(34)&amp;"x",$AL32)-2)),0))</f>
        <v/>
      </c>
      <c r="BO32" s="53">
        <f>IF(OR($A32="",$H32="",$H32="NO LAB"),0,IFERROR(VALUE(LEFT($H32,FIND(" ",$H32)-1)),0))</f>
        <v/>
      </c>
      <c r="BP32" s="54">
        <f>IF(OR($A32="",$I32="",$I32="NON-RATED",N($J32)=0),"",IFERROR(VLOOKUP($I32&amp;"|"&amp;$J32,IBC,2,FALSE),"?"))</f>
        <v/>
      </c>
      <c r="BQ32" s="50">
        <f>IF(NOT(AND($A32&lt;&gt;"",$C32&lt;&gt;"DOOR ONLY")),"",TRIM(IFERROR(VLOOKUP($U32,CODES,2,FALSE),"")&amp;" "&amp;$AZ32&amp;" "&amp;IFERROR(VLOOKUP($Z32,CODES,2,FALSE),"")&amp;" "&amp;IFERROR(VLOOKUP($X32,CODES,2,FALSE),"")&amp;" "&amp;IFERROR(VLOOKUP($S32,CODES,2,FALSE),"")&amp;IF(N($P32)&gt;0," w/TRANSOM "&amp;$P32&amp;CHAR(34),"")&amp;IF(N($Q32)&gt;0," w/SIDELITE "&amp;$Q32&amp;CHAR(34)&amp;" "&amp;IF($R32="","R",$R32),"")&amp;IF($Y32="","  |  "," | "&amp;IFERROR(VLOOKUP($Y32,CODES,2,FALSE),"")&amp;" | ")&amp;IFERROR(VLOOKUP($AC32,CODES,2,FALSE),"")&amp;" "&amp;IFERROR(VLOOKUP($AD32,CODES,2,FALSE),"")&amp;IF(OR($AE32="",$AE32="-"),""," "&amp;$AE32)&amp;IF(OR($AF32="",$AF32="-"),""," "&amp;$AF32)&amp;IF($AB32="Y"," 4"&amp;CHAR(34)&amp;" HEAD","")&amp;" "&amp;IFERROR(VLOOKUP($H32,CODES,2,FALSE),"")))</f>
        <v/>
      </c>
      <c r="BR32" s="50">
        <f>IF(NOT(AND($A32&lt;&gt;"",N($BC32)&gt;0)),"",TRIM(IFERROR(VLOOKUP($AH32,CODES,2,FALSE),"")&amp;IF($AI32=""," "," "&amp;$AI32&amp;"GA ")&amp;$AZ32&amp;" "&amp;IF($AN32="",IFERROR(VLOOKUP($Z32,CODES,2,FALSE),""),IFERROR(VLOOKUP($AN32,CODES,2,FALSE),""))&amp;IF($BC32=2," PAIR","")&amp;" DOOR | "&amp;IF($AL32="","?",$AL32)&amp;" | "&amp;IF($AP32="",IFERROR(VLOOKUP($AC32,CODES,2,FALSE),""),IFERROR(VLOOKUP($AP32,CODES,2,FALSE),""))&amp;" "&amp;IFERROR(VLOOKUP($AQ32,CODES,2,FALSE),"")&amp;IF(OR($AR32="",$AR32="-"),""," SEAM "&amp;$AR32)&amp;IF($AS32="Y"," ASTRAGAL","")&amp;IF($AJ32=""," "," "&amp;$AJ32)&amp;IF($AK32=""," "," "&amp;$AK32)&amp;IF($AO32="",""," "&amp;$AO32)&amp;IF($AM32=""," "," SERIES "&amp;$AM32)&amp;" "&amp;IFERROR(VLOOKUP($H32,CODES,2,FALSE),"")))</f>
        <v/>
      </c>
      <c r="BS32" s="49">
        <f>IF(BV32="","",IF(COUNTIF($BV$6:BV32,BV32)=1,MAX($BS$5:BS31)+1,INDEX($BS$5:BS31,MATCH(BV32,$BV$5:BV31,0))))</f>
        <v/>
      </c>
      <c r="BT32" s="49">
        <f>IF(NOT(AND($A32&lt;&gt;"",$C32&lt;&gt;"DOOR ONLY")),"",MAX($BT$5:BT31)+1)</f>
        <v/>
      </c>
      <c r="BU32" s="49">
        <f>IF(NOT(AND($A32&lt;&gt;"",N($BC32)&gt;0)),"",MAX($BU$5:BU31)+1)</f>
        <v/>
      </c>
      <c r="BV32" s="49">
        <f>IF(OR($A32="",$BA32="",$BB32=""),"",$AZ32&amp;"|"&amp;$O32&amp;"|"&amp;$AL32&amp;"|"&amp;$S32&amp;"|"&amp;$P32&amp;"|"&amp;$Q32&amp;$R32&amp;"|"&amp;$C32&amp;"|"&amp;$AB32)</f>
        <v/>
      </c>
      <c r="BW32" s="49">
        <f>IF($A32="","",IF($B32="","qty, ","")&amp;IF($C32="","scope, ","")&amp;IF(OR($K32="",$M32=""),"size, ","")&amp;IF(AND($A32&lt;&gt;"",$C32&lt;&gt;"DOOR ONLY"),IF($U32="","jamb depth, ","")&amp;IF($X32="","construction, ","")&amp;IF($Y32="","anchor, ","")&amp;IF($S32="","frame type, ",""),"")&amp;IF(AND(N($BC32)&gt;0,$Z32=""),"hand, ","")&amp;IF(N($BC32)&gt;0,IF($AH32="","door material, ","")&amp;IF($AL32="","face type, ","")&amp;IF($AQ32="","lock prep, ","")&amp;IF(AND($AP32="",$AC32=""),"hinge prep, ",""),"")&amp;IF(AND($BO32&gt;0,$AH32="FRP"),"FRP cannot carry a label, ","")&amp;IF(AND($O32="Y",OR($Z32="L",$Z32="R",$Z32="LR",$Z32="RR")),"pair marked but hand is single, ","")&amp;IF(AND($O32&lt;&gt;"Y",OR($Z32="PR",AND(LEN($Z32)&gt;1,ISNUMBER(SEARCH("-",$Z32))))),"pair hand on a single door, ","")&amp;IF(AND(ISNUMBER($BP32),$BO32&lt;N($BP32)),"wall needs a "&amp;$BP32&amp;" min door, ","")&amp;IF(AND($BO32&gt;=180,AND(OR($BL32="FG",$BL32="HG",$BL32="FNV",$BL32="FV"),N($BM32)*N($BN32)&gt;100)),"180 min lite over 100 sq in, ","")&amp;IF(N($BD32)&gt;48,"leaf wider than 4'-0"&amp;CHAR(34)&amp;", ",""))</f>
        <v/>
      </c>
      <c r="BX32" s="49">
        <f>IF($A32="","",IF(AND($BO32&gt;0,AND($A32&lt;&gt;"",$C32&lt;&gt;"DOOR ONLY"),$X32="KD",$E32="EXTERIOR"),"KD label on an exterior opening, ","")&amp;IF(AND($E32="EXTERIOR",OR(AND(AND($A32&lt;&gt;"",$C32&lt;&gt;"DOOR ONLY"),$W32="CR"),AND(N($BC32)&gt;0,$AH32="CR"))),"exterior in CR steel (G9?), ","")&amp;IF(AND(ISNUMBER($BJ32),N($BJ32)&lt;32),"clear width ~"&amp;TEXT($BJ32,"0.0")&amp;CHAR(34)&amp;" under 32"&amp;CHAR(34)&amp;" (ADA), ","")&amp;IF(AND($BO32=90,AND(OR($BL32="FG",$BL32="HG",$BL32="FNV",$BL32="FV"),N($BM32)*N($BN32)&gt;100)),"90 min lite over 100 sq in (stair/exit), ","")&amp;IF(AND($BO32&gt;0,AND($A32&lt;&gt;"",$C32&lt;&gt;"DOOR ONLY"),OR($AF32="",$AF32="-")),"rated: closer reinf.?, ","")&amp;IF(OR($I32="CORRIDOR",$I32="SMOKE BARRIER"),"S label + smoke gasketing, ","")&amp;IF($BP32="?","wall type/hr not in IBC table, ","")&amp;IF(AND(N($BC32)&gt;0,$AU32=""),"no hardware set, ","")&amp;IF(AND($AU32&lt;&gt;"",ISNA(MATCH($AU32,HWSets,0))),"set "&amp;$AU32&amp;" not on Hardware sheet, ","")&amp;IF(N($BE32)&gt;96,"leaf over 8'-0"&amp;CHAR(34)&amp;" - check listing, ",""))</f>
        <v/>
      </c>
    </row>
    <row r="33" ht="15" customHeight="1">
      <c r="A33" s="44" t="n"/>
      <c r="B33" s="45" t="n"/>
      <c r="C33" s="45" t="n"/>
      <c r="D33" s="45" t="n"/>
      <c r="E33" s="45" t="n"/>
      <c r="F33" s="45" t="n"/>
      <c r="G33" s="45" t="n"/>
      <c r="H33" s="45" t="n"/>
      <c r="I33" s="45" t="n"/>
      <c r="J33" s="4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6" t="n"/>
      <c r="T33" s="46" t="n"/>
      <c r="U33" s="46" t="n"/>
      <c r="V33" s="46" t="n"/>
      <c r="W33" s="46" t="n"/>
      <c r="X33" s="46" t="n"/>
      <c r="Y33" s="46" t="n"/>
      <c r="Z33" s="46" t="n"/>
      <c r="AA33" s="46" t="n"/>
      <c r="AB33" s="46" t="n"/>
      <c r="AC33" s="46" t="n"/>
      <c r="AD33" s="46" t="n"/>
      <c r="AE33" s="46" t="n"/>
      <c r="AF33" s="46" t="n"/>
      <c r="AG33" s="46" t="n"/>
      <c r="AH33" s="47" t="n"/>
      <c r="AI33" s="47" t="n"/>
      <c r="AJ33" s="47" t="n"/>
      <c r="AK33" s="47" t="n"/>
      <c r="AL33" s="47" t="n"/>
      <c r="AM33" s="47" t="n"/>
      <c r="AN33" s="47" t="n"/>
      <c r="AO33" s="47" t="n"/>
      <c r="AP33" s="47" t="n"/>
      <c r="AQ33" s="47" t="n"/>
      <c r="AR33" s="47" t="n"/>
      <c r="AS33" s="47" t="n"/>
      <c r="AT33" s="47" t="n"/>
      <c r="AU33" s="48" t="n"/>
      <c r="AV33" s="48" t="n"/>
      <c r="AW33" s="49">
        <f>IF($A33="","",IF($BW33&lt;&gt;"","FIX",IF($BX33&lt;&gt;"","CHECK","OK")))</f>
        <v/>
      </c>
      <c r="AX33" s="50">
        <f>IF($A33="","",IF($BW33&lt;&gt;"","FIX: "&amp;LEFT($BW33,LEN($BW33)-2)&amp;IF($BX33&lt;&gt;"","  ·  ",""),"")&amp;IF($BX33&lt;&gt;"","CHECK: "&amp;LEFT($BX33,LEN($BX33)-2),""))</f>
        <v/>
      </c>
      <c r="AY33" s="49">
        <f>IF(OR($A33="",$K33=""),"",$K33&amp;"'-"&amp;N($L33)&amp;CHAR(34)&amp;" x "&amp;$M33&amp;"'-"&amp;N($N33)&amp;CHAR(34))</f>
        <v/>
      </c>
      <c r="AZ33" s="49">
        <f>IF(OR($A33="",$K33=""),"",$K33&amp;N($L33)&amp;$M33&amp;N($N33))</f>
        <v/>
      </c>
      <c r="BA33" s="49">
        <f>IF(OR($A33="",$K33=""),"",$K33*12+N($L33))</f>
        <v/>
      </c>
      <c r="BB33" s="49">
        <f>IF(OR($A33="",$M33=""),"",$M33*12+N($N33))</f>
        <v/>
      </c>
      <c r="BC33" s="49">
        <f>IF($A33="","",IF(OR($C33="FRAME ONLY",$S33="BL"),0,IF($O33="Y",2,1)))</f>
        <v/>
      </c>
      <c r="BD33" s="51">
        <f>IF(OR(N($BC33)=0,$BA33=""),"",($BA33-2*EdgeClr-IF($BC33=2,MeetClr,0))/$BC33)</f>
        <v/>
      </c>
      <c r="BE33" s="51">
        <f>IF(OR(N($BC33)=0,$BB33=""),"",$BB33-HeadClr-Undercut)</f>
        <v/>
      </c>
      <c r="BF33" s="51">
        <f>IF($BA33="","",$BA33+2*FaceW+IF(N($Q33)&gt;0,($Q33+FaceW)*IF($R33="LR",2,1),0))</f>
        <v/>
      </c>
      <c r="BG33" s="51">
        <f>IF($BB33="","",$BB33+IF($AB33="Y",4,FaceW)+IF(N($P33)&gt;0,$P33+FaceW,0)+IF(OR($S33="4F",$S33="BL"),FaceW,0))</f>
        <v/>
      </c>
      <c r="BH33" s="51">
        <f>IF($BF33="","",$BF33+2*ROSide)</f>
        <v/>
      </c>
      <c r="BI33" s="51">
        <f>IF($BG33="","",$BG33+ROTop)</f>
        <v/>
      </c>
      <c r="BJ33" s="52">
        <f>IF(OR(N($BC33)=0,$BA33=""),"",$BA33/$BC33-ClearDeduct)</f>
        <v/>
      </c>
      <c r="BK33" s="49">
        <f>IF(OR(N($BC33)=0,$BE33=""),"",IF(OR($AC33="HGC",$AP33="HGC"),"CONT",IF($BE33&lt;=60,2,IF($BE33&lt;=90,3,IF($BE33&lt;=120,4,5)))))</f>
        <v/>
      </c>
      <c r="BL33" s="49">
        <f>IF(N($BC33)=0,"",IF(OR($AL33="",$AL33="FLUSH"),"FLUSH",IFERROR(LEFT($AL33,FIND("-",$AL33)-1),LEFT($AL33,2))))</f>
        <v/>
      </c>
      <c r="BM33" s="49">
        <f>IF($BL33="","",IFERROR(VALUE(MID($AL33,FIND("-",$AL33)+1,FIND(CHAR(34)&amp;"x",$AL33)-FIND("-",$AL33)-1)),0))</f>
        <v/>
      </c>
      <c r="BN33" s="49">
        <f>IF($BL33="","",IFERROR(VALUE(MID($AL33,FIND(CHAR(34)&amp;"x",$AL33)+2,FIND(CHAR(34),$AL33,FIND(CHAR(34)&amp;"x",$AL33)+2)-FIND(CHAR(34)&amp;"x",$AL33)-2)),0))</f>
        <v/>
      </c>
      <c r="BO33" s="53">
        <f>IF(OR($A33="",$H33="",$H33="NO LAB"),0,IFERROR(VALUE(LEFT($H33,FIND(" ",$H33)-1)),0))</f>
        <v/>
      </c>
      <c r="BP33" s="54">
        <f>IF(OR($A33="",$I33="",$I33="NON-RATED",N($J33)=0),"",IFERROR(VLOOKUP($I33&amp;"|"&amp;$J33,IBC,2,FALSE),"?"))</f>
        <v/>
      </c>
      <c r="BQ33" s="50">
        <f>IF(NOT(AND($A33&lt;&gt;"",$C33&lt;&gt;"DOOR ONLY")),"",TRIM(IFERROR(VLOOKUP($U33,CODES,2,FALSE),"")&amp;" "&amp;$AZ33&amp;" "&amp;IFERROR(VLOOKUP($Z33,CODES,2,FALSE),"")&amp;" "&amp;IFERROR(VLOOKUP($X33,CODES,2,FALSE),"")&amp;" "&amp;IFERROR(VLOOKUP($S33,CODES,2,FALSE),"")&amp;IF(N($P33)&gt;0," w/TRANSOM "&amp;$P33&amp;CHAR(34),"")&amp;IF(N($Q33)&gt;0," w/SIDELITE "&amp;$Q33&amp;CHAR(34)&amp;" "&amp;IF($R33="","R",$R33),"")&amp;IF($Y33="","  |  "," | "&amp;IFERROR(VLOOKUP($Y33,CODES,2,FALSE),"")&amp;" | ")&amp;IFERROR(VLOOKUP($AC33,CODES,2,FALSE),"")&amp;" "&amp;IFERROR(VLOOKUP($AD33,CODES,2,FALSE),"")&amp;IF(OR($AE33="",$AE33="-"),""," "&amp;$AE33)&amp;IF(OR($AF33="",$AF33="-"),""," "&amp;$AF33)&amp;IF($AB33="Y"," 4"&amp;CHAR(34)&amp;" HEAD","")&amp;" "&amp;IFERROR(VLOOKUP($H33,CODES,2,FALSE),"")))</f>
        <v/>
      </c>
      <c r="BR33" s="50">
        <f>IF(NOT(AND($A33&lt;&gt;"",N($BC33)&gt;0)),"",TRIM(IFERROR(VLOOKUP($AH33,CODES,2,FALSE),"")&amp;IF($AI33=""," "," "&amp;$AI33&amp;"GA ")&amp;$AZ33&amp;" "&amp;IF($AN33="",IFERROR(VLOOKUP($Z33,CODES,2,FALSE),""),IFERROR(VLOOKUP($AN33,CODES,2,FALSE),""))&amp;IF($BC33=2," PAIR","")&amp;" DOOR | "&amp;IF($AL33="","?",$AL33)&amp;" | "&amp;IF($AP33="",IFERROR(VLOOKUP($AC33,CODES,2,FALSE),""),IFERROR(VLOOKUP($AP33,CODES,2,FALSE),""))&amp;" "&amp;IFERROR(VLOOKUP($AQ33,CODES,2,FALSE),"")&amp;IF(OR($AR33="",$AR33="-"),""," SEAM "&amp;$AR33)&amp;IF($AS33="Y"," ASTRAGAL","")&amp;IF($AJ33=""," "," "&amp;$AJ33)&amp;IF($AK33=""," "," "&amp;$AK33)&amp;IF($AO33="",""," "&amp;$AO33)&amp;IF($AM33=""," "," SERIES "&amp;$AM33)&amp;" "&amp;IFERROR(VLOOKUP($H33,CODES,2,FALSE),"")))</f>
        <v/>
      </c>
      <c r="BS33" s="49">
        <f>IF(BV33="","",IF(COUNTIF($BV$6:BV33,BV33)=1,MAX($BS$5:BS32)+1,INDEX($BS$5:BS32,MATCH(BV33,$BV$5:BV32,0))))</f>
        <v/>
      </c>
      <c r="BT33" s="49">
        <f>IF(NOT(AND($A33&lt;&gt;"",$C33&lt;&gt;"DOOR ONLY")),"",MAX($BT$5:BT32)+1)</f>
        <v/>
      </c>
      <c r="BU33" s="49">
        <f>IF(NOT(AND($A33&lt;&gt;"",N($BC33)&gt;0)),"",MAX($BU$5:BU32)+1)</f>
        <v/>
      </c>
      <c r="BV33" s="49">
        <f>IF(OR($A33="",$BA33="",$BB33=""),"",$AZ33&amp;"|"&amp;$O33&amp;"|"&amp;$AL33&amp;"|"&amp;$S33&amp;"|"&amp;$P33&amp;"|"&amp;$Q33&amp;$R33&amp;"|"&amp;$C33&amp;"|"&amp;$AB33)</f>
        <v/>
      </c>
      <c r="BW33" s="49">
        <f>IF($A33="","",IF($B33="","qty, ","")&amp;IF($C33="","scope, ","")&amp;IF(OR($K33="",$M33=""),"size, ","")&amp;IF(AND($A33&lt;&gt;"",$C33&lt;&gt;"DOOR ONLY"),IF($U33="","jamb depth, ","")&amp;IF($X33="","construction, ","")&amp;IF($Y33="","anchor, ","")&amp;IF($S33="","frame type, ",""),"")&amp;IF(AND(N($BC33)&gt;0,$Z33=""),"hand, ","")&amp;IF(N($BC33)&gt;0,IF($AH33="","door material, ","")&amp;IF($AL33="","face type, ","")&amp;IF($AQ33="","lock prep, ","")&amp;IF(AND($AP33="",$AC33=""),"hinge prep, ",""),"")&amp;IF(AND($BO33&gt;0,$AH33="FRP"),"FRP cannot carry a label, ","")&amp;IF(AND($O33="Y",OR($Z33="L",$Z33="R",$Z33="LR",$Z33="RR")),"pair marked but hand is single, ","")&amp;IF(AND($O33&lt;&gt;"Y",OR($Z33="PR",AND(LEN($Z33)&gt;1,ISNUMBER(SEARCH("-",$Z33))))),"pair hand on a single door, ","")&amp;IF(AND(ISNUMBER($BP33),$BO33&lt;N($BP33)),"wall needs a "&amp;$BP33&amp;" min door, ","")&amp;IF(AND($BO33&gt;=180,AND(OR($BL33="FG",$BL33="HG",$BL33="FNV",$BL33="FV"),N($BM33)*N($BN33)&gt;100)),"180 min lite over 100 sq in, ","")&amp;IF(N($BD33)&gt;48,"leaf wider than 4'-0"&amp;CHAR(34)&amp;", ",""))</f>
        <v/>
      </c>
      <c r="BX33" s="49">
        <f>IF($A33="","",IF(AND($BO33&gt;0,AND($A33&lt;&gt;"",$C33&lt;&gt;"DOOR ONLY"),$X33="KD",$E33="EXTERIOR"),"KD label on an exterior opening, ","")&amp;IF(AND($E33="EXTERIOR",OR(AND(AND($A33&lt;&gt;"",$C33&lt;&gt;"DOOR ONLY"),$W33="CR"),AND(N($BC33)&gt;0,$AH33="CR"))),"exterior in CR steel (G9?), ","")&amp;IF(AND(ISNUMBER($BJ33),N($BJ33)&lt;32),"clear width ~"&amp;TEXT($BJ33,"0.0")&amp;CHAR(34)&amp;" under 32"&amp;CHAR(34)&amp;" (ADA), ","")&amp;IF(AND($BO33=90,AND(OR($BL33="FG",$BL33="HG",$BL33="FNV",$BL33="FV"),N($BM33)*N($BN33)&gt;100)),"90 min lite over 100 sq in (stair/exit), ","")&amp;IF(AND($BO33&gt;0,AND($A33&lt;&gt;"",$C33&lt;&gt;"DOOR ONLY"),OR($AF33="",$AF33="-")),"rated: closer reinf.?, ","")&amp;IF(OR($I33="CORRIDOR",$I33="SMOKE BARRIER"),"S label + smoke gasketing, ","")&amp;IF($BP33="?","wall type/hr not in IBC table, ","")&amp;IF(AND(N($BC33)&gt;0,$AU33=""),"no hardware set, ","")&amp;IF(AND($AU33&lt;&gt;"",ISNA(MATCH($AU33,HWSets,0))),"set "&amp;$AU33&amp;" not on Hardware sheet, ","")&amp;IF(N($BE33)&gt;96,"leaf over 8'-0"&amp;CHAR(34)&amp;" - check listing, ",""))</f>
        <v/>
      </c>
    </row>
    <row r="34" ht="15" customHeight="1">
      <c r="A34" s="44" t="n"/>
      <c r="B34" s="45" t="n"/>
      <c r="C34" s="45" t="n"/>
      <c r="D34" s="45" t="n"/>
      <c r="E34" s="45" t="n"/>
      <c r="F34" s="45" t="n"/>
      <c r="G34" s="45" t="n"/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6" t="n"/>
      <c r="AB34" s="46" t="n"/>
      <c r="AC34" s="46" t="n"/>
      <c r="AD34" s="46" t="n"/>
      <c r="AE34" s="46" t="n"/>
      <c r="AF34" s="46" t="n"/>
      <c r="AG34" s="46" t="n"/>
      <c r="AH34" s="47" t="n"/>
      <c r="AI34" s="47" t="n"/>
      <c r="AJ34" s="47" t="n"/>
      <c r="AK34" s="47" t="n"/>
      <c r="AL34" s="47" t="n"/>
      <c r="AM34" s="47" t="n"/>
      <c r="AN34" s="47" t="n"/>
      <c r="AO34" s="47" t="n"/>
      <c r="AP34" s="47" t="n"/>
      <c r="AQ34" s="47" t="n"/>
      <c r="AR34" s="47" t="n"/>
      <c r="AS34" s="47" t="n"/>
      <c r="AT34" s="47" t="n"/>
      <c r="AU34" s="48" t="n"/>
      <c r="AV34" s="48" t="n"/>
      <c r="AW34" s="49">
        <f>IF($A34="","",IF($BW34&lt;&gt;"","FIX",IF($BX34&lt;&gt;"","CHECK","OK")))</f>
        <v/>
      </c>
      <c r="AX34" s="50">
        <f>IF($A34="","",IF($BW34&lt;&gt;"","FIX: "&amp;LEFT($BW34,LEN($BW34)-2)&amp;IF($BX34&lt;&gt;"","  ·  ",""),"")&amp;IF($BX34&lt;&gt;"","CHECK: "&amp;LEFT($BX34,LEN($BX34)-2),""))</f>
        <v/>
      </c>
      <c r="AY34" s="49">
        <f>IF(OR($A34="",$K34=""),"",$K34&amp;"'-"&amp;N($L34)&amp;CHAR(34)&amp;" x "&amp;$M34&amp;"'-"&amp;N($N34)&amp;CHAR(34))</f>
        <v/>
      </c>
      <c r="AZ34" s="49">
        <f>IF(OR($A34="",$K34=""),"",$K34&amp;N($L34)&amp;$M34&amp;N($N34))</f>
        <v/>
      </c>
      <c r="BA34" s="49">
        <f>IF(OR($A34="",$K34=""),"",$K34*12+N($L34))</f>
        <v/>
      </c>
      <c r="BB34" s="49">
        <f>IF(OR($A34="",$M34=""),"",$M34*12+N($N34))</f>
        <v/>
      </c>
      <c r="BC34" s="49">
        <f>IF($A34="","",IF(OR($C34="FRAME ONLY",$S34="BL"),0,IF($O34="Y",2,1)))</f>
        <v/>
      </c>
      <c r="BD34" s="51">
        <f>IF(OR(N($BC34)=0,$BA34=""),"",($BA34-2*EdgeClr-IF($BC34=2,MeetClr,0))/$BC34)</f>
        <v/>
      </c>
      <c r="BE34" s="51">
        <f>IF(OR(N($BC34)=0,$BB34=""),"",$BB34-HeadClr-Undercut)</f>
        <v/>
      </c>
      <c r="BF34" s="51">
        <f>IF($BA34="","",$BA34+2*FaceW+IF(N($Q34)&gt;0,($Q34+FaceW)*IF($R34="LR",2,1),0))</f>
        <v/>
      </c>
      <c r="BG34" s="51">
        <f>IF($BB34="","",$BB34+IF($AB34="Y",4,FaceW)+IF(N($P34)&gt;0,$P34+FaceW,0)+IF(OR($S34="4F",$S34="BL"),FaceW,0))</f>
        <v/>
      </c>
      <c r="BH34" s="51">
        <f>IF($BF34="","",$BF34+2*ROSide)</f>
        <v/>
      </c>
      <c r="BI34" s="51">
        <f>IF($BG34="","",$BG34+ROTop)</f>
        <v/>
      </c>
      <c r="BJ34" s="52">
        <f>IF(OR(N($BC34)=0,$BA34=""),"",$BA34/$BC34-ClearDeduct)</f>
        <v/>
      </c>
      <c r="BK34" s="49">
        <f>IF(OR(N($BC34)=0,$BE34=""),"",IF(OR($AC34="HGC",$AP34="HGC"),"CONT",IF($BE34&lt;=60,2,IF($BE34&lt;=90,3,IF($BE34&lt;=120,4,5)))))</f>
        <v/>
      </c>
      <c r="BL34" s="49">
        <f>IF(N($BC34)=0,"",IF(OR($AL34="",$AL34="FLUSH"),"FLUSH",IFERROR(LEFT($AL34,FIND("-",$AL34)-1),LEFT($AL34,2))))</f>
        <v/>
      </c>
      <c r="BM34" s="49">
        <f>IF($BL34="","",IFERROR(VALUE(MID($AL34,FIND("-",$AL34)+1,FIND(CHAR(34)&amp;"x",$AL34)-FIND("-",$AL34)-1)),0))</f>
        <v/>
      </c>
      <c r="BN34" s="49">
        <f>IF($BL34="","",IFERROR(VALUE(MID($AL34,FIND(CHAR(34)&amp;"x",$AL34)+2,FIND(CHAR(34),$AL34,FIND(CHAR(34)&amp;"x",$AL34)+2)-FIND(CHAR(34)&amp;"x",$AL34)-2)),0))</f>
        <v/>
      </c>
      <c r="BO34" s="53">
        <f>IF(OR($A34="",$H34="",$H34="NO LAB"),0,IFERROR(VALUE(LEFT($H34,FIND(" ",$H34)-1)),0))</f>
        <v/>
      </c>
      <c r="BP34" s="54">
        <f>IF(OR($A34="",$I34="",$I34="NON-RATED",N($J34)=0),"",IFERROR(VLOOKUP($I34&amp;"|"&amp;$J34,IBC,2,FALSE),"?"))</f>
        <v/>
      </c>
      <c r="BQ34" s="50">
        <f>IF(NOT(AND($A34&lt;&gt;"",$C34&lt;&gt;"DOOR ONLY")),"",TRIM(IFERROR(VLOOKUP($U34,CODES,2,FALSE),"")&amp;" "&amp;$AZ34&amp;" "&amp;IFERROR(VLOOKUP($Z34,CODES,2,FALSE),"")&amp;" "&amp;IFERROR(VLOOKUP($X34,CODES,2,FALSE),"")&amp;" "&amp;IFERROR(VLOOKUP($S34,CODES,2,FALSE),"")&amp;IF(N($P34)&gt;0," w/TRANSOM "&amp;$P34&amp;CHAR(34),"")&amp;IF(N($Q34)&gt;0," w/SIDELITE "&amp;$Q34&amp;CHAR(34)&amp;" "&amp;IF($R34="","R",$R34),"")&amp;IF($Y34="","  |  "," | "&amp;IFERROR(VLOOKUP($Y34,CODES,2,FALSE),"")&amp;" | ")&amp;IFERROR(VLOOKUP($AC34,CODES,2,FALSE),"")&amp;" "&amp;IFERROR(VLOOKUP($AD34,CODES,2,FALSE),"")&amp;IF(OR($AE34="",$AE34="-"),""," "&amp;$AE34)&amp;IF(OR($AF34="",$AF34="-"),""," "&amp;$AF34)&amp;IF($AB34="Y"," 4"&amp;CHAR(34)&amp;" HEAD","")&amp;" "&amp;IFERROR(VLOOKUP($H34,CODES,2,FALSE),"")))</f>
        <v/>
      </c>
      <c r="BR34" s="50">
        <f>IF(NOT(AND($A34&lt;&gt;"",N($BC34)&gt;0)),"",TRIM(IFERROR(VLOOKUP($AH34,CODES,2,FALSE),"")&amp;IF($AI34=""," "," "&amp;$AI34&amp;"GA ")&amp;$AZ34&amp;" "&amp;IF($AN34="",IFERROR(VLOOKUP($Z34,CODES,2,FALSE),""),IFERROR(VLOOKUP($AN34,CODES,2,FALSE),""))&amp;IF($BC34=2," PAIR","")&amp;" DOOR | "&amp;IF($AL34="","?",$AL34)&amp;" | "&amp;IF($AP34="",IFERROR(VLOOKUP($AC34,CODES,2,FALSE),""),IFERROR(VLOOKUP($AP34,CODES,2,FALSE),""))&amp;" "&amp;IFERROR(VLOOKUP($AQ34,CODES,2,FALSE),"")&amp;IF(OR($AR34="",$AR34="-"),""," SEAM "&amp;$AR34)&amp;IF($AS34="Y"," ASTRAGAL","")&amp;IF($AJ34=""," "," "&amp;$AJ34)&amp;IF($AK34=""," "," "&amp;$AK34)&amp;IF($AO34="",""," "&amp;$AO34)&amp;IF($AM34=""," "," SERIES "&amp;$AM34)&amp;" "&amp;IFERROR(VLOOKUP($H34,CODES,2,FALSE),"")))</f>
        <v/>
      </c>
      <c r="BS34" s="49">
        <f>IF(BV34="","",IF(COUNTIF($BV$6:BV34,BV34)=1,MAX($BS$5:BS33)+1,INDEX($BS$5:BS33,MATCH(BV34,$BV$5:BV33,0))))</f>
        <v/>
      </c>
      <c r="BT34" s="49">
        <f>IF(NOT(AND($A34&lt;&gt;"",$C34&lt;&gt;"DOOR ONLY")),"",MAX($BT$5:BT33)+1)</f>
        <v/>
      </c>
      <c r="BU34" s="49">
        <f>IF(NOT(AND($A34&lt;&gt;"",N($BC34)&gt;0)),"",MAX($BU$5:BU33)+1)</f>
        <v/>
      </c>
      <c r="BV34" s="49">
        <f>IF(OR($A34="",$BA34="",$BB34=""),"",$AZ34&amp;"|"&amp;$O34&amp;"|"&amp;$AL34&amp;"|"&amp;$S34&amp;"|"&amp;$P34&amp;"|"&amp;$Q34&amp;$R34&amp;"|"&amp;$C34&amp;"|"&amp;$AB34)</f>
        <v/>
      </c>
      <c r="BW34" s="49">
        <f>IF($A34="","",IF($B34="","qty, ","")&amp;IF($C34="","scope, ","")&amp;IF(OR($K34="",$M34=""),"size, ","")&amp;IF(AND($A34&lt;&gt;"",$C34&lt;&gt;"DOOR ONLY"),IF($U34="","jamb depth, ","")&amp;IF($X34="","construction, ","")&amp;IF($Y34="","anchor, ","")&amp;IF($S34="","frame type, ",""),"")&amp;IF(AND(N($BC34)&gt;0,$Z34=""),"hand, ","")&amp;IF(N($BC34)&gt;0,IF($AH34="","door material, ","")&amp;IF($AL34="","face type, ","")&amp;IF($AQ34="","lock prep, ","")&amp;IF(AND($AP34="",$AC34=""),"hinge prep, ",""),"")&amp;IF(AND($BO34&gt;0,$AH34="FRP"),"FRP cannot carry a label, ","")&amp;IF(AND($O34="Y",OR($Z34="L",$Z34="R",$Z34="LR",$Z34="RR")),"pair marked but hand is single, ","")&amp;IF(AND($O34&lt;&gt;"Y",OR($Z34="PR",AND(LEN($Z34)&gt;1,ISNUMBER(SEARCH("-",$Z34))))),"pair hand on a single door, ","")&amp;IF(AND(ISNUMBER($BP34),$BO34&lt;N($BP34)),"wall needs a "&amp;$BP34&amp;" min door, ","")&amp;IF(AND($BO34&gt;=180,AND(OR($BL34="FG",$BL34="HG",$BL34="FNV",$BL34="FV"),N($BM34)*N($BN34)&gt;100)),"180 min lite over 100 sq in, ","")&amp;IF(N($BD34)&gt;48,"leaf wider than 4'-0"&amp;CHAR(34)&amp;", ",""))</f>
        <v/>
      </c>
      <c r="BX34" s="49">
        <f>IF($A34="","",IF(AND($BO34&gt;0,AND($A34&lt;&gt;"",$C34&lt;&gt;"DOOR ONLY"),$X34="KD",$E34="EXTERIOR"),"KD label on an exterior opening, ","")&amp;IF(AND($E34="EXTERIOR",OR(AND(AND($A34&lt;&gt;"",$C34&lt;&gt;"DOOR ONLY"),$W34="CR"),AND(N($BC34)&gt;0,$AH34="CR"))),"exterior in CR steel (G9?), ","")&amp;IF(AND(ISNUMBER($BJ34),N($BJ34)&lt;32),"clear width ~"&amp;TEXT($BJ34,"0.0")&amp;CHAR(34)&amp;" under 32"&amp;CHAR(34)&amp;" (ADA), ","")&amp;IF(AND($BO34=90,AND(OR($BL34="FG",$BL34="HG",$BL34="FNV",$BL34="FV"),N($BM34)*N($BN34)&gt;100)),"90 min lite over 100 sq in (stair/exit), ","")&amp;IF(AND($BO34&gt;0,AND($A34&lt;&gt;"",$C34&lt;&gt;"DOOR ONLY"),OR($AF34="",$AF34="-")),"rated: closer reinf.?, ","")&amp;IF(OR($I34="CORRIDOR",$I34="SMOKE BARRIER"),"S label + smoke gasketing, ","")&amp;IF($BP34="?","wall type/hr not in IBC table, ","")&amp;IF(AND(N($BC34)&gt;0,$AU34=""),"no hardware set, ","")&amp;IF(AND($AU34&lt;&gt;"",ISNA(MATCH($AU34,HWSets,0))),"set "&amp;$AU34&amp;" not on Hardware sheet, ","")&amp;IF(N($BE34)&gt;96,"leaf over 8'-0"&amp;CHAR(34)&amp;" - check listing, ",""))</f>
        <v/>
      </c>
    </row>
    <row r="35" ht="15" customHeight="1">
      <c r="A35" s="44" t="n"/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6" t="n"/>
      <c r="T35" s="46" t="n"/>
      <c r="U35" s="46" t="n"/>
      <c r="V35" s="46" t="n"/>
      <c r="W35" s="46" t="n"/>
      <c r="X35" s="46" t="n"/>
      <c r="Y35" s="46" t="n"/>
      <c r="Z35" s="46" t="n"/>
      <c r="AA35" s="46" t="n"/>
      <c r="AB35" s="46" t="n"/>
      <c r="AC35" s="46" t="n"/>
      <c r="AD35" s="46" t="n"/>
      <c r="AE35" s="46" t="n"/>
      <c r="AF35" s="46" t="n"/>
      <c r="AG35" s="46" t="n"/>
      <c r="AH35" s="47" t="n"/>
      <c r="AI35" s="47" t="n"/>
      <c r="AJ35" s="47" t="n"/>
      <c r="AK35" s="47" t="n"/>
      <c r="AL35" s="47" t="n"/>
      <c r="AM35" s="47" t="n"/>
      <c r="AN35" s="47" t="n"/>
      <c r="AO35" s="47" t="n"/>
      <c r="AP35" s="47" t="n"/>
      <c r="AQ35" s="47" t="n"/>
      <c r="AR35" s="47" t="n"/>
      <c r="AS35" s="47" t="n"/>
      <c r="AT35" s="47" t="n"/>
      <c r="AU35" s="48" t="n"/>
      <c r="AV35" s="48" t="n"/>
      <c r="AW35" s="49">
        <f>IF($A35="","",IF($BW35&lt;&gt;"","FIX",IF($BX35&lt;&gt;"","CHECK","OK")))</f>
        <v/>
      </c>
      <c r="AX35" s="50">
        <f>IF($A35="","",IF($BW35&lt;&gt;"","FIX: "&amp;LEFT($BW35,LEN($BW35)-2)&amp;IF($BX35&lt;&gt;"","  ·  ",""),"")&amp;IF($BX35&lt;&gt;"","CHECK: "&amp;LEFT($BX35,LEN($BX35)-2),""))</f>
        <v/>
      </c>
      <c r="AY35" s="49">
        <f>IF(OR($A35="",$K35=""),"",$K35&amp;"'-"&amp;N($L35)&amp;CHAR(34)&amp;" x "&amp;$M35&amp;"'-"&amp;N($N35)&amp;CHAR(34))</f>
        <v/>
      </c>
      <c r="AZ35" s="49">
        <f>IF(OR($A35="",$K35=""),"",$K35&amp;N($L35)&amp;$M35&amp;N($N35))</f>
        <v/>
      </c>
      <c r="BA35" s="49">
        <f>IF(OR($A35="",$K35=""),"",$K35*12+N($L35))</f>
        <v/>
      </c>
      <c r="BB35" s="49">
        <f>IF(OR($A35="",$M35=""),"",$M35*12+N($N35))</f>
        <v/>
      </c>
      <c r="BC35" s="49">
        <f>IF($A35="","",IF(OR($C35="FRAME ONLY",$S35="BL"),0,IF($O35="Y",2,1)))</f>
        <v/>
      </c>
      <c r="BD35" s="51">
        <f>IF(OR(N($BC35)=0,$BA35=""),"",($BA35-2*EdgeClr-IF($BC35=2,MeetClr,0))/$BC35)</f>
        <v/>
      </c>
      <c r="BE35" s="51">
        <f>IF(OR(N($BC35)=0,$BB35=""),"",$BB35-HeadClr-Undercut)</f>
        <v/>
      </c>
      <c r="BF35" s="51">
        <f>IF($BA35="","",$BA35+2*FaceW+IF(N($Q35)&gt;0,($Q35+FaceW)*IF($R35="LR",2,1),0))</f>
        <v/>
      </c>
      <c r="BG35" s="51">
        <f>IF($BB35="","",$BB35+IF($AB35="Y",4,FaceW)+IF(N($P35)&gt;0,$P35+FaceW,0)+IF(OR($S35="4F",$S35="BL"),FaceW,0))</f>
        <v/>
      </c>
      <c r="BH35" s="51">
        <f>IF($BF35="","",$BF35+2*ROSide)</f>
        <v/>
      </c>
      <c r="BI35" s="51">
        <f>IF($BG35="","",$BG35+ROTop)</f>
        <v/>
      </c>
      <c r="BJ35" s="52">
        <f>IF(OR(N($BC35)=0,$BA35=""),"",$BA35/$BC35-ClearDeduct)</f>
        <v/>
      </c>
      <c r="BK35" s="49">
        <f>IF(OR(N($BC35)=0,$BE35=""),"",IF(OR($AC35="HGC",$AP35="HGC"),"CONT",IF($BE35&lt;=60,2,IF($BE35&lt;=90,3,IF($BE35&lt;=120,4,5)))))</f>
        <v/>
      </c>
      <c r="BL35" s="49">
        <f>IF(N($BC35)=0,"",IF(OR($AL35="",$AL35="FLUSH"),"FLUSH",IFERROR(LEFT($AL35,FIND("-",$AL35)-1),LEFT($AL35,2))))</f>
        <v/>
      </c>
      <c r="BM35" s="49">
        <f>IF($BL35="","",IFERROR(VALUE(MID($AL35,FIND("-",$AL35)+1,FIND(CHAR(34)&amp;"x",$AL35)-FIND("-",$AL35)-1)),0))</f>
        <v/>
      </c>
      <c r="BN35" s="49">
        <f>IF($BL35="","",IFERROR(VALUE(MID($AL35,FIND(CHAR(34)&amp;"x",$AL35)+2,FIND(CHAR(34),$AL35,FIND(CHAR(34)&amp;"x",$AL35)+2)-FIND(CHAR(34)&amp;"x",$AL35)-2)),0))</f>
        <v/>
      </c>
      <c r="BO35" s="53">
        <f>IF(OR($A35="",$H35="",$H35="NO LAB"),0,IFERROR(VALUE(LEFT($H35,FIND(" ",$H35)-1)),0))</f>
        <v/>
      </c>
      <c r="BP35" s="54">
        <f>IF(OR($A35="",$I35="",$I35="NON-RATED",N($J35)=0),"",IFERROR(VLOOKUP($I35&amp;"|"&amp;$J35,IBC,2,FALSE),"?"))</f>
        <v/>
      </c>
      <c r="BQ35" s="50">
        <f>IF(NOT(AND($A35&lt;&gt;"",$C35&lt;&gt;"DOOR ONLY")),"",TRIM(IFERROR(VLOOKUP($U35,CODES,2,FALSE),"")&amp;" "&amp;$AZ35&amp;" "&amp;IFERROR(VLOOKUP($Z35,CODES,2,FALSE),"")&amp;" "&amp;IFERROR(VLOOKUP($X35,CODES,2,FALSE),"")&amp;" "&amp;IFERROR(VLOOKUP($S35,CODES,2,FALSE),"")&amp;IF(N($P35)&gt;0," w/TRANSOM "&amp;$P35&amp;CHAR(34),"")&amp;IF(N($Q35)&gt;0," w/SIDELITE "&amp;$Q35&amp;CHAR(34)&amp;" "&amp;IF($R35="","R",$R35),"")&amp;IF($Y35="","  |  "," | "&amp;IFERROR(VLOOKUP($Y35,CODES,2,FALSE),"")&amp;" | ")&amp;IFERROR(VLOOKUP($AC35,CODES,2,FALSE),"")&amp;" "&amp;IFERROR(VLOOKUP($AD35,CODES,2,FALSE),"")&amp;IF(OR($AE35="",$AE35="-"),""," "&amp;$AE35)&amp;IF(OR($AF35="",$AF35="-"),""," "&amp;$AF35)&amp;IF($AB35="Y"," 4"&amp;CHAR(34)&amp;" HEAD","")&amp;" "&amp;IFERROR(VLOOKUP($H35,CODES,2,FALSE),"")))</f>
        <v/>
      </c>
      <c r="BR35" s="50">
        <f>IF(NOT(AND($A35&lt;&gt;"",N($BC35)&gt;0)),"",TRIM(IFERROR(VLOOKUP($AH35,CODES,2,FALSE),"")&amp;IF($AI35=""," "," "&amp;$AI35&amp;"GA ")&amp;$AZ35&amp;" "&amp;IF($AN35="",IFERROR(VLOOKUP($Z35,CODES,2,FALSE),""),IFERROR(VLOOKUP($AN35,CODES,2,FALSE),""))&amp;IF($BC35=2," PAIR","")&amp;" DOOR | "&amp;IF($AL35="","?",$AL35)&amp;" | "&amp;IF($AP35="",IFERROR(VLOOKUP($AC35,CODES,2,FALSE),""),IFERROR(VLOOKUP($AP35,CODES,2,FALSE),""))&amp;" "&amp;IFERROR(VLOOKUP($AQ35,CODES,2,FALSE),"")&amp;IF(OR($AR35="",$AR35="-"),""," SEAM "&amp;$AR35)&amp;IF($AS35="Y"," ASTRAGAL","")&amp;IF($AJ35=""," "," "&amp;$AJ35)&amp;IF($AK35=""," "," "&amp;$AK35)&amp;IF($AO35="",""," "&amp;$AO35)&amp;IF($AM35=""," "," SERIES "&amp;$AM35)&amp;" "&amp;IFERROR(VLOOKUP($H35,CODES,2,FALSE),"")))</f>
        <v/>
      </c>
      <c r="BS35" s="49">
        <f>IF(BV35="","",IF(COUNTIF($BV$6:BV35,BV35)=1,MAX($BS$5:BS34)+1,INDEX($BS$5:BS34,MATCH(BV35,$BV$5:BV34,0))))</f>
        <v/>
      </c>
      <c r="BT35" s="49">
        <f>IF(NOT(AND($A35&lt;&gt;"",$C35&lt;&gt;"DOOR ONLY")),"",MAX($BT$5:BT34)+1)</f>
        <v/>
      </c>
      <c r="BU35" s="49">
        <f>IF(NOT(AND($A35&lt;&gt;"",N($BC35)&gt;0)),"",MAX($BU$5:BU34)+1)</f>
        <v/>
      </c>
      <c r="BV35" s="49">
        <f>IF(OR($A35="",$BA35="",$BB35=""),"",$AZ35&amp;"|"&amp;$O35&amp;"|"&amp;$AL35&amp;"|"&amp;$S35&amp;"|"&amp;$P35&amp;"|"&amp;$Q35&amp;$R35&amp;"|"&amp;$C35&amp;"|"&amp;$AB35)</f>
        <v/>
      </c>
      <c r="BW35" s="49">
        <f>IF($A35="","",IF($B35="","qty, ","")&amp;IF($C35="","scope, ","")&amp;IF(OR($K35="",$M35=""),"size, ","")&amp;IF(AND($A35&lt;&gt;"",$C35&lt;&gt;"DOOR ONLY"),IF($U35="","jamb depth, ","")&amp;IF($X35="","construction, ","")&amp;IF($Y35="","anchor, ","")&amp;IF($S35="","frame type, ",""),"")&amp;IF(AND(N($BC35)&gt;0,$Z35=""),"hand, ","")&amp;IF(N($BC35)&gt;0,IF($AH35="","door material, ","")&amp;IF($AL35="","face type, ","")&amp;IF($AQ35="","lock prep, ","")&amp;IF(AND($AP35="",$AC35=""),"hinge prep, ",""),"")&amp;IF(AND($BO35&gt;0,$AH35="FRP"),"FRP cannot carry a label, ","")&amp;IF(AND($O35="Y",OR($Z35="L",$Z35="R",$Z35="LR",$Z35="RR")),"pair marked but hand is single, ","")&amp;IF(AND($O35&lt;&gt;"Y",OR($Z35="PR",AND(LEN($Z35)&gt;1,ISNUMBER(SEARCH("-",$Z35))))),"pair hand on a single door, ","")&amp;IF(AND(ISNUMBER($BP35),$BO35&lt;N($BP35)),"wall needs a "&amp;$BP35&amp;" min door, ","")&amp;IF(AND($BO35&gt;=180,AND(OR($BL35="FG",$BL35="HG",$BL35="FNV",$BL35="FV"),N($BM35)*N($BN35)&gt;100)),"180 min lite over 100 sq in, ","")&amp;IF(N($BD35)&gt;48,"leaf wider than 4'-0"&amp;CHAR(34)&amp;", ",""))</f>
        <v/>
      </c>
      <c r="BX35" s="49">
        <f>IF($A35="","",IF(AND($BO35&gt;0,AND($A35&lt;&gt;"",$C35&lt;&gt;"DOOR ONLY"),$X35="KD",$E35="EXTERIOR"),"KD label on an exterior opening, ","")&amp;IF(AND($E35="EXTERIOR",OR(AND(AND($A35&lt;&gt;"",$C35&lt;&gt;"DOOR ONLY"),$W35="CR"),AND(N($BC35)&gt;0,$AH35="CR"))),"exterior in CR steel (G9?), ","")&amp;IF(AND(ISNUMBER($BJ35),N($BJ35)&lt;32),"clear width ~"&amp;TEXT($BJ35,"0.0")&amp;CHAR(34)&amp;" under 32"&amp;CHAR(34)&amp;" (ADA), ","")&amp;IF(AND($BO35=90,AND(OR($BL35="FG",$BL35="HG",$BL35="FNV",$BL35="FV"),N($BM35)*N($BN35)&gt;100)),"90 min lite over 100 sq in (stair/exit), ","")&amp;IF(AND($BO35&gt;0,AND($A35&lt;&gt;"",$C35&lt;&gt;"DOOR ONLY"),OR($AF35="",$AF35="-")),"rated: closer reinf.?, ","")&amp;IF(OR($I35="CORRIDOR",$I35="SMOKE BARRIER"),"S label + smoke gasketing, ","")&amp;IF($BP35="?","wall type/hr not in IBC table, ","")&amp;IF(AND(N($BC35)&gt;0,$AU35=""),"no hardware set, ","")&amp;IF(AND($AU35&lt;&gt;"",ISNA(MATCH($AU35,HWSets,0))),"set "&amp;$AU35&amp;" not on Hardware sheet, ","")&amp;IF(N($BE35)&gt;96,"leaf over 8'-0"&amp;CHAR(34)&amp;" - check listing, ",""))</f>
        <v/>
      </c>
    </row>
    <row r="36" ht="15" customHeight="1">
      <c r="A36" s="44" t="n"/>
      <c r="B36" s="45" t="n"/>
      <c r="C36" s="45" t="n"/>
      <c r="D36" s="45" t="n"/>
      <c r="E36" s="45" t="n"/>
      <c r="F36" s="45" t="n"/>
      <c r="G36" s="45" t="n"/>
      <c r="H36" s="45" t="n"/>
      <c r="I36" s="45" t="n"/>
      <c r="J36" s="45" t="n"/>
      <c r="K36" s="45" t="n"/>
      <c r="L36" s="45" t="n"/>
      <c r="M36" s="45" t="n"/>
      <c r="N36" s="45" t="n"/>
      <c r="O36" s="45" t="n"/>
      <c r="P36" s="45" t="n"/>
      <c r="Q36" s="45" t="n"/>
      <c r="R36" s="45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6" t="n"/>
      <c r="AB36" s="46" t="n"/>
      <c r="AC36" s="46" t="n"/>
      <c r="AD36" s="46" t="n"/>
      <c r="AE36" s="46" t="n"/>
      <c r="AF36" s="46" t="n"/>
      <c r="AG36" s="46" t="n"/>
      <c r="AH36" s="47" t="n"/>
      <c r="AI36" s="47" t="n"/>
      <c r="AJ36" s="47" t="n"/>
      <c r="AK36" s="47" t="n"/>
      <c r="AL36" s="47" t="n"/>
      <c r="AM36" s="47" t="n"/>
      <c r="AN36" s="47" t="n"/>
      <c r="AO36" s="47" t="n"/>
      <c r="AP36" s="47" t="n"/>
      <c r="AQ36" s="47" t="n"/>
      <c r="AR36" s="47" t="n"/>
      <c r="AS36" s="47" t="n"/>
      <c r="AT36" s="47" t="n"/>
      <c r="AU36" s="48" t="n"/>
      <c r="AV36" s="48" t="n"/>
      <c r="AW36" s="49">
        <f>IF($A36="","",IF($BW36&lt;&gt;"","FIX",IF($BX36&lt;&gt;"","CHECK","OK")))</f>
        <v/>
      </c>
      <c r="AX36" s="50">
        <f>IF($A36="","",IF($BW36&lt;&gt;"","FIX: "&amp;LEFT($BW36,LEN($BW36)-2)&amp;IF($BX36&lt;&gt;"","  ·  ",""),"")&amp;IF($BX36&lt;&gt;"","CHECK: "&amp;LEFT($BX36,LEN($BX36)-2),""))</f>
        <v/>
      </c>
      <c r="AY36" s="49">
        <f>IF(OR($A36="",$K36=""),"",$K36&amp;"'-"&amp;N($L36)&amp;CHAR(34)&amp;" x "&amp;$M36&amp;"'-"&amp;N($N36)&amp;CHAR(34))</f>
        <v/>
      </c>
      <c r="AZ36" s="49">
        <f>IF(OR($A36="",$K36=""),"",$K36&amp;N($L36)&amp;$M36&amp;N($N36))</f>
        <v/>
      </c>
      <c r="BA36" s="49">
        <f>IF(OR($A36="",$K36=""),"",$K36*12+N($L36))</f>
        <v/>
      </c>
      <c r="BB36" s="49">
        <f>IF(OR($A36="",$M36=""),"",$M36*12+N($N36))</f>
        <v/>
      </c>
      <c r="BC36" s="49">
        <f>IF($A36="","",IF(OR($C36="FRAME ONLY",$S36="BL"),0,IF($O36="Y",2,1)))</f>
        <v/>
      </c>
      <c r="BD36" s="51">
        <f>IF(OR(N($BC36)=0,$BA36=""),"",($BA36-2*EdgeClr-IF($BC36=2,MeetClr,0))/$BC36)</f>
        <v/>
      </c>
      <c r="BE36" s="51">
        <f>IF(OR(N($BC36)=0,$BB36=""),"",$BB36-HeadClr-Undercut)</f>
        <v/>
      </c>
      <c r="BF36" s="51">
        <f>IF($BA36="","",$BA36+2*FaceW+IF(N($Q36)&gt;0,($Q36+FaceW)*IF($R36="LR",2,1),0))</f>
        <v/>
      </c>
      <c r="BG36" s="51">
        <f>IF($BB36="","",$BB36+IF($AB36="Y",4,FaceW)+IF(N($P36)&gt;0,$P36+FaceW,0)+IF(OR($S36="4F",$S36="BL"),FaceW,0))</f>
        <v/>
      </c>
      <c r="BH36" s="51">
        <f>IF($BF36="","",$BF36+2*ROSide)</f>
        <v/>
      </c>
      <c r="BI36" s="51">
        <f>IF($BG36="","",$BG36+ROTop)</f>
        <v/>
      </c>
      <c r="BJ36" s="52">
        <f>IF(OR(N($BC36)=0,$BA36=""),"",$BA36/$BC36-ClearDeduct)</f>
        <v/>
      </c>
      <c r="BK36" s="49">
        <f>IF(OR(N($BC36)=0,$BE36=""),"",IF(OR($AC36="HGC",$AP36="HGC"),"CONT",IF($BE36&lt;=60,2,IF($BE36&lt;=90,3,IF($BE36&lt;=120,4,5)))))</f>
        <v/>
      </c>
      <c r="BL36" s="49">
        <f>IF(N($BC36)=0,"",IF(OR($AL36="",$AL36="FLUSH"),"FLUSH",IFERROR(LEFT($AL36,FIND("-",$AL36)-1),LEFT($AL36,2))))</f>
        <v/>
      </c>
      <c r="BM36" s="49">
        <f>IF($BL36="","",IFERROR(VALUE(MID($AL36,FIND("-",$AL36)+1,FIND(CHAR(34)&amp;"x",$AL36)-FIND("-",$AL36)-1)),0))</f>
        <v/>
      </c>
      <c r="BN36" s="49">
        <f>IF($BL36="","",IFERROR(VALUE(MID($AL36,FIND(CHAR(34)&amp;"x",$AL36)+2,FIND(CHAR(34),$AL36,FIND(CHAR(34)&amp;"x",$AL36)+2)-FIND(CHAR(34)&amp;"x",$AL36)-2)),0))</f>
        <v/>
      </c>
      <c r="BO36" s="53">
        <f>IF(OR($A36="",$H36="",$H36="NO LAB"),0,IFERROR(VALUE(LEFT($H36,FIND(" ",$H36)-1)),0))</f>
        <v/>
      </c>
      <c r="BP36" s="54">
        <f>IF(OR($A36="",$I36="",$I36="NON-RATED",N($J36)=0),"",IFERROR(VLOOKUP($I36&amp;"|"&amp;$J36,IBC,2,FALSE),"?"))</f>
        <v/>
      </c>
      <c r="BQ36" s="50">
        <f>IF(NOT(AND($A36&lt;&gt;"",$C36&lt;&gt;"DOOR ONLY")),"",TRIM(IFERROR(VLOOKUP($U36,CODES,2,FALSE),"")&amp;" "&amp;$AZ36&amp;" "&amp;IFERROR(VLOOKUP($Z36,CODES,2,FALSE),"")&amp;" "&amp;IFERROR(VLOOKUP($X36,CODES,2,FALSE),"")&amp;" "&amp;IFERROR(VLOOKUP($S36,CODES,2,FALSE),"")&amp;IF(N($P36)&gt;0," w/TRANSOM "&amp;$P36&amp;CHAR(34),"")&amp;IF(N($Q36)&gt;0," w/SIDELITE "&amp;$Q36&amp;CHAR(34)&amp;" "&amp;IF($R36="","R",$R36),"")&amp;IF($Y36="","  |  "," | "&amp;IFERROR(VLOOKUP($Y36,CODES,2,FALSE),"")&amp;" | ")&amp;IFERROR(VLOOKUP($AC36,CODES,2,FALSE),"")&amp;" "&amp;IFERROR(VLOOKUP($AD36,CODES,2,FALSE),"")&amp;IF(OR($AE36="",$AE36="-"),""," "&amp;$AE36)&amp;IF(OR($AF36="",$AF36="-"),""," "&amp;$AF36)&amp;IF($AB36="Y"," 4"&amp;CHAR(34)&amp;" HEAD","")&amp;" "&amp;IFERROR(VLOOKUP($H36,CODES,2,FALSE),"")))</f>
        <v/>
      </c>
      <c r="BR36" s="50">
        <f>IF(NOT(AND($A36&lt;&gt;"",N($BC36)&gt;0)),"",TRIM(IFERROR(VLOOKUP($AH36,CODES,2,FALSE),"")&amp;IF($AI36=""," "," "&amp;$AI36&amp;"GA ")&amp;$AZ36&amp;" "&amp;IF($AN36="",IFERROR(VLOOKUP($Z36,CODES,2,FALSE),""),IFERROR(VLOOKUP($AN36,CODES,2,FALSE),""))&amp;IF($BC36=2," PAIR","")&amp;" DOOR | "&amp;IF($AL36="","?",$AL36)&amp;" | "&amp;IF($AP36="",IFERROR(VLOOKUP($AC36,CODES,2,FALSE),""),IFERROR(VLOOKUP($AP36,CODES,2,FALSE),""))&amp;" "&amp;IFERROR(VLOOKUP($AQ36,CODES,2,FALSE),"")&amp;IF(OR($AR36="",$AR36="-"),""," SEAM "&amp;$AR36)&amp;IF($AS36="Y"," ASTRAGAL","")&amp;IF($AJ36=""," "," "&amp;$AJ36)&amp;IF($AK36=""," "," "&amp;$AK36)&amp;IF($AO36="",""," "&amp;$AO36)&amp;IF($AM36=""," "," SERIES "&amp;$AM36)&amp;" "&amp;IFERROR(VLOOKUP($H36,CODES,2,FALSE),"")))</f>
        <v/>
      </c>
      <c r="BS36" s="49">
        <f>IF(BV36="","",IF(COUNTIF($BV$6:BV36,BV36)=1,MAX($BS$5:BS35)+1,INDEX($BS$5:BS35,MATCH(BV36,$BV$5:BV35,0))))</f>
        <v/>
      </c>
      <c r="BT36" s="49">
        <f>IF(NOT(AND($A36&lt;&gt;"",$C36&lt;&gt;"DOOR ONLY")),"",MAX($BT$5:BT35)+1)</f>
        <v/>
      </c>
      <c r="BU36" s="49">
        <f>IF(NOT(AND($A36&lt;&gt;"",N($BC36)&gt;0)),"",MAX($BU$5:BU35)+1)</f>
        <v/>
      </c>
      <c r="BV36" s="49">
        <f>IF(OR($A36="",$BA36="",$BB36=""),"",$AZ36&amp;"|"&amp;$O36&amp;"|"&amp;$AL36&amp;"|"&amp;$S36&amp;"|"&amp;$P36&amp;"|"&amp;$Q36&amp;$R36&amp;"|"&amp;$C36&amp;"|"&amp;$AB36)</f>
        <v/>
      </c>
      <c r="BW36" s="49">
        <f>IF($A36="","",IF($B36="","qty, ","")&amp;IF($C36="","scope, ","")&amp;IF(OR($K36="",$M36=""),"size, ","")&amp;IF(AND($A36&lt;&gt;"",$C36&lt;&gt;"DOOR ONLY"),IF($U36="","jamb depth, ","")&amp;IF($X36="","construction, ","")&amp;IF($Y36="","anchor, ","")&amp;IF($S36="","frame type, ",""),"")&amp;IF(AND(N($BC36)&gt;0,$Z36=""),"hand, ","")&amp;IF(N($BC36)&gt;0,IF($AH36="","door material, ","")&amp;IF($AL36="","face type, ","")&amp;IF($AQ36="","lock prep, ","")&amp;IF(AND($AP36="",$AC36=""),"hinge prep, ",""),"")&amp;IF(AND($BO36&gt;0,$AH36="FRP"),"FRP cannot carry a label, ","")&amp;IF(AND($O36="Y",OR($Z36="L",$Z36="R",$Z36="LR",$Z36="RR")),"pair marked but hand is single, ","")&amp;IF(AND($O36&lt;&gt;"Y",OR($Z36="PR",AND(LEN($Z36)&gt;1,ISNUMBER(SEARCH("-",$Z36))))),"pair hand on a single door, ","")&amp;IF(AND(ISNUMBER($BP36),$BO36&lt;N($BP36)),"wall needs a "&amp;$BP36&amp;" min door, ","")&amp;IF(AND($BO36&gt;=180,AND(OR($BL36="FG",$BL36="HG",$BL36="FNV",$BL36="FV"),N($BM36)*N($BN36)&gt;100)),"180 min lite over 100 sq in, ","")&amp;IF(N($BD36)&gt;48,"leaf wider than 4'-0"&amp;CHAR(34)&amp;", ",""))</f>
        <v/>
      </c>
      <c r="BX36" s="49">
        <f>IF($A36="","",IF(AND($BO36&gt;0,AND($A36&lt;&gt;"",$C36&lt;&gt;"DOOR ONLY"),$X36="KD",$E36="EXTERIOR"),"KD label on an exterior opening, ","")&amp;IF(AND($E36="EXTERIOR",OR(AND(AND($A36&lt;&gt;"",$C36&lt;&gt;"DOOR ONLY"),$W36="CR"),AND(N($BC36)&gt;0,$AH36="CR"))),"exterior in CR steel (G9?), ","")&amp;IF(AND(ISNUMBER($BJ36),N($BJ36)&lt;32),"clear width ~"&amp;TEXT($BJ36,"0.0")&amp;CHAR(34)&amp;" under 32"&amp;CHAR(34)&amp;" (ADA), ","")&amp;IF(AND($BO36=90,AND(OR($BL36="FG",$BL36="HG",$BL36="FNV",$BL36="FV"),N($BM36)*N($BN36)&gt;100)),"90 min lite over 100 sq in (stair/exit), ","")&amp;IF(AND($BO36&gt;0,AND($A36&lt;&gt;"",$C36&lt;&gt;"DOOR ONLY"),OR($AF36="",$AF36="-")),"rated: closer reinf.?, ","")&amp;IF(OR($I36="CORRIDOR",$I36="SMOKE BARRIER"),"S label + smoke gasketing, ","")&amp;IF($BP36="?","wall type/hr not in IBC table, ","")&amp;IF(AND(N($BC36)&gt;0,$AU36=""),"no hardware set, ","")&amp;IF(AND($AU36&lt;&gt;"",ISNA(MATCH($AU36,HWSets,0))),"set "&amp;$AU36&amp;" not on Hardware sheet, ","")&amp;IF(N($BE36)&gt;96,"leaf over 8'-0"&amp;CHAR(34)&amp;" - check listing, ",""))</f>
        <v/>
      </c>
    </row>
    <row r="37" ht="15" customHeight="1">
      <c r="A37" s="44" t="n"/>
      <c r="B37" s="45" t="n"/>
      <c r="C37" s="45" t="n"/>
      <c r="D37" s="45" t="n"/>
      <c r="E37" s="45" t="n"/>
      <c r="F37" s="45" t="n"/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47" t="n"/>
      <c r="AI37" s="47" t="n"/>
      <c r="AJ37" s="47" t="n"/>
      <c r="AK37" s="47" t="n"/>
      <c r="AL37" s="47" t="n"/>
      <c r="AM37" s="47" t="n"/>
      <c r="AN37" s="47" t="n"/>
      <c r="AO37" s="47" t="n"/>
      <c r="AP37" s="47" t="n"/>
      <c r="AQ37" s="47" t="n"/>
      <c r="AR37" s="47" t="n"/>
      <c r="AS37" s="47" t="n"/>
      <c r="AT37" s="47" t="n"/>
      <c r="AU37" s="48" t="n"/>
      <c r="AV37" s="48" t="n"/>
      <c r="AW37" s="49">
        <f>IF($A37="","",IF($BW37&lt;&gt;"","FIX",IF($BX37&lt;&gt;"","CHECK","OK")))</f>
        <v/>
      </c>
      <c r="AX37" s="50">
        <f>IF($A37="","",IF($BW37&lt;&gt;"","FIX: "&amp;LEFT($BW37,LEN($BW37)-2)&amp;IF($BX37&lt;&gt;"","  ·  ",""),"")&amp;IF($BX37&lt;&gt;"","CHECK: "&amp;LEFT($BX37,LEN($BX37)-2),""))</f>
        <v/>
      </c>
      <c r="AY37" s="49">
        <f>IF(OR($A37="",$K37=""),"",$K37&amp;"'-"&amp;N($L37)&amp;CHAR(34)&amp;" x "&amp;$M37&amp;"'-"&amp;N($N37)&amp;CHAR(34))</f>
        <v/>
      </c>
      <c r="AZ37" s="49">
        <f>IF(OR($A37="",$K37=""),"",$K37&amp;N($L37)&amp;$M37&amp;N($N37))</f>
        <v/>
      </c>
      <c r="BA37" s="49">
        <f>IF(OR($A37="",$K37=""),"",$K37*12+N($L37))</f>
        <v/>
      </c>
      <c r="BB37" s="49">
        <f>IF(OR($A37="",$M37=""),"",$M37*12+N($N37))</f>
        <v/>
      </c>
      <c r="BC37" s="49">
        <f>IF($A37="","",IF(OR($C37="FRAME ONLY",$S37="BL"),0,IF($O37="Y",2,1)))</f>
        <v/>
      </c>
      <c r="BD37" s="51">
        <f>IF(OR(N($BC37)=0,$BA37=""),"",($BA37-2*EdgeClr-IF($BC37=2,MeetClr,0))/$BC37)</f>
        <v/>
      </c>
      <c r="BE37" s="51">
        <f>IF(OR(N($BC37)=0,$BB37=""),"",$BB37-HeadClr-Undercut)</f>
        <v/>
      </c>
      <c r="BF37" s="51">
        <f>IF($BA37="","",$BA37+2*FaceW+IF(N($Q37)&gt;0,($Q37+FaceW)*IF($R37="LR",2,1),0))</f>
        <v/>
      </c>
      <c r="BG37" s="51">
        <f>IF($BB37="","",$BB37+IF($AB37="Y",4,FaceW)+IF(N($P37)&gt;0,$P37+FaceW,0)+IF(OR($S37="4F",$S37="BL"),FaceW,0))</f>
        <v/>
      </c>
      <c r="BH37" s="51">
        <f>IF($BF37="","",$BF37+2*ROSide)</f>
        <v/>
      </c>
      <c r="BI37" s="51">
        <f>IF($BG37="","",$BG37+ROTop)</f>
        <v/>
      </c>
      <c r="BJ37" s="52">
        <f>IF(OR(N($BC37)=0,$BA37=""),"",$BA37/$BC37-ClearDeduct)</f>
        <v/>
      </c>
      <c r="BK37" s="49">
        <f>IF(OR(N($BC37)=0,$BE37=""),"",IF(OR($AC37="HGC",$AP37="HGC"),"CONT",IF($BE37&lt;=60,2,IF($BE37&lt;=90,3,IF($BE37&lt;=120,4,5)))))</f>
        <v/>
      </c>
      <c r="BL37" s="49">
        <f>IF(N($BC37)=0,"",IF(OR($AL37="",$AL37="FLUSH"),"FLUSH",IFERROR(LEFT($AL37,FIND("-",$AL37)-1),LEFT($AL37,2))))</f>
        <v/>
      </c>
      <c r="BM37" s="49">
        <f>IF($BL37="","",IFERROR(VALUE(MID($AL37,FIND("-",$AL37)+1,FIND(CHAR(34)&amp;"x",$AL37)-FIND("-",$AL37)-1)),0))</f>
        <v/>
      </c>
      <c r="BN37" s="49">
        <f>IF($BL37="","",IFERROR(VALUE(MID($AL37,FIND(CHAR(34)&amp;"x",$AL37)+2,FIND(CHAR(34),$AL37,FIND(CHAR(34)&amp;"x",$AL37)+2)-FIND(CHAR(34)&amp;"x",$AL37)-2)),0))</f>
        <v/>
      </c>
      <c r="BO37" s="53">
        <f>IF(OR($A37="",$H37="",$H37="NO LAB"),0,IFERROR(VALUE(LEFT($H37,FIND(" ",$H37)-1)),0))</f>
        <v/>
      </c>
      <c r="BP37" s="54">
        <f>IF(OR($A37="",$I37="",$I37="NON-RATED",N($J37)=0),"",IFERROR(VLOOKUP($I37&amp;"|"&amp;$J37,IBC,2,FALSE),"?"))</f>
        <v/>
      </c>
      <c r="BQ37" s="50">
        <f>IF(NOT(AND($A37&lt;&gt;"",$C37&lt;&gt;"DOOR ONLY")),"",TRIM(IFERROR(VLOOKUP($U37,CODES,2,FALSE),"")&amp;" "&amp;$AZ37&amp;" "&amp;IFERROR(VLOOKUP($Z37,CODES,2,FALSE),"")&amp;" "&amp;IFERROR(VLOOKUP($X37,CODES,2,FALSE),"")&amp;" "&amp;IFERROR(VLOOKUP($S37,CODES,2,FALSE),"")&amp;IF(N($P37)&gt;0," w/TRANSOM "&amp;$P37&amp;CHAR(34),"")&amp;IF(N($Q37)&gt;0," w/SIDELITE "&amp;$Q37&amp;CHAR(34)&amp;" "&amp;IF($R37="","R",$R37),"")&amp;IF($Y37="","  |  "," | "&amp;IFERROR(VLOOKUP($Y37,CODES,2,FALSE),"")&amp;" | ")&amp;IFERROR(VLOOKUP($AC37,CODES,2,FALSE),"")&amp;" "&amp;IFERROR(VLOOKUP($AD37,CODES,2,FALSE),"")&amp;IF(OR($AE37="",$AE37="-"),""," "&amp;$AE37)&amp;IF(OR($AF37="",$AF37="-"),""," "&amp;$AF37)&amp;IF($AB37="Y"," 4"&amp;CHAR(34)&amp;" HEAD","")&amp;" "&amp;IFERROR(VLOOKUP($H37,CODES,2,FALSE),"")))</f>
        <v/>
      </c>
      <c r="BR37" s="50">
        <f>IF(NOT(AND($A37&lt;&gt;"",N($BC37)&gt;0)),"",TRIM(IFERROR(VLOOKUP($AH37,CODES,2,FALSE),"")&amp;IF($AI37=""," "," "&amp;$AI37&amp;"GA ")&amp;$AZ37&amp;" "&amp;IF($AN37="",IFERROR(VLOOKUP($Z37,CODES,2,FALSE),""),IFERROR(VLOOKUP($AN37,CODES,2,FALSE),""))&amp;IF($BC37=2," PAIR","")&amp;" DOOR | "&amp;IF($AL37="","?",$AL37)&amp;" | "&amp;IF($AP37="",IFERROR(VLOOKUP($AC37,CODES,2,FALSE),""),IFERROR(VLOOKUP($AP37,CODES,2,FALSE),""))&amp;" "&amp;IFERROR(VLOOKUP($AQ37,CODES,2,FALSE),"")&amp;IF(OR($AR37="",$AR37="-"),""," SEAM "&amp;$AR37)&amp;IF($AS37="Y"," ASTRAGAL","")&amp;IF($AJ37=""," "," "&amp;$AJ37)&amp;IF($AK37=""," "," "&amp;$AK37)&amp;IF($AO37="",""," "&amp;$AO37)&amp;IF($AM37=""," "," SERIES "&amp;$AM37)&amp;" "&amp;IFERROR(VLOOKUP($H37,CODES,2,FALSE),"")))</f>
        <v/>
      </c>
      <c r="BS37" s="49">
        <f>IF(BV37="","",IF(COUNTIF($BV$6:BV37,BV37)=1,MAX($BS$5:BS36)+1,INDEX($BS$5:BS36,MATCH(BV37,$BV$5:BV36,0))))</f>
        <v/>
      </c>
      <c r="BT37" s="49">
        <f>IF(NOT(AND($A37&lt;&gt;"",$C37&lt;&gt;"DOOR ONLY")),"",MAX($BT$5:BT36)+1)</f>
        <v/>
      </c>
      <c r="BU37" s="49">
        <f>IF(NOT(AND($A37&lt;&gt;"",N($BC37)&gt;0)),"",MAX($BU$5:BU36)+1)</f>
        <v/>
      </c>
      <c r="BV37" s="49">
        <f>IF(OR($A37="",$BA37="",$BB37=""),"",$AZ37&amp;"|"&amp;$O37&amp;"|"&amp;$AL37&amp;"|"&amp;$S37&amp;"|"&amp;$P37&amp;"|"&amp;$Q37&amp;$R37&amp;"|"&amp;$C37&amp;"|"&amp;$AB37)</f>
        <v/>
      </c>
      <c r="BW37" s="49">
        <f>IF($A37="","",IF($B37="","qty, ","")&amp;IF($C37="","scope, ","")&amp;IF(OR($K37="",$M37=""),"size, ","")&amp;IF(AND($A37&lt;&gt;"",$C37&lt;&gt;"DOOR ONLY"),IF($U37="","jamb depth, ","")&amp;IF($X37="","construction, ","")&amp;IF($Y37="","anchor, ","")&amp;IF($S37="","frame type, ",""),"")&amp;IF(AND(N($BC37)&gt;0,$Z37=""),"hand, ","")&amp;IF(N($BC37)&gt;0,IF($AH37="","door material, ","")&amp;IF($AL37="","face type, ","")&amp;IF($AQ37="","lock prep, ","")&amp;IF(AND($AP37="",$AC37=""),"hinge prep, ",""),"")&amp;IF(AND($BO37&gt;0,$AH37="FRP"),"FRP cannot carry a label, ","")&amp;IF(AND($O37="Y",OR($Z37="L",$Z37="R",$Z37="LR",$Z37="RR")),"pair marked but hand is single, ","")&amp;IF(AND($O37&lt;&gt;"Y",OR($Z37="PR",AND(LEN($Z37)&gt;1,ISNUMBER(SEARCH("-",$Z37))))),"pair hand on a single door, ","")&amp;IF(AND(ISNUMBER($BP37),$BO37&lt;N($BP37)),"wall needs a "&amp;$BP37&amp;" min door, ","")&amp;IF(AND($BO37&gt;=180,AND(OR($BL37="FG",$BL37="HG",$BL37="FNV",$BL37="FV"),N($BM37)*N($BN37)&gt;100)),"180 min lite over 100 sq in, ","")&amp;IF(N($BD37)&gt;48,"leaf wider than 4'-0"&amp;CHAR(34)&amp;", ",""))</f>
        <v/>
      </c>
      <c r="BX37" s="49">
        <f>IF($A37="","",IF(AND($BO37&gt;0,AND($A37&lt;&gt;"",$C37&lt;&gt;"DOOR ONLY"),$X37="KD",$E37="EXTERIOR"),"KD label on an exterior opening, ","")&amp;IF(AND($E37="EXTERIOR",OR(AND(AND($A37&lt;&gt;"",$C37&lt;&gt;"DOOR ONLY"),$W37="CR"),AND(N($BC37)&gt;0,$AH37="CR"))),"exterior in CR steel (G9?), ","")&amp;IF(AND(ISNUMBER($BJ37),N($BJ37)&lt;32),"clear width ~"&amp;TEXT($BJ37,"0.0")&amp;CHAR(34)&amp;" under 32"&amp;CHAR(34)&amp;" (ADA), ","")&amp;IF(AND($BO37=90,AND(OR($BL37="FG",$BL37="HG",$BL37="FNV",$BL37="FV"),N($BM37)*N($BN37)&gt;100)),"90 min lite over 100 sq in (stair/exit), ","")&amp;IF(AND($BO37&gt;0,AND($A37&lt;&gt;"",$C37&lt;&gt;"DOOR ONLY"),OR($AF37="",$AF37="-")),"rated: closer reinf.?, ","")&amp;IF(OR($I37="CORRIDOR",$I37="SMOKE BARRIER"),"S label + smoke gasketing, ","")&amp;IF($BP37="?","wall type/hr not in IBC table, ","")&amp;IF(AND(N($BC37)&gt;0,$AU37=""),"no hardware set, ","")&amp;IF(AND($AU37&lt;&gt;"",ISNA(MATCH($AU37,HWSets,0))),"set "&amp;$AU37&amp;" not on Hardware sheet, ","")&amp;IF(N($BE37)&gt;96,"leaf over 8'-0"&amp;CHAR(34)&amp;" - check listing, ",""))</f>
        <v/>
      </c>
    </row>
    <row r="38" ht="15" customHeight="1">
      <c r="A38" s="44" t="n"/>
      <c r="B38" s="45" t="n"/>
      <c r="C38" s="45" t="n"/>
      <c r="D38" s="45" t="n"/>
      <c r="E38" s="45" t="n"/>
      <c r="F38" s="45" t="n"/>
      <c r="G38" s="45" t="n"/>
      <c r="H38" s="45" t="n"/>
      <c r="I38" s="45" t="n"/>
      <c r="J38" s="45" t="n"/>
      <c r="K38" s="45" t="n"/>
      <c r="L38" s="45" t="n"/>
      <c r="M38" s="45" t="n"/>
      <c r="N38" s="45" t="n"/>
      <c r="O38" s="45" t="n"/>
      <c r="P38" s="45" t="n"/>
      <c r="Q38" s="45" t="n"/>
      <c r="R38" s="45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47" t="n"/>
      <c r="AI38" s="47" t="n"/>
      <c r="AJ38" s="47" t="n"/>
      <c r="AK38" s="47" t="n"/>
      <c r="AL38" s="47" t="n"/>
      <c r="AM38" s="47" t="n"/>
      <c r="AN38" s="47" t="n"/>
      <c r="AO38" s="47" t="n"/>
      <c r="AP38" s="47" t="n"/>
      <c r="AQ38" s="47" t="n"/>
      <c r="AR38" s="47" t="n"/>
      <c r="AS38" s="47" t="n"/>
      <c r="AT38" s="47" t="n"/>
      <c r="AU38" s="48" t="n"/>
      <c r="AV38" s="48" t="n"/>
      <c r="AW38" s="49">
        <f>IF($A38="","",IF($BW38&lt;&gt;"","FIX",IF($BX38&lt;&gt;"","CHECK","OK")))</f>
        <v/>
      </c>
      <c r="AX38" s="50">
        <f>IF($A38="","",IF($BW38&lt;&gt;"","FIX: "&amp;LEFT($BW38,LEN($BW38)-2)&amp;IF($BX38&lt;&gt;"","  ·  ",""),"")&amp;IF($BX38&lt;&gt;"","CHECK: "&amp;LEFT($BX38,LEN($BX38)-2),""))</f>
        <v/>
      </c>
      <c r="AY38" s="49">
        <f>IF(OR($A38="",$K38=""),"",$K38&amp;"'-"&amp;N($L38)&amp;CHAR(34)&amp;" x "&amp;$M38&amp;"'-"&amp;N($N38)&amp;CHAR(34))</f>
        <v/>
      </c>
      <c r="AZ38" s="49">
        <f>IF(OR($A38="",$K38=""),"",$K38&amp;N($L38)&amp;$M38&amp;N($N38))</f>
        <v/>
      </c>
      <c r="BA38" s="49">
        <f>IF(OR($A38="",$K38=""),"",$K38*12+N($L38))</f>
        <v/>
      </c>
      <c r="BB38" s="49">
        <f>IF(OR($A38="",$M38=""),"",$M38*12+N($N38))</f>
        <v/>
      </c>
      <c r="BC38" s="49">
        <f>IF($A38="","",IF(OR($C38="FRAME ONLY",$S38="BL"),0,IF($O38="Y",2,1)))</f>
        <v/>
      </c>
      <c r="BD38" s="51">
        <f>IF(OR(N($BC38)=0,$BA38=""),"",($BA38-2*EdgeClr-IF($BC38=2,MeetClr,0))/$BC38)</f>
        <v/>
      </c>
      <c r="BE38" s="51">
        <f>IF(OR(N($BC38)=0,$BB38=""),"",$BB38-HeadClr-Undercut)</f>
        <v/>
      </c>
      <c r="BF38" s="51">
        <f>IF($BA38="","",$BA38+2*FaceW+IF(N($Q38)&gt;0,($Q38+FaceW)*IF($R38="LR",2,1),0))</f>
        <v/>
      </c>
      <c r="BG38" s="51">
        <f>IF($BB38="","",$BB38+IF($AB38="Y",4,FaceW)+IF(N($P38)&gt;0,$P38+FaceW,0)+IF(OR($S38="4F",$S38="BL"),FaceW,0))</f>
        <v/>
      </c>
      <c r="BH38" s="51">
        <f>IF($BF38="","",$BF38+2*ROSide)</f>
        <v/>
      </c>
      <c r="BI38" s="51">
        <f>IF($BG38="","",$BG38+ROTop)</f>
        <v/>
      </c>
      <c r="BJ38" s="52">
        <f>IF(OR(N($BC38)=0,$BA38=""),"",$BA38/$BC38-ClearDeduct)</f>
        <v/>
      </c>
      <c r="BK38" s="49">
        <f>IF(OR(N($BC38)=0,$BE38=""),"",IF(OR($AC38="HGC",$AP38="HGC"),"CONT",IF($BE38&lt;=60,2,IF($BE38&lt;=90,3,IF($BE38&lt;=120,4,5)))))</f>
        <v/>
      </c>
      <c r="BL38" s="49">
        <f>IF(N($BC38)=0,"",IF(OR($AL38="",$AL38="FLUSH"),"FLUSH",IFERROR(LEFT($AL38,FIND("-",$AL38)-1),LEFT($AL38,2))))</f>
        <v/>
      </c>
      <c r="BM38" s="49">
        <f>IF($BL38="","",IFERROR(VALUE(MID($AL38,FIND("-",$AL38)+1,FIND(CHAR(34)&amp;"x",$AL38)-FIND("-",$AL38)-1)),0))</f>
        <v/>
      </c>
      <c r="BN38" s="49">
        <f>IF($BL38="","",IFERROR(VALUE(MID($AL38,FIND(CHAR(34)&amp;"x",$AL38)+2,FIND(CHAR(34),$AL38,FIND(CHAR(34)&amp;"x",$AL38)+2)-FIND(CHAR(34)&amp;"x",$AL38)-2)),0))</f>
        <v/>
      </c>
      <c r="BO38" s="53">
        <f>IF(OR($A38="",$H38="",$H38="NO LAB"),0,IFERROR(VALUE(LEFT($H38,FIND(" ",$H38)-1)),0))</f>
        <v/>
      </c>
      <c r="BP38" s="54">
        <f>IF(OR($A38="",$I38="",$I38="NON-RATED",N($J38)=0),"",IFERROR(VLOOKUP($I38&amp;"|"&amp;$J38,IBC,2,FALSE),"?"))</f>
        <v/>
      </c>
      <c r="BQ38" s="50">
        <f>IF(NOT(AND($A38&lt;&gt;"",$C38&lt;&gt;"DOOR ONLY")),"",TRIM(IFERROR(VLOOKUP($U38,CODES,2,FALSE),"")&amp;" "&amp;$AZ38&amp;" "&amp;IFERROR(VLOOKUP($Z38,CODES,2,FALSE),"")&amp;" "&amp;IFERROR(VLOOKUP($X38,CODES,2,FALSE),"")&amp;" "&amp;IFERROR(VLOOKUP($S38,CODES,2,FALSE),"")&amp;IF(N($P38)&gt;0," w/TRANSOM "&amp;$P38&amp;CHAR(34),"")&amp;IF(N($Q38)&gt;0," w/SIDELITE "&amp;$Q38&amp;CHAR(34)&amp;" "&amp;IF($R38="","R",$R38),"")&amp;IF($Y38="","  |  "," | "&amp;IFERROR(VLOOKUP($Y38,CODES,2,FALSE),"")&amp;" | ")&amp;IFERROR(VLOOKUP($AC38,CODES,2,FALSE),"")&amp;" "&amp;IFERROR(VLOOKUP($AD38,CODES,2,FALSE),"")&amp;IF(OR($AE38="",$AE38="-"),""," "&amp;$AE38)&amp;IF(OR($AF38="",$AF38="-"),""," "&amp;$AF38)&amp;IF($AB38="Y"," 4"&amp;CHAR(34)&amp;" HEAD","")&amp;" "&amp;IFERROR(VLOOKUP($H38,CODES,2,FALSE),"")))</f>
        <v/>
      </c>
      <c r="BR38" s="50">
        <f>IF(NOT(AND($A38&lt;&gt;"",N($BC38)&gt;0)),"",TRIM(IFERROR(VLOOKUP($AH38,CODES,2,FALSE),"")&amp;IF($AI38=""," "," "&amp;$AI38&amp;"GA ")&amp;$AZ38&amp;" "&amp;IF($AN38="",IFERROR(VLOOKUP($Z38,CODES,2,FALSE),""),IFERROR(VLOOKUP($AN38,CODES,2,FALSE),""))&amp;IF($BC38=2," PAIR","")&amp;" DOOR | "&amp;IF($AL38="","?",$AL38)&amp;" | "&amp;IF($AP38="",IFERROR(VLOOKUP($AC38,CODES,2,FALSE),""),IFERROR(VLOOKUP($AP38,CODES,2,FALSE),""))&amp;" "&amp;IFERROR(VLOOKUP($AQ38,CODES,2,FALSE),"")&amp;IF(OR($AR38="",$AR38="-"),""," SEAM "&amp;$AR38)&amp;IF($AS38="Y"," ASTRAGAL","")&amp;IF($AJ38=""," "," "&amp;$AJ38)&amp;IF($AK38=""," "," "&amp;$AK38)&amp;IF($AO38="",""," "&amp;$AO38)&amp;IF($AM38=""," "," SERIES "&amp;$AM38)&amp;" "&amp;IFERROR(VLOOKUP($H38,CODES,2,FALSE),"")))</f>
        <v/>
      </c>
      <c r="BS38" s="49">
        <f>IF(BV38="","",IF(COUNTIF($BV$6:BV38,BV38)=1,MAX($BS$5:BS37)+1,INDEX($BS$5:BS37,MATCH(BV38,$BV$5:BV37,0))))</f>
        <v/>
      </c>
      <c r="BT38" s="49">
        <f>IF(NOT(AND($A38&lt;&gt;"",$C38&lt;&gt;"DOOR ONLY")),"",MAX($BT$5:BT37)+1)</f>
        <v/>
      </c>
      <c r="BU38" s="49">
        <f>IF(NOT(AND($A38&lt;&gt;"",N($BC38)&gt;0)),"",MAX($BU$5:BU37)+1)</f>
        <v/>
      </c>
      <c r="BV38" s="49">
        <f>IF(OR($A38="",$BA38="",$BB38=""),"",$AZ38&amp;"|"&amp;$O38&amp;"|"&amp;$AL38&amp;"|"&amp;$S38&amp;"|"&amp;$P38&amp;"|"&amp;$Q38&amp;$R38&amp;"|"&amp;$C38&amp;"|"&amp;$AB38)</f>
        <v/>
      </c>
      <c r="BW38" s="49">
        <f>IF($A38="","",IF($B38="","qty, ","")&amp;IF($C38="","scope, ","")&amp;IF(OR($K38="",$M38=""),"size, ","")&amp;IF(AND($A38&lt;&gt;"",$C38&lt;&gt;"DOOR ONLY"),IF($U38="","jamb depth, ","")&amp;IF($X38="","construction, ","")&amp;IF($Y38="","anchor, ","")&amp;IF($S38="","frame type, ",""),"")&amp;IF(AND(N($BC38)&gt;0,$Z38=""),"hand, ","")&amp;IF(N($BC38)&gt;0,IF($AH38="","door material, ","")&amp;IF($AL38="","face type, ","")&amp;IF($AQ38="","lock prep, ","")&amp;IF(AND($AP38="",$AC38=""),"hinge prep, ",""),"")&amp;IF(AND($BO38&gt;0,$AH38="FRP"),"FRP cannot carry a label, ","")&amp;IF(AND($O38="Y",OR($Z38="L",$Z38="R",$Z38="LR",$Z38="RR")),"pair marked but hand is single, ","")&amp;IF(AND($O38&lt;&gt;"Y",OR($Z38="PR",AND(LEN($Z38)&gt;1,ISNUMBER(SEARCH("-",$Z38))))),"pair hand on a single door, ","")&amp;IF(AND(ISNUMBER($BP38),$BO38&lt;N($BP38)),"wall needs a "&amp;$BP38&amp;" min door, ","")&amp;IF(AND($BO38&gt;=180,AND(OR($BL38="FG",$BL38="HG",$BL38="FNV",$BL38="FV"),N($BM38)*N($BN38)&gt;100)),"180 min lite over 100 sq in, ","")&amp;IF(N($BD38)&gt;48,"leaf wider than 4'-0"&amp;CHAR(34)&amp;", ",""))</f>
        <v/>
      </c>
      <c r="BX38" s="49">
        <f>IF($A38="","",IF(AND($BO38&gt;0,AND($A38&lt;&gt;"",$C38&lt;&gt;"DOOR ONLY"),$X38="KD",$E38="EXTERIOR"),"KD label on an exterior opening, ","")&amp;IF(AND($E38="EXTERIOR",OR(AND(AND($A38&lt;&gt;"",$C38&lt;&gt;"DOOR ONLY"),$W38="CR"),AND(N($BC38)&gt;0,$AH38="CR"))),"exterior in CR steel (G9?), ","")&amp;IF(AND(ISNUMBER($BJ38),N($BJ38)&lt;32),"clear width ~"&amp;TEXT($BJ38,"0.0")&amp;CHAR(34)&amp;" under 32"&amp;CHAR(34)&amp;" (ADA), ","")&amp;IF(AND($BO38=90,AND(OR($BL38="FG",$BL38="HG",$BL38="FNV",$BL38="FV"),N($BM38)*N($BN38)&gt;100)),"90 min lite over 100 sq in (stair/exit), ","")&amp;IF(AND($BO38&gt;0,AND($A38&lt;&gt;"",$C38&lt;&gt;"DOOR ONLY"),OR($AF38="",$AF38="-")),"rated: closer reinf.?, ","")&amp;IF(OR($I38="CORRIDOR",$I38="SMOKE BARRIER"),"S label + smoke gasketing, ","")&amp;IF($BP38="?","wall type/hr not in IBC table, ","")&amp;IF(AND(N($BC38)&gt;0,$AU38=""),"no hardware set, ","")&amp;IF(AND($AU38&lt;&gt;"",ISNA(MATCH($AU38,HWSets,0))),"set "&amp;$AU38&amp;" not on Hardware sheet, ","")&amp;IF(N($BE38)&gt;96,"leaf over 8'-0"&amp;CHAR(34)&amp;" - check listing, ",""))</f>
        <v/>
      </c>
    </row>
    <row r="39" ht="15" customHeight="1">
      <c r="A39" s="44" t="n"/>
      <c r="B39" s="45" t="n"/>
      <c r="C39" s="45" t="n"/>
      <c r="D39" s="45" t="n"/>
      <c r="E39" s="45" t="n"/>
      <c r="F39" s="45" t="n"/>
      <c r="G39" s="45" t="n"/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47" t="n"/>
      <c r="AI39" s="47" t="n"/>
      <c r="AJ39" s="47" t="n"/>
      <c r="AK39" s="47" t="n"/>
      <c r="AL39" s="47" t="n"/>
      <c r="AM39" s="47" t="n"/>
      <c r="AN39" s="47" t="n"/>
      <c r="AO39" s="47" t="n"/>
      <c r="AP39" s="47" t="n"/>
      <c r="AQ39" s="47" t="n"/>
      <c r="AR39" s="47" t="n"/>
      <c r="AS39" s="47" t="n"/>
      <c r="AT39" s="47" t="n"/>
      <c r="AU39" s="48" t="n"/>
      <c r="AV39" s="48" t="n"/>
      <c r="AW39" s="49">
        <f>IF($A39="","",IF($BW39&lt;&gt;"","FIX",IF($BX39&lt;&gt;"","CHECK","OK")))</f>
        <v/>
      </c>
      <c r="AX39" s="50">
        <f>IF($A39="","",IF($BW39&lt;&gt;"","FIX: "&amp;LEFT($BW39,LEN($BW39)-2)&amp;IF($BX39&lt;&gt;"","  ·  ",""),"")&amp;IF($BX39&lt;&gt;"","CHECK: "&amp;LEFT($BX39,LEN($BX39)-2),""))</f>
        <v/>
      </c>
      <c r="AY39" s="49">
        <f>IF(OR($A39="",$K39=""),"",$K39&amp;"'-"&amp;N($L39)&amp;CHAR(34)&amp;" x "&amp;$M39&amp;"'-"&amp;N($N39)&amp;CHAR(34))</f>
        <v/>
      </c>
      <c r="AZ39" s="49">
        <f>IF(OR($A39="",$K39=""),"",$K39&amp;N($L39)&amp;$M39&amp;N($N39))</f>
        <v/>
      </c>
      <c r="BA39" s="49">
        <f>IF(OR($A39="",$K39=""),"",$K39*12+N($L39))</f>
        <v/>
      </c>
      <c r="BB39" s="49">
        <f>IF(OR($A39="",$M39=""),"",$M39*12+N($N39))</f>
        <v/>
      </c>
      <c r="BC39" s="49">
        <f>IF($A39="","",IF(OR($C39="FRAME ONLY",$S39="BL"),0,IF($O39="Y",2,1)))</f>
        <v/>
      </c>
      <c r="BD39" s="51">
        <f>IF(OR(N($BC39)=0,$BA39=""),"",($BA39-2*EdgeClr-IF($BC39=2,MeetClr,0))/$BC39)</f>
        <v/>
      </c>
      <c r="BE39" s="51">
        <f>IF(OR(N($BC39)=0,$BB39=""),"",$BB39-HeadClr-Undercut)</f>
        <v/>
      </c>
      <c r="BF39" s="51">
        <f>IF($BA39="","",$BA39+2*FaceW+IF(N($Q39)&gt;0,($Q39+FaceW)*IF($R39="LR",2,1),0))</f>
        <v/>
      </c>
      <c r="BG39" s="51">
        <f>IF($BB39="","",$BB39+IF($AB39="Y",4,FaceW)+IF(N($P39)&gt;0,$P39+FaceW,0)+IF(OR($S39="4F",$S39="BL"),FaceW,0))</f>
        <v/>
      </c>
      <c r="BH39" s="51">
        <f>IF($BF39="","",$BF39+2*ROSide)</f>
        <v/>
      </c>
      <c r="BI39" s="51">
        <f>IF($BG39="","",$BG39+ROTop)</f>
        <v/>
      </c>
      <c r="BJ39" s="52">
        <f>IF(OR(N($BC39)=0,$BA39=""),"",$BA39/$BC39-ClearDeduct)</f>
        <v/>
      </c>
      <c r="BK39" s="49">
        <f>IF(OR(N($BC39)=0,$BE39=""),"",IF(OR($AC39="HGC",$AP39="HGC"),"CONT",IF($BE39&lt;=60,2,IF($BE39&lt;=90,3,IF($BE39&lt;=120,4,5)))))</f>
        <v/>
      </c>
      <c r="BL39" s="49">
        <f>IF(N($BC39)=0,"",IF(OR($AL39="",$AL39="FLUSH"),"FLUSH",IFERROR(LEFT($AL39,FIND("-",$AL39)-1),LEFT($AL39,2))))</f>
        <v/>
      </c>
      <c r="BM39" s="49">
        <f>IF($BL39="","",IFERROR(VALUE(MID($AL39,FIND("-",$AL39)+1,FIND(CHAR(34)&amp;"x",$AL39)-FIND("-",$AL39)-1)),0))</f>
        <v/>
      </c>
      <c r="BN39" s="49">
        <f>IF($BL39="","",IFERROR(VALUE(MID($AL39,FIND(CHAR(34)&amp;"x",$AL39)+2,FIND(CHAR(34),$AL39,FIND(CHAR(34)&amp;"x",$AL39)+2)-FIND(CHAR(34)&amp;"x",$AL39)-2)),0))</f>
        <v/>
      </c>
      <c r="BO39" s="53">
        <f>IF(OR($A39="",$H39="",$H39="NO LAB"),0,IFERROR(VALUE(LEFT($H39,FIND(" ",$H39)-1)),0))</f>
        <v/>
      </c>
      <c r="BP39" s="54">
        <f>IF(OR($A39="",$I39="",$I39="NON-RATED",N($J39)=0),"",IFERROR(VLOOKUP($I39&amp;"|"&amp;$J39,IBC,2,FALSE),"?"))</f>
        <v/>
      </c>
      <c r="BQ39" s="50">
        <f>IF(NOT(AND($A39&lt;&gt;"",$C39&lt;&gt;"DOOR ONLY")),"",TRIM(IFERROR(VLOOKUP($U39,CODES,2,FALSE),"")&amp;" "&amp;$AZ39&amp;" "&amp;IFERROR(VLOOKUP($Z39,CODES,2,FALSE),"")&amp;" "&amp;IFERROR(VLOOKUP($X39,CODES,2,FALSE),"")&amp;" "&amp;IFERROR(VLOOKUP($S39,CODES,2,FALSE),"")&amp;IF(N($P39)&gt;0," w/TRANSOM "&amp;$P39&amp;CHAR(34),"")&amp;IF(N($Q39)&gt;0," w/SIDELITE "&amp;$Q39&amp;CHAR(34)&amp;" "&amp;IF($R39="","R",$R39),"")&amp;IF($Y39="","  |  "," | "&amp;IFERROR(VLOOKUP($Y39,CODES,2,FALSE),"")&amp;" | ")&amp;IFERROR(VLOOKUP($AC39,CODES,2,FALSE),"")&amp;" "&amp;IFERROR(VLOOKUP($AD39,CODES,2,FALSE),"")&amp;IF(OR($AE39="",$AE39="-"),""," "&amp;$AE39)&amp;IF(OR($AF39="",$AF39="-"),""," "&amp;$AF39)&amp;IF($AB39="Y"," 4"&amp;CHAR(34)&amp;" HEAD","")&amp;" "&amp;IFERROR(VLOOKUP($H39,CODES,2,FALSE),"")))</f>
        <v/>
      </c>
      <c r="BR39" s="50">
        <f>IF(NOT(AND($A39&lt;&gt;"",N($BC39)&gt;0)),"",TRIM(IFERROR(VLOOKUP($AH39,CODES,2,FALSE),"")&amp;IF($AI39=""," "," "&amp;$AI39&amp;"GA ")&amp;$AZ39&amp;" "&amp;IF($AN39="",IFERROR(VLOOKUP($Z39,CODES,2,FALSE),""),IFERROR(VLOOKUP($AN39,CODES,2,FALSE),""))&amp;IF($BC39=2," PAIR","")&amp;" DOOR | "&amp;IF($AL39="","?",$AL39)&amp;" | "&amp;IF($AP39="",IFERROR(VLOOKUP($AC39,CODES,2,FALSE),""),IFERROR(VLOOKUP($AP39,CODES,2,FALSE),""))&amp;" "&amp;IFERROR(VLOOKUP($AQ39,CODES,2,FALSE),"")&amp;IF(OR($AR39="",$AR39="-"),""," SEAM "&amp;$AR39)&amp;IF($AS39="Y"," ASTRAGAL","")&amp;IF($AJ39=""," "," "&amp;$AJ39)&amp;IF($AK39=""," "," "&amp;$AK39)&amp;IF($AO39="",""," "&amp;$AO39)&amp;IF($AM39=""," "," SERIES "&amp;$AM39)&amp;" "&amp;IFERROR(VLOOKUP($H39,CODES,2,FALSE),"")))</f>
        <v/>
      </c>
      <c r="BS39" s="49">
        <f>IF(BV39="","",IF(COUNTIF($BV$6:BV39,BV39)=1,MAX($BS$5:BS38)+1,INDEX($BS$5:BS38,MATCH(BV39,$BV$5:BV38,0))))</f>
        <v/>
      </c>
      <c r="BT39" s="49">
        <f>IF(NOT(AND($A39&lt;&gt;"",$C39&lt;&gt;"DOOR ONLY")),"",MAX($BT$5:BT38)+1)</f>
        <v/>
      </c>
      <c r="BU39" s="49">
        <f>IF(NOT(AND($A39&lt;&gt;"",N($BC39)&gt;0)),"",MAX($BU$5:BU38)+1)</f>
        <v/>
      </c>
      <c r="BV39" s="49">
        <f>IF(OR($A39="",$BA39="",$BB39=""),"",$AZ39&amp;"|"&amp;$O39&amp;"|"&amp;$AL39&amp;"|"&amp;$S39&amp;"|"&amp;$P39&amp;"|"&amp;$Q39&amp;$R39&amp;"|"&amp;$C39&amp;"|"&amp;$AB39)</f>
        <v/>
      </c>
      <c r="BW39" s="49">
        <f>IF($A39="","",IF($B39="","qty, ","")&amp;IF($C39="","scope, ","")&amp;IF(OR($K39="",$M39=""),"size, ","")&amp;IF(AND($A39&lt;&gt;"",$C39&lt;&gt;"DOOR ONLY"),IF($U39="","jamb depth, ","")&amp;IF($X39="","construction, ","")&amp;IF($Y39="","anchor, ","")&amp;IF($S39="","frame type, ",""),"")&amp;IF(AND(N($BC39)&gt;0,$Z39=""),"hand, ","")&amp;IF(N($BC39)&gt;0,IF($AH39="","door material, ","")&amp;IF($AL39="","face type, ","")&amp;IF($AQ39="","lock prep, ","")&amp;IF(AND($AP39="",$AC39=""),"hinge prep, ",""),"")&amp;IF(AND($BO39&gt;0,$AH39="FRP"),"FRP cannot carry a label, ","")&amp;IF(AND($O39="Y",OR($Z39="L",$Z39="R",$Z39="LR",$Z39="RR")),"pair marked but hand is single, ","")&amp;IF(AND($O39&lt;&gt;"Y",OR($Z39="PR",AND(LEN($Z39)&gt;1,ISNUMBER(SEARCH("-",$Z39))))),"pair hand on a single door, ","")&amp;IF(AND(ISNUMBER($BP39),$BO39&lt;N($BP39)),"wall needs a "&amp;$BP39&amp;" min door, ","")&amp;IF(AND($BO39&gt;=180,AND(OR($BL39="FG",$BL39="HG",$BL39="FNV",$BL39="FV"),N($BM39)*N($BN39)&gt;100)),"180 min lite over 100 sq in, ","")&amp;IF(N($BD39)&gt;48,"leaf wider than 4'-0"&amp;CHAR(34)&amp;", ",""))</f>
        <v/>
      </c>
      <c r="BX39" s="49">
        <f>IF($A39="","",IF(AND($BO39&gt;0,AND($A39&lt;&gt;"",$C39&lt;&gt;"DOOR ONLY"),$X39="KD",$E39="EXTERIOR"),"KD label on an exterior opening, ","")&amp;IF(AND($E39="EXTERIOR",OR(AND(AND($A39&lt;&gt;"",$C39&lt;&gt;"DOOR ONLY"),$W39="CR"),AND(N($BC39)&gt;0,$AH39="CR"))),"exterior in CR steel (G9?), ","")&amp;IF(AND(ISNUMBER($BJ39),N($BJ39)&lt;32),"clear width ~"&amp;TEXT($BJ39,"0.0")&amp;CHAR(34)&amp;" under 32"&amp;CHAR(34)&amp;" (ADA), ","")&amp;IF(AND($BO39=90,AND(OR($BL39="FG",$BL39="HG",$BL39="FNV",$BL39="FV"),N($BM39)*N($BN39)&gt;100)),"90 min lite over 100 sq in (stair/exit), ","")&amp;IF(AND($BO39&gt;0,AND($A39&lt;&gt;"",$C39&lt;&gt;"DOOR ONLY"),OR($AF39="",$AF39="-")),"rated: closer reinf.?, ","")&amp;IF(OR($I39="CORRIDOR",$I39="SMOKE BARRIER"),"S label + smoke gasketing, ","")&amp;IF($BP39="?","wall type/hr not in IBC table, ","")&amp;IF(AND(N($BC39)&gt;0,$AU39=""),"no hardware set, ","")&amp;IF(AND($AU39&lt;&gt;"",ISNA(MATCH($AU39,HWSets,0))),"set "&amp;$AU39&amp;" not on Hardware sheet, ","")&amp;IF(N($BE39)&gt;96,"leaf over 8'-0"&amp;CHAR(34)&amp;" - check listing, ",""))</f>
        <v/>
      </c>
    </row>
    <row r="40" ht="15" customHeight="1">
      <c r="A40" s="44" t="n"/>
      <c r="B40" s="45" t="n"/>
      <c r="C40" s="45" t="n"/>
      <c r="D40" s="45" t="n"/>
      <c r="E40" s="45" t="n"/>
      <c r="F40" s="45" t="n"/>
      <c r="G40" s="45" t="n"/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  <c r="AG40" s="46" t="n"/>
      <c r="AH40" s="47" t="n"/>
      <c r="AI40" s="47" t="n"/>
      <c r="AJ40" s="47" t="n"/>
      <c r="AK40" s="47" t="n"/>
      <c r="AL40" s="47" t="n"/>
      <c r="AM40" s="47" t="n"/>
      <c r="AN40" s="47" t="n"/>
      <c r="AO40" s="47" t="n"/>
      <c r="AP40" s="47" t="n"/>
      <c r="AQ40" s="47" t="n"/>
      <c r="AR40" s="47" t="n"/>
      <c r="AS40" s="47" t="n"/>
      <c r="AT40" s="47" t="n"/>
      <c r="AU40" s="48" t="n"/>
      <c r="AV40" s="48" t="n"/>
      <c r="AW40" s="49">
        <f>IF($A40="","",IF($BW40&lt;&gt;"","FIX",IF($BX40&lt;&gt;"","CHECK","OK")))</f>
        <v/>
      </c>
      <c r="AX40" s="50">
        <f>IF($A40="","",IF($BW40&lt;&gt;"","FIX: "&amp;LEFT($BW40,LEN($BW40)-2)&amp;IF($BX40&lt;&gt;"","  ·  ",""),"")&amp;IF($BX40&lt;&gt;"","CHECK: "&amp;LEFT($BX40,LEN($BX40)-2),""))</f>
        <v/>
      </c>
      <c r="AY40" s="49">
        <f>IF(OR($A40="",$K40=""),"",$K40&amp;"'-"&amp;N($L40)&amp;CHAR(34)&amp;" x "&amp;$M40&amp;"'-"&amp;N($N40)&amp;CHAR(34))</f>
        <v/>
      </c>
      <c r="AZ40" s="49">
        <f>IF(OR($A40="",$K40=""),"",$K40&amp;N($L40)&amp;$M40&amp;N($N40))</f>
        <v/>
      </c>
      <c r="BA40" s="49">
        <f>IF(OR($A40="",$K40=""),"",$K40*12+N($L40))</f>
        <v/>
      </c>
      <c r="BB40" s="49">
        <f>IF(OR($A40="",$M40=""),"",$M40*12+N($N40))</f>
        <v/>
      </c>
      <c r="BC40" s="49">
        <f>IF($A40="","",IF(OR($C40="FRAME ONLY",$S40="BL"),0,IF($O40="Y",2,1)))</f>
        <v/>
      </c>
      <c r="BD40" s="51">
        <f>IF(OR(N($BC40)=0,$BA40=""),"",($BA40-2*EdgeClr-IF($BC40=2,MeetClr,0))/$BC40)</f>
        <v/>
      </c>
      <c r="BE40" s="51">
        <f>IF(OR(N($BC40)=0,$BB40=""),"",$BB40-HeadClr-Undercut)</f>
        <v/>
      </c>
      <c r="BF40" s="51">
        <f>IF($BA40="","",$BA40+2*FaceW+IF(N($Q40)&gt;0,($Q40+FaceW)*IF($R40="LR",2,1),0))</f>
        <v/>
      </c>
      <c r="BG40" s="51">
        <f>IF($BB40="","",$BB40+IF($AB40="Y",4,FaceW)+IF(N($P40)&gt;0,$P40+FaceW,0)+IF(OR($S40="4F",$S40="BL"),FaceW,0))</f>
        <v/>
      </c>
      <c r="BH40" s="51">
        <f>IF($BF40="","",$BF40+2*ROSide)</f>
        <v/>
      </c>
      <c r="BI40" s="51">
        <f>IF($BG40="","",$BG40+ROTop)</f>
        <v/>
      </c>
      <c r="BJ40" s="52">
        <f>IF(OR(N($BC40)=0,$BA40=""),"",$BA40/$BC40-ClearDeduct)</f>
        <v/>
      </c>
      <c r="BK40" s="49">
        <f>IF(OR(N($BC40)=0,$BE40=""),"",IF(OR($AC40="HGC",$AP40="HGC"),"CONT",IF($BE40&lt;=60,2,IF($BE40&lt;=90,3,IF($BE40&lt;=120,4,5)))))</f>
        <v/>
      </c>
      <c r="BL40" s="49">
        <f>IF(N($BC40)=0,"",IF(OR($AL40="",$AL40="FLUSH"),"FLUSH",IFERROR(LEFT($AL40,FIND("-",$AL40)-1),LEFT($AL40,2))))</f>
        <v/>
      </c>
      <c r="BM40" s="49">
        <f>IF($BL40="","",IFERROR(VALUE(MID($AL40,FIND("-",$AL40)+1,FIND(CHAR(34)&amp;"x",$AL40)-FIND("-",$AL40)-1)),0))</f>
        <v/>
      </c>
      <c r="BN40" s="49">
        <f>IF($BL40="","",IFERROR(VALUE(MID($AL40,FIND(CHAR(34)&amp;"x",$AL40)+2,FIND(CHAR(34),$AL40,FIND(CHAR(34)&amp;"x",$AL40)+2)-FIND(CHAR(34)&amp;"x",$AL40)-2)),0))</f>
        <v/>
      </c>
      <c r="BO40" s="53">
        <f>IF(OR($A40="",$H40="",$H40="NO LAB"),0,IFERROR(VALUE(LEFT($H40,FIND(" ",$H40)-1)),0))</f>
        <v/>
      </c>
      <c r="BP40" s="54">
        <f>IF(OR($A40="",$I40="",$I40="NON-RATED",N($J40)=0),"",IFERROR(VLOOKUP($I40&amp;"|"&amp;$J40,IBC,2,FALSE),"?"))</f>
        <v/>
      </c>
      <c r="BQ40" s="50">
        <f>IF(NOT(AND($A40&lt;&gt;"",$C40&lt;&gt;"DOOR ONLY")),"",TRIM(IFERROR(VLOOKUP($U40,CODES,2,FALSE),"")&amp;" "&amp;$AZ40&amp;" "&amp;IFERROR(VLOOKUP($Z40,CODES,2,FALSE),"")&amp;" "&amp;IFERROR(VLOOKUP($X40,CODES,2,FALSE),"")&amp;" "&amp;IFERROR(VLOOKUP($S40,CODES,2,FALSE),"")&amp;IF(N($P40)&gt;0," w/TRANSOM "&amp;$P40&amp;CHAR(34),"")&amp;IF(N($Q40)&gt;0," w/SIDELITE "&amp;$Q40&amp;CHAR(34)&amp;" "&amp;IF($R40="","R",$R40),"")&amp;IF($Y40="","  |  "," | "&amp;IFERROR(VLOOKUP($Y40,CODES,2,FALSE),"")&amp;" | ")&amp;IFERROR(VLOOKUP($AC40,CODES,2,FALSE),"")&amp;" "&amp;IFERROR(VLOOKUP($AD40,CODES,2,FALSE),"")&amp;IF(OR($AE40="",$AE40="-"),""," "&amp;$AE40)&amp;IF(OR($AF40="",$AF40="-"),""," "&amp;$AF40)&amp;IF($AB40="Y"," 4"&amp;CHAR(34)&amp;" HEAD","")&amp;" "&amp;IFERROR(VLOOKUP($H40,CODES,2,FALSE),"")))</f>
        <v/>
      </c>
      <c r="BR40" s="50">
        <f>IF(NOT(AND($A40&lt;&gt;"",N($BC40)&gt;0)),"",TRIM(IFERROR(VLOOKUP($AH40,CODES,2,FALSE),"")&amp;IF($AI40=""," "," "&amp;$AI40&amp;"GA ")&amp;$AZ40&amp;" "&amp;IF($AN40="",IFERROR(VLOOKUP($Z40,CODES,2,FALSE),""),IFERROR(VLOOKUP($AN40,CODES,2,FALSE),""))&amp;IF($BC40=2," PAIR","")&amp;" DOOR | "&amp;IF($AL40="","?",$AL40)&amp;" | "&amp;IF($AP40="",IFERROR(VLOOKUP($AC40,CODES,2,FALSE),""),IFERROR(VLOOKUP($AP40,CODES,2,FALSE),""))&amp;" "&amp;IFERROR(VLOOKUP($AQ40,CODES,2,FALSE),"")&amp;IF(OR($AR40="",$AR40="-"),""," SEAM "&amp;$AR40)&amp;IF($AS40="Y"," ASTRAGAL","")&amp;IF($AJ40=""," "," "&amp;$AJ40)&amp;IF($AK40=""," "," "&amp;$AK40)&amp;IF($AO40="",""," "&amp;$AO40)&amp;IF($AM40=""," "," SERIES "&amp;$AM40)&amp;" "&amp;IFERROR(VLOOKUP($H40,CODES,2,FALSE),"")))</f>
        <v/>
      </c>
      <c r="BS40" s="49">
        <f>IF(BV40="","",IF(COUNTIF($BV$6:BV40,BV40)=1,MAX($BS$5:BS39)+1,INDEX($BS$5:BS39,MATCH(BV40,$BV$5:BV39,0))))</f>
        <v/>
      </c>
      <c r="BT40" s="49">
        <f>IF(NOT(AND($A40&lt;&gt;"",$C40&lt;&gt;"DOOR ONLY")),"",MAX($BT$5:BT39)+1)</f>
        <v/>
      </c>
      <c r="BU40" s="49">
        <f>IF(NOT(AND($A40&lt;&gt;"",N($BC40)&gt;0)),"",MAX($BU$5:BU39)+1)</f>
        <v/>
      </c>
      <c r="BV40" s="49">
        <f>IF(OR($A40="",$BA40="",$BB40=""),"",$AZ40&amp;"|"&amp;$O40&amp;"|"&amp;$AL40&amp;"|"&amp;$S40&amp;"|"&amp;$P40&amp;"|"&amp;$Q40&amp;$R40&amp;"|"&amp;$C40&amp;"|"&amp;$AB40)</f>
        <v/>
      </c>
      <c r="BW40" s="49">
        <f>IF($A40="","",IF($B40="","qty, ","")&amp;IF($C40="","scope, ","")&amp;IF(OR($K40="",$M40=""),"size, ","")&amp;IF(AND($A40&lt;&gt;"",$C40&lt;&gt;"DOOR ONLY"),IF($U40="","jamb depth, ","")&amp;IF($X40="","construction, ","")&amp;IF($Y40="","anchor, ","")&amp;IF($S40="","frame type, ",""),"")&amp;IF(AND(N($BC40)&gt;0,$Z40=""),"hand, ","")&amp;IF(N($BC40)&gt;0,IF($AH40="","door material, ","")&amp;IF($AL40="","face type, ","")&amp;IF($AQ40="","lock prep, ","")&amp;IF(AND($AP40="",$AC40=""),"hinge prep, ",""),"")&amp;IF(AND($BO40&gt;0,$AH40="FRP"),"FRP cannot carry a label, ","")&amp;IF(AND($O40="Y",OR($Z40="L",$Z40="R",$Z40="LR",$Z40="RR")),"pair marked but hand is single, ","")&amp;IF(AND($O40&lt;&gt;"Y",OR($Z40="PR",AND(LEN($Z40)&gt;1,ISNUMBER(SEARCH("-",$Z40))))),"pair hand on a single door, ","")&amp;IF(AND(ISNUMBER($BP40),$BO40&lt;N($BP40)),"wall needs a "&amp;$BP40&amp;" min door, ","")&amp;IF(AND($BO40&gt;=180,AND(OR($BL40="FG",$BL40="HG",$BL40="FNV",$BL40="FV"),N($BM40)*N($BN40)&gt;100)),"180 min lite over 100 sq in, ","")&amp;IF(N($BD40)&gt;48,"leaf wider than 4'-0"&amp;CHAR(34)&amp;", ",""))</f>
        <v/>
      </c>
      <c r="BX40" s="49">
        <f>IF($A40="","",IF(AND($BO40&gt;0,AND($A40&lt;&gt;"",$C40&lt;&gt;"DOOR ONLY"),$X40="KD",$E40="EXTERIOR"),"KD label on an exterior opening, ","")&amp;IF(AND($E40="EXTERIOR",OR(AND(AND($A40&lt;&gt;"",$C40&lt;&gt;"DOOR ONLY"),$W40="CR"),AND(N($BC40)&gt;0,$AH40="CR"))),"exterior in CR steel (G9?), ","")&amp;IF(AND(ISNUMBER($BJ40),N($BJ40)&lt;32),"clear width ~"&amp;TEXT($BJ40,"0.0")&amp;CHAR(34)&amp;" under 32"&amp;CHAR(34)&amp;" (ADA), ","")&amp;IF(AND($BO40=90,AND(OR($BL40="FG",$BL40="HG",$BL40="FNV",$BL40="FV"),N($BM40)*N($BN40)&gt;100)),"90 min lite over 100 sq in (stair/exit), ","")&amp;IF(AND($BO40&gt;0,AND($A40&lt;&gt;"",$C40&lt;&gt;"DOOR ONLY"),OR($AF40="",$AF40="-")),"rated: closer reinf.?, ","")&amp;IF(OR($I40="CORRIDOR",$I40="SMOKE BARRIER"),"S label + smoke gasketing, ","")&amp;IF($BP40="?","wall type/hr not in IBC table, ","")&amp;IF(AND(N($BC40)&gt;0,$AU40=""),"no hardware set, ","")&amp;IF(AND($AU40&lt;&gt;"",ISNA(MATCH($AU40,HWSets,0))),"set "&amp;$AU40&amp;" not on Hardware sheet, ","")&amp;IF(N($BE40)&gt;96,"leaf over 8'-0"&amp;CHAR(34)&amp;" - check listing, ",""))</f>
        <v/>
      </c>
    </row>
    <row r="41" ht="15" customHeight="1">
      <c r="A41" s="44" t="n"/>
      <c r="B41" s="45" t="n"/>
      <c r="C41" s="45" t="n"/>
      <c r="D41" s="45" t="n"/>
      <c r="E41" s="45" t="n"/>
      <c r="F41" s="45" t="n"/>
      <c r="G41" s="45" t="n"/>
      <c r="H41" s="45" t="n"/>
      <c r="I41" s="45" t="n"/>
      <c r="J41" s="45" t="n"/>
      <c r="K41" s="45" t="n"/>
      <c r="L41" s="45" t="n"/>
      <c r="M41" s="45" t="n"/>
      <c r="N41" s="45" t="n"/>
      <c r="O41" s="45" t="n"/>
      <c r="P41" s="45" t="n"/>
      <c r="Q41" s="45" t="n"/>
      <c r="R41" s="45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47" t="n"/>
      <c r="AI41" s="47" t="n"/>
      <c r="AJ41" s="47" t="n"/>
      <c r="AK41" s="47" t="n"/>
      <c r="AL41" s="47" t="n"/>
      <c r="AM41" s="47" t="n"/>
      <c r="AN41" s="47" t="n"/>
      <c r="AO41" s="47" t="n"/>
      <c r="AP41" s="47" t="n"/>
      <c r="AQ41" s="47" t="n"/>
      <c r="AR41" s="47" t="n"/>
      <c r="AS41" s="47" t="n"/>
      <c r="AT41" s="47" t="n"/>
      <c r="AU41" s="48" t="n"/>
      <c r="AV41" s="48" t="n"/>
      <c r="AW41" s="49">
        <f>IF($A41="","",IF($BW41&lt;&gt;"","FIX",IF($BX41&lt;&gt;"","CHECK","OK")))</f>
        <v/>
      </c>
      <c r="AX41" s="50">
        <f>IF($A41="","",IF($BW41&lt;&gt;"","FIX: "&amp;LEFT($BW41,LEN($BW41)-2)&amp;IF($BX41&lt;&gt;"","  ·  ",""),"")&amp;IF($BX41&lt;&gt;"","CHECK: "&amp;LEFT($BX41,LEN($BX41)-2),""))</f>
        <v/>
      </c>
      <c r="AY41" s="49">
        <f>IF(OR($A41="",$K41=""),"",$K41&amp;"'-"&amp;N($L41)&amp;CHAR(34)&amp;" x "&amp;$M41&amp;"'-"&amp;N($N41)&amp;CHAR(34))</f>
        <v/>
      </c>
      <c r="AZ41" s="49">
        <f>IF(OR($A41="",$K41=""),"",$K41&amp;N($L41)&amp;$M41&amp;N($N41))</f>
        <v/>
      </c>
      <c r="BA41" s="49">
        <f>IF(OR($A41="",$K41=""),"",$K41*12+N($L41))</f>
        <v/>
      </c>
      <c r="BB41" s="49">
        <f>IF(OR($A41="",$M41=""),"",$M41*12+N($N41))</f>
        <v/>
      </c>
      <c r="BC41" s="49">
        <f>IF($A41="","",IF(OR($C41="FRAME ONLY",$S41="BL"),0,IF($O41="Y",2,1)))</f>
        <v/>
      </c>
      <c r="BD41" s="51">
        <f>IF(OR(N($BC41)=0,$BA41=""),"",($BA41-2*EdgeClr-IF($BC41=2,MeetClr,0))/$BC41)</f>
        <v/>
      </c>
      <c r="BE41" s="51">
        <f>IF(OR(N($BC41)=0,$BB41=""),"",$BB41-HeadClr-Undercut)</f>
        <v/>
      </c>
      <c r="BF41" s="51">
        <f>IF($BA41="","",$BA41+2*FaceW+IF(N($Q41)&gt;0,($Q41+FaceW)*IF($R41="LR",2,1),0))</f>
        <v/>
      </c>
      <c r="BG41" s="51">
        <f>IF($BB41="","",$BB41+IF($AB41="Y",4,FaceW)+IF(N($P41)&gt;0,$P41+FaceW,0)+IF(OR($S41="4F",$S41="BL"),FaceW,0))</f>
        <v/>
      </c>
      <c r="BH41" s="51">
        <f>IF($BF41="","",$BF41+2*ROSide)</f>
        <v/>
      </c>
      <c r="BI41" s="51">
        <f>IF($BG41="","",$BG41+ROTop)</f>
        <v/>
      </c>
      <c r="BJ41" s="52">
        <f>IF(OR(N($BC41)=0,$BA41=""),"",$BA41/$BC41-ClearDeduct)</f>
        <v/>
      </c>
      <c r="BK41" s="49">
        <f>IF(OR(N($BC41)=0,$BE41=""),"",IF(OR($AC41="HGC",$AP41="HGC"),"CONT",IF($BE41&lt;=60,2,IF($BE41&lt;=90,3,IF($BE41&lt;=120,4,5)))))</f>
        <v/>
      </c>
      <c r="BL41" s="49">
        <f>IF(N($BC41)=0,"",IF(OR($AL41="",$AL41="FLUSH"),"FLUSH",IFERROR(LEFT($AL41,FIND("-",$AL41)-1),LEFT($AL41,2))))</f>
        <v/>
      </c>
      <c r="BM41" s="49">
        <f>IF($BL41="","",IFERROR(VALUE(MID($AL41,FIND("-",$AL41)+1,FIND(CHAR(34)&amp;"x",$AL41)-FIND("-",$AL41)-1)),0))</f>
        <v/>
      </c>
      <c r="BN41" s="49">
        <f>IF($BL41="","",IFERROR(VALUE(MID($AL41,FIND(CHAR(34)&amp;"x",$AL41)+2,FIND(CHAR(34),$AL41,FIND(CHAR(34)&amp;"x",$AL41)+2)-FIND(CHAR(34)&amp;"x",$AL41)-2)),0))</f>
        <v/>
      </c>
      <c r="BO41" s="53">
        <f>IF(OR($A41="",$H41="",$H41="NO LAB"),0,IFERROR(VALUE(LEFT($H41,FIND(" ",$H41)-1)),0))</f>
        <v/>
      </c>
      <c r="BP41" s="54">
        <f>IF(OR($A41="",$I41="",$I41="NON-RATED",N($J41)=0),"",IFERROR(VLOOKUP($I41&amp;"|"&amp;$J41,IBC,2,FALSE),"?"))</f>
        <v/>
      </c>
      <c r="BQ41" s="50">
        <f>IF(NOT(AND($A41&lt;&gt;"",$C41&lt;&gt;"DOOR ONLY")),"",TRIM(IFERROR(VLOOKUP($U41,CODES,2,FALSE),"")&amp;" "&amp;$AZ41&amp;" "&amp;IFERROR(VLOOKUP($Z41,CODES,2,FALSE),"")&amp;" "&amp;IFERROR(VLOOKUP($X41,CODES,2,FALSE),"")&amp;" "&amp;IFERROR(VLOOKUP($S41,CODES,2,FALSE),"")&amp;IF(N($P41)&gt;0," w/TRANSOM "&amp;$P41&amp;CHAR(34),"")&amp;IF(N($Q41)&gt;0," w/SIDELITE "&amp;$Q41&amp;CHAR(34)&amp;" "&amp;IF($R41="","R",$R41),"")&amp;IF($Y41="","  |  "," | "&amp;IFERROR(VLOOKUP($Y41,CODES,2,FALSE),"")&amp;" | ")&amp;IFERROR(VLOOKUP($AC41,CODES,2,FALSE),"")&amp;" "&amp;IFERROR(VLOOKUP($AD41,CODES,2,FALSE),"")&amp;IF(OR($AE41="",$AE41="-"),""," "&amp;$AE41)&amp;IF(OR($AF41="",$AF41="-"),""," "&amp;$AF41)&amp;IF($AB41="Y"," 4"&amp;CHAR(34)&amp;" HEAD","")&amp;" "&amp;IFERROR(VLOOKUP($H41,CODES,2,FALSE),"")))</f>
        <v/>
      </c>
      <c r="BR41" s="50">
        <f>IF(NOT(AND($A41&lt;&gt;"",N($BC41)&gt;0)),"",TRIM(IFERROR(VLOOKUP($AH41,CODES,2,FALSE),"")&amp;IF($AI41=""," "," "&amp;$AI41&amp;"GA ")&amp;$AZ41&amp;" "&amp;IF($AN41="",IFERROR(VLOOKUP($Z41,CODES,2,FALSE),""),IFERROR(VLOOKUP($AN41,CODES,2,FALSE),""))&amp;IF($BC41=2," PAIR","")&amp;" DOOR | "&amp;IF($AL41="","?",$AL41)&amp;" | "&amp;IF($AP41="",IFERROR(VLOOKUP($AC41,CODES,2,FALSE),""),IFERROR(VLOOKUP($AP41,CODES,2,FALSE),""))&amp;" "&amp;IFERROR(VLOOKUP($AQ41,CODES,2,FALSE),"")&amp;IF(OR($AR41="",$AR41="-"),""," SEAM "&amp;$AR41)&amp;IF($AS41="Y"," ASTRAGAL","")&amp;IF($AJ41=""," "," "&amp;$AJ41)&amp;IF($AK41=""," "," "&amp;$AK41)&amp;IF($AO41="",""," "&amp;$AO41)&amp;IF($AM41=""," "," SERIES "&amp;$AM41)&amp;" "&amp;IFERROR(VLOOKUP($H41,CODES,2,FALSE),"")))</f>
        <v/>
      </c>
      <c r="BS41" s="49">
        <f>IF(BV41="","",IF(COUNTIF($BV$6:BV41,BV41)=1,MAX($BS$5:BS40)+1,INDEX($BS$5:BS40,MATCH(BV41,$BV$5:BV40,0))))</f>
        <v/>
      </c>
      <c r="BT41" s="49">
        <f>IF(NOT(AND($A41&lt;&gt;"",$C41&lt;&gt;"DOOR ONLY")),"",MAX($BT$5:BT40)+1)</f>
        <v/>
      </c>
      <c r="BU41" s="49">
        <f>IF(NOT(AND($A41&lt;&gt;"",N($BC41)&gt;0)),"",MAX($BU$5:BU40)+1)</f>
        <v/>
      </c>
      <c r="BV41" s="49">
        <f>IF(OR($A41="",$BA41="",$BB41=""),"",$AZ41&amp;"|"&amp;$O41&amp;"|"&amp;$AL41&amp;"|"&amp;$S41&amp;"|"&amp;$P41&amp;"|"&amp;$Q41&amp;$R41&amp;"|"&amp;$C41&amp;"|"&amp;$AB41)</f>
        <v/>
      </c>
      <c r="BW41" s="49">
        <f>IF($A41="","",IF($B41="","qty, ","")&amp;IF($C41="","scope, ","")&amp;IF(OR($K41="",$M41=""),"size, ","")&amp;IF(AND($A41&lt;&gt;"",$C41&lt;&gt;"DOOR ONLY"),IF($U41="","jamb depth, ","")&amp;IF($X41="","construction, ","")&amp;IF($Y41="","anchor, ","")&amp;IF($S41="","frame type, ",""),"")&amp;IF(AND(N($BC41)&gt;0,$Z41=""),"hand, ","")&amp;IF(N($BC41)&gt;0,IF($AH41="","door material, ","")&amp;IF($AL41="","face type, ","")&amp;IF($AQ41="","lock prep, ","")&amp;IF(AND($AP41="",$AC41=""),"hinge prep, ",""),"")&amp;IF(AND($BO41&gt;0,$AH41="FRP"),"FRP cannot carry a label, ","")&amp;IF(AND($O41="Y",OR($Z41="L",$Z41="R",$Z41="LR",$Z41="RR")),"pair marked but hand is single, ","")&amp;IF(AND($O41&lt;&gt;"Y",OR($Z41="PR",AND(LEN($Z41)&gt;1,ISNUMBER(SEARCH("-",$Z41))))),"pair hand on a single door, ","")&amp;IF(AND(ISNUMBER($BP41),$BO41&lt;N($BP41)),"wall needs a "&amp;$BP41&amp;" min door, ","")&amp;IF(AND($BO41&gt;=180,AND(OR($BL41="FG",$BL41="HG",$BL41="FNV",$BL41="FV"),N($BM41)*N($BN41)&gt;100)),"180 min lite over 100 sq in, ","")&amp;IF(N($BD41)&gt;48,"leaf wider than 4'-0"&amp;CHAR(34)&amp;", ",""))</f>
        <v/>
      </c>
      <c r="BX41" s="49">
        <f>IF($A41="","",IF(AND($BO41&gt;0,AND($A41&lt;&gt;"",$C41&lt;&gt;"DOOR ONLY"),$X41="KD",$E41="EXTERIOR"),"KD label on an exterior opening, ","")&amp;IF(AND($E41="EXTERIOR",OR(AND(AND($A41&lt;&gt;"",$C41&lt;&gt;"DOOR ONLY"),$W41="CR"),AND(N($BC41)&gt;0,$AH41="CR"))),"exterior in CR steel (G9?), ","")&amp;IF(AND(ISNUMBER($BJ41),N($BJ41)&lt;32),"clear width ~"&amp;TEXT($BJ41,"0.0")&amp;CHAR(34)&amp;" under 32"&amp;CHAR(34)&amp;" (ADA), ","")&amp;IF(AND($BO41=90,AND(OR($BL41="FG",$BL41="HG",$BL41="FNV",$BL41="FV"),N($BM41)*N($BN41)&gt;100)),"90 min lite over 100 sq in (stair/exit), ","")&amp;IF(AND($BO41&gt;0,AND($A41&lt;&gt;"",$C41&lt;&gt;"DOOR ONLY"),OR($AF41="",$AF41="-")),"rated: closer reinf.?, ","")&amp;IF(OR($I41="CORRIDOR",$I41="SMOKE BARRIER"),"S label + smoke gasketing, ","")&amp;IF($BP41="?","wall type/hr not in IBC table, ","")&amp;IF(AND(N($BC41)&gt;0,$AU41=""),"no hardware set, ","")&amp;IF(AND($AU41&lt;&gt;"",ISNA(MATCH($AU41,HWSets,0))),"set "&amp;$AU41&amp;" not on Hardware sheet, ","")&amp;IF(N($BE41)&gt;96,"leaf over 8'-0"&amp;CHAR(34)&amp;" - check listing, ",""))</f>
        <v/>
      </c>
    </row>
    <row r="42" ht="15" customHeight="1">
      <c r="A42" s="44" t="n"/>
      <c r="B42" s="45" t="n"/>
      <c r="C42" s="45" t="n"/>
      <c r="D42" s="45" t="n"/>
      <c r="E42" s="45" t="n"/>
      <c r="F42" s="45" t="n"/>
      <c r="G42" s="45" t="n"/>
      <c r="H42" s="45" t="n"/>
      <c r="I42" s="45" t="n"/>
      <c r="J42" s="45" t="n"/>
      <c r="K42" s="45" t="n"/>
      <c r="L42" s="45" t="n"/>
      <c r="M42" s="45" t="n"/>
      <c r="N42" s="45" t="n"/>
      <c r="O42" s="45" t="n"/>
      <c r="P42" s="45" t="n"/>
      <c r="Q42" s="45" t="n"/>
      <c r="R42" s="45" t="n"/>
      <c r="S42" s="46" t="n"/>
      <c r="T42" s="46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47" t="n"/>
      <c r="AI42" s="47" t="n"/>
      <c r="AJ42" s="47" t="n"/>
      <c r="AK42" s="47" t="n"/>
      <c r="AL42" s="47" t="n"/>
      <c r="AM42" s="47" t="n"/>
      <c r="AN42" s="47" t="n"/>
      <c r="AO42" s="47" t="n"/>
      <c r="AP42" s="47" t="n"/>
      <c r="AQ42" s="47" t="n"/>
      <c r="AR42" s="47" t="n"/>
      <c r="AS42" s="47" t="n"/>
      <c r="AT42" s="47" t="n"/>
      <c r="AU42" s="48" t="n"/>
      <c r="AV42" s="48" t="n"/>
      <c r="AW42" s="49">
        <f>IF($A42="","",IF($BW42&lt;&gt;"","FIX",IF($BX42&lt;&gt;"","CHECK","OK")))</f>
        <v/>
      </c>
      <c r="AX42" s="50">
        <f>IF($A42="","",IF($BW42&lt;&gt;"","FIX: "&amp;LEFT($BW42,LEN($BW42)-2)&amp;IF($BX42&lt;&gt;"","  ·  ",""),"")&amp;IF($BX42&lt;&gt;"","CHECK: "&amp;LEFT($BX42,LEN($BX42)-2),""))</f>
        <v/>
      </c>
      <c r="AY42" s="49">
        <f>IF(OR($A42="",$K42=""),"",$K42&amp;"'-"&amp;N($L42)&amp;CHAR(34)&amp;" x "&amp;$M42&amp;"'-"&amp;N($N42)&amp;CHAR(34))</f>
        <v/>
      </c>
      <c r="AZ42" s="49">
        <f>IF(OR($A42="",$K42=""),"",$K42&amp;N($L42)&amp;$M42&amp;N($N42))</f>
        <v/>
      </c>
      <c r="BA42" s="49">
        <f>IF(OR($A42="",$K42=""),"",$K42*12+N($L42))</f>
        <v/>
      </c>
      <c r="BB42" s="49">
        <f>IF(OR($A42="",$M42=""),"",$M42*12+N($N42))</f>
        <v/>
      </c>
      <c r="BC42" s="49">
        <f>IF($A42="","",IF(OR($C42="FRAME ONLY",$S42="BL"),0,IF($O42="Y",2,1)))</f>
        <v/>
      </c>
      <c r="BD42" s="51">
        <f>IF(OR(N($BC42)=0,$BA42=""),"",($BA42-2*EdgeClr-IF($BC42=2,MeetClr,0))/$BC42)</f>
        <v/>
      </c>
      <c r="BE42" s="51">
        <f>IF(OR(N($BC42)=0,$BB42=""),"",$BB42-HeadClr-Undercut)</f>
        <v/>
      </c>
      <c r="BF42" s="51">
        <f>IF($BA42="","",$BA42+2*FaceW+IF(N($Q42)&gt;0,($Q42+FaceW)*IF($R42="LR",2,1),0))</f>
        <v/>
      </c>
      <c r="BG42" s="51">
        <f>IF($BB42="","",$BB42+IF($AB42="Y",4,FaceW)+IF(N($P42)&gt;0,$P42+FaceW,0)+IF(OR($S42="4F",$S42="BL"),FaceW,0))</f>
        <v/>
      </c>
      <c r="BH42" s="51">
        <f>IF($BF42="","",$BF42+2*ROSide)</f>
        <v/>
      </c>
      <c r="BI42" s="51">
        <f>IF($BG42="","",$BG42+ROTop)</f>
        <v/>
      </c>
      <c r="BJ42" s="52">
        <f>IF(OR(N($BC42)=0,$BA42=""),"",$BA42/$BC42-ClearDeduct)</f>
        <v/>
      </c>
      <c r="BK42" s="49">
        <f>IF(OR(N($BC42)=0,$BE42=""),"",IF(OR($AC42="HGC",$AP42="HGC"),"CONT",IF($BE42&lt;=60,2,IF($BE42&lt;=90,3,IF($BE42&lt;=120,4,5)))))</f>
        <v/>
      </c>
      <c r="BL42" s="49">
        <f>IF(N($BC42)=0,"",IF(OR($AL42="",$AL42="FLUSH"),"FLUSH",IFERROR(LEFT($AL42,FIND("-",$AL42)-1),LEFT($AL42,2))))</f>
        <v/>
      </c>
      <c r="BM42" s="49">
        <f>IF($BL42="","",IFERROR(VALUE(MID($AL42,FIND("-",$AL42)+1,FIND(CHAR(34)&amp;"x",$AL42)-FIND("-",$AL42)-1)),0))</f>
        <v/>
      </c>
      <c r="BN42" s="49">
        <f>IF($BL42="","",IFERROR(VALUE(MID($AL42,FIND(CHAR(34)&amp;"x",$AL42)+2,FIND(CHAR(34),$AL42,FIND(CHAR(34)&amp;"x",$AL42)+2)-FIND(CHAR(34)&amp;"x",$AL42)-2)),0))</f>
        <v/>
      </c>
      <c r="BO42" s="53">
        <f>IF(OR($A42="",$H42="",$H42="NO LAB"),0,IFERROR(VALUE(LEFT($H42,FIND(" ",$H42)-1)),0))</f>
        <v/>
      </c>
      <c r="BP42" s="54">
        <f>IF(OR($A42="",$I42="",$I42="NON-RATED",N($J42)=0),"",IFERROR(VLOOKUP($I42&amp;"|"&amp;$J42,IBC,2,FALSE),"?"))</f>
        <v/>
      </c>
      <c r="BQ42" s="50">
        <f>IF(NOT(AND($A42&lt;&gt;"",$C42&lt;&gt;"DOOR ONLY")),"",TRIM(IFERROR(VLOOKUP($U42,CODES,2,FALSE),"")&amp;" "&amp;$AZ42&amp;" "&amp;IFERROR(VLOOKUP($Z42,CODES,2,FALSE),"")&amp;" "&amp;IFERROR(VLOOKUP($X42,CODES,2,FALSE),"")&amp;" "&amp;IFERROR(VLOOKUP($S42,CODES,2,FALSE),"")&amp;IF(N($P42)&gt;0," w/TRANSOM "&amp;$P42&amp;CHAR(34),"")&amp;IF(N($Q42)&gt;0," w/SIDELITE "&amp;$Q42&amp;CHAR(34)&amp;" "&amp;IF($R42="","R",$R42),"")&amp;IF($Y42="","  |  "," | "&amp;IFERROR(VLOOKUP($Y42,CODES,2,FALSE),"")&amp;" | ")&amp;IFERROR(VLOOKUP($AC42,CODES,2,FALSE),"")&amp;" "&amp;IFERROR(VLOOKUP($AD42,CODES,2,FALSE),"")&amp;IF(OR($AE42="",$AE42="-"),""," "&amp;$AE42)&amp;IF(OR($AF42="",$AF42="-"),""," "&amp;$AF42)&amp;IF($AB42="Y"," 4"&amp;CHAR(34)&amp;" HEAD","")&amp;" "&amp;IFERROR(VLOOKUP($H42,CODES,2,FALSE),"")))</f>
        <v/>
      </c>
      <c r="BR42" s="50">
        <f>IF(NOT(AND($A42&lt;&gt;"",N($BC42)&gt;0)),"",TRIM(IFERROR(VLOOKUP($AH42,CODES,2,FALSE),"")&amp;IF($AI42=""," "," "&amp;$AI42&amp;"GA ")&amp;$AZ42&amp;" "&amp;IF($AN42="",IFERROR(VLOOKUP($Z42,CODES,2,FALSE),""),IFERROR(VLOOKUP($AN42,CODES,2,FALSE),""))&amp;IF($BC42=2," PAIR","")&amp;" DOOR | "&amp;IF($AL42="","?",$AL42)&amp;" | "&amp;IF($AP42="",IFERROR(VLOOKUP($AC42,CODES,2,FALSE),""),IFERROR(VLOOKUP($AP42,CODES,2,FALSE),""))&amp;" "&amp;IFERROR(VLOOKUP($AQ42,CODES,2,FALSE),"")&amp;IF(OR($AR42="",$AR42="-"),""," SEAM "&amp;$AR42)&amp;IF($AS42="Y"," ASTRAGAL","")&amp;IF($AJ42=""," "," "&amp;$AJ42)&amp;IF($AK42=""," "," "&amp;$AK42)&amp;IF($AO42="",""," "&amp;$AO42)&amp;IF($AM42=""," "," SERIES "&amp;$AM42)&amp;" "&amp;IFERROR(VLOOKUP($H42,CODES,2,FALSE),"")))</f>
        <v/>
      </c>
      <c r="BS42" s="49">
        <f>IF(BV42="","",IF(COUNTIF($BV$6:BV42,BV42)=1,MAX($BS$5:BS41)+1,INDEX($BS$5:BS41,MATCH(BV42,$BV$5:BV41,0))))</f>
        <v/>
      </c>
      <c r="BT42" s="49">
        <f>IF(NOT(AND($A42&lt;&gt;"",$C42&lt;&gt;"DOOR ONLY")),"",MAX($BT$5:BT41)+1)</f>
        <v/>
      </c>
      <c r="BU42" s="49">
        <f>IF(NOT(AND($A42&lt;&gt;"",N($BC42)&gt;0)),"",MAX($BU$5:BU41)+1)</f>
        <v/>
      </c>
      <c r="BV42" s="49">
        <f>IF(OR($A42="",$BA42="",$BB42=""),"",$AZ42&amp;"|"&amp;$O42&amp;"|"&amp;$AL42&amp;"|"&amp;$S42&amp;"|"&amp;$P42&amp;"|"&amp;$Q42&amp;$R42&amp;"|"&amp;$C42&amp;"|"&amp;$AB42)</f>
        <v/>
      </c>
      <c r="BW42" s="49">
        <f>IF($A42="","",IF($B42="","qty, ","")&amp;IF($C42="","scope, ","")&amp;IF(OR($K42="",$M42=""),"size, ","")&amp;IF(AND($A42&lt;&gt;"",$C42&lt;&gt;"DOOR ONLY"),IF($U42="","jamb depth, ","")&amp;IF($X42="","construction, ","")&amp;IF($Y42="","anchor, ","")&amp;IF($S42="","frame type, ",""),"")&amp;IF(AND(N($BC42)&gt;0,$Z42=""),"hand, ","")&amp;IF(N($BC42)&gt;0,IF($AH42="","door material, ","")&amp;IF($AL42="","face type, ","")&amp;IF($AQ42="","lock prep, ","")&amp;IF(AND($AP42="",$AC42=""),"hinge prep, ",""),"")&amp;IF(AND($BO42&gt;0,$AH42="FRP"),"FRP cannot carry a label, ","")&amp;IF(AND($O42="Y",OR($Z42="L",$Z42="R",$Z42="LR",$Z42="RR")),"pair marked but hand is single, ","")&amp;IF(AND($O42&lt;&gt;"Y",OR($Z42="PR",AND(LEN($Z42)&gt;1,ISNUMBER(SEARCH("-",$Z42))))),"pair hand on a single door, ","")&amp;IF(AND(ISNUMBER($BP42),$BO42&lt;N($BP42)),"wall needs a "&amp;$BP42&amp;" min door, ","")&amp;IF(AND($BO42&gt;=180,AND(OR($BL42="FG",$BL42="HG",$BL42="FNV",$BL42="FV"),N($BM42)*N($BN42)&gt;100)),"180 min lite over 100 sq in, ","")&amp;IF(N($BD42)&gt;48,"leaf wider than 4'-0"&amp;CHAR(34)&amp;", ",""))</f>
        <v/>
      </c>
      <c r="BX42" s="49">
        <f>IF($A42="","",IF(AND($BO42&gt;0,AND($A42&lt;&gt;"",$C42&lt;&gt;"DOOR ONLY"),$X42="KD",$E42="EXTERIOR"),"KD label on an exterior opening, ","")&amp;IF(AND($E42="EXTERIOR",OR(AND(AND($A42&lt;&gt;"",$C42&lt;&gt;"DOOR ONLY"),$W42="CR"),AND(N($BC42)&gt;0,$AH42="CR"))),"exterior in CR steel (G9?), ","")&amp;IF(AND(ISNUMBER($BJ42),N($BJ42)&lt;32),"clear width ~"&amp;TEXT($BJ42,"0.0")&amp;CHAR(34)&amp;" under 32"&amp;CHAR(34)&amp;" (ADA), ","")&amp;IF(AND($BO42=90,AND(OR($BL42="FG",$BL42="HG",$BL42="FNV",$BL42="FV"),N($BM42)*N($BN42)&gt;100)),"90 min lite over 100 sq in (stair/exit), ","")&amp;IF(AND($BO42&gt;0,AND($A42&lt;&gt;"",$C42&lt;&gt;"DOOR ONLY"),OR($AF42="",$AF42="-")),"rated: closer reinf.?, ","")&amp;IF(OR($I42="CORRIDOR",$I42="SMOKE BARRIER"),"S label + smoke gasketing, ","")&amp;IF($BP42="?","wall type/hr not in IBC table, ","")&amp;IF(AND(N($BC42)&gt;0,$AU42=""),"no hardware set, ","")&amp;IF(AND($AU42&lt;&gt;"",ISNA(MATCH($AU42,HWSets,0))),"set "&amp;$AU42&amp;" not on Hardware sheet, ","")&amp;IF(N($BE42)&gt;96,"leaf over 8'-0"&amp;CHAR(34)&amp;" - check listing, ",""))</f>
        <v/>
      </c>
    </row>
    <row r="43" ht="15" customHeight="1">
      <c r="A43" s="44" t="n"/>
      <c r="B43" s="45" t="n"/>
      <c r="C43" s="45" t="n"/>
      <c r="D43" s="45" t="n"/>
      <c r="E43" s="45" t="n"/>
      <c r="F43" s="45" t="n"/>
      <c r="G43" s="45" t="n"/>
      <c r="H43" s="45" t="n"/>
      <c r="I43" s="45" t="n"/>
      <c r="J43" s="45" t="n"/>
      <c r="K43" s="45" t="n"/>
      <c r="L43" s="45" t="n"/>
      <c r="M43" s="45" t="n"/>
      <c r="N43" s="45" t="n"/>
      <c r="O43" s="45" t="n"/>
      <c r="P43" s="45" t="n"/>
      <c r="Q43" s="45" t="n"/>
      <c r="R43" s="45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47" t="n"/>
      <c r="AI43" s="47" t="n"/>
      <c r="AJ43" s="47" t="n"/>
      <c r="AK43" s="47" t="n"/>
      <c r="AL43" s="47" t="n"/>
      <c r="AM43" s="47" t="n"/>
      <c r="AN43" s="47" t="n"/>
      <c r="AO43" s="47" t="n"/>
      <c r="AP43" s="47" t="n"/>
      <c r="AQ43" s="47" t="n"/>
      <c r="AR43" s="47" t="n"/>
      <c r="AS43" s="47" t="n"/>
      <c r="AT43" s="47" t="n"/>
      <c r="AU43" s="48" t="n"/>
      <c r="AV43" s="48" t="n"/>
      <c r="AW43" s="49">
        <f>IF($A43="","",IF($BW43&lt;&gt;"","FIX",IF($BX43&lt;&gt;"","CHECK","OK")))</f>
        <v/>
      </c>
      <c r="AX43" s="50">
        <f>IF($A43="","",IF($BW43&lt;&gt;"","FIX: "&amp;LEFT($BW43,LEN($BW43)-2)&amp;IF($BX43&lt;&gt;"","  ·  ",""),"")&amp;IF($BX43&lt;&gt;"","CHECK: "&amp;LEFT($BX43,LEN($BX43)-2),""))</f>
        <v/>
      </c>
      <c r="AY43" s="49">
        <f>IF(OR($A43="",$K43=""),"",$K43&amp;"'-"&amp;N($L43)&amp;CHAR(34)&amp;" x "&amp;$M43&amp;"'-"&amp;N($N43)&amp;CHAR(34))</f>
        <v/>
      </c>
      <c r="AZ43" s="49">
        <f>IF(OR($A43="",$K43=""),"",$K43&amp;N($L43)&amp;$M43&amp;N($N43))</f>
        <v/>
      </c>
      <c r="BA43" s="49">
        <f>IF(OR($A43="",$K43=""),"",$K43*12+N($L43))</f>
        <v/>
      </c>
      <c r="BB43" s="49">
        <f>IF(OR($A43="",$M43=""),"",$M43*12+N($N43))</f>
        <v/>
      </c>
      <c r="BC43" s="49">
        <f>IF($A43="","",IF(OR($C43="FRAME ONLY",$S43="BL"),0,IF($O43="Y",2,1)))</f>
        <v/>
      </c>
      <c r="BD43" s="51">
        <f>IF(OR(N($BC43)=0,$BA43=""),"",($BA43-2*EdgeClr-IF($BC43=2,MeetClr,0))/$BC43)</f>
        <v/>
      </c>
      <c r="BE43" s="51">
        <f>IF(OR(N($BC43)=0,$BB43=""),"",$BB43-HeadClr-Undercut)</f>
        <v/>
      </c>
      <c r="BF43" s="51">
        <f>IF($BA43="","",$BA43+2*FaceW+IF(N($Q43)&gt;0,($Q43+FaceW)*IF($R43="LR",2,1),0))</f>
        <v/>
      </c>
      <c r="BG43" s="51">
        <f>IF($BB43="","",$BB43+IF($AB43="Y",4,FaceW)+IF(N($P43)&gt;0,$P43+FaceW,0)+IF(OR($S43="4F",$S43="BL"),FaceW,0))</f>
        <v/>
      </c>
      <c r="BH43" s="51">
        <f>IF($BF43="","",$BF43+2*ROSide)</f>
        <v/>
      </c>
      <c r="BI43" s="51">
        <f>IF($BG43="","",$BG43+ROTop)</f>
        <v/>
      </c>
      <c r="BJ43" s="52">
        <f>IF(OR(N($BC43)=0,$BA43=""),"",$BA43/$BC43-ClearDeduct)</f>
        <v/>
      </c>
      <c r="BK43" s="49">
        <f>IF(OR(N($BC43)=0,$BE43=""),"",IF(OR($AC43="HGC",$AP43="HGC"),"CONT",IF($BE43&lt;=60,2,IF($BE43&lt;=90,3,IF($BE43&lt;=120,4,5)))))</f>
        <v/>
      </c>
      <c r="BL43" s="49">
        <f>IF(N($BC43)=0,"",IF(OR($AL43="",$AL43="FLUSH"),"FLUSH",IFERROR(LEFT($AL43,FIND("-",$AL43)-1),LEFT($AL43,2))))</f>
        <v/>
      </c>
      <c r="BM43" s="49">
        <f>IF($BL43="","",IFERROR(VALUE(MID($AL43,FIND("-",$AL43)+1,FIND(CHAR(34)&amp;"x",$AL43)-FIND("-",$AL43)-1)),0))</f>
        <v/>
      </c>
      <c r="BN43" s="49">
        <f>IF($BL43="","",IFERROR(VALUE(MID($AL43,FIND(CHAR(34)&amp;"x",$AL43)+2,FIND(CHAR(34),$AL43,FIND(CHAR(34)&amp;"x",$AL43)+2)-FIND(CHAR(34)&amp;"x",$AL43)-2)),0))</f>
        <v/>
      </c>
      <c r="BO43" s="53">
        <f>IF(OR($A43="",$H43="",$H43="NO LAB"),0,IFERROR(VALUE(LEFT($H43,FIND(" ",$H43)-1)),0))</f>
        <v/>
      </c>
      <c r="BP43" s="54">
        <f>IF(OR($A43="",$I43="",$I43="NON-RATED",N($J43)=0),"",IFERROR(VLOOKUP($I43&amp;"|"&amp;$J43,IBC,2,FALSE),"?"))</f>
        <v/>
      </c>
      <c r="BQ43" s="50">
        <f>IF(NOT(AND($A43&lt;&gt;"",$C43&lt;&gt;"DOOR ONLY")),"",TRIM(IFERROR(VLOOKUP($U43,CODES,2,FALSE),"")&amp;" "&amp;$AZ43&amp;" "&amp;IFERROR(VLOOKUP($Z43,CODES,2,FALSE),"")&amp;" "&amp;IFERROR(VLOOKUP($X43,CODES,2,FALSE),"")&amp;" "&amp;IFERROR(VLOOKUP($S43,CODES,2,FALSE),"")&amp;IF(N($P43)&gt;0," w/TRANSOM "&amp;$P43&amp;CHAR(34),"")&amp;IF(N($Q43)&gt;0," w/SIDELITE "&amp;$Q43&amp;CHAR(34)&amp;" "&amp;IF($R43="","R",$R43),"")&amp;IF($Y43="","  |  "," | "&amp;IFERROR(VLOOKUP($Y43,CODES,2,FALSE),"")&amp;" | ")&amp;IFERROR(VLOOKUP($AC43,CODES,2,FALSE),"")&amp;" "&amp;IFERROR(VLOOKUP($AD43,CODES,2,FALSE),"")&amp;IF(OR($AE43="",$AE43="-"),""," "&amp;$AE43)&amp;IF(OR($AF43="",$AF43="-"),""," "&amp;$AF43)&amp;IF($AB43="Y"," 4"&amp;CHAR(34)&amp;" HEAD","")&amp;" "&amp;IFERROR(VLOOKUP($H43,CODES,2,FALSE),"")))</f>
        <v/>
      </c>
      <c r="BR43" s="50">
        <f>IF(NOT(AND($A43&lt;&gt;"",N($BC43)&gt;0)),"",TRIM(IFERROR(VLOOKUP($AH43,CODES,2,FALSE),"")&amp;IF($AI43=""," "," "&amp;$AI43&amp;"GA ")&amp;$AZ43&amp;" "&amp;IF($AN43="",IFERROR(VLOOKUP($Z43,CODES,2,FALSE),""),IFERROR(VLOOKUP($AN43,CODES,2,FALSE),""))&amp;IF($BC43=2," PAIR","")&amp;" DOOR | "&amp;IF($AL43="","?",$AL43)&amp;" | "&amp;IF($AP43="",IFERROR(VLOOKUP($AC43,CODES,2,FALSE),""),IFERROR(VLOOKUP($AP43,CODES,2,FALSE),""))&amp;" "&amp;IFERROR(VLOOKUP($AQ43,CODES,2,FALSE),"")&amp;IF(OR($AR43="",$AR43="-"),""," SEAM "&amp;$AR43)&amp;IF($AS43="Y"," ASTRAGAL","")&amp;IF($AJ43=""," "," "&amp;$AJ43)&amp;IF($AK43=""," "," "&amp;$AK43)&amp;IF($AO43="",""," "&amp;$AO43)&amp;IF($AM43=""," "," SERIES "&amp;$AM43)&amp;" "&amp;IFERROR(VLOOKUP($H43,CODES,2,FALSE),"")))</f>
        <v/>
      </c>
      <c r="BS43" s="49">
        <f>IF(BV43="","",IF(COUNTIF($BV$6:BV43,BV43)=1,MAX($BS$5:BS42)+1,INDEX($BS$5:BS42,MATCH(BV43,$BV$5:BV42,0))))</f>
        <v/>
      </c>
      <c r="BT43" s="49">
        <f>IF(NOT(AND($A43&lt;&gt;"",$C43&lt;&gt;"DOOR ONLY")),"",MAX($BT$5:BT42)+1)</f>
        <v/>
      </c>
      <c r="BU43" s="49">
        <f>IF(NOT(AND($A43&lt;&gt;"",N($BC43)&gt;0)),"",MAX($BU$5:BU42)+1)</f>
        <v/>
      </c>
      <c r="BV43" s="49">
        <f>IF(OR($A43="",$BA43="",$BB43=""),"",$AZ43&amp;"|"&amp;$O43&amp;"|"&amp;$AL43&amp;"|"&amp;$S43&amp;"|"&amp;$P43&amp;"|"&amp;$Q43&amp;$R43&amp;"|"&amp;$C43&amp;"|"&amp;$AB43)</f>
        <v/>
      </c>
      <c r="BW43" s="49">
        <f>IF($A43="","",IF($B43="","qty, ","")&amp;IF($C43="","scope, ","")&amp;IF(OR($K43="",$M43=""),"size, ","")&amp;IF(AND($A43&lt;&gt;"",$C43&lt;&gt;"DOOR ONLY"),IF($U43="","jamb depth, ","")&amp;IF($X43="","construction, ","")&amp;IF($Y43="","anchor, ","")&amp;IF($S43="","frame type, ",""),"")&amp;IF(AND(N($BC43)&gt;0,$Z43=""),"hand, ","")&amp;IF(N($BC43)&gt;0,IF($AH43="","door material, ","")&amp;IF($AL43="","face type, ","")&amp;IF($AQ43="","lock prep, ","")&amp;IF(AND($AP43="",$AC43=""),"hinge prep, ",""),"")&amp;IF(AND($BO43&gt;0,$AH43="FRP"),"FRP cannot carry a label, ","")&amp;IF(AND($O43="Y",OR($Z43="L",$Z43="R",$Z43="LR",$Z43="RR")),"pair marked but hand is single, ","")&amp;IF(AND($O43&lt;&gt;"Y",OR($Z43="PR",AND(LEN($Z43)&gt;1,ISNUMBER(SEARCH("-",$Z43))))),"pair hand on a single door, ","")&amp;IF(AND(ISNUMBER($BP43),$BO43&lt;N($BP43)),"wall needs a "&amp;$BP43&amp;" min door, ","")&amp;IF(AND($BO43&gt;=180,AND(OR($BL43="FG",$BL43="HG",$BL43="FNV",$BL43="FV"),N($BM43)*N($BN43)&gt;100)),"180 min lite over 100 sq in, ","")&amp;IF(N($BD43)&gt;48,"leaf wider than 4'-0"&amp;CHAR(34)&amp;", ",""))</f>
        <v/>
      </c>
      <c r="BX43" s="49">
        <f>IF($A43="","",IF(AND($BO43&gt;0,AND($A43&lt;&gt;"",$C43&lt;&gt;"DOOR ONLY"),$X43="KD",$E43="EXTERIOR"),"KD label on an exterior opening, ","")&amp;IF(AND($E43="EXTERIOR",OR(AND(AND($A43&lt;&gt;"",$C43&lt;&gt;"DOOR ONLY"),$W43="CR"),AND(N($BC43)&gt;0,$AH43="CR"))),"exterior in CR steel (G9?), ","")&amp;IF(AND(ISNUMBER($BJ43),N($BJ43)&lt;32),"clear width ~"&amp;TEXT($BJ43,"0.0")&amp;CHAR(34)&amp;" under 32"&amp;CHAR(34)&amp;" (ADA), ","")&amp;IF(AND($BO43=90,AND(OR($BL43="FG",$BL43="HG",$BL43="FNV",$BL43="FV"),N($BM43)*N($BN43)&gt;100)),"90 min lite over 100 sq in (stair/exit), ","")&amp;IF(AND($BO43&gt;0,AND($A43&lt;&gt;"",$C43&lt;&gt;"DOOR ONLY"),OR($AF43="",$AF43="-")),"rated: closer reinf.?, ","")&amp;IF(OR($I43="CORRIDOR",$I43="SMOKE BARRIER"),"S label + smoke gasketing, ","")&amp;IF($BP43="?","wall type/hr not in IBC table, ","")&amp;IF(AND(N($BC43)&gt;0,$AU43=""),"no hardware set, ","")&amp;IF(AND($AU43&lt;&gt;"",ISNA(MATCH($AU43,HWSets,0))),"set "&amp;$AU43&amp;" not on Hardware sheet, ","")&amp;IF(N($BE43)&gt;96,"leaf over 8'-0"&amp;CHAR(34)&amp;" - check listing, ",""))</f>
        <v/>
      </c>
    </row>
    <row r="44" ht="15" customHeight="1">
      <c r="A44" s="44" t="n"/>
      <c r="B44" s="45" t="n"/>
      <c r="C44" s="45" t="n"/>
      <c r="D44" s="45" t="n"/>
      <c r="E44" s="45" t="n"/>
      <c r="F44" s="45" t="n"/>
      <c r="G44" s="45" t="n"/>
      <c r="H44" s="45" t="n"/>
      <c r="I44" s="45" t="n"/>
      <c r="J44" s="45" t="n"/>
      <c r="K44" s="45" t="n"/>
      <c r="L44" s="45" t="n"/>
      <c r="M44" s="45" t="n"/>
      <c r="N44" s="45" t="n"/>
      <c r="O44" s="45" t="n"/>
      <c r="P44" s="45" t="n"/>
      <c r="Q44" s="45" t="n"/>
      <c r="R44" s="45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47" t="n"/>
      <c r="AI44" s="47" t="n"/>
      <c r="AJ44" s="47" t="n"/>
      <c r="AK44" s="47" t="n"/>
      <c r="AL44" s="47" t="n"/>
      <c r="AM44" s="47" t="n"/>
      <c r="AN44" s="47" t="n"/>
      <c r="AO44" s="47" t="n"/>
      <c r="AP44" s="47" t="n"/>
      <c r="AQ44" s="47" t="n"/>
      <c r="AR44" s="47" t="n"/>
      <c r="AS44" s="47" t="n"/>
      <c r="AT44" s="47" t="n"/>
      <c r="AU44" s="48" t="n"/>
      <c r="AV44" s="48" t="n"/>
      <c r="AW44" s="49">
        <f>IF($A44="","",IF($BW44&lt;&gt;"","FIX",IF($BX44&lt;&gt;"","CHECK","OK")))</f>
        <v/>
      </c>
      <c r="AX44" s="50">
        <f>IF($A44="","",IF($BW44&lt;&gt;"","FIX: "&amp;LEFT($BW44,LEN($BW44)-2)&amp;IF($BX44&lt;&gt;"","  ·  ",""),"")&amp;IF($BX44&lt;&gt;"","CHECK: "&amp;LEFT($BX44,LEN($BX44)-2),""))</f>
        <v/>
      </c>
      <c r="AY44" s="49">
        <f>IF(OR($A44="",$K44=""),"",$K44&amp;"'-"&amp;N($L44)&amp;CHAR(34)&amp;" x "&amp;$M44&amp;"'-"&amp;N($N44)&amp;CHAR(34))</f>
        <v/>
      </c>
      <c r="AZ44" s="49">
        <f>IF(OR($A44="",$K44=""),"",$K44&amp;N($L44)&amp;$M44&amp;N($N44))</f>
        <v/>
      </c>
      <c r="BA44" s="49">
        <f>IF(OR($A44="",$K44=""),"",$K44*12+N($L44))</f>
        <v/>
      </c>
      <c r="BB44" s="49">
        <f>IF(OR($A44="",$M44=""),"",$M44*12+N($N44))</f>
        <v/>
      </c>
      <c r="BC44" s="49">
        <f>IF($A44="","",IF(OR($C44="FRAME ONLY",$S44="BL"),0,IF($O44="Y",2,1)))</f>
        <v/>
      </c>
      <c r="BD44" s="51">
        <f>IF(OR(N($BC44)=0,$BA44=""),"",($BA44-2*EdgeClr-IF($BC44=2,MeetClr,0))/$BC44)</f>
        <v/>
      </c>
      <c r="BE44" s="51">
        <f>IF(OR(N($BC44)=0,$BB44=""),"",$BB44-HeadClr-Undercut)</f>
        <v/>
      </c>
      <c r="BF44" s="51">
        <f>IF($BA44="","",$BA44+2*FaceW+IF(N($Q44)&gt;0,($Q44+FaceW)*IF($R44="LR",2,1),0))</f>
        <v/>
      </c>
      <c r="BG44" s="51">
        <f>IF($BB44="","",$BB44+IF($AB44="Y",4,FaceW)+IF(N($P44)&gt;0,$P44+FaceW,0)+IF(OR($S44="4F",$S44="BL"),FaceW,0))</f>
        <v/>
      </c>
      <c r="BH44" s="51">
        <f>IF($BF44="","",$BF44+2*ROSide)</f>
        <v/>
      </c>
      <c r="BI44" s="51">
        <f>IF($BG44="","",$BG44+ROTop)</f>
        <v/>
      </c>
      <c r="BJ44" s="52">
        <f>IF(OR(N($BC44)=0,$BA44=""),"",$BA44/$BC44-ClearDeduct)</f>
        <v/>
      </c>
      <c r="BK44" s="49">
        <f>IF(OR(N($BC44)=0,$BE44=""),"",IF(OR($AC44="HGC",$AP44="HGC"),"CONT",IF($BE44&lt;=60,2,IF($BE44&lt;=90,3,IF($BE44&lt;=120,4,5)))))</f>
        <v/>
      </c>
      <c r="BL44" s="49">
        <f>IF(N($BC44)=0,"",IF(OR($AL44="",$AL44="FLUSH"),"FLUSH",IFERROR(LEFT($AL44,FIND("-",$AL44)-1),LEFT($AL44,2))))</f>
        <v/>
      </c>
      <c r="BM44" s="49">
        <f>IF($BL44="","",IFERROR(VALUE(MID($AL44,FIND("-",$AL44)+1,FIND(CHAR(34)&amp;"x",$AL44)-FIND("-",$AL44)-1)),0))</f>
        <v/>
      </c>
      <c r="BN44" s="49">
        <f>IF($BL44="","",IFERROR(VALUE(MID($AL44,FIND(CHAR(34)&amp;"x",$AL44)+2,FIND(CHAR(34),$AL44,FIND(CHAR(34)&amp;"x",$AL44)+2)-FIND(CHAR(34)&amp;"x",$AL44)-2)),0))</f>
        <v/>
      </c>
      <c r="BO44" s="53">
        <f>IF(OR($A44="",$H44="",$H44="NO LAB"),0,IFERROR(VALUE(LEFT($H44,FIND(" ",$H44)-1)),0))</f>
        <v/>
      </c>
      <c r="BP44" s="54">
        <f>IF(OR($A44="",$I44="",$I44="NON-RATED",N($J44)=0),"",IFERROR(VLOOKUP($I44&amp;"|"&amp;$J44,IBC,2,FALSE),"?"))</f>
        <v/>
      </c>
      <c r="BQ44" s="50">
        <f>IF(NOT(AND($A44&lt;&gt;"",$C44&lt;&gt;"DOOR ONLY")),"",TRIM(IFERROR(VLOOKUP($U44,CODES,2,FALSE),"")&amp;" "&amp;$AZ44&amp;" "&amp;IFERROR(VLOOKUP($Z44,CODES,2,FALSE),"")&amp;" "&amp;IFERROR(VLOOKUP($X44,CODES,2,FALSE),"")&amp;" "&amp;IFERROR(VLOOKUP($S44,CODES,2,FALSE),"")&amp;IF(N($P44)&gt;0," w/TRANSOM "&amp;$P44&amp;CHAR(34),"")&amp;IF(N($Q44)&gt;0," w/SIDELITE "&amp;$Q44&amp;CHAR(34)&amp;" "&amp;IF($R44="","R",$R44),"")&amp;IF($Y44="","  |  "," | "&amp;IFERROR(VLOOKUP($Y44,CODES,2,FALSE),"")&amp;" | ")&amp;IFERROR(VLOOKUP($AC44,CODES,2,FALSE),"")&amp;" "&amp;IFERROR(VLOOKUP($AD44,CODES,2,FALSE),"")&amp;IF(OR($AE44="",$AE44="-"),""," "&amp;$AE44)&amp;IF(OR($AF44="",$AF44="-"),""," "&amp;$AF44)&amp;IF($AB44="Y"," 4"&amp;CHAR(34)&amp;" HEAD","")&amp;" "&amp;IFERROR(VLOOKUP($H44,CODES,2,FALSE),"")))</f>
        <v/>
      </c>
      <c r="BR44" s="50">
        <f>IF(NOT(AND($A44&lt;&gt;"",N($BC44)&gt;0)),"",TRIM(IFERROR(VLOOKUP($AH44,CODES,2,FALSE),"")&amp;IF($AI44=""," "," "&amp;$AI44&amp;"GA ")&amp;$AZ44&amp;" "&amp;IF($AN44="",IFERROR(VLOOKUP($Z44,CODES,2,FALSE),""),IFERROR(VLOOKUP($AN44,CODES,2,FALSE),""))&amp;IF($BC44=2," PAIR","")&amp;" DOOR | "&amp;IF($AL44="","?",$AL44)&amp;" | "&amp;IF($AP44="",IFERROR(VLOOKUP($AC44,CODES,2,FALSE),""),IFERROR(VLOOKUP($AP44,CODES,2,FALSE),""))&amp;" "&amp;IFERROR(VLOOKUP($AQ44,CODES,2,FALSE),"")&amp;IF(OR($AR44="",$AR44="-"),""," SEAM "&amp;$AR44)&amp;IF($AS44="Y"," ASTRAGAL","")&amp;IF($AJ44=""," "," "&amp;$AJ44)&amp;IF($AK44=""," "," "&amp;$AK44)&amp;IF($AO44="",""," "&amp;$AO44)&amp;IF($AM44=""," "," SERIES "&amp;$AM44)&amp;" "&amp;IFERROR(VLOOKUP($H44,CODES,2,FALSE),"")))</f>
        <v/>
      </c>
      <c r="BS44" s="49">
        <f>IF(BV44="","",IF(COUNTIF($BV$6:BV44,BV44)=1,MAX($BS$5:BS43)+1,INDEX($BS$5:BS43,MATCH(BV44,$BV$5:BV43,0))))</f>
        <v/>
      </c>
      <c r="BT44" s="49">
        <f>IF(NOT(AND($A44&lt;&gt;"",$C44&lt;&gt;"DOOR ONLY")),"",MAX($BT$5:BT43)+1)</f>
        <v/>
      </c>
      <c r="BU44" s="49">
        <f>IF(NOT(AND($A44&lt;&gt;"",N($BC44)&gt;0)),"",MAX($BU$5:BU43)+1)</f>
        <v/>
      </c>
      <c r="BV44" s="49">
        <f>IF(OR($A44="",$BA44="",$BB44=""),"",$AZ44&amp;"|"&amp;$O44&amp;"|"&amp;$AL44&amp;"|"&amp;$S44&amp;"|"&amp;$P44&amp;"|"&amp;$Q44&amp;$R44&amp;"|"&amp;$C44&amp;"|"&amp;$AB44)</f>
        <v/>
      </c>
      <c r="BW44" s="49">
        <f>IF($A44="","",IF($B44="","qty, ","")&amp;IF($C44="","scope, ","")&amp;IF(OR($K44="",$M44=""),"size, ","")&amp;IF(AND($A44&lt;&gt;"",$C44&lt;&gt;"DOOR ONLY"),IF($U44="","jamb depth, ","")&amp;IF($X44="","construction, ","")&amp;IF($Y44="","anchor, ","")&amp;IF($S44="","frame type, ",""),"")&amp;IF(AND(N($BC44)&gt;0,$Z44=""),"hand, ","")&amp;IF(N($BC44)&gt;0,IF($AH44="","door material, ","")&amp;IF($AL44="","face type, ","")&amp;IF($AQ44="","lock prep, ","")&amp;IF(AND($AP44="",$AC44=""),"hinge prep, ",""),"")&amp;IF(AND($BO44&gt;0,$AH44="FRP"),"FRP cannot carry a label, ","")&amp;IF(AND($O44="Y",OR($Z44="L",$Z44="R",$Z44="LR",$Z44="RR")),"pair marked but hand is single, ","")&amp;IF(AND($O44&lt;&gt;"Y",OR($Z44="PR",AND(LEN($Z44)&gt;1,ISNUMBER(SEARCH("-",$Z44))))),"pair hand on a single door, ","")&amp;IF(AND(ISNUMBER($BP44),$BO44&lt;N($BP44)),"wall needs a "&amp;$BP44&amp;" min door, ","")&amp;IF(AND($BO44&gt;=180,AND(OR($BL44="FG",$BL44="HG",$BL44="FNV",$BL44="FV"),N($BM44)*N($BN44)&gt;100)),"180 min lite over 100 sq in, ","")&amp;IF(N($BD44)&gt;48,"leaf wider than 4'-0"&amp;CHAR(34)&amp;", ",""))</f>
        <v/>
      </c>
      <c r="BX44" s="49">
        <f>IF($A44="","",IF(AND($BO44&gt;0,AND($A44&lt;&gt;"",$C44&lt;&gt;"DOOR ONLY"),$X44="KD",$E44="EXTERIOR"),"KD label on an exterior opening, ","")&amp;IF(AND($E44="EXTERIOR",OR(AND(AND($A44&lt;&gt;"",$C44&lt;&gt;"DOOR ONLY"),$W44="CR"),AND(N($BC44)&gt;0,$AH44="CR"))),"exterior in CR steel (G9?), ","")&amp;IF(AND(ISNUMBER($BJ44),N($BJ44)&lt;32),"clear width ~"&amp;TEXT($BJ44,"0.0")&amp;CHAR(34)&amp;" under 32"&amp;CHAR(34)&amp;" (ADA), ","")&amp;IF(AND($BO44=90,AND(OR($BL44="FG",$BL44="HG",$BL44="FNV",$BL44="FV"),N($BM44)*N($BN44)&gt;100)),"90 min lite over 100 sq in (stair/exit), ","")&amp;IF(AND($BO44&gt;0,AND($A44&lt;&gt;"",$C44&lt;&gt;"DOOR ONLY"),OR($AF44="",$AF44="-")),"rated: closer reinf.?, ","")&amp;IF(OR($I44="CORRIDOR",$I44="SMOKE BARRIER"),"S label + smoke gasketing, ","")&amp;IF($BP44="?","wall type/hr not in IBC table, ","")&amp;IF(AND(N($BC44)&gt;0,$AU44=""),"no hardware set, ","")&amp;IF(AND($AU44&lt;&gt;"",ISNA(MATCH($AU44,HWSets,0))),"set "&amp;$AU44&amp;" not on Hardware sheet, ","")&amp;IF(N($BE44)&gt;96,"leaf over 8'-0"&amp;CHAR(34)&amp;" - check listing, ",""))</f>
        <v/>
      </c>
    </row>
    <row r="45" ht="15" customHeight="1">
      <c r="A45" s="44" t="n"/>
      <c r="B45" s="45" t="n"/>
      <c r="C45" s="45" t="n"/>
      <c r="D45" s="45" t="n"/>
      <c r="E45" s="45" t="n"/>
      <c r="F45" s="45" t="n"/>
      <c r="G45" s="45" t="n"/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47" t="n"/>
      <c r="AI45" s="47" t="n"/>
      <c r="AJ45" s="47" t="n"/>
      <c r="AK45" s="47" t="n"/>
      <c r="AL45" s="47" t="n"/>
      <c r="AM45" s="47" t="n"/>
      <c r="AN45" s="47" t="n"/>
      <c r="AO45" s="47" t="n"/>
      <c r="AP45" s="47" t="n"/>
      <c r="AQ45" s="47" t="n"/>
      <c r="AR45" s="47" t="n"/>
      <c r="AS45" s="47" t="n"/>
      <c r="AT45" s="47" t="n"/>
      <c r="AU45" s="48" t="n"/>
      <c r="AV45" s="48" t="n"/>
      <c r="AW45" s="49">
        <f>IF($A45="","",IF($BW45&lt;&gt;"","FIX",IF($BX45&lt;&gt;"","CHECK","OK")))</f>
        <v/>
      </c>
      <c r="AX45" s="50">
        <f>IF($A45="","",IF($BW45&lt;&gt;"","FIX: "&amp;LEFT($BW45,LEN($BW45)-2)&amp;IF($BX45&lt;&gt;"","  ·  ",""),"")&amp;IF($BX45&lt;&gt;"","CHECK: "&amp;LEFT($BX45,LEN($BX45)-2),""))</f>
        <v/>
      </c>
      <c r="AY45" s="49">
        <f>IF(OR($A45="",$K45=""),"",$K45&amp;"'-"&amp;N($L45)&amp;CHAR(34)&amp;" x "&amp;$M45&amp;"'-"&amp;N($N45)&amp;CHAR(34))</f>
        <v/>
      </c>
      <c r="AZ45" s="49">
        <f>IF(OR($A45="",$K45=""),"",$K45&amp;N($L45)&amp;$M45&amp;N($N45))</f>
        <v/>
      </c>
      <c r="BA45" s="49">
        <f>IF(OR($A45="",$K45=""),"",$K45*12+N($L45))</f>
        <v/>
      </c>
      <c r="BB45" s="49">
        <f>IF(OR($A45="",$M45=""),"",$M45*12+N($N45))</f>
        <v/>
      </c>
      <c r="BC45" s="49">
        <f>IF($A45="","",IF(OR($C45="FRAME ONLY",$S45="BL"),0,IF($O45="Y",2,1)))</f>
        <v/>
      </c>
      <c r="BD45" s="51">
        <f>IF(OR(N($BC45)=0,$BA45=""),"",($BA45-2*EdgeClr-IF($BC45=2,MeetClr,0))/$BC45)</f>
        <v/>
      </c>
      <c r="BE45" s="51">
        <f>IF(OR(N($BC45)=0,$BB45=""),"",$BB45-HeadClr-Undercut)</f>
        <v/>
      </c>
      <c r="BF45" s="51">
        <f>IF($BA45="","",$BA45+2*FaceW+IF(N($Q45)&gt;0,($Q45+FaceW)*IF($R45="LR",2,1),0))</f>
        <v/>
      </c>
      <c r="BG45" s="51">
        <f>IF($BB45="","",$BB45+IF($AB45="Y",4,FaceW)+IF(N($P45)&gt;0,$P45+FaceW,0)+IF(OR($S45="4F",$S45="BL"),FaceW,0))</f>
        <v/>
      </c>
      <c r="BH45" s="51">
        <f>IF($BF45="","",$BF45+2*ROSide)</f>
        <v/>
      </c>
      <c r="BI45" s="51">
        <f>IF($BG45="","",$BG45+ROTop)</f>
        <v/>
      </c>
      <c r="BJ45" s="52">
        <f>IF(OR(N($BC45)=0,$BA45=""),"",$BA45/$BC45-ClearDeduct)</f>
        <v/>
      </c>
      <c r="BK45" s="49">
        <f>IF(OR(N($BC45)=0,$BE45=""),"",IF(OR($AC45="HGC",$AP45="HGC"),"CONT",IF($BE45&lt;=60,2,IF($BE45&lt;=90,3,IF($BE45&lt;=120,4,5)))))</f>
        <v/>
      </c>
      <c r="BL45" s="49">
        <f>IF(N($BC45)=0,"",IF(OR($AL45="",$AL45="FLUSH"),"FLUSH",IFERROR(LEFT($AL45,FIND("-",$AL45)-1),LEFT($AL45,2))))</f>
        <v/>
      </c>
      <c r="BM45" s="49">
        <f>IF($BL45="","",IFERROR(VALUE(MID($AL45,FIND("-",$AL45)+1,FIND(CHAR(34)&amp;"x",$AL45)-FIND("-",$AL45)-1)),0))</f>
        <v/>
      </c>
      <c r="BN45" s="49">
        <f>IF($BL45="","",IFERROR(VALUE(MID($AL45,FIND(CHAR(34)&amp;"x",$AL45)+2,FIND(CHAR(34),$AL45,FIND(CHAR(34)&amp;"x",$AL45)+2)-FIND(CHAR(34)&amp;"x",$AL45)-2)),0))</f>
        <v/>
      </c>
      <c r="BO45" s="53">
        <f>IF(OR($A45="",$H45="",$H45="NO LAB"),0,IFERROR(VALUE(LEFT($H45,FIND(" ",$H45)-1)),0))</f>
        <v/>
      </c>
      <c r="BP45" s="54">
        <f>IF(OR($A45="",$I45="",$I45="NON-RATED",N($J45)=0),"",IFERROR(VLOOKUP($I45&amp;"|"&amp;$J45,IBC,2,FALSE),"?"))</f>
        <v/>
      </c>
      <c r="BQ45" s="50">
        <f>IF(NOT(AND($A45&lt;&gt;"",$C45&lt;&gt;"DOOR ONLY")),"",TRIM(IFERROR(VLOOKUP($U45,CODES,2,FALSE),"")&amp;" "&amp;$AZ45&amp;" "&amp;IFERROR(VLOOKUP($Z45,CODES,2,FALSE),"")&amp;" "&amp;IFERROR(VLOOKUP($X45,CODES,2,FALSE),"")&amp;" "&amp;IFERROR(VLOOKUP($S45,CODES,2,FALSE),"")&amp;IF(N($P45)&gt;0," w/TRANSOM "&amp;$P45&amp;CHAR(34),"")&amp;IF(N($Q45)&gt;0," w/SIDELITE "&amp;$Q45&amp;CHAR(34)&amp;" "&amp;IF($R45="","R",$R45),"")&amp;IF($Y45="","  |  "," | "&amp;IFERROR(VLOOKUP($Y45,CODES,2,FALSE),"")&amp;" | ")&amp;IFERROR(VLOOKUP($AC45,CODES,2,FALSE),"")&amp;" "&amp;IFERROR(VLOOKUP($AD45,CODES,2,FALSE),"")&amp;IF(OR($AE45="",$AE45="-"),""," "&amp;$AE45)&amp;IF(OR($AF45="",$AF45="-"),""," "&amp;$AF45)&amp;IF($AB45="Y"," 4"&amp;CHAR(34)&amp;" HEAD","")&amp;" "&amp;IFERROR(VLOOKUP($H45,CODES,2,FALSE),"")))</f>
        <v/>
      </c>
      <c r="BR45" s="50">
        <f>IF(NOT(AND($A45&lt;&gt;"",N($BC45)&gt;0)),"",TRIM(IFERROR(VLOOKUP($AH45,CODES,2,FALSE),"")&amp;IF($AI45=""," "," "&amp;$AI45&amp;"GA ")&amp;$AZ45&amp;" "&amp;IF($AN45="",IFERROR(VLOOKUP($Z45,CODES,2,FALSE),""),IFERROR(VLOOKUP($AN45,CODES,2,FALSE),""))&amp;IF($BC45=2," PAIR","")&amp;" DOOR | "&amp;IF($AL45="","?",$AL45)&amp;" | "&amp;IF($AP45="",IFERROR(VLOOKUP($AC45,CODES,2,FALSE),""),IFERROR(VLOOKUP($AP45,CODES,2,FALSE),""))&amp;" "&amp;IFERROR(VLOOKUP($AQ45,CODES,2,FALSE),"")&amp;IF(OR($AR45="",$AR45="-"),""," SEAM "&amp;$AR45)&amp;IF($AS45="Y"," ASTRAGAL","")&amp;IF($AJ45=""," "," "&amp;$AJ45)&amp;IF($AK45=""," "," "&amp;$AK45)&amp;IF($AO45="",""," "&amp;$AO45)&amp;IF($AM45=""," "," SERIES "&amp;$AM45)&amp;" "&amp;IFERROR(VLOOKUP($H45,CODES,2,FALSE),"")))</f>
        <v/>
      </c>
      <c r="BS45" s="49">
        <f>IF(BV45="","",IF(COUNTIF($BV$6:BV45,BV45)=1,MAX($BS$5:BS44)+1,INDEX($BS$5:BS44,MATCH(BV45,$BV$5:BV44,0))))</f>
        <v/>
      </c>
      <c r="BT45" s="49">
        <f>IF(NOT(AND($A45&lt;&gt;"",$C45&lt;&gt;"DOOR ONLY")),"",MAX($BT$5:BT44)+1)</f>
        <v/>
      </c>
      <c r="BU45" s="49">
        <f>IF(NOT(AND($A45&lt;&gt;"",N($BC45)&gt;0)),"",MAX($BU$5:BU44)+1)</f>
        <v/>
      </c>
      <c r="BV45" s="49">
        <f>IF(OR($A45="",$BA45="",$BB45=""),"",$AZ45&amp;"|"&amp;$O45&amp;"|"&amp;$AL45&amp;"|"&amp;$S45&amp;"|"&amp;$P45&amp;"|"&amp;$Q45&amp;$R45&amp;"|"&amp;$C45&amp;"|"&amp;$AB45)</f>
        <v/>
      </c>
      <c r="BW45" s="49">
        <f>IF($A45="","",IF($B45="","qty, ","")&amp;IF($C45="","scope, ","")&amp;IF(OR($K45="",$M45=""),"size, ","")&amp;IF(AND($A45&lt;&gt;"",$C45&lt;&gt;"DOOR ONLY"),IF($U45="","jamb depth, ","")&amp;IF($X45="","construction, ","")&amp;IF($Y45="","anchor, ","")&amp;IF($S45="","frame type, ",""),"")&amp;IF(AND(N($BC45)&gt;0,$Z45=""),"hand, ","")&amp;IF(N($BC45)&gt;0,IF($AH45="","door material, ","")&amp;IF($AL45="","face type, ","")&amp;IF($AQ45="","lock prep, ","")&amp;IF(AND($AP45="",$AC45=""),"hinge prep, ",""),"")&amp;IF(AND($BO45&gt;0,$AH45="FRP"),"FRP cannot carry a label, ","")&amp;IF(AND($O45="Y",OR($Z45="L",$Z45="R",$Z45="LR",$Z45="RR")),"pair marked but hand is single, ","")&amp;IF(AND($O45&lt;&gt;"Y",OR($Z45="PR",AND(LEN($Z45)&gt;1,ISNUMBER(SEARCH("-",$Z45))))),"pair hand on a single door, ","")&amp;IF(AND(ISNUMBER($BP45),$BO45&lt;N($BP45)),"wall needs a "&amp;$BP45&amp;" min door, ","")&amp;IF(AND($BO45&gt;=180,AND(OR($BL45="FG",$BL45="HG",$BL45="FNV",$BL45="FV"),N($BM45)*N($BN45)&gt;100)),"180 min lite over 100 sq in, ","")&amp;IF(N($BD45)&gt;48,"leaf wider than 4'-0"&amp;CHAR(34)&amp;", ",""))</f>
        <v/>
      </c>
      <c r="BX45" s="49">
        <f>IF($A45="","",IF(AND($BO45&gt;0,AND($A45&lt;&gt;"",$C45&lt;&gt;"DOOR ONLY"),$X45="KD",$E45="EXTERIOR"),"KD label on an exterior opening, ","")&amp;IF(AND($E45="EXTERIOR",OR(AND(AND($A45&lt;&gt;"",$C45&lt;&gt;"DOOR ONLY"),$W45="CR"),AND(N($BC45)&gt;0,$AH45="CR"))),"exterior in CR steel (G9?), ","")&amp;IF(AND(ISNUMBER($BJ45),N($BJ45)&lt;32),"clear width ~"&amp;TEXT($BJ45,"0.0")&amp;CHAR(34)&amp;" under 32"&amp;CHAR(34)&amp;" (ADA), ","")&amp;IF(AND($BO45=90,AND(OR($BL45="FG",$BL45="HG",$BL45="FNV",$BL45="FV"),N($BM45)*N($BN45)&gt;100)),"90 min lite over 100 sq in (stair/exit), ","")&amp;IF(AND($BO45&gt;0,AND($A45&lt;&gt;"",$C45&lt;&gt;"DOOR ONLY"),OR($AF45="",$AF45="-")),"rated: closer reinf.?, ","")&amp;IF(OR($I45="CORRIDOR",$I45="SMOKE BARRIER"),"S label + smoke gasketing, ","")&amp;IF($BP45="?","wall type/hr not in IBC table, ","")&amp;IF(AND(N($BC45)&gt;0,$AU45=""),"no hardware set, ","")&amp;IF(AND($AU45&lt;&gt;"",ISNA(MATCH($AU45,HWSets,0))),"set "&amp;$AU45&amp;" not on Hardware sheet, ","")&amp;IF(N($BE45)&gt;96,"leaf over 8'-0"&amp;CHAR(34)&amp;" - check listing, ",""))</f>
        <v/>
      </c>
    </row>
    <row r="46" ht="15" customHeight="1">
      <c r="A46" s="44" t="n"/>
      <c r="B46" s="45" t="n"/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5" t="n"/>
      <c r="N46" s="45" t="n"/>
      <c r="O46" s="45" t="n"/>
      <c r="P46" s="45" t="n"/>
      <c r="Q46" s="45" t="n"/>
      <c r="R46" s="45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47" t="n"/>
      <c r="AI46" s="47" t="n"/>
      <c r="AJ46" s="47" t="n"/>
      <c r="AK46" s="47" t="n"/>
      <c r="AL46" s="47" t="n"/>
      <c r="AM46" s="47" t="n"/>
      <c r="AN46" s="47" t="n"/>
      <c r="AO46" s="47" t="n"/>
      <c r="AP46" s="47" t="n"/>
      <c r="AQ46" s="47" t="n"/>
      <c r="AR46" s="47" t="n"/>
      <c r="AS46" s="47" t="n"/>
      <c r="AT46" s="47" t="n"/>
      <c r="AU46" s="48" t="n"/>
      <c r="AV46" s="48" t="n"/>
      <c r="AW46" s="49">
        <f>IF($A46="","",IF($BW46&lt;&gt;"","FIX",IF($BX46&lt;&gt;"","CHECK","OK")))</f>
        <v/>
      </c>
      <c r="AX46" s="50">
        <f>IF($A46="","",IF($BW46&lt;&gt;"","FIX: "&amp;LEFT($BW46,LEN($BW46)-2)&amp;IF($BX46&lt;&gt;"","  ·  ",""),"")&amp;IF($BX46&lt;&gt;"","CHECK: "&amp;LEFT($BX46,LEN($BX46)-2),""))</f>
        <v/>
      </c>
      <c r="AY46" s="49">
        <f>IF(OR($A46="",$K46=""),"",$K46&amp;"'-"&amp;N($L46)&amp;CHAR(34)&amp;" x "&amp;$M46&amp;"'-"&amp;N($N46)&amp;CHAR(34))</f>
        <v/>
      </c>
      <c r="AZ46" s="49">
        <f>IF(OR($A46="",$K46=""),"",$K46&amp;N($L46)&amp;$M46&amp;N($N46))</f>
        <v/>
      </c>
      <c r="BA46" s="49">
        <f>IF(OR($A46="",$K46=""),"",$K46*12+N($L46))</f>
        <v/>
      </c>
      <c r="BB46" s="49">
        <f>IF(OR($A46="",$M46=""),"",$M46*12+N($N46))</f>
        <v/>
      </c>
      <c r="BC46" s="49">
        <f>IF($A46="","",IF(OR($C46="FRAME ONLY",$S46="BL"),0,IF($O46="Y",2,1)))</f>
        <v/>
      </c>
      <c r="BD46" s="51">
        <f>IF(OR(N($BC46)=0,$BA46=""),"",($BA46-2*EdgeClr-IF($BC46=2,MeetClr,0))/$BC46)</f>
        <v/>
      </c>
      <c r="BE46" s="51">
        <f>IF(OR(N($BC46)=0,$BB46=""),"",$BB46-HeadClr-Undercut)</f>
        <v/>
      </c>
      <c r="BF46" s="51">
        <f>IF($BA46="","",$BA46+2*FaceW+IF(N($Q46)&gt;0,($Q46+FaceW)*IF($R46="LR",2,1),0))</f>
        <v/>
      </c>
      <c r="BG46" s="51">
        <f>IF($BB46="","",$BB46+IF($AB46="Y",4,FaceW)+IF(N($P46)&gt;0,$P46+FaceW,0)+IF(OR($S46="4F",$S46="BL"),FaceW,0))</f>
        <v/>
      </c>
      <c r="BH46" s="51">
        <f>IF($BF46="","",$BF46+2*ROSide)</f>
        <v/>
      </c>
      <c r="BI46" s="51">
        <f>IF($BG46="","",$BG46+ROTop)</f>
        <v/>
      </c>
      <c r="BJ46" s="52">
        <f>IF(OR(N($BC46)=0,$BA46=""),"",$BA46/$BC46-ClearDeduct)</f>
        <v/>
      </c>
      <c r="BK46" s="49">
        <f>IF(OR(N($BC46)=0,$BE46=""),"",IF(OR($AC46="HGC",$AP46="HGC"),"CONT",IF($BE46&lt;=60,2,IF($BE46&lt;=90,3,IF($BE46&lt;=120,4,5)))))</f>
        <v/>
      </c>
      <c r="BL46" s="49">
        <f>IF(N($BC46)=0,"",IF(OR($AL46="",$AL46="FLUSH"),"FLUSH",IFERROR(LEFT($AL46,FIND("-",$AL46)-1),LEFT($AL46,2))))</f>
        <v/>
      </c>
      <c r="BM46" s="49">
        <f>IF($BL46="","",IFERROR(VALUE(MID($AL46,FIND("-",$AL46)+1,FIND(CHAR(34)&amp;"x",$AL46)-FIND("-",$AL46)-1)),0))</f>
        <v/>
      </c>
      <c r="BN46" s="49">
        <f>IF($BL46="","",IFERROR(VALUE(MID($AL46,FIND(CHAR(34)&amp;"x",$AL46)+2,FIND(CHAR(34),$AL46,FIND(CHAR(34)&amp;"x",$AL46)+2)-FIND(CHAR(34)&amp;"x",$AL46)-2)),0))</f>
        <v/>
      </c>
      <c r="BO46" s="53">
        <f>IF(OR($A46="",$H46="",$H46="NO LAB"),0,IFERROR(VALUE(LEFT($H46,FIND(" ",$H46)-1)),0))</f>
        <v/>
      </c>
      <c r="BP46" s="54">
        <f>IF(OR($A46="",$I46="",$I46="NON-RATED",N($J46)=0),"",IFERROR(VLOOKUP($I46&amp;"|"&amp;$J46,IBC,2,FALSE),"?"))</f>
        <v/>
      </c>
      <c r="BQ46" s="50">
        <f>IF(NOT(AND($A46&lt;&gt;"",$C46&lt;&gt;"DOOR ONLY")),"",TRIM(IFERROR(VLOOKUP($U46,CODES,2,FALSE),"")&amp;" "&amp;$AZ46&amp;" "&amp;IFERROR(VLOOKUP($Z46,CODES,2,FALSE),"")&amp;" "&amp;IFERROR(VLOOKUP($X46,CODES,2,FALSE),"")&amp;" "&amp;IFERROR(VLOOKUP($S46,CODES,2,FALSE),"")&amp;IF(N($P46)&gt;0," w/TRANSOM "&amp;$P46&amp;CHAR(34),"")&amp;IF(N($Q46)&gt;0," w/SIDELITE "&amp;$Q46&amp;CHAR(34)&amp;" "&amp;IF($R46="","R",$R46),"")&amp;IF($Y46="","  |  "," | "&amp;IFERROR(VLOOKUP($Y46,CODES,2,FALSE),"")&amp;" | ")&amp;IFERROR(VLOOKUP($AC46,CODES,2,FALSE),"")&amp;" "&amp;IFERROR(VLOOKUP($AD46,CODES,2,FALSE),"")&amp;IF(OR($AE46="",$AE46="-"),""," "&amp;$AE46)&amp;IF(OR($AF46="",$AF46="-"),""," "&amp;$AF46)&amp;IF($AB46="Y"," 4"&amp;CHAR(34)&amp;" HEAD","")&amp;" "&amp;IFERROR(VLOOKUP($H46,CODES,2,FALSE),"")))</f>
        <v/>
      </c>
      <c r="BR46" s="50">
        <f>IF(NOT(AND($A46&lt;&gt;"",N($BC46)&gt;0)),"",TRIM(IFERROR(VLOOKUP($AH46,CODES,2,FALSE),"")&amp;IF($AI46=""," "," "&amp;$AI46&amp;"GA ")&amp;$AZ46&amp;" "&amp;IF($AN46="",IFERROR(VLOOKUP($Z46,CODES,2,FALSE),""),IFERROR(VLOOKUP($AN46,CODES,2,FALSE),""))&amp;IF($BC46=2," PAIR","")&amp;" DOOR | "&amp;IF($AL46="","?",$AL46)&amp;" | "&amp;IF($AP46="",IFERROR(VLOOKUP($AC46,CODES,2,FALSE),""),IFERROR(VLOOKUP($AP46,CODES,2,FALSE),""))&amp;" "&amp;IFERROR(VLOOKUP($AQ46,CODES,2,FALSE),"")&amp;IF(OR($AR46="",$AR46="-"),""," SEAM "&amp;$AR46)&amp;IF($AS46="Y"," ASTRAGAL","")&amp;IF($AJ46=""," "," "&amp;$AJ46)&amp;IF($AK46=""," "," "&amp;$AK46)&amp;IF($AO46="",""," "&amp;$AO46)&amp;IF($AM46=""," "," SERIES "&amp;$AM46)&amp;" "&amp;IFERROR(VLOOKUP($H46,CODES,2,FALSE),"")))</f>
        <v/>
      </c>
      <c r="BS46" s="49">
        <f>IF(BV46="","",IF(COUNTIF($BV$6:BV46,BV46)=1,MAX($BS$5:BS45)+1,INDEX($BS$5:BS45,MATCH(BV46,$BV$5:BV45,0))))</f>
        <v/>
      </c>
      <c r="BT46" s="49">
        <f>IF(NOT(AND($A46&lt;&gt;"",$C46&lt;&gt;"DOOR ONLY")),"",MAX($BT$5:BT45)+1)</f>
        <v/>
      </c>
      <c r="BU46" s="49">
        <f>IF(NOT(AND($A46&lt;&gt;"",N($BC46)&gt;0)),"",MAX($BU$5:BU45)+1)</f>
        <v/>
      </c>
      <c r="BV46" s="49">
        <f>IF(OR($A46="",$BA46="",$BB46=""),"",$AZ46&amp;"|"&amp;$O46&amp;"|"&amp;$AL46&amp;"|"&amp;$S46&amp;"|"&amp;$P46&amp;"|"&amp;$Q46&amp;$R46&amp;"|"&amp;$C46&amp;"|"&amp;$AB46)</f>
        <v/>
      </c>
      <c r="BW46" s="49">
        <f>IF($A46="","",IF($B46="","qty, ","")&amp;IF($C46="","scope, ","")&amp;IF(OR($K46="",$M46=""),"size, ","")&amp;IF(AND($A46&lt;&gt;"",$C46&lt;&gt;"DOOR ONLY"),IF($U46="","jamb depth, ","")&amp;IF($X46="","construction, ","")&amp;IF($Y46="","anchor, ","")&amp;IF($S46="","frame type, ",""),"")&amp;IF(AND(N($BC46)&gt;0,$Z46=""),"hand, ","")&amp;IF(N($BC46)&gt;0,IF($AH46="","door material, ","")&amp;IF($AL46="","face type, ","")&amp;IF($AQ46="","lock prep, ","")&amp;IF(AND($AP46="",$AC46=""),"hinge prep, ",""),"")&amp;IF(AND($BO46&gt;0,$AH46="FRP"),"FRP cannot carry a label, ","")&amp;IF(AND($O46="Y",OR($Z46="L",$Z46="R",$Z46="LR",$Z46="RR")),"pair marked but hand is single, ","")&amp;IF(AND($O46&lt;&gt;"Y",OR($Z46="PR",AND(LEN($Z46)&gt;1,ISNUMBER(SEARCH("-",$Z46))))),"pair hand on a single door, ","")&amp;IF(AND(ISNUMBER($BP46),$BO46&lt;N($BP46)),"wall needs a "&amp;$BP46&amp;" min door, ","")&amp;IF(AND($BO46&gt;=180,AND(OR($BL46="FG",$BL46="HG",$BL46="FNV",$BL46="FV"),N($BM46)*N($BN46)&gt;100)),"180 min lite over 100 sq in, ","")&amp;IF(N($BD46)&gt;48,"leaf wider than 4'-0"&amp;CHAR(34)&amp;", ",""))</f>
        <v/>
      </c>
      <c r="BX46" s="49">
        <f>IF($A46="","",IF(AND($BO46&gt;0,AND($A46&lt;&gt;"",$C46&lt;&gt;"DOOR ONLY"),$X46="KD",$E46="EXTERIOR"),"KD label on an exterior opening, ","")&amp;IF(AND($E46="EXTERIOR",OR(AND(AND($A46&lt;&gt;"",$C46&lt;&gt;"DOOR ONLY"),$W46="CR"),AND(N($BC46)&gt;0,$AH46="CR"))),"exterior in CR steel (G9?), ","")&amp;IF(AND(ISNUMBER($BJ46),N($BJ46)&lt;32),"clear width ~"&amp;TEXT($BJ46,"0.0")&amp;CHAR(34)&amp;" under 32"&amp;CHAR(34)&amp;" (ADA), ","")&amp;IF(AND($BO46=90,AND(OR($BL46="FG",$BL46="HG",$BL46="FNV",$BL46="FV"),N($BM46)*N($BN46)&gt;100)),"90 min lite over 100 sq in (stair/exit), ","")&amp;IF(AND($BO46&gt;0,AND($A46&lt;&gt;"",$C46&lt;&gt;"DOOR ONLY"),OR($AF46="",$AF46="-")),"rated: closer reinf.?, ","")&amp;IF(OR($I46="CORRIDOR",$I46="SMOKE BARRIER"),"S label + smoke gasketing, ","")&amp;IF($BP46="?","wall type/hr not in IBC table, ","")&amp;IF(AND(N($BC46)&gt;0,$AU46=""),"no hardware set, ","")&amp;IF(AND($AU46&lt;&gt;"",ISNA(MATCH($AU46,HWSets,0))),"set "&amp;$AU46&amp;" not on Hardware sheet, ","")&amp;IF(N($BE46)&gt;96,"leaf over 8'-0"&amp;CHAR(34)&amp;" - check listing, ",""))</f>
        <v/>
      </c>
    </row>
    <row r="47" ht="15" customHeight="1">
      <c r="A47" s="44" t="n"/>
      <c r="B47" s="45" t="n"/>
      <c r="C47" s="45" t="n"/>
      <c r="D47" s="45" t="n"/>
      <c r="E47" s="45" t="n"/>
      <c r="F47" s="45" t="n"/>
      <c r="G47" s="45" t="n"/>
      <c r="H47" s="45" t="n"/>
      <c r="I47" s="45" t="n"/>
      <c r="J47" s="45" t="n"/>
      <c r="K47" s="45" t="n"/>
      <c r="L47" s="45" t="n"/>
      <c r="M47" s="45" t="n"/>
      <c r="N47" s="45" t="n"/>
      <c r="O47" s="45" t="n"/>
      <c r="P47" s="45" t="n"/>
      <c r="Q47" s="45" t="n"/>
      <c r="R47" s="45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47" t="n"/>
      <c r="AI47" s="47" t="n"/>
      <c r="AJ47" s="47" t="n"/>
      <c r="AK47" s="47" t="n"/>
      <c r="AL47" s="47" t="n"/>
      <c r="AM47" s="47" t="n"/>
      <c r="AN47" s="47" t="n"/>
      <c r="AO47" s="47" t="n"/>
      <c r="AP47" s="47" t="n"/>
      <c r="AQ47" s="47" t="n"/>
      <c r="AR47" s="47" t="n"/>
      <c r="AS47" s="47" t="n"/>
      <c r="AT47" s="47" t="n"/>
      <c r="AU47" s="48" t="n"/>
      <c r="AV47" s="48" t="n"/>
      <c r="AW47" s="49">
        <f>IF($A47="","",IF($BW47&lt;&gt;"","FIX",IF($BX47&lt;&gt;"","CHECK","OK")))</f>
        <v/>
      </c>
      <c r="AX47" s="50">
        <f>IF($A47="","",IF($BW47&lt;&gt;"","FIX: "&amp;LEFT($BW47,LEN($BW47)-2)&amp;IF($BX47&lt;&gt;"","  ·  ",""),"")&amp;IF($BX47&lt;&gt;"","CHECK: "&amp;LEFT($BX47,LEN($BX47)-2),""))</f>
        <v/>
      </c>
      <c r="AY47" s="49">
        <f>IF(OR($A47="",$K47=""),"",$K47&amp;"'-"&amp;N($L47)&amp;CHAR(34)&amp;" x "&amp;$M47&amp;"'-"&amp;N($N47)&amp;CHAR(34))</f>
        <v/>
      </c>
      <c r="AZ47" s="49">
        <f>IF(OR($A47="",$K47=""),"",$K47&amp;N($L47)&amp;$M47&amp;N($N47))</f>
        <v/>
      </c>
      <c r="BA47" s="49">
        <f>IF(OR($A47="",$K47=""),"",$K47*12+N($L47))</f>
        <v/>
      </c>
      <c r="BB47" s="49">
        <f>IF(OR($A47="",$M47=""),"",$M47*12+N($N47))</f>
        <v/>
      </c>
      <c r="BC47" s="49">
        <f>IF($A47="","",IF(OR($C47="FRAME ONLY",$S47="BL"),0,IF($O47="Y",2,1)))</f>
        <v/>
      </c>
      <c r="BD47" s="51">
        <f>IF(OR(N($BC47)=0,$BA47=""),"",($BA47-2*EdgeClr-IF($BC47=2,MeetClr,0))/$BC47)</f>
        <v/>
      </c>
      <c r="BE47" s="51">
        <f>IF(OR(N($BC47)=0,$BB47=""),"",$BB47-HeadClr-Undercut)</f>
        <v/>
      </c>
      <c r="BF47" s="51">
        <f>IF($BA47="","",$BA47+2*FaceW+IF(N($Q47)&gt;0,($Q47+FaceW)*IF($R47="LR",2,1),0))</f>
        <v/>
      </c>
      <c r="BG47" s="51">
        <f>IF($BB47="","",$BB47+IF($AB47="Y",4,FaceW)+IF(N($P47)&gt;0,$P47+FaceW,0)+IF(OR($S47="4F",$S47="BL"),FaceW,0))</f>
        <v/>
      </c>
      <c r="BH47" s="51">
        <f>IF($BF47="","",$BF47+2*ROSide)</f>
        <v/>
      </c>
      <c r="BI47" s="51">
        <f>IF($BG47="","",$BG47+ROTop)</f>
        <v/>
      </c>
      <c r="BJ47" s="52">
        <f>IF(OR(N($BC47)=0,$BA47=""),"",$BA47/$BC47-ClearDeduct)</f>
        <v/>
      </c>
      <c r="BK47" s="49">
        <f>IF(OR(N($BC47)=0,$BE47=""),"",IF(OR($AC47="HGC",$AP47="HGC"),"CONT",IF($BE47&lt;=60,2,IF($BE47&lt;=90,3,IF($BE47&lt;=120,4,5)))))</f>
        <v/>
      </c>
      <c r="BL47" s="49">
        <f>IF(N($BC47)=0,"",IF(OR($AL47="",$AL47="FLUSH"),"FLUSH",IFERROR(LEFT($AL47,FIND("-",$AL47)-1),LEFT($AL47,2))))</f>
        <v/>
      </c>
      <c r="BM47" s="49">
        <f>IF($BL47="","",IFERROR(VALUE(MID($AL47,FIND("-",$AL47)+1,FIND(CHAR(34)&amp;"x",$AL47)-FIND("-",$AL47)-1)),0))</f>
        <v/>
      </c>
      <c r="BN47" s="49">
        <f>IF($BL47="","",IFERROR(VALUE(MID($AL47,FIND(CHAR(34)&amp;"x",$AL47)+2,FIND(CHAR(34),$AL47,FIND(CHAR(34)&amp;"x",$AL47)+2)-FIND(CHAR(34)&amp;"x",$AL47)-2)),0))</f>
        <v/>
      </c>
      <c r="BO47" s="53">
        <f>IF(OR($A47="",$H47="",$H47="NO LAB"),0,IFERROR(VALUE(LEFT($H47,FIND(" ",$H47)-1)),0))</f>
        <v/>
      </c>
      <c r="BP47" s="54">
        <f>IF(OR($A47="",$I47="",$I47="NON-RATED",N($J47)=0),"",IFERROR(VLOOKUP($I47&amp;"|"&amp;$J47,IBC,2,FALSE),"?"))</f>
        <v/>
      </c>
      <c r="BQ47" s="50">
        <f>IF(NOT(AND($A47&lt;&gt;"",$C47&lt;&gt;"DOOR ONLY")),"",TRIM(IFERROR(VLOOKUP($U47,CODES,2,FALSE),"")&amp;" "&amp;$AZ47&amp;" "&amp;IFERROR(VLOOKUP($Z47,CODES,2,FALSE),"")&amp;" "&amp;IFERROR(VLOOKUP($X47,CODES,2,FALSE),"")&amp;" "&amp;IFERROR(VLOOKUP($S47,CODES,2,FALSE),"")&amp;IF(N($P47)&gt;0," w/TRANSOM "&amp;$P47&amp;CHAR(34),"")&amp;IF(N($Q47)&gt;0," w/SIDELITE "&amp;$Q47&amp;CHAR(34)&amp;" "&amp;IF($R47="","R",$R47),"")&amp;IF($Y47="","  |  "," | "&amp;IFERROR(VLOOKUP($Y47,CODES,2,FALSE),"")&amp;" | ")&amp;IFERROR(VLOOKUP($AC47,CODES,2,FALSE),"")&amp;" "&amp;IFERROR(VLOOKUP($AD47,CODES,2,FALSE),"")&amp;IF(OR($AE47="",$AE47="-"),""," "&amp;$AE47)&amp;IF(OR($AF47="",$AF47="-"),""," "&amp;$AF47)&amp;IF($AB47="Y"," 4"&amp;CHAR(34)&amp;" HEAD","")&amp;" "&amp;IFERROR(VLOOKUP($H47,CODES,2,FALSE),"")))</f>
        <v/>
      </c>
      <c r="BR47" s="50">
        <f>IF(NOT(AND($A47&lt;&gt;"",N($BC47)&gt;0)),"",TRIM(IFERROR(VLOOKUP($AH47,CODES,2,FALSE),"")&amp;IF($AI47=""," "," "&amp;$AI47&amp;"GA ")&amp;$AZ47&amp;" "&amp;IF($AN47="",IFERROR(VLOOKUP($Z47,CODES,2,FALSE),""),IFERROR(VLOOKUP($AN47,CODES,2,FALSE),""))&amp;IF($BC47=2," PAIR","")&amp;" DOOR | "&amp;IF($AL47="","?",$AL47)&amp;" | "&amp;IF($AP47="",IFERROR(VLOOKUP($AC47,CODES,2,FALSE),""),IFERROR(VLOOKUP($AP47,CODES,2,FALSE),""))&amp;" "&amp;IFERROR(VLOOKUP($AQ47,CODES,2,FALSE),"")&amp;IF(OR($AR47="",$AR47="-"),""," SEAM "&amp;$AR47)&amp;IF($AS47="Y"," ASTRAGAL","")&amp;IF($AJ47=""," "," "&amp;$AJ47)&amp;IF($AK47=""," "," "&amp;$AK47)&amp;IF($AO47="",""," "&amp;$AO47)&amp;IF($AM47=""," "," SERIES "&amp;$AM47)&amp;" "&amp;IFERROR(VLOOKUP($H47,CODES,2,FALSE),"")))</f>
        <v/>
      </c>
      <c r="BS47" s="49">
        <f>IF(BV47="","",IF(COUNTIF($BV$6:BV47,BV47)=1,MAX($BS$5:BS46)+1,INDEX($BS$5:BS46,MATCH(BV47,$BV$5:BV46,0))))</f>
        <v/>
      </c>
      <c r="BT47" s="49">
        <f>IF(NOT(AND($A47&lt;&gt;"",$C47&lt;&gt;"DOOR ONLY")),"",MAX($BT$5:BT46)+1)</f>
        <v/>
      </c>
      <c r="BU47" s="49">
        <f>IF(NOT(AND($A47&lt;&gt;"",N($BC47)&gt;0)),"",MAX($BU$5:BU46)+1)</f>
        <v/>
      </c>
      <c r="BV47" s="49">
        <f>IF(OR($A47="",$BA47="",$BB47=""),"",$AZ47&amp;"|"&amp;$O47&amp;"|"&amp;$AL47&amp;"|"&amp;$S47&amp;"|"&amp;$P47&amp;"|"&amp;$Q47&amp;$R47&amp;"|"&amp;$C47&amp;"|"&amp;$AB47)</f>
        <v/>
      </c>
      <c r="BW47" s="49">
        <f>IF($A47="","",IF($B47="","qty, ","")&amp;IF($C47="","scope, ","")&amp;IF(OR($K47="",$M47=""),"size, ","")&amp;IF(AND($A47&lt;&gt;"",$C47&lt;&gt;"DOOR ONLY"),IF($U47="","jamb depth, ","")&amp;IF($X47="","construction, ","")&amp;IF($Y47="","anchor, ","")&amp;IF($S47="","frame type, ",""),"")&amp;IF(AND(N($BC47)&gt;0,$Z47=""),"hand, ","")&amp;IF(N($BC47)&gt;0,IF($AH47="","door material, ","")&amp;IF($AL47="","face type, ","")&amp;IF($AQ47="","lock prep, ","")&amp;IF(AND($AP47="",$AC47=""),"hinge prep, ",""),"")&amp;IF(AND($BO47&gt;0,$AH47="FRP"),"FRP cannot carry a label, ","")&amp;IF(AND($O47="Y",OR($Z47="L",$Z47="R",$Z47="LR",$Z47="RR")),"pair marked but hand is single, ","")&amp;IF(AND($O47&lt;&gt;"Y",OR($Z47="PR",AND(LEN($Z47)&gt;1,ISNUMBER(SEARCH("-",$Z47))))),"pair hand on a single door, ","")&amp;IF(AND(ISNUMBER($BP47),$BO47&lt;N($BP47)),"wall needs a "&amp;$BP47&amp;" min door, ","")&amp;IF(AND($BO47&gt;=180,AND(OR($BL47="FG",$BL47="HG",$BL47="FNV",$BL47="FV"),N($BM47)*N($BN47)&gt;100)),"180 min lite over 100 sq in, ","")&amp;IF(N($BD47)&gt;48,"leaf wider than 4'-0"&amp;CHAR(34)&amp;", ",""))</f>
        <v/>
      </c>
      <c r="BX47" s="49">
        <f>IF($A47="","",IF(AND($BO47&gt;0,AND($A47&lt;&gt;"",$C47&lt;&gt;"DOOR ONLY"),$X47="KD",$E47="EXTERIOR"),"KD label on an exterior opening, ","")&amp;IF(AND($E47="EXTERIOR",OR(AND(AND($A47&lt;&gt;"",$C47&lt;&gt;"DOOR ONLY"),$W47="CR"),AND(N($BC47)&gt;0,$AH47="CR"))),"exterior in CR steel (G9?), ","")&amp;IF(AND(ISNUMBER($BJ47),N($BJ47)&lt;32),"clear width ~"&amp;TEXT($BJ47,"0.0")&amp;CHAR(34)&amp;" under 32"&amp;CHAR(34)&amp;" (ADA), ","")&amp;IF(AND($BO47=90,AND(OR($BL47="FG",$BL47="HG",$BL47="FNV",$BL47="FV"),N($BM47)*N($BN47)&gt;100)),"90 min lite over 100 sq in (stair/exit), ","")&amp;IF(AND($BO47&gt;0,AND($A47&lt;&gt;"",$C47&lt;&gt;"DOOR ONLY"),OR($AF47="",$AF47="-")),"rated: closer reinf.?, ","")&amp;IF(OR($I47="CORRIDOR",$I47="SMOKE BARRIER"),"S label + smoke gasketing, ","")&amp;IF($BP47="?","wall type/hr not in IBC table, ","")&amp;IF(AND(N($BC47)&gt;0,$AU47=""),"no hardware set, ","")&amp;IF(AND($AU47&lt;&gt;"",ISNA(MATCH($AU47,HWSets,0))),"set "&amp;$AU47&amp;" not on Hardware sheet, ","")&amp;IF(N($BE47)&gt;96,"leaf over 8'-0"&amp;CHAR(34)&amp;" - check listing, ",""))</f>
        <v/>
      </c>
    </row>
    <row r="48" ht="15" customHeight="1">
      <c r="A48" s="44" t="n"/>
      <c r="B48" s="45" t="n"/>
      <c r="C48" s="45" t="n"/>
      <c r="D48" s="45" t="n"/>
      <c r="E48" s="45" t="n"/>
      <c r="F48" s="45" t="n"/>
      <c r="G48" s="45" t="n"/>
      <c r="H48" s="45" t="n"/>
      <c r="I48" s="45" t="n"/>
      <c r="J48" s="45" t="n"/>
      <c r="K48" s="45" t="n"/>
      <c r="L48" s="45" t="n"/>
      <c r="M48" s="45" t="n"/>
      <c r="N48" s="45" t="n"/>
      <c r="O48" s="45" t="n"/>
      <c r="P48" s="45" t="n"/>
      <c r="Q48" s="45" t="n"/>
      <c r="R48" s="45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47" t="n"/>
      <c r="AI48" s="47" t="n"/>
      <c r="AJ48" s="47" t="n"/>
      <c r="AK48" s="47" t="n"/>
      <c r="AL48" s="47" t="n"/>
      <c r="AM48" s="47" t="n"/>
      <c r="AN48" s="47" t="n"/>
      <c r="AO48" s="47" t="n"/>
      <c r="AP48" s="47" t="n"/>
      <c r="AQ48" s="47" t="n"/>
      <c r="AR48" s="47" t="n"/>
      <c r="AS48" s="47" t="n"/>
      <c r="AT48" s="47" t="n"/>
      <c r="AU48" s="48" t="n"/>
      <c r="AV48" s="48" t="n"/>
      <c r="AW48" s="49">
        <f>IF($A48="","",IF($BW48&lt;&gt;"","FIX",IF($BX48&lt;&gt;"","CHECK","OK")))</f>
        <v/>
      </c>
      <c r="AX48" s="50">
        <f>IF($A48="","",IF($BW48&lt;&gt;"","FIX: "&amp;LEFT($BW48,LEN($BW48)-2)&amp;IF($BX48&lt;&gt;"","  ·  ",""),"")&amp;IF($BX48&lt;&gt;"","CHECK: "&amp;LEFT($BX48,LEN($BX48)-2),""))</f>
        <v/>
      </c>
      <c r="AY48" s="49">
        <f>IF(OR($A48="",$K48=""),"",$K48&amp;"'-"&amp;N($L48)&amp;CHAR(34)&amp;" x "&amp;$M48&amp;"'-"&amp;N($N48)&amp;CHAR(34))</f>
        <v/>
      </c>
      <c r="AZ48" s="49">
        <f>IF(OR($A48="",$K48=""),"",$K48&amp;N($L48)&amp;$M48&amp;N($N48))</f>
        <v/>
      </c>
      <c r="BA48" s="49">
        <f>IF(OR($A48="",$K48=""),"",$K48*12+N($L48))</f>
        <v/>
      </c>
      <c r="BB48" s="49">
        <f>IF(OR($A48="",$M48=""),"",$M48*12+N($N48))</f>
        <v/>
      </c>
      <c r="BC48" s="49">
        <f>IF($A48="","",IF(OR($C48="FRAME ONLY",$S48="BL"),0,IF($O48="Y",2,1)))</f>
        <v/>
      </c>
      <c r="BD48" s="51">
        <f>IF(OR(N($BC48)=0,$BA48=""),"",($BA48-2*EdgeClr-IF($BC48=2,MeetClr,0))/$BC48)</f>
        <v/>
      </c>
      <c r="BE48" s="51">
        <f>IF(OR(N($BC48)=0,$BB48=""),"",$BB48-HeadClr-Undercut)</f>
        <v/>
      </c>
      <c r="BF48" s="51">
        <f>IF($BA48="","",$BA48+2*FaceW+IF(N($Q48)&gt;0,($Q48+FaceW)*IF($R48="LR",2,1),0))</f>
        <v/>
      </c>
      <c r="BG48" s="51">
        <f>IF($BB48="","",$BB48+IF($AB48="Y",4,FaceW)+IF(N($P48)&gt;0,$P48+FaceW,0)+IF(OR($S48="4F",$S48="BL"),FaceW,0))</f>
        <v/>
      </c>
      <c r="BH48" s="51">
        <f>IF($BF48="","",$BF48+2*ROSide)</f>
        <v/>
      </c>
      <c r="BI48" s="51">
        <f>IF($BG48="","",$BG48+ROTop)</f>
        <v/>
      </c>
      <c r="BJ48" s="52">
        <f>IF(OR(N($BC48)=0,$BA48=""),"",$BA48/$BC48-ClearDeduct)</f>
        <v/>
      </c>
      <c r="BK48" s="49">
        <f>IF(OR(N($BC48)=0,$BE48=""),"",IF(OR($AC48="HGC",$AP48="HGC"),"CONT",IF($BE48&lt;=60,2,IF($BE48&lt;=90,3,IF($BE48&lt;=120,4,5)))))</f>
        <v/>
      </c>
      <c r="BL48" s="49">
        <f>IF(N($BC48)=0,"",IF(OR($AL48="",$AL48="FLUSH"),"FLUSH",IFERROR(LEFT($AL48,FIND("-",$AL48)-1),LEFT($AL48,2))))</f>
        <v/>
      </c>
      <c r="BM48" s="49">
        <f>IF($BL48="","",IFERROR(VALUE(MID($AL48,FIND("-",$AL48)+1,FIND(CHAR(34)&amp;"x",$AL48)-FIND("-",$AL48)-1)),0))</f>
        <v/>
      </c>
      <c r="BN48" s="49">
        <f>IF($BL48="","",IFERROR(VALUE(MID($AL48,FIND(CHAR(34)&amp;"x",$AL48)+2,FIND(CHAR(34),$AL48,FIND(CHAR(34)&amp;"x",$AL48)+2)-FIND(CHAR(34)&amp;"x",$AL48)-2)),0))</f>
        <v/>
      </c>
      <c r="BO48" s="53">
        <f>IF(OR($A48="",$H48="",$H48="NO LAB"),0,IFERROR(VALUE(LEFT($H48,FIND(" ",$H48)-1)),0))</f>
        <v/>
      </c>
      <c r="BP48" s="54">
        <f>IF(OR($A48="",$I48="",$I48="NON-RATED",N($J48)=0),"",IFERROR(VLOOKUP($I48&amp;"|"&amp;$J48,IBC,2,FALSE),"?"))</f>
        <v/>
      </c>
      <c r="BQ48" s="50">
        <f>IF(NOT(AND($A48&lt;&gt;"",$C48&lt;&gt;"DOOR ONLY")),"",TRIM(IFERROR(VLOOKUP($U48,CODES,2,FALSE),"")&amp;" "&amp;$AZ48&amp;" "&amp;IFERROR(VLOOKUP($Z48,CODES,2,FALSE),"")&amp;" "&amp;IFERROR(VLOOKUP($X48,CODES,2,FALSE),"")&amp;" "&amp;IFERROR(VLOOKUP($S48,CODES,2,FALSE),"")&amp;IF(N($P48)&gt;0," w/TRANSOM "&amp;$P48&amp;CHAR(34),"")&amp;IF(N($Q48)&gt;0," w/SIDELITE "&amp;$Q48&amp;CHAR(34)&amp;" "&amp;IF($R48="","R",$R48),"")&amp;IF($Y48="","  |  "," | "&amp;IFERROR(VLOOKUP($Y48,CODES,2,FALSE),"")&amp;" | ")&amp;IFERROR(VLOOKUP($AC48,CODES,2,FALSE),"")&amp;" "&amp;IFERROR(VLOOKUP($AD48,CODES,2,FALSE),"")&amp;IF(OR($AE48="",$AE48="-"),""," "&amp;$AE48)&amp;IF(OR($AF48="",$AF48="-"),""," "&amp;$AF48)&amp;IF($AB48="Y"," 4"&amp;CHAR(34)&amp;" HEAD","")&amp;" "&amp;IFERROR(VLOOKUP($H48,CODES,2,FALSE),"")))</f>
        <v/>
      </c>
      <c r="BR48" s="50">
        <f>IF(NOT(AND($A48&lt;&gt;"",N($BC48)&gt;0)),"",TRIM(IFERROR(VLOOKUP($AH48,CODES,2,FALSE),"")&amp;IF($AI48=""," "," "&amp;$AI48&amp;"GA ")&amp;$AZ48&amp;" "&amp;IF($AN48="",IFERROR(VLOOKUP($Z48,CODES,2,FALSE),""),IFERROR(VLOOKUP($AN48,CODES,2,FALSE),""))&amp;IF($BC48=2," PAIR","")&amp;" DOOR | "&amp;IF($AL48="","?",$AL48)&amp;" | "&amp;IF($AP48="",IFERROR(VLOOKUP($AC48,CODES,2,FALSE),""),IFERROR(VLOOKUP($AP48,CODES,2,FALSE),""))&amp;" "&amp;IFERROR(VLOOKUP($AQ48,CODES,2,FALSE),"")&amp;IF(OR($AR48="",$AR48="-"),""," SEAM "&amp;$AR48)&amp;IF($AS48="Y"," ASTRAGAL","")&amp;IF($AJ48=""," "," "&amp;$AJ48)&amp;IF($AK48=""," "," "&amp;$AK48)&amp;IF($AO48="",""," "&amp;$AO48)&amp;IF($AM48=""," "," SERIES "&amp;$AM48)&amp;" "&amp;IFERROR(VLOOKUP($H48,CODES,2,FALSE),"")))</f>
        <v/>
      </c>
      <c r="BS48" s="49">
        <f>IF(BV48="","",IF(COUNTIF($BV$6:BV48,BV48)=1,MAX($BS$5:BS47)+1,INDEX($BS$5:BS47,MATCH(BV48,$BV$5:BV47,0))))</f>
        <v/>
      </c>
      <c r="BT48" s="49">
        <f>IF(NOT(AND($A48&lt;&gt;"",$C48&lt;&gt;"DOOR ONLY")),"",MAX($BT$5:BT47)+1)</f>
        <v/>
      </c>
      <c r="BU48" s="49">
        <f>IF(NOT(AND($A48&lt;&gt;"",N($BC48)&gt;0)),"",MAX($BU$5:BU47)+1)</f>
        <v/>
      </c>
      <c r="BV48" s="49">
        <f>IF(OR($A48="",$BA48="",$BB48=""),"",$AZ48&amp;"|"&amp;$O48&amp;"|"&amp;$AL48&amp;"|"&amp;$S48&amp;"|"&amp;$P48&amp;"|"&amp;$Q48&amp;$R48&amp;"|"&amp;$C48&amp;"|"&amp;$AB48)</f>
        <v/>
      </c>
      <c r="BW48" s="49">
        <f>IF($A48="","",IF($B48="","qty, ","")&amp;IF($C48="","scope, ","")&amp;IF(OR($K48="",$M48=""),"size, ","")&amp;IF(AND($A48&lt;&gt;"",$C48&lt;&gt;"DOOR ONLY"),IF($U48="","jamb depth, ","")&amp;IF($X48="","construction, ","")&amp;IF($Y48="","anchor, ","")&amp;IF($S48="","frame type, ",""),"")&amp;IF(AND(N($BC48)&gt;0,$Z48=""),"hand, ","")&amp;IF(N($BC48)&gt;0,IF($AH48="","door material, ","")&amp;IF($AL48="","face type, ","")&amp;IF($AQ48="","lock prep, ","")&amp;IF(AND($AP48="",$AC48=""),"hinge prep, ",""),"")&amp;IF(AND($BO48&gt;0,$AH48="FRP"),"FRP cannot carry a label, ","")&amp;IF(AND($O48="Y",OR($Z48="L",$Z48="R",$Z48="LR",$Z48="RR")),"pair marked but hand is single, ","")&amp;IF(AND($O48&lt;&gt;"Y",OR($Z48="PR",AND(LEN($Z48)&gt;1,ISNUMBER(SEARCH("-",$Z48))))),"pair hand on a single door, ","")&amp;IF(AND(ISNUMBER($BP48),$BO48&lt;N($BP48)),"wall needs a "&amp;$BP48&amp;" min door, ","")&amp;IF(AND($BO48&gt;=180,AND(OR($BL48="FG",$BL48="HG",$BL48="FNV",$BL48="FV"),N($BM48)*N($BN48)&gt;100)),"180 min lite over 100 sq in, ","")&amp;IF(N($BD48)&gt;48,"leaf wider than 4'-0"&amp;CHAR(34)&amp;", ",""))</f>
        <v/>
      </c>
      <c r="BX48" s="49">
        <f>IF($A48="","",IF(AND($BO48&gt;0,AND($A48&lt;&gt;"",$C48&lt;&gt;"DOOR ONLY"),$X48="KD",$E48="EXTERIOR"),"KD label on an exterior opening, ","")&amp;IF(AND($E48="EXTERIOR",OR(AND(AND($A48&lt;&gt;"",$C48&lt;&gt;"DOOR ONLY"),$W48="CR"),AND(N($BC48)&gt;0,$AH48="CR"))),"exterior in CR steel (G9?), ","")&amp;IF(AND(ISNUMBER($BJ48),N($BJ48)&lt;32),"clear width ~"&amp;TEXT($BJ48,"0.0")&amp;CHAR(34)&amp;" under 32"&amp;CHAR(34)&amp;" (ADA), ","")&amp;IF(AND($BO48=90,AND(OR($BL48="FG",$BL48="HG",$BL48="FNV",$BL48="FV"),N($BM48)*N($BN48)&gt;100)),"90 min lite over 100 sq in (stair/exit), ","")&amp;IF(AND($BO48&gt;0,AND($A48&lt;&gt;"",$C48&lt;&gt;"DOOR ONLY"),OR($AF48="",$AF48="-")),"rated: closer reinf.?, ","")&amp;IF(OR($I48="CORRIDOR",$I48="SMOKE BARRIER"),"S label + smoke gasketing, ","")&amp;IF($BP48="?","wall type/hr not in IBC table, ","")&amp;IF(AND(N($BC48)&gt;0,$AU48=""),"no hardware set, ","")&amp;IF(AND($AU48&lt;&gt;"",ISNA(MATCH($AU48,HWSets,0))),"set "&amp;$AU48&amp;" not on Hardware sheet, ","")&amp;IF(N($BE48)&gt;96,"leaf over 8'-0"&amp;CHAR(34)&amp;" - check listing, ",""))</f>
        <v/>
      </c>
    </row>
    <row r="49" ht="15" customHeight="1">
      <c r="A49" s="44" t="n"/>
      <c r="B49" s="45" t="n"/>
      <c r="C49" s="45" t="n"/>
      <c r="D49" s="45" t="n"/>
      <c r="E49" s="45" t="n"/>
      <c r="F49" s="45" t="n"/>
      <c r="G49" s="45" t="n"/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47" t="n"/>
      <c r="AI49" s="47" t="n"/>
      <c r="AJ49" s="47" t="n"/>
      <c r="AK49" s="47" t="n"/>
      <c r="AL49" s="47" t="n"/>
      <c r="AM49" s="47" t="n"/>
      <c r="AN49" s="47" t="n"/>
      <c r="AO49" s="47" t="n"/>
      <c r="AP49" s="47" t="n"/>
      <c r="AQ49" s="47" t="n"/>
      <c r="AR49" s="47" t="n"/>
      <c r="AS49" s="47" t="n"/>
      <c r="AT49" s="47" t="n"/>
      <c r="AU49" s="48" t="n"/>
      <c r="AV49" s="48" t="n"/>
      <c r="AW49" s="49">
        <f>IF($A49="","",IF($BW49&lt;&gt;"","FIX",IF($BX49&lt;&gt;"","CHECK","OK")))</f>
        <v/>
      </c>
      <c r="AX49" s="50">
        <f>IF($A49="","",IF($BW49&lt;&gt;"","FIX: "&amp;LEFT($BW49,LEN($BW49)-2)&amp;IF($BX49&lt;&gt;"","  ·  ",""),"")&amp;IF($BX49&lt;&gt;"","CHECK: "&amp;LEFT($BX49,LEN($BX49)-2),""))</f>
        <v/>
      </c>
      <c r="AY49" s="49">
        <f>IF(OR($A49="",$K49=""),"",$K49&amp;"'-"&amp;N($L49)&amp;CHAR(34)&amp;" x "&amp;$M49&amp;"'-"&amp;N($N49)&amp;CHAR(34))</f>
        <v/>
      </c>
      <c r="AZ49" s="49">
        <f>IF(OR($A49="",$K49=""),"",$K49&amp;N($L49)&amp;$M49&amp;N($N49))</f>
        <v/>
      </c>
      <c r="BA49" s="49">
        <f>IF(OR($A49="",$K49=""),"",$K49*12+N($L49))</f>
        <v/>
      </c>
      <c r="BB49" s="49">
        <f>IF(OR($A49="",$M49=""),"",$M49*12+N($N49))</f>
        <v/>
      </c>
      <c r="BC49" s="49">
        <f>IF($A49="","",IF(OR($C49="FRAME ONLY",$S49="BL"),0,IF($O49="Y",2,1)))</f>
        <v/>
      </c>
      <c r="BD49" s="51">
        <f>IF(OR(N($BC49)=0,$BA49=""),"",($BA49-2*EdgeClr-IF($BC49=2,MeetClr,0))/$BC49)</f>
        <v/>
      </c>
      <c r="BE49" s="51">
        <f>IF(OR(N($BC49)=0,$BB49=""),"",$BB49-HeadClr-Undercut)</f>
        <v/>
      </c>
      <c r="BF49" s="51">
        <f>IF($BA49="","",$BA49+2*FaceW+IF(N($Q49)&gt;0,($Q49+FaceW)*IF($R49="LR",2,1),0))</f>
        <v/>
      </c>
      <c r="BG49" s="51">
        <f>IF($BB49="","",$BB49+IF($AB49="Y",4,FaceW)+IF(N($P49)&gt;0,$P49+FaceW,0)+IF(OR($S49="4F",$S49="BL"),FaceW,0))</f>
        <v/>
      </c>
      <c r="BH49" s="51">
        <f>IF($BF49="","",$BF49+2*ROSide)</f>
        <v/>
      </c>
      <c r="BI49" s="51">
        <f>IF($BG49="","",$BG49+ROTop)</f>
        <v/>
      </c>
      <c r="BJ49" s="52">
        <f>IF(OR(N($BC49)=0,$BA49=""),"",$BA49/$BC49-ClearDeduct)</f>
        <v/>
      </c>
      <c r="BK49" s="49">
        <f>IF(OR(N($BC49)=0,$BE49=""),"",IF(OR($AC49="HGC",$AP49="HGC"),"CONT",IF($BE49&lt;=60,2,IF($BE49&lt;=90,3,IF($BE49&lt;=120,4,5)))))</f>
        <v/>
      </c>
      <c r="BL49" s="49">
        <f>IF(N($BC49)=0,"",IF(OR($AL49="",$AL49="FLUSH"),"FLUSH",IFERROR(LEFT($AL49,FIND("-",$AL49)-1),LEFT($AL49,2))))</f>
        <v/>
      </c>
      <c r="BM49" s="49">
        <f>IF($BL49="","",IFERROR(VALUE(MID($AL49,FIND("-",$AL49)+1,FIND(CHAR(34)&amp;"x",$AL49)-FIND("-",$AL49)-1)),0))</f>
        <v/>
      </c>
      <c r="BN49" s="49">
        <f>IF($BL49="","",IFERROR(VALUE(MID($AL49,FIND(CHAR(34)&amp;"x",$AL49)+2,FIND(CHAR(34),$AL49,FIND(CHAR(34)&amp;"x",$AL49)+2)-FIND(CHAR(34)&amp;"x",$AL49)-2)),0))</f>
        <v/>
      </c>
      <c r="BO49" s="53">
        <f>IF(OR($A49="",$H49="",$H49="NO LAB"),0,IFERROR(VALUE(LEFT($H49,FIND(" ",$H49)-1)),0))</f>
        <v/>
      </c>
      <c r="BP49" s="54">
        <f>IF(OR($A49="",$I49="",$I49="NON-RATED",N($J49)=0),"",IFERROR(VLOOKUP($I49&amp;"|"&amp;$J49,IBC,2,FALSE),"?"))</f>
        <v/>
      </c>
      <c r="BQ49" s="50">
        <f>IF(NOT(AND($A49&lt;&gt;"",$C49&lt;&gt;"DOOR ONLY")),"",TRIM(IFERROR(VLOOKUP($U49,CODES,2,FALSE),"")&amp;" "&amp;$AZ49&amp;" "&amp;IFERROR(VLOOKUP($Z49,CODES,2,FALSE),"")&amp;" "&amp;IFERROR(VLOOKUP($X49,CODES,2,FALSE),"")&amp;" "&amp;IFERROR(VLOOKUP($S49,CODES,2,FALSE),"")&amp;IF(N($P49)&gt;0," w/TRANSOM "&amp;$P49&amp;CHAR(34),"")&amp;IF(N($Q49)&gt;0," w/SIDELITE "&amp;$Q49&amp;CHAR(34)&amp;" "&amp;IF($R49="","R",$R49),"")&amp;IF($Y49="","  |  "," | "&amp;IFERROR(VLOOKUP($Y49,CODES,2,FALSE),"")&amp;" | ")&amp;IFERROR(VLOOKUP($AC49,CODES,2,FALSE),"")&amp;" "&amp;IFERROR(VLOOKUP($AD49,CODES,2,FALSE),"")&amp;IF(OR($AE49="",$AE49="-"),""," "&amp;$AE49)&amp;IF(OR($AF49="",$AF49="-"),""," "&amp;$AF49)&amp;IF($AB49="Y"," 4"&amp;CHAR(34)&amp;" HEAD","")&amp;" "&amp;IFERROR(VLOOKUP($H49,CODES,2,FALSE),"")))</f>
        <v/>
      </c>
      <c r="BR49" s="50">
        <f>IF(NOT(AND($A49&lt;&gt;"",N($BC49)&gt;0)),"",TRIM(IFERROR(VLOOKUP($AH49,CODES,2,FALSE),"")&amp;IF($AI49=""," "," "&amp;$AI49&amp;"GA ")&amp;$AZ49&amp;" "&amp;IF($AN49="",IFERROR(VLOOKUP($Z49,CODES,2,FALSE),""),IFERROR(VLOOKUP($AN49,CODES,2,FALSE),""))&amp;IF($BC49=2," PAIR","")&amp;" DOOR | "&amp;IF($AL49="","?",$AL49)&amp;" | "&amp;IF($AP49="",IFERROR(VLOOKUP($AC49,CODES,2,FALSE),""),IFERROR(VLOOKUP($AP49,CODES,2,FALSE),""))&amp;" "&amp;IFERROR(VLOOKUP($AQ49,CODES,2,FALSE),"")&amp;IF(OR($AR49="",$AR49="-"),""," SEAM "&amp;$AR49)&amp;IF($AS49="Y"," ASTRAGAL","")&amp;IF($AJ49=""," "," "&amp;$AJ49)&amp;IF($AK49=""," "," "&amp;$AK49)&amp;IF($AO49="",""," "&amp;$AO49)&amp;IF($AM49=""," "," SERIES "&amp;$AM49)&amp;" "&amp;IFERROR(VLOOKUP($H49,CODES,2,FALSE),"")))</f>
        <v/>
      </c>
      <c r="BS49" s="49">
        <f>IF(BV49="","",IF(COUNTIF($BV$6:BV49,BV49)=1,MAX($BS$5:BS48)+1,INDEX($BS$5:BS48,MATCH(BV49,$BV$5:BV48,0))))</f>
        <v/>
      </c>
      <c r="BT49" s="49">
        <f>IF(NOT(AND($A49&lt;&gt;"",$C49&lt;&gt;"DOOR ONLY")),"",MAX($BT$5:BT48)+1)</f>
        <v/>
      </c>
      <c r="BU49" s="49">
        <f>IF(NOT(AND($A49&lt;&gt;"",N($BC49)&gt;0)),"",MAX($BU$5:BU48)+1)</f>
        <v/>
      </c>
      <c r="BV49" s="49">
        <f>IF(OR($A49="",$BA49="",$BB49=""),"",$AZ49&amp;"|"&amp;$O49&amp;"|"&amp;$AL49&amp;"|"&amp;$S49&amp;"|"&amp;$P49&amp;"|"&amp;$Q49&amp;$R49&amp;"|"&amp;$C49&amp;"|"&amp;$AB49)</f>
        <v/>
      </c>
      <c r="BW49" s="49">
        <f>IF($A49="","",IF($B49="","qty, ","")&amp;IF($C49="","scope, ","")&amp;IF(OR($K49="",$M49=""),"size, ","")&amp;IF(AND($A49&lt;&gt;"",$C49&lt;&gt;"DOOR ONLY"),IF($U49="","jamb depth, ","")&amp;IF($X49="","construction, ","")&amp;IF($Y49="","anchor, ","")&amp;IF($S49="","frame type, ",""),"")&amp;IF(AND(N($BC49)&gt;0,$Z49=""),"hand, ","")&amp;IF(N($BC49)&gt;0,IF($AH49="","door material, ","")&amp;IF($AL49="","face type, ","")&amp;IF($AQ49="","lock prep, ","")&amp;IF(AND($AP49="",$AC49=""),"hinge prep, ",""),"")&amp;IF(AND($BO49&gt;0,$AH49="FRP"),"FRP cannot carry a label, ","")&amp;IF(AND($O49="Y",OR($Z49="L",$Z49="R",$Z49="LR",$Z49="RR")),"pair marked but hand is single, ","")&amp;IF(AND($O49&lt;&gt;"Y",OR($Z49="PR",AND(LEN($Z49)&gt;1,ISNUMBER(SEARCH("-",$Z49))))),"pair hand on a single door, ","")&amp;IF(AND(ISNUMBER($BP49),$BO49&lt;N($BP49)),"wall needs a "&amp;$BP49&amp;" min door, ","")&amp;IF(AND($BO49&gt;=180,AND(OR($BL49="FG",$BL49="HG",$BL49="FNV",$BL49="FV"),N($BM49)*N($BN49)&gt;100)),"180 min lite over 100 sq in, ","")&amp;IF(N($BD49)&gt;48,"leaf wider than 4'-0"&amp;CHAR(34)&amp;", ",""))</f>
        <v/>
      </c>
      <c r="BX49" s="49">
        <f>IF($A49="","",IF(AND($BO49&gt;0,AND($A49&lt;&gt;"",$C49&lt;&gt;"DOOR ONLY"),$X49="KD",$E49="EXTERIOR"),"KD label on an exterior opening, ","")&amp;IF(AND($E49="EXTERIOR",OR(AND(AND($A49&lt;&gt;"",$C49&lt;&gt;"DOOR ONLY"),$W49="CR"),AND(N($BC49)&gt;0,$AH49="CR"))),"exterior in CR steel (G9?), ","")&amp;IF(AND(ISNUMBER($BJ49),N($BJ49)&lt;32),"clear width ~"&amp;TEXT($BJ49,"0.0")&amp;CHAR(34)&amp;" under 32"&amp;CHAR(34)&amp;" (ADA), ","")&amp;IF(AND($BO49=90,AND(OR($BL49="FG",$BL49="HG",$BL49="FNV",$BL49="FV"),N($BM49)*N($BN49)&gt;100)),"90 min lite over 100 sq in (stair/exit), ","")&amp;IF(AND($BO49&gt;0,AND($A49&lt;&gt;"",$C49&lt;&gt;"DOOR ONLY"),OR($AF49="",$AF49="-")),"rated: closer reinf.?, ","")&amp;IF(OR($I49="CORRIDOR",$I49="SMOKE BARRIER"),"S label + smoke gasketing, ","")&amp;IF($BP49="?","wall type/hr not in IBC table, ","")&amp;IF(AND(N($BC49)&gt;0,$AU49=""),"no hardware set, ","")&amp;IF(AND($AU49&lt;&gt;"",ISNA(MATCH($AU49,HWSets,0))),"set "&amp;$AU49&amp;" not on Hardware sheet, ","")&amp;IF(N($BE49)&gt;96,"leaf over 8'-0"&amp;CHAR(34)&amp;" - check listing, ",""))</f>
        <v/>
      </c>
    </row>
    <row r="50" ht="15" customHeight="1">
      <c r="A50" s="44" t="n"/>
      <c r="B50" s="45" t="n"/>
      <c r="C50" s="45" t="n"/>
      <c r="D50" s="45" t="n"/>
      <c r="E50" s="45" t="n"/>
      <c r="F50" s="45" t="n"/>
      <c r="G50" s="45" t="n"/>
      <c r="H50" s="45" t="n"/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47" t="n"/>
      <c r="AI50" s="47" t="n"/>
      <c r="AJ50" s="47" t="n"/>
      <c r="AK50" s="47" t="n"/>
      <c r="AL50" s="47" t="n"/>
      <c r="AM50" s="47" t="n"/>
      <c r="AN50" s="47" t="n"/>
      <c r="AO50" s="47" t="n"/>
      <c r="AP50" s="47" t="n"/>
      <c r="AQ50" s="47" t="n"/>
      <c r="AR50" s="47" t="n"/>
      <c r="AS50" s="47" t="n"/>
      <c r="AT50" s="47" t="n"/>
      <c r="AU50" s="48" t="n"/>
      <c r="AV50" s="48" t="n"/>
      <c r="AW50" s="49">
        <f>IF($A50="","",IF($BW50&lt;&gt;"","FIX",IF($BX50&lt;&gt;"","CHECK","OK")))</f>
        <v/>
      </c>
      <c r="AX50" s="50">
        <f>IF($A50="","",IF($BW50&lt;&gt;"","FIX: "&amp;LEFT($BW50,LEN($BW50)-2)&amp;IF($BX50&lt;&gt;"","  ·  ",""),"")&amp;IF($BX50&lt;&gt;"","CHECK: "&amp;LEFT($BX50,LEN($BX50)-2),""))</f>
        <v/>
      </c>
      <c r="AY50" s="49">
        <f>IF(OR($A50="",$K50=""),"",$K50&amp;"'-"&amp;N($L50)&amp;CHAR(34)&amp;" x "&amp;$M50&amp;"'-"&amp;N($N50)&amp;CHAR(34))</f>
        <v/>
      </c>
      <c r="AZ50" s="49">
        <f>IF(OR($A50="",$K50=""),"",$K50&amp;N($L50)&amp;$M50&amp;N($N50))</f>
        <v/>
      </c>
      <c r="BA50" s="49">
        <f>IF(OR($A50="",$K50=""),"",$K50*12+N($L50))</f>
        <v/>
      </c>
      <c r="BB50" s="49">
        <f>IF(OR($A50="",$M50=""),"",$M50*12+N($N50))</f>
        <v/>
      </c>
      <c r="BC50" s="49">
        <f>IF($A50="","",IF(OR($C50="FRAME ONLY",$S50="BL"),0,IF($O50="Y",2,1)))</f>
        <v/>
      </c>
      <c r="BD50" s="51">
        <f>IF(OR(N($BC50)=0,$BA50=""),"",($BA50-2*EdgeClr-IF($BC50=2,MeetClr,0))/$BC50)</f>
        <v/>
      </c>
      <c r="BE50" s="51">
        <f>IF(OR(N($BC50)=0,$BB50=""),"",$BB50-HeadClr-Undercut)</f>
        <v/>
      </c>
      <c r="BF50" s="51">
        <f>IF($BA50="","",$BA50+2*FaceW+IF(N($Q50)&gt;0,($Q50+FaceW)*IF($R50="LR",2,1),0))</f>
        <v/>
      </c>
      <c r="BG50" s="51">
        <f>IF($BB50="","",$BB50+IF($AB50="Y",4,FaceW)+IF(N($P50)&gt;0,$P50+FaceW,0)+IF(OR($S50="4F",$S50="BL"),FaceW,0))</f>
        <v/>
      </c>
      <c r="BH50" s="51">
        <f>IF($BF50="","",$BF50+2*ROSide)</f>
        <v/>
      </c>
      <c r="BI50" s="51">
        <f>IF($BG50="","",$BG50+ROTop)</f>
        <v/>
      </c>
      <c r="BJ50" s="52">
        <f>IF(OR(N($BC50)=0,$BA50=""),"",$BA50/$BC50-ClearDeduct)</f>
        <v/>
      </c>
      <c r="BK50" s="49">
        <f>IF(OR(N($BC50)=0,$BE50=""),"",IF(OR($AC50="HGC",$AP50="HGC"),"CONT",IF($BE50&lt;=60,2,IF($BE50&lt;=90,3,IF($BE50&lt;=120,4,5)))))</f>
        <v/>
      </c>
      <c r="BL50" s="49">
        <f>IF(N($BC50)=0,"",IF(OR($AL50="",$AL50="FLUSH"),"FLUSH",IFERROR(LEFT($AL50,FIND("-",$AL50)-1),LEFT($AL50,2))))</f>
        <v/>
      </c>
      <c r="BM50" s="49">
        <f>IF($BL50="","",IFERROR(VALUE(MID($AL50,FIND("-",$AL50)+1,FIND(CHAR(34)&amp;"x",$AL50)-FIND("-",$AL50)-1)),0))</f>
        <v/>
      </c>
      <c r="BN50" s="49">
        <f>IF($BL50="","",IFERROR(VALUE(MID($AL50,FIND(CHAR(34)&amp;"x",$AL50)+2,FIND(CHAR(34),$AL50,FIND(CHAR(34)&amp;"x",$AL50)+2)-FIND(CHAR(34)&amp;"x",$AL50)-2)),0))</f>
        <v/>
      </c>
      <c r="BO50" s="53">
        <f>IF(OR($A50="",$H50="",$H50="NO LAB"),0,IFERROR(VALUE(LEFT($H50,FIND(" ",$H50)-1)),0))</f>
        <v/>
      </c>
      <c r="BP50" s="54">
        <f>IF(OR($A50="",$I50="",$I50="NON-RATED",N($J50)=0),"",IFERROR(VLOOKUP($I50&amp;"|"&amp;$J50,IBC,2,FALSE),"?"))</f>
        <v/>
      </c>
      <c r="BQ50" s="50">
        <f>IF(NOT(AND($A50&lt;&gt;"",$C50&lt;&gt;"DOOR ONLY")),"",TRIM(IFERROR(VLOOKUP($U50,CODES,2,FALSE),"")&amp;" "&amp;$AZ50&amp;" "&amp;IFERROR(VLOOKUP($Z50,CODES,2,FALSE),"")&amp;" "&amp;IFERROR(VLOOKUP($X50,CODES,2,FALSE),"")&amp;" "&amp;IFERROR(VLOOKUP($S50,CODES,2,FALSE),"")&amp;IF(N($P50)&gt;0," w/TRANSOM "&amp;$P50&amp;CHAR(34),"")&amp;IF(N($Q50)&gt;0," w/SIDELITE "&amp;$Q50&amp;CHAR(34)&amp;" "&amp;IF($R50="","R",$R50),"")&amp;IF($Y50="","  |  "," | "&amp;IFERROR(VLOOKUP($Y50,CODES,2,FALSE),"")&amp;" | ")&amp;IFERROR(VLOOKUP($AC50,CODES,2,FALSE),"")&amp;" "&amp;IFERROR(VLOOKUP($AD50,CODES,2,FALSE),"")&amp;IF(OR($AE50="",$AE50="-"),""," "&amp;$AE50)&amp;IF(OR($AF50="",$AF50="-"),""," "&amp;$AF50)&amp;IF($AB50="Y"," 4"&amp;CHAR(34)&amp;" HEAD","")&amp;" "&amp;IFERROR(VLOOKUP($H50,CODES,2,FALSE),"")))</f>
        <v/>
      </c>
      <c r="BR50" s="50">
        <f>IF(NOT(AND($A50&lt;&gt;"",N($BC50)&gt;0)),"",TRIM(IFERROR(VLOOKUP($AH50,CODES,2,FALSE),"")&amp;IF($AI50=""," "," "&amp;$AI50&amp;"GA ")&amp;$AZ50&amp;" "&amp;IF($AN50="",IFERROR(VLOOKUP($Z50,CODES,2,FALSE),""),IFERROR(VLOOKUP($AN50,CODES,2,FALSE),""))&amp;IF($BC50=2," PAIR","")&amp;" DOOR | "&amp;IF($AL50="","?",$AL50)&amp;" | "&amp;IF($AP50="",IFERROR(VLOOKUP($AC50,CODES,2,FALSE),""),IFERROR(VLOOKUP($AP50,CODES,2,FALSE),""))&amp;" "&amp;IFERROR(VLOOKUP($AQ50,CODES,2,FALSE),"")&amp;IF(OR($AR50="",$AR50="-"),""," SEAM "&amp;$AR50)&amp;IF($AS50="Y"," ASTRAGAL","")&amp;IF($AJ50=""," "," "&amp;$AJ50)&amp;IF($AK50=""," "," "&amp;$AK50)&amp;IF($AO50="",""," "&amp;$AO50)&amp;IF($AM50=""," "," SERIES "&amp;$AM50)&amp;" "&amp;IFERROR(VLOOKUP($H50,CODES,2,FALSE),"")))</f>
        <v/>
      </c>
      <c r="BS50" s="49">
        <f>IF(BV50="","",IF(COUNTIF($BV$6:BV50,BV50)=1,MAX($BS$5:BS49)+1,INDEX($BS$5:BS49,MATCH(BV50,$BV$5:BV49,0))))</f>
        <v/>
      </c>
      <c r="BT50" s="49">
        <f>IF(NOT(AND($A50&lt;&gt;"",$C50&lt;&gt;"DOOR ONLY")),"",MAX($BT$5:BT49)+1)</f>
        <v/>
      </c>
      <c r="BU50" s="49">
        <f>IF(NOT(AND($A50&lt;&gt;"",N($BC50)&gt;0)),"",MAX($BU$5:BU49)+1)</f>
        <v/>
      </c>
      <c r="BV50" s="49">
        <f>IF(OR($A50="",$BA50="",$BB50=""),"",$AZ50&amp;"|"&amp;$O50&amp;"|"&amp;$AL50&amp;"|"&amp;$S50&amp;"|"&amp;$P50&amp;"|"&amp;$Q50&amp;$R50&amp;"|"&amp;$C50&amp;"|"&amp;$AB50)</f>
        <v/>
      </c>
      <c r="BW50" s="49">
        <f>IF($A50="","",IF($B50="","qty, ","")&amp;IF($C50="","scope, ","")&amp;IF(OR($K50="",$M50=""),"size, ","")&amp;IF(AND($A50&lt;&gt;"",$C50&lt;&gt;"DOOR ONLY"),IF($U50="","jamb depth, ","")&amp;IF($X50="","construction, ","")&amp;IF($Y50="","anchor, ","")&amp;IF($S50="","frame type, ",""),"")&amp;IF(AND(N($BC50)&gt;0,$Z50=""),"hand, ","")&amp;IF(N($BC50)&gt;0,IF($AH50="","door material, ","")&amp;IF($AL50="","face type, ","")&amp;IF($AQ50="","lock prep, ","")&amp;IF(AND($AP50="",$AC50=""),"hinge prep, ",""),"")&amp;IF(AND($BO50&gt;0,$AH50="FRP"),"FRP cannot carry a label, ","")&amp;IF(AND($O50="Y",OR($Z50="L",$Z50="R",$Z50="LR",$Z50="RR")),"pair marked but hand is single, ","")&amp;IF(AND($O50&lt;&gt;"Y",OR($Z50="PR",AND(LEN($Z50)&gt;1,ISNUMBER(SEARCH("-",$Z50))))),"pair hand on a single door, ","")&amp;IF(AND(ISNUMBER($BP50),$BO50&lt;N($BP50)),"wall needs a "&amp;$BP50&amp;" min door, ","")&amp;IF(AND($BO50&gt;=180,AND(OR($BL50="FG",$BL50="HG",$BL50="FNV",$BL50="FV"),N($BM50)*N($BN50)&gt;100)),"180 min lite over 100 sq in, ","")&amp;IF(N($BD50)&gt;48,"leaf wider than 4'-0"&amp;CHAR(34)&amp;", ",""))</f>
        <v/>
      </c>
      <c r="BX50" s="49">
        <f>IF($A50="","",IF(AND($BO50&gt;0,AND($A50&lt;&gt;"",$C50&lt;&gt;"DOOR ONLY"),$X50="KD",$E50="EXTERIOR"),"KD label on an exterior opening, ","")&amp;IF(AND($E50="EXTERIOR",OR(AND(AND($A50&lt;&gt;"",$C50&lt;&gt;"DOOR ONLY"),$W50="CR"),AND(N($BC50)&gt;0,$AH50="CR"))),"exterior in CR steel (G9?), ","")&amp;IF(AND(ISNUMBER($BJ50),N($BJ50)&lt;32),"clear width ~"&amp;TEXT($BJ50,"0.0")&amp;CHAR(34)&amp;" under 32"&amp;CHAR(34)&amp;" (ADA), ","")&amp;IF(AND($BO50=90,AND(OR($BL50="FG",$BL50="HG",$BL50="FNV",$BL50="FV"),N($BM50)*N($BN50)&gt;100)),"90 min lite over 100 sq in (stair/exit), ","")&amp;IF(AND($BO50&gt;0,AND($A50&lt;&gt;"",$C50&lt;&gt;"DOOR ONLY"),OR($AF50="",$AF50="-")),"rated: closer reinf.?, ","")&amp;IF(OR($I50="CORRIDOR",$I50="SMOKE BARRIER"),"S label + smoke gasketing, ","")&amp;IF($BP50="?","wall type/hr not in IBC table, ","")&amp;IF(AND(N($BC50)&gt;0,$AU50=""),"no hardware set, ","")&amp;IF(AND($AU50&lt;&gt;"",ISNA(MATCH($AU50,HWSets,0))),"set "&amp;$AU50&amp;" not on Hardware sheet, ","")&amp;IF(N($BE50)&gt;96,"leaf over 8'-0"&amp;CHAR(34)&amp;" - check listing, ",""))</f>
        <v/>
      </c>
    </row>
    <row r="51" ht="15" customHeight="1">
      <c r="A51" s="44" t="n"/>
      <c r="B51" s="45" t="n"/>
      <c r="C51" s="45" t="n"/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47" t="n"/>
      <c r="AI51" s="47" t="n"/>
      <c r="AJ51" s="47" t="n"/>
      <c r="AK51" s="47" t="n"/>
      <c r="AL51" s="47" t="n"/>
      <c r="AM51" s="47" t="n"/>
      <c r="AN51" s="47" t="n"/>
      <c r="AO51" s="47" t="n"/>
      <c r="AP51" s="47" t="n"/>
      <c r="AQ51" s="47" t="n"/>
      <c r="AR51" s="47" t="n"/>
      <c r="AS51" s="47" t="n"/>
      <c r="AT51" s="47" t="n"/>
      <c r="AU51" s="48" t="n"/>
      <c r="AV51" s="48" t="n"/>
      <c r="AW51" s="49">
        <f>IF($A51="","",IF($BW51&lt;&gt;"","FIX",IF($BX51&lt;&gt;"","CHECK","OK")))</f>
        <v/>
      </c>
      <c r="AX51" s="50">
        <f>IF($A51="","",IF($BW51&lt;&gt;"","FIX: "&amp;LEFT($BW51,LEN($BW51)-2)&amp;IF($BX51&lt;&gt;"","  ·  ",""),"")&amp;IF($BX51&lt;&gt;"","CHECK: "&amp;LEFT($BX51,LEN($BX51)-2),""))</f>
        <v/>
      </c>
      <c r="AY51" s="49">
        <f>IF(OR($A51="",$K51=""),"",$K51&amp;"'-"&amp;N($L51)&amp;CHAR(34)&amp;" x "&amp;$M51&amp;"'-"&amp;N($N51)&amp;CHAR(34))</f>
        <v/>
      </c>
      <c r="AZ51" s="49">
        <f>IF(OR($A51="",$K51=""),"",$K51&amp;N($L51)&amp;$M51&amp;N($N51))</f>
        <v/>
      </c>
      <c r="BA51" s="49">
        <f>IF(OR($A51="",$K51=""),"",$K51*12+N($L51))</f>
        <v/>
      </c>
      <c r="BB51" s="49">
        <f>IF(OR($A51="",$M51=""),"",$M51*12+N($N51))</f>
        <v/>
      </c>
      <c r="BC51" s="49">
        <f>IF($A51="","",IF(OR($C51="FRAME ONLY",$S51="BL"),0,IF($O51="Y",2,1)))</f>
        <v/>
      </c>
      <c r="BD51" s="51">
        <f>IF(OR(N($BC51)=0,$BA51=""),"",($BA51-2*EdgeClr-IF($BC51=2,MeetClr,0))/$BC51)</f>
        <v/>
      </c>
      <c r="BE51" s="51">
        <f>IF(OR(N($BC51)=0,$BB51=""),"",$BB51-HeadClr-Undercut)</f>
        <v/>
      </c>
      <c r="BF51" s="51">
        <f>IF($BA51="","",$BA51+2*FaceW+IF(N($Q51)&gt;0,($Q51+FaceW)*IF($R51="LR",2,1),0))</f>
        <v/>
      </c>
      <c r="BG51" s="51">
        <f>IF($BB51="","",$BB51+IF($AB51="Y",4,FaceW)+IF(N($P51)&gt;0,$P51+FaceW,0)+IF(OR($S51="4F",$S51="BL"),FaceW,0))</f>
        <v/>
      </c>
      <c r="BH51" s="51">
        <f>IF($BF51="","",$BF51+2*ROSide)</f>
        <v/>
      </c>
      <c r="BI51" s="51">
        <f>IF($BG51="","",$BG51+ROTop)</f>
        <v/>
      </c>
      <c r="BJ51" s="52">
        <f>IF(OR(N($BC51)=0,$BA51=""),"",$BA51/$BC51-ClearDeduct)</f>
        <v/>
      </c>
      <c r="BK51" s="49">
        <f>IF(OR(N($BC51)=0,$BE51=""),"",IF(OR($AC51="HGC",$AP51="HGC"),"CONT",IF($BE51&lt;=60,2,IF($BE51&lt;=90,3,IF($BE51&lt;=120,4,5)))))</f>
        <v/>
      </c>
      <c r="BL51" s="49">
        <f>IF(N($BC51)=0,"",IF(OR($AL51="",$AL51="FLUSH"),"FLUSH",IFERROR(LEFT($AL51,FIND("-",$AL51)-1),LEFT($AL51,2))))</f>
        <v/>
      </c>
      <c r="BM51" s="49">
        <f>IF($BL51="","",IFERROR(VALUE(MID($AL51,FIND("-",$AL51)+1,FIND(CHAR(34)&amp;"x",$AL51)-FIND("-",$AL51)-1)),0))</f>
        <v/>
      </c>
      <c r="BN51" s="49">
        <f>IF($BL51="","",IFERROR(VALUE(MID($AL51,FIND(CHAR(34)&amp;"x",$AL51)+2,FIND(CHAR(34),$AL51,FIND(CHAR(34)&amp;"x",$AL51)+2)-FIND(CHAR(34)&amp;"x",$AL51)-2)),0))</f>
        <v/>
      </c>
      <c r="BO51" s="53">
        <f>IF(OR($A51="",$H51="",$H51="NO LAB"),0,IFERROR(VALUE(LEFT($H51,FIND(" ",$H51)-1)),0))</f>
        <v/>
      </c>
      <c r="BP51" s="54">
        <f>IF(OR($A51="",$I51="",$I51="NON-RATED",N($J51)=0),"",IFERROR(VLOOKUP($I51&amp;"|"&amp;$J51,IBC,2,FALSE),"?"))</f>
        <v/>
      </c>
      <c r="BQ51" s="50">
        <f>IF(NOT(AND($A51&lt;&gt;"",$C51&lt;&gt;"DOOR ONLY")),"",TRIM(IFERROR(VLOOKUP($U51,CODES,2,FALSE),"")&amp;" "&amp;$AZ51&amp;" "&amp;IFERROR(VLOOKUP($Z51,CODES,2,FALSE),"")&amp;" "&amp;IFERROR(VLOOKUP($X51,CODES,2,FALSE),"")&amp;" "&amp;IFERROR(VLOOKUP($S51,CODES,2,FALSE),"")&amp;IF(N($P51)&gt;0," w/TRANSOM "&amp;$P51&amp;CHAR(34),"")&amp;IF(N($Q51)&gt;0," w/SIDELITE "&amp;$Q51&amp;CHAR(34)&amp;" "&amp;IF($R51="","R",$R51),"")&amp;IF($Y51="","  |  "," | "&amp;IFERROR(VLOOKUP($Y51,CODES,2,FALSE),"")&amp;" | ")&amp;IFERROR(VLOOKUP($AC51,CODES,2,FALSE),"")&amp;" "&amp;IFERROR(VLOOKUP($AD51,CODES,2,FALSE),"")&amp;IF(OR($AE51="",$AE51="-"),""," "&amp;$AE51)&amp;IF(OR($AF51="",$AF51="-"),""," "&amp;$AF51)&amp;IF($AB51="Y"," 4"&amp;CHAR(34)&amp;" HEAD","")&amp;" "&amp;IFERROR(VLOOKUP($H51,CODES,2,FALSE),"")))</f>
        <v/>
      </c>
      <c r="BR51" s="50">
        <f>IF(NOT(AND($A51&lt;&gt;"",N($BC51)&gt;0)),"",TRIM(IFERROR(VLOOKUP($AH51,CODES,2,FALSE),"")&amp;IF($AI51=""," "," "&amp;$AI51&amp;"GA ")&amp;$AZ51&amp;" "&amp;IF($AN51="",IFERROR(VLOOKUP($Z51,CODES,2,FALSE),""),IFERROR(VLOOKUP($AN51,CODES,2,FALSE),""))&amp;IF($BC51=2," PAIR","")&amp;" DOOR | "&amp;IF($AL51="","?",$AL51)&amp;" | "&amp;IF($AP51="",IFERROR(VLOOKUP($AC51,CODES,2,FALSE),""),IFERROR(VLOOKUP($AP51,CODES,2,FALSE),""))&amp;" "&amp;IFERROR(VLOOKUP($AQ51,CODES,2,FALSE),"")&amp;IF(OR($AR51="",$AR51="-"),""," SEAM "&amp;$AR51)&amp;IF($AS51="Y"," ASTRAGAL","")&amp;IF($AJ51=""," "," "&amp;$AJ51)&amp;IF($AK51=""," "," "&amp;$AK51)&amp;IF($AO51="",""," "&amp;$AO51)&amp;IF($AM51=""," "," SERIES "&amp;$AM51)&amp;" "&amp;IFERROR(VLOOKUP($H51,CODES,2,FALSE),"")))</f>
        <v/>
      </c>
      <c r="BS51" s="49">
        <f>IF(BV51="","",IF(COUNTIF($BV$6:BV51,BV51)=1,MAX($BS$5:BS50)+1,INDEX($BS$5:BS50,MATCH(BV51,$BV$5:BV50,0))))</f>
        <v/>
      </c>
      <c r="BT51" s="49">
        <f>IF(NOT(AND($A51&lt;&gt;"",$C51&lt;&gt;"DOOR ONLY")),"",MAX($BT$5:BT50)+1)</f>
        <v/>
      </c>
      <c r="BU51" s="49">
        <f>IF(NOT(AND($A51&lt;&gt;"",N($BC51)&gt;0)),"",MAX($BU$5:BU50)+1)</f>
        <v/>
      </c>
      <c r="BV51" s="49">
        <f>IF(OR($A51="",$BA51="",$BB51=""),"",$AZ51&amp;"|"&amp;$O51&amp;"|"&amp;$AL51&amp;"|"&amp;$S51&amp;"|"&amp;$P51&amp;"|"&amp;$Q51&amp;$R51&amp;"|"&amp;$C51&amp;"|"&amp;$AB51)</f>
        <v/>
      </c>
      <c r="BW51" s="49">
        <f>IF($A51="","",IF($B51="","qty, ","")&amp;IF($C51="","scope, ","")&amp;IF(OR($K51="",$M51=""),"size, ","")&amp;IF(AND($A51&lt;&gt;"",$C51&lt;&gt;"DOOR ONLY"),IF($U51="","jamb depth, ","")&amp;IF($X51="","construction, ","")&amp;IF($Y51="","anchor, ","")&amp;IF($S51="","frame type, ",""),"")&amp;IF(AND(N($BC51)&gt;0,$Z51=""),"hand, ","")&amp;IF(N($BC51)&gt;0,IF($AH51="","door material, ","")&amp;IF($AL51="","face type, ","")&amp;IF($AQ51="","lock prep, ","")&amp;IF(AND($AP51="",$AC51=""),"hinge prep, ",""),"")&amp;IF(AND($BO51&gt;0,$AH51="FRP"),"FRP cannot carry a label, ","")&amp;IF(AND($O51="Y",OR($Z51="L",$Z51="R",$Z51="LR",$Z51="RR")),"pair marked but hand is single, ","")&amp;IF(AND($O51&lt;&gt;"Y",OR($Z51="PR",AND(LEN($Z51)&gt;1,ISNUMBER(SEARCH("-",$Z51))))),"pair hand on a single door, ","")&amp;IF(AND(ISNUMBER($BP51),$BO51&lt;N($BP51)),"wall needs a "&amp;$BP51&amp;" min door, ","")&amp;IF(AND($BO51&gt;=180,AND(OR($BL51="FG",$BL51="HG",$BL51="FNV",$BL51="FV"),N($BM51)*N($BN51)&gt;100)),"180 min lite over 100 sq in, ","")&amp;IF(N($BD51)&gt;48,"leaf wider than 4'-0"&amp;CHAR(34)&amp;", ",""))</f>
        <v/>
      </c>
      <c r="BX51" s="49">
        <f>IF($A51="","",IF(AND($BO51&gt;0,AND($A51&lt;&gt;"",$C51&lt;&gt;"DOOR ONLY"),$X51="KD",$E51="EXTERIOR"),"KD label on an exterior opening, ","")&amp;IF(AND($E51="EXTERIOR",OR(AND(AND($A51&lt;&gt;"",$C51&lt;&gt;"DOOR ONLY"),$W51="CR"),AND(N($BC51)&gt;0,$AH51="CR"))),"exterior in CR steel (G9?), ","")&amp;IF(AND(ISNUMBER($BJ51),N($BJ51)&lt;32),"clear width ~"&amp;TEXT($BJ51,"0.0")&amp;CHAR(34)&amp;" under 32"&amp;CHAR(34)&amp;" (ADA), ","")&amp;IF(AND($BO51=90,AND(OR($BL51="FG",$BL51="HG",$BL51="FNV",$BL51="FV"),N($BM51)*N($BN51)&gt;100)),"90 min lite over 100 sq in (stair/exit), ","")&amp;IF(AND($BO51&gt;0,AND($A51&lt;&gt;"",$C51&lt;&gt;"DOOR ONLY"),OR($AF51="",$AF51="-")),"rated: closer reinf.?, ","")&amp;IF(OR($I51="CORRIDOR",$I51="SMOKE BARRIER"),"S label + smoke gasketing, ","")&amp;IF($BP51="?","wall type/hr not in IBC table, ","")&amp;IF(AND(N($BC51)&gt;0,$AU51=""),"no hardware set, ","")&amp;IF(AND($AU51&lt;&gt;"",ISNA(MATCH($AU51,HWSets,0))),"set "&amp;$AU51&amp;" not on Hardware sheet, ","")&amp;IF(N($BE51)&gt;96,"leaf over 8'-0"&amp;CHAR(34)&amp;" - check listing, ",""))</f>
        <v/>
      </c>
    </row>
    <row r="52" ht="15" customHeight="1">
      <c r="A52" s="44" t="n"/>
      <c r="B52" s="45" t="n"/>
      <c r="C52" s="45" t="n"/>
      <c r="D52" s="45" t="n"/>
      <c r="E52" s="45" t="n"/>
      <c r="F52" s="45" t="n"/>
      <c r="G52" s="45" t="n"/>
      <c r="H52" s="45" t="n"/>
      <c r="I52" s="45" t="n"/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47" t="n"/>
      <c r="AI52" s="47" t="n"/>
      <c r="AJ52" s="47" t="n"/>
      <c r="AK52" s="47" t="n"/>
      <c r="AL52" s="47" t="n"/>
      <c r="AM52" s="47" t="n"/>
      <c r="AN52" s="47" t="n"/>
      <c r="AO52" s="47" t="n"/>
      <c r="AP52" s="47" t="n"/>
      <c r="AQ52" s="47" t="n"/>
      <c r="AR52" s="47" t="n"/>
      <c r="AS52" s="47" t="n"/>
      <c r="AT52" s="47" t="n"/>
      <c r="AU52" s="48" t="n"/>
      <c r="AV52" s="48" t="n"/>
      <c r="AW52" s="49">
        <f>IF($A52="","",IF($BW52&lt;&gt;"","FIX",IF($BX52&lt;&gt;"","CHECK","OK")))</f>
        <v/>
      </c>
      <c r="AX52" s="50">
        <f>IF($A52="","",IF($BW52&lt;&gt;"","FIX: "&amp;LEFT($BW52,LEN($BW52)-2)&amp;IF($BX52&lt;&gt;"","  ·  ",""),"")&amp;IF($BX52&lt;&gt;"","CHECK: "&amp;LEFT($BX52,LEN($BX52)-2),""))</f>
        <v/>
      </c>
      <c r="AY52" s="49">
        <f>IF(OR($A52="",$K52=""),"",$K52&amp;"'-"&amp;N($L52)&amp;CHAR(34)&amp;" x "&amp;$M52&amp;"'-"&amp;N($N52)&amp;CHAR(34))</f>
        <v/>
      </c>
      <c r="AZ52" s="49">
        <f>IF(OR($A52="",$K52=""),"",$K52&amp;N($L52)&amp;$M52&amp;N($N52))</f>
        <v/>
      </c>
      <c r="BA52" s="49">
        <f>IF(OR($A52="",$K52=""),"",$K52*12+N($L52))</f>
        <v/>
      </c>
      <c r="BB52" s="49">
        <f>IF(OR($A52="",$M52=""),"",$M52*12+N($N52))</f>
        <v/>
      </c>
      <c r="BC52" s="49">
        <f>IF($A52="","",IF(OR($C52="FRAME ONLY",$S52="BL"),0,IF($O52="Y",2,1)))</f>
        <v/>
      </c>
      <c r="BD52" s="51">
        <f>IF(OR(N($BC52)=0,$BA52=""),"",($BA52-2*EdgeClr-IF($BC52=2,MeetClr,0))/$BC52)</f>
        <v/>
      </c>
      <c r="BE52" s="51">
        <f>IF(OR(N($BC52)=0,$BB52=""),"",$BB52-HeadClr-Undercut)</f>
        <v/>
      </c>
      <c r="BF52" s="51">
        <f>IF($BA52="","",$BA52+2*FaceW+IF(N($Q52)&gt;0,($Q52+FaceW)*IF($R52="LR",2,1),0))</f>
        <v/>
      </c>
      <c r="BG52" s="51">
        <f>IF($BB52="","",$BB52+IF($AB52="Y",4,FaceW)+IF(N($P52)&gt;0,$P52+FaceW,0)+IF(OR($S52="4F",$S52="BL"),FaceW,0))</f>
        <v/>
      </c>
      <c r="BH52" s="51">
        <f>IF($BF52="","",$BF52+2*ROSide)</f>
        <v/>
      </c>
      <c r="BI52" s="51">
        <f>IF($BG52="","",$BG52+ROTop)</f>
        <v/>
      </c>
      <c r="BJ52" s="52">
        <f>IF(OR(N($BC52)=0,$BA52=""),"",$BA52/$BC52-ClearDeduct)</f>
        <v/>
      </c>
      <c r="BK52" s="49">
        <f>IF(OR(N($BC52)=0,$BE52=""),"",IF(OR($AC52="HGC",$AP52="HGC"),"CONT",IF($BE52&lt;=60,2,IF($BE52&lt;=90,3,IF($BE52&lt;=120,4,5)))))</f>
        <v/>
      </c>
      <c r="BL52" s="49">
        <f>IF(N($BC52)=0,"",IF(OR($AL52="",$AL52="FLUSH"),"FLUSH",IFERROR(LEFT($AL52,FIND("-",$AL52)-1),LEFT($AL52,2))))</f>
        <v/>
      </c>
      <c r="BM52" s="49">
        <f>IF($BL52="","",IFERROR(VALUE(MID($AL52,FIND("-",$AL52)+1,FIND(CHAR(34)&amp;"x",$AL52)-FIND("-",$AL52)-1)),0))</f>
        <v/>
      </c>
      <c r="BN52" s="49">
        <f>IF($BL52="","",IFERROR(VALUE(MID($AL52,FIND(CHAR(34)&amp;"x",$AL52)+2,FIND(CHAR(34),$AL52,FIND(CHAR(34)&amp;"x",$AL52)+2)-FIND(CHAR(34)&amp;"x",$AL52)-2)),0))</f>
        <v/>
      </c>
      <c r="BO52" s="53">
        <f>IF(OR($A52="",$H52="",$H52="NO LAB"),0,IFERROR(VALUE(LEFT($H52,FIND(" ",$H52)-1)),0))</f>
        <v/>
      </c>
      <c r="BP52" s="54">
        <f>IF(OR($A52="",$I52="",$I52="NON-RATED",N($J52)=0),"",IFERROR(VLOOKUP($I52&amp;"|"&amp;$J52,IBC,2,FALSE),"?"))</f>
        <v/>
      </c>
      <c r="BQ52" s="50">
        <f>IF(NOT(AND($A52&lt;&gt;"",$C52&lt;&gt;"DOOR ONLY")),"",TRIM(IFERROR(VLOOKUP($U52,CODES,2,FALSE),"")&amp;" "&amp;$AZ52&amp;" "&amp;IFERROR(VLOOKUP($Z52,CODES,2,FALSE),"")&amp;" "&amp;IFERROR(VLOOKUP($X52,CODES,2,FALSE),"")&amp;" "&amp;IFERROR(VLOOKUP($S52,CODES,2,FALSE),"")&amp;IF(N($P52)&gt;0," w/TRANSOM "&amp;$P52&amp;CHAR(34),"")&amp;IF(N($Q52)&gt;0," w/SIDELITE "&amp;$Q52&amp;CHAR(34)&amp;" "&amp;IF($R52="","R",$R52),"")&amp;IF($Y52="","  |  "," | "&amp;IFERROR(VLOOKUP($Y52,CODES,2,FALSE),"")&amp;" | ")&amp;IFERROR(VLOOKUP($AC52,CODES,2,FALSE),"")&amp;" "&amp;IFERROR(VLOOKUP($AD52,CODES,2,FALSE),"")&amp;IF(OR($AE52="",$AE52="-"),""," "&amp;$AE52)&amp;IF(OR($AF52="",$AF52="-"),""," "&amp;$AF52)&amp;IF($AB52="Y"," 4"&amp;CHAR(34)&amp;" HEAD","")&amp;" "&amp;IFERROR(VLOOKUP($H52,CODES,2,FALSE),"")))</f>
        <v/>
      </c>
      <c r="BR52" s="50">
        <f>IF(NOT(AND($A52&lt;&gt;"",N($BC52)&gt;0)),"",TRIM(IFERROR(VLOOKUP($AH52,CODES,2,FALSE),"")&amp;IF($AI52=""," "," "&amp;$AI52&amp;"GA ")&amp;$AZ52&amp;" "&amp;IF($AN52="",IFERROR(VLOOKUP($Z52,CODES,2,FALSE),""),IFERROR(VLOOKUP($AN52,CODES,2,FALSE),""))&amp;IF($BC52=2," PAIR","")&amp;" DOOR | "&amp;IF($AL52="","?",$AL52)&amp;" | "&amp;IF($AP52="",IFERROR(VLOOKUP($AC52,CODES,2,FALSE),""),IFERROR(VLOOKUP($AP52,CODES,2,FALSE),""))&amp;" "&amp;IFERROR(VLOOKUP($AQ52,CODES,2,FALSE),"")&amp;IF(OR($AR52="",$AR52="-"),""," SEAM "&amp;$AR52)&amp;IF($AS52="Y"," ASTRAGAL","")&amp;IF($AJ52=""," "," "&amp;$AJ52)&amp;IF($AK52=""," "," "&amp;$AK52)&amp;IF($AO52="",""," "&amp;$AO52)&amp;IF($AM52=""," "," SERIES "&amp;$AM52)&amp;" "&amp;IFERROR(VLOOKUP($H52,CODES,2,FALSE),"")))</f>
        <v/>
      </c>
      <c r="BS52" s="49">
        <f>IF(BV52="","",IF(COUNTIF($BV$6:BV52,BV52)=1,MAX($BS$5:BS51)+1,INDEX($BS$5:BS51,MATCH(BV52,$BV$5:BV51,0))))</f>
        <v/>
      </c>
      <c r="BT52" s="49">
        <f>IF(NOT(AND($A52&lt;&gt;"",$C52&lt;&gt;"DOOR ONLY")),"",MAX($BT$5:BT51)+1)</f>
        <v/>
      </c>
      <c r="BU52" s="49">
        <f>IF(NOT(AND($A52&lt;&gt;"",N($BC52)&gt;0)),"",MAX($BU$5:BU51)+1)</f>
        <v/>
      </c>
      <c r="BV52" s="49">
        <f>IF(OR($A52="",$BA52="",$BB52=""),"",$AZ52&amp;"|"&amp;$O52&amp;"|"&amp;$AL52&amp;"|"&amp;$S52&amp;"|"&amp;$P52&amp;"|"&amp;$Q52&amp;$R52&amp;"|"&amp;$C52&amp;"|"&amp;$AB52)</f>
        <v/>
      </c>
      <c r="BW52" s="49">
        <f>IF($A52="","",IF($B52="","qty, ","")&amp;IF($C52="","scope, ","")&amp;IF(OR($K52="",$M52=""),"size, ","")&amp;IF(AND($A52&lt;&gt;"",$C52&lt;&gt;"DOOR ONLY"),IF($U52="","jamb depth, ","")&amp;IF($X52="","construction, ","")&amp;IF($Y52="","anchor, ","")&amp;IF($S52="","frame type, ",""),"")&amp;IF(AND(N($BC52)&gt;0,$Z52=""),"hand, ","")&amp;IF(N($BC52)&gt;0,IF($AH52="","door material, ","")&amp;IF($AL52="","face type, ","")&amp;IF($AQ52="","lock prep, ","")&amp;IF(AND($AP52="",$AC52=""),"hinge prep, ",""),"")&amp;IF(AND($BO52&gt;0,$AH52="FRP"),"FRP cannot carry a label, ","")&amp;IF(AND($O52="Y",OR($Z52="L",$Z52="R",$Z52="LR",$Z52="RR")),"pair marked but hand is single, ","")&amp;IF(AND($O52&lt;&gt;"Y",OR($Z52="PR",AND(LEN($Z52)&gt;1,ISNUMBER(SEARCH("-",$Z52))))),"pair hand on a single door, ","")&amp;IF(AND(ISNUMBER($BP52),$BO52&lt;N($BP52)),"wall needs a "&amp;$BP52&amp;" min door, ","")&amp;IF(AND($BO52&gt;=180,AND(OR($BL52="FG",$BL52="HG",$BL52="FNV",$BL52="FV"),N($BM52)*N($BN52)&gt;100)),"180 min lite over 100 sq in, ","")&amp;IF(N($BD52)&gt;48,"leaf wider than 4'-0"&amp;CHAR(34)&amp;", ",""))</f>
        <v/>
      </c>
      <c r="BX52" s="49">
        <f>IF($A52="","",IF(AND($BO52&gt;0,AND($A52&lt;&gt;"",$C52&lt;&gt;"DOOR ONLY"),$X52="KD",$E52="EXTERIOR"),"KD label on an exterior opening, ","")&amp;IF(AND($E52="EXTERIOR",OR(AND(AND($A52&lt;&gt;"",$C52&lt;&gt;"DOOR ONLY"),$W52="CR"),AND(N($BC52)&gt;0,$AH52="CR"))),"exterior in CR steel (G9?), ","")&amp;IF(AND(ISNUMBER($BJ52),N($BJ52)&lt;32),"clear width ~"&amp;TEXT($BJ52,"0.0")&amp;CHAR(34)&amp;" under 32"&amp;CHAR(34)&amp;" (ADA), ","")&amp;IF(AND($BO52=90,AND(OR($BL52="FG",$BL52="HG",$BL52="FNV",$BL52="FV"),N($BM52)*N($BN52)&gt;100)),"90 min lite over 100 sq in (stair/exit), ","")&amp;IF(AND($BO52&gt;0,AND($A52&lt;&gt;"",$C52&lt;&gt;"DOOR ONLY"),OR($AF52="",$AF52="-")),"rated: closer reinf.?, ","")&amp;IF(OR($I52="CORRIDOR",$I52="SMOKE BARRIER"),"S label + smoke gasketing, ","")&amp;IF($BP52="?","wall type/hr not in IBC table, ","")&amp;IF(AND(N($BC52)&gt;0,$AU52=""),"no hardware set, ","")&amp;IF(AND($AU52&lt;&gt;"",ISNA(MATCH($AU52,HWSets,0))),"set "&amp;$AU52&amp;" not on Hardware sheet, ","")&amp;IF(N($BE52)&gt;96,"leaf over 8'-0"&amp;CHAR(34)&amp;" - check listing, ",""))</f>
        <v/>
      </c>
    </row>
    <row r="53" ht="15" customHeight="1">
      <c r="A53" s="44" t="n"/>
      <c r="B53" s="45" t="n"/>
      <c r="C53" s="45" t="n"/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47" t="n"/>
      <c r="AI53" s="47" t="n"/>
      <c r="AJ53" s="47" t="n"/>
      <c r="AK53" s="47" t="n"/>
      <c r="AL53" s="47" t="n"/>
      <c r="AM53" s="47" t="n"/>
      <c r="AN53" s="47" t="n"/>
      <c r="AO53" s="47" t="n"/>
      <c r="AP53" s="47" t="n"/>
      <c r="AQ53" s="47" t="n"/>
      <c r="AR53" s="47" t="n"/>
      <c r="AS53" s="47" t="n"/>
      <c r="AT53" s="47" t="n"/>
      <c r="AU53" s="48" t="n"/>
      <c r="AV53" s="48" t="n"/>
      <c r="AW53" s="49">
        <f>IF($A53="","",IF($BW53&lt;&gt;"","FIX",IF($BX53&lt;&gt;"","CHECK","OK")))</f>
        <v/>
      </c>
      <c r="AX53" s="50">
        <f>IF($A53="","",IF($BW53&lt;&gt;"","FIX: "&amp;LEFT($BW53,LEN($BW53)-2)&amp;IF($BX53&lt;&gt;"","  ·  ",""),"")&amp;IF($BX53&lt;&gt;"","CHECK: "&amp;LEFT($BX53,LEN($BX53)-2),""))</f>
        <v/>
      </c>
      <c r="AY53" s="49">
        <f>IF(OR($A53="",$K53=""),"",$K53&amp;"'-"&amp;N($L53)&amp;CHAR(34)&amp;" x "&amp;$M53&amp;"'-"&amp;N($N53)&amp;CHAR(34))</f>
        <v/>
      </c>
      <c r="AZ53" s="49">
        <f>IF(OR($A53="",$K53=""),"",$K53&amp;N($L53)&amp;$M53&amp;N($N53))</f>
        <v/>
      </c>
      <c r="BA53" s="49">
        <f>IF(OR($A53="",$K53=""),"",$K53*12+N($L53))</f>
        <v/>
      </c>
      <c r="BB53" s="49">
        <f>IF(OR($A53="",$M53=""),"",$M53*12+N($N53))</f>
        <v/>
      </c>
      <c r="BC53" s="49">
        <f>IF($A53="","",IF(OR($C53="FRAME ONLY",$S53="BL"),0,IF($O53="Y",2,1)))</f>
        <v/>
      </c>
      <c r="BD53" s="51">
        <f>IF(OR(N($BC53)=0,$BA53=""),"",($BA53-2*EdgeClr-IF($BC53=2,MeetClr,0))/$BC53)</f>
        <v/>
      </c>
      <c r="BE53" s="51">
        <f>IF(OR(N($BC53)=0,$BB53=""),"",$BB53-HeadClr-Undercut)</f>
        <v/>
      </c>
      <c r="BF53" s="51">
        <f>IF($BA53="","",$BA53+2*FaceW+IF(N($Q53)&gt;0,($Q53+FaceW)*IF($R53="LR",2,1),0))</f>
        <v/>
      </c>
      <c r="BG53" s="51">
        <f>IF($BB53="","",$BB53+IF($AB53="Y",4,FaceW)+IF(N($P53)&gt;0,$P53+FaceW,0)+IF(OR($S53="4F",$S53="BL"),FaceW,0))</f>
        <v/>
      </c>
      <c r="BH53" s="51">
        <f>IF($BF53="","",$BF53+2*ROSide)</f>
        <v/>
      </c>
      <c r="BI53" s="51">
        <f>IF($BG53="","",$BG53+ROTop)</f>
        <v/>
      </c>
      <c r="BJ53" s="52">
        <f>IF(OR(N($BC53)=0,$BA53=""),"",$BA53/$BC53-ClearDeduct)</f>
        <v/>
      </c>
      <c r="BK53" s="49">
        <f>IF(OR(N($BC53)=0,$BE53=""),"",IF(OR($AC53="HGC",$AP53="HGC"),"CONT",IF($BE53&lt;=60,2,IF($BE53&lt;=90,3,IF($BE53&lt;=120,4,5)))))</f>
        <v/>
      </c>
      <c r="BL53" s="49">
        <f>IF(N($BC53)=0,"",IF(OR($AL53="",$AL53="FLUSH"),"FLUSH",IFERROR(LEFT($AL53,FIND("-",$AL53)-1),LEFT($AL53,2))))</f>
        <v/>
      </c>
      <c r="BM53" s="49">
        <f>IF($BL53="","",IFERROR(VALUE(MID($AL53,FIND("-",$AL53)+1,FIND(CHAR(34)&amp;"x",$AL53)-FIND("-",$AL53)-1)),0))</f>
        <v/>
      </c>
      <c r="BN53" s="49">
        <f>IF($BL53="","",IFERROR(VALUE(MID($AL53,FIND(CHAR(34)&amp;"x",$AL53)+2,FIND(CHAR(34),$AL53,FIND(CHAR(34)&amp;"x",$AL53)+2)-FIND(CHAR(34)&amp;"x",$AL53)-2)),0))</f>
        <v/>
      </c>
      <c r="BO53" s="53">
        <f>IF(OR($A53="",$H53="",$H53="NO LAB"),0,IFERROR(VALUE(LEFT($H53,FIND(" ",$H53)-1)),0))</f>
        <v/>
      </c>
      <c r="BP53" s="54">
        <f>IF(OR($A53="",$I53="",$I53="NON-RATED",N($J53)=0),"",IFERROR(VLOOKUP($I53&amp;"|"&amp;$J53,IBC,2,FALSE),"?"))</f>
        <v/>
      </c>
      <c r="BQ53" s="50">
        <f>IF(NOT(AND($A53&lt;&gt;"",$C53&lt;&gt;"DOOR ONLY")),"",TRIM(IFERROR(VLOOKUP($U53,CODES,2,FALSE),"")&amp;" "&amp;$AZ53&amp;" "&amp;IFERROR(VLOOKUP($Z53,CODES,2,FALSE),"")&amp;" "&amp;IFERROR(VLOOKUP($X53,CODES,2,FALSE),"")&amp;" "&amp;IFERROR(VLOOKUP($S53,CODES,2,FALSE),"")&amp;IF(N($P53)&gt;0," w/TRANSOM "&amp;$P53&amp;CHAR(34),"")&amp;IF(N($Q53)&gt;0," w/SIDELITE "&amp;$Q53&amp;CHAR(34)&amp;" "&amp;IF($R53="","R",$R53),"")&amp;IF($Y53="","  |  "," | "&amp;IFERROR(VLOOKUP($Y53,CODES,2,FALSE),"")&amp;" | ")&amp;IFERROR(VLOOKUP($AC53,CODES,2,FALSE),"")&amp;" "&amp;IFERROR(VLOOKUP($AD53,CODES,2,FALSE),"")&amp;IF(OR($AE53="",$AE53="-"),""," "&amp;$AE53)&amp;IF(OR($AF53="",$AF53="-"),""," "&amp;$AF53)&amp;IF($AB53="Y"," 4"&amp;CHAR(34)&amp;" HEAD","")&amp;" "&amp;IFERROR(VLOOKUP($H53,CODES,2,FALSE),"")))</f>
        <v/>
      </c>
      <c r="BR53" s="50">
        <f>IF(NOT(AND($A53&lt;&gt;"",N($BC53)&gt;0)),"",TRIM(IFERROR(VLOOKUP($AH53,CODES,2,FALSE),"")&amp;IF($AI53=""," "," "&amp;$AI53&amp;"GA ")&amp;$AZ53&amp;" "&amp;IF($AN53="",IFERROR(VLOOKUP($Z53,CODES,2,FALSE),""),IFERROR(VLOOKUP($AN53,CODES,2,FALSE),""))&amp;IF($BC53=2," PAIR","")&amp;" DOOR | "&amp;IF($AL53="","?",$AL53)&amp;" | "&amp;IF($AP53="",IFERROR(VLOOKUP($AC53,CODES,2,FALSE),""),IFERROR(VLOOKUP($AP53,CODES,2,FALSE),""))&amp;" "&amp;IFERROR(VLOOKUP($AQ53,CODES,2,FALSE),"")&amp;IF(OR($AR53="",$AR53="-"),""," SEAM "&amp;$AR53)&amp;IF($AS53="Y"," ASTRAGAL","")&amp;IF($AJ53=""," "," "&amp;$AJ53)&amp;IF($AK53=""," "," "&amp;$AK53)&amp;IF($AO53="",""," "&amp;$AO53)&amp;IF($AM53=""," "," SERIES "&amp;$AM53)&amp;" "&amp;IFERROR(VLOOKUP($H53,CODES,2,FALSE),"")))</f>
        <v/>
      </c>
      <c r="BS53" s="49">
        <f>IF(BV53="","",IF(COUNTIF($BV$6:BV53,BV53)=1,MAX($BS$5:BS52)+1,INDEX($BS$5:BS52,MATCH(BV53,$BV$5:BV52,0))))</f>
        <v/>
      </c>
      <c r="BT53" s="49">
        <f>IF(NOT(AND($A53&lt;&gt;"",$C53&lt;&gt;"DOOR ONLY")),"",MAX($BT$5:BT52)+1)</f>
        <v/>
      </c>
      <c r="BU53" s="49">
        <f>IF(NOT(AND($A53&lt;&gt;"",N($BC53)&gt;0)),"",MAX($BU$5:BU52)+1)</f>
        <v/>
      </c>
      <c r="BV53" s="49">
        <f>IF(OR($A53="",$BA53="",$BB53=""),"",$AZ53&amp;"|"&amp;$O53&amp;"|"&amp;$AL53&amp;"|"&amp;$S53&amp;"|"&amp;$P53&amp;"|"&amp;$Q53&amp;$R53&amp;"|"&amp;$C53&amp;"|"&amp;$AB53)</f>
        <v/>
      </c>
      <c r="BW53" s="49">
        <f>IF($A53="","",IF($B53="","qty, ","")&amp;IF($C53="","scope, ","")&amp;IF(OR($K53="",$M53=""),"size, ","")&amp;IF(AND($A53&lt;&gt;"",$C53&lt;&gt;"DOOR ONLY"),IF($U53="","jamb depth, ","")&amp;IF($X53="","construction, ","")&amp;IF($Y53="","anchor, ","")&amp;IF($S53="","frame type, ",""),"")&amp;IF(AND(N($BC53)&gt;0,$Z53=""),"hand, ","")&amp;IF(N($BC53)&gt;0,IF($AH53="","door material, ","")&amp;IF($AL53="","face type, ","")&amp;IF($AQ53="","lock prep, ","")&amp;IF(AND($AP53="",$AC53=""),"hinge prep, ",""),"")&amp;IF(AND($BO53&gt;0,$AH53="FRP"),"FRP cannot carry a label, ","")&amp;IF(AND($O53="Y",OR($Z53="L",$Z53="R",$Z53="LR",$Z53="RR")),"pair marked but hand is single, ","")&amp;IF(AND($O53&lt;&gt;"Y",OR($Z53="PR",AND(LEN($Z53)&gt;1,ISNUMBER(SEARCH("-",$Z53))))),"pair hand on a single door, ","")&amp;IF(AND(ISNUMBER($BP53),$BO53&lt;N($BP53)),"wall needs a "&amp;$BP53&amp;" min door, ","")&amp;IF(AND($BO53&gt;=180,AND(OR($BL53="FG",$BL53="HG",$BL53="FNV",$BL53="FV"),N($BM53)*N($BN53)&gt;100)),"180 min lite over 100 sq in, ","")&amp;IF(N($BD53)&gt;48,"leaf wider than 4'-0"&amp;CHAR(34)&amp;", ",""))</f>
        <v/>
      </c>
      <c r="BX53" s="49">
        <f>IF($A53="","",IF(AND($BO53&gt;0,AND($A53&lt;&gt;"",$C53&lt;&gt;"DOOR ONLY"),$X53="KD",$E53="EXTERIOR"),"KD label on an exterior opening, ","")&amp;IF(AND($E53="EXTERIOR",OR(AND(AND($A53&lt;&gt;"",$C53&lt;&gt;"DOOR ONLY"),$W53="CR"),AND(N($BC53)&gt;0,$AH53="CR"))),"exterior in CR steel (G9?), ","")&amp;IF(AND(ISNUMBER($BJ53),N($BJ53)&lt;32),"clear width ~"&amp;TEXT($BJ53,"0.0")&amp;CHAR(34)&amp;" under 32"&amp;CHAR(34)&amp;" (ADA), ","")&amp;IF(AND($BO53=90,AND(OR($BL53="FG",$BL53="HG",$BL53="FNV",$BL53="FV"),N($BM53)*N($BN53)&gt;100)),"90 min lite over 100 sq in (stair/exit), ","")&amp;IF(AND($BO53&gt;0,AND($A53&lt;&gt;"",$C53&lt;&gt;"DOOR ONLY"),OR($AF53="",$AF53="-")),"rated: closer reinf.?, ","")&amp;IF(OR($I53="CORRIDOR",$I53="SMOKE BARRIER"),"S label + smoke gasketing, ","")&amp;IF($BP53="?","wall type/hr not in IBC table, ","")&amp;IF(AND(N($BC53)&gt;0,$AU53=""),"no hardware set, ","")&amp;IF(AND($AU53&lt;&gt;"",ISNA(MATCH($AU53,HWSets,0))),"set "&amp;$AU53&amp;" not on Hardware sheet, ","")&amp;IF(N($BE53)&gt;96,"leaf over 8'-0"&amp;CHAR(34)&amp;" - check listing, ",""))</f>
        <v/>
      </c>
    </row>
    <row r="54" ht="15" customHeight="1">
      <c r="A54" s="44" t="n"/>
      <c r="B54" s="45" t="n"/>
      <c r="C54" s="45" t="n"/>
      <c r="D54" s="45" t="n"/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6" t="n"/>
      <c r="AB54" s="46" t="n"/>
      <c r="AC54" s="46" t="n"/>
      <c r="AD54" s="46" t="n"/>
      <c r="AE54" s="46" t="n"/>
      <c r="AF54" s="46" t="n"/>
      <c r="AG54" s="46" t="n"/>
      <c r="AH54" s="47" t="n"/>
      <c r="AI54" s="47" t="n"/>
      <c r="AJ54" s="47" t="n"/>
      <c r="AK54" s="47" t="n"/>
      <c r="AL54" s="47" t="n"/>
      <c r="AM54" s="47" t="n"/>
      <c r="AN54" s="47" t="n"/>
      <c r="AO54" s="47" t="n"/>
      <c r="AP54" s="47" t="n"/>
      <c r="AQ54" s="47" t="n"/>
      <c r="AR54" s="47" t="n"/>
      <c r="AS54" s="47" t="n"/>
      <c r="AT54" s="47" t="n"/>
      <c r="AU54" s="48" t="n"/>
      <c r="AV54" s="48" t="n"/>
      <c r="AW54" s="49">
        <f>IF($A54="","",IF($BW54&lt;&gt;"","FIX",IF($BX54&lt;&gt;"","CHECK","OK")))</f>
        <v/>
      </c>
      <c r="AX54" s="50">
        <f>IF($A54="","",IF($BW54&lt;&gt;"","FIX: "&amp;LEFT($BW54,LEN($BW54)-2)&amp;IF($BX54&lt;&gt;"","  ·  ",""),"")&amp;IF($BX54&lt;&gt;"","CHECK: "&amp;LEFT($BX54,LEN($BX54)-2),""))</f>
        <v/>
      </c>
      <c r="AY54" s="49">
        <f>IF(OR($A54="",$K54=""),"",$K54&amp;"'-"&amp;N($L54)&amp;CHAR(34)&amp;" x "&amp;$M54&amp;"'-"&amp;N($N54)&amp;CHAR(34))</f>
        <v/>
      </c>
      <c r="AZ54" s="49">
        <f>IF(OR($A54="",$K54=""),"",$K54&amp;N($L54)&amp;$M54&amp;N($N54))</f>
        <v/>
      </c>
      <c r="BA54" s="49">
        <f>IF(OR($A54="",$K54=""),"",$K54*12+N($L54))</f>
        <v/>
      </c>
      <c r="BB54" s="49">
        <f>IF(OR($A54="",$M54=""),"",$M54*12+N($N54))</f>
        <v/>
      </c>
      <c r="BC54" s="49">
        <f>IF($A54="","",IF(OR($C54="FRAME ONLY",$S54="BL"),0,IF($O54="Y",2,1)))</f>
        <v/>
      </c>
      <c r="BD54" s="51">
        <f>IF(OR(N($BC54)=0,$BA54=""),"",($BA54-2*EdgeClr-IF($BC54=2,MeetClr,0))/$BC54)</f>
        <v/>
      </c>
      <c r="BE54" s="51">
        <f>IF(OR(N($BC54)=0,$BB54=""),"",$BB54-HeadClr-Undercut)</f>
        <v/>
      </c>
      <c r="BF54" s="51">
        <f>IF($BA54="","",$BA54+2*FaceW+IF(N($Q54)&gt;0,($Q54+FaceW)*IF($R54="LR",2,1),0))</f>
        <v/>
      </c>
      <c r="BG54" s="51">
        <f>IF($BB54="","",$BB54+IF($AB54="Y",4,FaceW)+IF(N($P54)&gt;0,$P54+FaceW,0)+IF(OR($S54="4F",$S54="BL"),FaceW,0))</f>
        <v/>
      </c>
      <c r="BH54" s="51">
        <f>IF($BF54="","",$BF54+2*ROSide)</f>
        <v/>
      </c>
      <c r="BI54" s="51">
        <f>IF($BG54="","",$BG54+ROTop)</f>
        <v/>
      </c>
      <c r="BJ54" s="52">
        <f>IF(OR(N($BC54)=0,$BA54=""),"",$BA54/$BC54-ClearDeduct)</f>
        <v/>
      </c>
      <c r="BK54" s="49">
        <f>IF(OR(N($BC54)=0,$BE54=""),"",IF(OR($AC54="HGC",$AP54="HGC"),"CONT",IF($BE54&lt;=60,2,IF($BE54&lt;=90,3,IF($BE54&lt;=120,4,5)))))</f>
        <v/>
      </c>
      <c r="BL54" s="49">
        <f>IF(N($BC54)=0,"",IF(OR($AL54="",$AL54="FLUSH"),"FLUSH",IFERROR(LEFT($AL54,FIND("-",$AL54)-1),LEFT($AL54,2))))</f>
        <v/>
      </c>
      <c r="BM54" s="49">
        <f>IF($BL54="","",IFERROR(VALUE(MID($AL54,FIND("-",$AL54)+1,FIND(CHAR(34)&amp;"x",$AL54)-FIND("-",$AL54)-1)),0))</f>
        <v/>
      </c>
      <c r="BN54" s="49">
        <f>IF($BL54="","",IFERROR(VALUE(MID($AL54,FIND(CHAR(34)&amp;"x",$AL54)+2,FIND(CHAR(34),$AL54,FIND(CHAR(34)&amp;"x",$AL54)+2)-FIND(CHAR(34)&amp;"x",$AL54)-2)),0))</f>
        <v/>
      </c>
      <c r="BO54" s="53">
        <f>IF(OR($A54="",$H54="",$H54="NO LAB"),0,IFERROR(VALUE(LEFT($H54,FIND(" ",$H54)-1)),0))</f>
        <v/>
      </c>
      <c r="BP54" s="54">
        <f>IF(OR($A54="",$I54="",$I54="NON-RATED",N($J54)=0),"",IFERROR(VLOOKUP($I54&amp;"|"&amp;$J54,IBC,2,FALSE),"?"))</f>
        <v/>
      </c>
      <c r="BQ54" s="50">
        <f>IF(NOT(AND($A54&lt;&gt;"",$C54&lt;&gt;"DOOR ONLY")),"",TRIM(IFERROR(VLOOKUP($U54,CODES,2,FALSE),"")&amp;" "&amp;$AZ54&amp;" "&amp;IFERROR(VLOOKUP($Z54,CODES,2,FALSE),"")&amp;" "&amp;IFERROR(VLOOKUP($X54,CODES,2,FALSE),"")&amp;" "&amp;IFERROR(VLOOKUP($S54,CODES,2,FALSE),"")&amp;IF(N($P54)&gt;0," w/TRANSOM "&amp;$P54&amp;CHAR(34),"")&amp;IF(N($Q54)&gt;0," w/SIDELITE "&amp;$Q54&amp;CHAR(34)&amp;" "&amp;IF($R54="","R",$R54),"")&amp;IF($Y54="","  |  "," | "&amp;IFERROR(VLOOKUP($Y54,CODES,2,FALSE),"")&amp;" | ")&amp;IFERROR(VLOOKUP($AC54,CODES,2,FALSE),"")&amp;" "&amp;IFERROR(VLOOKUP($AD54,CODES,2,FALSE),"")&amp;IF(OR($AE54="",$AE54="-"),""," "&amp;$AE54)&amp;IF(OR($AF54="",$AF54="-"),""," "&amp;$AF54)&amp;IF($AB54="Y"," 4"&amp;CHAR(34)&amp;" HEAD","")&amp;" "&amp;IFERROR(VLOOKUP($H54,CODES,2,FALSE),"")))</f>
        <v/>
      </c>
      <c r="BR54" s="50">
        <f>IF(NOT(AND($A54&lt;&gt;"",N($BC54)&gt;0)),"",TRIM(IFERROR(VLOOKUP($AH54,CODES,2,FALSE),"")&amp;IF($AI54=""," "," "&amp;$AI54&amp;"GA ")&amp;$AZ54&amp;" "&amp;IF($AN54="",IFERROR(VLOOKUP($Z54,CODES,2,FALSE),""),IFERROR(VLOOKUP($AN54,CODES,2,FALSE),""))&amp;IF($BC54=2," PAIR","")&amp;" DOOR | "&amp;IF($AL54="","?",$AL54)&amp;" | "&amp;IF($AP54="",IFERROR(VLOOKUP($AC54,CODES,2,FALSE),""),IFERROR(VLOOKUP($AP54,CODES,2,FALSE),""))&amp;" "&amp;IFERROR(VLOOKUP($AQ54,CODES,2,FALSE),"")&amp;IF(OR($AR54="",$AR54="-"),""," SEAM "&amp;$AR54)&amp;IF($AS54="Y"," ASTRAGAL","")&amp;IF($AJ54=""," "," "&amp;$AJ54)&amp;IF($AK54=""," "," "&amp;$AK54)&amp;IF($AO54="",""," "&amp;$AO54)&amp;IF($AM54=""," "," SERIES "&amp;$AM54)&amp;" "&amp;IFERROR(VLOOKUP($H54,CODES,2,FALSE),"")))</f>
        <v/>
      </c>
      <c r="BS54" s="49">
        <f>IF(BV54="","",IF(COUNTIF($BV$6:BV54,BV54)=1,MAX($BS$5:BS53)+1,INDEX($BS$5:BS53,MATCH(BV54,$BV$5:BV53,0))))</f>
        <v/>
      </c>
      <c r="BT54" s="49">
        <f>IF(NOT(AND($A54&lt;&gt;"",$C54&lt;&gt;"DOOR ONLY")),"",MAX($BT$5:BT53)+1)</f>
        <v/>
      </c>
      <c r="BU54" s="49">
        <f>IF(NOT(AND($A54&lt;&gt;"",N($BC54)&gt;0)),"",MAX($BU$5:BU53)+1)</f>
        <v/>
      </c>
      <c r="BV54" s="49">
        <f>IF(OR($A54="",$BA54="",$BB54=""),"",$AZ54&amp;"|"&amp;$O54&amp;"|"&amp;$AL54&amp;"|"&amp;$S54&amp;"|"&amp;$P54&amp;"|"&amp;$Q54&amp;$R54&amp;"|"&amp;$C54&amp;"|"&amp;$AB54)</f>
        <v/>
      </c>
      <c r="BW54" s="49">
        <f>IF($A54="","",IF($B54="","qty, ","")&amp;IF($C54="","scope, ","")&amp;IF(OR($K54="",$M54=""),"size, ","")&amp;IF(AND($A54&lt;&gt;"",$C54&lt;&gt;"DOOR ONLY"),IF($U54="","jamb depth, ","")&amp;IF($X54="","construction, ","")&amp;IF($Y54="","anchor, ","")&amp;IF($S54="","frame type, ",""),"")&amp;IF(AND(N($BC54)&gt;0,$Z54=""),"hand, ","")&amp;IF(N($BC54)&gt;0,IF($AH54="","door material, ","")&amp;IF($AL54="","face type, ","")&amp;IF($AQ54="","lock prep, ","")&amp;IF(AND($AP54="",$AC54=""),"hinge prep, ",""),"")&amp;IF(AND($BO54&gt;0,$AH54="FRP"),"FRP cannot carry a label, ","")&amp;IF(AND($O54="Y",OR($Z54="L",$Z54="R",$Z54="LR",$Z54="RR")),"pair marked but hand is single, ","")&amp;IF(AND($O54&lt;&gt;"Y",OR($Z54="PR",AND(LEN($Z54)&gt;1,ISNUMBER(SEARCH("-",$Z54))))),"pair hand on a single door, ","")&amp;IF(AND(ISNUMBER($BP54),$BO54&lt;N($BP54)),"wall needs a "&amp;$BP54&amp;" min door, ","")&amp;IF(AND($BO54&gt;=180,AND(OR($BL54="FG",$BL54="HG",$BL54="FNV",$BL54="FV"),N($BM54)*N($BN54)&gt;100)),"180 min lite over 100 sq in, ","")&amp;IF(N($BD54)&gt;48,"leaf wider than 4'-0"&amp;CHAR(34)&amp;", ",""))</f>
        <v/>
      </c>
      <c r="BX54" s="49">
        <f>IF($A54="","",IF(AND($BO54&gt;0,AND($A54&lt;&gt;"",$C54&lt;&gt;"DOOR ONLY"),$X54="KD",$E54="EXTERIOR"),"KD label on an exterior opening, ","")&amp;IF(AND($E54="EXTERIOR",OR(AND(AND($A54&lt;&gt;"",$C54&lt;&gt;"DOOR ONLY"),$W54="CR"),AND(N($BC54)&gt;0,$AH54="CR"))),"exterior in CR steel (G9?), ","")&amp;IF(AND(ISNUMBER($BJ54),N($BJ54)&lt;32),"clear width ~"&amp;TEXT($BJ54,"0.0")&amp;CHAR(34)&amp;" under 32"&amp;CHAR(34)&amp;" (ADA), ","")&amp;IF(AND($BO54=90,AND(OR($BL54="FG",$BL54="HG",$BL54="FNV",$BL54="FV"),N($BM54)*N($BN54)&gt;100)),"90 min lite over 100 sq in (stair/exit), ","")&amp;IF(AND($BO54&gt;0,AND($A54&lt;&gt;"",$C54&lt;&gt;"DOOR ONLY"),OR($AF54="",$AF54="-")),"rated: closer reinf.?, ","")&amp;IF(OR($I54="CORRIDOR",$I54="SMOKE BARRIER"),"S label + smoke gasketing, ","")&amp;IF($BP54="?","wall type/hr not in IBC table, ","")&amp;IF(AND(N($BC54)&gt;0,$AU54=""),"no hardware set, ","")&amp;IF(AND($AU54&lt;&gt;"",ISNA(MATCH($AU54,HWSets,0))),"set "&amp;$AU54&amp;" not on Hardware sheet, ","")&amp;IF(N($BE54)&gt;96,"leaf over 8'-0"&amp;CHAR(34)&amp;" - check listing, ",""))</f>
        <v/>
      </c>
    </row>
    <row r="55" ht="15" customHeight="1">
      <c r="A55" s="44" t="n"/>
      <c r="B55" s="45" t="n"/>
      <c r="C55" s="45" t="n"/>
      <c r="D55" s="45" t="n"/>
      <c r="E55" s="45" t="n"/>
      <c r="F55" s="45" t="n"/>
      <c r="G55" s="45" t="n"/>
      <c r="H55" s="45" t="n"/>
      <c r="I55" s="45" t="n"/>
      <c r="J55" s="45" t="n"/>
      <c r="K55" s="45" t="n"/>
      <c r="L55" s="45" t="n"/>
      <c r="M55" s="45" t="n"/>
      <c r="N55" s="45" t="n"/>
      <c r="O55" s="45" t="n"/>
      <c r="P55" s="45" t="n"/>
      <c r="Q55" s="45" t="n"/>
      <c r="R55" s="45" t="n"/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6" t="n"/>
      <c r="AB55" s="46" t="n"/>
      <c r="AC55" s="46" t="n"/>
      <c r="AD55" s="46" t="n"/>
      <c r="AE55" s="46" t="n"/>
      <c r="AF55" s="46" t="n"/>
      <c r="AG55" s="46" t="n"/>
      <c r="AH55" s="47" t="n"/>
      <c r="AI55" s="47" t="n"/>
      <c r="AJ55" s="47" t="n"/>
      <c r="AK55" s="47" t="n"/>
      <c r="AL55" s="47" t="n"/>
      <c r="AM55" s="47" t="n"/>
      <c r="AN55" s="47" t="n"/>
      <c r="AO55" s="47" t="n"/>
      <c r="AP55" s="47" t="n"/>
      <c r="AQ55" s="47" t="n"/>
      <c r="AR55" s="47" t="n"/>
      <c r="AS55" s="47" t="n"/>
      <c r="AT55" s="47" t="n"/>
      <c r="AU55" s="48" t="n"/>
      <c r="AV55" s="48" t="n"/>
      <c r="AW55" s="49">
        <f>IF($A55="","",IF($BW55&lt;&gt;"","FIX",IF($BX55&lt;&gt;"","CHECK","OK")))</f>
        <v/>
      </c>
      <c r="AX55" s="50">
        <f>IF($A55="","",IF($BW55&lt;&gt;"","FIX: "&amp;LEFT($BW55,LEN($BW55)-2)&amp;IF($BX55&lt;&gt;"","  ·  ",""),"")&amp;IF($BX55&lt;&gt;"","CHECK: "&amp;LEFT($BX55,LEN($BX55)-2),""))</f>
        <v/>
      </c>
      <c r="AY55" s="49">
        <f>IF(OR($A55="",$K55=""),"",$K55&amp;"'-"&amp;N($L55)&amp;CHAR(34)&amp;" x "&amp;$M55&amp;"'-"&amp;N($N55)&amp;CHAR(34))</f>
        <v/>
      </c>
      <c r="AZ55" s="49">
        <f>IF(OR($A55="",$K55=""),"",$K55&amp;N($L55)&amp;$M55&amp;N($N55))</f>
        <v/>
      </c>
      <c r="BA55" s="49">
        <f>IF(OR($A55="",$K55=""),"",$K55*12+N($L55))</f>
        <v/>
      </c>
      <c r="BB55" s="49">
        <f>IF(OR($A55="",$M55=""),"",$M55*12+N($N55))</f>
        <v/>
      </c>
      <c r="BC55" s="49">
        <f>IF($A55="","",IF(OR($C55="FRAME ONLY",$S55="BL"),0,IF($O55="Y",2,1)))</f>
        <v/>
      </c>
      <c r="BD55" s="51">
        <f>IF(OR(N($BC55)=0,$BA55=""),"",($BA55-2*EdgeClr-IF($BC55=2,MeetClr,0))/$BC55)</f>
        <v/>
      </c>
      <c r="BE55" s="51">
        <f>IF(OR(N($BC55)=0,$BB55=""),"",$BB55-HeadClr-Undercut)</f>
        <v/>
      </c>
      <c r="BF55" s="51">
        <f>IF($BA55="","",$BA55+2*FaceW+IF(N($Q55)&gt;0,($Q55+FaceW)*IF($R55="LR",2,1),0))</f>
        <v/>
      </c>
      <c r="BG55" s="51">
        <f>IF($BB55="","",$BB55+IF($AB55="Y",4,FaceW)+IF(N($P55)&gt;0,$P55+FaceW,0)+IF(OR($S55="4F",$S55="BL"),FaceW,0))</f>
        <v/>
      </c>
      <c r="BH55" s="51">
        <f>IF($BF55="","",$BF55+2*ROSide)</f>
        <v/>
      </c>
      <c r="BI55" s="51">
        <f>IF($BG55="","",$BG55+ROTop)</f>
        <v/>
      </c>
      <c r="BJ55" s="52">
        <f>IF(OR(N($BC55)=0,$BA55=""),"",$BA55/$BC55-ClearDeduct)</f>
        <v/>
      </c>
      <c r="BK55" s="49">
        <f>IF(OR(N($BC55)=0,$BE55=""),"",IF(OR($AC55="HGC",$AP55="HGC"),"CONT",IF($BE55&lt;=60,2,IF($BE55&lt;=90,3,IF($BE55&lt;=120,4,5)))))</f>
        <v/>
      </c>
      <c r="BL55" s="49">
        <f>IF(N($BC55)=0,"",IF(OR($AL55="",$AL55="FLUSH"),"FLUSH",IFERROR(LEFT($AL55,FIND("-",$AL55)-1),LEFT($AL55,2))))</f>
        <v/>
      </c>
      <c r="BM55" s="49">
        <f>IF($BL55="","",IFERROR(VALUE(MID($AL55,FIND("-",$AL55)+1,FIND(CHAR(34)&amp;"x",$AL55)-FIND("-",$AL55)-1)),0))</f>
        <v/>
      </c>
      <c r="BN55" s="49">
        <f>IF($BL55="","",IFERROR(VALUE(MID($AL55,FIND(CHAR(34)&amp;"x",$AL55)+2,FIND(CHAR(34),$AL55,FIND(CHAR(34)&amp;"x",$AL55)+2)-FIND(CHAR(34)&amp;"x",$AL55)-2)),0))</f>
        <v/>
      </c>
      <c r="BO55" s="53">
        <f>IF(OR($A55="",$H55="",$H55="NO LAB"),0,IFERROR(VALUE(LEFT($H55,FIND(" ",$H55)-1)),0))</f>
        <v/>
      </c>
      <c r="BP55" s="54">
        <f>IF(OR($A55="",$I55="",$I55="NON-RATED",N($J55)=0),"",IFERROR(VLOOKUP($I55&amp;"|"&amp;$J55,IBC,2,FALSE),"?"))</f>
        <v/>
      </c>
      <c r="BQ55" s="50">
        <f>IF(NOT(AND($A55&lt;&gt;"",$C55&lt;&gt;"DOOR ONLY")),"",TRIM(IFERROR(VLOOKUP($U55,CODES,2,FALSE),"")&amp;" "&amp;$AZ55&amp;" "&amp;IFERROR(VLOOKUP($Z55,CODES,2,FALSE),"")&amp;" "&amp;IFERROR(VLOOKUP($X55,CODES,2,FALSE),"")&amp;" "&amp;IFERROR(VLOOKUP($S55,CODES,2,FALSE),"")&amp;IF(N($P55)&gt;0," w/TRANSOM "&amp;$P55&amp;CHAR(34),"")&amp;IF(N($Q55)&gt;0," w/SIDELITE "&amp;$Q55&amp;CHAR(34)&amp;" "&amp;IF($R55="","R",$R55),"")&amp;IF($Y55="","  |  "," | "&amp;IFERROR(VLOOKUP($Y55,CODES,2,FALSE),"")&amp;" | ")&amp;IFERROR(VLOOKUP($AC55,CODES,2,FALSE),"")&amp;" "&amp;IFERROR(VLOOKUP($AD55,CODES,2,FALSE),"")&amp;IF(OR($AE55="",$AE55="-"),""," "&amp;$AE55)&amp;IF(OR($AF55="",$AF55="-"),""," "&amp;$AF55)&amp;IF($AB55="Y"," 4"&amp;CHAR(34)&amp;" HEAD","")&amp;" "&amp;IFERROR(VLOOKUP($H55,CODES,2,FALSE),"")))</f>
        <v/>
      </c>
      <c r="BR55" s="50">
        <f>IF(NOT(AND($A55&lt;&gt;"",N($BC55)&gt;0)),"",TRIM(IFERROR(VLOOKUP($AH55,CODES,2,FALSE),"")&amp;IF($AI55=""," "," "&amp;$AI55&amp;"GA ")&amp;$AZ55&amp;" "&amp;IF($AN55="",IFERROR(VLOOKUP($Z55,CODES,2,FALSE),""),IFERROR(VLOOKUP($AN55,CODES,2,FALSE),""))&amp;IF($BC55=2," PAIR","")&amp;" DOOR | "&amp;IF($AL55="","?",$AL55)&amp;" | "&amp;IF($AP55="",IFERROR(VLOOKUP($AC55,CODES,2,FALSE),""),IFERROR(VLOOKUP($AP55,CODES,2,FALSE),""))&amp;" "&amp;IFERROR(VLOOKUP($AQ55,CODES,2,FALSE),"")&amp;IF(OR($AR55="",$AR55="-"),""," SEAM "&amp;$AR55)&amp;IF($AS55="Y"," ASTRAGAL","")&amp;IF($AJ55=""," "," "&amp;$AJ55)&amp;IF($AK55=""," "," "&amp;$AK55)&amp;IF($AO55="",""," "&amp;$AO55)&amp;IF($AM55=""," "," SERIES "&amp;$AM55)&amp;" "&amp;IFERROR(VLOOKUP($H55,CODES,2,FALSE),"")))</f>
        <v/>
      </c>
      <c r="BS55" s="49">
        <f>IF(BV55="","",IF(COUNTIF($BV$6:BV55,BV55)=1,MAX($BS$5:BS54)+1,INDEX($BS$5:BS54,MATCH(BV55,$BV$5:BV54,0))))</f>
        <v/>
      </c>
      <c r="BT55" s="49">
        <f>IF(NOT(AND($A55&lt;&gt;"",$C55&lt;&gt;"DOOR ONLY")),"",MAX($BT$5:BT54)+1)</f>
        <v/>
      </c>
      <c r="BU55" s="49">
        <f>IF(NOT(AND($A55&lt;&gt;"",N($BC55)&gt;0)),"",MAX($BU$5:BU54)+1)</f>
        <v/>
      </c>
      <c r="BV55" s="49">
        <f>IF(OR($A55="",$BA55="",$BB55=""),"",$AZ55&amp;"|"&amp;$O55&amp;"|"&amp;$AL55&amp;"|"&amp;$S55&amp;"|"&amp;$P55&amp;"|"&amp;$Q55&amp;$R55&amp;"|"&amp;$C55&amp;"|"&amp;$AB55)</f>
        <v/>
      </c>
      <c r="BW55" s="49">
        <f>IF($A55="","",IF($B55="","qty, ","")&amp;IF($C55="","scope, ","")&amp;IF(OR($K55="",$M55=""),"size, ","")&amp;IF(AND($A55&lt;&gt;"",$C55&lt;&gt;"DOOR ONLY"),IF($U55="","jamb depth, ","")&amp;IF($X55="","construction, ","")&amp;IF($Y55="","anchor, ","")&amp;IF($S55="","frame type, ",""),"")&amp;IF(AND(N($BC55)&gt;0,$Z55=""),"hand, ","")&amp;IF(N($BC55)&gt;0,IF($AH55="","door material, ","")&amp;IF($AL55="","face type, ","")&amp;IF($AQ55="","lock prep, ","")&amp;IF(AND($AP55="",$AC55=""),"hinge prep, ",""),"")&amp;IF(AND($BO55&gt;0,$AH55="FRP"),"FRP cannot carry a label, ","")&amp;IF(AND($O55="Y",OR($Z55="L",$Z55="R",$Z55="LR",$Z55="RR")),"pair marked but hand is single, ","")&amp;IF(AND($O55&lt;&gt;"Y",OR($Z55="PR",AND(LEN($Z55)&gt;1,ISNUMBER(SEARCH("-",$Z55))))),"pair hand on a single door, ","")&amp;IF(AND(ISNUMBER($BP55),$BO55&lt;N($BP55)),"wall needs a "&amp;$BP55&amp;" min door, ","")&amp;IF(AND($BO55&gt;=180,AND(OR($BL55="FG",$BL55="HG",$BL55="FNV",$BL55="FV"),N($BM55)*N($BN55)&gt;100)),"180 min lite over 100 sq in, ","")&amp;IF(N($BD55)&gt;48,"leaf wider than 4'-0"&amp;CHAR(34)&amp;", ",""))</f>
        <v/>
      </c>
      <c r="BX55" s="49">
        <f>IF($A55="","",IF(AND($BO55&gt;0,AND($A55&lt;&gt;"",$C55&lt;&gt;"DOOR ONLY"),$X55="KD",$E55="EXTERIOR"),"KD label on an exterior opening, ","")&amp;IF(AND($E55="EXTERIOR",OR(AND(AND($A55&lt;&gt;"",$C55&lt;&gt;"DOOR ONLY"),$W55="CR"),AND(N($BC55)&gt;0,$AH55="CR"))),"exterior in CR steel (G9?), ","")&amp;IF(AND(ISNUMBER($BJ55),N($BJ55)&lt;32),"clear width ~"&amp;TEXT($BJ55,"0.0")&amp;CHAR(34)&amp;" under 32"&amp;CHAR(34)&amp;" (ADA), ","")&amp;IF(AND($BO55=90,AND(OR($BL55="FG",$BL55="HG",$BL55="FNV",$BL55="FV"),N($BM55)*N($BN55)&gt;100)),"90 min lite over 100 sq in (stair/exit), ","")&amp;IF(AND($BO55&gt;0,AND($A55&lt;&gt;"",$C55&lt;&gt;"DOOR ONLY"),OR($AF55="",$AF55="-")),"rated: closer reinf.?, ","")&amp;IF(OR($I55="CORRIDOR",$I55="SMOKE BARRIER"),"S label + smoke gasketing, ","")&amp;IF($BP55="?","wall type/hr not in IBC table, ","")&amp;IF(AND(N($BC55)&gt;0,$AU55=""),"no hardware set, ","")&amp;IF(AND($AU55&lt;&gt;"",ISNA(MATCH($AU55,HWSets,0))),"set "&amp;$AU55&amp;" not on Hardware sheet, ","")&amp;IF(N($BE55)&gt;96,"leaf over 8'-0"&amp;CHAR(34)&amp;" - check listing, ",""))</f>
        <v/>
      </c>
    </row>
    <row r="56" ht="15" customHeight="1">
      <c r="A56" s="44" t="n"/>
      <c r="B56" s="45" t="n"/>
      <c r="C56" s="45" t="n"/>
      <c r="D56" s="45" t="n"/>
      <c r="E56" s="45" t="n"/>
      <c r="F56" s="45" t="n"/>
      <c r="G56" s="45" t="n"/>
      <c r="H56" s="45" t="n"/>
      <c r="I56" s="45" t="n"/>
      <c r="J56" s="45" t="n"/>
      <c r="K56" s="45" t="n"/>
      <c r="L56" s="45" t="n"/>
      <c r="M56" s="45" t="n"/>
      <c r="N56" s="45" t="n"/>
      <c r="O56" s="45" t="n"/>
      <c r="P56" s="45" t="n"/>
      <c r="Q56" s="45" t="n"/>
      <c r="R56" s="45" t="n"/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6" t="n"/>
      <c r="AB56" s="46" t="n"/>
      <c r="AC56" s="46" t="n"/>
      <c r="AD56" s="46" t="n"/>
      <c r="AE56" s="46" t="n"/>
      <c r="AF56" s="46" t="n"/>
      <c r="AG56" s="46" t="n"/>
      <c r="AH56" s="47" t="n"/>
      <c r="AI56" s="47" t="n"/>
      <c r="AJ56" s="47" t="n"/>
      <c r="AK56" s="47" t="n"/>
      <c r="AL56" s="47" t="n"/>
      <c r="AM56" s="47" t="n"/>
      <c r="AN56" s="47" t="n"/>
      <c r="AO56" s="47" t="n"/>
      <c r="AP56" s="47" t="n"/>
      <c r="AQ56" s="47" t="n"/>
      <c r="AR56" s="47" t="n"/>
      <c r="AS56" s="47" t="n"/>
      <c r="AT56" s="47" t="n"/>
      <c r="AU56" s="48" t="n"/>
      <c r="AV56" s="48" t="n"/>
      <c r="AW56" s="49">
        <f>IF($A56="","",IF($BW56&lt;&gt;"","FIX",IF($BX56&lt;&gt;"","CHECK","OK")))</f>
        <v/>
      </c>
      <c r="AX56" s="50">
        <f>IF($A56="","",IF($BW56&lt;&gt;"","FIX: "&amp;LEFT($BW56,LEN($BW56)-2)&amp;IF($BX56&lt;&gt;"","  ·  ",""),"")&amp;IF($BX56&lt;&gt;"","CHECK: "&amp;LEFT($BX56,LEN($BX56)-2),""))</f>
        <v/>
      </c>
      <c r="AY56" s="49">
        <f>IF(OR($A56="",$K56=""),"",$K56&amp;"'-"&amp;N($L56)&amp;CHAR(34)&amp;" x "&amp;$M56&amp;"'-"&amp;N($N56)&amp;CHAR(34))</f>
        <v/>
      </c>
      <c r="AZ56" s="49">
        <f>IF(OR($A56="",$K56=""),"",$K56&amp;N($L56)&amp;$M56&amp;N($N56))</f>
        <v/>
      </c>
      <c r="BA56" s="49">
        <f>IF(OR($A56="",$K56=""),"",$K56*12+N($L56))</f>
        <v/>
      </c>
      <c r="BB56" s="49">
        <f>IF(OR($A56="",$M56=""),"",$M56*12+N($N56))</f>
        <v/>
      </c>
      <c r="BC56" s="49">
        <f>IF($A56="","",IF(OR($C56="FRAME ONLY",$S56="BL"),0,IF($O56="Y",2,1)))</f>
        <v/>
      </c>
      <c r="BD56" s="51">
        <f>IF(OR(N($BC56)=0,$BA56=""),"",($BA56-2*EdgeClr-IF($BC56=2,MeetClr,0))/$BC56)</f>
        <v/>
      </c>
      <c r="BE56" s="51">
        <f>IF(OR(N($BC56)=0,$BB56=""),"",$BB56-HeadClr-Undercut)</f>
        <v/>
      </c>
      <c r="BF56" s="51">
        <f>IF($BA56="","",$BA56+2*FaceW+IF(N($Q56)&gt;0,($Q56+FaceW)*IF($R56="LR",2,1),0))</f>
        <v/>
      </c>
      <c r="BG56" s="51">
        <f>IF($BB56="","",$BB56+IF($AB56="Y",4,FaceW)+IF(N($P56)&gt;0,$P56+FaceW,0)+IF(OR($S56="4F",$S56="BL"),FaceW,0))</f>
        <v/>
      </c>
      <c r="BH56" s="51">
        <f>IF($BF56="","",$BF56+2*ROSide)</f>
        <v/>
      </c>
      <c r="BI56" s="51">
        <f>IF($BG56="","",$BG56+ROTop)</f>
        <v/>
      </c>
      <c r="BJ56" s="52">
        <f>IF(OR(N($BC56)=0,$BA56=""),"",$BA56/$BC56-ClearDeduct)</f>
        <v/>
      </c>
      <c r="BK56" s="49">
        <f>IF(OR(N($BC56)=0,$BE56=""),"",IF(OR($AC56="HGC",$AP56="HGC"),"CONT",IF($BE56&lt;=60,2,IF($BE56&lt;=90,3,IF($BE56&lt;=120,4,5)))))</f>
        <v/>
      </c>
      <c r="BL56" s="49">
        <f>IF(N($BC56)=0,"",IF(OR($AL56="",$AL56="FLUSH"),"FLUSH",IFERROR(LEFT($AL56,FIND("-",$AL56)-1),LEFT($AL56,2))))</f>
        <v/>
      </c>
      <c r="BM56" s="49">
        <f>IF($BL56="","",IFERROR(VALUE(MID($AL56,FIND("-",$AL56)+1,FIND(CHAR(34)&amp;"x",$AL56)-FIND("-",$AL56)-1)),0))</f>
        <v/>
      </c>
      <c r="BN56" s="49">
        <f>IF($BL56="","",IFERROR(VALUE(MID($AL56,FIND(CHAR(34)&amp;"x",$AL56)+2,FIND(CHAR(34),$AL56,FIND(CHAR(34)&amp;"x",$AL56)+2)-FIND(CHAR(34)&amp;"x",$AL56)-2)),0))</f>
        <v/>
      </c>
      <c r="BO56" s="53">
        <f>IF(OR($A56="",$H56="",$H56="NO LAB"),0,IFERROR(VALUE(LEFT($H56,FIND(" ",$H56)-1)),0))</f>
        <v/>
      </c>
      <c r="BP56" s="54">
        <f>IF(OR($A56="",$I56="",$I56="NON-RATED",N($J56)=0),"",IFERROR(VLOOKUP($I56&amp;"|"&amp;$J56,IBC,2,FALSE),"?"))</f>
        <v/>
      </c>
      <c r="BQ56" s="50">
        <f>IF(NOT(AND($A56&lt;&gt;"",$C56&lt;&gt;"DOOR ONLY")),"",TRIM(IFERROR(VLOOKUP($U56,CODES,2,FALSE),"")&amp;" "&amp;$AZ56&amp;" "&amp;IFERROR(VLOOKUP($Z56,CODES,2,FALSE),"")&amp;" "&amp;IFERROR(VLOOKUP($X56,CODES,2,FALSE),"")&amp;" "&amp;IFERROR(VLOOKUP($S56,CODES,2,FALSE),"")&amp;IF(N($P56)&gt;0," w/TRANSOM "&amp;$P56&amp;CHAR(34),"")&amp;IF(N($Q56)&gt;0," w/SIDELITE "&amp;$Q56&amp;CHAR(34)&amp;" "&amp;IF($R56="","R",$R56),"")&amp;IF($Y56="","  |  "," | "&amp;IFERROR(VLOOKUP($Y56,CODES,2,FALSE),"")&amp;" | ")&amp;IFERROR(VLOOKUP($AC56,CODES,2,FALSE),"")&amp;" "&amp;IFERROR(VLOOKUP($AD56,CODES,2,FALSE),"")&amp;IF(OR($AE56="",$AE56="-"),""," "&amp;$AE56)&amp;IF(OR($AF56="",$AF56="-"),""," "&amp;$AF56)&amp;IF($AB56="Y"," 4"&amp;CHAR(34)&amp;" HEAD","")&amp;" "&amp;IFERROR(VLOOKUP($H56,CODES,2,FALSE),"")))</f>
        <v/>
      </c>
      <c r="BR56" s="50">
        <f>IF(NOT(AND($A56&lt;&gt;"",N($BC56)&gt;0)),"",TRIM(IFERROR(VLOOKUP($AH56,CODES,2,FALSE),"")&amp;IF($AI56=""," "," "&amp;$AI56&amp;"GA ")&amp;$AZ56&amp;" "&amp;IF($AN56="",IFERROR(VLOOKUP($Z56,CODES,2,FALSE),""),IFERROR(VLOOKUP($AN56,CODES,2,FALSE),""))&amp;IF($BC56=2," PAIR","")&amp;" DOOR | "&amp;IF($AL56="","?",$AL56)&amp;" | "&amp;IF($AP56="",IFERROR(VLOOKUP($AC56,CODES,2,FALSE),""),IFERROR(VLOOKUP($AP56,CODES,2,FALSE),""))&amp;" "&amp;IFERROR(VLOOKUP($AQ56,CODES,2,FALSE),"")&amp;IF(OR($AR56="",$AR56="-"),""," SEAM "&amp;$AR56)&amp;IF($AS56="Y"," ASTRAGAL","")&amp;IF($AJ56=""," "," "&amp;$AJ56)&amp;IF($AK56=""," "," "&amp;$AK56)&amp;IF($AO56="",""," "&amp;$AO56)&amp;IF($AM56=""," "," SERIES "&amp;$AM56)&amp;" "&amp;IFERROR(VLOOKUP($H56,CODES,2,FALSE),"")))</f>
        <v/>
      </c>
      <c r="BS56" s="49">
        <f>IF(BV56="","",IF(COUNTIF($BV$6:BV56,BV56)=1,MAX($BS$5:BS55)+1,INDEX($BS$5:BS55,MATCH(BV56,$BV$5:BV55,0))))</f>
        <v/>
      </c>
      <c r="BT56" s="49">
        <f>IF(NOT(AND($A56&lt;&gt;"",$C56&lt;&gt;"DOOR ONLY")),"",MAX($BT$5:BT55)+1)</f>
        <v/>
      </c>
      <c r="BU56" s="49">
        <f>IF(NOT(AND($A56&lt;&gt;"",N($BC56)&gt;0)),"",MAX($BU$5:BU55)+1)</f>
        <v/>
      </c>
      <c r="BV56" s="49">
        <f>IF(OR($A56="",$BA56="",$BB56=""),"",$AZ56&amp;"|"&amp;$O56&amp;"|"&amp;$AL56&amp;"|"&amp;$S56&amp;"|"&amp;$P56&amp;"|"&amp;$Q56&amp;$R56&amp;"|"&amp;$C56&amp;"|"&amp;$AB56)</f>
        <v/>
      </c>
      <c r="BW56" s="49">
        <f>IF($A56="","",IF($B56="","qty, ","")&amp;IF($C56="","scope, ","")&amp;IF(OR($K56="",$M56=""),"size, ","")&amp;IF(AND($A56&lt;&gt;"",$C56&lt;&gt;"DOOR ONLY"),IF($U56="","jamb depth, ","")&amp;IF($X56="","construction, ","")&amp;IF($Y56="","anchor, ","")&amp;IF($S56="","frame type, ",""),"")&amp;IF(AND(N($BC56)&gt;0,$Z56=""),"hand, ","")&amp;IF(N($BC56)&gt;0,IF($AH56="","door material, ","")&amp;IF($AL56="","face type, ","")&amp;IF($AQ56="","lock prep, ","")&amp;IF(AND($AP56="",$AC56=""),"hinge prep, ",""),"")&amp;IF(AND($BO56&gt;0,$AH56="FRP"),"FRP cannot carry a label, ","")&amp;IF(AND($O56="Y",OR($Z56="L",$Z56="R",$Z56="LR",$Z56="RR")),"pair marked but hand is single, ","")&amp;IF(AND($O56&lt;&gt;"Y",OR($Z56="PR",AND(LEN($Z56)&gt;1,ISNUMBER(SEARCH("-",$Z56))))),"pair hand on a single door, ","")&amp;IF(AND(ISNUMBER($BP56),$BO56&lt;N($BP56)),"wall needs a "&amp;$BP56&amp;" min door, ","")&amp;IF(AND($BO56&gt;=180,AND(OR($BL56="FG",$BL56="HG",$BL56="FNV",$BL56="FV"),N($BM56)*N($BN56)&gt;100)),"180 min lite over 100 sq in, ","")&amp;IF(N($BD56)&gt;48,"leaf wider than 4'-0"&amp;CHAR(34)&amp;", ",""))</f>
        <v/>
      </c>
      <c r="BX56" s="49">
        <f>IF($A56="","",IF(AND($BO56&gt;0,AND($A56&lt;&gt;"",$C56&lt;&gt;"DOOR ONLY"),$X56="KD",$E56="EXTERIOR"),"KD label on an exterior opening, ","")&amp;IF(AND($E56="EXTERIOR",OR(AND(AND($A56&lt;&gt;"",$C56&lt;&gt;"DOOR ONLY"),$W56="CR"),AND(N($BC56)&gt;0,$AH56="CR"))),"exterior in CR steel (G9?), ","")&amp;IF(AND(ISNUMBER($BJ56),N($BJ56)&lt;32),"clear width ~"&amp;TEXT($BJ56,"0.0")&amp;CHAR(34)&amp;" under 32"&amp;CHAR(34)&amp;" (ADA), ","")&amp;IF(AND($BO56=90,AND(OR($BL56="FG",$BL56="HG",$BL56="FNV",$BL56="FV"),N($BM56)*N($BN56)&gt;100)),"90 min lite over 100 sq in (stair/exit), ","")&amp;IF(AND($BO56&gt;0,AND($A56&lt;&gt;"",$C56&lt;&gt;"DOOR ONLY"),OR($AF56="",$AF56="-")),"rated: closer reinf.?, ","")&amp;IF(OR($I56="CORRIDOR",$I56="SMOKE BARRIER"),"S label + smoke gasketing, ","")&amp;IF($BP56="?","wall type/hr not in IBC table, ","")&amp;IF(AND(N($BC56)&gt;0,$AU56=""),"no hardware set, ","")&amp;IF(AND($AU56&lt;&gt;"",ISNA(MATCH($AU56,HWSets,0))),"set "&amp;$AU56&amp;" not on Hardware sheet, ","")&amp;IF(N($BE56)&gt;96,"leaf over 8'-0"&amp;CHAR(34)&amp;" - check listing, ",""))</f>
        <v/>
      </c>
    </row>
    <row r="57" ht="15" customHeight="1">
      <c r="A57" s="44" t="n"/>
      <c r="B57" s="45" t="n"/>
      <c r="C57" s="45" t="n"/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45" t="n"/>
      <c r="N57" s="45" t="n"/>
      <c r="O57" s="45" t="n"/>
      <c r="P57" s="45" t="n"/>
      <c r="Q57" s="45" t="n"/>
      <c r="R57" s="45" t="n"/>
      <c r="S57" s="46" t="n"/>
      <c r="T57" s="46" t="n"/>
      <c r="U57" s="46" t="n"/>
      <c r="V57" s="46" t="n"/>
      <c r="W57" s="46" t="n"/>
      <c r="X57" s="46" t="n"/>
      <c r="Y57" s="46" t="n"/>
      <c r="Z57" s="46" t="n"/>
      <c r="AA57" s="46" t="n"/>
      <c r="AB57" s="46" t="n"/>
      <c r="AC57" s="46" t="n"/>
      <c r="AD57" s="46" t="n"/>
      <c r="AE57" s="46" t="n"/>
      <c r="AF57" s="46" t="n"/>
      <c r="AG57" s="46" t="n"/>
      <c r="AH57" s="47" t="n"/>
      <c r="AI57" s="47" t="n"/>
      <c r="AJ57" s="47" t="n"/>
      <c r="AK57" s="47" t="n"/>
      <c r="AL57" s="47" t="n"/>
      <c r="AM57" s="47" t="n"/>
      <c r="AN57" s="47" t="n"/>
      <c r="AO57" s="47" t="n"/>
      <c r="AP57" s="47" t="n"/>
      <c r="AQ57" s="47" t="n"/>
      <c r="AR57" s="47" t="n"/>
      <c r="AS57" s="47" t="n"/>
      <c r="AT57" s="47" t="n"/>
      <c r="AU57" s="48" t="n"/>
      <c r="AV57" s="48" t="n"/>
      <c r="AW57" s="49">
        <f>IF($A57="","",IF($BW57&lt;&gt;"","FIX",IF($BX57&lt;&gt;"","CHECK","OK")))</f>
        <v/>
      </c>
      <c r="AX57" s="50">
        <f>IF($A57="","",IF($BW57&lt;&gt;"","FIX: "&amp;LEFT($BW57,LEN($BW57)-2)&amp;IF($BX57&lt;&gt;"","  ·  ",""),"")&amp;IF($BX57&lt;&gt;"","CHECK: "&amp;LEFT($BX57,LEN($BX57)-2),""))</f>
        <v/>
      </c>
      <c r="AY57" s="49">
        <f>IF(OR($A57="",$K57=""),"",$K57&amp;"'-"&amp;N($L57)&amp;CHAR(34)&amp;" x "&amp;$M57&amp;"'-"&amp;N($N57)&amp;CHAR(34))</f>
        <v/>
      </c>
      <c r="AZ57" s="49">
        <f>IF(OR($A57="",$K57=""),"",$K57&amp;N($L57)&amp;$M57&amp;N($N57))</f>
        <v/>
      </c>
      <c r="BA57" s="49">
        <f>IF(OR($A57="",$K57=""),"",$K57*12+N($L57))</f>
        <v/>
      </c>
      <c r="BB57" s="49">
        <f>IF(OR($A57="",$M57=""),"",$M57*12+N($N57))</f>
        <v/>
      </c>
      <c r="BC57" s="49">
        <f>IF($A57="","",IF(OR($C57="FRAME ONLY",$S57="BL"),0,IF($O57="Y",2,1)))</f>
        <v/>
      </c>
      <c r="BD57" s="51">
        <f>IF(OR(N($BC57)=0,$BA57=""),"",($BA57-2*EdgeClr-IF($BC57=2,MeetClr,0))/$BC57)</f>
        <v/>
      </c>
      <c r="BE57" s="51">
        <f>IF(OR(N($BC57)=0,$BB57=""),"",$BB57-HeadClr-Undercut)</f>
        <v/>
      </c>
      <c r="BF57" s="51">
        <f>IF($BA57="","",$BA57+2*FaceW+IF(N($Q57)&gt;0,($Q57+FaceW)*IF($R57="LR",2,1),0))</f>
        <v/>
      </c>
      <c r="BG57" s="51">
        <f>IF($BB57="","",$BB57+IF($AB57="Y",4,FaceW)+IF(N($P57)&gt;0,$P57+FaceW,0)+IF(OR($S57="4F",$S57="BL"),FaceW,0))</f>
        <v/>
      </c>
      <c r="BH57" s="51">
        <f>IF($BF57="","",$BF57+2*ROSide)</f>
        <v/>
      </c>
      <c r="BI57" s="51">
        <f>IF($BG57="","",$BG57+ROTop)</f>
        <v/>
      </c>
      <c r="BJ57" s="52">
        <f>IF(OR(N($BC57)=0,$BA57=""),"",$BA57/$BC57-ClearDeduct)</f>
        <v/>
      </c>
      <c r="BK57" s="49">
        <f>IF(OR(N($BC57)=0,$BE57=""),"",IF(OR($AC57="HGC",$AP57="HGC"),"CONT",IF($BE57&lt;=60,2,IF($BE57&lt;=90,3,IF($BE57&lt;=120,4,5)))))</f>
        <v/>
      </c>
      <c r="BL57" s="49">
        <f>IF(N($BC57)=0,"",IF(OR($AL57="",$AL57="FLUSH"),"FLUSH",IFERROR(LEFT($AL57,FIND("-",$AL57)-1),LEFT($AL57,2))))</f>
        <v/>
      </c>
      <c r="BM57" s="49">
        <f>IF($BL57="","",IFERROR(VALUE(MID($AL57,FIND("-",$AL57)+1,FIND(CHAR(34)&amp;"x",$AL57)-FIND("-",$AL57)-1)),0))</f>
        <v/>
      </c>
      <c r="BN57" s="49">
        <f>IF($BL57="","",IFERROR(VALUE(MID($AL57,FIND(CHAR(34)&amp;"x",$AL57)+2,FIND(CHAR(34),$AL57,FIND(CHAR(34)&amp;"x",$AL57)+2)-FIND(CHAR(34)&amp;"x",$AL57)-2)),0))</f>
        <v/>
      </c>
      <c r="BO57" s="53">
        <f>IF(OR($A57="",$H57="",$H57="NO LAB"),0,IFERROR(VALUE(LEFT($H57,FIND(" ",$H57)-1)),0))</f>
        <v/>
      </c>
      <c r="BP57" s="54">
        <f>IF(OR($A57="",$I57="",$I57="NON-RATED",N($J57)=0),"",IFERROR(VLOOKUP($I57&amp;"|"&amp;$J57,IBC,2,FALSE),"?"))</f>
        <v/>
      </c>
      <c r="BQ57" s="50">
        <f>IF(NOT(AND($A57&lt;&gt;"",$C57&lt;&gt;"DOOR ONLY")),"",TRIM(IFERROR(VLOOKUP($U57,CODES,2,FALSE),"")&amp;" "&amp;$AZ57&amp;" "&amp;IFERROR(VLOOKUP($Z57,CODES,2,FALSE),"")&amp;" "&amp;IFERROR(VLOOKUP($X57,CODES,2,FALSE),"")&amp;" "&amp;IFERROR(VLOOKUP($S57,CODES,2,FALSE),"")&amp;IF(N($P57)&gt;0," w/TRANSOM "&amp;$P57&amp;CHAR(34),"")&amp;IF(N($Q57)&gt;0," w/SIDELITE "&amp;$Q57&amp;CHAR(34)&amp;" "&amp;IF($R57="","R",$R57),"")&amp;IF($Y57="","  |  "," | "&amp;IFERROR(VLOOKUP($Y57,CODES,2,FALSE),"")&amp;" | ")&amp;IFERROR(VLOOKUP($AC57,CODES,2,FALSE),"")&amp;" "&amp;IFERROR(VLOOKUP($AD57,CODES,2,FALSE),"")&amp;IF(OR($AE57="",$AE57="-"),""," "&amp;$AE57)&amp;IF(OR($AF57="",$AF57="-"),""," "&amp;$AF57)&amp;IF($AB57="Y"," 4"&amp;CHAR(34)&amp;" HEAD","")&amp;" "&amp;IFERROR(VLOOKUP($H57,CODES,2,FALSE),"")))</f>
        <v/>
      </c>
      <c r="BR57" s="50">
        <f>IF(NOT(AND($A57&lt;&gt;"",N($BC57)&gt;0)),"",TRIM(IFERROR(VLOOKUP($AH57,CODES,2,FALSE),"")&amp;IF($AI57=""," "," "&amp;$AI57&amp;"GA ")&amp;$AZ57&amp;" "&amp;IF($AN57="",IFERROR(VLOOKUP($Z57,CODES,2,FALSE),""),IFERROR(VLOOKUP($AN57,CODES,2,FALSE),""))&amp;IF($BC57=2," PAIR","")&amp;" DOOR | "&amp;IF($AL57="","?",$AL57)&amp;" | "&amp;IF($AP57="",IFERROR(VLOOKUP($AC57,CODES,2,FALSE),""),IFERROR(VLOOKUP($AP57,CODES,2,FALSE),""))&amp;" "&amp;IFERROR(VLOOKUP($AQ57,CODES,2,FALSE),"")&amp;IF(OR($AR57="",$AR57="-"),""," SEAM "&amp;$AR57)&amp;IF($AS57="Y"," ASTRAGAL","")&amp;IF($AJ57=""," "," "&amp;$AJ57)&amp;IF($AK57=""," "," "&amp;$AK57)&amp;IF($AO57="",""," "&amp;$AO57)&amp;IF($AM57=""," "," SERIES "&amp;$AM57)&amp;" "&amp;IFERROR(VLOOKUP($H57,CODES,2,FALSE),"")))</f>
        <v/>
      </c>
      <c r="BS57" s="49">
        <f>IF(BV57="","",IF(COUNTIF($BV$6:BV57,BV57)=1,MAX($BS$5:BS56)+1,INDEX($BS$5:BS56,MATCH(BV57,$BV$5:BV56,0))))</f>
        <v/>
      </c>
      <c r="BT57" s="49">
        <f>IF(NOT(AND($A57&lt;&gt;"",$C57&lt;&gt;"DOOR ONLY")),"",MAX($BT$5:BT56)+1)</f>
        <v/>
      </c>
      <c r="BU57" s="49">
        <f>IF(NOT(AND($A57&lt;&gt;"",N($BC57)&gt;0)),"",MAX($BU$5:BU56)+1)</f>
        <v/>
      </c>
      <c r="BV57" s="49">
        <f>IF(OR($A57="",$BA57="",$BB57=""),"",$AZ57&amp;"|"&amp;$O57&amp;"|"&amp;$AL57&amp;"|"&amp;$S57&amp;"|"&amp;$P57&amp;"|"&amp;$Q57&amp;$R57&amp;"|"&amp;$C57&amp;"|"&amp;$AB57)</f>
        <v/>
      </c>
      <c r="BW57" s="49">
        <f>IF($A57="","",IF($B57="","qty, ","")&amp;IF($C57="","scope, ","")&amp;IF(OR($K57="",$M57=""),"size, ","")&amp;IF(AND($A57&lt;&gt;"",$C57&lt;&gt;"DOOR ONLY"),IF($U57="","jamb depth, ","")&amp;IF($X57="","construction, ","")&amp;IF($Y57="","anchor, ","")&amp;IF($S57="","frame type, ",""),"")&amp;IF(AND(N($BC57)&gt;0,$Z57=""),"hand, ","")&amp;IF(N($BC57)&gt;0,IF($AH57="","door material, ","")&amp;IF($AL57="","face type, ","")&amp;IF($AQ57="","lock prep, ","")&amp;IF(AND($AP57="",$AC57=""),"hinge prep, ",""),"")&amp;IF(AND($BO57&gt;0,$AH57="FRP"),"FRP cannot carry a label, ","")&amp;IF(AND($O57="Y",OR($Z57="L",$Z57="R",$Z57="LR",$Z57="RR")),"pair marked but hand is single, ","")&amp;IF(AND($O57&lt;&gt;"Y",OR($Z57="PR",AND(LEN($Z57)&gt;1,ISNUMBER(SEARCH("-",$Z57))))),"pair hand on a single door, ","")&amp;IF(AND(ISNUMBER($BP57),$BO57&lt;N($BP57)),"wall needs a "&amp;$BP57&amp;" min door, ","")&amp;IF(AND($BO57&gt;=180,AND(OR($BL57="FG",$BL57="HG",$BL57="FNV",$BL57="FV"),N($BM57)*N($BN57)&gt;100)),"180 min lite over 100 sq in, ","")&amp;IF(N($BD57)&gt;48,"leaf wider than 4'-0"&amp;CHAR(34)&amp;", ",""))</f>
        <v/>
      </c>
      <c r="BX57" s="49">
        <f>IF($A57="","",IF(AND($BO57&gt;0,AND($A57&lt;&gt;"",$C57&lt;&gt;"DOOR ONLY"),$X57="KD",$E57="EXTERIOR"),"KD label on an exterior opening, ","")&amp;IF(AND($E57="EXTERIOR",OR(AND(AND($A57&lt;&gt;"",$C57&lt;&gt;"DOOR ONLY"),$W57="CR"),AND(N($BC57)&gt;0,$AH57="CR"))),"exterior in CR steel (G9?), ","")&amp;IF(AND(ISNUMBER($BJ57),N($BJ57)&lt;32),"clear width ~"&amp;TEXT($BJ57,"0.0")&amp;CHAR(34)&amp;" under 32"&amp;CHAR(34)&amp;" (ADA), ","")&amp;IF(AND($BO57=90,AND(OR($BL57="FG",$BL57="HG",$BL57="FNV",$BL57="FV"),N($BM57)*N($BN57)&gt;100)),"90 min lite over 100 sq in (stair/exit), ","")&amp;IF(AND($BO57&gt;0,AND($A57&lt;&gt;"",$C57&lt;&gt;"DOOR ONLY"),OR($AF57="",$AF57="-")),"rated: closer reinf.?, ","")&amp;IF(OR($I57="CORRIDOR",$I57="SMOKE BARRIER"),"S label + smoke gasketing, ","")&amp;IF($BP57="?","wall type/hr not in IBC table, ","")&amp;IF(AND(N($BC57)&gt;0,$AU57=""),"no hardware set, ","")&amp;IF(AND($AU57&lt;&gt;"",ISNA(MATCH($AU57,HWSets,0))),"set "&amp;$AU57&amp;" not on Hardware sheet, ","")&amp;IF(N($BE57)&gt;96,"leaf over 8'-0"&amp;CHAR(34)&amp;" - check listing, ",""))</f>
        <v/>
      </c>
    </row>
    <row r="58" ht="15" customHeight="1">
      <c r="A58" s="44" t="n"/>
      <c r="B58" s="45" t="n"/>
      <c r="C58" s="45" t="n"/>
      <c r="D58" s="45" t="n"/>
      <c r="E58" s="45" t="n"/>
      <c r="F58" s="45" t="n"/>
      <c r="G58" s="45" t="n"/>
      <c r="H58" s="45" t="n"/>
      <c r="I58" s="45" t="n"/>
      <c r="J58" s="45" t="n"/>
      <c r="K58" s="45" t="n"/>
      <c r="L58" s="45" t="n"/>
      <c r="M58" s="45" t="n"/>
      <c r="N58" s="45" t="n"/>
      <c r="O58" s="45" t="n"/>
      <c r="P58" s="45" t="n"/>
      <c r="Q58" s="45" t="n"/>
      <c r="R58" s="45" t="n"/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6" t="n"/>
      <c r="AB58" s="46" t="n"/>
      <c r="AC58" s="46" t="n"/>
      <c r="AD58" s="46" t="n"/>
      <c r="AE58" s="46" t="n"/>
      <c r="AF58" s="46" t="n"/>
      <c r="AG58" s="46" t="n"/>
      <c r="AH58" s="47" t="n"/>
      <c r="AI58" s="47" t="n"/>
      <c r="AJ58" s="47" t="n"/>
      <c r="AK58" s="47" t="n"/>
      <c r="AL58" s="47" t="n"/>
      <c r="AM58" s="47" t="n"/>
      <c r="AN58" s="47" t="n"/>
      <c r="AO58" s="47" t="n"/>
      <c r="AP58" s="47" t="n"/>
      <c r="AQ58" s="47" t="n"/>
      <c r="AR58" s="47" t="n"/>
      <c r="AS58" s="47" t="n"/>
      <c r="AT58" s="47" t="n"/>
      <c r="AU58" s="48" t="n"/>
      <c r="AV58" s="48" t="n"/>
      <c r="AW58" s="49">
        <f>IF($A58="","",IF($BW58&lt;&gt;"","FIX",IF($BX58&lt;&gt;"","CHECK","OK")))</f>
        <v/>
      </c>
      <c r="AX58" s="50">
        <f>IF($A58="","",IF($BW58&lt;&gt;"","FIX: "&amp;LEFT($BW58,LEN($BW58)-2)&amp;IF($BX58&lt;&gt;"","  ·  ",""),"")&amp;IF($BX58&lt;&gt;"","CHECK: "&amp;LEFT($BX58,LEN($BX58)-2),""))</f>
        <v/>
      </c>
      <c r="AY58" s="49">
        <f>IF(OR($A58="",$K58=""),"",$K58&amp;"'-"&amp;N($L58)&amp;CHAR(34)&amp;" x "&amp;$M58&amp;"'-"&amp;N($N58)&amp;CHAR(34))</f>
        <v/>
      </c>
      <c r="AZ58" s="49">
        <f>IF(OR($A58="",$K58=""),"",$K58&amp;N($L58)&amp;$M58&amp;N($N58))</f>
        <v/>
      </c>
      <c r="BA58" s="49">
        <f>IF(OR($A58="",$K58=""),"",$K58*12+N($L58))</f>
        <v/>
      </c>
      <c r="BB58" s="49">
        <f>IF(OR($A58="",$M58=""),"",$M58*12+N($N58))</f>
        <v/>
      </c>
      <c r="BC58" s="49">
        <f>IF($A58="","",IF(OR($C58="FRAME ONLY",$S58="BL"),0,IF($O58="Y",2,1)))</f>
        <v/>
      </c>
      <c r="BD58" s="51">
        <f>IF(OR(N($BC58)=0,$BA58=""),"",($BA58-2*EdgeClr-IF($BC58=2,MeetClr,0))/$BC58)</f>
        <v/>
      </c>
      <c r="BE58" s="51">
        <f>IF(OR(N($BC58)=0,$BB58=""),"",$BB58-HeadClr-Undercut)</f>
        <v/>
      </c>
      <c r="BF58" s="51">
        <f>IF($BA58="","",$BA58+2*FaceW+IF(N($Q58)&gt;0,($Q58+FaceW)*IF($R58="LR",2,1),0))</f>
        <v/>
      </c>
      <c r="BG58" s="51">
        <f>IF($BB58="","",$BB58+IF($AB58="Y",4,FaceW)+IF(N($P58)&gt;0,$P58+FaceW,0)+IF(OR($S58="4F",$S58="BL"),FaceW,0))</f>
        <v/>
      </c>
      <c r="BH58" s="51">
        <f>IF($BF58="","",$BF58+2*ROSide)</f>
        <v/>
      </c>
      <c r="BI58" s="51">
        <f>IF($BG58="","",$BG58+ROTop)</f>
        <v/>
      </c>
      <c r="BJ58" s="52">
        <f>IF(OR(N($BC58)=0,$BA58=""),"",$BA58/$BC58-ClearDeduct)</f>
        <v/>
      </c>
      <c r="BK58" s="49">
        <f>IF(OR(N($BC58)=0,$BE58=""),"",IF(OR($AC58="HGC",$AP58="HGC"),"CONT",IF($BE58&lt;=60,2,IF($BE58&lt;=90,3,IF($BE58&lt;=120,4,5)))))</f>
        <v/>
      </c>
      <c r="BL58" s="49">
        <f>IF(N($BC58)=0,"",IF(OR($AL58="",$AL58="FLUSH"),"FLUSH",IFERROR(LEFT($AL58,FIND("-",$AL58)-1),LEFT($AL58,2))))</f>
        <v/>
      </c>
      <c r="BM58" s="49">
        <f>IF($BL58="","",IFERROR(VALUE(MID($AL58,FIND("-",$AL58)+1,FIND(CHAR(34)&amp;"x",$AL58)-FIND("-",$AL58)-1)),0))</f>
        <v/>
      </c>
      <c r="BN58" s="49">
        <f>IF($BL58="","",IFERROR(VALUE(MID($AL58,FIND(CHAR(34)&amp;"x",$AL58)+2,FIND(CHAR(34),$AL58,FIND(CHAR(34)&amp;"x",$AL58)+2)-FIND(CHAR(34)&amp;"x",$AL58)-2)),0))</f>
        <v/>
      </c>
      <c r="BO58" s="53">
        <f>IF(OR($A58="",$H58="",$H58="NO LAB"),0,IFERROR(VALUE(LEFT($H58,FIND(" ",$H58)-1)),0))</f>
        <v/>
      </c>
      <c r="BP58" s="54">
        <f>IF(OR($A58="",$I58="",$I58="NON-RATED",N($J58)=0),"",IFERROR(VLOOKUP($I58&amp;"|"&amp;$J58,IBC,2,FALSE),"?"))</f>
        <v/>
      </c>
      <c r="BQ58" s="50">
        <f>IF(NOT(AND($A58&lt;&gt;"",$C58&lt;&gt;"DOOR ONLY")),"",TRIM(IFERROR(VLOOKUP($U58,CODES,2,FALSE),"")&amp;" "&amp;$AZ58&amp;" "&amp;IFERROR(VLOOKUP($Z58,CODES,2,FALSE),"")&amp;" "&amp;IFERROR(VLOOKUP($X58,CODES,2,FALSE),"")&amp;" "&amp;IFERROR(VLOOKUP($S58,CODES,2,FALSE),"")&amp;IF(N($P58)&gt;0," w/TRANSOM "&amp;$P58&amp;CHAR(34),"")&amp;IF(N($Q58)&gt;0," w/SIDELITE "&amp;$Q58&amp;CHAR(34)&amp;" "&amp;IF($R58="","R",$R58),"")&amp;IF($Y58="","  |  "," | "&amp;IFERROR(VLOOKUP($Y58,CODES,2,FALSE),"")&amp;" | ")&amp;IFERROR(VLOOKUP($AC58,CODES,2,FALSE),"")&amp;" "&amp;IFERROR(VLOOKUP($AD58,CODES,2,FALSE),"")&amp;IF(OR($AE58="",$AE58="-"),""," "&amp;$AE58)&amp;IF(OR($AF58="",$AF58="-"),""," "&amp;$AF58)&amp;IF($AB58="Y"," 4"&amp;CHAR(34)&amp;" HEAD","")&amp;" "&amp;IFERROR(VLOOKUP($H58,CODES,2,FALSE),"")))</f>
        <v/>
      </c>
      <c r="BR58" s="50">
        <f>IF(NOT(AND($A58&lt;&gt;"",N($BC58)&gt;0)),"",TRIM(IFERROR(VLOOKUP($AH58,CODES,2,FALSE),"")&amp;IF($AI58=""," "," "&amp;$AI58&amp;"GA ")&amp;$AZ58&amp;" "&amp;IF($AN58="",IFERROR(VLOOKUP($Z58,CODES,2,FALSE),""),IFERROR(VLOOKUP($AN58,CODES,2,FALSE),""))&amp;IF($BC58=2," PAIR","")&amp;" DOOR | "&amp;IF($AL58="","?",$AL58)&amp;" | "&amp;IF($AP58="",IFERROR(VLOOKUP($AC58,CODES,2,FALSE),""),IFERROR(VLOOKUP($AP58,CODES,2,FALSE),""))&amp;" "&amp;IFERROR(VLOOKUP($AQ58,CODES,2,FALSE),"")&amp;IF(OR($AR58="",$AR58="-"),""," SEAM "&amp;$AR58)&amp;IF($AS58="Y"," ASTRAGAL","")&amp;IF($AJ58=""," "," "&amp;$AJ58)&amp;IF($AK58=""," "," "&amp;$AK58)&amp;IF($AO58="",""," "&amp;$AO58)&amp;IF($AM58=""," "," SERIES "&amp;$AM58)&amp;" "&amp;IFERROR(VLOOKUP($H58,CODES,2,FALSE),"")))</f>
        <v/>
      </c>
      <c r="BS58" s="49">
        <f>IF(BV58="","",IF(COUNTIF($BV$6:BV58,BV58)=1,MAX($BS$5:BS57)+1,INDEX($BS$5:BS57,MATCH(BV58,$BV$5:BV57,0))))</f>
        <v/>
      </c>
      <c r="BT58" s="49">
        <f>IF(NOT(AND($A58&lt;&gt;"",$C58&lt;&gt;"DOOR ONLY")),"",MAX($BT$5:BT57)+1)</f>
        <v/>
      </c>
      <c r="BU58" s="49">
        <f>IF(NOT(AND($A58&lt;&gt;"",N($BC58)&gt;0)),"",MAX($BU$5:BU57)+1)</f>
        <v/>
      </c>
      <c r="BV58" s="49">
        <f>IF(OR($A58="",$BA58="",$BB58=""),"",$AZ58&amp;"|"&amp;$O58&amp;"|"&amp;$AL58&amp;"|"&amp;$S58&amp;"|"&amp;$P58&amp;"|"&amp;$Q58&amp;$R58&amp;"|"&amp;$C58&amp;"|"&amp;$AB58)</f>
        <v/>
      </c>
      <c r="BW58" s="49">
        <f>IF($A58="","",IF($B58="","qty, ","")&amp;IF($C58="","scope, ","")&amp;IF(OR($K58="",$M58=""),"size, ","")&amp;IF(AND($A58&lt;&gt;"",$C58&lt;&gt;"DOOR ONLY"),IF($U58="","jamb depth, ","")&amp;IF($X58="","construction, ","")&amp;IF($Y58="","anchor, ","")&amp;IF($S58="","frame type, ",""),"")&amp;IF(AND(N($BC58)&gt;0,$Z58=""),"hand, ","")&amp;IF(N($BC58)&gt;0,IF($AH58="","door material, ","")&amp;IF($AL58="","face type, ","")&amp;IF($AQ58="","lock prep, ","")&amp;IF(AND($AP58="",$AC58=""),"hinge prep, ",""),"")&amp;IF(AND($BO58&gt;0,$AH58="FRP"),"FRP cannot carry a label, ","")&amp;IF(AND($O58="Y",OR($Z58="L",$Z58="R",$Z58="LR",$Z58="RR")),"pair marked but hand is single, ","")&amp;IF(AND($O58&lt;&gt;"Y",OR($Z58="PR",AND(LEN($Z58)&gt;1,ISNUMBER(SEARCH("-",$Z58))))),"pair hand on a single door, ","")&amp;IF(AND(ISNUMBER($BP58),$BO58&lt;N($BP58)),"wall needs a "&amp;$BP58&amp;" min door, ","")&amp;IF(AND($BO58&gt;=180,AND(OR($BL58="FG",$BL58="HG",$BL58="FNV",$BL58="FV"),N($BM58)*N($BN58)&gt;100)),"180 min lite over 100 sq in, ","")&amp;IF(N($BD58)&gt;48,"leaf wider than 4'-0"&amp;CHAR(34)&amp;", ",""))</f>
        <v/>
      </c>
      <c r="BX58" s="49">
        <f>IF($A58="","",IF(AND($BO58&gt;0,AND($A58&lt;&gt;"",$C58&lt;&gt;"DOOR ONLY"),$X58="KD",$E58="EXTERIOR"),"KD label on an exterior opening, ","")&amp;IF(AND($E58="EXTERIOR",OR(AND(AND($A58&lt;&gt;"",$C58&lt;&gt;"DOOR ONLY"),$W58="CR"),AND(N($BC58)&gt;0,$AH58="CR"))),"exterior in CR steel (G9?), ","")&amp;IF(AND(ISNUMBER($BJ58),N($BJ58)&lt;32),"clear width ~"&amp;TEXT($BJ58,"0.0")&amp;CHAR(34)&amp;" under 32"&amp;CHAR(34)&amp;" (ADA), ","")&amp;IF(AND($BO58=90,AND(OR($BL58="FG",$BL58="HG",$BL58="FNV",$BL58="FV"),N($BM58)*N($BN58)&gt;100)),"90 min lite over 100 sq in (stair/exit), ","")&amp;IF(AND($BO58&gt;0,AND($A58&lt;&gt;"",$C58&lt;&gt;"DOOR ONLY"),OR($AF58="",$AF58="-")),"rated: closer reinf.?, ","")&amp;IF(OR($I58="CORRIDOR",$I58="SMOKE BARRIER"),"S label + smoke gasketing, ","")&amp;IF($BP58="?","wall type/hr not in IBC table, ","")&amp;IF(AND(N($BC58)&gt;0,$AU58=""),"no hardware set, ","")&amp;IF(AND($AU58&lt;&gt;"",ISNA(MATCH($AU58,HWSets,0))),"set "&amp;$AU58&amp;" not on Hardware sheet, ","")&amp;IF(N($BE58)&gt;96,"leaf over 8'-0"&amp;CHAR(34)&amp;" - check listing, ",""))</f>
        <v/>
      </c>
    </row>
    <row r="59" ht="15" customHeight="1">
      <c r="A59" s="44" t="n"/>
      <c r="B59" s="45" t="n"/>
      <c r="C59" s="45" t="n"/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45" t="n"/>
      <c r="N59" s="45" t="n"/>
      <c r="O59" s="45" t="n"/>
      <c r="P59" s="45" t="n"/>
      <c r="Q59" s="45" t="n"/>
      <c r="R59" s="45" t="n"/>
      <c r="S59" s="46" t="n"/>
      <c r="T59" s="46" t="n"/>
      <c r="U59" s="46" t="n"/>
      <c r="V59" s="46" t="n"/>
      <c r="W59" s="46" t="n"/>
      <c r="X59" s="46" t="n"/>
      <c r="Y59" s="46" t="n"/>
      <c r="Z59" s="46" t="n"/>
      <c r="AA59" s="46" t="n"/>
      <c r="AB59" s="46" t="n"/>
      <c r="AC59" s="46" t="n"/>
      <c r="AD59" s="46" t="n"/>
      <c r="AE59" s="46" t="n"/>
      <c r="AF59" s="46" t="n"/>
      <c r="AG59" s="46" t="n"/>
      <c r="AH59" s="47" t="n"/>
      <c r="AI59" s="47" t="n"/>
      <c r="AJ59" s="47" t="n"/>
      <c r="AK59" s="47" t="n"/>
      <c r="AL59" s="47" t="n"/>
      <c r="AM59" s="47" t="n"/>
      <c r="AN59" s="47" t="n"/>
      <c r="AO59" s="47" t="n"/>
      <c r="AP59" s="47" t="n"/>
      <c r="AQ59" s="47" t="n"/>
      <c r="AR59" s="47" t="n"/>
      <c r="AS59" s="47" t="n"/>
      <c r="AT59" s="47" t="n"/>
      <c r="AU59" s="48" t="n"/>
      <c r="AV59" s="48" t="n"/>
      <c r="AW59" s="49">
        <f>IF($A59="","",IF($BW59&lt;&gt;"","FIX",IF($BX59&lt;&gt;"","CHECK","OK")))</f>
        <v/>
      </c>
      <c r="AX59" s="50">
        <f>IF($A59="","",IF($BW59&lt;&gt;"","FIX: "&amp;LEFT($BW59,LEN($BW59)-2)&amp;IF($BX59&lt;&gt;"","  ·  ",""),"")&amp;IF($BX59&lt;&gt;"","CHECK: "&amp;LEFT($BX59,LEN($BX59)-2),""))</f>
        <v/>
      </c>
      <c r="AY59" s="49">
        <f>IF(OR($A59="",$K59=""),"",$K59&amp;"'-"&amp;N($L59)&amp;CHAR(34)&amp;" x "&amp;$M59&amp;"'-"&amp;N($N59)&amp;CHAR(34))</f>
        <v/>
      </c>
      <c r="AZ59" s="49">
        <f>IF(OR($A59="",$K59=""),"",$K59&amp;N($L59)&amp;$M59&amp;N($N59))</f>
        <v/>
      </c>
      <c r="BA59" s="49">
        <f>IF(OR($A59="",$K59=""),"",$K59*12+N($L59))</f>
        <v/>
      </c>
      <c r="BB59" s="49">
        <f>IF(OR($A59="",$M59=""),"",$M59*12+N($N59))</f>
        <v/>
      </c>
      <c r="BC59" s="49">
        <f>IF($A59="","",IF(OR($C59="FRAME ONLY",$S59="BL"),0,IF($O59="Y",2,1)))</f>
        <v/>
      </c>
      <c r="BD59" s="51">
        <f>IF(OR(N($BC59)=0,$BA59=""),"",($BA59-2*EdgeClr-IF($BC59=2,MeetClr,0))/$BC59)</f>
        <v/>
      </c>
      <c r="BE59" s="51">
        <f>IF(OR(N($BC59)=0,$BB59=""),"",$BB59-HeadClr-Undercut)</f>
        <v/>
      </c>
      <c r="BF59" s="51">
        <f>IF($BA59="","",$BA59+2*FaceW+IF(N($Q59)&gt;0,($Q59+FaceW)*IF($R59="LR",2,1),0))</f>
        <v/>
      </c>
      <c r="BG59" s="51">
        <f>IF($BB59="","",$BB59+IF($AB59="Y",4,FaceW)+IF(N($P59)&gt;0,$P59+FaceW,0)+IF(OR($S59="4F",$S59="BL"),FaceW,0))</f>
        <v/>
      </c>
      <c r="BH59" s="51">
        <f>IF($BF59="","",$BF59+2*ROSide)</f>
        <v/>
      </c>
      <c r="BI59" s="51">
        <f>IF($BG59="","",$BG59+ROTop)</f>
        <v/>
      </c>
      <c r="BJ59" s="52">
        <f>IF(OR(N($BC59)=0,$BA59=""),"",$BA59/$BC59-ClearDeduct)</f>
        <v/>
      </c>
      <c r="BK59" s="49">
        <f>IF(OR(N($BC59)=0,$BE59=""),"",IF(OR($AC59="HGC",$AP59="HGC"),"CONT",IF($BE59&lt;=60,2,IF($BE59&lt;=90,3,IF($BE59&lt;=120,4,5)))))</f>
        <v/>
      </c>
      <c r="BL59" s="49">
        <f>IF(N($BC59)=0,"",IF(OR($AL59="",$AL59="FLUSH"),"FLUSH",IFERROR(LEFT($AL59,FIND("-",$AL59)-1),LEFT($AL59,2))))</f>
        <v/>
      </c>
      <c r="BM59" s="49">
        <f>IF($BL59="","",IFERROR(VALUE(MID($AL59,FIND("-",$AL59)+1,FIND(CHAR(34)&amp;"x",$AL59)-FIND("-",$AL59)-1)),0))</f>
        <v/>
      </c>
      <c r="BN59" s="49">
        <f>IF($BL59="","",IFERROR(VALUE(MID($AL59,FIND(CHAR(34)&amp;"x",$AL59)+2,FIND(CHAR(34),$AL59,FIND(CHAR(34)&amp;"x",$AL59)+2)-FIND(CHAR(34)&amp;"x",$AL59)-2)),0))</f>
        <v/>
      </c>
      <c r="BO59" s="53">
        <f>IF(OR($A59="",$H59="",$H59="NO LAB"),0,IFERROR(VALUE(LEFT($H59,FIND(" ",$H59)-1)),0))</f>
        <v/>
      </c>
      <c r="BP59" s="54">
        <f>IF(OR($A59="",$I59="",$I59="NON-RATED",N($J59)=0),"",IFERROR(VLOOKUP($I59&amp;"|"&amp;$J59,IBC,2,FALSE),"?"))</f>
        <v/>
      </c>
      <c r="BQ59" s="50">
        <f>IF(NOT(AND($A59&lt;&gt;"",$C59&lt;&gt;"DOOR ONLY")),"",TRIM(IFERROR(VLOOKUP($U59,CODES,2,FALSE),"")&amp;" "&amp;$AZ59&amp;" "&amp;IFERROR(VLOOKUP($Z59,CODES,2,FALSE),"")&amp;" "&amp;IFERROR(VLOOKUP($X59,CODES,2,FALSE),"")&amp;" "&amp;IFERROR(VLOOKUP($S59,CODES,2,FALSE),"")&amp;IF(N($P59)&gt;0," w/TRANSOM "&amp;$P59&amp;CHAR(34),"")&amp;IF(N($Q59)&gt;0," w/SIDELITE "&amp;$Q59&amp;CHAR(34)&amp;" "&amp;IF($R59="","R",$R59),"")&amp;IF($Y59="","  |  "," | "&amp;IFERROR(VLOOKUP($Y59,CODES,2,FALSE),"")&amp;" | ")&amp;IFERROR(VLOOKUP($AC59,CODES,2,FALSE),"")&amp;" "&amp;IFERROR(VLOOKUP($AD59,CODES,2,FALSE),"")&amp;IF(OR($AE59="",$AE59="-"),""," "&amp;$AE59)&amp;IF(OR($AF59="",$AF59="-"),""," "&amp;$AF59)&amp;IF($AB59="Y"," 4"&amp;CHAR(34)&amp;" HEAD","")&amp;" "&amp;IFERROR(VLOOKUP($H59,CODES,2,FALSE),"")))</f>
        <v/>
      </c>
      <c r="BR59" s="50">
        <f>IF(NOT(AND($A59&lt;&gt;"",N($BC59)&gt;0)),"",TRIM(IFERROR(VLOOKUP($AH59,CODES,2,FALSE),"")&amp;IF($AI59=""," "," "&amp;$AI59&amp;"GA ")&amp;$AZ59&amp;" "&amp;IF($AN59="",IFERROR(VLOOKUP($Z59,CODES,2,FALSE),""),IFERROR(VLOOKUP($AN59,CODES,2,FALSE),""))&amp;IF($BC59=2," PAIR","")&amp;" DOOR | "&amp;IF($AL59="","?",$AL59)&amp;" | "&amp;IF($AP59="",IFERROR(VLOOKUP($AC59,CODES,2,FALSE),""),IFERROR(VLOOKUP($AP59,CODES,2,FALSE),""))&amp;" "&amp;IFERROR(VLOOKUP($AQ59,CODES,2,FALSE),"")&amp;IF(OR($AR59="",$AR59="-"),""," SEAM "&amp;$AR59)&amp;IF($AS59="Y"," ASTRAGAL","")&amp;IF($AJ59=""," "," "&amp;$AJ59)&amp;IF($AK59=""," "," "&amp;$AK59)&amp;IF($AO59="",""," "&amp;$AO59)&amp;IF($AM59=""," "," SERIES "&amp;$AM59)&amp;" "&amp;IFERROR(VLOOKUP($H59,CODES,2,FALSE),"")))</f>
        <v/>
      </c>
      <c r="BS59" s="49">
        <f>IF(BV59="","",IF(COUNTIF($BV$6:BV59,BV59)=1,MAX($BS$5:BS58)+1,INDEX($BS$5:BS58,MATCH(BV59,$BV$5:BV58,0))))</f>
        <v/>
      </c>
      <c r="BT59" s="49">
        <f>IF(NOT(AND($A59&lt;&gt;"",$C59&lt;&gt;"DOOR ONLY")),"",MAX($BT$5:BT58)+1)</f>
        <v/>
      </c>
      <c r="BU59" s="49">
        <f>IF(NOT(AND($A59&lt;&gt;"",N($BC59)&gt;0)),"",MAX($BU$5:BU58)+1)</f>
        <v/>
      </c>
      <c r="BV59" s="49">
        <f>IF(OR($A59="",$BA59="",$BB59=""),"",$AZ59&amp;"|"&amp;$O59&amp;"|"&amp;$AL59&amp;"|"&amp;$S59&amp;"|"&amp;$P59&amp;"|"&amp;$Q59&amp;$R59&amp;"|"&amp;$C59&amp;"|"&amp;$AB59)</f>
        <v/>
      </c>
      <c r="BW59" s="49">
        <f>IF($A59="","",IF($B59="","qty, ","")&amp;IF($C59="","scope, ","")&amp;IF(OR($K59="",$M59=""),"size, ","")&amp;IF(AND($A59&lt;&gt;"",$C59&lt;&gt;"DOOR ONLY"),IF($U59="","jamb depth, ","")&amp;IF($X59="","construction, ","")&amp;IF($Y59="","anchor, ","")&amp;IF($S59="","frame type, ",""),"")&amp;IF(AND(N($BC59)&gt;0,$Z59=""),"hand, ","")&amp;IF(N($BC59)&gt;0,IF($AH59="","door material, ","")&amp;IF($AL59="","face type, ","")&amp;IF($AQ59="","lock prep, ","")&amp;IF(AND($AP59="",$AC59=""),"hinge prep, ",""),"")&amp;IF(AND($BO59&gt;0,$AH59="FRP"),"FRP cannot carry a label, ","")&amp;IF(AND($O59="Y",OR($Z59="L",$Z59="R",$Z59="LR",$Z59="RR")),"pair marked but hand is single, ","")&amp;IF(AND($O59&lt;&gt;"Y",OR($Z59="PR",AND(LEN($Z59)&gt;1,ISNUMBER(SEARCH("-",$Z59))))),"pair hand on a single door, ","")&amp;IF(AND(ISNUMBER($BP59),$BO59&lt;N($BP59)),"wall needs a "&amp;$BP59&amp;" min door, ","")&amp;IF(AND($BO59&gt;=180,AND(OR($BL59="FG",$BL59="HG",$BL59="FNV",$BL59="FV"),N($BM59)*N($BN59)&gt;100)),"180 min lite over 100 sq in, ","")&amp;IF(N($BD59)&gt;48,"leaf wider than 4'-0"&amp;CHAR(34)&amp;", ",""))</f>
        <v/>
      </c>
      <c r="BX59" s="49">
        <f>IF($A59="","",IF(AND($BO59&gt;0,AND($A59&lt;&gt;"",$C59&lt;&gt;"DOOR ONLY"),$X59="KD",$E59="EXTERIOR"),"KD label on an exterior opening, ","")&amp;IF(AND($E59="EXTERIOR",OR(AND(AND($A59&lt;&gt;"",$C59&lt;&gt;"DOOR ONLY"),$W59="CR"),AND(N($BC59)&gt;0,$AH59="CR"))),"exterior in CR steel (G9?), ","")&amp;IF(AND(ISNUMBER($BJ59),N($BJ59)&lt;32),"clear width ~"&amp;TEXT($BJ59,"0.0")&amp;CHAR(34)&amp;" under 32"&amp;CHAR(34)&amp;" (ADA), ","")&amp;IF(AND($BO59=90,AND(OR($BL59="FG",$BL59="HG",$BL59="FNV",$BL59="FV"),N($BM59)*N($BN59)&gt;100)),"90 min lite over 100 sq in (stair/exit), ","")&amp;IF(AND($BO59&gt;0,AND($A59&lt;&gt;"",$C59&lt;&gt;"DOOR ONLY"),OR($AF59="",$AF59="-")),"rated: closer reinf.?, ","")&amp;IF(OR($I59="CORRIDOR",$I59="SMOKE BARRIER"),"S label + smoke gasketing, ","")&amp;IF($BP59="?","wall type/hr not in IBC table, ","")&amp;IF(AND(N($BC59)&gt;0,$AU59=""),"no hardware set, ","")&amp;IF(AND($AU59&lt;&gt;"",ISNA(MATCH($AU59,HWSets,0))),"set "&amp;$AU59&amp;" not on Hardware sheet, ","")&amp;IF(N($BE59)&gt;96,"leaf over 8'-0"&amp;CHAR(34)&amp;" - check listing, ",""))</f>
        <v/>
      </c>
    </row>
    <row r="60" ht="15" customHeight="1">
      <c r="A60" s="44" t="n"/>
      <c r="B60" s="45" t="n"/>
      <c r="C60" s="45" t="n"/>
      <c r="D60" s="45" t="n"/>
      <c r="E60" s="45" t="n"/>
      <c r="F60" s="45" t="n"/>
      <c r="G60" s="45" t="n"/>
      <c r="H60" s="45" t="n"/>
      <c r="I60" s="45" t="n"/>
      <c r="J60" s="45" t="n"/>
      <c r="K60" s="45" t="n"/>
      <c r="L60" s="45" t="n"/>
      <c r="M60" s="45" t="n"/>
      <c r="N60" s="45" t="n"/>
      <c r="O60" s="45" t="n"/>
      <c r="P60" s="45" t="n"/>
      <c r="Q60" s="45" t="n"/>
      <c r="R60" s="45" t="n"/>
      <c r="S60" s="46" t="n"/>
      <c r="T60" s="46" t="n"/>
      <c r="U60" s="46" t="n"/>
      <c r="V60" s="46" t="n"/>
      <c r="W60" s="46" t="n"/>
      <c r="X60" s="46" t="n"/>
      <c r="Y60" s="46" t="n"/>
      <c r="Z60" s="46" t="n"/>
      <c r="AA60" s="46" t="n"/>
      <c r="AB60" s="46" t="n"/>
      <c r="AC60" s="46" t="n"/>
      <c r="AD60" s="46" t="n"/>
      <c r="AE60" s="46" t="n"/>
      <c r="AF60" s="46" t="n"/>
      <c r="AG60" s="46" t="n"/>
      <c r="AH60" s="47" t="n"/>
      <c r="AI60" s="47" t="n"/>
      <c r="AJ60" s="47" t="n"/>
      <c r="AK60" s="47" t="n"/>
      <c r="AL60" s="47" t="n"/>
      <c r="AM60" s="47" t="n"/>
      <c r="AN60" s="47" t="n"/>
      <c r="AO60" s="47" t="n"/>
      <c r="AP60" s="47" t="n"/>
      <c r="AQ60" s="47" t="n"/>
      <c r="AR60" s="47" t="n"/>
      <c r="AS60" s="47" t="n"/>
      <c r="AT60" s="47" t="n"/>
      <c r="AU60" s="48" t="n"/>
      <c r="AV60" s="48" t="n"/>
      <c r="AW60" s="49">
        <f>IF($A60="","",IF($BW60&lt;&gt;"","FIX",IF($BX60&lt;&gt;"","CHECK","OK")))</f>
        <v/>
      </c>
      <c r="AX60" s="50">
        <f>IF($A60="","",IF($BW60&lt;&gt;"","FIX: "&amp;LEFT($BW60,LEN($BW60)-2)&amp;IF($BX60&lt;&gt;"","  ·  ",""),"")&amp;IF($BX60&lt;&gt;"","CHECK: "&amp;LEFT($BX60,LEN($BX60)-2),""))</f>
        <v/>
      </c>
      <c r="AY60" s="49">
        <f>IF(OR($A60="",$K60=""),"",$K60&amp;"'-"&amp;N($L60)&amp;CHAR(34)&amp;" x "&amp;$M60&amp;"'-"&amp;N($N60)&amp;CHAR(34))</f>
        <v/>
      </c>
      <c r="AZ60" s="49">
        <f>IF(OR($A60="",$K60=""),"",$K60&amp;N($L60)&amp;$M60&amp;N($N60))</f>
        <v/>
      </c>
      <c r="BA60" s="49">
        <f>IF(OR($A60="",$K60=""),"",$K60*12+N($L60))</f>
        <v/>
      </c>
      <c r="BB60" s="49">
        <f>IF(OR($A60="",$M60=""),"",$M60*12+N($N60))</f>
        <v/>
      </c>
      <c r="BC60" s="49">
        <f>IF($A60="","",IF(OR($C60="FRAME ONLY",$S60="BL"),0,IF($O60="Y",2,1)))</f>
        <v/>
      </c>
      <c r="BD60" s="51">
        <f>IF(OR(N($BC60)=0,$BA60=""),"",($BA60-2*EdgeClr-IF($BC60=2,MeetClr,0))/$BC60)</f>
        <v/>
      </c>
      <c r="BE60" s="51">
        <f>IF(OR(N($BC60)=0,$BB60=""),"",$BB60-HeadClr-Undercut)</f>
        <v/>
      </c>
      <c r="BF60" s="51">
        <f>IF($BA60="","",$BA60+2*FaceW+IF(N($Q60)&gt;0,($Q60+FaceW)*IF($R60="LR",2,1),0))</f>
        <v/>
      </c>
      <c r="BG60" s="51">
        <f>IF($BB60="","",$BB60+IF($AB60="Y",4,FaceW)+IF(N($P60)&gt;0,$P60+FaceW,0)+IF(OR($S60="4F",$S60="BL"),FaceW,0))</f>
        <v/>
      </c>
      <c r="BH60" s="51">
        <f>IF($BF60="","",$BF60+2*ROSide)</f>
        <v/>
      </c>
      <c r="BI60" s="51">
        <f>IF($BG60="","",$BG60+ROTop)</f>
        <v/>
      </c>
      <c r="BJ60" s="52">
        <f>IF(OR(N($BC60)=0,$BA60=""),"",$BA60/$BC60-ClearDeduct)</f>
        <v/>
      </c>
      <c r="BK60" s="49">
        <f>IF(OR(N($BC60)=0,$BE60=""),"",IF(OR($AC60="HGC",$AP60="HGC"),"CONT",IF($BE60&lt;=60,2,IF($BE60&lt;=90,3,IF($BE60&lt;=120,4,5)))))</f>
        <v/>
      </c>
      <c r="BL60" s="49">
        <f>IF(N($BC60)=0,"",IF(OR($AL60="",$AL60="FLUSH"),"FLUSH",IFERROR(LEFT($AL60,FIND("-",$AL60)-1),LEFT($AL60,2))))</f>
        <v/>
      </c>
      <c r="BM60" s="49">
        <f>IF($BL60="","",IFERROR(VALUE(MID($AL60,FIND("-",$AL60)+1,FIND(CHAR(34)&amp;"x",$AL60)-FIND("-",$AL60)-1)),0))</f>
        <v/>
      </c>
      <c r="BN60" s="49">
        <f>IF($BL60="","",IFERROR(VALUE(MID($AL60,FIND(CHAR(34)&amp;"x",$AL60)+2,FIND(CHAR(34),$AL60,FIND(CHAR(34)&amp;"x",$AL60)+2)-FIND(CHAR(34)&amp;"x",$AL60)-2)),0))</f>
        <v/>
      </c>
      <c r="BO60" s="53">
        <f>IF(OR($A60="",$H60="",$H60="NO LAB"),0,IFERROR(VALUE(LEFT($H60,FIND(" ",$H60)-1)),0))</f>
        <v/>
      </c>
      <c r="BP60" s="54">
        <f>IF(OR($A60="",$I60="",$I60="NON-RATED",N($J60)=0),"",IFERROR(VLOOKUP($I60&amp;"|"&amp;$J60,IBC,2,FALSE),"?"))</f>
        <v/>
      </c>
      <c r="BQ60" s="50">
        <f>IF(NOT(AND($A60&lt;&gt;"",$C60&lt;&gt;"DOOR ONLY")),"",TRIM(IFERROR(VLOOKUP($U60,CODES,2,FALSE),"")&amp;" "&amp;$AZ60&amp;" "&amp;IFERROR(VLOOKUP($Z60,CODES,2,FALSE),"")&amp;" "&amp;IFERROR(VLOOKUP($X60,CODES,2,FALSE),"")&amp;" "&amp;IFERROR(VLOOKUP($S60,CODES,2,FALSE),"")&amp;IF(N($P60)&gt;0," w/TRANSOM "&amp;$P60&amp;CHAR(34),"")&amp;IF(N($Q60)&gt;0," w/SIDELITE "&amp;$Q60&amp;CHAR(34)&amp;" "&amp;IF($R60="","R",$R60),"")&amp;IF($Y60="","  |  "," | "&amp;IFERROR(VLOOKUP($Y60,CODES,2,FALSE),"")&amp;" | ")&amp;IFERROR(VLOOKUP($AC60,CODES,2,FALSE),"")&amp;" "&amp;IFERROR(VLOOKUP($AD60,CODES,2,FALSE),"")&amp;IF(OR($AE60="",$AE60="-"),""," "&amp;$AE60)&amp;IF(OR($AF60="",$AF60="-"),""," "&amp;$AF60)&amp;IF($AB60="Y"," 4"&amp;CHAR(34)&amp;" HEAD","")&amp;" "&amp;IFERROR(VLOOKUP($H60,CODES,2,FALSE),"")))</f>
        <v/>
      </c>
      <c r="BR60" s="50">
        <f>IF(NOT(AND($A60&lt;&gt;"",N($BC60)&gt;0)),"",TRIM(IFERROR(VLOOKUP($AH60,CODES,2,FALSE),"")&amp;IF($AI60=""," "," "&amp;$AI60&amp;"GA ")&amp;$AZ60&amp;" "&amp;IF($AN60="",IFERROR(VLOOKUP($Z60,CODES,2,FALSE),""),IFERROR(VLOOKUP($AN60,CODES,2,FALSE),""))&amp;IF($BC60=2," PAIR","")&amp;" DOOR | "&amp;IF($AL60="","?",$AL60)&amp;" | "&amp;IF($AP60="",IFERROR(VLOOKUP($AC60,CODES,2,FALSE),""),IFERROR(VLOOKUP($AP60,CODES,2,FALSE),""))&amp;" "&amp;IFERROR(VLOOKUP($AQ60,CODES,2,FALSE),"")&amp;IF(OR($AR60="",$AR60="-"),""," SEAM "&amp;$AR60)&amp;IF($AS60="Y"," ASTRAGAL","")&amp;IF($AJ60=""," "," "&amp;$AJ60)&amp;IF($AK60=""," "," "&amp;$AK60)&amp;IF($AO60="",""," "&amp;$AO60)&amp;IF($AM60=""," "," SERIES "&amp;$AM60)&amp;" "&amp;IFERROR(VLOOKUP($H60,CODES,2,FALSE),"")))</f>
        <v/>
      </c>
      <c r="BS60" s="49">
        <f>IF(BV60="","",IF(COUNTIF($BV$6:BV60,BV60)=1,MAX($BS$5:BS59)+1,INDEX($BS$5:BS59,MATCH(BV60,$BV$5:BV59,0))))</f>
        <v/>
      </c>
      <c r="BT60" s="49">
        <f>IF(NOT(AND($A60&lt;&gt;"",$C60&lt;&gt;"DOOR ONLY")),"",MAX($BT$5:BT59)+1)</f>
        <v/>
      </c>
      <c r="BU60" s="49">
        <f>IF(NOT(AND($A60&lt;&gt;"",N($BC60)&gt;0)),"",MAX($BU$5:BU59)+1)</f>
        <v/>
      </c>
      <c r="BV60" s="49">
        <f>IF(OR($A60="",$BA60="",$BB60=""),"",$AZ60&amp;"|"&amp;$O60&amp;"|"&amp;$AL60&amp;"|"&amp;$S60&amp;"|"&amp;$P60&amp;"|"&amp;$Q60&amp;$R60&amp;"|"&amp;$C60&amp;"|"&amp;$AB60)</f>
        <v/>
      </c>
      <c r="BW60" s="49">
        <f>IF($A60="","",IF($B60="","qty, ","")&amp;IF($C60="","scope, ","")&amp;IF(OR($K60="",$M60=""),"size, ","")&amp;IF(AND($A60&lt;&gt;"",$C60&lt;&gt;"DOOR ONLY"),IF($U60="","jamb depth, ","")&amp;IF($X60="","construction, ","")&amp;IF($Y60="","anchor, ","")&amp;IF($S60="","frame type, ",""),"")&amp;IF(AND(N($BC60)&gt;0,$Z60=""),"hand, ","")&amp;IF(N($BC60)&gt;0,IF($AH60="","door material, ","")&amp;IF($AL60="","face type, ","")&amp;IF($AQ60="","lock prep, ","")&amp;IF(AND($AP60="",$AC60=""),"hinge prep, ",""),"")&amp;IF(AND($BO60&gt;0,$AH60="FRP"),"FRP cannot carry a label, ","")&amp;IF(AND($O60="Y",OR($Z60="L",$Z60="R",$Z60="LR",$Z60="RR")),"pair marked but hand is single, ","")&amp;IF(AND($O60&lt;&gt;"Y",OR($Z60="PR",AND(LEN($Z60)&gt;1,ISNUMBER(SEARCH("-",$Z60))))),"pair hand on a single door, ","")&amp;IF(AND(ISNUMBER($BP60),$BO60&lt;N($BP60)),"wall needs a "&amp;$BP60&amp;" min door, ","")&amp;IF(AND($BO60&gt;=180,AND(OR($BL60="FG",$BL60="HG",$BL60="FNV",$BL60="FV"),N($BM60)*N($BN60)&gt;100)),"180 min lite over 100 sq in, ","")&amp;IF(N($BD60)&gt;48,"leaf wider than 4'-0"&amp;CHAR(34)&amp;", ",""))</f>
        <v/>
      </c>
      <c r="BX60" s="49">
        <f>IF($A60="","",IF(AND($BO60&gt;0,AND($A60&lt;&gt;"",$C60&lt;&gt;"DOOR ONLY"),$X60="KD",$E60="EXTERIOR"),"KD label on an exterior opening, ","")&amp;IF(AND($E60="EXTERIOR",OR(AND(AND($A60&lt;&gt;"",$C60&lt;&gt;"DOOR ONLY"),$W60="CR"),AND(N($BC60)&gt;0,$AH60="CR"))),"exterior in CR steel (G9?), ","")&amp;IF(AND(ISNUMBER($BJ60),N($BJ60)&lt;32),"clear width ~"&amp;TEXT($BJ60,"0.0")&amp;CHAR(34)&amp;" under 32"&amp;CHAR(34)&amp;" (ADA), ","")&amp;IF(AND($BO60=90,AND(OR($BL60="FG",$BL60="HG",$BL60="FNV",$BL60="FV"),N($BM60)*N($BN60)&gt;100)),"90 min lite over 100 sq in (stair/exit), ","")&amp;IF(AND($BO60&gt;0,AND($A60&lt;&gt;"",$C60&lt;&gt;"DOOR ONLY"),OR($AF60="",$AF60="-")),"rated: closer reinf.?, ","")&amp;IF(OR($I60="CORRIDOR",$I60="SMOKE BARRIER"),"S label + smoke gasketing, ","")&amp;IF($BP60="?","wall type/hr not in IBC table, ","")&amp;IF(AND(N($BC60)&gt;0,$AU60=""),"no hardware set, ","")&amp;IF(AND($AU60&lt;&gt;"",ISNA(MATCH($AU60,HWSets,0))),"set "&amp;$AU60&amp;" not on Hardware sheet, ","")&amp;IF(N($BE60)&gt;96,"leaf over 8'-0"&amp;CHAR(34)&amp;" - check listing, ",""))</f>
        <v/>
      </c>
    </row>
    <row r="61" ht="15" customHeight="1">
      <c r="A61" s="44" t="n"/>
      <c r="B61" s="45" t="n"/>
      <c r="C61" s="45" t="n"/>
      <c r="D61" s="45" t="n"/>
      <c r="E61" s="45" t="n"/>
      <c r="F61" s="45" t="n"/>
      <c r="G61" s="45" t="n"/>
      <c r="H61" s="45" t="n"/>
      <c r="I61" s="45" t="n"/>
      <c r="J61" s="45" t="n"/>
      <c r="K61" s="45" t="n"/>
      <c r="L61" s="45" t="n"/>
      <c r="M61" s="45" t="n"/>
      <c r="N61" s="45" t="n"/>
      <c r="O61" s="45" t="n"/>
      <c r="P61" s="45" t="n"/>
      <c r="Q61" s="45" t="n"/>
      <c r="R61" s="45" t="n"/>
      <c r="S61" s="46" t="n"/>
      <c r="T61" s="46" t="n"/>
      <c r="U61" s="46" t="n"/>
      <c r="V61" s="46" t="n"/>
      <c r="W61" s="46" t="n"/>
      <c r="X61" s="46" t="n"/>
      <c r="Y61" s="46" t="n"/>
      <c r="Z61" s="46" t="n"/>
      <c r="AA61" s="46" t="n"/>
      <c r="AB61" s="46" t="n"/>
      <c r="AC61" s="46" t="n"/>
      <c r="AD61" s="46" t="n"/>
      <c r="AE61" s="46" t="n"/>
      <c r="AF61" s="46" t="n"/>
      <c r="AG61" s="46" t="n"/>
      <c r="AH61" s="47" t="n"/>
      <c r="AI61" s="47" t="n"/>
      <c r="AJ61" s="47" t="n"/>
      <c r="AK61" s="47" t="n"/>
      <c r="AL61" s="47" t="n"/>
      <c r="AM61" s="47" t="n"/>
      <c r="AN61" s="47" t="n"/>
      <c r="AO61" s="47" t="n"/>
      <c r="AP61" s="47" t="n"/>
      <c r="AQ61" s="47" t="n"/>
      <c r="AR61" s="47" t="n"/>
      <c r="AS61" s="47" t="n"/>
      <c r="AT61" s="47" t="n"/>
      <c r="AU61" s="48" t="n"/>
      <c r="AV61" s="48" t="n"/>
      <c r="AW61" s="49">
        <f>IF($A61="","",IF($BW61&lt;&gt;"","FIX",IF($BX61&lt;&gt;"","CHECK","OK")))</f>
        <v/>
      </c>
      <c r="AX61" s="50">
        <f>IF($A61="","",IF($BW61&lt;&gt;"","FIX: "&amp;LEFT($BW61,LEN($BW61)-2)&amp;IF($BX61&lt;&gt;"","  ·  ",""),"")&amp;IF($BX61&lt;&gt;"","CHECK: "&amp;LEFT($BX61,LEN($BX61)-2),""))</f>
        <v/>
      </c>
      <c r="AY61" s="49">
        <f>IF(OR($A61="",$K61=""),"",$K61&amp;"'-"&amp;N($L61)&amp;CHAR(34)&amp;" x "&amp;$M61&amp;"'-"&amp;N($N61)&amp;CHAR(34))</f>
        <v/>
      </c>
      <c r="AZ61" s="49">
        <f>IF(OR($A61="",$K61=""),"",$K61&amp;N($L61)&amp;$M61&amp;N($N61))</f>
        <v/>
      </c>
      <c r="BA61" s="49">
        <f>IF(OR($A61="",$K61=""),"",$K61*12+N($L61))</f>
        <v/>
      </c>
      <c r="BB61" s="49">
        <f>IF(OR($A61="",$M61=""),"",$M61*12+N($N61))</f>
        <v/>
      </c>
      <c r="BC61" s="49">
        <f>IF($A61="","",IF(OR($C61="FRAME ONLY",$S61="BL"),0,IF($O61="Y",2,1)))</f>
        <v/>
      </c>
      <c r="BD61" s="51">
        <f>IF(OR(N($BC61)=0,$BA61=""),"",($BA61-2*EdgeClr-IF($BC61=2,MeetClr,0))/$BC61)</f>
        <v/>
      </c>
      <c r="BE61" s="51">
        <f>IF(OR(N($BC61)=0,$BB61=""),"",$BB61-HeadClr-Undercut)</f>
        <v/>
      </c>
      <c r="BF61" s="51">
        <f>IF($BA61="","",$BA61+2*FaceW+IF(N($Q61)&gt;0,($Q61+FaceW)*IF($R61="LR",2,1),0))</f>
        <v/>
      </c>
      <c r="BG61" s="51">
        <f>IF($BB61="","",$BB61+IF($AB61="Y",4,FaceW)+IF(N($P61)&gt;0,$P61+FaceW,0)+IF(OR($S61="4F",$S61="BL"),FaceW,0))</f>
        <v/>
      </c>
      <c r="BH61" s="51">
        <f>IF($BF61="","",$BF61+2*ROSide)</f>
        <v/>
      </c>
      <c r="BI61" s="51">
        <f>IF($BG61="","",$BG61+ROTop)</f>
        <v/>
      </c>
      <c r="BJ61" s="52">
        <f>IF(OR(N($BC61)=0,$BA61=""),"",$BA61/$BC61-ClearDeduct)</f>
        <v/>
      </c>
      <c r="BK61" s="49">
        <f>IF(OR(N($BC61)=0,$BE61=""),"",IF(OR($AC61="HGC",$AP61="HGC"),"CONT",IF($BE61&lt;=60,2,IF($BE61&lt;=90,3,IF($BE61&lt;=120,4,5)))))</f>
        <v/>
      </c>
      <c r="BL61" s="49">
        <f>IF(N($BC61)=0,"",IF(OR($AL61="",$AL61="FLUSH"),"FLUSH",IFERROR(LEFT($AL61,FIND("-",$AL61)-1),LEFT($AL61,2))))</f>
        <v/>
      </c>
      <c r="BM61" s="49">
        <f>IF($BL61="","",IFERROR(VALUE(MID($AL61,FIND("-",$AL61)+1,FIND(CHAR(34)&amp;"x",$AL61)-FIND("-",$AL61)-1)),0))</f>
        <v/>
      </c>
      <c r="BN61" s="49">
        <f>IF($BL61="","",IFERROR(VALUE(MID($AL61,FIND(CHAR(34)&amp;"x",$AL61)+2,FIND(CHAR(34),$AL61,FIND(CHAR(34)&amp;"x",$AL61)+2)-FIND(CHAR(34)&amp;"x",$AL61)-2)),0))</f>
        <v/>
      </c>
      <c r="BO61" s="53">
        <f>IF(OR($A61="",$H61="",$H61="NO LAB"),0,IFERROR(VALUE(LEFT($H61,FIND(" ",$H61)-1)),0))</f>
        <v/>
      </c>
      <c r="BP61" s="54">
        <f>IF(OR($A61="",$I61="",$I61="NON-RATED",N($J61)=0),"",IFERROR(VLOOKUP($I61&amp;"|"&amp;$J61,IBC,2,FALSE),"?"))</f>
        <v/>
      </c>
      <c r="BQ61" s="50">
        <f>IF(NOT(AND($A61&lt;&gt;"",$C61&lt;&gt;"DOOR ONLY")),"",TRIM(IFERROR(VLOOKUP($U61,CODES,2,FALSE),"")&amp;" "&amp;$AZ61&amp;" "&amp;IFERROR(VLOOKUP($Z61,CODES,2,FALSE),"")&amp;" "&amp;IFERROR(VLOOKUP($X61,CODES,2,FALSE),"")&amp;" "&amp;IFERROR(VLOOKUP($S61,CODES,2,FALSE),"")&amp;IF(N($P61)&gt;0," w/TRANSOM "&amp;$P61&amp;CHAR(34),"")&amp;IF(N($Q61)&gt;0," w/SIDELITE "&amp;$Q61&amp;CHAR(34)&amp;" "&amp;IF($R61="","R",$R61),"")&amp;IF($Y61="","  |  "," | "&amp;IFERROR(VLOOKUP($Y61,CODES,2,FALSE),"")&amp;" | ")&amp;IFERROR(VLOOKUP($AC61,CODES,2,FALSE),"")&amp;" "&amp;IFERROR(VLOOKUP($AD61,CODES,2,FALSE),"")&amp;IF(OR($AE61="",$AE61="-"),""," "&amp;$AE61)&amp;IF(OR($AF61="",$AF61="-"),""," "&amp;$AF61)&amp;IF($AB61="Y"," 4"&amp;CHAR(34)&amp;" HEAD","")&amp;" "&amp;IFERROR(VLOOKUP($H61,CODES,2,FALSE),"")))</f>
        <v/>
      </c>
      <c r="BR61" s="50">
        <f>IF(NOT(AND($A61&lt;&gt;"",N($BC61)&gt;0)),"",TRIM(IFERROR(VLOOKUP($AH61,CODES,2,FALSE),"")&amp;IF($AI61=""," "," "&amp;$AI61&amp;"GA ")&amp;$AZ61&amp;" "&amp;IF($AN61="",IFERROR(VLOOKUP($Z61,CODES,2,FALSE),""),IFERROR(VLOOKUP($AN61,CODES,2,FALSE),""))&amp;IF($BC61=2," PAIR","")&amp;" DOOR | "&amp;IF($AL61="","?",$AL61)&amp;" | "&amp;IF($AP61="",IFERROR(VLOOKUP($AC61,CODES,2,FALSE),""),IFERROR(VLOOKUP($AP61,CODES,2,FALSE),""))&amp;" "&amp;IFERROR(VLOOKUP($AQ61,CODES,2,FALSE),"")&amp;IF(OR($AR61="",$AR61="-"),""," SEAM "&amp;$AR61)&amp;IF($AS61="Y"," ASTRAGAL","")&amp;IF($AJ61=""," "," "&amp;$AJ61)&amp;IF($AK61=""," "," "&amp;$AK61)&amp;IF($AO61="",""," "&amp;$AO61)&amp;IF($AM61=""," "," SERIES "&amp;$AM61)&amp;" "&amp;IFERROR(VLOOKUP($H61,CODES,2,FALSE),"")))</f>
        <v/>
      </c>
      <c r="BS61" s="49">
        <f>IF(BV61="","",IF(COUNTIF($BV$6:BV61,BV61)=1,MAX($BS$5:BS60)+1,INDEX($BS$5:BS60,MATCH(BV61,$BV$5:BV60,0))))</f>
        <v/>
      </c>
      <c r="BT61" s="49">
        <f>IF(NOT(AND($A61&lt;&gt;"",$C61&lt;&gt;"DOOR ONLY")),"",MAX($BT$5:BT60)+1)</f>
        <v/>
      </c>
      <c r="BU61" s="49">
        <f>IF(NOT(AND($A61&lt;&gt;"",N($BC61)&gt;0)),"",MAX($BU$5:BU60)+1)</f>
        <v/>
      </c>
      <c r="BV61" s="49">
        <f>IF(OR($A61="",$BA61="",$BB61=""),"",$AZ61&amp;"|"&amp;$O61&amp;"|"&amp;$AL61&amp;"|"&amp;$S61&amp;"|"&amp;$P61&amp;"|"&amp;$Q61&amp;$R61&amp;"|"&amp;$C61&amp;"|"&amp;$AB61)</f>
        <v/>
      </c>
      <c r="BW61" s="49">
        <f>IF($A61="","",IF($B61="","qty, ","")&amp;IF($C61="","scope, ","")&amp;IF(OR($K61="",$M61=""),"size, ","")&amp;IF(AND($A61&lt;&gt;"",$C61&lt;&gt;"DOOR ONLY"),IF($U61="","jamb depth, ","")&amp;IF($X61="","construction, ","")&amp;IF($Y61="","anchor, ","")&amp;IF($S61="","frame type, ",""),"")&amp;IF(AND(N($BC61)&gt;0,$Z61=""),"hand, ","")&amp;IF(N($BC61)&gt;0,IF($AH61="","door material, ","")&amp;IF($AL61="","face type, ","")&amp;IF($AQ61="","lock prep, ","")&amp;IF(AND($AP61="",$AC61=""),"hinge prep, ",""),"")&amp;IF(AND($BO61&gt;0,$AH61="FRP"),"FRP cannot carry a label, ","")&amp;IF(AND($O61="Y",OR($Z61="L",$Z61="R",$Z61="LR",$Z61="RR")),"pair marked but hand is single, ","")&amp;IF(AND($O61&lt;&gt;"Y",OR($Z61="PR",AND(LEN($Z61)&gt;1,ISNUMBER(SEARCH("-",$Z61))))),"pair hand on a single door, ","")&amp;IF(AND(ISNUMBER($BP61),$BO61&lt;N($BP61)),"wall needs a "&amp;$BP61&amp;" min door, ","")&amp;IF(AND($BO61&gt;=180,AND(OR($BL61="FG",$BL61="HG",$BL61="FNV",$BL61="FV"),N($BM61)*N($BN61)&gt;100)),"180 min lite over 100 sq in, ","")&amp;IF(N($BD61)&gt;48,"leaf wider than 4'-0"&amp;CHAR(34)&amp;", ",""))</f>
        <v/>
      </c>
      <c r="BX61" s="49">
        <f>IF($A61="","",IF(AND($BO61&gt;0,AND($A61&lt;&gt;"",$C61&lt;&gt;"DOOR ONLY"),$X61="KD",$E61="EXTERIOR"),"KD label on an exterior opening, ","")&amp;IF(AND($E61="EXTERIOR",OR(AND(AND($A61&lt;&gt;"",$C61&lt;&gt;"DOOR ONLY"),$W61="CR"),AND(N($BC61)&gt;0,$AH61="CR"))),"exterior in CR steel (G9?), ","")&amp;IF(AND(ISNUMBER($BJ61),N($BJ61)&lt;32),"clear width ~"&amp;TEXT($BJ61,"0.0")&amp;CHAR(34)&amp;" under 32"&amp;CHAR(34)&amp;" (ADA), ","")&amp;IF(AND($BO61=90,AND(OR($BL61="FG",$BL61="HG",$BL61="FNV",$BL61="FV"),N($BM61)*N($BN61)&gt;100)),"90 min lite over 100 sq in (stair/exit), ","")&amp;IF(AND($BO61&gt;0,AND($A61&lt;&gt;"",$C61&lt;&gt;"DOOR ONLY"),OR($AF61="",$AF61="-")),"rated: closer reinf.?, ","")&amp;IF(OR($I61="CORRIDOR",$I61="SMOKE BARRIER"),"S label + smoke gasketing, ","")&amp;IF($BP61="?","wall type/hr not in IBC table, ","")&amp;IF(AND(N($BC61)&gt;0,$AU61=""),"no hardware set, ","")&amp;IF(AND($AU61&lt;&gt;"",ISNA(MATCH($AU61,HWSets,0))),"set "&amp;$AU61&amp;" not on Hardware sheet, ","")&amp;IF(N($BE61)&gt;96,"leaf over 8'-0"&amp;CHAR(34)&amp;" - check listing, ",""))</f>
        <v/>
      </c>
    </row>
    <row r="62" ht="15" customHeight="1">
      <c r="A62" s="44" t="n"/>
      <c r="B62" s="45" t="n"/>
      <c r="C62" s="45" t="n"/>
      <c r="D62" s="45" t="n"/>
      <c r="E62" s="45" t="n"/>
      <c r="F62" s="45" t="n"/>
      <c r="G62" s="45" t="n"/>
      <c r="H62" s="45" t="n"/>
      <c r="I62" s="45" t="n"/>
      <c r="J62" s="45" t="n"/>
      <c r="K62" s="45" t="n"/>
      <c r="L62" s="45" t="n"/>
      <c r="M62" s="45" t="n"/>
      <c r="N62" s="45" t="n"/>
      <c r="O62" s="45" t="n"/>
      <c r="P62" s="45" t="n"/>
      <c r="Q62" s="45" t="n"/>
      <c r="R62" s="45" t="n"/>
      <c r="S62" s="46" t="n"/>
      <c r="T62" s="46" t="n"/>
      <c r="U62" s="46" t="n"/>
      <c r="V62" s="46" t="n"/>
      <c r="W62" s="46" t="n"/>
      <c r="X62" s="46" t="n"/>
      <c r="Y62" s="46" t="n"/>
      <c r="Z62" s="46" t="n"/>
      <c r="AA62" s="46" t="n"/>
      <c r="AB62" s="46" t="n"/>
      <c r="AC62" s="46" t="n"/>
      <c r="AD62" s="46" t="n"/>
      <c r="AE62" s="46" t="n"/>
      <c r="AF62" s="46" t="n"/>
      <c r="AG62" s="46" t="n"/>
      <c r="AH62" s="47" t="n"/>
      <c r="AI62" s="47" t="n"/>
      <c r="AJ62" s="47" t="n"/>
      <c r="AK62" s="47" t="n"/>
      <c r="AL62" s="47" t="n"/>
      <c r="AM62" s="47" t="n"/>
      <c r="AN62" s="47" t="n"/>
      <c r="AO62" s="47" t="n"/>
      <c r="AP62" s="47" t="n"/>
      <c r="AQ62" s="47" t="n"/>
      <c r="AR62" s="47" t="n"/>
      <c r="AS62" s="47" t="n"/>
      <c r="AT62" s="47" t="n"/>
      <c r="AU62" s="48" t="n"/>
      <c r="AV62" s="48" t="n"/>
      <c r="AW62" s="49">
        <f>IF($A62="","",IF($BW62&lt;&gt;"","FIX",IF($BX62&lt;&gt;"","CHECK","OK")))</f>
        <v/>
      </c>
      <c r="AX62" s="50">
        <f>IF($A62="","",IF($BW62&lt;&gt;"","FIX: "&amp;LEFT($BW62,LEN($BW62)-2)&amp;IF($BX62&lt;&gt;"","  ·  ",""),"")&amp;IF($BX62&lt;&gt;"","CHECK: "&amp;LEFT($BX62,LEN($BX62)-2),""))</f>
        <v/>
      </c>
      <c r="AY62" s="49">
        <f>IF(OR($A62="",$K62=""),"",$K62&amp;"'-"&amp;N($L62)&amp;CHAR(34)&amp;" x "&amp;$M62&amp;"'-"&amp;N($N62)&amp;CHAR(34))</f>
        <v/>
      </c>
      <c r="AZ62" s="49">
        <f>IF(OR($A62="",$K62=""),"",$K62&amp;N($L62)&amp;$M62&amp;N($N62))</f>
        <v/>
      </c>
      <c r="BA62" s="49">
        <f>IF(OR($A62="",$K62=""),"",$K62*12+N($L62))</f>
        <v/>
      </c>
      <c r="BB62" s="49">
        <f>IF(OR($A62="",$M62=""),"",$M62*12+N($N62))</f>
        <v/>
      </c>
      <c r="BC62" s="49">
        <f>IF($A62="","",IF(OR($C62="FRAME ONLY",$S62="BL"),0,IF($O62="Y",2,1)))</f>
        <v/>
      </c>
      <c r="BD62" s="51">
        <f>IF(OR(N($BC62)=0,$BA62=""),"",($BA62-2*EdgeClr-IF($BC62=2,MeetClr,0))/$BC62)</f>
        <v/>
      </c>
      <c r="BE62" s="51">
        <f>IF(OR(N($BC62)=0,$BB62=""),"",$BB62-HeadClr-Undercut)</f>
        <v/>
      </c>
      <c r="BF62" s="51">
        <f>IF($BA62="","",$BA62+2*FaceW+IF(N($Q62)&gt;0,($Q62+FaceW)*IF($R62="LR",2,1),0))</f>
        <v/>
      </c>
      <c r="BG62" s="51">
        <f>IF($BB62="","",$BB62+IF($AB62="Y",4,FaceW)+IF(N($P62)&gt;0,$P62+FaceW,0)+IF(OR($S62="4F",$S62="BL"),FaceW,0))</f>
        <v/>
      </c>
      <c r="BH62" s="51">
        <f>IF($BF62="","",$BF62+2*ROSide)</f>
        <v/>
      </c>
      <c r="BI62" s="51">
        <f>IF($BG62="","",$BG62+ROTop)</f>
        <v/>
      </c>
      <c r="BJ62" s="52">
        <f>IF(OR(N($BC62)=0,$BA62=""),"",$BA62/$BC62-ClearDeduct)</f>
        <v/>
      </c>
      <c r="BK62" s="49">
        <f>IF(OR(N($BC62)=0,$BE62=""),"",IF(OR($AC62="HGC",$AP62="HGC"),"CONT",IF($BE62&lt;=60,2,IF($BE62&lt;=90,3,IF($BE62&lt;=120,4,5)))))</f>
        <v/>
      </c>
      <c r="BL62" s="49">
        <f>IF(N($BC62)=0,"",IF(OR($AL62="",$AL62="FLUSH"),"FLUSH",IFERROR(LEFT($AL62,FIND("-",$AL62)-1),LEFT($AL62,2))))</f>
        <v/>
      </c>
      <c r="BM62" s="49">
        <f>IF($BL62="","",IFERROR(VALUE(MID($AL62,FIND("-",$AL62)+1,FIND(CHAR(34)&amp;"x",$AL62)-FIND("-",$AL62)-1)),0))</f>
        <v/>
      </c>
      <c r="BN62" s="49">
        <f>IF($BL62="","",IFERROR(VALUE(MID($AL62,FIND(CHAR(34)&amp;"x",$AL62)+2,FIND(CHAR(34),$AL62,FIND(CHAR(34)&amp;"x",$AL62)+2)-FIND(CHAR(34)&amp;"x",$AL62)-2)),0))</f>
        <v/>
      </c>
      <c r="BO62" s="53">
        <f>IF(OR($A62="",$H62="",$H62="NO LAB"),0,IFERROR(VALUE(LEFT($H62,FIND(" ",$H62)-1)),0))</f>
        <v/>
      </c>
      <c r="BP62" s="54">
        <f>IF(OR($A62="",$I62="",$I62="NON-RATED",N($J62)=0),"",IFERROR(VLOOKUP($I62&amp;"|"&amp;$J62,IBC,2,FALSE),"?"))</f>
        <v/>
      </c>
      <c r="BQ62" s="50">
        <f>IF(NOT(AND($A62&lt;&gt;"",$C62&lt;&gt;"DOOR ONLY")),"",TRIM(IFERROR(VLOOKUP($U62,CODES,2,FALSE),"")&amp;" "&amp;$AZ62&amp;" "&amp;IFERROR(VLOOKUP($Z62,CODES,2,FALSE),"")&amp;" "&amp;IFERROR(VLOOKUP($X62,CODES,2,FALSE),"")&amp;" "&amp;IFERROR(VLOOKUP($S62,CODES,2,FALSE),"")&amp;IF(N($P62)&gt;0," w/TRANSOM "&amp;$P62&amp;CHAR(34),"")&amp;IF(N($Q62)&gt;0," w/SIDELITE "&amp;$Q62&amp;CHAR(34)&amp;" "&amp;IF($R62="","R",$R62),"")&amp;IF($Y62="","  |  "," | "&amp;IFERROR(VLOOKUP($Y62,CODES,2,FALSE),"")&amp;" | ")&amp;IFERROR(VLOOKUP($AC62,CODES,2,FALSE),"")&amp;" "&amp;IFERROR(VLOOKUP($AD62,CODES,2,FALSE),"")&amp;IF(OR($AE62="",$AE62="-"),""," "&amp;$AE62)&amp;IF(OR($AF62="",$AF62="-"),""," "&amp;$AF62)&amp;IF($AB62="Y"," 4"&amp;CHAR(34)&amp;" HEAD","")&amp;" "&amp;IFERROR(VLOOKUP($H62,CODES,2,FALSE),"")))</f>
        <v/>
      </c>
      <c r="BR62" s="50">
        <f>IF(NOT(AND($A62&lt;&gt;"",N($BC62)&gt;0)),"",TRIM(IFERROR(VLOOKUP($AH62,CODES,2,FALSE),"")&amp;IF($AI62=""," "," "&amp;$AI62&amp;"GA ")&amp;$AZ62&amp;" "&amp;IF($AN62="",IFERROR(VLOOKUP($Z62,CODES,2,FALSE),""),IFERROR(VLOOKUP($AN62,CODES,2,FALSE),""))&amp;IF($BC62=2," PAIR","")&amp;" DOOR | "&amp;IF($AL62="","?",$AL62)&amp;" | "&amp;IF($AP62="",IFERROR(VLOOKUP($AC62,CODES,2,FALSE),""),IFERROR(VLOOKUP($AP62,CODES,2,FALSE),""))&amp;" "&amp;IFERROR(VLOOKUP($AQ62,CODES,2,FALSE),"")&amp;IF(OR($AR62="",$AR62="-"),""," SEAM "&amp;$AR62)&amp;IF($AS62="Y"," ASTRAGAL","")&amp;IF($AJ62=""," "," "&amp;$AJ62)&amp;IF($AK62=""," "," "&amp;$AK62)&amp;IF($AO62="",""," "&amp;$AO62)&amp;IF($AM62=""," "," SERIES "&amp;$AM62)&amp;" "&amp;IFERROR(VLOOKUP($H62,CODES,2,FALSE),"")))</f>
        <v/>
      </c>
      <c r="BS62" s="49">
        <f>IF(BV62="","",IF(COUNTIF($BV$6:BV62,BV62)=1,MAX($BS$5:BS61)+1,INDEX($BS$5:BS61,MATCH(BV62,$BV$5:BV61,0))))</f>
        <v/>
      </c>
      <c r="BT62" s="49">
        <f>IF(NOT(AND($A62&lt;&gt;"",$C62&lt;&gt;"DOOR ONLY")),"",MAX($BT$5:BT61)+1)</f>
        <v/>
      </c>
      <c r="BU62" s="49">
        <f>IF(NOT(AND($A62&lt;&gt;"",N($BC62)&gt;0)),"",MAX($BU$5:BU61)+1)</f>
        <v/>
      </c>
      <c r="BV62" s="49">
        <f>IF(OR($A62="",$BA62="",$BB62=""),"",$AZ62&amp;"|"&amp;$O62&amp;"|"&amp;$AL62&amp;"|"&amp;$S62&amp;"|"&amp;$P62&amp;"|"&amp;$Q62&amp;$R62&amp;"|"&amp;$C62&amp;"|"&amp;$AB62)</f>
        <v/>
      </c>
      <c r="BW62" s="49">
        <f>IF($A62="","",IF($B62="","qty, ","")&amp;IF($C62="","scope, ","")&amp;IF(OR($K62="",$M62=""),"size, ","")&amp;IF(AND($A62&lt;&gt;"",$C62&lt;&gt;"DOOR ONLY"),IF($U62="","jamb depth, ","")&amp;IF($X62="","construction, ","")&amp;IF($Y62="","anchor, ","")&amp;IF($S62="","frame type, ",""),"")&amp;IF(AND(N($BC62)&gt;0,$Z62=""),"hand, ","")&amp;IF(N($BC62)&gt;0,IF($AH62="","door material, ","")&amp;IF($AL62="","face type, ","")&amp;IF($AQ62="","lock prep, ","")&amp;IF(AND($AP62="",$AC62=""),"hinge prep, ",""),"")&amp;IF(AND($BO62&gt;0,$AH62="FRP"),"FRP cannot carry a label, ","")&amp;IF(AND($O62="Y",OR($Z62="L",$Z62="R",$Z62="LR",$Z62="RR")),"pair marked but hand is single, ","")&amp;IF(AND($O62&lt;&gt;"Y",OR($Z62="PR",AND(LEN($Z62)&gt;1,ISNUMBER(SEARCH("-",$Z62))))),"pair hand on a single door, ","")&amp;IF(AND(ISNUMBER($BP62),$BO62&lt;N($BP62)),"wall needs a "&amp;$BP62&amp;" min door, ","")&amp;IF(AND($BO62&gt;=180,AND(OR($BL62="FG",$BL62="HG",$BL62="FNV",$BL62="FV"),N($BM62)*N($BN62)&gt;100)),"180 min lite over 100 sq in, ","")&amp;IF(N($BD62)&gt;48,"leaf wider than 4'-0"&amp;CHAR(34)&amp;", ",""))</f>
        <v/>
      </c>
      <c r="BX62" s="49">
        <f>IF($A62="","",IF(AND($BO62&gt;0,AND($A62&lt;&gt;"",$C62&lt;&gt;"DOOR ONLY"),$X62="KD",$E62="EXTERIOR"),"KD label on an exterior opening, ","")&amp;IF(AND($E62="EXTERIOR",OR(AND(AND($A62&lt;&gt;"",$C62&lt;&gt;"DOOR ONLY"),$W62="CR"),AND(N($BC62)&gt;0,$AH62="CR"))),"exterior in CR steel (G9?), ","")&amp;IF(AND(ISNUMBER($BJ62),N($BJ62)&lt;32),"clear width ~"&amp;TEXT($BJ62,"0.0")&amp;CHAR(34)&amp;" under 32"&amp;CHAR(34)&amp;" (ADA), ","")&amp;IF(AND($BO62=90,AND(OR($BL62="FG",$BL62="HG",$BL62="FNV",$BL62="FV"),N($BM62)*N($BN62)&gt;100)),"90 min lite over 100 sq in (stair/exit), ","")&amp;IF(AND($BO62&gt;0,AND($A62&lt;&gt;"",$C62&lt;&gt;"DOOR ONLY"),OR($AF62="",$AF62="-")),"rated: closer reinf.?, ","")&amp;IF(OR($I62="CORRIDOR",$I62="SMOKE BARRIER"),"S label + smoke gasketing, ","")&amp;IF($BP62="?","wall type/hr not in IBC table, ","")&amp;IF(AND(N($BC62)&gt;0,$AU62=""),"no hardware set, ","")&amp;IF(AND($AU62&lt;&gt;"",ISNA(MATCH($AU62,HWSets,0))),"set "&amp;$AU62&amp;" not on Hardware sheet, ","")&amp;IF(N($BE62)&gt;96,"leaf over 8'-0"&amp;CHAR(34)&amp;" - check listing, ",""))</f>
        <v/>
      </c>
    </row>
    <row r="63" ht="15" customHeight="1">
      <c r="A63" s="44" t="n"/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  <c r="N63" s="45" t="n"/>
      <c r="O63" s="45" t="n"/>
      <c r="P63" s="45" t="n"/>
      <c r="Q63" s="45" t="n"/>
      <c r="R63" s="45" t="n"/>
      <c r="S63" s="46" t="n"/>
      <c r="T63" s="46" t="n"/>
      <c r="U63" s="46" t="n"/>
      <c r="V63" s="46" t="n"/>
      <c r="W63" s="46" t="n"/>
      <c r="X63" s="46" t="n"/>
      <c r="Y63" s="46" t="n"/>
      <c r="Z63" s="46" t="n"/>
      <c r="AA63" s="46" t="n"/>
      <c r="AB63" s="46" t="n"/>
      <c r="AC63" s="46" t="n"/>
      <c r="AD63" s="46" t="n"/>
      <c r="AE63" s="46" t="n"/>
      <c r="AF63" s="46" t="n"/>
      <c r="AG63" s="46" t="n"/>
      <c r="AH63" s="47" t="n"/>
      <c r="AI63" s="47" t="n"/>
      <c r="AJ63" s="47" t="n"/>
      <c r="AK63" s="47" t="n"/>
      <c r="AL63" s="47" t="n"/>
      <c r="AM63" s="47" t="n"/>
      <c r="AN63" s="47" t="n"/>
      <c r="AO63" s="47" t="n"/>
      <c r="AP63" s="47" t="n"/>
      <c r="AQ63" s="47" t="n"/>
      <c r="AR63" s="47" t="n"/>
      <c r="AS63" s="47" t="n"/>
      <c r="AT63" s="47" t="n"/>
      <c r="AU63" s="48" t="n"/>
      <c r="AV63" s="48" t="n"/>
      <c r="AW63" s="49">
        <f>IF($A63="","",IF($BW63&lt;&gt;"","FIX",IF($BX63&lt;&gt;"","CHECK","OK")))</f>
        <v/>
      </c>
      <c r="AX63" s="50">
        <f>IF($A63="","",IF($BW63&lt;&gt;"","FIX: "&amp;LEFT($BW63,LEN($BW63)-2)&amp;IF($BX63&lt;&gt;"","  ·  ",""),"")&amp;IF($BX63&lt;&gt;"","CHECK: "&amp;LEFT($BX63,LEN($BX63)-2),""))</f>
        <v/>
      </c>
      <c r="AY63" s="49">
        <f>IF(OR($A63="",$K63=""),"",$K63&amp;"'-"&amp;N($L63)&amp;CHAR(34)&amp;" x "&amp;$M63&amp;"'-"&amp;N($N63)&amp;CHAR(34))</f>
        <v/>
      </c>
      <c r="AZ63" s="49">
        <f>IF(OR($A63="",$K63=""),"",$K63&amp;N($L63)&amp;$M63&amp;N($N63))</f>
        <v/>
      </c>
      <c r="BA63" s="49">
        <f>IF(OR($A63="",$K63=""),"",$K63*12+N($L63))</f>
        <v/>
      </c>
      <c r="BB63" s="49">
        <f>IF(OR($A63="",$M63=""),"",$M63*12+N($N63))</f>
        <v/>
      </c>
      <c r="BC63" s="49">
        <f>IF($A63="","",IF(OR($C63="FRAME ONLY",$S63="BL"),0,IF($O63="Y",2,1)))</f>
        <v/>
      </c>
      <c r="BD63" s="51">
        <f>IF(OR(N($BC63)=0,$BA63=""),"",($BA63-2*EdgeClr-IF($BC63=2,MeetClr,0))/$BC63)</f>
        <v/>
      </c>
      <c r="BE63" s="51">
        <f>IF(OR(N($BC63)=0,$BB63=""),"",$BB63-HeadClr-Undercut)</f>
        <v/>
      </c>
      <c r="BF63" s="51">
        <f>IF($BA63="","",$BA63+2*FaceW+IF(N($Q63)&gt;0,($Q63+FaceW)*IF($R63="LR",2,1),0))</f>
        <v/>
      </c>
      <c r="BG63" s="51">
        <f>IF($BB63="","",$BB63+IF($AB63="Y",4,FaceW)+IF(N($P63)&gt;0,$P63+FaceW,0)+IF(OR($S63="4F",$S63="BL"),FaceW,0))</f>
        <v/>
      </c>
      <c r="BH63" s="51">
        <f>IF($BF63="","",$BF63+2*ROSide)</f>
        <v/>
      </c>
      <c r="BI63" s="51">
        <f>IF($BG63="","",$BG63+ROTop)</f>
        <v/>
      </c>
      <c r="BJ63" s="52">
        <f>IF(OR(N($BC63)=0,$BA63=""),"",$BA63/$BC63-ClearDeduct)</f>
        <v/>
      </c>
      <c r="BK63" s="49">
        <f>IF(OR(N($BC63)=0,$BE63=""),"",IF(OR($AC63="HGC",$AP63="HGC"),"CONT",IF($BE63&lt;=60,2,IF($BE63&lt;=90,3,IF($BE63&lt;=120,4,5)))))</f>
        <v/>
      </c>
      <c r="BL63" s="49">
        <f>IF(N($BC63)=0,"",IF(OR($AL63="",$AL63="FLUSH"),"FLUSH",IFERROR(LEFT($AL63,FIND("-",$AL63)-1),LEFT($AL63,2))))</f>
        <v/>
      </c>
      <c r="BM63" s="49">
        <f>IF($BL63="","",IFERROR(VALUE(MID($AL63,FIND("-",$AL63)+1,FIND(CHAR(34)&amp;"x",$AL63)-FIND("-",$AL63)-1)),0))</f>
        <v/>
      </c>
      <c r="BN63" s="49">
        <f>IF($BL63="","",IFERROR(VALUE(MID($AL63,FIND(CHAR(34)&amp;"x",$AL63)+2,FIND(CHAR(34),$AL63,FIND(CHAR(34)&amp;"x",$AL63)+2)-FIND(CHAR(34)&amp;"x",$AL63)-2)),0))</f>
        <v/>
      </c>
      <c r="BO63" s="53">
        <f>IF(OR($A63="",$H63="",$H63="NO LAB"),0,IFERROR(VALUE(LEFT($H63,FIND(" ",$H63)-1)),0))</f>
        <v/>
      </c>
      <c r="BP63" s="54">
        <f>IF(OR($A63="",$I63="",$I63="NON-RATED",N($J63)=0),"",IFERROR(VLOOKUP($I63&amp;"|"&amp;$J63,IBC,2,FALSE),"?"))</f>
        <v/>
      </c>
      <c r="BQ63" s="50">
        <f>IF(NOT(AND($A63&lt;&gt;"",$C63&lt;&gt;"DOOR ONLY")),"",TRIM(IFERROR(VLOOKUP($U63,CODES,2,FALSE),"")&amp;" "&amp;$AZ63&amp;" "&amp;IFERROR(VLOOKUP($Z63,CODES,2,FALSE),"")&amp;" "&amp;IFERROR(VLOOKUP($X63,CODES,2,FALSE),"")&amp;" "&amp;IFERROR(VLOOKUP($S63,CODES,2,FALSE),"")&amp;IF(N($P63)&gt;0," w/TRANSOM "&amp;$P63&amp;CHAR(34),"")&amp;IF(N($Q63)&gt;0," w/SIDELITE "&amp;$Q63&amp;CHAR(34)&amp;" "&amp;IF($R63="","R",$R63),"")&amp;IF($Y63="","  |  "," | "&amp;IFERROR(VLOOKUP($Y63,CODES,2,FALSE),"")&amp;" | ")&amp;IFERROR(VLOOKUP($AC63,CODES,2,FALSE),"")&amp;" "&amp;IFERROR(VLOOKUP($AD63,CODES,2,FALSE),"")&amp;IF(OR($AE63="",$AE63="-"),""," "&amp;$AE63)&amp;IF(OR($AF63="",$AF63="-"),""," "&amp;$AF63)&amp;IF($AB63="Y"," 4"&amp;CHAR(34)&amp;" HEAD","")&amp;" "&amp;IFERROR(VLOOKUP($H63,CODES,2,FALSE),"")))</f>
        <v/>
      </c>
      <c r="BR63" s="50">
        <f>IF(NOT(AND($A63&lt;&gt;"",N($BC63)&gt;0)),"",TRIM(IFERROR(VLOOKUP($AH63,CODES,2,FALSE),"")&amp;IF($AI63=""," "," "&amp;$AI63&amp;"GA ")&amp;$AZ63&amp;" "&amp;IF($AN63="",IFERROR(VLOOKUP($Z63,CODES,2,FALSE),""),IFERROR(VLOOKUP($AN63,CODES,2,FALSE),""))&amp;IF($BC63=2," PAIR","")&amp;" DOOR | "&amp;IF($AL63="","?",$AL63)&amp;" | "&amp;IF($AP63="",IFERROR(VLOOKUP($AC63,CODES,2,FALSE),""),IFERROR(VLOOKUP($AP63,CODES,2,FALSE),""))&amp;" "&amp;IFERROR(VLOOKUP($AQ63,CODES,2,FALSE),"")&amp;IF(OR($AR63="",$AR63="-"),""," SEAM "&amp;$AR63)&amp;IF($AS63="Y"," ASTRAGAL","")&amp;IF($AJ63=""," "," "&amp;$AJ63)&amp;IF($AK63=""," "," "&amp;$AK63)&amp;IF($AO63="",""," "&amp;$AO63)&amp;IF($AM63=""," "," SERIES "&amp;$AM63)&amp;" "&amp;IFERROR(VLOOKUP($H63,CODES,2,FALSE),"")))</f>
        <v/>
      </c>
      <c r="BS63" s="49">
        <f>IF(BV63="","",IF(COUNTIF($BV$6:BV63,BV63)=1,MAX($BS$5:BS62)+1,INDEX($BS$5:BS62,MATCH(BV63,$BV$5:BV62,0))))</f>
        <v/>
      </c>
      <c r="BT63" s="49">
        <f>IF(NOT(AND($A63&lt;&gt;"",$C63&lt;&gt;"DOOR ONLY")),"",MAX($BT$5:BT62)+1)</f>
        <v/>
      </c>
      <c r="BU63" s="49">
        <f>IF(NOT(AND($A63&lt;&gt;"",N($BC63)&gt;0)),"",MAX($BU$5:BU62)+1)</f>
        <v/>
      </c>
      <c r="BV63" s="49">
        <f>IF(OR($A63="",$BA63="",$BB63=""),"",$AZ63&amp;"|"&amp;$O63&amp;"|"&amp;$AL63&amp;"|"&amp;$S63&amp;"|"&amp;$P63&amp;"|"&amp;$Q63&amp;$R63&amp;"|"&amp;$C63&amp;"|"&amp;$AB63)</f>
        <v/>
      </c>
      <c r="BW63" s="49">
        <f>IF($A63="","",IF($B63="","qty, ","")&amp;IF($C63="","scope, ","")&amp;IF(OR($K63="",$M63=""),"size, ","")&amp;IF(AND($A63&lt;&gt;"",$C63&lt;&gt;"DOOR ONLY"),IF($U63="","jamb depth, ","")&amp;IF($X63="","construction, ","")&amp;IF($Y63="","anchor, ","")&amp;IF($S63="","frame type, ",""),"")&amp;IF(AND(N($BC63)&gt;0,$Z63=""),"hand, ","")&amp;IF(N($BC63)&gt;0,IF($AH63="","door material, ","")&amp;IF($AL63="","face type, ","")&amp;IF($AQ63="","lock prep, ","")&amp;IF(AND($AP63="",$AC63=""),"hinge prep, ",""),"")&amp;IF(AND($BO63&gt;0,$AH63="FRP"),"FRP cannot carry a label, ","")&amp;IF(AND($O63="Y",OR($Z63="L",$Z63="R",$Z63="LR",$Z63="RR")),"pair marked but hand is single, ","")&amp;IF(AND($O63&lt;&gt;"Y",OR($Z63="PR",AND(LEN($Z63)&gt;1,ISNUMBER(SEARCH("-",$Z63))))),"pair hand on a single door, ","")&amp;IF(AND(ISNUMBER($BP63),$BO63&lt;N($BP63)),"wall needs a "&amp;$BP63&amp;" min door, ","")&amp;IF(AND($BO63&gt;=180,AND(OR($BL63="FG",$BL63="HG",$BL63="FNV",$BL63="FV"),N($BM63)*N($BN63)&gt;100)),"180 min lite over 100 sq in, ","")&amp;IF(N($BD63)&gt;48,"leaf wider than 4'-0"&amp;CHAR(34)&amp;", ",""))</f>
        <v/>
      </c>
      <c r="BX63" s="49">
        <f>IF($A63="","",IF(AND($BO63&gt;0,AND($A63&lt;&gt;"",$C63&lt;&gt;"DOOR ONLY"),$X63="KD",$E63="EXTERIOR"),"KD label on an exterior opening, ","")&amp;IF(AND($E63="EXTERIOR",OR(AND(AND($A63&lt;&gt;"",$C63&lt;&gt;"DOOR ONLY"),$W63="CR"),AND(N($BC63)&gt;0,$AH63="CR"))),"exterior in CR steel (G9?), ","")&amp;IF(AND(ISNUMBER($BJ63),N($BJ63)&lt;32),"clear width ~"&amp;TEXT($BJ63,"0.0")&amp;CHAR(34)&amp;" under 32"&amp;CHAR(34)&amp;" (ADA), ","")&amp;IF(AND($BO63=90,AND(OR($BL63="FG",$BL63="HG",$BL63="FNV",$BL63="FV"),N($BM63)*N($BN63)&gt;100)),"90 min lite over 100 sq in (stair/exit), ","")&amp;IF(AND($BO63&gt;0,AND($A63&lt;&gt;"",$C63&lt;&gt;"DOOR ONLY"),OR($AF63="",$AF63="-")),"rated: closer reinf.?, ","")&amp;IF(OR($I63="CORRIDOR",$I63="SMOKE BARRIER"),"S label + smoke gasketing, ","")&amp;IF($BP63="?","wall type/hr not in IBC table, ","")&amp;IF(AND(N($BC63)&gt;0,$AU63=""),"no hardware set, ","")&amp;IF(AND($AU63&lt;&gt;"",ISNA(MATCH($AU63,HWSets,0))),"set "&amp;$AU63&amp;" not on Hardware sheet, ","")&amp;IF(N($BE63)&gt;96,"leaf over 8'-0"&amp;CHAR(34)&amp;" - check listing, ",""))</f>
        <v/>
      </c>
    </row>
    <row r="64" ht="15" customHeight="1">
      <c r="A64" s="44" t="n"/>
      <c r="B64" s="45" t="n"/>
      <c r="C64" s="45" t="n"/>
      <c r="D64" s="45" t="n"/>
      <c r="E64" s="45" t="n"/>
      <c r="F64" s="45" t="n"/>
      <c r="G64" s="45" t="n"/>
      <c r="H64" s="45" t="n"/>
      <c r="I64" s="45" t="n"/>
      <c r="J64" s="45" t="n"/>
      <c r="K64" s="45" t="n"/>
      <c r="L64" s="45" t="n"/>
      <c r="M64" s="45" t="n"/>
      <c r="N64" s="45" t="n"/>
      <c r="O64" s="45" t="n"/>
      <c r="P64" s="45" t="n"/>
      <c r="Q64" s="45" t="n"/>
      <c r="R64" s="45" t="n"/>
      <c r="S64" s="46" t="n"/>
      <c r="T64" s="46" t="n"/>
      <c r="U64" s="46" t="n"/>
      <c r="V64" s="46" t="n"/>
      <c r="W64" s="46" t="n"/>
      <c r="X64" s="46" t="n"/>
      <c r="Y64" s="46" t="n"/>
      <c r="Z64" s="46" t="n"/>
      <c r="AA64" s="46" t="n"/>
      <c r="AB64" s="46" t="n"/>
      <c r="AC64" s="46" t="n"/>
      <c r="AD64" s="46" t="n"/>
      <c r="AE64" s="46" t="n"/>
      <c r="AF64" s="46" t="n"/>
      <c r="AG64" s="46" t="n"/>
      <c r="AH64" s="47" t="n"/>
      <c r="AI64" s="47" t="n"/>
      <c r="AJ64" s="47" t="n"/>
      <c r="AK64" s="47" t="n"/>
      <c r="AL64" s="47" t="n"/>
      <c r="AM64" s="47" t="n"/>
      <c r="AN64" s="47" t="n"/>
      <c r="AO64" s="47" t="n"/>
      <c r="AP64" s="47" t="n"/>
      <c r="AQ64" s="47" t="n"/>
      <c r="AR64" s="47" t="n"/>
      <c r="AS64" s="47" t="n"/>
      <c r="AT64" s="47" t="n"/>
      <c r="AU64" s="48" t="n"/>
      <c r="AV64" s="48" t="n"/>
      <c r="AW64" s="49">
        <f>IF($A64="","",IF($BW64&lt;&gt;"","FIX",IF($BX64&lt;&gt;"","CHECK","OK")))</f>
        <v/>
      </c>
      <c r="AX64" s="50">
        <f>IF($A64="","",IF($BW64&lt;&gt;"","FIX: "&amp;LEFT($BW64,LEN($BW64)-2)&amp;IF($BX64&lt;&gt;"","  ·  ",""),"")&amp;IF($BX64&lt;&gt;"","CHECK: "&amp;LEFT($BX64,LEN($BX64)-2),""))</f>
        <v/>
      </c>
      <c r="AY64" s="49">
        <f>IF(OR($A64="",$K64=""),"",$K64&amp;"'-"&amp;N($L64)&amp;CHAR(34)&amp;" x "&amp;$M64&amp;"'-"&amp;N($N64)&amp;CHAR(34))</f>
        <v/>
      </c>
      <c r="AZ64" s="49">
        <f>IF(OR($A64="",$K64=""),"",$K64&amp;N($L64)&amp;$M64&amp;N($N64))</f>
        <v/>
      </c>
      <c r="BA64" s="49">
        <f>IF(OR($A64="",$K64=""),"",$K64*12+N($L64))</f>
        <v/>
      </c>
      <c r="BB64" s="49">
        <f>IF(OR($A64="",$M64=""),"",$M64*12+N($N64))</f>
        <v/>
      </c>
      <c r="BC64" s="49">
        <f>IF($A64="","",IF(OR($C64="FRAME ONLY",$S64="BL"),0,IF($O64="Y",2,1)))</f>
        <v/>
      </c>
      <c r="BD64" s="51">
        <f>IF(OR(N($BC64)=0,$BA64=""),"",($BA64-2*EdgeClr-IF($BC64=2,MeetClr,0))/$BC64)</f>
        <v/>
      </c>
      <c r="BE64" s="51">
        <f>IF(OR(N($BC64)=0,$BB64=""),"",$BB64-HeadClr-Undercut)</f>
        <v/>
      </c>
      <c r="BF64" s="51">
        <f>IF($BA64="","",$BA64+2*FaceW+IF(N($Q64)&gt;0,($Q64+FaceW)*IF($R64="LR",2,1),0))</f>
        <v/>
      </c>
      <c r="BG64" s="51">
        <f>IF($BB64="","",$BB64+IF($AB64="Y",4,FaceW)+IF(N($P64)&gt;0,$P64+FaceW,0)+IF(OR($S64="4F",$S64="BL"),FaceW,0))</f>
        <v/>
      </c>
      <c r="BH64" s="51">
        <f>IF($BF64="","",$BF64+2*ROSide)</f>
        <v/>
      </c>
      <c r="BI64" s="51">
        <f>IF($BG64="","",$BG64+ROTop)</f>
        <v/>
      </c>
      <c r="BJ64" s="52">
        <f>IF(OR(N($BC64)=0,$BA64=""),"",$BA64/$BC64-ClearDeduct)</f>
        <v/>
      </c>
      <c r="BK64" s="49">
        <f>IF(OR(N($BC64)=0,$BE64=""),"",IF(OR($AC64="HGC",$AP64="HGC"),"CONT",IF($BE64&lt;=60,2,IF($BE64&lt;=90,3,IF($BE64&lt;=120,4,5)))))</f>
        <v/>
      </c>
      <c r="BL64" s="49">
        <f>IF(N($BC64)=0,"",IF(OR($AL64="",$AL64="FLUSH"),"FLUSH",IFERROR(LEFT($AL64,FIND("-",$AL64)-1),LEFT($AL64,2))))</f>
        <v/>
      </c>
      <c r="BM64" s="49">
        <f>IF($BL64="","",IFERROR(VALUE(MID($AL64,FIND("-",$AL64)+1,FIND(CHAR(34)&amp;"x",$AL64)-FIND("-",$AL64)-1)),0))</f>
        <v/>
      </c>
      <c r="BN64" s="49">
        <f>IF($BL64="","",IFERROR(VALUE(MID($AL64,FIND(CHAR(34)&amp;"x",$AL64)+2,FIND(CHAR(34),$AL64,FIND(CHAR(34)&amp;"x",$AL64)+2)-FIND(CHAR(34)&amp;"x",$AL64)-2)),0))</f>
        <v/>
      </c>
      <c r="BO64" s="53">
        <f>IF(OR($A64="",$H64="",$H64="NO LAB"),0,IFERROR(VALUE(LEFT($H64,FIND(" ",$H64)-1)),0))</f>
        <v/>
      </c>
      <c r="BP64" s="54">
        <f>IF(OR($A64="",$I64="",$I64="NON-RATED",N($J64)=0),"",IFERROR(VLOOKUP($I64&amp;"|"&amp;$J64,IBC,2,FALSE),"?"))</f>
        <v/>
      </c>
      <c r="BQ64" s="50">
        <f>IF(NOT(AND($A64&lt;&gt;"",$C64&lt;&gt;"DOOR ONLY")),"",TRIM(IFERROR(VLOOKUP($U64,CODES,2,FALSE),"")&amp;" "&amp;$AZ64&amp;" "&amp;IFERROR(VLOOKUP($Z64,CODES,2,FALSE),"")&amp;" "&amp;IFERROR(VLOOKUP($X64,CODES,2,FALSE),"")&amp;" "&amp;IFERROR(VLOOKUP($S64,CODES,2,FALSE),"")&amp;IF(N($P64)&gt;0," w/TRANSOM "&amp;$P64&amp;CHAR(34),"")&amp;IF(N($Q64)&gt;0," w/SIDELITE "&amp;$Q64&amp;CHAR(34)&amp;" "&amp;IF($R64="","R",$R64),"")&amp;IF($Y64="","  |  "," | "&amp;IFERROR(VLOOKUP($Y64,CODES,2,FALSE),"")&amp;" | ")&amp;IFERROR(VLOOKUP($AC64,CODES,2,FALSE),"")&amp;" "&amp;IFERROR(VLOOKUP($AD64,CODES,2,FALSE),"")&amp;IF(OR($AE64="",$AE64="-"),""," "&amp;$AE64)&amp;IF(OR($AF64="",$AF64="-"),""," "&amp;$AF64)&amp;IF($AB64="Y"," 4"&amp;CHAR(34)&amp;" HEAD","")&amp;" "&amp;IFERROR(VLOOKUP($H64,CODES,2,FALSE),"")))</f>
        <v/>
      </c>
      <c r="BR64" s="50">
        <f>IF(NOT(AND($A64&lt;&gt;"",N($BC64)&gt;0)),"",TRIM(IFERROR(VLOOKUP($AH64,CODES,2,FALSE),"")&amp;IF($AI64=""," "," "&amp;$AI64&amp;"GA ")&amp;$AZ64&amp;" "&amp;IF($AN64="",IFERROR(VLOOKUP($Z64,CODES,2,FALSE),""),IFERROR(VLOOKUP($AN64,CODES,2,FALSE),""))&amp;IF($BC64=2," PAIR","")&amp;" DOOR | "&amp;IF($AL64="","?",$AL64)&amp;" | "&amp;IF($AP64="",IFERROR(VLOOKUP($AC64,CODES,2,FALSE),""),IFERROR(VLOOKUP($AP64,CODES,2,FALSE),""))&amp;" "&amp;IFERROR(VLOOKUP($AQ64,CODES,2,FALSE),"")&amp;IF(OR($AR64="",$AR64="-"),""," SEAM "&amp;$AR64)&amp;IF($AS64="Y"," ASTRAGAL","")&amp;IF($AJ64=""," "," "&amp;$AJ64)&amp;IF($AK64=""," "," "&amp;$AK64)&amp;IF($AO64="",""," "&amp;$AO64)&amp;IF($AM64=""," "," SERIES "&amp;$AM64)&amp;" "&amp;IFERROR(VLOOKUP($H64,CODES,2,FALSE),"")))</f>
        <v/>
      </c>
      <c r="BS64" s="49">
        <f>IF(BV64="","",IF(COUNTIF($BV$6:BV64,BV64)=1,MAX($BS$5:BS63)+1,INDEX($BS$5:BS63,MATCH(BV64,$BV$5:BV63,0))))</f>
        <v/>
      </c>
      <c r="BT64" s="49">
        <f>IF(NOT(AND($A64&lt;&gt;"",$C64&lt;&gt;"DOOR ONLY")),"",MAX($BT$5:BT63)+1)</f>
        <v/>
      </c>
      <c r="BU64" s="49">
        <f>IF(NOT(AND($A64&lt;&gt;"",N($BC64)&gt;0)),"",MAX($BU$5:BU63)+1)</f>
        <v/>
      </c>
      <c r="BV64" s="49">
        <f>IF(OR($A64="",$BA64="",$BB64=""),"",$AZ64&amp;"|"&amp;$O64&amp;"|"&amp;$AL64&amp;"|"&amp;$S64&amp;"|"&amp;$P64&amp;"|"&amp;$Q64&amp;$R64&amp;"|"&amp;$C64&amp;"|"&amp;$AB64)</f>
        <v/>
      </c>
      <c r="BW64" s="49">
        <f>IF($A64="","",IF($B64="","qty, ","")&amp;IF($C64="","scope, ","")&amp;IF(OR($K64="",$M64=""),"size, ","")&amp;IF(AND($A64&lt;&gt;"",$C64&lt;&gt;"DOOR ONLY"),IF($U64="","jamb depth, ","")&amp;IF($X64="","construction, ","")&amp;IF($Y64="","anchor, ","")&amp;IF($S64="","frame type, ",""),"")&amp;IF(AND(N($BC64)&gt;0,$Z64=""),"hand, ","")&amp;IF(N($BC64)&gt;0,IF($AH64="","door material, ","")&amp;IF($AL64="","face type, ","")&amp;IF($AQ64="","lock prep, ","")&amp;IF(AND($AP64="",$AC64=""),"hinge prep, ",""),"")&amp;IF(AND($BO64&gt;0,$AH64="FRP"),"FRP cannot carry a label, ","")&amp;IF(AND($O64="Y",OR($Z64="L",$Z64="R",$Z64="LR",$Z64="RR")),"pair marked but hand is single, ","")&amp;IF(AND($O64&lt;&gt;"Y",OR($Z64="PR",AND(LEN($Z64)&gt;1,ISNUMBER(SEARCH("-",$Z64))))),"pair hand on a single door, ","")&amp;IF(AND(ISNUMBER($BP64),$BO64&lt;N($BP64)),"wall needs a "&amp;$BP64&amp;" min door, ","")&amp;IF(AND($BO64&gt;=180,AND(OR($BL64="FG",$BL64="HG",$BL64="FNV",$BL64="FV"),N($BM64)*N($BN64)&gt;100)),"180 min lite over 100 sq in, ","")&amp;IF(N($BD64)&gt;48,"leaf wider than 4'-0"&amp;CHAR(34)&amp;", ",""))</f>
        <v/>
      </c>
      <c r="BX64" s="49">
        <f>IF($A64="","",IF(AND($BO64&gt;0,AND($A64&lt;&gt;"",$C64&lt;&gt;"DOOR ONLY"),$X64="KD",$E64="EXTERIOR"),"KD label on an exterior opening, ","")&amp;IF(AND($E64="EXTERIOR",OR(AND(AND($A64&lt;&gt;"",$C64&lt;&gt;"DOOR ONLY"),$W64="CR"),AND(N($BC64)&gt;0,$AH64="CR"))),"exterior in CR steel (G9?), ","")&amp;IF(AND(ISNUMBER($BJ64),N($BJ64)&lt;32),"clear width ~"&amp;TEXT($BJ64,"0.0")&amp;CHAR(34)&amp;" under 32"&amp;CHAR(34)&amp;" (ADA), ","")&amp;IF(AND($BO64=90,AND(OR($BL64="FG",$BL64="HG",$BL64="FNV",$BL64="FV"),N($BM64)*N($BN64)&gt;100)),"90 min lite over 100 sq in (stair/exit), ","")&amp;IF(AND($BO64&gt;0,AND($A64&lt;&gt;"",$C64&lt;&gt;"DOOR ONLY"),OR($AF64="",$AF64="-")),"rated: closer reinf.?, ","")&amp;IF(OR($I64="CORRIDOR",$I64="SMOKE BARRIER"),"S label + smoke gasketing, ","")&amp;IF($BP64="?","wall type/hr not in IBC table, ","")&amp;IF(AND(N($BC64)&gt;0,$AU64=""),"no hardware set, ","")&amp;IF(AND($AU64&lt;&gt;"",ISNA(MATCH($AU64,HWSets,0))),"set "&amp;$AU64&amp;" not on Hardware sheet, ","")&amp;IF(N($BE64)&gt;96,"leaf over 8'-0"&amp;CHAR(34)&amp;" - check listing, ",""))</f>
        <v/>
      </c>
    </row>
    <row r="65" ht="15" customHeight="1">
      <c r="A65" s="44" t="n"/>
      <c r="B65" s="45" t="n"/>
      <c r="C65" s="45" t="n"/>
      <c r="D65" s="45" t="n"/>
      <c r="E65" s="45" t="n"/>
      <c r="F65" s="45" t="n"/>
      <c r="G65" s="45" t="n"/>
      <c r="H65" s="45" t="n"/>
      <c r="I65" s="45" t="n"/>
      <c r="J65" s="45" t="n"/>
      <c r="K65" s="45" t="n"/>
      <c r="L65" s="45" t="n"/>
      <c r="M65" s="45" t="n"/>
      <c r="N65" s="45" t="n"/>
      <c r="O65" s="45" t="n"/>
      <c r="P65" s="45" t="n"/>
      <c r="Q65" s="45" t="n"/>
      <c r="R65" s="45" t="n"/>
      <c r="S65" s="46" t="n"/>
      <c r="T65" s="46" t="n"/>
      <c r="U65" s="46" t="n"/>
      <c r="V65" s="46" t="n"/>
      <c r="W65" s="46" t="n"/>
      <c r="X65" s="46" t="n"/>
      <c r="Y65" s="46" t="n"/>
      <c r="Z65" s="46" t="n"/>
      <c r="AA65" s="46" t="n"/>
      <c r="AB65" s="46" t="n"/>
      <c r="AC65" s="46" t="n"/>
      <c r="AD65" s="46" t="n"/>
      <c r="AE65" s="46" t="n"/>
      <c r="AF65" s="46" t="n"/>
      <c r="AG65" s="46" t="n"/>
      <c r="AH65" s="47" t="n"/>
      <c r="AI65" s="47" t="n"/>
      <c r="AJ65" s="47" t="n"/>
      <c r="AK65" s="47" t="n"/>
      <c r="AL65" s="47" t="n"/>
      <c r="AM65" s="47" t="n"/>
      <c r="AN65" s="47" t="n"/>
      <c r="AO65" s="47" t="n"/>
      <c r="AP65" s="47" t="n"/>
      <c r="AQ65" s="47" t="n"/>
      <c r="AR65" s="47" t="n"/>
      <c r="AS65" s="47" t="n"/>
      <c r="AT65" s="47" t="n"/>
      <c r="AU65" s="48" t="n"/>
      <c r="AV65" s="48" t="n"/>
      <c r="AW65" s="49">
        <f>IF($A65="","",IF($BW65&lt;&gt;"","FIX",IF($BX65&lt;&gt;"","CHECK","OK")))</f>
        <v/>
      </c>
      <c r="AX65" s="50">
        <f>IF($A65="","",IF($BW65&lt;&gt;"","FIX: "&amp;LEFT($BW65,LEN($BW65)-2)&amp;IF($BX65&lt;&gt;"","  ·  ",""),"")&amp;IF($BX65&lt;&gt;"","CHECK: "&amp;LEFT($BX65,LEN($BX65)-2),""))</f>
        <v/>
      </c>
      <c r="AY65" s="49">
        <f>IF(OR($A65="",$K65=""),"",$K65&amp;"'-"&amp;N($L65)&amp;CHAR(34)&amp;" x "&amp;$M65&amp;"'-"&amp;N($N65)&amp;CHAR(34))</f>
        <v/>
      </c>
      <c r="AZ65" s="49">
        <f>IF(OR($A65="",$K65=""),"",$K65&amp;N($L65)&amp;$M65&amp;N($N65))</f>
        <v/>
      </c>
      <c r="BA65" s="49">
        <f>IF(OR($A65="",$K65=""),"",$K65*12+N($L65))</f>
        <v/>
      </c>
      <c r="BB65" s="49">
        <f>IF(OR($A65="",$M65=""),"",$M65*12+N($N65))</f>
        <v/>
      </c>
      <c r="BC65" s="49">
        <f>IF($A65="","",IF(OR($C65="FRAME ONLY",$S65="BL"),0,IF($O65="Y",2,1)))</f>
        <v/>
      </c>
      <c r="BD65" s="51">
        <f>IF(OR(N($BC65)=0,$BA65=""),"",($BA65-2*EdgeClr-IF($BC65=2,MeetClr,0))/$BC65)</f>
        <v/>
      </c>
      <c r="BE65" s="51">
        <f>IF(OR(N($BC65)=0,$BB65=""),"",$BB65-HeadClr-Undercut)</f>
        <v/>
      </c>
      <c r="BF65" s="51">
        <f>IF($BA65="","",$BA65+2*FaceW+IF(N($Q65)&gt;0,($Q65+FaceW)*IF($R65="LR",2,1),0))</f>
        <v/>
      </c>
      <c r="BG65" s="51">
        <f>IF($BB65="","",$BB65+IF($AB65="Y",4,FaceW)+IF(N($P65)&gt;0,$P65+FaceW,0)+IF(OR($S65="4F",$S65="BL"),FaceW,0))</f>
        <v/>
      </c>
      <c r="BH65" s="51">
        <f>IF($BF65="","",$BF65+2*ROSide)</f>
        <v/>
      </c>
      <c r="BI65" s="51">
        <f>IF($BG65="","",$BG65+ROTop)</f>
        <v/>
      </c>
      <c r="BJ65" s="52">
        <f>IF(OR(N($BC65)=0,$BA65=""),"",$BA65/$BC65-ClearDeduct)</f>
        <v/>
      </c>
      <c r="BK65" s="49">
        <f>IF(OR(N($BC65)=0,$BE65=""),"",IF(OR($AC65="HGC",$AP65="HGC"),"CONT",IF($BE65&lt;=60,2,IF($BE65&lt;=90,3,IF($BE65&lt;=120,4,5)))))</f>
        <v/>
      </c>
      <c r="BL65" s="49">
        <f>IF(N($BC65)=0,"",IF(OR($AL65="",$AL65="FLUSH"),"FLUSH",IFERROR(LEFT($AL65,FIND("-",$AL65)-1),LEFT($AL65,2))))</f>
        <v/>
      </c>
      <c r="BM65" s="49">
        <f>IF($BL65="","",IFERROR(VALUE(MID($AL65,FIND("-",$AL65)+1,FIND(CHAR(34)&amp;"x",$AL65)-FIND("-",$AL65)-1)),0))</f>
        <v/>
      </c>
      <c r="BN65" s="49">
        <f>IF($BL65="","",IFERROR(VALUE(MID($AL65,FIND(CHAR(34)&amp;"x",$AL65)+2,FIND(CHAR(34),$AL65,FIND(CHAR(34)&amp;"x",$AL65)+2)-FIND(CHAR(34)&amp;"x",$AL65)-2)),0))</f>
        <v/>
      </c>
      <c r="BO65" s="53">
        <f>IF(OR($A65="",$H65="",$H65="NO LAB"),0,IFERROR(VALUE(LEFT($H65,FIND(" ",$H65)-1)),0))</f>
        <v/>
      </c>
      <c r="BP65" s="54">
        <f>IF(OR($A65="",$I65="",$I65="NON-RATED",N($J65)=0),"",IFERROR(VLOOKUP($I65&amp;"|"&amp;$J65,IBC,2,FALSE),"?"))</f>
        <v/>
      </c>
      <c r="BQ65" s="50">
        <f>IF(NOT(AND($A65&lt;&gt;"",$C65&lt;&gt;"DOOR ONLY")),"",TRIM(IFERROR(VLOOKUP($U65,CODES,2,FALSE),"")&amp;" "&amp;$AZ65&amp;" "&amp;IFERROR(VLOOKUP($Z65,CODES,2,FALSE),"")&amp;" "&amp;IFERROR(VLOOKUP($X65,CODES,2,FALSE),"")&amp;" "&amp;IFERROR(VLOOKUP($S65,CODES,2,FALSE),"")&amp;IF(N($P65)&gt;0," w/TRANSOM "&amp;$P65&amp;CHAR(34),"")&amp;IF(N($Q65)&gt;0," w/SIDELITE "&amp;$Q65&amp;CHAR(34)&amp;" "&amp;IF($R65="","R",$R65),"")&amp;IF($Y65="","  |  "," | "&amp;IFERROR(VLOOKUP($Y65,CODES,2,FALSE),"")&amp;" | ")&amp;IFERROR(VLOOKUP($AC65,CODES,2,FALSE),"")&amp;" "&amp;IFERROR(VLOOKUP($AD65,CODES,2,FALSE),"")&amp;IF(OR($AE65="",$AE65="-"),""," "&amp;$AE65)&amp;IF(OR($AF65="",$AF65="-"),""," "&amp;$AF65)&amp;IF($AB65="Y"," 4"&amp;CHAR(34)&amp;" HEAD","")&amp;" "&amp;IFERROR(VLOOKUP($H65,CODES,2,FALSE),"")))</f>
        <v/>
      </c>
      <c r="BR65" s="50">
        <f>IF(NOT(AND($A65&lt;&gt;"",N($BC65)&gt;0)),"",TRIM(IFERROR(VLOOKUP($AH65,CODES,2,FALSE),"")&amp;IF($AI65=""," "," "&amp;$AI65&amp;"GA ")&amp;$AZ65&amp;" "&amp;IF($AN65="",IFERROR(VLOOKUP($Z65,CODES,2,FALSE),""),IFERROR(VLOOKUP($AN65,CODES,2,FALSE),""))&amp;IF($BC65=2," PAIR","")&amp;" DOOR | "&amp;IF($AL65="","?",$AL65)&amp;" | "&amp;IF($AP65="",IFERROR(VLOOKUP($AC65,CODES,2,FALSE),""),IFERROR(VLOOKUP($AP65,CODES,2,FALSE),""))&amp;" "&amp;IFERROR(VLOOKUP($AQ65,CODES,2,FALSE),"")&amp;IF(OR($AR65="",$AR65="-"),""," SEAM "&amp;$AR65)&amp;IF($AS65="Y"," ASTRAGAL","")&amp;IF($AJ65=""," "," "&amp;$AJ65)&amp;IF($AK65=""," "," "&amp;$AK65)&amp;IF($AO65="",""," "&amp;$AO65)&amp;IF($AM65=""," "," SERIES "&amp;$AM65)&amp;" "&amp;IFERROR(VLOOKUP($H65,CODES,2,FALSE),"")))</f>
        <v/>
      </c>
      <c r="BS65" s="49">
        <f>IF(BV65="","",IF(COUNTIF($BV$6:BV65,BV65)=1,MAX($BS$5:BS64)+1,INDEX($BS$5:BS64,MATCH(BV65,$BV$5:BV64,0))))</f>
        <v/>
      </c>
      <c r="BT65" s="49">
        <f>IF(NOT(AND($A65&lt;&gt;"",$C65&lt;&gt;"DOOR ONLY")),"",MAX($BT$5:BT64)+1)</f>
        <v/>
      </c>
      <c r="BU65" s="49">
        <f>IF(NOT(AND($A65&lt;&gt;"",N($BC65)&gt;0)),"",MAX($BU$5:BU64)+1)</f>
        <v/>
      </c>
      <c r="BV65" s="49">
        <f>IF(OR($A65="",$BA65="",$BB65=""),"",$AZ65&amp;"|"&amp;$O65&amp;"|"&amp;$AL65&amp;"|"&amp;$S65&amp;"|"&amp;$P65&amp;"|"&amp;$Q65&amp;$R65&amp;"|"&amp;$C65&amp;"|"&amp;$AB65)</f>
        <v/>
      </c>
      <c r="BW65" s="49">
        <f>IF($A65="","",IF($B65="","qty, ","")&amp;IF($C65="","scope, ","")&amp;IF(OR($K65="",$M65=""),"size, ","")&amp;IF(AND($A65&lt;&gt;"",$C65&lt;&gt;"DOOR ONLY"),IF($U65="","jamb depth, ","")&amp;IF($X65="","construction, ","")&amp;IF($Y65="","anchor, ","")&amp;IF($S65="","frame type, ",""),"")&amp;IF(AND(N($BC65)&gt;0,$Z65=""),"hand, ","")&amp;IF(N($BC65)&gt;0,IF($AH65="","door material, ","")&amp;IF($AL65="","face type, ","")&amp;IF($AQ65="","lock prep, ","")&amp;IF(AND($AP65="",$AC65=""),"hinge prep, ",""),"")&amp;IF(AND($BO65&gt;0,$AH65="FRP"),"FRP cannot carry a label, ","")&amp;IF(AND($O65="Y",OR($Z65="L",$Z65="R",$Z65="LR",$Z65="RR")),"pair marked but hand is single, ","")&amp;IF(AND($O65&lt;&gt;"Y",OR($Z65="PR",AND(LEN($Z65)&gt;1,ISNUMBER(SEARCH("-",$Z65))))),"pair hand on a single door, ","")&amp;IF(AND(ISNUMBER($BP65),$BO65&lt;N($BP65)),"wall needs a "&amp;$BP65&amp;" min door, ","")&amp;IF(AND($BO65&gt;=180,AND(OR($BL65="FG",$BL65="HG",$BL65="FNV",$BL65="FV"),N($BM65)*N($BN65)&gt;100)),"180 min lite over 100 sq in, ","")&amp;IF(N($BD65)&gt;48,"leaf wider than 4'-0"&amp;CHAR(34)&amp;", ",""))</f>
        <v/>
      </c>
      <c r="BX65" s="49">
        <f>IF($A65="","",IF(AND($BO65&gt;0,AND($A65&lt;&gt;"",$C65&lt;&gt;"DOOR ONLY"),$X65="KD",$E65="EXTERIOR"),"KD label on an exterior opening, ","")&amp;IF(AND($E65="EXTERIOR",OR(AND(AND($A65&lt;&gt;"",$C65&lt;&gt;"DOOR ONLY"),$W65="CR"),AND(N($BC65)&gt;0,$AH65="CR"))),"exterior in CR steel (G9?), ","")&amp;IF(AND(ISNUMBER($BJ65),N($BJ65)&lt;32),"clear width ~"&amp;TEXT($BJ65,"0.0")&amp;CHAR(34)&amp;" under 32"&amp;CHAR(34)&amp;" (ADA), ","")&amp;IF(AND($BO65=90,AND(OR($BL65="FG",$BL65="HG",$BL65="FNV",$BL65="FV"),N($BM65)*N($BN65)&gt;100)),"90 min lite over 100 sq in (stair/exit), ","")&amp;IF(AND($BO65&gt;0,AND($A65&lt;&gt;"",$C65&lt;&gt;"DOOR ONLY"),OR($AF65="",$AF65="-")),"rated: closer reinf.?, ","")&amp;IF(OR($I65="CORRIDOR",$I65="SMOKE BARRIER"),"S label + smoke gasketing, ","")&amp;IF($BP65="?","wall type/hr not in IBC table, ","")&amp;IF(AND(N($BC65)&gt;0,$AU65=""),"no hardware set, ","")&amp;IF(AND($AU65&lt;&gt;"",ISNA(MATCH($AU65,HWSets,0))),"set "&amp;$AU65&amp;" not on Hardware sheet, ","")&amp;IF(N($BE65)&gt;96,"leaf over 8'-0"&amp;CHAR(34)&amp;" - check listing, ",""))</f>
        <v/>
      </c>
    </row>
    <row r="66" ht="15" customHeight="1">
      <c r="A66" s="44" t="n"/>
      <c r="B66" s="45" t="n"/>
      <c r="C66" s="45" t="n"/>
      <c r="D66" s="45" t="n"/>
      <c r="E66" s="45" t="n"/>
      <c r="F66" s="45" t="n"/>
      <c r="G66" s="45" t="n"/>
      <c r="H66" s="45" t="n"/>
      <c r="I66" s="45" t="n"/>
      <c r="J66" s="45" t="n"/>
      <c r="K66" s="45" t="n"/>
      <c r="L66" s="45" t="n"/>
      <c r="M66" s="45" t="n"/>
      <c r="N66" s="45" t="n"/>
      <c r="O66" s="45" t="n"/>
      <c r="P66" s="45" t="n"/>
      <c r="Q66" s="45" t="n"/>
      <c r="R66" s="45" t="n"/>
      <c r="S66" s="46" t="n"/>
      <c r="T66" s="46" t="n"/>
      <c r="U66" s="46" t="n"/>
      <c r="V66" s="46" t="n"/>
      <c r="W66" s="46" t="n"/>
      <c r="X66" s="46" t="n"/>
      <c r="Y66" s="46" t="n"/>
      <c r="Z66" s="46" t="n"/>
      <c r="AA66" s="46" t="n"/>
      <c r="AB66" s="46" t="n"/>
      <c r="AC66" s="46" t="n"/>
      <c r="AD66" s="46" t="n"/>
      <c r="AE66" s="46" t="n"/>
      <c r="AF66" s="46" t="n"/>
      <c r="AG66" s="46" t="n"/>
      <c r="AH66" s="47" t="n"/>
      <c r="AI66" s="47" t="n"/>
      <c r="AJ66" s="47" t="n"/>
      <c r="AK66" s="47" t="n"/>
      <c r="AL66" s="47" t="n"/>
      <c r="AM66" s="47" t="n"/>
      <c r="AN66" s="47" t="n"/>
      <c r="AO66" s="47" t="n"/>
      <c r="AP66" s="47" t="n"/>
      <c r="AQ66" s="47" t="n"/>
      <c r="AR66" s="47" t="n"/>
      <c r="AS66" s="47" t="n"/>
      <c r="AT66" s="47" t="n"/>
      <c r="AU66" s="48" t="n"/>
      <c r="AV66" s="48" t="n"/>
      <c r="AW66" s="49">
        <f>IF($A66="","",IF($BW66&lt;&gt;"","FIX",IF($BX66&lt;&gt;"","CHECK","OK")))</f>
        <v/>
      </c>
      <c r="AX66" s="50">
        <f>IF($A66="","",IF($BW66&lt;&gt;"","FIX: "&amp;LEFT($BW66,LEN($BW66)-2)&amp;IF($BX66&lt;&gt;"","  ·  ",""),"")&amp;IF($BX66&lt;&gt;"","CHECK: "&amp;LEFT($BX66,LEN($BX66)-2),""))</f>
        <v/>
      </c>
      <c r="AY66" s="49">
        <f>IF(OR($A66="",$K66=""),"",$K66&amp;"'-"&amp;N($L66)&amp;CHAR(34)&amp;" x "&amp;$M66&amp;"'-"&amp;N($N66)&amp;CHAR(34))</f>
        <v/>
      </c>
      <c r="AZ66" s="49">
        <f>IF(OR($A66="",$K66=""),"",$K66&amp;N($L66)&amp;$M66&amp;N($N66))</f>
        <v/>
      </c>
      <c r="BA66" s="49">
        <f>IF(OR($A66="",$K66=""),"",$K66*12+N($L66))</f>
        <v/>
      </c>
      <c r="BB66" s="49">
        <f>IF(OR($A66="",$M66=""),"",$M66*12+N($N66))</f>
        <v/>
      </c>
      <c r="BC66" s="49">
        <f>IF($A66="","",IF(OR($C66="FRAME ONLY",$S66="BL"),0,IF($O66="Y",2,1)))</f>
        <v/>
      </c>
      <c r="BD66" s="51">
        <f>IF(OR(N($BC66)=0,$BA66=""),"",($BA66-2*EdgeClr-IF($BC66=2,MeetClr,0))/$BC66)</f>
        <v/>
      </c>
      <c r="BE66" s="51">
        <f>IF(OR(N($BC66)=0,$BB66=""),"",$BB66-HeadClr-Undercut)</f>
        <v/>
      </c>
      <c r="BF66" s="51">
        <f>IF($BA66="","",$BA66+2*FaceW+IF(N($Q66)&gt;0,($Q66+FaceW)*IF($R66="LR",2,1),0))</f>
        <v/>
      </c>
      <c r="BG66" s="51">
        <f>IF($BB66="","",$BB66+IF($AB66="Y",4,FaceW)+IF(N($P66)&gt;0,$P66+FaceW,0)+IF(OR($S66="4F",$S66="BL"),FaceW,0))</f>
        <v/>
      </c>
      <c r="BH66" s="51">
        <f>IF($BF66="","",$BF66+2*ROSide)</f>
        <v/>
      </c>
      <c r="BI66" s="51">
        <f>IF($BG66="","",$BG66+ROTop)</f>
        <v/>
      </c>
      <c r="BJ66" s="52">
        <f>IF(OR(N($BC66)=0,$BA66=""),"",$BA66/$BC66-ClearDeduct)</f>
        <v/>
      </c>
      <c r="BK66" s="49">
        <f>IF(OR(N($BC66)=0,$BE66=""),"",IF(OR($AC66="HGC",$AP66="HGC"),"CONT",IF($BE66&lt;=60,2,IF($BE66&lt;=90,3,IF($BE66&lt;=120,4,5)))))</f>
        <v/>
      </c>
      <c r="BL66" s="49">
        <f>IF(N($BC66)=0,"",IF(OR($AL66="",$AL66="FLUSH"),"FLUSH",IFERROR(LEFT($AL66,FIND("-",$AL66)-1),LEFT($AL66,2))))</f>
        <v/>
      </c>
      <c r="BM66" s="49">
        <f>IF($BL66="","",IFERROR(VALUE(MID($AL66,FIND("-",$AL66)+1,FIND(CHAR(34)&amp;"x",$AL66)-FIND("-",$AL66)-1)),0))</f>
        <v/>
      </c>
      <c r="BN66" s="49">
        <f>IF($BL66="","",IFERROR(VALUE(MID($AL66,FIND(CHAR(34)&amp;"x",$AL66)+2,FIND(CHAR(34),$AL66,FIND(CHAR(34)&amp;"x",$AL66)+2)-FIND(CHAR(34)&amp;"x",$AL66)-2)),0))</f>
        <v/>
      </c>
      <c r="BO66" s="53">
        <f>IF(OR($A66="",$H66="",$H66="NO LAB"),0,IFERROR(VALUE(LEFT($H66,FIND(" ",$H66)-1)),0))</f>
        <v/>
      </c>
      <c r="BP66" s="54">
        <f>IF(OR($A66="",$I66="",$I66="NON-RATED",N($J66)=0),"",IFERROR(VLOOKUP($I66&amp;"|"&amp;$J66,IBC,2,FALSE),"?"))</f>
        <v/>
      </c>
      <c r="BQ66" s="50">
        <f>IF(NOT(AND($A66&lt;&gt;"",$C66&lt;&gt;"DOOR ONLY")),"",TRIM(IFERROR(VLOOKUP($U66,CODES,2,FALSE),"")&amp;" "&amp;$AZ66&amp;" "&amp;IFERROR(VLOOKUP($Z66,CODES,2,FALSE),"")&amp;" "&amp;IFERROR(VLOOKUP($X66,CODES,2,FALSE),"")&amp;" "&amp;IFERROR(VLOOKUP($S66,CODES,2,FALSE),"")&amp;IF(N($P66)&gt;0," w/TRANSOM "&amp;$P66&amp;CHAR(34),"")&amp;IF(N($Q66)&gt;0," w/SIDELITE "&amp;$Q66&amp;CHAR(34)&amp;" "&amp;IF($R66="","R",$R66),"")&amp;IF($Y66="","  |  "," | "&amp;IFERROR(VLOOKUP($Y66,CODES,2,FALSE),"")&amp;" | ")&amp;IFERROR(VLOOKUP($AC66,CODES,2,FALSE),"")&amp;" "&amp;IFERROR(VLOOKUP($AD66,CODES,2,FALSE),"")&amp;IF(OR($AE66="",$AE66="-"),""," "&amp;$AE66)&amp;IF(OR($AF66="",$AF66="-"),""," "&amp;$AF66)&amp;IF($AB66="Y"," 4"&amp;CHAR(34)&amp;" HEAD","")&amp;" "&amp;IFERROR(VLOOKUP($H66,CODES,2,FALSE),"")))</f>
        <v/>
      </c>
      <c r="BR66" s="50">
        <f>IF(NOT(AND($A66&lt;&gt;"",N($BC66)&gt;0)),"",TRIM(IFERROR(VLOOKUP($AH66,CODES,2,FALSE),"")&amp;IF($AI66=""," "," "&amp;$AI66&amp;"GA ")&amp;$AZ66&amp;" "&amp;IF($AN66="",IFERROR(VLOOKUP($Z66,CODES,2,FALSE),""),IFERROR(VLOOKUP($AN66,CODES,2,FALSE),""))&amp;IF($BC66=2," PAIR","")&amp;" DOOR | "&amp;IF($AL66="","?",$AL66)&amp;" | "&amp;IF($AP66="",IFERROR(VLOOKUP($AC66,CODES,2,FALSE),""),IFERROR(VLOOKUP($AP66,CODES,2,FALSE),""))&amp;" "&amp;IFERROR(VLOOKUP($AQ66,CODES,2,FALSE),"")&amp;IF(OR($AR66="",$AR66="-"),""," SEAM "&amp;$AR66)&amp;IF($AS66="Y"," ASTRAGAL","")&amp;IF($AJ66=""," "," "&amp;$AJ66)&amp;IF($AK66=""," "," "&amp;$AK66)&amp;IF($AO66="",""," "&amp;$AO66)&amp;IF($AM66=""," "," SERIES "&amp;$AM66)&amp;" "&amp;IFERROR(VLOOKUP($H66,CODES,2,FALSE),"")))</f>
        <v/>
      </c>
      <c r="BS66" s="49">
        <f>IF(BV66="","",IF(COUNTIF($BV$6:BV66,BV66)=1,MAX($BS$5:BS65)+1,INDEX($BS$5:BS65,MATCH(BV66,$BV$5:BV65,0))))</f>
        <v/>
      </c>
      <c r="BT66" s="49">
        <f>IF(NOT(AND($A66&lt;&gt;"",$C66&lt;&gt;"DOOR ONLY")),"",MAX($BT$5:BT65)+1)</f>
        <v/>
      </c>
      <c r="BU66" s="49">
        <f>IF(NOT(AND($A66&lt;&gt;"",N($BC66)&gt;0)),"",MAX($BU$5:BU65)+1)</f>
        <v/>
      </c>
      <c r="BV66" s="49">
        <f>IF(OR($A66="",$BA66="",$BB66=""),"",$AZ66&amp;"|"&amp;$O66&amp;"|"&amp;$AL66&amp;"|"&amp;$S66&amp;"|"&amp;$P66&amp;"|"&amp;$Q66&amp;$R66&amp;"|"&amp;$C66&amp;"|"&amp;$AB66)</f>
        <v/>
      </c>
      <c r="BW66" s="49">
        <f>IF($A66="","",IF($B66="","qty, ","")&amp;IF($C66="","scope, ","")&amp;IF(OR($K66="",$M66=""),"size, ","")&amp;IF(AND($A66&lt;&gt;"",$C66&lt;&gt;"DOOR ONLY"),IF($U66="","jamb depth, ","")&amp;IF($X66="","construction, ","")&amp;IF($Y66="","anchor, ","")&amp;IF($S66="","frame type, ",""),"")&amp;IF(AND(N($BC66)&gt;0,$Z66=""),"hand, ","")&amp;IF(N($BC66)&gt;0,IF($AH66="","door material, ","")&amp;IF($AL66="","face type, ","")&amp;IF($AQ66="","lock prep, ","")&amp;IF(AND($AP66="",$AC66=""),"hinge prep, ",""),"")&amp;IF(AND($BO66&gt;0,$AH66="FRP"),"FRP cannot carry a label, ","")&amp;IF(AND($O66="Y",OR($Z66="L",$Z66="R",$Z66="LR",$Z66="RR")),"pair marked but hand is single, ","")&amp;IF(AND($O66&lt;&gt;"Y",OR($Z66="PR",AND(LEN($Z66)&gt;1,ISNUMBER(SEARCH("-",$Z66))))),"pair hand on a single door, ","")&amp;IF(AND(ISNUMBER($BP66),$BO66&lt;N($BP66)),"wall needs a "&amp;$BP66&amp;" min door, ","")&amp;IF(AND($BO66&gt;=180,AND(OR($BL66="FG",$BL66="HG",$BL66="FNV",$BL66="FV"),N($BM66)*N($BN66)&gt;100)),"180 min lite over 100 sq in, ","")&amp;IF(N($BD66)&gt;48,"leaf wider than 4'-0"&amp;CHAR(34)&amp;", ",""))</f>
        <v/>
      </c>
      <c r="BX66" s="49">
        <f>IF($A66="","",IF(AND($BO66&gt;0,AND($A66&lt;&gt;"",$C66&lt;&gt;"DOOR ONLY"),$X66="KD",$E66="EXTERIOR"),"KD label on an exterior opening, ","")&amp;IF(AND($E66="EXTERIOR",OR(AND(AND($A66&lt;&gt;"",$C66&lt;&gt;"DOOR ONLY"),$W66="CR"),AND(N($BC66)&gt;0,$AH66="CR"))),"exterior in CR steel (G9?), ","")&amp;IF(AND(ISNUMBER($BJ66),N($BJ66)&lt;32),"clear width ~"&amp;TEXT($BJ66,"0.0")&amp;CHAR(34)&amp;" under 32"&amp;CHAR(34)&amp;" (ADA), ","")&amp;IF(AND($BO66=90,AND(OR($BL66="FG",$BL66="HG",$BL66="FNV",$BL66="FV"),N($BM66)*N($BN66)&gt;100)),"90 min lite over 100 sq in (stair/exit), ","")&amp;IF(AND($BO66&gt;0,AND($A66&lt;&gt;"",$C66&lt;&gt;"DOOR ONLY"),OR($AF66="",$AF66="-")),"rated: closer reinf.?, ","")&amp;IF(OR($I66="CORRIDOR",$I66="SMOKE BARRIER"),"S label + smoke gasketing, ","")&amp;IF($BP66="?","wall type/hr not in IBC table, ","")&amp;IF(AND(N($BC66)&gt;0,$AU66=""),"no hardware set, ","")&amp;IF(AND($AU66&lt;&gt;"",ISNA(MATCH($AU66,HWSets,0))),"set "&amp;$AU66&amp;" not on Hardware sheet, ","")&amp;IF(N($BE66)&gt;96,"leaf over 8'-0"&amp;CHAR(34)&amp;" - check listing, ",""))</f>
        <v/>
      </c>
    </row>
    <row r="67" ht="15" customHeight="1">
      <c r="A67" s="44" t="n"/>
      <c r="B67" s="45" t="n"/>
      <c r="C67" s="45" t="n"/>
      <c r="D67" s="45" t="n"/>
      <c r="E67" s="45" t="n"/>
      <c r="F67" s="45" t="n"/>
      <c r="G67" s="45" t="n"/>
      <c r="H67" s="45" t="n"/>
      <c r="I67" s="45" t="n"/>
      <c r="J67" s="45" t="n"/>
      <c r="K67" s="45" t="n"/>
      <c r="L67" s="45" t="n"/>
      <c r="M67" s="45" t="n"/>
      <c r="N67" s="45" t="n"/>
      <c r="O67" s="45" t="n"/>
      <c r="P67" s="45" t="n"/>
      <c r="Q67" s="45" t="n"/>
      <c r="R67" s="45" t="n"/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6" t="n"/>
      <c r="AB67" s="46" t="n"/>
      <c r="AC67" s="46" t="n"/>
      <c r="AD67" s="46" t="n"/>
      <c r="AE67" s="46" t="n"/>
      <c r="AF67" s="46" t="n"/>
      <c r="AG67" s="46" t="n"/>
      <c r="AH67" s="47" t="n"/>
      <c r="AI67" s="47" t="n"/>
      <c r="AJ67" s="47" t="n"/>
      <c r="AK67" s="47" t="n"/>
      <c r="AL67" s="47" t="n"/>
      <c r="AM67" s="47" t="n"/>
      <c r="AN67" s="47" t="n"/>
      <c r="AO67" s="47" t="n"/>
      <c r="AP67" s="47" t="n"/>
      <c r="AQ67" s="47" t="n"/>
      <c r="AR67" s="47" t="n"/>
      <c r="AS67" s="47" t="n"/>
      <c r="AT67" s="47" t="n"/>
      <c r="AU67" s="48" t="n"/>
      <c r="AV67" s="48" t="n"/>
      <c r="AW67" s="49">
        <f>IF($A67="","",IF($BW67&lt;&gt;"","FIX",IF($BX67&lt;&gt;"","CHECK","OK")))</f>
        <v/>
      </c>
      <c r="AX67" s="50">
        <f>IF($A67="","",IF($BW67&lt;&gt;"","FIX: "&amp;LEFT($BW67,LEN($BW67)-2)&amp;IF($BX67&lt;&gt;"","  ·  ",""),"")&amp;IF($BX67&lt;&gt;"","CHECK: "&amp;LEFT($BX67,LEN($BX67)-2),""))</f>
        <v/>
      </c>
      <c r="AY67" s="49">
        <f>IF(OR($A67="",$K67=""),"",$K67&amp;"'-"&amp;N($L67)&amp;CHAR(34)&amp;" x "&amp;$M67&amp;"'-"&amp;N($N67)&amp;CHAR(34))</f>
        <v/>
      </c>
      <c r="AZ67" s="49">
        <f>IF(OR($A67="",$K67=""),"",$K67&amp;N($L67)&amp;$M67&amp;N($N67))</f>
        <v/>
      </c>
      <c r="BA67" s="49">
        <f>IF(OR($A67="",$K67=""),"",$K67*12+N($L67))</f>
        <v/>
      </c>
      <c r="BB67" s="49">
        <f>IF(OR($A67="",$M67=""),"",$M67*12+N($N67))</f>
        <v/>
      </c>
      <c r="BC67" s="49">
        <f>IF($A67="","",IF(OR($C67="FRAME ONLY",$S67="BL"),0,IF($O67="Y",2,1)))</f>
        <v/>
      </c>
      <c r="BD67" s="51">
        <f>IF(OR(N($BC67)=0,$BA67=""),"",($BA67-2*EdgeClr-IF($BC67=2,MeetClr,0))/$BC67)</f>
        <v/>
      </c>
      <c r="BE67" s="51">
        <f>IF(OR(N($BC67)=0,$BB67=""),"",$BB67-HeadClr-Undercut)</f>
        <v/>
      </c>
      <c r="BF67" s="51">
        <f>IF($BA67="","",$BA67+2*FaceW+IF(N($Q67)&gt;0,($Q67+FaceW)*IF($R67="LR",2,1),0))</f>
        <v/>
      </c>
      <c r="BG67" s="51">
        <f>IF($BB67="","",$BB67+IF($AB67="Y",4,FaceW)+IF(N($P67)&gt;0,$P67+FaceW,0)+IF(OR($S67="4F",$S67="BL"),FaceW,0))</f>
        <v/>
      </c>
      <c r="BH67" s="51">
        <f>IF($BF67="","",$BF67+2*ROSide)</f>
        <v/>
      </c>
      <c r="BI67" s="51">
        <f>IF($BG67="","",$BG67+ROTop)</f>
        <v/>
      </c>
      <c r="BJ67" s="52">
        <f>IF(OR(N($BC67)=0,$BA67=""),"",$BA67/$BC67-ClearDeduct)</f>
        <v/>
      </c>
      <c r="BK67" s="49">
        <f>IF(OR(N($BC67)=0,$BE67=""),"",IF(OR($AC67="HGC",$AP67="HGC"),"CONT",IF($BE67&lt;=60,2,IF($BE67&lt;=90,3,IF($BE67&lt;=120,4,5)))))</f>
        <v/>
      </c>
      <c r="BL67" s="49">
        <f>IF(N($BC67)=0,"",IF(OR($AL67="",$AL67="FLUSH"),"FLUSH",IFERROR(LEFT($AL67,FIND("-",$AL67)-1),LEFT($AL67,2))))</f>
        <v/>
      </c>
      <c r="BM67" s="49">
        <f>IF($BL67="","",IFERROR(VALUE(MID($AL67,FIND("-",$AL67)+1,FIND(CHAR(34)&amp;"x",$AL67)-FIND("-",$AL67)-1)),0))</f>
        <v/>
      </c>
      <c r="BN67" s="49">
        <f>IF($BL67="","",IFERROR(VALUE(MID($AL67,FIND(CHAR(34)&amp;"x",$AL67)+2,FIND(CHAR(34),$AL67,FIND(CHAR(34)&amp;"x",$AL67)+2)-FIND(CHAR(34)&amp;"x",$AL67)-2)),0))</f>
        <v/>
      </c>
      <c r="BO67" s="53">
        <f>IF(OR($A67="",$H67="",$H67="NO LAB"),0,IFERROR(VALUE(LEFT($H67,FIND(" ",$H67)-1)),0))</f>
        <v/>
      </c>
      <c r="BP67" s="54">
        <f>IF(OR($A67="",$I67="",$I67="NON-RATED",N($J67)=0),"",IFERROR(VLOOKUP($I67&amp;"|"&amp;$J67,IBC,2,FALSE),"?"))</f>
        <v/>
      </c>
      <c r="BQ67" s="50">
        <f>IF(NOT(AND($A67&lt;&gt;"",$C67&lt;&gt;"DOOR ONLY")),"",TRIM(IFERROR(VLOOKUP($U67,CODES,2,FALSE),"")&amp;" "&amp;$AZ67&amp;" "&amp;IFERROR(VLOOKUP($Z67,CODES,2,FALSE),"")&amp;" "&amp;IFERROR(VLOOKUP($X67,CODES,2,FALSE),"")&amp;" "&amp;IFERROR(VLOOKUP($S67,CODES,2,FALSE),"")&amp;IF(N($P67)&gt;0," w/TRANSOM "&amp;$P67&amp;CHAR(34),"")&amp;IF(N($Q67)&gt;0," w/SIDELITE "&amp;$Q67&amp;CHAR(34)&amp;" "&amp;IF($R67="","R",$R67),"")&amp;IF($Y67="","  |  "," | "&amp;IFERROR(VLOOKUP($Y67,CODES,2,FALSE),"")&amp;" | ")&amp;IFERROR(VLOOKUP($AC67,CODES,2,FALSE),"")&amp;" "&amp;IFERROR(VLOOKUP($AD67,CODES,2,FALSE),"")&amp;IF(OR($AE67="",$AE67="-"),""," "&amp;$AE67)&amp;IF(OR($AF67="",$AF67="-"),""," "&amp;$AF67)&amp;IF($AB67="Y"," 4"&amp;CHAR(34)&amp;" HEAD","")&amp;" "&amp;IFERROR(VLOOKUP($H67,CODES,2,FALSE),"")))</f>
        <v/>
      </c>
      <c r="BR67" s="50">
        <f>IF(NOT(AND($A67&lt;&gt;"",N($BC67)&gt;0)),"",TRIM(IFERROR(VLOOKUP($AH67,CODES,2,FALSE),"")&amp;IF($AI67=""," "," "&amp;$AI67&amp;"GA ")&amp;$AZ67&amp;" "&amp;IF($AN67="",IFERROR(VLOOKUP($Z67,CODES,2,FALSE),""),IFERROR(VLOOKUP($AN67,CODES,2,FALSE),""))&amp;IF($BC67=2," PAIR","")&amp;" DOOR | "&amp;IF($AL67="","?",$AL67)&amp;" | "&amp;IF($AP67="",IFERROR(VLOOKUP($AC67,CODES,2,FALSE),""),IFERROR(VLOOKUP($AP67,CODES,2,FALSE),""))&amp;" "&amp;IFERROR(VLOOKUP($AQ67,CODES,2,FALSE),"")&amp;IF(OR($AR67="",$AR67="-"),""," SEAM "&amp;$AR67)&amp;IF($AS67="Y"," ASTRAGAL","")&amp;IF($AJ67=""," "," "&amp;$AJ67)&amp;IF($AK67=""," "," "&amp;$AK67)&amp;IF($AO67="",""," "&amp;$AO67)&amp;IF($AM67=""," "," SERIES "&amp;$AM67)&amp;" "&amp;IFERROR(VLOOKUP($H67,CODES,2,FALSE),"")))</f>
        <v/>
      </c>
      <c r="BS67" s="49">
        <f>IF(BV67="","",IF(COUNTIF($BV$6:BV67,BV67)=1,MAX($BS$5:BS66)+1,INDEX($BS$5:BS66,MATCH(BV67,$BV$5:BV66,0))))</f>
        <v/>
      </c>
      <c r="BT67" s="49">
        <f>IF(NOT(AND($A67&lt;&gt;"",$C67&lt;&gt;"DOOR ONLY")),"",MAX($BT$5:BT66)+1)</f>
        <v/>
      </c>
      <c r="BU67" s="49">
        <f>IF(NOT(AND($A67&lt;&gt;"",N($BC67)&gt;0)),"",MAX($BU$5:BU66)+1)</f>
        <v/>
      </c>
      <c r="BV67" s="49">
        <f>IF(OR($A67="",$BA67="",$BB67=""),"",$AZ67&amp;"|"&amp;$O67&amp;"|"&amp;$AL67&amp;"|"&amp;$S67&amp;"|"&amp;$P67&amp;"|"&amp;$Q67&amp;$R67&amp;"|"&amp;$C67&amp;"|"&amp;$AB67)</f>
        <v/>
      </c>
      <c r="BW67" s="49">
        <f>IF($A67="","",IF($B67="","qty, ","")&amp;IF($C67="","scope, ","")&amp;IF(OR($K67="",$M67=""),"size, ","")&amp;IF(AND($A67&lt;&gt;"",$C67&lt;&gt;"DOOR ONLY"),IF($U67="","jamb depth, ","")&amp;IF($X67="","construction, ","")&amp;IF($Y67="","anchor, ","")&amp;IF($S67="","frame type, ",""),"")&amp;IF(AND(N($BC67)&gt;0,$Z67=""),"hand, ","")&amp;IF(N($BC67)&gt;0,IF($AH67="","door material, ","")&amp;IF($AL67="","face type, ","")&amp;IF($AQ67="","lock prep, ","")&amp;IF(AND($AP67="",$AC67=""),"hinge prep, ",""),"")&amp;IF(AND($BO67&gt;0,$AH67="FRP"),"FRP cannot carry a label, ","")&amp;IF(AND($O67="Y",OR($Z67="L",$Z67="R",$Z67="LR",$Z67="RR")),"pair marked but hand is single, ","")&amp;IF(AND($O67&lt;&gt;"Y",OR($Z67="PR",AND(LEN($Z67)&gt;1,ISNUMBER(SEARCH("-",$Z67))))),"pair hand on a single door, ","")&amp;IF(AND(ISNUMBER($BP67),$BO67&lt;N($BP67)),"wall needs a "&amp;$BP67&amp;" min door, ","")&amp;IF(AND($BO67&gt;=180,AND(OR($BL67="FG",$BL67="HG",$BL67="FNV",$BL67="FV"),N($BM67)*N($BN67)&gt;100)),"180 min lite over 100 sq in, ","")&amp;IF(N($BD67)&gt;48,"leaf wider than 4'-0"&amp;CHAR(34)&amp;", ",""))</f>
        <v/>
      </c>
      <c r="BX67" s="49">
        <f>IF($A67="","",IF(AND($BO67&gt;0,AND($A67&lt;&gt;"",$C67&lt;&gt;"DOOR ONLY"),$X67="KD",$E67="EXTERIOR"),"KD label on an exterior opening, ","")&amp;IF(AND($E67="EXTERIOR",OR(AND(AND($A67&lt;&gt;"",$C67&lt;&gt;"DOOR ONLY"),$W67="CR"),AND(N($BC67)&gt;0,$AH67="CR"))),"exterior in CR steel (G9?), ","")&amp;IF(AND(ISNUMBER($BJ67),N($BJ67)&lt;32),"clear width ~"&amp;TEXT($BJ67,"0.0")&amp;CHAR(34)&amp;" under 32"&amp;CHAR(34)&amp;" (ADA), ","")&amp;IF(AND($BO67=90,AND(OR($BL67="FG",$BL67="HG",$BL67="FNV",$BL67="FV"),N($BM67)*N($BN67)&gt;100)),"90 min lite over 100 sq in (stair/exit), ","")&amp;IF(AND($BO67&gt;0,AND($A67&lt;&gt;"",$C67&lt;&gt;"DOOR ONLY"),OR($AF67="",$AF67="-")),"rated: closer reinf.?, ","")&amp;IF(OR($I67="CORRIDOR",$I67="SMOKE BARRIER"),"S label + smoke gasketing, ","")&amp;IF($BP67="?","wall type/hr not in IBC table, ","")&amp;IF(AND(N($BC67)&gt;0,$AU67=""),"no hardware set, ","")&amp;IF(AND($AU67&lt;&gt;"",ISNA(MATCH($AU67,HWSets,0))),"set "&amp;$AU67&amp;" not on Hardware sheet, ","")&amp;IF(N($BE67)&gt;96,"leaf over 8'-0"&amp;CHAR(34)&amp;" - check listing, ",""))</f>
        <v/>
      </c>
    </row>
    <row r="68" ht="15" customHeight="1">
      <c r="A68" s="44" t="n"/>
      <c r="B68" s="45" t="n"/>
      <c r="C68" s="45" t="n"/>
      <c r="D68" s="45" t="n"/>
      <c r="E68" s="45" t="n"/>
      <c r="F68" s="45" t="n"/>
      <c r="G68" s="45" t="n"/>
      <c r="H68" s="45" t="n"/>
      <c r="I68" s="45" t="n"/>
      <c r="J68" s="45" t="n"/>
      <c r="K68" s="45" t="n"/>
      <c r="L68" s="45" t="n"/>
      <c r="M68" s="45" t="n"/>
      <c r="N68" s="45" t="n"/>
      <c r="O68" s="45" t="n"/>
      <c r="P68" s="45" t="n"/>
      <c r="Q68" s="45" t="n"/>
      <c r="R68" s="45" t="n"/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6" t="n"/>
      <c r="AB68" s="46" t="n"/>
      <c r="AC68" s="46" t="n"/>
      <c r="AD68" s="46" t="n"/>
      <c r="AE68" s="46" t="n"/>
      <c r="AF68" s="46" t="n"/>
      <c r="AG68" s="46" t="n"/>
      <c r="AH68" s="47" t="n"/>
      <c r="AI68" s="47" t="n"/>
      <c r="AJ68" s="47" t="n"/>
      <c r="AK68" s="47" t="n"/>
      <c r="AL68" s="47" t="n"/>
      <c r="AM68" s="47" t="n"/>
      <c r="AN68" s="47" t="n"/>
      <c r="AO68" s="47" t="n"/>
      <c r="AP68" s="47" t="n"/>
      <c r="AQ68" s="47" t="n"/>
      <c r="AR68" s="47" t="n"/>
      <c r="AS68" s="47" t="n"/>
      <c r="AT68" s="47" t="n"/>
      <c r="AU68" s="48" t="n"/>
      <c r="AV68" s="48" t="n"/>
      <c r="AW68" s="49">
        <f>IF($A68="","",IF($BW68&lt;&gt;"","FIX",IF($BX68&lt;&gt;"","CHECK","OK")))</f>
        <v/>
      </c>
      <c r="AX68" s="50">
        <f>IF($A68="","",IF($BW68&lt;&gt;"","FIX: "&amp;LEFT($BW68,LEN($BW68)-2)&amp;IF($BX68&lt;&gt;"","  ·  ",""),"")&amp;IF($BX68&lt;&gt;"","CHECK: "&amp;LEFT($BX68,LEN($BX68)-2),""))</f>
        <v/>
      </c>
      <c r="AY68" s="49">
        <f>IF(OR($A68="",$K68=""),"",$K68&amp;"'-"&amp;N($L68)&amp;CHAR(34)&amp;" x "&amp;$M68&amp;"'-"&amp;N($N68)&amp;CHAR(34))</f>
        <v/>
      </c>
      <c r="AZ68" s="49">
        <f>IF(OR($A68="",$K68=""),"",$K68&amp;N($L68)&amp;$M68&amp;N($N68))</f>
        <v/>
      </c>
      <c r="BA68" s="49">
        <f>IF(OR($A68="",$K68=""),"",$K68*12+N($L68))</f>
        <v/>
      </c>
      <c r="BB68" s="49">
        <f>IF(OR($A68="",$M68=""),"",$M68*12+N($N68))</f>
        <v/>
      </c>
      <c r="BC68" s="49">
        <f>IF($A68="","",IF(OR($C68="FRAME ONLY",$S68="BL"),0,IF($O68="Y",2,1)))</f>
        <v/>
      </c>
      <c r="BD68" s="51">
        <f>IF(OR(N($BC68)=0,$BA68=""),"",($BA68-2*EdgeClr-IF($BC68=2,MeetClr,0))/$BC68)</f>
        <v/>
      </c>
      <c r="BE68" s="51">
        <f>IF(OR(N($BC68)=0,$BB68=""),"",$BB68-HeadClr-Undercut)</f>
        <v/>
      </c>
      <c r="BF68" s="51">
        <f>IF($BA68="","",$BA68+2*FaceW+IF(N($Q68)&gt;0,($Q68+FaceW)*IF($R68="LR",2,1),0))</f>
        <v/>
      </c>
      <c r="BG68" s="51">
        <f>IF($BB68="","",$BB68+IF($AB68="Y",4,FaceW)+IF(N($P68)&gt;0,$P68+FaceW,0)+IF(OR($S68="4F",$S68="BL"),FaceW,0))</f>
        <v/>
      </c>
      <c r="BH68" s="51">
        <f>IF($BF68="","",$BF68+2*ROSide)</f>
        <v/>
      </c>
      <c r="BI68" s="51">
        <f>IF($BG68="","",$BG68+ROTop)</f>
        <v/>
      </c>
      <c r="BJ68" s="52">
        <f>IF(OR(N($BC68)=0,$BA68=""),"",$BA68/$BC68-ClearDeduct)</f>
        <v/>
      </c>
      <c r="BK68" s="49">
        <f>IF(OR(N($BC68)=0,$BE68=""),"",IF(OR($AC68="HGC",$AP68="HGC"),"CONT",IF($BE68&lt;=60,2,IF($BE68&lt;=90,3,IF($BE68&lt;=120,4,5)))))</f>
        <v/>
      </c>
      <c r="BL68" s="49">
        <f>IF(N($BC68)=0,"",IF(OR($AL68="",$AL68="FLUSH"),"FLUSH",IFERROR(LEFT($AL68,FIND("-",$AL68)-1),LEFT($AL68,2))))</f>
        <v/>
      </c>
      <c r="BM68" s="49">
        <f>IF($BL68="","",IFERROR(VALUE(MID($AL68,FIND("-",$AL68)+1,FIND(CHAR(34)&amp;"x",$AL68)-FIND("-",$AL68)-1)),0))</f>
        <v/>
      </c>
      <c r="BN68" s="49">
        <f>IF($BL68="","",IFERROR(VALUE(MID($AL68,FIND(CHAR(34)&amp;"x",$AL68)+2,FIND(CHAR(34),$AL68,FIND(CHAR(34)&amp;"x",$AL68)+2)-FIND(CHAR(34)&amp;"x",$AL68)-2)),0))</f>
        <v/>
      </c>
      <c r="BO68" s="53">
        <f>IF(OR($A68="",$H68="",$H68="NO LAB"),0,IFERROR(VALUE(LEFT($H68,FIND(" ",$H68)-1)),0))</f>
        <v/>
      </c>
      <c r="BP68" s="54">
        <f>IF(OR($A68="",$I68="",$I68="NON-RATED",N($J68)=0),"",IFERROR(VLOOKUP($I68&amp;"|"&amp;$J68,IBC,2,FALSE),"?"))</f>
        <v/>
      </c>
      <c r="BQ68" s="50">
        <f>IF(NOT(AND($A68&lt;&gt;"",$C68&lt;&gt;"DOOR ONLY")),"",TRIM(IFERROR(VLOOKUP($U68,CODES,2,FALSE),"")&amp;" "&amp;$AZ68&amp;" "&amp;IFERROR(VLOOKUP($Z68,CODES,2,FALSE),"")&amp;" "&amp;IFERROR(VLOOKUP($X68,CODES,2,FALSE),"")&amp;" "&amp;IFERROR(VLOOKUP($S68,CODES,2,FALSE),"")&amp;IF(N($P68)&gt;0," w/TRANSOM "&amp;$P68&amp;CHAR(34),"")&amp;IF(N($Q68)&gt;0," w/SIDELITE "&amp;$Q68&amp;CHAR(34)&amp;" "&amp;IF($R68="","R",$R68),"")&amp;IF($Y68="","  |  "," | "&amp;IFERROR(VLOOKUP($Y68,CODES,2,FALSE),"")&amp;" | ")&amp;IFERROR(VLOOKUP($AC68,CODES,2,FALSE),"")&amp;" "&amp;IFERROR(VLOOKUP($AD68,CODES,2,FALSE),"")&amp;IF(OR($AE68="",$AE68="-"),""," "&amp;$AE68)&amp;IF(OR($AF68="",$AF68="-"),""," "&amp;$AF68)&amp;IF($AB68="Y"," 4"&amp;CHAR(34)&amp;" HEAD","")&amp;" "&amp;IFERROR(VLOOKUP($H68,CODES,2,FALSE),"")))</f>
        <v/>
      </c>
      <c r="BR68" s="50">
        <f>IF(NOT(AND($A68&lt;&gt;"",N($BC68)&gt;0)),"",TRIM(IFERROR(VLOOKUP($AH68,CODES,2,FALSE),"")&amp;IF($AI68=""," "," "&amp;$AI68&amp;"GA ")&amp;$AZ68&amp;" "&amp;IF($AN68="",IFERROR(VLOOKUP($Z68,CODES,2,FALSE),""),IFERROR(VLOOKUP($AN68,CODES,2,FALSE),""))&amp;IF($BC68=2," PAIR","")&amp;" DOOR | "&amp;IF($AL68="","?",$AL68)&amp;" | "&amp;IF($AP68="",IFERROR(VLOOKUP($AC68,CODES,2,FALSE),""),IFERROR(VLOOKUP($AP68,CODES,2,FALSE),""))&amp;" "&amp;IFERROR(VLOOKUP($AQ68,CODES,2,FALSE),"")&amp;IF(OR($AR68="",$AR68="-"),""," SEAM "&amp;$AR68)&amp;IF($AS68="Y"," ASTRAGAL","")&amp;IF($AJ68=""," "," "&amp;$AJ68)&amp;IF($AK68=""," "," "&amp;$AK68)&amp;IF($AO68="",""," "&amp;$AO68)&amp;IF($AM68=""," "," SERIES "&amp;$AM68)&amp;" "&amp;IFERROR(VLOOKUP($H68,CODES,2,FALSE),"")))</f>
        <v/>
      </c>
      <c r="BS68" s="49">
        <f>IF(BV68="","",IF(COUNTIF($BV$6:BV68,BV68)=1,MAX($BS$5:BS67)+1,INDEX($BS$5:BS67,MATCH(BV68,$BV$5:BV67,0))))</f>
        <v/>
      </c>
      <c r="BT68" s="49">
        <f>IF(NOT(AND($A68&lt;&gt;"",$C68&lt;&gt;"DOOR ONLY")),"",MAX($BT$5:BT67)+1)</f>
        <v/>
      </c>
      <c r="BU68" s="49">
        <f>IF(NOT(AND($A68&lt;&gt;"",N($BC68)&gt;0)),"",MAX($BU$5:BU67)+1)</f>
        <v/>
      </c>
      <c r="BV68" s="49">
        <f>IF(OR($A68="",$BA68="",$BB68=""),"",$AZ68&amp;"|"&amp;$O68&amp;"|"&amp;$AL68&amp;"|"&amp;$S68&amp;"|"&amp;$P68&amp;"|"&amp;$Q68&amp;$R68&amp;"|"&amp;$C68&amp;"|"&amp;$AB68)</f>
        <v/>
      </c>
      <c r="BW68" s="49">
        <f>IF($A68="","",IF($B68="","qty, ","")&amp;IF($C68="","scope, ","")&amp;IF(OR($K68="",$M68=""),"size, ","")&amp;IF(AND($A68&lt;&gt;"",$C68&lt;&gt;"DOOR ONLY"),IF($U68="","jamb depth, ","")&amp;IF($X68="","construction, ","")&amp;IF($Y68="","anchor, ","")&amp;IF($S68="","frame type, ",""),"")&amp;IF(AND(N($BC68)&gt;0,$Z68=""),"hand, ","")&amp;IF(N($BC68)&gt;0,IF($AH68="","door material, ","")&amp;IF($AL68="","face type, ","")&amp;IF($AQ68="","lock prep, ","")&amp;IF(AND($AP68="",$AC68=""),"hinge prep, ",""),"")&amp;IF(AND($BO68&gt;0,$AH68="FRP"),"FRP cannot carry a label, ","")&amp;IF(AND($O68="Y",OR($Z68="L",$Z68="R",$Z68="LR",$Z68="RR")),"pair marked but hand is single, ","")&amp;IF(AND($O68&lt;&gt;"Y",OR($Z68="PR",AND(LEN($Z68)&gt;1,ISNUMBER(SEARCH("-",$Z68))))),"pair hand on a single door, ","")&amp;IF(AND(ISNUMBER($BP68),$BO68&lt;N($BP68)),"wall needs a "&amp;$BP68&amp;" min door, ","")&amp;IF(AND($BO68&gt;=180,AND(OR($BL68="FG",$BL68="HG",$BL68="FNV",$BL68="FV"),N($BM68)*N($BN68)&gt;100)),"180 min lite over 100 sq in, ","")&amp;IF(N($BD68)&gt;48,"leaf wider than 4'-0"&amp;CHAR(34)&amp;", ",""))</f>
        <v/>
      </c>
      <c r="BX68" s="49">
        <f>IF($A68="","",IF(AND($BO68&gt;0,AND($A68&lt;&gt;"",$C68&lt;&gt;"DOOR ONLY"),$X68="KD",$E68="EXTERIOR"),"KD label on an exterior opening, ","")&amp;IF(AND($E68="EXTERIOR",OR(AND(AND($A68&lt;&gt;"",$C68&lt;&gt;"DOOR ONLY"),$W68="CR"),AND(N($BC68)&gt;0,$AH68="CR"))),"exterior in CR steel (G9?), ","")&amp;IF(AND(ISNUMBER($BJ68),N($BJ68)&lt;32),"clear width ~"&amp;TEXT($BJ68,"0.0")&amp;CHAR(34)&amp;" under 32"&amp;CHAR(34)&amp;" (ADA), ","")&amp;IF(AND($BO68=90,AND(OR($BL68="FG",$BL68="HG",$BL68="FNV",$BL68="FV"),N($BM68)*N($BN68)&gt;100)),"90 min lite over 100 sq in (stair/exit), ","")&amp;IF(AND($BO68&gt;0,AND($A68&lt;&gt;"",$C68&lt;&gt;"DOOR ONLY"),OR($AF68="",$AF68="-")),"rated: closer reinf.?, ","")&amp;IF(OR($I68="CORRIDOR",$I68="SMOKE BARRIER"),"S label + smoke gasketing, ","")&amp;IF($BP68="?","wall type/hr not in IBC table, ","")&amp;IF(AND(N($BC68)&gt;0,$AU68=""),"no hardware set, ","")&amp;IF(AND($AU68&lt;&gt;"",ISNA(MATCH($AU68,HWSets,0))),"set "&amp;$AU68&amp;" not on Hardware sheet, ","")&amp;IF(N($BE68)&gt;96,"leaf over 8'-0"&amp;CHAR(34)&amp;" - check listing, ",""))</f>
        <v/>
      </c>
    </row>
    <row r="69" ht="15" customHeight="1">
      <c r="A69" s="44" t="n"/>
      <c r="B69" s="45" t="n"/>
      <c r="C69" s="45" t="n"/>
      <c r="D69" s="45" t="n"/>
      <c r="E69" s="45" t="n"/>
      <c r="F69" s="45" t="n"/>
      <c r="G69" s="45" t="n"/>
      <c r="H69" s="45" t="n"/>
      <c r="I69" s="45" t="n"/>
      <c r="J69" s="45" t="n"/>
      <c r="K69" s="45" t="n"/>
      <c r="L69" s="45" t="n"/>
      <c r="M69" s="45" t="n"/>
      <c r="N69" s="45" t="n"/>
      <c r="O69" s="45" t="n"/>
      <c r="P69" s="45" t="n"/>
      <c r="Q69" s="45" t="n"/>
      <c r="R69" s="45" t="n"/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6" t="n"/>
      <c r="AB69" s="46" t="n"/>
      <c r="AC69" s="46" t="n"/>
      <c r="AD69" s="46" t="n"/>
      <c r="AE69" s="46" t="n"/>
      <c r="AF69" s="46" t="n"/>
      <c r="AG69" s="46" t="n"/>
      <c r="AH69" s="47" t="n"/>
      <c r="AI69" s="47" t="n"/>
      <c r="AJ69" s="47" t="n"/>
      <c r="AK69" s="47" t="n"/>
      <c r="AL69" s="47" t="n"/>
      <c r="AM69" s="47" t="n"/>
      <c r="AN69" s="47" t="n"/>
      <c r="AO69" s="47" t="n"/>
      <c r="AP69" s="47" t="n"/>
      <c r="AQ69" s="47" t="n"/>
      <c r="AR69" s="47" t="n"/>
      <c r="AS69" s="47" t="n"/>
      <c r="AT69" s="47" t="n"/>
      <c r="AU69" s="48" t="n"/>
      <c r="AV69" s="48" t="n"/>
      <c r="AW69" s="49">
        <f>IF($A69="","",IF($BW69&lt;&gt;"","FIX",IF($BX69&lt;&gt;"","CHECK","OK")))</f>
        <v/>
      </c>
      <c r="AX69" s="50">
        <f>IF($A69="","",IF($BW69&lt;&gt;"","FIX: "&amp;LEFT($BW69,LEN($BW69)-2)&amp;IF($BX69&lt;&gt;"","  ·  ",""),"")&amp;IF($BX69&lt;&gt;"","CHECK: "&amp;LEFT($BX69,LEN($BX69)-2),""))</f>
        <v/>
      </c>
      <c r="AY69" s="49">
        <f>IF(OR($A69="",$K69=""),"",$K69&amp;"'-"&amp;N($L69)&amp;CHAR(34)&amp;" x "&amp;$M69&amp;"'-"&amp;N($N69)&amp;CHAR(34))</f>
        <v/>
      </c>
      <c r="AZ69" s="49">
        <f>IF(OR($A69="",$K69=""),"",$K69&amp;N($L69)&amp;$M69&amp;N($N69))</f>
        <v/>
      </c>
      <c r="BA69" s="49">
        <f>IF(OR($A69="",$K69=""),"",$K69*12+N($L69))</f>
        <v/>
      </c>
      <c r="BB69" s="49">
        <f>IF(OR($A69="",$M69=""),"",$M69*12+N($N69))</f>
        <v/>
      </c>
      <c r="BC69" s="49">
        <f>IF($A69="","",IF(OR($C69="FRAME ONLY",$S69="BL"),0,IF($O69="Y",2,1)))</f>
        <v/>
      </c>
      <c r="BD69" s="51">
        <f>IF(OR(N($BC69)=0,$BA69=""),"",($BA69-2*EdgeClr-IF($BC69=2,MeetClr,0))/$BC69)</f>
        <v/>
      </c>
      <c r="BE69" s="51">
        <f>IF(OR(N($BC69)=0,$BB69=""),"",$BB69-HeadClr-Undercut)</f>
        <v/>
      </c>
      <c r="BF69" s="51">
        <f>IF($BA69="","",$BA69+2*FaceW+IF(N($Q69)&gt;0,($Q69+FaceW)*IF($R69="LR",2,1),0))</f>
        <v/>
      </c>
      <c r="BG69" s="51">
        <f>IF($BB69="","",$BB69+IF($AB69="Y",4,FaceW)+IF(N($P69)&gt;0,$P69+FaceW,0)+IF(OR($S69="4F",$S69="BL"),FaceW,0))</f>
        <v/>
      </c>
      <c r="BH69" s="51">
        <f>IF($BF69="","",$BF69+2*ROSide)</f>
        <v/>
      </c>
      <c r="BI69" s="51">
        <f>IF($BG69="","",$BG69+ROTop)</f>
        <v/>
      </c>
      <c r="BJ69" s="52">
        <f>IF(OR(N($BC69)=0,$BA69=""),"",$BA69/$BC69-ClearDeduct)</f>
        <v/>
      </c>
      <c r="BK69" s="49">
        <f>IF(OR(N($BC69)=0,$BE69=""),"",IF(OR($AC69="HGC",$AP69="HGC"),"CONT",IF($BE69&lt;=60,2,IF($BE69&lt;=90,3,IF($BE69&lt;=120,4,5)))))</f>
        <v/>
      </c>
      <c r="BL69" s="49">
        <f>IF(N($BC69)=0,"",IF(OR($AL69="",$AL69="FLUSH"),"FLUSH",IFERROR(LEFT($AL69,FIND("-",$AL69)-1),LEFT($AL69,2))))</f>
        <v/>
      </c>
      <c r="BM69" s="49">
        <f>IF($BL69="","",IFERROR(VALUE(MID($AL69,FIND("-",$AL69)+1,FIND(CHAR(34)&amp;"x",$AL69)-FIND("-",$AL69)-1)),0))</f>
        <v/>
      </c>
      <c r="BN69" s="49">
        <f>IF($BL69="","",IFERROR(VALUE(MID($AL69,FIND(CHAR(34)&amp;"x",$AL69)+2,FIND(CHAR(34),$AL69,FIND(CHAR(34)&amp;"x",$AL69)+2)-FIND(CHAR(34)&amp;"x",$AL69)-2)),0))</f>
        <v/>
      </c>
      <c r="BO69" s="53">
        <f>IF(OR($A69="",$H69="",$H69="NO LAB"),0,IFERROR(VALUE(LEFT($H69,FIND(" ",$H69)-1)),0))</f>
        <v/>
      </c>
      <c r="BP69" s="54">
        <f>IF(OR($A69="",$I69="",$I69="NON-RATED",N($J69)=0),"",IFERROR(VLOOKUP($I69&amp;"|"&amp;$J69,IBC,2,FALSE),"?"))</f>
        <v/>
      </c>
      <c r="BQ69" s="50">
        <f>IF(NOT(AND($A69&lt;&gt;"",$C69&lt;&gt;"DOOR ONLY")),"",TRIM(IFERROR(VLOOKUP($U69,CODES,2,FALSE),"")&amp;" "&amp;$AZ69&amp;" "&amp;IFERROR(VLOOKUP($Z69,CODES,2,FALSE),"")&amp;" "&amp;IFERROR(VLOOKUP($X69,CODES,2,FALSE),"")&amp;" "&amp;IFERROR(VLOOKUP($S69,CODES,2,FALSE),"")&amp;IF(N($P69)&gt;0," w/TRANSOM "&amp;$P69&amp;CHAR(34),"")&amp;IF(N($Q69)&gt;0," w/SIDELITE "&amp;$Q69&amp;CHAR(34)&amp;" "&amp;IF($R69="","R",$R69),"")&amp;IF($Y69="","  |  "," | "&amp;IFERROR(VLOOKUP($Y69,CODES,2,FALSE),"")&amp;" | ")&amp;IFERROR(VLOOKUP($AC69,CODES,2,FALSE),"")&amp;" "&amp;IFERROR(VLOOKUP($AD69,CODES,2,FALSE),"")&amp;IF(OR($AE69="",$AE69="-"),""," "&amp;$AE69)&amp;IF(OR($AF69="",$AF69="-"),""," "&amp;$AF69)&amp;IF($AB69="Y"," 4"&amp;CHAR(34)&amp;" HEAD","")&amp;" "&amp;IFERROR(VLOOKUP($H69,CODES,2,FALSE),"")))</f>
        <v/>
      </c>
      <c r="BR69" s="50">
        <f>IF(NOT(AND($A69&lt;&gt;"",N($BC69)&gt;0)),"",TRIM(IFERROR(VLOOKUP($AH69,CODES,2,FALSE),"")&amp;IF($AI69=""," "," "&amp;$AI69&amp;"GA ")&amp;$AZ69&amp;" "&amp;IF($AN69="",IFERROR(VLOOKUP($Z69,CODES,2,FALSE),""),IFERROR(VLOOKUP($AN69,CODES,2,FALSE),""))&amp;IF($BC69=2," PAIR","")&amp;" DOOR | "&amp;IF($AL69="","?",$AL69)&amp;" | "&amp;IF($AP69="",IFERROR(VLOOKUP($AC69,CODES,2,FALSE),""),IFERROR(VLOOKUP($AP69,CODES,2,FALSE),""))&amp;" "&amp;IFERROR(VLOOKUP($AQ69,CODES,2,FALSE),"")&amp;IF(OR($AR69="",$AR69="-"),""," SEAM "&amp;$AR69)&amp;IF($AS69="Y"," ASTRAGAL","")&amp;IF($AJ69=""," "," "&amp;$AJ69)&amp;IF($AK69=""," "," "&amp;$AK69)&amp;IF($AO69="",""," "&amp;$AO69)&amp;IF($AM69=""," "," SERIES "&amp;$AM69)&amp;" "&amp;IFERROR(VLOOKUP($H69,CODES,2,FALSE),"")))</f>
        <v/>
      </c>
      <c r="BS69" s="49">
        <f>IF(BV69="","",IF(COUNTIF($BV$6:BV69,BV69)=1,MAX($BS$5:BS68)+1,INDEX($BS$5:BS68,MATCH(BV69,$BV$5:BV68,0))))</f>
        <v/>
      </c>
      <c r="BT69" s="49">
        <f>IF(NOT(AND($A69&lt;&gt;"",$C69&lt;&gt;"DOOR ONLY")),"",MAX($BT$5:BT68)+1)</f>
        <v/>
      </c>
      <c r="BU69" s="49">
        <f>IF(NOT(AND($A69&lt;&gt;"",N($BC69)&gt;0)),"",MAX($BU$5:BU68)+1)</f>
        <v/>
      </c>
      <c r="BV69" s="49">
        <f>IF(OR($A69="",$BA69="",$BB69=""),"",$AZ69&amp;"|"&amp;$O69&amp;"|"&amp;$AL69&amp;"|"&amp;$S69&amp;"|"&amp;$P69&amp;"|"&amp;$Q69&amp;$R69&amp;"|"&amp;$C69&amp;"|"&amp;$AB69)</f>
        <v/>
      </c>
      <c r="BW69" s="49">
        <f>IF($A69="","",IF($B69="","qty, ","")&amp;IF($C69="","scope, ","")&amp;IF(OR($K69="",$M69=""),"size, ","")&amp;IF(AND($A69&lt;&gt;"",$C69&lt;&gt;"DOOR ONLY"),IF($U69="","jamb depth, ","")&amp;IF($X69="","construction, ","")&amp;IF($Y69="","anchor, ","")&amp;IF($S69="","frame type, ",""),"")&amp;IF(AND(N($BC69)&gt;0,$Z69=""),"hand, ","")&amp;IF(N($BC69)&gt;0,IF($AH69="","door material, ","")&amp;IF($AL69="","face type, ","")&amp;IF($AQ69="","lock prep, ","")&amp;IF(AND($AP69="",$AC69=""),"hinge prep, ",""),"")&amp;IF(AND($BO69&gt;0,$AH69="FRP"),"FRP cannot carry a label, ","")&amp;IF(AND($O69="Y",OR($Z69="L",$Z69="R",$Z69="LR",$Z69="RR")),"pair marked but hand is single, ","")&amp;IF(AND($O69&lt;&gt;"Y",OR($Z69="PR",AND(LEN($Z69)&gt;1,ISNUMBER(SEARCH("-",$Z69))))),"pair hand on a single door, ","")&amp;IF(AND(ISNUMBER($BP69),$BO69&lt;N($BP69)),"wall needs a "&amp;$BP69&amp;" min door, ","")&amp;IF(AND($BO69&gt;=180,AND(OR($BL69="FG",$BL69="HG",$BL69="FNV",$BL69="FV"),N($BM69)*N($BN69)&gt;100)),"180 min lite over 100 sq in, ","")&amp;IF(N($BD69)&gt;48,"leaf wider than 4'-0"&amp;CHAR(34)&amp;", ",""))</f>
        <v/>
      </c>
      <c r="BX69" s="49">
        <f>IF($A69="","",IF(AND($BO69&gt;0,AND($A69&lt;&gt;"",$C69&lt;&gt;"DOOR ONLY"),$X69="KD",$E69="EXTERIOR"),"KD label on an exterior opening, ","")&amp;IF(AND($E69="EXTERIOR",OR(AND(AND($A69&lt;&gt;"",$C69&lt;&gt;"DOOR ONLY"),$W69="CR"),AND(N($BC69)&gt;0,$AH69="CR"))),"exterior in CR steel (G9?), ","")&amp;IF(AND(ISNUMBER($BJ69),N($BJ69)&lt;32),"clear width ~"&amp;TEXT($BJ69,"0.0")&amp;CHAR(34)&amp;" under 32"&amp;CHAR(34)&amp;" (ADA), ","")&amp;IF(AND($BO69=90,AND(OR($BL69="FG",$BL69="HG",$BL69="FNV",$BL69="FV"),N($BM69)*N($BN69)&gt;100)),"90 min lite over 100 sq in (stair/exit), ","")&amp;IF(AND($BO69&gt;0,AND($A69&lt;&gt;"",$C69&lt;&gt;"DOOR ONLY"),OR($AF69="",$AF69="-")),"rated: closer reinf.?, ","")&amp;IF(OR($I69="CORRIDOR",$I69="SMOKE BARRIER"),"S label + smoke gasketing, ","")&amp;IF($BP69="?","wall type/hr not in IBC table, ","")&amp;IF(AND(N($BC69)&gt;0,$AU69=""),"no hardware set, ","")&amp;IF(AND($AU69&lt;&gt;"",ISNA(MATCH($AU69,HWSets,0))),"set "&amp;$AU69&amp;" not on Hardware sheet, ","")&amp;IF(N($BE69)&gt;96,"leaf over 8'-0"&amp;CHAR(34)&amp;" - check listing, ",""))</f>
        <v/>
      </c>
    </row>
    <row r="70" ht="15" customHeight="1">
      <c r="A70" s="44" t="n"/>
      <c r="B70" s="45" t="n"/>
      <c r="C70" s="45" t="n"/>
      <c r="D70" s="45" t="n"/>
      <c r="E70" s="45" t="n"/>
      <c r="F70" s="45" t="n"/>
      <c r="G70" s="45" t="n"/>
      <c r="H70" s="45" t="n"/>
      <c r="I70" s="45" t="n"/>
      <c r="J70" s="45" t="n"/>
      <c r="K70" s="45" t="n"/>
      <c r="L70" s="45" t="n"/>
      <c r="M70" s="45" t="n"/>
      <c r="N70" s="45" t="n"/>
      <c r="O70" s="45" t="n"/>
      <c r="P70" s="45" t="n"/>
      <c r="Q70" s="45" t="n"/>
      <c r="R70" s="45" t="n"/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6" t="n"/>
      <c r="AB70" s="46" t="n"/>
      <c r="AC70" s="46" t="n"/>
      <c r="AD70" s="46" t="n"/>
      <c r="AE70" s="46" t="n"/>
      <c r="AF70" s="46" t="n"/>
      <c r="AG70" s="46" t="n"/>
      <c r="AH70" s="47" t="n"/>
      <c r="AI70" s="47" t="n"/>
      <c r="AJ70" s="47" t="n"/>
      <c r="AK70" s="47" t="n"/>
      <c r="AL70" s="47" t="n"/>
      <c r="AM70" s="47" t="n"/>
      <c r="AN70" s="47" t="n"/>
      <c r="AO70" s="47" t="n"/>
      <c r="AP70" s="47" t="n"/>
      <c r="AQ70" s="47" t="n"/>
      <c r="AR70" s="47" t="n"/>
      <c r="AS70" s="47" t="n"/>
      <c r="AT70" s="47" t="n"/>
      <c r="AU70" s="48" t="n"/>
      <c r="AV70" s="48" t="n"/>
      <c r="AW70" s="49">
        <f>IF($A70="","",IF($BW70&lt;&gt;"","FIX",IF($BX70&lt;&gt;"","CHECK","OK")))</f>
        <v/>
      </c>
      <c r="AX70" s="50">
        <f>IF($A70="","",IF($BW70&lt;&gt;"","FIX: "&amp;LEFT($BW70,LEN($BW70)-2)&amp;IF($BX70&lt;&gt;"","  ·  ",""),"")&amp;IF($BX70&lt;&gt;"","CHECK: "&amp;LEFT($BX70,LEN($BX70)-2),""))</f>
        <v/>
      </c>
      <c r="AY70" s="49">
        <f>IF(OR($A70="",$K70=""),"",$K70&amp;"'-"&amp;N($L70)&amp;CHAR(34)&amp;" x "&amp;$M70&amp;"'-"&amp;N($N70)&amp;CHAR(34))</f>
        <v/>
      </c>
      <c r="AZ70" s="49">
        <f>IF(OR($A70="",$K70=""),"",$K70&amp;N($L70)&amp;$M70&amp;N($N70))</f>
        <v/>
      </c>
      <c r="BA70" s="49">
        <f>IF(OR($A70="",$K70=""),"",$K70*12+N($L70))</f>
        <v/>
      </c>
      <c r="BB70" s="49">
        <f>IF(OR($A70="",$M70=""),"",$M70*12+N($N70))</f>
        <v/>
      </c>
      <c r="BC70" s="49">
        <f>IF($A70="","",IF(OR($C70="FRAME ONLY",$S70="BL"),0,IF($O70="Y",2,1)))</f>
        <v/>
      </c>
      <c r="BD70" s="51">
        <f>IF(OR(N($BC70)=0,$BA70=""),"",($BA70-2*EdgeClr-IF($BC70=2,MeetClr,0))/$BC70)</f>
        <v/>
      </c>
      <c r="BE70" s="51">
        <f>IF(OR(N($BC70)=0,$BB70=""),"",$BB70-HeadClr-Undercut)</f>
        <v/>
      </c>
      <c r="BF70" s="51">
        <f>IF($BA70="","",$BA70+2*FaceW+IF(N($Q70)&gt;0,($Q70+FaceW)*IF($R70="LR",2,1),0))</f>
        <v/>
      </c>
      <c r="BG70" s="51">
        <f>IF($BB70="","",$BB70+IF($AB70="Y",4,FaceW)+IF(N($P70)&gt;0,$P70+FaceW,0)+IF(OR($S70="4F",$S70="BL"),FaceW,0))</f>
        <v/>
      </c>
      <c r="BH70" s="51">
        <f>IF($BF70="","",$BF70+2*ROSide)</f>
        <v/>
      </c>
      <c r="BI70" s="51">
        <f>IF($BG70="","",$BG70+ROTop)</f>
        <v/>
      </c>
      <c r="BJ70" s="52">
        <f>IF(OR(N($BC70)=0,$BA70=""),"",$BA70/$BC70-ClearDeduct)</f>
        <v/>
      </c>
      <c r="BK70" s="49">
        <f>IF(OR(N($BC70)=0,$BE70=""),"",IF(OR($AC70="HGC",$AP70="HGC"),"CONT",IF($BE70&lt;=60,2,IF($BE70&lt;=90,3,IF($BE70&lt;=120,4,5)))))</f>
        <v/>
      </c>
      <c r="BL70" s="49">
        <f>IF(N($BC70)=0,"",IF(OR($AL70="",$AL70="FLUSH"),"FLUSH",IFERROR(LEFT($AL70,FIND("-",$AL70)-1),LEFT($AL70,2))))</f>
        <v/>
      </c>
      <c r="BM70" s="49">
        <f>IF($BL70="","",IFERROR(VALUE(MID($AL70,FIND("-",$AL70)+1,FIND(CHAR(34)&amp;"x",$AL70)-FIND("-",$AL70)-1)),0))</f>
        <v/>
      </c>
      <c r="BN70" s="49">
        <f>IF($BL70="","",IFERROR(VALUE(MID($AL70,FIND(CHAR(34)&amp;"x",$AL70)+2,FIND(CHAR(34),$AL70,FIND(CHAR(34)&amp;"x",$AL70)+2)-FIND(CHAR(34)&amp;"x",$AL70)-2)),0))</f>
        <v/>
      </c>
      <c r="BO70" s="53">
        <f>IF(OR($A70="",$H70="",$H70="NO LAB"),0,IFERROR(VALUE(LEFT($H70,FIND(" ",$H70)-1)),0))</f>
        <v/>
      </c>
      <c r="BP70" s="54">
        <f>IF(OR($A70="",$I70="",$I70="NON-RATED",N($J70)=0),"",IFERROR(VLOOKUP($I70&amp;"|"&amp;$J70,IBC,2,FALSE),"?"))</f>
        <v/>
      </c>
      <c r="BQ70" s="50">
        <f>IF(NOT(AND($A70&lt;&gt;"",$C70&lt;&gt;"DOOR ONLY")),"",TRIM(IFERROR(VLOOKUP($U70,CODES,2,FALSE),"")&amp;" "&amp;$AZ70&amp;" "&amp;IFERROR(VLOOKUP($Z70,CODES,2,FALSE),"")&amp;" "&amp;IFERROR(VLOOKUP($X70,CODES,2,FALSE),"")&amp;" "&amp;IFERROR(VLOOKUP($S70,CODES,2,FALSE),"")&amp;IF(N($P70)&gt;0," w/TRANSOM "&amp;$P70&amp;CHAR(34),"")&amp;IF(N($Q70)&gt;0," w/SIDELITE "&amp;$Q70&amp;CHAR(34)&amp;" "&amp;IF($R70="","R",$R70),"")&amp;IF($Y70="","  |  "," | "&amp;IFERROR(VLOOKUP($Y70,CODES,2,FALSE),"")&amp;" | ")&amp;IFERROR(VLOOKUP($AC70,CODES,2,FALSE),"")&amp;" "&amp;IFERROR(VLOOKUP($AD70,CODES,2,FALSE),"")&amp;IF(OR($AE70="",$AE70="-"),""," "&amp;$AE70)&amp;IF(OR($AF70="",$AF70="-"),""," "&amp;$AF70)&amp;IF($AB70="Y"," 4"&amp;CHAR(34)&amp;" HEAD","")&amp;" "&amp;IFERROR(VLOOKUP($H70,CODES,2,FALSE),"")))</f>
        <v/>
      </c>
      <c r="BR70" s="50">
        <f>IF(NOT(AND($A70&lt;&gt;"",N($BC70)&gt;0)),"",TRIM(IFERROR(VLOOKUP($AH70,CODES,2,FALSE),"")&amp;IF($AI70=""," "," "&amp;$AI70&amp;"GA ")&amp;$AZ70&amp;" "&amp;IF($AN70="",IFERROR(VLOOKUP($Z70,CODES,2,FALSE),""),IFERROR(VLOOKUP($AN70,CODES,2,FALSE),""))&amp;IF($BC70=2," PAIR","")&amp;" DOOR | "&amp;IF($AL70="","?",$AL70)&amp;" | "&amp;IF($AP70="",IFERROR(VLOOKUP($AC70,CODES,2,FALSE),""),IFERROR(VLOOKUP($AP70,CODES,2,FALSE),""))&amp;" "&amp;IFERROR(VLOOKUP($AQ70,CODES,2,FALSE),"")&amp;IF(OR($AR70="",$AR70="-"),""," SEAM "&amp;$AR70)&amp;IF($AS70="Y"," ASTRAGAL","")&amp;IF($AJ70=""," "," "&amp;$AJ70)&amp;IF($AK70=""," "," "&amp;$AK70)&amp;IF($AO70="",""," "&amp;$AO70)&amp;IF($AM70=""," "," SERIES "&amp;$AM70)&amp;" "&amp;IFERROR(VLOOKUP($H70,CODES,2,FALSE),"")))</f>
        <v/>
      </c>
      <c r="BS70" s="49">
        <f>IF(BV70="","",IF(COUNTIF($BV$6:BV70,BV70)=1,MAX($BS$5:BS69)+1,INDEX($BS$5:BS69,MATCH(BV70,$BV$5:BV69,0))))</f>
        <v/>
      </c>
      <c r="BT70" s="49">
        <f>IF(NOT(AND($A70&lt;&gt;"",$C70&lt;&gt;"DOOR ONLY")),"",MAX($BT$5:BT69)+1)</f>
        <v/>
      </c>
      <c r="BU70" s="49">
        <f>IF(NOT(AND($A70&lt;&gt;"",N($BC70)&gt;0)),"",MAX($BU$5:BU69)+1)</f>
        <v/>
      </c>
      <c r="BV70" s="49">
        <f>IF(OR($A70="",$BA70="",$BB70=""),"",$AZ70&amp;"|"&amp;$O70&amp;"|"&amp;$AL70&amp;"|"&amp;$S70&amp;"|"&amp;$P70&amp;"|"&amp;$Q70&amp;$R70&amp;"|"&amp;$C70&amp;"|"&amp;$AB70)</f>
        <v/>
      </c>
      <c r="BW70" s="49">
        <f>IF($A70="","",IF($B70="","qty, ","")&amp;IF($C70="","scope, ","")&amp;IF(OR($K70="",$M70=""),"size, ","")&amp;IF(AND($A70&lt;&gt;"",$C70&lt;&gt;"DOOR ONLY"),IF($U70="","jamb depth, ","")&amp;IF($X70="","construction, ","")&amp;IF($Y70="","anchor, ","")&amp;IF($S70="","frame type, ",""),"")&amp;IF(AND(N($BC70)&gt;0,$Z70=""),"hand, ","")&amp;IF(N($BC70)&gt;0,IF($AH70="","door material, ","")&amp;IF($AL70="","face type, ","")&amp;IF($AQ70="","lock prep, ","")&amp;IF(AND($AP70="",$AC70=""),"hinge prep, ",""),"")&amp;IF(AND($BO70&gt;0,$AH70="FRP"),"FRP cannot carry a label, ","")&amp;IF(AND($O70="Y",OR($Z70="L",$Z70="R",$Z70="LR",$Z70="RR")),"pair marked but hand is single, ","")&amp;IF(AND($O70&lt;&gt;"Y",OR($Z70="PR",AND(LEN($Z70)&gt;1,ISNUMBER(SEARCH("-",$Z70))))),"pair hand on a single door, ","")&amp;IF(AND(ISNUMBER($BP70),$BO70&lt;N($BP70)),"wall needs a "&amp;$BP70&amp;" min door, ","")&amp;IF(AND($BO70&gt;=180,AND(OR($BL70="FG",$BL70="HG",$BL70="FNV",$BL70="FV"),N($BM70)*N($BN70)&gt;100)),"180 min lite over 100 sq in, ","")&amp;IF(N($BD70)&gt;48,"leaf wider than 4'-0"&amp;CHAR(34)&amp;", ",""))</f>
        <v/>
      </c>
      <c r="BX70" s="49">
        <f>IF($A70="","",IF(AND($BO70&gt;0,AND($A70&lt;&gt;"",$C70&lt;&gt;"DOOR ONLY"),$X70="KD",$E70="EXTERIOR"),"KD label on an exterior opening, ","")&amp;IF(AND($E70="EXTERIOR",OR(AND(AND($A70&lt;&gt;"",$C70&lt;&gt;"DOOR ONLY"),$W70="CR"),AND(N($BC70)&gt;0,$AH70="CR"))),"exterior in CR steel (G9?), ","")&amp;IF(AND(ISNUMBER($BJ70),N($BJ70)&lt;32),"clear width ~"&amp;TEXT($BJ70,"0.0")&amp;CHAR(34)&amp;" under 32"&amp;CHAR(34)&amp;" (ADA), ","")&amp;IF(AND($BO70=90,AND(OR($BL70="FG",$BL70="HG",$BL70="FNV",$BL70="FV"),N($BM70)*N($BN70)&gt;100)),"90 min lite over 100 sq in (stair/exit), ","")&amp;IF(AND($BO70&gt;0,AND($A70&lt;&gt;"",$C70&lt;&gt;"DOOR ONLY"),OR($AF70="",$AF70="-")),"rated: closer reinf.?, ","")&amp;IF(OR($I70="CORRIDOR",$I70="SMOKE BARRIER"),"S label + smoke gasketing, ","")&amp;IF($BP70="?","wall type/hr not in IBC table, ","")&amp;IF(AND(N($BC70)&gt;0,$AU70=""),"no hardware set, ","")&amp;IF(AND($AU70&lt;&gt;"",ISNA(MATCH($AU70,HWSets,0))),"set "&amp;$AU70&amp;" not on Hardware sheet, ","")&amp;IF(N($BE70)&gt;96,"leaf over 8'-0"&amp;CHAR(34)&amp;" - check listing, ",""))</f>
        <v/>
      </c>
    </row>
    <row r="71" ht="15" customHeight="1">
      <c r="A71" s="44" t="n"/>
      <c r="B71" s="45" t="n"/>
      <c r="C71" s="45" t="n"/>
      <c r="D71" s="45" t="n"/>
      <c r="E71" s="45" t="n"/>
      <c r="F71" s="45" t="n"/>
      <c r="G71" s="45" t="n"/>
      <c r="H71" s="45" t="n"/>
      <c r="I71" s="45" t="n"/>
      <c r="J71" s="45" t="n"/>
      <c r="K71" s="45" t="n"/>
      <c r="L71" s="45" t="n"/>
      <c r="M71" s="45" t="n"/>
      <c r="N71" s="45" t="n"/>
      <c r="O71" s="45" t="n"/>
      <c r="P71" s="45" t="n"/>
      <c r="Q71" s="45" t="n"/>
      <c r="R71" s="45" t="n"/>
      <c r="S71" s="46" t="n"/>
      <c r="T71" s="46" t="n"/>
      <c r="U71" s="46" t="n"/>
      <c r="V71" s="46" t="n"/>
      <c r="W71" s="46" t="n"/>
      <c r="X71" s="46" t="n"/>
      <c r="Y71" s="46" t="n"/>
      <c r="Z71" s="46" t="n"/>
      <c r="AA71" s="46" t="n"/>
      <c r="AB71" s="46" t="n"/>
      <c r="AC71" s="46" t="n"/>
      <c r="AD71" s="46" t="n"/>
      <c r="AE71" s="46" t="n"/>
      <c r="AF71" s="46" t="n"/>
      <c r="AG71" s="46" t="n"/>
      <c r="AH71" s="47" t="n"/>
      <c r="AI71" s="47" t="n"/>
      <c r="AJ71" s="47" t="n"/>
      <c r="AK71" s="47" t="n"/>
      <c r="AL71" s="47" t="n"/>
      <c r="AM71" s="47" t="n"/>
      <c r="AN71" s="47" t="n"/>
      <c r="AO71" s="47" t="n"/>
      <c r="AP71" s="47" t="n"/>
      <c r="AQ71" s="47" t="n"/>
      <c r="AR71" s="47" t="n"/>
      <c r="AS71" s="47" t="n"/>
      <c r="AT71" s="47" t="n"/>
      <c r="AU71" s="48" t="n"/>
      <c r="AV71" s="48" t="n"/>
      <c r="AW71" s="49">
        <f>IF($A71="","",IF($BW71&lt;&gt;"","FIX",IF($BX71&lt;&gt;"","CHECK","OK")))</f>
        <v/>
      </c>
      <c r="AX71" s="50">
        <f>IF($A71="","",IF($BW71&lt;&gt;"","FIX: "&amp;LEFT($BW71,LEN($BW71)-2)&amp;IF($BX71&lt;&gt;"","  ·  ",""),"")&amp;IF($BX71&lt;&gt;"","CHECK: "&amp;LEFT($BX71,LEN($BX71)-2),""))</f>
        <v/>
      </c>
      <c r="AY71" s="49">
        <f>IF(OR($A71="",$K71=""),"",$K71&amp;"'-"&amp;N($L71)&amp;CHAR(34)&amp;" x "&amp;$M71&amp;"'-"&amp;N($N71)&amp;CHAR(34))</f>
        <v/>
      </c>
      <c r="AZ71" s="49">
        <f>IF(OR($A71="",$K71=""),"",$K71&amp;N($L71)&amp;$M71&amp;N($N71))</f>
        <v/>
      </c>
      <c r="BA71" s="49">
        <f>IF(OR($A71="",$K71=""),"",$K71*12+N($L71))</f>
        <v/>
      </c>
      <c r="BB71" s="49">
        <f>IF(OR($A71="",$M71=""),"",$M71*12+N($N71))</f>
        <v/>
      </c>
      <c r="BC71" s="49">
        <f>IF($A71="","",IF(OR($C71="FRAME ONLY",$S71="BL"),0,IF($O71="Y",2,1)))</f>
        <v/>
      </c>
      <c r="BD71" s="51">
        <f>IF(OR(N($BC71)=0,$BA71=""),"",($BA71-2*EdgeClr-IF($BC71=2,MeetClr,0))/$BC71)</f>
        <v/>
      </c>
      <c r="BE71" s="51">
        <f>IF(OR(N($BC71)=0,$BB71=""),"",$BB71-HeadClr-Undercut)</f>
        <v/>
      </c>
      <c r="BF71" s="51">
        <f>IF($BA71="","",$BA71+2*FaceW+IF(N($Q71)&gt;0,($Q71+FaceW)*IF($R71="LR",2,1),0))</f>
        <v/>
      </c>
      <c r="BG71" s="51">
        <f>IF($BB71="","",$BB71+IF($AB71="Y",4,FaceW)+IF(N($P71)&gt;0,$P71+FaceW,0)+IF(OR($S71="4F",$S71="BL"),FaceW,0))</f>
        <v/>
      </c>
      <c r="BH71" s="51">
        <f>IF($BF71="","",$BF71+2*ROSide)</f>
        <v/>
      </c>
      <c r="BI71" s="51">
        <f>IF($BG71="","",$BG71+ROTop)</f>
        <v/>
      </c>
      <c r="BJ71" s="52">
        <f>IF(OR(N($BC71)=0,$BA71=""),"",$BA71/$BC71-ClearDeduct)</f>
        <v/>
      </c>
      <c r="BK71" s="49">
        <f>IF(OR(N($BC71)=0,$BE71=""),"",IF(OR($AC71="HGC",$AP71="HGC"),"CONT",IF($BE71&lt;=60,2,IF($BE71&lt;=90,3,IF($BE71&lt;=120,4,5)))))</f>
        <v/>
      </c>
      <c r="BL71" s="49">
        <f>IF(N($BC71)=0,"",IF(OR($AL71="",$AL71="FLUSH"),"FLUSH",IFERROR(LEFT($AL71,FIND("-",$AL71)-1),LEFT($AL71,2))))</f>
        <v/>
      </c>
      <c r="BM71" s="49">
        <f>IF($BL71="","",IFERROR(VALUE(MID($AL71,FIND("-",$AL71)+1,FIND(CHAR(34)&amp;"x",$AL71)-FIND("-",$AL71)-1)),0))</f>
        <v/>
      </c>
      <c r="BN71" s="49">
        <f>IF($BL71="","",IFERROR(VALUE(MID($AL71,FIND(CHAR(34)&amp;"x",$AL71)+2,FIND(CHAR(34),$AL71,FIND(CHAR(34)&amp;"x",$AL71)+2)-FIND(CHAR(34)&amp;"x",$AL71)-2)),0))</f>
        <v/>
      </c>
      <c r="BO71" s="53">
        <f>IF(OR($A71="",$H71="",$H71="NO LAB"),0,IFERROR(VALUE(LEFT($H71,FIND(" ",$H71)-1)),0))</f>
        <v/>
      </c>
      <c r="BP71" s="54">
        <f>IF(OR($A71="",$I71="",$I71="NON-RATED",N($J71)=0),"",IFERROR(VLOOKUP($I71&amp;"|"&amp;$J71,IBC,2,FALSE),"?"))</f>
        <v/>
      </c>
      <c r="BQ71" s="50">
        <f>IF(NOT(AND($A71&lt;&gt;"",$C71&lt;&gt;"DOOR ONLY")),"",TRIM(IFERROR(VLOOKUP($U71,CODES,2,FALSE),"")&amp;" "&amp;$AZ71&amp;" "&amp;IFERROR(VLOOKUP($Z71,CODES,2,FALSE),"")&amp;" "&amp;IFERROR(VLOOKUP($X71,CODES,2,FALSE),"")&amp;" "&amp;IFERROR(VLOOKUP($S71,CODES,2,FALSE),"")&amp;IF(N($P71)&gt;0," w/TRANSOM "&amp;$P71&amp;CHAR(34),"")&amp;IF(N($Q71)&gt;0," w/SIDELITE "&amp;$Q71&amp;CHAR(34)&amp;" "&amp;IF($R71="","R",$R71),"")&amp;IF($Y71="","  |  "," | "&amp;IFERROR(VLOOKUP($Y71,CODES,2,FALSE),"")&amp;" | ")&amp;IFERROR(VLOOKUP($AC71,CODES,2,FALSE),"")&amp;" "&amp;IFERROR(VLOOKUP($AD71,CODES,2,FALSE),"")&amp;IF(OR($AE71="",$AE71="-"),""," "&amp;$AE71)&amp;IF(OR($AF71="",$AF71="-"),""," "&amp;$AF71)&amp;IF($AB71="Y"," 4"&amp;CHAR(34)&amp;" HEAD","")&amp;" "&amp;IFERROR(VLOOKUP($H71,CODES,2,FALSE),"")))</f>
        <v/>
      </c>
      <c r="BR71" s="50">
        <f>IF(NOT(AND($A71&lt;&gt;"",N($BC71)&gt;0)),"",TRIM(IFERROR(VLOOKUP($AH71,CODES,2,FALSE),"")&amp;IF($AI71=""," "," "&amp;$AI71&amp;"GA ")&amp;$AZ71&amp;" "&amp;IF($AN71="",IFERROR(VLOOKUP($Z71,CODES,2,FALSE),""),IFERROR(VLOOKUP($AN71,CODES,2,FALSE),""))&amp;IF($BC71=2," PAIR","")&amp;" DOOR | "&amp;IF($AL71="","?",$AL71)&amp;" | "&amp;IF($AP71="",IFERROR(VLOOKUP($AC71,CODES,2,FALSE),""),IFERROR(VLOOKUP($AP71,CODES,2,FALSE),""))&amp;" "&amp;IFERROR(VLOOKUP($AQ71,CODES,2,FALSE),"")&amp;IF(OR($AR71="",$AR71="-"),""," SEAM "&amp;$AR71)&amp;IF($AS71="Y"," ASTRAGAL","")&amp;IF($AJ71=""," "," "&amp;$AJ71)&amp;IF($AK71=""," "," "&amp;$AK71)&amp;IF($AO71="",""," "&amp;$AO71)&amp;IF($AM71=""," "," SERIES "&amp;$AM71)&amp;" "&amp;IFERROR(VLOOKUP($H71,CODES,2,FALSE),"")))</f>
        <v/>
      </c>
      <c r="BS71" s="49">
        <f>IF(BV71="","",IF(COUNTIF($BV$6:BV71,BV71)=1,MAX($BS$5:BS70)+1,INDEX($BS$5:BS70,MATCH(BV71,$BV$5:BV70,0))))</f>
        <v/>
      </c>
      <c r="BT71" s="49">
        <f>IF(NOT(AND($A71&lt;&gt;"",$C71&lt;&gt;"DOOR ONLY")),"",MAX($BT$5:BT70)+1)</f>
        <v/>
      </c>
      <c r="BU71" s="49">
        <f>IF(NOT(AND($A71&lt;&gt;"",N($BC71)&gt;0)),"",MAX($BU$5:BU70)+1)</f>
        <v/>
      </c>
      <c r="BV71" s="49">
        <f>IF(OR($A71="",$BA71="",$BB71=""),"",$AZ71&amp;"|"&amp;$O71&amp;"|"&amp;$AL71&amp;"|"&amp;$S71&amp;"|"&amp;$P71&amp;"|"&amp;$Q71&amp;$R71&amp;"|"&amp;$C71&amp;"|"&amp;$AB71)</f>
        <v/>
      </c>
      <c r="BW71" s="49">
        <f>IF($A71="","",IF($B71="","qty, ","")&amp;IF($C71="","scope, ","")&amp;IF(OR($K71="",$M71=""),"size, ","")&amp;IF(AND($A71&lt;&gt;"",$C71&lt;&gt;"DOOR ONLY"),IF($U71="","jamb depth, ","")&amp;IF($X71="","construction, ","")&amp;IF($Y71="","anchor, ","")&amp;IF($S71="","frame type, ",""),"")&amp;IF(AND(N($BC71)&gt;0,$Z71=""),"hand, ","")&amp;IF(N($BC71)&gt;0,IF($AH71="","door material, ","")&amp;IF($AL71="","face type, ","")&amp;IF($AQ71="","lock prep, ","")&amp;IF(AND($AP71="",$AC71=""),"hinge prep, ",""),"")&amp;IF(AND($BO71&gt;0,$AH71="FRP"),"FRP cannot carry a label, ","")&amp;IF(AND($O71="Y",OR($Z71="L",$Z71="R",$Z71="LR",$Z71="RR")),"pair marked but hand is single, ","")&amp;IF(AND($O71&lt;&gt;"Y",OR($Z71="PR",AND(LEN($Z71)&gt;1,ISNUMBER(SEARCH("-",$Z71))))),"pair hand on a single door, ","")&amp;IF(AND(ISNUMBER($BP71),$BO71&lt;N($BP71)),"wall needs a "&amp;$BP71&amp;" min door, ","")&amp;IF(AND($BO71&gt;=180,AND(OR($BL71="FG",$BL71="HG",$BL71="FNV",$BL71="FV"),N($BM71)*N($BN71)&gt;100)),"180 min lite over 100 sq in, ","")&amp;IF(N($BD71)&gt;48,"leaf wider than 4'-0"&amp;CHAR(34)&amp;", ",""))</f>
        <v/>
      </c>
      <c r="BX71" s="49">
        <f>IF($A71="","",IF(AND($BO71&gt;0,AND($A71&lt;&gt;"",$C71&lt;&gt;"DOOR ONLY"),$X71="KD",$E71="EXTERIOR"),"KD label on an exterior opening, ","")&amp;IF(AND($E71="EXTERIOR",OR(AND(AND($A71&lt;&gt;"",$C71&lt;&gt;"DOOR ONLY"),$W71="CR"),AND(N($BC71)&gt;0,$AH71="CR"))),"exterior in CR steel (G9?), ","")&amp;IF(AND(ISNUMBER($BJ71),N($BJ71)&lt;32),"clear width ~"&amp;TEXT($BJ71,"0.0")&amp;CHAR(34)&amp;" under 32"&amp;CHAR(34)&amp;" (ADA), ","")&amp;IF(AND($BO71=90,AND(OR($BL71="FG",$BL71="HG",$BL71="FNV",$BL71="FV"),N($BM71)*N($BN71)&gt;100)),"90 min lite over 100 sq in (stair/exit), ","")&amp;IF(AND($BO71&gt;0,AND($A71&lt;&gt;"",$C71&lt;&gt;"DOOR ONLY"),OR($AF71="",$AF71="-")),"rated: closer reinf.?, ","")&amp;IF(OR($I71="CORRIDOR",$I71="SMOKE BARRIER"),"S label + smoke gasketing, ","")&amp;IF($BP71="?","wall type/hr not in IBC table, ","")&amp;IF(AND(N($BC71)&gt;0,$AU71=""),"no hardware set, ","")&amp;IF(AND($AU71&lt;&gt;"",ISNA(MATCH($AU71,HWSets,0))),"set "&amp;$AU71&amp;" not on Hardware sheet, ","")&amp;IF(N($BE71)&gt;96,"leaf over 8'-0"&amp;CHAR(34)&amp;" - check listing, ",""))</f>
        <v/>
      </c>
    </row>
    <row r="72" ht="15" customHeight="1">
      <c r="A72" s="44" t="n"/>
      <c r="B72" s="45" t="n"/>
      <c r="C72" s="45" t="n"/>
      <c r="D72" s="45" t="n"/>
      <c r="E72" s="45" t="n"/>
      <c r="F72" s="45" t="n"/>
      <c r="G72" s="45" t="n"/>
      <c r="H72" s="45" t="n"/>
      <c r="I72" s="45" t="n"/>
      <c r="J72" s="45" t="n"/>
      <c r="K72" s="45" t="n"/>
      <c r="L72" s="45" t="n"/>
      <c r="M72" s="45" t="n"/>
      <c r="N72" s="45" t="n"/>
      <c r="O72" s="45" t="n"/>
      <c r="P72" s="45" t="n"/>
      <c r="Q72" s="45" t="n"/>
      <c r="R72" s="45" t="n"/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6" t="n"/>
      <c r="AB72" s="46" t="n"/>
      <c r="AC72" s="46" t="n"/>
      <c r="AD72" s="46" t="n"/>
      <c r="AE72" s="46" t="n"/>
      <c r="AF72" s="46" t="n"/>
      <c r="AG72" s="46" t="n"/>
      <c r="AH72" s="47" t="n"/>
      <c r="AI72" s="47" t="n"/>
      <c r="AJ72" s="47" t="n"/>
      <c r="AK72" s="47" t="n"/>
      <c r="AL72" s="47" t="n"/>
      <c r="AM72" s="47" t="n"/>
      <c r="AN72" s="47" t="n"/>
      <c r="AO72" s="47" t="n"/>
      <c r="AP72" s="47" t="n"/>
      <c r="AQ72" s="47" t="n"/>
      <c r="AR72" s="47" t="n"/>
      <c r="AS72" s="47" t="n"/>
      <c r="AT72" s="47" t="n"/>
      <c r="AU72" s="48" t="n"/>
      <c r="AV72" s="48" t="n"/>
      <c r="AW72" s="49">
        <f>IF($A72="","",IF($BW72&lt;&gt;"","FIX",IF($BX72&lt;&gt;"","CHECK","OK")))</f>
        <v/>
      </c>
      <c r="AX72" s="50">
        <f>IF($A72="","",IF($BW72&lt;&gt;"","FIX: "&amp;LEFT($BW72,LEN($BW72)-2)&amp;IF($BX72&lt;&gt;"","  ·  ",""),"")&amp;IF($BX72&lt;&gt;"","CHECK: "&amp;LEFT($BX72,LEN($BX72)-2),""))</f>
        <v/>
      </c>
      <c r="AY72" s="49">
        <f>IF(OR($A72="",$K72=""),"",$K72&amp;"'-"&amp;N($L72)&amp;CHAR(34)&amp;" x "&amp;$M72&amp;"'-"&amp;N($N72)&amp;CHAR(34))</f>
        <v/>
      </c>
      <c r="AZ72" s="49">
        <f>IF(OR($A72="",$K72=""),"",$K72&amp;N($L72)&amp;$M72&amp;N($N72))</f>
        <v/>
      </c>
      <c r="BA72" s="49">
        <f>IF(OR($A72="",$K72=""),"",$K72*12+N($L72))</f>
        <v/>
      </c>
      <c r="BB72" s="49">
        <f>IF(OR($A72="",$M72=""),"",$M72*12+N($N72))</f>
        <v/>
      </c>
      <c r="BC72" s="49">
        <f>IF($A72="","",IF(OR($C72="FRAME ONLY",$S72="BL"),0,IF($O72="Y",2,1)))</f>
        <v/>
      </c>
      <c r="BD72" s="51">
        <f>IF(OR(N($BC72)=0,$BA72=""),"",($BA72-2*EdgeClr-IF($BC72=2,MeetClr,0))/$BC72)</f>
        <v/>
      </c>
      <c r="BE72" s="51">
        <f>IF(OR(N($BC72)=0,$BB72=""),"",$BB72-HeadClr-Undercut)</f>
        <v/>
      </c>
      <c r="BF72" s="51">
        <f>IF($BA72="","",$BA72+2*FaceW+IF(N($Q72)&gt;0,($Q72+FaceW)*IF($R72="LR",2,1),0))</f>
        <v/>
      </c>
      <c r="BG72" s="51">
        <f>IF($BB72="","",$BB72+IF($AB72="Y",4,FaceW)+IF(N($P72)&gt;0,$P72+FaceW,0)+IF(OR($S72="4F",$S72="BL"),FaceW,0))</f>
        <v/>
      </c>
      <c r="BH72" s="51">
        <f>IF($BF72="","",$BF72+2*ROSide)</f>
        <v/>
      </c>
      <c r="BI72" s="51">
        <f>IF($BG72="","",$BG72+ROTop)</f>
        <v/>
      </c>
      <c r="BJ72" s="52">
        <f>IF(OR(N($BC72)=0,$BA72=""),"",$BA72/$BC72-ClearDeduct)</f>
        <v/>
      </c>
      <c r="BK72" s="49">
        <f>IF(OR(N($BC72)=0,$BE72=""),"",IF(OR($AC72="HGC",$AP72="HGC"),"CONT",IF($BE72&lt;=60,2,IF($BE72&lt;=90,3,IF($BE72&lt;=120,4,5)))))</f>
        <v/>
      </c>
      <c r="BL72" s="49">
        <f>IF(N($BC72)=0,"",IF(OR($AL72="",$AL72="FLUSH"),"FLUSH",IFERROR(LEFT($AL72,FIND("-",$AL72)-1),LEFT($AL72,2))))</f>
        <v/>
      </c>
      <c r="BM72" s="49">
        <f>IF($BL72="","",IFERROR(VALUE(MID($AL72,FIND("-",$AL72)+1,FIND(CHAR(34)&amp;"x",$AL72)-FIND("-",$AL72)-1)),0))</f>
        <v/>
      </c>
      <c r="BN72" s="49">
        <f>IF($BL72="","",IFERROR(VALUE(MID($AL72,FIND(CHAR(34)&amp;"x",$AL72)+2,FIND(CHAR(34),$AL72,FIND(CHAR(34)&amp;"x",$AL72)+2)-FIND(CHAR(34)&amp;"x",$AL72)-2)),0))</f>
        <v/>
      </c>
      <c r="BO72" s="53">
        <f>IF(OR($A72="",$H72="",$H72="NO LAB"),0,IFERROR(VALUE(LEFT($H72,FIND(" ",$H72)-1)),0))</f>
        <v/>
      </c>
      <c r="BP72" s="54">
        <f>IF(OR($A72="",$I72="",$I72="NON-RATED",N($J72)=0),"",IFERROR(VLOOKUP($I72&amp;"|"&amp;$J72,IBC,2,FALSE),"?"))</f>
        <v/>
      </c>
      <c r="BQ72" s="50">
        <f>IF(NOT(AND($A72&lt;&gt;"",$C72&lt;&gt;"DOOR ONLY")),"",TRIM(IFERROR(VLOOKUP($U72,CODES,2,FALSE),"")&amp;" "&amp;$AZ72&amp;" "&amp;IFERROR(VLOOKUP($Z72,CODES,2,FALSE),"")&amp;" "&amp;IFERROR(VLOOKUP($X72,CODES,2,FALSE),"")&amp;" "&amp;IFERROR(VLOOKUP($S72,CODES,2,FALSE),"")&amp;IF(N($P72)&gt;0," w/TRANSOM "&amp;$P72&amp;CHAR(34),"")&amp;IF(N($Q72)&gt;0," w/SIDELITE "&amp;$Q72&amp;CHAR(34)&amp;" "&amp;IF($R72="","R",$R72),"")&amp;IF($Y72="","  |  "," | "&amp;IFERROR(VLOOKUP($Y72,CODES,2,FALSE),"")&amp;" | ")&amp;IFERROR(VLOOKUP($AC72,CODES,2,FALSE),"")&amp;" "&amp;IFERROR(VLOOKUP($AD72,CODES,2,FALSE),"")&amp;IF(OR($AE72="",$AE72="-"),""," "&amp;$AE72)&amp;IF(OR($AF72="",$AF72="-"),""," "&amp;$AF72)&amp;IF($AB72="Y"," 4"&amp;CHAR(34)&amp;" HEAD","")&amp;" "&amp;IFERROR(VLOOKUP($H72,CODES,2,FALSE),"")))</f>
        <v/>
      </c>
      <c r="BR72" s="50">
        <f>IF(NOT(AND($A72&lt;&gt;"",N($BC72)&gt;0)),"",TRIM(IFERROR(VLOOKUP($AH72,CODES,2,FALSE),"")&amp;IF($AI72=""," "," "&amp;$AI72&amp;"GA ")&amp;$AZ72&amp;" "&amp;IF($AN72="",IFERROR(VLOOKUP($Z72,CODES,2,FALSE),""),IFERROR(VLOOKUP($AN72,CODES,2,FALSE),""))&amp;IF($BC72=2," PAIR","")&amp;" DOOR | "&amp;IF($AL72="","?",$AL72)&amp;" | "&amp;IF($AP72="",IFERROR(VLOOKUP($AC72,CODES,2,FALSE),""),IFERROR(VLOOKUP($AP72,CODES,2,FALSE),""))&amp;" "&amp;IFERROR(VLOOKUP($AQ72,CODES,2,FALSE),"")&amp;IF(OR($AR72="",$AR72="-"),""," SEAM "&amp;$AR72)&amp;IF($AS72="Y"," ASTRAGAL","")&amp;IF($AJ72=""," "," "&amp;$AJ72)&amp;IF($AK72=""," "," "&amp;$AK72)&amp;IF($AO72="",""," "&amp;$AO72)&amp;IF($AM72=""," "," SERIES "&amp;$AM72)&amp;" "&amp;IFERROR(VLOOKUP($H72,CODES,2,FALSE),"")))</f>
        <v/>
      </c>
      <c r="BS72" s="49">
        <f>IF(BV72="","",IF(COUNTIF($BV$6:BV72,BV72)=1,MAX($BS$5:BS71)+1,INDEX($BS$5:BS71,MATCH(BV72,$BV$5:BV71,0))))</f>
        <v/>
      </c>
      <c r="BT72" s="49">
        <f>IF(NOT(AND($A72&lt;&gt;"",$C72&lt;&gt;"DOOR ONLY")),"",MAX($BT$5:BT71)+1)</f>
        <v/>
      </c>
      <c r="BU72" s="49">
        <f>IF(NOT(AND($A72&lt;&gt;"",N($BC72)&gt;0)),"",MAX($BU$5:BU71)+1)</f>
        <v/>
      </c>
      <c r="BV72" s="49">
        <f>IF(OR($A72="",$BA72="",$BB72=""),"",$AZ72&amp;"|"&amp;$O72&amp;"|"&amp;$AL72&amp;"|"&amp;$S72&amp;"|"&amp;$P72&amp;"|"&amp;$Q72&amp;$R72&amp;"|"&amp;$C72&amp;"|"&amp;$AB72)</f>
        <v/>
      </c>
      <c r="BW72" s="49">
        <f>IF($A72="","",IF($B72="","qty, ","")&amp;IF($C72="","scope, ","")&amp;IF(OR($K72="",$M72=""),"size, ","")&amp;IF(AND($A72&lt;&gt;"",$C72&lt;&gt;"DOOR ONLY"),IF($U72="","jamb depth, ","")&amp;IF($X72="","construction, ","")&amp;IF($Y72="","anchor, ","")&amp;IF($S72="","frame type, ",""),"")&amp;IF(AND(N($BC72)&gt;0,$Z72=""),"hand, ","")&amp;IF(N($BC72)&gt;0,IF($AH72="","door material, ","")&amp;IF($AL72="","face type, ","")&amp;IF($AQ72="","lock prep, ","")&amp;IF(AND($AP72="",$AC72=""),"hinge prep, ",""),"")&amp;IF(AND($BO72&gt;0,$AH72="FRP"),"FRP cannot carry a label, ","")&amp;IF(AND($O72="Y",OR($Z72="L",$Z72="R",$Z72="LR",$Z72="RR")),"pair marked but hand is single, ","")&amp;IF(AND($O72&lt;&gt;"Y",OR($Z72="PR",AND(LEN($Z72)&gt;1,ISNUMBER(SEARCH("-",$Z72))))),"pair hand on a single door, ","")&amp;IF(AND(ISNUMBER($BP72),$BO72&lt;N($BP72)),"wall needs a "&amp;$BP72&amp;" min door, ","")&amp;IF(AND($BO72&gt;=180,AND(OR($BL72="FG",$BL72="HG",$BL72="FNV",$BL72="FV"),N($BM72)*N($BN72)&gt;100)),"180 min lite over 100 sq in, ","")&amp;IF(N($BD72)&gt;48,"leaf wider than 4'-0"&amp;CHAR(34)&amp;", ",""))</f>
        <v/>
      </c>
      <c r="BX72" s="49">
        <f>IF($A72="","",IF(AND($BO72&gt;0,AND($A72&lt;&gt;"",$C72&lt;&gt;"DOOR ONLY"),$X72="KD",$E72="EXTERIOR"),"KD label on an exterior opening, ","")&amp;IF(AND($E72="EXTERIOR",OR(AND(AND($A72&lt;&gt;"",$C72&lt;&gt;"DOOR ONLY"),$W72="CR"),AND(N($BC72)&gt;0,$AH72="CR"))),"exterior in CR steel (G9?), ","")&amp;IF(AND(ISNUMBER($BJ72),N($BJ72)&lt;32),"clear width ~"&amp;TEXT($BJ72,"0.0")&amp;CHAR(34)&amp;" under 32"&amp;CHAR(34)&amp;" (ADA), ","")&amp;IF(AND($BO72=90,AND(OR($BL72="FG",$BL72="HG",$BL72="FNV",$BL72="FV"),N($BM72)*N($BN72)&gt;100)),"90 min lite over 100 sq in (stair/exit), ","")&amp;IF(AND($BO72&gt;0,AND($A72&lt;&gt;"",$C72&lt;&gt;"DOOR ONLY"),OR($AF72="",$AF72="-")),"rated: closer reinf.?, ","")&amp;IF(OR($I72="CORRIDOR",$I72="SMOKE BARRIER"),"S label + smoke gasketing, ","")&amp;IF($BP72="?","wall type/hr not in IBC table, ","")&amp;IF(AND(N($BC72)&gt;0,$AU72=""),"no hardware set, ","")&amp;IF(AND($AU72&lt;&gt;"",ISNA(MATCH($AU72,HWSets,0))),"set "&amp;$AU72&amp;" not on Hardware sheet, ","")&amp;IF(N($BE72)&gt;96,"leaf over 8'-0"&amp;CHAR(34)&amp;" - check listing, ",""))</f>
        <v/>
      </c>
    </row>
    <row r="73" ht="15" customHeight="1">
      <c r="A73" s="44" t="n"/>
      <c r="B73" s="45" t="n"/>
      <c r="C73" s="45" t="n"/>
      <c r="D73" s="45" t="n"/>
      <c r="E73" s="45" t="n"/>
      <c r="F73" s="45" t="n"/>
      <c r="G73" s="45" t="n"/>
      <c r="H73" s="45" t="n"/>
      <c r="I73" s="45" t="n"/>
      <c r="J73" s="45" t="n"/>
      <c r="K73" s="45" t="n"/>
      <c r="L73" s="45" t="n"/>
      <c r="M73" s="45" t="n"/>
      <c r="N73" s="45" t="n"/>
      <c r="O73" s="45" t="n"/>
      <c r="P73" s="45" t="n"/>
      <c r="Q73" s="45" t="n"/>
      <c r="R73" s="45" t="n"/>
      <c r="S73" s="46" t="n"/>
      <c r="T73" s="46" t="n"/>
      <c r="U73" s="46" t="n"/>
      <c r="V73" s="46" t="n"/>
      <c r="W73" s="46" t="n"/>
      <c r="X73" s="46" t="n"/>
      <c r="Y73" s="46" t="n"/>
      <c r="Z73" s="46" t="n"/>
      <c r="AA73" s="46" t="n"/>
      <c r="AB73" s="46" t="n"/>
      <c r="AC73" s="46" t="n"/>
      <c r="AD73" s="46" t="n"/>
      <c r="AE73" s="46" t="n"/>
      <c r="AF73" s="46" t="n"/>
      <c r="AG73" s="46" t="n"/>
      <c r="AH73" s="47" t="n"/>
      <c r="AI73" s="47" t="n"/>
      <c r="AJ73" s="47" t="n"/>
      <c r="AK73" s="47" t="n"/>
      <c r="AL73" s="47" t="n"/>
      <c r="AM73" s="47" t="n"/>
      <c r="AN73" s="47" t="n"/>
      <c r="AO73" s="47" t="n"/>
      <c r="AP73" s="47" t="n"/>
      <c r="AQ73" s="47" t="n"/>
      <c r="AR73" s="47" t="n"/>
      <c r="AS73" s="47" t="n"/>
      <c r="AT73" s="47" t="n"/>
      <c r="AU73" s="48" t="n"/>
      <c r="AV73" s="48" t="n"/>
      <c r="AW73" s="49">
        <f>IF($A73="","",IF($BW73&lt;&gt;"","FIX",IF($BX73&lt;&gt;"","CHECK","OK")))</f>
        <v/>
      </c>
      <c r="AX73" s="50">
        <f>IF($A73="","",IF($BW73&lt;&gt;"","FIX: "&amp;LEFT($BW73,LEN($BW73)-2)&amp;IF($BX73&lt;&gt;"","  ·  ",""),"")&amp;IF($BX73&lt;&gt;"","CHECK: "&amp;LEFT($BX73,LEN($BX73)-2),""))</f>
        <v/>
      </c>
      <c r="AY73" s="49">
        <f>IF(OR($A73="",$K73=""),"",$K73&amp;"'-"&amp;N($L73)&amp;CHAR(34)&amp;" x "&amp;$M73&amp;"'-"&amp;N($N73)&amp;CHAR(34))</f>
        <v/>
      </c>
      <c r="AZ73" s="49">
        <f>IF(OR($A73="",$K73=""),"",$K73&amp;N($L73)&amp;$M73&amp;N($N73))</f>
        <v/>
      </c>
      <c r="BA73" s="49">
        <f>IF(OR($A73="",$K73=""),"",$K73*12+N($L73))</f>
        <v/>
      </c>
      <c r="BB73" s="49">
        <f>IF(OR($A73="",$M73=""),"",$M73*12+N($N73))</f>
        <v/>
      </c>
      <c r="BC73" s="49">
        <f>IF($A73="","",IF(OR($C73="FRAME ONLY",$S73="BL"),0,IF($O73="Y",2,1)))</f>
        <v/>
      </c>
      <c r="BD73" s="51">
        <f>IF(OR(N($BC73)=0,$BA73=""),"",($BA73-2*EdgeClr-IF($BC73=2,MeetClr,0))/$BC73)</f>
        <v/>
      </c>
      <c r="BE73" s="51">
        <f>IF(OR(N($BC73)=0,$BB73=""),"",$BB73-HeadClr-Undercut)</f>
        <v/>
      </c>
      <c r="BF73" s="51">
        <f>IF($BA73="","",$BA73+2*FaceW+IF(N($Q73)&gt;0,($Q73+FaceW)*IF($R73="LR",2,1),0))</f>
        <v/>
      </c>
      <c r="BG73" s="51">
        <f>IF($BB73="","",$BB73+IF($AB73="Y",4,FaceW)+IF(N($P73)&gt;0,$P73+FaceW,0)+IF(OR($S73="4F",$S73="BL"),FaceW,0))</f>
        <v/>
      </c>
      <c r="BH73" s="51">
        <f>IF($BF73="","",$BF73+2*ROSide)</f>
        <v/>
      </c>
      <c r="BI73" s="51">
        <f>IF($BG73="","",$BG73+ROTop)</f>
        <v/>
      </c>
      <c r="BJ73" s="52">
        <f>IF(OR(N($BC73)=0,$BA73=""),"",$BA73/$BC73-ClearDeduct)</f>
        <v/>
      </c>
      <c r="BK73" s="49">
        <f>IF(OR(N($BC73)=0,$BE73=""),"",IF(OR($AC73="HGC",$AP73="HGC"),"CONT",IF($BE73&lt;=60,2,IF($BE73&lt;=90,3,IF($BE73&lt;=120,4,5)))))</f>
        <v/>
      </c>
      <c r="BL73" s="49">
        <f>IF(N($BC73)=0,"",IF(OR($AL73="",$AL73="FLUSH"),"FLUSH",IFERROR(LEFT($AL73,FIND("-",$AL73)-1),LEFT($AL73,2))))</f>
        <v/>
      </c>
      <c r="BM73" s="49">
        <f>IF($BL73="","",IFERROR(VALUE(MID($AL73,FIND("-",$AL73)+1,FIND(CHAR(34)&amp;"x",$AL73)-FIND("-",$AL73)-1)),0))</f>
        <v/>
      </c>
      <c r="BN73" s="49">
        <f>IF($BL73="","",IFERROR(VALUE(MID($AL73,FIND(CHAR(34)&amp;"x",$AL73)+2,FIND(CHAR(34),$AL73,FIND(CHAR(34)&amp;"x",$AL73)+2)-FIND(CHAR(34)&amp;"x",$AL73)-2)),0))</f>
        <v/>
      </c>
      <c r="BO73" s="53">
        <f>IF(OR($A73="",$H73="",$H73="NO LAB"),0,IFERROR(VALUE(LEFT($H73,FIND(" ",$H73)-1)),0))</f>
        <v/>
      </c>
      <c r="BP73" s="54">
        <f>IF(OR($A73="",$I73="",$I73="NON-RATED",N($J73)=0),"",IFERROR(VLOOKUP($I73&amp;"|"&amp;$J73,IBC,2,FALSE),"?"))</f>
        <v/>
      </c>
      <c r="BQ73" s="50">
        <f>IF(NOT(AND($A73&lt;&gt;"",$C73&lt;&gt;"DOOR ONLY")),"",TRIM(IFERROR(VLOOKUP($U73,CODES,2,FALSE),"")&amp;" "&amp;$AZ73&amp;" "&amp;IFERROR(VLOOKUP($Z73,CODES,2,FALSE),"")&amp;" "&amp;IFERROR(VLOOKUP($X73,CODES,2,FALSE),"")&amp;" "&amp;IFERROR(VLOOKUP($S73,CODES,2,FALSE),"")&amp;IF(N($P73)&gt;0," w/TRANSOM "&amp;$P73&amp;CHAR(34),"")&amp;IF(N($Q73)&gt;0," w/SIDELITE "&amp;$Q73&amp;CHAR(34)&amp;" "&amp;IF($R73="","R",$R73),"")&amp;IF($Y73="","  |  "," | "&amp;IFERROR(VLOOKUP($Y73,CODES,2,FALSE),"")&amp;" | ")&amp;IFERROR(VLOOKUP($AC73,CODES,2,FALSE),"")&amp;" "&amp;IFERROR(VLOOKUP($AD73,CODES,2,FALSE),"")&amp;IF(OR($AE73="",$AE73="-"),""," "&amp;$AE73)&amp;IF(OR($AF73="",$AF73="-"),""," "&amp;$AF73)&amp;IF($AB73="Y"," 4"&amp;CHAR(34)&amp;" HEAD","")&amp;" "&amp;IFERROR(VLOOKUP($H73,CODES,2,FALSE),"")))</f>
        <v/>
      </c>
      <c r="BR73" s="50">
        <f>IF(NOT(AND($A73&lt;&gt;"",N($BC73)&gt;0)),"",TRIM(IFERROR(VLOOKUP($AH73,CODES,2,FALSE),"")&amp;IF($AI73=""," "," "&amp;$AI73&amp;"GA ")&amp;$AZ73&amp;" "&amp;IF($AN73="",IFERROR(VLOOKUP($Z73,CODES,2,FALSE),""),IFERROR(VLOOKUP($AN73,CODES,2,FALSE),""))&amp;IF($BC73=2," PAIR","")&amp;" DOOR | "&amp;IF($AL73="","?",$AL73)&amp;" | "&amp;IF($AP73="",IFERROR(VLOOKUP($AC73,CODES,2,FALSE),""),IFERROR(VLOOKUP($AP73,CODES,2,FALSE),""))&amp;" "&amp;IFERROR(VLOOKUP($AQ73,CODES,2,FALSE),"")&amp;IF(OR($AR73="",$AR73="-"),""," SEAM "&amp;$AR73)&amp;IF($AS73="Y"," ASTRAGAL","")&amp;IF($AJ73=""," "," "&amp;$AJ73)&amp;IF($AK73=""," "," "&amp;$AK73)&amp;IF($AO73="",""," "&amp;$AO73)&amp;IF($AM73=""," "," SERIES "&amp;$AM73)&amp;" "&amp;IFERROR(VLOOKUP($H73,CODES,2,FALSE),"")))</f>
        <v/>
      </c>
      <c r="BS73" s="49">
        <f>IF(BV73="","",IF(COUNTIF($BV$6:BV73,BV73)=1,MAX($BS$5:BS72)+1,INDEX($BS$5:BS72,MATCH(BV73,$BV$5:BV72,0))))</f>
        <v/>
      </c>
      <c r="BT73" s="49">
        <f>IF(NOT(AND($A73&lt;&gt;"",$C73&lt;&gt;"DOOR ONLY")),"",MAX($BT$5:BT72)+1)</f>
        <v/>
      </c>
      <c r="BU73" s="49">
        <f>IF(NOT(AND($A73&lt;&gt;"",N($BC73)&gt;0)),"",MAX($BU$5:BU72)+1)</f>
        <v/>
      </c>
      <c r="BV73" s="49">
        <f>IF(OR($A73="",$BA73="",$BB73=""),"",$AZ73&amp;"|"&amp;$O73&amp;"|"&amp;$AL73&amp;"|"&amp;$S73&amp;"|"&amp;$P73&amp;"|"&amp;$Q73&amp;$R73&amp;"|"&amp;$C73&amp;"|"&amp;$AB73)</f>
        <v/>
      </c>
      <c r="BW73" s="49">
        <f>IF($A73="","",IF($B73="","qty, ","")&amp;IF($C73="","scope, ","")&amp;IF(OR($K73="",$M73=""),"size, ","")&amp;IF(AND($A73&lt;&gt;"",$C73&lt;&gt;"DOOR ONLY"),IF($U73="","jamb depth, ","")&amp;IF($X73="","construction, ","")&amp;IF($Y73="","anchor, ","")&amp;IF($S73="","frame type, ",""),"")&amp;IF(AND(N($BC73)&gt;0,$Z73=""),"hand, ","")&amp;IF(N($BC73)&gt;0,IF($AH73="","door material, ","")&amp;IF($AL73="","face type, ","")&amp;IF($AQ73="","lock prep, ","")&amp;IF(AND($AP73="",$AC73=""),"hinge prep, ",""),"")&amp;IF(AND($BO73&gt;0,$AH73="FRP"),"FRP cannot carry a label, ","")&amp;IF(AND($O73="Y",OR($Z73="L",$Z73="R",$Z73="LR",$Z73="RR")),"pair marked but hand is single, ","")&amp;IF(AND($O73&lt;&gt;"Y",OR($Z73="PR",AND(LEN($Z73)&gt;1,ISNUMBER(SEARCH("-",$Z73))))),"pair hand on a single door, ","")&amp;IF(AND(ISNUMBER($BP73),$BO73&lt;N($BP73)),"wall needs a "&amp;$BP73&amp;" min door, ","")&amp;IF(AND($BO73&gt;=180,AND(OR($BL73="FG",$BL73="HG",$BL73="FNV",$BL73="FV"),N($BM73)*N($BN73)&gt;100)),"180 min lite over 100 sq in, ","")&amp;IF(N($BD73)&gt;48,"leaf wider than 4'-0"&amp;CHAR(34)&amp;", ",""))</f>
        <v/>
      </c>
      <c r="BX73" s="49">
        <f>IF($A73="","",IF(AND($BO73&gt;0,AND($A73&lt;&gt;"",$C73&lt;&gt;"DOOR ONLY"),$X73="KD",$E73="EXTERIOR"),"KD label on an exterior opening, ","")&amp;IF(AND($E73="EXTERIOR",OR(AND(AND($A73&lt;&gt;"",$C73&lt;&gt;"DOOR ONLY"),$W73="CR"),AND(N($BC73)&gt;0,$AH73="CR"))),"exterior in CR steel (G9?), ","")&amp;IF(AND(ISNUMBER($BJ73),N($BJ73)&lt;32),"clear width ~"&amp;TEXT($BJ73,"0.0")&amp;CHAR(34)&amp;" under 32"&amp;CHAR(34)&amp;" (ADA), ","")&amp;IF(AND($BO73=90,AND(OR($BL73="FG",$BL73="HG",$BL73="FNV",$BL73="FV"),N($BM73)*N($BN73)&gt;100)),"90 min lite over 100 sq in (stair/exit), ","")&amp;IF(AND($BO73&gt;0,AND($A73&lt;&gt;"",$C73&lt;&gt;"DOOR ONLY"),OR($AF73="",$AF73="-")),"rated: closer reinf.?, ","")&amp;IF(OR($I73="CORRIDOR",$I73="SMOKE BARRIER"),"S label + smoke gasketing, ","")&amp;IF($BP73="?","wall type/hr not in IBC table, ","")&amp;IF(AND(N($BC73)&gt;0,$AU73=""),"no hardware set, ","")&amp;IF(AND($AU73&lt;&gt;"",ISNA(MATCH($AU73,HWSets,0))),"set "&amp;$AU73&amp;" not on Hardware sheet, ","")&amp;IF(N($BE73)&gt;96,"leaf over 8'-0"&amp;CHAR(34)&amp;" - check listing, ",""))</f>
        <v/>
      </c>
    </row>
    <row r="74" ht="15" customHeight="1">
      <c r="A74" s="44" t="n"/>
      <c r="B74" s="45" t="n"/>
      <c r="C74" s="45" t="n"/>
      <c r="D74" s="45" t="n"/>
      <c r="E74" s="45" t="n"/>
      <c r="F74" s="45" t="n"/>
      <c r="G74" s="45" t="n"/>
      <c r="H74" s="45" t="n"/>
      <c r="I74" s="45" t="n"/>
      <c r="J74" s="45" t="n"/>
      <c r="K74" s="45" t="n"/>
      <c r="L74" s="45" t="n"/>
      <c r="M74" s="45" t="n"/>
      <c r="N74" s="45" t="n"/>
      <c r="O74" s="45" t="n"/>
      <c r="P74" s="45" t="n"/>
      <c r="Q74" s="45" t="n"/>
      <c r="R74" s="45" t="n"/>
      <c r="S74" s="46" t="n"/>
      <c r="T74" s="46" t="n"/>
      <c r="U74" s="46" t="n"/>
      <c r="V74" s="46" t="n"/>
      <c r="W74" s="46" t="n"/>
      <c r="X74" s="46" t="n"/>
      <c r="Y74" s="46" t="n"/>
      <c r="Z74" s="46" t="n"/>
      <c r="AA74" s="46" t="n"/>
      <c r="AB74" s="46" t="n"/>
      <c r="AC74" s="46" t="n"/>
      <c r="AD74" s="46" t="n"/>
      <c r="AE74" s="46" t="n"/>
      <c r="AF74" s="46" t="n"/>
      <c r="AG74" s="46" t="n"/>
      <c r="AH74" s="47" t="n"/>
      <c r="AI74" s="47" t="n"/>
      <c r="AJ74" s="47" t="n"/>
      <c r="AK74" s="47" t="n"/>
      <c r="AL74" s="47" t="n"/>
      <c r="AM74" s="47" t="n"/>
      <c r="AN74" s="47" t="n"/>
      <c r="AO74" s="47" t="n"/>
      <c r="AP74" s="47" t="n"/>
      <c r="AQ74" s="47" t="n"/>
      <c r="AR74" s="47" t="n"/>
      <c r="AS74" s="47" t="n"/>
      <c r="AT74" s="47" t="n"/>
      <c r="AU74" s="48" t="n"/>
      <c r="AV74" s="48" t="n"/>
      <c r="AW74" s="49">
        <f>IF($A74="","",IF($BW74&lt;&gt;"","FIX",IF($BX74&lt;&gt;"","CHECK","OK")))</f>
        <v/>
      </c>
      <c r="AX74" s="50">
        <f>IF($A74="","",IF($BW74&lt;&gt;"","FIX: "&amp;LEFT($BW74,LEN($BW74)-2)&amp;IF($BX74&lt;&gt;"","  ·  ",""),"")&amp;IF($BX74&lt;&gt;"","CHECK: "&amp;LEFT($BX74,LEN($BX74)-2),""))</f>
        <v/>
      </c>
      <c r="AY74" s="49">
        <f>IF(OR($A74="",$K74=""),"",$K74&amp;"'-"&amp;N($L74)&amp;CHAR(34)&amp;" x "&amp;$M74&amp;"'-"&amp;N($N74)&amp;CHAR(34))</f>
        <v/>
      </c>
      <c r="AZ74" s="49">
        <f>IF(OR($A74="",$K74=""),"",$K74&amp;N($L74)&amp;$M74&amp;N($N74))</f>
        <v/>
      </c>
      <c r="BA74" s="49">
        <f>IF(OR($A74="",$K74=""),"",$K74*12+N($L74))</f>
        <v/>
      </c>
      <c r="BB74" s="49">
        <f>IF(OR($A74="",$M74=""),"",$M74*12+N($N74))</f>
        <v/>
      </c>
      <c r="BC74" s="49">
        <f>IF($A74="","",IF(OR($C74="FRAME ONLY",$S74="BL"),0,IF($O74="Y",2,1)))</f>
        <v/>
      </c>
      <c r="BD74" s="51">
        <f>IF(OR(N($BC74)=0,$BA74=""),"",($BA74-2*EdgeClr-IF($BC74=2,MeetClr,0))/$BC74)</f>
        <v/>
      </c>
      <c r="BE74" s="51">
        <f>IF(OR(N($BC74)=0,$BB74=""),"",$BB74-HeadClr-Undercut)</f>
        <v/>
      </c>
      <c r="BF74" s="51">
        <f>IF($BA74="","",$BA74+2*FaceW+IF(N($Q74)&gt;0,($Q74+FaceW)*IF($R74="LR",2,1),0))</f>
        <v/>
      </c>
      <c r="BG74" s="51">
        <f>IF($BB74="","",$BB74+IF($AB74="Y",4,FaceW)+IF(N($P74)&gt;0,$P74+FaceW,0)+IF(OR($S74="4F",$S74="BL"),FaceW,0))</f>
        <v/>
      </c>
      <c r="BH74" s="51">
        <f>IF($BF74="","",$BF74+2*ROSide)</f>
        <v/>
      </c>
      <c r="BI74" s="51">
        <f>IF($BG74="","",$BG74+ROTop)</f>
        <v/>
      </c>
      <c r="BJ74" s="52">
        <f>IF(OR(N($BC74)=0,$BA74=""),"",$BA74/$BC74-ClearDeduct)</f>
        <v/>
      </c>
      <c r="BK74" s="49">
        <f>IF(OR(N($BC74)=0,$BE74=""),"",IF(OR($AC74="HGC",$AP74="HGC"),"CONT",IF($BE74&lt;=60,2,IF($BE74&lt;=90,3,IF($BE74&lt;=120,4,5)))))</f>
        <v/>
      </c>
      <c r="BL74" s="49">
        <f>IF(N($BC74)=0,"",IF(OR($AL74="",$AL74="FLUSH"),"FLUSH",IFERROR(LEFT($AL74,FIND("-",$AL74)-1),LEFT($AL74,2))))</f>
        <v/>
      </c>
      <c r="BM74" s="49">
        <f>IF($BL74="","",IFERROR(VALUE(MID($AL74,FIND("-",$AL74)+1,FIND(CHAR(34)&amp;"x",$AL74)-FIND("-",$AL74)-1)),0))</f>
        <v/>
      </c>
      <c r="BN74" s="49">
        <f>IF($BL74="","",IFERROR(VALUE(MID($AL74,FIND(CHAR(34)&amp;"x",$AL74)+2,FIND(CHAR(34),$AL74,FIND(CHAR(34)&amp;"x",$AL74)+2)-FIND(CHAR(34)&amp;"x",$AL74)-2)),0))</f>
        <v/>
      </c>
      <c r="BO74" s="53">
        <f>IF(OR($A74="",$H74="",$H74="NO LAB"),0,IFERROR(VALUE(LEFT($H74,FIND(" ",$H74)-1)),0))</f>
        <v/>
      </c>
      <c r="BP74" s="54">
        <f>IF(OR($A74="",$I74="",$I74="NON-RATED",N($J74)=0),"",IFERROR(VLOOKUP($I74&amp;"|"&amp;$J74,IBC,2,FALSE),"?"))</f>
        <v/>
      </c>
      <c r="BQ74" s="50">
        <f>IF(NOT(AND($A74&lt;&gt;"",$C74&lt;&gt;"DOOR ONLY")),"",TRIM(IFERROR(VLOOKUP($U74,CODES,2,FALSE),"")&amp;" "&amp;$AZ74&amp;" "&amp;IFERROR(VLOOKUP($Z74,CODES,2,FALSE),"")&amp;" "&amp;IFERROR(VLOOKUP($X74,CODES,2,FALSE),"")&amp;" "&amp;IFERROR(VLOOKUP($S74,CODES,2,FALSE),"")&amp;IF(N($P74)&gt;0," w/TRANSOM "&amp;$P74&amp;CHAR(34),"")&amp;IF(N($Q74)&gt;0," w/SIDELITE "&amp;$Q74&amp;CHAR(34)&amp;" "&amp;IF($R74="","R",$R74),"")&amp;IF($Y74="","  |  "," | "&amp;IFERROR(VLOOKUP($Y74,CODES,2,FALSE),"")&amp;" | ")&amp;IFERROR(VLOOKUP($AC74,CODES,2,FALSE),"")&amp;" "&amp;IFERROR(VLOOKUP($AD74,CODES,2,FALSE),"")&amp;IF(OR($AE74="",$AE74="-"),""," "&amp;$AE74)&amp;IF(OR($AF74="",$AF74="-"),""," "&amp;$AF74)&amp;IF($AB74="Y"," 4"&amp;CHAR(34)&amp;" HEAD","")&amp;" "&amp;IFERROR(VLOOKUP($H74,CODES,2,FALSE),"")))</f>
        <v/>
      </c>
      <c r="BR74" s="50">
        <f>IF(NOT(AND($A74&lt;&gt;"",N($BC74)&gt;0)),"",TRIM(IFERROR(VLOOKUP($AH74,CODES,2,FALSE),"")&amp;IF($AI74=""," "," "&amp;$AI74&amp;"GA ")&amp;$AZ74&amp;" "&amp;IF($AN74="",IFERROR(VLOOKUP($Z74,CODES,2,FALSE),""),IFERROR(VLOOKUP($AN74,CODES,2,FALSE),""))&amp;IF($BC74=2," PAIR","")&amp;" DOOR | "&amp;IF($AL74="","?",$AL74)&amp;" | "&amp;IF($AP74="",IFERROR(VLOOKUP($AC74,CODES,2,FALSE),""),IFERROR(VLOOKUP($AP74,CODES,2,FALSE),""))&amp;" "&amp;IFERROR(VLOOKUP($AQ74,CODES,2,FALSE),"")&amp;IF(OR($AR74="",$AR74="-"),""," SEAM "&amp;$AR74)&amp;IF($AS74="Y"," ASTRAGAL","")&amp;IF($AJ74=""," "," "&amp;$AJ74)&amp;IF($AK74=""," "," "&amp;$AK74)&amp;IF($AO74="",""," "&amp;$AO74)&amp;IF($AM74=""," "," SERIES "&amp;$AM74)&amp;" "&amp;IFERROR(VLOOKUP($H74,CODES,2,FALSE),"")))</f>
        <v/>
      </c>
      <c r="BS74" s="49">
        <f>IF(BV74="","",IF(COUNTIF($BV$6:BV74,BV74)=1,MAX($BS$5:BS73)+1,INDEX($BS$5:BS73,MATCH(BV74,$BV$5:BV73,0))))</f>
        <v/>
      </c>
      <c r="BT74" s="49">
        <f>IF(NOT(AND($A74&lt;&gt;"",$C74&lt;&gt;"DOOR ONLY")),"",MAX($BT$5:BT73)+1)</f>
        <v/>
      </c>
      <c r="BU74" s="49">
        <f>IF(NOT(AND($A74&lt;&gt;"",N($BC74)&gt;0)),"",MAX($BU$5:BU73)+1)</f>
        <v/>
      </c>
      <c r="BV74" s="49">
        <f>IF(OR($A74="",$BA74="",$BB74=""),"",$AZ74&amp;"|"&amp;$O74&amp;"|"&amp;$AL74&amp;"|"&amp;$S74&amp;"|"&amp;$P74&amp;"|"&amp;$Q74&amp;$R74&amp;"|"&amp;$C74&amp;"|"&amp;$AB74)</f>
        <v/>
      </c>
      <c r="BW74" s="49">
        <f>IF($A74="","",IF($B74="","qty, ","")&amp;IF($C74="","scope, ","")&amp;IF(OR($K74="",$M74=""),"size, ","")&amp;IF(AND($A74&lt;&gt;"",$C74&lt;&gt;"DOOR ONLY"),IF($U74="","jamb depth, ","")&amp;IF($X74="","construction, ","")&amp;IF($Y74="","anchor, ","")&amp;IF($S74="","frame type, ",""),"")&amp;IF(AND(N($BC74)&gt;0,$Z74=""),"hand, ","")&amp;IF(N($BC74)&gt;0,IF($AH74="","door material, ","")&amp;IF($AL74="","face type, ","")&amp;IF($AQ74="","lock prep, ","")&amp;IF(AND($AP74="",$AC74=""),"hinge prep, ",""),"")&amp;IF(AND($BO74&gt;0,$AH74="FRP"),"FRP cannot carry a label, ","")&amp;IF(AND($O74="Y",OR($Z74="L",$Z74="R",$Z74="LR",$Z74="RR")),"pair marked but hand is single, ","")&amp;IF(AND($O74&lt;&gt;"Y",OR($Z74="PR",AND(LEN($Z74)&gt;1,ISNUMBER(SEARCH("-",$Z74))))),"pair hand on a single door, ","")&amp;IF(AND(ISNUMBER($BP74),$BO74&lt;N($BP74)),"wall needs a "&amp;$BP74&amp;" min door, ","")&amp;IF(AND($BO74&gt;=180,AND(OR($BL74="FG",$BL74="HG",$BL74="FNV",$BL74="FV"),N($BM74)*N($BN74)&gt;100)),"180 min lite over 100 sq in, ","")&amp;IF(N($BD74)&gt;48,"leaf wider than 4'-0"&amp;CHAR(34)&amp;", ",""))</f>
        <v/>
      </c>
      <c r="BX74" s="49">
        <f>IF($A74="","",IF(AND($BO74&gt;0,AND($A74&lt;&gt;"",$C74&lt;&gt;"DOOR ONLY"),$X74="KD",$E74="EXTERIOR"),"KD label on an exterior opening, ","")&amp;IF(AND($E74="EXTERIOR",OR(AND(AND($A74&lt;&gt;"",$C74&lt;&gt;"DOOR ONLY"),$W74="CR"),AND(N($BC74)&gt;0,$AH74="CR"))),"exterior in CR steel (G9?), ","")&amp;IF(AND(ISNUMBER($BJ74),N($BJ74)&lt;32),"clear width ~"&amp;TEXT($BJ74,"0.0")&amp;CHAR(34)&amp;" under 32"&amp;CHAR(34)&amp;" (ADA), ","")&amp;IF(AND($BO74=90,AND(OR($BL74="FG",$BL74="HG",$BL74="FNV",$BL74="FV"),N($BM74)*N($BN74)&gt;100)),"90 min lite over 100 sq in (stair/exit), ","")&amp;IF(AND($BO74&gt;0,AND($A74&lt;&gt;"",$C74&lt;&gt;"DOOR ONLY"),OR($AF74="",$AF74="-")),"rated: closer reinf.?, ","")&amp;IF(OR($I74="CORRIDOR",$I74="SMOKE BARRIER"),"S label + smoke gasketing, ","")&amp;IF($BP74="?","wall type/hr not in IBC table, ","")&amp;IF(AND(N($BC74)&gt;0,$AU74=""),"no hardware set, ","")&amp;IF(AND($AU74&lt;&gt;"",ISNA(MATCH($AU74,HWSets,0))),"set "&amp;$AU74&amp;" not on Hardware sheet, ","")&amp;IF(N($BE74)&gt;96,"leaf over 8'-0"&amp;CHAR(34)&amp;" - check listing, ",""))</f>
        <v/>
      </c>
    </row>
    <row r="75" ht="15" customHeight="1">
      <c r="A75" s="44" t="n"/>
      <c r="B75" s="45" t="n"/>
      <c r="C75" s="45" t="n"/>
      <c r="D75" s="45" t="n"/>
      <c r="E75" s="45" t="n"/>
      <c r="F75" s="45" t="n"/>
      <c r="G75" s="45" t="n"/>
      <c r="H75" s="45" t="n"/>
      <c r="I75" s="45" t="n"/>
      <c r="J75" s="45" t="n"/>
      <c r="K75" s="45" t="n"/>
      <c r="L75" s="45" t="n"/>
      <c r="M75" s="45" t="n"/>
      <c r="N75" s="45" t="n"/>
      <c r="O75" s="45" t="n"/>
      <c r="P75" s="45" t="n"/>
      <c r="Q75" s="45" t="n"/>
      <c r="R75" s="45" t="n"/>
      <c r="S75" s="46" t="n"/>
      <c r="T75" s="46" t="n"/>
      <c r="U75" s="46" t="n"/>
      <c r="V75" s="46" t="n"/>
      <c r="W75" s="46" t="n"/>
      <c r="X75" s="46" t="n"/>
      <c r="Y75" s="46" t="n"/>
      <c r="Z75" s="46" t="n"/>
      <c r="AA75" s="46" t="n"/>
      <c r="AB75" s="46" t="n"/>
      <c r="AC75" s="46" t="n"/>
      <c r="AD75" s="46" t="n"/>
      <c r="AE75" s="46" t="n"/>
      <c r="AF75" s="46" t="n"/>
      <c r="AG75" s="46" t="n"/>
      <c r="AH75" s="47" t="n"/>
      <c r="AI75" s="47" t="n"/>
      <c r="AJ75" s="47" t="n"/>
      <c r="AK75" s="47" t="n"/>
      <c r="AL75" s="47" t="n"/>
      <c r="AM75" s="47" t="n"/>
      <c r="AN75" s="47" t="n"/>
      <c r="AO75" s="47" t="n"/>
      <c r="AP75" s="47" t="n"/>
      <c r="AQ75" s="47" t="n"/>
      <c r="AR75" s="47" t="n"/>
      <c r="AS75" s="47" t="n"/>
      <c r="AT75" s="47" t="n"/>
      <c r="AU75" s="48" t="n"/>
      <c r="AV75" s="48" t="n"/>
      <c r="AW75" s="49">
        <f>IF($A75="","",IF($BW75&lt;&gt;"","FIX",IF($BX75&lt;&gt;"","CHECK","OK")))</f>
        <v/>
      </c>
      <c r="AX75" s="50">
        <f>IF($A75="","",IF($BW75&lt;&gt;"","FIX: "&amp;LEFT($BW75,LEN($BW75)-2)&amp;IF($BX75&lt;&gt;"","  ·  ",""),"")&amp;IF($BX75&lt;&gt;"","CHECK: "&amp;LEFT($BX75,LEN($BX75)-2),""))</f>
        <v/>
      </c>
      <c r="AY75" s="49">
        <f>IF(OR($A75="",$K75=""),"",$K75&amp;"'-"&amp;N($L75)&amp;CHAR(34)&amp;" x "&amp;$M75&amp;"'-"&amp;N($N75)&amp;CHAR(34))</f>
        <v/>
      </c>
      <c r="AZ75" s="49">
        <f>IF(OR($A75="",$K75=""),"",$K75&amp;N($L75)&amp;$M75&amp;N($N75))</f>
        <v/>
      </c>
      <c r="BA75" s="49">
        <f>IF(OR($A75="",$K75=""),"",$K75*12+N($L75))</f>
        <v/>
      </c>
      <c r="BB75" s="49">
        <f>IF(OR($A75="",$M75=""),"",$M75*12+N($N75))</f>
        <v/>
      </c>
      <c r="BC75" s="49">
        <f>IF($A75="","",IF(OR($C75="FRAME ONLY",$S75="BL"),0,IF($O75="Y",2,1)))</f>
        <v/>
      </c>
      <c r="BD75" s="51">
        <f>IF(OR(N($BC75)=0,$BA75=""),"",($BA75-2*EdgeClr-IF($BC75=2,MeetClr,0))/$BC75)</f>
        <v/>
      </c>
      <c r="BE75" s="51">
        <f>IF(OR(N($BC75)=0,$BB75=""),"",$BB75-HeadClr-Undercut)</f>
        <v/>
      </c>
      <c r="BF75" s="51">
        <f>IF($BA75="","",$BA75+2*FaceW+IF(N($Q75)&gt;0,($Q75+FaceW)*IF($R75="LR",2,1),0))</f>
        <v/>
      </c>
      <c r="BG75" s="51">
        <f>IF($BB75="","",$BB75+IF($AB75="Y",4,FaceW)+IF(N($P75)&gt;0,$P75+FaceW,0)+IF(OR($S75="4F",$S75="BL"),FaceW,0))</f>
        <v/>
      </c>
      <c r="BH75" s="51">
        <f>IF($BF75="","",$BF75+2*ROSide)</f>
        <v/>
      </c>
      <c r="BI75" s="51">
        <f>IF($BG75="","",$BG75+ROTop)</f>
        <v/>
      </c>
      <c r="BJ75" s="52">
        <f>IF(OR(N($BC75)=0,$BA75=""),"",$BA75/$BC75-ClearDeduct)</f>
        <v/>
      </c>
      <c r="BK75" s="49">
        <f>IF(OR(N($BC75)=0,$BE75=""),"",IF(OR($AC75="HGC",$AP75="HGC"),"CONT",IF($BE75&lt;=60,2,IF($BE75&lt;=90,3,IF($BE75&lt;=120,4,5)))))</f>
        <v/>
      </c>
      <c r="BL75" s="49">
        <f>IF(N($BC75)=0,"",IF(OR($AL75="",$AL75="FLUSH"),"FLUSH",IFERROR(LEFT($AL75,FIND("-",$AL75)-1),LEFT($AL75,2))))</f>
        <v/>
      </c>
      <c r="BM75" s="49">
        <f>IF($BL75="","",IFERROR(VALUE(MID($AL75,FIND("-",$AL75)+1,FIND(CHAR(34)&amp;"x",$AL75)-FIND("-",$AL75)-1)),0))</f>
        <v/>
      </c>
      <c r="BN75" s="49">
        <f>IF($BL75="","",IFERROR(VALUE(MID($AL75,FIND(CHAR(34)&amp;"x",$AL75)+2,FIND(CHAR(34),$AL75,FIND(CHAR(34)&amp;"x",$AL75)+2)-FIND(CHAR(34)&amp;"x",$AL75)-2)),0))</f>
        <v/>
      </c>
      <c r="BO75" s="53">
        <f>IF(OR($A75="",$H75="",$H75="NO LAB"),0,IFERROR(VALUE(LEFT($H75,FIND(" ",$H75)-1)),0))</f>
        <v/>
      </c>
      <c r="BP75" s="54">
        <f>IF(OR($A75="",$I75="",$I75="NON-RATED",N($J75)=0),"",IFERROR(VLOOKUP($I75&amp;"|"&amp;$J75,IBC,2,FALSE),"?"))</f>
        <v/>
      </c>
      <c r="BQ75" s="50">
        <f>IF(NOT(AND($A75&lt;&gt;"",$C75&lt;&gt;"DOOR ONLY")),"",TRIM(IFERROR(VLOOKUP($U75,CODES,2,FALSE),"")&amp;" "&amp;$AZ75&amp;" "&amp;IFERROR(VLOOKUP($Z75,CODES,2,FALSE),"")&amp;" "&amp;IFERROR(VLOOKUP($X75,CODES,2,FALSE),"")&amp;" "&amp;IFERROR(VLOOKUP($S75,CODES,2,FALSE),"")&amp;IF(N($P75)&gt;0," w/TRANSOM "&amp;$P75&amp;CHAR(34),"")&amp;IF(N($Q75)&gt;0," w/SIDELITE "&amp;$Q75&amp;CHAR(34)&amp;" "&amp;IF($R75="","R",$R75),"")&amp;IF($Y75="","  |  "," | "&amp;IFERROR(VLOOKUP($Y75,CODES,2,FALSE),"")&amp;" | ")&amp;IFERROR(VLOOKUP($AC75,CODES,2,FALSE),"")&amp;" "&amp;IFERROR(VLOOKUP($AD75,CODES,2,FALSE),"")&amp;IF(OR($AE75="",$AE75="-"),""," "&amp;$AE75)&amp;IF(OR($AF75="",$AF75="-"),""," "&amp;$AF75)&amp;IF($AB75="Y"," 4"&amp;CHAR(34)&amp;" HEAD","")&amp;" "&amp;IFERROR(VLOOKUP($H75,CODES,2,FALSE),"")))</f>
        <v/>
      </c>
      <c r="BR75" s="50">
        <f>IF(NOT(AND($A75&lt;&gt;"",N($BC75)&gt;0)),"",TRIM(IFERROR(VLOOKUP($AH75,CODES,2,FALSE),"")&amp;IF($AI75=""," "," "&amp;$AI75&amp;"GA ")&amp;$AZ75&amp;" "&amp;IF($AN75="",IFERROR(VLOOKUP($Z75,CODES,2,FALSE),""),IFERROR(VLOOKUP($AN75,CODES,2,FALSE),""))&amp;IF($BC75=2," PAIR","")&amp;" DOOR | "&amp;IF($AL75="","?",$AL75)&amp;" | "&amp;IF($AP75="",IFERROR(VLOOKUP($AC75,CODES,2,FALSE),""),IFERROR(VLOOKUP($AP75,CODES,2,FALSE),""))&amp;" "&amp;IFERROR(VLOOKUP($AQ75,CODES,2,FALSE),"")&amp;IF(OR($AR75="",$AR75="-"),""," SEAM "&amp;$AR75)&amp;IF($AS75="Y"," ASTRAGAL","")&amp;IF($AJ75=""," "," "&amp;$AJ75)&amp;IF($AK75=""," "," "&amp;$AK75)&amp;IF($AO75="",""," "&amp;$AO75)&amp;IF($AM75=""," "," SERIES "&amp;$AM75)&amp;" "&amp;IFERROR(VLOOKUP($H75,CODES,2,FALSE),"")))</f>
        <v/>
      </c>
      <c r="BS75" s="49">
        <f>IF(BV75="","",IF(COUNTIF($BV$6:BV75,BV75)=1,MAX($BS$5:BS74)+1,INDEX($BS$5:BS74,MATCH(BV75,$BV$5:BV74,0))))</f>
        <v/>
      </c>
      <c r="BT75" s="49">
        <f>IF(NOT(AND($A75&lt;&gt;"",$C75&lt;&gt;"DOOR ONLY")),"",MAX($BT$5:BT74)+1)</f>
        <v/>
      </c>
      <c r="BU75" s="49">
        <f>IF(NOT(AND($A75&lt;&gt;"",N($BC75)&gt;0)),"",MAX($BU$5:BU74)+1)</f>
        <v/>
      </c>
      <c r="BV75" s="49">
        <f>IF(OR($A75="",$BA75="",$BB75=""),"",$AZ75&amp;"|"&amp;$O75&amp;"|"&amp;$AL75&amp;"|"&amp;$S75&amp;"|"&amp;$P75&amp;"|"&amp;$Q75&amp;$R75&amp;"|"&amp;$C75&amp;"|"&amp;$AB75)</f>
        <v/>
      </c>
      <c r="BW75" s="49">
        <f>IF($A75="","",IF($B75="","qty, ","")&amp;IF($C75="","scope, ","")&amp;IF(OR($K75="",$M75=""),"size, ","")&amp;IF(AND($A75&lt;&gt;"",$C75&lt;&gt;"DOOR ONLY"),IF($U75="","jamb depth, ","")&amp;IF($X75="","construction, ","")&amp;IF($Y75="","anchor, ","")&amp;IF($S75="","frame type, ",""),"")&amp;IF(AND(N($BC75)&gt;0,$Z75=""),"hand, ","")&amp;IF(N($BC75)&gt;0,IF($AH75="","door material, ","")&amp;IF($AL75="","face type, ","")&amp;IF($AQ75="","lock prep, ","")&amp;IF(AND($AP75="",$AC75=""),"hinge prep, ",""),"")&amp;IF(AND($BO75&gt;0,$AH75="FRP"),"FRP cannot carry a label, ","")&amp;IF(AND($O75="Y",OR($Z75="L",$Z75="R",$Z75="LR",$Z75="RR")),"pair marked but hand is single, ","")&amp;IF(AND($O75&lt;&gt;"Y",OR($Z75="PR",AND(LEN($Z75)&gt;1,ISNUMBER(SEARCH("-",$Z75))))),"pair hand on a single door, ","")&amp;IF(AND(ISNUMBER($BP75),$BO75&lt;N($BP75)),"wall needs a "&amp;$BP75&amp;" min door, ","")&amp;IF(AND($BO75&gt;=180,AND(OR($BL75="FG",$BL75="HG",$BL75="FNV",$BL75="FV"),N($BM75)*N($BN75)&gt;100)),"180 min lite over 100 sq in, ","")&amp;IF(N($BD75)&gt;48,"leaf wider than 4'-0"&amp;CHAR(34)&amp;", ",""))</f>
        <v/>
      </c>
      <c r="BX75" s="49">
        <f>IF($A75="","",IF(AND($BO75&gt;0,AND($A75&lt;&gt;"",$C75&lt;&gt;"DOOR ONLY"),$X75="KD",$E75="EXTERIOR"),"KD label on an exterior opening, ","")&amp;IF(AND($E75="EXTERIOR",OR(AND(AND($A75&lt;&gt;"",$C75&lt;&gt;"DOOR ONLY"),$W75="CR"),AND(N($BC75)&gt;0,$AH75="CR"))),"exterior in CR steel (G9?), ","")&amp;IF(AND(ISNUMBER($BJ75),N($BJ75)&lt;32),"clear width ~"&amp;TEXT($BJ75,"0.0")&amp;CHAR(34)&amp;" under 32"&amp;CHAR(34)&amp;" (ADA), ","")&amp;IF(AND($BO75=90,AND(OR($BL75="FG",$BL75="HG",$BL75="FNV",$BL75="FV"),N($BM75)*N($BN75)&gt;100)),"90 min lite over 100 sq in (stair/exit), ","")&amp;IF(AND($BO75&gt;0,AND($A75&lt;&gt;"",$C75&lt;&gt;"DOOR ONLY"),OR($AF75="",$AF75="-")),"rated: closer reinf.?, ","")&amp;IF(OR($I75="CORRIDOR",$I75="SMOKE BARRIER"),"S label + smoke gasketing, ","")&amp;IF($BP75="?","wall type/hr not in IBC table, ","")&amp;IF(AND(N($BC75)&gt;0,$AU75=""),"no hardware set, ","")&amp;IF(AND($AU75&lt;&gt;"",ISNA(MATCH($AU75,HWSets,0))),"set "&amp;$AU75&amp;" not on Hardware sheet, ","")&amp;IF(N($BE75)&gt;96,"leaf over 8'-0"&amp;CHAR(34)&amp;" - check listing, ",""))</f>
        <v/>
      </c>
    </row>
    <row r="76" ht="15" customHeight="1">
      <c r="A76" s="44" t="n"/>
      <c r="B76" s="45" t="n"/>
      <c r="C76" s="45" t="n"/>
      <c r="D76" s="45" t="n"/>
      <c r="E76" s="45" t="n"/>
      <c r="F76" s="45" t="n"/>
      <c r="G76" s="45" t="n"/>
      <c r="H76" s="45" t="n"/>
      <c r="I76" s="45" t="n"/>
      <c r="J76" s="45" t="n"/>
      <c r="K76" s="45" t="n"/>
      <c r="L76" s="45" t="n"/>
      <c r="M76" s="45" t="n"/>
      <c r="N76" s="45" t="n"/>
      <c r="O76" s="45" t="n"/>
      <c r="P76" s="45" t="n"/>
      <c r="Q76" s="45" t="n"/>
      <c r="R76" s="45" t="n"/>
      <c r="S76" s="46" t="n"/>
      <c r="T76" s="46" t="n"/>
      <c r="U76" s="46" t="n"/>
      <c r="V76" s="46" t="n"/>
      <c r="W76" s="46" t="n"/>
      <c r="X76" s="46" t="n"/>
      <c r="Y76" s="46" t="n"/>
      <c r="Z76" s="46" t="n"/>
      <c r="AA76" s="46" t="n"/>
      <c r="AB76" s="46" t="n"/>
      <c r="AC76" s="46" t="n"/>
      <c r="AD76" s="46" t="n"/>
      <c r="AE76" s="46" t="n"/>
      <c r="AF76" s="46" t="n"/>
      <c r="AG76" s="46" t="n"/>
      <c r="AH76" s="47" t="n"/>
      <c r="AI76" s="47" t="n"/>
      <c r="AJ76" s="47" t="n"/>
      <c r="AK76" s="47" t="n"/>
      <c r="AL76" s="47" t="n"/>
      <c r="AM76" s="47" t="n"/>
      <c r="AN76" s="47" t="n"/>
      <c r="AO76" s="47" t="n"/>
      <c r="AP76" s="47" t="n"/>
      <c r="AQ76" s="47" t="n"/>
      <c r="AR76" s="47" t="n"/>
      <c r="AS76" s="47" t="n"/>
      <c r="AT76" s="47" t="n"/>
      <c r="AU76" s="48" t="n"/>
      <c r="AV76" s="48" t="n"/>
      <c r="AW76" s="49">
        <f>IF($A76="","",IF($BW76&lt;&gt;"","FIX",IF($BX76&lt;&gt;"","CHECK","OK")))</f>
        <v/>
      </c>
      <c r="AX76" s="50">
        <f>IF($A76="","",IF($BW76&lt;&gt;"","FIX: "&amp;LEFT($BW76,LEN($BW76)-2)&amp;IF($BX76&lt;&gt;"","  ·  ",""),"")&amp;IF($BX76&lt;&gt;"","CHECK: "&amp;LEFT($BX76,LEN($BX76)-2),""))</f>
        <v/>
      </c>
      <c r="AY76" s="49">
        <f>IF(OR($A76="",$K76=""),"",$K76&amp;"'-"&amp;N($L76)&amp;CHAR(34)&amp;" x "&amp;$M76&amp;"'-"&amp;N($N76)&amp;CHAR(34))</f>
        <v/>
      </c>
      <c r="AZ76" s="49">
        <f>IF(OR($A76="",$K76=""),"",$K76&amp;N($L76)&amp;$M76&amp;N($N76))</f>
        <v/>
      </c>
      <c r="BA76" s="49">
        <f>IF(OR($A76="",$K76=""),"",$K76*12+N($L76))</f>
        <v/>
      </c>
      <c r="BB76" s="49">
        <f>IF(OR($A76="",$M76=""),"",$M76*12+N($N76))</f>
        <v/>
      </c>
      <c r="BC76" s="49">
        <f>IF($A76="","",IF(OR($C76="FRAME ONLY",$S76="BL"),0,IF($O76="Y",2,1)))</f>
        <v/>
      </c>
      <c r="BD76" s="51">
        <f>IF(OR(N($BC76)=0,$BA76=""),"",($BA76-2*EdgeClr-IF($BC76=2,MeetClr,0))/$BC76)</f>
        <v/>
      </c>
      <c r="BE76" s="51">
        <f>IF(OR(N($BC76)=0,$BB76=""),"",$BB76-HeadClr-Undercut)</f>
        <v/>
      </c>
      <c r="BF76" s="51">
        <f>IF($BA76="","",$BA76+2*FaceW+IF(N($Q76)&gt;0,($Q76+FaceW)*IF($R76="LR",2,1),0))</f>
        <v/>
      </c>
      <c r="BG76" s="51">
        <f>IF($BB76="","",$BB76+IF($AB76="Y",4,FaceW)+IF(N($P76)&gt;0,$P76+FaceW,0)+IF(OR($S76="4F",$S76="BL"),FaceW,0))</f>
        <v/>
      </c>
      <c r="BH76" s="51">
        <f>IF($BF76="","",$BF76+2*ROSide)</f>
        <v/>
      </c>
      <c r="BI76" s="51">
        <f>IF($BG76="","",$BG76+ROTop)</f>
        <v/>
      </c>
      <c r="BJ76" s="52">
        <f>IF(OR(N($BC76)=0,$BA76=""),"",$BA76/$BC76-ClearDeduct)</f>
        <v/>
      </c>
      <c r="BK76" s="49">
        <f>IF(OR(N($BC76)=0,$BE76=""),"",IF(OR($AC76="HGC",$AP76="HGC"),"CONT",IF($BE76&lt;=60,2,IF($BE76&lt;=90,3,IF($BE76&lt;=120,4,5)))))</f>
        <v/>
      </c>
      <c r="BL76" s="49">
        <f>IF(N($BC76)=0,"",IF(OR($AL76="",$AL76="FLUSH"),"FLUSH",IFERROR(LEFT($AL76,FIND("-",$AL76)-1),LEFT($AL76,2))))</f>
        <v/>
      </c>
      <c r="BM76" s="49">
        <f>IF($BL76="","",IFERROR(VALUE(MID($AL76,FIND("-",$AL76)+1,FIND(CHAR(34)&amp;"x",$AL76)-FIND("-",$AL76)-1)),0))</f>
        <v/>
      </c>
      <c r="BN76" s="49">
        <f>IF($BL76="","",IFERROR(VALUE(MID($AL76,FIND(CHAR(34)&amp;"x",$AL76)+2,FIND(CHAR(34),$AL76,FIND(CHAR(34)&amp;"x",$AL76)+2)-FIND(CHAR(34)&amp;"x",$AL76)-2)),0))</f>
        <v/>
      </c>
      <c r="BO76" s="53">
        <f>IF(OR($A76="",$H76="",$H76="NO LAB"),0,IFERROR(VALUE(LEFT($H76,FIND(" ",$H76)-1)),0))</f>
        <v/>
      </c>
      <c r="BP76" s="54">
        <f>IF(OR($A76="",$I76="",$I76="NON-RATED",N($J76)=0),"",IFERROR(VLOOKUP($I76&amp;"|"&amp;$J76,IBC,2,FALSE),"?"))</f>
        <v/>
      </c>
      <c r="BQ76" s="50">
        <f>IF(NOT(AND($A76&lt;&gt;"",$C76&lt;&gt;"DOOR ONLY")),"",TRIM(IFERROR(VLOOKUP($U76,CODES,2,FALSE),"")&amp;" "&amp;$AZ76&amp;" "&amp;IFERROR(VLOOKUP($Z76,CODES,2,FALSE),"")&amp;" "&amp;IFERROR(VLOOKUP($X76,CODES,2,FALSE),"")&amp;" "&amp;IFERROR(VLOOKUP($S76,CODES,2,FALSE),"")&amp;IF(N($P76)&gt;0," w/TRANSOM "&amp;$P76&amp;CHAR(34),"")&amp;IF(N($Q76)&gt;0," w/SIDELITE "&amp;$Q76&amp;CHAR(34)&amp;" "&amp;IF($R76="","R",$R76),"")&amp;IF($Y76="","  |  "," | "&amp;IFERROR(VLOOKUP($Y76,CODES,2,FALSE),"")&amp;" | ")&amp;IFERROR(VLOOKUP($AC76,CODES,2,FALSE),"")&amp;" "&amp;IFERROR(VLOOKUP($AD76,CODES,2,FALSE),"")&amp;IF(OR($AE76="",$AE76="-"),""," "&amp;$AE76)&amp;IF(OR($AF76="",$AF76="-"),""," "&amp;$AF76)&amp;IF($AB76="Y"," 4"&amp;CHAR(34)&amp;" HEAD","")&amp;" "&amp;IFERROR(VLOOKUP($H76,CODES,2,FALSE),"")))</f>
        <v/>
      </c>
      <c r="BR76" s="50">
        <f>IF(NOT(AND($A76&lt;&gt;"",N($BC76)&gt;0)),"",TRIM(IFERROR(VLOOKUP($AH76,CODES,2,FALSE),"")&amp;IF($AI76=""," "," "&amp;$AI76&amp;"GA ")&amp;$AZ76&amp;" "&amp;IF($AN76="",IFERROR(VLOOKUP($Z76,CODES,2,FALSE),""),IFERROR(VLOOKUP($AN76,CODES,2,FALSE),""))&amp;IF($BC76=2," PAIR","")&amp;" DOOR | "&amp;IF($AL76="","?",$AL76)&amp;" | "&amp;IF($AP76="",IFERROR(VLOOKUP($AC76,CODES,2,FALSE),""),IFERROR(VLOOKUP($AP76,CODES,2,FALSE),""))&amp;" "&amp;IFERROR(VLOOKUP($AQ76,CODES,2,FALSE),"")&amp;IF(OR($AR76="",$AR76="-"),""," SEAM "&amp;$AR76)&amp;IF($AS76="Y"," ASTRAGAL","")&amp;IF($AJ76=""," "," "&amp;$AJ76)&amp;IF($AK76=""," "," "&amp;$AK76)&amp;IF($AO76="",""," "&amp;$AO76)&amp;IF($AM76=""," "," SERIES "&amp;$AM76)&amp;" "&amp;IFERROR(VLOOKUP($H76,CODES,2,FALSE),"")))</f>
        <v/>
      </c>
      <c r="BS76" s="49">
        <f>IF(BV76="","",IF(COUNTIF($BV$6:BV76,BV76)=1,MAX($BS$5:BS75)+1,INDEX($BS$5:BS75,MATCH(BV76,$BV$5:BV75,0))))</f>
        <v/>
      </c>
      <c r="BT76" s="49">
        <f>IF(NOT(AND($A76&lt;&gt;"",$C76&lt;&gt;"DOOR ONLY")),"",MAX($BT$5:BT75)+1)</f>
        <v/>
      </c>
      <c r="BU76" s="49">
        <f>IF(NOT(AND($A76&lt;&gt;"",N($BC76)&gt;0)),"",MAX($BU$5:BU75)+1)</f>
        <v/>
      </c>
      <c r="BV76" s="49">
        <f>IF(OR($A76="",$BA76="",$BB76=""),"",$AZ76&amp;"|"&amp;$O76&amp;"|"&amp;$AL76&amp;"|"&amp;$S76&amp;"|"&amp;$P76&amp;"|"&amp;$Q76&amp;$R76&amp;"|"&amp;$C76&amp;"|"&amp;$AB76)</f>
        <v/>
      </c>
      <c r="BW76" s="49">
        <f>IF($A76="","",IF($B76="","qty, ","")&amp;IF($C76="","scope, ","")&amp;IF(OR($K76="",$M76=""),"size, ","")&amp;IF(AND($A76&lt;&gt;"",$C76&lt;&gt;"DOOR ONLY"),IF($U76="","jamb depth, ","")&amp;IF($X76="","construction, ","")&amp;IF($Y76="","anchor, ","")&amp;IF($S76="","frame type, ",""),"")&amp;IF(AND(N($BC76)&gt;0,$Z76=""),"hand, ","")&amp;IF(N($BC76)&gt;0,IF($AH76="","door material, ","")&amp;IF($AL76="","face type, ","")&amp;IF($AQ76="","lock prep, ","")&amp;IF(AND($AP76="",$AC76=""),"hinge prep, ",""),"")&amp;IF(AND($BO76&gt;0,$AH76="FRP"),"FRP cannot carry a label, ","")&amp;IF(AND($O76="Y",OR($Z76="L",$Z76="R",$Z76="LR",$Z76="RR")),"pair marked but hand is single, ","")&amp;IF(AND($O76&lt;&gt;"Y",OR($Z76="PR",AND(LEN($Z76)&gt;1,ISNUMBER(SEARCH("-",$Z76))))),"pair hand on a single door, ","")&amp;IF(AND(ISNUMBER($BP76),$BO76&lt;N($BP76)),"wall needs a "&amp;$BP76&amp;" min door, ","")&amp;IF(AND($BO76&gt;=180,AND(OR($BL76="FG",$BL76="HG",$BL76="FNV",$BL76="FV"),N($BM76)*N($BN76)&gt;100)),"180 min lite over 100 sq in, ","")&amp;IF(N($BD76)&gt;48,"leaf wider than 4'-0"&amp;CHAR(34)&amp;", ",""))</f>
        <v/>
      </c>
      <c r="BX76" s="49">
        <f>IF($A76="","",IF(AND($BO76&gt;0,AND($A76&lt;&gt;"",$C76&lt;&gt;"DOOR ONLY"),$X76="KD",$E76="EXTERIOR"),"KD label on an exterior opening, ","")&amp;IF(AND($E76="EXTERIOR",OR(AND(AND($A76&lt;&gt;"",$C76&lt;&gt;"DOOR ONLY"),$W76="CR"),AND(N($BC76)&gt;0,$AH76="CR"))),"exterior in CR steel (G9?), ","")&amp;IF(AND(ISNUMBER($BJ76),N($BJ76)&lt;32),"clear width ~"&amp;TEXT($BJ76,"0.0")&amp;CHAR(34)&amp;" under 32"&amp;CHAR(34)&amp;" (ADA), ","")&amp;IF(AND($BO76=90,AND(OR($BL76="FG",$BL76="HG",$BL76="FNV",$BL76="FV"),N($BM76)*N($BN76)&gt;100)),"90 min lite over 100 sq in (stair/exit), ","")&amp;IF(AND($BO76&gt;0,AND($A76&lt;&gt;"",$C76&lt;&gt;"DOOR ONLY"),OR($AF76="",$AF76="-")),"rated: closer reinf.?, ","")&amp;IF(OR($I76="CORRIDOR",$I76="SMOKE BARRIER"),"S label + smoke gasketing, ","")&amp;IF($BP76="?","wall type/hr not in IBC table, ","")&amp;IF(AND(N($BC76)&gt;0,$AU76=""),"no hardware set, ","")&amp;IF(AND($AU76&lt;&gt;"",ISNA(MATCH($AU76,HWSets,0))),"set "&amp;$AU76&amp;" not on Hardware sheet, ","")&amp;IF(N($BE76)&gt;96,"leaf over 8'-0"&amp;CHAR(34)&amp;" - check listing, ",""))</f>
        <v/>
      </c>
    </row>
    <row r="77" ht="15" customHeight="1">
      <c r="A77" s="44" t="n"/>
      <c r="B77" s="45" t="n"/>
      <c r="C77" s="45" t="n"/>
      <c r="D77" s="45" t="n"/>
      <c r="E77" s="45" t="n"/>
      <c r="F77" s="45" t="n"/>
      <c r="G77" s="45" t="n"/>
      <c r="H77" s="45" t="n"/>
      <c r="I77" s="45" t="n"/>
      <c r="J77" s="45" t="n"/>
      <c r="K77" s="45" t="n"/>
      <c r="L77" s="45" t="n"/>
      <c r="M77" s="45" t="n"/>
      <c r="N77" s="45" t="n"/>
      <c r="O77" s="45" t="n"/>
      <c r="P77" s="45" t="n"/>
      <c r="Q77" s="45" t="n"/>
      <c r="R77" s="45" t="n"/>
      <c r="S77" s="46" t="n"/>
      <c r="T77" s="46" t="n"/>
      <c r="U77" s="46" t="n"/>
      <c r="V77" s="46" t="n"/>
      <c r="W77" s="46" t="n"/>
      <c r="X77" s="46" t="n"/>
      <c r="Y77" s="46" t="n"/>
      <c r="Z77" s="46" t="n"/>
      <c r="AA77" s="46" t="n"/>
      <c r="AB77" s="46" t="n"/>
      <c r="AC77" s="46" t="n"/>
      <c r="AD77" s="46" t="n"/>
      <c r="AE77" s="46" t="n"/>
      <c r="AF77" s="46" t="n"/>
      <c r="AG77" s="46" t="n"/>
      <c r="AH77" s="47" t="n"/>
      <c r="AI77" s="47" t="n"/>
      <c r="AJ77" s="47" t="n"/>
      <c r="AK77" s="47" t="n"/>
      <c r="AL77" s="47" t="n"/>
      <c r="AM77" s="47" t="n"/>
      <c r="AN77" s="47" t="n"/>
      <c r="AO77" s="47" t="n"/>
      <c r="AP77" s="47" t="n"/>
      <c r="AQ77" s="47" t="n"/>
      <c r="AR77" s="47" t="n"/>
      <c r="AS77" s="47" t="n"/>
      <c r="AT77" s="47" t="n"/>
      <c r="AU77" s="48" t="n"/>
      <c r="AV77" s="48" t="n"/>
      <c r="AW77" s="49">
        <f>IF($A77="","",IF($BW77&lt;&gt;"","FIX",IF($BX77&lt;&gt;"","CHECK","OK")))</f>
        <v/>
      </c>
      <c r="AX77" s="50">
        <f>IF($A77="","",IF($BW77&lt;&gt;"","FIX: "&amp;LEFT($BW77,LEN($BW77)-2)&amp;IF($BX77&lt;&gt;"","  ·  ",""),"")&amp;IF($BX77&lt;&gt;"","CHECK: "&amp;LEFT($BX77,LEN($BX77)-2),""))</f>
        <v/>
      </c>
      <c r="AY77" s="49">
        <f>IF(OR($A77="",$K77=""),"",$K77&amp;"'-"&amp;N($L77)&amp;CHAR(34)&amp;" x "&amp;$M77&amp;"'-"&amp;N($N77)&amp;CHAR(34))</f>
        <v/>
      </c>
      <c r="AZ77" s="49">
        <f>IF(OR($A77="",$K77=""),"",$K77&amp;N($L77)&amp;$M77&amp;N($N77))</f>
        <v/>
      </c>
      <c r="BA77" s="49">
        <f>IF(OR($A77="",$K77=""),"",$K77*12+N($L77))</f>
        <v/>
      </c>
      <c r="BB77" s="49">
        <f>IF(OR($A77="",$M77=""),"",$M77*12+N($N77))</f>
        <v/>
      </c>
      <c r="BC77" s="49">
        <f>IF($A77="","",IF(OR($C77="FRAME ONLY",$S77="BL"),0,IF($O77="Y",2,1)))</f>
        <v/>
      </c>
      <c r="BD77" s="51">
        <f>IF(OR(N($BC77)=0,$BA77=""),"",($BA77-2*EdgeClr-IF($BC77=2,MeetClr,0))/$BC77)</f>
        <v/>
      </c>
      <c r="BE77" s="51">
        <f>IF(OR(N($BC77)=0,$BB77=""),"",$BB77-HeadClr-Undercut)</f>
        <v/>
      </c>
      <c r="BF77" s="51">
        <f>IF($BA77="","",$BA77+2*FaceW+IF(N($Q77)&gt;0,($Q77+FaceW)*IF($R77="LR",2,1),0))</f>
        <v/>
      </c>
      <c r="BG77" s="51">
        <f>IF($BB77="","",$BB77+IF($AB77="Y",4,FaceW)+IF(N($P77)&gt;0,$P77+FaceW,0)+IF(OR($S77="4F",$S77="BL"),FaceW,0))</f>
        <v/>
      </c>
      <c r="BH77" s="51">
        <f>IF($BF77="","",$BF77+2*ROSide)</f>
        <v/>
      </c>
      <c r="BI77" s="51">
        <f>IF($BG77="","",$BG77+ROTop)</f>
        <v/>
      </c>
      <c r="BJ77" s="52">
        <f>IF(OR(N($BC77)=0,$BA77=""),"",$BA77/$BC77-ClearDeduct)</f>
        <v/>
      </c>
      <c r="BK77" s="49">
        <f>IF(OR(N($BC77)=0,$BE77=""),"",IF(OR($AC77="HGC",$AP77="HGC"),"CONT",IF($BE77&lt;=60,2,IF($BE77&lt;=90,3,IF($BE77&lt;=120,4,5)))))</f>
        <v/>
      </c>
      <c r="BL77" s="49">
        <f>IF(N($BC77)=0,"",IF(OR($AL77="",$AL77="FLUSH"),"FLUSH",IFERROR(LEFT($AL77,FIND("-",$AL77)-1),LEFT($AL77,2))))</f>
        <v/>
      </c>
      <c r="BM77" s="49">
        <f>IF($BL77="","",IFERROR(VALUE(MID($AL77,FIND("-",$AL77)+1,FIND(CHAR(34)&amp;"x",$AL77)-FIND("-",$AL77)-1)),0))</f>
        <v/>
      </c>
      <c r="BN77" s="49">
        <f>IF($BL77="","",IFERROR(VALUE(MID($AL77,FIND(CHAR(34)&amp;"x",$AL77)+2,FIND(CHAR(34),$AL77,FIND(CHAR(34)&amp;"x",$AL77)+2)-FIND(CHAR(34)&amp;"x",$AL77)-2)),0))</f>
        <v/>
      </c>
      <c r="BO77" s="53">
        <f>IF(OR($A77="",$H77="",$H77="NO LAB"),0,IFERROR(VALUE(LEFT($H77,FIND(" ",$H77)-1)),0))</f>
        <v/>
      </c>
      <c r="BP77" s="54">
        <f>IF(OR($A77="",$I77="",$I77="NON-RATED",N($J77)=0),"",IFERROR(VLOOKUP($I77&amp;"|"&amp;$J77,IBC,2,FALSE),"?"))</f>
        <v/>
      </c>
      <c r="BQ77" s="50">
        <f>IF(NOT(AND($A77&lt;&gt;"",$C77&lt;&gt;"DOOR ONLY")),"",TRIM(IFERROR(VLOOKUP($U77,CODES,2,FALSE),"")&amp;" "&amp;$AZ77&amp;" "&amp;IFERROR(VLOOKUP($Z77,CODES,2,FALSE),"")&amp;" "&amp;IFERROR(VLOOKUP($X77,CODES,2,FALSE),"")&amp;" "&amp;IFERROR(VLOOKUP($S77,CODES,2,FALSE),"")&amp;IF(N($P77)&gt;0," w/TRANSOM "&amp;$P77&amp;CHAR(34),"")&amp;IF(N($Q77)&gt;0," w/SIDELITE "&amp;$Q77&amp;CHAR(34)&amp;" "&amp;IF($R77="","R",$R77),"")&amp;IF($Y77="","  |  "," | "&amp;IFERROR(VLOOKUP($Y77,CODES,2,FALSE),"")&amp;" | ")&amp;IFERROR(VLOOKUP($AC77,CODES,2,FALSE),"")&amp;" "&amp;IFERROR(VLOOKUP($AD77,CODES,2,FALSE),"")&amp;IF(OR($AE77="",$AE77="-"),""," "&amp;$AE77)&amp;IF(OR($AF77="",$AF77="-"),""," "&amp;$AF77)&amp;IF($AB77="Y"," 4"&amp;CHAR(34)&amp;" HEAD","")&amp;" "&amp;IFERROR(VLOOKUP($H77,CODES,2,FALSE),"")))</f>
        <v/>
      </c>
      <c r="BR77" s="50">
        <f>IF(NOT(AND($A77&lt;&gt;"",N($BC77)&gt;0)),"",TRIM(IFERROR(VLOOKUP($AH77,CODES,2,FALSE),"")&amp;IF($AI77=""," "," "&amp;$AI77&amp;"GA ")&amp;$AZ77&amp;" "&amp;IF($AN77="",IFERROR(VLOOKUP($Z77,CODES,2,FALSE),""),IFERROR(VLOOKUP($AN77,CODES,2,FALSE),""))&amp;IF($BC77=2," PAIR","")&amp;" DOOR | "&amp;IF($AL77="","?",$AL77)&amp;" | "&amp;IF($AP77="",IFERROR(VLOOKUP($AC77,CODES,2,FALSE),""),IFERROR(VLOOKUP($AP77,CODES,2,FALSE),""))&amp;" "&amp;IFERROR(VLOOKUP($AQ77,CODES,2,FALSE),"")&amp;IF(OR($AR77="",$AR77="-"),""," SEAM "&amp;$AR77)&amp;IF($AS77="Y"," ASTRAGAL","")&amp;IF($AJ77=""," "," "&amp;$AJ77)&amp;IF($AK77=""," "," "&amp;$AK77)&amp;IF($AO77="",""," "&amp;$AO77)&amp;IF($AM77=""," "," SERIES "&amp;$AM77)&amp;" "&amp;IFERROR(VLOOKUP($H77,CODES,2,FALSE),"")))</f>
        <v/>
      </c>
      <c r="BS77" s="49">
        <f>IF(BV77="","",IF(COUNTIF($BV$6:BV77,BV77)=1,MAX($BS$5:BS76)+1,INDEX($BS$5:BS76,MATCH(BV77,$BV$5:BV76,0))))</f>
        <v/>
      </c>
      <c r="BT77" s="49">
        <f>IF(NOT(AND($A77&lt;&gt;"",$C77&lt;&gt;"DOOR ONLY")),"",MAX($BT$5:BT76)+1)</f>
        <v/>
      </c>
      <c r="BU77" s="49">
        <f>IF(NOT(AND($A77&lt;&gt;"",N($BC77)&gt;0)),"",MAX($BU$5:BU76)+1)</f>
        <v/>
      </c>
      <c r="BV77" s="49">
        <f>IF(OR($A77="",$BA77="",$BB77=""),"",$AZ77&amp;"|"&amp;$O77&amp;"|"&amp;$AL77&amp;"|"&amp;$S77&amp;"|"&amp;$P77&amp;"|"&amp;$Q77&amp;$R77&amp;"|"&amp;$C77&amp;"|"&amp;$AB77)</f>
        <v/>
      </c>
      <c r="BW77" s="49">
        <f>IF($A77="","",IF($B77="","qty, ","")&amp;IF($C77="","scope, ","")&amp;IF(OR($K77="",$M77=""),"size, ","")&amp;IF(AND($A77&lt;&gt;"",$C77&lt;&gt;"DOOR ONLY"),IF($U77="","jamb depth, ","")&amp;IF($X77="","construction, ","")&amp;IF($Y77="","anchor, ","")&amp;IF($S77="","frame type, ",""),"")&amp;IF(AND(N($BC77)&gt;0,$Z77=""),"hand, ","")&amp;IF(N($BC77)&gt;0,IF($AH77="","door material, ","")&amp;IF($AL77="","face type, ","")&amp;IF($AQ77="","lock prep, ","")&amp;IF(AND($AP77="",$AC77=""),"hinge prep, ",""),"")&amp;IF(AND($BO77&gt;0,$AH77="FRP"),"FRP cannot carry a label, ","")&amp;IF(AND($O77="Y",OR($Z77="L",$Z77="R",$Z77="LR",$Z77="RR")),"pair marked but hand is single, ","")&amp;IF(AND($O77&lt;&gt;"Y",OR($Z77="PR",AND(LEN($Z77)&gt;1,ISNUMBER(SEARCH("-",$Z77))))),"pair hand on a single door, ","")&amp;IF(AND(ISNUMBER($BP77),$BO77&lt;N($BP77)),"wall needs a "&amp;$BP77&amp;" min door, ","")&amp;IF(AND($BO77&gt;=180,AND(OR($BL77="FG",$BL77="HG",$BL77="FNV",$BL77="FV"),N($BM77)*N($BN77)&gt;100)),"180 min lite over 100 sq in, ","")&amp;IF(N($BD77)&gt;48,"leaf wider than 4'-0"&amp;CHAR(34)&amp;", ",""))</f>
        <v/>
      </c>
      <c r="BX77" s="49">
        <f>IF($A77="","",IF(AND($BO77&gt;0,AND($A77&lt;&gt;"",$C77&lt;&gt;"DOOR ONLY"),$X77="KD",$E77="EXTERIOR"),"KD label on an exterior opening, ","")&amp;IF(AND($E77="EXTERIOR",OR(AND(AND($A77&lt;&gt;"",$C77&lt;&gt;"DOOR ONLY"),$W77="CR"),AND(N($BC77)&gt;0,$AH77="CR"))),"exterior in CR steel (G9?), ","")&amp;IF(AND(ISNUMBER($BJ77),N($BJ77)&lt;32),"clear width ~"&amp;TEXT($BJ77,"0.0")&amp;CHAR(34)&amp;" under 32"&amp;CHAR(34)&amp;" (ADA), ","")&amp;IF(AND($BO77=90,AND(OR($BL77="FG",$BL77="HG",$BL77="FNV",$BL77="FV"),N($BM77)*N($BN77)&gt;100)),"90 min lite over 100 sq in (stair/exit), ","")&amp;IF(AND($BO77&gt;0,AND($A77&lt;&gt;"",$C77&lt;&gt;"DOOR ONLY"),OR($AF77="",$AF77="-")),"rated: closer reinf.?, ","")&amp;IF(OR($I77="CORRIDOR",$I77="SMOKE BARRIER"),"S label + smoke gasketing, ","")&amp;IF($BP77="?","wall type/hr not in IBC table, ","")&amp;IF(AND(N($BC77)&gt;0,$AU77=""),"no hardware set, ","")&amp;IF(AND($AU77&lt;&gt;"",ISNA(MATCH($AU77,HWSets,0))),"set "&amp;$AU77&amp;" not on Hardware sheet, ","")&amp;IF(N($BE77)&gt;96,"leaf over 8'-0"&amp;CHAR(34)&amp;" - check listing, ",""))</f>
        <v/>
      </c>
    </row>
    <row r="78" ht="15" customHeight="1">
      <c r="A78" s="44" t="n"/>
      <c r="B78" s="45" t="n"/>
      <c r="C78" s="45" t="n"/>
      <c r="D78" s="45" t="n"/>
      <c r="E78" s="45" t="n"/>
      <c r="F78" s="45" t="n"/>
      <c r="G78" s="45" t="n"/>
      <c r="H78" s="45" t="n"/>
      <c r="I78" s="45" t="n"/>
      <c r="J78" s="45" t="n"/>
      <c r="K78" s="45" t="n"/>
      <c r="L78" s="45" t="n"/>
      <c r="M78" s="45" t="n"/>
      <c r="N78" s="45" t="n"/>
      <c r="O78" s="45" t="n"/>
      <c r="P78" s="45" t="n"/>
      <c r="Q78" s="45" t="n"/>
      <c r="R78" s="45" t="n"/>
      <c r="S78" s="46" t="n"/>
      <c r="T78" s="46" t="n"/>
      <c r="U78" s="46" t="n"/>
      <c r="V78" s="46" t="n"/>
      <c r="W78" s="46" t="n"/>
      <c r="X78" s="46" t="n"/>
      <c r="Y78" s="46" t="n"/>
      <c r="Z78" s="46" t="n"/>
      <c r="AA78" s="46" t="n"/>
      <c r="AB78" s="46" t="n"/>
      <c r="AC78" s="46" t="n"/>
      <c r="AD78" s="46" t="n"/>
      <c r="AE78" s="46" t="n"/>
      <c r="AF78" s="46" t="n"/>
      <c r="AG78" s="46" t="n"/>
      <c r="AH78" s="47" t="n"/>
      <c r="AI78" s="47" t="n"/>
      <c r="AJ78" s="47" t="n"/>
      <c r="AK78" s="47" t="n"/>
      <c r="AL78" s="47" t="n"/>
      <c r="AM78" s="47" t="n"/>
      <c r="AN78" s="47" t="n"/>
      <c r="AO78" s="47" t="n"/>
      <c r="AP78" s="47" t="n"/>
      <c r="AQ78" s="47" t="n"/>
      <c r="AR78" s="47" t="n"/>
      <c r="AS78" s="47" t="n"/>
      <c r="AT78" s="47" t="n"/>
      <c r="AU78" s="48" t="n"/>
      <c r="AV78" s="48" t="n"/>
      <c r="AW78" s="49">
        <f>IF($A78="","",IF($BW78&lt;&gt;"","FIX",IF($BX78&lt;&gt;"","CHECK","OK")))</f>
        <v/>
      </c>
      <c r="AX78" s="50">
        <f>IF($A78="","",IF($BW78&lt;&gt;"","FIX: "&amp;LEFT($BW78,LEN($BW78)-2)&amp;IF($BX78&lt;&gt;"","  ·  ",""),"")&amp;IF($BX78&lt;&gt;"","CHECK: "&amp;LEFT($BX78,LEN($BX78)-2),""))</f>
        <v/>
      </c>
      <c r="AY78" s="49">
        <f>IF(OR($A78="",$K78=""),"",$K78&amp;"'-"&amp;N($L78)&amp;CHAR(34)&amp;" x "&amp;$M78&amp;"'-"&amp;N($N78)&amp;CHAR(34))</f>
        <v/>
      </c>
      <c r="AZ78" s="49">
        <f>IF(OR($A78="",$K78=""),"",$K78&amp;N($L78)&amp;$M78&amp;N($N78))</f>
        <v/>
      </c>
      <c r="BA78" s="49">
        <f>IF(OR($A78="",$K78=""),"",$K78*12+N($L78))</f>
        <v/>
      </c>
      <c r="BB78" s="49">
        <f>IF(OR($A78="",$M78=""),"",$M78*12+N($N78))</f>
        <v/>
      </c>
      <c r="BC78" s="49">
        <f>IF($A78="","",IF(OR($C78="FRAME ONLY",$S78="BL"),0,IF($O78="Y",2,1)))</f>
        <v/>
      </c>
      <c r="BD78" s="51">
        <f>IF(OR(N($BC78)=0,$BA78=""),"",($BA78-2*EdgeClr-IF($BC78=2,MeetClr,0))/$BC78)</f>
        <v/>
      </c>
      <c r="BE78" s="51">
        <f>IF(OR(N($BC78)=0,$BB78=""),"",$BB78-HeadClr-Undercut)</f>
        <v/>
      </c>
      <c r="BF78" s="51">
        <f>IF($BA78="","",$BA78+2*FaceW+IF(N($Q78)&gt;0,($Q78+FaceW)*IF($R78="LR",2,1),0))</f>
        <v/>
      </c>
      <c r="BG78" s="51">
        <f>IF($BB78="","",$BB78+IF($AB78="Y",4,FaceW)+IF(N($P78)&gt;0,$P78+FaceW,0)+IF(OR($S78="4F",$S78="BL"),FaceW,0))</f>
        <v/>
      </c>
      <c r="BH78" s="51">
        <f>IF($BF78="","",$BF78+2*ROSide)</f>
        <v/>
      </c>
      <c r="BI78" s="51">
        <f>IF($BG78="","",$BG78+ROTop)</f>
        <v/>
      </c>
      <c r="BJ78" s="52">
        <f>IF(OR(N($BC78)=0,$BA78=""),"",$BA78/$BC78-ClearDeduct)</f>
        <v/>
      </c>
      <c r="BK78" s="49">
        <f>IF(OR(N($BC78)=0,$BE78=""),"",IF(OR($AC78="HGC",$AP78="HGC"),"CONT",IF($BE78&lt;=60,2,IF($BE78&lt;=90,3,IF($BE78&lt;=120,4,5)))))</f>
        <v/>
      </c>
      <c r="BL78" s="49">
        <f>IF(N($BC78)=0,"",IF(OR($AL78="",$AL78="FLUSH"),"FLUSH",IFERROR(LEFT($AL78,FIND("-",$AL78)-1),LEFT($AL78,2))))</f>
        <v/>
      </c>
      <c r="BM78" s="49">
        <f>IF($BL78="","",IFERROR(VALUE(MID($AL78,FIND("-",$AL78)+1,FIND(CHAR(34)&amp;"x",$AL78)-FIND("-",$AL78)-1)),0))</f>
        <v/>
      </c>
      <c r="BN78" s="49">
        <f>IF($BL78="","",IFERROR(VALUE(MID($AL78,FIND(CHAR(34)&amp;"x",$AL78)+2,FIND(CHAR(34),$AL78,FIND(CHAR(34)&amp;"x",$AL78)+2)-FIND(CHAR(34)&amp;"x",$AL78)-2)),0))</f>
        <v/>
      </c>
      <c r="BO78" s="53">
        <f>IF(OR($A78="",$H78="",$H78="NO LAB"),0,IFERROR(VALUE(LEFT($H78,FIND(" ",$H78)-1)),0))</f>
        <v/>
      </c>
      <c r="BP78" s="54">
        <f>IF(OR($A78="",$I78="",$I78="NON-RATED",N($J78)=0),"",IFERROR(VLOOKUP($I78&amp;"|"&amp;$J78,IBC,2,FALSE),"?"))</f>
        <v/>
      </c>
      <c r="BQ78" s="50">
        <f>IF(NOT(AND($A78&lt;&gt;"",$C78&lt;&gt;"DOOR ONLY")),"",TRIM(IFERROR(VLOOKUP($U78,CODES,2,FALSE),"")&amp;" "&amp;$AZ78&amp;" "&amp;IFERROR(VLOOKUP($Z78,CODES,2,FALSE),"")&amp;" "&amp;IFERROR(VLOOKUP($X78,CODES,2,FALSE),"")&amp;" "&amp;IFERROR(VLOOKUP($S78,CODES,2,FALSE),"")&amp;IF(N($P78)&gt;0," w/TRANSOM "&amp;$P78&amp;CHAR(34),"")&amp;IF(N($Q78)&gt;0," w/SIDELITE "&amp;$Q78&amp;CHAR(34)&amp;" "&amp;IF($R78="","R",$R78),"")&amp;IF($Y78="","  |  "," | "&amp;IFERROR(VLOOKUP($Y78,CODES,2,FALSE),"")&amp;" | ")&amp;IFERROR(VLOOKUP($AC78,CODES,2,FALSE),"")&amp;" "&amp;IFERROR(VLOOKUP($AD78,CODES,2,FALSE),"")&amp;IF(OR($AE78="",$AE78="-"),""," "&amp;$AE78)&amp;IF(OR($AF78="",$AF78="-"),""," "&amp;$AF78)&amp;IF($AB78="Y"," 4"&amp;CHAR(34)&amp;" HEAD","")&amp;" "&amp;IFERROR(VLOOKUP($H78,CODES,2,FALSE),"")))</f>
        <v/>
      </c>
      <c r="BR78" s="50">
        <f>IF(NOT(AND($A78&lt;&gt;"",N($BC78)&gt;0)),"",TRIM(IFERROR(VLOOKUP($AH78,CODES,2,FALSE),"")&amp;IF($AI78=""," "," "&amp;$AI78&amp;"GA ")&amp;$AZ78&amp;" "&amp;IF($AN78="",IFERROR(VLOOKUP($Z78,CODES,2,FALSE),""),IFERROR(VLOOKUP($AN78,CODES,2,FALSE),""))&amp;IF($BC78=2," PAIR","")&amp;" DOOR | "&amp;IF($AL78="","?",$AL78)&amp;" | "&amp;IF($AP78="",IFERROR(VLOOKUP($AC78,CODES,2,FALSE),""),IFERROR(VLOOKUP($AP78,CODES,2,FALSE),""))&amp;" "&amp;IFERROR(VLOOKUP($AQ78,CODES,2,FALSE),"")&amp;IF(OR($AR78="",$AR78="-"),""," SEAM "&amp;$AR78)&amp;IF($AS78="Y"," ASTRAGAL","")&amp;IF($AJ78=""," "," "&amp;$AJ78)&amp;IF($AK78=""," "," "&amp;$AK78)&amp;IF($AO78="",""," "&amp;$AO78)&amp;IF($AM78=""," "," SERIES "&amp;$AM78)&amp;" "&amp;IFERROR(VLOOKUP($H78,CODES,2,FALSE),"")))</f>
        <v/>
      </c>
      <c r="BS78" s="49">
        <f>IF(BV78="","",IF(COUNTIF($BV$6:BV78,BV78)=1,MAX($BS$5:BS77)+1,INDEX($BS$5:BS77,MATCH(BV78,$BV$5:BV77,0))))</f>
        <v/>
      </c>
      <c r="BT78" s="49">
        <f>IF(NOT(AND($A78&lt;&gt;"",$C78&lt;&gt;"DOOR ONLY")),"",MAX($BT$5:BT77)+1)</f>
        <v/>
      </c>
      <c r="BU78" s="49">
        <f>IF(NOT(AND($A78&lt;&gt;"",N($BC78)&gt;0)),"",MAX($BU$5:BU77)+1)</f>
        <v/>
      </c>
      <c r="BV78" s="49">
        <f>IF(OR($A78="",$BA78="",$BB78=""),"",$AZ78&amp;"|"&amp;$O78&amp;"|"&amp;$AL78&amp;"|"&amp;$S78&amp;"|"&amp;$P78&amp;"|"&amp;$Q78&amp;$R78&amp;"|"&amp;$C78&amp;"|"&amp;$AB78)</f>
        <v/>
      </c>
      <c r="BW78" s="49">
        <f>IF($A78="","",IF($B78="","qty, ","")&amp;IF($C78="","scope, ","")&amp;IF(OR($K78="",$M78=""),"size, ","")&amp;IF(AND($A78&lt;&gt;"",$C78&lt;&gt;"DOOR ONLY"),IF($U78="","jamb depth, ","")&amp;IF($X78="","construction, ","")&amp;IF($Y78="","anchor, ","")&amp;IF($S78="","frame type, ",""),"")&amp;IF(AND(N($BC78)&gt;0,$Z78=""),"hand, ","")&amp;IF(N($BC78)&gt;0,IF($AH78="","door material, ","")&amp;IF($AL78="","face type, ","")&amp;IF($AQ78="","lock prep, ","")&amp;IF(AND($AP78="",$AC78=""),"hinge prep, ",""),"")&amp;IF(AND($BO78&gt;0,$AH78="FRP"),"FRP cannot carry a label, ","")&amp;IF(AND($O78="Y",OR($Z78="L",$Z78="R",$Z78="LR",$Z78="RR")),"pair marked but hand is single, ","")&amp;IF(AND($O78&lt;&gt;"Y",OR($Z78="PR",AND(LEN($Z78)&gt;1,ISNUMBER(SEARCH("-",$Z78))))),"pair hand on a single door, ","")&amp;IF(AND(ISNUMBER($BP78),$BO78&lt;N($BP78)),"wall needs a "&amp;$BP78&amp;" min door, ","")&amp;IF(AND($BO78&gt;=180,AND(OR($BL78="FG",$BL78="HG",$BL78="FNV",$BL78="FV"),N($BM78)*N($BN78)&gt;100)),"180 min lite over 100 sq in, ","")&amp;IF(N($BD78)&gt;48,"leaf wider than 4'-0"&amp;CHAR(34)&amp;", ",""))</f>
        <v/>
      </c>
      <c r="BX78" s="49">
        <f>IF($A78="","",IF(AND($BO78&gt;0,AND($A78&lt;&gt;"",$C78&lt;&gt;"DOOR ONLY"),$X78="KD",$E78="EXTERIOR"),"KD label on an exterior opening, ","")&amp;IF(AND($E78="EXTERIOR",OR(AND(AND($A78&lt;&gt;"",$C78&lt;&gt;"DOOR ONLY"),$W78="CR"),AND(N($BC78)&gt;0,$AH78="CR"))),"exterior in CR steel (G9?), ","")&amp;IF(AND(ISNUMBER($BJ78),N($BJ78)&lt;32),"clear width ~"&amp;TEXT($BJ78,"0.0")&amp;CHAR(34)&amp;" under 32"&amp;CHAR(34)&amp;" (ADA), ","")&amp;IF(AND($BO78=90,AND(OR($BL78="FG",$BL78="HG",$BL78="FNV",$BL78="FV"),N($BM78)*N($BN78)&gt;100)),"90 min lite over 100 sq in (stair/exit), ","")&amp;IF(AND($BO78&gt;0,AND($A78&lt;&gt;"",$C78&lt;&gt;"DOOR ONLY"),OR($AF78="",$AF78="-")),"rated: closer reinf.?, ","")&amp;IF(OR($I78="CORRIDOR",$I78="SMOKE BARRIER"),"S label + smoke gasketing, ","")&amp;IF($BP78="?","wall type/hr not in IBC table, ","")&amp;IF(AND(N($BC78)&gt;0,$AU78=""),"no hardware set, ","")&amp;IF(AND($AU78&lt;&gt;"",ISNA(MATCH($AU78,HWSets,0))),"set "&amp;$AU78&amp;" not on Hardware sheet, ","")&amp;IF(N($BE78)&gt;96,"leaf over 8'-0"&amp;CHAR(34)&amp;" - check listing, ",""))</f>
        <v/>
      </c>
    </row>
    <row r="79" ht="15" customHeight="1">
      <c r="A79" s="44" t="n"/>
      <c r="B79" s="45" t="n"/>
      <c r="C79" s="45" t="n"/>
      <c r="D79" s="45" t="n"/>
      <c r="E79" s="45" t="n"/>
      <c r="F79" s="45" t="n"/>
      <c r="G79" s="45" t="n"/>
      <c r="H79" s="45" t="n"/>
      <c r="I79" s="45" t="n"/>
      <c r="J79" s="45" t="n"/>
      <c r="K79" s="45" t="n"/>
      <c r="L79" s="45" t="n"/>
      <c r="M79" s="45" t="n"/>
      <c r="N79" s="45" t="n"/>
      <c r="O79" s="45" t="n"/>
      <c r="P79" s="45" t="n"/>
      <c r="Q79" s="45" t="n"/>
      <c r="R79" s="45" t="n"/>
      <c r="S79" s="46" t="n"/>
      <c r="T79" s="46" t="n"/>
      <c r="U79" s="46" t="n"/>
      <c r="V79" s="46" t="n"/>
      <c r="W79" s="46" t="n"/>
      <c r="X79" s="46" t="n"/>
      <c r="Y79" s="46" t="n"/>
      <c r="Z79" s="46" t="n"/>
      <c r="AA79" s="46" t="n"/>
      <c r="AB79" s="46" t="n"/>
      <c r="AC79" s="46" t="n"/>
      <c r="AD79" s="46" t="n"/>
      <c r="AE79" s="46" t="n"/>
      <c r="AF79" s="46" t="n"/>
      <c r="AG79" s="46" t="n"/>
      <c r="AH79" s="47" t="n"/>
      <c r="AI79" s="47" t="n"/>
      <c r="AJ79" s="47" t="n"/>
      <c r="AK79" s="47" t="n"/>
      <c r="AL79" s="47" t="n"/>
      <c r="AM79" s="47" t="n"/>
      <c r="AN79" s="47" t="n"/>
      <c r="AO79" s="47" t="n"/>
      <c r="AP79" s="47" t="n"/>
      <c r="AQ79" s="47" t="n"/>
      <c r="AR79" s="47" t="n"/>
      <c r="AS79" s="47" t="n"/>
      <c r="AT79" s="47" t="n"/>
      <c r="AU79" s="48" t="n"/>
      <c r="AV79" s="48" t="n"/>
      <c r="AW79" s="49">
        <f>IF($A79="","",IF($BW79&lt;&gt;"","FIX",IF($BX79&lt;&gt;"","CHECK","OK")))</f>
        <v/>
      </c>
      <c r="AX79" s="50">
        <f>IF($A79="","",IF($BW79&lt;&gt;"","FIX: "&amp;LEFT($BW79,LEN($BW79)-2)&amp;IF($BX79&lt;&gt;"","  ·  ",""),"")&amp;IF($BX79&lt;&gt;"","CHECK: "&amp;LEFT($BX79,LEN($BX79)-2),""))</f>
        <v/>
      </c>
      <c r="AY79" s="49">
        <f>IF(OR($A79="",$K79=""),"",$K79&amp;"'-"&amp;N($L79)&amp;CHAR(34)&amp;" x "&amp;$M79&amp;"'-"&amp;N($N79)&amp;CHAR(34))</f>
        <v/>
      </c>
      <c r="AZ79" s="49">
        <f>IF(OR($A79="",$K79=""),"",$K79&amp;N($L79)&amp;$M79&amp;N($N79))</f>
        <v/>
      </c>
      <c r="BA79" s="49">
        <f>IF(OR($A79="",$K79=""),"",$K79*12+N($L79))</f>
        <v/>
      </c>
      <c r="BB79" s="49">
        <f>IF(OR($A79="",$M79=""),"",$M79*12+N($N79))</f>
        <v/>
      </c>
      <c r="BC79" s="49">
        <f>IF($A79="","",IF(OR($C79="FRAME ONLY",$S79="BL"),0,IF($O79="Y",2,1)))</f>
        <v/>
      </c>
      <c r="BD79" s="51">
        <f>IF(OR(N($BC79)=0,$BA79=""),"",($BA79-2*EdgeClr-IF($BC79=2,MeetClr,0))/$BC79)</f>
        <v/>
      </c>
      <c r="BE79" s="51">
        <f>IF(OR(N($BC79)=0,$BB79=""),"",$BB79-HeadClr-Undercut)</f>
        <v/>
      </c>
      <c r="BF79" s="51">
        <f>IF($BA79="","",$BA79+2*FaceW+IF(N($Q79)&gt;0,($Q79+FaceW)*IF($R79="LR",2,1),0))</f>
        <v/>
      </c>
      <c r="BG79" s="51">
        <f>IF($BB79="","",$BB79+IF($AB79="Y",4,FaceW)+IF(N($P79)&gt;0,$P79+FaceW,0)+IF(OR($S79="4F",$S79="BL"),FaceW,0))</f>
        <v/>
      </c>
      <c r="BH79" s="51">
        <f>IF($BF79="","",$BF79+2*ROSide)</f>
        <v/>
      </c>
      <c r="BI79" s="51">
        <f>IF($BG79="","",$BG79+ROTop)</f>
        <v/>
      </c>
      <c r="BJ79" s="52">
        <f>IF(OR(N($BC79)=0,$BA79=""),"",$BA79/$BC79-ClearDeduct)</f>
        <v/>
      </c>
      <c r="BK79" s="49">
        <f>IF(OR(N($BC79)=0,$BE79=""),"",IF(OR($AC79="HGC",$AP79="HGC"),"CONT",IF($BE79&lt;=60,2,IF($BE79&lt;=90,3,IF($BE79&lt;=120,4,5)))))</f>
        <v/>
      </c>
      <c r="BL79" s="49">
        <f>IF(N($BC79)=0,"",IF(OR($AL79="",$AL79="FLUSH"),"FLUSH",IFERROR(LEFT($AL79,FIND("-",$AL79)-1),LEFT($AL79,2))))</f>
        <v/>
      </c>
      <c r="BM79" s="49">
        <f>IF($BL79="","",IFERROR(VALUE(MID($AL79,FIND("-",$AL79)+1,FIND(CHAR(34)&amp;"x",$AL79)-FIND("-",$AL79)-1)),0))</f>
        <v/>
      </c>
      <c r="BN79" s="49">
        <f>IF($BL79="","",IFERROR(VALUE(MID($AL79,FIND(CHAR(34)&amp;"x",$AL79)+2,FIND(CHAR(34),$AL79,FIND(CHAR(34)&amp;"x",$AL79)+2)-FIND(CHAR(34)&amp;"x",$AL79)-2)),0))</f>
        <v/>
      </c>
      <c r="BO79" s="53">
        <f>IF(OR($A79="",$H79="",$H79="NO LAB"),0,IFERROR(VALUE(LEFT($H79,FIND(" ",$H79)-1)),0))</f>
        <v/>
      </c>
      <c r="BP79" s="54">
        <f>IF(OR($A79="",$I79="",$I79="NON-RATED",N($J79)=0),"",IFERROR(VLOOKUP($I79&amp;"|"&amp;$J79,IBC,2,FALSE),"?"))</f>
        <v/>
      </c>
      <c r="BQ79" s="50">
        <f>IF(NOT(AND($A79&lt;&gt;"",$C79&lt;&gt;"DOOR ONLY")),"",TRIM(IFERROR(VLOOKUP($U79,CODES,2,FALSE),"")&amp;" "&amp;$AZ79&amp;" "&amp;IFERROR(VLOOKUP($Z79,CODES,2,FALSE),"")&amp;" "&amp;IFERROR(VLOOKUP($X79,CODES,2,FALSE),"")&amp;" "&amp;IFERROR(VLOOKUP($S79,CODES,2,FALSE),"")&amp;IF(N($P79)&gt;0," w/TRANSOM "&amp;$P79&amp;CHAR(34),"")&amp;IF(N($Q79)&gt;0," w/SIDELITE "&amp;$Q79&amp;CHAR(34)&amp;" "&amp;IF($R79="","R",$R79),"")&amp;IF($Y79="","  |  "," | "&amp;IFERROR(VLOOKUP($Y79,CODES,2,FALSE),"")&amp;" | ")&amp;IFERROR(VLOOKUP($AC79,CODES,2,FALSE),"")&amp;" "&amp;IFERROR(VLOOKUP($AD79,CODES,2,FALSE),"")&amp;IF(OR($AE79="",$AE79="-"),""," "&amp;$AE79)&amp;IF(OR($AF79="",$AF79="-"),""," "&amp;$AF79)&amp;IF($AB79="Y"," 4"&amp;CHAR(34)&amp;" HEAD","")&amp;" "&amp;IFERROR(VLOOKUP($H79,CODES,2,FALSE),"")))</f>
        <v/>
      </c>
      <c r="BR79" s="50">
        <f>IF(NOT(AND($A79&lt;&gt;"",N($BC79)&gt;0)),"",TRIM(IFERROR(VLOOKUP($AH79,CODES,2,FALSE),"")&amp;IF($AI79=""," "," "&amp;$AI79&amp;"GA ")&amp;$AZ79&amp;" "&amp;IF($AN79="",IFERROR(VLOOKUP($Z79,CODES,2,FALSE),""),IFERROR(VLOOKUP($AN79,CODES,2,FALSE),""))&amp;IF($BC79=2," PAIR","")&amp;" DOOR | "&amp;IF($AL79="","?",$AL79)&amp;" | "&amp;IF($AP79="",IFERROR(VLOOKUP($AC79,CODES,2,FALSE),""),IFERROR(VLOOKUP($AP79,CODES,2,FALSE),""))&amp;" "&amp;IFERROR(VLOOKUP($AQ79,CODES,2,FALSE),"")&amp;IF(OR($AR79="",$AR79="-"),""," SEAM "&amp;$AR79)&amp;IF($AS79="Y"," ASTRAGAL","")&amp;IF($AJ79=""," "," "&amp;$AJ79)&amp;IF($AK79=""," "," "&amp;$AK79)&amp;IF($AO79="",""," "&amp;$AO79)&amp;IF($AM79=""," "," SERIES "&amp;$AM79)&amp;" "&amp;IFERROR(VLOOKUP($H79,CODES,2,FALSE),"")))</f>
        <v/>
      </c>
      <c r="BS79" s="49">
        <f>IF(BV79="","",IF(COUNTIF($BV$6:BV79,BV79)=1,MAX($BS$5:BS78)+1,INDEX($BS$5:BS78,MATCH(BV79,$BV$5:BV78,0))))</f>
        <v/>
      </c>
      <c r="BT79" s="49">
        <f>IF(NOT(AND($A79&lt;&gt;"",$C79&lt;&gt;"DOOR ONLY")),"",MAX($BT$5:BT78)+1)</f>
        <v/>
      </c>
      <c r="BU79" s="49">
        <f>IF(NOT(AND($A79&lt;&gt;"",N($BC79)&gt;0)),"",MAX($BU$5:BU78)+1)</f>
        <v/>
      </c>
      <c r="BV79" s="49">
        <f>IF(OR($A79="",$BA79="",$BB79=""),"",$AZ79&amp;"|"&amp;$O79&amp;"|"&amp;$AL79&amp;"|"&amp;$S79&amp;"|"&amp;$P79&amp;"|"&amp;$Q79&amp;$R79&amp;"|"&amp;$C79&amp;"|"&amp;$AB79)</f>
        <v/>
      </c>
      <c r="BW79" s="49">
        <f>IF($A79="","",IF($B79="","qty, ","")&amp;IF($C79="","scope, ","")&amp;IF(OR($K79="",$M79=""),"size, ","")&amp;IF(AND($A79&lt;&gt;"",$C79&lt;&gt;"DOOR ONLY"),IF($U79="","jamb depth, ","")&amp;IF($X79="","construction, ","")&amp;IF($Y79="","anchor, ","")&amp;IF($S79="","frame type, ",""),"")&amp;IF(AND(N($BC79)&gt;0,$Z79=""),"hand, ","")&amp;IF(N($BC79)&gt;0,IF($AH79="","door material, ","")&amp;IF($AL79="","face type, ","")&amp;IF($AQ79="","lock prep, ","")&amp;IF(AND($AP79="",$AC79=""),"hinge prep, ",""),"")&amp;IF(AND($BO79&gt;0,$AH79="FRP"),"FRP cannot carry a label, ","")&amp;IF(AND($O79="Y",OR($Z79="L",$Z79="R",$Z79="LR",$Z79="RR")),"pair marked but hand is single, ","")&amp;IF(AND($O79&lt;&gt;"Y",OR($Z79="PR",AND(LEN($Z79)&gt;1,ISNUMBER(SEARCH("-",$Z79))))),"pair hand on a single door, ","")&amp;IF(AND(ISNUMBER($BP79),$BO79&lt;N($BP79)),"wall needs a "&amp;$BP79&amp;" min door, ","")&amp;IF(AND($BO79&gt;=180,AND(OR($BL79="FG",$BL79="HG",$BL79="FNV",$BL79="FV"),N($BM79)*N($BN79)&gt;100)),"180 min lite over 100 sq in, ","")&amp;IF(N($BD79)&gt;48,"leaf wider than 4'-0"&amp;CHAR(34)&amp;", ",""))</f>
        <v/>
      </c>
      <c r="BX79" s="49">
        <f>IF($A79="","",IF(AND($BO79&gt;0,AND($A79&lt;&gt;"",$C79&lt;&gt;"DOOR ONLY"),$X79="KD",$E79="EXTERIOR"),"KD label on an exterior opening, ","")&amp;IF(AND($E79="EXTERIOR",OR(AND(AND($A79&lt;&gt;"",$C79&lt;&gt;"DOOR ONLY"),$W79="CR"),AND(N($BC79)&gt;0,$AH79="CR"))),"exterior in CR steel (G9?), ","")&amp;IF(AND(ISNUMBER($BJ79),N($BJ79)&lt;32),"clear width ~"&amp;TEXT($BJ79,"0.0")&amp;CHAR(34)&amp;" under 32"&amp;CHAR(34)&amp;" (ADA), ","")&amp;IF(AND($BO79=90,AND(OR($BL79="FG",$BL79="HG",$BL79="FNV",$BL79="FV"),N($BM79)*N($BN79)&gt;100)),"90 min lite over 100 sq in (stair/exit), ","")&amp;IF(AND($BO79&gt;0,AND($A79&lt;&gt;"",$C79&lt;&gt;"DOOR ONLY"),OR($AF79="",$AF79="-")),"rated: closer reinf.?, ","")&amp;IF(OR($I79="CORRIDOR",$I79="SMOKE BARRIER"),"S label + smoke gasketing, ","")&amp;IF($BP79="?","wall type/hr not in IBC table, ","")&amp;IF(AND(N($BC79)&gt;0,$AU79=""),"no hardware set, ","")&amp;IF(AND($AU79&lt;&gt;"",ISNA(MATCH($AU79,HWSets,0))),"set "&amp;$AU79&amp;" not on Hardware sheet, ","")&amp;IF(N($BE79)&gt;96,"leaf over 8'-0"&amp;CHAR(34)&amp;" - check listing, ",""))</f>
        <v/>
      </c>
    </row>
    <row r="80" ht="15" customHeight="1">
      <c r="A80" s="44" t="n"/>
      <c r="B80" s="45" t="n"/>
      <c r="C80" s="45" t="n"/>
      <c r="D80" s="45" t="n"/>
      <c r="E80" s="45" t="n"/>
      <c r="F80" s="45" t="n"/>
      <c r="G80" s="45" t="n"/>
      <c r="H80" s="45" t="n"/>
      <c r="I80" s="45" t="n"/>
      <c r="J80" s="45" t="n"/>
      <c r="K80" s="45" t="n"/>
      <c r="L80" s="45" t="n"/>
      <c r="M80" s="45" t="n"/>
      <c r="N80" s="45" t="n"/>
      <c r="O80" s="45" t="n"/>
      <c r="P80" s="45" t="n"/>
      <c r="Q80" s="45" t="n"/>
      <c r="R80" s="45" t="n"/>
      <c r="S80" s="46" t="n"/>
      <c r="T80" s="46" t="n"/>
      <c r="U80" s="46" t="n"/>
      <c r="V80" s="46" t="n"/>
      <c r="W80" s="46" t="n"/>
      <c r="X80" s="46" t="n"/>
      <c r="Y80" s="46" t="n"/>
      <c r="Z80" s="46" t="n"/>
      <c r="AA80" s="46" t="n"/>
      <c r="AB80" s="46" t="n"/>
      <c r="AC80" s="46" t="n"/>
      <c r="AD80" s="46" t="n"/>
      <c r="AE80" s="46" t="n"/>
      <c r="AF80" s="46" t="n"/>
      <c r="AG80" s="46" t="n"/>
      <c r="AH80" s="47" t="n"/>
      <c r="AI80" s="47" t="n"/>
      <c r="AJ80" s="47" t="n"/>
      <c r="AK80" s="47" t="n"/>
      <c r="AL80" s="47" t="n"/>
      <c r="AM80" s="47" t="n"/>
      <c r="AN80" s="47" t="n"/>
      <c r="AO80" s="47" t="n"/>
      <c r="AP80" s="47" t="n"/>
      <c r="AQ80" s="47" t="n"/>
      <c r="AR80" s="47" t="n"/>
      <c r="AS80" s="47" t="n"/>
      <c r="AT80" s="47" t="n"/>
      <c r="AU80" s="48" t="n"/>
      <c r="AV80" s="48" t="n"/>
      <c r="AW80" s="49">
        <f>IF($A80="","",IF($BW80&lt;&gt;"","FIX",IF($BX80&lt;&gt;"","CHECK","OK")))</f>
        <v/>
      </c>
      <c r="AX80" s="50">
        <f>IF($A80="","",IF($BW80&lt;&gt;"","FIX: "&amp;LEFT($BW80,LEN($BW80)-2)&amp;IF($BX80&lt;&gt;"","  ·  ",""),"")&amp;IF($BX80&lt;&gt;"","CHECK: "&amp;LEFT($BX80,LEN($BX80)-2),""))</f>
        <v/>
      </c>
      <c r="AY80" s="49">
        <f>IF(OR($A80="",$K80=""),"",$K80&amp;"'-"&amp;N($L80)&amp;CHAR(34)&amp;" x "&amp;$M80&amp;"'-"&amp;N($N80)&amp;CHAR(34))</f>
        <v/>
      </c>
      <c r="AZ80" s="49">
        <f>IF(OR($A80="",$K80=""),"",$K80&amp;N($L80)&amp;$M80&amp;N($N80))</f>
        <v/>
      </c>
      <c r="BA80" s="49">
        <f>IF(OR($A80="",$K80=""),"",$K80*12+N($L80))</f>
        <v/>
      </c>
      <c r="BB80" s="49">
        <f>IF(OR($A80="",$M80=""),"",$M80*12+N($N80))</f>
        <v/>
      </c>
      <c r="BC80" s="49">
        <f>IF($A80="","",IF(OR($C80="FRAME ONLY",$S80="BL"),0,IF($O80="Y",2,1)))</f>
        <v/>
      </c>
      <c r="BD80" s="51">
        <f>IF(OR(N($BC80)=0,$BA80=""),"",($BA80-2*EdgeClr-IF($BC80=2,MeetClr,0))/$BC80)</f>
        <v/>
      </c>
      <c r="BE80" s="51">
        <f>IF(OR(N($BC80)=0,$BB80=""),"",$BB80-HeadClr-Undercut)</f>
        <v/>
      </c>
      <c r="BF80" s="51">
        <f>IF($BA80="","",$BA80+2*FaceW+IF(N($Q80)&gt;0,($Q80+FaceW)*IF($R80="LR",2,1),0))</f>
        <v/>
      </c>
      <c r="BG80" s="51">
        <f>IF($BB80="","",$BB80+IF($AB80="Y",4,FaceW)+IF(N($P80)&gt;0,$P80+FaceW,0)+IF(OR($S80="4F",$S80="BL"),FaceW,0))</f>
        <v/>
      </c>
      <c r="BH80" s="51">
        <f>IF($BF80="","",$BF80+2*ROSide)</f>
        <v/>
      </c>
      <c r="BI80" s="51">
        <f>IF($BG80="","",$BG80+ROTop)</f>
        <v/>
      </c>
      <c r="BJ80" s="52">
        <f>IF(OR(N($BC80)=0,$BA80=""),"",$BA80/$BC80-ClearDeduct)</f>
        <v/>
      </c>
      <c r="BK80" s="49">
        <f>IF(OR(N($BC80)=0,$BE80=""),"",IF(OR($AC80="HGC",$AP80="HGC"),"CONT",IF($BE80&lt;=60,2,IF($BE80&lt;=90,3,IF($BE80&lt;=120,4,5)))))</f>
        <v/>
      </c>
      <c r="BL80" s="49">
        <f>IF(N($BC80)=0,"",IF(OR($AL80="",$AL80="FLUSH"),"FLUSH",IFERROR(LEFT($AL80,FIND("-",$AL80)-1),LEFT($AL80,2))))</f>
        <v/>
      </c>
      <c r="BM80" s="49">
        <f>IF($BL80="","",IFERROR(VALUE(MID($AL80,FIND("-",$AL80)+1,FIND(CHAR(34)&amp;"x",$AL80)-FIND("-",$AL80)-1)),0))</f>
        <v/>
      </c>
      <c r="BN80" s="49">
        <f>IF($BL80="","",IFERROR(VALUE(MID($AL80,FIND(CHAR(34)&amp;"x",$AL80)+2,FIND(CHAR(34),$AL80,FIND(CHAR(34)&amp;"x",$AL80)+2)-FIND(CHAR(34)&amp;"x",$AL80)-2)),0))</f>
        <v/>
      </c>
      <c r="BO80" s="53">
        <f>IF(OR($A80="",$H80="",$H80="NO LAB"),0,IFERROR(VALUE(LEFT($H80,FIND(" ",$H80)-1)),0))</f>
        <v/>
      </c>
      <c r="BP80" s="54">
        <f>IF(OR($A80="",$I80="",$I80="NON-RATED",N($J80)=0),"",IFERROR(VLOOKUP($I80&amp;"|"&amp;$J80,IBC,2,FALSE),"?"))</f>
        <v/>
      </c>
      <c r="BQ80" s="50">
        <f>IF(NOT(AND($A80&lt;&gt;"",$C80&lt;&gt;"DOOR ONLY")),"",TRIM(IFERROR(VLOOKUP($U80,CODES,2,FALSE),"")&amp;" "&amp;$AZ80&amp;" "&amp;IFERROR(VLOOKUP($Z80,CODES,2,FALSE),"")&amp;" "&amp;IFERROR(VLOOKUP($X80,CODES,2,FALSE),"")&amp;" "&amp;IFERROR(VLOOKUP($S80,CODES,2,FALSE),"")&amp;IF(N($P80)&gt;0," w/TRANSOM "&amp;$P80&amp;CHAR(34),"")&amp;IF(N($Q80)&gt;0," w/SIDELITE "&amp;$Q80&amp;CHAR(34)&amp;" "&amp;IF($R80="","R",$R80),"")&amp;IF($Y80="","  |  "," | "&amp;IFERROR(VLOOKUP($Y80,CODES,2,FALSE),"")&amp;" | ")&amp;IFERROR(VLOOKUP($AC80,CODES,2,FALSE),"")&amp;" "&amp;IFERROR(VLOOKUP($AD80,CODES,2,FALSE),"")&amp;IF(OR($AE80="",$AE80="-"),""," "&amp;$AE80)&amp;IF(OR($AF80="",$AF80="-"),""," "&amp;$AF80)&amp;IF($AB80="Y"," 4"&amp;CHAR(34)&amp;" HEAD","")&amp;" "&amp;IFERROR(VLOOKUP($H80,CODES,2,FALSE),"")))</f>
        <v/>
      </c>
      <c r="BR80" s="50">
        <f>IF(NOT(AND($A80&lt;&gt;"",N($BC80)&gt;0)),"",TRIM(IFERROR(VLOOKUP($AH80,CODES,2,FALSE),"")&amp;IF($AI80=""," "," "&amp;$AI80&amp;"GA ")&amp;$AZ80&amp;" "&amp;IF($AN80="",IFERROR(VLOOKUP($Z80,CODES,2,FALSE),""),IFERROR(VLOOKUP($AN80,CODES,2,FALSE),""))&amp;IF($BC80=2," PAIR","")&amp;" DOOR | "&amp;IF($AL80="","?",$AL80)&amp;" | "&amp;IF($AP80="",IFERROR(VLOOKUP($AC80,CODES,2,FALSE),""),IFERROR(VLOOKUP($AP80,CODES,2,FALSE),""))&amp;" "&amp;IFERROR(VLOOKUP($AQ80,CODES,2,FALSE),"")&amp;IF(OR($AR80="",$AR80="-"),""," SEAM "&amp;$AR80)&amp;IF($AS80="Y"," ASTRAGAL","")&amp;IF($AJ80=""," "," "&amp;$AJ80)&amp;IF($AK80=""," "," "&amp;$AK80)&amp;IF($AO80="",""," "&amp;$AO80)&amp;IF($AM80=""," "," SERIES "&amp;$AM80)&amp;" "&amp;IFERROR(VLOOKUP($H80,CODES,2,FALSE),"")))</f>
        <v/>
      </c>
      <c r="BS80" s="49">
        <f>IF(BV80="","",IF(COUNTIF($BV$6:BV80,BV80)=1,MAX($BS$5:BS79)+1,INDEX($BS$5:BS79,MATCH(BV80,$BV$5:BV79,0))))</f>
        <v/>
      </c>
      <c r="BT80" s="49">
        <f>IF(NOT(AND($A80&lt;&gt;"",$C80&lt;&gt;"DOOR ONLY")),"",MAX($BT$5:BT79)+1)</f>
        <v/>
      </c>
      <c r="BU80" s="49">
        <f>IF(NOT(AND($A80&lt;&gt;"",N($BC80)&gt;0)),"",MAX($BU$5:BU79)+1)</f>
        <v/>
      </c>
      <c r="BV80" s="49">
        <f>IF(OR($A80="",$BA80="",$BB80=""),"",$AZ80&amp;"|"&amp;$O80&amp;"|"&amp;$AL80&amp;"|"&amp;$S80&amp;"|"&amp;$P80&amp;"|"&amp;$Q80&amp;$R80&amp;"|"&amp;$C80&amp;"|"&amp;$AB80)</f>
        <v/>
      </c>
      <c r="BW80" s="49">
        <f>IF($A80="","",IF($B80="","qty, ","")&amp;IF($C80="","scope, ","")&amp;IF(OR($K80="",$M80=""),"size, ","")&amp;IF(AND($A80&lt;&gt;"",$C80&lt;&gt;"DOOR ONLY"),IF($U80="","jamb depth, ","")&amp;IF($X80="","construction, ","")&amp;IF($Y80="","anchor, ","")&amp;IF($S80="","frame type, ",""),"")&amp;IF(AND(N($BC80)&gt;0,$Z80=""),"hand, ","")&amp;IF(N($BC80)&gt;0,IF($AH80="","door material, ","")&amp;IF($AL80="","face type, ","")&amp;IF($AQ80="","lock prep, ","")&amp;IF(AND($AP80="",$AC80=""),"hinge prep, ",""),"")&amp;IF(AND($BO80&gt;0,$AH80="FRP"),"FRP cannot carry a label, ","")&amp;IF(AND($O80="Y",OR($Z80="L",$Z80="R",$Z80="LR",$Z80="RR")),"pair marked but hand is single, ","")&amp;IF(AND($O80&lt;&gt;"Y",OR($Z80="PR",AND(LEN($Z80)&gt;1,ISNUMBER(SEARCH("-",$Z80))))),"pair hand on a single door, ","")&amp;IF(AND(ISNUMBER($BP80),$BO80&lt;N($BP80)),"wall needs a "&amp;$BP80&amp;" min door, ","")&amp;IF(AND($BO80&gt;=180,AND(OR($BL80="FG",$BL80="HG",$BL80="FNV",$BL80="FV"),N($BM80)*N($BN80)&gt;100)),"180 min lite over 100 sq in, ","")&amp;IF(N($BD80)&gt;48,"leaf wider than 4'-0"&amp;CHAR(34)&amp;", ",""))</f>
        <v/>
      </c>
      <c r="BX80" s="49">
        <f>IF($A80="","",IF(AND($BO80&gt;0,AND($A80&lt;&gt;"",$C80&lt;&gt;"DOOR ONLY"),$X80="KD",$E80="EXTERIOR"),"KD label on an exterior opening, ","")&amp;IF(AND($E80="EXTERIOR",OR(AND(AND($A80&lt;&gt;"",$C80&lt;&gt;"DOOR ONLY"),$W80="CR"),AND(N($BC80)&gt;0,$AH80="CR"))),"exterior in CR steel (G9?), ","")&amp;IF(AND(ISNUMBER($BJ80),N($BJ80)&lt;32),"clear width ~"&amp;TEXT($BJ80,"0.0")&amp;CHAR(34)&amp;" under 32"&amp;CHAR(34)&amp;" (ADA), ","")&amp;IF(AND($BO80=90,AND(OR($BL80="FG",$BL80="HG",$BL80="FNV",$BL80="FV"),N($BM80)*N($BN80)&gt;100)),"90 min lite over 100 sq in (stair/exit), ","")&amp;IF(AND($BO80&gt;0,AND($A80&lt;&gt;"",$C80&lt;&gt;"DOOR ONLY"),OR($AF80="",$AF80="-")),"rated: closer reinf.?, ","")&amp;IF(OR($I80="CORRIDOR",$I80="SMOKE BARRIER"),"S label + smoke gasketing, ","")&amp;IF($BP80="?","wall type/hr not in IBC table, ","")&amp;IF(AND(N($BC80)&gt;0,$AU80=""),"no hardware set, ","")&amp;IF(AND($AU80&lt;&gt;"",ISNA(MATCH($AU80,HWSets,0))),"set "&amp;$AU80&amp;" not on Hardware sheet, ","")&amp;IF(N($BE80)&gt;96,"leaf over 8'-0"&amp;CHAR(34)&amp;" - check listing, ",""))</f>
        <v/>
      </c>
    </row>
    <row r="81" ht="15" customHeight="1">
      <c r="A81" s="44" t="n"/>
      <c r="B81" s="45" t="n"/>
      <c r="C81" s="45" t="n"/>
      <c r="D81" s="45" t="n"/>
      <c r="E81" s="45" t="n"/>
      <c r="F81" s="45" t="n"/>
      <c r="G81" s="45" t="n"/>
      <c r="H81" s="45" t="n"/>
      <c r="I81" s="45" t="n"/>
      <c r="J81" s="45" t="n"/>
      <c r="K81" s="45" t="n"/>
      <c r="L81" s="45" t="n"/>
      <c r="M81" s="45" t="n"/>
      <c r="N81" s="45" t="n"/>
      <c r="O81" s="45" t="n"/>
      <c r="P81" s="45" t="n"/>
      <c r="Q81" s="45" t="n"/>
      <c r="R81" s="45" t="n"/>
      <c r="S81" s="46" t="n"/>
      <c r="T81" s="46" t="n"/>
      <c r="U81" s="46" t="n"/>
      <c r="V81" s="46" t="n"/>
      <c r="W81" s="46" t="n"/>
      <c r="X81" s="46" t="n"/>
      <c r="Y81" s="46" t="n"/>
      <c r="Z81" s="46" t="n"/>
      <c r="AA81" s="46" t="n"/>
      <c r="AB81" s="46" t="n"/>
      <c r="AC81" s="46" t="n"/>
      <c r="AD81" s="46" t="n"/>
      <c r="AE81" s="46" t="n"/>
      <c r="AF81" s="46" t="n"/>
      <c r="AG81" s="46" t="n"/>
      <c r="AH81" s="47" t="n"/>
      <c r="AI81" s="47" t="n"/>
      <c r="AJ81" s="47" t="n"/>
      <c r="AK81" s="47" t="n"/>
      <c r="AL81" s="47" t="n"/>
      <c r="AM81" s="47" t="n"/>
      <c r="AN81" s="47" t="n"/>
      <c r="AO81" s="47" t="n"/>
      <c r="AP81" s="47" t="n"/>
      <c r="AQ81" s="47" t="n"/>
      <c r="AR81" s="47" t="n"/>
      <c r="AS81" s="47" t="n"/>
      <c r="AT81" s="47" t="n"/>
      <c r="AU81" s="48" t="n"/>
      <c r="AV81" s="48" t="n"/>
      <c r="AW81" s="49">
        <f>IF($A81="","",IF($BW81&lt;&gt;"","FIX",IF($BX81&lt;&gt;"","CHECK","OK")))</f>
        <v/>
      </c>
      <c r="AX81" s="50">
        <f>IF($A81="","",IF($BW81&lt;&gt;"","FIX: "&amp;LEFT($BW81,LEN($BW81)-2)&amp;IF($BX81&lt;&gt;"","  ·  ",""),"")&amp;IF($BX81&lt;&gt;"","CHECK: "&amp;LEFT($BX81,LEN($BX81)-2),""))</f>
        <v/>
      </c>
      <c r="AY81" s="49">
        <f>IF(OR($A81="",$K81=""),"",$K81&amp;"'-"&amp;N($L81)&amp;CHAR(34)&amp;" x "&amp;$M81&amp;"'-"&amp;N($N81)&amp;CHAR(34))</f>
        <v/>
      </c>
      <c r="AZ81" s="49">
        <f>IF(OR($A81="",$K81=""),"",$K81&amp;N($L81)&amp;$M81&amp;N($N81))</f>
        <v/>
      </c>
      <c r="BA81" s="49">
        <f>IF(OR($A81="",$K81=""),"",$K81*12+N($L81))</f>
        <v/>
      </c>
      <c r="BB81" s="49">
        <f>IF(OR($A81="",$M81=""),"",$M81*12+N($N81))</f>
        <v/>
      </c>
      <c r="BC81" s="49">
        <f>IF($A81="","",IF(OR($C81="FRAME ONLY",$S81="BL"),0,IF($O81="Y",2,1)))</f>
        <v/>
      </c>
      <c r="BD81" s="51">
        <f>IF(OR(N($BC81)=0,$BA81=""),"",($BA81-2*EdgeClr-IF($BC81=2,MeetClr,0))/$BC81)</f>
        <v/>
      </c>
      <c r="BE81" s="51">
        <f>IF(OR(N($BC81)=0,$BB81=""),"",$BB81-HeadClr-Undercut)</f>
        <v/>
      </c>
      <c r="BF81" s="51">
        <f>IF($BA81="","",$BA81+2*FaceW+IF(N($Q81)&gt;0,($Q81+FaceW)*IF($R81="LR",2,1),0))</f>
        <v/>
      </c>
      <c r="BG81" s="51">
        <f>IF($BB81="","",$BB81+IF($AB81="Y",4,FaceW)+IF(N($P81)&gt;0,$P81+FaceW,0)+IF(OR($S81="4F",$S81="BL"),FaceW,0))</f>
        <v/>
      </c>
      <c r="BH81" s="51">
        <f>IF($BF81="","",$BF81+2*ROSide)</f>
        <v/>
      </c>
      <c r="BI81" s="51">
        <f>IF($BG81="","",$BG81+ROTop)</f>
        <v/>
      </c>
      <c r="BJ81" s="52">
        <f>IF(OR(N($BC81)=0,$BA81=""),"",$BA81/$BC81-ClearDeduct)</f>
        <v/>
      </c>
      <c r="BK81" s="49">
        <f>IF(OR(N($BC81)=0,$BE81=""),"",IF(OR($AC81="HGC",$AP81="HGC"),"CONT",IF($BE81&lt;=60,2,IF($BE81&lt;=90,3,IF($BE81&lt;=120,4,5)))))</f>
        <v/>
      </c>
      <c r="BL81" s="49">
        <f>IF(N($BC81)=0,"",IF(OR($AL81="",$AL81="FLUSH"),"FLUSH",IFERROR(LEFT($AL81,FIND("-",$AL81)-1),LEFT($AL81,2))))</f>
        <v/>
      </c>
      <c r="BM81" s="49">
        <f>IF($BL81="","",IFERROR(VALUE(MID($AL81,FIND("-",$AL81)+1,FIND(CHAR(34)&amp;"x",$AL81)-FIND("-",$AL81)-1)),0))</f>
        <v/>
      </c>
      <c r="BN81" s="49">
        <f>IF($BL81="","",IFERROR(VALUE(MID($AL81,FIND(CHAR(34)&amp;"x",$AL81)+2,FIND(CHAR(34),$AL81,FIND(CHAR(34)&amp;"x",$AL81)+2)-FIND(CHAR(34)&amp;"x",$AL81)-2)),0))</f>
        <v/>
      </c>
      <c r="BO81" s="53">
        <f>IF(OR($A81="",$H81="",$H81="NO LAB"),0,IFERROR(VALUE(LEFT($H81,FIND(" ",$H81)-1)),0))</f>
        <v/>
      </c>
      <c r="BP81" s="54">
        <f>IF(OR($A81="",$I81="",$I81="NON-RATED",N($J81)=0),"",IFERROR(VLOOKUP($I81&amp;"|"&amp;$J81,IBC,2,FALSE),"?"))</f>
        <v/>
      </c>
      <c r="BQ81" s="50">
        <f>IF(NOT(AND($A81&lt;&gt;"",$C81&lt;&gt;"DOOR ONLY")),"",TRIM(IFERROR(VLOOKUP($U81,CODES,2,FALSE),"")&amp;" "&amp;$AZ81&amp;" "&amp;IFERROR(VLOOKUP($Z81,CODES,2,FALSE),"")&amp;" "&amp;IFERROR(VLOOKUP($X81,CODES,2,FALSE),"")&amp;" "&amp;IFERROR(VLOOKUP($S81,CODES,2,FALSE),"")&amp;IF(N($P81)&gt;0," w/TRANSOM "&amp;$P81&amp;CHAR(34),"")&amp;IF(N($Q81)&gt;0," w/SIDELITE "&amp;$Q81&amp;CHAR(34)&amp;" "&amp;IF($R81="","R",$R81),"")&amp;IF($Y81="","  |  "," | "&amp;IFERROR(VLOOKUP($Y81,CODES,2,FALSE),"")&amp;" | ")&amp;IFERROR(VLOOKUP($AC81,CODES,2,FALSE),"")&amp;" "&amp;IFERROR(VLOOKUP($AD81,CODES,2,FALSE),"")&amp;IF(OR($AE81="",$AE81="-"),""," "&amp;$AE81)&amp;IF(OR($AF81="",$AF81="-"),""," "&amp;$AF81)&amp;IF($AB81="Y"," 4"&amp;CHAR(34)&amp;" HEAD","")&amp;" "&amp;IFERROR(VLOOKUP($H81,CODES,2,FALSE),"")))</f>
        <v/>
      </c>
      <c r="BR81" s="50">
        <f>IF(NOT(AND($A81&lt;&gt;"",N($BC81)&gt;0)),"",TRIM(IFERROR(VLOOKUP($AH81,CODES,2,FALSE),"")&amp;IF($AI81=""," "," "&amp;$AI81&amp;"GA ")&amp;$AZ81&amp;" "&amp;IF($AN81="",IFERROR(VLOOKUP($Z81,CODES,2,FALSE),""),IFERROR(VLOOKUP($AN81,CODES,2,FALSE),""))&amp;IF($BC81=2," PAIR","")&amp;" DOOR | "&amp;IF($AL81="","?",$AL81)&amp;" | "&amp;IF($AP81="",IFERROR(VLOOKUP($AC81,CODES,2,FALSE),""),IFERROR(VLOOKUP($AP81,CODES,2,FALSE),""))&amp;" "&amp;IFERROR(VLOOKUP($AQ81,CODES,2,FALSE),"")&amp;IF(OR($AR81="",$AR81="-"),""," SEAM "&amp;$AR81)&amp;IF($AS81="Y"," ASTRAGAL","")&amp;IF($AJ81=""," "," "&amp;$AJ81)&amp;IF($AK81=""," "," "&amp;$AK81)&amp;IF($AO81="",""," "&amp;$AO81)&amp;IF($AM81=""," "," SERIES "&amp;$AM81)&amp;" "&amp;IFERROR(VLOOKUP($H81,CODES,2,FALSE),"")))</f>
        <v/>
      </c>
      <c r="BS81" s="49">
        <f>IF(BV81="","",IF(COUNTIF($BV$6:BV81,BV81)=1,MAX($BS$5:BS80)+1,INDEX($BS$5:BS80,MATCH(BV81,$BV$5:BV80,0))))</f>
        <v/>
      </c>
      <c r="BT81" s="49">
        <f>IF(NOT(AND($A81&lt;&gt;"",$C81&lt;&gt;"DOOR ONLY")),"",MAX($BT$5:BT80)+1)</f>
        <v/>
      </c>
      <c r="BU81" s="49">
        <f>IF(NOT(AND($A81&lt;&gt;"",N($BC81)&gt;0)),"",MAX($BU$5:BU80)+1)</f>
        <v/>
      </c>
      <c r="BV81" s="49">
        <f>IF(OR($A81="",$BA81="",$BB81=""),"",$AZ81&amp;"|"&amp;$O81&amp;"|"&amp;$AL81&amp;"|"&amp;$S81&amp;"|"&amp;$P81&amp;"|"&amp;$Q81&amp;$R81&amp;"|"&amp;$C81&amp;"|"&amp;$AB81)</f>
        <v/>
      </c>
      <c r="BW81" s="49">
        <f>IF($A81="","",IF($B81="","qty, ","")&amp;IF($C81="","scope, ","")&amp;IF(OR($K81="",$M81=""),"size, ","")&amp;IF(AND($A81&lt;&gt;"",$C81&lt;&gt;"DOOR ONLY"),IF($U81="","jamb depth, ","")&amp;IF($X81="","construction, ","")&amp;IF($Y81="","anchor, ","")&amp;IF($S81="","frame type, ",""),"")&amp;IF(AND(N($BC81)&gt;0,$Z81=""),"hand, ","")&amp;IF(N($BC81)&gt;0,IF($AH81="","door material, ","")&amp;IF($AL81="","face type, ","")&amp;IF($AQ81="","lock prep, ","")&amp;IF(AND($AP81="",$AC81=""),"hinge prep, ",""),"")&amp;IF(AND($BO81&gt;0,$AH81="FRP"),"FRP cannot carry a label, ","")&amp;IF(AND($O81="Y",OR($Z81="L",$Z81="R",$Z81="LR",$Z81="RR")),"pair marked but hand is single, ","")&amp;IF(AND($O81&lt;&gt;"Y",OR($Z81="PR",AND(LEN($Z81)&gt;1,ISNUMBER(SEARCH("-",$Z81))))),"pair hand on a single door, ","")&amp;IF(AND(ISNUMBER($BP81),$BO81&lt;N($BP81)),"wall needs a "&amp;$BP81&amp;" min door, ","")&amp;IF(AND($BO81&gt;=180,AND(OR($BL81="FG",$BL81="HG",$BL81="FNV",$BL81="FV"),N($BM81)*N($BN81)&gt;100)),"180 min lite over 100 sq in, ","")&amp;IF(N($BD81)&gt;48,"leaf wider than 4'-0"&amp;CHAR(34)&amp;", ",""))</f>
        <v/>
      </c>
      <c r="BX81" s="49">
        <f>IF($A81="","",IF(AND($BO81&gt;0,AND($A81&lt;&gt;"",$C81&lt;&gt;"DOOR ONLY"),$X81="KD",$E81="EXTERIOR"),"KD label on an exterior opening, ","")&amp;IF(AND($E81="EXTERIOR",OR(AND(AND($A81&lt;&gt;"",$C81&lt;&gt;"DOOR ONLY"),$W81="CR"),AND(N($BC81)&gt;0,$AH81="CR"))),"exterior in CR steel (G9?), ","")&amp;IF(AND(ISNUMBER($BJ81),N($BJ81)&lt;32),"clear width ~"&amp;TEXT($BJ81,"0.0")&amp;CHAR(34)&amp;" under 32"&amp;CHAR(34)&amp;" (ADA), ","")&amp;IF(AND($BO81=90,AND(OR($BL81="FG",$BL81="HG",$BL81="FNV",$BL81="FV"),N($BM81)*N($BN81)&gt;100)),"90 min lite over 100 sq in (stair/exit), ","")&amp;IF(AND($BO81&gt;0,AND($A81&lt;&gt;"",$C81&lt;&gt;"DOOR ONLY"),OR($AF81="",$AF81="-")),"rated: closer reinf.?, ","")&amp;IF(OR($I81="CORRIDOR",$I81="SMOKE BARRIER"),"S label + smoke gasketing, ","")&amp;IF($BP81="?","wall type/hr not in IBC table, ","")&amp;IF(AND(N($BC81)&gt;0,$AU81=""),"no hardware set, ","")&amp;IF(AND($AU81&lt;&gt;"",ISNA(MATCH($AU81,HWSets,0))),"set "&amp;$AU81&amp;" not on Hardware sheet, ","")&amp;IF(N($BE81)&gt;96,"leaf over 8'-0"&amp;CHAR(34)&amp;" - check listing, ",""))</f>
        <v/>
      </c>
    </row>
    <row r="82" ht="15" customHeight="1">
      <c r="A82" s="44" t="n"/>
      <c r="B82" s="45" t="n"/>
      <c r="C82" s="45" t="n"/>
      <c r="D82" s="45" t="n"/>
      <c r="E82" s="45" t="n"/>
      <c r="F82" s="45" t="n"/>
      <c r="G82" s="45" t="n"/>
      <c r="H82" s="45" t="n"/>
      <c r="I82" s="45" t="n"/>
      <c r="J82" s="45" t="n"/>
      <c r="K82" s="45" t="n"/>
      <c r="L82" s="45" t="n"/>
      <c r="M82" s="45" t="n"/>
      <c r="N82" s="45" t="n"/>
      <c r="O82" s="45" t="n"/>
      <c r="P82" s="45" t="n"/>
      <c r="Q82" s="45" t="n"/>
      <c r="R82" s="45" t="n"/>
      <c r="S82" s="46" t="n"/>
      <c r="T82" s="46" t="n"/>
      <c r="U82" s="46" t="n"/>
      <c r="V82" s="46" t="n"/>
      <c r="W82" s="46" t="n"/>
      <c r="X82" s="46" t="n"/>
      <c r="Y82" s="46" t="n"/>
      <c r="Z82" s="46" t="n"/>
      <c r="AA82" s="46" t="n"/>
      <c r="AB82" s="46" t="n"/>
      <c r="AC82" s="46" t="n"/>
      <c r="AD82" s="46" t="n"/>
      <c r="AE82" s="46" t="n"/>
      <c r="AF82" s="46" t="n"/>
      <c r="AG82" s="46" t="n"/>
      <c r="AH82" s="47" t="n"/>
      <c r="AI82" s="47" t="n"/>
      <c r="AJ82" s="47" t="n"/>
      <c r="AK82" s="47" t="n"/>
      <c r="AL82" s="47" t="n"/>
      <c r="AM82" s="47" t="n"/>
      <c r="AN82" s="47" t="n"/>
      <c r="AO82" s="47" t="n"/>
      <c r="AP82" s="47" t="n"/>
      <c r="AQ82" s="47" t="n"/>
      <c r="AR82" s="47" t="n"/>
      <c r="AS82" s="47" t="n"/>
      <c r="AT82" s="47" t="n"/>
      <c r="AU82" s="48" t="n"/>
      <c r="AV82" s="48" t="n"/>
      <c r="AW82" s="49">
        <f>IF($A82="","",IF($BW82&lt;&gt;"","FIX",IF($BX82&lt;&gt;"","CHECK","OK")))</f>
        <v/>
      </c>
      <c r="AX82" s="50">
        <f>IF($A82="","",IF($BW82&lt;&gt;"","FIX: "&amp;LEFT($BW82,LEN($BW82)-2)&amp;IF($BX82&lt;&gt;"","  ·  ",""),"")&amp;IF($BX82&lt;&gt;"","CHECK: "&amp;LEFT($BX82,LEN($BX82)-2),""))</f>
        <v/>
      </c>
      <c r="AY82" s="49">
        <f>IF(OR($A82="",$K82=""),"",$K82&amp;"'-"&amp;N($L82)&amp;CHAR(34)&amp;" x "&amp;$M82&amp;"'-"&amp;N($N82)&amp;CHAR(34))</f>
        <v/>
      </c>
      <c r="AZ82" s="49">
        <f>IF(OR($A82="",$K82=""),"",$K82&amp;N($L82)&amp;$M82&amp;N($N82))</f>
        <v/>
      </c>
      <c r="BA82" s="49">
        <f>IF(OR($A82="",$K82=""),"",$K82*12+N($L82))</f>
        <v/>
      </c>
      <c r="BB82" s="49">
        <f>IF(OR($A82="",$M82=""),"",$M82*12+N($N82))</f>
        <v/>
      </c>
      <c r="BC82" s="49">
        <f>IF($A82="","",IF(OR($C82="FRAME ONLY",$S82="BL"),0,IF($O82="Y",2,1)))</f>
        <v/>
      </c>
      <c r="BD82" s="51">
        <f>IF(OR(N($BC82)=0,$BA82=""),"",($BA82-2*EdgeClr-IF($BC82=2,MeetClr,0))/$BC82)</f>
        <v/>
      </c>
      <c r="BE82" s="51">
        <f>IF(OR(N($BC82)=0,$BB82=""),"",$BB82-HeadClr-Undercut)</f>
        <v/>
      </c>
      <c r="BF82" s="51">
        <f>IF($BA82="","",$BA82+2*FaceW+IF(N($Q82)&gt;0,($Q82+FaceW)*IF($R82="LR",2,1),0))</f>
        <v/>
      </c>
      <c r="BG82" s="51">
        <f>IF($BB82="","",$BB82+IF($AB82="Y",4,FaceW)+IF(N($P82)&gt;0,$P82+FaceW,0)+IF(OR($S82="4F",$S82="BL"),FaceW,0))</f>
        <v/>
      </c>
      <c r="BH82" s="51">
        <f>IF($BF82="","",$BF82+2*ROSide)</f>
        <v/>
      </c>
      <c r="BI82" s="51">
        <f>IF($BG82="","",$BG82+ROTop)</f>
        <v/>
      </c>
      <c r="BJ82" s="52">
        <f>IF(OR(N($BC82)=0,$BA82=""),"",$BA82/$BC82-ClearDeduct)</f>
        <v/>
      </c>
      <c r="BK82" s="49">
        <f>IF(OR(N($BC82)=0,$BE82=""),"",IF(OR($AC82="HGC",$AP82="HGC"),"CONT",IF($BE82&lt;=60,2,IF($BE82&lt;=90,3,IF($BE82&lt;=120,4,5)))))</f>
        <v/>
      </c>
      <c r="BL82" s="49">
        <f>IF(N($BC82)=0,"",IF(OR($AL82="",$AL82="FLUSH"),"FLUSH",IFERROR(LEFT($AL82,FIND("-",$AL82)-1),LEFT($AL82,2))))</f>
        <v/>
      </c>
      <c r="BM82" s="49">
        <f>IF($BL82="","",IFERROR(VALUE(MID($AL82,FIND("-",$AL82)+1,FIND(CHAR(34)&amp;"x",$AL82)-FIND("-",$AL82)-1)),0))</f>
        <v/>
      </c>
      <c r="BN82" s="49">
        <f>IF($BL82="","",IFERROR(VALUE(MID($AL82,FIND(CHAR(34)&amp;"x",$AL82)+2,FIND(CHAR(34),$AL82,FIND(CHAR(34)&amp;"x",$AL82)+2)-FIND(CHAR(34)&amp;"x",$AL82)-2)),0))</f>
        <v/>
      </c>
      <c r="BO82" s="53">
        <f>IF(OR($A82="",$H82="",$H82="NO LAB"),0,IFERROR(VALUE(LEFT($H82,FIND(" ",$H82)-1)),0))</f>
        <v/>
      </c>
      <c r="BP82" s="54">
        <f>IF(OR($A82="",$I82="",$I82="NON-RATED",N($J82)=0),"",IFERROR(VLOOKUP($I82&amp;"|"&amp;$J82,IBC,2,FALSE),"?"))</f>
        <v/>
      </c>
      <c r="BQ82" s="50">
        <f>IF(NOT(AND($A82&lt;&gt;"",$C82&lt;&gt;"DOOR ONLY")),"",TRIM(IFERROR(VLOOKUP($U82,CODES,2,FALSE),"")&amp;" "&amp;$AZ82&amp;" "&amp;IFERROR(VLOOKUP($Z82,CODES,2,FALSE),"")&amp;" "&amp;IFERROR(VLOOKUP($X82,CODES,2,FALSE),"")&amp;" "&amp;IFERROR(VLOOKUP($S82,CODES,2,FALSE),"")&amp;IF(N($P82)&gt;0," w/TRANSOM "&amp;$P82&amp;CHAR(34),"")&amp;IF(N($Q82)&gt;0," w/SIDELITE "&amp;$Q82&amp;CHAR(34)&amp;" "&amp;IF($R82="","R",$R82),"")&amp;IF($Y82="","  |  "," | "&amp;IFERROR(VLOOKUP($Y82,CODES,2,FALSE),"")&amp;" | ")&amp;IFERROR(VLOOKUP($AC82,CODES,2,FALSE),"")&amp;" "&amp;IFERROR(VLOOKUP($AD82,CODES,2,FALSE),"")&amp;IF(OR($AE82="",$AE82="-"),""," "&amp;$AE82)&amp;IF(OR($AF82="",$AF82="-"),""," "&amp;$AF82)&amp;IF($AB82="Y"," 4"&amp;CHAR(34)&amp;" HEAD","")&amp;" "&amp;IFERROR(VLOOKUP($H82,CODES,2,FALSE),"")))</f>
        <v/>
      </c>
      <c r="BR82" s="50">
        <f>IF(NOT(AND($A82&lt;&gt;"",N($BC82)&gt;0)),"",TRIM(IFERROR(VLOOKUP($AH82,CODES,2,FALSE),"")&amp;IF($AI82=""," "," "&amp;$AI82&amp;"GA ")&amp;$AZ82&amp;" "&amp;IF($AN82="",IFERROR(VLOOKUP($Z82,CODES,2,FALSE),""),IFERROR(VLOOKUP($AN82,CODES,2,FALSE),""))&amp;IF($BC82=2," PAIR","")&amp;" DOOR | "&amp;IF($AL82="","?",$AL82)&amp;" | "&amp;IF($AP82="",IFERROR(VLOOKUP($AC82,CODES,2,FALSE),""),IFERROR(VLOOKUP($AP82,CODES,2,FALSE),""))&amp;" "&amp;IFERROR(VLOOKUP($AQ82,CODES,2,FALSE),"")&amp;IF(OR($AR82="",$AR82="-"),""," SEAM "&amp;$AR82)&amp;IF($AS82="Y"," ASTRAGAL","")&amp;IF($AJ82=""," "," "&amp;$AJ82)&amp;IF($AK82=""," "," "&amp;$AK82)&amp;IF($AO82="",""," "&amp;$AO82)&amp;IF($AM82=""," "," SERIES "&amp;$AM82)&amp;" "&amp;IFERROR(VLOOKUP($H82,CODES,2,FALSE),"")))</f>
        <v/>
      </c>
      <c r="BS82" s="49">
        <f>IF(BV82="","",IF(COUNTIF($BV$6:BV82,BV82)=1,MAX($BS$5:BS81)+1,INDEX($BS$5:BS81,MATCH(BV82,$BV$5:BV81,0))))</f>
        <v/>
      </c>
      <c r="BT82" s="49">
        <f>IF(NOT(AND($A82&lt;&gt;"",$C82&lt;&gt;"DOOR ONLY")),"",MAX($BT$5:BT81)+1)</f>
        <v/>
      </c>
      <c r="BU82" s="49">
        <f>IF(NOT(AND($A82&lt;&gt;"",N($BC82)&gt;0)),"",MAX($BU$5:BU81)+1)</f>
        <v/>
      </c>
      <c r="BV82" s="49">
        <f>IF(OR($A82="",$BA82="",$BB82=""),"",$AZ82&amp;"|"&amp;$O82&amp;"|"&amp;$AL82&amp;"|"&amp;$S82&amp;"|"&amp;$P82&amp;"|"&amp;$Q82&amp;$R82&amp;"|"&amp;$C82&amp;"|"&amp;$AB82)</f>
        <v/>
      </c>
      <c r="BW82" s="49">
        <f>IF($A82="","",IF($B82="","qty, ","")&amp;IF($C82="","scope, ","")&amp;IF(OR($K82="",$M82=""),"size, ","")&amp;IF(AND($A82&lt;&gt;"",$C82&lt;&gt;"DOOR ONLY"),IF($U82="","jamb depth, ","")&amp;IF($X82="","construction, ","")&amp;IF($Y82="","anchor, ","")&amp;IF($S82="","frame type, ",""),"")&amp;IF(AND(N($BC82)&gt;0,$Z82=""),"hand, ","")&amp;IF(N($BC82)&gt;0,IF($AH82="","door material, ","")&amp;IF($AL82="","face type, ","")&amp;IF($AQ82="","lock prep, ","")&amp;IF(AND($AP82="",$AC82=""),"hinge prep, ",""),"")&amp;IF(AND($BO82&gt;0,$AH82="FRP"),"FRP cannot carry a label, ","")&amp;IF(AND($O82="Y",OR($Z82="L",$Z82="R",$Z82="LR",$Z82="RR")),"pair marked but hand is single, ","")&amp;IF(AND($O82&lt;&gt;"Y",OR($Z82="PR",AND(LEN($Z82)&gt;1,ISNUMBER(SEARCH("-",$Z82))))),"pair hand on a single door, ","")&amp;IF(AND(ISNUMBER($BP82),$BO82&lt;N($BP82)),"wall needs a "&amp;$BP82&amp;" min door, ","")&amp;IF(AND($BO82&gt;=180,AND(OR($BL82="FG",$BL82="HG",$BL82="FNV",$BL82="FV"),N($BM82)*N($BN82)&gt;100)),"180 min lite over 100 sq in, ","")&amp;IF(N($BD82)&gt;48,"leaf wider than 4'-0"&amp;CHAR(34)&amp;", ",""))</f>
        <v/>
      </c>
      <c r="BX82" s="49">
        <f>IF($A82="","",IF(AND($BO82&gt;0,AND($A82&lt;&gt;"",$C82&lt;&gt;"DOOR ONLY"),$X82="KD",$E82="EXTERIOR"),"KD label on an exterior opening, ","")&amp;IF(AND($E82="EXTERIOR",OR(AND(AND($A82&lt;&gt;"",$C82&lt;&gt;"DOOR ONLY"),$W82="CR"),AND(N($BC82)&gt;0,$AH82="CR"))),"exterior in CR steel (G9?), ","")&amp;IF(AND(ISNUMBER($BJ82),N($BJ82)&lt;32),"clear width ~"&amp;TEXT($BJ82,"0.0")&amp;CHAR(34)&amp;" under 32"&amp;CHAR(34)&amp;" (ADA), ","")&amp;IF(AND($BO82=90,AND(OR($BL82="FG",$BL82="HG",$BL82="FNV",$BL82="FV"),N($BM82)*N($BN82)&gt;100)),"90 min lite over 100 sq in (stair/exit), ","")&amp;IF(AND($BO82&gt;0,AND($A82&lt;&gt;"",$C82&lt;&gt;"DOOR ONLY"),OR($AF82="",$AF82="-")),"rated: closer reinf.?, ","")&amp;IF(OR($I82="CORRIDOR",$I82="SMOKE BARRIER"),"S label + smoke gasketing, ","")&amp;IF($BP82="?","wall type/hr not in IBC table, ","")&amp;IF(AND(N($BC82)&gt;0,$AU82=""),"no hardware set, ","")&amp;IF(AND($AU82&lt;&gt;"",ISNA(MATCH($AU82,HWSets,0))),"set "&amp;$AU82&amp;" not on Hardware sheet, ","")&amp;IF(N($BE82)&gt;96,"leaf over 8'-0"&amp;CHAR(34)&amp;" - check listing, ",""))</f>
        <v/>
      </c>
    </row>
    <row r="83" ht="15" customHeight="1">
      <c r="A83" s="44" t="n"/>
      <c r="B83" s="45" t="n"/>
      <c r="C83" s="45" t="n"/>
      <c r="D83" s="45" t="n"/>
      <c r="E83" s="45" t="n"/>
      <c r="F83" s="45" t="n"/>
      <c r="G83" s="45" t="n"/>
      <c r="H83" s="45" t="n"/>
      <c r="I83" s="45" t="n"/>
      <c r="J83" s="45" t="n"/>
      <c r="K83" s="45" t="n"/>
      <c r="L83" s="45" t="n"/>
      <c r="M83" s="45" t="n"/>
      <c r="N83" s="45" t="n"/>
      <c r="O83" s="45" t="n"/>
      <c r="P83" s="45" t="n"/>
      <c r="Q83" s="45" t="n"/>
      <c r="R83" s="45" t="n"/>
      <c r="S83" s="46" t="n"/>
      <c r="T83" s="46" t="n"/>
      <c r="U83" s="46" t="n"/>
      <c r="V83" s="46" t="n"/>
      <c r="W83" s="46" t="n"/>
      <c r="X83" s="46" t="n"/>
      <c r="Y83" s="46" t="n"/>
      <c r="Z83" s="46" t="n"/>
      <c r="AA83" s="46" t="n"/>
      <c r="AB83" s="46" t="n"/>
      <c r="AC83" s="46" t="n"/>
      <c r="AD83" s="46" t="n"/>
      <c r="AE83" s="46" t="n"/>
      <c r="AF83" s="46" t="n"/>
      <c r="AG83" s="46" t="n"/>
      <c r="AH83" s="47" t="n"/>
      <c r="AI83" s="47" t="n"/>
      <c r="AJ83" s="47" t="n"/>
      <c r="AK83" s="47" t="n"/>
      <c r="AL83" s="47" t="n"/>
      <c r="AM83" s="47" t="n"/>
      <c r="AN83" s="47" t="n"/>
      <c r="AO83" s="47" t="n"/>
      <c r="AP83" s="47" t="n"/>
      <c r="AQ83" s="47" t="n"/>
      <c r="AR83" s="47" t="n"/>
      <c r="AS83" s="47" t="n"/>
      <c r="AT83" s="47" t="n"/>
      <c r="AU83" s="48" t="n"/>
      <c r="AV83" s="48" t="n"/>
      <c r="AW83" s="49">
        <f>IF($A83="","",IF($BW83&lt;&gt;"","FIX",IF($BX83&lt;&gt;"","CHECK","OK")))</f>
        <v/>
      </c>
      <c r="AX83" s="50">
        <f>IF($A83="","",IF($BW83&lt;&gt;"","FIX: "&amp;LEFT($BW83,LEN($BW83)-2)&amp;IF($BX83&lt;&gt;"","  ·  ",""),"")&amp;IF($BX83&lt;&gt;"","CHECK: "&amp;LEFT($BX83,LEN($BX83)-2),""))</f>
        <v/>
      </c>
      <c r="AY83" s="49">
        <f>IF(OR($A83="",$K83=""),"",$K83&amp;"'-"&amp;N($L83)&amp;CHAR(34)&amp;" x "&amp;$M83&amp;"'-"&amp;N($N83)&amp;CHAR(34))</f>
        <v/>
      </c>
      <c r="AZ83" s="49">
        <f>IF(OR($A83="",$K83=""),"",$K83&amp;N($L83)&amp;$M83&amp;N($N83))</f>
        <v/>
      </c>
      <c r="BA83" s="49">
        <f>IF(OR($A83="",$K83=""),"",$K83*12+N($L83))</f>
        <v/>
      </c>
      <c r="BB83" s="49">
        <f>IF(OR($A83="",$M83=""),"",$M83*12+N($N83))</f>
        <v/>
      </c>
      <c r="BC83" s="49">
        <f>IF($A83="","",IF(OR($C83="FRAME ONLY",$S83="BL"),0,IF($O83="Y",2,1)))</f>
        <v/>
      </c>
      <c r="BD83" s="51">
        <f>IF(OR(N($BC83)=0,$BA83=""),"",($BA83-2*EdgeClr-IF($BC83=2,MeetClr,0))/$BC83)</f>
        <v/>
      </c>
      <c r="BE83" s="51">
        <f>IF(OR(N($BC83)=0,$BB83=""),"",$BB83-HeadClr-Undercut)</f>
        <v/>
      </c>
      <c r="BF83" s="51">
        <f>IF($BA83="","",$BA83+2*FaceW+IF(N($Q83)&gt;0,($Q83+FaceW)*IF($R83="LR",2,1),0))</f>
        <v/>
      </c>
      <c r="BG83" s="51">
        <f>IF($BB83="","",$BB83+IF($AB83="Y",4,FaceW)+IF(N($P83)&gt;0,$P83+FaceW,0)+IF(OR($S83="4F",$S83="BL"),FaceW,0))</f>
        <v/>
      </c>
      <c r="BH83" s="51">
        <f>IF($BF83="","",$BF83+2*ROSide)</f>
        <v/>
      </c>
      <c r="BI83" s="51">
        <f>IF($BG83="","",$BG83+ROTop)</f>
        <v/>
      </c>
      <c r="BJ83" s="52">
        <f>IF(OR(N($BC83)=0,$BA83=""),"",$BA83/$BC83-ClearDeduct)</f>
        <v/>
      </c>
      <c r="BK83" s="49">
        <f>IF(OR(N($BC83)=0,$BE83=""),"",IF(OR($AC83="HGC",$AP83="HGC"),"CONT",IF($BE83&lt;=60,2,IF($BE83&lt;=90,3,IF($BE83&lt;=120,4,5)))))</f>
        <v/>
      </c>
      <c r="BL83" s="49">
        <f>IF(N($BC83)=0,"",IF(OR($AL83="",$AL83="FLUSH"),"FLUSH",IFERROR(LEFT($AL83,FIND("-",$AL83)-1),LEFT($AL83,2))))</f>
        <v/>
      </c>
      <c r="BM83" s="49">
        <f>IF($BL83="","",IFERROR(VALUE(MID($AL83,FIND("-",$AL83)+1,FIND(CHAR(34)&amp;"x",$AL83)-FIND("-",$AL83)-1)),0))</f>
        <v/>
      </c>
      <c r="BN83" s="49">
        <f>IF($BL83="","",IFERROR(VALUE(MID($AL83,FIND(CHAR(34)&amp;"x",$AL83)+2,FIND(CHAR(34),$AL83,FIND(CHAR(34)&amp;"x",$AL83)+2)-FIND(CHAR(34)&amp;"x",$AL83)-2)),0))</f>
        <v/>
      </c>
      <c r="BO83" s="53">
        <f>IF(OR($A83="",$H83="",$H83="NO LAB"),0,IFERROR(VALUE(LEFT($H83,FIND(" ",$H83)-1)),0))</f>
        <v/>
      </c>
      <c r="BP83" s="54">
        <f>IF(OR($A83="",$I83="",$I83="NON-RATED",N($J83)=0),"",IFERROR(VLOOKUP($I83&amp;"|"&amp;$J83,IBC,2,FALSE),"?"))</f>
        <v/>
      </c>
      <c r="BQ83" s="50">
        <f>IF(NOT(AND($A83&lt;&gt;"",$C83&lt;&gt;"DOOR ONLY")),"",TRIM(IFERROR(VLOOKUP($U83,CODES,2,FALSE),"")&amp;" "&amp;$AZ83&amp;" "&amp;IFERROR(VLOOKUP($Z83,CODES,2,FALSE),"")&amp;" "&amp;IFERROR(VLOOKUP($X83,CODES,2,FALSE),"")&amp;" "&amp;IFERROR(VLOOKUP($S83,CODES,2,FALSE),"")&amp;IF(N($P83)&gt;0," w/TRANSOM "&amp;$P83&amp;CHAR(34),"")&amp;IF(N($Q83)&gt;0," w/SIDELITE "&amp;$Q83&amp;CHAR(34)&amp;" "&amp;IF($R83="","R",$R83),"")&amp;IF($Y83="","  |  "," | "&amp;IFERROR(VLOOKUP($Y83,CODES,2,FALSE),"")&amp;" | ")&amp;IFERROR(VLOOKUP($AC83,CODES,2,FALSE),"")&amp;" "&amp;IFERROR(VLOOKUP($AD83,CODES,2,FALSE),"")&amp;IF(OR($AE83="",$AE83="-"),""," "&amp;$AE83)&amp;IF(OR($AF83="",$AF83="-"),""," "&amp;$AF83)&amp;IF($AB83="Y"," 4"&amp;CHAR(34)&amp;" HEAD","")&amp;" "&amp;IFERROR(VLOOKUP($H83,CODES,2,FALSE),"")))</f>
        <v/>
      </c>
      <c r="BR83" s="50">
        <f>IF(NOT(AND($A83&lt;&gt;"",N($BC83)&gt;0)),"",TRIM(IFERROR(VLOOKUP($AH83,CODES,2,FALSE),"")&amp;IF($AI83=""," "," "&amp;$AI83&amp;"GA ")&amp;$AZ83&amp;" "&amp;IF($AN83="",IFERROR(VLOOKUP($Z83,CODES,2,FALSE),""),IFERROR(VLOOKUP($AN83,CODES,2,FALSE),""))&amp;IF($BC83=2," PAIR","")&amp;" DOOR | "&amp;IF($AL83="","?",$AL83)&amp;" | "&amp;IF($AP83="",IFERROR(VLOOKUP($AC83,CODES,2,FALSE),""),IFERROR(VLOOKUP($AP83,CODES,2,FALSE),""))&amp;" "&amp;IFERROR(VLOOKUP($AQ83,CODES,2,FALSE),"")&amp;IF(OR($AR83="",$AR83="-"),""," SEAM "&amp;$AR83)&amp;IF($AS83="Y"," ASTRAGAL","")&amp;IF($AJ83=""," "," "&amp;$AJ83)&amp;IF($AK83=""," "," "&amp;$AK83)&amp;IF($AO83="",""," "&amp;$AO83)&amp;IF($AM83=""," "," SERIES "&amp;$AM83)&amp;" "&amp;IFERROR(VLOOKUP($H83,CODES,2,FALSE),"")))</f>
        <v/>
      </c>
      <c r="BS83" s="49">
        <f>IF(BV83="","",IF(COUNTIF($BV$6:BV83,BV83)=1,MAX($BS$5:BS82)+1,INDEX($BS$5:BS82,MATCH(BV83,$BV$5:BV82,0))))</f>
        <v/>
      </c>
      <c r="BT83" s="49">
        <f>IF(NOT(AND($A83&lt;&gt;"",$C83&lt;&gt;"DOOR ONLY")),"",MAX($BT$5:BT82)+1)</f>
        <v/>
      </c>
      <c r="BU83" s="49">
        <f>IF(NOT(AND($A83&lt;&gt;"",N($BC83)&gt;0)),"",MAX($BU$5:BU82)+1)</f>
        <v/>
      </c>
      <c r="BV83" s="49">
        <f>IF(OR($A83="",$BA83="",$BB83=""),"",$AZ83&amp;"|"&amp;$O83&amp;"|"&amp;$AL83&amp;"|"&amp;$S83&amp;"|"&amp;$P83&amp;"|"&amp;$Q83&amp;$R83&amp;"|"&amp;$C83&amp;"|"&amp;$AB83)</f>
        <v/>
      </c>
      <c r="BW83" s="49">
        <f>IF($A83="","",IF($B83="","qty, ","")&amp;IF($C83="","scope, ","")&amp;IF(OR($K83="",$M83=""),"size, ","")&amp;IF(AND($A83&lt;&gt;"",$C83&lt;&gt;"DOOR ONLY"),IF($U83="","jamb depth, ","")&amp;IF($X83="","construction, ","")&amp;IF($Y83="","anchor, ","")&amp;IF($S83="","frame type, ",""),"")&amp;IF(AND(N($BC83)&gt;0,$Z83=""),"hand, ","")&amp;IF(N($BC83)&gt;0,IF($AH83="","door material, ","")&amp;IF($AL83="","face type, ","")&amp;IF($AQ83="","lock prep, ","")&amp;IF(AND($AP83="",$AC83=""),"hinge prep, ",""),"")&amp;IF(AND($BO83&gt;0,$AH83="FRP"),"FRP cannot carry a label, ","")&amp;IF(AND($O83="Y",OR($Z83="L",$Z83="R",$Z83="LR",$Z83="RR")),"pair marked but hand is single, ","")&amp;IF(AND($O83&lt;&gt;"Y",OR($Z83="PR",AND(LEN($Z83)&gt;1,ISNUMBER(SEARCH("-",$Z83))))),"pair hand on a single door, ","")&amp;IF(AND(ISNUMBER($BP83),$BO83&lt;N($BP83)),"wall needs a "&amp;$BP83&amp;" min door, ","")&amp;IF(AND($BO83&gt;=180,AND(OR($BL83="FG",$BL83="HG",$BL83="FNV",$BL83="FV"),N($BM83)*N($BN83)&gt;100)),"180 min lite over 100 sq in, ","")&amp;IF(N($BD83)&gt;48,"leaf wider than 4'-0"&amp;CHAR(34)&amp;", ",""))</f>
        <v/>
      </c>
      <c r="BX83" s="49">
        <f>IF($A83="","",IF(AND($BO83&gt;0,AND($A83&lt;&gt;"",$C83&lt;&gt;"DOOR ONLY"),$X83="KD",$E83="EXTERIOR"),"KD label on an exterior opening, ","")&amp;IF(AND($E83="EXTERIOR",OR(AND(AND($A83&lt;&gt;"",$C83&lt;&gt;"DOOR ONLY"),$W83="CR"),AND(N($BC83)&gt;0,$AH83="CR"))),"exterior in CR steel (G9?), ","")&amp;IF(AND(ISNUMBER($BJ83),N($BJ83)&lt;32),"clear width ~"&amp;TEXT($BJ83,"0.0")&amp;CHAR(34)&amp;" under 32"&amp;CHAR(34)&amp;" (ADA), ","")&amp;IF(AND($BO83=90,AND(OR($BL83="FG",$BL83="HG",$BL83="FNV",$BL83="FV"),N($BM83)*N($BN83)&gt;100)),"90 min lite over 100 sq in (stair/exit), ","")&amp;IF(AND($BO83&gt;0,AND($A83&lt;&gt;"",$C83&lt;&gt;"DOOR ONLY"),OR($AF83="",$AF83="-")),"rated: closer reinf.?, ","")&amp;IF(OR($I83="CORRIDOR",$I83="SMOKE BARRIER"),"S label + smoke gasketing, ","")&amp;IF($BP83="?","wall type/hr not in IBC table, ","")&amp;IF(AND(N($BC83)&gt;0,$AU83=""),"no hardware set, ","")&amp;IF(AND($AU83&lt;&gt;"",ISNA(MATCH($AU83,HWSets,0))),"set "&amp;$AU83&amp;" not on Hardware sheet, ","")&amp;IF(N($BE83)&gt;96,"leaf over 8'-0"&amp;CHAR(34)&amp;" - check listing, ",""))</f>
        <v/>
      </c>
    </row>
    <row r="84" ht="15" customHeight="1">
      <c r="A84" s="44" t="n"/>
      <c r="B84" s="45" t="n"/>
      <c r="C84" s="45" t="n"/>
      <c r="D84" s="45" t="n"/>
      <c r="E84" s="45" t="n"/>
      <c r="F84" s="45" t="n"/>
      <c r="G84" s="45" t="n"/>
      <c r="H84" s="45" t="n"/>
      <c r="I84" s="45" t="n"/>
      <c r="J84" s="45" t="n"/>
      <c r="K84" s="45" t="n"/>
      <c r="L84" s="45" t="n"/>
      <c r="M84" s="45" t="n"/>
      <c r="N84" s="45" t="n"/>
      <c r="O84" s="45" t="n"/>
      <c r="P84" s="45" t="n"/>
      <c r="Q84" s="45" t="n"/>
      <c r="R84" s="45" t="n"/>
      <c r="S84" s="46" t="n"/>
      <c r="T84" s="46" t="n"/>
      <c r="U84" s="46" t="n"/>
      <c r="V84" s="46" t="n"/>
      <c r="W84" s="46" t="n"/>
      <c r="X84" s="46" t="n"/>
      <c r="Y84" s="46" t="n"/>
      <c r="Z84" s="46" t="n"/>
      <c r="AA84" s="46" t="n"/>
      <c r="AB84" s="46" t="n"/>
      <c r="AC84" s="46" t="n"/>
      <c r="AD84" s="46" t="n"/>
      <c r="AE84" s="46" t="n"/>
      <c r="AF84" s="46" t="n"/>
      <c r="AG84" s="46" t="n"/>
      <c r="AH84" s="47" t="n"/>
      <c r="AI84" s="47" t="n"/>
      <c r="AJ84" s="47" t="n"/>
      <c r="AK84" s="47" t="n"/>
      <c r="AL84" s="47" t="n"/>
      <c r="AM84" s="47" t="n"/>
      <c r="AN84" s="47" t="n"/>
      <c r="AO84" s="47" t="n"/>
      <c r="AP84" s="47" t="n"/>
      <c r="AQ84" s="47" t="n"/>
      <c r="AR84" s="47" t="n"/>
      <c r="AS84" s="47" t="n"/>
      <c r="AT84" s="47" t="n"/>
      <c r="AU84" s="48" t="n"/>
      <c r="AV84" s="48" t="n"/>
      <c r="AW84" s="49">
        <f>IF($A84="","",IF($BW84&lt;&gt;"","FIX",IF($BX84&lt;&gt;"","CHECK","OK")))</f>
        <v/>
      </c>
      <c r="AX84" s="50">
        <f>IF($A84="","",IF($BW84&lt;&gt;"","FIX: "&amp;LEFT($BW84,LEN($BW84)-2)&amp;IF($BX84&lt;&gt;"","  ·  ",""),"")&amp;IF($BX84&lt;&gt;"","CHECK: "&amp;LEFT($BX84,LEN($BX84)-2),""))</f>
        <v/>
      </c>
      <c r="AY84" s="49">
        <f>IF(OR($A84="",$K84=""),"",$K84&amp;"'-"&amp;N($L84)&amp;CHAR(34)&amp;" x "&amp;$M84&amp;"'-"&amp;N($N84)&amp;CHAR(34))</f>
        <v/>
      </c>
      <c r="AZ84" s="49">
        <f>IF(OR($A84="",$K84=""),"",$K84&amp;N($L84)&amp;$M84&amp;N($N84))</f>
        <v/>
      </c>
      <c r="BA84" s="49">
        <f>IF(OR($A84="",$K84=""),"",$K84*12+N($L84))</f>
        <v/>
      </c>
      <c r="BB84" s="49">
        <f>IF(OR($A84="",$M84=""),"",$M84*12+N($N84))</f>
        <v/>
      </c>
      <c r="BC84" s="49">
        <f>IF($A84="","",IF(OR($C84="FRAME ONLY",$S84="BL"),0,IF($O84="Y",2,1)))</f>
        <v/>
      </c>
      <c r="BD84" s="51">
        <f>IF(OR(N($BC84)=0,$BA84=""),"",($BA84-2*EdgeClr-IF($BC84=2,MeetClr,0))/$BC84)</f>
        <v/>
      </c>
      <c r="BE84" s="51">
        <f>IF(OR(N($BC84)=0,$BB84=""),"",$BB84-HeadClr-Undercut)</f>
        <v/>
      </c>
      <c r="BF84" s="51">
        <f>IF($BA84="","",$BA84+2*FaceW+IF(N($Q84)&gt;0,($Q84+FaceW)*IF($R84="LR",2,1),0))</f>
        <v/>
      </c>
      <c r="BG84" s="51">
        <f>IF($BB84="","",$BB84+IF($AB84="Y",4,FaceW)+IF(N($P84)&gt;0,$P84+FaceW,0)+IF(OR($S84="4F",$S84="BL"),FaceW,0))</f>
        <v/>
      </c>
      <c r="BH84" s="51">
        <f>IF($BF84="","",$BF84+2*ROSide)</f>
        <v/>
      </c>
      <c r="BI84" s="51">
        <f>IF($BG84="","",$BG84+ROTop)</f>
        <v/>
      </c>
      <c r="BJ84" s="52">
        <f>IF(OR(N($BC84)=0,$BA84=""),"",$BA84/$BC84-ClearDeduct)</f>
        <v/>
      </c>
      <c r="BK84" s="49">
        <f>IF(OR(N($BC84)=0,$BE84=""),"",IF(OR($AC84="HGC",$AP84="HGC"),"CONT",IF($BE84&lt;=60,2,IF($BE84&lt;=90,3,IF($BE84&lt;=120,4,5)))))</f>
        <v/>
      </c>
      <c r="BL84" s="49">
        <f>IF(N($BC84)=0,"",IF(OR($AL84="",$AL84="FLUSH"),"FLUSH",IFERROR(LEFT($AL84,FIND("-",$AL84)-1),LEFT($AL84,2))))</f>
        <v/>
      </c>
      <c r="BM84" s="49">
        <f>IF($BL84="","",IFERROR(VALUE(MID($AL84,FIND("-",$AL84)+1,FIND(CHAR(34)&amp;"x",$AL84)-FIND("-",$AL84)-1)),0))</f>
        <v/>
      </c>
      <c r="BN84" s="49">
        <f>IF($BL84="","",IFERROR(VALUE(MID($AL84,FIND(CHAR(34)&amp;"x",$AL84)+2,FIND(CHAR(34),$AL84,FIND(CHAR(34)&amp;"x",$AL84)+2)-FIND(CHAR(34)&amp;"x",$AL84)-2)),0))</f>
        <v/>
      </c>
      <c r="BO84" s="53">
        <f>IF(OR($A84="",$H84="",$H84="NO LAB"),0,IFERROR(VALUE(LEFT($H84,FIND(" ",$H84)-1)),0))</f>
        <v/>
      </c>
      <c r="BP84" s="54">
        <f>IF(OR($A84="",$I84="",$I84="NON-RATED",N($J84)=0),"",IFERROR(VLOOKUP($I84&amp;"|"&amp;$J84,IBC,2,FALSE),"?"))</f>
        <v/>
      </c>
      <c r="BQ84" s="50">
        <f>IF(NOT(AND($A84&lt;&gt;"",$C84&lt;&gt;"DOOR ONLY")),"",TRIM(IFERROR(VLOOKUP($U84,CODES,2,FALSE),"")&amp;" "&amp;$AZ84&amp;" "&amp;IFERROR(VLOOKUP($Z84,CODES,2,FALSE),"")&amp;" "&amp;IFERROR(VLOOKUP($X84,CODES,2,FALSE),"")&amp;" "&amp;IFERROR(VLOOKUP($S84,CODES,2,FALSE),"")&amp;IF(N($P84)&gt;0," w/TRANSOM "&amp;$P84&amp;CHAR(34),"")&amp;IF(N($Q84)&gt;0," w/SIDELITE "&amp;$Q84&amp;CHAR(34)&amp;" "&amp;IF($R84="","R",$R84),"")&amp;IF($Y84="","  |  "," | "&amp;IFERROR(VLOOKUP($Y84,CODES,2,FALSE),"")&amp;" | ")&amp;IFERROR(VLOOKUP($AC84,CODES,2,FALSE),"")&amp;" "&amp;IFERROR(VLOOKUP($AD84,CODES,2,FALSE),"")&amp;IF(OR($AE84="",$AE84="-"),""," "&amp;$AE84)&amp;IF(OR($AF84="",$AF84="-"),""," "&amp;$AF84)&amp;IF($AB84="Y"," 4"&amp;CHAR(34)&amp;" HEAD","")&amp;" "&amp;IFERROR(VLOOKUP($H84,CODES,2,FALSE),"")))</f>
        <v/>
      </c>
      <c r="BR84" s="50">
        <f>IF(NOT(AND($A84&lt;&gt;"",N($BC84)&gt;0)),"",TRIM(IFERROR(VLOOKUP($AH84,CODES,2,FALSE),"")&amp;IF($AI84=""," "," "&amp;$AI84&amp;"GA ")&amp;$AZ84&amp;" "&amp;IF($AN84="",IFERROR(VLOOKUP($Z84,CODES,2,FALSE),""),IFERROR(VLOOKUP($AN84,CODES,2,FALSE),""))&amp;IF($BC84=2," PAIR","")&amp;" DOOR | "&amp;IF($AL84="","?",$AL84)&amp;" | "&amp;IF($AP84="",IFERROR(VLOOKUP($AC84,CODES,2,FALSE),""),IFERROR(VLOOKUP($AP84,CODES,2,FALSE),""))&amp;" "&amp;IFERROR(VLOOKUP($AQ84,CODES,2,FALSE),"")&amp;IF(OR($AR84="",$AR84="-"),""," SEAM "&amp;$AR84)&amp;IF($AS84="Y"," ASTRAGAL","")&amp;IF($AJ84=""," "," "&amp;$AJ84)&amp;IF($AK84=""," "," "&amp;$AK84)&amp;IF($AO84="",""," "&amp;$AO84)&amp;IF($AM84=""," "," SERIES "&amp;$AM84)&amp;" "&amp;IFERROR(VLOOKUP($H84,CODES,2,FALSE),"")))</f>
        <v/>
      </c>
      <c r="BS84" s="49">
        <f>IF(BV84="","",IF(COUNTIF($BV$6:BV84,BV84)=1,MAX($BS$5:BS83)+1,INDEX($BS$5:BS83,MATCH(BV84,$BV$5:BV83,0))))</f>
        <v/>
      </c>
      <c r="BT84" s="49">
        <f>IF(NOT(AND($A84&lt;&gt;"",$C84&lt;&gt;"DOOR ONLY")),"",MAX($BT$5:BT83)+1)</f>
        <v/>
      </c>
      <c r="BU84" s="49">
        <f>IF(NOT(AND($A84&lt;&gt;"",N($BC84)&gt;0)),"",MAX($BU$5:BU83)+1)</f>
        <v/>
      </c>
      <c r="BV84" s="49">
        <f>IF(OR($A84="",$BA84="",$BB84=""),"",$AZ84&amp;"|"&amp;$O84&amp;"|"&amp;$AL84&amp;"|"&amp;$S84&amp;"|"&amp;$P84&amp;"|"&amp;$Q84&amp;$R84&amp;"|"&amp;$C84&amp;"|"&amp;$AB84)</f>
        <v/>
      </c>
      <c r="BW84" s="49">
        <f>IF($A84="","",IF($B84="","qty, ","")&amp;IF($C84="","scope, ","")&amp;IF(OR($K84="",$M84=""),"size, ","")&amp;IF(AND($A84&lt;&gt;"",$C84&lt;&gt;"DOOR ONLY"),IF($U84="","jamb depth, ","")&amp;IF($X84="","construction, ","")&amp;IF($Y84="","anchor, ","")&amp;IF($S84="","frame type, ",""),"")&amp;IF(AND(N($BC84)&gt;0,$Z84=""),"hand, ","")&amp;IF(N($BC84)&gt;0,IF($AH84="","door material, ","")&amp;IF($AL84="","face type, ","")&amp;IF($AQ84="","lock prep, ","")&amp;IF(AND($AP84="",$AC84=""),"hinge prep, ",""),"")&amp;IF(AND($BO84&gt;0,$AH84="FRP"),"FRP cannot carry a label, ","")&amp;IF(AND($O84="Y",OR($Z84="L",$Z84="R",$Z84="LR",$Z84="RR")),"pair marked but hand is single, ","")&amp;IF(AND($O84&lt;&gt;"Y",OR($Z84="PR",AND(LEN($Z84)&gt;1,ISNUMBER(SEARCH("-",$Z84))))),"pair hand on a single door, ","")&amp;IF(AND(ISNUMBER($BP84),$BO84&lt;N($BP84)),"wall needs a "&amp;$BP84&amp;" min door, ","")&amp;IF(AND($BO84&gt;=180,AND(OR($BL84="FG",$BL84="HG",$BL84="FNV",$BL84="FV"),N($BM84)*N($BN84)&gt;100)),"180 min lite over 100 sq in, ","")&amp;IF(N($BD84)&gt;48,"leaf wider than 4'-0"&amp;CHAR(34)&amp;", ",""))</f>
        <v/>
      </c>
      <c r="BX84" s="49">
        <f>IF($A84="","",IF(AND($BO84&gt;0,AND($A84&lt;&gt;"",$C84&lt;&gt;"DOOR ONLY"),$X84="KD",$E84="EXTERIOR"),"KD label on an exterior opening, ","")&amp;IF(AND($E84="EXTERIOR",OR(AND(AND($A84&lt;&gt;"",$C84&lt;&gt;"DOOR ONLY"),$W84="CR"),AND(N($BC84)&gt;0,$AH84="CR"))),"exterior in CR steel (G9?), ","")&amp;IF(AND(ISNUMBER($BJ84),N($BJ84)&lt;32),"clear width ~"&amp;TEXT($BJ84,"0.0")&amp;CHAR(34)&amp;" under 32"&amp;CHAR(34)&amp;" (ADA), ","")&amp;IF(AND($BO84=90,AND(OR($BL84="FG",$BL84="HG",$BL84="FNV",$BL84="FV"),N($BM84)*N($BN84)&gt;100)),"90 min lite over 100 sq in (stair/exit), ","")&amp;IF(AND($BO84&gt;0,AND($A84&lt;&gt;"",$C84&lt;&gt;"DOOR ONLY"),OR($AF84="",$AF84="-")),"rated: closer reinf.?, ","")&amp;IF(OR($I84="CORRIDOR",$I84="SMOKE BARRIER"),"S label + smoke gasketing, ","")&amp;IF($BP84="?","wall type/hr not in IBC table, ","")&amp;IF(AND(N($BC84)&gt;0,$AU84=""),"no hardware set, ","")&amp;IF(AND($AU84&lt;&gt;"",ISNA(MATCH($AU84,HWSets,0))),"set "&amp;$AU84&amp;" not on Hardware sheet, ","")&amp;IF(N($BE84)&gt;96,"leaf over 8'-0"&amp;CHAR(34)&amp;" - check listing, ",""))</f>
        <v/>
      </c>
    </row>
    <row r="85" ht="15" customHeight="1">
      <c r="A85" s="44" t="n"/>
      <c r="B85" s="45" t="n"/>
      <c r="C85" s="45" t="n"/>
      <c r="D85" s="45" t="n"/>
      <c r="E85" s="45" t="n"/>
      <c r="F85" s="45" t="n"/>
      <c r="G85" s="45" t="n"/>
      <c r="H85" s="45" t="n"/>
      <c r="I85" s="45" t="n"/>
      <c r="J85" s="45" t="n"/>
      <c r="K85" s="45" t="n"/>
      <c r="L85" s="45" t="n"/>
      <c r="M85" s="45" t="n"/>
      <c r="N85" s="45" t="n"/>
      <c r="O85" s="45" t="n"/>
      <c r="P85" s="45" t="n"/>
      <c r="Q85" s="45" t="n"/>
      <c r="R85" s="45" t="n"/>
      <c r="S85" s="46" t="n"/>
      <c r="T85" s="46" t="n"/>
      <c r="U85" s="46" t="n"/>
      <c r="V85" s="46" t="n"/>
      <c r="W85" s="46" t="n"/>
      <c r="X85" s="46" t="n"/>
      <c r="Y85" s="46" t="n"/>
      <c r="Z85" s="46" t="n"/>
      <c r="AA85" s="46" t="n"/>
      <c r="AB85" s="46" t="n"/>
      <c r="AC85" s="46" t="n"/>
      <c r="AD85" s="46" t="n"/>
      <c r="AE85" s="46" t="n"/>
      <c r="AF85" s="46" t="n"/>
      <c r="AG85" s="46" t="n"/>
      <c r="AH85" s="47" t="n"/>
      <c r="AI85" s="47" t="n"/>
      <c r="AJ85" s="47" t="n"/>
      <c r="AK85" s="47" t="n"/>
      <c r="AL85" s="47" t="n"/>
      <c r="AM85" s="47" t="n"/>
      <c r="AN85" s="47" t="n"/>
      <c r="AO85" s="47" t="n"/>
      <c r="AP85" s="47" t="n"/>
      <c r="AQ85" s="47" t="n"/>
      <c r="AR85" s="47" t="n"/>
      <c r="AS85" s="47" t="n"/>
      <c r="AT85" s="47" t="n"/>
      <c r="AU85" s="48" t="n"/>
      <c r="AV85" s="48" t="n"/>
      <c r="AW85" s="49">
        <f>IF($A85="","",IF($BW85&lt;&gt;"","FIX",IF($BX85&lt;&gt;"","CHECK","OK")))</f>
        <v/>
      </c>
      <c r="AX85" s="50">
        <f>IF($A85="","",IF($BW85&lt;&gt;"","FIX: "&amp;LEFT($BW85,LEN($BW85)-2)&amp;IF($BX85&lt;&gt;"","  ·  ",""),"")&amp;IF($BX85&lt;&gt;"","CHECK: "&amp;LEFT($BX85,LEN($BX85)-2),""))</f>
        <v/>
      </c>
      <c r="AY85" s="49">
        <f>IF(OR($A85="",$K85=""),"",$K85&amp;"'-"&amp;N($L85)&amp;CHAR(34)&amp;" x "&amp;$M85&amp;"'-"&amp;N($N85)&amp;CHAR(34))</f>
        <v/>
      </c>
      <c r="AZ85" s="49">
        <f>IF(OR($A85="",$K85=""),"",$K85&amp;N($L85)&amp;$M85&amp;N($N85))</f>
        <v/>
      </c>
      <c r="BA85" s="49">
        <f>IF(OR($A85="",$K85=""),"",$K85*12+N($L85))</f>
        <v/>
      </c>
      <c r="BB85" s="49">
        <f>IF(OR($A85="",$M85=""),"",$M85*12+N($N85))</f>
        <v/>
      </c>
      <c r="BC85" s="49">
        <f>IF($A85="","",IF(OR($C85="FRAME ONLY",$S85="BL"),0,IF($O85="Y",2,1)))</f>
        <v/>
      </c>
      <c r="BD85" s="51">
        <f>IF(OR(N($BC85)=0,$BA85=""),"",($BA85-2*EdgeClr-IF($BC85=2,MeetClr,0))/$BC85)</f>
        <v/>
      </c>
      <c r="BE85" s="51">
        <f>IF(OR(N($BC85)=0,$BB85=""),"",$BB85-HeadClr-Undercut)</f>
        <v/>
      </c>
      <c r="BF85" s="51">
        <f>IF($BA85="","",$BA85+2*FaceW+IF(N($Q85)&gt;0,($Q85+FaceW)*IF($R85="LR",2,1),0))</f>
        <v/>
      </c>
      <c r="BG85" s="51">
        <f>IF($BB85="","",$BB85+IF($AB85="Y",4,FaceW)+IF(N($P85)&gt;0,$P85+FaceW,0)+IF(OR($S85="4F",$S85="BL"),FaceW,0))</f>
        <v/>
      </c>
      <c r="BH85" s="51">
        <f>IF($BF85="","",$BF85+2*ROSide)</f>
        <v/>
      </c>
      <c r="BI85" s="51">
        <f>IF($BG85="","",$BG85+ROTop)</f>
        <v/>
      </c>
      <c r="BJ85" s="52">
        <f>IF(OR(N($BC85)=0,$BA85=""),"",$BA85/$BC85-ClearDeduct)</f>
        <v/>
      </c>
      <c r="BK85" s="49">
        <f>IF(OR(N($BC85)=0,$BE85=""),"",IF(OR($AC85="HGC",$AP85="HGC"),"CONT",IF($BE85&lt;=60,2,IF($BE85&lt;=90,3,IF($BE85&lt;=120,4,5)))))</f>
        <v/>
      </c>
      <c r="BL85" s="49">
        <f>IF(N($BC85)=0,"",IF(OR($AL85="",$AL85="FLUSH"),"FLUSH",IFERROR(LEFT($AL85,FIND("-",$AL85)-1),LEFT($AL85,2))))</f>
        <v/>
      </c>
      <c r="BM85" s="49">
        <f>IF($BL85="","",IFERROR(VALUE(MID($AL85,FIND("-",$AL85)+1,FIND(CHAR(34)&amp;"x",$AL85)-FIND("-",$AL85)-1)),0))</f>
        <v/>
      </c>
      <c r="BN85" s="49">
        <f>IF($BL85="","",IFERROR(VALUE(MID($AL85,FIND(CHAR(34)&amp;"x",$AL85)+2,FIND(CHAR(34),$AL85,FIND(CHAR(34)&amp;"x",$AL85)+2)-FIND(CHAR(34)&amp;"x",$AL85)-2)),0))</f>
        <v/>
      </c>
      <c r="BO85" s="53">
        <f>IF(OR($A85="",$H85="",$H85="NO LAB"),0,IFERROR(VALUE(LEFT($H85,FIND(" ",$H85)-1)),0))</f>
        <v/>
      </c>
      <c r="BP85" s="54">
        <f>IF(OR($A85="",$I85="",$I85="NON-RATED",N($J85)=0),"",IFERROR(VLOOKUP($I85&amp;"|"&amp;$J85,IBC,2,FALSE),"?"))</f>
        <v/>
      </c>
      <c r="BQ85" s="50">
        <f>IF(NOT(AND($A85&lt;&gt;"",$C85&lt;&gt;"DOOR ONLY")),"",TRIM(IFERROR(VLOOKUP($U85,CODES,2,FALSE),"")&amp;" "&amp;$AZ85&amp;" "&amp;IFERROR(VLOOKUP($Z85,CODES,2,FALSE),"")&amp;" "&amp;IFERROR(VLOOKUP($X85,CODES,2,FALSE),"")&amp;" "&amp;IFERROR(VLOOKUP($S85,CODES,2,FALSE),"")&amp;IF(N($P85)&gt;0," w/TRANSOM "&amp;$P85&amp;CHAR(34),"")&amp;IF(N($Q85)&gt;0," w/SIDELITE "&amp;$Q85&amp;CHAR(34)&amp;" "&amp;IF($R85="","R",$R85),"")&amp;IF($Y85="","  |  "," | "&amp;IFERROR(VLOOKUP($Y85,CODES,2,FALSE),"")&amp;" | ")&amp;IFERROR(VLOOKUP($AC85,CODES,2,FALSE),"")&amp;" "&amp;IFERROR(VLOOKUP($AD85,CODES,2,FALSE),"")&amp;IF(OR($AE85="",$AE85="-"),""," "&amp;$AE85)&amp;IF(OR($AF85="",$AF85="-"),""," "&amp;$AF85)&amp;IF($AB85="Y"," 4"&amp;CHAR(34)&amp;" HEAD","")&amp;" "&amp;IFERROR(VLOOKUP($H85,CODES,2,FALSE),"")))</f>
        <v/>
      </c>
      <c r="BR85" s="50">
        <f>IF(NOT(AND($A85&lt;&gt;"",N($BC85)&gt;0)),"",TRIM(IFERROR(VLOOKUP($AH85,CODES,2,FALSE),"")&amp;IF($AI85=""," "," "&amp;$AI85&amp;"GA ")&amp;$AZ85&amp;" "&amp;IF($AN85="",IFERROR(VLOOKUP($Z85,CODES,2,FALSE),""),IFERROR(VLOOKUP($AN85,CODES,2,FALSE),""))&amp;IF($BC85=2," PAIR","")&amp;" DOOR | "&amp;IF($AL85="","?",$AL85)&amp;" | "&amp;IF($AP85="",IFERROR(VLOOKUP($AC85,CODES,2,FALSE),""),IFERROR(VLOOKUP($AP85,CODES,2,FALSE),""))&amp;" "&amp;IFERROR(VLOOKUP($AQ85,CODES,2,FALSE),"")&amp;IF(OR($AR85="",$AR85="-"),""," SEAM "&amp;$AR85)&amp;IF($AS85="Y"," ASTRAGAL","")&amp;IF($AJ85=""," "," "&amp;$AJ85)&amp;IF($AK85=""," "," "&amp;$AK85)&amp;IF($AO85="",""," "&amp;$AO85)&amp;IF($AM85=""," "," SERIES "&amp;$AM85)&amp;" "&amp;IFERROR(VLOOKUP($H85,CODES,2,FALSE),"")))</f>
        <v/>
      </c>
      <c r="BS85" s="49">
        <f>IF(BV85="","",IF(COUNTIF($BV$6:BV85,BV85)=1,MAX($BS$5:BS84)+1,INDEX($BS$5:BS84,MATCH(BV85,$BV$5:BV84,0))))</f>
        <v/>
      </c>
      <c r="BT85" s="49">
        <f>IF(NOT(AND($A85&lt;&gt;"",$C85&lt;&gt;"DOOR ONLY")),"",MAX($BT$5:BT84)+1)</f>
        <v/>
      </c>
      <c r="BU85" s="49">
        <f>IF(NOT(AND($A85&lt;&gt;"",N($BC85)&gt;0)),"",MAX($BU$5:BU84)+1)</f>
        <v/>
      </c>
      <c r="BV85" s="49">
        <f>IF(OR($A85="",$BA85="",$BB85=""),"",$AZ85&amp;"|"&amp;$O85&amp;"|"&amp;$AL85&amp;"|"&amp;$S85&amp;"|"&amp;$P85&amp;"|"&amp;$Q85&amp;$R85&amp;"|"&amp;$C85&amp;"|"&amp;$AB85)</f>
        <v/>
      </c>
      <c r="BW85" s="49">
        <f>IF($A85="","",IF($B85="","qty, ","")&amp;IF($C85="","scope, ","")&amp;IF(OR($K85="",$M85=""),"size, ","")&amp;IF(AND($A85&lt;&gt;"",$C85&lt;&gt;"DOOR ONLY"),IF($U85="","jamb depth, ","")&amp;IF($X85="","construction, ","")&amp;IF($Y85="","anchor, ","")&amp;IF($S85="","frame type, ",""),"")&amp;IF(AND(N($BC85)&gt;0,$Z85=""),"hand, ","")&amp;IF(N($BC85)&gt;0,IF($AH85="","door material, ","")&amp;IF($AL85="","face type, ","")&amp;IF($AQ85="","lock prep, ","")&amp;IF(AND($AP85="",$AC85=""),"hinge prep, ",""),"")&amp;IF(AND($BO85&gt;0,$AH85="FRP"),"FRP cannot carry a label, ","")&amp;IF(AND($O85="Y",OR($Z85="L",$Z85="R",$Z85="LR",$Z85="RR")),"pair marked but hand is single, ","")&amp;IF(AND($O85&lt;&gt;"Y",OR($Z85="PR",AND(LEN($Z85)&gt;1,ISNUMBER(SEARCH("-",$Z85))))),"pair hand on a single door, ","")&amp;IF(AND(ISNUMBER($BP85),$BO85&lt;N($BP85)),"wall needs a "&amp;$BP85&amp;" min door, ","")&amp;IF(AND($BO85&gt;=180,AND(OR($BL85="FG",$BL85="HG",$BL85="FNV",$BL85="FV"),N($BM85)*N($BN85)&gt;100)),"180 min lite over 100 sq in, ","")&amp;IF(N($BD85)&gt;48,"leaf wider than 4'-0"&amp;CHAR(34)&amp;", ",""))</f>
        <v/>
      </c>
      <c r="BX85" s="49">
        <f>IF($A85="","",IF(AND($BO85&gt;0,AND($A85&lt;&gt;"",$C85&lt;&gt;"DOOR ONLY"),$X85="KD",$E85="EXTERIOR"),"KD label on an exterior opening, ","")&amp;IF(AND($E85="EXTERIOR",OR(AND(AND($A85&lt;&gt;"",$C85&lt;&gt;"DOOR ONLY"),$W85="CR"),AND(N($BC85)&gt;0,$AH85="CR"))),"exterior in CR steel (G9?), ","")&amp;IF(AND(ISNUMBER($BJ85),N($BJ85)&lt;32),"clear width ~"&amp;TEXT($BJ85,"0.0")&amp;CHAR(34)&amp;" under 32"&amp;CHAR(34)&amp;" (ADA), ","")&amp;IF(AND($BO85=90,AND(OR($BL85="FG",$BL85="HG",$BL85="FNV",$BL85="FV"),N($BM85)*N($BN85)&gt;100)),"90 min lite over 100 sq in (stair/exit), ","")&amp;IF(AND($BO85&gt;0,AND($A85&lt;&gt;"",$C85&lt;&gt;"DOOR ONLY"),OR($AF85="",$AF85="-")),"rated: closer reinf.?, ","")&amp;IF(OR($I85="CORRIDOR",$I85="SMOKE BARRIER"),"S label + smoke gasketing, ","")&amp;IF($BP85="?","wall type/hr not in IBC table, ","")&amp;IF(AND(N($BC85)&gt;0,$AU85=""),"no hardware set, ","")&amp;IF(AND($AU85&lt;&gt;"",ISNA(MATCH($AU85,HWSets,0))),"set "&amp;$AU85&amp;" not on Hardware sheet, ","")&amp;IF(N($BE85)&gt;96,"leaf over 8'-0"&amp;CHAR(34)&amp;" - check listing, ",""))</f>
        <v/>
      </c>
    </row>
    <row r="86" ht="15" customHeight="1">
      <c r="A86" s="44" t="n"/>
      <c r="B86" s="45" t="n"/>
      <c r="C86" s="45" t="n"/>
      <c r="D86" s="45" t="n"/>
      <c r="E86" s="45" t="n"/>
      <c r="F86" s="45" t="n"/>
      <c r="G86" s="45" t="n"/>
      <c r="H86" s="45" t="n"/>
      <c r="I86" s="45" t="n"/>
      <c r="J86" s="45" t="n"/>
      <c r="K86" s="45" t="n"/>
      <c r="L86" s="45" t="n"/>
      <c r="M86" s="45" t="n"/>
      <c r="N86" s="45" t="n"/>
      <c r="O86" s="45" t="n"/>
      <c r="P86" s="45" t="n"/>
      <c r="Q86" s="45" t="n"/>
      <c r="R86" s="45" t="n"/>
      <c r="S86" s="46" t="n"/>
      <c r="T86" s="46" t="n"/>
      <c r="U86" s="46" t="n"/>
      <c r="V86" s="46" t="n"/>
      <c r="W86" s="46" t="n"/>
      <c r="X86" s="46" t="n"/>
      <c r="Y86" s="46" t="n"/>
      <c r="Z86" s="46" t="n"/>
      <c r="AA86" s="46" t="n"/>
      <c r="AB86" s="46" t="n"/>
      <c r="AC86" s="46" t="n"/>
      <c r="AD86" s="46" t="n"/>
      <c r="AE86" s="46" t="n"/>
      <c r="AF86" s="46" t="n"/>
      <c r="AG86" s="46" t="n"/>
      <c r="AH86" s="47" t="n"/>
      <c r="AI86" s="47" t="n"/>
      <c r="AJ86" s="47" t="n"/>
      <c r="AK86" s="47" t="n"/>
      <c r="AL86" s="47" t="n"/>
      <c r="AM86" s="47" t="n"/>
      <c r="AN86" s="47" t="n"/>
      <c r="AO86" s="47" t="n"/>
      <c r="AP86" s="47" t="n"/>
      <c r="AQ86" s="47" t="n"/>
      <c r="AR86" s="47" t="n"/>
      <c r="AS86" s="47" t="n"/>
      <c r="AT86" s="47" t="n"/>
      <c r="AU86" s="48" t="n"/>
      <c r="AV86" s="48" t="n"/>
      <c r="AW86" s="49">
        <f>IF($A86="","",IF($BW86&lt;&gt;"","FIX",IF($BX86&lt;&gt;"","CHECK","OK")))</f>
        <v/>
      </c>
      <c r="AX86" s="50">
        <f>IF($A86="","",IF($BW86&lt;&gt;"","FIX: "&amp;LEFT($BW86,LEN($BW86)-2)&amp;IF($BX86&lt;&gt;"","  ·  ",""),"")&amp;IF($BX86&lt;&gt;"","CHECK: "&amp;LEFT($BX86,LEN($BX86)-2),""))</f>
        <v/>
      </c>
      <c r="AY86" s="49">
        <f>IF(OR($A86="",$K86=""),"",$K86&amp;"'-"&amp;N($L86)&amp;CHAR(34)&amp;" x "&amp;$M86&amp;"'-"&amp;N($N86)&amp;CHAR(34))</f>
        <v/>
      </c>
      <c r="AZ86" s="49">
        <f>IF(OR($A86="",$K86=""),"",$K86&amp;N($L86)&amp;$M86&amp;N($N86))</f>
        <v/>
      </c>
      <c r="BA86" s="49">
        <f>IF(OR($A86="",$K86=""),"",$K86*12+N($L86))</f>
        <v/>
      </c>
      <c r="BB86" s="49">
        <f>IF(OR($A86="",$M86=""),"",$M86*12+N($N86))</f>
        <v/>
      </c>
      <c r="BC86" s="49">
        <f>IF($A86="","",IF(OR($C86="FRAME ONLY",$S86="BL"),0,IF($O86="Y",2,1)))</f>
        <v/>
      </c>
      <c r="BD86" s="51">
        <f>IF(OR(N($BC86)=0,$BA86=""),"",($BA86-2*EdgeClr-IF($BC86=2,MeetClr,0))/$BC86)</f>
        <v/>
      </c>
      <c r="BE86" s="51">
        <f>IF(OR(N($BC86)=0,$BB86=""),"",$BB86-HeadClr-Undercut)</f>
        <v/>
      </c>
      <c r="BF86" s="51">
        <f>IF($BA86="","",$BA86+2*FaceW+IF(N($Q86)&gt;0,($Q86+FaceW)*IF($R86="LR",2,1),0))</f>
        <v/>
      </c>
      <c r="BG86" s="51">
        <f>IF($BB86="","",$BB86+IF($AB86="Y",4,FaceW)+IF(N($P86)&gt;0,$P86+FaceW,0)+IF(OR($S86="4F",$S86="BL"),FaceW,0))</f>
        <v/>
      </c>
      <c r="BH86" s="51">
        <f>IF($BF86="","",$BF86+2*ROSide)</f>
        <v/>
      </c>
      <c r="BI86" s="51">
        <f>IF($BG86="","",$BG86+ROTop)</f>
        <v/>
      </c>
      <c r="BJ86" s="52">
        <f>IF(OR(N($BC86)=0,$BA86=""),"",$BA86/$BC86-ClearDeduct)</f>
        <v/>
      </c>
      <c r="BK86" s="49">
        <f>IF(OR(N($BC86)=0,$BE86=""),"",IF(OR($AC86="HGC",$AP86="HGC"),"CONT",IF($BE86&lt;=60,2,IF($BE86&lt;=90,3,IF($BE86&lt;=120,4,5)))))</f>
        <v/>
      </c>
      <c r="BL86" s="49">
        <f>IF(N($BC86)=0,"",IF(OR($AL86="",$AL86="FLUSH"),"FLUSH",IFERROR(LEFT($AL86,FIND("-",$AL86)-1),LEFT($AL86,2))))</f>
        <v/>
      </c>
      <c r="BM86" s="49">
        <f>IF($BL86="","",IFERROR(VALUE(MID($AL86,FIND("-",$AL86)+1,FIND(CHAR(34)&amp;"x",$AL86)-FIND("-",$AL86)-1)),0))</f>
        <v/>
      </c>
      <c r="BN86" s="49">
        <f>IF($BL86="","",IFERROR(VALUE(MID($AL86,FIND(CHAR(34)&amp;"x",$AL86)+2,FIND(CHAR(34),$AL86,FIND(CHAR(34)&amp;"x",$AL86)+2)-FIND(CHAR(34)&amp;"x",$AL86)-2)),0))</f>
        <v/>
      </c>
      <c r="BO86" s="53">
        <f>IF(OR($A86="",$H86="",$H86="NO LAB"),0,IFERROR(VALUE(LEFT($H86,FIND(" ",$H86)-1)),0))</f>
        <v/>
      </c>
      <c r="BP86" s="54">
        <f>IF(OR($A86="",$I86="",$I86="NON-RATED",N($J86)=0),"",IFERROR(VLOOKUP($I86&amp;"|"&amp;$J86,IBC,2,FALSE),"?"))</f>
        <v/>
      </c>
      <c r="BQ86" s="50">
        <f>IF(NOT(AND($A86&lt;&gt;"",$C86&lt;&gt;"DOOR ONLY")),"",TRIM(IFERROR(VLOOKUP($U86,CODES,2,FALSE),"")&amp;" "&amp;$AZ86&amp;" "&amp;IFERROR(VLOOKUP($Z86,CODES,2,FALSE),"")&amp;" "&amp;IFERROR(VLOOKUP($X86,CODES,2,FALSE),"")&amp;" "&amp;IFERROR(VLOOKUP($S86,CODES,2,FALSE),"")&amp;IF(N($P86)&gt;0," w/TRANSOM "&amp;$P86&amp;CHAR(34),"")&amp;IF(N($Q86)&gt;0," w/SIDELITE "&amp;$Q86&amp;CHAR(34)&amp;" "&amp;IF($R86="","R",$R86),"")&amp;IF($Y86="","  |  "," | "&amp;IFERROR(VLOOKUP($Y86,CODES,2,FALSE),"")&amp;" | ")&amp;IFERROR(VLOOKUP($AC86,CODES,2,FALSE),"")&amp;" "&amp;IFERROR(VLOOKUP($AD86,CODES,2,FALSE),"")&amp;IF(OR($AE86="",$AE86="-"),""," "&amp;$AE86)&amp;IF(OR($AF86="",$AF86="-"),""," "&amp;$AF86)&amp;IF($AB86="Y"," 4"&amp;CHAR(34)&amp;" HEAD","")&amp;" "&amp;IFERROR(VLOOKUP($H86,CODES,2,FALSE),"")))</f>
        <v/>
      </c>
      <c r="BR86" s="50">
        <f>IF(NOT(AND($A86&lt;&gt;"",N($BC86)&gt;0)),"",TRIM(IFERROR(VLOOKUP($AH86,CODES,2,FALSE),"")&amp;IF($AI86=""," "," "&amp;$AI86&amp;"GA ")&amp;$AZ86&amp;" "&amp;IF($AN86="",IFERROR(VLOOKUP($Z86,CODES,2,FALSE),""),IFERROR(VLOOKUP($AN86,CODES,2,FALSE),""))&amp;IF($BC86=2," PAIR","")&amp;" DOOR | "&amp;IF($AL86="","?",$AL86)&amp;" | "&amp;IF($AP86="",IFERROR(VLOOKUP($AC86,CODES,2,FALSE),""),IFERROR(VLOOKUP($AP86,CODES,2,FALSE),""))&amp;" "&amp;IFERROR(VLOOKUP($AQ86,CODES,2,FALSE),"")&amp;IF(OR($AR86="",$AR86="-"),""," SEAM "&amp;$AR86)&amp;IF($AS86="Y"," ASTRAGAL","")&amp;IF($AJ86=""," "," "&amp;$AJ86)&amp;IF($AK86=""," "," "&amp;$AK86)&amp;IF($AO86="",""," "&amp;$AO86)&amp;IF($AM86=""," "," SERIES "&amp;$AM86)&amp;" "&amp;IFERROR(VLOOKUP($H86,CODES,2,FALSE),"")))</f>
        <v/>
      </c>
      <c r="BS86" s="49">
        <f>IF(BV86="","",IF(COUNTIF($BV$6:BV86,BV86)=1,MAX($BS$5:BS85)+1,INDEX($BS$5:BS85,MATCH(BV86,$BV$5:BV85,0))))</f>
        <v/>
      </c>
      <c r="BT86" s="49">
        <f>IF(NOT(AND($A86&lt;&gt;"",$C86&lt;&gt;"DOOR ONLY")),"",MAX($BT$5:BT85)+1)</f>
        <v/>
      </c>
      <c r="BU86" s="49">
        <f>IF(NOT(AND($A86&lt;&gt;"",N($BC86)&gt;0)),"",MAX($BU$5:BU85)+1)</f>
        <v/>
      </c>
      <c r="BV86" s="49">
        <f>IF(OR($A86="",$BA86="",$BB86=""),"",$AZ86&amp;"|"&amp;$O86&amp;"|"&amp;$AL86&amp;"|"&amp;$S86&amp;"|"&amp;$P86&amp;"|"&amp;$Q86&amp;$R86&amp;"|"&amp;$C86&amp;"|"&amp;$AB86)</f>
        <v/>
      </c>
      <c r="BW86" s="49">
        <f>IF($A86="","",IF($B86="","qty, ","")&amp;IF($C86="","scope, ","")&amp;IF(OR($K86="",$M86=""),"size, ","")&amp;IF(AND($A86&lt;&gt;"",$C86&lt;&gt;"DOOR ONLY"),IF($U86="","jamb depth, ","")&amp;IF($X86="","construction, ","")&amp;IF($Y86="","anchor, ","")&amp;IF($S86="","frame type, ",""),"")&amp;IF(AND(N($BC86)&gt;0,$Z86=""),"hand, ","")&amp;IF(N($BC86)&gt;0,IF($AH86="","door material, ","")&amp;IF($AL86="","face type, ","")&amp;IF($AQ86="","lock prep, ","")&amp;IF(AND($AP86="",$AC86=""),"hinge prep, ",""),"")&amp;IF(AND($BO86&gt;0,$AH86="FRP"),"FRP cannot carry a label, ","")&amp;IF(AND($O86="Y",OR($Z86="L",$Z86="R",$Z86="LR",$Z86="RR")),"pair marked but hand is single, ","")&amp;IF(AND($O86&lt;&gt;"Y",OR($Z86="PR",AND(LEN($Z86)&gt;1,ISNUMBER(SEARCH("-",$Z86))))),"pair hand on a single door, ","")&amp;IF(AND(ISNUMBER($BP86),$BO86&lt;N($BP86)),"wall needs a "&amp;$BP86&amp;" min door, ","")&amp;IF(AND($BO86&gt;=180,AND(OR($BL86="FG",$BL86="HG",$BL86="FNV",$BL86="FV"),N($BM86)*N($BN86)&gt;100)),"180 min lite over 100 sq in, ","")&amp;IF(N($BD86)&gt;48,"leaf wider than 4'-0"&amp;CHAR(34)&amp;", ",""))</f>
        <v/>
      </c>
      <c r="BX86" s="49">
        <f>IF($A86="","",IF(AND($BO86&gt;0,AND($A86&lt;&gt;"",$C86&lt;&gt;"DOOR ONLY"),$X86="KD",$E86="EXTERIOR"),"KD label on an exterior opening, ","")&amp;IF(AND($E86="EXTERIOR",OR(AND(AND($A86&lt;&gt;"",$C86&lt;&gt;"DOOR ONLY"),$W86="CR"),AND(N($BC86)&gt;0,$AH86="CR"))),"exterior in CR steel (G9?), ","")&amp;IF(AND(ISNUMBER($BJ86),N($BJ86)&lt;32),"clear width ~"&amp;TEXT($BJ86,"0.0")&amp;CHAR(34)&amp;" under 32"&amp;CHAR(34)&amp;" (ADA), ","")&amp;IF(AND($BO86=90,AND(OR($BL86="FG",$BL86="HG",$BL86="FNV",$BL86="FV"),N($BM86)*N($BN86)&gt;100)),"90 min lite over 100 sq in (stair/exit), ","")&amp;IF(AND($BO86&gt;0,AND($A86&lt;&gt;"",$C86&lt;&gt;"DOOR ONLY"),OR($AF86="",$AF86="-")),"rated: closer reinf.?, ","")&amp;IF(OR($I86="CORRIDOR",$I86="SMOKE BARRIER"),"S label + smoke gasketing, ","")&amp;IF($BP86="?","wall type/hr not in IBC table, ","")&amp;IF(AND(N($BC86)&gt;0,$AU86=""),"no hardware set, ","")&amp;IF(AND($AU86&lt;&gt;"",ISNA(MATCH($AU86,HWSets,0))),"set "&amp;$AU86&amp;" not on Hardware sheet, ","")&amp;IF(N($BE86)&gt;96,"leaf over 8'-0"&amp;CHAR(34)&amp;" - check listing, ",""))</f>
        <v/>
      </c>
    </row>
    <row r="87" ht="15" customHeight="1">
      <c r="A87" s="44" t="n"/>
      <c r="B87" s="45" t="n"/>
      <c r="C87" s="45" t="n"/>
      <c r="D87" s="45" t="n"/>
      <c r="E87" s="45" t="n"/>
      <c r="F87" s="45" t="n"/>
      <c r="G87" s="45" t="n"/>
      <c r="H87" s="45" t="n"/>
      <c r="I87" s="45" t="n"/>
      <c r="J87" s="45" t="n"/>
      <c r="K87" s="45" t="n"/>
      <c r="L87" s="45" t="n"/>
      <c r="M87" s="45" t="n"/>
      <c r="N87" s="45" t="n"/>
      <c r="O87" s="45" t="n"/>
      <c r="P87" s="45" t="n"/>
      <c r="Q87" s="45" t="n"/>
      <c r="R87" s="45" t="n"/>
      <c r="S87" s="46" t="n"/>
      <c r="T87" s="46" t="n"/>
      <c r="U87" s="46" t="n"/>
      <c r="V87" s="46" t="n"/>
      <c r="W87" s="46" t="n"/>
      <c r="X87" s="46" t="n"/>
      <c r="Y87" s="46" t="n"/>
      <c r="Z87" s="46" t="n"/>
      <c r="AA87" s="46" t="n"/>
      <c r="AB87" s="46" t="n"/>
      <c r="AC87" s="46" t="n"/>
      <c r="AD87" s="46" t="n"/>
      <c r="AE87" s="46" t="n"/>
      <c r="AF87" s="46" t="n"/>
      <c r="AG87" s="46" t="n"/>
      <c r="AH87" s="47" t="n"/>
      <c r="AI87" s="47" t="n"/>
      <c r="AJ87" s="47" t="n"/>
      <c r="AK87" s="47" t="n"/>
      <c r="AL87" s="47" t="n"/>
      <c r="AM87" s="47" t="n"/>
      <c r="AN87" s="47" t="n"/>
      <c r="AO87" s="47" t="n"/>
      <c r="AP87" s="47" t="n"/>
      <c r="AQ87" s="47" t="n"/>
      <c r="AR87" s="47" t="n"/>
      <c r="AS87" s="47" t="n"/>
      <c r="AT87" s="47" t="n"/>
      <c r="AU87" s="48" t="n"/>
      <c r="AV87" s="48" t="n"/>
      <c r="AW87" s="49">
        <f>IF($A87="","",IF($BW87&lt;&gt;"","FIX",IF($BX87&lt;&gt;"","CHECK","OK")))</f>
        <v/>
      </c>
      <c r="AX87" s="50">
        <f>IF($A87="","",IF($BW87&lt;&gt;"","FIX: "&amp;LEFT($BW87,LEN($BW87)-2)&amp;IF($BX87&lt;&gt;"","  ·  ",""),"")&amp;IF($BX87&lt;&gt;"","CHECK: "&amp;LEFT($BX87,LEN($BX87)-2),""))</f>
        <v/>
      </c>
      <c r="AY87" s="49">
        <f>IF(OR($A87="",$K87=""),"",$K87&amp;"'-"&amp;N($L87)&amp;CHAR(34)&amp;" x "&amp;$M87&amp;"'-"&amp;N($N87)&amp;CHAR(34))</f>
        <v/>
      </c>
      <c r="AZ87" s="49">
        <f>IF(OR($A87="",$K87=""),"",$K87&amp;N($L87)&amp;$M87&amp;N($N87))</f>
        <v/>
      </c>
      <c r="BA87" s="49">
        <f>IF(OR($A87="",$K87=""),"",$K87*12+N($L87))</f>
        <v/>
      </c>
      <c r="BB87" s="49">
        <f>IF(OR($A87="",$M87=""),"",$M87*12+N($N87))</f>
        <v/>
      </c>
      <c r="BC87" s="49">
        <f>IF($A87="","",IF(OR($C87="FRAME ONLY",$S87="BL"),0,IF($O87="Y",2,1)))</f>
        <v/>
      </c>
      <c r="BD87" s="51">
        <f>IF(OR(N($BC87)=0,$BA87=""),"",($BA87-2*EdgeClr-IF($BC87=2,MeetClr,0))/$BC87)</f>
        <v/>
      </c>
      <c r="BE87" s="51">
        <f>IF(OR(N($BC87)=0,$BB87=""),"",$BB87-HeadClr-Undercut)</f>
        <v/>
      </c>
      <c r="BF87" s="51">
        <f>IF($BA87="","",$BA87+2*FaceW+IF(N($Q87)&gt;0,($Q87+FaceW)*IF($R87="LR",2,1),0))</f>
        <v/>
      </c>
      <c r="BG87" s="51">
        <f>IF($BB87="","",$BB87+IF($AB87="Y",4,FaceW)+IF(N($P87)&gt;0,$P87+FaceW,0)+IF(OR($S87="4F",$S87="BL"),FaceW,0))</f>
        <v/>
      </c>
      <c r="BH87" s="51">
        <f>IF($BF87="","",$BF87+2*ROSide)</f>
        <v/>
      </c>
      <c r="BI87" s="51">
        <f>IF($BG87="","",$BG87+ROTop)</f>
        <v/>
      </c>
      <c r="BJ87" s="52">
        <f>IF(OR(N($BC87)=0,$BA87=""),"",$BA87/$BC87-ClearDeduct)</f>
        <v/>
      </c>
      <c r="BK87" s="49">
        <f>IF(OR(N($BC87)=0,$BE87=""),"",IF(OR($AC87="HGC",$AP87="HGC"),"CONT",IF($BE87&lt;=60,2,IF($BE87&lt;=90,3,IF($BE87&lt;=120,4,5)))))</f>
        <v/>
      </c>
      <c r="BL87" s="49">
        <f>IF(N($BC87)=0,"",IF(OR($AL87="",$AL87="FLUSH"),"FLUSH",IFERROR(LEFT($AL87,FIND("-",$AL87)-1),LEFT($AL87,2))))</f>
        <v/>
      </c>
      <c r="BM87" s="49">
        <f>IF($BL87="","",IFERROR(VALUE(MID($AL87,FIND("-",$AL87)+1,FIND(CHAR(34)&amp;"x",$AL87)-FIND("-",$AL87)-1)),0))</f>
        <v/>
      </c>
      <c r="BN87" s="49">
        <f>IF($BL87="","",IFERROR(VALUE(MID($AL87,FIND(CHAR(34)&amp;"x",$AL87)+2,FIND(CHAR(34),$AL87,FIND(CHAR(34)&amp;"x",$AL87)+2)-FIND(CHAR(34)&amp;"x",$AL87)-2)),0))</f>
        <v/>
      </c>
      <c r="BO87" s="53">
        <f>IF(OR($A87="",$H87="",$H87="NO LAB"),0,IFERROR(VALUE(LEFT($H87,FIND(" ",$H87)-1)),0))</f>
        <v/>
      </c>
      <c r="BP87" s="54">
        <f>IF(OR($A87="",$I87="",$I87="NON-RATED",N($J87)=0),"",IFERROR(VLOOKUP($I87&amp;"|"&amp;$J87,IBC,2,FALSE),"?"))</f>
        <v/>
      </c>
      <c r="BQ87" s="50">
        <f>IF(NOT(AND($A87&lt;&gt;"",$C87&lt;&gt;"DOOR ONLY")),"",TRIM(IFERROR(VLOOKUP($U87,CODES,2,FALSE),"")&amp;" "&amp;$AZ87&amp;" "&amp;IFERROR(VLOOKUP($Z87,CODES,2,FALSE),"")&amp;" "&amp;IFERROR(VLOOKUP($X87,CODES,2,FALSE),"")&amp;" "&amp;IFERROR(VLOOKUP($S87,CODES,2,FALSE),"")&amp;IF(N($P87)&gt;0," w/TRANSOM "&amp;$P87&amp;CHAR(34),"")&amp;IF(N($Q87)&gt;0," w/SIDELITE "&amp;$Q87&amp;CHAR(34)&amp;" "&amp;IF($R87="","R",$R87),"")&amp;IF($Y87="","  |  "," | "&amp;IFERROR(VLOOKUP($Y87,CODES,2,FALSE),"")&amp;" | ")&amp;IFERROR(VLOOKUP($AC87,CODES,2,FALSE),"")&amp;" "&amp;IFERROR(VLOOKUP($AD87,CODES,2,FALSE),"")&amp;IF(OR($AE87="",$AE87="-"),""," "&amp;$AE87)&amp;IF(OR($AF87="",$AF87="-"),""," "&amp;$AF87)&amp;IF($AB87="Y"," 4"&amp;CHAR(34)&amp;" HEAD","")&amp;" "&amp;IFERROR(VLOOKUP($H87,CODES,2,FALSE),"")))</f>
        <v/>
      </c>
      <c r="BR87" s="50">
        <f>IF(NOT(AND($A87&lt;&gt;"",N($BC87)&gt;0)),"",TRIM(IFERROR(VLOOKUP($AH87,CODES,2,FALSE),"")&amp;IF($AI87=""," "," "&amp;$AI87&amp;"GA ")&amp;$AZ87&amp;" "&amp;IF($AN87="",IFERROR(VLOOKUP($Z87,CODES,2,FALSE),""),IFERROR(VLOOKUP($AN87,CODES,2,FALSE),""))&amp;IF($BC87=2," PAIR","")&amp;" DOOR | "&amp;IF($AL87="","?",$AL87)&amp;" | "&amp;IF($AP87="",IFERROR(VLOOKUP($AC87,CODES,2,FALSE),""),IFERROR(VLOOKUP($AP87,CODES,2,FALSE),""))&amp;" "&amp;IFERROR(VLOOKUP($AQ87,CODES,2,FALSE),"")&amp;IF(OR($AR87="",$AR87="-"),""," SEAM "&amp;$AR87)&amp;IF($AS87="Y"," ASTRAGAL","")&amp;IF($AJ87=""," "," "&amp;$AJ87)&amp;IF($AK87=""," "," "&amp;$AK87)&amp;IF($AO87="",""," "&amp;$AO87)&amp;IF($AM87=""," "," SERIES "&amp;$AM87)&amp;" "&amp;IFERROR(VLOOKUP($H87,CODES,2,FALSE),"")))</f>
        <v/>
      </c>
      <c r="BS87" s="49">
        <f>IF(BV87="","",IF(COUNTIF($BV$6:BV87,BV87)=1,MAX($BS$5:BS86)+1,INDEX($BS$5:BS86,MATCH(BV87,$BV$5:BV86,0))))</f>
        <v/>
      </c>
      <c r="BT87" s="49">
        <f>IF(NOT(AND($A87&lt;&gt;"",$C87&lt;&gt;"DOOR ONLY")),"",MAX($BT$5:BT86)+1)</f>
        <v/>
      </c>
      <c r="BU87" s="49">
        <f>IF(NOT(AND($A87&lt;&gt;"",N($BC87)&gt;0)),"",MAX($BU$5:BU86)+1)</f>
        <v/>
      </c>
      <c r="BV87" s="49">
        <f>IF(OR($A87="",$BA87="",$BB87=""),"",$AZ87&amp;"|"&amp;$O87&amp;"|"&amp;$AL87&amp;"|"&amp;$S87&amp;"|"&amp;$P87&amp;"|"&amp;$Q87&amp;$R87&amp;"|"&amp;$C87&amp;"|"&amp;$AB87)</f>
        <v/>
      </c>
      <c r="BW87" s="49">
        <f>IF($A87="","",IF($B87="","qty, ","")&amp;IF($C87="","scope, ","")&amp;IF(OR($K87="",$M87=""),"size, ","")&amp;IF(AND($A87&lt;&gt;"",$C87&lt;&gt;"DOOR ONLY"),IF($U87="","jamb depth, ","")&amp;IF($X87="","construction, ","")&amp;IF($Y87="","anchor, ","")&amp;IF($S87="","frame type, ",""),"")&amp;IF(AND(N($BC87)&gt;0,$Z87=""),"hand, ","")&amp;IF(N($BC87)&gt;0,IF($AH87="","door material, ","")&amp;IF($AL87="","face type, ","")&amp;IF($AQ87="","lock prep, ","")&amp;IF(AND($AP87="",$AC87=""),"hinge prep, ",""),"")&amp;IF(AND($BO87&gt;0,$AH87="FRP"),"FRP cannot carry a label, ","")&amp;IF(AND($O87="Y",OR($Z87="L",$Z87="R",$Z87="LR",$Z87="RR")),"pair marked but hand is single, ","")&amp;IF(AND($O87&lt;&gt;"Y",OR($Z87="PR",AND(LEN($Z87)&gt;1,ISNUMBER(SEARCH("-",$Z87))))),"pair hand on a single door, ","")&amp;IF(AND(ISNUMBER($BP87),$BO87&lt;N($BP87)),"wall needs a "&amp;$BP87&amp;" min door, ","")&amp;IF(AND($BO87&gt;=180,AND(OR($BL87="FG",$BL87="HG",$BL87="FNV",$BL87="FV"),N($BM87)*N($BN87)&gt;100)),"180 min lite over 100 sq in, ","")&amp;IF(N($BD87)&gt;48,"leaf wider than 4'-0"&amp;CHAR(34)&amp;", ",""))</f>
        <v/>
      </c>
      <c r="BX87" s="49">
        <f>IF($A87="","",IF(AND($BO87&gt;0,AND($A87&lt;&gt;"",$C87&lt;&gt;"DOOR ONLY"),$X87="KD",$E87="EXTERIOR"),"KD label on an exterior opening, ","")&amp;IF(AND($E87="EXTERIOR",OR(AND(AND($A87&lt;&gt;"",$C87&lt;&gt;"DOOR ONLY"),$W87="CR"),AND(N($BC87)&gt;0,$AH87="CR"))),"exterior in CR steel (G9?), ","")&amp;IF(AND(ISNUMBER($BJ87),N($BJ87)&lt;32),"clear width ~"&amp;TEXT($BJ87,"0.0")&amp;CHAR(34)&amp;" under 32"&amp;CHAR(34)&amp;" (ADA), ","")&amp;IF(AND($BO87=90,AND(OR($BL87="FG",$BL87="HG",$BL87="FNV",$BL87="FV"),N($BM87)*N($BN87)&gt;100)),"90 min lite over 100 sq in (stair/exit), ","")&amp;IF(AND($BO87&gt;0,AND($A87&lt;&gt;"",$C87&lt;&gt;"DOOR ONLY"),OR($AF87="",$AF87="-")),"rated: closer reinf.?, ","")&amp;IF(OR($I87="CORRIDOR",$I87="SMOKE BARRIER"),"S label + smoke gasketing, ","")&amp;IF($BP87="?","wall type/hr not in IBC table, ","")&amp;IF(AND(N($BC87)&gt;0,$AU87=""),"no hardware set, ","")&amp;IF(AND($AU87&lt;&gt;"",ISNA(MATCH($AU87,HWSets,0))),"set "&amp;$AU87&amp;" not on Hardware sheet, ","")&amp;IF(N($BE87)&gt;96,"leaf over 8'-0"&amp;CHAR(34)&amp;" - check listing, ",""))</f>
        <v/>
      </c>
    </row>
    <row r="88" ht="15" customHeight="1">
      <c r="A88" s="44" t="n"/>
      <c r="B88" s="45" t="n"/>
      <c r="C88" s="45" t="n"/>
      <c r="D88" s="45" t="n"/>
      <c r="E88" s="45" t="n"/>
      <c r="F88" s="45" t="n"/>
      <c r="G88" s="45" t="n"/>
      <c r="H88" s="45" t="n"/>
      <c r="I88" s="45" t="n"/>
      <c r="J88" s="45" t="n"/>
      <c r="K88" s="45" t="n"/>
      <c r="L88" s="45" t="n"/>
      <c r="M88" s="45" t="n"/>
      <c r="N88" s="45" t="n"/>
      <c r="O88" s="45" t="n"/>
      <c r="P88" s="45" t="n"/>
      <c r="Q88" s="45" t="n"/>
      <c r="R88" s="45" t="n"/>
      <c r="S88" s="46" t="n"/>
      <c r="T88" s="46" t="n"/>
      <c r="U88" s="46" t="n"/>
      <c r="V88" s="46" t="n"/>
      <c r="W88" s="46" t="n"/>
      <c r="X88" s="46" t="n"/>
      <c r="Y88" s="46" t="n"/>
      <c r="Z88" s="46" t="n"/>
      <c r="AA88" s="46" t="n"/>
      <c r="AB88" s="46" t="n"/>
      <c r="AC88" s="46" t="n"/>
      <c r="AD88" s="46" t="n"/>
      <c r="AE88" s="46" t="n"/>
      <c r="AF88" s="46" t="n"/>
      <c r="AG88" s="46" t="n"/>
      <c r="AH88" s="47" t="n"/>
      <c r="AI88" s="47" t="n"/>
      <c r="AJ88" s="47" t="n"/>
      <c r="AK88" s="47" t="n"/>
      <c r="AL88" s="47" t="n"/>
      <c r="AM88" s="47" t="n"/>
      <c r="AN88" s="47" t="n"/>
      <c r="AO88" s="47" t="n"/>
      <c r="AP88" s="47" t="n"/>
      <c r="AQ88" s="47" t="n"/>
      <c r="AR88" s="47" t="n"/>
      <c r="AS88" s="47" t="n"/>
      <c r="AT88" s="47" t="n"/>
      <c r="AU88" s="48" t="n"/>
      <c r="AV88" s="48" t="n"/>
      <c r="AW88" s="49">
        <f>IF($A88="","",IF($BW88&lt;&gt;"","FIX",IF($BX88&lt;&gt;"","CHECK","OK")))</f>
        <v/>
      </c>
      <c r="AX88" s="50">
        <f>IF($A88="","",IF($BW88&lt;&gt;"","FIX: "&amp;LEFT($BW88,LEN($BW88)-2)&amp;IF($BX88&lt;&gt;"","  ·  ",""),"")&amp;IF($BX88&lt;&gt;"","CHECK: "&amp;LEFT($BX88,LEN($BX88)-2),""))</f>
        <v/>
      </c>
      <c r="AY88" s="49">
        <f>IF(OR($A88="",$K88=""),"",$K88&amp;"'-"&amp;N($L88)&amp;CHAR(34)&amp;" x "&amp;$M88&amp;"'-"&amp;N($N88)&amp;CHAR(34))</f>
        <v/>
      </c>
      <c r="AZ88" s="49">
        <f>IF(OR($A88="",$K88=""),"",$K88&amp;N($L88)&amp;$M88&amp;N($N88))</f>
        <v/>
      </c>
      <c r="BA88" s="49">
        <f>IF(OR($A88="",$K88=""),"",$K88*12+N($L88))</f>
        <v/>
      </c>
      <c r="BB88" s="49">
        <f>IF(OR($A88="",$M88=""),"",$M88*12+N($N88))</f>
        <v/>
      </c>
      <c r="BC88" s="49">
        <f>IF($A88="","",IF(OR($C88="FRAME ONLY",$S88="BL"),0,IF($O88="Y",2,1)))</f>
        <v/>
      </c>
      <c r="BD88" s="51">
        <f>IF(OR(N($BC88)=0,$BA88=""),"",($BA88-2*EdgeClr-IF($BC88=2,MeetClr,0))/$BC88)</f>
        <v/>
      </c>
      <c r="BE88" s="51">
        <f>IF(OR(N($BC88)=0,$BB88=""),"",$BB88-HeadClr-Undercut)</f>
        <v/>
      </c>
      <c r="BF88" s="51">
        <f>IF($BA88="","",$BA88+2*FaceW+IF(N($Q88)&gt;0,($Q88+FaceW)*IF($R88="LR",2,1),0))</f>
        <v/>
      </c>
      <c r="BG88" s="51">
        <f>IF($BB88="","",$BB88+IF($AB88="Y",4,FaceW)+IF(N($P88)&gt;0,$P88+FaceW,0)+IF(OR($S88="4F",$S88="BL"),FaceW,0))</f>
        <v/>
      </c>
      <c r="BH88" s="51">
        <f>IF($BF88="","",$BF88+2*ROSide)</f>
        <v/>
      </c>
      <c r="BI88" s="51">
        <f>IF($BG88="","",$BG88+ROTop)</f>
        <v/>
      </c>
      <c r="BJ88" s="52">
        <f>IF(OR(N($BC88)=0,$BA88=""),"",$BA88/$BC88-ClearDeduct)</f>
        <v/>
      </c>
      <c r="BK88" s="49">
        <f>IF(OR(N($BC88)=0,$BE88=""),"",IF(OR($AC88="HGC",$AP88="HGC"),"CONT",IF($BE88&lt;=60,2,IF($BE88&lt;=90,3,IF($BE88&lt;=120,4,5)))))</f>
        <v/>
      </c>
      <c r="BL88" s="49">
        <f>IF(N($BC88)=0,"",IF(OR($AL88="",$AL88="FLUSH"),"FLUSH",IFERROR(LEFT($AL88,FIND("-",$AL88)-1),LEFT($AL88,2))))</f>
        <v/>
      </c>
      <c r="BM88" s="49">
        <f>IF($BL88="","",IFERROR(VALUE(MID($AL88,FIND("-",$AL88)+1,FIND(CHAR(34)&amp;"x",$AL88)-FIND("-",$AL88)-1)),0))</f>
        <v/>
      </c>
      <c r="BN88" s="49">
        <f>IF($BL88="","",IFERROR(VALUE(MID($AL88,FIND(CHAR(34)&amp;"x",$AL88)+2,FIND(CHAR(34),$AL88,FIND(CHAR(34)&amp;"x",$AL88)+2)-FIND(CHAR(34)&amp;"x",$AL88)-2)),0))</f>
        <v/>
      </c>
      <c r="BO88" s="53">
        <f>IF(OR($A88="",$H88="",$H88="NO LAB"),0,IFERROR(VALUE(LEFT($H88,FIND(" ",$H88)-1)),0))</f>
        <v/>
      </c>
      <c r="BP88" s="54">
        <f>IF(OR($A88="",$I88="",$I88="NON-RATED",N($J88)=0),"",IFERROR(VLOOKUP($I88&amp;"|"&amp;$J88,IBC,2,FALSE),"?"))</f>
        <v/>
      </c>
      <c r="BQ88" s="50">
        <f>IF(NOT(AND($A88&lt;&gt;"",$C88&lt;&gt;"DOOR ONLY")),"",TRIM(IFERROR(VLOOKUP($U88,CODES,2,FALSE),"")&amp;" "&amp;$AZ88&amp;" "&amp;IFERROR(VLOOKUP($Z88,CODES,2,FALSE),"")&amp;" "&amp;IFERROR(VLOOKUP($X88,CODES,2,FALSE),"")&amp;" "&amp;IFERROR(VLOOKUP($S88,CODES,2,FALSE),"")&amp;IF(N($P88)&gt;0," w/TRANSOM "&amp;$P88&amp;CHAR(34),"")&amp;IF(N($Q88)&gt;0," w/SIDELITE "&amp;$Q88&amp;CHAR(34)&amp;" "&amp;IF($R88="","R",$R88),"")&amp;IF($Y88="","  |  "," | "&amp;IFERROR(VLOOKUP($Y88,CODES,2,FALSE),"")&amp;" | ")&amp;IFERROR(VLOOKUP($AC88,CODES,2,FALSE),"")&amp;" "&amp;IFERROR(VLOOKUP($AD88,CODES,2,FALSE),"")&amp;IF(OR($AE88="",$AE88="-"),""," "&amp;$AE88)&amp;IF(OR($AF88="",$AF88="-"),""," "&amp;$AF88)&amp;IF($AB88="Y"," 4"&amp;CHAR(34)&amp;" HEAD","")&amp;" "&amp;IFERROR(VLOOKUP($H88,CODES,2,FALSE),"")))</f>
        <v/>
      </c>
      <c r="BR88" s="50">
        <f>IF(NOT(AND($A88&lt;&gt;"",N($BC88)&gt;0)),"",TRIM(IFERROR(VLOOKUP($AH88,CODES,2,FALSE),"")&amp;IF($AI88=""," "," "&amp;$AI88&amp;"GA ")&amp;$AZ88&amp;" "&amp;IF($AN88="",IFERROR(VLOOKUP($Z88,CODES,2,FALSE),""),IFERROR(VLOOKUP($AN88,CODES,2,FALSE),""))&amp;IF($BC88=2," PAIR","")&amp;" DOOR | "&amp;IF($AL88="","?",$AL88)&amp;" | "&amp;IF($AP88="",IFERROR(VLOOKUP($AC88,CODES,2,FALSE),""),IFERROR(VLOOKUP($AP88,CODES,2,FALSE),""))&amp;" "&amp;IFERROR(VLOOKUP($AQ88,CODES,2,FALSE),"")&amp;IF(OR($AR88="",$AR88="-"),""," SEAM "&amp;$AR88)&amp;IF($AS88="Y"," ASTRAGAL","")&amp;IF($AJ88=""," "," "&amp;$AJ88)&amp;IF($AK88=""," "," "&amp;$AK88)&amp;IF($AO88="",""," "&amp;$AO88)&amp;IF($AM88=""," "," SERIES "&amp;$AM88)&amp;" "&amp;IFERROR(VLOOKUP($H88,CODES,2,FALSE),"")))</f>
        <v/>
      </c>
      <c r="BS88" s="49">
        <f>IF(BV88="","",IF(COUNTIF($BV$6:BV88,BV88)=1,MAX($BS$5:BS87)+1,INDEX($BS$5:BS87,MATCH(BV88,$BV$5:BV87,0))))</f>
        <v/>
      </c>
      <c r="BT88" s="49">
        <f>IF(NOT(AND($A88&lt;&gt;"",$C88&lt;&gt;"DOOR ONLY")),"",MAX($BT$5:BT87)+1)</f>
        <v/>
      </c>
      <c r="BU88" s="49">
        <f>IF(NOT(AND($A88&lt;&gt;"",N($BC88)&gt;0)),"",MAX($BU$5:BU87)+1)</f>
        <v/>
      </c>
      <c r="BV88" s="49">
        <f>IF(OR($A88="",$BA88="",$BB88=""),"",$AZ88&amp;"|"&amp;$O88&amp;"|"&amp;$AL88&amp;"|"&amp;$S88&amp;"|"&amp;$P88&amp;"|"&amp;$Q88&amp;$R88&amp;"|"&amp;$C88&amp;"|"&amp;$AB88)</f>
        <v/>
      </c>
      <c r="BW88" s="49">
        <f>IF($A88="","",IF($B88="","qty, ","")&amp;IF($C88="","scope, ","")&amp;IF(OR($K88="",$M88=""),"size, ","")&amp;IF(AND($A88&lt;&gt;"",$C88&lt;&gt;"DOOR ONLY"),IF($U88="","jamb depth, ","")&amp;IF($X88="","construction, ","")&amp;IF($Y88="","anchor, ","")&amp;IF($S88="","frame type, ",""),"")&amp;IF(AND(N($BC88)&gt;0,$Z88=""),"hand, ","")&amp;IF(N($BC88)&gt;0,IF($AH88="","door material, ","")&amp;IF($AL88="","face type, ","")&amp;IF($AQ88="","lock prep, ","")&amp;IF(AND($AP88="",$AC88=""),"hinge prep, ",""),"")&amp;IF(AND($BO88&gt;0,$AH88="FRP"),"FRP cannot carry a label, ","")&amp;IF(AND($O88="Y",OR($Z88="L",$Z88="R",$Z88="LR",$Z88="RR")),"pair marked but hand is single, ","")&amp;IF(AND($O88&lt;&gt;"Y",OR($Z88="PR",AND(LEN($Z88)&gt;1,ISNUMBER(SEARCH("-",$Z88))))),"pair hand on a single door, ","")&amp;IF(AND(ISNUMBER($BP88),$BO88&lt;N($BP88)),"wall needs a "&amp;$BP88&amp;" min door, ","")&amp;IF(AND($BO88&gt;=180,AND(OR($BL88="FG",$BL88="HG",$BL88="FNV",$BL88="FV"),N($BM88)*N($BN88)&gt;100)),"180 min lite over 100 sq in, ","")&amp;IF(N($BD88)&gt;48,"leaf wider than 4'-0"&amp;CHAR(34)&amp;", ",""))</f>
        <v/>
      </c>
      <c r="BX88" s="49">
        <f>IF($A88="","",IF(AND($BO88&gt;0,AND($A88&lt;&gt;"",$C88&lt;&gt;"DOOR ONLY"),$X88="KD",$E88="EXTERIOR"),"KD label on an exterior opening, ","")&amp;IF(AND($E88="EXTERIOR",OR(AND(AND($A88&lt;&gt;"",$C88&lt;&gt;"DOOR ONLY"),$W88="CR"),AND(N($BC88)&gt;0,$AH88="CR"))),"exterior in CR steel (G9?), ","")&amp;IF(AND(ISNUMBER($BJ88),N($BJ88)&lt;32),"clear width ~"&amp;TEXT($BJ88,"0.0")&amp;CHAR(34)&amp;" under 32"&amp;CHAR(34)&amp;" (ADA), ","")&amp;IF(AND($BO88=90,AND(OR($BL88="FG",$BL88="HG",$BL88="FNV",$BL88="FV"),N($BM88)*N($BN88)&gt;100)),"90 min lite over 100 sq in (stair/exit), ","")&amp;IF(AND($BO88&gt;0,AND($A88&lt;&gt;"",$C88&lt;&gt;"DOOR ONLY"),OR($AF88="",$AF88="-")),"rated: closer reinf.?, ","")&amp;IF(OR($I88="CORRIDOR",$I88="SMOKE BARRIER"),"S label + smoke gasketing, ","")&amp;IF($BP88="?","wall type/hr not in IBC table, ","")&amp;IF(AND(N($BC88)&gt;0,$AU88=""),"no hardware set, ","")&amp;IF(AND($AU88&lt;&gt;"",ISNA(MATCH($AU88,HWSets,0))),"set "&amp;$AU88&amp;" not on Hardware sheet, ","")&amp;IF(N($BE88)&gt;96,"leaf over 8'-0"&amp;CHAR(34)&amp;" - check listing, ",""))</f>
        <v/>
      </c>
    </row>
    <row r="89" ht="15" customHeight="1">
      <c r="A89" s="44" t="n"/>
      <c r="B89" s="45" t="n"/>
      <c r="C89" s="45" t="n"/>
      <c r="D89" s="45" t="n"/>
      <c r="E89" s="45" t="n"/>
      <c r="F89" s="45" t="n"/>
      <c r="G89" s="45" t="n"/>
      <c r="H89" s="45" t="n"/>
      <c r="I89" s="45" t="n"/>
      <c r="J89" s="45" t="n"/>
      <c r="K89" s="45" t="n"/>
      <c r="L89" s="45" t="n"/>
      <c r="M89" s="45" t="n"/>
      <c r="N89" s="45" t="n"/>
      <c r="O89" s="45" t="n"/>
      <c r="P89" s="45" t="n"/>
      <c r="Q89" s="45" t="n"/>
      <c r="R89" s="45" t="n"/>
      <c r="S89" s="46" t="n"/>
      <c r="T89" s="46" t="n"/>
      <c r="U89" s="46" t="n"/>
      <c r="V89" s="46" t="n"/>
      <c r="W89" s="46" t="n"/>
      <c r="X89" s="46" t="n"/>
      <c r="Y89" s="46" t="n"/>
      <c r="Z89" s="46" t="n"/>
      <c r="AA89" s="46" t="n"/>
      <c r="AB89" s="46" t="n"/>
      <c r="AC89" s="46" t="n"/>
      <c r="AD89" s="46" t="n"/>
      <c r="AE89" s="46" t="n"/>
      <c r="AF89" s="46" t="n"/>
      <c r="AG89" s="46" t="n"/>
      <c r="AH89" s="47" t="n"/>
      <c r="AI89" s="47" t="n"/>
      <c r="AJ89" s="47" t="n"/>
      <c r="AK89" s="47" t="n"/>
      <c r="AL89" s="47" t="n"/>
      <c r="AM89" s="47" t="n"/>
      <c r="AN89" s="47" t="n"/>
      <c r="AO89" s="47" t="n"/>
      <c r="AP89" s="47" t="n"/>
      <c r="AQ89" s="47" t="n"/>
      <c r="AR89" s="47" t="n"/>
      <c r="AS89" s="47" t="n"/>
      <c r="AT89" s="47" t="n"/>
      <c r="AU89" s="48" t="n"/>
      <c r="AV89" s="48" t="n"/>
      <c r="AW89" s="49">
        <f>IF($A89="","",IF($BW89&lt;&gt;"","FIX",IF($BX89&lt;&gt;"","CHECK","OK")))</f>
        <v/>
      </c>
      <c r="AX89" s="50">
        <f>IF($A89="","",IF($BW89&lt;&gt;"","FIX: "&amp;LEFT($BW89,LEN($BW89)-2)&amp;IF($BX89&lt;&gt;"","  ·  ",""),"")&amp;IF($BX89&lt;&gt;"","CHECK: "&amp;LEFT($BX89,LEN($BX89)-2),""))</f>
        <v/>
      </c>
      <c r="AY89" s="49">
        <f>IF(OR($A89="",$K89=""),"",$K89&amp;"'-"&amp;N($L89)&amp;CHAR(34)&amp;" x "&amp;$M89&amp;"'-"&amp;N($N89)&amp;CHAR(34))</f>
        <v/>
      </c>
      <c r="AZ89" s="49">
        <f>IF(OR($A89="",$K89=""),"",$K89&amp;N($L89)&amp;$M89&amp;N($N89))</f>
        <v/>
      </c>
      <c r="BA89" s="49">
        <f>IF(OR($A89="",$K89=""),"",$K89*12+N($L89))</f>
        <v/>
      </c>
      <c r="BB89" s="49">
        <f>IF(OR($A89="",$M89=""),"",$M89*12+N($N89))</f>
        <v/>
      </c>
      <c r="BC89" s="49">
        <f>IF($A89="","",IF(OR($C89="FRAME ONLY",$S89="BL"),0,IF($O89="Y",2,1)))</f>
        <v/>
      </c>
      <c r="BD89" s="51">
        <f>IF(OR(N($BC89)=0,$BA89=""),"",($BA89-2*EdgeClr-IF($BC89=2,MeetClr,0))/$BC89)</f>
        <v/>
      </c>
      <c r="BE89" s="51">
        <f>IF(OR(N($BC89)=0,$BB89=""),"",$BB89-HeadClr-Undercut)</f>
        <v/>
      </c>
      <c r="BF89" s="51">
        <f>IF($BA89="","",$BA89+2*FaceW+IF(N($Q89)&gt;0,($Q89+FaceW)*IF($R89="LR",2,1),0))</f>
        <v/>
      </c>
      <c r="BG89" s="51">
        <f>IF($BB89="","",$BB89+IF($AB89="Y",4,FaceW)+IF(N($P89)&gt;0,$P89+FaceW,0)+IF(OR($S89="4F",$S89="BL"),FaceW,0))</f>
        <v/>
      </c>
      <c r="BH89" s="51">
        <f>IF($BF89="","",$BF89+2*ROSide)</f>
        <v/>
      </c>
      <c r="BI89" s="51">
        <f>IF($BG89="","",$BG89+ROTop)</f>
        <v/>
      </c>
      <c r="BJ89" s="52">
        <f>IF(OR(N($BC89)=0,$BA89=""),"",$BA89/$BC89-ClearDeduct)</f>
        <v/>
      </c>
      <c r="BK89" s="49">
        <f>IF(OR(N($BC89)=0,$BE89=""),"",IF(OR($AC89="HGC",$AP89="HGC"),"CONT",IF($BE89&lt;=60,2,IF($BE89&lt;=90,3,IF($BE89&lt;=120,4,5)))))</f>
        <v/>
      </c>
      <c r="BL89" s="49">
        <f>IF(N($BC89)=0,"",IF(OR($AL89="",$AL89="FLUSH"),"FLUSH",IFERROR(LEFT($AL89,FIND("-",$AL89)-1),LEFT($AL89,2))))</f>
        <v/>
      </c>
      <c r="BM89" s="49">
        <f>IF($BL89="","",IFERROR(VALUE(MID($AL89,FIND("-",$AL89)+1,FIND(CHAR(34)&amp;"x",$AL89)-FIND("-",$AL89)-1)),0))</f>
        <v/>
      </c>
      <c r="BN89" s="49">
        <f>IF($BL89="","",IFERROR(VALUE(MID($AL89,FIND(CHAR(34)&amp;"x",$AL89)+2,FIND(CHAR(34),$AL89,FIND(CHAR(34)&amp;"x",$AL89)+2)-FIND(CHAR(34)&amp;"x",$AL89)-2)),0))</f>
        <v/>
      </c>
      <c r="BO89" s="53">
        <f>IF(OR($A89="",$H89="",$H89="NO LAB"),0,IFERROR(VALUE(LEFT($H89,FIND(" ",$H89)-1)),0))</f>
        <v/>
      </c>
      <c r="BP89" s="54">
        <f>IF(OR($A89="",$I89="",$I89="NON-RATED",N($J89)=0),"",IFERROR(VLOOKUP($I89&amp;"|"&amp;$J89,IBC,2,FALSE),"?"))</f>
        <v/>
      </c>
      <c r="BQ89" s="50">
        <f>IF(NOT(AND($A89&lt;&gt;"",$C89&lt;&gt;"DOOR ONLY")),"",TRIM(IFERROR(VLOOKUP($U89,CODES,2,FALSE),"")&amp;" "&amp;$AZ89&amp;" "&amp;IFERROR(VLOOKUP($Z89,CODES,2,FALSE),"")&amp;" "&amp;IFERROR(VLOOKUP($X89,CODES,2,FALSE),"")&amp;" "&amp;IFERROR(VLOOKUP($S89,CODES,2,FALSE),"")&amp;IF(N($P89)&gt;0," w/TRANSOM "&amp;$P89&amp;CHAR(34),"")&amp;IF(N($Q89)&gt;0," w/SIDELITE "&amp;$Q89&amp;CHAR(34)&amp;" "&amp;IF($R89="","R",$R89),"")&amp;IF($Y89="","  |  "," | "&amp;IFERROR(VLOOKUP($Y89,CODES,2,FALSE),"")&amp;" | ")&amp;IFERROR(VLOOKUP($AC89,CODES,2,FALSE),"")&amp;" "&amp;IFERROR(VLOOKUP($AD89,CODES,2,FALSE),"")&amp;IF(OR($AE89="",$AE89="-"),""," "&amp;$AE89)&amp;IF(OR($AF89="",$AF89="-"),""," "&amp;$AF89)&amp;IF($AB89="Y"," 4"&amp;CHAR(34)&amp;" HEAD","")&amp;" "&amp;IFERROR(VLOOKUP($H89,CODES,2,FALSE),"")))</f>
        <v/>
      </c>
      <c r="BR89" s="50">
        <f>IF(NOT(AND($A89&lt;&gt;"",N($BC89)&gt;0)),"",TRIM(IFERROR(VLOOKUP($AH89,CODES,2,FALSE),"")&amp;IF($AI89=""," "," "&amp;$AI89&amp;"GA ")&amp;$AZ89&amp;" "&amp;IF($AN89="",IFERROR(VLOOKUP($Z89,CODES,2,FALSE),""),IFERROR(VLOOKUP($AN89,CODES,2,FALSE),""))&amp;IF($BC89=2," PAIR","")&amp;" DOOR | "&amp;IF($AL89="","?",$AL89)&amp;" | "&amp;IF($AP89="",IFERROR(VLOOKUP($AC89,CODES,2,FALSE),""),IFERROR(VLOOKUP($AP89,CODES,2,FALSE),""))&amp;" "&amp;IFERROR(VLOOKUP($AQ89,CODES,2,FALSE),"")&amp;IF(OR($AR89="",$AR89="-"),""," SEAM "&amp;$AR89)&amp;IF($AS89="Y"," ASTRAGAL","")&amp;IF($AJ89=""," "," "&amp;$AJ89)&amp;IF($AK89=""," "," "&amp;$AK89)&amp;IF($AO89="",""," "&amp;$AO89)&amp;IF($AM89=""," "," SERIES "&amp;$AM89)&amp;" "&amp;IFERROR(VLOOKUP($H89,CODES,2,FALSE),"")))</f>
        <v/>
      </c>
      <c r="BS89" s="49">
        <f>IF(BV89="","",IF(COUNTIF($BV$6:BV89,BV89)=1,MAX($BS$5:BS88)+1,INDEX($BS$5:BS88,MATCH(BV89,$BV$5:BV88,0))))</f>
        <v/>
      </c>
      <c r="BT89" s="49">
        <f>IF(NOT(AND($A89&lt;&gt;"",$C89&lt;&gt;"DOOR ONLY")),"",MAX($BT$5:BT88)+1)</f>
        <v/>
      </c>
      <c r="BU89" s="49">
        <f>IF(NOT(AND($A89&lt;&gt;"",N($BC89)&gt;0)),"",MAX($BU$5:BU88)+1)</f>
        <v/>
      </c>
      <c r="BV89" s="49">
        <f>IF(OR($A89="",$BA89="",$BB89=""),"",$AZ89&amp;"|"&amp;$O89&amp;"|"&amp;$AL89&amp;"|"&amp;$S89&amp;"|"&amp;$P89&amp;"|"&amp;$Q89&amp;$R89&amp;"|"&amp;$C89&amp;"|"&amp;$AB89)</f>
        <v/>
      </c>
      <c r="BW89" s="49">
        <f>IF($A89="","",IF($B89="","qty, ","")&amp;IF($C89="","scope, ","")&amp;IF(OR($K89="",$M89=""),"size, ","")&amp;IF(AND($A89&lt;&gt;"",$C89&lt;&gt;"DOOR ONLY"),IF($U89="","jamb depth, ","")&amp;IF($X89="","construction, ","")&amp;IF($Y89="","anchor, ","")&amp;IF($S89="","frame type, ",""),"")&amp;IF(AND(N($BC89)&gt;0,$Z89=""),"hand, ","")&amp;IF(N($BC89)&gt;0,IF($AH89="","door material, ","")&amp;IF($AL89="","face type, ","")&amp;IF($AQ89="","lock prep, ","")&amp;IF(AND($AP89="",$AC89=""),"hinge prep, ",""),"")&amp;IF(AND($BO89&gt;0,$AH89="FRP"),"FRP cannot carry a label, ","")&amp;IF(AND($O89="Y",OR($Z89="L",$Z89="R",$Z89="LR",$Z89="RR")),"pair marked but hand is single, ","")&amp;IF(AND($O89&lt;&gt;"Y",OR($Z89="PR",AND(LEN($Z89)&gt;1,ISNUMBER(SEARCH("-",$Z89))))),"pair hand on a single door, ","")&amp;IF(AND(ISNUMBER($BP89),$BO89&lt;N($BP89)),"wall needs a "&amp;$BP89&amp;" min door, ","")&amp;IF(AND($BO89&gt;=180,AND(OR($BL89="FG",$BL89="HG",$BL89="FNV",$BL89="FV"),N($BM89)*N($BN89)&gt;100)),"180 min lite over 100 sq in, ","")&amp;IF(N($BD89)&gt;48,"leaf wider than 4'-0"&amp;CHAR(34)&amp;", ",""))</f>
        <v/>
      </c>
      <c r="BX89" s="49">
        <f>IF($A89="","",IF(AND($BO89&gt;0,AND($A89&lt;&gt;"",$C89&lt;&gt;"DOOR ONLY"),$X89="KD",$E89="EXTERIOR"),"KD label on an exterior opening, ","")&amp;IF(AND($E89="EXTERIOR",OR(AND(AND($A89&lt;&gt;"",$C89&lt;&gt;"DOOR ONLY"),$W89="CR"),AND(N($BC89)&gt;0,$AH89="CR"))),"exterior in CR steel (G9?), ","")&amp;IF(AND(ISNUMBER($BJ89),N($BJ89)&lt;32),"clear width ~"&amp;TEXT($BJ89,"0.0")&amp;CHAR(34)&amp;" under 32"&amp;CHAR(34)&amp;" (ADA), ","")&amp;IF(AND($BO89=90,AND(OR($BL89="FG",$BL89="HG",$BL89="FNV",$BL89="FV"),N($BM89)*N($BN89)&gt;100)),"90 min lite over 100 sq in (stair/exit), ","")&amp;IF(AND($BO89&gt;0,AND($A89&lt;&gt;"",$C89&lt;&gt;"DOOR ONLY"),OR($AF89="",$AF89="-")),"rated: closer reinf.?, ","")&amp;IF(OR($I89="CORRIDOR",$I89="SMOKE BARRIER"),"S label + smoke gasketing, ","")&amp;IF($BP89="?","wall type/hr not in IBC table, ","")&amp;IF(AND(N($BC89)&gt;0,$AU89=""),"no hardware set, ","")&amp;IF(AND($AU89&lt;&gt;"",ISNA(MATCH($AU89,HWSets,0))),"set "&amp;$AU89&amp;" not on Hardware sheet, ","")&amp;IF(N($BE89)&gt;96,"leaf over 8'-0"&amp;CHAR(34)&amp;" - check listing, ",""))</f>
        <v/>
      </c>
    </row>
    <row r="90" ht="15" customHeight="1">
      <c r="A90" s="44" t="n"/>
      <c r="B90" s="45" t="n"/>
      <c r="C90" s="45" t="n"/>
      <c r="D90" s="45" t="n"/>
      <c r="E90" s="45" t="n"/>
      <c r="F90" s="45" t="n"/>
      <c r="G90" s="45" t="n"/>
      <c r="H90" s="45" t="n"/>
      <c r="I90" s="45" t="n"/>
      <c r="J90" s="45" t="n"/>
      <c r="K90" s="45" t="n"/>
      <c r="L90" s="45" t="n"/>
      <c r="M90" s="45" t="n"/>
      <c r="N90" s="45" t="n"/>
      <c r="O90" s="45" t="n"/>
      <c r="P90" s="45" t="n"/>
      <c r="Q90" s="45" t="n"/>
      <c r="R90" s="45" t="n"/>
      <c r="S90" s="46" t="n"/>
      <c r="T90" s="46" t="n"/>
      <c r="U90" s="46" t="n"/>
      <c r="V90" s="46" t="n"/>
      <c r="W90" s="46" t="n"/>
      <c r="X90" s="46" t="n"/>
      <c r="Y90" s="46" t="n"/>
      <c r="Z90" s="46" t="n"/>
      <c r="AA90" s="46" t="n"/>
      <c r="AB90" s="46" t="n"/>
      <c r="AC90" s="46" t="n"/>
      <c r="AD90" s="46" t="n"/>
      <c r="AE90" s="46" t="n"/>
      <c r="AF90" s="46" t="n"/>
      <c r="AG90" s="46" t="n"/>
      <c r="AH90" s="47" t="n"/>
      <c r="AI90" s="47" t="n"/>
      <c r="AJ90" s="47" t="n"/>
      <c r="AK90" s="47" t="n"/>
      <c r="AL90" s="47" t="n"/>
      <c r="AM90" s="47" t="n"/>
      <c r="AN90" s="47" t="n"/>
      <c r="AO90" s="47" t="n"/>
      <c r="AP90" s="47" t="n"/>
      <c r="AQ90" s="47" t="n"/>
      <c r="AR90" s="47" t="n"/>
      <c r="AS90" s="47" t="n"/>
      <c r="AT90" s="47" t="n"/>
      <c r="AU90" s="48" t="n"/>
      <c r="AV90" s="48" t="n"/>
      <c r="AW90" s="49">
        <f>IF($A90="","",IF($BW90&lt;&gt;"","FIX",IF($BX90&lt;&gt;"","CHECK","OK")))</f>
        <v/>
      </c>
      <c r="AX90" s="50">
        <f>IF($A90="","",IF($BW90&lt;&gt;"","FIX: "&amp;LEFT($BW90,LEN($BW90)-2)&amp;IF($BX90&lt;&gt;"","  ·  ",""),"")&amp;IF($BX90&lt;&gt;"","CHECK: "&amp;LEFT($BX90,LEN($BX90)-2),""))</f>
        <v/>
      </c>
      <c r="AY90" s="49">
        <f>IF(OR($A90="",$K90=""),"",$K90&amp;"'-"&amp;N($L90)&amp;CHAR(34)&amp;" x "&amp;$M90&amp;"'-"&amp;N($N90)&amp;CHAR(34))</f>
        <v/>
      </c>
      <c r="AZ90" s="49">
        <f>IF(OR($A90="",$K90=""),"",$K90&amp;N($L90)&amp;$M90&amp;N($N90))</f>
        <v/>
      </c>
      <c r="BA90" s="49">
        <f>IF(OR($A90="",$K90=""),"",$K90*12+N($L90))</f>
        <v/>
      </c>
      <c r="BB90" s="49">
        <f>IF(OR($A90="",$M90=""),"",$M90*12+N($N90))</f>
        <v/>
      </c>
      <c r="BC90" s="49">
        <f>IF($A90="","",IF(OR($C90="FRAME ONLY",$S90="BL"),0,IF($O90="Y",2,1)))</f>
        <v/>
      </c>
      <c r="BD90" s="51">
        <f>IF(OR(N($BC90)=0,$BA90=""),"",($BA90-2*EdgeClr-IF($BC90=2,MeetClr,0))/$BC90)</f>
        <v/>
      </c>
      <c r="BE90" s="51">
        <f>IF(OR(N($BC90)=0,$BB90=""),"",$BB90-HeadClr-Undercut)</f>
        <v/>
      </c>
      <c r="BF90" s="51">
        <f>IF($BA90="","",$BA90+2*FaceW+IF(N($Q90)&gt;0,($Q90+FaceW)*IF($R90="LR",2,1),0))</f>
        <v/>
      </c>
      <c r="BG90" s="51">
        <f>IF($BB90="","",$BB90+IF($AB90="Y",4,FaceW)+IF(N($P90)&gt;0,$P90+FaceW,0)+IF(OR($S90="4F",$S90="BL"),FaceW,0))</f>
        <v/>
      </c>
      <c r="BH90" s="51">
        <f>IF($BF90="","",$BF90+2*ROSide)</f>
        <v/>
      </c>
      <c r="BI90" s="51">
        <f>IF($BG90="","",$BG90+ROTop)</f>
        <v/>
      </c>
      <c r="BJ90" s="52">
        <f>IF(OR(N($BC90)=0,$BA90=""),"",$BA90/$BC90-ClearDeduct)</f>
        <v/>
      </c>
      <c r="BK90" s="49">
        <f>IF(OR(N($BC90)=0,$BE90=""),"",IF(OR($AC90="HGC",$AP90="HGC"),"CONT",IF($BE90&lt;=60,2,IF($BE90&lt;=90,3,IF($BE90&lt;=120,4,5)))))</f>
        <v/>
      </c>
      <c r="BL90" s="49">
        <f>IF(N($BC90)=0,"",IF(OR($AL90="",$AL90="FLUSH"),"FLUSH",IFERROR(LEFT($AL90,FIND("-",$AL90)-1),LEFT($AL90,2))))</f>
        <v/>
      </c>
      <c r="BM90" s="49">
        <f>IF($BL90="","",IFERROR(VALUE(MID($AL90,FIND("-",$AL90)+1,FIND(CHAR(34)&amp;"x",$AL90)-FIND("-",$AL90)-1)),0))</f>
        <v/>
      </c>
      <c r="BN90" s="49">
        <f>IF($BL90="","",IFERROR(VALUE(MID($AL90,FIND(CHAR(34)&amp;"x",$AL90)+2,FIND(CHAR(34),$AL90,FIND(CHAR(34)&amp;"x",$AL90)+2)-FIND(CHAR(34)&amp;"x",$AL90)-2)),0))</f>
        <v/>
      </c>
      <c r="BO90" s="53">
        <f>IF(OR($A90="",$H90="",$H90="NO LAB"),0,IFERROR(VALUE(LEFT($H90,FIND(" ",$H90)-1)),0))</f>
        <v/>
      </c>
      <c r="BP90" s="54">
        <f>IF(OR($A90="",$I90="",$I90="NON-RATED",N($J90)=0),"",IFERROR(VLOOKUP($I90&amp;"|"&amp;$J90,IBC,2,FALSE),"?"))</f>
        <v/>
      </c>
      <c r="BQ90" s="50">
        <f>IF(NOT(AND($A90&lt;&gt;"",$C90&lt;&gt;"DOOR ONLY")),"",TRIM(IFERROR(VLOOKUP($U90,CODES,2,FALSE),"")&amp;" "&amp;$AZ90&amp;" "&amp;IFERROR(VLOOKUP($Z90,CODES,2,FALSE),"")&amp;" "&amp;IFERROR(VLOOKUP($X90,CODES,2,FALSE),"")&amp;" "&amp;IFERROR(VLOOKUP($S90,CODES,2,FALSE),"")&amp;IF(N($P90)&gt;0," w/TRANSOM "&amp;$P90&amp;CHAR(34),"")&amp;IF(N($Q90)&gt;0," w/SIDELITE "&amp;$Q90&amp;CHAR(34)&amp;" "&amp;IF($R90="","R",$R90),"")&amp;IF($Y90="","  |  "," | "&amp;IFERROR(VLOOKUP($Y90,CODES,2,FALSE),"")&amp;" | ")&amp;IFERROR(VLOOKUP($AC90,CODES,2,FALSE),"")&amp;" "&amp;IFERROR(VLOOKUP($AD90,CODES,2,FALSE),"")&amp;IF(OR($AE90="",$AE90="-"),""," "&amp;$AE90)&amp;IF(OR($AF90="",$AF90="-"),""," "&amp;$AF90)&amp;IF($AB90="Y"," 4"&amp;CHAR(34)&amp;" HEAD","")&amp;" "&amp;IFERROR(VLOOKUP($H90,CODES,2,FALSE),"")))</f>
        <v/>
      </c>
      <c r="BR90" s="50">
        <f>IF(NOT(AND($A90&lt;&gt;"",N($BC90)&gt;0)),"",TRIM(IFERROR(VLOOKUP($AH90,CODES,2,FALSE),"")&amp;IF($AI90=""," "," "&amp;$AI90&amp;"GA ")&amp;$AZ90&amp;" "&amp;IF($AN90="",IFERROR(VLOOKUP($Z90,CODES,2,FALSE),""),IFERROR(VLOOKUP($AN90,CODES,2,FALSE),""))&amp;IF($BC90=2," PAIR","")&amp;" DOOR | "&amp;IF($AL90="","?",$AL90)&amp;" | "&amp;IF($AP90="",IFERROR(VLOOKUP($AC90,CODES,2,FALSE),""),IFERROR(VLOOKUP($AP90,CODES,2,FALSE),""))&amp;" "&amp;IFERROR(VLOOKUP($AQ90,CODES,2,FALSE),"")&amp;IF(OR($AR90="",$AR90="-"),""," SEAM "&amp;$AR90)&amp;IF($AS90="Y"," ASTRAGAL","")&amp;IF($AJ90=""," "," "&amp;$AJ90)&amp;IF($AK90=""," "," "&amp;$AK90)&amp;IF($AO90="",""," "&amp;$AO90)&amp;IF($AM90=""," "," SERIES "&amp;$AM90)&amp;" "&amp;IFERROR(VLOOKUP($H90,CODES,2,FALSE),"")))</f>
        <v/>
      </c>
      <c r="BS90" s="49">
        <f>IF(BV90="","",IF(COUNTIF($BV$6:BV90,BV90)=1,MAX($BS$5:BS89)+1,INDEX($BS$5:BS89,MATCH(BV90,$BV$5:BV89,0))))</f>
        <v/>
      </c>
      <c r="BT90" s="49">
        <f>IF(NOT(AND($A90&lt;&gt;"",$C90&lt;&gt;"DOOR ONLY")),"",MAX($BT$5:BT89)+1)</f>
        <v/>
      </c>
      <c r="BU90" s="49">
        <f>IF(NOT(AND($A90&lt;&gt;"",N($BC90)&gt;0)),"",MAX($BU$5:BU89)+1)</f>
        <v/>
      </c>
      <c r="BV90" s="49">
        <f>IF(OR($A90="",$BA90="",$BB90=""),"",$AZ90&amp;"|"&amp;$O90&amp;"|"&amp;$AL90&amp;"|"&amp;$S90&amp;"|"&amp;$P90&amp;"|"&amp;$Q90&amp;$R90&amp;"|"&amp;$C90&amp;"|"&amp;$AB90)</f>
        <v/>
      </c>
      <c r="BW90" s="49">
        <f>IF($A90="","",IF($B90="","qty, ","")&amp;IF($C90="","scope, ","")&amp;IF(OR($K90="",$M90=""),"size, ","")&amp;IF(AND($A90&lt;&gt;"",$C90&lt;&gt;"DOOR ONLY"),IF($U90="","jamb depth, ","")&amp;IF($X90="","construction, ","")&amp;IF($Y90="","anchor, ","")&amp;IF($S90="","frame type, ",""),"")&amp;IF(AND(N($BC90)&gt;0,$Z90=""),"hand, ","")&amp;IF(N($BC90)&gt;0,IF($AH90="","door material, ","")&amp;IF($AL90="","face type, ","")&amp;IF($AQ90="","lock prep, ","")&amp;IF(AND($AP90="",$AC90=""),"hinge prep, ",""),"")&amp;IF(AND($BO90&gt;0,$AH90="FRP"),"FRP cannot carry a label, ","")&amp;IF(AND($O90="Y",OR($Z90="L",$Z90="R",$Z90="LR",$Z90="RR")),"pair marked but hand is single, ","")&amp;IF(AND($O90&lt;&gt;"Y",OR($Z90="PR",AND(LEN($Z90)&gt;1,ISNUMBER(SEARCH("-",$Z90))))),"pair hand on a single door, ","")&amp;IF(AND(ISNUMBER($BP90),$BO90&lt;N($BP90)),"wall needs a "&amp;$BP90&amp;" min door, ","")&amp;IF(AND($BO90&gt;=180,AND(OR($BL90="FG",$BL90="HG",$BL90="FNV",$BL90="FV"),N($BM90)*N($BN90)&gt;100)),"180 min lite over 100 sq in, ","")&amp;IF(N($BD90)&gt;48,"leaf wider than 4'-0"&amp;CHAR(34)&amp;", ",""))</f>
        <v/>
      </c>
      <c r="BX90" s="49">
        <f>IF($A90="","",IF(AND($BO90&gt;0,AND($A90&lt;&gt;"",$C90&lt;&gt;"DOOR ONLY"),$X90="KD",$E90="EXTERIOR"),"KD label on an exterior opening, ","")&amp;IF(AND($E90="EXTERIOR",OR(AND(AND($A90&lt;&gt;"",$C90&lt;&gt;"DOOR ONLY"),$W90="CR"),AND(N($BC90)&gt;0,$AH90="CR"))),"exterior in CR steel (G9?), ","")&amp;IF(AND(ISNUMBER($BJ90),N($BJ90)&lt;32),"clear width ~"&amp;TEXT($BJ90,"0.0")&amp;CHAR(34)&amp;" under 32"&amp;CHAR(34)&amp;" (ADA), ","")&amp;IF(AND($BO90=90,AND(OR($BL90="FG",$BL90="HG",$BL90="FNV",$BL90="FV"),N($BM90)*N($BN90)&gt;100)),"90 min lite over 100 sq in (stair/exit), ","")&amp;IF(AND($BO90&gt;0,AND($A90&lt;&gt;"",$C90&lt;&gt;"DOOR ONLY"),OR($AF90="",$AF90="-")),"rated: closer reinf.?, ","")&amp;IF(OR($I90="CORRIDOR",$I90="SMOKE BARRIER"),"S label + smoke gasketing, ","")&amp;IF($BP90="?","wall type/hr not in IBC table, ","")&amp;IF(AND(N($BC90)&gt;0,$AU90=""),"no hardware set, ","")&amp;IF(AND($AU90&lt;&gt;"",ISNA(MATCH($AU90,HWSets,0))),"set "&amp;$AU90&amp;" not on Hardware sheet, ","")&amp;IF(N($BE90)&gt;96,"leaf over 8'-0"&amp;CHAR(34)&amp;" - check listing, ",""))</f>
        <v/>
      </c>
    </row>
    <row r="91" ht="15" customHeight="1">
      <c r="A91" s="44" t="n"/>
      <c r="B91" s="45" t="n"/>
      <c r="C91" s="45" t="n"/>
      <c r="D91" s="45" t="n"/>
      <c r="E91" s="45" t="n"/>
      <c r="F91" s="45" t="n"/>
      <c r="G91" s="45" t="n"/>
      <c r="H91" s="45" t="n"/>
      <c r="I91" s="45" t="n"/>
      <c r="J91" s="45" t="n"/>
      <c r="K91" s="45" t="n"/>
      <c r="L91" s="45" t="n"/>
      <c r="M91" s="45" t="n"/>
      <c r="N91" s="45" t="n"/>
      <c r="O91" s="45" t="n"/>
      <c r="P91" s="45" t="n"/>
      <c r="Q91" s="45" t="n"/>
      <c r="R91" s="45" t="n"/>
      <c r="S91" s="46" t="n"/>
      <c r="T91" s="46" t="n"/>
      <c r="U91" s="46" t="n"/>
      <c r="V91" s="46" t="n"/>
      <c r="W91" s="46" t="n"/>
      <c r="X91" s="46" t="n"/>
      <c r="Y91" s="46" t="n"/>
      <c r="Z91" s="46" t="n"/>
      <c r="AA91" s="46" t="n"/>
      <c r="AB91" s="46" t="n"/>
      <c r="AC91" s="46" t="n"/>
      <c r="AD91" s="46" t="n"/>
      <c r="AE91" s="46" t="n"/>
      <c r="AF91" s="46" t="n"/>
      <c r="AG91" s="46" t="n"/>
      <c r="AH91" s="47" t="n"/>
      <c r="AI91" s="47" t="n"/>
      <c r="AJ91" s="47" t="n"/>
      <c r="AK91" s="47" t="n"/>
      <c r="AL91" s="47" t="n"/>
      <c r="AM91" s="47" t="n"/>
      <c r="AN91" s="47" t="n"/>
      <c r="AO91" s="47" t="n"/>
      <c r="AP91" s="47" t="n"/>
      <c r="AQ91" s="47" t="n"/>
      <c r="AR91" s="47" t="n"/>
      <c r="AS91" s="47" t="n"/>
      <c r="AT91" s="47" t="n"/>
      <c r="AU91" s="48" t="n"/>
      <c r="AV91" s="48" t="n"/>
      <c r="AW91" s="49">
        <f>IF($A91="","",IF($BW91&lt;&gt;"","FIX",IF($BX91&lt;&gt;"","CHECK","OK")))</f>
        <v/>
      </c>
      <c r="AX91" s="50">
        <f>IF($A91="","",IF($BW91&lt;&gt;"","FIX: "&amp;LEFT($BW91,LEN($BW91)-2)&amp;IF($BX91&lt;&gt;"","  ·  ",""),"")&amp;IF($BX91&lt;&gt;"","CHECK: "&amp;LEFT($BX91,LEN($BX91)-2),""))</f>
        <v/>
      </c>
      <c r="AY91" s="49">
        <f>IF(OR($A91="",$K91=""),"",$K91&amp;"'-"&amp;N($L91)&amp;CHAR(34)&amp;" x "&amp;$M91&amp;"'-"&amp;N($N91)&amp;CHAR(34))</f>
        <v/>
      </c>
      <c r="AZ91" s="49">
        <f>IF(OR($A91="",$K91=""),"",$K91&amp;N($L91)&amp;$M91&amp;N($N91))</f>
        <v/>
      </c>
      <c r="BA91" s="49">
        <f>IF(OR($A91="",$K91=""),"",$K91*12+N($L91))</f>
        <v/>
      </c>
      <c r="BB91" s="49">
        <f>IF(OR($A91="",$M91=""),"",$M91*12+N($N91))</f>
        <v/>
      </c>
      <c r="BC91" s="49">
        <f>IF($A91="","",IF(OR($C91="FRAME ONLY",$S91="BL"),0,IF($O91="Y",2,1)))</f>
        <v/>
      </c>
      <c r="BD91" s="51">
        <f>IF(OR(N($BC91)=0,$BA91=""),"",($BA91-2*EdgeClr-IF($BC91=2,MeetClr,0))/$BC91)</f>
        <v/>
      </c>
      <c r="BE91" s="51">
        <f>IF(OR(N($BC91)=0,$BB91=""),"",$BB91-HeadClr-Undercut)</f>
        <v/>
      </c>
      <c r="BF91" s="51">
        <f>IF($BA91="","",$BA91+2*FaceW+IF(N($Q91)&gt;0,($Q91+FaceW)*IF($R91="LR",2,1),0))</f>
        <v/>
      </c>
      <c r="BG91" s="51">
        <f>IF($BB91="","",$BB91+IF($AB91="Y",4,FaceW)+IF(N($P91)&gt;0,$P91+FaceW,0)+IF(OR($S91="4F",$S91="BL"),FaceW,0))</f>
        <v/>
      </c>
      <c r="BH91" s="51">
        <f>IF($BF91="","",$BF91+2*ROSide)</f>
        <v/>
      </c>
      <c r="BI91" s="51">
        <f>IF($BG91="","",$BG91+ROTop)</f>
        <v/>
      </c>
      <c r="BJ91" s="52">
        <f>IF(OR(N($BC91)=0,$BA91=""),"",$BA91/$BC91-ClearDeduct)</f>
        <v/>
      </c>
      <c r="BK91" s="49">
        <f>IF(OR(N($BC91)=0,$BE91=""),"",IF(OR($AC91="HGC",$AP91="HGC"),"CONT",IF($BE91&lt;=60,2,IF($BE91&lt;=90,3,IF($BE91&lt;=120,4,5)))))</f>
        <v/>
      </c>
      <c r="BL91" s="49">
        <f>IF(N($BC91)=0,"",IF(OR($AL91="",$AL91="FLUSH"),"FLUSH",IFERROR(LEFT($AL91,FIND("-",$AL91)-1),LEFT($AL91,2))))</f>
        <v/>
      </c>
      <c r="BM91" s="49">
        <f>IF($BL91="","",IFERROR(VALUE(MID($AL91,FIND("-",$AL91)+1,FIND(CHAR(34)&amp;"x",$AL91)-FIND("-",$AL91)-1)),0))</f>
        <v/>
      </c>
      <c r="BN91" s="49">
        <f>IF($BL91="","",IFERROR(VALUE(MID($AL91,FIND(CHAR(34)&amp;"x",$AL91)+2,FIND(CHAR(34),$AL91,FIND(CHAR(34)&amp;"x",$AL91)+2)-FIND(CHAR(34)&amp;"x",$AL91)-2)),0))</f>
        <v/>
      </c>
      <c r="BO91" s="53">
        <f>IF(OR($A91="",$H91="",$H91="NO LAB"),0,IFERROR(VALUE(LEFT($H91,FIND(" ",$H91)-1)),0))</f>
        <v/>
      </c>
      <c r="BP91" s="54">
        <f>IF(OR($A91="",$I91="",$I91="NON-RATED",N($J91)=0),"",IFERROR(VLOOKUP($I91&amp;"|"&amp;$J91,IBC,2,FALSE),"?"))</f>
        <v/>
      </c>
      <c r="BQ91" s="50">
        <f>IF(NOT(AND($A91&lt;&gt;"",$C91&lt;&gt;"DOOR ONLY")),"",TRIM(IFERROR(VLOOKUP($U91,CODES,2,FALSE),"")&amp;" "&amp;$AZ91&amp;" "&amp;IFERROR(VLOOKUP($Z91,CODES,2,FALSE),"")&amp;" "&amp;IFERROR(VLOOKUP($X91,CODES,2,FALSE),"")&amp;" "&amp;IFERROR(VLOOKUP($S91,CODES,2,FALSE),"")&amp;IF(N($P91)&gt;0," w/TRANSOM "&amp;$P91&amp;CHAR(34),"")&amp;IF(N($Q91)&gt;0," w/SIDELITE "&amp;$Q91&amp;CHAR(34)&amp;" "&amp;IF($R91="","R",$R91),"")&amp;IF($Y91="","  |  "," | "&amp;IFERROR(VLOOKUP($Y91,CODES,2,FALSE),"")&amp;" | ")&amp;IFERROR(VLOOKUP($AC91,CODES,2,FALSE),"")&amp;" "&amp;IFERROR(VLOOKUP($AD91,CODES,2,FALSE),"")&amp;IF(OR($AE91="",$AE91="-"),""," "&amp;$AE91)&amp;IF(OR($AF91="",$AF91="-"),""," "&amp;$AF91)&amp;IF($AB91="Y"," 4"&amp;CHAR(34)&amp;" HEAD","")&amp;" "&amp;IFERROR(VLOOKUP($H91,CODES,2,FALSE),"")))</f>
        <v/>
      </c>
      <c r="BR91" s="50">
        <f>IF(NOT(AND($A91&lt;&gt;"",N($BC91)&gt;0)),"",TRIM(IFERROR(VLOOKUP($AH91,CODES,2,FALSE),"")&amp;IF($AI91=""," "," "&amp;$AI91&amp;"GA ")&amp;$AZ91&amp;" "&amp;IF($AN91="",IFERROR(VLOOKUP($Z91,CODES,2,FALSE),""),IFERROR(VLOOKUP($AN91,CODES,2,FALSE),""))&amp;IF($BC91=2," PAIR","")&amp;" DOOR | "&amp;IF($AL91="","?",$AL91)&amp;" | "&amp;IF($AP91="",IFERROR(VLOOKUP($AC91,CODES,2,FALSE),""),IFERROR(VLOOKUP($AP91,CODES,2,FALSE),""))&amp;" "&amp;IFERROR(VLOOKUP($AQ91,CODES,2,FALSE),"")&amp;IF(OR($AR91="",$AR91="-"),""," SEAM "&amp;$AR91)&amp;IF($AS91="Y"," ASTRAGAL","")&amp;IF($AJ91=""," "," "&amp;$AJ91)&amp;IF($AK91=""," "," "&amp;$AK91)&amp;IF($AO91="",""," "&amp;$AO91)&amp;IF($AM91=""," "," SERIES "&amp;$AM91)&amp;" "&amp;IFERROR(VLOOKUP($H91,CODES,2,FALSE),"")))</f>
        <v/>
      </c>
      <c r="BS91" s="49">
        <f>IF(BV91="","",IF(COUNTIF($BV$6:BV91,BV91)=1,MAX($BS$5:BS90)+1,INDEX($BS$5:BS90,MATCH(BV91,$BV$5:BV90,0))))</f>
        <v/>
      </c>
      <c r="BT91" s="49">
        <f>IF(NOT(AND($A91&lt;&gt;"",$C91&lt;&gt;"DOOR ONLY")),"",MAX($BT$5:BT90)+1)</f>
        <v/>
      </c>
      <c r="BU91" s="49">
        <f>IF(NOT(AND($A91&lt;&gt;"",N($BC91)&gt;0)),"",MAX($BU$5:BU90)+1)</f>
        <v/>
      </c>
      <c r="BV91" s="49">
        <f>IF(OR($A91="",$BA91="",$BB91=""),"",$AZ91&amp;"|"&amp;$O91&amp;"|"&amp;$AL91&amp;"|"&amp;$S91&amp;"|"&amp;$P91&amp;"|"&amp;$Q91&amp;$R91&amp;"|"&amp;$C91&amp;"|"&amp;$AB91)</f>
        <v/>
      </c>
      <c r="BW91" s="49">
        <f>IF($A91="","",IF($B91="","qty, ","")&amp;IF($C91="","scope, ","")&amp;IF(OR($K91="",$M91=""),"size, ","")&amp;IF(AND($A91&lt;&gt;"",$C91&lt;&gt;"DOOR ONLY"),IF($U91="","jamb depth, ","")&amp;IF($X91="","construction, ","")&amp;IF($Y91="","anchor, ","")&amp;IF($S91="","frame type, ",""),"")&amp;IF(AND(N($BC91)&gt;0,$Z91=""),"hand, ","")&amp;IF(N($BC91)&gt;0,IF($AH91="","door material, ","")&amp;IF($AL91="","face type, ","")&amp;IF($AQ91="","lock prep, ","")&amp;IF(AND($AP91="",$AC91=""),"hinge prep, ",""),"")&amp;IF(AND($BO91&gt;0,$AH91="FRP"),"FRP cannot carry a label, ","")&amp;IF(AND($O91="Y",OR($Z91="L",$Z91="R",$Z91="LR",$Z91="RR")),"pair marked but hand is single, ","")&amp;IF(AND($O91&lt;&gt;"Y",OR($Z91="PR",AND(LEN($Z91)&gt;1,ISNUMBER(SEARCH("-",$Z91))))),"pair hand on a single door, ","")&amp;IF(AND(ISNUMBER($BP91),$BO91&lt;N($BP91)),"wall needs a "&amp;$BP91&amp;" min door, ","")&amp;IF(AND($BO91&gt;=180,AND(OR($BL91="FG",$BL91="HG",$BL91="FNV",$BL91="FV"),N($BM91)*N($BN91)&gt;100)),"180 min lite over 100 sq in, ","")&amp;IF(N($BD91)&gt;48,"leaf wider than 4'-0"&amp;CHAR(34)&amp;", ",""))</f>
        <v/>
      </c>
      <c r="BX91" s="49">
        <f>IF($A91="","",IF(AND($BO91&gt;0,AND($A91&lt;&gt;"",$C91&lt;&gt;"DOOR ONLY"),$X91="KD",$E91="EXTERIOR"),"KD label on an exterior opening, ","")&amp;IF(AND($E91="EXTERIOR",OR(AND(AND($A91&lt;&gt;"",$C91&lt;&gt;"DOOR ONLY"),$W91="CR"),AND(N($BC91)&gt;0,$AH91="CR"))),"exterior in CR steel (G9?), ","")&amp;IF(AND(ISNUMBER($BJ91),N($BJ91)&lt;32),"clear width ~"&amp;TEXT($BJ91,"0.0")&amp;CHAR(34)&amp;" under 32"&amp;CHAR(34)&amp;" (ADA), ","")&amp;IF(AND($BO91=90,AND(OR($BL91="FG",$BL91="HG",$BL91="FNV",$BL91="FV"),N($BM91)*N($BN91)&gt;100)),"90 min lite over 100 sq in (stair/exit), ","")&amp;IF(AND($BO91&gt;0,AND($A91&lt;&gt;"",$C91&lt;&gt;"DOOR ONLY"),OR($AF91="",$AF91="-")),"rated: closer reinf.?, ","")&amp;IF(OR($I91="CORRIDOR",$I91="SMOKE BARRIER"),"S label + smoke gasketing, ","")&amp;IF($BP91="?","wall type/hr not in IBC table, ","")&amp;IF(AND(N($BC91)&gt;0,$AU91=""),"no hardware set, ","")&amp;IF(AND($AU91&lt;&gt;"",ISNA(MATCH($AU91,HWSets,0))),"set "&amp;$AU91&amp;" not on Hardware sheet, ","")&amp;IF(N($BE91)&gt;96,"leaf over 8'-0"&amp;CHAR(34)&amp;" - check listing, ",""))</f>
        <v/>
      </c>
    </row>
    <row r="92" ht="15" customHeight="1">
      <c r="A92" s="44" t="n"/>
      <c r="B92" s="45" t="n"/>
      <c r="C92" s="45" t="n"/>
      <c r="D92" s="45" t="n"/>
      <c r="E92" s="45" t="n"/>
      <c r="F92" s="45" t="n"/>
      <c r="G92" s="45" t="n"/>
      <c r="H92" s="45" t="n"/>
      <c r="I92" s="45" t="n"/>
      <c r="J92" s="45" t="n"/>
      <c r="K92" s="45" t="n"/>
      <c r="L92" s="45" t="n"/>
      <c r="M92" s="45" t="n"/>
      <c r="N92" s="45" t="n"/>
      <c r="O92" s="45" t="n"/>
      <c r="P92" s="45" t="n"/>
      <c r="Q92" s="45" t="n"/>
      <c r="R92" s="45" t="n"/>
      <c r="S92" s="46" t="n"/>
      <c r="T92" s="46" t="n"/>
      <c r="U92" s="46" t="n"/>
      <c r="V92" s="46" t="n"/>
      <c r="W92" s="46" t="n"/>
      <c r="X92" s="46" t="n"/>
      <c r="Y92" s="46" t="n"/>
      <c r="Z92" s="46" t="n"/>
      <c r="AA92" s="46" t="n"/>
      <c r="AB92" s="46" t="n"/>
      <c r="AC92" s="46" t="n"/>
      <c r="AD92" s="46" t="n"/>
      <c r="AE92" s="46" t="n"/>
      <c r="AF92" s="46" t="n"/>
      <c r="AG92" s="46" t="n"/>
      <c r="AH92" s="47" t="n"/>
      <c r="AI92" s="47" t="n"/>
      <c r="AJ92" s="47" t="n"/>
      <c r="AK92" s="47" t="n"/>
      <c r="AL92" s="47" t="n"/>
      <c r="AM92" s="47" t="n"/>
      <c r="AN92" s="47" t="n"/>
      <c r="AO92" s="47" t="n"/>
      <c r="AP92" s="47" t="n"/>
      <c r="AQ92" s="47" t="n"/>
      <c r="AR92" s="47" t="n"/>
      <c r="AS92" s="47" t="n"/>
      <c r="AT92" s="47" t="n"/>
      <c r="AU92" s="48" t="n"/>
      <c r="AV92" s="48" t="n"/>
      <c r="AW92" s="49">
        <f>IF($A92="","",IF($BW92&lt;&gt;"","FIX",IF($BX92&lt;&gt;"","CHECK","OK")))</f>
        <v/>
      </c>
      <c r="AX92" s="50">
        <f>IF($A92="","",IF($BW92&lt;&gt;"","FIX: "&amp;LEFT($BW92,LEN($BW92)-2)&amp;IF($BX92&lt;&gt;"","  ·  ",""),"")&amp;IF($BX92&lt;&gt;"","CHECK: "&amp;LEFT($BX92,LEN($BX92)-2),""))</f>
        <v/>
      </c>
      <c r="AY92" s="49">
        <f>IF(OR($A92="",$K92=""),"",$K92&amp;"'-"&amp;N($L92)&amp;CHAR(34)&amp;" x "&amp;$M92&amp;"'-"&amp;N($N92)&amp;CHAR(34))</f>
        <v/>
      </c>
      <c r="AZ92" s="49">
        <f>IF(OR($A92="",$K92=""),"",$K92&amp;N($L92)&amp;$M92&amp;N($N92))</f>
        <v/>
      </c>
      <c r="BA92" s="49">
        <f>IF(OR($A92="",$K92=""),"",$K92*12+N($L92))</f>
        <v/>
      </c>
      <c r="BB92" s="49">
        <f>IF(OR($A92="",$M92=""),"",$M92*12+N($N92))</f>
        <v/>
      </c>
      <c r="BC92" s="49">
        <f>IF($A92="","",IF(OR($C92="FRAME ONLY",$S92="BL"),0,IF($O92="Y",2,1)))</f>
        <v/>
      </c>
      <c r="BD92" s="51">
        <f>IF(OR(N($BC92)=0,$BA92=""),"",($BA92-2*EdgeClr-IF($BC92=2,MeetClr,0))/$BC92)</f>
        <v/>
      </c>
      <c r="BE92" s="51">
        <f>IF(OR(N($BC92)=0,$BB92=""),"",$BB92-HeadClr-Undercut)</f>
        <v/>
      </c>
      <c r="BF92" s="51">
        <f>IF($BA92="","",$BA92+2*FaceW+IF(N($Q92)&gt;0,($Q92+FaceW)*IF($R92="LR",2,1),0))</f>
        <v/>
      </c>
      <c r="BG92" s="51">
        <f>IF($BB92="","",$BB92+IF($AB92="Y",4,FaceW)+IF(N($P92)&gt;0,$P92+FaceW,0)+IF(OR($S92="4F",$S92="BL"),FaceW,0))</f>
        <v/>
      </c>
      <c r="BH92" s="51">
        <f>IF($BF92="","",$BF92+2*ROSide)</f>
        <v/>
      </c>
      <c r="BI92" s="51">
        <f>IF($BG92="","",$BG92+ROTop)</f>
        <v/>
      </c>
      <c r="BJ92" s="52">
        <f>IF(OR(N($BC92)=0,$BA92=""),"",$BA92/$BC92-ClearDeduct)</f>
        <v/>
      </c>
      <c r="BK92" s="49">
        <f>IF(OR(N($BC92)=0,$BE92=""),"",IF(OR($AC92="HGC",$AP92="HGC"),"CONT",IF($BE92&lt;=60,2,IF($BE92&lt;=90,3,IF($BE92&lt;=120,4,5)))))</f>
        <v/>
      </c>
      <c r="BL92" s="49">
        <f>IF(N($BC92)=0,"",IF(OR($AL92="",$AL92="FLUSH"),"FLUSH",IFERROR(LEFT($AL92,FIND("-",$AL92)-1),LEFT($AL92,2))))</f>
        <v/>
      </c>
      <c r="BM92" s="49">
        <f>IF($BL92="","",IFERROR(VALUE(MID($AL92,FIND("-",$AL92)+1,FIND(CHAR(34)&amp;"x",$AL92)-FIND("-",$AL92)-1)),0))</f>
        <v/>
      </c>
      <c r="BN92" s="49">
        <f>IF($BL92="","",IFERROR(VALUE(MID($AL92,FIND(CHAR(34)&amp;"x",$AL92)+2,FIND(CHAR(34),$AL92,FIND(CHAR(34)&amp;"x",$AL92)+2)-FIND(CHAR(34)&amp;"x",$AL92)-2)),0))</f>
        <v/>
      </c>
      <c r="BO92" s="53">
        <f>IF(OR($A92="",$H92="",$H92="NO LAB"),0,IFERROR(VALUE(LEFT($H92,FIND(" ",$H92)-1)),0))</f>
        <v/>
      </c>
      <c r="BP92" s="54">
        <f>IF(OR($A92="",$I92="",$I92="NON-RATED",N($J92)=0),"",IFERROR(VLOOKUP($I92&amp;"|"&amp;$J92,IBC,2,FALSE),"?"))</f>
        <v/>
      </c>
      <c r="BQ92" s="50">
        <f>IF(NOT(AND($A92&lt;&gt;"",$C92&lt;&gt;"DOOR ONLY")),"",TRIM(IFERROR(VLOOKUP($U92,CODES,2,FALSE),"")&amp;" "&amp;$AZ92&amp;" "&amp;IFERROR(VLOOKUP($Z92,CODES,2,FALSE),"")&amp;" "&amp;IFERROR(VLOOKUP($X92,CODES,2,FALSE),"")&amp;" "&amp;IFERROR(VLOOKUP($S92,CODES,2,FALSE),"")&amp;IF(N($P92)&gt;0," w/TRANSOM "&amp;$P92&amp;CHAR(34),"")&amp;IF(N($Q92)&gt;0," w/SIDELITE "&amp;$Q92&amp;CHAR(34)&amp;" "&amp;IF($R92="","R",$R92),"")&amp;IF($Y92="","  |  "," | "&amp;IFERROR(VLOOKUP($Y92,CODES,2,FALSE),"")&amp;" | ")&amp;IFERROR(VLOOKUP($AC92,CODES,2,FALSE),"")&amp;" "&amp;IFERROR(VLOOKUP($AD92,CODES,2,FALSE),"")&amp;IF(OR($AE92="",$AE92="-"),""," "&amp;$AE92)&amp;IF(OR($AF92="",$AF92="-"),""," "&amp;$AF92)&amp;IF($AB92="Y"," 4"&amp;CHAR(34)&amp;" HEAD","")&amp;" "&amp;IFERROR(VLOOKUP($H92,CODES,2,FALSE),"")))</f>
        <v/>
      </c>
      <c r="BR92" s="50">
        <f>IF(NOT(AND($A92&lt;&gt;"",N($BC92)&gt;0)),"",TRIM(IFERROR(VLOOKUP($AH92,CODES,2,FALSE),"")&amp;IF($AI92=""," "," "&amp;$AI92&amp;"GA ")&amp;$AZ92&amp;" "&amp;IF($AN92="",IFERROR(VLOOKUP($Z92,CODES,2,FALSE),""),IFERROR(VLOOKUP($AN92,CODES,2,FALSE),""))&amp;IF($BC92=2," PAIR","")&amp;" DOOR | "&amp;IF($AL92="","?",$AL92)&amp;" | "&amp;IF($AP92="",IFERROR(VLOOKUP($AC92,CODES,2,FALSE),""),IFERROR(VLOOKUP($AP92,CODES,2,FALSE),""))&amp;" "&amp;IFERROR(VLOOKUP($AQ92,CODES,2,FALSE),"")&amp;IF(OR($AR92="",$AR92="-"),""," SEAM "&amp;$AR92)&amp;IF($AS92="Y"," ASTRAGAL","")&amp;IF($AJ92=""," "," "&amp;$AJ92)&amp;IF($AK92=""," "," "&amp;$AK92)&amp;IF($AO92="",""," "&amp;$AO92)&amp;IF($AM92=""," "," SERIES "&amp;$AM92)&amp;" "&amp;IFERROR(VLOOKUP($H92,CODES,2,FALSE),"")))</f>
        <v/>
      </c>
      <c r="BS92" s="49">
        <f>IF(BV92="","",IF(COUNTIF($BV$6:BV92,BV92)=1,MAX($BS$5:BS91)+1,INDEX($BS$5:BS91,MATCH(BV92,$BV$5:BV91,0))))</f>
        <v/>
      </c>
      <c r="BT92" s="49">
        <f>IF(NOT(AND($A92&lt;&gt;"",$C92&lt;&gt;"DOOR ONLY")),"",MAX($BT$5:BT91)+1)</f>
        <v/>
      </c>
      <c r="BU92" s="49">
        <f>IF(NOT(AND($A92&lt;&gt;"",N($BC92)&gt;0)),"",MAX($BU$5:BU91)+1)</f>
        <v/>
      </c>
      <c r="BV92" s="49">
        <f>IF(OR($A92="",$BA92="",$BB92=""),"",$AZ92&amp;"|"&amp;$O92&amp;"|"&amp;$AL92&amp;"|"&amp;$S92&amp;"|"&amp;$P92&amp;"|"&amp;$Q92&amp;$R92&amp;"|"&amp;$C92&amp;"|"&amp;$AB92)</f>
        <v/>
      </c>
      <c r="BW92" s="49">
        <f>IF($A92="","",IF($B92="","qty, ","")&amp;IF($C92="","scope, ","")&amp;IF(OR($K92="",$M92=""),"size, ","")&amp;IF(AND($A92&lt;&gt;"",$C92&lt;&gt;"DOOR ONLY"),IF($U92="","jamb depth, ","")&amp;IF($X92="","construction, ","")&amp;IF($Y92="","anchor, ","")&amp;IF($S92="","frame type, ",""),"")&amp;IF(AND(N($BC92)&gt;0,$Z92=""),"hand, ","")&amp;IF(N($BC92)&gt;0,IF($AH92="","door material, ","")&amp;IF($AL92="","face type, ","")&amp;IF($AQ92="","lock prep, ","")&amp;IF(AND($AP92="",$AC92=""),"hinge prep, ",""),"")&amp;IF(AND($BO92&gt;0,$AH92="FRP"),"FRP cannot carry a label, ","")&amp;IF(AND($O92="Y",OR($Z92="L",$Z92="R",$Z92="LR",$Z92="RR")),"pair marked but hand is single, ","")&amp;IF(AND($O92&lt;&gt;"Y",OR($Z92="PR",AND(LEN($Z92)&gt;1,ISNUMBER(SEARCH("-",$Z92))))),"pair hand on a single door, ","")&amp;IF(AND(ISNUMBER($BP92),$BO92&lt;N($BP92)),"wall needs a "&amp;$BP92&amp;" min door, ","")&amp;IF(AND($BO92&gt;=180,AND(OR($BL92="FG",$BL92="HG",$BL92="FNV",$BL92="FV"),N($BM92)*N($BN92)&gt;100)),"180 min lite over 100 sq in, ","")&amp;IF(N($BD92)&gt;48,"leaf wider than 4'-0"&amp;CHAR(34)&amp;", ",""))</f>
        <v/>
      </c>
      <c r="BX92" s="49">
        <f>IF($A92="","",IF(AND($BO92&gt;0,AND($A92&lt;&gt;"",$C92&lt;&gt;"DOOR ONLY"),$X92="KD",$E92="EXTERIOR"),"KD label on an exterior opening, ","")&amp;IF(AND($E92="EXTERIOR",OR(AND(AND($A92&lt;&gt;"",$C92&lt;&gt;"DOOR ONLY"),$W92="CR"),AND(N($BC92)&gt;0,$AH92="CR"))),"exterior in CR steel (G9?), ","")&amp;IF(AND(ISNUMBER($BJ92),N($BJ92)&lt;32),"clear width ~"&amp;TEXT($BJ92,"0.0")&amp;CHAR(34)&amp;" under 32"&amp;CHAR(34)&amp;" (ADA), ","")&amp;IF(AND($BO92=90,AND(OR($BL92="FG",$BL92="HG",$BL92="FNV",$BL92="FV"),N($BM92)*N($BN92)&gt;100)),"90 min lite over 100 sq in (stair/exit), ","")&amp;IF(AND($BO92&gt;0,AND($A92&lt;&gt;"",$C92&lt;&gt;"DOOR ONLY"),OR($AF92="",$AF92="-")),"rated: closer reinf.?, ","")&amp;IF(OR($I92="CORRIDOR",$I92="SMOKE BARRIER"),"S label + smoke gasketing, ","")&amp;IF($BP92="?","wall type/hr not in IBC table, ","")&amp;IF(AND(N($BC92)&gt;0,$AU92=""),"no hardware set, ","")&amp;IF(AND($AU92&lt;&gt;"",ISNA(MATCH($AU92,HWSets,0))),"set "&amp;$AU92&amp;" not on Hardware sheet, ","")&amp;IF(N($BE92)&gt;96,"leaf over 8'-0"&amp;CHAR(34)&amp;" - check listing, ",""))</f>
        <v/>
      </c>
    </row>
    <row r="93" ht="15" customHeight="1">
      <c r="A93" s="44" t="n"/>
      <c r="B93" s="45" t="n"/>
      <c r="C93" s="45" t="n"/>
      <c r="D93" s="45" t="n"/>
      <c r="E93" s="45" t="n"/>
      <c r="F93" s="45" t="n"/>
      <c r="G93" s="45" t="n"/>
      <c r="H93" s="45" t="n"/>
      <c r="I93" s="45" t="n"/>
      <c r="J93" s="45" t="n"/>
      <c r="K93" s="45" t="n"/>
      <c r="L93" s="45" t="n"/>
      <c r="M93" s="45" t="n"/>
      <c r="N93" s="45" t="n"/>
      <c r="O93" s="45" t="n"/>
      <c r="P93" s="45" t="n"/>
      <c r="Q93" s="45" t="n"/>
      <c r="R93" s="45" t="n"/>
      <c r="S93" s="46" t="n"/>
      <c r="T93" s="46" t="n"/>
      <c r="U93" s="46" t="n"/>
      <c r="V93" s="46" t="n"/>
      <c r="W93" s="46" t="n"/>
      <c r="X93" s="46" t="n"/>
      <c r="Y93" s="46" t="n"/>
      <c r="Z93" s="46" t="n"/>
      <c r="AA93" s="46" t="n"/>
      <c r="AB93" s="46" t="n"/>
      <c r="AC93" s="46" t="n"/>
      <c r="AD93" s="46" t="n"/>
      <c r="AE93" s="46" t="n"/>
      <c r="AF93" s="46" t="n"/>
      <c r="AG93" s="46" t="n"/>
      <c r="AH93" s="47" t="n"/>
      <c r="AI93" s="47" t="n"/>
      <c r="AJ93" s="47" t="n"/>
      <c r="AK93" s="47" t="n"/>
      <c r="AL93" s="47" t="n"/>
      <c r="AM93" s="47" t="n"/>
      <c r="AN93" s="47" t="n"/>
      <c r="AO93" s="47" t="n"/>
      <c r="AP93" s="47" t="n"/>
      <c r="AQ93" s="47" t="n"/>
      <c r="AR93" s="47" t="n"/>
      <c r="AS93" s="47" t="n"/>
      <c r="AT93" s="47" t="n"/>
      <c r="AU93" s="48" t="n"/>
      <c r="AV93" s="48" t="n"/>
      <c r="AW93" s="49">
        <f>IF($A93="","",IF($BW93&lt;&gt;"","FIX",IF($BX93&lt;&gt;"","CHECK","OK")))</f>
        <v/>
      </c>
      <c r="AX93" s="50">
        <f>IF($A93="","",IF($BW93&lt;&gt;"","FIX: "&amp;LEFT($BW93,LEN($BW93)-2)&amp;IF($BX93&lt;&gt;"","  ·  ",""),"")&amp;IF($BX93&lt;&gt;"","CHECK: "&amp;LEFT($BX93,LEN($BX93)-2),""))</f>
        <v/>
      </c>
      <c r="AY93" s="49">
        <f>IF(OR($A93="",$K93=""),"",$K93&amp;"'-"&amp;N($L93)&amp;CHAR(34)&amp;" x "&amp;$M93&amp;"'-"&amp;N($N93)&amp;CHAR(34))</f>
        <v/>
      </c>
      <c r="AZ93" s="49">
        <f>IF(OR($A93="",$K93=""),"",$K93&amp;N($L93)&amp;$M93&amp;N($N93))</f>
        <v/>
      </c>
      <c r="BA93" s="49">
        <f>IF(OR($A93="",$K93=""),"",$K93*12+N($L93))</f>
        <v/>
      </c>
      <c r="BB93" s="49">
        <f>IF(OR($A93="",$M93=""),"",$M93*12+N($N93))</f>
        <v/>
      </c>
      <c r="BC93" s="49">
        <f>IF($A93="","",IF(OR($C93="FRAME ONLY",$S93="BL"),0,IF($O93="Y",2,1)))</f>
        <v/>
      </c>
      <c r="BD93" s="51">
        <f>IF(OR(N($BC93)=0,$BA93=""),"",($BA93-2*EdgeClr-IF($BC93=2,MeetClr,0))/$BC93)</f>
        <v/>
      </c>
      <c r="BE93" s="51">
        <f>IF(OR(N($BC93)=0,$BB93=""),"",$BB93-HeadClr-Undercut)</f>
        <v/>
      </c>
      <c r="BF93" s="51">
        <f>IF($BA93="","",$BA93+2*FaceW+IF(N($Q93)&gt;0,($Q93+FaceW)*IF($R93="LR",2,1),0))</f>
        <v/>
      </c>
      <c r="BG93" s="51">
        <f>IF($BB93="","",$BB93+IF($AB93="Y",4,FaceW)+IF(N($P93)&gt;0,$P93+FaceW,0)+IF(OR($S93="4F",$S93="BL"),FaceW,0))</f>
        <v/>
      </c>
      <c r="BH93" s="51">
        <f>IF($BF93="","",$BF93+2*ROSide)</f>
        <v/>
      </c>
      <c r="BI93" s="51">
        <f>IF($BG93="","",$BG93+ROTop)</f>
        <v/>
      </c>
      <c r="BJ93" s="52">
        <f>IF(OR(N($BC93)=0,$BA93=""),"",$BA93/$BC93-ClearDeduct)</f>
        <v/>
      </c>
      <c r="BK93" s="49">
        <f>IF(OR(N($BC93)=0,$BE93=""),"",IF(OR($AC93="HGC",$AP93="HGC"),"CONT",IF($BE93&lt;=60,2,IF($BE93&lt;=90,3,IF($BE93&lt;=120,4,5)))))</f>
        <v/>
      </c>
      <c r="BL93" s="49">
        <f>IF(N($BC93)=0,"",IF(OR($AL93="",$AL93="FLUSH"),"FLUSH",IFERROR(LEFT($AL93,FIND("-",$AL93)-1),LEFT($AL93,2))))</f>
        <v/>
      </c>
      <c r="BM93" s="49">
        <f>IF($BL93="","",IFERROR(VALUE(MID($AL93,FIND("-",$AL93)+1,FIND(CHAR(34)&amp;"x",$AL93)-FIND("-",$AL93)-1)),0))</f>
        <v/>
      </c>
      <c r="BN93" s="49">
        <f>IF($BL93="","",IFERROR(VALUE(MID($AL93,FIND(CHAR(34)&amp;"x",$AL93)+2,FIND(CHAR(34),$AL93,FIND(CHAR(34)&amp;"x",$AL93)+2)-FIND(CHAR(34)&amp;"x",$AL93)-2)),0))</f>
        <v/>
      </c>
      <c r="BO93" s="53">
        <f>IF(OR($A93="",$H93="",$H93="NO LAB"),0,IFERROR(VALUE(LEFT($H93,FIND(" ",$H93)-1)),0))</f>
        <v/>
      </c>
      <c r="BP93" s="54">
        <f>IF(OR($A93="",$I93="",$I93="NON-RATED",N($J93)=0),"",IFERROR(VLOOKUP($I93&amp;"|"&amp;$J93,IBC,2,FALSE),"?"))</f>
        <v/>
      </c>
      <c r="BQ93" s="50">
        <f>IF(NOT(AND($A93&lt;&gt;"",$C93&lt;&gt;"DOOR ONLY")),"",TRIM(IFERROR(VLOOKUP($U93,CODES,2,FALSE),"")&amp;" "&amp;$AZ93&amp;" "&amp;IFERROR(VLOOKUP($Z93,CODES,2,FALSE),"")&amp;" "&amp;IFERROR(VLOOKUP($X93,CODES,2,FALSE),"")&amp;" "&amp;IFERROR(VLOOKUP($S93,CODES,2,FALSE),"")&amp;IF(N($P93)&gt;0," w/TRANSOM "&amp;$P93&amp;CHAR(34),"")&amp;IF(N($Q93)&gt;0," w/SIDELITE "&amp;$Q93&amp;CHAR(34)&amp;" "&amp;IF($R93="","R",$R93),"")&amp;IF($Y93="","  |  "," | "&amp;IFERROR(VLOOKUP($Y93,CODES,2,FALSE),"")&amp;" | ")&amp;IFERROR(VLOOKUP($AC93,CODES,2,FALSE),"")&amp;" "&amp;IFERROR(VLOOKUP($AD93,CODES,2,FALSE),"")&amp;IF(OR($AE93="",$AE93="-"),""," "&amp;$AE93)&amp;IF(OR($AF93="",$AF93="-"),""," "&amp;$AF93)&amp;IF($AB93="Y"," 4"&amp;CHAR(34)&amp;" HEAD","")&amp;" "&amp;IFERROR(VLOOKUP($H93,CODES,2,FALSE),"")))</f>
        <v/>
      </c>
      <c r="BR93" s="50">
        <f>IF(NOT(AND($A93&lt;&gt;"",N($BC93)&gt;0)),"",TRIM(IFERROR(VLOOKUP($AH93,CODES,2,FALSE),"")&amp;IF($AI93=""," "," "&amp;$AI93&amp;"GA ")&amp;$AZ93&amp;" "&amp;IF($AN93="",IFERROR(VLOOKUP($Z93,CODES,2,FALSE),""),IFERROR(VLOOKUP($AN93,CODES,2,FALSE),""))&amp;IF($BC93=2," PAIR","")&amp;" DOOR | "&amp;IF($AL93="","?",$AL93)&amp;" | "&amp;IF($AP93="",IFERROR(VLOOKUP($AC93,CODES,2,FALSE),""),IFERROR(VLOOKUP($AP93,CODES,2,FALSE),""))&amp;" "&amp;IFERROR(VLOOKUP($AQ93,CODES,2,FALSE),"")&amp;IF(OR($AR93="",$AR93="-"),""," SEAM "&amp;$AR93)&amp;IF($AS93="Y"," ASTRAGAL","")&amp;IF($AJ93=""," "," "&amp;$AJ93)&amp;IF($AK93=""," "," "&amp;$AK93)&amp;IF($AO93="",""," "&amp;$AO93)&amp;IF($AM93=""," "," SERIES "&amp;$AM93)&amp;" "&amp;IFERROR(VLOOKUP($H93,CODES,2,FALSE),"")))</f>
        <v/>
      </c>
      <c r="BS93" s="49">
        <f>IF(BV93="","",IF(COUNTIF($BV$6:BV93,BV93)=1,MAX($BS$5:BS92)+1,INDEX($BS$5:BS92,MATCH(BV93,$BV$5:BV92,0))))</f>
        <v/>
      </c>
      <c r="BT93" s="49">
        <f>IF(NOT(AND($A93&lt;&gt;"",$C93&lt;&gt;"DOOR ONLY")),"",MAX($BT$5:BT92)+1)</f>
        <v/>
      </c>
      <c r="BU93" s="49">
        <f>IF(NOT(AND($A93&lt;&gt;"",N($BC93)&gt;0)),"",MAX($BU$5:BU92)+1)</f>
        <v/>
      </c>
      <c r="BV93" s="49">
        <f>IF(OR($A93="",$BA93="",$BB93=""),"",$AZ93&amp;"|"&amp;$O93&amp;"|"&amp;$AL93&amp;"|"&amp;$S93&amp;"|"&amp;$P93&amp;"|"&amp;$Q93&amp;$R93&amp;"|"&amp;$C93&amp;"|"&amp;$AB93)</f>
        <v/>
      </c>
      <c r="BW93" s="49">
        <f>IF($A93="","",IF($B93="","qty, ","")&amp;IF($C93="","scope, ","")&amp;IF(OR($K93="",$M93=""),"size, ","")&amp;IF(AND($A93&lt;&gt;"",$C93&lt;&gt;"DOOR ONLY"),IF($U93="","jamb depth, ","")&amp;IF($X93="","construction, ","")&amp;IF($Y93="","anchor, ","")&amp;IF($S93="","frame type, ",""),"")&amp;IF(AND(N($BC93)&gt;0,$Z93=""),"hand, ","")&amp;IF(N($BC93)&gt;0,IF($AH93="","door material, ","")&amp;IF($AL93="","face type, ","")&amp;IF($AQ93="","lock prep, ","")&amp;IF(AND($AP93="",$AC93=""),"hinge prep, ",""),"")&amp;IF(AND($BO93&gt;0,$AH93="FRP"),"FRP cannot carry a label, ","")&amp;IF(AND($O93="Y",OR($Z93="L",$Z93="R",$Z93="LR",$Z93="RR")),"pair marked but hand is single, ","")&amp;IF(AND($O93&lt;&gt;"Y",OR($Z93="PR",AND(LEN($Z93)&gt;1,ISNUMBER(SEARCH("-",$Z93))))),"pair hand on a single door, ","")&amp;IF(AND(ISNUMBER($BP93),$BO93&lt;N($BP93)),"wall needs a "&amp;$BP93&amp;" min door, ","")&amp;IF(AND($BO93&gt;=180,AND(OR($BL93="FG",$BL93="HG",$BL93="FNV",$BL93="FV"),N($BM93)*N($BN93)&gt;100)),"180 min lite over 100 sq in, ","")&amp;IF(N($BD93)&gt;48,"leaf wider than 4'-0"&amp;CHAR(34)&amp;", ",""))</f>
        <v/>
      </c>
      <c r="BX93" s="49">
        <f>IF($A93="","",IF(AND($BO93&gt;0,AND($A93&lt;&gt;"",$C93&lt;&gt;"DOOR ONLY"),$X93="KD",$E93="EXTERIOR"),"KD label on an exterior opening, ","")&amp;IF(AND($E93="EXTERIOR",OR(AND(AND($A93&lt;&gt;"",$C93&lt;&gt;"DOOR ONLY"),$W93="CR"),AND(N($BC93)&gt;0,$AH93="CR"))),"exterior in CR steel (G9?), ","")&amp;IF(AND(ISNUMBER($BJ93),N($BJ93)&lt;32),"clear width ~"&amp;TEXT($BJ93,"0.0")&amp;CHAR(34)&amp;" under 32"&amp;CHAR(34)&amp;" (ADA), ","")&amp;IF(AND($BO93=90,AND(OR($BL93="FG",$BL93="HG",$BL93="FNV",$BL93="FV"),N($BM93)*N($BN93)&gt;100)),"90 min lite over 100 sq in (stair/exit), ","")&amp;IF(AND($BO93&gt;0,AND($A93&lt;&gt;"",$C93&lt;&gt;"DOOR ONLY"),OR($AF93="",$AF93="-")),"rated: closer reinf.?, ","")&amp;IF(OR($I93="CORRIDOR",$I93="SMOKE BARRIER"),"S label + smoke gasketing, ","")&amp;IF($BP93="?","wall type/hr not in IBC table, ","")&amp;IF(AND(N($BC93)&gt;0,$AU93=""),"no hardware set, ","")&amp;IF(AND($AU93&lt;&gt;"",ISNA(MATCH($AU93,HWSets,0))),"set "&amp;$AU93&amp;" not on Hardware sheet, ","")&amp;IF(N($BE93)&gt;96,"leaf over 8'-0"&amp;CHAR(34)&amp;" - check listing, ",""))</f>
        <v/>
      </c>
    </row>
    <row r="94" ht="15" customHeight="1">
      <c r="A94" s="44" t="n"/>
      <c r="B94" s="45" t="n"/>
      <c r="C94" s="45" t="n"/>
      <c r="D94" s="45" t="n"/>
      <c r="E94" s="45" t="n"/>
      <c r="F94" s="45" t="n"/>
      <c r="G94" s="45" t="n"/>
      <c r="H94" s="45" t="n"/>
      <c r="I94" s="45" t="n"/>
      <c r="J94" s="45" t="n"/>
      <c r="K94" s="45" t="n"/>
      <c r="L94" s="45" t="n"/>
      <c r="M94" s="45" t="n"/>
      <c r="N94" s="45" t="n"/>
      <c r="O94" s="45" t="n"/>
      <c r="P94" s="45" t="n"/>
      <c r="Q94" s="45" t="n"/>
      <c r="R94" s="45" t="n"/>
      <c r="S94" s="46" t="n"/>
      <c r="T94" s="46" t="n"/>
      <c r="U94" s="46" t="n"/>
      <c r="V94" s="46" t="n"/>
      <c r="W94" s="46" t="n"/>
      <c r="X94" s="46" t="n"/>
      <c r="Y94" s="46" t="n"/>
      <c r="Z94" s="46" t="n"/>
      <c r="AA94" s="46" t="n"/>
      <c r="AB94" s="46" t="n"/>
      <c r="AC94" s="46" t="n"/>
      <c r="AD94" s="46" t="n"/>
      <c r="AE94" s="46" t="n"/>
      <c r="AF94" s="46" t="n"/>
      <c r="AG94" s="46" t="n"/>
      <c r="AH94" s="47" t="n"/>
      <c r="AI94" s="47" t="n"/>
      <c r="AJ94" s="47" t="n"/>
      <c r="AK94" s="47" t="n"/>
      <c r="AL94" s="47" t="n"/>
      <c r="AM94" s="47" t="n"/>
      <c r="AN94" s="47" t="n"/>
      <c r="AO94" s="47" t="n"/>
      <c r="AP94" s="47" t="n"/>
      <c r="AQ94" s="47" t="n"/>
      <c r="AR94" s="47" t="n"/>
      <c r="AS94" s="47" t="n"/>
      <c r="AT94" s="47" t="n"/>
      <c r="AU94" s="48" t="n"/>
      <c r="AV94" s="48" t="n"/>
      <c r="AW94" s="49">
        <f>IF($A94="","",IF($BW94&lt;&gt;"","FIX",IF($BX94&lt;&gt;"","CHECK","OK")))</f>
        <v/>
      </c>
      <c r="AX94" s="50">
        <f>IF($A94="","",IF($BW94&lt;&gt;"","FIX: "&amp;LEFT($BW94,LEN($BW94)-2)&amp;IF($BX94&lt;&gt;"","  ·  ",""),"")&amp;IF($BX94&lt;&gt;"","CHECK: "&amp;LEFT($BX94,LEN($BX94)-2),""))</f>
        <v/>
      </c>
      <c r="AY94" s="49">
        <f>IF(OR($A94="",$K94=""),"",$K94&amp;"'-"&amp;N($L94)&amp;CHAR(34)&amp;" x "&amp;$M94&amp;"'-"&amp;N($N94)&amp;CHAR(34))</f>
        <v/>
      </c>
      <c r="AZ94" s="49">
        <f>IF(OR($A94="",$K94=""),"",$K94&amp;N($L94)&amp;$M94&amp;N($N94))</f>
        <v/>
      </c>
      <c r="BA94" s="49">
        <f>IF(OR($A94="",$K94=""),"",$K94*12+N($L94))</f>
        <v/>
      </c>
      <c r="BB94" s="49">
        <f>IF(OR($A94="",$M94=""),"",$M94*12+N($N94))</f>
        <v/>
      </c>
      <c r="BC94" s="49">
        <f>IF($A94="","",IF(OR($C94="FRAME ONLY",$S94="BL"),0,IF($O94="Y",2,1)))</f>
        <v/>
      </c>
      <c r="BD94" s="51">
        <f>IF(OR(N($BC94)=0,$BA94=""),"",($BA94-2*EdgeClr-IF($BC94=2,MeetClr,0))/$BC94)</f>
        <v/>
      </c>
      <c r="BE94" s="51">
        <f>IF(OR(N($BC94)=0,$BB94=""),"",$BB94-HeadClr-Undercut)</f>
        <v/>
      </c>
      <c r="BF94" s="51">
        <f>IF($BA94="","",$BA94+2*FaceW+IF(N($Q94)&gt;0,($Q94+FaceW)*IF($R94="LR",2,1),0))</f>
        <v/>
      </c>
      <c r="BG94" s="51">
        <f>IF($BB94="","",$BB94+IF($AB94="Y",4,FaceW)+IF(N($P94)&gt;0,$P94+FaceW,0)+IF(OR($S94="4F",$S94="BL"),FaceW,0))</f>
        <v/>
      </c>
      <c r="BH94" s="51">
        <f>IF($BF94="","",$BF94+2*ROSide)</f>
        <v/>
      </c>
      <c r="BI94" s="51">
        <f>IF($BG94="","",$BG94+ROTop)</f>
        <v/>
      </c>
      <c r="BJ94" s="52">
        <f>IF(OR(N($BC94)=0,$BA94=""),"",$BA94/$BC94-ClearDeduct)</f>
        <v/>
      </c>
      <c r="BK94" s="49">
        <f>IF(OR(N($BC94)=0,$BE94=""),"",IF(OR($AC94="HGC",$AP94="HGC"),"CONT",IF($BE94&lt;=60,2,IF($BE94&lt;=90,3,IF($BE94&lt;=120,4,5)))))</f>
        <v/>
      </c>
      <c r="BL94" s="49">
        <f>IF(N($BC94)=0,"",IF(OR($AL94="",$AL94="FLUSH"),"FLUSH",IFERROR(LEFT($AL94,FIND("-",$AL94)-1),LEFT($AL94,2))))</f>
        <v/>
      </c>
      <c r="BM94" s="49">
        <f>IF($BL94="","",IFERROR(VALUE(MID($AL94,FIND("-",$AL94)+1,FIND(CHAR(34)&amp;"x",$AL94)-FIND("-",$AL94)-1)),0))</f>
        <v/>
      </c>
      <c r="BN94" s="49">
        <f>IF($BL94="","",IFERROR(VALUE(MID($AL94,FIND(CHAR(34)&amp;"x",$AL94)+2,FIND(CHAR(34),$AL94,FIND(CHAR(34)&amp;"x",$AL94)+2)-FIND(CHAR(34)&amp;"x",$AL94)-2)),0))</f>
        <v/>
      </c>
      <c r="BO94" s="53">
        <f>IF(OR($A94="",$H94="",$H94="NO LAB"),0,IFERROR(VALUE(LEFT($H94,FIND(" ",$H94)-1)),0))</f>
        <v/>
      </c>
      <c r="BP94" s="54">
        <f>IF(OR($A94="",$I94="",$I94="NON-RATED",N($J94)=0),"",IFERROR(VLOOKUP($I94&amp;"|"&amp;$J94,IBC,2,FALSE),"?"))</f>
        <v/>
      </c>
      <c r="BQ94" s="50">
        <f>IF(NOT(AND($A94&lt;&gt;"",$C94&lt;&gt;"DOOR ONLY")),"",TRIM(IFERROR(VLOOKUP($U94,CODES,2,FALSE),"")&amp;" "&amp;$AZ94&amp;" "&amp;IFERROR(VLOOKUP($Z94,CODES,2,FALSE),"")&amp;" "&amp;IFERROR(VLOOKUP($X94,CODES,2,FALSE),"")&amp;" "&amp;IFERROR(VLOOKUP($S94,CODES,2,FALSE),"")&amp;IF(N($P94)&gt;0," w/TRANSOM "&amp;$P94&amp;CHAR(34),"")&amp;IF(N($Q94)&gt;0," w/SIDELITE "&amp;$Q94&amp;CHAR(34)&amp;" "&amp;IF($R94="","R",$R94),"")&amp;IF($Y94="","  |  "," | "&amp;IFERROR(VLOOKUP($Y94,CODES,2,FALSE),"")&amp;" | ")&amp;IFERROR(VLOOKUP($AC94,CODES,2,FALSE),"")&amp;" "&amp;IFERROR(VLOOKUP($AD94,CODES,2,FALSE),"")&amp;IF(OR($AE94="",$AE94="-"),""," "&amp;$AE94)&amp;IF(OR($AF94="",$AF94="-"),""," "&amp;$AF94)&amp;IF($AB94="Y"," 4"&amp;CHAR(34)&amp;" HEAD","")&amp;" "&amp;IFERROR(VLOOKUP($H94,CODES,2,FALSE),"")))</f>
        <v/>
      </c>
      <c r="BR94" s="50">
        <f>IF(NOT(AND($A94&lt;&gt;"",N($BC94)&gt;0)),"",TRIM(IFERROR(VLOOKUP($AH94,CODES,2,FALSE),"")&amp;IF($AI94=""," "," "&amp;$AI94&amp;"GA ")&amp;$AZ94&amp;" "&amp;IF($AN94="",IFERROR(VLOOKUP($Z94,CODES,2,FALSE),""),IFERROR(VLOOKUP($AN94,CODES,2,FALSE),""))&amp;IF($BC94=2," PAIR","")&amp;" DOOR | "&amp;IF($AL94="","?",$AL94)&amp;" | "&amp;IF($AP94="",IFERROR(VLOOKUP($AC94,CODES,2,FALSE),""),IFERROR(VLOOKUP($AP94,CODES,2,FALSE),""))&amp;" "&amp;IFERROR(VLOOKUP($AQ94,CODES,2,FALSE),"")&amp;IF(OR($AR94="",$AR94="-"),""," SEAM "&amp;$AR94)&amp;IF($AS94="Y"," ASTRAGAL","")&amp;IF($AJ94=""," "," "&amp;$AJ94)&amp;IF($AK94=""," "," "&amp;$AK94)&amp;IF($AO94="",""," "&amp;$AO94)&amp;IF($AM94=""," "," SERIES "&amp;$AM94)&amp;" "&amp;IFERROR(VLOOKUP($H94,CODES,2,FALSE),"")))</f>
        <v/>
      </c>
      <c r="BS94" s="49">
        <f>IF(BV94="","",IF(COUNTIF($BV$6:BV94,BV94)=1,MAX($BS$5:BS93)+1,INDEX($BS$5:BS93,MATCH(BV94,$BV$5:BV93,0))))</f>
        <v/>
      </c>
      <c r="BT94" s="49">
        <f>IF(NOT(AND($A94&lt;&gt;"",$C94&lt;&gt;"DOOR ONLY")),"",MAX($BT$5:BT93)+1)</f>
        <v/>
      </c>
      <c r="BU94" s="49">
        <f>IF(NOT(AND($A94&lt;&gt;"",N($BC94)&gt;0)),"",MAX($BU$5:BU93)+1)</f>
        <v/>
      </c>
      <c r="BV94" s="49">
        <f>IF(OR($A94="",$BA94="",$BB94=""),"",$AZ94&amp;"|"&amp;$O94&amp;"|"&amp;$AL94&amp;"|"&amp;$S94&amp;"|"&amp;$P94&amp;"|"&amp;$Q94&amp;$R94&amp;"|"&amp;$C94&amp;"|"&amp;$AB94)</f>
        <v/>
      </c>
      <c r="BW94" s="49">
        <f>IF($A94="","",IF($B94="","qty, ","")&amp;IF($C94="","scope, ","")&amp;IF(OR($K94="",$M94=""),"size, ","")&amp;IF(AND($A94&lt;&gt;"",$C94&lt;&gt;"DOOR ONLY"),IF($U94="","jamb depth, ","")&amp;IF($X94="","construction, ","")&amp;IF($Y94="","anchor, ","")&amp;IF($S94="","frame type, ",""),"")&amp;IF(AND(N($BC94)&gt;0,$Z94=""),"hand, ","")&amp;IF(N($BC94)&gt;0,IF($AH94="","door material, ","")&amp;IF($AL94="","face type, ","")&amp;IF($AQ94="","lock prep, ","")&amp;IF(AND($AP94="",$AC94=""),"hinge prep, ",""),"")&amp;IF(AND($BO94&gt;0,$AH94="FRP"),"FRP cannot carry a label, ","")&amp;IF(AND($O94="Y",OR($Z94="L",$Z94="R",$Z94="LR",$Z94="RR")),"pair marked but hand is single, ","")&amp;IF(AND($O94&lt;&gt;"Y",OR($Z94="PR",AND(LEN($Z94)&gt;1,ISNUMBER(SEARCH("-",$Z94))))),"pair hand on a single door, ","")&amp;IF(AND(ISNUMBER($BP94),$BO94&lt;N($BP94)),"wall needs a "&amp;$BP94&amp;" min door, ","")&amp;IF(AND($BO94&gt;=180,AND(OR($BL94="FG",$BL94="HG",$BL94="FNV",$BL94="FV"),N($BM94)*N($BN94)&gt;100)),"180 min lite over 100 sq in, ","")&amp;IF(N($BD94)&gt;48,"leaf wider than 4'-0"&amp;CHAR(34)&amp;", ",""))</f>
        <v/>
      </c>
      <c r="BX94" s="49">
        <f>IF($A94="","",IF(AND($BO94&gt;0,AND($A94&lt;&gt;"",$C94&lt;&gt;"DOOR ONLY"),$X94="KD",$E94="EXTERIOR"),"KD label on an exterior opening, ","")&amp;IF(AND($E94="EXTERIOR",OR(AND(AND($A94&lt;&gt;"",$C94&lt;&gt;"DOOR ONLY"),$W94="CR"),AND(N($BC94)&gt;0,$AH94="CR"))),"exterior in CR steel (G9?), ","")&amp;IF(AND(ISNUMBER($BJ94),N($BJ94)&lt;32),"clear width ~"&amp;TEXT($BJ94,"0.0")&amp;CHAR(34)&amp;" under 32"&amp;CHAR(34)&amp;" (ADA), ","")&amp;IF(AND($BO94=90,AND(OR($BL94="FG",$BL94="HG",$BL94="FNV",$BL94="FV"),N($BM94)*N($BN94)&gt;100)),"90 min lite over 100 sq in (stair/exit), ","")&amp;IF(AND($BO94&gt;0,AND($A94&lt;&gt;"",$C94&lt;&gt;"DOOR ONLY"),OR($AF94="",$AF94="-")),"rated: closer reinf.?, ","")&amp;IF(OR($I94="CORRIDOR",$I94="SMOKE BARRIER"),"S label + smoke gasketing, ","")&amp;IF($BP94="?","wall type/hr not in IBC table, ","")&amp;IF(AND(N($BC94)&gt;0,$AU94=""),"no hardware set, ","")&amp;IF(AND($AU94&lt;&gt;"",ISNA(MATCH($AU94,HWSets,0))),"set "&amp;$AU94&amp;" not on Hardware sheet, ","")&amp;IF(N($BE94)&gt;96,"leaf over 8'-0"&amp;CHAR(34)&amp;" - check listing, ",""))</f>
        <v/>
      </c>
    </row>
    <row r="95" ht="15" customHeight="1">
      <c r="A95" s="44" t="n"/>
      <c r="B95" s="45" t="n"/>
      <c r="C95" s="45" t="n"/>
      <c r="D95" s="45" t="n"/>
      <c r="E95" s="45" t="n"/>
      <c r="F95" s="45" t="n"/>
      <c r="G95" s="45" t="n"/>
      <c r="H95" s="45" t="n"/>
      <c r="I95" s="45" t="n"/>
      <c r="J95" s="45" t="n"/>
      <c r="K95" s="45" t="n"/>
      <c r="L95" s="45" t="n"/>
      <c r="M95" s="45" t="n"/>
      <c r="N95" s="45" t="n"/>
      <c r="O95" s="45" t="n"/>
      <c r="P95" s="45" t="n"/>
      <c r="Q95" s="45" t="n"/>
      <c r="R95" s="45" t="n"/>
      <c r="S95" s="46" t="n"/>
      <c r="T95" s="46" t="n"/>
      <c r="U95" s="46" t="n"/>
      <c r="V95" s="46" t="n"/>
      <c r="W95" s="46" t="n"/>
      <c r="X95" s="46" t="n"/>
      <c r="Y95" s="46" t="n"/>
      <c r="Z95" s="46" t="n"/>
      <c r="AA95" s="46" t="n"/>
      <c r="AB95" s="46" t="n"/>
      <c r="AC95" s="46" t="n"/>
      <c r="AD95" s="46" t="n"/>
      <c r="AE95" s="46" t="n"/>
      <c r="AF95" s="46" t="n"/>
      <c r="AG95" s="46" t="n"/>
      <c r="AH95" s="47" t="n"/>
      <c r="AI95" s="47" t="n"/>
      <c r="AJ95" s="47" t="n"/>
      <c r="AK95" s="47" t="n"/>
      <c r="AL95" s="47" t="n"/>
      <c r="AM95" s="47" t="n"/>
      <c r="AN95" s="47" t="n"/>
      <c r="AO95" s="47" t="n"/>
      <c r="AP95" s="47" t="n"/>
      <c r="AQ95" s="47" t="n"/>
      <c r="AR95" s="47" t="n"/>
      <c r="AS95" s="47" t="n"/>
      <c r="AT95" s="47" t="n"/>
      <c r="AU95" s="48" t="n"/>
      <c r="AV95" s="48" t="n"/>
      <c r="AW95" s="49">
        <f>IF($A95="","",IF($BW95&lt;&gt;"","FIX",IF($BX95&lt;&gt;"","CHECK","OK")))</f>
        <v/>
      </c>
      <c r="AX95" s="50">
        <f>IF($A95="","",IF($BW95&lt;&gt;"","FIX: "&amp;LEFT($BW95,LEN($BW95)-2)&amp;IF($BX95&lt;&gt;"","  ·  ",""),"")&amp;IF($BX95&lt;&gt;"","CHECK: "&amp;LEFT($BX95,LEN($BX95)-2),""))</f>
        <v/>
      </c>
      <c r="AY95" s="49">
        <f>IF(OR($A95="",$K95=""),"",$K95&amp;"'-"&amp;N($L95)&amp;CHAR(34)&amp;" x "&amp;$M95&amp;"'-"&amp;N($N95)&amp;CHAR(34))</f>
        <v/>
      </c>
      <c r="AZ95" s="49">
        <f>IF(OR($A95="",$K95=""),"",$K95&amp;N($L95)&amp;$M95&amp;N($N95))</f>
        <v/>
      </c>
      <c r="BA95" s="49">
        <f>IF(OR($A95="",$K95=""),"",$K95*12+N($L95))</f>
        <v/>
      </c>
      <c r="BB95" s="49">
        <f>IF(OR($A95="",$M95=""),"",$M95*12+N($N95))</f>
        <v/>
      </c>
      <c r="BC95" s="49">
        <f>IF($A95="","",IF(OR($C95="FRAME ONLY",$S95="BL"),0,IF($O95="Y",2,1)))</f>
        <v/>
      </c>
      <c r="BD95" s="51">
        <f>IF(OR(N($BC95)=0,$BA95=""),"",($BA95-2*EdgeClr-IF($BC95=2,MeetClr,0))/$BC95)</f>
        <v/>
      </c>
      <c r="BE95" s="51">
        <f>IF(OR(N($BC95)=0,$BB95=""),"",$BB95-HeadClr-Undercut)</f>
        <v/>
      </c>
      <c r="BF95" s="51">
        <f>IF($BA95="","",$BA95+2*FaceW+IF(N($Q95)&gt;0,($Q95+FaceW)*IF($R95="LR",2,1),0))</f>
        <v/>
      </c>
      <c r="BG95" s="51">
        <f>IF($BB95="","",$BB95+IF($AB95="Y",4,FaceW)+IF(N($P95)&gt;0,$P95+FaceW,0)+IF(OR($S95="4F",$S95="BL"),FaceW,0))</f>
        <v/>
      </c>
      <c r="BH95" s="51">
        <f>IF($BF95="","",$BF95+2*ROSide)</f>
        <v/>
      </c>
      <c r="BI95" s="51">
        <f>IF($BG95="","",$BG95+ROTop)</f>
        <v/>
      </c>
      <c r="BJ95" s="52">
        <f>IF(OR(N($BC95)=0,$BA95=""),"",$BA95/$BC95-ClearDeduct)</f>
        <v/>
      </c>
      <c r="BK95" s="49">
        <f>IF(OR(N($BC95)=0,$BE95=""),"",IF(OR($AC95="HGC",$AP95="HGC"),"CONT",IF($BE95&lt;=60,2,IF($BE95&lt;=90,3,IF($BE95&lt;=120,4,5)))))</f>
        <v/>
      </c>
      <c r="BL95" s="49">
        <f>IF(N($BC95)=0,"",IF(OR($AL95="",$AL95="FLUSH"),"FLUSH",IFERROR(LEFT($AL95,FIND("-",$AL95)-1),LEFT($AL95,2))))</f>
        <v/>
      </c>
      <c r="BM95" s="49">
        <f>IF($BL95="","",IFERROR(VALUE(MID($AL95,FIND("-",$AL95)+1,FIND(CHAR(34)&amp;"x",$AL95)-FIND("-",$AL95)-1)),0))</f>
        <v/>
      </c>
      <c r="BN95" s="49">
        <f>IF($BL95="","",IFERROR(VALUE(MID($AL95,FIND(CHAR(34)&amp;"x",$AL95)+2,FIND(CHAR(34),$AL95,FIND(CHAR(34)&amp;"x",$AL95)+2)-FIND(CHAR(34)&amp;"x",$AL95)-2)),0))</f>
        <v/>
      </c>
      <c r="BO95" s="53">
        <f>IF(OR($A95="",$H95="",$H95="NO LAB"),0,IFERROR(VALUE(LEFT($H95,FIND(" ",$H95)-1)),0))</f>
        <v/>
      </c>
      <c r="BP95" s="54">
        <f>IF(OR($A95="",$I95="",$I95="NON-RATED",N($J95)=0),"",IFERROR(VLOOKUP($I95&amp;"|"&amp;$J95,IBC,2,FALSE),"?"))</f>
        <v/>
      </c>
      <c r="BQ95" s="50">
        <f>IF(NOT(AND($A95&lt;&gt;"",$C95&lt;&gt;"DOOR ONLY")),"",TRIM(IFERROR(VLOOKUP($U95,CODES,2,FALSE),"")&amp;" "&amp;$AZ95&amp;" "&amp;IFERROR(VLOOKUP($Z95,CODES,2,FALSE),"")&amp;" "&amp;IFERROR(VLOOKUP($X95,CODES,2,FALSE),"")&amp;" "&amp;IFERROR(VLOOKUP($S95,CODES,2,FALSE),"")&amp;IF(N($P95)&gt;0," w/TRANSOM "&amp;$P95&amp;CHAR(34),"")&amp;IF(N($Q95)&gt;0," w/SIDELITE "&amp;$Q95&amp;CHAR(34)&amp;" "&amp;IF($R95="","R",$R95),"")&amp;IF($Y95="","  |  "," | "&amp;IFERROR(VLOOKUP($Y95,CODES,2,FALSE),"")&amp;" | ")&amp;IFERROR(VLOOKUP($AC95,CODES,2,FALSE),"")&amp;" "&amp;IFERROR(VLOOKUP($AD95,CODES,2,FALSE),"")&amp;IF(OR($AE95="",$AE95="-"),""," "&amp;$AE95)&amp;IF(OR($AF95="",$AF95="-"),""," "&amp;$AF95)&amp;IF($AB95="Y"," 4"&amp;CHAR(34)&amp;" HEAD","")&amp;" "&amp;IFERROR(VLOOKUP($H95,CODES,2,FALSE),"")))</f>
        <v/>
      </c>
      <c r="BR95" s="50">
        <f>IF(NOT(AND($A95&lt;&gt;"",N($BC95)&gt;0)),"",TRIM(IFERROR(VLOOKUP($AH95,CODES,2,FALSE),"")&amp;IF($AI95=""," "," "&amp;$AI95&amp;"GA ")&amp;$AZ95&amp;" "&amp;IF($AN95="",IFERROR(VLOOKUP($Z95,CODES,2,FALSE),""),IFERROR(VLOOKUP($AN95,CODES,2,FALSE),""))&amp;IF($BC95=2," PAIR","")&amp;" DOOR | "&amp;IF($AL95="","?",$AL95)&amp;" | "&amp;IF($AP95="",IFERROR(VLOOKUP($AC95,CODES,2,FALSE),""),IFERROR(VLOOKUP($AP95,CODES,2,FALSE),""))&amp;" "&amp;IFERROR(VLOOKUP($AQ95,CODES,2,FALSE),"")&amp;IF(OR($AR95="",$AR95="-"),""," SEAM "&amp;$AR95)&amp;IF($AS95="Y"," ASTRAGAL","")&amp;IF($AJ95=""," "," "&amp;$AJ95)&amp;IF($AK95=""," "," "&amp;$AK95)&amp;IF($AO95="",""," "&amp;$AO95)&amp;IF($AM95=""," "," SERIES "&amp;$AM95)&amp;" "&amp;IFERROR(VLOOKUP($H95,CODES,2,FALSE),"")))</f>
        <v/>
      </c>
      <c r="BS95" s="49">
        <f>IF(BV95="","",IF(COUNTIF($BV$6:BV95,BV95)=1,MAX($BS$5:BS94)+1,INDEX($BS$5:BS94,MATCH(BV95,$BV$5:BV94,0))))</f>
        <v/>
      </c>
      <c r="BT95" s="49">
        <f>IF(NOT(AND($A95&lt;&gt;"",$C95&lt;&gt;"DOOR ONLY")),"",MAX($BT$5:BT94)+1)</f>
        <v/>
      </c>
      <c r="BU95" s="49">
        <f>IF(NOT(AND($A95&lt;&gt;"",N($BC95)&gt;0)),"",MAX($BU$5:BU94)+1)</f>
        <v/>
      </c>
      <c r="BV95" s="49">
        <f>IF(OR($A95="",$BA95="",$BB95=""),"",$AZ95&amp;"|"&amp;$O95&amp;"|"&amp;$AL95&amp;"|"&amp;$S95&amp;"|"&amp;$P95&amp;"|"&amp;$Q95&amp;$R95&amp;"|"&amp;$C95&amp;"|"&amp;$AB95)</f>
        <v/>
      </c>
      <c r="BW95" s="49">
        <f>IF($A95="","",IF($B95="","qty, ","")&amp;IF($C95="","scope, ","")&amp;IF(OR($K95="",$M95=""),"size, ","")&amp;IF(AND($A95&lt;&gt;"",$C95&lt;&gt;"DOOR ONLY"),IF($U95="","jamb depth, ","")&amp;IF($X95="","construction, ","")&amp;IF($Y95="","anchor, ","")&amp;IF($S95="","frame type, ",""),"")&amp;IF(AND(N($BC95)&gt;0,$Z95=""),"hand, ","")&amp;IF(N($BC95)&gt;0,IF($AH95="","door material, ","")&amp;IF($AL95="","face type, ","")&amp;IF($AQ95="","lock prep, ","")&amp;IF(AND($AP95="",$AC95=""),"hinge prep, ",""),"")&amp;IF(AND($BO95&gt;0,$AH95="FRP"),"FRP cannot carry a label, ","")&amp;IF(AND($O95="Y",OR($Z95="L",$Z95="R",$Z95="LR",$Z95="RR")),"pair marked but hand is single, ","")&amp;IF(AND($O95&lt;&gt;"Y",OR($Z95="PR",AND(LEN($Z95)&gt;1,ISNUMBER(SEARCH("-",$Z95))))),"pair hand on a single door, ","")&amp;IF(AND(ISNUMBER($BP95),$BO95&lt;N($BP95)),"wall needs a "&amp;$BP95&amp;" min door, ","")&amp;IF(AND($BO95&gt;=180,AND(OR($BL95="FG",$BL95="HG",$BL95="FNV",$BL95="FV"),N($BM95)*N($BN95)&gt;100)),"180 min lite over 100 sq in, ","")&amp;IF(N($BD95)&gt;48,"leaf wider than 4'-0"&amp;CHAR(34)&amp;", ",""))</f>
        <v/>
      </c>
      <c r="BX95" s="49">
        <f>IF($A95="","",IF(AND($BO95&gt;0,AND($A95&lt;&gt;"",$C95&lt;&gt;"DOOR ONLY"),$X95="KD",$E95="EXTERIOR"),"KD label on an exterior opening, ","")&amp;IF(AND($E95="EXTERIOR",OR(AND(AND($A95&lt;&gt;"",$C95&lt;&gt;"DOOR ONLY"),$W95="CR"),AND(N($BC95)&gt;0,$AH95="CR"))),"exterior in CR steel (G9?), ","")&amp;IF(AND(ISNUMBER($BJ95),N($BJ95)&lt;32),"clear width ~"&amp;TEXT($BJ95,"0.0")&amp;CHAR(34)&amp;" under 32"&amp;CHAR(34)&amp;" (ADA), ","")&amp;IF(AND($BO95=90,AND(OR($BL95="FG",$BL95="HG",$BL95="FNV",$BL95="FV"),N($BM95)*N($BN95)&gt;100)),"90 min lite over 100 sq in (stair/exit), ","")&amp;IF(AND($BO95&gt;0,AND($A95&lt;&gt;"",$C95&lt;&gt;"DOOR ONLY"),OR($AF95="",$AF95="-")),"rated: closer reinf.?, ","")&amp;IF(OR($I95="CORRIDOR",$I95="SMOKE BARRIER"),"S label + smoke gasketing, ","")&amp;IF($BP95="?","wall type/hr not in IBC table, ","")&amp;IF(AND(N($BC95)&gt;0,$AU95=""),"no hardware set, ","")&amp;IF(AND($AU95&lt;&gt;"",ISNA(MATCH($AU95,HWSets,0))),"set "&amp;$AU95&amp;" not on Hardware sheet, ","")&amp;IF(N($BE95)&gt;96,"leaf over 8'-0"&amp;CHAR(34)&amp;" - check listing, ",""))</f>
        <v/>
      </c>
    </row>
    <row r="96" ht="15" customHeight="1">
      <c r="A96" s="44" t="n"/>
      <c r="B96" s="45" t="n"/>
      <c r="C96" s="45" t="n"/>
      <c r="D96" s="45" t="n"/>
      <c r="E96" s="45" t="n"/>
      <c r="F96" s="45" t="n"/>
      <c r="G96" s="45" t="n"/>
      <c r="H96" s="45" t="n"/>
      <c r="I96" s="45" t="n"/>
      <c r="J96" s="45" t="n"/>
      <c r="K96" s="45" t="n"/>
      <c r="L96" s="45" t="n"/>
      <c r="M96" s="45" t="n"/>
      <c r="N96" s="45" t="n"/>
      <c r="O96" s="45" t="n"/>
      <c r="P96" s="45" t="n"/>
      <c r="Q96" s="45" t="n"/>
      <c r="R96" s="45" t="n"/>
      <c r="S96" s="46" t="n"/>
      <c r="T96" s="46" t="n"/>
      <c r="U96" s="46" t="n"/>
      <c r="V96" s="46" t="n"/>
      <c r="W96" s="46" t="n"/>
      <c r="X96" s="46" t="n"/>
      <c r="Y96" s="46" t="n"/>
      <c r="Z96" s="46" t="n"/>
      <c r="AA96" s="46" t="n"/>
      <c r="AB96" s="46" t="n"/>
      <c r="AC96" s="46" t="n"/>
      <c r="AD96" s="46" t="n"/>
      <c r="AE96" s="46" t="n"/>
      <c r="AF96" s="46" t="n"/>
      <c r="AG96" s="46" t="n"/>
      <c r="AH96" s="47" t="n"/>
      <c r="AI96" s="47" t="n"/>
      <c r="AJ96" s="47" t="n"/>
      <c r="AK96" s="47" t="n"/>
      <c r="AL96" s="47" t="n"/>
      <c r="AM96" s="47" t="n"/>
      <c r="AN96" s="47" t="n"/>
      <c r="AO96" s="47" t="n"/>
      <c r="AP96" s="47" t="n"/>
      <c r="AQ96" s="47" t="n"/>
      <c r="AR96" s="47" t="n"/>
      <c r="AS96" s="47" t="n"/>
      <c r="AT96" s="47" t="n"/>
      <c r="AU96" s="48" t="n"/>
      <c r="AV96" s="48" t="n"/>
      <c r="AW96" s="49">
        <f>IF($A96="","",IF($BW96&lt;&gt;"","FIX",IF($BX96&lt;&gt;"","CHECK","OK")))</f>
        <v/>
      </c>
      <c r="AX96" s="50">
        <f>IF($A96="","",IF($BW96&lt;&gt;"","FIX: "&amp;LEFT($BW96,LEN($BW96)-2)&amp;IF($BX96&lt;&gt;"","  ·  ",""),"")&amp;IF($BX96&lt;&gt;"","CHECK: "&amp;LEFT($BX96,LEN($BX96)-2),""))</f>
        <v/>
      </c>
      <c r="AY96" s="49">
        <f>IF(OR($A96="",$K96=""),"",$K96&amp;"'-"&amp;N($L96)&amp;CHAR(34)&amp;" x "&amp;$M96&amp;"'-"&amp;N($N96)&amp;CHAR(34))</f>
        <v/>
      </c>
      <c r="AZ96" s="49">
        <f>IF(OR($A96="",$K96=""),"",$K96&amp;N($L96)&amp;$M96&amp;N($N96))</f>
        <v/>
      </c>
      <c r="BA96" s="49">
        <f>IF(OR($A96="",$K96=""),"",$K96*12+N($L96))</f>
        <v/>
      </c>
      <c r="BB96" s="49">
        <f>IF(OR($A96="",$M96=""),"",$M96*12+N($N96))</f>
        <v/>
      </c>
      <c r="BC96" s="49">
        <f>IF($A96="","",IF(OR($C96="FRAME ONLY",$S96="BL"),0,IF($O96="Y",2,1)))</f>
        <v/>
      </c>
      <c r="BD96" s="51">
        <f>IF(OR(N($BC96)=0,$BA96=""),"",($BA96-2*EdgeClr-IF($BC96=2,MeetClr,0))/$BC96)</f>
        <v/>
      </c>
      <c r="BE96" s="51">
        <f>IF(OR(N($BC96)=0,$BB96=""),"",$BB96-HeadClr-Undercut)</f>
        <v/>
      </c>
      <c r="BF96" s="51">
        <f>IF($BA96="","",$BA96+2*FaceW+IF(N($Q96)&gt;0,($Q96+FaceW)*IF($R96="LR",2,1),0))</f>
        <v/>
      </c>
      <c r="BG96" s="51">
        <f>IF($BB96="","",$BB96+IF($AB96="Y",4,FaceW)+IF(N($P96)&gt;0,$P96+FaceW,0)+IF(OR($S96="4F",$S96="BL"),FaceW,0))</f>
        <v/>
      </c>
      <c r="BH96" s="51">
        <f>IF($BF96="","",$BF96+2*ROSide)</f>
        <v/>
      </c>
      <c r="BI96" s="51">
        <f>IF($BG96="","",$BG96+ROTop)</f>
        <v/>
      </c>
      <c r="BJ96" s="52">
        <f>IF(OR(N($BC96)=0,$BA96=""),"",$BA96/$BC96-ClearDeduct)</f>
        <v/>
      </c>
      <c r="BK96" s="49">
        <f>IF(OR(N($BC96)=0,$BE96=""),"",IF(OR($AC96="HGC",$AP96="HGC"),"CONT",IF($BE96&lt;=60,2,IF($BE96&lt;=90,3,IF($BE96&lt;=120,4,5)))))</f>
        <v/>
      </c>
      <c r="BL96" s="49">
        <f>IF(N($BC96)=0,"",IF(OR($AL96="",$AL96="FLUSH"),"FLUSH",IFERROR(LEFT($AL96,FIND("-",$AL96)-1),LEFT($AL96,2))))</f>
        <v/>
      </c>
      <c r="BM96" s="49">
        <f>IF($BL96="","",IFERROR(VALUE(MID($AL96,FIND("-",$AL96)+1,FIND(CHAR(34)&amp;"x",$AL96)-FIND("-",$AL96)-1)),0))</f>
        <v/>
      </c>
      <c r="BN96" s="49">
        <f>IF($BL96="","",IFERROR(VALUE(MID($AL96,FIND(CHAR(34)&amp;"x",$AL96)+2,FIND(CHAR(34),$AL96,FIND(CHAR(34)&amp;"x",$AL96)+2)-FIND(CHAR(34)&amp;"x",$AL96)-2)),0))</f>
        <v/>
      </c>
      <c r="BO96" s="53">
        <f>IF(OR($A96="",$H96="",$H96="NO LAB"),0,IFERROR(VALUE(LEFT($H96,FIND(" ",$H96)-1)),0))</f>
        <v/>
      </c>
      <c r="BP96" s="54">
        <f>IF(OR($A96="",$I96="",$I96="NON-RATED",N($J96)=0),"",IFERROR(VLOOKUP($I96&amp;"|"&amp;$J96,IBC,2,FALSE),"?"))</f>
        <v/>
      </c>
      <c r="BQ96" s="50">
        <f>IF(NOT(AND($A96&lt;&gt;"",$C96&lt;&gt;"DOOR ONLY")),"",TRIM(IFERROR(VLOOKUP($U96,CODES,2,FALSE),"")&amp;" "&amp;$AZ96&amp;" "&amp;IFERROR(VLOOKUP($Z96,CODES,2,FALSE),"")&amp;" "&amp;IFERROR(VLOOKUP($X96,CODES,2,FALSE),"")&amp;" "&amp;IFERROR(VLOOKUP($S96,CODES,2,FALSE),"")&amp;IF(N($P96)&gt;0," w/TRANSOM "&amp;$P96&amp;CHAR(34),"")&amp;IF(N($Q96)&gt;0," w/SIDELITE "&amp;$Q96&amp;CHAR(34)&amp;" "&amp;IF($R96="","R",$R96),"")&amp;IF($Y96="","  |  "," | "&amp;IFERROR(VLOOKUP($Y96,CODES,2,FALSE),"")&amp;" | ")&amp;IFERROR(VLOOKUP($AC96,CODES,2,FALSE),"")&amp;" "&amp;IFERROR(VLOOKUP($AD96,CODES,2,FALSE),"")&amp;IF(OR($AE96="",$AE96="-"),""," "&amp;$AE96)&amp;IF(OR($AF96="",$AF96="-"),""," "&amp;$AF96)&amp;IF($AB96="Y"," 4"&amp;CHAR(34)&amp;" HEAD","")&amp;" "&amp;IFERROR(VLOOKUP($H96,CODES,2,FALSE),"")))</f>
        <v/>
      </c>
      <c r="BR96" s="50">
        <f>IF(NOT(AND($A96&lt;&gt;"",N($BC96)&gt;0)),"",TRIM(IFERROR(VLOOKUP($AH96,CODES,2,FALSE),"")&amp;IF($AI96=""," "," "&amp;$AI96&amp;"GA ")&amp;$AZ96&amp;" "&amp;IF($AN96="",IFERROR(VLOOKUP($Z96,CODES,2,FALSE),""),IFERROR(VLOOKUP($AN96,CODES,2,FALSE),""))&amp;IF($BC96=2," PAIR","")&amp;" DOOR | "&amp;IF($AL96="","?",$AL96)&amp;" | "&amp;IF($AP96="",IFERROR(VLOOKUP($AC96,CODES,2,FALSE),""),IFERROR(VLOOKUP($AP96,CODES,2,FALSE),""))&amp;" "&amp;IFERROR(VLOOKUP($AQ96,CODES,2,FALSE),"")&amp;IF(OR($AR96="",$AR96="-"),""," SEAM "&amp;$AR96)&amp;IF($AS96="Y"," ASTRAGAL","")&amp;IF($AJ96=""," "," "&amp;$AJ96)&amp;IF($AK96=""," "," "&amp;$AK96)&amp;IF($AO96="",""," "&amp;$AO96)&amp;IF($AM96=""," "," SERIES "&amp;$AM96)&amp;" "&amp;IFERROR(VLOOKUP($H96,CODES,2,FALSE),"")))</f>
        <v/>
      </c>
      <c r="BS96" s="49">
        <f>IF(BV96="","",IF(COUNTIF($BV$6:BV96,BV96)=1,MAX($BS$5:BS95)+1,INDEX($BS$5:BS95,MATCH(BV96,$BV$5:BV95,0))))</f>
        <v/>
      </c>
      <c r="BT96" s="49">
        <f>IF(NOT(AND($A96&lt;&gt;"",$C96&lt;&gt;"DOOR ONLY")),"",MAX($BT$5:BT95)+1)</f>
        <v/>
      </c>
      <c r="BU96" s="49">
        <f>IF(NOT(AND($A96&lt;&gt;"",N($BC96)&gt;0)),"",MAX($BU$5:BU95)+1)</f>
        <v/>
      </c>
      <c r="BV96" s="49">
        <f>IF(OR($A96="",$BA96="",$BB96=""),"",$AZ96&amp;"|"&amp;$O96&amp;"|"&amp;$AL96&amp;"|"&amp;$S96&amp;"|"&amp;$P96&amp;"|"&amp;$Q96&amp;$R96&amp;"|"&amp;$C96&amp;"|"&amp;$AB96)</f>
        <v/>
      </c>
      <c r="BW96" s="49">
        <f>IF($A96="","",IF($B96="","qty, ","")&amp;IF($C96="","scope, ","")&amp;IF(OR($K96="",$M96=""),"size, ","")&amp;IF(AND($A96&lt;&gt;"",$C96&lt;&gt;"DOOR ONLY"),IF($U96="","jamb depth, ","")&amp;IF($X96="","construction, ","")&amp;IF($Y96="","anchor, ","")&amp;IF($S96="","frame type, ",""),"")&amp;IF(AND(N($BC96)&gt;0,$Z96=""),"hand, ","")&amp;IF(N($BC96)&gt;0,IF($AH96="","door material, ","")&amp;IF($AL96="","face type, ","")&amp;IF($AQ96="","lock prep, ","")&amp;IF(AND($AP96="",$AC96=""),"hinge prep, ",""),"")&amp;IF(AND($BO96&gt;0,$AH96="FRP"),"FRP cannot carry a label, ","")&amp;IF(AND($O96="Y",OR($Z96="L",$Z96="R",$Z96="LR",$Z96="RR")),"pair marked but hand is single, ","")&amp;IF(AND($O96&lt;&gt;"Y",OR($Z96="PR",AND(LEN($Z96)&gt;1,ISNUMBER(SEARCH("-",$Z96))))),"pair hand on a single door, ","")&amp;IF(AND(ISNUMBER($BP96),$BO96&lt;N($BP96)),"wall needs a "&amp;$BP96&amp;" min door, ","")&amp;IF(AND($BO96&gt;=180,AND(OR($BL96="FG",$BL96="HG",$BL96="FNV",$BL96="FV"),N($BM96)*N($BN96)&gt;100)),"180 min lite over 100 sq in, ","")&amp;IF(N($BD96)&gt;48,"leaf wider than 4'-0"&amp;CHAR(34)&amp;", ",""))</f>
        <v/>
      </c>
      <c r="BX96" s="49">
        <f>IF($A96="","",IF(AND($BO96&gt;0,AND($A96&lt;&gt;"",$C96&lt;&gt;"DOOR ONLY"),$X96="KD",$E96="EXTERIOR"),"KD label on an exterior opening, ","")&amp;IF(AND($E96="EXTERIOR",OR(AND(AND($A96&lt;&gt;"",$C96&lt;&gt;"DOOR ONLY"),$W96="CR"),AND(N($BC96)&gt;0,$AH96="CR"))),"exterior in CR steel (G9?), ","")&amp;IF(AND(ISNUMBER($BJ96),N($BJ96)&lt;32),"clear width ~"&amp;TEXT($BJ96,"0.0")&amp;CHAR(34)&amp;" under 32"&amp;CHAR(34)&amp;" (ADA), ","")&amp;IF(AND($BO96=90,AND(OR($BL96="FG",$BL96="HG",$BL96="FNV",$BL96="FV"),N($BM96)*N($BN96)&gt;100)),"90 min lite over 100 sq in (stair/exit), ","")&amp;IF(AND($BO96&gt;0,AND($A96&lt;&gt;"",$C96&lt;&gt;"DOOR ONLY"),OR($AF96="",$AF96="-")),"rated: closer reinf.?, ","")&amp;IF(OR($I96="CORRIDOR",$I96="SMOKE BARRIER"),"S label + smoke gasketing, ","")&amp;IF($BP96="?","wall type/hr not in IBC table, ","")&amp;IF(AND(N($BC96)&gt;0,$AU96=""),"no hardware set, ","")&amp;IF(AND($AU96&lt;&gt;"",ISNA(MATCH($AU96,HWSets,0))),"set "&amp;$AU96&amp;" not on Hardware sheet, ","")&amp;IF(N($BE96)&gt;96,"leaf over 8'-0"&amp;CHAR(34)&amp;" - check listing, ",""))</f>
        <v/>
      </c>
    </row>
    <row r="97" ht="15" customHeight="1">
      <c r="A97" s="44" t="n"/>
      <c r="B97" s="45" t="n"/>
      <c r="C97" s="45" t="n"/>
      <c r="D97" s="45" t="n"/>
      <c r="E97" s="45" t="n"/>
      <c r="F97" s="45" t="n"/>
      <c r="G97" s="45" t="n"/>
      <c r="H97" s="45" t="n"/>
      <c r="I97" s="45" t="n"/>
      <c r="J97" s="45" t="n"/>
      <c r="K97" s="45" t="n"/>
      <c r="L97" s="45" t="n"/>
      <c r="M97" s="45" t="n"/>
      <c r="N97" s="45" t="n"/>
      <c r="O97" s="45" t="n"/>
      <c r="P97" s="45" t="n"/>
      <c r="Q97" s="45" t="n"/>
      <c r="R97" s="45" t="n"/>
      <c r="S97" s="46" t="n"/>
      <c r="T97" s="46" t="n"/>
      <c r="U97" s="46" t="n"/>
      <c r="V97" s="46" t="n"/>
      <c r="W97" s="46" t="n"/>
      <c r="X97" s="46" t="n"/>
      <c r="Y97" s="46" t="n"/>
      <c r="Z97" s="46" t="n"/>
      <c r="AA97" s="46" t="n"/>
      <c r="AB97" s="46" t="n"/>
      <c r="AC97" s="46" t="n"/>
      <c r="AD97" s="46" t="n"/>
      <c r="AE97" s="46" t="n"/>
      <c r="AF97" s="46" t="n"/>
      <c r="AG97" s="46" t="n"/>
      <c r="AH97" s="47" t="n"/>
      <c r="AI97" s="47" t="n"/>
      <c r="AJ97" s="47" t="n"/>
      <c r="AK97" s="47" t="n"/>
      <c r="AL97" s="47" t="n"/>
      <c r="AM97" s="47" t="n"/>
      <c r="AN97" s="47" t="n"/>
      <c r="AO97" s="47" t="n"/>
      <c r="AP97" s="47" t="n"/>
      <c r="AQ97" s="47" t="n"/>
      <c r="AR97" s="47" t="n"/>
      <c r="AS97" s="47" t="n"/>
      <c r="AT97" s="47" t="n"/>
      <c r="AU97" s="48" t="n"/>
      <c r="AV97" s="48" t="n"/>
      <c r="AW97" s="49">
        <f>IF($A97="","",IF($BW97&lt;&gt;"","FIX",IF($BX97&lt;&gt;"","CHECK","OK")))</f>
        <v/>
      </c>
      <c r="AX97" s="50">
        <f>IF($A97="","",IF($BW97&lt;&gt;"","FIX: "&amp;LEFT($BW97,LEN($BW97)-2)&amp;IF($BX97&lt;&gt;"","  ·  ",""),"")&amp;IF($BX97&lt;&gt;"","CHECK: "&amp;LEFT($BX97,LEN($BX97)-2),""))</f>
        <v/>
      </c>
      <c r="AY97" s="49">
        <f>IF(OR($A97="",$K97=""),"",$K97&amp;"'-"&amp;N($L97)&amp;CHAR(34)&amp;" x "&amp;$M97&amp;"'-"&amp;N($N97)&amp;CHAR(34))</f>
        <v/>
      </c>
      <c r="AZ97" s="49">
        <f>IF(OR($A97="",$K97=""),"",$K97&amp;N($L97)&amp;$M97&amp;N($N97))</f>
        <v/>
      </c>
      <c r="BA97" s="49">
        <f>IF(OR($A97="",$K97=""),"",$K97*12+N($L97))</f>
        <v/>
      </c>
      <c r="BB97" s="49">
        <f>IF(OR($A97="",$M97=""),"",$M97*12+N($N97))</f>
        <v/>
      </c>
      <c r="BC97" s="49">
        <f>IF($A97="","",IF(OR($C97="FRAME ONLY",$S97="BL"),0,IF($O97="Y",2,1)))</f>
        <v/>
      </c>
      <c r="BD97" s="51">
        <f>IF(OR(N($BC97)=0,$BA97=""),"",($BA97-2*EdgeClr-IF($BC97=2,MeetClr,0))/$BC97)</f>
        <v/>
      </c>
      <c r="BE97" s="51">
        <f>IF(OR(N($BC97)=0,$BB97=""),"",$BB97-HeadClr-Undercut)</f>
        <v/>
      </c>
      <c r="BF97" s="51">
        <f>IF($BA97="","",$BA97+2*FaceW+IF(N($Q97)&gt;0,($Q97+FaceW)*IF($R97="LR",2,1),0))</f>
        <v/>
      </c>
      <c r="BG97" s="51">
        <f>IF($BB97="","",$BB97+IF($AB97="Y",4,FaceW)+IF(N($P97)&gt;0,$P97+FaceW,0)+IF(OR($S97="4F",$S97="BL"),FaceW,0))</f>
        <v/>
      </c>
      <c r="BH97" s="51">
        <f>IF($BF97="","",$BF97+2*ROSide)</f>
        <v/>
      </c>
      <c r="BI97" s="51">
        <f>IF($BG97="","",$BG97+ROTop)</f>
        <v/>
      </c>
      <c r="BJ97" s="52">
        <f>IF(OR(N($BC97)=0,$BA97=""),"",$BA97/$BC97-ClearDeduct)</f>
        <v/>
      </c>
      <c r="BK97" s="49">
        <f>IF(OR(N($BC97)=0,$BE97=""),"",IF(OR($AC97="HGC",$AP97="HGC"),"CONT",IF($BE97&lt;=60,2,IF($BE97&lt;=90,3,IF($BE97&lt;=120,4,5)))))</f>
        <v/>
      </c>
      <c r="BL97" s="49">
        <f>IF(N($BC97)=0,"",IF(OR($AL97="",$AL97="FLUSH"),"FLUSH",IFERROR(LEFT($AL97,FIND("-",$AL97)-1),LEFT($AL97,2))))</f>
        <v/>
      </c>
      <c r="BM97" s="49">
        <f>IF($BL97="","",IFERROR(VALUE(MID($AL97,FIND("-",$AL97)+1,FIND(CHAR(34)&amp;"x",$AL97)-FIND("-",$AL97)-1)),0))</f>
        <v/>
      </c>
      <c r="BN97" s="49">
        <f>IF($BL97="","",IFERROR(VALUE(MID($AL97,FIND(CHAR(34)&amp;"x",$AL97)+2,FIND(CHAR(34),$AL97,FIND(CHAR(34)&amp;"x",$AL97)+2)-FIND(CHAR(34)&amp;"x",$AL97)-2)),0))</f>
        <v/>
      </c>
      <c r="BO97" s="53">
        <f>IF(OR($A97="",$H97="",$H97="NO LAB"),0,IFERROR(VALUE(LEFT($H97,FIND(" ",$H97)-1)),0))</f>
        <v/>
      </c>
      <c r="BP97" s="54">
        <f>IF(OR($A97="",$I97="",$I97="NON-RATED",N($J97)=0),"",IFERROR(VLOOKUP($I97&amp;"|"&amp;$J97,IBC,2,FALSE),"?"))</f>
        <v/>
      </c>
      <c r="BQ97" s="50">
        <f>IF(NOT(AND($A97&lt;&gt;"",$C97&lt;&gt;"DOOR ONLY")),"",TRIM(IFERROR(VLOOKUP($U97,CODES,2,FALSE),"")&amp;" "&amp;$AZ97&amp;" "&amp;IFERROR(VLOOKUP($Z97,CODES,2,FALSE),"")&amp;" "&amp;IFERROR(VLOOKUP($X97,CODES,2,FALSE),"")&amp;" "&amp;IFERROR(VLOOKUP($S97,CODES,2,FALSE),"")&amp;IF(N($P97)&gt;0," w/TRANSOM "&amp;$P97&amp;CHAR(34),"")&amp;IF(N($Q97)&gt;0," w/SIDELITE "&amp;$Q97&amp;CHAR(34)&amp;" "&amp;IF($R97="","R",$R97),"")&amp;IF($Y97="","  |  "," | "&amp;IFERROR(VLOOKUP($Y97,CODES,2,FALSE),"")&amp;" | ")&amp;IFERROR(VLOOKUP($AC97,CODES,2,FALSE),"")&amp;" "&amp;IFERROR(VLOOKUP($AD97,CODES,2,FALSE),"")&amp;IF(OR($AE97="",$AE97="-"),""," "&amp;$AE97)&amp;IF(OR($AF97="",$AF97="-"),""," "&amp;$AF97)&amp;IF($AB97="Y"," 4"&amp;CHAR(34)&amp;" HEAD","")&amp;" "&amp;IFERROR(VLOOKUP($H97,CODES,2,FALSE),"")))</f>
        <v/>
      </c>
      <c r="BR97" s="50">
        <f>IF(NOT(AND($A97&lt;&gt;"",N($BC97)&gt;0)),"",TRIM(IFERROR(VLOOKUP($AH97,CODES,2,FALSE),"")&amp;IF($AI97=""," "," "&amp;$AI97&amp;"GA ")&amp;$AZ97&amp;" "&amp;IF($AN97="",IFERROR(VLOOKUP($Z97,CODES,2,FALSE),""),IFERROR(VLOOKUP($AN97,CODES,2,FALSE),""))&amp;IF($BC97=2," PAIR","")&amp;" DOOR | "&amp;IF($AL97="","?",$AL97)&amp;" | "&amp;IF($AP97="",IFERROR(VLOOKUP($AC97,CODES,2,FALSE),""),IFERROR(VLOOKUP($AP97,CODES,2,FALSE),""))&amp;" "&amp;IFERROR(VLOOKUP($AQ97,CODES,2,FALSE),"")&amp;IF(OR($AR97="",$AR97="-"),""," SEAM "&amp;$AR97)&amp;IF($AS97="Y"," ASTRAGAL","")&amp;IF($AJ97=""," "," "&amp;$AJ97)&amp;IF($AK97=""," "," "&amp;$AK97)&amp;IF($AO97="",""," "&amp;$AO97)&amp;IF($AM97=""," "," SERIES "&amp;$AM97)&amp;" "&amp;IFERROR(VLOOKUP($H97,CODES,2,FALSE),"")))</f>
        <v/>
      </c>
      <c r="BS97" s="49">
        <f>IF(BV97="","",IF(COUNTIF($BV$6:BV97,BV97)=1,MAX($BS$5:BS96)+1,INDEX($BS$5:BS96,MATCH(BV97,$BV$5:BV96,0))))</f>
        <v/>
      </c>
      <c r="BT97" s="49">
        <f>IF(NOT(AND($A97&lt;&gt;"",$C97&lt;&gt;"DOOR ONLY")),"",MAX($BT$5:BT96)+1)</f>
        <v/>
      </c>
      <c r="BU97" s="49">
        <f>IF(NOT(AND($A97&lt;&gt;"",N($BC97)&gt;0)),"",MAX($BU$5:BU96)+1)</f>
        <v/>
      </c>
      <c r="BV97" s="49">
        <f>IF(OR($A97="",$BA97="",$BB97=""),"",$AZ97&amp;"|"&amp;$O97&amp;"|"&amp;$AL97&amp;"|"&amp;$S97&amp;"|"&amp;$P97&amp;"|"&amp;$Q97&amp;$R97&amp;"|"&amp;$C97&amp;"|"&amp;$AB97)</f>
        <v/>
      </c>
      <c r="BW97" s="49">
        <f>IF($A97="","",IF($B97="","qty, ","")&amp;IF($C97="","scope, ","")&amp;IF(OR($K97="",$M97=""),"size, ","")&amp;IF(AND($A97&lt;&gt;"",$C97&lt;&gt;"DOOR ONLY"),IF($U97="","jamb depth, ","")&amp;IF($X97="","construction, ","")&amp;IF($Y97="","anchor, ","")&amp;IF($S97="","frame type, ",""),"")&amp;IF(AND(N($BC97)&gt;0,$Z97=""),"hand, ","")&amp;IF(N($BC97)&gt;0,IF($AH97="","door material, ","")&amp;IF($AL97="","face type, ","")&amp;IF($AQ97="","lock prep, ","")&amp;IF(AND($AP97="",$AC97=""),"hinge prep, ",""),"")&amp;IF(AND($BO97&gt;0,$AH97="FRP"),"FRP cannot carry a label, ","")&amp;IF(AND($O97="Y",OR($Z97="L",$Z97="R",$Z97="LR",$Z97="RR")),"pair marked but hand is single, ","")&amp;IF(AND($O97&lt;&gt;"Y",OR($Z97="PR",AND(LEN($Z97)&gt;1,ISNUMBER(SEARCH("-",$Z97))))),"pair hand on a single door, ","")&amp;IF(AND(ISNUMBER($BP97),$BO97&lt;N($BP97)),"wall needs a "&amp;$BP97&amp;" min door, ","")&amp;IF(AND($BO97&gt;=180,AND(OR($BL97="FG",$BL97="HG",$BL97="FNV",$BL97="FV"),N($BM97)*N($BN97)&gt;100)),"180 min lite over 100 sq in, ","")&amp;IF(N($BD97)&gt;48,"leaf wider than 4'-0"&amp;CHAR(34)&amp;", ",""))</f>
        <v/>
      </c>
      <c r="BX97" s="49">
        <f>IF($A97="","",IF(AND($BO97&gt;0,AND($A97&lt;&gt;"",$C97&lt;&gt;"DOOR ONLY"),$X97="KD",$E97="EXTERIOR"),"KD label on an exterior opening, ","")&amp;IF(AND($E97="EXTERIOR",OR(AND(AND($A97&lt;&gt;"",$C97&lt;&gt;"DOOR ONLY"),$W97="CR"),AND(N($BC97)&gt;0,$AH97="CR"))),"exterior in CR steel (G9?), ","")&amp;IF(AND(ISNUMBER($BJ97),N($BJ97)&lt;32),"clear width ~"&amp;TEXT($BJ97,"0.0")&amp;CHAR(34)&amp;" under 32"&amp;CHAR(34)&amp;" (ADA), ","")&amp;IF(AND($BO97=90,AND(OR($BL97="FG",$BL97="HG",$BL97="FNV",$BL97="FV"),N($BM97)*N($BN97)&gt;100)),"90 min lite over 100 sq in (stair/exit), ","")&amp;IF(AND($BO97&gt;0,AND($A97&lt;&gt;"",$C97&lt;&gt;"DOOR ONLY"),OR($AF97="",$AF97="-")),"rated: closer reinf.?, ","")&amp;IF(OR($I97="CORRIDOR",$I97="SMOKE BARRIER"),"S label + smoke gasketing, ","")&amp;IF($BP97="?","wall type/hr not in IBC table, ","")&amp;IF(AND(N($BC97)&gt;0,$AU97=""),"no hardware set, ","")&amp;IF(AND($AU97&lt;&gt;"",ISNA(MATCH($AU97,HWSets,0))),"set "&amp;$AU97&amp;" not on Hardware sheet, ","")&amp;IF(N($BE97)&gt;96,"leaf over 8'-0"&amp;CHAR(34)&amp;" - check listing, ",""))</f>
        <v/>
      </c>
    </row>
    <row r="98" ht="15" customHeight="1">
      <c r="A98" s="44" t="n"/>
      <c r="B98" s="45" t="n"/>
      <c r="C98" s="45" t="n"/>
      <c r="D98" s="45" t="n"/>
      <c r="E98" s="45" t="n"/>
      <c r="F98" s="45" t="n"/>
      <c r="G98" s="45" t="n"/>
      <c r="H98" s="45" t="n"/>
      <c r="I98" s="45" t="n"/>
      <c r="J98" s="45" t="n"/>
      <c r="K98" s="45" t="n"/>
      <c r="L98" s="45" t="n"/>
      <c r="M98" s="45" t="n"/>
      <c r="N98" s="45" t="n"/>
      <c r="O98" s="45" t="n"/>
      <c r="P98" s="45" t="n"/>
      <c r="Q98" s="45" t="n"/>
      <c r="R98" s="45" t="n"/>
      <c r="S98" s="46" t="n"/>
      <c r="T98" s="46" t="n"/>
      <c r="U98" s="46" t="n"/>
      <c r="V98" s="46" t="n"/>
      <c r="W98" s="46" t="n"/>
      <c r="X98" s="46" t="n"/>
      <c r="Y98" s="46" t="n"/>
      <c r="Z98" s="46" t="n"/>
      <c r="AA98" s="46" t="n"/>
      <c r="AB98" s="46" t="n"/>
      <c r="AC98" s="46" t="n"/>
      <c r="AD98" s="46" t="n"/>
      <c r="AE98" s="46" t="n"/>
      <c r="AF98" s="46" t="n"/>
      <c r="AG98" s="46" t="n"/>
      <c r="AH98" s="47" t="n"/>
      <c r="AI98" s="47" t="n"/>
      <c r="AJ98" s="47" t="n"/>
      <c r="AK98" s="47" t="n"/>
      <c r="AL98" s="47" t="n"/>
      <c r="AM98" s="47" t="n"/>
      <c r="AN98" s="47" t="n"/>
      <c r="AO98" s="47" t="n"/>
      <c r="AP98" s="47" t="n"/>
      <c r="AQ98" s="47" t="n"/>
      <c r="AR98" s="47" t="n"/>
      <c r="AS98" s="47" t="n"/>
      <c r="AT98" s="47" t="n"/>
      <c r="AU98" s="48" t="n"/>
      <c r="AV98" s="48" t="n"/>
      <c r="AW98" s="49">
        <f>IF($A98="","",IF($BW98&lt;&gt;"","FIX",IF($BX98&lt;&gt;"","CHECK","OK")))</f>
        <v/>
      </c>
      <c r="AX98" s="50">
        <f>IF($A98="","",IF($BW98&lt;&gt;"","FIX: "&amp;LEFT($BW98,LEN($BW98)-2)&amp;IF($BX98&lt;&gt;"","  ·  ",""),"")&amp;IF($BX98&lt;&gt;"","CHECK: "&amp;LEFT($BX98,LEN($BX98)-2),""))</f>
        <v/>
      </c>
      <c r="AY98" s="49">
        <f>IF(OR($A98="",$K98=""),"",$K98&amp;"'-"&amp;N($L98)&amp;CHAR(34)&amp;" x "&amp;$M98&amp;"'-"&amp;N($N98)&amp;CHAR(34))</f>
        <v/>
      </c>
      <c r="AZ98" s="49">
        <f>IF(OR($A98="",$K98=""),"",$K98&amp;N($L98)&amp;$M98&amp;N($N98))</f>
        <v/>
      </c>
      <c r="BA98" s="49">
        <f>IF(OR($A98="",$K98=""),"",$K98*12+N($L98))</f>
        <v/>
      </c>
      <c r="BB98" s="49">
        <f>IF(OR($A98="",$M98=""),"",$M98*12+N($N98))</f>
        <v/>
      </c>
      <c r="BC98" s="49">
        <f>IF($A98="","",IF(OR($C98="FRAME ONLY",$S98="BL"),0,IF($O98="Y",2,1)))</f>
        <v/>
      </c>
      <c r="BD98" s="51">
        <f>IF(OR(N($BC98)=0,$BA98=""),"",($BA98-2*EdgeClr-IF($BC98=2,MeetClr,0))/$BC98)</f>
        <v/>
      </c>
      <c r="BE98" s="51">
        <f>IF(OR(N($BC98)=0,$BB98=""),"",$BB98-HeadClr-Undercut)</f>
        <v/>
      </c>
      <c r="BF98" s="51">
        <f>IF($BA98="","",$BA98+2*FaceW+IF(N($Q98)&gt;0,($Q98+FaceW)*IF($R98="LR",2,1),0))</f>
        <v/>
      </c>
      <c r="BG98" s="51">
        <f>IF($BB98="","",$BB98+IF($AB98="Y",4,FaceW)+IF(N($P98)&gt;0,$P98+FaceW,0)+IF(OR($S98="4F",$S98="BL"),FaceW,0))</f>
        <v/>
      </c>
      <c r="BH98" s="51">
        <f>IF($BF98="","",$BF98+2*ROSide)</f>
        <v/>
      </c>
      <c r="BI98" s="51">
        <f>IF($BG98="","",$BG98+ROTop)</f>
        <v/>
      </c>
      <c r="BJ98" s="52">
        <f>IF(OR(N($BC98)=0,$BA98=""),"",$BA98/$BC98-ClearDeduct)</f>
        <v/>
      </c>
      <c r="BK98" s="49">
        <f>IF(OR(N($BC98)=0,$BE98=""),"",IF(OR($AC98="HGC",$AP98="HGC"),"CONT",IF($BE98&lt;=60,2,IF($BE98&lt;=90,3,IF($BE98&lt;=120,4,5)))))</f>
        <v/>
      </c>
      <c r="BL98" s="49">
        <f>IF(N($BC98)=0,"",IF(OR($AL98="",$AL98="FLUSH"),"FLUSH",IFERROR(LEFT($AL98,FIND("-",$AL98)-1),LEFT($AL98,2))))</f>
        <v/>
      </c>
      <c r="BM98" s="49">
        <f>IF($BL98="","",IFERROR(VALUE(MID($AL98,FIND("-",$AL98)+1,FIND(CHAR(34)&amp;"x",$AL98)-FIND("-",$AL98)-1)),0))</f>
        <v/>
      </c>
      <c r="BN98" s="49">
        <f>IF($BL98="","",IFERROR(VALUE(MID($AL98,FIND(CHAR(34)&amp;"x",$AL98)+2,FIND(CHAR(34),$AL98,FIND(CHAR(34)&amp;"x",$AL98)+2)-FIND(CHAR(34)&amp;"x",$AL98)-2)),0))</f>
        <v/>
      </c>
      <c r="BO98" s="53">
        <f>IF(OR($A98="",$H98="",$H98="NO LAB"),0,IFERROR(VALUE(LEFT($H98,FIND(" ",$H98)-1)),0))</f>
        <v/>
      </c>
      <c r="BP98" s="54">
        <f>IF(OR($A98="",$I98="",$I98="NON-RATED",N($J98)=0),"",IFERROR(VLOOKUP($I98&amp;"|"&amp;$J98,IBC,2,FALSE),"?"))</f>
        <v/>
      </c>
      <c r="BQ98" s="50">
        <f>IF(NOT(AND($A98&lt;&gt;"",$C98&lt;&gt;"DOOR ONLY")),"",TRIM(IFERROR(VLOOKUP($U98,CODES,2,FALSE),"")&amp;" "&amp;$AZ98&amp;" "&amp;IFERROR(VLOOKUP($Z98,CODES,2,FALSE),"")&amp;" "&amp;IFERROR(VLOOKUP($X98,CODES,2,FALSE),"")&amp;" "&amp;IFERROR(VLOOKUP($S98,CODES,2,FALSE),"")&amp;IF(N($P98)&gt;0," w/TRANSOM "&amp;$P98&amp;CHAR(34),"")&amp;IF(N($Q98)&gt;0," w/SIDELITE "&amp;$Q98&amp;CHAR(34)&amp;" "&amp;IF($R98="","R",$R98),"")&amp;IF($Y98="","  |  "," | "&amp;IFERROR(VLOOKUP($Y98,CODES,2,FALSE),"")&amp;" | ")&amp;IFERROR(VLOOKUP($AC98,CODES,2,FALSE),"")&amp;" "&amp;IFERROR(VLOOKUP($AD98,CODES,2,FALSE),"")&amp;IF(OR($AE98="",$AE98="-"),""," "&amp;$AE98)&amp;IF(OR($AF98="",$AF98="-"),""," "&amp;$AF98)&amp;IF($AB98="Y"," 4"&amp;CHAR(34)&amp;" HEAD","")&amp;" "&amp;IFERROR(VLOOKUP($H98,CODES,2,FALSE),"")))</f>
        <v/>
      </c>
      <c r="BR98" s="50">
        <f>IF(NOT(AND($A98&lt;&gt;"",N($BC98)&gt;0)),"",TRIM(IFERROR(VLOOKUP($AH98,CODES,2,FALSE),"")&amp;IF($AI98=""," "," "&amp;$AI98&amp;"GA ")&amp;$AZ98&amp;" "&amp;IF($AN98="",IFERROR(VLOOKUP($Z98,CODES,2,FALSE),""),IFERROR(VLOOKUP($AN98,CODES,2,FALSE),""))&amp;IF($BC98=2," PAIR","")&amp;" DOOR | "&amp;IF($AL98="","?",$AL98)&amp;" | "&amp;IF($AP98="",IFERROR(VLOOKUP($AC98,CODES,2,FALSE),""),IFERROR(VLOOKUP($AP98,CODES,2,FALSE),""))&amp;" "&amp;IFERROR(VLOOKUP($AQ98,CODES,2,FALSE),"")&amp;IF(OR($AR98="",$AR98="-"),""," SEAM "&amp;$AR98)&amp;IF($AS98="Y"," ASTRAGAL","")&amp;IF($AJ98=""," "," "&amp;$AJ98)&amp;IF($AK98=""," "," "&amp;$AK98)&amp;IF($AO98="",""," "&amp;$AO98)&amp;IF($AM98=""," "," SERIES "&amp;$AM98)&amp;" "&amp;IFERROR(VLOOKUP($H98,CODES,2,FALSE),"")))</f>
        <v/>
      </c>
      <c r="BS98" s="49">
        <f>IF(BV98="","",IF(COUNTIF($BV$6:BV98,BV98)=1,MAX($BS$5:BS97)+1,INDEX($BS$5:BS97,MATCH(BV98,$BV$5:BV97,0))))</f>
        <v/>
      </c>
      <c r="BT98" s="49">
        <f>IF(NOT(AND($A98&lt;&gt;"",$C98&lt;&gt;"DOOR ONLY")),"",MAX($BT$5:BT97)+1)</f>
        <v/>
      </c>
      <c r="BU98" s="49">
        <f>IF(NOT(AND($A98&lt;&gt;"",N($BC98)&gt;0)),"",MAX($BU$5:BU97)+1)</f>
        <v/>
      </c>
      <c r="BV98" s="49">
        <f>IF(OR($A98="",$BA98="",$BB98=""),"",$AZ98&amp;"|"&amp;$O98&amp;"|"&amp;$AL98&amp;"|"&amp;$S98&amp;"|"&amp;$P98&amp;"|"&amp;$Q98&amp;$R98&amp;"|"&amp;$C98&amp;"|"&amp;$AB98)</f>
        <v/>
      </c>
      <c r="BW98" s="49">
        <f>IF($A98="","",IF($B98="","qty, ","")&amp;IF($C98="","scope, ","")&amp;IF(OR($K98="",$M98=""),"size, ","")&amp;IF(AND($A98&lt;&gt;"",$C98&lt;&gt;"DOOR ONLY"),IF($U98="","jamb depth, ","")&amp;IF($X98="","construction, ","")&amp;IF($Y98="","anchor, ","")&amp;IF($S98="","frame type, ",""),"")&amp;IF(AND(N($BC98)&gt;0,$Z98=""),"hand, ","")&amp;IF(N($BC98)&gt;0,IF($AH98="","door material, ","")&amp;IF($AL98="","face type, ","")&amp;IF($AQ98="","lock prep, ","")&amp;IF(AND($AP98="",$AC98=""),"hinge prep, ",""),"")&amp;IF(AND($BO98&gt;0,$AH98="FRP"),"FRP cannot carry a label, ","")&amp;IF(AND($O98="Y",OR($Z98="L",$Z98="R",$Z98="LR",$Z98="RR")),"pair marked but hand is single, ","")&amp;IF(AND($O98&lt;&gt;"Y",OR($Z98="PR",AND(LEN($Z98)&gt;1,ISNUMBER(SEARCH("-",$Z98))))),"pair hand on a single door, ","")&amp;IF(AND(ISNUMBER($BP98),$BO98&lt;N($BP98)),"wall needs a "&amp;$BP98&amp;" min door, ","")&amp;IF(AND($BO98&gt;=180,AND(OR($BL98="FG",$BL98="HG",$BL98="FNV",$BL98="FV"),N($BM98)*N($BN98)&gt;100)),"180 min lite over 100 sq in, ","")&amp;IF(N($BD98)&gt;48,"leaf wider than 4'-0"&amp;CHAR(34)&amp;", ",""))</f>
        <v/>
      </c>
      <c r="BX98" s="49">
        <f>IF($A98="","",IF(AND($BO98&gt;0,AND($A98&lt;&gt;"",$C98&lt;&gt;"DOOR ONLY"),$X98="KD",$E98="EXTERIOR"),"KD label on an exterior opening, ","")&amp;IF(AND($E98="EXTERIOR",OR(AND(AND($A98&lt;&gt;"",$C98&lt;&gt;"DOOR ONLY"),$W98="CR"),AND(N($BC98)&gt;0,$AH98="CR"))),"exterior in CR steel (G9?), ","")&amp;IF(AND(ISNUMBER($BJ98),N($BJ98)&lt;32),"clear width ~"&amp;TEXT($BJ98,"0.0")&amp;CHAR(34)&amp;" under 32"&amp;CHAR(34)&amp;" (ADA), ","")&amp;IF(AND($BO98=90,AND(OR($BL98="FG",$BL98="HG",$BL98="FNV",$BL98="FV"),N($BM98)*N($BN98)&gt;100)),"90 min lite over 100 sq in (stair/exit), ","")&amp;IF(AND($BO98&gt;0,AND($A98&lt;&gt;"",$C98&lt;&gt;"DOOR ONLY"),OR($AF98="",$AF98="-")),"rated: closer reinf.?, ","")&amp;IF(OR($I98="CORRIDOR",$I98="SMOKE BARRIER"),"S label + smoke gasketing, ","")&amp;IF($BP98="?","wall type/hr not in IBC table, ","")&amp;IF(AND(N($BC98)&gt;0,$AU98=""),"no hardware set, ","")&amp;IF(AND($AU98&lt;&gt;"",ISNA(MATCH($AU98,HWSets,0))),"set "&amp;$AU98&amp;" not on Hardware sheet, ","")&amp;IF(N($BE98)&gt;96,"leaf over 8'-0"&amp;CHAR(34)&amp;" - check listing, ",""))</f>
        <v/>
      </c>
    </row>
    <row r="99" ht="15" customHeight="1">
      <c r="A99" s="44" t="n"/>
      <c r="B99" s="45" t="n"/>
      <c r="C99" s="45" t="n"/>
      <c r="D99" s="45" t="n"/>
      <c r="E99" s="45" t="n"/>
      <c r="F99" s="45" t="n"/>
      <c r="G99" s="45" t="n"/>
      <c r="H99" s="45" t="n"/>
      <c r="I99" s="45" t="n"/>
      <c r="J99" s="45" t="n"/>
      <c r="K99" s="45" t="n"/>
      <c r="L99" s="45" t="n"/>
      <c r="M99" s="45" t="n"/>
      <c r="N99" s="45" t="n"/>
      <c r="O99" s="45" t="n"/>
      <c r="P99" s="45" t="n"/>
      <c r="Q99" s="45" t="n"/>
      <c r="R99" s="45" t="n"/>
      <c r="S99" s="46" t="n"/>
      <c r="T99" s="46" t="n"/>
      <c r="U99" s="46" t="n"/>
      <c r="V99" s="46" t="n"/>
      <c r="W99" s="46" t="n"/>
      <c r="X99" s="46" t="n"/>
      <c r="Y99" s="46" t="n"/>
      <c r="Z99" s="46" t="n"/>
      <c r="AA99" s="46" t="n"/>
      <c r="AB99" s="46" t="n"/>
      <c r="AC99" s="46" t="n"/>
      <c r="AD99" s="46" t="n"/>
      <c r="AE99" s="46" t="n"/>
      <c r="AF99" s="46" t="n"/>
      <c r="AG99" s="46" t="n"/>
      <c r="AH99" s="47" t="n"/>
      <c r="AI99" s="47" t="n"/>
      <c r="AJ99" s="47" t="n"/>
      <c r="AK99" s="47" t="n"/>
      <c r="AL99" s="47" t="n"/>
      <c r="AM99" s="47" t="n"/>
      <c r="AN99" s="47" t="n"/>
      <c r="AO99" s="47" t="n"/>
      <c r="AP99" s="47" t="n"/>
      <c r="AQ99" s="47" t="n"/>
      <c r="AR99" s="47" t="n"/>
      <c r="AS99" s="47" t="n"/>
      <c r="AT99" s="47" t="n"/>
      <c r="AU99" s="48" t="n"/>
      <c r="AV99" s="48" t="n"/>
      <c r="AW99" s="49">
        <f>IF($A99="","",IF($BW99&lt;&gt;"","FIX",IF($BX99&lt;&gt;"","CHECK","OK")))</f>
        <v/>
      </c>
      <c r="AX99" s="50">
        <f>IF($A99="","",IF($BW99&lt;&gt;"","FIX: "&amp;LEFT($BW99,LEN($BW99)-2)&amp;IF($BX99&lt;&gt;"","  ·  ",""),"")&amp;IF($BX99&lt;&gt;"","CHECK: "&amp;LEFT($BX99,LEN($BX99)-2),""))</f>
        <v/>
      </c>
      <c r="AY99" s="49">
        <f>IF(OR($A99="",$K99=""),"",$K99&amp;"'-"&amp;N($L99)&amp;CHAR(34)&amp;" x "&amp;$M99&amp;"'-"&amp;N($N99)&amp;CHAR(34))</f>
        <v/>
      </c>
      <c r="AZ99" s="49">
        <f>IF(OR($A99="",$K99=""),"",$K99&amp;N($L99)&amp;$M99&amp;N($N99))</f>
        <v/>
      </c>
      <c r="BA99" s="49">
        <f>IF(OR($A99="",$K99=""),"",$K99*12+N($L99))</f>
        <v/>
      </c>
      <c r="BB99" s="49">
        <f>IF(OR($A99="",$M99=""),"",$M99*12+N($N99))</f>
        <v/>
      </c>
      <c r="BC99" s="49">
        <f>IF($A99="","",IF(OR($C99="FRAME ONLY",$S99="BL"),0,IF($O99="Y",2,1)))</f>
        <v/>
      </c>
      <c r="BD99" s="51">
        <f>IF(OR(N($BC99)=0,$BA99=""),"",($BA99-2*EdgeClr-IF($BC99=2,MeetClr,0))/$BC99)</f>
        <v/>
      </c>
      <c r="BE99" s="51">
        <f>IF(OR(N($BC99)=0,$BB99=""),"",$BB99-HeadClr-Undercut)</f>
        <v/>
      </c>
      <c r="BF99" s="51">
        <f>IF($BA99="","",$BA99+2*FaceW+IF(N($Q99)&gt;0,($Q99+FaceW)*IF($R99="LR",2,1),0))</f>
        <v/>
      </c>
      <c r="BG99" s="51">
        <f>IF($BB99="","",$BB99+IF($AB99="Y",4,FaceW)+IF(N($P99)&gt;0,$P99+FaceW,0)+IF(OR($S99="4F",$S99="BL"),FaceW,0))</f>
        <v/>
      </c>
      <c r="BH99" s="51">
        <f>IF($BF99="","",$BF99+2*ROSide)</f>
        <v/>
      </c>
      <c r="BI99" s="51">
        <f>IF($BG99="","",$BG99+ROTop)</f>
        <v/>
      </c>
      <c r="BJ99" s="52">
        <f>IF(OR(N($BC99)=0,$BA99=""),"",$BA99/$BC99-ClearDeduct)</f>
        <v/>
      </c>
      <c r="BK99" s="49">
        <f>IF(OR(N($BC99)=0,$BE99=""),"",IF(OR($AC99="HGC",$AP99="HGC"),"CONT",IF($BE99&lt;=60,2,IF($BE99&lt;=90,3,IF($BE99&lt;=120,4,5)))))</f>
        <v/>
      </c>
      <c r="BL99" s="49">
        <f>IF(N($BC99)=0,"",IF(OR($AL99="",$AL99="FLUSH"),"FLUSH",IFERROR(LEFT($AL99,FIND("-",$AL99)-1),LEFT($AL99,2))))</f>
        <v/>
      </c>
      <c r="BM99" s="49">
        <f>IF($BL99="","",IFERROR(VALUE(MID($AL99,FIND("-",$AL99)+1,FIND(CHAR(34)&amp;"x",$AL99)-FIND("-",$AL99)-1)),0))</f>
        <v/>
      </c>
      <c r="BN99" s="49">
        <f>IF($BL99="","",IFERROR(VALUE(MID($AL99,FIND(CHAR(34)&amp;"x",$AL99)+2,FIND(CHAR(34),$AL99,FIND(CHAR(34)&amp;"x",$AL99)+2)-FIND(CHAR(34)&amp;"x",$AL99)-2)),0))</f>
        <v/>
      </c>
      <c r="BO99" s="53">
        <f>IF(OR($A99="",$H99="",$H99="NO LAB"),0,IFERROR(VALUE(LEFT($H99,FIND(" ",$H99)-1)),0))</f>
        <v/>
      </c>
      <c r="BP99" s="54">
        <f>IF(OR($A99="",$I99="",$I99="NON-RATED",N($J99)=0),"",IFERROR(VLOOKUP($I99&amp;"|"&amp;$J99,IBC,2,FALSE),"?"))</f>
        <v/>
      </c>
      <c r="BQ99" s="50">
        <f>IF(NOT(AND($A99&lt;&gt;"",$C99&lt;&gt;"DOOR ONLY")),"",TRIM(IFERROR(VLOOKUP($U99,CODES,2,FALSE),"")&amp;" "&amp;$AZ99&amp;" "&amp;IFERROR(VLOOKUP($Z99,CODES,2,FALSE),"")&amp;" "&amp;IFERROR(VLOOKUP($X99,CODES,2,FALSE),"")&amp;" "&amp;IFERROR(VLOOKUP($S99,CODES,2,FALSE),"")&amp;IF(N($P99)&gt;0," w/TRANSOM "&amp;$P99&amp;CHAR(34),"")&amp;IF(N($Q99)&gt;0," w/SIDELITE "&amp;$Q99&amp;CHAR(34)&amp;" "&amp;IF($R99="","R",$R99),"")&amp;IF($Y99="","  |  "," | "&amp;IFERROR(VLOOKUP($Y99,CODES,2,FALSE),"")&amp;" | ")&amp;IFERROR(VLOOKUP($AC99,CODES,2,FALSE),"")&amp;" "&amp;IFERROR(VLOOKUP($AD99,CODES,2,FALSE),"")&amp;IF(OR($AE99="",$AE99="-"),""," "&amp;$AE99)&amp;IF(OR($AF99="",$AF99="-"),""," "&amp;$AF99)&amp;IF($AB99="Y"," 4"&amp;CHAR(34)&amp;" HEAD","")&amp;" "&amp;IFERROR(VLOOKUP($H99,CODES,2,FALSE),"")))</f>
        <v/>
      </c>
      <c r="BR99" s="50">
        <f>IF(NOT(AND($A99&lt;&gt;"",N($BC99)&gt;0)),"",TRIM(IFERROR(VLOOKUP($AH99,CODES,2,FALSE),"")&amp;IF($AI99=""," "," "&amp;$AI99&amp;"GA ")&amp;$AZ99&amp;" "&amp;IF($AN99="",IFERROR(VLOOKUP($Z99,CODES,2,FALSE),""),IFERROR(VLOOKUP($AN99,CODES,2,FALSE),""))&amp;IF($BC99=2," PAIR","")&amp;" DOOR | "&amp;IF($AL99="","?",$AL99)&amp;" | "&amp;IF($AP99="",IFERROR(VLOOKUP($AC99,CODES,2,FALSE),""),IFERROR(VLOOKUP($AP99,CODES,2,FALSE),""))&amp;" "&amp;IFERROR(VLOOKUP($AQ99,CODES,2,FALSE),"")&amp;IF(OR($AR99="",$AR99="-"),""," SEAM "&amp;$AR99)&amp;IF($AS99="Y"," ASTRAGAL","")&amp;IF($AJ99=""," "," "&amp;$AJ99)&amp;IF($AK99=""," "," "&amp;$AK99)&amp;IF($AO99="",""," "&amp;$AO99)&amp;IF($AM99=""," "," SERIES "&amp;$AM99)&amp;" "&amp;IFERROR(VLOOKUP($H99,CODES,2,FALSE),"")))</f>
        <v/>
      </c>
      <c r="BS99" s="49">
        <f>IF(BV99="","",IF(COUNTIF($BV$6:BV99,BV99)=1,MAX($BS$5:BS98)+1,INDEX($BS$5:BS98,MATCH(BV99,$BV$5:BV98,0))))</f>
        <v/>
      </c>
      <c r="BT99" s="49">
        <f>IF(NOT(AND($A99&lt;&gt;"",$C99&lt;&gt;"DOOR ONLY")),"",MAX($BT$5:BT98)+1)</f>
        <v/>
      </c>
      <c r="BU99" s="49">
        <f>IF(NOT(AND($A99&lt;&gt;"",N($BC99)&gt;0)),"",MAX($BU$5:BU98)+1)</f>
        <v/>
      </c>
      <c r="BV99" s="49">
        <f>IF(OR($A99="",$BA99="",$BB99=""),"",$AZ99&amp;"|"&amp;$O99&amp;"|"&amp;$AL99&amp;"|"&amp;$S99&amp;"|"&amp;$P99&amp;"|"&amp;$Q99&amp;$R99&amp;"|"&amp;$C99&amp;"|"&amp;$AB99)</f>
        <v/>
      </c>
      <c r="BW99" s="49">
        <f>IF($A99="","",IF($B99="","qty, ","")&amp;IF($C99="","scope, ","")&amp;IF(OR($K99="",$M99=""),"size, ","")&amp;IF(AND($A99&lt;&gt;"",$C99&lt;&gt;"DOOR ONLY"),IF($U99="","jamb depth, ","")&amp;IF($X99="","construction, ","")&amp;IF($Y99="","anchor, ","")&amp;IF($S99="","frame type, ",""),"")&amp;IF(AND(N($BC99)&gt;0,$Z99=""),"hand, ","")&amp;IF(N($BC99)&gt;0,IF($AH99="","door material, ","")&amp;IF($AL99="","face type, ","")&amp;IF($AQ99="","lock prep, ","")&amp;IF(AND($AP99="",$AC99=""),"hinge prep, ",""),"")&amp;IF(AND($BO99&gt;0,$AH99="FRP"),"FRP cannot carry a label, ","")&amp;IF(AND($O99="Y",OR($Z99="L",$Z99="R",$Z99="LR",$Z99="RR")),"pair marked but hand is single, ","")&amp;IF(AND($O99&lt;&gt;"Y",OR($Z99="PR",AND(LEN($Z99)&gt;1,ISNUMBER(SEARCH("-",$Z99))))),"pair hand on a single door, ","")&amp;IF(AND(ISNUMBER($BP99),$BO99&lt;N($BP99)),"wall needs a "&amp;$BP99&amp;" min door, ","")&amp;IF(AND($BO99&gt;=180,AND(OR($BL99="FG",$BL99="HG",$BL99="FNV",$BL99="FV"),N($BM99)*N($BN99)&gt;100)),"180 min lite over 100 sq in, ","")&amp;IF(N($BD99)&gt;48,"leaf wider than 4'-0"&amp;CHAR(34)&amp;", ",""))</f>
        <v/>
      </c>
      <c r="BX99" s="49">
        <f>IF($A99="","",IF(AND($BO99&gt;0,AND($A99&lt;&gt;"",$C99&lt;&gt;"DOOR ONLY"),$X99="KD",$E99="EXTERIOR"),"KD label on an exterior opening, ","")&amp;IF(AND($E99="EXTERIOR",OR(AND(AND($A99&lt;&gt;"",$C99&lt;&gt;"DOOR ONLY"),$W99="CR"),AND(N($BC99)&gt;0,$AH99="CR"))),"exterior in CR steel (G9?), ","")&amp;IF(AND(ISNUMBER($BJ99),N($BJ99)&lt;32),"clear width ~"&amp;TEXT($BJ99,"0.0")&amp;CHAR(34)&amp;" under 32"&amp;CHAR(34)&amp;" (ADA), ","")&amp;IF(AND($BO99=90,AND(OR($BL99="FG",$BL99="HG",$BL99="FNV",$BL99="FV"),N($BM99)*N($BN99)&gt;100)),"90 min lite over 100 sq in (stair/exit), ","")&amp;IF(AND($BO99&gt;0,AND($A99&lt;&gt;"",$C99&lt;&gt;"DOOR ONLY"),OR($AF99="",$AF99="-")),"rated: closer reinf.?, ","")&amp;IF(OR($I99="CORRIDOR",$I99="SMOKE BARRIER"),"S label + smoke gasketing, ","")&amp;IF($BP99="?","wall type/hr not in IBC table, ","")&amp;IF(AND(N($BC99)&gt;0,$AU99=""),"no hardware set, ","")&amp;IF(AND($AU99&lt;&gt;"",ISNA(MATCH($AU99,HWSets,0))),"set "&amp;$AU99&amp;" not on Hardware sheet, ","")&amp;IF(N($BE99)&gt;96,"leaf over 8'-0"&amp;CHAR(34)&amp;" - check listing, ",""))</f>
        <v/>
      </c>
    </row>
    <row r="100" ht="15" customHeight="1">
      <c r="A100" s="44" t="n"/>
      <c r="B100" s="45" t="n"/>
      <c r="C100" s="45" t="n"/>
      <c r="D100" s="45" t="n"/>
      <c r="E100" s="45" t="n"/>
      <c r="F100" s="45" t="n"/>
      <c r="G100" s="45" t="n"/>
      <c r="H100" s="45" t="n"/>
      <c r="I100" s="45" t="n"/>
      <c r="J100" s="45" t="n"/>
      <c r="K100" s="45" t="n"/>
      <c r="L100" s="45" t="n"/>
      <c r="M100" s="45" t="n"/>
      <c r="N100" s="45" t="n"/>
      <c r="O100" s="45" t="n"/>
      <c r="P100" s="45" t="n"/>
      <c r="Q100" s="45" t="n"/>
      <c r="R100" s="45" t="n"/>
      <c r="S100" s="46" t="n"/>
      <c r="T100" s="46" t="n"/>
      <c r="U100" s="46" t="n"/>
      <c r="V100" s="46" t="n"/>
      <c r="W100" s="46" t="n"/>
      <c r="X100" s="46" t="n"/>
      <c r="Y100" s="46" t="n"/>
      <c r="Z100" s="46" t="n"/>
      <c r="AA100" s="46" t="n"/>
      <c r="AB100" s="46" t="n"/>
      <c r="AC100" s="46" t="n"/>
      <c r="AD100" s="46" t="n"/>
      <c r="AE100" s="46" t="n"/>
      <c r="AF100" s="46" t="n"/>
      <c r="AG100" s="46" t="n"/>
      <c r="AH100" s="47" t="n"/>
      <c r="AI100" s="47" t="n"/>
      <c r="AJ100" s="47" t="n"/>
      <c r="AK100" s="47" t="n"/>
      <c r="AL100" s="47" t="n"/>
      <c r="AM100" s="47" t="n"/>
      <c r="AN100" s="47" t="n"/>
      <c r="AO100" s="47" t="n"/>
      <c r="AP100" s="47" t="n"/>
      <c r="AQ100" s="47" t="n"/>
      <c r="AR100" s="47" t="n"/>
      <c r="AS100" s="47" t="n"/>
      <c r="AT100" s="47" t="n"/>
      <c r="AU100" s="48" t="n"/>
      <c r="AV100" s="48" t="n"/>
      <c r="AW100" s="49">
        <f>IF($A100="","",IF($BW100&lt;&gt;"","FIX",IF($BX100&lt;&gt;"","CHECK","OK")))</f>
        <v/>
      </c>
      <c r="AX100" s="50">
        <f>IF($A100="","",IF($BW100&lt;&gt;"","FIX: "&amp;LEFT($BW100,LEN($BW100)-2)&amp;IF($BX100&lt;&gt;"","  ·  ",""),"")&amp;IF($BX100&lt;&gt;"","CHECK: "&amp;LEFT($BX100,LEN($BX100)-2),""))</f>
        <v/>
      </c>
      <c r="AY100" s="49">
        <f>IF(OR($A100="",$K100=""),"",$K100&amp;"'-"&amp;N($L100)&amp;CHAR(34)&amp;" x "&amp;$M100&amp;"'-"&amp;N($N100)&amp;CHAR(34))</f>
        <v/>
      </c>
      <c r="AZ100" s="49">
        <f>IF(OR($A100="",$K100=""),"",$K100&amp;N($L100)&amp;$M100&amp;N($N100))</f>
        <v/>
      </c>
      <c r="BA100" s="49">
        <f>IF(OR($A100="",$K100=""),"",$K100*12+N($L100))</f>
        <v/>
      </c>
      <c r="BB100" s="49">
        <f>IF(OR($A100="",$M100=""),"",$M100*12+N($N100))</f>
        <v/>
      </c>
      <c r="BC100" s="49">
        <f>IF($A100="","",IF(OR($C100="FRAME ONLY",$S100="BL"),0,IF($O100="Y",2,1)))</f>
        <v/>
      </c>
      <c r="BD100" s="51">
        <f>IF(OR(N($BC100)=0,$BA100=""),"",($BA100-2*EdgeClr-IF($BC100=2,MeetClr,0))/$BC100)</f>
        <v/>
      </c>
      <c r="BE100" s="51">
        <f>IF(OR(N($BC100)=0,$BB100=""),"",$BB100-HeadClr-Undercut)</f>
        <v/>
      </c>
      <c r="BF100" s="51">
        <f>IF($BA100="","",$BA100+2*FaceW+IF(N($Q100)&gt;0,($Q100+FaceW)*IF($R100="LR",2,1),0))</f>
        <v/>
      </c>
      <c r="BG100" s="51">
        <f>IF($BB100="","",$BB100+IF($AB100="Y",4,FaceW)+IF(N($P100)&gt;0,$P100+FaceW,0)+IF(OR($S100="4F",$S100="BL"),FaceW,0))</f>
        <v/>
      </c>
      <c r="BH100" s="51">
        <f>IF($BF100="","",$BF100+2*ROSide)</f>
        <v/>
      </c>
      <c r="BI100" s="51">
        <f>IF($BG100="","",$BG100+ROTop)</f>
        <v/>
      </c>
      <c r="BJ100" s="52">
        <f>IF(OR(N($BC100)=0,$BA100=""),"",$BA100/$BC100-ClearDeduct)</f>
        <v/>
      </c>
      <c r="BK100" s="49">
        <f>IF(OR(N($BC100)=0,$BE100=""),"",IF(OR($AC100="HGC",$AP100="HGC"),"CONT",IF($BE100&lt;=60,2,IF($BE100&lt;=90,3,IF($BE100&lt;=120,4,5)))))</f>
        <v/>
      </c>
      <c r="BL100" s="49">
        <f>IF(N($BC100)=0,"",IF(OR($AL100="",$AL100="FLUSH"),"FLUSH",IFERROR(LEFT($AL100,FIND("-",$AL100)-1),LEFT($AL100,2))))</f>
        <v/>
      </c>
      <c r="BM100" s="49">
        <f>IF($BL100="","",IFERROR(VALUE(MID($AL100,FIND("-",$AL100)+1,FIND(CHAR(34)&amp;"x",$AL100)-FIND("-",$AL100)-1)),0))</f>
        <v/>
      </c>
      <c r="BN100" s="49">
        <f>IF($BL100="","",IFERROR(VALUE(MID($AL100,FIND(CHAR(34)&amp;"x",$AL100)+2,FIND(CHAR(34),$AL100,FIND(CHAR(34)&amp;"x",$AL100)+2)-FIND(CHAR(34)&amp;"x",$AL100)-2)),0))</f>
        <v/>
      </c>
      <c r="BO100" s="53">
        <f>IF(OR($A100="",$H100="",$H100="NO LAB"),0,IFERROR(VALUE(LEFT($H100,FIND(" ",$H100)-1)),0))</f>
        <v/>
      </c>
      <c r="BP100" s="54">
        <f>IF(OR($A100="",$I100="",$I100="NON-RATED",N($J100)=0),"",IFERROR(VLOOKUP($I100&amp;"|"&amp;$J100,IBC,2,FALSE),"?"))</f>
        <v/>
      </c>
      <c r="BQ100" s="50">
        <f>IF(NOT(AND($A100&lt;&gt;"",$C100&lt;&gt;"DOOR ONLY")),"",TRIM(IFERROR(VLOOKUP($U100,CODES,2,FALSE),"")&amp;" "&amp;$AZ100&amp;" "&amp;IFERROR(VLOOKUP($Z100,CODES,2,FALSE),"")&amp;" "&amp;IFERROR(VLOOKUP($X100,CODES,2,FALSE),"")&amp;" "&amp;IFERROR(VLOOKUP($S100,CODES,2,FALSE),"")&amp;IF(N($P100)&gt;0," w/TRANSOM "&amp;$P100&amp;CHAR(34),"")&amp;IF(N($Q100)&gt;0," w/SIDELITE "&amp;$Q100&amp;CHAR(34)&amp;" "&amp;IF($R100="","R",$R100),"")&amp;IF($Y100="","  |  "," | "&amp;IFERROR(VLOOKUP($Y100,CODES,2,FALSE),"")&amp;" | ")&amp;IFERROR(VLOOKUP($AC100,CODES,2,FALSE),"")&amp;" "&amp;IFERROR(VLOOKUP($AD100,CODES,2,FALSE),"")&amp;IF(OR($AE100="",$AE100="-"),""," "&amp;$AE100)&amp;IF(OR($AF100="",$AF100="-"),""," "&amp;$AF100)&amp;IF($AB100="Y"," 4"&amp;CHAR(34)&amp;" HEAD","")&amp;" "&amp;IFERROR(VLOOKUP($H100,CODES,2,FALSE),"")))</f>
        <v/>
      </c>
      <c r="BR100" s="50">
        <f>IF(NOT(AND($A100&lt;&gt;"",N($BC100)&gt;0)),"",TRIM(IFERROR(VLOOKUP($AH100,CODES,2,FALSE),"")&amp;IF($AI100=""," "," "&amp;$AI100&amp;"GA ")&amp;$AZ100&amp;" "&amp;IF($AN100="",IFERROR(VLOOKUP($Z100,CODES,2,FALSE),""),IFERROR(VLOOKUP($AN100,CODES,2,FALSE),""))&amp;IF($BC100=2," PAIR","")&amp;" DOOR | "&amp;IF($AL100="","?",$AL100)&amp;" | "&amp;IF($AP100="",IFERROR(VLOOKUP($AC100,CODES,2,FALSE),""),IFERROR(VLOOKUP($AP100,CODES,2,FALSE),""))&amp;" "&amp;IFERROR(VLOOKUP($AQ100,CODES,2,FALSE),"")&amp;IF(OR($AR100="",$AR100="-"),""," SEAM "&amp;$AR100)&amp;IF($AS100="Y"," ASTRAGAL","")&amp;IF($AJ100=""," "," "&amp;$AJ100)&amp;IF($AK100=""," "," "&amp;$AK100)&amp;IF($AO100="",""," "&amp;$AO100)&amp;IF($AM100=""," "," SERIES "&amp;$AM100)&amp;" "&amp;IFERROR(VLOOKUP($H100,CODES,2,FALSE),"")))</f>
        <v/>
      </c>
      <c r="BS100" s="49">
        <f>IF(BV100="","",IF(COUNTIF($BV$6:BV100,BV100)=1,MAX($BS$5:BS99)+1,INDEX($BS$5:BS99,MATCH(BV100,$BV$5:BV99,0))))</f>
        <v/>
      </c>
      <c r="BT100" s="49">
        <f>IF(NOT(AND($A100&lt;&gt;"",$C100&lt;&gt;"DOOR ONLY")),"",MAX($BT$5:BT99)+1)</f>
        <v/>
      </c>
      <c r="BU100" s="49">
        <f>IF(NOT(AND($A100&lt;&gt;"",N($BC100)&gt;0)),"",MAX($BU$5:BU99)+1)</f>
        <v/>
      </c>
      <c r="BV100" s="49">
        <f>IF(OR($A100="",$BA100="",$BB100=""),"",$AZ100&amp;"|"&amp;$O100&amp;"|"&amp;$AL100&amp;"|"&amp;$S100&amp;"|"&amp;$P100&amp;"|"&amp;$Q100&amp;$R100&amp;"|"&amp;$C100&amp;"|"&amp;$AB100)</f>
        <v/>
      </c>
      <c r="BW100" s="49">
        <f>IF($A100="","",IF($B100="","qty, ","")&amp;IF($C100="","scope, ","")&amp;IF(OR($K100="",$M100=""),"size, ","")&amp;IF(AND($A100&lt;&gt;"",$C100&lt;&gt;"DOOR ONLY"),IF($U100="","jamb depth, ","")&amp;IF($X100="","construction, ","")&amp;IF($Y100="","anchor, ","")&amp;IF($S100="","frame type, ",""),"")&amp;IF(AND(N($BC100)&gt;0,$Z100=""),"hand, ","")&amp;IF(N($BC100)&gt;0,IF($AH100="","door material, ","")&amp;IF($AL100="","face type, ","")&amp;IF($AQ100="","lock prep, ","")&amp;IF(AND($AP100="",$AC100=""),"hinge prep, ",""),"")&amp;IF(AND($BO100&gt;0,$AH100="FRP"),"FRP cannot carry a label, ","")&amp;IF(AND($O100="Y",OR($Z100="L",$Z100="R",$Z100="LR",$Z100="RR")),"pair marked but hand is single, ","")&amp;IF(AND($O100&lt;&gt;"Y",OR($Z100="PR",AND(LEN($Z100)&gt;1,ISNUMBER(SEARCH("-",$Z100))))),"pair hand on a single door, ","")&amp;IF(AND(ISNUMBER($BP100),$BO100&lt;N($BP100)),"wall needs a "&amp;$BP100&amp;" min door, ","")&amp;IF(AND($BO100&gt;=180,AND(OR($BL100="FG",$BL100="HG",$BL100="FNV",$BL100="FV"),N($BM100)*N($BN100)&gt;100)),"180 min lite over 100 sq in, ","")&amp;IF(N($BD100)&gt;48,"leaf wider than 4'-0"&amp;CHAR(34)&amp;", ",""))</f>
        <v/>
      </c>
      <c r="BX100" s="49">
        <f>IF($A100="","",IF(AND($BO100&gt;0,AND($A100&lt;&gt;"",$C100&lt;&gt;"DOOR ONLY"),$X100="KD",$E100="EXTERIOR"),"KD label on an exterior opening, ","")&amp;IF(AND($E100="EXTERIOR",OR(AND(AND($A100&lt;&gt;"",$C100&lt;&gt;"DOOR ONLY"),$W100="CR"),AND(N($BC100)&gt;0,$AH100="CR"))),"exterior in CR steel (G9?), ","")&amp;IF(AND(ISNUMBER($BJ100),N($BJ100)&lt;32),"clear width ~"&amp;TEXT($BJ100,"0.0")&amp;CHAR(34)&amp;" under 32"&amp;CHAR(34)&amp;" (ADA), ","")&amp;IF(AND($BO100=90,AND(OR($BL100="FG",$BL100="HG",$BL100="FNV",$BL100="FV"),N($BM100)*N($BN100)&gt;100)),"90 min lite over 100 sq in (stair/exit), ","")&amp;IF(AND($BO100&gt;0,AND($A100&lt;&gt;"",$C100&lt;&gt;"DOOR ONLY"),OR($AF100="",$AF100="-")),"rated: closer reinf.?, ","")&amp;IF(OR($I100="CORRIDOR",$I100="SMOKE BARRIER"),"S label + smoke gasketing, ","")&amp;IF($BP100="?","wall type/hr not in IBC table, ","")&amp;IF(AND(N($BC100)&gt;0,$AU100=""),"no hardware set, ","")&amp;IF(AND($AU100&lt;&gt;"",ISNA(MATCH($AU100,HWSets,0))),"set "&amp;$AU100&amp;" not on Hardware sheet, ","")&amp;IF(N($BE100)&gt;96,"leaf over 8'-0"&amp;CHAR(34)&amp;" - check listing, ",""))</f>
        <v/>
      </c>
    </row>
    <row r="101" ht="15" customHeight="1">
      <c r="A101" s="44" t="n"/>
      <c r="B101" s="45" t="n"/>
      <c r="C101" s="45" t="n"/>
      <c r="D101" s="45" t="n"/>
      <c r="E101" s="45" t="n"/>
      <c r="F101" s="45" t="n"/>
      <c r="G101" s="45" t="n"/>
      <c r="H101" s="45" t="n"/>
      <c r="I101" s="45" t="n"/>
      <c r="J101" s="45" t="n"/>
      <c r="K101" s="45" t="n"/>
      <c r="L101" s="45" t="n"/>
      <c r="M101" s="45" t="n"/>
      <c r="N101" s="45" t="n"/>
      <c r="O101" s="45" t="n"/>
      <c r="P101" s="45" t="n"/>
      <c r="Q101" s="45" t="n"/>
      <c r="R101" s="45" t="n"/>
      <c r="S101" s="46" t="n"/>
      <c r="T101" s="46" t="n"/>
      <c r="U101" s="46" t="n"/>
      <c r="V101" s="46" t="n"/>
      <c r="W101" s="46" t="n"/>
      <c r="X101" s="46" t="n"/>
      <c r="Y101" s="46" t="n"/>
      <c r="Z101" s="46" t="n"/>
      <c r="AA101" s="46" t="n"/>
      <c r="AB101" s="46" t="n"/>
      <c r="AC101" s="46" t="n"/>
      <c r="AD101" s="46" t="n"/>
      <c r="AE101" s="46" t="n"/>
      <c r="AF101" s="46" t="n"/>
      <c r="AG101" s="46" t="n"/>
      <c r="AH101" s="47" t="n"/>
      <c r="AI101" s="47" t="n"/>
      <c r="AJ101" s="47" t="n"/>
      <c r="AK101" s="47" t="n"/>
      <c r="AL101" s="47" t="n"/>
      <c r="AM101" s="47" t="n"/>
      <c r="AN101" s="47" t="n"/>
      <c r="AO101" s="47" t="n"/>
      <c r="AP101" s="47" t="n"/>
      <c r="AQ101" s="47" t="n"/>
      <c r="AR101" s="47" t="n"/>
      <c r="AS101" s="47" t="n"/>
      <c r="AT101" s="47" t="n"/>
      <c r="AU101" s="48" t="n"/>
      <c r="AV101" s="48" t="n"/>
      <c r="AW101" s="49">
        <f>IF($A101="","",IF($BW101&lt;&gt;"","FIX",IF($BX101&lt;&gt;"","CHECK","OK")))</f>
        <v/>
      </c>
      <c r="AX101" s="50">
        <f>IF($A101="","",IF($BW101&lt;&gt;"","FIX: "&amp;LEFT($BW101,LEN($BW101)-2)&amp;IF($BX101&lt;&gt;"","  ·  ",""),"")&amp;IF($BX101&lt;&gt;"","CHECK: "&amp;LEFT($BX101,LEN($BX101)-2),""))</f>
        <v/>
      </c>
      <c r="AY101" s="49">
        <f>IF(OR($A101="",$K101=""),"",$K101&amp;"'-"&amp;N($L101)&amp;CHAR(34)&amp;" x "&amp;$M101&amp;"'-"&amp;N($N101)&amp;CHAR(34))</f>
        <v/>
      </c>
      <c r="AZ101" s="49">
        <f>IF(OR($A101="",$K101=""),"",$K101&amp;N($L101)&amp;$M101&amp;N($N101))</f>
        <v/>
      </c>
      <c r="BA101" s="49">
        <f>IF(OR($A101="",$K101=""),"",$K101*12+N($L101))</f>
        <v/>
      </c>
      <c r="BB101" s="49">
        <f>IF(OR($A101="",$M101=""),"",$M101*12+N($N101))</f>
        <v/>
      </c>
      <c r="BC101" s="49">
        <f>IF($A101="","",IF(OR($C101="FRAME ONLY",$S101="BL"),0,IF($O101="Y",2,1)))</f>
        <v/>
      </c>
      <c r="BD101" s="51">
        <f>IF(OR(N($BC101)=0,$BA101=""),"",($BA101-2*EdgeClr-IF($BC101=2,MeetClr,0))/$BC101)</f>
        <v/>
      </c>
      <c r="BE101" s="51">
        <f>IF(OR(N($BC101)=0,$BB101=""),"",$BB101-HeadClr-Undercut)</f>
        <v/>
      </c>
      <c r="BF101" s="51">
        <f>IF($BA101="","",$BA101+2*FaceW+IF(N($Q101)&gt;0,($Q101+FaceW)*IF($R101="LR",2,1),0))</f>
        <v/>
      </c>
      <c r="BG101" s="51">
        <f>IF($BB101="","",$BB101+IF($AB101="Y",4,FaceW)+IF(N($P101)&gt;0,$P101+FaceW,0)+IF(OR($S101="4F",$S101="BL"),FaceW,0))</f>
        <v/>
      </c>
      <c r="BH101" s="51">
        <f>IF($BF101="","",$BF101+2*ROSide)</f>
        <v/>
      </c>
      <c r="BI101" s="51">
        <f>IF($BG101="","",$BG101+ROTop)</f>
        <v/>
      </c>
      <c r="BJ101" s="52">
        <f>IF(OR(N($BC101)=0,$BA101=""),"",$BA101/$BC101-ClearDeduct)</f>
        <v/>
      </c>
      <c r="BK101" s="49">
        <f>IF(OR(N($BC101)=0,$BE101=""),"",IF(OR($AC101="HGC",$AP101="HGC"),"CONT",IF($BE101&lt;=60,2,IF($BE101&lt;=90,3,IF($BE101&lt;=120,4,5)))))</f>
        <v/>
      </c>
      <c r="BL101" s="49">
        <f>IF(N($BC101)=0,"",IF(OR($AL101="",$AL101="FLUSH"),"FLUSH",IFERROR(LEFT($AL101,FIND("-",$AL101)-1),LEFT($AL101,2))))</f>
        <v/>
      </c>
      <c r="BM101" s="49">
        <f>IF($BL101="","",IFERROR(VALUE(MID($AL101,FIND("-",$AL101)+1,FIND(CHAR(34)&amp;"x",$AL101)-FIND("-",$AL101)-1)),0))</f>
        <v/>
      </c>
      <c r="BN101" s="49">
        <f>IF($BL101="","",IFERROR(VALUE(MID($AL101,FIND(CHAR(34)&amp;"x",$AL101)+2,FIND(CHAR(34),$AL101,FIND(CHAR(34)&amp;"x",$AL101)+2)-FIND(CHAR(34)&amp;"x",$AL101)-2)),0))</f>
        <v/>
      </c>
      <c r="BO101" s="53">
        <f>IF(OR($A101="",$H101="",$H101="NO LAB"),0,IFERROR(VALUE(LEFT($H101,FIND(" ",$H101)-1)),0))</f>
        <v/>
      </c>
      <c r="BP101" s="54">
        <f>IF(OR($A101="",$I101="",$I101="NON-RATED",N($J101)=0),"",IFERROR(VLOOKUP($I101&amp;"|"&amp;$J101,IBC,2,FALSE),"?"))</f>
        <v/>
      </c>
      <c r="BQ101" s="50">
        <f>IF(NOT(AND($A101&lt;&gt;"",$C101&lt;&gt;"DOOR ONLY")),"",TRIM(IFERROR(VLOOKUP($U101,CODES,2,FALSE),"")&amp;" "&amp;$AZ101&amp;" "&amp;IFERROR(VLOOKUP($Z101,CODES,2,FALSE),"")&amp;" "&amp;IFERROR(VLOOKUP($X101,CODES,2,FALSE),"")&amp;" "&amp;IFERROR(VLOOKUP($S101,CODES,2,FALSE),"")&amp;IF(N($P101)&gt;0," w/TRANSOM "&amp;$P101&amp;CHAR(34),"")&amp;IF(N($Q101)&gt;0," w/SIDELITE "&amp;$Q101&amp;CHAR(34)&amp;" "&amp;IF($R101="","R",$R101),"")&amp;IF($Y101="","  |  "," | "&amp;IFERROR(VLOOKUP($Y101,CODES,2,FALSE),"")&amp;" | ")&amp;IFERROR(VLOOKUP($AC101,CODES,2,FALSE),"")&amp;" "&amp;IFERROR(VLOOKUP($AD101,CODES,2,FALSE),"")&amp;IF(OR($AE101="",$AE101="-"),""," "&amp;$AE101)&amp;IF(OR($AF101="",$AF101="-"),""," "&amp;$AF101)&amp;IF($AB101="Y"," 4"&amp;CHAR(34)&amp;" HEAD","")&amp;" "&amp;IFERROR(VLOOKUP($H101,CODES,2,FALSE),"")))</f>
        <v/>
      </c>
      <c r="BR101" s="50">
        <f>IF(NOT(AND($A101&lt;&gt;"",N($BC101)&gt;0)),"",TRIM(IFERROR(VLOOKUP($AH101,CODES,2,FALSE),"")&amp;IF($AI101=""," "," "&amp;$AI101&amp;"GA ")&amp;$AZ101&amp;" "&amp;IF($AN101="",IFERROR(VLOOKUP($Z101,CODES,2,FALSE),""),IFERROR(VLOOKUP($AN101,CODES,2,FALSE),""))&amp;IF($BC101=2," PAIR","")&amp;" DOOR | "&amp;IF($AL101="","?",$AL101)&amp;" | "&amp;IF($AP101="",IFERROR(VLOOKUP($AC101,CODES,2,FALSE),""),IFERROR(VLOOKUP($AP101,CODES,2,FALSE),""))&amp;" "&amp;IFERROR(VLOOKUP($AQ101,CODES,2,FALSE),"")&amp;IF(OR($AR101="",$AR101="-"),""," SEAM "&amp;$AR101)&amp;IF($AS101="Y"," ASTRAGAL","")&amp;IF($AJ101=""," "," "&amp;$AJ101)&amp;IF($AK101=""," "," "&amp;$AK101)&amp;IF($AO101="",""," "&amp;$AO101)&amp;IF($AM101=""," "," SERIES "&amp;$AM101)&amp;" "&amp;IFERROR(VLOOKUP($H101,CODES,2,FALSE),"")))</f>
        <v/>
      </c>
      <c r="BS101" s="49">
        <f>IF(BV101="","",IF(COUNTIF($BV$6:BV101,BV101)=1,MAX($BS$5:BS100)+1,INDEX($BS$5:BS100,MATCH(BV101,$BV$5:BV100,0))))</f>
        <v/>
      </c>
      <c r="BT101" s="49">
        <f>IF(NOT(AND($A101&lt;&gt;"",$C101&lt;&gt;"DOOR ONLY")),"",MAX($BT$5:BT100)+1)</f>
        <v/>
      </c>
      <c r="BU101" s="49">
        <f>IF(NOT(AND($A101&lt;&gt;"",N($BC101)&gt;0)),"",MAX($BU$5:BU100)+1)</f>
        <v/>
      </c>
      <c r="BV101" s="49">
        <f>IF(OR($A101="",$BA101="",$BB101=""),"",$AZ101&amp;"|"&amp;$O101&amp;"|"&amp;$AL101&amp;"|"&amp;$S101&amp;"|"&amp;$P101&amp;"|"&amp;$Q101&amp;$R101&amp;"|"&amp;$C101&amp;"|"&amp;$AB101)</f>
        <v/>
      </c>
      <c r="BW101" s="49">
        <f>IF($A101="","",IF($B101="","qty, ","")&amp;IF($C101="","scope, ","")&amp;IF(OR($K101="",$M101=""),"size, ","")&amp;IF(AND($A101&lt;&gt;"",$C101&lt;&gt;"DOOR ONLY"),IF($U101="","jamb depth, ","")&amp;IF($X101="","construction, ","")&amp;IF($Y101="","anchor, ","")&amp;IF($S101="","frame type, ",""),"")&amp;IF(AND(N($BC101)&gt;0,$Z101=""),"hand, ","")&amp;IF(N($BC101)&gt;0,IF($AH101="","door material, ","")&amp;IF($AL101="","face type, ","")&amp;IF($AQ101="","lock prep, ","")&amp;IF(AND($AP101="",$AC101=""),"hinge prep, ",""),"")&amp;IF(AND($BO101&gt;0,$AH101="FRP"),"FRP cannot carry a label, ","")&amp;IF(AND($O101="Y",OR($Z101="L",$Z101="R",$Z101="LR",$Z101="RR")),"pair marked but hand is single, ","")&amp;IF(AND($O101&lt;&gt;"Y",OR($Z101="PR",AND(LEN($Z101)&gt;1,ISNUMBER(SEARCH("-",$Z101))))),"pair hand on a single door, ","")&amp;IF(AND(ISNUMBER($BP101),$BO101&lt;N($BP101)),"wall needs a "&amp;$BP101&amp;" min door, ","")&amp;IF(AND($BO101&gt;=180,AND(OR($BL101="FG",$BL101="HG",$BL101="FNV",$BL101="FV"),N($BM101)*N($BN101)&gt;100)),"180 min lite over 100 sq in, ","")&amp;IF(N($BD101)&gt;48,"leaf wider than 4'-0"&amp;CHAR(34)&amp;", ",""))</f>
        <v/>
      </c>
      <c r="BX101" s="49">
        <f>IF($A101="","",IF(AND($BO101&gt;0,AND($A101&lt;&gt;"",$C101&lt;&gt;"DOOR ONLY"),$X101="KD",$E101="EXTERIOR"),"KD label on an exterior opening, ","")&amp;IF(AND($E101="EXTERIOR",OR(AND(AND($A101&lt;&gt;"",$C101&lt;&gt;"DOOR ONLY"),$W101="CR"),AND(N($BC101)&gt;0,$AH101="CR"))),"exterior in CR steel (G9?), ","")&amp;IF(AND(ISNUMBER($BJ101),N($BJ101)&lt;32),"clear width ~"&amp;TEXT($BJ101,"0.0")&amp;CHAR(34)&amp;" under 32"&amp;CHAR(34)&amp;" (ADA), ","")&amp;IF(AND($BO101=90,AND(OR($BL101="FG",$BL101="HG",$BL101="FNV",$BL101="FV"),N($BM101)*N($BN101)&gt;100)),"90 min lite over 100 sq in (stair/exit), ","")&amp;IF(AND($BO101&gt;0,AND($A101&lt;&gt;"",$C101&lt;&gt;"DOOR ONLY"),OR($AF101="",$AF101="-")),"rated: closer reinf.?, ","")&amp;IF(OR($I101="CORRIDOR",$I101="SMOKE BARRIER"),"S label + smoke gasketing, ","")&amp;IF($BP101="?","wall type/hr not in IBC table, ","")&amp;IF(AND(N($BC101)&gt;0,$AU101=""),"no hardware set, ","")&amp;IF(AND($AU101&lt;&gt;"",ISNA(MATCH($AU101,HWSets,0))),"set "&amp;$AU101&amp;" not on Hardware sheet, ","")&amp;IF(N($BE101)&gt;96,"leaf over 8'-0"&amp;CHAR(34)&amp;" - check listing, ",""))</f>
        <v/>
      </c>
    </row>
    <row r="102" ht="15" customHeight="1">
      <c r="A102" s="44" t="n"/>
      <c r="B102" s="45" t="n"/>
      <c r="C102" s="45" t="n"/>
      <c r="D102" s="45" t="n"/>
      <c r="E102" s="45" t="n"/>
      <c r="F102" s="45" t="n"/>
      <c r="G102" s="45" t="n"/>
      <c r="H102" s="45" t="n"/>
      <c r="I102" s="45" t="n"/>
      <c r="J102" s="45" t="n"/>
      <c r="K102" s="45" t="n"/>
      <c r="L102" s="45" t="n"/>
      <c r="M102" s="45" t="n"/>
      <c r="N102" s="45" t="n"/>
      <c r="O102" s="45" t="n"/>
      <c r="P102" s="45" t="n"/>
      <c r="Q102" s="45" t="n"/>
      <c r="R102" s="45" t="n"/>
      <c r="S102" s="46" t="n"/>
      <c r="T102" s="46" t="n"/>
      <c r="U102" s="46" t="n"/>
      <c r="V102" s="46" t="n"/>
      <c r="W102" s="46" t="n"/>
      <c r="X102" s="46" t="n"/>
      <c r="Y102" s="46" t="n"/>
      <c r="Z102" s="46" t="n"/>
      <c r="AA102" s="46" t="n"/>
      <c r="AB102" s="46" t="n"/>
      <c r="AC102" s="46" t="n"/>
      <c r="AD102" s="46" t="n"/>
      <c r="AE102" s="46" t="n"/>
      <c r="AF102" s="46" t="n"/>
      <c r="AG102" s="46" t="n"/>
      <c r="AH102" s="47" t="n"/>
      <c r="AI102" s="47" t="n"/>
      <c r="AJ102" s="47" t="n"/>
      <c r="AK102" s="47" t="n"/>
      <c r="AL102" s="47" t="n"/>
      <c r="AM102" s="47" t="n"/>
      <c r="AN102" s="47" t="n"/>
      <c r="AO102" s="47" t="n"/>
      <c r="AP102" s="47" t="n"/>
      <c r="AQ102" s="47" t="n"/>
      <c r="AR102" s="47" t="n"/>
      <c r="AS102" s="47" t="n"/>
      <c r="AT102" s="47" t="n"/>
      <c r="AU102" s="48" t="n"/>
      <c r="AV102" s="48" t="n"/>
      <c r="AW102" s="49">
        <f>IF($A102="","",IF($BW102&lt;&gt;"","FIX",IF($BX102&lt;&gt;"","CHECK","OK")))</f>
        <v/>
      </c>
      <c r="AX102" s="50">
        <f>IF($A102="","",IF($BW102&lt;&gt;"","FIX: "&amp;LEFT($BW102,LEN($BW102)-2)&amp;IF($BX102&lt;&gt;"","  ·  ",""),"")&amp;IF($BX102&lt;&gt;"","CHECK: "&amp;LEFT($BX102,LEN($BX102)-2),""))</f>
        <v/>
      </c>
      <c r="AY102" s="49">
        <f>IF(OR($A102="",$K102=""),"",$K102&amp;"'-"&amp;N($L102)&amp;CHAR(34)&amp;" x "&amp;$M102&amp;"'-"&amp;N($N102)&amp;CHAR(34))</f>
        <v/>
      </c>
      <c r="AZ102" s="49">
        <f>IF(OR($A102="",$K102=""),"",$K102&amp;N($L102)&amp;$M102&amp;N($N102))</f>
        <v/>
      </c>
      <c r="BA102" s="49">
        <f>IF(OR($A102="",$K102=""),"",$K102*12+N($L102))</f>
        <v/>
      </c>
      <c r="BB102" s="49">
        <f>IF(OR($A102="",$M102=""),"",$M102*12+N($N102))</f>
        <v/>
      </c>
      <c r="BC102" s="49">
        <f>IF($A102="","",IF(OR($C102="FRAME ONLY",$S102="BL"),0,IF($O102="Y",2,1)))</f>
        <v/>
      </c>
      <c r="BD102" s="51">
        <f>IF(OR(N($BC102)=0,$BA102=""),"",($BA102-2*EdgeClr-IF($BC102=2,MeetClr,0))/$BC102)</f>
        <v/>
      </c>
      <c r="BE102" s="51">
        <f>IF(OR(N($BC102)=0,$BB102=""),"",$BB102-HeadClr-Undercut)</f>
        <v/>
      </c>
      <c r="BF102" s="51">
        <f>IF($BA102="","",$BA102+2*FaceW+IF(N($Q102)&gt;0,($Q102+FaceW)*IF($R102="LR",2,1),0))</f>
        <v/>
      </c>
      <c r="BG102" s="51">
        <f>IF($BB102="","",$BB102+IF($AB102="Y",4,FaceW)+IF(N($P102)&gt;0,$P102+FaceW,0)+IF(OR($S102="4F",$S102="BL"),FaceW,0))</f>
        <v/>
      </c>
      <c r="BH102" s="51">
        <f>IF($BF102="","",$BF102+2*ROSide)</f>
        <v/>
      </c>
      <c r="BI102" s="51">
        <f>IF($BG102="","",$BG102+ROTop)</f>
        <v/>
      </c>
      <c r="BJ102" s="52">
        <f>IF(OR(N($BC102)=0,$BA102=""),"",$BA102/$BC102-ClearDeduct)</f>
        <v/>
      </c>
      <c r="BK102" s="49">
        <f>IF(OR(N($BC102)=0,$BE102=""),"",IF(OR($AC102="HGC",$AP102="HGC"),"CONT",IF($BE102&lt;=60,2,IF($BE102&lt;=90,3,IF($BE102&lt;=120,4,5)))))</f>
        <v/>
      </c>
      <c r="BL102" s="49">
        <f>IF(N($BC102)=0,"",IF(OR($AL102="",$AL102="FLUSH"),"FLUSH",IFERROR(LEFT($AL102,FIND("-",$AL102)-1),LEFT($AL102,2))))</f>
        <v/>
      </c>
      <c r="BM102" s="49">
        <f>IF($BL102="","",IFERROR(VALUE(MID($AL102,FIND("-",$AL102)+1,FIND(CHAR(34)&amp;"x",$AL102)-FIND("-",$AL102)-1)),0))</f>
        <v/>
      </c>
      <c r="BN102" s="49">
        <f>IF($BL102="","",IFERROR(VALUE(MID($AL102,FIND(CHAR(34)&amp;"x",$AL102)+2,FIND(CHAR(34),$AL102,FIND(CHAR(34)&amp;"x",$AL102)+2)-FIND(CHAR(34)&amp;"x",$AL102)-2)),0))</f>
        <v/>
      </c>
      <c r="BO102" s="53">
        <f>IF(OR($A102="",$H102="",$H102="NO LAB"),0,IFERROR(VALUE(LEFT($H102,FIND(" ",$H102)-1)),0))</f>
        <v/>
      </c>
      <c r="BP102" s="54">
        <f>IF(OR($A102="",$I102="",$I102="NON-RATED",N($J102)=0),"",IFERROR(VLOOKUP($I102&amp;"|"&amp;$J102,IBC,2,FALSE),"?"))</f>
        <v/>
      </c>
      <c r="BQ102" s="50">
        <f>IF(NOT(AND($A102&lt;&gt;"",$C102&lt;&gt;"DOOR ONLY")),"",TRIM(IFERROR(VLOOKUP($U102,CODES,2,FALSE),"")&amp;" "&amp;$AZ102&amp;" "&amp;IFERROR(VLOOKUP($Z102,CODES,2,FALSE),"")&amp;" "&amp;IFERROR(VLOOKUP($X102,CODES,2,FALSE),"")&amp;" "&amp;IFERROR(VLOOKUP($S102,CODES,2,FALSE),"")&amp;IF(N($P102)&gt;0," w/TRANSOM "&amp;$P102&amp;CHAR(34),"")&amp;IF(N($Q102)&gt;0," w/SIDELITE "&amp;$Q102&amp;CHAR(34)&amp;" "&amp;IF($R102="","R",$R102),"")&amp;IF($Y102="","  |  "," | "&amp;IFERROR(VLOOKUP($Y102,CODES,2,FALSE),"")&amp;" | ")&amp;IFERROR(VLOOKUP($AC102,CODES,2,FALSE),"")&amp;" "&amp;IFERROR(VLOOKUP($AD102,CODES,2,FALSE),"")&amp;IF(OR($AE102="",$AE102="-"),""," "&amp;$AE102)&amp;IF(OR($AF102="",$AF102="-"),""," "&amp;$AF102)&amp;IF($AB102="Y"," 4"&amp;CHAR(34)&amp;" HEAD","")&amp;" "&amp;IFERROR(VLOOKUP($H102,CODES,2,FALSE),"")))</f>
        <v/>
      </c>
      <c r="BR102" s="50">
        <f>IF(NOT(AND($A102&lt;&gt;"",N($BC102)&gt;0)),"",TRIM(IFERROR(VLOOKUP($AH102,CODES,2,FALSE),"")&amp;IF($AI102=""," "," "&amp;$AI102&amp;"GA ")&amp;$AZ102&amp;" "&amp;IF($AN102="",IFERROR(VLOOKUP($Z102,CODES,2,FALSE),""),IFERROR(VLOOKUP($AN102,CODES,2,FALSE),""))&amp;IF($BC102=2," PAIR","")&amp;" DOOR | "&amp;IF($AL102="","?",$AL102)&amp;" | "&amp;IF($AP102="",IFERROR(VLOOKUP($AC102,CODES,2,FALSE),""),IFERROR(VLOOKUP($AP102,CODES,2,FALSE),""))&amp;" "&amp;IFERROR(VLOOKUP($AQ102,CODES,2,FALSE),"")&amp;IF(OR($AR102="",$AR102="-"),""," SEAM "&amp;$AR102)&amp;IF($AS102="Y"," ASTRAGAL","")&amp;IF($AJ102=""," "," "&amp;$AJ102)&amp;IF($AK102=""," "," "&amp;$AK102)&amp;IF($AO102="",""," "&amp;$AO102)&amp;IF($AM102=""," "," SERIES "&amp;$AM102)&amp;" "&amp;IFERROR(VLOOKUP($H102,CODES,2,FALSE),"")))</f>
        <v/>
      </c>
      <c r="BS102" s="49">
        <f>IF(BV102="","",IF(COUNTIF($BV$6:BV102,BV102)=1,MAX($BS$5:BS101)+1,INDEX($BS$5:BS101,MATCH(BV102,$BV$5:BV101,0))))</f>
        <v/>
      </c>
      <c r="BT102" s="49">
        <f>IF(NOT(AND($A102&lt;&gt;"",$C102&lt;&gt;"DOOR ONLY")),"",MAX($BT$5:BT101)+1)</f>
        <v/>
      </c>
      <c r="BU102" s="49">
        <f>IF(NOT(AND($A102&lt;&gt;"",N($BC102)&gt;0)),"",MAX($BU$5:BU101)+1)</f>
        <v/>
      </c>
      <c r="BV102" s="49">
        <f>IF(OR($A102="",$BA102="",$BB102=""),"",$AZ102&amp;"|"&amp;$O102&amp;"|"&amp;$AL102&amp;"|"&amp;$S102&amp;"|"&amp;$P102&amp;"|"&amp;$Q102&amp;$R102&amp;"|"&amp;$C102&amp;"|"&amp;$AB102)</f>
        <v/>
      </c>
      <c r="BW102" s="49">
        <f>IF($A102="","",IF($B102="","qty, ","")&amp;IF($C102="","scope, ","")&amp;IF(OR($K102="",$M102=""),"size, ","")&amp;IF(AND($A102&lt;&gt;"",$C102&lt;&gt;"DOOR ONLY"),IF($U102="","jamb depth, ","")&amp;IF($X102="","construction, ","")&amp;IF($Y102="","anchor, ","")&amp;IF($S102="","frame type, ",""),"")&amp;IF(AND(N($BC102)&gt;0,$Z102=""),"hand, ","")&amp;IF(N($BC102)&gt;0,IF($AH102="","door material, ","")&amp;IF($AL102="","face type, ","")&amp;IF($AQ102="","lock prep, ","")&amp;IF(AND($AP102="",$AC102=""),"hinge prep, ",""),"")&amp;IF(AND($BO102&gt;0,$AH102="FRP"),"FRP cannot carry a label, ","")&amp;IF(AND($O102="Y",OR($Z102="L",$Z102="R",$Z102="LR",$Z102="RR")),"pair marked but hand is single, ","")&amp;IF(AND($O102&lt;&gt;"Y",OR($Z102="PR",AND(LEN($Z102)&gt;1,ISNUMBER(SEARCH("-",$Z102))))),"pair hand on a single door, ","")&amp;IF(AND(ISNUMBER($BP102),$BO102&lt;N($BP102)),"wall needs a "&amp;$BP102&amp;" min door, ","")&amp;IF(AND($BO102&gt;=180,AND(OR($BL102="FG",$BL102="HG",$BL102="FNV",$BL102="FV"),N($BM102)*N($BN102)&gt;100)),"180 min lite over 100 sq in, ","")&amp;IF(N($BD102)&gt;48,"leaf wider than 4'-0"&amp;CHAR(34)&amp;", ",""))</f>
        <v/>
      </c>
      <c r="BX102" s="49">
        <f>IF($A102="","",IF(AND($BO102&gt;0,AND($A102&lt;&gt;"",$C102&lt;&gt;"DOOR ONLY"),$X102="KD",$E102="EXTERIOR"),"KD label on an exterior opening, ","")&amp;IF(AND($E102="EXTERIOR",OR(AND(AND($A102&lt;&gt;"",$C102&lt;&gt;"DOOR ONLY"),$W102="CR"),AND(N($BC102)&gt;0,$AH102="CR"))),"exterior in CR steel (G9?), ","")&amp;IF(AND(ISNUMBER($BJ102),N($BJ102)&lt;32),"clear width ~"&amp;TEXT($BJ102,"0.0")&amp;CHAR(34)&amp;" under 32"&amp;CHAR(34)&amp;" (ADA), ","")&amp;IF(AND($BO102=90,AND(OR($BL102="FG",$BL102="HG",$BL102="FNV",$BL102="FV"),N($BM102)*N($BN102)&gt;100)),"90 min lite over 100 sq in (stair/exit), ","")&amp;IF(AND($BO102&gt;0,AND($A102&lt;&gt;"",$C102&lt;&gt;"DOOR ONLY"),OR($AF102="",$AF102="-")),"rated: closer reinf.?, ","")&amp;IF(OR($I102="CORRIDOR",$I102="SMOKE BARRIER"),"S label + smoke gasketing, ","")&amp;IF($BP102="?","wall type/hr not in IBC table, ","")&amp;IF(AND(N($BC102)&gt;0,$AU102=""),"no hardware set, ","")&amp;IF(AND($AU102&lt;&gt;"",ISNA(MATCH($AU102,HWSets,0))),"set "&amp;$AU102&amp;" not on Hardware sheet, ","")&amp;IF(N($BE102)&gt;96,"leaf over 8'-0"&amp;CHAR(34)&amp;" - check listing, ",""))</f>
        <v/>
      </c>
    </row>
    <row r="103" ht="15" customHeight="1">
      <c r="A103" s="44" t="n"/>
      <c r="B103" s="45" t="n"/>
      <c r="C103" s="45" t="n"/>
      <c r="D103" s="45" t="n"/>
      <c r="E103" s="45" t="n"/>
      <c r="F103" s="45" t="n"/>
      <c r="G103" s="45" t="n"/>
      <c r="H103" s="45" t="n"/>
      <c r="I103" s="45" t="n"/>
      <c r="J103" s="45" t="n"/>
      <c r="K103" s="45" t="n"/>
      <c r="L103" s="45" t="n"/>
      <c r="M103" s="45" t="n"/>
      <c r="N103" s="45" t="n"/>
      <c r="O103" s="45" t="n"/>
      <c r="P103" s="45" t="n"/>
      <c r="Q103" s="45" t="n"/>
      <c r="R103" s="45" t="n"/>
      <c r="S103" s="46" t="n"/>
      <c r="T103" s="46" t="n"/>
      <c r="U103" s="46" t="n"/>
      <c r="V103" s="46" t="n"/>
      <c r="W103" s="46" t="n"/>
      <c r="X103" s="46" t="n"/>
      <c r="Y103" s="46" t="n"/>
      <c r="Z103" s="46" t="n"/>
      <c r="AA103" s="46" t="n"/>
      <c r="AB103" s="46" t="n"/>
      <c r="AC103" s="46" t="n"/>
      <c r="AD103" s="46" t="n"/>
      <c r="AE103" s="46" t="n"/>
      <c r="AF103" s="46" t="n"/>
      <c r="AG103" s="46" t="n"/>
      <c r="AH103" s="47" t="n"/>
      <c r="AI103" s="47" t="n"/>
      <c r="AJ103" s="47" t="n"/>
      <c r="AK103" s="47" t="n"/>
      <c r="AL103" s="47" t="n"/>
      <c r="AM103" s="47" t="n"/>
      <c r="AN103" s="47" t="n"/>
      <c r="AO103" s="47" t="n"/>
      <c r="AP103" s="47" t="n"/>
      <c r="AQ103" s="47" t="n"/>
      <c r="AR103" s="47" t="n"/>
      <c r="AS103" s="47" t="n"/>
      <c r="AT103" s="47" t="n"/>
      <c r="AU103" s="48" t="n"/>
      <c r="AV103" s="48" t="n"/>
      <c r="AW103" s="49">
        <f>IF($A103="","",IF($BW103&lt;&gt;"","FIX",IF($BX103&lt;&gt;"","CHECK","OK")))</f>
        <v/>
      </c>
      <c r="AX103" s="50">
        <f>IF($A103="","",IF($BW103&lt;&gt;"","FIX: "&amp;LEFT($BW103,LEN($BW103)-2)&amp;IF($BX103&lt;&gt;"","  ·  ",""),"")&amp;IF($BX103&lt;&gt;"","CHECK: "&amp;LEFT($BX103,LEN($BX103)-2),""))</f>
        <v/>
      </c>
      <c r="AY103" s="49">
        <f>IF(OR($A103="",$K103=""),"",$K103&amp;"'-"&amp;N($L103)&amp;CHAR(34)&amp;" x "&amp;$M103&amp;"'-"&amp;N($N103)&amp;CHAR(34))</f>
        <v/>
      </c>
      <c r="AZ103" s="49">
        <f>IF(OR($A103="",$K103=""),"",$K103&amp;N($L103)&amp;$M103&amp;N($N103))</f>
        <v/>
      </c>
      <c r="BA103" s="49">
        <f>IF(OR($A103="",$K103=""),"",$K103*12+N($L103))</f>
        <v/>
      </c>
      <c r="BB103" s="49">
        <f>IF(OR($A103="",$M103=""),"",$M103*12+N($N103))</f>
        <v/>
      </c>
      <c r="BC103" s="49">
        <f>IF($A103="","",IF(OR($C103="FRAME ONLY",$S103="BL"),0,IF($O103="Y",2,1)))</f>
        <v/>
      </c>
      <c r="BD103" s="51">
        <f>IF(OR(N($BC103)=0,$BA103=""),"",($BA103-2*EdgeClr-IF($BC103=2,MeetClr,0))/$BC103)</f>
        <v/>
      </c>
      <c r="BE103" s="51">
        <f>IF(OR(N($BC103)=0,$BB103=""),"",$BB103-HeadClr-Undercut)</f>
        <v/>
      </c>
      <c r="BF103" s="51">
        <f>IF($BA103="","",$BA103+2*FaceW+IF(N($Q103)&gt;0,($Q103+FaceW)*IF($R103="LR",2,1),0))</f>
        <v/>
      </c>
      <c r="BG103" s="51">
        <f>IF($BB103="","",$BB103+IF($AB103="Y",4,FaceW)+IF(N($P103)&gt;0,$P103+FaceW,0)+IF(OR($S103="4F",$S103="BL"),FaceW,0))</f>
        <v/>
      </c>
      <c r="BH103" s="51">
        <f>IF($BF103="","",$BF103+2*ROSide)</f>
        <v/>
      </c>
      <c r="BI103" s="51">
        <f>IF($BG103="","",$BG103+ROTop)</f>
        <v/>
      </c>
      <c r="BJ103" s="52">
        <f>IF(OR(N($BC103)=0,$BA103=""),"",$BA103/$BC103-ClearDeduct)</f>
        <v/>
      </c>
      <c r="BK103" s="49">
        <f>IF(OR(N($BC103)=0,$BE103=""),"",IF(OR($AC103="HGC",$AP103="HGC"),"CONT",IF($BE103&lt;=60,2,IF($BE103&lt;=90,3,IF($BE103&lt;=120,4,5)))))</f>
        <v/>
      </c>
      <c r="BL103" s="49">
        <f>IF(N($BC103)=0,"",IF(OR($AL103="",$AL103="FLUSH"),"FLUSH",IFERROR(LEFT($AL103,FIND("-",$AL103)-1),LEFT($AL103,2))))</f>
        <v/>
      </c>
      <c r="BM103" s="49">
        <f>IF($BL103="","",IFERROR(VALUE(MID($AL103,FIND("-",$AL103)+1,FIND(CHAR(34)&amp;"x",$AL103)-FIND("-",$AL103)-1)),0))</f>
        <v/>
      </c>
      <c r="BN103" s="49">
        <f>IF($BL103="","",IFERROR(VALUE(MID($AL103,FIND(CHAR(34)&amp;"x",$AL103)+2,FIND(CHAR(34),$AL103,FIND(CHAR(34)&amp;"x",$AL103)+2)-FIND(CHAR(34)&amp;"x",$AL103)-2)),0))</f>
        <v/>
      </c>
      <c r="BO103" s="53">
        <f>IF(OR($A103="",$H103="",$H103="NO LAB"),0,IFERROR(VALUE(LEFT($H103,FIND(" ",$H103)-1)),0))</f>
        <v/>
      </c>
      <c r="BP103" s="54">
        <f>IF(OR($A103="",$I103="",$I103="NON-RATED",N($J103)=0),"",IFERROR(VLOOKUP($I103&amp;"|"&amp;$J103,IBC,2,FALSE),"?"))</f>
        <v/>
      </c>
      <c r="BQ103" s="50">
        <f>IF(NOT(AND($A103&lt;&gt;"",$C103&lt;&gt;"DOOR ONLY")),"",TRIM(IFERROR(VLOOKUP($U103,CODES,2,FALSE),"")&amp;" "&amp;$AZ103&amp;" "&amp;IFERROR(VLOOKUP($Z103,CODES,2,FALSE),"")&amp;" "&amp;IFERROR(VLOOKUP($X103,CODES,2,FALSE),"")&amp;" "&amp;IFERROR(VLOOKUP($S103,CODES,2,FALSE),"")&amp;IF(N($P103)&gt;0," w/TRANSOM "&amp;$P103&amp;CHAR(34),"")&amp;IF(N($Q103)&gt;0," w/SIDELITE "&amp;$Q103&amp;CHAR(34)&amp;" "&amp;IF($R103="","R",$R103),"")&amp;IF($Y103="","  |  "," | "&amp;IFERROR(VLOOKUP($Y103,CODES,2,FALSE),"")&amp;" | ")&amp;IFERROR(VLOOKUP($AC103,CODES,2,FALSE),"")&amp;" "&amp;IFERROR(VLOOKUP($AD103,CODES,2,FALSE),"")&amp;IF(OR($AE103="",$AE103="-"),""," "&amp;$AE103)&amp;IF(OR($AF103="",$AF103="-"),""," "&amp;$AF103)&amp;IF($AB103="Y"," 4"&amp;CHAR(34)&amp;" HEAD","")&amp;" "&amp;IFERROR(VLOOKUP($H103,CODES,2,FALSE),"")))</f>
        <v/>
      </c>
      <c r="BR103" s="50">
        <f>IF(NOT(AND($A103&lt;&gt;"",N($BC103)&gt;0)),"",TRIM(IFERROR(VLOOKUP($AH103,CODES,2,FALSE),"")&amp;IF($AI103=""," "," "&amp;$AI103&amp;"GA ")&amp;$AZ103&amp;" "&amp;IF($AN103="",IFERROR(VLOOKUP($Z103,CODES,2,FALSE),""),IFERROR(VLOOKUP($AN103,CODES,2,FALSE),""))&amp;IF($BC103=2," PAIR","")&amp;" DOOR | "&amp;IF($AL103="","?",$AL103)&amp;" | "&amp;IF($AP103="",IFERROR(VLOOKUP($AC103,CODES,2,FALSE),""),IFERROR(VLOOKUP($AP103,CODES,2,FALSE),""))&amp;" "&amp;IFERROR(VLOOKUP($AQ103,CODES,2,FALSE),"")&amp;IF(OR($AR103="",$AR103="-"),""," SEAM "&amp;$AR103)&amp;IF($AS103="Y"," ASTRAGAL","")&amp;IF($AJ103=""," "," "&amp;$AJ103)&amp;IF($AK103=""," "," "&amp;$AK103)&amp;IF($AO103="",""," "&amp;$AO103)&amp;IF($AM103=""," "," SERIES "&amp;$AM103)&amp;" "&amp;IFERROR(VLOOKUP($H103,CODES,2,FALSE),"")))</f>
        <v/>
      </c>
      <c r="BS103" s="49">
        <f>IF(BV103="","",IF(COUNTIF($BV$6:BV103,BV103)=1,MAX($BS$5:BS102)+1,INDEX($BS$5:BS102,MATCH(BV103,$BV$5:BV102,0))))</f>
        <v/>
      </c>
      <c r="BT103" s="49">
        <f>IF(NOT(AND($A103&lt;&gt;"",$C103&lt;&gt;"DOOR ONLY")),"",MAX($BT$5:BT102)+1)</f>
        <v/>
      </c>
      <c r="BU103" s="49">
        <f>IF(NOT(AND($A103&lt;&gt;"",N($BC103)&gt;0)),"",MAX($BU$5:BU102)+1)</f>
        <v/>
      </c>
      <c r="BV103" s="49">
        <f>IF(OR($A103="",$BA103="",$BB103=""),"",$AZ103&amp;"|"&amp;$O103&amp;"|"&amp;$AL103&amp;"|"&amp;$S103&amp;"|"&amp;$P103&amp;"|"&amp;$Q103&amp;$R103&amp;"|"&amp;$C103&amp;"|"&amp;$AB103)</f>
        <v/>
      </c>
      <c r="BW103" s="49">
        <f>IF($A103="","",IF($B103="","qty, ","")&amp;IF($C103="","scope, ","")&amp;IF(OR($K103="",$M103=""),"size, ","")&amp;IF(AND($A103&lt;&gt;"",$C103&lt;&gt;"DOOR ONLY"),IF($U103="","jamb depth, ","")&amp;IF($X103="","construction, ","")&amp;IF($Y103="","anchor, ","")&amp;IF($S103="","frame type, ",""),"")&amp;IF(AND(N($BC103)&gt;0,$Z103=""),"hand, ","")&amp;IF(N($BC103)&gt;0,IF($AH103="","door material, ","")&amp;IF($AL103="","face type, ","")&amp;IF($AQ103="","lock prep, ","")&amp;IF(AND($AP103="",$AC103=""),"hinge prep, ",""),"")&amp;IF(AND($BO103&gt;0,$AH103="FRP"),"FRP cannot carry a label, ","")&amp;IF(AND($O103="Y",OR($Z103="L",$Z103="R",$Z103="LR",$Z103="RR")),"pair marked but hand is single, ","")&amp;IF(AND($O103&lt;&gt;"Y",OR($Z103="PR",AND(LEN($Z103)&gt;1,ISNUMBER(SEARCH("-",$Z103))))),"pair hand on a single door, ","")&amp;IF(AND(ISNUMBER($BP103),$BO103&lt;N($BP103)),"wall needs a "&amp;$BP103&amp;" min door, ","")&amp;IF(AND($BO103&gt;=180,AND(OR($BL103="FG",$BL103="HG",$BL103="FNV",$BL103="FV"),N($BM103)*N($BN103)&gt;100)),"180 min lite over 100 sq in, ","")&amp;IF(N($BD103)&gt;48,"leaf wider than 4'-0"&amp;CHAR(34)&amp;", ",""))</f>
        <v/>
      </c>
      <c r="BX103" s="49">
        <f>IF($A103="","",IF(AND($BO103&gt;0,AND($A103&lt;&gt;"",$C103&lt;&gt;"DOOR ONLY"),$X103="KD",$E103="EXTERIOR"),"KD label on an exterior opening, ","")&amp;IF(AND($E103="EXTERIOR",OR(AND(AND($A103&lt;&gt;"",$C103&lt;&gt;"DOOR ONLY"),$W103="CR"),AND(N($BC103)&gt;0,$AH103="CR"))),"exterior in CR steel (G9?), ","")&amp;IF(AND(ISNUMBER($BJ103),N($BJ103)&lt;32),"clear width ~"&amp;TEXT($BJ103,"0.0")&amp;CHAR(34)&amp;" under 32"&amp;CHAR(34)&amp;" (ADA), ","")&amp;IF(AND($BO103=90,AND(OR($BL103="FG",$BL103="HG",$BL103="FNV",$BL103="FV"),N($BM103)*N($BN103)&gt;100)),"90 min lite over 100 sq in (stair/exit), ","")&amp;IF(AND($BO103&gt;0,AND($A103&lt;&gt;"",$C103&lt;&gt;"DOOR ONLY"),OR($AF103="",$AF103="-")),"rated: closer reinf.?, ","")&amp;IF(OR($I103="CORRIDOR",$I103="SMOKE BARRIER"),"S label + smoke gasketing, ","")&amp;IF($BP103="?","wall type/hr not in IBC table, ","")&amp;IF(AND(N($BC103)&gt;0,$AU103=""),"no hardware set, ","")&amp;IF(AND($AU103&lt;&gt;"",ISNA(MATCH($AU103,HWSets,0))),"set "&amp;$AU103&amp;" not on Hardware sheet, ","")&amp;IF(N($BE103)&gt;96,"leaf over 8'-0"&amp;CHAR(34)&amp;" - check listing, ",""))</f>
        <v/>
      </c>
    </row>
    <row r="104" ht="15" customHeight="1">
      <c r="A104" s="44" t="n"/>
      <c r="B104" s="45" t="n"/>
      <c r="C104" s="45" t="n"/>
      <c r="D104" s="45" t="n"/>
      <c r="E104" s="45" t="n"/>
      <c r="F104" s="45" t="n"/>
      <c r="G104" s="45" t="n"/>
      <c r="H104" s="45" t="n"/>
      <c r="I104" s="45" t="n"/>
      <c r="J104" s="45" t="n"/>
      <c r="K104" s="45" t="n"/>
      <c r="L104" s="45" t="n"/>
      <c r="M104" s="45" t="n"/>
      <c r="N104" s="45" t="n"/>
      <c r="O104" s="45" t="n"/>
      <c r="P104" s="45" t="n"/>
      <c r="Q104" s="45" t="n"/>
      <c r="R104" s="45" t="n"/>
      <c r="S104" s="46" t="n"/>
      <c r="T104" s="46" t="n"/>
      <c r="U104" s="46" t="n"/>
      <c r="V104" s="46" t="n"/>
      <c r="W104" s="46" t="n"/>
      <c r="X104" s="46" t="n"/>
      <c r="Y104" s="46" t="n"/>
      <c r="Z104" s="46" t="n"/>
      <c r="AA104" s="46" t="n"/>
      <c r="AB104" s="46" t="n"/>
      <c r="AC104" s="46" t="n"/>
      <c r="AD104" s="46" t="n"/>
      <c r="AE104" s="46" t="n"/>
      <c r="AF104" s="46" t="n"/>
      <c r="AG104" s="46" t="n"/>
      <c r="AH104" s="47" t="n"/>
      <c r="AI104" s="47" t="n"/>
      <c r="AJ104" s="47" t="n"/>
      <c r="AK104" s="47" t="n"/>
      <c r="AL104" s="47" t="n"/>
      <c r="AM104" s="47" t="n"/>
      <c r="AN104" s="47" t="n"/>
      <c r="AO104" s="47" t="n"/>
      <c r="AP104" s="47" t="n"/>
      <c r="AQ104" s="47" t="n"/>
      <c r="AR104" s="47" t="n"/>
      <c r="AS104" s="47" t="n"/>
      <c r="AT104" s="47" t="n"/>
      <c r="AU104" s="48" t="n"/>
      <c r="AV104" s="48" t="n"/>
      <c r="AW104" s="49">
        <f>IF($A104="","",IF($BW104&lt;&gt;"","FIX",IF($BX104&lt;&gt;"","CHECK","OK")))</f>
        <v/>
      </c>
      <c r="AX104" s="50">
        <f>IF($A104="","",IF($BW104&lt;&gt;"","FIX: "&amp;LEFT($BW104,LEN($BW104)-2)&amp;IF($BX104&lt;&gt;"","  ·  ",""),"")&amp;IF($BX104&lt;&gt;"","CHECK: "&amp;LEFT($BX104,LEN($BX104)-2),""))</f>
        <v/>
      </c>
      <c r="AY104" s="49">
        <f>IF(OR($A104="",$K104=""),"",$K104&amp;"'-"&amp;N($L104)&amp;CHAR(34)&amp;" x "&amp;$M104&amp;"'-"&amp;N($N104)&amp;CHAR(34))</f>
        <v/>
      </c>
      <c r="AZ104" s="49">
        <f>IF(OR($A104="",$K104=""),"",$K104&amp;N($L104)&amp;$M104&amp;N($N104))</f>
        <v/>
      </c>
      <c r="BA104" s="49">
        <f>IF(OR($A104="",$K104=""),"",$K104*12+N($L104))</f>
        <v/>
      </c>
      <c r="BB104" s="49">
        <f>IF(OR($A104="",$M104=""),"",$M104*12+N($N104))</f>
        <v/>
      </c>
      <c r="BC104" s="49">
        <f>IF($A104="","",IF(OR($C104="FRAME ONLY",$S104="BL"),0,IF($O104="Y",2,1)))</f>
        <v/>
      </c>
      <c r="BD104" s="51">
        <f>IF(OR(N($BC104)=0,$BA104=""),"",($BA104-2*EdgeClr-IF($BC104=2,MeetClr,0))/$BC104)</f>
        <v/>
      </c>
      <c r="BE104" s="51">
        <f>IF(OR(N($BC104)=0,$BB104=""),"",$BB104-HeadClr-Undercut)</f>
        <v/>
      </c>
      <c r="BF104" s="51">
        <f>IF($BA104="","",$BA104+2*FaceW+IF(N($Q104)&gt;0,($Q104+FaceW)*IF($R104="LR",2,1),0))</f>
        <v/>
      </c>
      <c r="BG104" s="51">
        <f>IF($BB104="","",$BB104+IF($AB104="Y",4,FaceW)+IF(N($P104)&gt;0,$P104+FaceW,0)+IF(OR($S104="4F",$S104="BL"),FaceW,0))</f>
        <v/>
      </c>
      <c r="BH104" s="51">
        <f>IF($BF104="","",$BF104+2*ROSide)</f>
        <v/>
      </c>
      <c r="BI104" s="51">
        <f>IF($BG104="","",$BG104+ROTop)</f>
        <v/>
      </c>
      <c r="BJ104" s="52">
        <f>IF(OR(N($BC104)=0,$BA104=""),"",$BA104/$BC104-ClearDeduct)</f>
        <v/>
      </c>
      <c r="BK104" s="49">
        <f>IF(OR(N($BC104)=0,$BE104=""),"",IF(OR($AC104="HGC",$AP104="HGC"),"CONT",IF($BE104&lt;=60,2,IF($BE104&lt;=90,3,IF($BE104&lt;=120,4,5)))))</f>
        <v/>
      </c>
      <c r="BL104" s="49">
        <f>IF(N($BC104)=0,"",IF(OR($AL104="",$AL104="FLUSH"),"FLUSH",IFERROR(LEFT($AL104,FIND("-",$AL104)-1),LEFT($AL104,2))))</f>
        <v/>
      </c>
      <c r="BM104" s="49">
        <f>IF($BL104="","",IFERROR(VALUE(MID($AL104,FIND("-",$AL104)+1,FIND(CHAR(34)&amp;"x",$AL104)-FIND("-",$AL104)-1)),0))</f>
        <v/>
      </c>
      <c r="BN104" s="49">
        <f>IF($BL104="","",IFERROR(VALUE(MID($AL104,FIND(CHAR(34)&amp;"x",$AL104)+2,FIND(CHAR(34),$AL104,FIND(CHAR(34)&amp;"x",$AL104)+2)-FIND(CHAR(34)&amp;"x",$AL104)-2)),0))</f>
        <v/>
      </c>
      <c r="BO104" s="53">
        <f>IF(OR($A104="",$H104="",$H104="NO LAB"),0,IFERROR(VALUE(LEFT($H104,FIND(" ",$H104)-1)),0))</f>
        <v/>
      </c>
      <c r="BP104" s="54">
        <f>IF(OR($A104="",$I104="",$I104="NON-RATED",N($J104)=0),"",IFERROR(VLOOKUP($I104&amp;"|"&amp;$J104,IBC,2,FALSE),"?"))</f>
        <v/>
      </c>
      <c r="BQ104" s="50">
        <f>IF(NOT(AND($A104&lt;&gt;"",$C104&lt;&gt;"DOOR ONLY")),"",TRIM(IFERROR(VLOOKUP($U104,CODES,2,FALSE),"")&amp;" "&amp;$AZ104&amp;" "&amp;IFERROR(VLOOKUP($Z104,CODES,2,FALSE),"")&amp;" "&amp;IFERROR(VLOOKUP($X104,CODES,2,FALSE),"")&amp;" "&amp;IFERROR(VLOOKUP($S104,CODES,2,FALSE),"")&amp;IF(N($P104)&gt;0," w/TRANSOM "&amp;$P104&amp;CHAR(34),"")&amp;IF(N($Q104)&gt;0," w/SIDELITE "&amp;$Q104&amp;CHAR(34)&amp;" "&amp;IF($R104="","R",$R104),"")&amp;IF($Y104="","  |  "," | "&amp;IFERROR(VLOOKUP($Y104,CODES,2,FALSE),"")&amp;" | ")&amp;IFERROR(VLOOKUP($AC104,CODES,2,FALSE),"")&amp;" "&amp;IFERROR(VLOOKUP($AD104,CODES,2,FALSE),"")&amp;IF(OR($AE104="",$AE104="-"),""," "&amp;$AE104)&amp;IF(OR($AF104="",$AF104="-"),""," "&amp;$AF104)&amp;IF($AB104="Y"," 4"&amp;CHAR(34)&amp;" HEAD","")&amp;" "&amp;IFERROR(VLOOKUP($H104,CODES,2,FALSE),"")))</f>
        <v/>
      </c>
      <c r="BR104" s="50">
        <f>IF(NOT(AND($A104&lt;&gt;"",N($BC104)&gt;0)),"",TRIM(IFERROR(VLOOKUP($AH104,CODES,2,FALSE),"")&amp;IF($AI104=""," "," "&amp;$AI104&amp;"GA ")&amp;$AZ104&amp;" "&amp;IF($AN104="",IFERROR(VLOOKUP($Z104,CODES,2,FALSE),""),IFERROR(VLOOKUP($AN104,CODES,2,FALSE),""))&amp;IF($BC104=2," PAIR","")&amp;" DOOR | "&amp;IF($AL104="","?",$AL104)&amp;" | "&amp;IF($AP104="",IFERROR(VLOOKUP($AC104,CODES,2,FALSE),""),IFERROR(VLOOKUP($AP104,CODES,2,FALSE),""))&amp;" "&amp;IFERROR(VLOOKUP($AQ104,CODES,2,FALSE),"")&amp;IF(OR($AR104="",$AR104="-"),""," SEAM "&amp;$AR104)&amp;IF($AS104="Y"," ASTRAGAL","")&amp;IF($AJ104=""," "," "&amp;$AJ104)&amp;IF($AK104=""," "," "&amp;$AK104)&amp;IF($AO104="",""," "&amp;$AO104)&amp;IF($AM104=""," "," SERIES "&amp;$AM104)&amp;" "&amp;IFERROR(VLOOKUP($H104,CODES,2,FALSE),"")))</f>
        <v/>
      </c>
      <c r="BS104" s="49">
        <f>IF(BV104="","",IF(COUNTIF($BV$6:BV104,BV104)=1,MAX($BS$5:BS103)+1,INDEX($BS$5:BS103,MATCH(BV104,$BV$5:BV103,0))))</f>
        <v/>
      </c>
      <c r="BT104" s="49">
        <f>IF(NOT(AND($A104&lt;&gt;"",$C104&lt;&gt;"DOOR ONLY")),"",MAX($BT$5:BT103)+1)</f>
        <v/>
      </c>
      <c r="BU104" s="49">
        <f>IF(NOT(AND($A104&lt;&gt;"",N($BC104)&gt;0)),"",MAX($BU$5:BU103)+1)</f>
        <v/>
      </c>
      <c r="BV104" s="49">
        <f>IF(OR($A104="",$BA104="",$BB104=""),"",$AZ104&amp;"|"&amp;$O104&amp;"|"&amp;$AL104&amp;"|"&amp;$S104&amp;"|"&amp;$P104&amp;"|"&amp;$Q104&amp;$R104&amp;"|"&amp;$C104&amp;"|"&amp;$AB104)</f>
        <v/>
      </c>
      <c r="BW104" s="49">
        <f>IF($A104="","",IF($B104="","qty, ","")&amp;IF($C104="","scope, ","")&amp;IF(OR($K104="",$M104=""),"size, ","")&amp;IF(AND($A104&lt;&gt;"",$C104&lt;&gt;"DOOR ONLY"),IF($U104="","jamb depth, ","")&amp;IF($X104="","construction, ","")&amp;IF($Y104="","anchor, ","")&amp;IF($S104="","frame type, ",""),"")&amp;IF(AND(N($BC104)&gt;0,$Z104=""),"hand, ","")&amp;IF(N($BC104)&gt;0,IF($AH104="","door material, ","")&amp;IF($AL104="","face type, ","")&amp;IF($AQ104="","lock prep, ","")&amp;IF(AND($AP104="",$AC104=""),"hinge prep, ",""),"")&amp;IF(AND($BO104&gt;0,$AH104="FRP"),"FRP cannot carry a label, ","")&amp;IF(AND($O104="Y",OR($Z104="L",$Z104="R",$Z104="LR",$Z104="RR")),"pair marked but hand is single, ","")&amp;IF(AND($O104&lt;&gt;"Y",OR($Z104="PR",AND(LEN($Z104)&gt;1,ISNUMBER(SEARCH("-",$Z104))))),"pair hand on a single door, ","")&amp;IF(AND(ISNUMBER($BP104),$BO104&lt;N($BP104)),"wall needs a "&amp;$BP104&amp;" min door, ","")&amp;IF(AND($BO104&gt;=180,AND(OR($BL104="FG",$BL104="HG",$BL104="FNV",$BL104="FV"),N($BM104)*N($BN104)&gt;100)),"180 min lite over 100 sq in, ","")&amp;IF(N($BD104)&gt;48,"leaf wider than 4'-0"&amp;CHAR(34)&amp;", ",""))</f>
        <v/>
      </c>
      <c r="BX104" s="49">
        <f>IF($A104="","",IF(AND($BO104&gt;0,AND($A104&lt;&gt;"",$C104&lt;&gt;"DOOR ONLY"),$X104="KD",$E104="EXTERIOR"),"KD label on an exterior opening, ","")&amp;IF(AND($E104="EXTERIOR",OR(AND(AND($A104&lt;&gt;"",$C104&lt;&gt;"DOOR ONLY"),$W104="CR"),AND(N($BC104)&gt;0,$AH104="CR"))),"exterior in CR steel (G9?), ","")&amp;IF(AND(ISNUMBER($BJ104),N($BJ104)&lt;32),"clear width ~"&amp;TEXT($BJ104,"0.0")&amp;CHAR(34)&amp;" under 32"&amp;CHAR(34)&amp;" (ADA), ","")&amp;IF(AND($BO104=90,AND(OR($BL104="FG",$BL104="HG",$BL104="FNV",$BL104="FV"),N($BM104)*N($BN104)&gt;100)),"90 min lite over 100 sq in (stair/exit), ","")&amp;IF(AND($BO104&gt;0,AND($A104&lt;&gt;"",$C104&lt;&gt;"DOOR ONLY"),OR($AF104="",$AF104="-")),"rated: closer reinf.?, ","")&amp;IF(OR($I104="CORRIDOR",$I104="SMOKE BARRIER"),"S label + smoke gasketing, ","")&amp;IF($BP104="?","wall type/hr not in IBC table, ","")&amp;IF(AND(N($BC104)&gt;0,$AU104=""),"no hardware set, ","")&amp;IF(AND($AU104&lt;&gt;"",ISNA(MATCH($AU104,HWSets,0))),"set "&amp;$AU104&amp;" not on Hardware sheet, ","")&amp;IF(N($BE104)&gt;96,"leaf over 8'-0"&amp;CHAR(34)&amp;" - check listing, ",""))</f>
        <v/>
      </c>
    </row>
    <row r="105" ht="15" customHeight="1">
      <c r="A105" s="44" t="n"/>
      <c r="B105" s="45" t="n"/>
      <c r="C105" s="45" t="n"/>
      <c r="D105" s="45" t="n"/>
      <c r="E105" s="45" t="n"/>
      <c r="F105" s="45" t="n"/>
      <c r="G105" s="45" t="n"/>
      <c r="H105" s="45" t="n"/>
      <c r="I105" s="45" t="n"/>
      <c r="J105" s="45" t="n"/>
      <c r="K105" s="45" t="n"/>
      <c r="L105" s="45" t="n"/>
      <c r="M105" s="45" t="n"/>
      <c r="N105" s="45" t="n"/>
      <c r="O105" s="45" t="n"/>
      <c r="P105" s="45" t="n"/>
      <c r="Q105" s="45" t="n"/>
      <c r="R105" s="45" t="n"/>
      <c r="S105" s="46" t="n"/>
      <c r="T105" s="46" t="n"/>
      <c r="U105" s="46" t="n"/>
      <c r="V105" s="46" t="n"/>
      <c r="W105" s="46" t="n"/>
      <c r="X105" s="46" t="n"/>
      <c r="Y105" s="46" t="n"/>
      <c r="Z105" s="46" t="n"/>
      <c r="AA105" s="46" t="n"/>
      <c r="AB105" s="46" t="n"/>
      <c r="AC105" s="46" t="n"/>
      <c r="AD105" s="46" t="n"/>
      <c r="AE105" s="46" t="n"/>
      <c r="AF105" s="46" t="n"/>
      <c r="AG105" s="46" t="n"/>
      <c r="AH105" s="47" t="n"/>
      <c r="AI105" s="47" t="n"/>
      <c r="AJ105" s="47" t="n"/>
      <c r="AK105" s="47" t="n"/>
      <c r="AL105" s="47" t="n"/>
      <c r="AM105" s="47" t="n"/>
      <c r="AN105" s="47" t="n"/>
      <c r="AO105" s="47" t="n"/>
      <c r="AP105" s="47" t="n"/>
      <c r="AQ105" s="47" t="n"/>
      <c r="AR105" s="47" t="n"/>
      <c r="AS105" s="47" t="n"/>
      <c r="AT105" s="47" t="n"/>
      <c r="AU105" s="48" t="n"/>
      <c r="AV105" s="48" t="n"/>
      <c r="AW105" s="49">
        <f>IF($A105="","",IF($BW105&lt;&gt;"","FIX",IF($BX105&lt;&gt;"","CHECK","OK")))</f>
        <v/>
      </c>
      <c r="AX105" s="50">
        <f>IF($A105="","",IF($BW105&lt;&gt;"","FIX: "&amp;LEFT($BW105,LEN($BW105)-2)&amp;IF($BX105&lt;&gt;"","  ·  ",""),"")&amp;IF($BX105&lt;&gt;"","CHECK: "&amp;LEFT($BX105,LEN($BX105)-2),""))</f>
        <v/>
      </c>
      <c r="AY105" s="49">
        <f>IF(OR($A105="",$K105=""),"",$K105&amp;"'-"&amp;N($L105)&amp;CHAR(34)&amp;" x "&amp;$M105&amp;"'-"&amp;N($N105)&amp;CHAR(34))</f>
        <v/>
      </c>
      <c r="AZ105" s="49">
        <f>IF(OR($A105="",$K105=""),"",$K105&amp;N($L105)&amp;$M105&amp;N($N105))</f>
        <v/>
      </c>
      <c r="BA105" s="49">
        <f>IF(OR($A105="",$K105=""),"",$K105*12+N($L105))</f>
        <v/>
      </c>
      <c r="BB105" s="49">
        <f>IF(OR($A105="",$M105=""),"",$M105*12+N($N105))</f>
        <v/>
      </c>
      <c r="BC105" s="49">
        <f>IF($A105="","",IF(OR($C105="FRAME ONLY",$S105="BL"),0,IF($O105="Y",2,1)))</f>
        <v/>
      </c>
      <c r="BD105" s="51">
        <f>IF(OR(N($BC105)=0,$BA105=""),"",($BA105-2*EdgeClr-IF($BC105=2,MeetClr,0))/$BC105)</f>
        <v/>
      </c>
      <c r="BE105" s="51">
        <f>IF(OR(N($BC105)=0,$BB105=""),"",$BB105-HeadClr-Undercut)</f>
        <v/>
      </c>
      <c r="BF105" s="51">
        <f>IF($BA105="","",$BA105+2*FaceW+IF(N($Q105)&gt;0,($Q105+FaceW)*IF($R105="LR",2,1),0))</f>
        <v/>
      </c>
      <c r="BG105" s="51">
        <f>IF($BB105="","",$BB105+IF($AB105="Y",4,FaceW)+IF(N($P105)&gt;0,$P105+FaceW,0)+IF(OR($S105="4F",$S105="BL"),FaceW,0))</f>
        <v/>
      </c>
      <c r="BH105" s="51">
        <f>IF($BF105="","",$BF105+2*ROSide)</f>
        <v/>
      </c>
      <c r="BI105" s="51">
        <f>IF($BG105="","",$BG105+ROTop)</f>
        <v/>
      </c>
      <c r="BJ105" s="52">
        <f>IF(OR(N($BC105)=0,$BA105=""),"",$BA105/$BC105-ClearDeduct)</f>
        <v/>
      </c>
      <c r="BK105" s="49">
        <f>IF(OR(N($BC105)=0,$BE105=""),"",IF(OR($AC105="HGC",$AP105="HGC"),"CONT",IF($BE105&lt;=60,2,IF($BE105&lt;=90,3,IF($BE105&lt;=120,4,5)))))</f>
        <v/>
      </c>
      <c r="BL105" s="49">
        <f>IF(N($BC105)=0,"",IF(OR($AL105="",$AL105="FLUSH"),"FLUSH",IFERROR(LEFT($AL105,FIND("-",$AL105)-1),LEFT($AL105,2))))</f>
        <v/>
      </c>
      <c r="BM105" s="49">
        <f>IF($BL105="","",IFERROR(VALUE(MID($AL105,FIND("-",$AL105)+1,FIND(CHAR(34)&amp;"x",$AL105)-FIND("-",$AL105)-1)),0))</f>
        <v/>
      </c>
      <c r="BN105" s="49">
        <f>IF($BL105="","",IFERROR(VALUE(MID($AL105,FIND(CHAR(34)&amp;"x",$AL105)+2,FIND(CHAR(34),$AL105,FIND(CHAR(34)&amp;"x",$AL105)+2)-FIND(CHAR(34)&amp;"x",$AL105)-2)),0))</f>
        <v/>
      </c>
      <c r="BO105" s="53">
        <f>IF(OR($A105="",$H105="",$H105="NO LAB"),0,IFERROR(VALUE(LEFT($H105,FIND(" ",$H105)-1)),0))</f>
        <v/>
      </c>
      <c r="BP105" s="54">
        <f>IF(OR($A105="",$I105="",$I105="NON-RATED",N($J105)=0),"",IFERROR(VLOOKUP($I105&amp;"|"&amp;$J105,IBC,2,FALSE),"?"))</f>
        <v/>
      </c>
      <c r="BQ105" s="50">
        <f>IF(NOT(AND($A105&lt;&gt;"",$C105&lt;&gt;"DOOR ONLY")),"",TRIM(IFERROR(VLOOKUP($U105,CODES,2,FALSE),"")&amp;" "&amp;$AZ105&amp;" "&amp;IFERROR(VLOOKUP($Z105,CODES,2,FALSE),"")&amp;" "&amp;IFERROR(VLOOKUP($X105,CODES,2,FALSE),"")&amp;" "&amp;IFERROR(VLOOKUP($S105,CODES,2,FALSE),"")&amp;IF(N($P105)&gt;0," w/TRANSOM "&amp;$P105&amp;CHAR(34),"")&amp;IF(N($Q105)&gt;0," w/SIDELITE "&amp;$Q105&amp;CHAR(34)&amp;" "&amp;IF($R105="","R",$R105),"")&amp;IF($Y105="","  |  "," | "&amp;IFERROR(VLOOKUP($Y105,CODES,2,FALSE),"")&amp;" | ")&amp;IFERROR(VLOOKUP($AC105,CODES,2,FALSE),"")&amp;" "&amp;IFERROR(VLOOKUP($AD105,CODES,2,FALSE),"")&amp;IF(OR($AE105="",$AE105="-"),""," "&amp;$AE105)&amp;IF(OR($AF105="",$AF105="-"),""," "&amp;$AF105)&amp;IF($AB105="Y"," 4"&amp;CHAR(34)&amp;" HEAD","")&amp;" "&amp;IFERROR(VLOOKUP($H105,CODES,2,FALSE),"")))</f>
        <v/>
      </c>
      <c r="BR105" s="50">
        <f>IF(NOT(AND($A105&lt;&gt;"",N($BC105)&gt;0)),"",TRIM(IFERROR(VLOOKUP($AH105,CODES,2,FALSE),"")&amp;IF($AI105=""," "," "&amp;$AI105&amp;"GA ")&amp;$AZ105&amp;" "&amp;IF($AN105="",IFERROR(VLOOKUP($Z105,CODES,2,FALSE),""),IFERROR(VLOOKUP($AN105,CODES,2,FALSE),""))&amp;IF($BC105=2," PAIR","")&amp;" DOOR | "&amp;IF($AL105="","?",$AL105)&amp;" | "&amp;IF($AP105="",IFERROR(VLOOKUP($AC105,CODES,2,FALSE),""),IFERROR(VLOOKUP($AP105,CODES,2,FALSE),""))&amp;" "&amp;IFERROR(VLOOKUP($AQ105,CODES,2,FALSE),"")&amp;IF(OR($AR105="",$AR105="-"),""," SEAM "&amp;$AR105)&amp;IF($AS105="Y"," ASTRAGAL","")&amp;IF($AJ105=""," "," "&amp;$AJ105)&amp;IF($AK105=""," "," "&amp;$AK105)&amp;IF($AO105="",""," "&amp;$AO105)&amp;IF($AM105=""," "," SERIES "&amp;$AM105)&amp;" "&amp;IFERROR(VLOOKUP($H105,CODES,2,FALSE),"")))</f>
        <v/>
      </c>
      <c r="BS105" s="49">
        <f>IF(BV105="","",IF(COUNTIF($BV$6:BV105,BV105)=1,MAX($BS$5:BS104)+1,INDEX($BS$5:BS104,MATCH(BV105,$BV$5:BV104,0))))</f>
        <v/>
      </c>
      <c r="BT105" s="49">
        <f>IF(NOT(AND($A105&lt;&gt;"",$C105&lt;&gt;"DOOR ONLY")),"",MAX($BT$5:BT104)+1)</f>
        <v/>
      </c>
      <c r="BU105" s="49">
        <f>IF(NOT(AND($A105&lt;&gt;"",N($BC105)&gt;0)),"",MAX($BU$5:BU104)+1)</f>
        <v/>
      </c>
      <c r="BV105" s="49">
        <f>IF(OR($A105="",$BA105="",$BB105=""),"",$AZ105&amp;"|"&amp;$O105&amp;"|"&amp;$AL105&amp;"|"&amp;$S105&amp;"|"&amp;$P105&amp;"|"&amp;$Q105&amp;$R105&amp;"|"&amp;$C105&amp;"|"&amp;$AB105)</f>
        <v/>
      </c>
      <c r="BW105" s="49">
        <f>IF($A105="","",IF($B105="","qty, ","")&amp;IF($C105="","scope, ","")&amp;IF(OR($K105="",$M105=""),"size, ","")&amp;IF(AND($A105&lt;&gt;"",$C105&lt;&gt;"DOOR ONLY"),IF($U105="","jamb depth, ","")&amp;IF($X105="","construction, ","")&amp;IF($Y105="","anchor, ","")&amp;IF($S105="","frame type, ",""),"")&amp;IF(AND(N($BC105)&gt;0,$Z105=""),"hand, ","")&amp;IF(N($BC105)&gt;0,IF($AH105="","door material, ","")&amp;IF($AL105="","face type, ","")&amp;IF($AQ105="","lock prep, ","")&amp;IF(AND($AP105="",$AC105=""),"hinge prep, ",""),"")&amp;IF(AND($BO105&gt;0,$AH105="FRP"),"FRP cannot carry a label, ","")&amp;IF(AND($O105="Y",OR($Z105="L",$Z105="R",$Z105="LR",$Z105="RR")),"pair marked but hand is single, ","")&amp;IF(AND($O105&lt;&gt;"Y",OR($Z105="PR",AND(LEN($Z105)&gt;1,ISNUMBER(SEARCH("-",$Z105))))),"pair hand on a single door, ","")&amp;IF(AND(ISNUMBER($BP105),$BO105&lt;N($BP105)),"wall needs a "&amp;$BP105&amp;" min door, ","")&amp;IF(AND($BO105&gt;=180,AND(OR($BL105="FG",$BL105="HG",$BL105="FNV",$BL105="FV"),N($BM105)*N($BN105)&gt;100)),"180 min lite over 100 sq in, ","")&amp;IF(N($BD105)&gt;48,"leaf wider than 4'-0"&amp;CHAR(34)&amp;", ",""))</f>
        <v/>
      </c>
      <c r="BX105" s="49">
        <f>IF($A105="","",IF(AND($BO105&gt;0,AND($A105&lt;&gt;"",$C105&lt;&gt;"DOOR ONLY"),$X105="KD",$E105="EXTERIOR"),"KD label on an exterior opening, ","")&amp;IF(AND($E105="EXTERIOR",OR(AND(AND($A105&lt;&gt;"",$C105&lt;&gt;"DOOR ONLY"),$W105="CR"),AND(N($BC105)&gt;0,$AH105="CR"))),"exterior in CR steel (G9?), ","")&amp;IF(AND(ISNUMBER($BJ105),N($BJ105)&lt;32),"clear width ~"&amp;TEXT($BJ105,"0.0")&amp;CHAR(34)&amp;" under 32"&amp;CHAR(34)&amp;" (ADA), ","")&amp;IF(AND($BO105=90,AND(OR($BL105="FG",$BL105="HG",$BL105="FNV",$BL105="FV"),N($BM105)*N($BN105)&gt;100)),"90 min lite over 100 sq in (stair/exit), ","")&amp;IF(AND($BO105&gt;0,AND($A105&lt;&gt;"",$C105&lt;&gt;"DOOR ONLY"),OR($AF105="",$AF105="-")),"rated: closer reinf.?, ","")&amp;IF(OR($I105="CORRIDOR",$I105="SMOKE BARRIER"),"S label + smoke gasketing, ","")&amp;IF($BP105="?","wall type/hr not in IBC table, ","")&amp;IF(AND(N($BC105)&gt;0,$AU105=""),"no hardware set, ","")&amp;IF(AND($AU105&lt;&gt;"",ISNA(MATCH($AU105,HWSets,0))),"set "&amp;$AU105&amp;" not on Hardware sheet, ","")&amp;IF(N($BE105)&gt;96,"leaf over 8'-0"&amp;CHAR(34)&amp;" - check listing, ",""))</f>
        <v/>
      </c>
    </row>
    <row r="106" ht="15" customHeight="1">
      <c r="A106" s="44" t="n"/>
      <c r="B106" s="45" t="n"/>
      <c r="C106" s="45" t="n"/>
      <c r="D106" s="45" t="n"/>
      <c r="E106" s="45" t="n"/>
      <c r="F106" s="45" t="n"/>
      <c r="G106" s="45" t="n"/>
      <c r="H106" s="45" t="n"/>
      <c r="I106" s="45" t="n"/>
      <c r="J106" s="45" t="n"/>
      <c r="K106" s="45" t="n"/>
      <c r="L106" s="45" t="n"/>
      <c r="M106" s="45" t="n"/>
      <c r="N106" s="45" t="n"/>
      <c r="O106" s="45" t="n"/>
      <c r="P106" s="45" t="n"/>
      <c r="Q106" s="45" t="n"/>
      <c r="R106" s="45" t="n"/>
      <c r="S106" s="46" t="n"/>
      <c r="T106" s="46" t="n"/>
      <c r="U106" s="46" t="n"/>
      <c r="V106" s="46" t="n"/>
      <c r="W106" s="46" t="n"/>
      <c r="X106" s="46" t="n"/>
      <c r="Y106" s="46" t="n"/>
      <c r="Z106" s="46" t="n"/>
      <c r="AA106" s="46" t="n"/>
      <c r="AB106" s="46" t="n"/>
      <c r="AC106" s="46" t="n"/>
      <c r="AD106" s="46" t="n"/>
      <c r="AE106" s="46" t="n"/>
      <c r="AF106" s="46" t="n"/>
      <c r="AG106" s="46" t="n"/>
      <c r="AH106" s="47" t="n"/>
      <c r="AI106" s="47" t="n"/>
      <c r="AJ106" s="47" t="n"/>
      <c r="AK106" s="47" t="n"/>
      <c r="AL106" s="47" t="n"/>
      <c r="AM106" s="47" t="n"/>
      <c r="AN106" s="47" t="n"/>
      <c r="AO106" s="47" t="n"/>
      <c r="AP106" s="47" t="n"/>
      <c r="AQ106" s="47" t="n"/>
      <c r="AR106" s="47" t="n"/>
      <c r="AS106" s="47" t="n"/>
      <c r="AT106" s="47" t="n"/>
      <c r="AU106" s="48" t="n"/>
      <c r="AV106" s="48" t="n"/>
      <c r="AW106" s="49">
        <f>IF($A106="","",IF($BW106&lt;&gt;"","FIX",IF($BX106&lt;&gt;"","CHECK","OK")))</f>
        <v/>
      </c>
      <c r="AX106" s="50">
        <f>IF($A106="","",IF($BW106&lt;&gt;"","FIX: "&amp;LEFT($BW106,LEN($BW106)-2)&amp;IF($BX106&lt;&gt;"","  ·  ",""),"")&amp;IF($BX106&lt;&gt;"","CHECK: "&amp;LEFT($BX106,LEN($BX106)-2),""))</f>
        <v/>
      </c>
      <c r="AY106" s="49">
        <f>IF(OR($A106="",$K106=""),"",$K106&amp;"'-"&amp;N($L106)&amp;CHAR(34)&amp;" x "&amp;$M106&amp;"'-"&amp;N($N106)&amp;CHAR(34))</f>
        <v/>
      </c>
      <c r="AZ106" s="49">
        <f>IF(OR($A106="",$K106=""),"",$K106&amp;N($L106)&amp;$M106&amp;N($N106))</f>
        <v/>
      </c>
      <c r="BA106" s="49">
        <f>IF(OR($A106="",$K106=""),"",$K106*12+N($L106))</f>
        <v/>
      </c>
      <c r="BB106" s="49">
        <f>IF(OR($A106="",$M106=""),"",$M106*12+N($N106))</f>
        <v/>
      </c>
      <c r="BC106" s="49">
        <f>IF($A106="","",IF(OR($C106="FRAME ONLY",$S106="BL"),0,IF($O106="Y",2,1)))</f>
        <v/>
      </c>
      <c r="BD106" s="51">
        <f>IF(OR(N($BC106)=0,$BA106=""),"",($BA106-2*EdgeClr-IF($BC106=2,MeetClr,0))/$BC106)</f>
        <v/>
      </c>
      <c r="BE106" s="51">
        <f>IF(OR(N($BC106)=0,$BB106=""),"",$BB106-HeadClr-Undercut)</f>
        <v/>
      </c>
      <c r="BF106" s="51">
        <f>IF($BA106="","",$BA106+2*FaceW+IF(N($Q106)&gt;0,($Q106+FaceW)*IF($R106="LR",2,1),0))</f>
        <v/>
      </c>
      <c r="BG106" s="51">
        <f>IF($BB106="","",$BB106+IF($AB106="Y",4,FaceW)+IF(N($P106)&gt;0,$P106+FaceW,0)+IF(OR($S106="4F",$S106="BL"),FaceW,0))</f>
        <v/>
      </c>
      <c r="BH106" s="51">
        <f>IF($BF106="","",$BF106+2*ROSide)</f>
        <v/>
      </c>
      <c r="BI106" s="51">
        <f>IF($BG106="","",$BG106+ROTop)</f>
        <v/>
      </c>
      <c r="BJ106" s="52">
        <f>IF(OR(N($BC106)=0,$BA106=""),"",$BA106/$BC106-ClearDeduct)</f>
        <v/>
      </c>
      <c r="BK106" s="49">
        <f>IF(OR(N($BC106)=0,$BE106=""),"",IF(OR($AC106="HGC",$AP106="HGC"),"CONT",IF($BE106&lt;=60,2,IF($BE106&lt;=90,3,IF($BE106&lt;=120,4,5)))))</f>
        <v/>
      </c>
      <c r="BL106" s="49">
        <f>IF(N($BC106)=0,"",IF(OR($AL106="",$AL106="FLUSH"),"FLUSH",IFERROR(LEFT($AL106,FIND("-",$AL106)-1),LEFT($AL106,2))))</f>
        <v/>
      </c>
      <c r="BM106" s="49">
        <f>IF($BL106="","",IFERROR(VALUE(MID($AL106,FIND("-",$AL106)+1,FIND(CHAR(34)&amp;"x",$AL106)-FIND("-",$AL106)-1)),0))</f>
        <v/>
      </c>
      <c r="BN106" s="49">
        <f>IF($BL106="","",IFERROR(VALUE(MID($AL106,FIND(CHAR(34)&amp;"x",$AL106)+2,FIND(CHAR(34),$AL106,FIND(CHAR(34)&amp;"x",$AL106)+2)-FIND(CHAR(34)&amp;"x",$AL106)-2)),0))</f>
        <v/>
      </c>
      <c r="BO106" s="53">
        <f>IF(OR($A106="",$H106="",$H106="NO LAB"),0,IFERROR(VALUE(LEFT($H106,FIND(" ",$H106)-1)),0))</f>
        <v/>
      </c>
      <c r="BP106" s="54">
        <f>IF(OR($A106="",$I106="",$I106="NON-RATED",N($J106)=0),"",IFERROR(VLOOKUP($I106&amp;"|"&amp;$J106,IBC,2,FALSE),"?"))</f>
        <v/>
      </c>
      <c r="BQ106" s="50">
        <f>IF(NOT(AND($A106&lt;&gt;"",$C106&lt;&gt;"DOOR ONLY")),"",TRIM(IFERROR(VLOOKUP($U106,CODES,2,FALSE),"")&amp;" "&amp;$AZ106&amp;" "&amp;IFERROR(VLOOKUP($Z106,CODES,2,FALSE),"")&amp;" "&amp;IFERROR(VLOOKUP($X106,CODES,2,FALSE),"")&amp;" "&amp;IFERROR(VLOOKUP($S106,CODES,2,FALSE),"")&amp;IF(N($P106)&gt;0," w/TRANSOM "&amp;$P106&amp;CHAR(34),"")&amp;IF(N($Q106)&gt;0," w/SIDELITE "&amp;$Q106&amp;CHAR(34)&amp;" "&amp;IF($R106="","R",$R106),"")&amp;IF($Y106="","  |  "," | "&amp;IFERROR(VLOOKUP($Y106,CODES,2,FALSE),"")&amp;" | ")&amp;IFERROR(VLOOKUP($AC106,CODES,2,FALSE),"")&amp;" "&amp;IFERROR(VLOOKUP($AD106,CODES,2,FALSE),"")&amp;IF(OR($AE106="",$AE106="-"),""," "&amp;$AE106)&amp;IF(OR($AF106="",$AF106="-"),""," "&amp;$AF106)&amp;IF($AB106="Y"," 4"&amp;CHAR(34)&amp;" HEAD","")&amp;" "&amp;IFERROR(VLOOKUP($H106,CODES,2,FALSE),"")))</f>
        <v/>
      </c>
      <c r="BR106" s="50">
        <f>IF(NOT(AND($A106&lt;&gt;"",N($BC106)&gt;0)),"",TRIM(IFERROR(VLOOKUP($AH106,CODES,2,FALSE),"")&amp;IF($AI106=""," "," "&amp;$AI106&amp;"GA ")&amp;$AZ106&amp;" "&amp;IF($AN106="",IFERROR(VLOOKUP($Z106,CODES,2,FALSE),""),IFERROR(VLOOKUP($AN106,CODES,2,FALSE),""))&amp;IF($BC106=2," PAIR","")&amp;" DOOR | "&amp;IF($AL106="","?",$AL106)&amp;" | "&amp;IF($AP106="",IFERROR(VLOOKUP($AC106,CODES,2,FALSE),""),IFERROR(VLOOKUP($AP106,CODES,2,FALSE),""))&amp;" "&amp;IFERROR(VLOOKUP($AQ106,CODES,2,FALSE),"")&amp;IF(OR($AR106="",$AR106="-"),""," SEAM "&amp;$AR106)&amp;IF($AS106="Y"," ASTRAGAL","")&amp;IF($AJ106=""," "," "&amp;$AJ106)&amp;IF($AK106=""," "," "&amp;$AK106)&amp;IF($AO106="",""," "&amp;$AO106)&amp;IF($AM106=""," "," SERIES "&amp;$AM106)&amp;" "&amp;IFERROR(VLOOKUP($H106,CODES,2,FALSE),"")))</f>
        <v/>
      </c>
      <c r="BS106" s="49">
        <f>IF(BV106="","",IF(COUNTIF($BV$6:BV106,BV106)=1,MAX($BS$5:BS105)+1,INDEX($BS$5:BS105,MATCH(BV106,$BV$5:BV105,0))))</f>
        <v/>
      </c>
      <c r="BT106" s="49">
        <f>IF(NOT(AND($A106&lt;&gt;"",$C106&lt;&gt;"DOOR ONLY")),"",MAX($BT$5:BT105)+1)</f>
        <v/>
      </c>
      <c r="BU106" s="49">
        <f>IF(NOT(AND($A106&lt;&gt;"",N($BC106)&gt;0)),"",MAX($BU$5:BU105)+1)</f>
        <v/>
      </c>
      <c r="BV106" s="49">
        <f>IF(OR($A106="",$BA106="",$BB106=""),"",$AZ106&amp;"|"&amp;$O106&amp;"|"&amp;$AL106&amp;"|"&amp;$S106&amp;"|"&amp;$P106&amp;"|"&amp;$Q106&amp;$R106&amp;"|"&amp;$C106&amp;"|"&amp;$AB106)</f>
        <v/>
      </c>
      <c r="BW106" s="49">
        <f>IF($A106="","",IF($B106="","qty, ","")&amp;IF($C106="","scope, ","")&amp;IF(OR($K106="",$M106=""),"size, ","")&amp;IF(AND($A106&lt;&gt;"",$C106&lt;&gt;"DOOR ONLY"),IF($U106="","jamb depth, ","")&amp;IF($X106="","construction, ","")&amp;IF($Y106="","anchor, ","")&amp;IF($S106="","frame type, ",""),"")&amp;IF(AND(N($BC106)&gt;0,$Z106=""),"hand, ","")&amp;IF(N($BC106)&gt;0,IF($AH106="","door material, ","")&amp;IF($AL106="","face type, ","")&amp;IF($AQ106="","lock prep, ","")&amp;IF(AND($AP106="",$AC106=""),"hinge prep, ",""),"")&amp;IF(AND($BO106&gt;0,$AH106="FRP"),"FRP cannot carry a label, ","")&amp;IF(AND($O106="Y",OR($Z106="L",$Z106="R",$Z106="LR",$Z106="RR")),"pair marked but hand is single, ","")&amp;IF(AND($O106&lt;&gt;"Y",OR($Z106="PR",AND(LEN($Z106)&gt;1,ISNUMBER(SEARCH("-",$Z106))))),"pair hand on a single door, ","")&amp;IF(AND(ISNUMBER($BP106),$BO106&lt;N($BP106)),"wall needs a "&amp;$BP106&amp;" min door, ","")&amp;IF(AND($BO106&gt;=180,AND(OR($BL106="FG",$BL106="HG",$BL106="FNV",$BL106="FV"),N($BM106)*N($BN106)&gt;100)),"180 min lite over 100 sq in, ","")&amp;IF(N($BD106)&gt;48,"leaf wider than 4'-0"&amp;CHAR(34)&amp;", ",""))</f>
        <v/>
      </c>
      <c r="BX106" s="49">
        <f>IF($A106="","",IF(AND($BO106&gt;0,AND($A106&lt;&gt;"",$C106&lt;&gt;"DOOR ONLY"),$X106="KD",$E106="EXTERIOR"),"KD label on an exterior opening, ","")&amp;IF(AND($E106="EXTERIOR",OR(AND(AND($A106&lt;&gt;"",$C106&lt;&gt;"DOOR ONLY"),$W106="CR"),AND(N($BC106)&gt;0,$AH106="CR"))),"exterior in CR steel (G9?), ","")&amp;IF(AND(ISNUMBER($BJ106),N($BJ106)&lt;32),"clear width ~"&amp;TEXT($BJ106,"0.0")&amp;CHAR(34)&amp;" under 32"&amp;CHAR(34)&amp;" (ADA), ","")&amp;IF(AND($BO106=90,AND(OR($BL106="FG",$BL106="HG",$BL106="FNV",$BL106="FV"),N($BM106)*N($BN106)&gt;100)),"90 min lite over 100 sq in (stair/exit), ","")&amp;IF(AND($BO106&gt;0,AND($A106&lt;&gt;"",$C106&lt;&gt;"DOOR ONLY"),OR($AF106="",$AF106="-")),"rated: closer reinf.?, ","")&amp;IF(OR($I106="CORRIDOR",$I106="SMOKE BARRIER"),"S label + smoke gasketing, ","")&amp;IF($BP106="?","wall type/hr not in IBC table, ","")&amp;IF(AND(N($BC106)&gt;0,$AU106=""),"no hardware set, ","")&amp;IF(AND($AU106&lt;&gt;"",ISNA(MATCH($AU106,HWSets,0))),"set "&amp;$AU106&amp;" not on Hardware sheet, ","")&amp;IF(N($BE106)&gt;96,"leaf over 8'-0"&amp;CHAR(34)&amp;" - check listing, ",""))</f>
        <v/>
      </c>
    </row>
    <row r="107" ht="15" customHeight="1">
      <c r="A107" s="44" t="n"/>
      <c r="B107" s="45" t="n"/>
      <c r="C107" s="45" t="n"/>
      <c r="D107" s="45" t="n"/>
      <c r="E107" s="45" t="n"/>
      <c r="F107" s="45" t="n"/>
      <c r="G107" s="45" t="n"/>
      <c r="H107" s="45" t="n"/>
      <c r="I107" s="45" t="n"/>
      <c r="J107" s="45" t="n"/>
      <c r="K107" s="45" t="n"/>
      <c r="L107" s="45" t="n"/>
      <c r="M107" s="45" t="n"/>
      <c r="N107" s="45" t="n"/>
      <c r="O107" s="45" t="n"/>
      <c r="P107" s="45" t="n"/>
      <c r="Q107" s="45" t="n"/>
      <c r="R107" s="45" t="n"/>
      <c r="S107" s="46" t="n"/>
      <c r="T107" s="46" t="n"/>
      <c r="U107" s="46" t="n"/>
      <c r="V107" s="46" t="n"/>
      <c r="W107" s="46" t="n"/>
      <c r="X107" s="46" t="n"/>
      <c r="Y107" s="46" t="n"/>
      <c r="Z107" s="46" t="n"/>
      <c r="AA107" s="46" t="n"/>
      <c r="AB107" s="46" t="n"/>
      <c r="AC107" s="46" t="n"/>
      <c r="AD107" s="46" t="n"/>
      <c r="AE107" s="46" t="n"/>
      <c r="AF107" s="46" t="n"/>
      <c r="AG107" s="46" t="n"/>
      <c r="AH107" s="47" t="n"/>
      <c r="AI107" s="47" t="n"/>
      <c r="AJ107" s="47" t="n"/>
      <c r="AK107" s="47" t="n"/>
      <c r="AL107" s="47" t="n"/>
      <c r="AM107" s="47" t="n"/>
      <c r="AN107" s="47" t="n"/>
      <c r="AO107" s="47" t="n"/>
      <c r="AP107" s="47" t="n"/>
      <c r="AQ107" s="47" t="n"/>
      <c r="AR107" s="47" t="n"/>
      <c r="AS107" s="47" t="n"/>
      <c r="AT107" s="47" t="n"/>
      <c r="AU107" s="48" t="n"/>
      <c r="AV107" s="48" t="n"/>
      <c r="AW107" s="49">
        <f>IF($A107="","",IF($BW107&lt;&gt;"","FIX",IF($BX107&lt;&gt;"","CHECK","OK")))</f>
        <v/>
      </c>
      <c r="AX107" s="50">
        <f>IF($A107="","",IF($BW107&lt;&gt;"","FIX: "&amp;LEFT($BW107,LEN($BW107)-2)&amp;IF($BX107&lt;&gt;"","  ·  ",""),"")&amp;IF($BX107&lt;&gt;"","CHECK: "&amp;LEFT($BX107,LEN($BX107)-2),""))</f>
        <v/>
      </c>
      <c r="AY107" s="49">
        <f>IF(OR($A107="",$K107=""),"",$K107&amp;"'-"&amp;N($L107)&amp;CHAR(34)&amp;" x "&amp;$M107&amp;"'-"&amp;N($N107)&amp;CHAR(34))</f>
        <v/>
      </c>
      <c r="AZ107" s="49">
        <f>IF(OR($A107="",$K107=""),"",$K107&amp;N($L107)&amp;$M107&amp;N($N107))</f>
        <v/>
      </c>
      <c r="BA107" s="49">
        <f>IF(OR($A107="",$K107=""),"",$K107*12+N($L107))</f>
        <v/>
      </c>
      <c r="BB107" s="49">
        <f>IF(OR($A107="",$M107=""),"",$M107*12+N($N107))</f>
        <v/>
      </c>
      <c r="BC107" s="49">
        <f>IF($A107="","",IF(OR($C107="FRAME ONLY",$S107="BL"),0,IF($O107="Y",2,1)))</f>
        <v/>
      </c>
      <c r="BD107" s="51">
        <f>IF(OR(N($BC107)=0,$BA107=""),"",($BA107-2*EdgeClr-IF($BC107=2,MeetClr,0))/$BC107)</f>
        <v/>
      </c>
      <c r="BE107" s="51">
        <f>IF(OR(N($BC107)=0,$BB107=""),"",$BB107-HeadClr-Undercut)</f>
        <v/>
      </c>
      <c r="BF107" s="51">
        <f>IF($BA107="","",$BA107+2*FaceW+IF(N($Q107)&gt;0,($Q107+FaceW)*IF($R107="LR",2,1),0))</f>
        <v/>
      </c>
      <c r="BG107" s="51">
        <f>IF($BB107="","",$BB107+IF($AB107="Y",4,FaceW)+IF(N($P107)&gt;0,$P107+FaceW,0)+IF(OR($S107="4F",$S107="BL"),FaceW,0))</f>
        <v/>
      </c>
      <c r="BH107" s="51">
        <f>IF($BF107="","",$BF107+2*ROSide)</f>
        <v/>
      </c>
      <c r="BI107" s="51">
        <f>IF($BG107="","",$BG107+ROTop)</f>
        <v/>
      </c>
      <c r="BJ107" s="52">
        <f>IF(OR(N($BC107)=0,$BA107=""),"",$BA107/$BC107-ClearDeduct)</f>
        <v/>
      </c>
      <c r="BK107" s="49">
        <f>IF(OR(N($BC107)=0,$BE107=""),"",IF(OR($AC107="HGC",$AP107="HGC"),"CONT",IF($BE107&lt;=60,2,IF($BE107&lt;=90,3,IF($BE107&lt;=120,4,5)))))</f>
        <v/>
      </c>
      <c r="BL107" s="49">
        <f>IF(N($BC107)=0,"",IF(OR($AL107="",$AL107="FLUSH"),"FLUSH",IFERROR(LEFT($AL107,FIND("-",$AL107)-1),LEFT($AL107,2))))</f>
        <v/>
      </c>
      <c r="BM107" s="49">
        <f>IF($BL107="","",IFERROR(VALUE(MID($AL107,FIND("-",$AL107)+1,FIND(CHAR(34)&amp;"x",$AL107)-FIND("-",$AL107)-1)),0))</f>
        <v/>
      </c>
      <c r="BN107" s="49">
        <f>IF($BL107="","",IFERROR(VALUE(MID($AL107,FIND(CHAR(34)&amp;"x",$AL107)+2,FIND(CHAR(34),$AL107,FIND(CHAR(34)&amp;"x",$AL107)+2)-FIND(CHAR(34)&amp;"x",$AL107)-2)),0))</f>
        <v/>
      </c>
      <c r="BO107" s="53">
        <f>IF(OR($A107="",$H107="",$H107="NO LAB"),0,IFERROR(VALUE(LEFT($H107,FIND(" ",$H107)-1)),0))</f>
        <v/>
      </c>
      <c r="BP107" s="54">
        <f>IF(OR($A107="",$I107="",$I107="NON-RATED",N($J107)=0),"",IFERROR(VLOOKUP($I107&amp;"|"&amp;$J107,IBC,2,FALSE),"?"))</f>
        <v/>
      </c>
      <c r="BQ107" s="50">
        <f>IF(NOT(AND($A107&lt;&gt;"",$C107&lt;&gt;"DOOR ONLY")),"",TRIM(IFERROR(VLOOKUP($U107,CODES,2,FALSE),"")&amp;" "&amp;$AZ107&amp;" "&amp;IFERROR(VLOOKUP($Z107,CODES,2,FALSE),"")&amp;" "&amp;IFERROR(VLOOKUP($X107,CODES,2,FALSE),"")&amp;" "&amp;IFERROR(VLOOKUP($S107,CODES,2,FALSE),"")&amp;IF(N($P107)&gt;0," w/TRANSOM "&amp;$P107&amp;CHAR(34),"")&amp;IF(N($Q107)&gt;0," w/SIDELITE "&amp;$Q107&amp;CHAR(34)&amp;" "&amp;IF($R107="","R",$R107),"")&amp;IF($Y107="","  |  "," | "&amp;IFERROR(VLOOKUP($Y107,CODES,2,FALSE),"")&amp;" | ")&amp;IFERROR(VLOOKUP($AC107,CODES,2,FALSE),"")&amp;" "&amp;IFERROR(VLOOKUP($AD107,CODES,2,FALSE),"")&amp;IF(OR($AE107="",$AE107="-"),""," "&amp;$AE107)&amp;IF(OR($AF107="",$AF107="-"),""," "&amp;$AF107)&amp;IF($AB107="Y"," 4"&amp;CHAR(34)&amp;" HEAD","")&amp;" "&amp;IFERROR(VLOOKUP($H107,CODES,2,FALSE),"")))</f>
        <v/>
      </c>
      <c r="BR107" s="50">
        <f>IF(NOT(AND($A107&lt;&gt;"",N($BC107)&gt;0)),"",TRIM(IFERROR(VLOOKUP($AH107,CODES,2,FALSE),"")&amp;IF($AI107=""," "," "&amp;$AI107&amp;"GA ")&amp;$AZ107&amp;" "&amp;IF($AN107="",IFERROR(VLOOKUP($Z107,CODES,2,FALSE),""),IFERROR(VLOOKUP($AN107,CODES,2,FALSE),""))&amp;IF($BC107=2," PAIR","")&amp;" DOOR | "&amp;IF($AL107="","?",$AL107)&amp;" | "&amp;IF($AP107="",IFERROR(VLOOKUP($AC107,CODES,2,FALSE),""),IFERROR(VLOOKUP($AP107,CODES,2,FALSE),""))&amp;" "&amp;IFERROR(VLOOKUP($AQ107,CODES,2,FALSE),"")&amp;IF(OR($AR107="",$AR107="-"),""," SEAM "&amp;$AR107)&amp;IF($AS107="Y"," ASTRAGAL","")&amp;IF($AJ107=""," "," "&amp;$AJ107)&amp;IF($AK107=""," "," "&amp;$AK107)&amp;IF($AO107="",""," "&amp;$AO107)&amp;IF($AM107=""," "," SERIES "&amp;$AM107)&amp;" "&amp;IFERROR(VLOOKUP($H107,CODES,2,FALSE),"")))</f>
        <v/>
      </c>
      <c r="BS107" s="49">
        <f>IF(BV107="","",IF(COUNTIF($BV$6:BV107,BV107)=1,MAX($BS$5:BS106)+1,INDEX($BS$5:BS106,MATCH(BV107,$BV$5:BV106,0))))</f>
        <v/>
      </c>
      <c r="BT107" s="49">
        <f>IF(NOT(AND($A107&lt;&gt;"",$C107&lt;&gt;"DOOR ONLY")),"",MAX($BT$5:BT106)+1)</f>
        <v/>
      </c>
      <c r="BU107" s="49">
        <f>IF(NOT(AND($A107&lt;&gt;"",N($BC107)&gt;0)),"",MAX($BU$5:BU106)+1)</f>
        <v/>
      </c>
      <c r="BV107" s="49">
        <f>IF(OR($A107="",$BA107="",$BB107=""),"",$AZ107&amp;"|"&amp;$O107&amp;"|"&amp;$AL107&amp;"|"&amp;$S107&amp;"|"&amp;$P107&amp;"|"&amp;$Q107&amp;$R107&amp;"|"&amp;$C107&amp;"|"&amp;$AB107)</f>
        <v/>
      </c>
      <c r="BW107" s="49">
        <f>IF($A107="","",IF($B107="","qty, ","")&amp;IF($C107="","scope, ","")&amp;IF(OR($K107="",$M107=""),"size, ","")&amp;IF(AND($A107&lt;&gt;"",$C107&lt;&gt;"DOOR ONLY"),IF($U107="","jamb depth, ","")&amp;IF($X107="","construction, ","")&amp;IF($Y107="","anchor, ","")&amp;IF($S107="","frame type, ",""),"")&amp;IF(AND(N($BC107)&gt;0,$Z107=""),"hand, ","")&amp;IF(N($BC107)&gt;0,IF($AH107="","door material, ","")&amp;IF($AL107="","face type, ","")&amp;IF($AQ107="","lock prep, ","")&amp;IF(AND($AP107="",$AC107=""),"hinge prep, ",""),"")&amp;IF(AND($BO107&gt;0,$AH107="FRP"),"FRP cannot carry a label, ","")&amp;IF(AND($O107="Y",OR($Z107="L",$Z107="R",$Z107="LR",$Z107="RR")),"pair marked but hand is single, ","")&amp;IF(AND($O107&lt;&gt;"Y",OR($Z107="PR",AND(LEN($Z107)&gt;1,ISNUMBER(SEARCH("-",$Z107))))),"pair hand on a single door, ","")&amp;IF(AND(ISNUMBER($BP107),$BO107&lt;N($BP107)),"wall needs a "&amp;$BP107&amp;" min door, ","")&amp;IF(AND($BO107&gt;=180,AND(OR($BL107="FG",$BL107="HG",$BL107="FNV",$BL107="FV"),N($BM107)*N($BN107)&gt;100)),"180 min lite over 100 sq in, ","")&amp;IF(N($BD107)&gt;48,"leaf wider than 4'-0"&amp;CHAR(34)&amp;", ",""))</f>
        <v/>
      </c>
      <c r="BX107" s="49">
        <f>IF($A107="","",IF(AND($BO107&gt;0,AND($A107&lt;&gt;"",$C107&lt;&gt;"DOOR ONLY"),$X107="KD",$E107="EXTERIOR"),"KD label on an exterior opening, ","")&amp;IF(AND($E107="EXTERIOR",OR(AND(AND($A107&lt;&gt;"",$C107&lt;&gt;"DOOR ONLY"),$W107="CR"),AND(N($BC107)&gt;0,$AH107="CR"))),"exterior in CR steel (G9?), ","")&amp;IF(AND(ISNUMBER($BJ107),N($BJ107)&lt;32),"clear width ~"&amp;TEXT($BJ107,"0.0")&amp;CHAR(34)&amp;" under 32"&amp;CHAR(34)&amp;" (ADA), ","")&amp;IF(AND($BO107=90,AND(OR($BL107="FG",$BL107="HG",$BL107="FNV",$BL107="FV"),N($BM107)*N($BN107)&gt;100)),"90 min lite over 100 sq in (stair/exit), ","")&amp;IF(AND($BO107&gt;0,AND($A107&lt;&gt;"",$C107&lt;&gt;"DOOR ONLY"),OR($AF107="",$AF107="-")),"rated: closer reinf.?, ","")&amp;IF(OR($I107="CORRIDOR",$I107="SMOKE BARRIER"),"S label + smoke gasketing, ","")&amp;IF($BP107="?","wall type/hr not in IBC table, ","")&amp;IF(AND(N($BC107)&gt;0,$AU107=""),"no hardware set, ","")&amp;IF(AND($AU107&lt;&gt;"",ISNA(MATCH($AU107,HWSets,0))),"set "&amp;$AU107&amp;" not on Hardware sheet, ","")&amp;IF(N($BE107)&gt;96,"leaf over 8'-0"&amp;CHAR(34)&amp;" - check listing, ",""))</f>
        <v/>
      </c>
    </row>
    <row r="108" ht="15" customHeight="1">
      <c r="A108" s="44" t="n"/>
      <c r="B108" s="45" t="n"/>
      <c r="C108" s="45" t="n"/>
      <c r="D108" s="45" t="n"/>
      <c r="E108" s="45" t="n"/>
      <c r="F108" s="45" t="n"/>
      <c r="G108" s="45" t="n"/>
      <c r="H108" s="45" t="n"/>
      <c r="I108" s="45" t="n"/>
      <c r="J108" s="45" t="n"/>
      <c r="K108" s="45" t="n"/>
      <c r="L108" s="45" t="n"/>
      <c r="M108" s="45" t="n"/>
      <c r="N108" s="45" t="n"/>
      <c r="O108" s="45" t="n"/>
      <c r="P108" s="45" t="n"/>
      <c r="Q108" s="45" t="n"/>
      <c r="R108" s="45" t="n"/>
      <c r="S108" s="46" t="n"/>
      <c r="T108" s="46" t="n"/>
      <c r="U108" s="46" t="n"/>
      <c r="V108" s="46" t="n"/>
      <c r="W108" s="46" t="n"/>
      <c r="X108" s="46" t="n"/>
      <c r="Y108" s="46" t="n"/>
      <c r="Z108" s="46" t="n"/>
      <c r="AA108" s="46" t="n"/>
      <c r="AB108" s="46" t="n"/>
      <c r="AC108" s="46" t="n"/>
      <c r="AD108" s="46" t="n"/>
      <c r="AE108" s="46" t="n"/>
      <c r="AF108" s="46" t="n"/>
      <c r="AG108" s="46" t="n"/>
      <c r="AH108" s="47" t="n"/>
      <c r="AI108" s="47" t="n"/>
      <c r="AJ108" s="47" t="n"/>
      <c r="AK108" s="47" t="n"/>
      <c r="AL108" s="47" t="n"/>
      <c r="AM108" s="47" t="n"/>
      <c r="AN108" s="47" t="n"/>
      <c r="AO108" s="47" t="n"/>
      <c r="AP108" s="47" t="n"/>
      <c r="AQ108" s="47" t="n"/>
      <c r="AR108" s="47" t="n"/>
      <c r="AS108" s="47" t="n"/>
      <c r="AT108" s="47" t="n"/>
      <c r="AU108" s="48" t="n"/>
      <c r="AV108" s="48" t="n"/>
      <c r="AW108" s="49">
        <f>IF($A108="","",IF($BW108&lt;&gt;"","FIX",IF($BX108&lt;&gt;"","CHECK","OK")))</f>
        <v/>
      </c>
      <c r="AX108" s="50">
        <f>IF($A108="","",IF($BW108&lt;&gt;"","FIX: "&amp;LEFT($BW108,LEN($BW108)-2)&amp;IF($BX108&lt;&gt;"","  ·  ",""),"")&amp;IF($BX108&lt;&gt;"","CHECK: "&amp;LEFT($BX108,LEN($BX108)-2),""))</f>
        <v/>
      </c>
      <c r="AY108" s="49">
        <f>IF(OR($A108="",$K108=""),"",$K108&amp;"'-"&amp;N($L108)&amp;CHAR(34)&amp;" x "&amp;$M108&amp;"'-"&amp;N($N108)&amp;CHAR(34))</f>
        <v/>
      </c>
      <c r="AZ108" s="49">
        <f>IF(OR($A108="",$K108=""),"",$K108&amp;N($L108)&amp;$M108&amp;N($N108))</f>
        <v/>
      </c>
      <c r="BA108" s="49">
        <f>IF(OR($A108="",$K108=""),"",$K108*12+N($L108))</f>
        <v/>
      </c>
      <c r="BB108" s="49">
        <f>IF(OR($A108="",$M108=""),"",$M108*12+N($N108))</f>
        <v/>
      </c>
      <c r="BC108" s="49">
        <f>IF($A108="","",IF(OR($C108="FRAME ONLY",$S108="BL"),0,IF($O108="Y",2,1)))</f>
        <v/>
      </c>
      <c r="BD108" s="51">
        <f>IF(OR(N($BC108)=0,$BA108=""),"",($BA108-2*EdgeClr-IF($BC108=2,MeetClr,0))/$BC108)</f>
        <v/>
      </c>
      <c r="BE108" s="51">
        <f>IF(OR(N($BC108)=0,$BB108=""),"",$BB108-HeadClr-Undercut)</f>
        <v/>
      </c>
      <c r="BF108" s="51">
        <f>IF($BA108="","",$BA108+2*FaceW+IF(N($Q108)&gt;0,($Q108+FaceW)*IF($R108="LR",2,1),0))</f>
        <v/>
      </c>
      <c r="BG108" s="51">
        <f>IF($BB108="","",$BB108+IF($AB108="Y",4,FaceW)+IF(N($P108)&gt;0,$P108+FaceW,0)+IF(OR($S108="4F",$S108="BL"),FaceW,0))</f>
        <v/>
      </c>
      <c r="BH108" s="51">
        <f>IF($BF108="","",$BF108+2*ROSide)</f>
        <v/>
      </c>
      <c r="BI108" s="51">
        <f>IF($BG108="","",$BG108+ROTop)</f>
        <v/>
      </c>
      <c r="BJ108" s="52">
        <f>IF(OR(N($BC108)=0,$BA108=""),"",$BA108/$BC108-ClearDeduct)</f>
        <v/>
      </c>
      <c r="BK108" s="49">
        <f>IF(OR(N($BC108)=0,$BE108=""),"",IF(OR($AC108="HGC",$AP108="HGC"),"CONT",IF($BE108&lt;=60,2,IF($BE108&lt;=90,3,IF($BE108&lt;=120,4,5)))))</f>
        <v/>
      </c>
      <c r="BL108" s="49">
        <f>IF(N($BC108)=0,"",IF(OR($AL108="",$AL108="FLUSH"),"FLUSH",IFERROR(LEFT($AL108,FIND("-",$AL108)-1),LEFT($AL108,2))))</f>
        <v/>
      </c>
      <c r="BM108" s="49">
        <f>IF($BL108="","",IFERROR(VALUE(MID($AL108,FIND("-",$AL108)+1,FIND(CHAR(34)&amp;"x",$AL108)-FIND("-",$AL108)-1)),0))</f>
        <v/>
      </c>
      <c r="BN108" s="49">
        <f>IF($BL108="","",IFERROR(VALUE(MID($AL108,FIND(CHAR(34)&amp;"x",$AL108)+2,FIND(CHAR(34),$AL108,FIND(CHAR(34)&amp;"x",$AL108)+2)-FIND(CHAR(34)&amp;"x",$AL108)-2)),0))</f>
        <v/>
      </c>
      <c r="BO108" s="53">
        <f>IF(OR($A108="",$H108="",$H108="NO LAB"),0,IFERROR(VALUE(LEFT($H108,FIND(" ",$H108)-1)),0))</f>
        <v/>
      </c>
      <c r="BP108" s="54">
        <f>IF(OR($A108="",$I108="",$I108="NON-RATED",N($J108)=0),"",IFERROR(VLOOKUP($I108&amp;"|"&amp;$J108,IBC,2,FALSE),"?"))</f>
        <v/>
      </c>
      <c r="BQ108" s="50">
        <f>IF(NOT(AND($A108&lt;&gt;"",$C108&lt;&gt;"DOOR ONLY")),"",TRIM(IFERROR(VLOOKUP($U108,CODES,2,FALSE),"")&amp;" "&amp;$AZ108&amp;" "&amp;IFERROR(VLOOKUP($Z108,CODES,2,FALSE),"")&amp;" "&amp;IFERROR(VLOOKUP($X108,CODES,2,FALSE),"")&amp;" "&amp;IFERROR(VLOOKUP($S108,CODES,2,FALSE),"")&amp;IF(N($P108)&gt;0," w/TRANSOM "&amp;$P108&amp;CHAR(34),"")&amp;IF(N($Q108)&gt;0," w/SIDELITE "&amp;$Q108&amp;CHAR(34)&amp;" "&amp;IF($R108="","R",$R108),"")&amp;IF($Y108="","  |  "," | "&amp;IFERROR(VLOOKUP($Y108,CODES,2,FALSE),"")&amp;" | ")&amp;IFERROR(VLOOKUP($AC108,CODES,2,FALSE),"")&amp;" "&amp;IFERROR(VLOOKUP($AD108,CODES,2,FALSE),"")&amp;IF(OR($AE108="",$AE108="-"),""," "&amp;$AE108)&amp;IF(OR($AF108="",$AF108="-"),""," "&amp;$AF108)&amp;IF($AB108="Y"," 4"&amp;CHAR(34)&amp;" HEAD","")&amp;" "&amp;IFERROR(VLOOKUP($H108,CODES,2,FALSE),"")))</f>
        <v/>
      </c>
      <c r="BR108" s="50">
        <f>IF(NOT(AND($A108&lt;&gt;"",N($BC108)&gt;0)),"",TRIM(IFERROR(VLOOKUP($AH108,CODES,2,FALSE),"")&amp;IF($AI108=""," "," "&amp;$AI108&amp;"GA ")&amp;$AZ108&amp;" "&amp;IF($AN108="",IFERROR(VLOOKUP($Z108,CODES,2,FALSE),""),IFERROR(VLOOKUP($AN108,CODES,2,FALSE),""))&amp;IF($BC108=2," PAIR","")&amp;" DOOR | "&amp;IF($AL108="","?",$AL108)&amp;" | "&amp;IF($AP108="",IFERROR(VLOOKUP($AC108,CODES,2,FALSE),""),IFERROR(VLOOKUP($AP108,CODES,2,FALSE),""))&amp;" "&amp;IFERROR(VLOOKUP($AQ108,CODES,2,FALSE),"")&amp;IF(OR($AR108="",$AR108="-"),""," SEAM "&amp;$AR108)&amp;IF($AS108="Y"," ASTRAGAL","")&amp;IF($AJ108=""," "," "&amp;$AJ108)&amp;IF($AK108=""," "," "&amp;$AK108)&amp;IF($AO108="",""," "&amp;$AO108)&amp;IF($AM108=""," "," SERIES "&amp;$AM108)&amp;" "&amp;IFERROR(VLOOKUP($H108,CODES,2,FALSE),"")))</f>
        <v/>
      </c>
      <c r="BS108" s="49">
        <f>IF(BV108="","",IF(COUNTIF($BV$6:BV108,BV108)=1,MAX($BS$5:BS107)+1,INDEX($BS$5:BS107,MATCH(BV108,$BV$5:BV107,0))))</f>
        <v/>
      </c>
      <c r="BT108" s="49">
        <f>IF(NOT(AND($A108&lt;&gt;"",$C108&lt;&gt;"DOOR ONLY")),"",MAX($BT$5:BT107)+1)</f>
        <v/>
      </c>
      <c r="BU108" s="49">
        <f>IF(NOT(AND($A108&lt;&gt;"",N($BC108)&gt;0)),"",MAX($BU$5:BU107)+1)</f>
        <v/>
      </c>
      <c r="BV108" s="49">
        <f>IF(OR($A108="",$BA108="",$BB108=""),"",$AZ108&amp;"|"&amp;$O108&amp;"|"&amp;$AL108&amp;"|"&amp;$S108&amp;"|"&amp;$P108&amp;"|"&amp;$Q108&amp;$R108&amp;"|"&amp;$C108&amp;"|"&amp;$AB108)</f>
        <v/>
      </c>
      <c r="BW108" s="49">
        <f>IF($A108="","",IF($B108="","qty, ","")&amp;IF($C108="","scope, ","")&amp;IF(OR($K108="",$M108=""),"size, ","")&amp;IF(AND($A108&lt;&gt;"",$C108&lt;&gt;"DOOR ONLY"),IF($U108="","jamb depth, ","")&amp;IF($X108="","construction, ","")&amp;IF($Y108="","anchor, ","")&amp;IF($S108="","frame type, ",""),"")&amp;IF(AND(N($BC108)&gt;0,$Z108=""),"hand, ","")&amp;IF(N($BC108)&gt;0,IF($AH108="","door material, ","")&amp;IF($AL108="","face type, ","")&amp;IF($AQ108="","lock prep, ","")&amp;IF(AND($AP108="",$AC108=""),"hinge prep, ",""),"")&amp;IF(AND($BO108&gt;0,$AH108="FRP"),"FRP cannot carry a label, ","")&amp;IF(AND($O108="Y",OR($Z108="L",$Z108="R",$Z108="LR",$Z108="RR")),"pair marked but hand is single, ","")&amp;IF(AND($O108&lt;&gt;"Y",OR($Z108="PR",AND(LEN($Z108)&gt;1,ISNUMBER(SEARCH("-",$Z108))))),"pair hand on a single door, ","")&amp;IF(AND(ISNUMBER($BP108),$BO108&lt;N($BP108)),"wall needs a "&amp;$BP108&amp;" min door, ","")&amp;IF(AND($BO108&gt;=180,AND(OR($BL108="FG",$BL108="HG",$BL108="FNV",$BL108="FV"),N($BM108)*N($BN108)&gt;100)),"180 min lite over 100 sq in, ","")&amp;IF(N($BD108)&gt;48,"leaf wider than 4'-0"&amp;CHAR(34)&amp;", ",""))</f>
        <v/>
      </c>
      <c r="BX108" s="49">
        <f>IF($A108="","",IF(AND($BO108&gt;0,AND($A108&lt;&gt;"",$C108&lt;&gt;"DOOR ONLY"),$X108="KD",$E108="EXTERIOR"),"KD label on an exterior opening, ","")&amp;IF(AND($E108="EXTERIOR",OR(AND(AND($A108&lt;&gt;"",$C108&lt;&gt;"DOOR ONLY"),$W108="CR"),AND(N($BC108)&gt;0,$AH108="CR"))),"exterior in CR steel (G9?), ","")&amp;IF(AND(ISNUMBER($BJ108),N($BJ108)&lt;32),"clear width ~"&amp;TEXT($BJ108,"0.0")&amp;CHAR(34)&amp;" under 32"&amp;CHAR(34)&amp;" (ADA), ","")&amp;IF(AND($BO108=90,AND(OR($BL108="FG",$BL108="HG",$BL108="FNV",$BL108="FV"),N($BM108)*N($BN108)&gt;100)),"90 min lite over 100 sq in (stair/exit), ","")&amp;IF(AND($BO108&gt;0,AND($A108&lt;&gt;"",$C108&lt;&gt;"DOOR ONLY"),OR($AF108="",$AF108="-")),"rated: closer reinf.?, ","")&amp;IF(OR($I108="CORRIDOR",$I108="SMOKE BARRIER"),"S label + smoke gasketing, ","")&amp;IF($BP108="?","wall type/hr not in IBC table, ","")&amp;IF(AND(N($BC108)&gt;0,$AU108=""),"no hardware set, ","")&amp;IF(AND($AU108&lt;&gt;"",ISNA(MATCH($AU108,HWSets,0))),"set "&amp;$AU108&amp;" not on Hardware sheet, ","")&amp;IF(N($BE108)&gt;96,"leaf over 8'-0"&amp;CHAR(34)&amp;" - check listing, ",""))</f>
        <v/>
      </c>
    </row>
    <row r="109" ht="15" customHeight="1">
      <c r="A109" s="44" t="n"/>
      <c r="B109" s="45" t="n"/>
      <c r="C109" s="45" t="n"/>
      <c r="D109" s="45" t="n"/>
      <c r="E109" s="45" t="n"/>
      <c r="F109" s="45" t="n"/>
      <c r="G109" s="45" t="n"/>
      <c r="H109" s="45" t="n"/>
      <c r="I109" s="45" t="n"/>
      <c r="J109" s="45" t="n"/>
      <c r="K109" s="45" t="n"/>
      <c r="L109" s="45" t="n"/>
      <c r="M109" s="45" t="n"/>
      <c r="N109" s="45" t="n"/>
      <c r="O109" s="45" t="n"/>
      <c r="P109" s="45" t="n"/>
      <c r="Q109" s="45" t="n"/>
      <c r="R109" s="45" t="n"/>
      <c r="S109" s="46" t="n"/>
      <c r="T109" s="46" t="n"/>
      <c r="U109" s="46" t="n"/>
      <c r="V109" s="46" t="n"/>
      <c r="W109" s="46" t="n"/>
      <c r="X109" s="46" t="n"/>
      <c r="Y109" s="46" t="n"/>
      <c r="Z109" s="46" t="n"/>
      <c r="AA109" s="46" t="n"/>
      <c r="AB109" s="46" t="n"/>
      <c r="AC109" s="46" t="n"/>
      <c r="AD109" s="46" t="n"/>
      <c r="AE109" s="46" t="n"/>
      <c r="AF109" s="46" t="n"/>
      <c r="AG109" s="46" t="n"/>
      <c r="AH109" s="47" t="n"/>
      <c r="AI109" s="47" t="n"/>
      <c r="AJ109" s="47" t="n"/>
      <c r="AK109" s="47" t="n"/>
      <c r="AL109" s="47" t="n"/>
      <c r="AM109" s="47" t="n"/>
      <c r="AN109" s="47" t="n"/>
      <c r="AO109" s="47" t="n"/>
      <c r="AP109" s="47" t="n"/>
      <c r="AQ109" s="47" t="n"/>
      <c r="AR109" s="47" t="n"/>
      <c r="AS109" s="47" t="n"/>
      <c r="AT109" s="47" t="n"/>
      <c r="AU109" s="48" t="n"/>
      <c r="AV109" s="48" t="n"/>
      <c r="AW109" s="49">
        <f>IF($A109="","",IF($BW109&lt;&gt;"","FIX",IF($BX109&lt;&gt;"","CHECK","OK")))</f>
        <v/>
      </c>
      <c r="AX109" s="50">
        <f>IF($A109="","",IF($BW109&lt;&gt;"","FIX: "&amp;LEFT($BW109,LEN($BW109)-2)&amp;IF($BX109&lt;&gt;"","  ·  ",""),"")&amp;IF($BX109&lt;&gt;"","CHECK: "&amp;LEFT($BX109,LEN($BX109)-2),""))</f>
        <v/>
      </c>
      <c r="AY109" s="49">
        <f>IF(OR($A109="",$K109=""),"",$K109&amp;"'-"&amp;N($L109)&amp;CHAR(34)&amp;" x "&amp;$M109&amp;"'-"&amp;N($N109)&amp;CHAR(34))</f>
        <v/>
      </c>
      <c r="AZ109" s="49">
        <f>IF(OR($A109="",$K109=""),"",$K109&amp;N($L109)&amp;$M109&amp;N($N109))</f>
        <v/>
      </c>
      <c r="BA109" s="49">
        <f>IF(OR($A109="",$K109=""),"",$K109*12+N($L109))</f>
        <v/>
      </c>
      <c r="BB109" s="49">
        <f>IF(OR($A109="",$M109=""),"",$M109*12+N($N109))</f>
        <v/>
      </c>
      <c r="BC109" s="49">
        <f>IF($A109="","",IF(OR($C109="FRAME ONLY",$S109="BL"),0,IF($O109="Y",2,1)))</f>
        <v/>
      </c>
      <c r="BD109" s="51">
        <f>IF(OR(N($BC109)=0,$BA109=""),"",($BA109-2*EdgeClr-IF($BC109=2,MeetClr,0))/$BC109)</f>
        <v/>
      </c>
      <c r="BE109" s="51">
        <f>IF(OR(N($BC109)=0,$BB109=""),"",$BB109-HeadClr-Undercut)</f>
        <v/>
      </c>
      <c r="BF109" s="51">
        <f>IF($BA109="","",$BA109+2*FaceW+IF(N($Q109)&gt;0,($Q109+FaceW)*IF($R109="LR",2,1),0))</f>
        <v/>
      </c>
      <c r="BG109" s="51">
        <f>IF($BB109="","",$BB109+IF($AB109="Y",4,FaceW)+IF(N($P109)&gt;0,$P109+FaceW,0)+IF(OR($S109="4F",$S109="BL"),FaceW,0))</f>
        <v/>
      </c>
      <c r="BH109" s="51">
        <f>IF($BF109="","",$BF109+2*ROSide)</f>
        <v/>
      </c>
      <c r="BI109" s="51">
        <f>IF($BG109="","",$BG109+ROTop)</f>
        <v/>
      </c>
      <c r="BJ109" s="52">
        <f>IF(OR(N($BC109)=0,$BA109=""),"",$BA109/$BC109-ClearDeduct)</f>
        <v/>
      </c>
      <c r="BK109" s="49">
        <f>IF(OR(N($BC109)=0,$BE109=""),"",IF(OR($AC109="HGC",$AP109="HGC"),"CONT",IF($BE109&lt;=60,2,IF($BE109&lt;=90,3,IF($BE109&lt;=120,4,5)))))</f>
        <v/>
      </c>
      <c r="BL109" s="49">
        <f>IF(N($BC109)=0,"",IF(OR($AL109="",$AL109="FLUSH"),"FLUSH",IFERROR(LEFT($AL109,FIND("-",$AL109)-1),LEFT($AL109,2))))</f>
        <v/>
      </c>
      <c r="BM109" s="49">
        <f>IF($BL109="","",IFERROR(VALUE(MID($AL109,FIND("-",$AL109)+1,FIND(CHAR(34)&amp;"x",$AL109)-FIND("-",$AL109)-1)),0))</f>
        <v/>
      </c>
      <c r="BN109" s="49">
        <f>IF($BL109="","",IFERROR(VALUE(MID($AL109,FIND(CHAR(34)&amp;"x",$AL109)+2,FIND(CHAR(34),$AL109,FIND(CHAR(34)&amp;"x",$AL109)+2)-FIND(CHAR(34)&amp;"x",$AL109)-2)),0))</f>
        <v/>
      </c>
      <c r="BO109" s="53">
        <f>IF(OR($A109="",$H109="",$H109="NO LAB"),0,IFERROR(VALUE(LEFT($H109,FIND(" ",$H109)-1)),0))</f>
        <v/>
      </c>
      <c r="BP109" s="54">
        <f>IF(OR($A109="",$I109="",$I109="NON-RATED",N($J109)=0),"",IFERROR(VLOOKUP($I109&amp;"|"&amp;$J109,IBC,2,FALSE),"?"))</f>
        <v/>
      </c>
      <c r="BQ109" s="50">
        <f>IF(NOT(AND($A109&lt;&gt;"",$C109&lt;&gt;"DOOR ONLY")),"",TRIM(IFERROR(VLOOKUP($U109,CODES,2,FALSE),"")&amp;" "&amp;$AZ109&amp;" "&amp;IFERROR(VLOOKUP($Z109,CODES,2,FALSE),"")&amp;" "&amp;IFERROR(VLOOKUP($X109,CODES,2,FALSE),"")&amp;" "&amp;IFERROR(VLOOKUP($S109,CODES,2,FALSE),"")&amp;IF(N($P109)&gt;0," w/TRANSOM "&amp;$P109&amp;CHAR(34),"")&amp;IF(N($Q109)&gt;0," w/SIDELITE "&amp;$Q109&amp;CHAR(34)&amp;" "&amp;IF($R109="","R",$R109),"")&amp;IF($Y109="","  |  "," | "&amp;IFERROR(VLOOKUP($Y109,CODES,2,FALSE),"")&amp;" | ")&amp;IFERROR(VLOOKUP($AC109,CODES,2,FALSE),"")&amp;" "&amp;IFERROR(VLOOKUP($AD109,CODES,2,FALSE),"")&amp;IF(OR($AE109="",$AE109="-"),""," "&amp;$AE109)&amp;IF(OR($AF109="",$AF109="-"),""," "&amp;$AF109)&amp;IF($AB109="Y"," 4"&amp;CHAR(34)&amp;" HEAD","")&amp;" "&amp;IFERROR(VLOOKUP($H109,CODES,2,FALSE),"")))</f>
        <v/>
      </c>
      <c r="BR109" s="50">
        <f>IF(NOT(AND($A109&lt;&gt;"",N($BC109)&gt;0)),"",TRIM(IFERROR(VLOOKUP($AH109,CODES,2,FALSE),"")&amp;IF($AI109=""," "," "&amp;$AI109&amp;"GA ")&amp;$AZ109&amp;" "&amp;IF($AN109="",IFERROR(VLOOKUP($Z109,CODES,2,FALSE),""),IFERROR(VLOOKUP($AN109,CODES,2,FALSE),""))&amp;IF($BC109=2," PAIR","")&amp;" DOOR | "&amp;IF($AL109="","?",$AL109)&amp;" | "&amp;IF($AP109="",IFERROR(VLOOKUP($AC109,CODES,2,FALSE),""),IFERROR(VLOOKUP($AP109,CODES,2,FALSE),""))&amp;" "&amp;IFERROR(VLOOKUP($AQ109,CODES,2,FALSE),"")&amp;IF(OR($AR109="",$AR109="-"),""," SEAM "&amp;$AR109)&amp;IF($AS109="Y"," ASTRAGAL","")&amp;IF($AJ109=""," "," "&amp;$AJ109)&amp;IF($AK109=""," "," "&amp;$AK109)&amp;IF($AO109="",""," "&amp;$AO109)&amp;IF($AM109=""," "," SERIES "&amp;$AM109)&amp;" "&amp;IFERROR(VLOOKUP($H109,CODES,2,FALSE),"")))</f>
        <v/>
      </c>
      <c r="BS109" s="49">
        <f>IF(BV109="","",IF(COUNTIF($BV$6:BV109,BV109)=1,MAX($BS$5:BS108)+1,INDEX($BS$5:BS108,MATCH(BV109,$BV$5:BV108,0))))</f>
        <v/>
      </c>
      <c r="BT109" s="49">
        <f>IF(NOT(AND($A109&lt;&gt;"",$C109&lt;&gt;"DOOR ONLY")),"",MAX($BT$5:BT108)+1)</f>
        <v/>
      </c>
      <c r="BU109" s="49">
        <f>IF(NOT(AND($A109&lt;&gt;"",N($BC109)&gt;0)),"",MAX($BU$5:BU108)+1)</f>
        <v/>
      </c>
      <c r="BV109" s="49">
        <f>IF(OR($A109="",$BA109="",$BB109=""),"",$AZ109&amp;"|"&amp;$O109&amp;"|"&amp;$AL109&amp;"|"&amp;$S109&amp;"|"&amp;$P109&amp;"|"&amp;$Q109&amp;$R109&amp;"|"&amp;$C109&amp;"|"&amp;$AB109)</f>
        <v/>
      </c>
      <c r="BW109" s="49">
        <f>IF($A109="","",IF($B109="","qty, ","")&amp;IF($C109="","scope, ","")&amp;IF(OR($K109="",$M109=""),"size, ","")&amp;IF(AND($A109&lt;&gt;"",$C109&lt;&gt;"DOOR ONLY"),IF($U109="","jamb depth, ","")&amp;IF($X109="","construction, ","")&amp;IF($Y109="","anchor, ","")&amp;IF($S109="","frame type, ",""),"")&amp;IF(AND(N($BC109)&gt;0,$Z109=""),"hand, ","")&amp;IF(N($BC109)&gt;0,IF($AH109="","door material, ","")&amp;IF($AL109="","face type, ","")&amp;IF($AQ109="","lock prep, ","")&amp;IF(AND($AP109="",$AC109=""),"hinge prep, ",""),"")&amp;IF(AND($BO109&gt;0,$AH109="FRP"),"FRP cannot carry a label, ","")&amp;IF(AND($O109="Y",OR($Z109="L",$Z109="R",$Z109="LR",$Z109="RR")),"pair marked but hand is single, ","")&amp;IF(AND($O109&lt;&gt;"Y",OR($Z109="PR",AND(LEN($Z109)&gt;1,ISNUMBER(SEARCH("-",$Z109))))),"pair hand on a single door, ","")&amp;IF(AND(ISNUMBER($BP109),$BO109&lt;N($BP109)),"wall needs a "&amp;$BP109&amp;" min door, ","")&amp;IF(AND($BO109&gt;=180,AND(OR($BL109="FG",$BL109="HG",$BL109="FNV",$BL109="FV"),N($BM109)*N($BN109)&gt;100)),"180 min lite over 100 sq in, ","")&amp;IF(N($BD109)&gt;48,"leaf wider than 4'-0"&amp;CHAR(34)&amp;", ",""))</f>
        <v/>
      </c>
      <c r="BX109" s="49">
        <f>IF($A109="","",IF(AND($BO109&gt;0,AND($A109&lt;&gt;"",$C109&lt;&gt;"DOOR ONLY"),$X109="KD",$E109="EXTERIOR"),"KD label on an exterior opening, ","")&amp;IF(AND($E109="EXTERIOR",OR(AND(AND($A109&lt;&gt;"",$C109&lt;&gt;"DOOR ONLY"),$W109="CR"),AND(N($BC109)&gt;0,$AH109="CR"))),"exterior in CR steel (G9?), ","")&amp;IF(AND(ISNUMBER($BJ109),N($BJ109)&lt;32),"clear width ~"&amp;TEXT($BJ109,"0.0")&amp;CHAR(34)&amp;" under 32"&amp;CHAR(34)&amp;" (ADA), ","")&amp;IF(AND($BO109=90,AND(OR($BL109="FG",$BL109="HG",$BL109="FNV",$BL109="FV"),N($BM109)*N($BN109)&gt;100)),"90 min lite over 100 sq in (stair/exit), ","")&amp;IF(AND($BO109&gt;0,AND($A109&lt;&gt;"",$C109&lt;&gt;"DOOR ONLY"),OR($AF109="",$AF109="-")),"rated: closer reinf.?, ","")&amp;IF(OR($I109="CORRIDOR",$I109="SMOKE BARRIER"),"S label + smoke gasketing, ","")&amp;IF($BP109="?","wall type/hr not in IBC table, ","")&amp;IF(AND(N($BC109)&gt;0,$AU109=""),"no hardware set, ","")&amp;IF(AND($AU109&lt;&gt;"",ISNA(MATCH($AU109,HWSets,0))),"set "&amp;$AU109&amp;" not on Hardware sheet, ","")&amp;IF(N($BE109)&gt;96,"leaf over 8'-0"&amp;CHAR(34)&amp;" - check listing, ",""))</f>
        <v/>
      </c>
    </row>
    <row r="110" ht="15" customHeight="1">
      <c r="A110" s="44" t="n"/>
      <c r="B110" s="45" t="n"/>
      <c r="C110" s="45" t="n"/>
      <c r="D110" s="45" t="n"/>
      <c r="E110" s="45" t="n"/>
      <c r="F110" s="45" t="n"/>
      <c r="G110" s="45" t="n"/>
      <c r="H110" s="45" t="n"/>
      <c r="I110" s="45" t="n"/>
      <c r="J110" s="45" t="n"/>
      <c r="K110" s="45" t="n"/>
      <c r="L110" s="45" t="n"/>
      <c r="M110" s="45" t="n"/>
      <c r="N110" s="45" t="n"/>
      <c r="O110" s="45" t="n"/>
      <c r="P110" s="45" t="n"/>
      <c r="Q110" s="45" t="n"/>
      <c r="R110" s="45" t="n"/>
      <c r="S110" s="46" t="n"/>
      <c r="T110" s="46" t="n"/>
      <c r="U110" s="46" t="n"/>
      <c r="V110" s="46" t="n"/>
      <c r="W110" s="46" t="n"/>
      <c r="X110" s="46" t="n"/>
      <c r="Y110" s="46" t="n"/>
      <c r="Z110" s="46" t="n"/>
      <c r="AA110" s="46" t="n"/>
      <c r="AB110" s="46" t="n"/>
      <c r="AC110" s="46" t="n"/>
      <c r="AD110" s="46" t="n"/>
      <c r="AE110" s="46" t="n"/>
      <c r="AF110" s="46" t="n"/>
      <c r="AG110" s="46" t="n"/>
      <c r="AH110" s="47" t="n"/>
      <c r="AI110" s="47" t="n"/>
      <c r="AJ110" s="47" t="n"/>
      <c r="AK110" s="47" t="n"/>
      <c r="AL110" s="47" t="n"/>
      <c r="AM110" s="47" t="n"/>
      <c r="AN110" s="47" t="n"/>
      <c r="AO110" s="47" t="n"/>
      <c r="AP110" s="47" t="n"/>
      <c r="AQ110" s="47" t="n"/>
      <c r="AR110" s="47" t="n"/>
      <c r="AS110" s="47" t="n"/>
      <c r="AT110" s="47" t="n"/>
      <c r="AU110" s="48" t="n"/>
      <c r="AV110" s="48" t="n"/>
      <c r="AW110" s="49">
        <f>IF($A110="","",IF($BW110&lt;&gt;"","FIX",IF($BX110&lt;&gt;"","CHECK","OK")))</f>
        <v/>
      </c>
      <c r="AX110" s="50">
        <f>IF($A110="","",IF($BW110&lt;&gt;"","FIX: "&amp;LEFT($BW110,LEN($BW110)-2)&amp;IF($BX110&lt;&gt;"","  ·  ",""),"")&amp;IF($BX110&lt;&gt;"","CHECK: "&amp;LEFT($BX110,LEN($BX110)-2),""))</f>
        <v/>
      </c>
      <c r="AY110" s="49">
        <f>IF(OR($A110="",$K110=""),"",$K110&amp;"'-"&amp;N($L110)&amp;CHAR(34)&amp;" x "&amp;$M110&amp;"'-"&amp;N($N110)&amp;CHAR(34))</f>
        <v/>
      </c>
      <c r="AZ110" s="49">
        <f>IF(OR($A110="",$K110=""),"",$K110&amp;N($L110)&amp;$M110&amp;N($N110))</f>
        <v/>
      </c>
      <c r="BA110" s="49">
        <f>IF(OR($A110="",$K110=""),"",$K110*12+N($L110))</f>
        <v/>
      </c>
      <c r="BB110" s="49">
        <f>IF(OR($A110="",$M110=""),"",$M110*12+N($N110))</f>
        <v/>
      </c>
      <c r="BC110" s="49">
        <f>IF($A110="","",IF(OR($C110="FRAME ONLY",$S110="BL"),0,IF($O110="Y",2,1)))</f>
        <v/>
      </c>
      <c r="BD110" s="51">
        <f>IF(OR(N($BC110)=0,$BA110=""),"",($BA110-2*EdgeClr-IF($BC110=2,MeetClr,0))/$BC110)</f>
        <v/>
      </c>
      <c r="BE110" s="51">
        <f>IF(OR(N($BC110)=0,$BB110=""),"",$BB110-HeadClr-Undercut)</f>
        <v/>
      </c>
      <c r="BF110" s="51">
        <f>IF($BA110="","",$BA110+2*FaceW+IF(N($Q110)&gt;0,($Q110+FaceW)*IF($R110="LR",2,1),0))</f>
        <v/>
      </c>
      <c r="BG110" s="51">
        <f>IF($BB110="","",$BB110+IF($AB110="Y",4,FaceW)+IF(N($P110)&gt;0,$P110+FaceW,0)+IF(OR($S110="4F",$S110="BL"),FaceW,0))</f>
        <v/>
      </c>
      <c r="BH110" s="51">
        <f>IF($BF110="","",$BF110+2*ROSide)</f>
        <v/>
      </c>
      <c r="BI110" s="51">
        <f>IF($BG110="","",$BG110+ROTop)</f>
        <v/>
      </c>
      <c r="BJ110" s="52">
        <f>IF(OR(N($BC110)=0,$BA110=""),"",$BA110/$BC110-ClearDeduct)</f>
        <v/>
      </c>
      <c r="BK110" s="49">
        <f>IF(OR(N($BC110)=0,$BE110=""),"",IF(OR($AC110="HGC",$AP110="HGC"),"CONT",IF($BE110&lt;=60,2,IF($BE110&lt;=90,3,IF($BE110&lt;=120,4,5)))))</f>
        <v/>
      </c>
      <c r="BL110" s="49">
        <f>IF(N($BC110)=0,"",IF(OR($AL110="",$AL110="FLUSH"),"FLUSH",IFERROR(LEFT($AL110,FIND("-",$AL110)-1),LEFT($AL110,2))))</f>
        <v/>
      </c>
      <c r="BM110" s="49">
        <f>IF($BL110="","",IFERROR(VALUE(MID($AL110,FIND("-",$AL110)+1,FIND(CHAR(34)&amp;"x",$AL110)-FIND("-",$AL110)-1)),0))</f>
        <v/>
      </c>
      <c r="BN110" s="49">
        <f>IF($BL110="","",IFERROR(VALUE(MID($AL110,FIND(CHAR(34)&amp;"x",$AL110)+2,FIND(CHAR(34),$AL110,FIND(CHAR(34)&amp;"x",$AL110)+2)-FIND(CHAR(34)&amp;"x",$AL110)-2)),0))</f>
        <v/>
      </c>
      <c r="BO110" s="53">
        <f>IF(OR($A110="",$H110="",$H110="NO LAB"),0,IFERROR(VALUE(LEFT($H110,FIND(" ",$H110)-1)),0))</f>
        <v/>
      </c>
      <c r="BP110" s="54">
        <f>IF(OR($A110="",$I110="",$I110="NON-RATED",N($J110)=0),"",IFERROR(VLOOKUP($I110&amp;"|"&amp;$J110,IBC,2,FALSE),"?"))</f>
        <v/>
      </c>
      <c r="BQ110" s="50">
        <f>IF(NOT(AND($A110&lt;&gt;"",$C110&lt;&gt;"DOOR ONLY")),"",TRIM(IFERROR(VLOOKUP($U110,CODES,2,FALSE),"")&amp;" "&amp;$AZ110&amp;" "&amp;IFERROR(VLOOKUP($Z110,CODES,2,FALSE),"")&amp;" "&amp;IFERROR(VLOOKUP($X110,CODES,2,FALSE),"")&amp;" "&amp;IFERROR(VLOOKUP($S110,CODES,2,FALSE),"")&amp;IF(N($P110)&gt;0," w/TRANSOM "&amp;$P110&amp;CHAR(34),"")&amp;IF(N($Q110)&gt;0," w/SIDELITE "&amp;$Q110&amp;CHAR(34)&amp;" "&amp;IF($R110="","R",$R110),"")&amp;IF($Y110="","  |  "," | "&amp;IFERROR(VLOOKUP($Y110,CODES,2,FALSE),"")&amp;" | ")&amp;IFERROR(VLOOKUP($AC110,CODES,2,FALSE),"")&amp;" "&amp;IFERROR(VLOOKUP($AD110,CODES,2,FALSE),"")&amp;IF(OR($AE110="",$AE110="-"),""," "&amp;$AE110)&amp;IF(OR($AF110="",$AF110="-"),""," "&amp;$AF110)&amp;IF($AB110="Y"," 4"&amp;CHAR(34)&amp;" HEAD","")&amp;" "&amp;IFERROR(VLOOKUP($H110,CODES,2,FALSE),"")))</f>
        <v/>
      </c>
      <c r="BR110" s="50">
        <f>IF(NOT(AND($A110&lt;&gt;"",N($BC110)&gt;0)),"",TRIM(IFERROR(VLOOKUP($AH110,CODES,2,FALSE),"")&amp;IF($AI110=""," "," "&amp;$AI110&amp;"GA ")&amp;$AZ110&amp;" "&amp;IF($AN110="",IFERROR(VLOOKUP($Z110,CODES,2,FALSE),""),IFERROR(VLOOKUP($AN110,CODES,2,FALSE),""))&amp;IF($BC110=2," PAIR","")&amp;" DOOR | "&amp;IF($AL110="","?",$AL110)&amp;" | "&amp;IF($AP110="",IFERROR(VLOOKUP($AC110,CODES,2,FALSE),""),IFERROR(VLOOKUP($AP110,CODES,2,FALSE),""))&amp;" "&amp;IFERROR(VLOOKUP($AQ110,CODES,2,FALSE),"")&amp;IF(OR($AR110="",$AR110="-"),""," SEAM "&amp;$AR110)&amp;IF($AS110="Y"," ASTRAGAL","")&amp;IF($AJ110=""," "," "&amp;$AJ110)&amp;IF($AK110=""," "," "&amp;$AK110)&amp;IF($AO110="",""," "&amp;$AO110)&amp;IF($AM110=""," "," SERIES "&amp;$AM110)&amp;" "&amp;IFERROR(VLOOKUP($H110,CODES,2,FALSE),"")))</f>
        <v/>
      </c>
      <c r="BS110" s="49">
        <f>IF(BV110="","",IF(COUNTIF($BV$6:BV110,BV110)=1,MAX($BS$5:BS109)+1,INDEX($BS$5:BS109,MATCH(BV110,$BV$5:BV109,0))))</f>
        <v/>
      </c>
      <c r="BT110" s="49">
        <f>IF(NOT(AND($A110&lt;&gt;"",$C110&lt;&gt;"DOOR ONLY")),"",MAX($BT$5:BT109)+1)</f>
        <v/>
      </c>
      <c r="BU110" s="49">
        <f>IF(NOT(AND($A110&lt;&gt;"",N($BC110)&gt;0)),"",MAX($BU$5:BU109)+1)</f>
        <v/>
      </c>
      <c r="BV110" s="49">
        <f>IF(OR($A110="",$BA110="",$BB110=""),"",$AZ110&amp;"|"&amp;$O110&amp;"|"&amp;$AL110&amp;"|"&amp;$S110&amp;"|"&amp;$P110&amp;"|"&amp;$Q110&amp;$R110&amp;"|"&amp;$C110&amp;"|"&amp;$AB110)</f>
        <v/>
      </c>
      <c r="BW110" s="49">
        <f>IF($A110="","",IF($B110="","qty, ","")&amp;IF($C110="","scope, ","")&amp;IF(OR($K110="",$M110=""),"size, ","")&amp;IF(AND($A110&lt;&gt;"",$C110&lt;&gt;"DOOR ONLY"),IF($U110="","jamb depth, ","")&amp;IF($X110="","construction, ","")&amp;IF($Y110="","anchor, ","")&amp;IF($S110="","frame type, ",""),"")&amp;IF(AND(N($BC110)&gt;0,$Z110=""),"hand, ","")&amp;IF(N($BC110)&gt;0,IF($AH110="","door material, ","")&amp;IF($AL110="","face type, ","")&amp;IF($AQ110="","lock prep, ","")&amp;IF(AND($AP110="",$AC110=""),"hinge prep, ",""),"")&amp;IF(AND($BO110&gt;0,$AH110="FRP"),"FRP cannot carry a label, ","")&amp;IF(AND($O110="Y",OR($Z110="L",$Z110="R",$Z110="LR",$Z110="RR")),"pair marked but hand is single, ","")&amp;IF(AND($O110&lt;&gt;"Y",OR($Z110="PR",AND(LEN($Z110)&gt;1,ISNUMBER(SEARCH("-",$Z110))))),"pair hand on a single door, ","")&amp;IF(AND(ISNUMBER($BP110),$BO110&lt;N($BP110)),"wall needs a "&amp;$BP110&amp;" min door, ","")&amp;IF(AND($BO110&gt;=180,AND(OR($BL110="FG",$BL110="HG",$BL110="FNV",$BL110="FV"),N($BM110)*N($BN110)&gt;100)),"180 min lite over 100 sq in, ","")&amp;IF(N($BD110)&gt;48,"leaf wider than 4'-0"&amp;CHAR(34)&amp;", ",""))</f>
        <v/>
      </c>
      <c r="BX110" s="49">
        <f>IF($A110="","",IF(AND($BO110&gt;0,AND($A110&lt;&gt;"",$C110&lt;&gt;"DOOR ONLY"),$X110="KD",$E110="EXTERIOR"),"KD label on an exterior opening, ","")&amp;IF(AND($E110="EXTERIOR",OR(AND(AND($A110&lt;&gt;"",$C110&lt;&gt;"DOOR ONLY"),$W110="CR"),AND(N($BC110)&gt;0,$AH110="CR"))),"exterior in CR steel (G9?), ","")&amp;IF(AND(ISNUMBER($BJ110),N($BJ110)&lt;32),"clear width ~"&amp;TEXT($BJ110,"0.0")&amp;CHAR(34)&amp;" under 32"&amp;CHAR(34)&amp;" (ADA), ","")&amp;IF(AND($BO110=90,AND(OR($BL110="FG",$BL110="HG",$BL110="FNV",$BL110="FV"),N($BM110)*N($BN110)&gt;100)),"90 min lite over 100 sq in (stair/exit), ","")&amp;IF(AND($BO110&gt;0,AND($A110&lt;&gt;"",$C110&lt;&gt;"DOOR ONLY"),OR($AF110="",$AF110="-")),"rated: closer reinf.?, ","")&amp;IF(OR($I110="CORRIDOR",$I110="SMOKE BARRIER"),"S label + smoke gasketing, ","")&amp;IF($BP110="?","wall type/hr not in IBC table, ","")&amp;IF(AND(N($BC110)&gt;0,$AU110=""),"no hardware set, ","")&amp;IF(AND($AU110&lt;&gt;"",ISNA(MATCH($AU110,HWSets,0))),"set "&amp;$AU110&amp;" not on Hardware sheet, ","")&amp;IF(N($BE110)&gt;96,"leaf over 8'-0"&amp;CHAR(34)&amp;" - check listing, ",""))</f>
        <v/>
      </c>
    </row>
    <row r="111" ht="15" customHeight="1">
      <c r="A111" s="44" t="n"/>
      <c r="B111" s="45" t="n"/>
      <c r="C111" s="45" t="n"/>
      <c r="D111" s="45" t="n"/>
      <c r="E111" s="45" t="n"/>
      <c r="F111" s="45" t="n"/>
      <c r="G111" s="45" t="n"/>
      <c r="H111" s="45" t="n"/>
      <c r="I111" s="45" t="n"/>
      <c r="J111" s="45" t="n"/>
      <c r="K111" s="45" t="n"/>
      <c r="L111" s="45" t="n"/>
      <c r="M111" s="45" t="n"/>
      <c r="N111" s="45" t="n"/>
      <c r="O111" s="45" t="n"/>
      <c r="P111" s="45" t="n"/>
      <c r="Q111" s="45" t="n"/>
      <c r="R111" s="45" t="n"/>
      <c r="S111" s="46" t="n"/>
      <c r="T111" s="46" t="n"/>
      <c r="U111" s="46" t="n"/>
      <c r="V111" s="46" t="n"/>
      <c r="W111" s="46" t="n"/>
      <c r="X111" s="46" t="n"/>
      <c r="Y111" s="46" t="n"/>
      <c r="Z111" s="46" t="n"/>
      <c r="AA111" s="46" t="n"/>
      <c r="AB111" s="46" t="n"/>
      <c r="AC111" s="46" t="n"/>
      <c r="AD111" s="46" t="n"/>
      <c r="AE111" s="46" t="n"/>
      <c r="AF111" s="46" t="n"/>
      <c r="AG111" s="46" t="n"/>
      <c r="AH111" s="47" t="n"/>
      <c r="AI111" s="47" t="n"/>
      <c r="AJ111" s="47" t="n"/>
      <c r="AK111" s="47" t="n"/>
      <c r="AL111" s="47" t="n"/>
      <c r="AM111" s="47" t="n"/>
      <c r="AN111" s="47" t="n"/>
      <c r="AO111" s="47" t="n"/>
      <c r="AP111" s="47" t="n"/>
      <c r="AQ111" s="47" t="n"/>
      <c r="AR111" s="47" t="n"/>
      <c r="AS111" s="47" t="n"/>
      <c r="AT111" s="47" t="n"/>
      <c r="AU111" s="48" t="n"/>
      <c r="AV111" s="48" t="n"/>
      <c r="AW111" s="49">
        <f>IF($A111="","",IF($BW111&lt;&gt;"","FIX",IF($BX111&lt;&gt;"","CHECK","OK")))</f>
        <v/>
      </c>
      <c r="AX111" s="50">
        <f>IF($A111="","",IF($BW111&lt;&gt;"","FIX: "&amp;LEFT($BW111,LEN($BW111)-2)&amp;IF($BX111&lt;&gt;"","  ·  ",""),"")&amp;IF($BX111&lt;&gt;"","CHECK: "&amp;LEFT($BX111,LEN($BX111)-2),""))</f>
        <v/>
      </c>
      <c r="AY111" s="49">
        <f>IF(OR($A111="",$K111=""),"",$K111&amp;"'-"&amp;N($L111)&amp;CHAR(34)&amp;" x "&amp;$M111&amp;"'-"&amp;N($N111)&amp;CHAR(34))</f>
        <v/>
      </c>
      <c r="AZ111" s="49">
        <f>IF(OR($A111="",$K111=""),"",$K111&amp;N($L111)&amp;$M111&amp;N($N111))</f>
        <v/>
      </c>
      <c r="BA111" s="49">
        <f>IF(OR($A111="",$K111=""),"",$K111*12+N($L111))</f>
        <v/>
      </c>
      <c r="BB111" s="49">
        <f>IF(OR($A111="",$M111=""),"",$M111*12+N($N111))</f>
        <v/>
      </c>
      <c r="BC111" s="49">
        <f>IF($A111="","",IF(OR($C111="FRAME ONLY",$S111="BL"),0,IF($O111="Y",2,1)))</f>
        <v/>
      </c>
      <c r="BD111" s="51">
        <f>IF(OR(N($BC111)=0,$BA111=""),"",($BA111-2*EdgeClr-IF($BC111=2,MeetClr,0))/$BC111)</f>
        <v/>
      </c>
      <c r="BE111" s="51">
        <f>IF(OR(N($BC111)=0,$BB111=""),"",$BB111-HeadClr-Undercut)</f>
        <v/>
      </c>
      <c r="BF111" s="51">
        <f>IF($BA111="","",$BA111+2*FaceW+IF(N($Q111)&gt;0,($Q111+FaceW)*IF($R111="LR",2,1),0))</f>
        <v/>
      </c>
      <c r="BG111" s="51">
        <f>IF($BB111="","",$BB111+IF($AB111="Y",4,FaceW)+IF(N($P111)&gt;0,$P111+FaceW,0)+IF(OR($S111="4F",$S111="BL"),FaceW,0))</f>
        <v/>
      </c>
      <c r="BH111" s="51">
        <f>IF($BF111="","",$BF111+2*ROSide)</f>
        <v/>
      </c>
      <c r="BI111" s="51">
        <f>IF($BG111="","",$BG111+ROTop)</f>
        <v/>
      </c>
      <c r="BJ111" s="52">
        <f>IF(OR(N($BC111)=0,$BA111=""),"",$BA111/$BC111-ClearDeduct)</f>
        <v/>
      </c>
      <c r="BK111" s="49">
        <f>IF(OR(N($BC111)=0,$BE111=""),"",IF(OR($AC111="HGC",$AP111="HGC"),"CONT",IF($BE111&lt;=60,2,IF($BE111&lt;=90,3,IF($BE111&lt;=120,4,5)))))</f>
        <v/>
      </c>
      <c r="BL111" s="49">
        <f>IF(N($BC111)=0,"",IF(OR($AL111="",$AL111="FLUSH"),"FLUSH",IFERROR(LEFT($AL111,FIND("-",$AL111)-1),LEFT($AL111,2))))</f>
        <v/>
      </c>
      <c r="BM111" s="49">
        <f>IF($BL111="","",IFERROR(VALUE(MID($AL111,FIND("-",$AL111)+1,FIND(CHAR(34)&amp;"x",$AL111)-FIND("-",$AL111)-1)),0))</f>
        <v/>
      </c>
      <c r="BN111" s="49">
        <f>IF($BL111="","",IFERROR(VALUE(MID($AL111,FIND(CHAR(34)&amp;"x",$AL111)+2,FIND(CHAR(34),$AL111,FIND(CHAR(34)&amp;"x",$AL111)+2)-FIND(CHAR(34)&amp;"x",$AL111)-2)),0))</f>
        <v/>
      </c>
      <c r="BO111" s="53">
        <f>IF(OR($A111="",$H111="",$H111="NO LAB"),0,IFERROR(VALUE(LEFT($H111,FIND(" ",$H111)-1)),0))</f>
        <v/>
      </c>
      <c r="BP111" s="54">
        <f>IF(OR($A111="",$I111="",$I111="NON-RATED",N($J111)=0),"",IFERROR(VLOOKUP($I111&amp;"|"&amp;$J111,IBC,2,FALSE),"?"))</f>
        <v/>
      </c>
      <c r="BQ111" s="50">
        <f>IF(NOT(AND($A111&lt;&gt;"",$C111&lt;&gt;"DOOR ONLY")),"",TRIM(IFERROR(VLOOKUP($U111,CODES,2,FALSE),"")&amp;" "&amp;$AZ111&amp;" "&amp;IFERROR(VLOOKUP($Z111,CODES,2,FALSE),"")&amp;" "&amp;IFERROR(VLOOKUP($X111,CODES,2,FALSE),"")&amp;" "&amp;IFERROR(VLOOKUP($S111,CODES,2,FALSE),"")&amp;IF(N($P111)&gt;0," w/TRANSOM "&amp;$P111&amp;CHAR(34),"")&amp;IF(N($Q111)&gt;0," w/SIDELITE "&amp;$Q111&amp;CHAR(34)&amp;" "&amp;IF($R111="","R",$R111),"")&amp;IF($Y111="","  |  "," | "&amp;IFERROR(VLOOKUP($Y111,CODES,2,FALSE),"")&amp;" | ")&amp;IFERROR(VLOOKUP($AC111,CODES,2,FALSE),"")&amp;" "&amp;IFERROR(VLOOKUP($AD111,CODES,2,FALSE),"")&amp;IF(OR($AE111="",$AE111="-"),""," "&amp;$AE111)&amp;IF(OR($AF111="",$AF111="-"),""," "&amp;$AF111)&amp;IF($AB111="Y"," 4"&amp;CHAR(34)&amp;" HEAD","")&amp;" "&amp;IFERROR(VLOOKUP($H111,CODES,2,FALSE),"")))</f>
        <v/>
      </c>
      <c r="BR111" s="50">
        <f>IF(NOT(AND($A111&lt;&gt;"",N($BC111)&gt;0)),"",TRIM(IFERROR(VLOOKUP($AH111,CODES,2,FALSE),"")&amp;IF($AI111=""," "," "&amp;$AI111&amp;"GA ")&amp;$AZ111&amp;" "&amp;IF($AN111="",IFERROR(VLOOKUP($Z111,CODES,2,FALSE),""),IFERROR(VLOOKUP($AN111,CODES,2,FALSE),""))&amp;IF($BC111=2," PAIR","")&amp;" DOOR | "&amp;IF($AL111="","?",$AL111)&amp;" | "&amp;IF($AP111="",IFERROR(VLOOKUP($AC111,CODES,2,FALSE),""),IFERROR(VLOOKUP($AP111,CODES,2,FALSE),""))&amp;" "&amp;IFERROR(VLOOKUP($AQ111,CODES,2,FALSE),"")&amp;IF(OR($AR111="",$AR111="-"),""," SEAM "&amp;$AR111)&amp;IF($AS111="Y"," ASTRAGAL","")&amp;IF($AJ111=""," "," "&amp;$AJ111)&amp;IF($AK111=""," "," "&amp;$AK111)&amp;IF($AO111="",""," "&amp;$AO111)&amp;IF($AM111=""," "," SERIES "&amp;$AM111)&amp;" "&amp;IFERROR(VLOOKUP($H111,CODES,2,FALSE),"")))</f>
        <v/>
      </c>
      <c r="BS111" s="49">
        <f>IF(BV111="","",IF(COUNTIF($BV$6:BV111,BV111)=1,MAX($BS$5:BS110)+1,INDEX($BS$5:BS110,MATCH(BV111,$BV$5:BV110,0))))</f>
        <v/>
      </c>
      <c r="BT111" s="49">
        <f>IF(NOT(AND($A111&lt;&gt;"",$C111&lt;&gt;"DOOR ONLY")),"",MAX($BT$5:BT110)+1)</f>
        <v/>
      </c>
      <c r="BU111" s="49">
        <f>IF(NOT(AND($A111&lt;&gt;"",N($BC111)&gt;0)),"",MAX($BU$5:BU110)+1)</f>
        <v/>
      </c>
      <c r="BV111" s="49">
        <f>IF(OR($A111="",$BA111="",$BB111=""),"",$AZ111&amp;"|"&amp;$O111&amp;"|"&amp;$AL111&amp;"|"&amp;$S111&amp;"|"&amp;$P111&amp;"|"&amp;$Q111&amp;$R111&amp;"|"&amp;$C111&amp;"|"&amp;$AB111)</f>
        <v/>
      </c>
      <c r="BW111" s="49">
        <f>IF($A111="","",IF($B111="","qty, ","")&amp;IF($C111="","scope, ","")&amp;IF(OR($K111="",$M111=""),"size, ","")&amp;IF(AND($A111&lt;&gt;"",$C111&lt;&gt;"DOOR ONLY"),IF($U111="","jamb depth, ","")&amp;IF($X111="","construction, ","")&amp;IF($Y111="","anchor, ","")&amp;IF($S111="","frame type, ",""),"")&amp;IF(AND(N($BC111)&gt;0,$Z111=""),"hand, ","")&amp;IF(N($BC111)&gt;0,IF($AH111="","door material, ","")&amp;IF($AL111="","face type, ","")&amp;IF($AQ111="","lock prep, ","")&amp;IF(AND($AP111="",$AC111=""),"hinge prep, ",""),"")&amp;IF(AND($BO111&gt;0,$AH111="FRP"),"FRP cannot carry a label, ","")&amp;IF(AND($O111="Y",OR($Z111="L",$Z111="R",$Z111="LR",$Z111="RR")),"pair marked but hand is single, ","")&amp;IF(AND($O111&lt;&gt;"Y",OR($Z111="PR",AND(LEN($Z111)&gt;1,ISNUMBER(SEARCH("-",$Z111))))),"pair hand on a single door, ","")&amp;IF(AND(ISNUMBER($BP111),$BO111&lt;N($BP111)),"wall needs a "&amp;$BP111&amp;" min door, ","")&amp;IF(AND($BO111&gt;=180,AND(OR($BL111="FG",$BL111="HG",$BL111="FNV",$BL111="FV"),N($BM111)*N($BN111)&gt;100)),"180 min lite over 100 sq in, ","")&amp;IF(N($BD111)&gt;48,"leaf wider than 4'-0"&amp;CHAR(34)&amp;", ",""))</f>
        <v/>
      </c>
      <c r="BX111" s="49">
        <f>IF($A111="","",IF(AND($BO111&gt;0,AND($A111&lt;&gt;"",$C111&lt;&gt;"DOOR ONLY"),$X111="KD",$E111="EXTERIOR"),"KD label on an exterior opening, ","")&amp;IF(AND($E111="EXTERIOR",OR(AND(AND($A111&lt;&gt;"",$C111&lt;&gt;"DOOR ONLY"),$W111="CR"),AND(N($BC111)&gt;0,$AH111="CR"))),"exterior in CR steel (G9?), ","")&amp;IF(AND(ISNUMBER($BJ111),N($BJ111)&lt;32),"clear width ~"&amp;TEXT($BJ111,"0.0")&amp;CHAR(34)&amp;" under 32"&amp;CHAR(34)&amp;" (ADA), ","")&amp;IF(AND($BO111=90,AND(OR($BL111="FG",$BL111="HG",$BL111="FNV",$BL111="FV"),N($BM111)*N($BN111)&gt;100)),"90 min lite over 100 sq in (stair/exit), ","")&amp;IF(AND($BO111&gt;0,AND($A111&lt;&gt;"",$C111&lt;&gt;"DOOR ONLY"),OR($AF111="",$AF111="-")),"rated: closer reinf.?, ","")&amp;IF(OR($I111="CORRIDOR",$I111="SMOKE BARRIER"),"S label + smoke gasketing, ","")&amp;IF($BP111="?","wall type/hr not in IBC table, ","")&amp;IF(AND(N($BC111)&gt;0,$AU111=""),"no hardware set, ","")&amp;IF(AND($AU111&lt;&gt;"",ISNA(MATCH($AU111,HWSets,0))),"set "&amp;$AU111&amp;" not on Hardware sheet, ","")&amp;IF(N($BE111)&gt;96,"leaf over 8'-0"&amp;CHAR(34)&amp;" - check listing, ",""))</f>
        <v/>
      </c>
    </row>
    <row r="112" ht="15" customHeight="1">
      <c r="A112" s="44" t="n"/>
      <c r="B112" s="45" t="n"/>
      <c r="C112" s="45" t="n"/>
      <c r="D112" s="45" t="n"/>
      <c r="E112" s="45" t="n"/>
      <c r="F112" s="45" t="n"/>
      <c r="G112" s="45" t="n"/>
      <c r="H112" s="45" t="n"/>
      <c r="I112" s="45" t="n"/>
      <c r="J112" s="45" t="n"/>
      <c r="K112" s="45" t="n"/>
      <c r="L112" s="45" t="n"/>
      <c r="M112" s="45" t="n"/>
      <c r="N112" s="45" t="n"/>
      <c r="O112" s="45" t="n"/>
      <c r="P112" s="45" t="n"/>
      <c r="Q112" s="45" t="n"/>
      <c r="R112" s="45" t="n"/>
      <c r="S112" s="46" t="n"/>
      <c r="T112" s="46" t="n"/>
      <c r="U112" s="46" t="n"/>
      <c r="V112" s="46" t="n"/>
      <c r="W112" s="46" t="n"/>
      <c r="X112" s="46" t="n"/>
      <c r="Y112" s="46" t="n"/>
      <c r="Z112" s="46" t="n"/>
      <c r="AA112" s="46" t="n"/>
      <c r="AB112" s="46" t="n"/>
      <c r="AC112" s="46" t="n"/>
      <c r="AD112" s="46" t="n"/>
      <c r="AE112" s="46" t="n"/>
      <c r="AF112" s="46" t="n"/>
      <c r="AG112" s="46" t="n"/>
      <c r="AH112" s="47" t="n"/>
      <c r="AI112" s="47" t="n"/>
      <c r="AJ112" s="47" t="n"/>
      <c r="AK112" s="47" t="n"/>
      <c r="AL112" s="47" t="n"/>
      <c r="AM112" s="47" t="n"/>
      <c r="AN112" s="47" t="n"/>
      <c r="AO112" s="47" t="n"/>
      <c r="AP112" s="47" t="n"/>
      <c r="AQ112" s="47" t="n"/>
      <c r="AR112" s="47" t="n"/>
      <c r="AS112" s="47" t="n"/>
      <c r="AT112" s="47" t="n"/>
      <c r="AU112" s="48" t="n"/>
      <c r="AV112" s="48" t="n"/>
      <c r="AW112" s="49">
        <f>IF($A112="","",IF($BW112&lt;&gt;"","FIX",IF($BX112&lt;&gt;"","CHECK","OK")))</f>
        <v/>
      </c>
      <c r="AX112" s="50">
        <f>IF($A112="","",IF($BW112&lt;&gt;"","FIX: "&amp;LEFT($BW112,LEN($BW112)-2)&amp;IF($BX112&lt;&gt;"","  ·  ",""),"")&amp;IF($BX112&lt;&gt;"","CHECK: "&amp;LEFT($BX112,LEN($BX112)-2),""))</f>
        <v/>
      </c>
      <c r="AY112" s="49">
        <f>IF(OR($A112="",$K112=""),"",$K112&amp;"'-"&amp;N($L112)&amp;CHAR(34)&amp;" x "&amp;$M112&amp;"'-"&amp;N($N112)&amp;CHAR(34))</f>
        <v/>
      </c>
      <c r="AZ112" s="49">
        <f>IF(OR($A112="",$K112=""),"",$K112&amp;N($L112)&amp;$M112&amp;N($N112))</f>
        <v/>
      </c>
      <c r="BA112" s="49">
        <f>IF(OR($A112="",$K112=""),"",$K112*12+N($L112))</f>
        <v/>
      </c>
      <c r="BB112" s="49">
        <f>IF(OR($A112="",$M112=""),"",$M112*12+N($N112))</f>
        <v/>
      </c>
      <c r="BC112" s="49">
        <f>IF($A112="","",IF(OR($C112="FRAME ONLY",$S112="BL"),0,IF($O112="Y",2,1)))</f>
        <v/>
      </c>
      <c r="BD112" s="51">
        <f>IF(OR(N($BC112)=0,$BA112=""),"",($BA112-2*EdgeClr-IF($BC112=2,MeetClr,0))/$BC112)</f>
        <v/>
      </c>
      <c r="BE112" s="51">
        <f>IF(OR(N($BC112)=0,$BB112=""),"",$BB112-HeadClr-Undercut)</f>
        <v/>
      </c>
      <c r="BF112" s="51">
        <f>IF($BA112="","",$BA112+2*FaceW+IF(N($Q112)&gt;0,($Q112+FaceW)*IF($R112="LR",2,1),0))</f>
        <v/>
      </c>
      <c r="BG112" s="51">
        <f>IF($BB112="","",$BB112+IF($AB112="Y",4,FaceW)+IF(N($P112)&gt;0,$P112+FaceW,0)+IF(OR($S112="4F",$S112="BL"),FaceW,0))</f>
        <v/>
      </c>
      <c r="BH112" s="51">
        <f>IF($BF112="","",$BF112+2*ROSide)</f>
        <v/>
      </c>
      <c r="BI112" s="51">
        <f>IF($BG112="","",$BG112+ROTop)</f>
        <v/>
      </c>
      <c r="BJ112" s="52">
        <f>IF(OR(N($BC112)=0,$BA112=""),"",$BA112/$BC112-ClearDeduct)</f>
        <v/>
      </c>
      <c r="BK112" s="49">
        <f>IF(OR(N($BC112)=0,$BE112=""),"",IF(OR($AC112="HGC",$AP112="HGC"),"CONT",IF($BE112&lt;=60,2,IF($BE112&lt;=90,3,IF($BE112&lt;=120,4,5)))))</f>
        <v/>
      </c>
      <c r="BL112" s="49">
        <f>IF(N($BC112)=0,"",IF(OR($AL112="",$AL112="FLUSH"),"FLUSH",IFERROR(LEFT($AL112,FIND("-",$AL112)-1),LEFT($AL112,2))))</f>
        <v/>
      </c>
      <c r="BM112" s="49">
        <f>IF($BL112="","",IFERROR(VALUE(MID($AL112,FIND("-",$AL112)+1,FIND(CHAR(34)&amp;"x",$AL112)-FIND("-",$AL112)-1)),0))</f>
        <v/>
      </c>
      <c r="BN112" s="49">
        <f>IF($BL112="","",IFERROR(VALUE(MID($AL112,FIND(CHAR(34)&amp;"x",$AL112)+2,FIND(CHAR(34),$AL112,FIND(CHAR(34)&amp;"x",$AL112)+2)-FIND(CHAR(34)&amp;"x",$AL112)-2)),0))</f>
        <v/>
      </c>
      <c r="BO112" s="53">
        <f>IF(OR($A112="",$H112="",$H112="NO LAB"),0,IFERROR(VALUE(LEFT($H112,FIND(" ",$H112)-1)),0))</f>
        <v/>
      </c>
      <c r="BP112" s="54">
        <f>IF(OR($A112="",$I112="",$I112="NON-RATED",N($J112)=0),"",IFERROR(VLOOKUP($I112&amp;"|"&amp;$J112,IBC,2,FALSE),"?"))</f>
        <v/>
      </c>
      <c r="BQ112" s="50">
        <f>IF(NOT(AND($A112&lt;&gt;"",$C112&lt;&gt;"DOOR ONLY")),"",TRIM(IFERROR(VLOOKUP($U112,CODES,2,FALSE),"")&amp;" "&amp;$AZ112&amp;" "&amp;IFERROR(VLOOKUP($Z112,CODES,2,FALSE),"")&amp;" "&amp;IFERROR(VLOOKUP($X112,CODES,2,FALSE),"")&amp;" "&amp;IFERROR(VLOOKUP($S112,CODES,2,FALSE),"")&amp;IF(N($P112)&gt;0," w/TRANSOM "&amp;$P112&amp;CHAR(34),"")&amp;IF(N($Q112)&gt;0," w/SIDELITE "&amp;$Q112&amp;CHAR(34)&amp;" "&amp;IF($R112="","R",$R112),"")&amp;IF($Y112="","  |  "," | "&amp;IFERROR(VLOOKUP($Y112,CODES,2,FALSE),"")&amp;" | ")&amp;IFERROR(VLOOKUP($AC112,CODES,2,FALSE),"")&amp;" "&amp;IFERROR(VLOOKUP($AD112,CODES,2,FALSE),"")&amp;IF(OR($AE112="",$AE112="-"),""," "&amp;$AE112)&amp;IF(OR($AF112="",$AF112="-"),""," "&amp;$AF112)&amp;IF($AB112="Y"," 4"&amp;CHAR(34)&amp;" HEAD","")&amp;" "&amp;IFERROR(VLOOKUP($H112,CODES,2,FALSE),"")))</f>
        <v/>
      </c>
      <c r="BR112" s="50">
        <f>IF(NOT(AND($A112&lt;&gt;"",N($BC112)&gt;0)),"",TRIM(IFERROR(VLOOKUP($AH112,CODES,2,FALSE),"")&amp;IF($AI112=""," "," "&amp;$AI112&amp;"GA ")&amp;$AZ112&amp;" "&amp;IF($AN112="",IFERROR(VLOOKUP($Z112,CODES,2,FALSE),""),IFERROR(VLOOKUP($AN112,CODES,2,FALSE),""))&amp;IF($BC112=2," PAIR","")&amp;" DOOR | "&amp;IF($AL112="","?",$AL112)&amp;" | "&amp;IF($AP112="",IFERROR(VLOOKUP($AC112,CODES,2,FALSE),""),IFERROR(VLOOKUP($AP112,CODES,2,FALSE),""))&amp;" "&amp;IFERROR(VLOOKUP($AQ112,CODES,2,FALSE),"")&amp;IF(OR($AR112="",$AR112="-"),""," SEAM "&amp;$AR112)&amp;IF($AS112="Y"," ASTRAGAL","")&amp;IF($AJ112=""," "," "&amp;$AJ112)&amp;IF($AK112=""," "," "&amp;$AK112)&amp;IF($AO112="",""," "&amp;$AO112)&amp;IF($AM112=""," "," SERIES "&amp;$AM112)&amp;" "&amp;IFERROR(VLOOKUP($H112,CODES,2,FALSE),"")))</f>
        <v/>
      </c>
      <c r="BS112" s="49">
        <f>IF(BV112="","",IF(COUNTIF($BV$6:BV112,BV112)=1,MAX($BS$5:BS111)+1,INDEX($BS$5:BS111,MATCH(BV112,$BV$5:BV111,0))))</f>
        <v/>
      </c>
      <c r="BT112" s="49">
        <f>IF(NOT(AND($A112&lt;&gt;"",$C112&lt;&gt;"DOOR ONLY")),"",MAX($BT$5:BT111)+1)</f>
        <v/>
      </c>
      <c r="BU112" s="49">
        <f>IF(NOT(AND($A112&lt;&gt;"",N($BC112)&gt;0)),"",MAX($BU$5:BU111)+1)</f>
        <v/>
      </c>
      <c r="BV112" s="49">
        <f>IF(OR($A112="",$BA112="",$BB112=""),"",$AZ112&amp;"|"&amp;$O112&amp;"|"&amp;$AL112&amp;"|"&amp;$S112&amp;"|"&amp;$P112&amp;"|"&amp;$Q112&amp;$R112&amp;"|"&amp;$C112&amp;"|"&amp;$AB112)</f>
        <v/>
      </c>
      <c r="BW112" s="49">
        <f>IF($A112="","",IF($B112="","qty, ","")&amp;IF($C112="","scope, ","")&amp;IF(OR($K112="",$M112=""),"size, ","")&amp;IF(AND($A112&lt;&gt;"",$C112&lt;&gt;"DOOR ONLY"),IF($U112="","jamb depth, ","")&amp;IF($X112="","construction, ","")&amp;IF($Y112="","anchor, ","")&amp;IF($S112="","frame type, ",""),"")&amp;IF(AND(N($BC112)&gt;0,$Z112=""),"hand, ","")&amp;IF(N($BC112)&gt;0,IF($AH112="","door material, ","")&amp;IF($AL112="","face type, ","")&amp;IF($AQ112="","lock prep, ","")&amp;IF(AND($AP112="",$AC112=""),"hinge prep, ",""),"")&amp;IF(AND($BO112&gt;0,$AH112="FRP"),"FRP cannot carry a label, ","")&amp;IF(AND($O112="Y",OR($Z112="L",$Z112="R",$Z112="LR",$Z112="RR")),"pair marked but hand is single, ","")&amp;IF(AND($O112&lt;&gt;"Y",OR($Z112="PR",AND(LEN($Z112)&gt;1,ISNUMBER(SEARCH("-",$Z112))))),"pair hand on a single door, ","")&amp;IF(AND(ISNUMBER($BP112),$BO112&lt;N($BP112)),"wall needs a "&amp;$BP112&amp;" min door, ","")&amp;IF(AND($BO112&gt;=180,AND(OR($BL112="FG",$BL112="HG",$BL112="FNV",$BL112="FV"),N($BM112)*N($BN112)&gt;100)),"180 min lite over 100 sq in, ","")&amp;IF(N($BD112)&gt;48,"leaf wider than 4'-0"&amp;CHAR(34)&amp;", ",""))</f>
        <v/>
      </c>
      <c r="BX112" s="49">
        <f>IF($A112="","",IF(AND($BO112&gt;0,AND($A112&lt;&gt;"",$C112&lt;&gt;"DOOR ONLY"),$X112="KD",$E112="EXTERIOR"),"KD label on an exterior opening, ","")&amp;IF(AND($E112="EXTERIOR",OR(AND(AND($A112&lt;&gt;"",$C112&lt;&gt;"DOOR ONLY"),$W112="CR"),AND(N($BC112)&gt;0,$AH112="CR"))),"exterior in CR steel (G9?), ","")&amp;IF(AND(ISNUMBER($BJ112),N($BJ112)&lt;32),"clear width ~"&amp;TEXT($BJ112,"0.0")&amp;CHAR(34)&amp;" under 32"&amp;CHAR(34)&amp;" (ADA), ","")&amp;IF(AND($BO112=90,AND(OR($BL112="FG",$BL112="HG",$BL112="FNV",$BL112="FV"),N($BM112)*N($BN112)&gt;100)),"90 min lite over 100 sq in (stair/exit), ","")&amp;IF(AND($BO112&gt;0,AND($A112&lt;&gt;"",$C112&lt;&gt;"DOOR ONLY"),OR($AF112="",$AF112="-")),"rated: closer reinf.?, ","")&amp;IF(OR($I112="CORRIDOR",$I112="SMOKE BARRIER"),"S label + smoke gasketing, ","")&amp;IF($BP112="?","wall type/hr not in IBC table, ","")&amp;IF(AND(N($BC112)&gt;0,$AU112=""),"no hardware set, ","")&amp;IF(AND($AU112&lt;&gt;"",ISNA(MATCH($AU112,HWSets,0))),"set "&amp;$AU112&amp;" not on Hardware sheet, ","")&amp;IF(N($BE112)&gt;96,"leaf over 8'-0"&amp;CHAR(34)&amp;" - check listing, ",""))</f>
        <v/>
      </c>
    </row>
    <row r="113" ht="15" customHeight="1">
      <c r="A113" s="44" t="n"/>
      <c r="B113" s="45" t="n"/>
      <c r="C113" s="45" t="n"/>
      <c r="D113" s="45" t="n"/>
      <c r="E113" s="45" t="n"/>
      <c r="F113" s="45" t="n"/>
      <c r="G113" s="45" t="n"/>
      <c r="H113" s="45" t="n"/>
      <c r="I113" s="45" t="n"/>
      <c r="J113" s="45" t="n"/>
      <c r="K113" s="45" t="n"/>
      <c r="L113" s="45" t="n"/>
      <c r="M113" s="45" t="n"/>
      <c r="N113" s="45" t="n"/>
      <c r="O113" s="45" t="n"/>
      <c r="P113" s="45" t="n"/>
      <c r="Q113" s="45" t="n"/>
      <c r="R113" s="45" t="n"/>
      <c r="S113" s="46" t="n"/>
      <c r="T113" s="46" t="n"/>
      <c r="U113" s="46" t="n"/>
      <c r="V113" s="46" t="n"/>
      <c r="W113" s="46" t="n"/>
      <c r="X113" s="46" t="n"/>
      <c r="Y113" s="46" t="n"/>
      <c r="Z113" s="46" t="n"/>
      <c r="AA113" s="46" t="n"/>
      <c r="AB113" s="46" t="n"/>
      <c r="AC113" s="46" t="n"/>
      <c r="AD113" s="46" t="n"/>
      <c r="AE113" s="46" t="n"/>
      <c r="AF113" s="46" t="n"/>
      <c r="AG113" s="46" t="n"/>
      <c r="AH113" s="47" t="n"/>
      <c r="AI113" s="47" t="n"/>
      <c r="AJ113" s="47" t="n"/>
      <c r="AK113" s="47" t="n"/>
      <c r="AL113" s="47" t="n"/>
      <c r="AM113" s="47" t="n"/>
      <c r="AN113" s="47" t="n"/>
      <c r="AO113" s="47" t="n"/>
      <c r="AP113" s="47" t="n"/>
      <c r="AQ113" s="47" t="n"/>
      <c r="AR113" s="47" t="n"/>
      <c r="AS113" s="47" t="n"/>
      <c r="AT113" s="47" t="n"/>
      <c r="AU113" s="48" t="n"/>
      <c r="AV113" s="48" t="n"/>
      <c r="AW113" s="49">
        <f>IF($A113="","",IF($BW113&lt;&gt;"","FIX",IF($BX113&lt;&gt;"","CHECK","OK")))</f>
        <v/>
      </c>
      <c r="AX113" s="50">
        <f>IF($A113="","",IF($BW113&lt;&gt;"","FIX: "&amp;LEFT($BW113,LEN($BW113)-2)&amp;IF($BX113&lt;&gt;"","  ·  ",""),"")&amp;IF($BX113&lt;&gt;"","CHECK: "&amp;LEFT($BX113,LEN($BX113)-2),""))</f>
        <v/>
      </c>
      <c r="AY113" s="49">
        <f>IF(OR($A113="",$K113=""),"",$K113&amp;"'-"&amp;N($L113)&amp;CHAR(34)&amp;" x "&amp;$M113&amp;"'-"&amp;N($N113)&amp;CHAR(34))</f>
        <v/>
      </c>
      <c r="AZ113" s="49">
        <f>IF(OR($A113="",$K113=""),"",$K113&amp;N($L113)&amp;$M113&amp;N($N113))</f>
        <v/>
      </c>
      <c r="BA113" s="49">
        <f>IF(OR($A113="",$K113=""),"",$K113*12+N($L113))</f>
        <v/>
      </c>
      <c r="BB113" s="49">
        <f>IF(OR($A113="",$M113=""),"",$M113*12+N($N113))</f>
        <v/>
      </c>
      <c r="BC113" s="49">
        <f>IF($A113="","",IF(OR($C113="FRAME ONLY",$S113="BL"),0,IF($O113="Y",2,1)))</f>
        <v/>
      </c>
      <c r="BD113" s="51">
        <f>IF(OR(N($BC113)=0,$BA113=""),"",($BA113-2*EdgeClr-IF($BC113=2,MeetClr,0))/$BC113)</f>
        <v/>
      </c>
      <c r="BE113" s="51">
        <f>IF(OR(N($BC113)=0,$BB113=""),"",$BB113-HeadClr-Undercut)</f>
        <v/>
      </c>
      <c r="BF113" s="51">
        <f>IF($BA113="","",$BA113+2*FaceW+IF(N($Q113)&gt;0,($Q113+FaceW)*IF($R113="LR",2,1),0))</f>
        <v/>
      </c>
      <c r="BG113" s="51">
        <f>IF($BB113="","",$BB113+IF($AB113="Y",4,FaceW)+IF(N($P113)&gt;0,$P113+FaceW,0)+IF(OR($S113="4F",$S113="BL"),FaceW,0))</f>
        <v/>
      </c>
      <c r="BH113" s="51">
        <f>IF($BF113="","",$BF113+2*ROSide)</f>
        <v/>
      </c>
      <c r="BI113" s="51">
        <f>IF($BG113="","",$BG113+ROTop)</f>
        <v/>
      </c>
      <c r="BJ113" s="52">
        <f>IF(OR(N($BC113)=0,$BA113=""),"",$BA113/$BC113-ClearDeduct)</f>
        <v/>
      </c>
      <c r="BK113" s="49">
        <f>IF(OR(N($BC113)=0,$BE113=""),"",IF(OR($AC113="HGC",$AP113="HGC"),"CONT",IF($BE113&lt;=60,2,IF($BE113&lt;=90,3,IF($BE113&lt;=120,4,5)))))</f>
        <v/>
      </c>
      <c r="BL113" s="49">
        <f>IF(N($BC113)=0,"",IF(OR($AL113="",$AL113="FLUSH"),"FLUSH",IFERROR(LEFT($AL113,FIND("-",$AL113)-1),LEFT($AL113,2))))</f>
        <v/>
      </c>
      <c r="BM113" s="49">
        <f>IF($BL113="","",IFERROR(VALUE(MID($AL113,FIND("-",$AL113)+1,FIND(CHAR(34)&amp;"x",$AL113)-FIND("-",$AL113)-1)),0))</f>
        <v/>
      </c>
      <c r="BN113" s="49">
        <f>IF($BL113="","",IFERROR(VALUE(MID($AL113,FIND(CHAR(34)&amp;"x",$AL113)+2,FIND(CHAR(34),$AL113,FIND(CHAR(34)&amp;"x",$AL113)+2)-FIND(CHAR(34)&amp;"x",$AL113)-2)),0))</f>
        <v/>
      </c>
      <c r="BO113" s="53">
        <f>IF(OR($A113="",$H113="",$H113="NO LAB"),0,IFERROR(VALUE(LEFT($H113,FIND(" ",$H113)-1)),0))</f>
        <v/>
      </c>
      <c r="BP113" s="54">
        <f>IF(OR($A113="",$I113="",$I113="NON-RATED",N($J113)=0),"",IFERROR(VLOOKUP($I113&amp;"|"&amp;$J113,IBC,2,FALSE),"?"))</f>
        <v/>
      </c>
      <c r="BQ113" s="50">
        <f>IF(NOT(AND($A113&lt;&gt;"",$C113&lt;&gt;"DOOR ONLY")),"",TRIM(IFERROR(VLOOKUP($U113,CODES,2,FALSE),"")&amp;" "&amp;$AZ113&amp;" "&amp;IFERROR(VLOOKUP($Z113,CODES,2,FALSE),"")&amp;" "&amp;IFERROR(VLOOKUP($X113,CODES,2,FALSE),"")&amp;" "&amp;IFERROR(VLOOKUP($S113,CODES,2,FALSE),"")&amp;IF(N($P113)&gt;0," w/TRANSOM "&amp;$P113&amp;CHAR(34),"")&amp;IF(N($Q113)&gt;0," w/SIDELITE "&amp;$Q113&amp;CHAR(34)&amp;" "&amp;IF($R113="","R",$R113),"")&amp;IF($Y113="","  |  "," | "&amp;IFERROR(VLOOKUP($Y113,CODES,2,FALSE),"")&amp;" | ")&amp;IFERROR(VLOOKUP($AC113,CODES,2,FALSE),"")&amp;" "&amp;IFERROR(VLOOKUP($AD113,CODES,2,FALSE),"")&amp;IF(OR($AE113="",$AE113="-"),""," "&amp;$AE113)&amp;IF(OR($AF113="",$AF113="-"),""," "&amp;$AF113)&amp;IF($AB113="Y"," 4"&amp;CHAR(34)&amp;" HEAD","")&amp;" "&amp;IFERROR(VLOOKUP($H113,CODES,2,FALSE),"")))</f>
        <v/>
      </c>
      <c r="BR113" s="50">
        <f>IF(NOT(AND($A113&lt;&gt;"",N($BC113)&gt;0)),"",TRIM(IFERROR(VLOOKUP($AH113,CODES,2,FALSE),"")&amp;IF($AI113=""," "," "&amp;$AI113&amp;"GA ")&amp;$AZ113&amp;" "&amp;IF($AN113="",IFERROR(VLOOKUP($Z113,CODES,2,FALSE),""),IFERROR(VLOOKUP($AN113,CODES,2,FALSE),""))&amp;IF($BC113=2," PAIR","")&amp;" DOOR | "&amp;IF($AL113="","?",$AL113)&amp;" | "&amp;IF($AP113="",IFERROR(VLOOKUP($AC113,CODES,2,FALSE),""),IFERROR(VLOOKUP($AP113,CODES,2,FALSE),""))&amp;" "&amp;IFERROR(VLOOKUP($AQ113,CODES,2,FALSE),"")&amp;IF(OR($AR113="",$AR113="-"),""," SEAM "&amp;$AR113)&amp;IF($AS113="Y"," ASTRAGAL","")&amp;IF($AJ113=""," "," "&amp;$AJ113)&amp;IF($AK113=""," "," "&amp;$AK113)&amp;IF($AO113="",""," "&amp;$AO113)&amp;IF($AM113=""," "," SERIES "&amp;$AM113)&amp;" "&amp;IFERROR(VLOOKUP($H113,CODES,2,FALSE),"")))</f>
        <v/>
      </c>
      <c r="BS113" s="49">
        <f>IF(BV113="","",IF(COUNTIF($BV$6:BV113,BV113)=1,MAX($BS$5:BS112)+1,INDEX($BS$5:BS112,MATCH(BV113,$BV$5:BV112,0))))</f>
        <v/>
      </c>
      <c r="BT113" s="49">
        <f>IF(NOT(AND($A113&lt;&gt;"",$C113&lt;&gt;"DOOR ONLY")),"",MAX($BT$5:BT112)+1)</f>
        <v/>
      </c>
      <c r="BU113" s="49">
        <f>IF(NOT(AND($A113&lt;&gt;"",N($BC113)&gt;0)),"",MAX($BU$5:BU112)+1)</f>
        <v/>
      </c>
      <c r="BV113" s="49">
        <f>IF(OR($A113="",$BA113="",$BB113=""),"",$AZ113&amp;"|"&amp;$O113&amp;"|"&amp;$AL113&amp;"|"&amp;$S113&amp;"|"&amp;$P113&amp;"|"&amp;$Q113&amp;$R113&amp;"|"&amp;$C113&amp;"|"&amp;$AB113)</f>
        <v/>
      </c>
      <c r="BW113" s="49">
        <f>IF($A113="","",IF($B113="","qty, ","")&amp;IF($C113="","scope, ","")&amp;IF(OR($K113="",$M113=""),"size, ","")&amp;IF(AND($A113&lt;&gt;"",$C113&lt;&gt;"DOOR ONLY"),IF($U113="","jamb depth, ","")&amp;IF($X113="","construction, ","")&amp;IF($Y113="","anchor, ","")&amp;IF($S113="","frame type, ",""),"")&amp;IF(AND(N($BC113)&gt;0,$Z113=""),"hand, ","")&amp;IF(N($BC113)&gt;0,IF($AH113="","door material, ","")&amp;IF($AL113="","face type, ","")&amp;IF($AQ113="","lock prep, ","")&amp;IF(AND($AP113="",$AC113=""),"hinge prep, ",""),"")&amp;IF(AND($BO113&gt;0,$AH113="FRP"),"FRP cannot carry a label, ","")&amp;IF(AND($O113="Y",OR($Z113="L",$Z113="R",$Z113="LR",$Z113="RR")),"pair marked but hand is single, ","")&amp;IF(AND($O113&lt;&gt;"Y",OR($Z113="PR",AND(LEN($Z113)&gt;1,ISNUMBER(SEARCH("-",$Z113))))),"pair hand on a single door, ","")&amp;IF(AND(ISNUMBER($BP113),$BO113&lt;N($BP113)),"wall needs a "&amp;$BP113&amp;" min door, ","")&amp;IF(AND($BO113&gt;=180,AND(OR($BL113="FG",$BL113="HG",$BL113="FNV",$BL113="FV"),N($BM113)*N($BN113)&gt;100)),"180 min lite over 100 sq in, ","")&amp;IF(N($BD113)&gt;48,"leaf wider than 4'-0"&amp;CHAR(34)&amp;", ",""))</f>
        <v/>
      </c>
      <c r="BX113" s="49">
        <f>IF($A113="","",IF(AND($BO113&gt;0,AND($A113&lt;&gt;"",$C113&lt;&gt;"DOOR ONLY"),$X113="KD",$E113="EXTERIOR"),"KD label on an exterior opening, ","")&amp;IF(AND($E113="EXTERIOR",OR(AND(AND($A113&lt;&gt;"",$C113&lt;&gt;"DOOR ONLY"),$W113="CR"),AND(N($BC113)&gt;0,$AH113="CR"))),"exterior in CR steel (G9?), ","")&amp;IF(AND(ISNUMBER($BJ113),N($BJ113)&lt;32),"clear width ~"&amp;TEXT($BJ113,"0.0")&amp;CHAR(34)&amp;" under 32"&amp;CHAR(34)&amp;" (ADA), ","")&amp;IF(AND($BO113=90,AND(OR($BL113="FG",$BL113="HG",$BL113="FNV",$BL113="FV"),N($BM113)*N($BN113)&gt;100)),"90 min lite over 100 sq in (stair/exit), ","")&amp;IF(AND($BO113&gt;0,AND($A113&lt;&gt;"",$C113&lt;&gt;"DOOR ONLY"),OR($AF113="",$AF113="-")),"rated: closer reinf.?, ","")&amp;IF(OR($I113="CORRIDOR",$I113="SMOKE BARRIER"),"S label + smoke gasketing, ","")&amp;IF($BP113="?","wall type/hr not in IBC table, ","")&amp;IF(AND(N($BC113)&gt;0,$AU113=""),"no hardware set, ","")&amp;IF(AND($AU113&lt;&gt;"",ISNA(MATCH($AU113,HWSets,0))),"set "&amp;$AU113&amp;" not on Hardware sheet, ","")&amp;IF(N($BE113)&gt;96,"leaf over 8'-0"&amp;CHAR(34)&amp;" - check listing, ",""))</f>
        <v/>
      </c>
    </row>
    <row r="114" ht="15" customHeight="1">
      <c r="A114" s="44" t="n"/>
      <c r="B114" s="45" t="n"/>
      <c r="C114" s="45" t="n"/>
      <c r="D114" s="45" t="n"/>
      <c r="E114" s="45" t="n"/>
      <c r="F114" s="45" t="n"/>
      <c r="G114" s="45" t="n"/>
      <c r="H114" s="45" t="n"/>
      <c r="I114" s="45" t="n"/>
      <c r="J114" s="45" t="n"/>
      <c r="K114" s="45" t="n"/>
      <c r="L114" s="45" t="n"/>
      <c r="M114" s="45" t="n"/>
      <c r="N114" s="45" t="n"/>
      <c r="O114" s="45" t="n"/>
      <c r="P114" s="45" t="n"/>
      <c r="Q114" s="45" t="n"/>
      <c r="R114" s="45" t="n"/>
      <c r="S114" s="46" t="n"/>
      <c r="T114" s="46" t="n"/>
      <c r="U114" s="46" t="n"/>
      <c r="V114" s="46" t="n"/>
      <c r="W114" s="46" t="n"/>
      <c r="X114" s="46" t="n"/>
      <c r="Y114" s="46" t="n"/>
      <c r="Z114" s="46" t="n"/>
      <c r="AA114" s="46" t="n"/>
      <c r="AB114" s="46" t="n"/>
      <c r="AC114" s="46" t="n"/>
      <c r="AD114" s="46" t="n"/>
      <c r="AE114" s="46" t="n"/>
      <c r="AF114" s="46" t="n"/>
      <c r="AG114" s="46" t="n"/>
      <c r="AH114" s="47" t="n"/>
      <c r="AI114" s="47" t="n"/>
      <c r="AJ114" s="47" t="n"/>
      <c r="AK114" s="47" t="n"/>
      <c r="AL114" s="47" t="n"/>
      <c r="AM114" s="47" t="n"/>
      <c r="AN114" s="47" t="n"/>
      <c r="AO114" s="47" t="n"/>
      <c r="AP114" s="47" t="n"/>
      <c r="AQ114" s="47" t="n"/>
      <c r="AR114" s="47" t="n"/>
      <c r="AS114" s="47" t="n"/>
      <c r="AT114" s="47" t="n"/>
      <c r="AU114" s="48" t="n"/>
      <c r="AV114" s="48" t="n"/>
      <c r="AW114" s="49">
        <f>IF($A114="","",IF($BW114&lt;&gt;"","FIX",IF($BX114&lt;&gt;"","CHECK","OK")))</f>
        <v/>
      </c>
      <c r="AX114" s="50">
        <f>IF($A114="","",IF($BW114&lt;&gt;"","FIX: "&amp;LEFT($BW114,LEN($BW114)-2)&amp;IF($BX114&lt;&gt;"","  ·  ",""),"")&amp;IF($BX114&lt;&gt;"","CHECK: "&amp;LEFT($BX114,LEN($BX114)-2),""))</f>
        <v/>
      </c>
      <c r="AY114" s="49">
        <f>IF(OR($A114="",$K114=""),"",$K114&amp;"'-"&amp;N($L114)&amp;CHAR(34)&amp;" x "&amp;$M114&amp;"'-"&amp;N($N114)&amp;CHAR(34))</f>
        <v/>
      </c>
      <c r="AZ114" s="49">
        <f>IF(OR($A114="",$K114=""),"",$K114&amp;N($L114)&amp;$M114&amp;N($N114))</f>
        <v/>
      </c>
      <c r="BA114" s="49">
        <f>IF(OR($A114="",$K114=""),"",$K114*12+N($L114))</f>
        <v/>
      </c>
      <c r="BB114" s="49">
        <f>IF(OR($A114="",$M114=""),"",$M114*12+N($N114))</f>
        <v/>
      </c>
      <c r="BC114" s="49">
        <f>IF($A114="","",IF(OR($C114="FRAME ONLY",$S114="BL"),0,IF($O114="Y",2,1)))</f>
        <v/>
      </c>
      <c r="BD114" s="51">
        <f>IF(OR(N($BC114)=0,$BA114=""),"",($BA114-2*EdgeClr-IF($BC114=2,MeetClr,0))/$BC114)</f>
        <v/>
      </c>
      <c r="BE114" s="51">
        <f>IF(OR(N($BC114)=0,$BB114=""),"",$BB114-HeadClr-Undercut)</f>
        <v/>
      </c>
      <c r="BF114" s="51">
        <f>IF($BA114="","",$BA114+2*FaceW+IF(N($Q114)&gt;0,($Q114+FaceW)*IF($R114="LR",2,1),0))</f>
        <v/>
      </c>
      <c r="BG114" s="51">
        <f>IF($BB114="","",$BB114+IF($AB114="Y",4,FaceW)+IF(N($P114)&gt;0,$P114+FaceW,0)+IF(OR($S114="4F",$S114="BL"),FaceW,0))</f>
        <v/>
      </c>
      <c r="BH114" s="51">
        <f>IF($BF114="","",$BF114+2*ROSide)</f>
        <v/>
      </c>
      <c r="BI114" s="51">
        <f>IF($BG114="","",$BG114+ROTop)</f>
        <v/>
      </c>
      <c r="BJ114" s="52">
        <f>IF(OR(N($BC114)=0,$BA114=""),"",$BA114/$BC114-ClearDeduct)</f>
        <v/>
      </c>
      <c r="BK114" s="49">
        <f>IF(OR(N($BC114)=0,$BE114=""),"",IF(OR($AC114="HGC",$AP114="HGC"),"CONT",IF($BE114&lt;=60,2,IF($BE114&lt;=90,3,IF($BE114&lt;=120,4,5)))))</f>
        <v/>
      </c>
      <c r="BL114" s="49">
        <f>IF(N($BC114)=0,"",IF(OR($AL114="",$AL114="FLUSH"),"FLUSH",IFERROR(LEFT($AL114,FIND("-",$AL114)-1),LEFT($AL114,2))))</f>
        <v/>
      </c>
      <c r="BM114" s="49">
        <f>IF($BL114="","",IFERROR(VALUE(MID($AL114,FIND("-",$AL114)+1,FIND(CHAR(34)&amp;"x",$AL114)-FIND("-",$AL114)-1)),0))</f>
        <v/>
      </c>
      <c r="BN114" s="49">
        <f>IF($BL114="","",IFERROR(VALUE(MID($AL114,FIND(CHAR(34)&amp;"x",$AL114)+2,FIND(CHAR(34),$AL114,FIND(CHAR(34)&amp;"x",$AL114)+2)-FIND(CHAR(34)&amp;"x",$AL114)-2)),0))</f>
        <v/>
      </c>
      <c r="BO114" s="53">
        <f>IF(OR($A114="",$H114="",$H114="NO LAB"),0,IFERROR(VALUE(LEFT($H114,FIND(" ",$H114)-1)),0))</f>
        <v/>
      </c>
      <c r="BP114" s="54">
        <f>IF(OR($A114="",$I114="",$I114="NON-RATED",N($J114)=0),"",IFERROR(VLOOKUP($I114&amp;"|"&amp;$J114,IBC,2,FALSE),"?"))</f>
        <v/>
      </c>
      <c r="BQ114" s="50">
        <f>IF(NOT(AND($A114&lt;&gt;"",$C114&lt;&gt;"DOOR ONLY")),"",TRIM(IFERROR(VLOOKUP($U114,CODES,2,FALSE),"")&amp;" "&amp;$AZ114&amp;" "&amp;IFERROR(VLOOKUP($Z114,CODES,2,FALSE),"")&amp;" "&amp;IFERROR(VLOOKUP($X114,CODES,2,FALSE),"")&amp;" "&amp;IFERROR(VLOOKUP($S114,CODES,2,FALSE),"")&amp;IF(N($P114)&gt;0," w/TRANSOM "&amp;$P114&amp;CHAR(34),"")&amp;IF(N($Q114)&gt;0," w/SIDELITE "&amp;$Q114&amp;CHAR(34)&amp;" "&amp;IF($R114="","R",$R114),"")&amp;IF($Y114="","  |  "," | "&amp;IFERROR(VLOOKUP($Y114,CODES,2,FALSE),"")&amp;" | ")&amp;IFERROR(VLOOKUP($AC114,CODES,2,FALSE),"")&amp;" "&amp;IFERROR(VLOOKUP($AD114,CODES,2,FALSE),"")&amp;IF(OR($AE114="",$AE114="-"),""," "&amp;$AE114)&amp;IF(OR($AF114="",$AF114="-"),""," "&amp;$AF114)&amp;IF($AB114="Y"," 4"&amp;CHAR(34)&amp;" HEAD","")&amp;" "&amp;IFERROR(VLOOKUP($H114,CODES,2,FALSE),"")))</f>
        <v/>
      </c>
      <c r="BR114" s="50">
        <f>IF(NOT(AND($A114&lt;&gt;"",N($BC114)&gt;0)),"",TRIM(IFERROR(VLOOKUP($AH114,CODES,2,FALSE),"")&amp;IF($AI114=""," "," "&amp;$AI114&amp;"GA ")&amp;$AZ114&amp;" "&amp;IF($AN114="",IFERROR(VLOOKUP($Z114,CODES,2,FALSE),""),IFERROR(VLOOKUP($AN114,CODES,2,FALSE),""))&amp;IF($BC114=2," PAIR","")&amp;" DOOR | "&amp;IF($AL114="","?",$AL114)&amp;" | "&amp;IF($AP114="",IFERROR(VLOOKUP($AC114,CODES,2,FALSE),""),IFERROR(VLOOKUP($AP114,CODES,2,FALSE),""))&amp;" "&amp;IFERROR(VLOOKUP($AQ114,CODES,2,FALSE),"")&amp;IF(OR($AR114="",$AR114="-"),""," SEAM "&amp;$AR114)&amp;IF($AS114="Y"," ASTRAGAL","")&amp;IF($AJ114=""," "," "&amp;$AJ114)&amp;IF($AK114=""," "," "&amp;$AK114)&amp;IF($AO114="",""," "&amp;$AO114)&amp;IF($AM114=""," "," SERIES "&amp;$AM114)&amp;" "&amp;IFERROR(VLOOKUP($H114,CODES,2,FALSE),"")))</f>
        <v/>
      </c>
      <c r="BS114" s="49">
        <f>IF(BV114="","",IF(COUNTIF($BV$6:BV114,BV114)=1,MAX($BS$5:BS113)+1,INDEX($BS$5:BS113,MATCH(BV114,$BV$5:BV113,0))))</f>
        <v/>
      </c>
      <c r="BT114" s="49">
        <f>IF(NOT(AND($A114&lt;&gt;"",$C114&lt;&gt;"DOOR ONLY")),"",MAX($BT$5:BT113)+1)</f>
        <v/>
      </c>
      <c r="BU114" s="49">
        <f>IF(NOT(AND($A114&lt;&gt;"",N($BC114)&gt;0)),"",MAX($BU$5:BU113)+1)</f>
        <v/>
      </c>
      <c r="BV114" s="49">
        <f>IF(OR($A114="",$BA114="",$BB114=""),"",$AZ114&amp;"|"&amp;$O114&amp;"|"&amp;$AL114&amp;"|"&amp;$S114&amp;"|"&amp;$P114&amp;"|"&amp;$Q114&amp;$R114&amp;"|"&amp;$C114&amp;"|"&amp;$AB114)</f>
        <v/>
      </c>
      <c r="BW114" s="49">
        <f>IF($A114="","",IF($B114="","qty, ","")&amp;IF($C114="","scope, ","")&amp;IF(OR($K114="",$M114=""),"size, ","")&amp;IF(AND($A114&lt;&gt;"",$C114&lt;&gt;"DOOR ONLY"),IF($U114="","jamb depth, ","")&amp;IF($X114="","construction, ","")&amp;IF($Y114="","anchor, ","")&amp;IF($S114="","frame type, ",""),"")&amp;IF(AND(N($BC114)&gt;0,$Z114=""),"hand, ","")&amp;IF(N($BC114)&gt;0,IF($AH114="","door material, ","")&amp;IF($AL114="","face type, ","")&amp;IF($AQ114="","lock prep, ","")&amp;IF(AND($AP114="",$AC114=""),"hinge prep, ",""),"")&amp;IF(AND($BO114&gt;0,$AH114="FRP"),"FRP cannot carry a label, ","")&amp;IF(AND($O114="Y",OR($Z114="L",$Z114="R",$Z114="LR",$Z114="RR")),"pair marked but hand is single, ","")&amp;IF(AND($O114&lt;&gt;"Y",OR($Z114="PR",AND(LEN($Z114)&gt;1,ISNUMBER(SEARCH("-",$Z114))))),"pair hand on a single door, ","")&amp;IF(AND(ISNUMBER($BP114),$BO114&lt;N($BP114)),"wall needs a "&amp;$BP114&amp;" min door, ","")&amp;IF(AND($BO114&gt;=180,AND(OR($BL114="FG",$BL114="HG",$BL114="FNV",$BL114="FV"),N($BM114)*N($BN114)&gt;100)),"180 min lite over 100 sq in, ","")&amp;IF(N($BD114)&gt;48,"leaf wider than 4'-0"&amp;CHAR(34)&amp;", ",""))</f>
        <v/>
      </c>
      <c r="BX114" s="49">
        <f>IF($A114="","",IF(AND($BO114&gt;0,AND($A114&lt;&gt;"",$C114&lt;&gt;"DOOR ONLY"),$X114="KD",$E114="EXTERIOR"),"KD label on an exterior opening, ","")&amp;IF(AND($E114="EXTERIOR",OR(AND(AND($A114&lt;&gt;"",$C114&lt;&gt;"DOOR ONLY"),$W114="CR"),AND(N($BC114)&gt;0,$AH114="CR"))),"exterior in CR steel (G9?), ","")&amp;IF(AND(ISNUMBER($BJ114),N($BJ114)&lt;32),"clear width ~"&amp;TEXT($BJ114,"0.0")&amp;CHAR(34)&amp;" under 32"&amp;CHAR(34)&amp;" (ADA), ","")&amp;IF(AND($BO114=90,AND(OR($BL114="FG",$BL114="HG",$BL114="FNV",$BL114="FV"),N($BM114)*N($BN114)&gt;100)),"90 min lite over 100 sq in (stair/exit), ","")&amp;IF(AND($BO114&gt;0,AND($A114&lt;&gt;"",$C114&lt;&gt;"DOOR ONLY"),OR($AF114="",$AF114="-")),"rated: closer reinf.?, ","")&amp;IF(OR($I114="CORRIDOR",$I114="SMOKE BARRIER"),"S label + smoke gasketing, ","")&amp;IF($BP114="?","wall type/hr not in IBC table, ","")&amp;IF(AND(N($BC114)&gt;0,$AU114=""),"no hardware set, ","")&amp;IF(AND($AU114&lt;&gt;"",ISNA(MATCH($AU114,HWSets,0))),"set "&amp;$AU114&amp;" not on Hardware sheet, ","")&amp;IF(N($BE114)&gt;96,"leaf over 8'-0"&amp;CHAR(34)&amp;" - check listing, ",""))</f>
        <v/>
      </c>
    </row>
    <row r="115" ht="15" customHeight="1">
      <c r="A115" s="44" t="n"/>
      <c r="B115" s="45" t="n"/>
      <c r="C115" s="45" t="n"/>
      <c r="D115" s="45" t="n"/>
      <c r="E115" s="45" t="n"/>
      <c r="F115" s="45" t="n"/>
      <c r="G115" s="45" t="n"/>
      <c r="H115" s="45" t="n"/>
      <c r="I115" s="45" t="n"/>
      <c r="J115" s="45" t="n"/>
      <c r="K115" s="45" t="n"/>
      <c r="L115" s="45" t="n"/>
      <c r="M115" s="45" t="n"/>
      <c r="N115" s="45" t="n"/>
      <c r="O115" s="45" t="n"/>
      <c r="P115" s="45" t="n"/>
      <c r="Q115" s="45" t="n"/>
      <c r="R115" s="45" t="n"/>
      <c r="S115" s="46" t="n"/>
      <c r="T115" s="46" t="n"/>
      <c r="U115" s="46" t="n"/>
      <c r="V115" s="46" t="n"/>
      <c r="W115" s="46" t="n"/>
      <c r="X115" s="46" t="n"/>
      <c r="Y115" s="46" t="n"/>
      <c r="Z115" s="46" t="n"/>
      <c r="AA115" s="46" t="n"/>
      <c r="AB115" s="46" t="n"/>
      <c r="AC115" s="46" t="n"/>
      <c r="AD115" s="46" t="n"/>
      <c r="AE115" s="46" t="n"/>
      <c r="AF115" s="46" t="n"/>
      <c r="AG115" s="46" t="n"/>
      <c r="AH115" s="47" t="n"/>
      <c r="AI115" s="47" t="n"/>
      <c r="AJ115" s="47" t="n"/>
      <c r="AK115" s="47" t="n"/>
      <c r="AL115" s="47" t="n"/>
      <c r="AM115" s="47" t="n"/>
      <c r="AN115" s="47" t="n"/>
      <c r="AO115" s="47" t="n"/>
      <c r="AP115" s="47" t="n"/>
      <c r="AQ115" s="47" t="n"/>
      <c r="AR115" s="47" t="n"/>
      <c r="AS115" s="47" t="n"/>
      <c r="AT115" s="47" t="n"/>
      <c r="AU115" s="48" t="n"/>
      <c r="AV115" s="48" t="n"/>
      <c r="AW115" s="49">
        <f>IF($A115="","",IF($BW115&lt;&gt;"","FIX",IF($BX115&lt;&gt;"","CHECK","OK")))</f>
        <v/>
      </c>
      <c r="AX115" s="50">
        <f>IF($A115="","",IF($BW115&lt;&gt;"","FIX: "&amp;LEFT($BW115,LEN($BW115)-2)&amp;IF($BX115&lt;&gt;"","  ·  ",""),"")&amp;IF($BX115&lt;&gt;"","CHECK: "&amp;LEFT($BX115,LEN($BX115)-2),""))</f>
        <v/>
      </c>
      <c r="AY115" s="49">
        <f>IF(OR($A115="",$K115=""),"",$K115&amp;"'-"&amp;N($L115)&amp;CHAR(34)&amp;" x "&amp;$M115&amp;"'-"&amp;N($N115)&amp;CHAR(34))</f>
        <v/>
      </c>
      <c r="AZ115" s="49">
        <f>IF(OR($A115="",$K115=""),"",$K115&amp;N($L115)&amp;$M115&amp;N($N115))</f>
        <v/>
      </c>
      <c r="BA115" s="49">
        <f>IF(OR($A115="",$K115=""),"",$K115*12+N($L115))</f>
        <v/>
      </c>
      <c r="BB115" s="49">
        <f>IF(OR($A115="",$M115=""),"",$M115*12+N($N115))</f>
        <v/>
      </c>
      <c r="BC115" s="49">
        <f>IF($A115="","",IF(OR($C115="FRAME ONLY",$S115="BL"),0,IF($O115="Y",2,1)))</f>
        <v/>
      </c>
      <c r="BD115" s="51">
        <f>IF(OR(N($BC115)=0,$BA115=""),"",($BA115-2*EdgeClr-IF($BC115=2,MeetClr,0))/$BC115)</f>
        <v/>
      </c>
      <c r="BE115" s="51">
        <f>IF(OR(N($BC115)=0,$BB115=""),"",$BB115-HeadClr-Undercut)</f>
        <v/>
      </c>
      <c r="BF115" s="51">
        <f>IF($BA115="","",$BA115+2*FaceW+IF(N($Q115)&gt;0,($Q115+FaceW)*IF($R115="LR",2,1),0))</f>
        <v/>
      </c>
      <c r="BG115" s="51">
        <f>IF($BB115="","",$BB115+IF($AB115="Y",4,FaceW)+IF(N($P115)&gt;0,$P115+FaceW,0)+IF(OR($S115="4F",$S115="BL"),FaceW,0))</f>
        <v/>
      </c>
      <c r="BH115" s="51">
        <f>IF($BF115="","",$BF115+2*ROSide)</f>
        <v/>
      </c>
      <c r="BI115" s="51">
        <f>IF($BG115="","",$BG115+ROTop)</f>
        <v/>
      </c>
      <c r="BJ115" s="52">
        <f>IF(OR(N($BC115)=0,$BA115=""),"",$BA115/$BC115-ClearDeduct)</f>
        <v/>
      </c>
      <c r="BK115" s="49">
        <f>IF(OR(N($BC115)=0,$BE115=""),"",IF(OR($AC115="HGC",$AP115="HGC"),"CONT",IF($BE115&lt;=60,2,IF($BE115&lt;=90,3,IF($BE115&lt;=120,4,5)))))</f>
        <v/>
      </c>
      <c r="BL115" s="49">
        <f>IF(N($BC115)=0,"",IF(OR($AL115="",$AL115="FLUSH"),"FLUSH",IFERROR(LEFT($AL115,FIND("-",$AL115)-1),LEFT($AL115,2))))</f>
        <v/>
      </c>
      <c r="BM115" s="49">
        <f>IF($BL115="","",IFERROR(VALUE(MID($AL115,FIND("-",$AL115)+1,FIND(CHAR(34)&amp;"x",$AL115)-FIND("-",$AL115)-1)),0))</f>
        <v/>
      </c>
      <c r="BN115" s="49">
        <f>IF($BL115="","",IFERROR(VALUE(MID($AL115,FIND(CHAR(34)&amp;"x",$AL115)+2,FIND(CHAR(34),$AL115,FIND(CHAR(34)&amp;"x",$AL115)+2)-FIND(CHAR(34)&amp;"x",$AL115)-2)),0))</f>
        <v/>
      </c>
      <c r="BO115" s="53">
        <f>IF(OR($A115="",$H115="",$H115="NO LAB"),0,IFERROR(VALUE(LEFT($H115,FIND(" ",$H115)-1)),0))</f>
        <v/>
      </c>
      <c r="BP115" s="54">
        <f>IF(OR($A115="",$I115="",$I115="NON-RATED",N($J115)=0),"",IFERROR(VLOOKUP($I115&amp;"|"&amp;$J115,IBC,2,FALSE),"?"))</f>
        <v/>
      </c>
      <c r="BQ115" s="50">
        <f>IF(NOT(AND($A115&lt;&gt;"",$C115&lt;&gt;"DOOR ONLY")),"",TRIM(IFERROR(VLOOKUP($U115,CODES,2,FALSE),"")&amp;" "&amp;$AZ115&amp;" "&amp;IFERROR(VLOOKUP($Z115,CODES,2,FALSE),"")&amp;" "&amp;IFERROR(VLOOKUP($X115,CODES,2,FALSE),"")&amp;" "&amp;IFERROR(VLOOKUP($S115,CODES,2,FALSE),"")&amp;IF(N($P115)&gt;0," w/TRANSOM "&amp;$P115&amp;CHAR(34),"")&amp;IF(N($Q115)&gt;0," w/SIDELITE "&amp;$Q115&amp;CHAR(34)&amp;" "&amp;IF($R115="","R",$R115),"")&amp;IF($Y115="","  |  "," | "&amp;IFERROR(VLOOKUP($Y115,CODES,2,FALSE),"")&amp;" | ")&amp;IFERROR(VLOOKUP($AC115,CODES,2,FALSE),"")&amp;" "&amp;IFERROR(VLOOKUP($AD115,CODES,2,FALSE),"")&amp;IF(OR($AE115="",$AE115="-"),""," "&amp;$AE115)&amp;IF(OR($AF115="",$AF115="-"),""," "&amp;$AF115)&amp;IF($AB115="Y"," 4"&amp;CHAR(34)&amp;" HEAD","")&amp;" "&amp;IFERROR(VLOOKUP($H115,CODES,2,FALSE),"")))</f>
        <v/>
      </c>
      <c r="BR115" s="50">
        <f>IF(NOT(AND($A115&lt;&gt;"",N($BC115)&gt;0)),"",TRIM(IFERROR(VLOOKUP($AH115,CODES,2,FALSE),"")&amp;IF($AI115=""," "," "&amp;$AI115&amp;"GA ")&amp;$AZ115&amp;" "&amp;IF($AN115="",IFERROR(VLOOKUP($Z115,CODES,2,FALSE),""),IFERROR(VLOOKUP($AN115,CODES,2,FALSE),""))&amp;IF($BC115=2," PAIR","")&amp;" DOOR | "&amp;IF($AL115="","?",$AL115)&amp;" | "&amp;IF($AP115="",IFERROR(VLOOKUP($AC115,CODES,2,FALSE),""),IFERROR(VLOOKUP($AP115,CODES,2,FALSE),""))&amp;" "&amp;IFERROR(VLOOKUP($AQ115,CODES,2,FALSE),"")&amp;IF(OR($AR115="",$AR115="-"),""," SEAM "&amp;$AR115)&amp;IF($AS115="Y"," ASTRAGAL","")&amp;IF($AJ115=""," "," "&amp;$AJ115)&amp;IF($AK115=""," "," "&amp;$AK115)&amp;IF($AO115="",""," "&amp;$AO115)&amp;IF($AM115=""," "," SERIES "&amp;$AM115)&amp;" "&amp;IFERROR(VLOOKUP($H115,CODES,2,FALSE),"")))</f>
        <v/>
      </c>
      <c r="BS115" s="49">
        <f>IF(BV115="","",IF(COUNTIF($BV$6:BV115,BV115)=1,MAX($BS$5:BS114)+1,INDEX($BS$5:BS114,MATCH(BV115,$BV$5:BV114,0))))</f>
        <v/>
      </c>
      <c r="BT115" s="49">
        <f>IF(NOT(AND($A115&lt;&gt;"",$C115&lt;&gt;"DOOR ONLY")),"",MAX($BT$5:BT114)+1)</f>
        <v/>
      </c>
      <c r="BU115" s="49">
        <f>IF(NOT(AND($A115&lt;&gt;"",N($BC115)&gt;0)),"",MAX($BU$5:BU114)+1)</f>
        <v/>
      </c>
      <c r="BV115" s="49">
        <f>IF(OR($A115="",$BA115="",$BB115=""),"",$AZ115&amp;"|"&amp;$O115&amp;"|"&amp;$AL115&amp;"|"&amp;$S115&amp;"|"&amp;$P115&amp;"|"&amp;$Q115&amp;$R115&amp;"|"&amp;$C115&amp;"|"&amp;$AB115)</f>
        <v/>
      </c>
      <c r="BW115" s="49">
        <f>IF($A115="","",IF($B115="","qty, ","")&amp;IF($C115="","scope, ","")&amp;IF(OR($K115="",$M115=""),"size, ","")&amp;IF(AND($A115&lt;&gt;"",$C115&lt;&gt;"DOOR ONLY"),IF($U115="","jamb depth, ","")&amp;IF($X115="","construction, ","")&amp;IF($Y115="","anchor, ","")&amp;IF($S115="","frame type, ",""),"")&amp;IF(AND(N($BC115)&gt;0,$Z115=""),"hand, ","")&amp;IF(N($BC115)&gt;0,IF($AH115="","door material, ","")&amp;IF($AL115="","face type, ","")&amp;IF($AQ115="","lock prep, ","")&amp;IF(AND($AP115="",$AC115=""),"hinge prep, ",""),"")&amp;IF(AND($BO115&gt;0,$AH115="FRP"),"FRP cannot carry a label, ","")&amp;IF(AND($O115="Y",OR($Z115="L",$Z115="R",$Z115="LR",$Z115="RR")),"pair marked but hand is single, ","")&amp;IF(AND($O115&lt;&gt;"Y",OR($Z115="PR",AND(LEN($Z115)&gt;1,ISNUMBER(SEARCH("-",$Z115))))),"pair hand on a single door, ","")&amp;IF(AND(ISNUMBER($BP115),$BO115&lt;N($BP115)),"wall needs a "&amp;$BP115&amp;" min door, ","")&amp;IF(AND($BO115&gt;=180,AND(OR($BL115="FG",$BL115="HG",$BL115="FNV",$BL115="FV"),N($BM115)*N($BN115)&gt;100)),"180 min lite over 100 sq in, ","")&amp;IF(N($BD115)&gt;48,"leaf wider than 4'-0"&amp;CHAR(34)&amp;", ",""))</f>
        <v/>
      </c>
      <c r="BX115" s="49">
        <f>IF($A115="","",IF(AND($BO115&gt;0,AND($A115&lt;&gt;"",$C115&lt;&gt;"DOOR ONLY"),$X115="KD",$E115="EXTERIOR"),"KD label on an exterior opening, ","")&amp;IF(AND($E115="EXTERIOR",OR(AND(AND($A115&lt;&gt;"",$C115&lt;&gt;"DOOR ONLY"),$W115="CR"),AND(N($BC115)&gt;0,$AH115="CR"))),"exterior in CR steel (G9?), ","")&amp;IF(AND(ISNUMBER($BJ115),N($BJ115)&lt;32),"clear width ~"&amp;TEXT($BJ115,"0.0")&amp;CHAR(34)&amp;" under 32"&amp;CHAR(34)&amp;" (ADA), ","")&amp;IF(AND($BO115=90,AND(OR($BL115="FG",$BL115="HG",$BL115="FNV",$BL115="FV"),N($BM115)*N($BN115)&gt;100)),"90 min lite over 100 sq in (stair/exit), ","")&amp;IF(AND($BO115&gt;0,AND($A115&lt;&gt;"",$C115&lt;&gt;"DOOR ONLY"),OR($AF115="",$AF115="-")),"rated: closer reinf.?, ","")&amp;IF(OR($I115="CORRIDOR",$I115="SMOKE BARRIER"),"S label + smoke gasketing, ","")&amp;IF($BP115="?","wall type/hr not in IBC table, ","")&amp;IF(AND(N($BC115)&gt;0,$AU115=""),"no hardware set, ","")&amp;IF(AND($AU115&lt;&gt;"",ISNA(MATCH($AU115,HWSets,0))),"set "&amp;$AU115&amp;" not on Hardware sheet, ","")&amp;IF(N($BE115)&gt;96,"leaf over 8'-0"&amp;CHAR(34)&amp;" - check listing, ",""))</f>
        <v/>
      </c>
    </row>
    <row r="116" ht="15" customHeight="1">
      <c r="A116" s="44" t="n"/>
      <c r="B116" s="45" t="n"/>
      <c r="C116" s="45" t="n"/>
      <c r="D116" s="45" t="n"/>
      <c r="E116" s="45" t="n"/>
      <c r="F116" s="45" t="n"/>
      <c r="G116" s="45" t="n"/>
      <c r="H116" s="45" t="n"/>
      <c r="I116" s="45" t="n"/>
      <c r="J116" s="45" t="n"/>
      <c r="K116" s="45" t="n"/>
      <c r="L116" s="45" t="n"/>
      <c r="M116" s="45" t="n"/>
      <c r="N116" s="45" t="n"/>
      <c r="O116" s="45" t="n"/>
      <c r="P116" s="45" t="n"/>
      <c r="Q116" s="45" t="n"/>
      <c r="R116" s="45" t="n"/>
      <c r="S116" s="46" t="n"/>
      <c r="T116" s="46" t="n"/>
      <c r="U116" s="46" t="n"/>
      <c r="V116" s="46" t="n"/>
      <c r="W116" s="46" t="n"/>
      <c r="X116" s="46" t="n"/>
      <c r="Y116" s="46" t="n"/>
      <c r="Z116" s="46" t="n"/>
      <c r="AA116" s="46" t="n"/>
      <c r="AB116" s="46" t="n"/>
      <c r="AC116" s="46" t="n"/>
      <c r="AD116" s="46" t="n"/>
      <c r="AE116" s="46" t="n"/>
      <c r="AF116" s="46" t="n"/>
      <c r="AG116" s="46" t="n"/>
      <c r="AH116" s="47" t="n"/>
      <c r="AI116" s="47" t="n"/>
      <c r="AJ116" s="47" t="n"/>
      <c r="AK116" s="47" t="n"/>
      <c r="AL116" s="47" t="n"/>
      <c r="AM116" s="47" t="n"/>
      <c r="AN116" s="47" t="n"/>
      <c r="AO116" s="47" t="n"/>
      <c r="AP116" s="47" t="n"/>
      <c r="AQ116" s="47" t="n"/>
      <c r="AR116" s="47" t="n"/>
      <c r="AS116" s="47" t="n"/>
      <c r="AT116" s="47" t="n"/>
      <c r="AU116" s="48" t="n"/>
      <c r="AV116" s="48" t="n"/>
      <c r="AW116" s="49">
        <f>IF($A116="","",IF($BW116&lt;&gt;"","FIX",IF($BX116&lt;&gt;"","CHECK","OK")))</f>
        <v/>
      </c>
      <c r="AX116" s="50">
        <f>IF($A116="","",IF($BW116&lt;&gt;"","FIX: "&amp;LEFT($BW116,LEN($BW116)-2)&amp;IF($BX116&lt;&gt;"","  ·  ",""),"")&amp;IF($BX116&lt;&gt;"","CHECK: "&amp;LEFT($BX116,LEN($BX116)-2),""))</f>
        <v/>
      </c>
      <c r="AY116" s="49">
        <f>IF(OR($A116="",$K116=""),"",$K116&amp;"'-"&amp;N($L116)&amp;CHAR(34)&amp;" x "&amp;$M116&amp;"'-"&amp;N($N116)&amp;CHAR(34))</f>
        <v/>
      </c>
      <c r="AZ116" s="49">
        <f>IF(OR($A116="",$K116=""),"",$K116&amp;N($L116)&amp;$M116&amp;N($N116))</f>
        <v/>
      </c>
      <c r="BA116" s="49">
        <f>IF(OR($A116="",$K116=""),"",$K116*12+N($L116))</f>
        <v/>
      </c>
      <c r="BB116" s="49">
        <f>IF(OR($A116="",$M116=""),"",$M116*12+N($N116))</f>
        <v/>
      </c>
      <c r="BC116" s="49">
        <f>IF($A116="","",IF(OR($C116="FRAME ONLY",$S116="BL"),0,IF($O116="Y",2,1)))</f>
        <v/>
      </c>
      <c r="BD116" s="51">
        <f>IF(OR(N($BC116)=0,$BA116=""),"",($BA116-2*EdgeClr-IF($BC116=2,MeetClr,0))/$BC116)</f>
        <v/>
      </c>
      <c r="BE116" s="51">
        <f>IF(OR(N($BC116)=0,$BB116=""),"",$BB116-HeadClr-Undercut)</f>
        <v/>
      </c>
      <c r="BF116" s="51">
        <f>IF($BA116="","",$BA116+2*FaceW+IF(N($Q116)&gt;0,($Q116+FaceW)*IF($R116="LR",2,1),0))</f>
        <v/>
      </c>
      <c r="BG116" s="51">
        <f>IF($BB116="","",$BB116+IF($AB116="Y",4,FaceW)+IF(N($P116)&gt;0,$P116+FaceW,0)+IF(OR($S116="4F",$S116="BL"),FaceW,0))</f>
        <v/>
      </c>
      <c r="BH116" s="51">
        <f>IF($BF116="","",$BF116+2*ROSide)</f>
        <v/>
      </c>
      <c r="BI116" s="51">
        <f>IF($BG116="","",$BG116+ROTop)</f>
        <v/>
      </c>
      <c r="BJ116" s="52">
        <f>IF(OR(N($BC116)=0,$BA116=""),"",$BA116/$BC116-ClearDeduct)</f>
        <v/>
      </c>
      <c r="BK116" s="49">
        <f>IF(OR(N($BC116)=0,$BE116=""),"",IF(OR($AC116="HGC",$AP116="HGC"),"CONT",IF($BE116&lt;=60,2,IF($BE116&lt;=90,3,IF($BE116&lt;=120,4,5)))))</f>
        <v/>
      </c>
      <c r="BL116" s="49">
        <f>IF(N($BC116)=0,"",IF(OR($AL116="",$AL116="FLUSH"),"FLUSH",IFERROR(LEFT($AL116,FIND("-",$AL116)-1),LEFT($AL116,2))))</f>
        <v/>
      </c>
      <c r="BM116" s="49">
        <f>IF($BL116="","",IFERROR(VALUE(MID($AL116,FIND("-",$AL116)+1,FIND(CHAR(34)&amp;"x",$AL116)-FIND("-",$AL116)-1)),0))</f>
        <v/>
      </c>
      <c r="BN116" s="49">
        <f>IF($BL116="","",IFERROR(VALUE(MID($AL116,FIND(CHAR(34)&amp;"x",$AL116)+2,FIND(CHAR(34),$AL116,FIND(CHAR(34)&amp;"x",$AL116)+2)-FIND(CHAR(34)&amp;"x",$AL116)-2)),0))</f>
        <v/>
      </c>
      <c r="BO116" s="53">
        <f>IF(OR($A116="",$H116="",$H116="NO LAB"),0,IFERROR(VALUE(LEFT($H116,FIND(" ",$H116)-1)),0))</f>
        <v/>
      </c>
      <c r="BP116" s="54">
        <f>IF(OR($A116="",$I116="",$I116="NON-RATED",N($J116)=0),"",IFERROR(VLOOKUP($I116&amp;"|"&amp;$J116,IBC,2,FALSE),"?"))</f>
        <v/>
      </c>
      <c r="BQ116" s="50">
        <f>IF(NOT(AND($A116&lt;&gt;"",$C116&lt;&gt;"DOOR ONLY")),"",TRIM(IFERROR(VLOOKUP($U116,CODES,2,FALSE),"")&amp;" "&amp;$AZ116&amp;" "&amp;IFERROR(VLOOKUP($Z116,CODES,2,FALSE),"")&amp;" "&amp;IFERROR(VLOOKUP($X116,CODES,2,FALSE),"")&amp;" "&amp;IFERROR(VLOOKUP($S116,CODES,2,FALSE),"")&amp;IF(N($P116)&gt;0," w/TRANSOM "&amp;$P116&amp;CHAR(34),"")&amp;IF(N($Q116)&gt;0," w/SIDELITE "&amp;$Q116&amp;CHAR(34)&amp;" "&amp;IF($R116="","R",$R116),"")&amp;IF($Y116="","  |  "," | "&amp;IFERROR(VLOOKUP($Y116,CODES,2,FALSE),"")&amp;" | ")&amp;IFERROR(VLOOKUP($AC116,CODES,2,FALSE),"")&amp;" "&amp;IFERROR(VLOOKUP($AD116,CODES,2,FALSE),"")&amp;IF(OR($AE116="",$AE116="-"),""," "&amp;$AE116)&amp;IF(OR($AF116="",$AF116="-"),""," "&amp;$AF116)&amp;IF($AB116="Y"," 4"&amp;CHAR(34)&amp;" HEAD","")&amp;" "&amp;IFERROR(VLOOKUP($H116,CODES,2,FALSE),"")))</f>
        <v/>
      </c>
      <c r="BR116" s="50">
        <f>IF(NOT(AND($A116&lt;&gt;"",N($BC116)&gt;0)),"",TRIM(IFERROR(VLOOKUP($AH116,CODES,2,FALSE),"")&amp;IF($AI116=""," "," "&amp;$AI116&amp;"GA ")&amp;$AZ116&amp;" "&amp;IF($AN116="",IFERROR(VLOOKUP($Z116,CODES,2,FALSE),""),IFERROR(VLOOKUP($AN116,CODES,2,FALSE),""))&amp;IF($BC116=2," PAIR","")&amp;" DOOR | "&amp;IF($AL116="","?",$AL116)&amp;" | "&amp;IF($AP116="",IFERROR(VLOOKUP($AC116,CODES,2,FALSE),""),IFERROR(VLOOKUP($AP116,CODES,2,FALSE),""))&amp;" "&amp;IFERROR(VLOOKUP($AQ116,CODES,2,FALSE),"")&amp;IF(OR($AR116="",$AR116="-"),""," SEAM "&amp;$AR116)&amp;IF($AS116="Y"," ASTRAGAL","")&amp;IF($AJ116=""," "," "&amp;$AJ116)&amp;IF($AK116=""," "," "&amp;$AK116)&amp;IF($AO116="",""," "&amp;$AO116)&amp;IF($AM116=""," "," SERIES "&amp;$AM116)&amp;" "&amp;IFERROR(VLOOKUP($H116,CODES,2,FALSE),"")))</f>
        <v/>
      </c>
      <c r="BS116" s="49">
        <f>IF(BV116="","",IF(COUNTIF($BV$6:BV116,BV116)=1,MAX($BS$5:BS115)+1,INDEX($BS$5:BS115,MATCH(BV116,$BV$5:BV115,0))))</f>
        <v/>
      </c>
      <c r="BT116" s="49">
        <f>IF(NOT(AND($A116&lt;&gt;"",$C116&lt;&gt;"DOOR ONLY")),"",MAX($BT$5:BT115)+1)</f>
        <v/>
      </c>
      <c r="BU116" s="49">
        <f>IF(NOT(AND($A116&lt;&gt;"",N($BC116)&gt;0)),"",MAX($BU$5:BU115)+1)</f>
        <v/>
      </c>
      <c r="BV116" s="49">
        <f>IF(OR($A116="",$BA116="",$BB116=""),"",$AZ116&amp;"|"&amp;$O116&amp;"|"&amp;$AL116&amp;"|"&amp;$S116&amp;"|"&amp;$P116&amp;"|"&amp;$Q116&amp;$R116&amp;"|"&amp;$C116&amp;"|"&amp;$AB116)</f>
        <v/>
      </c>
      <c r="BW116" s="49">
        <f>IF($A116="","",IF($B116="","qty, ","")&amp;IF($C116="","scope, ","")&amp;IF(OR($K116="",$M116=""),"size, ","")&amp;IF(AND($A116&lt;&gt;"",$C116&lt;&gt;"DOOR ONLY"),IF($U116="","jamb depth, ","")&amp;IF($X116="","construction, ","")&amp;IF($Y116="","anchor, ","")&amp;IF($S116="","frame type, ",""),"")&amp;IF(AND(N($BC116)&gt;0,$Z116=""),"hand, ","")&amp;IF(N($BC116)&gt;0,IF($AH116="","door material, ","")&amp;IF($AL116="","face type, ","")&amp;IF($AQ116="","lock prep, ","")&amp;IF(AND($AP116="",$AC116=""),"hinge prep, ",""),"")&amp;IF(AND($BO116&gt;0,$AH116="FRP"),"FRP cannot carry a label, ","")&amp;IF(AND($O116="Y",OR($Z116="L",$Z116="R",$Z116="LR",$Z116="RR")),"pair marked but hand is single, ","")&amp;IF(AND($O116&lt;&gt;"Y",OR($Z116="PR",AND(LEN($Z116)&gt;1,ISNUMBER(SEARCH("-",$Z116))))),"pair hand on a single door, ","")&amp;IF(AND(ISNUMBER($BP116),$BO116&lt;N($BP116)),"wall needs a "&amp;$BP116&amp;" min door, ","")&amp;IF(AND($BO116&gt;=180,AND(OR($BL116="FG",$BL116="HG",$BL116="FNV",$BL116="FV"),N($BM116)*N($BN116)&gt;100)),"180 min lite over 100 sq in, ","")&amp;IF(N($BD116)&gt;48,"leaf wider than 4'-0"&amp;CHAR(34)&amp;", ",""))</f>
        <v/>
      </c>
      <c r="BX116" s="49">
        <f>IF($A116="","",IF(AND($BO116&gt;0,AND($A116&lt;&gt;"",$C116&lt;&gt;"DOOR ONLY"),$X116="KD",$E116="EXTERIOR"),"KD label on an exterior opening, ","")&amp;IF(AND($E116="EXTERIOR",OR(AND(AND($A116&lt;&gt;"",$C116&lt;&gt;"DOOR ONLY"),$W116="CR"),AND(N($BC116)&gt;0,$AH116="CR"))),"exterior in CR steel (G9?), ","")&amp;IF(AND(ISNUMBER($BJ116),N($BJ116)&lt;32),"clear width ~"&amp;TEXT($BJ116,"0.0")&amp;CHAR(34)&amp;" under 32"&amp;CHAR(34)&amp;" (ADA), ","")&amp;IF(AND($BO116=90,AND(OR($BL116="FG",$BL116="HG",$BL116="FNV",$BL116="FV"),N($BM116)*N($BN116)&gt;100)),"90 min lite over 100 sq in (stair/exit), ","")&amp;IF(AND($BO116&gt;0,AND($A116&lt;&gt;"",$C116&lt;&gt;"DOOR ONLY"),OR($AF116="",$AF116="-")),"rated: closer reinf.?, ","")&amp;IF(OR($I116="CORRIDOR",$I116="SMOKE BARRIER"),"S label + smoke gasketing, ","")&amp;IF($BP116="?","wall type/hr not in IBC table, ","")&amp;IF(AND(N($BC116)&gt;0,$AU116=""),"no hardware set, ","")&amp;IF(AND($AU116&lt;&gt;"",ISNA(MATCH($AU116,HWSets,0))),"set "&amp;$AU116&amp;" not on Hardware sheet, ","")&amp;IF(N($BE116)&gt;96,"leaf over 8'-0"&amp;CHAR(34)&amp;" - check listing, ",""))</f>
        <v/>
      </c>
    </row>
    <row r="117" ht="15" customHeight="1">
      <c r="A117" s="44" t="n"/>
      <c r="B117" s="45" t="n"/>
      <c r="C117" s="45" t="n"/>
      <c r="D117" s="45" t="n"/>
      <c r="E117" s="45" t="n"/>
      <c r="F117" s="45" t="n"/>
      <c r="G117" s="45" t="n"/>
      <c r="H117" s="45" t="n"/>
      <c r="I117" s="45" t="n"/>
      <c r="J117" s="45" t="n"/>
      <c r="K117" s="45" t="n"/>
      <c r="L117" s="45" t="n"/>
      <c r="M117" s="45" t="n"/>
      <c r="N117" s="45" t="n"/>
      <c r="O117" s="45" t="n"/>
      <c r="P117" s="45" t="n"/>
      <c r="Q117" s="45" t="n"/>
      <c r="R117" s="45" t="n"/>
      <c r="S117" s="46" t="n"/>
      <c r="T117" s="46" t="n"/>
      <c r="U117" s="46" t="n"/>
      <c r="V117" s="46" t="n"/>
      <c r="W117" s="46" t="n"/>
      <c r="X117" s="46" t="n"/>
      <c r="Y117" s="46" t="n"/>
      <c r="Z117" s="46" t="n"/>
      <c r="AA117" s="46" t="n"/>
      <c r="AB117" s="46" t="n"/>
      <c r="AC117" s="46" t="n"/>
      <c r="AD117" s="46" t="n"/>
      <c r="AE117" s="46" t="n"/>
      <c r="AF117" s="46" t="n"/>
      <c r="AG117" s="46" t="n"/>
      <c r="AH117" s="47" t="n"/>
      <c r="AI117" s="47" t="n"/>
      <c r="AJ117" s="47" t="n"/>
      <c r="AK117" s="47" t="n"/>
      <c r="AL117" s="47" t="n"/>
      <c r="AM117" s="47" t="n"/>
      <c r="AN117" s="47" t="n"/>
      <c r="AO117" s="47" t="n"/>
      <c r="AP117" s="47" t="n"/>
      <c r="AQ117" s="47" t="n"/>
      <c r="AR117" s="47" t="n"/>
      <c r="AS117" s="47" t="n"/>
      <c r="AT117" s="47" t="n"/>
      <c r="AU117" s="48" t="n"/>
      <c r="AV117" s="48" t="n"/>
      <c r="AW117" s="49">
        <f>IF($A117="","",IF($BW117&lt;&gt;"","FIX",IF($BX117&lt;&gt;"","CHECK","OK")))</f>
        <v/>
      </c>
      <c r="AX117" s="50">
        <f>IF($A117="","",IF($BW117&lt;&gt;"","FIX: "&amp;LEFT($BW117,LEN($BW117)-2)&amp;IF($BX117&lt;&gt;"","  ·  ",""),"")&amp;IF($BX117&lt;&gt;"","CHECK: "&amp;LEFT($BX117,LEN($BX117)-2),""))</f>
        <v/>
      </c>
      <c r="AY117" s="49">
        <f>IF(OR($A117="",$K117=""),"",$K117&amp;"'-"&amp;N($L117)&amp;CHAR(34)&amp;" x "&amp;$M117&amp;"'-"&amp;N($N117)&amp;CHAR(34))</f>
        <v/>
      </c>
      <c r="AZ117" s="49">
        <f>IF(OR($A117="",$K117=""),"",$K117&amp;N($L117)&amp;$M117&amp;N($N117))</f>
        <v/>
      </c>
      <c r="BA117" s="49">
        <f>IF(OR($A117="",$K117=""),"",$K117*12+N($L117))</f>
        <v/>
      </c>
      <c r="BB117" s="49">
        <f>IF(OR($A117="",$M117=""),"",$M117*12+N($N117))</f>
        <v/>
      </c>
      <c r="BC117" s="49">
        <f>IF($A117="","",IF(OR($C117="FRAME ONLY",$S117="BL"),0,IF($O117="Y",2,1)))</f>
        <v/>
      </c>
      <c r="BD117" s="51">
        <f>IF(OR(N($BC117)=0,$BA117=""),"",($BA117-2*EdgeClr-IF($BC117=2,MeetClr,0))/$BC117)</f>
        <v/>
      </c>
      <c r="BE117" s="51">
        <f>IF(OR(N($BC117)=0,$BB117=""),"",$BB117-HeadClr-Undercut)</f>
        <v/>
      </c>
      <c r="BF117" s="51">
        <f>IF($BA117="","",$BA117+2*FaceW+IF(N($Q117)&gt;0,($Q117+FaceW)*IF($R117="LR",2,1),0))</f>
        <v/>
      </c>
      <c r="BG117" s="51">
        <f>IF($BB117="","",$BB117+IF($AB117="Y",4,FaceW)+IF(N($P117)&gt;0,$P117+FaceW,0)+IF(OR($S117="4F",$S117="BL"),FaceW,0))</f>
        <v/>
      </c>
      <c r="BH117" s="51">
        <f>IF($BF117="","",$BF117+2*ROSide)</f>
        <v/>
      </c>
      <c r="BI117" s="51">
        <f>IF($BG117="","",$BG117+ROTop)</f>
        <v/>
      </c>
      <c r="BJ117" s="52">
        <f>IF(OR(N($BC117)=0,$BA117=""),"",$BA117/$BC117-ClearDeduct)</f>
        <v/>
      </c>
      <c r="BK117" s="49">
        <f>IF(OR(N($BC117)=0,$BE117=""),"",IF(OR($AC117="HGC",$AP117="HGC"),"CONT",IF($BE117&lt;=60,2,IF($BE117&lt;=90,3,IF($BE117&lt;=120,4,5)))))</f>
        <v/>
      </c>
      <c r="BL117" s="49">
        <f>IF(N($BC117)=0,"",IF(OR($AL117="",$AL117="FLUSH"),"FLUSH",IFERROR(LEFT($AL117,FIND("-",$AL117)-1),LEFT($AL117,2))))</f>
        <v/>
      </c>
      <c r="BM117" s="49">
        <f>IF($BL117="","",IFERROR(VALUE(MID($AL117,FIND("-",$AL117)+1,FIND(CHAR(34)&amp;"x",$AL117)-FIND("-",$AL117)-1)),0))</f>
        <v/>
      </c>
      <c r="BN117" s="49">
        <f>IF($BL117="","",IFERROR(VALUE(MID($AL117,FIND(CHAR(34)&amp;"x",$AL117)+2,FIND(CHAR(34),$AL117,FIND(CHAR(34)&amp;"x",$AL117)+2)-FIND(CHAR(34)&amp;"x",$AL117)-2)),0))</f>
        <v/>
      </c>
      <c r="BO117" s="53">
        <f>IF(OR($A117="",$H117="",$H117="NO LAB"),0,IFERROR(VALUE(LEFT($H117,FIND(" ",$H117)-1)),0))</f>
        <v/>
      </c>
      <c r="BP117" s="54">
        <f>IF(OR($A117="",$I117="",$I117="NON-RATED",N($J117)=0),"",IFERROR(VLOOKUP($I117&amp;"|"&amp;$J117,IBC,2,FALSE),"?"))</f>
        <v/>
      </c>
      <c r="BQ117" s="50">
        <f>IF(NOT(AND($A117&lt;&gt;"",$C117&lt;&gt;"DOOR ONLY")),"",TRIM(IFERROR(VLOOKUP($U117,CODES,2,FALSE),"")&amp;" "&amp;$AZ117&amp;" "&amp;IFERROR(VLOOKUP($Z117,CODES,2,FALSE),"")&amp;" "&amp;IFERROR(VLOOKUP($X117,CODES,2,FALSE),"")&amp;" "&amp;IFERROR(VLOOKUP($S117,CODES,2,FALSE),"")&amp;IF(N($P117)&gt;0," w/TRANSOM "&amp;$P117&amp;CHAR(34),"")&amp;IF(N($Q117)&gt;0," w/SIDELITE "&amp;$Q117&amp;CHAR(34)&amp;" "&amp;IF($R117="","R",$R117),"")&amp;IF($Y117="","  |  "," | "&amp;IFERROR(VLOOKUP($Y117,CODES,2,FALSE),"")&amp;" | ")&amp;IFERROR(VLOOKUP($AC117,CODES,2,FALSE),"")&amp;" "&amp;IFERROR(VLOOKUP($AD117,CODES,2,FALSE),"")&amp;IF(OR($AE117="",$AE117="-"),""," "&amp;$AE117)&amp;IF(OR($AF117="",$AF117="-"),""," "&amp;$AF117)&amp;IF($AB117="Y"," 4"&amp;CHAR(34)&amp;" HEAD","")&amp;" "&amp;IFERROR(VLOOKUP($H117,CODES,2,FALSE),"")))</f>
        <v/>
      </c>
      <c r="BR117" s="50">
        <f>IF(NOT(AND($A117&lt;&gt;"",N($BC117)&gt;0)),"",TRIM(IFERROR(VLOOKUP($AH117,CODES,2,FALSE),"")&amp;IF($AI117=""," "," "&amp;$AI117&amp;"GA ")&amp;$AZ117&amp;" "&amp;IF($AN117="",IFERROR(VLOOKUP($Z117,CODES,2,FALSE),""),IFERROR(VLOOKUP($AN117,CODES,2,FALSE),""))&amp;IF($BC117=2," PAIR","")&amp;" DOOR | "&amp;IF($AL117="","?",$AL117)&amp;" | "&amp;IF($AP117="",IFERROR(VLOOKUP($AC117,CODES,2,FALSE),""),IFERROR(VLOOKUP($AP117,CODES,2,FALSE),""))&amp;" "&amp;IFERROR(VLOOKUP($AQ117,CODES,2,FALSE),"")&amp;IF(OR($AR117="",$AR117="-"),""," SEAM "&amp;$AR117)&amp;IF($AS117="Y"," ASTRAGAL","")&amp;IF($AJ117=""," "," "&amp;$AJ117)&amp;IF($AK117=""," "," "&amp;$AK117)&amp;IF($AO117="",""," "&amp;$AO117)&amp;IF($AM117=""," "," SERIES "&amp;$AM117)&amp;" "&amp;IFERROR(VLOOKUP($H117,CODES,2,FALSE),"")))</f>
        <v/>
      </c>
      <c r="BS117" s="49">
        <f>IF(BV117="","",IF(COUNTIF($BV$6:BV117,BV117)=1,MAX($BS$5:BS116)+1,INDEX($BS$5:BS116,MATCH(BV117,$BV$5:BV116,0))))</f>
        <v/>
      </c>
      <c r="BT117" s="49">
        <f>IF(NOT(AND($A117&lt;&gt;"",$C117&lt;&gt;"DOOR ONLY")),"",MAX($BT$5:BT116)+1)</f>
        <v/>
      </c>
      <c r="BU117" s="49">
        <f>IF(NOT(AND($A117&lt;&gt;"",N($BC117)&gt;0)),"",MAX($BU$5:BU116)+1)</f>
        <v/>
      </c>
      <c r="BV117" s="49">
        <f>IF(OR($A117="",$BA117="",$BB117=""),"",$AZ117&amp;"|"&amp;$O117&amp;"|"&amp;$AL117&amp;"|"&amp;$S117&amp;"|"&amp;$P117&amp;"|"&amp;$Q117&amp;$R117&amp;"|"&amp;$C117&amp;"|"&amp;$AB117)</f>
        <v/>
      </c>
      <c r="BW117" s="49">
        <f>IF($A117="","",IF($B117="","qty, ","")&amp;IF($C117="","scope, ","")&amp;IF(OR($K117="",$M117=""),"size, ","")&amp;IF(AND($A117&lt;&gt;"",$C117&lt;&gt;"DOOR ONLY"),IF($U117="","jamb depth, ","")&amp;IF($X117="","construction, ","")&amp;IF($Y117="","anchor, ","")&amp;IF($S117="","frame type, ",""),"")&amp;IF(AND(N($BC117)&gt;0,$Z117=""),"hand, ","")&amp;IF(N($BC117)&gt;0,IF($AH117="","door material, ","")&amp;IF($AL117="","face type, ","")&amp;IF($AQ117="","lock prep, ","")&amp;IF(AND($AP117="",$AC117=""),"hinge prep, ",""),"")&amp;IF(AND($BO117&gt;0,$AH117="FRP"),"FRP cannot carry a label, ","")&amp;IF(AND($O117="Y",OR($Z117="L",$Z117="R",$Z117="LR",$Z117="RR")),"pair marked but hand is single, ","")&amp;IF(AND($O117&lt;&gt;"Y",OR($Z117="PR",AND(LEN($Z117)&gt;1,ISNUMBER(SEARCH("-",$Z117))))),"pair hand on a single door, ","")&amp;IF(AND(ISNUMBER($BP117),$BO117&lt;N($BP117)),"wall needs a "&amp;$BP117&amp;" min door, ","")&amp;IF(AND($BO117&gt;=180,AND(OR($BL117="FG",$BL117="HG",$BL117="FNV",$BL117="FV"),N($BM117)*N($BN117)&gt;100)),"180 min lite over 100 sq in, ","")&amp;IF(N($BD117)&gt;48,"leaf wider than 4'-0"&amp;CHAR(34)&amp;", ",""))</f>
        <v/>
      </c>
      <c r="BX117" s="49">
        <f>IF($A117="","",IF(AND($BO117&gt;0,AND($A117&lt;&gt;"",$C117&lt;&gt;"DOOR ONLY"),$X117="KD",$E117="EXTERIOR"),"KD label on an exterior opening, ","")&amp;IF(AND($E117="EXTERIOR",OR(AND(AND($A117&lt;&gt;"",$C117&lt;&gt;"DOOR ONLY"),$W117="CR"),AND(N($BC117)&gt;0,$AH117="CR"))),"exterior in CR steel (G9?), ","")&amp;IF(AND(ISNUMBER($BJ117),N($BJ117)&lt;32),"clear width ~"&amp;TEXT($BJ117,"0.0")&amp;CHAR(34)&amp;" under 32"&amp;CHAR(34)&amp;" (ADA), ","")&amp;IF(AND($BO117=90,AND(OR($BL117="FG",$BL117="HG",$BL117="FNV",$BL117="FV"),N($BM117)*N($BN117)&gt;100)),"90 min lite over 100 sq in (stair/exit), ","")&amp;IF(AND($BO117&gt;0,AND($A117&lt;&gt;"",$C117&lt;&gt;"DOOR ONLY"),OR($AF117="",$AF117="-")),"rated: closer reinf.?, ","")&amp;IF(OR($I117="CORRIDOR",$I117="SMOKE BARRIER"),"S label + smoke gasketing, ","")&amp;IF($BP117="?","wall type/hr not in IBC table, ","")&amp;IF(AND(N($BC117)&gt;0,$AU117=""),"no hardware set, ","")&amp;IF(AND($AU117&lt;&gt;"",ISNA(MATCH($AU117,HWSets,0))),"set "&amp;$AU117&amp;" not on Hardware sheet, ","")&amp;IF(N($BE117)&gt;96,"leaf over 8'-0"&amp;CHAR(34)&amp;" - check listing, ",""))</f>
        <v/>
      </c>
    </row>
    <row r="118" ht="15" customHeight="1">
      <c r="A118" s="44" t="n"/>
      <c r="B118" s="45" t="n"/>
      <c r="C118" s="45" t="n"/>
      <c r="D118" s="45" t="n"/>
      <c r="E118" s="45" t="n"/>
      <c r="F118" s="45" t="n"/>
      <c r="G118" s="45" t="n"/>
      <c r="H118" s="45" t="n"/>
      <c r="I118" s="45" t="n"/>
      <c r="J118" s="45" t="n"/>
      <c r="K118" s="45" t="n"/>
      <c r="L118" s="45" t="n"/>
      <c r="M118" s="45" t="n"/>
      <c r="N118" s="45" t="n"/>
      <c r="O118" s="45" t="n"/>
      <c r="P118" s="45" t="n"/>
      <c r="Q118" s="45" t="n"/>
      <c r="R118" s="45" t="n"/>
      <c r="S118" s="46" t="n"/>
      <c r="T118" s="46" t="n"/>
      <c r="U118" s="46" t="n"/>
      <c r="V118" s="46" t="n"/>
      <c r="W118" s="46" t="n"/>
      <c r="X118" s="46" t="n"/>
      <c r="Y118" s="46" t="n"/>
      <c r="Z118" s="46" t="n"/>
      <c r="AA118" s="46" t="n"/>
      <c r="AB118" s="46" t="n"/>
      <c r="AC118" s="46" t="n"/>
      <c r="AD118" s="46" t="n"/>
      <c r="AE118" s="46" t="n"/>
      <c r="AF118" s="46" t="n"/>
      <c r="AG118" s="46" t="n"/>
      <c r="AH118" s="47" t="n"/>
      <c r="AI118" s="47" t="n"/>
      <c r="AJ118" s="47" t="n"/>
      <c r="AK118" s="47" t="n"/>
      <c r="AL118" s="47" t="n"/>
      <c r="AM118" s="47" t="n"/>
      <c r="AN118" s="47" t="n"/>
      <c r="AO118" s="47" t="n"/>
      <c r="AP118" s="47" t="n"/>
      <c r="AQ118" s="47" t="n"/>
      <c r="AR118" s="47" t="n"/>
      <c r="AS118" s="47" t="n"/>
      <c r="AT118" s="47" t="n"/>
      <c r="AU118" s="48" t="n"/>
      <c r="AV118" s="48" t="n"/>
      <c r="AW118" s="49">
        <f>IF($A118="","",IF($BW118&lt;&gt;"","FIX",IF($BX118&lt;&gt;"","CHECK","OK")))</f>
        <v/>
      </c>
      <c r="AX118" s="50">
        <f>IF($A118="","",IF($BW118&lt;&gt;"","FIX: "&amp;LEFT($BW118,LEN($BW118)-2)&amp;IF($BX118&lt;&gt;"","  ·  ",""),"")&amp;IF($BX118&lt;&gt;"","CHECK: "&amp;LEFT($BX118,LEN($BX118)-2),""))</f>
        <v/>
      </c>
      <c r="AY118" s="49">
        <f>IF(OR($A118="",$K118=""),"",$K118&amp;"'-"&amp;N($L118)&amp;CHAR(34)&amp;" x "&amp;$M118&amp;"'-"&amp;N($N118)&amp;CHAR(34))</f>
        <v/>
      </c>
      <c r="AZ118" s="49">
        <f>IF(OR($A118="",$K118=""),"",$K118&amp;N($L118)&amp;$M118&amp;N($N118))</f>
        <v/>
      </c>
      <c r="BA118" s="49">
        <f>IF(OR($A118="",$K118=""),"",$K118*12+N($L118))</f>
        <v/>
      </c>
      <c r="BB118" s="49">
        <f>IF(OR($A118="",$M118=""),"",$M118*12+N($N118))</f>
        <v/>
      </c>
      <c r="BC118" s="49">
        <f>IF($A118="","",IF(OR($C118="FRAME ONLY",$S118="BL"),0,IF($O118="Y",2,1)))</f>
        <v/>
      </c>
      <c r="BD118" s="51">
        <f>IF(OR(N($BC118)=0,$BA118=""),"",($BA118-2*EdgeClr-IF($BC118=2,MeetClr,0))/$BC118)</f>
        <v/>
      </c>
      <c r="BE118" s="51">
        <f>IF(OR(N($BC118)=0,$BB118=""),"",$BB118-HeadClr-Undercut)</f>
        <v/>
      </c>
      <c r="BF118" s="51">
        <f>IF($BA118="","",$BA118+2*FaceW+IF(N($Q118)&gt;0,($Q118+FaceW)*IF($R118="LR",2,1),0))</f>
        <v/>
      </c>
      <c r="BG118" s="51">
        <f>IF($BB118="","",$BB118+IF($AB118="Y",4,FaceW)+IF(N($P118)&gt;0,$P118+FaceW,0)+IF(OR($S118="4F",$S118="BL"),FaceW,0))</f>
        <v/>
      </c>
      <c r="BH118" s="51">
        <f>IF($BF118="","",$BF118+2*ROSide)</f>
        <v/>
      </c>
      <c r="BI118" s="51">
        <f>IF($BG118="","",$BG118+ROTop)</f>
        <v/>
      </c>
      <c r="BJ118" s="52">
        <f>IF(OR(N($BC118)=0,$BA118=""),"",$BA118/$BC118-ClearDeduct)</f>
        <v/>
      </c>
      <c r="BK118" s="49">
        <f>IF(OR(N($BC118)=0,$BE118=""),"",IF(OR($AC118="HGC",$AP118="HGC"),"CONT",IF($BE118&lt;=60,2,IF($BE118&lt;=90,3,IF($BE118&lt;=120,4,5)))))</f>
        <v/>
      </c>
      <c r="BL118" s="49">
        <f>IF(N($BC118)=0,"",IF(OR($AL118="",$AL118="FLUSH"),"FLUSH",IFERROR(LEFT($AL118,FIND("-",$AL118)-1),LEFT($AL118,2))))</f>
        <v/>
      </c>
      <c r="BM118" s="49">
        <f>IF($BL118="","",IFERROR(VALUE(MID($AL118,FIND("-",$AL118)+1,FIND(CHAR(34)&amp;"x",$AL118)-FIND("-",$AL118)-1)),0))</f>
        <v/>
      </c>
      <c r="BN118" s="49">
        <f>IF($BL118="","",IFERROR(VALUE(MID($AL118,FIND(CHAR(34)&amp;"x",$AL118)+2,FIND(CHAR(34),$AL118,FIND(CHAR(34)&amp;"x",$AL118)+2)-FIND(CHAR(34)&amp;"x",$AL118)-2)),0))</f>
        <v/>
      </c>
      <c r="BO118" s="53">
        <f>IF(OR($A118="",$H118="",$H118="NO LAB"),0,IFERROR(VALUE(LEFT($H118,FIND(" ",$H118)-1)),0))</f>
        <v/>
      </c>
      <c r="BP118" s="54">
        <f>IF(OR($A118="",$I118="",$I118="NON-RATED",N($J118)=0),"",IFERROR(VLOOKUP($I118&amp;"|"&amp;$J118,IBC,2,FALSE),"?"))</f>
        <v/>
      </c>
      <c r="BQ118" s="50">
        <f>IF(NOT(AND($A118&lt;&gt;"",$C118&lt;&gt;"DOOR ONLY")),"",TRIM(IFERROR(VLOOKUP($U118,CODES,2,FALSE),"")&amp;" "&amp;$AZ118&amp;" "&amp;IFERROR(VLOOKUP($Z118,CODES,2,FALSE),"")&amp;" "&amp;IFERROR(VLOOKUP($X118,CODES,2,FALSE),"")&amp;" "&amp;IFERROR(VLOOKUP($S118,CODES,2,FALSE),"")&amp;IF(N($P118)&gt;0," w/TRANSOM "&amp;$P118&amp;CHAR(34),"")&amp;IF(N($Q118)&gt;0," w/SIDELITE "&amp;$Q118&amp;CHAR(34)&amp;" "&amp;IF($R118="","R",$R118),"")&amp;IF($Y118="","  |  "," | "&amp;IFERROR(VLOOKUP($Y118,CODES,2,FALSE),"")&amp;" | ")&amp;IFERROR(VLOOKUP($AC118,CODES,2,FALSE),"")&amp;" "&amp;IFERROR(VLOOKUP($AD118,CODES,2,FALSE),"")&amp;IF(OR($AE118="",$AE118="-"),""," "&amp;$AE118)&amp;IF(OR($AF118="",$AF118="-"),""," "&amp;$AF118)&amp;IF($AB118="Y"," 4"&amp;CHAR(34)&amp;" HEAD","")&amp;" "&amp;IFERROR(VLOOKUP($H118,CODES,2,FALSE),"")))</f>
        <v/>
      </c>
      <c r="BR118" s="50">
        <f>IF(NOT(AND($A118&lt;&gt;"",N($BC118)&gt;0)),"",TRIM(IFERROR(VLOOKUP($AH118,CODES,2,FALSE),"")&amp;IF($AI118=""," "," "&amp;$AI118&amp;"GA ")&amp;$AZ118&amp;" "&amp;IF($AN118="",IFERROR(VLOOKUP($Z118,CODES,2,FALSE),""),IFERROR(VLOOKUP($AN118,CODES,2,FALSE),""))&amp;IF($BC118=2," PAIR","")&amp;" DOOR | "&amp;IF($AL118="","?",$AL118)&amp;" | "&amp;IF($AP118="",IFERROR(VLOOKUP($AC118,CODES,2,FALSE),""),IFERROR(VLOOKUP($AP118,CODES,2,FALSE),""))&amp;" "&amp;IFERROR(VLOOKUP($AQ118,CODES,2,FALSE),"")&amp;IF(OR($AR118="",$AR118="-"),""," SEAM "&amp;$AR118)&amp;IF($AS118="Y"," ASTRAGAL","")&amp;IF($AJ118=""," "," "&amp;$AJ118)&amp;IF($AK118=""," "," "&amp;$AK118)&amp;IF($AO118="",""," "&amp;$AO118)&amp;IF($AM118=""," "," SERIES "&amp;$AM118)&amp;" "&amp;IFERROR(VLOOKUP($H118,CODES,2,FALSE),"")))</f>
        <v/>
      </c>
      <c r="BS118" s="49">
        <f>IF(BV118="","",IF(COUNTIF($BV$6:BV118,BV118)=1,MAX($BS$5:BS117)+1,INDEX($BS$5:BS117,MATCH(BV118,$BV$5:BV117,0))))</f>
        <v/>
      </c>
      <c r="BT118" s="49">
        <f>IF(NOT(AND($A118&lt;&gt;"",$C118&lt;&gt;"DOOR ONLY")),"",MAX($BT$5:BT117)+1)</f>
        <v/>
      </c>
      <c r="BU118" s="49">
        <f>IF(NOT(AND($A118&lt;&gt;"",N($BC118)&gt;0)),"",MAX($BU$5:BU117)+1)</f>
        <v/>
      </c>
      <c r="BV118" s="49">
        <f>IF(OR($A118="",$BA118="",$BB118=""),"",$AZ118&amp;"|"&amp;$O118&amp;"|"&amp;$AL118&amp;"|"&amp;$S118&amp;"|"&amp;$P118&amp;"|"&amp;$Q118&amp;$R118&amp;"|"&amp;$C118&amp;"|"&amp;$AB118)</f>
        <v/>
      </c>
      <c r="BW118" s="49">
        <f>IF($A118="","",IF($B118="","qty, ","")&amp;IF($C118="","scope, ","")&amp;IF(OR($K118="",$M118=""),"size, ","")&amp;IF(AND($A118&lt;&gt;"",$C118&lt;&gt;"DOOR ONLY"),IF($U118="","jamb depth, ","")&amp;IF($X118="","construction, ","")&amp;IF($Y118="","anchor, ","")&amp;IF($S118="","frame type, ",""),"")&amp;IF(AND(N($BC118)&gt;0,$Z118=""),"hand, ","")&amp;IF(N($BC118)&gt;0,IF($AH118="","door material, ","")&amp;IF($AL118="","face type, ","")&amp;IF($AQ118="","lock prep, ","")&amp;IF(AND($AP118="",$AC118=""),"hinge prep, ",""),"")&amp;IF(AND($BO118&gt;0,$AH118="FRP"),"FRP cannot carry a label, ","")&amp;IF(AND($O118="Y",OR($Z118="L",$Z118="R",$Z118="LR",$Z118="RR")),"pair marked but hand is single, ","")&amp;IF(AND($O118&lt;&gt;"Y",OR($Z118="PR",AND(LEN($Z118)&gt;1,ISNUMBER(SEARCH("-",$Z118))))),"pair hand on a single door, ","")&amp;IF(AND(ISNUMBER($BP118),$BO118&lt;N($BP118)),"wall needs a "&amp;$BP118&amp;" min door, ","")&amp;IF(AND($BO118&gt;=180,AND(OR($BL118="FG",$BL118="HG",$BL118="FNV",$BL118="FV"),N($BM118)*N($BN118)&gt;100)),"180 min lite over 100 sq in, ","")&amp;IF(N($BD118)&gt;48,"leaf wider than 4'-0"&amp;CHAR(34)&amp;", ",""))</f>
        <v/>
      </c>
      <c r="BX118" s="49">
        <f>IF($A118="","",IF(AND($BO118&gt;0,AND($A118&lt;&gt;"",$C118&lt;&gt;"DOOR ONLY"),$X118="KD",$E118="EXTERIOR"),"KD label on an exterior opening, ","")&amp;IF(AND($E118="EXTERIOR",OR(AND(AND($A118&lt;&gt;"",$C118&lt;&gt;"DOOR ONLY"),$W118="CR"),AND(N($BC118)&gt;0,$AH118="CR"))),"exterior in CR steel (G9?), ","")&amp;IF(AND(ISNUMBER($BJ118),N($BJ118)&lt;32),"clear width ~"&amp;TEXT($BJ118,"0.0")&amp;CHAR(34)&amp;" under 32"&amp;CHAR(34)&amp;" (ADA), ","")&amp;IF(AND($BO118=90,AND(OR($BL118="FG",$BL118="HG",$BL118="FNV",$BL118="FV"),N($BM118)*N($BN118)&gt;100)),"90 min lite over 100 sq in (stair/exit), ","")&amp;IF(AND($BO118&gt;0,AND($A118&lt;&gt;"",$C118&lt;&gt;"DOOR ONLY"),OR($AF118="",$AF118="-")),"rated: closer reinf.?, ","")&amp;IF(OR($I118="CORRIDOR",$I118="SMOKE BARRIER"),"S label + smoke gasketing, ","")&amp;IF($BP118="?","wall type/hr not in IBC table, ","")&amp;IF(AND(N($BC118)&gt;0,$AU118=""),"no hardware set, ","")&amp;IF(AND($AU118&lt;&gt;"",ISNA(MATCH($AU118,HWSets,0))),"set "&amp;$AU118&amp;" not on Hardware sheet, ","")&amp;IF(N($BE118)&gt;96,"leaf over 8'-0"&amp;CHAR(34)&amp;" - check listing, ",""))</f>
        <v/>
      </c>
    </row>
    <row r="119" ht="15" customHeight="1">
      <c r="A119" s="44" t="n"/>
      <c r="B119" s="45" t="n"/>
      <c r="C119" s="45" t="n"/>
      <c r="D119" s="45" t="n"/>
      <c r="E119" s="45" t="n"/>
      <c r="F119" s="45" t="n"/>
      <c r="G119" s="45" t="n"/>
      <c r="H119" s="45" t="n"/>
      <c r="I119" s="45" t="n"/>
      <c r="J119" s="45" t="n"/>
      <c r="K119" s="45" t="n"/>
      <c r="L119" s="45" t="n"/>
      <c r="M119" s="45" t="n"/>
      <c r="N119" s="45" t="n"/>
      <c r="O119" s="45" t="n"/>
      <c r="P119" s="45" t="n"/>
      <c r="Q119" s="45" t="n"/>
      <c r="R119" s="45" t="n"/>
      <c r="S119" s="46" t="n"/>
      <c r="T119" s="46" t="n"/>
      <c r="U119" s="46" t="n"/>
      <c r="V119" s="46" t="n"/>
      <c r="W119" s="46" t="n"/>
      <c r="X119" s="46" t="n"/>
      <c r="Y119" s="46" t="n"/>
      <c r="Z119" s="46" t="n"/>
      <c r="AA119" s="46" t="n"/>
      <c r="AB119" s="46" t="n"/>
      <c r="AC119" s="46" t="n"/>
      <c r="AD119" s="46" t="n"/>
      <c r="AE119" s="46" t="n"/>
      <c r="AF119" s="46" t="n"/>
      <c r="AG119" s="46" t="n"/>
      <c r="AH119" s="47" t="n"/>
      <c r="AI119" s="47" t="n"/>
      <c r="AJ119" s="47" t="n"/>
      <c r="AK119" s="47" t="n"/>
      <c r="AL119" s="47" t="n"/>
      <c r="AM119" s="47" t="n"/>
      <c r="AN119" s="47" t="n"/>
      <c r="AO119" s="47" t="n"/>
      <c r="AP119" s="47" t="n"/>
      <c r="AQ119" s="47" t="n"/>
      <c r="AR119" s="47" t="n"/>
      <c r="AS119" s="47" t="n"/>
      <c r="AT119" s="47" t="n"/>
      <c r="AU119" s="48" t="n"/>
      <c r="AV119" s="48" t="n"/>
      <c r="AW119" s="49">
        <f>IF($A119="","",IF($BW119&lt;&gt;"","FIX",IF($BX119&lt;&gt;"","CHECK","OK")))</f>
        <v/>
      </c>
      <c r="AX119" s="50">
        <f>IF($A119="","",IF($BW119&lt;&gt;"","FIX: "&amp;LEFT($BW119,LEN($BW119)-2)&amp;IF($BX119&lt;&gt;"","  ·  ",""),"")&amp;IF($BX119&lt;&gt;"","CHECK: "&amp;LEFT($BX119,LEN($BX119)-2),""))</f>
        <v/>
      </c>
      <c r="AY119" s="49">
        <f>IF(OR($A119="",$K119=""),"",$K119&amp;"'-"&amp;N($L119)&amp;CHAR(34)&amp;" x "&amp;$M119&amp;"'-"&amp;N($N119)&amp;CHAR(34))</f>
        <v/>
      </c>
      <c r="AZ119" s="49">
        <f>IF(OR($A119="",$K119=""),"",$K119&amp;N($L119)&amp;$M119&amp;N($N119))</f>
        <v/>
      </c>
      <c r="BA119" s="49">
        <f>IF(OR($A119="",$K119=""),"",$K119*12+N($L119))</f>
        <v/>
      </c>
      <c r="BB119" s="49">
        <f>IF(OR($A119="",$M119=""),"",$M119*12+N($N119))</f>
        <v/>
      </c>
      <c r="BC119" s="49">
        <f>IF($A119="","",IF(OR($C119="FRAME ONLY",$S119="BL"),0,IF($O119="Y",2,1)))</f>
        <v/>
      </c>
      <c r="BD119" s="51">
        <f>IF(OR(N($BC119)=0,$BA119=""),"",($BA119-2*EdgeClr-IF($BC119=2,MeetClr,0))/$BC119)</f>
        <v/>
      </c>
      <c r="BE119" s="51">
        <f>IF(OR(N($BC119)=0,$BB119=""),"",$BB119-HeadClr-Undercut)</f>
        <v/>
      </c>
      <c r="BF119" s="51">
        <f>IF($BA119="","",$BA119+2*FaceW+IF(N($Q119)&gt;0,($Q119+FaceW)*IF($R119="LR",2,1),0))</f>
        <v/>
      </c>
      <c r="BG119" s="51">
        <f>IF($BB119="","",$BB119+IF($AB119="Y",4,FaceW)+IF(N($P119)&gt;0,$P119+FaceW,0)+IF(OR($S119="4F",$S119="BL"),FaceW,0))</f>
        <v/>
      </c>
      <c r="BH119" s="51">
        <f>IF($BF119="","",$BF119+2*ROSide)</f>
        <v/>
      </c>
      <c r="BI119" s="51">
        <f>IF($BG119="","",$BG119+ROTop)</f>
        <v/>
      </c>
      <c r="BJ119" s="52">
        <f>IF(OR(N($BC119)=0,$BA119=""),"",$BA119/$BC119-ClearDeduct)</f>
        <v/>
      </c>
      <c r="BK119" s="49">
        <f>IF(OR(N($BC119)=0,$BE119=""),"",IF(OR($AC119="HGC",$AP119="HGC"),"CONT",IF($BE119&lt;=60,2,IF($BE119&lt;=90,3,IF($BE119&lt;=120,4,5)))))</f>
        <v/>
      </c>
      <c r="BL119" s="49">
        <f>IF(N($BC119)=0,"",IF(OR($AL119="",$AL119="FLUSH"),"FLUSH",IFERROR(LEFT($AL119,FIND("-",$AL119)-1),LEFT($AL119,2))))</f>
        <v/>
      </c>
      <c r="BM119" s="49">
        <f>IF($BL119="","",IFERROR(VALUE(MID($AL119,FIND("-",$AL119)+1,FIND(CHAR(34)&amp;"x",$AL119)-FIND("-",$AL119)-1)),0))</f>
        <v/>
      </c>
      <c r="BN119" s="49">
        <f>IF($BL119="","",IFERROR(VALUE(MID($AL119,FIND(CHAR(34)&amp;"x",$AL119)+2,FIND(CHAR(34),$AL119,FIND(CHAR(34)&amp;"x",$AL119)+2)-FIND(CHAR(34)&amp;"x",$AL119)-2)),0))</f>
        <v/>
      </c>
      <c r="BO119" s="53">
        <f>IF(OR($A119="",$H119="",$H119="NO LAB"),0,IFERROR(VALUE(LEFT($H119,FIND(" ",$H119)-1)),0))</f>
        <v/>
      </c>
      <c r="BP119" s="54">
        <f>IF(OR($A119="",$I119="",$I119="NON-RATED",N($J119)=0),"",IFERROR(VLOOKUP($I119&amp;"|"&amp;$J119,IBC,2,FALSE),"?"))</f>
        <v/>
      </c>
      <c r="BQ119" s="50">
        <f>IF(NOT(AND($A119&lt;&gt;"",$C119&lt;&gt;"DOOR ONLY")),"",TRIM(IFERROR(VLOOKUP($U119,CODES,2,FALSE),"")&amp;" "&amp;$AZ119&amp;" "&amp;IFERROR(VLOOKUP($Z119,CODES,2,FALSE),"")&amp;" "&amp;IFERROR(VLOOKUP($X119,CODES,2,FALSE),"")&amp;" "&amp;IFERROR(VLOOKUP($S119,CODES,2,FALSE),"")&amp;IF(N($P119)&gt;0," w/TRANSOM "&amp;$P119&amp;CHAR(34),"")&amp;IF(N($Q119)&gt;0," w/SIDELITE "&amp;$Q119&amp;CHAR(34)&amp;" "&amp;IF($R119="","R",$R119),"")&amp;IF($Y119="","  |  "," | "&amp;IFERROR(VLOOKUP($Y119,CODES,2,FALSE),"")&amp;" | ")&amp;IFERROR(VLOOKUP($AC119,CODES,2,FALSE),"")&amp;" "&amp;IFERROR(VLOOKUP($AD119,CODES,2,FALSE),"")&amp;IF(OR($AE119="",$AE119="-"),""," "&amp;$AE119)&amp;IF(OR($AF119="",$AF119="-"),""," "&amp;$AF119)&amp;IF($AB119="Y"," 4"&amp;CHAR(34)&amp;" HEAD","")&amp;" "&amp;IFERROR(VLOOKUP($H119,CODES,2,FALSE),"")))</f>
        <v/>
      </c>
      <c r="BR119" s="50">
        <f>IF(NOT(AND($A119&lt;&gt;"",N($BC119)&gt;0)),"",TRIM(IFERROR(VLOOKUP($AH119,CODES,2,FALSE),"")&amp;IF($AI119=""," "," "&amp;$AI119&amp;"GA ")&amp;$AZ119&amp;" "&amp;IF($AN119="",IFERROR(VLOOKUP($Z119,CODES,2,FALSE),""),IFERROR(VLOOKUP($AN119,CODES,2,FALSE),""))&amp;IF($BC119=2," PAIR","")&amp;" DOOR | "&amp;IF($AL119="","?",$AL119)&amp;" | "&amp;IF($AP119="",IFERROR(VLOOKUP($AC119,CODES,2,FALSE),""),IFERROR(VLOOKUP($AP119,CODES,2,FALSE),""))&amp;" "&amp;IFERROR(VLOOKUP($AQ119,CODES,2,FALSE),"")&amp;IF(OR($AR119="",$AR119="-"),""," SEAM "&amp;$AR119)&amp;IF($AS119="Y"," ASTRAGAL","")&amp;IF($AJ119=""," "," "&amp;$AJ119)&amp;IF($AK119=""," "," "&amp;$AK119)&amp;IF($AO119="",""," "&amp;$AO119)&amp;IF($AM119=""," "," SERIES "&amp;$AM119)&amp;" "&amp;IFERROR(VLOOKUP($H119,CODES,2,FALSE),"")))</f>
        <v/>
      </c>
      <c r="BS119" s="49">
        <f>IF(BV119="","",IF(COUNTIF($BV$6:BV119,BV119)=1,MAX($BS$5:BS118)+1,INDEX($BS$5:BS118,MATCH(BV119,$BV$5:BV118,0))))</f>
        <v/>
      </c>
      <c r="BT119" s="49">
        <f>IF(NOT(AND($A119&lt;&gt;"",$C119&lt;&gt;"DOOR ONLY")),"",MAX($BT$5:BT118)+1)</f>
        <v/>
      </c>
      <c r="BU119" s="49">
        <f>IF(NOT(AND($A119&lt;&gt;"",N($BC119)&gt;0)),"",MAX($BU$5:BU118)+1)</f>
        <v/>
      </c>
      <c r="BV119" s="49">
        <f>IF(OR($A119="",$BA119="",$BB119=""),"",$AZ119&amp;"|"&amp;$O119&amp;"|"&amp;$AL119&amp;"|"&amp;$S119&amp;"|"&amp;$P119&amp;"|"&amp;$Q119&amp;$R119&amp;"|"&amp;$C119&amp;"|"&amp;$AB119)</f>
        <v/>
      </c>
      <c r="BW119" s="49">
        <f>IF($A119="","",IF($B119="","qty, ","")&amp;IF($C119="","scope, ","")&amp;IF(OR($K119="",$M119=""),"size, ","")&amp;IF(AND($A119&lt;&gt;"",$C119&lt;&gt;"DOOR ONLY"),IF($U119="","jamb depth, ","")&amp;IF($X119="","construction, ","")&amp;IF($Y119="","anchor, ","")&amp;IF($S119="","frame type, ",""),"")&amp;IF(AND(N($BC119)&gt;0,$Z119=""),"hand, ","")&amp;IF(N($BC119)&gt;0,IF($AH119="","door material, ","")&amp;IF($AL119="","face type, ","")&amp;IF($AQ119="","lock prep, ","")&amp;IF(AND($AP119="",$AC119=""),"hinge prep, ",""),"")&amp;IF(AND($BO119&gt;0,$AH119="FRP"),"FRP cannot carry a label, ","")&amp;IF(AND($O119="Y",OR($Z119="L",$Z119="R",$Z119="LR",$Z119="RR")),"pair marked but hand is single, ","")&amp;IF(AND($O119&lt;&gt;"Y",OR($Z119="PR",AND(LEN($Z119)&gt;1,ISNUMBER(SEARCH("-",$Z119))))),"pair hand on a single door, ","")&amp;IF(AND(ISNUMBER($BP119),$BO119&lt;N($BP119)),"wall needs a "&amp;$BP119&amp;" min door, ","")&amp;IF(AND($BO119&gt;=180,AND(OR($BL119="FG",$BL119="HG",$BL119="FNV",$BL119="FV"),N($BM119)*N($BN119)&gt;100)),"180 min lite over 100 sq in, ","")&amp;IF(N($BD119)&gt;48,"leaf wider than 4'-0"&amp;CHAR(34)&amp;", ",""))</f>
        <v/>
      </c>
      <c r="BX119" s="49">
        <f>IF($A119="","",IF(AND($BO119&gt;0,AND($A119&lt;&gt;"",$C119&lt;&gt;"DOOR ONLY"),$X119="KD",$E119="EXTERIOR"),"KD label on an exterior opening, ","")&amp;IF(AND($E119="EXTERIOR",OR(AND(AND($A119&lt;&gt;"",$C119&lt;&gt;"DOOR ONLY"),$W119="CR"),AND(N($BC119)&gt;0,$AH119="CR"))),"exterior in CR steel (G9?), ","")&amp;IF(AND(ISNUMBER($BJ119),N($BJ119)&lt;32),"clear width ~"&amp;TEXT($BJ119,"0.0")&amp;CHAR(34)&amp;" under 32"&amp;CHAR(34)&amp;" (ADA), ","")&amp;IF(AND($BO119=90,AND(OR($BL119="FG",$BL119="HG",$BL119="FNV",$BL119="FV"),N($BM119)*N($BN119)&gt;100)),"90 min lite over 100 sq in (stair/exit), ","")&amp;IF(AND($BO119&gt;0,AND($A119&lt;&gt;"",$C119&lt;&gt;"DOOR ONLY"),OR($AF119="",$AF119="-")),"rated: closer reinf.?, ","")&amp;IF(OR($I119="CORRIDOR",$I119="SMOKE BARRIER"),"S label + smoke gasketing, ","")&amp;IF($BP119="?","wall type/hr not in IBC table, ","")&amp;IF(AND(N($BC119)&gt;0,$AU119=""),"no hardware set, ","")&amp;IF(AND($AU119&lt;&gt;"",ISNA(MATCH($AU119,HWSets,0))),"set "&amp;$AU119&amp;" not on Hardware sheet, ","")&amp;IF(N($BE119)&gt;96,"leaf over 8'-0"&amp;CHAR(34)&amp;" - check listing, ",""))</f>
        <v/>
      </c>
    </row>
    <row r="120" ht="15" customHeight="1">
      <c r="A120" s="44" t="n"/>
      <c r="B120" s="45" t="n"/>
      <c r="C120" s="45" t="n"/>
      <c r="D120" s="45" t="n"/>
      <c r="E120" s="45" t="n"/>
      <c r="F120" s="45" t="n"/>
      <c r="G120" s="45" t="n"/>
      <c r="H120" s="45" t="n"/>
      <c r="I120" s="45" t="n"/>
      <c r="J120" s="45" t="n"/>
      <c r="K120" s="45" t="n"/>
      <c r="L120" s="45" t="n"/>
      <c r="M120" s="45" t="n"/>
      <c r="N120" s="45" t="n"/>
      <c r="O120" s="45" t="n"/>
      <c r="P120" s="45" t="n"/>
      <c r="Q120" s="45" t="n"/>
      <c r="R120" s="45" t="n"/>
      <c r="S120" s="46" t="n"/>
      <c r="T120" s="46" t="n"/>
      <c r="U120" s="46" t="n"/>
      <c r="V120" s="46" t="n"/>
      <c r="W120" s="46" t="n"/>
      <c r="X120" s="46" t="n"/>
      <c r="Y120" s="46" t="n"/>
      <c r="Z120" s="46" t="n"/>
      <c r="AA120" s="46" t="n"/>
      <c r="AB120" s="46" t="n"/>
      <c r="AC120" s="46" t="n"/>
      <c r="AD120" s="46" t="n"/>
      <c r="AE120" s="46" t="n"/>
      <c r="AF120" s="46" t="n"/>
      <c r="AG120" s="46" t="n"/>
      <c r="AH120" s="47" t="n"/>
      <c r="AI120" s="47" t="n"/>
      <c r="AJ120" s="47" t="n"/>
      <c r="AK120" s="47" t="n"/>
      <c r="AL120" s="47" t="n"/>
      <c r="AM120" s="47" t="n"/>
      <c r="AN120" s="47" t="n"/>
      <c r="AO120" s="47" t="n"/>
      <c r="AP120" s="47" t="n"/>
      <c r="AQ120" s="47" t="n"/>
      <c r="AR120" s="47" t="n"/>
      <c r="AS120" s="47" t="n"/>
      <c r="AT120" s="47" t="n"/>
      <c r="AU120" s="48" t="n"/>
      <c r="AV120" s="48" t="n"/>
      <c r="AW120" s="49">
        <f>IF($A120="","",IF($BW120&lt;&gt;"","FIX",IF($BX120&lt;&gt;"","CHECK","OK")))</f>
        <v/>
      </c>
      <c r="AX120" s="50">
        <f>IF($A120="","",IF($BW120&lt;&gt;"","FIX: "&amp;LEFT($BW120,LEN($BW120)-2)&amp;IF($BX120&lt;&gt;"","  ·  ",""),"")&amp;IF($BX120&lt;&gt;"","CHECK: "&amp;LEFT($BX120,LEN($BX120)-2),""))</f>
        <v/>
      </c>
      <c r="AY120" s="49">
        <f>IF(OR($A120="",$K120=""),"",$K120&amp;"'-"&amp;N($L120)&amp;CHAR(34)&amp;" x "&amp;$M120&amp;"'-"&amp;N($N120)&amp;CHAR(34))</f>
        <v/>
      </c>
      <c r="AZ120" s="49">
        <f>IF(OR($A120="",$K120=""),"",$K120&amp;N($L120)&amp;$M120&amp;N($N120))</f>
        <v/>
      </c>
      <c r="BA120" s="49">
        <f>IF(OR($A120="",$K120=""),"",$K120*12+N($L120))</f>
        <v/>
      </c>
      <c r="BB120" s="49">
        <f>IF(OR($A120="",$M120=""),"",$M120*12+N($N120))</f>
        <v/>
      </c>
      <c r="BC120" s="49">
        <f>IF($A120="","",IF(OR($C120="FRAME ONLY",$S120="BL"),0,IF($O120="Y",2,1)))</f>
        <v/>
      </c>
      <c r="BD120" s="51">
        <f>IF(OR(N($BC120)=0,$BA120=""),"",($BA120-2*EdgeClr-IF($BC120=2,MeetClr,0))/$BC120)</f>
        <v/>
      </c>
      <c r="BE120" s="51">
        <f>IF(OR(N($BC120)=0,$BB120=""),"",$BB120-HeadClr-Undercut)</f>
        <v/>
      </c>
      <c r="BF120" s="51">
        <f>IF($BA120="","",$BA120+2*FaceW+IF(N($Q120)&gt;0,($Q120+FaceW)*IF($R120="LR",2,1),0))</f>
        <v/>
      </c>
      <c r="BG120" s="51">
        <f>IF($BB120="","",$BB120+IF($AB120="Y",4,FaceW)+IF(N($P120)&gt;0,$P120+FaceW,0)+IF(OR($S120="4F",$S120="BL"),FaceW,0))</f>
        <v/>
      </c>
      <c r="BH120" s="51">
        <f>IF($BF120="","",$BF120+2*ROSide)</f>
        <v/>
      </c>
      <c r="BI120" s="51">
        <f>IF($BG120="","",$BG120+ROTop)</f>
        <v/>
      </c>
      <c r="BJ120" s="52">
        <f>IF(OR(N($BC120)=0,$BA120=""),"",$BA120/$BC120-ClearDeduct)</f>
        <v/>
      </c>
      <c r="BK120" s="49">
        <f>IF(OR(N($BC120)=0,$BE120=""),"",IF(OR($AC120="HGC",$AP120="HGC"),"CONT",IF($BE120&lt;=60,2,IF($BE120&lt;=90,3,IF($BE120&lt;=120,4,5)))))</f>
        <v/>
      </c>
      <c r="BL120" s="49">
        <f>IF(N($BC120)=0,"",IF(OR($AL120="",$AL120="FLUSH"),"FLUSH",IFERROR(LEFT($AL120,FIND("-",$AL120)-1),LEFT($AL120,2))))</f>
        <v/>
      </c>
      <c r="BM120" s="49">
        <f>IF($BL120="","",IFERROR(VALUE(MID($AL120,FIND("-",$AL120)+1,FIND(CHAR(34)&amp;"x",$AL120)-FIND("-",$AL120)-1)),0))</f>
        <v/>
      </c>
      <c r="BN120" s="49">
        <f>IF($BL120="","",IFERROR(VALUE(MID($AL120,FIND(CHAR(34)&amp;"x",$AL120)+2,FIND(CHAR(34),$AL120,FIND(CHAR(34)&amp;"x",$AL120)+2)-FIND(CHAR(34)&amp;"x",$AL120)-2)),0))</f>
        <v/>
      </c>
      <c r="BO120" s="53">
        <f>IF(OR($A120="",$H120="",$H120="NO LAB"),0,IFERROR(VALUE(LEFT($H120,FIND(" ",$H120)-1)),0))</f>
        <v/>
      </c>
      <c r="BP120" s="54">
        <f>IF(OR($A120="",$I120="",$I120="NON-RATED",N($J120)=0),"",IFERROR(VLOOKUP($I120&amp;"|"&amp;$J120,IBC,2,FALSE),"?"))</f>
        <v/>
      </c>
      <c r="BQ120" s="50">
        <f>IF(NOT(AND($A120&lt;&gt;"",$C120&lt;&gt;"DOOR ONLY")),"",TRIM(IFERROR(VLOOKUP($U120,CODES,2,FALSE),"")&amp;" "&amp;$AZ120&amp;" "&amp;IFERROR(VLOOKUP($Z120,CODES,2,FALSE),"")&amp;" "&amp;IFERROR(VLOOKUP($X120,CODES,2,FALSE),"")&amp;" "&amp;IFERROR(VLOOKUP($S120,CODES,2,FALSE),"")&amp;IF(N($P120)&gt;0," w/TRANSOM "&amp;$P120&amp;CHAR(34),"")&amp;IF(N($Q120)&gt;0," w/SIDELITE "&amp;$Q120&amp;CHAR(34)&amp;" "&amp;IF($R120="","R",$R120),"")&amp;IF($Y120="","  |  "," | "&amp;IFERROR(VLOOKUP($Y120,CODES,2,FALSE),"")&amp;" | ")&amp;IFERROR(VLOOKUP($AC120,CODES,2,FALSE),"")&amp;" "&amp;IFERROR(VLOOKUP($AD120,CODES,2,FALSE),"")&amp;IF(OR($AE120="",$AE120="-"),""," "&amp;$AE120)&amp;IF(OR($AF120="",$AF120="-"),""," "&amp;$AF120)&amp;IF($AB120="Y"," 4"&amp;CHAR(34)&amp;" HEAD","")&amp;" "&amp;IFERROR(VLOOKUP($H120,CODES,2,FALSE),"")))</f>
        <v/>
      </c>
      <c r="BR120" s="50">
        <f>IF(NOT(AND($A120&lt;&gt;"",N($BC120)&gt;0)),"",TRIM(IFERROR(VLOOKUP($AH120,CODES,2,FALSE),"")&amp;IF($AI120=""," "," "&amp;$AI120&amp;"GA ")&amp;$AZ120&amp;" "&amp;IF($AN120="",IFERROR(VLOOKUP($Z120,CODES,2,FALSE),""),IFERROR(VLOOKUP($AN120,CODES,2,FALSE),""))&amp;IF($BC120=2," PAIR","")&amp;" DOOR | "&amp;IF($AL120="","?",$AL120)&amp;" | "&amp;IF($AP120="",IFERROR(VLOOKUP($AC120,CODES,2,FALSE),""),IFERROR(VLOOKUP($AP120,CODES,2,FALSE),""))&amp;" "&amp;IFERROR(VLOOKUP($AQ120,CODES,2,FALSE),"")&amp;IF(OR($AR120="",$AR120="-"),""," SEAM "&amp;$AR120)&amp;IF($AS120="Y"," ASTRAGAL","")&amp;IF($AJ120=""," "," "&amp;$AJ120)&amp;IF($AK120=""," "," "&amp;$AK120)&amp;IF($AO120="",""," "&amp;$AO120)&amp;IF($AM120=""," "," SERIES "&amp;$AM120)&amp;" "&amp;IFERROR(VLOOKUP($H120,CODES,2,FALSE),"")))</f>
        <v/>
      </c>
      <c r="BS120" s="49">
        <f>IF(BV120="","",IF(COUNTIF($BV$6:BV120,BV120)=1,MAX($BS$5:BS119)+1,INDEX($BS$5:BS119,MATCH(BV120,$BV$5:BV119,0))))</f>
        <v/>
      </c>
      <c r="BT120" s="49">
        <f>IF(NOT(AND($A120&lt;&gt;"",$C120&lt;&gt;"DOOR ONLY")),"",MAX($BT$5:BT119)+1)</f>
        <v/>
      </c>
      <c r="BU120" s="49">
        <f>IF(NOT(AND($A120&lt;&gt;"",N($BC120)&gt;0)),"",MAX($BU$5:BU119)+1)</f>
        <v/>
      </c>
      <c r="BV120" s="49">
        <f>IF(OR($A120="",$BA120="",$BB120=""),"",$AZ120&amp;"|"&amp;$O120&amp;"|"&amp;$AL120&amp;"|"&amp;$S120&amp;"|"&amp;$P120&amp;"|"&amp;$Q120&amp;$R120&amp;"|"&amp;$C120&amp;"|"&amp;$AB120)</f>
        <v/>
      </c>
      <c r="BW120" s="49">
        <f>IF($A120="","",IF($B120="","qty, ","")&amp;IF($C120="","scope, ","")&amp;IF(OR($K120="",$M120=""),"size, ","")&amp;IF(AND($A120&lt;&gt;"",$C120&lt;&gt;"DOOR ONLY"),IF($U120="","jamb depth, ","")&amp;IF($X120="","construction, ","")&amp;IF($Y120="","anchor, ","")&amp;IF($S120="","frame type, ",""),"")&amp;IF(AND(N($BC120)&gt;0,$Z120=""),"hand, ","")&amp;IF(N($BC120)&gt;0,IF($AH120="","door material, ","")&amp;IF($AL120="","face type, ","")&amp;IF($AQ120="","lock prep, ","")&amp;IF(AND($AP120="",$AC120=""),"hinge prep, ",""),"")&amp;IF(AND($BO120&gt;0,$AH120="FRP"),"FRP cannot carry a label, ","")&amp;IF(AND($O120="Y",OR($Z120="L",$Z120="R",$Z120="LR",$Z120="RR")),"pair marked but hand is single, ","")&amp;IF(AND($O120&lt;&gt;"Y",OR($Z120="PR",AND(LEN($Z120)&gt;1,ISNUMBER(SEARCH("-",$Z120))))),"pair hand on a single door, ","")&amp;IF(AND(ISNUMBER($BP120),$BO120&lt;N($BP120)),"wall needs a "&amp;$BP120&amp;" min door, ","")&amp;IF(AND($BO120&gt;=180,AND(OR($BL120="FG",$BL120="HG",$BL120="FNV",$BL120="FV"),N($BM120)*N($BN120)&gt;100)),"180 min lite over 100 sq in, ","")&amp;IF(N($BD120)&gt;48,"leaf wider than 4'-0"&amp;CHAR(34)&amp;", ",""))</f>
        <v/>
      </c>
      <c r="BX120" s="49">
        <f>IF($A120="","",IF(AND($BO120&gt;0,AND($A120&lt;&gt;"",$C120&lt;&gt;"DOOR ONLY"),$X120="KD",$E120="EXTERIOR"),"KD label on an exterior opening, ","")&amp;IF(AND($E120="EXTERIOR",OR(AND(AND($A120&lt;&gt;"",$C120&lt;&gt;"DOOR ONLY"),$W120="CR"),AND(N($BC120)&gt;0,$AH120="CR"))),"exterior in CR steel (G9?), ","")&amp;IF(AND(ISNUMBER($BJ120),N($BJ120)&lt;32),"clear width ~"&amp;TEXT($BJ120,"0.0")&amp;CHAR(34)&amp;" under 32"&amp;CHAR(34)&amp;" (ADA), ","")&amp;IF(AND($BO120=90,AND(OR($BL120="FG",$BL120="HG",$BL120="FNV",$BL120="FV"),N($BM120)*N($BN120)&gt;100)),"90 min lite over 100 sq in (stair/exit), ","")&amp;IF(AND($BO120&gt;0,AND($A120&lt;&gt;"",$C120&lt;&gt;"DOOR ONLY"),OR($AF120="",$AF120="-")),"rated: closer reinf.?, ","")&amp;IF(OR($I120="CORRIDOR",$I120="SMOKE BARRIER"),"S label + smoke gasketing, ","")&amp;IF($BP120="?","wall type/hr not in IBC table, ","")&amp;IF(AND(N($BC120)&gt;0,$AU120=""),"no hardware set, ","")&amp;IF(AND($AU120&lt;&gt;"",ISNA(MATCH($AU120,HWSets,0))),"set "&amp;$AU120&amp;" not on Hardware sheet, ","")&amp;IF(N($BE120)&gt;96,"leaf over 8'-0"&amp;CHAR(34)&amp;" - check listing, ",""))</f>
        <v/>
      </c>
    </row>
    <row r="121" ht="15" customHeight="1">
      <c r="A121" s="44" t="n"/>
      <c r="B121" s="45" t="n"/>
      <c r="C121" s="45" t="n"/>
      <c r="D121" s="45" t="n"/>
      <c r="E121" s="45" t="n"/>
      <c r="F121" s="45" t="n"/>
      <c r="G121" s="45" t="n"/>
      <c r="H121" s="45" t="n"/>
      <c r="I121" s="45" t="n"/>
      <c r="J121" s="45" t="n"/>
      <c r="K121" s="45" t="n"/>
      <c r="L121" s="45" t="n"/>
      <c r="M121" s="45" t="n"/>
      <c r="N121" s="45" t="n"/>
      <c r="O121" s="45" t="n"/>
      <c r="P121" s="45" t="n"/>
      <c r="Q121" s="45" t="n"/>
      <c r="R121" s="45" t="n"/>
      <c r="S121" s="46" t="n"/>
      <c r="T121" s="46" t="n"/>
      <c r="U121" s="46" t="n"/>
      <c r="V121" s="46" t="n"/>
      <c r="W121" s="46" t="n"/>
      <c r="X121" s="46" t="n"/>
      <c r="Y121" s="46" t="n"/>
      <c r="Z121" s="46" t="n"/>
      <c r="AA121" s="46" t="n"/>
      <c r="AB121" s="46" t="n"/>
      <c r="AC121" s="46" t="n"/>
      <c r="AD121" s="46" t="n"/>
      <c r="AE121" s="46" t="n"/>
      <c r="AF121" s="46" t="n"/>
      <c r="AG121" s="46" t="n"/>
      <c r="AH121" s="47" t="n"/>
      <c r="AI121" s="47" t="n"/>
      <c r="AJ121" s="47" t="n"/>
      <c r="AK121" s="47" t="n"/>
      <c r="AL121" s="47" t="n"/>
      <c r="AM121" s="47" t="n"/>
      <c r="AN121" s="47" t="n"/>
      <c r="AO121" s="47" t="n"/>
      <c r="AP121" s="47" t="n"/>
      <c r="AQ121" s="47" t="n"/>
      <c r="AR121" s="47" t="n"/>
      <c r="AS121" s="47" t="n"/>
      <c r="AT121" s="47" t="n"/>
      <c r="AU121" s="48" t="n"/>
      <c r="AV121" s="48" t="n"/>
      <c r="AW121" s="49">
        <f>IF($A121="","",IF($BW121&lt;&gt;"","FIX",IF($BX121&lt;&gt;"","CHECK","OK")))</f>
        <v/>
      </c>
      <c r="AX121" s="50">
        <f>IF($A121="","",IF($BW121&lt;&gt;"","FIX: "&amp;LEFT($BW121,LEN($BW121)-2)&amp;IF($BX121&lt;&gt;"","  ·  ",""),"")&amp;IF($BX121&lt;&gt;"","CHECK: "&amp;LEFT($BX121,LEN($BX121)-2),""))</f>
        <v/>
      </c>
      <c r="AY121" s="49">
        <f>IF(OR($A121="",$K121=""),"",$K121&amp;"'-"&amp;N($L121)&amp;CHAR(34)&amp;" x "&amp;$M121&amp;"'-"&amp;N($N121)&amp;CHAR(34))</f>
        <v/>
      </c>
      <c r="AZ121" s="49">
        <f>IF(OR($A121="",$K121=""),"",$K121&amp;N($L121)&amp;$M121&amp;N($N121))</f>
        <v/>
      </c>
      <c r="BA121" s="49">
        <f>IF(OR($A121="",$K121=""),"",$K121*12+N($L121))</f>
        <v/>
      </c>
      <c r="BB121" s="49">
        <f>IF(OR($A121="",$M121=""),"",$M121*12+N($N121))</f>
        <v/>
      </c>
      <c r="BC121" s="49">
        <f>IF($A121="","",IF(OR($C121="FRAME ONLY",$S121="BL"),0,IF($O121="Y",2,1)))</f>
        <v/>
      </c>
      <c r="BD121" s="51">
        <f>IF(OR(N($BC121)=0,$BA121=""),"",($BA121-2*EdgeClr-IF($BC121=2,MeetClr,0))/$BC121)</f>
        <v/>
      </c>
      <c r="BE121" s="51">
        <f>IF(OR(N($BC121)=0,$BB121=""),"",$BB121-HeadClr-Undercut)</f>
        <v/>
      </c>
      <c r="BF121" s="51">
        <f>IF($BA121="","",$BA121+2*FaceW+IF(N($Q121)&gt;0,($Q121+FaceW)*IF($R121="LR",2,1),0))</f>
        <v/>
      </c>
      <c r="BG121" s="51">
        <f>IF($BB121="","",$BB121+IF($AB121="Y",4,FaceW)+IF(N($P121)&gt;0,$P121+FaceW,0)+IF(OR($S121="4F",$S121="BL"),FaceW,0))</f>
        <v/>
      </c>
      <c r="BH121" s="51">
        <f>IF($BF121="","",$BF121+2*ROSide)</f>
        <v/>
      </c>
      <c r="BI121" s="51">
        <f>IF($BG121="","",$BG121+ROTop)</f>
        <v/>
      </c>
      <c r="BJ121" s="52">
        <f>IF(OR(N($BC121)=0,$BA121=""),"",$BA121/$BC121-ClearDeduct)</f>
        <v/>
      </c>
      <c r="BK121" s="49">
        <f>IF(OR(N($BC121)=0,$BE121=""),"",IF(OR($AC121="HGC",$AP121="HGC"),"CONT",IF($BE121&lt;=60,2,IF($BE121&lt;=90,3,IF($BE121&lt;=120,4,5)))))</f>
        <v/>
      </c>
      <c r="BL121" s="49">
        <f>IF(N($BC121)=0,"",IF(OR($AL121="",$AL121="FLUSH"),"FLUSH",IFERROR(LEFT($AL121,FIND("-",$AL121)-1),LEFT($AL121,2))))</f>
        <v/>
      </c>
      <c r="BM121" s="49">
        <f>IF($BL121="","",IFERROR(VALUE(MID($AL121,FIND("-",$AL121)+1,FIND(CHAR(34)&amp;"x",$AL121)-FIND("-",$AL121)-1)),0))</f>
        <v/>
      </c>
      <c r="BN121" s="49">
        <f>IF($BL121="","",IFERROR(VALUE(MID($AL121,FIND(CHAR(34)&amp;"x",$AL121)+2,FIND(CHAR(34),$AL121,FIND(CHAR(34)&amp;"x",$AL121)+2)-FIND(CHAR(34)&amp;"x",$AL121)-2)),0))</f>
        <v/>
      </c>
      <c r="BO121" s="53">
        <f>IF(OR($A121="",$H121="",$H121="NO LAB"),0,IFERROR(VALUE(LEFT($H121,FIND(" ",$H121)-1)),0))</f>
        <v/>
      </c>
      <c r="BP121" s="54">
        <f>IF(OR($A121="",$I121="",$I121="NON-RATED",N($J121)=0),"",IFERROR(VLOOKUP($I121&amp;"|"&amp;$J121,IBC,2,FALSE),"?"))</f>
        <v/>
      </c>
      <c r="BQ121" s="50">
        <f>IF(NOT(AND($A121&lt;&gt;"",$C121&lt;&gt;"DOOR ONLY")),"",TRIM(IFERROR(VLOOKUP($U121,CODES,2,FALSE),"")&amp;" "&amp;$AZ121&amp;" "&amp;IFERROR(VLOOKUP($Z121,CODES,2,FALSE),"")&amp;" "&amp;IFERROR(VLOOKUP($X121,CODES,2,FALSE),"")&amp;" "&amp;IFERROR(VLOOKUP($S121,CODES,2,FALSE),"")&amp;IF(N($P121)&gt;0," w/TRANSOM "&amp;$P121&amp;CHAR(34),"")&amp;IF(N($Q121)&gt;0," w/SIDELITE "&amp;$Q121&amp;CHAR(34)&amp;" "&amp;IF($R121="","R",$R121),"")&amp;IF($Y121="","  |  "," | "&amp;IFERROR(VLOOKUP($Y121,CODES,2,FALSE),"")&amp;" | ")&amp;IFERROR(VLOOKUP($AC121,CODES,2,FALSE),"")&amp;" "&amp;IFERROR(VLOOKUP($AD121,CODES,2,FALSE),"")&amp;IF(OR($AE121="",$AE121="-"),""," "&amp;$AE121)&amp;IF(OR($AF121="",$AF121="-"),""," "&amp;$AF121)&amp;IF($AB121="Y"," 4"&amp;CHAR(34)&amp;" HEAD","")&amp;" "&amp;IFERROR(VLOOKUP($H121,CODES,2,FALSE),"")))</f>
        <v/>
      </c>
      <c r="BR121" s="50">
        <f>IF(NOT(AND($A121&lt;&gt;"",N($BC121)&gt;0)),"",TRIM(IFERROR(VLOOKUP($AH121,CODES,2,FALSE),"")&amp;IF($AI121=""," "," "&amp;$AI121&amp;"GA ")&amp;$AZ121&amp;" "&amp;IF($AN121="",IFERROR(VLOOKUP($Z121,CODES,2,FALSE),""),IFERROR(VLOOKUP($AN121,CODES,2,FALSE),""))&amp;IF($BC121=2," PAIR","")&amp;" DOOR | "&amp;IF($AL121="","?",$AL121)&amp;" | "&amp;IF($AP121="",IFERROR(VLOOKUP($AC121,CODES,2,FALSE),""),IFERROR(VLOOKUP($AP121,CODES,2,FALSE),""))&amp;" "&amp;IFERROR(VLOOKUP($AQ121,CODES,2,FALSE),"")&amp;IF(OR($AR121="",$AR121="-"),""," SEAM "&amp;$AR121)&amp;IF($AS121="Y"," ASTRAGAL","")&amp;IF($AJ121=""," "," "&amp;$AJ121)&amp;IF($AK121=""," "," "&amp;$AK121)&amp;IF($AO121="",""," "&amp;$AO121)&amp;IF($AM121=""," "," SERIES "&amp;$AM121)&amp;" "&amp;IFERROR(VLOOKUP($H121,CODES,2,FALSE),"")))</f>
        <v/>
      </c>
      <c r="BS121" s="49">
        <f>IF(BV121="","",IF(COUNTIF($BV$6:BV121,BV121)=1,MAX($BS$5:BS120)+1,INDEX($BS$5:BS120,MATCH(BV121,$BV$5:BV120,0))))</f>
        <v/>
      </c>
      <c r="BT121" s="49">
        <f>IF(NOT(AND($A121&lt;&gt;"",$C121&lt;&gt;"DOOR ONLY")),"",MAX($BT$5:BT120)+1)</f>
        <v/>
      </c>
      <c r="BU121" s="49">
        <f>IF(NOT(AND($A121&lt;&gt;"",N($BC121)&gt;0)),"",MAX($BU$5:BU120)+1)</f>
        <v/>
      </c>
      <c r="BV121" s="49">
        <f>IF(OR($A121="",$BA121="",$BB121=""),"",$AZ121&amp;"|"&amp;$O121&amp;"|"&amp;$AL121&amp;"|"&amp;$S121&amp;"|"&amp;$P121&amp;"|"&amp;$Q121&amp;$R121&amp;"|"&amp;$C121&amp;"|"&amp;$AB121)</f>
        <v/>
      </c>
      <c r="BW121" s="49">
        <f>IF($A121="","",IF($B121="","qty, ","")&amp;IF($C121="","scope, ","")&amp;IF(OR($K121="",$M121=""),"size, ","")&amp;IF(AND($A121&lt;&gt;"",$C121&lt;&gt;"DOOR ONLY"),IF($U121="","jamb depth, ","")&amp;IF($X121="","construction, ","")&amp;IF($Y121="","anchor, ","")&amp;IF($S121="","frame type, ",""),"")&amp;IF(AND(N($BC121)&gt;0,$Z121=""),"hand, ","")&amp;IF(N($BC121)&gt;0,IF($AH121="","door material, ","")&amp;IF($AL121="","face type, ","")&amp;IF($AQ121="","lock prep, ","")&amp;IF(AND($AP121="",$AC121=""),"hinge prep, ",""),"")&amp;IF(AND($BO121&gt;0,$AH121="FRP"),"FRP cannot carry a label, ","")&amp;IF(AND($O121="Y",OR($Z121="L",$Z121="R",$Z121="LR",$Z121="RR")),"pair marked but hand is single, ","")&amp;IF(AND($O121&lt;&gt;"Y",OR($Z121="PR",AND(LEN($Z121)&gt;1,ISNUMBER(SEARCH("-",$Z121))))),"pair hand on a single door, ","")&amp;IF(AND(ISNUMBER($BP121),$BO121&lt;N($BP121)),"wall needs a "&amp;$BP121&amp;" min door, ","")&amp;IF(AND($BO121&gt;=180,AND(OR($BL121="FG",$BL121="HG",$BL121="FNV",$BL121="FV"),N($BM121)*N($BN121)&gt;100)),"180 min lite over 100 sq in, ","")&amp;IF(N($BD121)&gt;48,"leaf wider than 4'-0"&amp;CHAR(34)&amp;", ",""))</f>
        <v/>
      </c>
      <c r="BX121" s="49">
        <f>IF($A121="","",IF(AND($BO121&gt;0,AND($A121&lt;&gt;"",$C121&lt;&gt;"DOOR ONLY"),$X121="KD",$E121="EXTERIOR"),"KD label on an exterior opening, ","")&amp;IF(AND($E121="EXTERIOR",OR(AND(AND($A121&lt;&gt;"",$C121&lt;&gt;"DOOR ONLY"),$W121="CR"),AND(N($BC121)&gt;0,$AH121="CR"))),"exterior in CR steel (G9?), ","")&amp;IF(AND(ISNUMBER($BJ121),N($BJ121)&lt;32),"clear width ~"&amp;TEXT($BJ121,"0.0")&amp;CHAR(34)&amp;" under 32"&amp;CHAR(34)&amp;" (ADA), ","")&amp;IF(AND($BO121=90,AND(OR($BL121="FG",$BL121="HG",$BL121="FNV",$BL121="FV"),N($BM121)*N($BN121)&gt;100)),"90 min lite over 100 sq in (stair/exit), ","")&amp;IF(AND($BO121&gt;0,AND($A121&lt;&gt;"",$C121&lt;&gt;"DOOR ONLY"),OR($AF121="",$AF121="-")),"rated: closer reinf.?, ","")&amp;IF(OR($I121="CORRIDOR",$I121="SMOKE BARRIER"),"S label + smoke gasketing, ","")&amp;IF($BP121="?","wall type/hr not in IBC table, ","")&amp;IF(AND(N($BC121)&gt;0,$AU121=""),"no hardware set, ","")&amp;IF(AND($AU121&lt;&gt;"",ISNA(MATCH($AU121,HWSets,0))),"set "&amp;$AU121&amp;" not on Hardware sheet, ","")&amp;IF(N($BE121)&gt;96,"leaf over 8'-0"&amp;CHAR(34)&amp;" - check listing, ",""))</f>
        <v/>
      </c>
    </row>
    <row r="122" ht="15" customHeight="1">
      <c r="A122" s="44" t="n"/>
      <c r="B122" s="45" t="n"/>
      <c r="C122" s="45" t="n"/>
      <c r="D122" s="45" t="n"/>
      <c r="E122" s="45" t="n"/>
      <c r="F122" s="45" t="n"/>
      <c r="G122" s="45" t="n"/>
      <c r="H122" s="45" t="n"/>
      <c r="I122" s="45" t="n"/>
      <c r="J122" s="45" t="n"/>
      <c r="K122" s="45" t="n"/>
      <c r="L122" s="45" t="n"/>
      <c r="M122" s="45" t="n"/>
      <c r="N122" s="45" t="n"/>
      <c r="O122" s="45" t="n"/>
      <c r="P122" s="45" t="n"/>
      <c r="Q122" s="45" t="n"/>
      <c r="R122" s="45" t="n"/>
      <c r="S122" s="46" t="n"/>
      <c r="T122" s="46" t="n"/>
      <c r="U122" s="46" t="n"/>
      <c r="V122" s="46" t="n"/>
      <c r="W122" s="46" t="n"/>
      <c r="X122" s="46" t="n"/>
      <c r="Y122" s="46" t="n"/>
      <c r="Z122" s="46" t="n"/>
      <c r="AA122" s="46" t="n"/>
      <c r="AB122" s="46" t="n"/>
      <c r="AC122" s="46" t="n"/>
      <c r="AD122" s="46" t="n"/>
      <c r="AE122" s="46" t="n"/>
      <c r="AF122" s="46" t="n"/>
      <c r="AG122" s="46" t="n"/>
      <c r="AH122" s="47" t="n"/>
      <c r="AI122" s="47" t="n"/>
      <c r="AJ122" s="47" t="n"/>
      <c r="AK122" s="47" t="n"/>
      <c r="AL122" s="47" t="n"/>
      <c r="AM122" s="47" t="n"/>
      <c r="AN122" s="47" t="n"/>
      <c r="AO122" s="47" t="n"/>
      <c r="AP122" s="47" t="n"/>
      <c r="AQ122" s="47" t="n"/>
      <c r="AR122" s="47" t="n"/>
      <c r="AS122" s="47" t="n"/>
      <c r="AT122" s="47" t="n"/>
      <c r="AU122" s="48" t="n"/>
      <c r="AV122" s="48" t="n"/>
      <c r="AW122" s="49">
        <f>IF($A122="","",IF($BW122&lt;&gt;"","FIX",IF($BX122&lt;&gt;"","CHECK","OK")))</f>
        <v/>
      </c>
      <c r="AX122" s="50">
        <f>IF($A122="","",IF($BW122&lt;&gt;"","FIX: "&amp;LEFT($BW122,LEN($BW122)-2)&amp;IF($BX122&lt;&gt;"","  ·  ",""),"")&amp;IF($BX122&lt;&gt;"","CHECK: "&amp;LEFT($BX122,LEN($BX122)-2),""))</f>
        <v/>
      </c>
      <c r="AY122" s="49">
        <f>IF(OR($A122="",$K122=""),"",$K122&amp;"'-"&amp;N($L122)&amp;CHAR(34)&amp;" x "&amp;$M122&amp;"'-"&amp;N($N122)&amp;CHAR(34))</f>
        <v/>
      </c>
      <c r="AZ122" s="49">
        <f>IF(OR($A122="",$K122=""),"",$K122&amp;N($L122)&amp;$M122&amp;N($N122))</f>
        <v/>
      </c>
      <c r="BA122" s="49">
        <f>IF(OR($A122="",$K122=""),"",$K122*12+N($L122))</f>
        <v/>
      </c>
      <c r="BB122" s="49">
        <f>IF(OR($A122="",$M122=""),"",$M122*12+N($N122))</f>
        <v/>
      </c>
      <c r="BC122" s="49">
        <f>IF($A122="","",IF(OR($C122="FRAME ONLY",$S122="BL"),0,IF($O122="Y",2,1)))</f>
        <v/>
      </c>
      <c r="BD122" s="51">
        <f>IF(OR(N($BC122)=0,$BA122=""),"",($BA122-2*EdgeClr-IF($BC122=2,MeetClr,0))/$BC122)</f>
        <v/>
      </c>
      <c r="BE122" s="51">
        <f>IF(OR(N($BC122)=0,$BB122=""),"",$BB122-HeadClr-Undercut)</f>
        <v/>
      </c>
      <c r="BF122" s="51">
        <f>IF($BA122="","",$BA122+2*FaceW+IF(N($Q122)&gt;0,($Q122+FaceW)*IF($R122="LR",2,1),0))</f>
        <v/>
      </c>
      <c r="BG122" s="51">
        <f>IF($BB122="","",$BB122+IF($AB122="Y",4,FaceW)+IF(N($P122)&gt;0,$P122+FaceW,0)+IF(OR($S122="4F",$S122="BL"),FaceW,0))</f>
        <v/>
      </c>
      <c r="BH122" s="51">
        <f>IF($BF122="","",$BF122+2*ROSide)</f>
        <v/>
      </c>
      <c r="BI122" s="51">
        <f>IF($BG122="","",$BG122+ROTop)</f>
        <v/>
      </c>
      <c r="BJ122" s="52">
        <f>IF(OR(N($BC122)=0,$BA122=""),"",$BA122/$BC122-ClearDeduct)</f>
        <v/>
      </c>
      <c r="BK122" s="49">
        <f>IF(OR(N($BC122)=0,$BE122=""),"",IF(OR($AC122="HGC",$AP122="HGC"),"CONT",IF($BE122&lt;=60,2,IF($BE122&lt;=90,3,IF($BE122&lt;=120,4,5)))))</f>
        <v/>
      </c>
      <c r="BL122" s="49">
        <f>IF(N($BC122)=0,"",IF(OR($AL122="",$AL122="FLUSH"),"FLUSH",IFERROR(LEFT($AL122,FIND("-",$AL122)-1),LEFT($AL122,2))))</f>
        <v/>
      </c>
      <c r="BM122" s="49">
        <f>IF($BL122="","",IFERROR(VALUE(MID($AL122,FIND("-",$AL122)+1,FIND(CHAR(34)&amp;"x",$AL122)-FIND("-",$AL122)-1)),0))</f>
        <v/>
      </c>
      <c r="BN122" s="49">
        <f>IF($BL122="","",IFERROR(VALUE(MID($AL122,FIND(CHAR(34)&amp;"x",$AL122)+2,FIND(CHAR(34),$AL122,FIND(CHAR(34)&amp;"x",$AL122)+2)-FIND(CHAR(34)&amp;"x",$AL122)-2)),0))</f>
        <v/>
      </c>
      <c r="BO122" s="53">
        <f>IF(OR($A122="",$H122="",$H122="NO LAB"),0,IFERROR(VALUE(LEFT($H122,FIND(" ",$H122)-1)),0))</f>
        <v/>
      </c>
      <c r="BP122" s="54">
        <f>IF(OR($A122="",$I122="",$I122="NON-RATED",N($J122)=0),"",IFERROR(VLOOKUP($I122&amp;"|"&amp;$J122,IBC,2,FALSE),"?"))</f>
        <v/>
      </c>
      <c r="BQ122" s="50">
        <f>IF(NOT(AND($A122&lt;&gt;"",$C122&lt;&gt;"DOOR ONLY")),"",TRIM(IFERROR(VLOOKUP($U122,CODES,2,FALSE),"")&amp;" "&amp;$AZ122&amp;" "&amp;IFERROR(VLOOKUP($Z122,CODES,2,FALSE),"")&amp;" "&amp;IFERROR(VLOOKUP($X122,CODES,2,FALSE),"")&amp;" "&amp;IFERROR(VLOOKUP($S122,CODES,2,FALSE),"")&amp;IF(N($P122)&gt;0," w/TRANSOM "&amp;$P122&amp;CHAR(34),"")&amp;IF(N($Q122)&gt;0," w/SIDELITE "&amp;$Q122&amp;CHAR(34)&amp;" "&amp;IF($R122="","R",$R122),"")&amp;IF($Y122="","  |  "," | "&amp;IFERROR(VLOOKUP($Y122,CODES,2,FALSE),"")&amp;" | ")&amp;IFERROR(VLOOKUP($AC122,CODES,2,FALSE),"")&amp;" "&amp;IFERROR(VLOOKUP($AD122,CODES,2,FALSE),"")&amp;IF(OR($AE122="",$AE122="-"),""," "&amp;$AE122)&amp;IF(OR($AF122="",$AF122="-"),""," "&amp;$AF122)&amp;IF($AB122="Y"," 4"&amp;CHAR(34)&amp;" HEAD","")&amp;" "&amp;IFERROR(VLOOKUP($H122,CODES,2,FALSE),"")))</f>
        <v/>
      </c>
      <c r="BR122" s="50">
        <f>IF(NOT(AND($A122&lt;&gt;"",N($BC122)&gt;0)),"",TRIM(IFERROR(VLOOKUP($AH122,CODES,2,FALSE),"")&amp;IF($AI122=""," "," "&amp;$AI122&amp;"GA ")&amp;$AZ122&amp;" "&amp;IF($AN122="",IFERROR(VLOOKUP($Z122,CODES,2,FALSE),""),IFERROR(VLOOKUP($AN122,CODES,2,FALSE),""))&amp;IF($BC122=2," PAIR","")&amp;" DOOR | "&amp;IF($AL122="","?",$AL122)&amp;" | "&amp;IF($AP122="",IFERROR(VLOOKUP($AC122,CODES,2,FALSE),""),IFERROR(VLOOKUP($AP122,CODES,2,FALSE),""))&amp;" "&amp;IFERROR(VLOOKUP($AQ122,CODES,2,FALSE),"")&amp;IF(OR($AR122="",$AR122="-"),""," SEAM "&amp;$AR122)&amp;IF($AS122="Y"," ASTRAGAL","")&amp;IF($AJ122=""," "," "&amp;$AJ122)&amp;IF($AK122=""," "," "&amp;$AK122)&amp;IF($AO122="",""," "&amp;$AO122)&amp;IF($AM122=""," "," SERIES "&amp;$AM122)&amp;" "&amp;IFERROR(VLOOKUP($H122,CODES,2,FALSE),"")))</f>
        <v/>
      </c>
      <c r="BS122" s="49">
        <f>IF(BV122="","",IF(COUNTIF($BV$6:BV122,BV122)=1,MAX($BS$5:BS121)+1,INDEX($BS$5:BS121,MATCH(BV122,$BV$5:BV121,0))))</f>
        <v/>
      </c>
      <c r="BT122" s="49">
        <f>IF(NOT(AND($A122&lt;&gt;"",$C122&lt;&gt;"DOOR ONLY")),"",MAX($BT$5:BT121)+1)</f>
        <v/>
      </c>
      <c r="BU122" s="49">
        <f>IF(NOT(AND($A122&lt;&gt;"",N($BC122)&gt;0)),"",MAX($BU$5:BU121)+1)</f>
        <v/>
      </c>
      <c r="BV122" s="49">
        <f>IF(OR($A122="",$BA122="",$BB122=""),"",$AZ122&amp;"|"&amp;$O122&amp;"|"&amp;$AL122&amp;"|"&amp;$S122&amp;"|"&amp;$P122&amp;"|"&amp;$Q122&amp;$R122&amp;"|"&amp;$C122&amp;"|"&amp;$AB122)</f>
        <v/>
      </c>
      <c r="BW122" s="49">
        <f>IF($A122="","",IF($B122="","qty, ","")&amp;IF($C122="","scope, ","")&amp;IF(OR($K122="",$M122=""),"size, ","")&amp;IF(AND($A122&lt;&gt;"",$C122&lt;&gt;"DOOR ONLY"),IF($U122="","jamb depth, ","")&amp;IF($X122="","construction, ","")&amp;IF($Y122="","anchor, ","")&amp;IF($S122="","frame type, ",""),"")&amp;IF(AND(N($BC122)&gt;0,$Z122=""),"hand, ","")&amp;IF(N($BC122)&gt;0,IF($AH122="","door material, ","")&amp;IF($AL122="","face type, ","")&amp;IF($AQ122="","lock prep, ","")&amp;IF(AND($AP122="",$AC122=""),"hinge prep, ",""),"")&amp;IF(AND($BO122&gt;0,$AH122="FRP"),"FRP cannot carry a label, ","")&amp;IF(AND($O122="Y",OR($Z122="L",$Z122="R",$Z122="LR",$Z122="RR")),"pair marked but hand is single, ","")&amp;IF(AND($O122&lt;&gt;"Y",OR($Z122="PR",AND(LEN($Z122)&gt;1,ISNUMBER(SEARCH("-",$Z122))))),"pair hand on a single door, ","")&amp;IF(AND(ISNUMBER($BP122),$BO122&lt;N($BP122)),"wall needs a "&amp;$BP122&amp;" min door, ","")&amp;IF(AND($BO122&gt;=180,AND(OR($BL122="FG",$BL122="HG",$BL122="FNV",$BL122="FV"),N($BM122)*N($BN122)&gt;100)),"180 min lite over 100 sq in, ","")&amp;IF(N($BD122)&gt;48,"leaf wider than 4'-0"&amp;CHAR(34)&amp;", ",""))</f>
        <v/>
      </c>
      <c r="BX122" s="49">
        <f>IF($A122="","",IF(AND($BO122&gt;0,AND($A122&lt;&gt;"",$C122&lt;&gt;"DOOR ONLY"),$X122="KD",$E122="EXTERIOR"),"KD label on an exterior opening, ","")&amp;IF(AND($E122="EXTERIOR",OR(AND(AND($A122&lt;&gt;"",$C122&lt;&gt;"DOOR ONLY"),$W122="CR"),AND(N($BC122)&gt;0,$AH122="CR"))),"exterior in CR steel (G9?), ","")&amp;IF(AND(ISNUMBER($BJ122),N($BJ122)&lt;32),"clear width ~"&amp;TEXT($BJ122,"0.0")&amp;CHAR(34)&amp;" under 32"&amp;CHAR(34)&amp;" (ADA), ","")&amp;IF(AND($BO122=90,AND(OR($BL122="FG",$BL122="HG",$BL122="FNV",$BL122="FV"),N($BM122)*N($BN122)&gt;100)),"90 min lite over 100 sq in (stair/exit), ","")&amp;IF(AND($BO122&gt;0,AND($A122&lt;&gt;"",$C122&lt;&gt;"DOOR ONLY"),OR($AF122="",$AF122="-")),"rated: closer reinf.?, ","")&amp;IF(OR($I122="CORRIDOR",$I122="SMOKE BARRIER"),"S label + smoke gasketing, ","")&amp;IF($BP122="?","wall type/hr not in IBC table, ","")&amp;IF(AND(N($BC122)&gt;0,$AU122=""),"no hardware set, ","")&amp;IF(AND($AU122&lt;&gt;"",ISNA(MATCH($AU122,HWSets,0))),"set "&amp;$AU122&amp;" not on Hardware sheet, ","")&amp;IF(N($BE122)&gt;96,"leaf over 8'-0"&amp;CHAR(34)&amp;" - check listing, ",""))</f>
        <v/>
      </c>
    </row>
    <row r="123" ht="15" customHeight="1">
      <c r="A123" s="44" t="n"/>
      <c r="B123" s="45" t="n"/>
      <c r="C123" s="45" t="n"/>
      <c r="D123" s="45" t="n"/>
      <c r="E123" s="45" t="n"/>
      <c r="F123" s="45" t="n"/>
      <c r="G123" s="45" t="n"/>
      <c r="H123" s="45" t="n"/>
      <c r="I123" s="45" t="n"/>
      <c r="J123" s="45" t="n"/>
      <c r="K123" s="45" t="n"/>
      <c r="L123" s="45" t="n"/>
      <c r="M123" s="45" t="n"/>
      <c r="N123" s="45" t="n"/>
      <c r="O123" s="45" t="n"/>
      <c r="P123" s="45" t="n"/>
      <c r="Q123" s="45" t="n"/>
      <c r="R123" s="45" t="n"/>
      <c r="S123" s="46" t="n"/>
      <c r="T123" s="46" t="n"/>
      <c r="U123" s="46" t="n"/>
      <c r="V123" s="46" t="n"/>
      <c r="W123" s="46" t="n"/>
      <c r="X123" s="46" t="n"/>
      <c r="Y123" s="46" t="n"/>
      <c r="Z123" s="46" t="n"/>
      <c r="AA123" s="46" t="n"/>
      <c r="AB123" s="46" t="n"/>
      <c r="AC123" s="46" t="n"/>
      <c r="AD123" s="46" t="n"/>
      <c r="AE123" s="46" t="n"/>
      <c r="AF123" s="46" t="n"/>
      <c r="AG123" s="46" t="n"/>
      <c r="AH123" s="47" t="n"/>
      <c r="AI123" s="47" t="n"/>
      <c r="AJ123" s="47" t="n"/>
      <c r="AK123" s="47" t="n"/>
      <c r="AL123" s="47" t="n"/>
      <c r="AM123" s="47" t="n"/>
      <c r="AN123" s="47" t="n"/>
      <c r="AO123" s="47" t="n"/>
      <c r="AP123" s="47" t="n"/>
      <c r="AQ123" s="47" t="n"/>
      <c r="AR123" s="47" t="n"/>
      <c r="AS123" s="47" t="n"/>
      <c r="AT123" s="47" t="n"/>
      <c r="AU123" s="48" t="n"/>
      <c r="AV123" s="48" t="n"/>
      <c r="AW123" s="49">
        <f>IF($A123="","",IF($BW123&lt;&gt;"","FIX",IF($BX123&lt;&gt;"","CHECK","OK")))</f>
        <v/>
      </c>
      <c r="AX123" s="50">
        <f>IF($A123="","",IF($BW123&lt;&gt;"","FIX: "&amp;LEFT($BW123,LEN($BW123)-2)&amp;IF($BX123&lt;&gt;"","  ·  ",""),"")&amp;IF($BX123&lt;&gt;"","CHECK: "&amp;LEFT($BX123,LEN($BX123)-2),""))</f>
        <v/>
      </c>
      <c r="AY123" s="49">
        <f>IF(OR($A123="",$K123=""),"",$K123&amp;"'-"&amp;N($L123)&amp;CHAR(34)&amp;" x "&amp;$M123&amp;"'-"&amp;N($N123)&amp;CHAR(34))</f>
        <v/>
      </c>
      <c r="AZ123" s="49">
        <f>IF(OR($A123="",$K123=""),"",$K123&amp;N($L123)&amp;$M123&amp;N($N123))</f>
        <v/>
      </c>
      <c r="BA123" s="49">
        <f>IF(OR($A123="",$K123=""),"",$K123*12+N($L123))</f>
        <v/>
      </c>
      <c r="BB123" s="49">
        <f>IF(OR($A123="",$M123=""),"",$M123*12+N($N123))</f>
        <v/>
      </c>
      <c r="BC123" s="49">
        <f>IF($A123="","",IF(OR($C123="FRAME ONLY",$S123="BL"),0,IF($O123="Y",2,1)))</f>
        <v/>
      </c>
      <c r="BD123" s="51">
        <f>IF(OR(N($BC123)=0,$BA123=""),"",($BA123-2*EdgeClr-IF($BC123=2,MeetClr,0))/$BC123)</f>
        <v/>
      </c>
      <c r="BE123" s="51">
        <f>IF(OR(N($BC123)=0,$BB123=""),"",$BB123-HeadClr-Undercut)</f>
        <v/>
      </c>
      <c r="BF123" s="51">
        <f>IF($BA123="","",$BA123+2*FaceW+IF(N($Q123)&gt;0,($Q123+FaceW)*IF($R123="LR",2,1),0))</f>
        <v/>
      </c>
      <c r="BG123" s="51">
        <f>IF($BB123="","",$BB123+IF($AB123="Y",4,FaceW)+IF(N($P123)&gt;0,$P123+FaceW,0)+IF(OR($S123="4F",$S123="BL"),FaceW,0))</f>
        <v/>
      </c>
      <c r="BH123" s="51">
        <f>IF($BF123="","",$BF123+2*ROSide)</f>
        <v/>
      </c>
      <c r="BI123" s="51">
        <f>IF($BG123="","",$BG123+ROTop)</f>
        <v/>
      </c>
      <c r="BJ123" s="52">
        <f>IF(OR(N($BC123)=0,$BA123=""),"",$BA123/$BC123-ClearDeduct)</f>
        <v/>
      </c>
      <c r="BK123" s="49">
        <f>IF(OR(N($BC123)=0,$BE123=""),"",IF(OR($AC123="HGC",$AP123="HGC"),"CONT",IF($BE123&lt;=60,2,IF($BE123&lt;=90,3,IF($BE123&lt;=120,4,5)))))</f>
        <v/>
      </c>
      <c r="BL123" s="49">
        <f>IF(N($BC123)=0,"",IF(OR($AL123="",$AL123="FLUSH"),"FLUSH",IFERROR(LEFT($AL123,FIND("-",$AL123)-1),LEFT($AL123,2))))</f>
        <v/>
      </c>
      <c r="BM123" s="49">
        <f>IF($BL123="","",IFERROR(VALUE(MID($AL123,FIND("-",$AL123)+1,FIND(CHAR(34)&amp;"x",$AL123)-FIND("-",$AL123)-1)),0))</f>
        <v/>
      </c>
      <c r="BN123" s="49">
        <f>IF($BL123="","",IFERROR(VALUE(MID($AL123,FIND(CHAR(34)&amp;"x",$AL123)+2,FIND(CHAR(34),$AL123,FIND(CHAR(34)&amp;"x",$AL123)+2)-FIND(CHAR(34)&amp;"x",$AL123)-2)),0))</f>
        <v/>
      </c>
      <c r="BO123" s="53">
        <f>IF(OR($A123="",$H123="",$H123="NO LAB"),0,IFERROR(VALUE(LEFT($H123,FIND(" ",$H123)-1)),0))</f>
        <v/>
      </c>
      <c r="BP123" s="54">
        <f>IF(OR($A123="",$I123="",$I123="NON-RATED",N($J123)=0),"",IFERROR(VLOOKUP($I123&amp;"|"&amp;$J123,IBC,2,FALSE),"?"))</f>
        <v/>
      </c>
      <c r="BQ123" s="50">
        <f>IF(NOT(AND($A123&lt;&gt;"",$C123&lt;&gt;"DOOR ONLY")),"",TRIM(IFERROR(VLOOKUP($U123,CODES,2,FALSE),"")&amp;" "&amp;$AZ123&amp;" "&amp;IFERROR(VLOOKUP($Z123,CODES,2,FALSE),"")&amp;" "&amp;IFERROR(VLOOKUP($X123,CODES,2,FALSE),"")&amp;" "&amp;IFERROR(VLOOKUP($S123,CODES,2,FALSE),"")&amp;IF(N($P123)&gt;0," w/TRANSOM "&amp;$P123&amp;CHAR(34),"")&amp;IF(N($Q123)&gt;0," w/SIDELITE "&amp;$Q123&amp;CHAR(34)&amp;" "&amp;IF($R123="","R",$R123),"")&amp;IF($Y123="","  |  "," | "&amp;IFERROR(VLOOKUP($Y123,CODES,2,FALSE),"")&amp;" | ")&amp;IFERROR(VLOOKUP($AC123,CODES,2,FALSE),"")&amp;" "&amp;IFERROR(VLOOKUP($AD123,CODES,2,FALSE),"")&amp;IF(OR($AE123="",$AE123="-"),""," "&amp;$AE123)&amp;IF(OR($AF123="",$AF123="-"),""," "&amp;$AF123)&amp;IF($AB123="Y"," 4"&amp;CHAR(34)&amp;" HEAD","")&amp;" "&amp;IFERROR(VLOOKUP($H123,CODES,2,FALSE),"")))</f>
        <v/>
      </c>
      <c r="BR123" s="50">
        <f>IF(NOT(AND($A123&lt;&gt;"",N($BC123)&gt;0)),"",TRIM(IFERROR(VLOOKUP($AH123,CODES,2,FALSE),"")&amp;IF($AI123=""," "," "&amp;$AI123&amp;"GA ")&amp;$AZ123&amp;" "&amp;IF($AN123="",IFERROR(VLOOKUP($Z123,CODES,2,FALSE),""),IFERROR(VLOOKUP($AN123,CODES,2,FALSE),""))&amp;IF($BC123=2," PAIR","")&amp;" DOOR | "&amp;IF($AL123="","?",$AL123)&amp;" | "&amp;IF($AP123="",IFERROR(VLOOKUP($AC123,CODES,2,FALSE),""),IFERROR(VLOOKUP($AP123,CODES,2,FALSE),""))&amp;" "&amp;IFERROR(VLOOKUP($AQ123,CODES,2,FALSE),"")&amp;IF(OR($AR123="",$AR123="-"),""," SEAM "&amp;$AR123)&amp;IF($AS123="Y"," ASTRAGAL","")&amp;IF($AJ123=""," "," "&amp;$AJ123)&amp;IF($AK123=""," "," "&amp;$AK123)&amp;IF($AO123="",""," "&amp;$AO123)&amp;IF($AM123=""," "," SERIES "&amp;$AM123)&amp;" "&amp;IFERROR(VLOOKUP($H123,CODES,2,FALSE),"")))</f>
        <v/>
      </c>
      <c r="BS123" s="49">
        <f>IF(BV123="","",IF(COUNTIF($BV$6:BV123,BV123)=1,MAX($BS$5:BS122)+1,INDEX($BS$5:BS122,MATCH(BV123,$BV$5:BV122,0))))</f>
        <v/>
      </c>
      <c r="BT123" s="49">
        <f>IF(NOT(AND($A123&lt;&gt;"",$C123&lt;&gt;"DOOR ONLY")),"",MAX($BT$5:BT122)+1)</f>
        <v/>
      </c>
      <c r="BU123" s="49">
        <f>IF(NOT(AND($A123&lt;&gt;"",N($BC123)&gt;0)),"",MAX($BU$5:BU122)+1)</f>
        <v/>
      </c>
      <c r="BV123" s="49">
        <f>IF(OR($A123="",$BA123="",$BB123=""),"",$AZ123&amp;"|"&amp;$O123&amp;"|"&amp;$AL123&amp;"|"&amp;$S123&amp;"|"&amp;$P123&amp;"|"&amp;$Q123&amp;$R123&amp;"|"&amp;$C123&amp;"|"&amp;$AB123)</f>
        <v/>
      </c>
      <c r="BW123" s="49">
        <f>IF($A123="","",IF($B123="","qty, ","")&amp;IF($C123="","scope, ","")&amp;IF(OR($K123="",$M123=""),"size, ","")&amp;IF(AND($A123&lt;&gt;"",$C123&lt;&gt;"DOOR ONLY"),IF($U123="","jamb depth, ","")&amp;IF($X123="","construction, ","")&amp;IF($Y123="","anchor, ","")&amp;IF($S123="","frame type, ",""),"")&amp;IF(AND(N($BC123)&gt;0,$Z123=""),"hand, ","")&amp;IF(N($BC123)&gt;0,IF($AH123="","door material, ","")&amp;IF($AL123="","face type, ","")&amp;IF($AQ123="","lock prep, ","")&amp;IF(AND($AP123="",$AC123=""),"hinge prep, ",""),"")&amp;IF(AND($BO123&gt;0,$AH123="FRP"),"FRP cannot carry a label, ","")&amp;IF(AND($O123="Y",OR($Z123="L",$Z123="R",$Z123="LR",$Z123="RR")),"pair marked but hand is single, ","")&amp;IF(AND($O123&lt;&gt;"Y",OR($Z123="PR",AND(LEN($Z123)&gt;1,ISNUMBER(SEARCH("-",$Z123))))),"pair hand on a single door, ","")&amp;IF(AND(ISNUMBER($BP123),$BO123&lt;N($BP123)),"wall needs a "&amp;$BP123&amp;" min door, ","")&amp;IF(AND($BO123&gt;=180,AND(OR($BL123="FG",$BL123="HG",$BL123="FNV",$BL123="FV"),N($BM123)*N($BN123)&gt;100)),"180 min lite over 100 sq in, ","")&amp;IF(N($BD123)&gt;48,"leaf wider than 4'-0"&amp;CHAR(34)&amp;", ",""))</f>
        <v/>
      </c>
      <c r="BX123" s="49">
        <f>IF($A123="","",IF(AND($BO123&gt;0,AND($A123&lt;&gt;"",$C123&lt;&gt;"DOOR ONLY"),$X123="KD",$E123="EXTERIOR"),"KD label on an exterior opening, ","")&amp;IF(AND($E123="EXTERIOR",OR(AND(AND($A123&lt;&gt;"",$C123&lt;&gt;"DOOR ONLY"),$W123="CR"),AND(N($BC123)&gt;0,$AH123="CR"))),"exterior in CR steel (G9?), ","")&amp;IF(AND(ISNUMBER($BJ123),N($BJ123)&lt;32),"clear width ~"&amp;TEXT($BJ123,"0.0")&amp;CHAR(34)&amp;" under 32"&amp;CHAR(34)&amp;" (ADA), ","")&amp;IF(AND($BO123=90,AND(OR($BL123="FG",$BL123="HG",$BL123="FNV",$BL123="FV"),N($BM123)*N($BN123)&gt;100)),"90 min lite over 100 sq in (stair/exit), ","")&amp;IF(AND($BO123&gt;0,AND($A123&lt;&gt;"",$C123&lt;&gt;"DOOR ONLY"),OR($AF123="",$AF123="-")),"rated: closer reinf.?, ","")&amp;IF(OR($I123="CORRIDOR",$I123="SMOKE BARRIER"),"S label + smoke gasketing, ","")&amp;IF($BP123="?","wall type/hr not in IBC table, ","")&amp;IF(AND(N($BC123)&gt;0,$AU123=""),"no hardware set, ","")&amp;IF(AND($AU123&lt;&gt;"",ISNA(MATCH($AU123,HWSets,0))),"set "&amp;$AU123&amp;" not on Hardware sheet, ","")&amp;IF(N($BE123)&gt;96,"leaf over 8'-0"&amp;CHAR(34)&amp;" - check listing, ",""))</f>
        <v/>
      </c>
    </row>
    <row r="124" ht="15" customHeight="1">
      <c r="A124" s="44" t="n"/>
      <c r="B124" s="45" t="n"/>
      <c r="C124" s="45" t="n"/>
      <c r="D124" s="45" t="n"/>
      <c r="E124" s="45" t="n"/>
      <c r="F124" s="45" t="n"/>
      <c r="G124" s="45" t="n"/>
      <c r="H124" s="45" t="n"/>
      <c r="I124" s="45" t="n"/>
      <c r="J124" s="45" t="n"/>
      <c r="K124" s="45" t="n"/>
      <c r="L124" s="45" t="n"/>
      <c r="M124" s="45" t="n"/>
      <c r="N124" s="45" t="n"/>
      <c r="O124" s="45" t="n"/>
      <c r="P124" s="45" t="n"/>
      <c r="Q124" s="45" t="n"/>
      <c r="R124" s="45" t="n"/>
      <c r="S124" s="46" t="n"/>
      <c r="T124" s="46" t="n"/>
      <c r="U124" s="46" t="n"/>
      <c r="V124" s="46" t="n"/>
      <c r="W124" s="46" t="n"/>
      <c r="X124" s="46" t="n"/>
      <c r="Y124" s="46" t="n"/>
      <c r="Z124" s="46" t="n"/>
      <c r="AA124" s="46" t="n"/>
      <c r="AB124" s="46" t="n"/>
      <c r="AC124" s="46" t="n"/>
      <c r="AD124" s="46" t="n"/>
      <c r="AE124" s="46" t="n"/>
      <c r="AF124" s="46" t="n"/>
      <c r="AG124" s="46" t="n"/>
      <c r="AH124" s="47" t="n"/>
      <c r="AI124" s="47" t="n"/>
      <c r="AJ124" s="47" t="n"/>
      <c r="AK124" s="47" t="n"/>
      <c r="AL124" s="47" t="n"/>
      <c r="AM124" s="47" t="n"/>
      <c r="AN124" s="47" t="n"/>
      <c r="AO124" s="47" t="n"/>
      <c r="AP124" s="47" t="n"/>
      <c r="AQ124" s="47" t="n"/>
      <c r="AR124" s="47" t="n"/>
      <c r="AS124" s="47" t="n"/>
      <c r="AT124" s="47" t="n"/>
      <c r="AU124" s="48" t="n"/>
      <c r="AV124" s="48" t="n"/>
      <c r="AW124" s="49">
        <f>IF($A124="","",IF($BW124&lt;&gt;"","FIX",IF($BX124&lt;&gt;"","CHECK","OK")))</f>
        <v/>
      </c>
      <c r="AX124" s="50">
        <f>IF($A124="","",IF($BW124&lt;&gt;"","FIX: "&amp;LEFT($BW124,LEN($BW124)-2)&amp;IF($BX124&lt;&gt;"","  ·  ",""),"")&amp;IF($BX124&lt;&gt;"","CHECK: "&amp;LEFT($BX124,LEN($BX124)-2),""))</f>
        <v/>
      </c>
      <c r="AY124" s="49">
        <f>IF(OR($A124="",$K124=""),"",$K124&amp;"'-"&amp;N($L124)&amp;CHAR(34)&amp;" x "&amp;$M124&amp;"'-"&amp;N($N124)&amp;CHAR(34))</f>
        <v/>
      </c>
      <c r="AZ124" s="49">
        <f>IF(OR($A124="",$K124=""),"",$K124&amp;N($L124)&amp;$M124&amp;N($N124))</f>
        <v/>
      </c>
      <c r="BA124" s="49">
        <f>IF(OR($A124="",$K124=""),"",$K124*12+N($L124))</f>
        <v/>
      </c>
      <c r="BB124" s="49">
        <f>IF(OR($A124="",$M124=""),"",$M124*12+N($N124))</f>
        <v/>
      </c>
      <c r="BC124" s="49">
        <f>IF($A124="","",IF(OR($C124="FRAME ONLY",$S124="BL"),0,IF($O124="Y",2,1)))</f>
        <v/>
      </c>
      <c r="BD124" s="51">
        <f>IF(OR(N($BC124)=0,$BA124=""),"",($BA124-2*EdgeClr-IF($BC124=2,MeetClr,0))/$BC124)</f>
        <v/>
      </c>
      <c r="BE124" s="51">
        <f>IF(OR(N($BC124)=0,$BB124=""),"",$BB124-HeadClr-Undercut)</f>
        <v/>
      </c>
      <c r="BF124" s="51">
        <f>IF($BA124="","",$BA124+2*FaceW+IF(N($Q124)&gt;0,($Q124+FaceW)*IF($R124="LR",2,1),0))</f>
        <v/>
      </c>
      <c r="BG124" s="51">
        <f>IF($BB124="","",$BB124+IF($AB124="Y",4,FaceW)+IF(N($P124)&gt;0,$P124+FaceW,0)+IF(OR($S124="4F",$S124="BL"),FaceW,0))</f>
        <v/>
      </c>
      <c r="BH124" s="51">
        <f>IF($BF124="","",$BF124+2*ROSide)</f>
        <v/>
      </c>
      <c r="BI124" s="51">
        <f>IF($BG124="","",$BG124+ROTop)</f>
        <v/>
      </c>
      <c r="BJ124" s="52">
        <f>IF(OR(N($BC124)=0,$BA124=""),"",$BA124/$BC124-ClearDeduct)</f>
        <v/>
      </c>
      <c r="BK124" s="49">
        <f>IF(OR(N($BC124)=0,$BE124=""),"",IF(OR($AC124="HGC",$AP124="HGC"),"CONT",IF($BE124&lt;=60,2,IF($BE124&lt;=90,3,IF($BE124&lt;=120,4,5)))))</f>
        <v/>
      </c>
      <c r="BL124" s="49">
        <f>IF(N($BC124)=0,"",IF(OR($AL124="",$AL124="FLUSH"),"FLUSH",IFERROR(LEFT($AL124,FIND("-",$AL124)-1),LEFT($AL124,2))))</f>
        <v/>
      </c>
      <c r="BM124" s="49">
        <f>IF($BL124="","",IFERROR(VALUE(MID($AL124,FIND("-",$AL124)+1,FIND(CHAR(34)&amp;"x",$AL124)-FIND("-",$AL124)-1)),0))</f>
        <v/>
      </c>
      <c r="BN124" s="49">
        <f>IF($BL124="","",IFERROR(VALUE(MID($AL124,FIND(CHAR(34)&amp;"x",$AL124)+2,FIND(CHAR(34),$AL124,FIND(CHAR(34)&amp;"x",$AL124)+2)-FIND(CHAR(34)&amp;"x",$AL124)-2)),0))</f>
        <v/>
      </c>
      <c r="BO124" s="53">
        <f>IF(OR($A124="",$H124="",$H124="NO LAB"),0,IFERROR(VALUE(LEFT($H124,FIND(" ",$H124)-1)),0))</f>
        <v/>
      </c>
      <c r="BP124" s="54">
        <f>IF(OR($A124="",$I124="",$I124="NON-RATED",N($J124)=0),"",IFERROR(VLOOKUP($I124&amp;"|"&amp;$J124,IBC,2,FALSE),"?"))</f>
        <v/>
      </c>
      <c r="BQ124" s="50">
        <f>IF(NOT(AND($A124&lt;&gt;"",$C124&lt;&gt;"DOOR ONLY")),"",TRIM(IFERROR(VLOOKUP($U124,CODES,2,FALSE),"")&amp;" "&amp;$AZ124&amp;" "&amp;IFERROR(VLOOKUP($Z124,CODES,2,FALSE),"")&amp;" "&amp;IFERROR(VLOOKUP($X124,CODES,2,FALSE),"")&amp;" "&amp;IFERROR(VLOOKUP($S124,CODES,2,FALSE),"")&amp;IF(N($P124)&gt;0," w/TRANSOM "&amp;$P124&amp;CHAR(34),"")&amp;IF(N($Q124)&gt;0," w/SIDELITE "&amp;$Q124&amp;CHAR(34)&amp;" "&amp;IF($R124="","R",$R124),"")&amp;IF($Y124="","  |  "," | "&amp;IFERROR(VLOOKUP($Y124,CODES,2,FALSE),"")&amp;" | ")&amp;IFERROR(VLOOKUP($AC124,CODES,2,FALSE),"")&amp;" "&amp;IFERROR(VLOOKUP($AD124,CODES,2,FALSE),"")&amp;IF(OR($AE124="",$AE124="-"),""," "&amp;$AE124)&amp;IF(OR($AF124="",$AF124="-"),""," "&amp;$AF124)&amp;IF($AB124="Y"," 4"&amp;CHAR(34)&amp;" HEAD","")&amp;" "&amp;IFERROR(VLOOKUP($H124,CODES,2,FALSE),"")))</f>
        <v/>
      </c>
      <c r="BR124" s="50">
        <f>IF(NOT(AND($A124&lt;&gt;"",N($BC124)&gt;0)),"",TRIM(IFERROR(VLOOKUP($AH124,CODES,2,FALSE),"")&amp;IF($AI124=""," "," "&amp;$AI124&amp;"GA ")&amp;$AZ124&amp;" "&amp;IF($AN124="",IFERROR(VLOOKUP($Z124,CODES,2,FALSE),""),IFERROR(VLOOKUP($AN124,CODES,2,FALSE),""))&amp;IF($BC124=2," PAIR","")&amp;" DOOR | "&amp;IF($AL124="","?",$AL124)&amp;" | "&amp;IF($AP124="",IFERROR(VLOOKUP($AC124,CODES,2,FALSE),""),IFERROR(VLOOKUP($AP124,CODES,2,FALSE),""))&amp;" "&amp;IFERROR(VLOOKUP($AQ124,CODES,2,FALSE),"")&amp;IF(OR($AR124="",$AR124="-"),""," SEAM "&amp;$AR124)&amp;IF($AS124="Y"," ASTRAGAL","")&amp;IF($AJ124=""," "," "&amp;$AJ124)&amp;IF($AK124=""," "," "&amp;$AK124)&amp;IF($AO124="",""," "&amp;$AO124)&amp;IF($AM124=""," "," SERIES "&amp;$AM124)&amp;" "&amp;IFERROR(VLOOKUP($H124,CODES,2,FALSE),"")))</f>
        <v/>
      </c>
      <c r="BS124" s="49">
        <f>IF(BV124="","",IF(COUNTIF($BV$6:BV124,BV124)=1,MAX($BS$5:BS123)+1,INDEX($BS$5:BS123,MATCH(BV124,$BV$5:BV123,0))))</f>
        <v/>
      </c>
      <c r="BT124" s="49">
        <f>IF(NOT(AND($A124&lt;&gt;"",$C124&lt;&gt;"DOOR ONLY")),"",MAX($BT$5:BT123)+1)</f>
        <v/>
      </c>
      <c r="BU124" s="49">
        <f>IF(NOT(AND($A124&lt;&gt;"",N($BC124)&gt;0)),"",MAX($BU$5:BU123)+1)</f>
        <v/>
      </c>
      <c r="BV124" s="49">
        <f>IF(OR($A124="",$BA124="",$BB124=""),"",$AZ124&amp;"|"&amp;$O124&amp;"|"&amp;$AL124&amp;"|"&amp;$S124&amp;"|"&amp;$P124&amp;"|"&amp;$Q124&amp;$R124&amp;"|"&amp;$C124&amp;"|"&amp;$AB124)</f>
        <v/>
      </c>
      <c r="BW124" s="49">
        <f>IF($A124="","",IF($B124="","qty, ","")&amp;IF($C124="","scope, ","")&amp;IF(OR($K124="",$M124=""),"size, ","")&amp;IF(AND($A124&lt;&gt;"",$C124&lt;&gt;"DOOR ONLY"),IF($U124="","jamb depth, ","")&amp;IF($X124="","construction, ","")&amp;IF($Y124="","anchor, ","")&amp;IF($S124="","frame type, ",""),"")&amp;IF(AND(N($BC124)&gt;0,$Z124=""),"hand, ","")&amp;IF(N($BC124)&gt;0,IF($AH124="","door material, ","")&amp;IF($AL124="","face type, ","")&amp;IF($AQ124="","lock prep, ","")&amp;IF(AND($AP124="",$AC124=""),"hinge prep, ",""),"")&amp;IF(AND($BO124&gt;0,$AH124="FRP"),"FRP cannot carry a label, ","")&amp;IF(AND($O124="Y",OR($Z124="L",$Z124="R",$Z124="LR",$Z124="RR")),"pair marked but hand is single, ","")&amp;IF(AND($O124&lt;&gt;"Y",OR($Z124="PR",AND(LEN($Z124)&gt;1,ISNUMBER(SEARCH("-",$Z124))))),"pair hand on a single door, ","")&amp;IF(AND(ISNUMBER($BP124),$BO124&lt;N($BP124)),"wall needs a "&amp;$BP124&amp;" min door, ","")&amp;IF(AND($BO124&gt;=180,AND(OR($BL124="FG",$BL124="HG",$BL124="FNV",$BL124="FV"),N($BM124)*N($BN124)&gt;100)),"180 min lite over 100 sq in, ","")&amp;IF(N($BD124)&gt;48,"leaf wider than 4'-0"&amp;CHAR(34)&amp;", ",""))</f>
        <v/>
      </c>
      <c r="BX124" s="49">
        <f>IF($A124="","",IF(AND($BO124&gt;0,AND($A124&lt;&gt;"",$C124&lt;&gt;"DOOR ONLY"),$X124="KD",$E124="EXTERIOR"),"KD label on an exterior opening, ","")&amp;IF(AND($E124="EXTERIOR",OR(AND(AND($A124&lt;&gt;"",$C124&lt;&gt;"DOOR ONLY"),$W124="CR"),AND(N($BC124)&gt;0,$AH124="CR"))),"exterior in CR steel (G9?), ","")&amp;IF(AND(ISNUMBER($BJ124),N($BJ124)&lt;32),"clear width ~"&amp;TEXT($BJ124,"0.0")&amp;CHAR(34)&amp;" under 32"&amp;CHAR(34)&amp;" (ADA), ","")&amp;IF(AND($BO124=90,AND(OR($BL124="FG",$BL124="HG",$BL124="FNV",$BL124="FV"),N($BM124)*N($BN124)&gt;100)),"90 min lite over 100 sq in (stair/exit), ","")&amp;IF(AND($BO124&gt;0,AND($A124&lt;&gt;"",$C124&lt;&gt;"DOOR ONLY"),OR($AF124="",$AF124="-")),"rated: closer reinf.?, ","")&amp;IF(OR($I124="CORRIDOR",$I124="SMOKE BARRIER"),"S label + smoke gasketing, ","")&amp;IF($BP124="?","wall type/hr not in IBC table, ","")&amp;IF(AND(N($BC124)&gt;0,$AU124=""),"no hardware set, ","")&amp;IF(AND($AU124&lt;&gt;"",ISNA(MATCH($AU124,HWSets,0))),"set "&amp;$AU124&amp;" not on Hardware sheet, ","")&amp;IF(N($BE124)&gt;96,"leaf over 8'-0"&amp;CHAR(34)&amp;" - check listing, ",""))</f>
        <v/>
      </c>
    </row>
    <row r="125" ht="15" customHeight="1">
      <c r="A125" s="44" t="n"/>
      <c r="B125" s="45" t="n"/>
      <c r="C125" s="45" t="n"/>
      <c r="D125" s="45" t="n"/>
      <c r="E125" s="45" t="n"/>
      <c r="F125" s="45" t="n"/>
      <c r="G125" s="45" t="n"/>
      <c r="H125" s="45" t="n"/>
      <c r="I125" s="45" t="n"/>
      <c r="J125" s="45" t="n"/>
      <c r="K125" s="45" t="n"/>
      <c r="L125" s="45" t="n"/>
      <c r="M125" s="45" t="n"/>
      <c r="N125" s="45" t="n"/>
      <c r="O125" s="45" t="n"/>
      <c r="P125" s="45" t="n"/>
      <c r="Q125" s="45" t="n"/>
      <c r="R125" s="45" t="n"/>
      <c r="S125" s="46" t="n"/>
      <c r="T125" s="46" t="n"/>
      <c r="U125" s="46" t="n"/>
      <c r="V125" s="46" t="n"/>
      <c r="W125" s="46" t="n"/>
      <c r="X125" s="46" t="n"/>
      <c r="Y125" s="46" t="n"/>
      <c r="Z125" s="46" t="n"/>
      <c r="AA125" s="46" t="n"/>
      <c r="AB125" s="46" t="n"/>
      <c r="AC125" s="46" t="n"/>
      <c r="AD125" s="46" t="n"/>
      <c r="AE125" s="46" t="n"/>
      <c r="AF125" s="46" t="n"/>
      <c r="AG125" s="46" t="n"/>
      <c r="AH125" s="47" t="n"/>
      <c r="AI125" s="47" t="n"/>
      <c r="AJ125" s="47" t="n"/>
      <c r="AK125" s="47" t="n"/>
      <c r="AL125" s="47" t="n"/>
      <c r="AM125" s="47" t="n"/>
      <c r="AN125" s="47" t="n"/>
      <c r="AO125" s="47" t="n"/>
      <c r="AP125" s="47" t="n"/>
      <c r="AQ125" s="47" t="n"/>
      <c r="AR125" s="47" t="n"/>
      <c r="AS125" s="47" t="n"/>
      <c r="AT125" s="47" t="n"/>
      <c r="AU125" s="48" t="n"/>
      <c r="AV125" s="48" t="n"/>
      <c r="AW125" s="49">
        <f>IF($A125="","",IF($BW125&lt;&gt;"","FIX",IF($BX125&lt;&gt;"","CHECK","OK")))</f>
        <v/>
      </c>
      <c r="AX125" s="50">
        <f>IF($A125="","",IF($BW125&lt;&gt;"","FIX: "&amp;LEFT($BW125,LEN($BW125)-2)&amp;IF($BX125&lt;&gt;"","  ·  ",""),"")&amp;IF($BX125&lt;&gt;"","CHECK: "&amp;LEFT($BX125,LEN($BX125)-2),""))</f>
        <v/>
      </c>
      <c r="AY125" s="49">
        <f>IF(OR($A125="",$K125=""),"",$K125&amp;"'-"&amp;N($L125)&amp;CHAR(34)&amp;" x "&amp;$M125&amp;"'-"&amp;N($N125)&amp;CHAR(34))</f>
        <v/>
      </c>
      <c r="AZ125" s="49">
        <f>IF(OR($A125="",$K125=""),"",$K125&amp;N($L125)&amp;$M125&amp;N($N125))</f>
        <v/>
      </c>
      <c r="BA125" s="49">
        <f>IF(OR($A125="",$K125=""),"",$K125*12+N($L125))</f>
        <v/>
      </c>
      <c r="BB125" s="49">
        <f>IF(OR($A125="",$M125=""),"",$M125*12+N($N125))</f>
        <v/>
      </c>
      <c r="BC125" s="49">
        <f>IF($A125="","",IF(OR($C125="FRAME ONLY",$S125="BL"),0,IF($O125="Y",2,1)))</f>
        <v/>
      </c>
      <c r="BD125" s="51">
        <f>IF(OR(N($BC125)=0,$BA125=""),"",($BA125-2*EdgeClr-IF($BC125=2,MeetClr,0))/$BC125)</f>
        <v/>
      </c>
      <c r="BE125" s="51">
        <f>IF(OR(N($BC125)=0,$BB125=""),"",$BB125-HeadClr-Undercut)</f>
        <v/>
      </c>
      <c r="BF125" s="51">
        <f>IF($BA125="","",$BA125+2*FaceW+IF(N($Q125)&gt;0,($Q125+FaceW)*IF($R125="LR",2,1),0))</f>
        <v/>
      </c>
      <c r="BG125" s="51">
        <f>IF($BB125="","",$BB125+IF($AB125="Y",4,FaceW)+IF(N($P125)&gt;0,$P125+FaceW,0)+IF(OR($S125="4F",$S125="BL"),FaceW,0))</f>
        <v/>
      </c>
      <c r="BH125" s="51">
        <f>IF($BF125="","",$BF125+2*ROSide)</f>
        <v/>
      </c>
      <c r="BI125" s="51">
        <f>IF($BG125="","",$BG125+ROTop)</f>
        <v/>
      </c>
      <c r="BJ125" s="52">
        <f>IF(OR(N($BC125)=0,$BA125=""),"",$BA125/$BC125-ClearDeduct)</f>
        <v/>
      </c>
      <c r="BK125" s="49">
        <f>IF(OR(N($BC125)=0,$BE125=""),"",IF(OR($AC125="HGC",$AP125="HGC"),"CONT",IF($BE125&lt;=60,2,IF($BE125&lt;=90,3,IF($BE125&lt;=120,4,5)))))</f>
        <v/>
      </c>
      <c r="BL125" s="49">
        <f>IF(N($BC125)=0,"",IF(OR($AL125="",$AL125="FLUSH"),"FLUSH",IFERROR(LEFT($AL125,FIND("-",$AL125)-1),LEFT($AL125,2))))</f>
        <v/>
      </c>
      <c r="BM125" s="49">
        <f>IF($BL125="","",IFERROR(VALUE(MID($AL125,FIND("-",$AL125)+1,FIND(CHAR(34)&amp;"x",$AL125)-FIND("-",$AL125)-1)),0))</f>
        <v/>
      </c>
      <c r="BN125" s="49">
        <f>IF($BL125="","",IFERROR(VALUE(MID($AL125,FIND(CHAR(34)&amp;"x",$AL125)+2,FIND(CHAR(34),$AL125,FIND(CHAR(34)&amp;"x",$AL125)+2)-FIND(CHAR(34)&amp;"x",$AL125)-2)),0))</f>
        <v/>
      </c>
      <c r="BO125" s="53">
        <f>IF(OR($A125="",$H125="",$H125="NO LAB"),0,IFERROR(VALUE(LEFT($H125,FIND(" ",$H125)-1)),0))</f>
        <v/>
      </c>
      <c r="BP125" s="54">
        <f>IF(OR($A125="",$I125="",$I125="NON-RATED",N($J125)=0),"",IFERROR(VLOOKUP($I125&amp;"|"&amp;$J125,IBC,2,FALSE),"?"))</f>
        <v/>
      </c>
      <c r="BQ125" s="50">
        <f>IF(NOT(AND($A125&lt;&gt;"",$C125&lt;&gt;"DOOR ONLY")),"",TRIM(IFERROR(VLOOKUP($U125,CODES,2,FALSE),"")&amp;" "&amp;$AZ125&amp;" "&amp;IFERROR(VLOOKUP($Z125,CODES,2,FALSE),"")&amp;" "&amp;IFERROR(VLOOKUP($X125,CODES,2,FALSE),"")&amp;" "&amp;IFERROR(VLOOKUP($S125,CODES,2,FALSE),"")&amp;IF(N($P125)&gt;0," w/TRANSOM "&amp;$P125&amp;CHAR(34),"")&amp;IF(N($Q125)&gt;0," w/SIDELITE "&amp;$Q125&amp;CHAR(34)&amp;" "&amp;IF($R125="","R",$R125),"")&amp;IF($Y125="","  |  "," | "&amp;IFERROR(VLOOKUP($Y125,CODES,2,FALSE),"")&amp;" | ")&amp;IFERROR(VLOOKUP($AC125,CODES,2,FALSE),"")&amp;" "&amp;IFERROR(VLOOKUP($AD125,CODES,2,FALSE),"")&amp;IF(OR($AE125="",$AE125="-"),""," "&amp;$AE125)&amp;IF(OR($AF125="",$AF125="-"),""," "&amp;$AF125)&amp;IF($AB125="Y"," 4"&amp;CHAR(34)&amp;" HEAD","")&amp;" "&amp;IFERROR(VLOOKUP($H125,CODES,2,FALSE),"")))</f>
        <v/>
      </c>
      <c r="BR125" s="50">
        <f>IF(NOT(AND($A125&lt;&gt;"",N($BC125)&gt;0)),"",TRIM(IFERROR(VLOOKUP($AH125,CODES,2,FALSE),"")&amp;IF($AI125=""," "," "&amp;$AI125&amp;"GA ")&amp;$AZ125&amp;" "&amp;IF($AN125="",IFERROR(VLOOKUP($Z125,CODES,2,FALSE),""),IFERROR(VLOOKUP($AN125,CODES,2,FALSE),""))&amp;IF($BC125=2," PAIR","")&amp;" DOOR | "&amp;IF($AL125="","?",$AL125)&amp;" | "&amp;IF($AP125="",IFERROR(VLOOKUP($AC125,CODES,2,FALSE),""),IFERROR(VLOOKUP($AP125,CODES,2,FALSE),""))&amp;" "&amp;IFERROR(VLOOKUP($AQ125,CODES,2,FALSE),"")&amp;IF(OR($AR125="",$AR125="-"),""," SEAM "&amp;$AR125)&amp;IF($AS125="Y"," ASTRAGAL","")&amp;IF($AJ125=""," "," "&amp;$AJ125)&amp;IF($AK125=""," "," "&amp;$AK125)&amp;IF($AO125="",""," "&amp;$AO125)&amp;IF($AM125=""," "," SERIES "&amp;$AM125)&amp;" "&amp;IFERROR(VLOOKUP($H125,CODES,2,FALSE),"")))</f>
        <v/>
      </c>
      <c r="BS125" s="49">
        <f>IF(BV125="","",IF(COUNTIF($BV$6:BV125,BV125)=1,MAX($BS$5:BS124)+1,INDEX($BS$5:BS124,MATCH(BV125,$BV$5:BV124,0))))</f>
        <v/>
      </c>
      <c r="BT125" s="49">
        <f>IF(NOT(AND($A125&lt;&gt;"",$C125&lt;&gt;"DOOR ONLY")),"",MAX($BT$5:BT124)+1)</f>
        <v/>
      </c>
      <c r="BU125" s="49">
        <f>IF(NOT(AND($A125&lt;&gt;"",N($BC125)&gt;0)),"",MAX($BU$5:BU124)+1)</f>
        <v/>
      </c>
      <c r="BV125" s="49">
        <f>IF(OR($A125="",$BA125="",$BB125=""),"",$AZ125&amp;"|"&amp;$O125&amp;"|"&amp;$AL125&amp;"|"&amp;$S125&amp;"|"&amp;$P125&amp;"|"&amp;$Q125&amp;$R125&amp;"|"&amp;$C125&amp;"|"&amp;$AB125)</f>
        <v/>
      </c>
      <c r="BW125" s="49">
        <f>IF($A125="","",IF($B125="","qty, ","")&amp;IF($C125="","scope, ","")&amp;IF(OR($K125="",$M125=""),"size, ","")&amp;IF(AND($A125&lt;&gt;"",$C125&lt;&gt;"DOOR ONLY"),IF($U125="","jamb depth, ","")&amp;IF($X125="","construction, ","")&amp;IF($Y125="","anchor, ","")&amp;IF($S125="","frame type, ",""),"")&amp;IF(AND(N($BC125)&gt;0,$Z125=""),"hand, ","")&amp;IF(N($BC125)&gt;0,IF($AH125="","door material, ","")&amp;IF($AL125="","face type, ","")&amp;IF($AQ125="","lock prep, ","")&amp;IF(AND($AP125="",$AC125=""),"hinge prep, ",""),"")&amp;IF(AND($BO125&gt;0,$AH125="FRP"),"FRP cannot carry a label, ","")&amp;IF(AND($O125="Y",OR($Z125="L",$Z125="R",$Z125="LR",$Z125="RR")),"pair marked but hand is single, ","")&amp;IF(AND($O125&lt;&gt;"Y",OR($Z125="PR",AND(LEN($Z125)&gt;1,ISNUMBER(SEARCH("-",$Z125))))),"pair hand on a single door, ","")&amp;IF(AND(ISNUMBER($BP125),$BO125&lt;N($BP125)),"wall needs a "&amp;$BP125&amp;" min door, ","")&amp;IF(AND($BO125&gt;=180,AND(OR($BL125="FG",$BL125="HG",$BL125="FNV",$BL125="FV"),N($BM125)*N($BN125)&gt;100)),"180 min lite over 100 sq in, ","")&amp;IF(N($BD125)&gt;48,"leaf wider than 4'-0"&amp;CHAR(34)&amp;", ",""))</f>
        <v/>
      </c>
      <c r="BX125" s="49">
        <f>IF($A125="","",IF(AND($BO125&gt;0,AND($A125&lt;&gt;"",$C125&lt;&gt;"DOOR ONLY"),$X125="KD",$E125="EXTERIOR"),"KD label on an exterior opening, ","")&amp;IF(AND($E125="EXTERIOR",OR(AND(AND($A125&lt;&gt;"",$C125&lt;&gt;"DOOR ONLY"),$W125="CR"),AND(N($BC125)&gt;0,$AH125="CR"))),"exterior in CR steel (G9?), ","")&amp;IF(AND(ISNUMBER($BJ125),N($BJ125)&lt;32),"clear width ~"&amp;TEXT($BJ125,"0.0")&amp;CHAR(34)&amp;" under 32"&amp;CHAR(34)&amp;" (ADA), ","")&amp;IF(AND($BO125=90,AND(OR($BL125="FG",$BL125="HG",$BL125="FNV",$BL125="FV"),N($BM125)*N($BN125)&gt;100)),"90 min lite over 100 sq in (stair/exit), ","")&amp;IF(AND($BO125&gt;0,AND($A125&lt;&gt;"",$C125&lt;&gt;"DOOR ONLY"),OR($AF125="",$AF125="-")),"rated: closer reinf.?, ","")&amp;IF(OR($I125="CORRIDOR",$I125="SMOKE BARRIER"),"S label + smoke gasketing, ","")&amp;IF($BP125="?","wall type/hr not in IBC table, ","")&amp;IF(AND(N($BC125)&gt;0,$AU125=""),"no hardware set, ","")&amp;IF(AND($AU125&lt;&gt;"",ISNA(MATCH($AU125,HWSets,0))),"set "&amp;$AU125&amp;" not on Hardware sheet, ","")&amp;IF(N($BE125)&gt;96,"leaf over 8'-0"&amp;CHAR(34)&amp;" - check listing, ",""))</f>
        <v/>
      </c>
    </row>
    <row r="126" ht="15" customHeight="1">
      <c r="A126" s="44" t="n"/>
      <c r="B126" s="45" t="n"/>
      <c r="C126" s="45" t="n"/>
      <c r="D126" s="45" t="n"/>
      <c r="E126" s="45" t="n"/>
      <c r="F126" s="45" t="n"/>
      <c r="G126" s="45" t="n"/>
      <c r="H126" s="45" t="n"/>
      <c r="I126" s="45" t="n"/>
      <c r="J126" s="45" t="n"/>
      <c r="K126" s="45" t="n"/>
      <c r="L126" s="45" t="n"/>
      <c r="M126" s="45" t="n"/>
      <c r="N126" s="45" t="n"/>
      <c r="O126" s="45" t="n"/>
      <c r="P126" s="45" t="n"/>
      <c r="Q126" s="45" t="n"/>
      <c r="R126" s="45" t="n"/>
      <c r="S126" s="46" t="n"/>
      <c r="T126" s="46" t="n"/>
      <c r="U126" s="46" t="n"/>
      <c r="V126" s="46" t="n"/>
      <c r="W126" s="46" t="n"/>
      <c r="X126" s="46" t="n"/>
      <c r="Y126" s="46" t="n"/>
      <c r="Z126" s="46" t="n"/>
      <c r="AA126" s="46" t="n"/>
      <c r="AB126" s="46" t="n"/>
      <c r="AC126" s="46" t="n"/>
      <c r="AD126" s="46" t="n"/>
      <c r="AE126" s="46" t="n"/>
      <c r="AF126" s="46" t="n"/>
      <c r="AG126" s="46" t="n"/>
      <c r="AH126" s="47" t="n"/>
      <c r="AI126" s="47" t="n"/>
      <c r="AJ126" s="47" t="n"/>
      <c r="AK126" s="47" t="n"/>
      <c r="AL126" s="47" t="n"/>
      <c r="AM126" s="47" t="n"/>
      <c r="AN126" s="47" t="n"/>
      <c r="AO126" s="47" t="n"/>
      <c r="AP126" s="47" t="n"/>
      <c r="AQ126" s="47" t="n"/>
      <c r="AR126" s="47" t="n"/>
      <c r="AS126" s="47" t="n"/>
      <c r="AT126" s="47" t="n"/>
      <c r="AU126" s="48" t="n"/>
      <c r="AV126" s="48" t="n"/>
      <c r="AW126" s="49">
        <f>IF($A126="","",IF($BW126&lt;&gt;"","FIX",IF($BX126&lt;&gt;"","CHECK","OK")))</f>
        <v/>
      </c>
      <c r="AX126" s="50">
        <f>IF($A126="","",IF($BW126&lt;&gt;"","FIX: "&amp;LEFT($BW126,LEN($BW126)-2)&amp;IF($BX126&lt;&gt;"","  ·  ",""),"")&amp;IF($BX126&lt;&gt;"","CHECK: "&amp;LEFT($BX126,LEN($BX126)-2),""))</f>
        <v/>
      </c>
      <c r="AY126" s="49">
        <f>IF(OR($A126="",$K126=""),"",$K126&amp;"'-"&amp;N($L126)&amp;CHAR(34)&amp;" x "&amp;$M126&amp;"'-"&amp;N($N126)&amp;CHAR(34))</f>
        <v/>
      </c>
      <c r="AZ126" s="49">
        <f>IF(OR($A126="",$K126=""),"",$K126&amp;N($L126)&amp;$M126&amp;N($N126))</f>
        <v/>
      </c>
      <c r="BA126" s="49">
        <f>IF(OR($A126="",$K126=""),"",$K126*12+N($L126))</f>
        <v/>
      </c>
      <c r="BB126" s="49">
        <f>IF(OR($A126="",$M126=""),"",$M126*12+N($N126))</f>
        <v/>
      </c>
      <c r="BC126" s="49">
        <f>IF($A126="","",IF(OR($C126="FRAME ONLY",$S126="BL"),0,IF($O126="Y",2,1)))</f>
        <v/>
      </c>
      <c r="BD126" s="51">
        <f>IF(OR(N($BC126)=0,$BA126=""),"",($BA126-2*EdgeClr-IF($BC126=2,MeetClr,0))/$BC126)</f>
        <v/>
      </c>
      <c r="BE126" s="51">
        <f>IF(OR(N($BC126)=0,$BB126=""),"",$BB126-HeadClr-Undercut)</f>
        <v/>
      </c>
      <c r="BF126" s="51">
        <f>IF($BA126="","",$BA126+2*FaceW+IF(N($Q126)&gt;0,($Q126+FaceW)*IF($R126="LR",2,1),0))</f>
        <v/>
      </c>
      <c r="BG126" s="51">
        <f>IF($BB126="","",$BB126+IF($AB126="Y",4,FaceW)+IF(N($P126)&gt;0,$P126+FaceW,0)+IF(OR($S126="4F",$S126="BL"),FaceW,0))</f>
        <v/>
      </c>
      <c r="BH126" s="51">
        <f>IF($BF126="","",$BF126+2*ROSide)</f>
        <v/>
      </c>
      <c r="BI126" s="51">
        <f>IF($BG126="","",$BG126+ROTop)</f>
        <v/>
      </c>
      <c r="BJ126" s="52">
        <f>IF(OR(N($BC126)=0,$BA126=""),"",$BA126/$BC126-ClearDeduct)</f>
        <v/>
      </c>
      <c r="BK126" s="49">
        <f>IF(OR(N($BC126)=0,$BE126=""),"",IF(OR($AC126="HGC",$AP126="HGC"),"CONT",IF($BE126&lt;=60,2,IF($BE126&lt;=90,3,IF($BE126&lt;=120,4,5)))))</f>
        <v/>
      </c>
      <c r="BL126" s="49">
        <f>IF(N($BC126)=0,"",IF(OR($AL126="",$AL126="FLUSH"),"FLUSH",IFERROR(LEFT($AL126,FIND("-",$AL126)-1),LEFT($AL126,2))))</f>
        <v/>
      </c>
      <c r="BM126" s="49">
        <f>IF($BL126="","",IFERROR(VALUE(MID($AL126,FIND("-",$AL126)+1,FIND(CHAR(34)&amp;"x",$AL126)-FIND("-",$AL126)-1)),0))</f>
        <v/>
      </c>
      <c r="BN126" s="49">
        <f>IF($BL126="","",IFERROR(VALUE(MID($AL126,FIND(CHAR(34)&amp;"x",$AL126)+2,FIND(CHAR(34),$AL126,FIND(CHAR(34)&amp;"x",$AL126)+2)-FIND(CHAR(34)&amp;"x",$AL126)-2)),0))</f>
        <v/>
      </c>
      <c r="BO126" s="53">
        <f>IF(OR($A126="",$H126="",$H126="NO LAB"),0,IFERROR(VALUE(LEFT($H126,FIND(" ",$H126)-1)),0))</f>
        <v/>
      </c>
      <c r="BP126" s="54">
        <f>IF(OR($A126="",$I126="",$I126="NON-RATED",N($J126)=0),"",IFERROR(VLOOKUP($I126&amp;"|"&amp;$J126,IBC,2,FALSE),"?"))</f>
        <v/>
      </c>
      <c r="BQ126" s="50">
        <f>IF(NOT(AND($A126&lt;&gt;"",$C126&lt;&gt;"DOOR ONLY")),"",TRIM(IFERROR(VLOOKUP($U126,CODES,2,FALSE),"")&amp;" "&amp;$AZ126&amp;" "&amp;IFERROR(VLOOKUP($Z126,CODES,2,FALSE),"")&amp;" "&amp;IFERROR(VLOOKUP($X126,CODES,2,FALSE),"")&amp;" "&amp;IFERROR(VLOOKUP($S126,CODES,2,FALSE),"")&amp;IF(N($P126)&gt;0," w/TRANSOM "&amp;$P126&amp;CHAR(34),"")&amp;IF(N($Q126)&gt;0," w/SIDELITE "&amp;$Q126&amp;CHAR(34)&amp;" "&amp;IF($R126="","R",$R126),"")&amp;IF($Y126="","  |  "," | "&amp;IFERROR(VLOOKUP($Y126,CODES,2,FALSE),"")&amp;" | ")&amp;IFERROR(VLOOKUP($AC126,CODES,2,FALSE),"")&amp;" "&amp;IFERROR(VLOOKUP($AD126,CODES,2,FALSE),"")&amp;IF(OR($AE126="",$AE126="-"),""," "&amp;$AE126)&amp;IF(OR($AF126="",$AF126="-"),""," "&amp;$AF126)&amp;IF($AB126="Y"," 4"&amp;CHAR(34)&amp;" HEAD","")&amp;" "&amp;IFERROR(VLOOKUP($H126,CODES,2,FALSE),"")))</f>
        <v/>
      </c>
      <c r="BR126" s="50">
        <f>IF(NOT(AND($A126&lt;&gt;"",N($BC126)&gt;0)),"",TRIM(IFERROR(VLOOKUP($AH126,CODES,2,FALSE),"")&amp;IF($AI126=""," "," "&amp;$AI126&amp;"GA ")&amp;$AZ126&amp;" "&amp;IF($AN126="",IFERROR(VLOOKUP($Z126,CODES,2,FALSE),""),IFERROR(VLOOKUP($AN126,CODES,2,FALSE),""))&amp;IF($BC126=2," PAIR","")&amp;" DOOR | "&amp;IF($AL126="","?",$AL126)&amp;" | "&amp;IF($AP126="",IFERROR(VLOOKUP($AC126,CODES,2,FALSE),""),IFERROR(VLOOKUP($AP126,CODES,2,FALSE),""))&amp;" "&amp;IFERROR(VLOOKUP($AQ126,CODES,2,FALSE),"")&amp;IF(OR($AR126="",$AR126="-"),""," SEAM "&amp;$AR126)&amp;IF($AS126="Y"," ASTRAGAL","")&amp;IF($AJ126=""," "," "&amp;$AJ126)&amp;IF($AK126=""," "," "&amp;$AK126)&amp;IF($AO126="",""," "&amp;$AO126)&amp;IF($AM126=""," "," SERIES "&amp;$AM126)&amp;" "&amp;IFERROR(VLOOKUP($H126,CODES,2,FALSE),"")))</f>
        <v/>
      </c>
      <c r="BS126" s="49">
        <f>IF(BV126="","",IF(COUNTIF($BV$6:BV126,BV126)=1,MAX($BS$5:BS125)+1,INDEX($BS$5:BS125,MATCH(BV126,$BV$5:BV125,0))))</f>
        <v/>
      </c>
      <c r="BT126" s="49">
        <f>IF(NOT(AND($A126&lt;&gt;"",$C126&lt;&gt;"DOOR ONLY")),"",MAX($BT$5:BT125)+1)</f>
        <v/>
      </c>
      <c r="BU126" s="49">
        <f>IF(NOT(AND($A126&lt;&gt;"",N($BC126)&gt;0)),"",MAX($BU$5:BU125)+1)</f>
        <v/>
      </c>
      <c r="BV126" s="49">
        <f>IF(OR($A126="",$BA126="",$BB126=""),"",$AZ126&amp;"|"&amp;$O126&amp;"|"&amp;$AL126&amp;"|"&amp;$S126&amp;"|"&amp;$P126&amp;"|"&amp;$Q126&amp;$R126&amp;"|"&amp;$C126&amp;"|"&amp;$AB126)</f>
        <v/>
      </c>
      <c r="BW126" s="49">
        <f>IF($A126="","",IF($B126="","qty, ","")&amp;IF($C126="","scope, ","")&amp;IF(OR($K126="",$M126=""),"size, ","")&amp;IF(AND($A126&lt;&gt;"",$C126&lt;&gt;"DOOR ONLY"),IF($U126="","jamb depth, ","")&amp;IF($X126="","construction, ","")&amp;IF($Y126="","anchor, ","")&amp;IF($S126="","frame type, ",""),"")&amp;IF(AND(N($BC126)&gt;0,$Z126=""),"hand, ","")&amp;IF(N($BC126)&gt;0,IF($AH126="","door material, ","")&amp;IF($AL126="","face type, ","")&amp;IF($AQ126="","lock prep, ","")&amp;IF(AND($AP126="",$AC126=""),"hinge prep, ",""),"")&amp;IF(AND($BO126&gt;0,$AH126="FRP"),"FRP cannot carry a label, ","")&amp;IF(AND($O126="Y",OR($Z126="L",$Z126="R",$Z126="LR",$Z126="RR")),"pair marked but hand is single, ","")&amp;IF(AND($O126&lt;&gt;"Y",OR($Z126="PR",AND(LEN($Z126)&gt;1,ISNUMBER(SEARCH("-",$Z126))))),"pair hand on a single door, ","")&amp;IF(AND(ISNUMBER($BP126),$BO126&lt;N($BP126)),"wall needs a "&amp;$BP126&amp;" min door, ","")&amp;IF(AND($BO126&gt;=180,AND(OR($BL126="FG",$BL126="HG",$BL126="FNV",$BL126="FV"),N($BM126)*N($BN126)&gt;100)),"180 min lite over 100 sq in, ","")&amp;IF(N($BD126)&gt;48,"leaf wider than 4'-0"&amp;CHAR(34)&amp;", ",""))</f>
        <v/>
      </c>
      <c r="BX126" s="49">
        <f>IF($A126="","",IF(AND($BO126&gt;0,AND($A126&lt;&gt;"",$C126&lt;&gt;"DOOR ONLY"),$X126="KD",$E126="EXTERIOR"),"KD label on an exterior opening, ","")&amp;IF(AND($E126="EXTERIOR",OR(AND(AND($A126&lt;&gt;"",$C126&lt;&gt;"DOOR ONLY"),$W126="CR"),AND(N($BC126)&gt;0,$AH126="CR"))),"exterior in CR steel (G9?), ","")&amp;IF(AND(ISNUMBER($BJ126),N($BJ126)&lt;32),"clear width ~"&amp;TEXT($BJ126,"0.0")&amp;CHAR(34)&amp;" under 32"&amp;CHAR(34)&amp;" (ADA), ","")&amp;IF(AND($BO126=90,AND(OR($BL126="FG",$BL126="HG",$BL126="FNV",$BL126="FV"),N($BM126)*N($BN126)&gt;100)),"90 min lite over 100 sq in (stair/exit), ","")&amp;IF(AND($BO126&gt;0,AND($A126&lt;&gt;"",$C126&lt;&gt;"DOOR ONLY"),OR($AF126="",$AF126="-")),"rated: closer reinf.?, ","")&amp;IF(OR($I126="CORRIDOR",$I126="SMOKE BARRIER"),"S label + smoke gasketing, ","")&amp;IF($BP126="?","wall type/hr not in IBC table, ","")&amp;IF(AND(N($BC126)&gt;0,$AU126=""),"no hardware set, ","")&amp;IF(AND($AU126&lt;&gt;"",ISNA(MATCH($AU126,HWSets,0))),"set "&amp;$AU126&amp;" not on Hardware sheet, ","")&amp;IF(N($BE126)&gt;96,"leaf over 8'-0"&amp;CHAR(34)&amp;" - check listing, ",""))</f>
        <v/>
      </c>
    </row>
    <row r="127" ht="15" customHeight="1">
      <c r="A127" s="44" t="n"/>
      <c r="B127" s="45" t="n"/>
      <c r="C127" s="45" t="n"/>
      <c r="D127" s="45" t="n"/>
      <c r="E127" s="45" t="n"/>
      <c r="F127" s="45" t="n"/>
      <c r="G127" s="45" t="n"/>
      <c r="H127" s="45" t="n"/>
      <c r="I127" s="45" t="n"/>
      <c r="J127" s="45" t="n"/>
      <c r="K127" s="45" t="n"/>
      <c r="L127" s="45" t="n"/>
      <c r="M127" s="45" t="n"/>
      <c r="N127" s="45" t="n"/>
      <c r="O127" s="45" t="n"/>
      <c r="P127" s="45" t="n"/>
      <c r="Q127" s="45" t="n"/>
      <c r="R127" s="45" t="n"/>
      <c r="S127" s="46" t="n"/>
      <c r="T127" s="46" t="n"/>
      <c r="U127" s="46" t="n"/>
      <c r="V127" s="46" t="n"/>
      <c r="W127" s="46" t="n"/>
      <c r="X127" s="46" t="n"/>
      <c r="Y127" s="46" t="n"/>
      <c r="Z127" s="46" t="n"/>
      <c r="AA127" s="46" t="n"/>
      <c r="AB127" s="46" t="n"/>
      <c r="AC127" s="46" t="n"/>
      <c r="AD127" s="46" t="n"/>
      <c r="AE127" s="46" t="n"/>
      <c r="AF127" s="46" t="n"/>
      <c r="AG127" s="46" t="n"/>
      <c r="AH127" s="47" t="n"/>
      <c r="AI127" s="47" t="n"/>
      <c r="AJ127" s="47" t="n"/>
      <c r="AK127" s="47" t="n"/>
      <c r="AL127" s="47" t="n"/>
      <c r="AM127" s="47" t="n"/>
      <c r="AN127" s="47" t="n"/>
      <c r="AO127" s="47" t="n"/>
      <c r="AP127" s="47" t="n"/>
      <c r="AQ127" s="47" t="n"/>
      <c r="AR127" s="47" t="n"/>
      <c r="AS127" s="47" t="n"/>
      <c r="AT127" s="47" t="n"/>
      <c r="AU127" s="48" t="n"/>
      <c r="AV127" s="48" t="n"/>
      <c r="AW127" s="49">
        <f>IF($A127="","",IF($BW127&lt;&gt;"","FIX",IF($BX127&lt;&gt;"","CHECK","OK")))</f>
        <v/>
      </c>
      <c r="AX127" s="50">
        <f>IF($A127="","",IF($BW127&lt;&gt;"","FIX: "&amp;LEFT($BW127,LEN($BW127)-2)&amp;IF($BX127&lt;&gt;"","  ·  ",""),"")&amp;IF($BX127&lt;&gt;"","CHECK: "&amp;LEFT($BX127,LEN($BX127)-2),""))</f>
        <v/>
      </c>
      <c r="AY127" s="49">
        <f>IF(OR($A127="",$K127=""),"",$K127&amp;"'-"&amp;N($L127)&amp;CHAR(34)&amp;" x "&amp;$M127&amp;"'-"&amp;N($N127)&amp;CHAR(34))</f>
        <v/>
      </c>
      <c r="AZ127" s="49">
        <f>IF(OR($A127="",$K127=""),"",$K127&amp;N($L127)&amp;$M127&amp;N($N127))</f>
        <v/>
      </c>
      <c r="BA127" s="49">
        <f>IF(OR($A127="",$K127=""),"",$K127*12+N($L127))</f>
        <v/>
      </c>
      <c r="BB127" s="49">
        <f>IF(OR($A127="",$M127=""),"",$M127*12+N($N127))</f>
        <v/>
      </c>
      <c r="BC127" s="49">
        <f>IF($A127="","",IF(OR($C127="FRAME ONLY",$S127="BL"),0,IF($O127="Y",2,1)))</f>
        <v/>
      </c>
      <c r="BD127" s="51">
        <f>IF(OR(N($BC127)=0,$BA127=""),"",($BA127-2*EdgeClr-IF($BC127=2,MeetClr,0))/$BC127)</f>
        <v/>
      </c>
      <c r="BE127" s="51">
        <f>IF(OR(N($BC127)=0,$BB127=""),"",$BB127-HeadClr-Undercut)</f>
        <v/>
      </c>
      <c r="BF127" s="51">
        <f>IF($BA127="","",$BA127+2*FaceW+IF(N($Q127)&gt;0,($Q127+FaceW)*IF($R127="LR",2,1),0))</f>
        <v/>
      </c>
      <c r="BG127" s="51">
        <f>IF($BB127="","",$BB127+IF($AB127="Y",4,FaceW)+IF(N($P127)&gt;0,$P127+FaceW,0)+IF(OR($S127="4F",$S127="BL"),FaceW,0))</f>
        <v/>
      </c>
      <c r="BH127" s="51">
        <f>IF($BF127="","",$BF127+2*ROSide)</f>
        <v/>
      </c>
      <c r="BI127" s="51">
        <f>IF($BG127="","",$BG127+ROTop)</f>
        <v/>
      </c>
      <c r="BJ127" s="52">
        <f>IF(OR(N($BC127)=0,$BA127=""),"",$BA127/$BC127-ClearDeduct)</f>
        <v/>
      </c>
      <c r="BK127" s="49">
        <f>IF(OR(N($BC127)=0,$BE127=""),"",IF(OR($AC127="HGC",$AP127="HGC"),"CONT",IF($BE127&lt;=60,2,IF($BE127&lt;=90,3,IF($BE127&lt;=120,4,5)))))</f>
        <v/>
      </c>
      <c r="BL127" s="49">
        <f>IF(N($BC127)=0,"",IF(OR($AL127="",$AL127="FLUSH"),"FLUSH",IFERROR(LEFT($AL127,FIND("-",$AL127)-1),LEFT($AL127,2))))</f>
        <v/>
      </c>
      <c r="BM127" s="49">
        <f>IF($BL127="","",IFERROR(VALUE(MID($AL127,FIND("-",$AL127)+1,FIND(CHAR(34)&amp;"x",$AL127)-FIND("-",$AL127)-1)),0))</f>
        <v/>
      </c>
      <c r="BN127" s="49">
        <f>IF($BL127="","",IFERROR(VALUE(MID($AL127,FIND(CHAR(34)&amp;"x",$AL127)+2,FIND(CHAR(34),$AL127,FIND(CHAR(34)&amp;"x",$AL127)+2)-FIND(CHAR(34)&amp;"x",$AL127)-2)),0))</f>
        <v/>
      </c>
      <c r="BO127" s="53">
        <f>IF(OR($A127="",$H127="",$H127="NO LAB"),0,IFERROR(VALUE(LEFT($H127,FIND(" ",$H127)-1)),0))</f>
        <v/>
      </c>
      <c r="BP127" s="54">
        <f>IF(OR($A127="",$I127="",$I127="NON-RATED",N($J127)=0),"",IFERROR(VLOOKUP($I127&amp;"|"&amp;$J127,IBC,2,FALSE),"?"))</f>
        <v/>
      </c>
      <c r="BQ127" s="50">
        <f>IF(NOT(AND($A127&lt;&gt;"",$C127&lt;&gt;"DOOR ONLY")),"",TRIM(IFERROR(VLOOKUP($U127,CODES,2,FALSE),"")&amp;" "&amp;$AZ127&amp;" "&amp;IFERROR(VLOOKUP($Z127,CODES,2,FALSE),"")&amp;" "&amp;IFERROR(VLOOKUP($X127,CODES,2,FALSE),"")&amp;" "&amp;IFERROR(VLOOKUP($S127,CODES,2,FALSE),"")&amp;IF(N($P127)&gt;0," w/TRANSOM "&amp;$P127&amp;CHAR(34),"")&amp;IF(N($Q127)&gt;0," w/SIDELITE "&amp;$Q127&amp;CHAR(34)&amp;" "&amp;IF($R127="","R",$R127),"")&amp;IF($Y127="","  |  "," | "&amp;IFERROR(VLOOKUP($Y127,CODES,2,FALSE),"")&amp;" | ")&amp;IFERROR(VLOOKUP($AC127,CODES,2,FALSE),"")&amp;" "&amp;IFERROR(VLOOKUP($AD127,CODES,2,FALSE),"")&amp;IF(OR($AE127="",$AE127="-"),""," "&amp;$AE127)&amp;IF(OR($AF127="",$AF127="-"),""," "&amp;$AF127)&amp;IF($AB127="Y"," 4"&amp;CHAR(34)&amp;" HEAD","")&amp;" "&amp;IFERROR(VLOOKUP($H127,CODES,2,FALSE),"")))</f>
        <v/>
      </c>
      <c r="BR127" s="50">
        <f>IF(NOT(AND($A127&lt;&gt;"",N($BC127)&gt;0)),"",TRIM(IFERROR(VLOOKUP($AH127,CODES,2,FALSE),"")&amp;IF($AI127=""," "," "&amp;$AI127&amp;"GA ")&amp;$AZ127&amp;" "&amp;IF($AN127="",IFERROR(VLOOKUP($Z127,CODES,2,FALSE),""),IFERROR(VLOOKUP($AN127,CODES,2,FALSE),""))&amp;IF($BC127=2," PAIR","")&amp;" DOOR | "&amp;IF($AL127="","?",$AL127)&amp;" | "&amp;IF($AP127="",IFERROR(VLOOKUP($AC127,CODES,2,FALSE),""),IFERROR(VLOOKUP($AP127,CODES,2,FALSE),""))&amp;" "&amp;IFERROR(VLOOKUP($AQ127,CODES,2,FALSE),"")&amp;IF(OR($AR127="",$AR127="-"),""," SEAM "&amp;$AR127)&amp;IF($AS127="Y"," ASTRAGAL","")&amp;IF($AJ127=""," "," "&amp;$AJ127)&amp;IF($AK127=""," "," "&amp;$AK127)&amp;IF($AO127="",""," "&amp;$AO127)&amp;IF($AM127=""," "," SERIES "&amp;$AM127)&amp;" "&amp;IFERROR(VLOOKUP($H127,CODES,2,FALSE),"")))</f>
        <v/>
      </c>
      <c r="BS127" s="49">
        <f>IF(BV127="","",IF(COUNTIF($BV$6:BV127,BV127)=1,MAX($BS$5:BS126)+1,INDEX($BS$5:BS126,MATCH(BV127,$BV$5:BV126,0))))</f>
        <v/>
      </c>
      <c r="BT127" s="49">
        <f>IF(NOT(AND($A127&lt;&gt;"",$C127&lt;&gt;"DOOR ONLY")),"",MAX($BT$5:BT126)+1)</f>
        <v/>
      </c>
      <c r="BU127" s="49">
        <f>IF(NOT(AND($A127&lt;&gt;"",N($BC127)&gt;0)),"",MAX($BU$5:BU126)+1)</f>
        <v/>
      </c>
      <c r="BV127" s="49">
        <f>IF(OR($A127="",$BA127="",$BB127=""),"",$AZ127&amp;"|"&amp;$O127&amp;"|"&amp;$AL127&amp;"|"&amp;$S127&amp;"|"&amp;$P127&amp;"|"&amp;$Q127&amp;$R127&amp;"|"&amp;$C127&amp;"|"&amp;$AB127)</f>
        <v/>
      </c>
      <c r="BW127" s="49">
        <f>IF($A127="","",IF($B127="","qty, ","")&amp;IF($C127="","scope, ","")&amp;IF(OR($K127="",$M127=""),"size, ","")&amp;IF(AND($A127&lt;&gt;"",$C127&lt;&gt;"DOOR ONLY"),IF($U127="","jamb depth, ","")&amp;IF($X127="","construction, ","")&amp;IF($Y127="","anchor, ","")&amp;IF($S127="","frame type, ",""),"")&amp;IF(AND(N($BC127)&gt;0,$Z127=""),"hand, ","")&amp;IF(N($BC127)&gt;0,IF($AH127="","door material, ","")&amp;IF($AL127="","face type, ","")&amp;IF($AQ127="","lock prep, ","")&amp;IF(AND($AP127="",$AC127=""),"hinge prep, ",""),"")&amp;IF(AND($BO127&gt;0,$AH127="FRP"),"FRP cannot carry a label, ","")&amp;IF(AND($O127="Y",OR($Z127="L",$Z127="R",$Z127="LR",$Z127="RR")),"pair marked but hand is single, ","")&amp;IF(AND($O127&lt;&gt;"Y",OR($Z127="PR",AND(LEN($Z127)&gt;1,ISNUMBER(SEARCH("-",$Z127))))),"pair hand on a single door, ","")&amp;IF(AND(ISNUMBER($BP127),$BO127&lt;N($BP127)),"wall needs a "&amp;$BP127&amp;" min door, ","")&amp;IF(AND($BO127&gt;=180,AND(OR($BL127="FG",$BL127="HG",$BL127="FNV",$BL127="FV"),N($BM127)*N($BN127)&gt;100)),"180 min lite over 100 sq in, ","")&amp;IF(N($BD127)&gt;48,"leaf wider than 4'-0"&amp;CHAR(34)&amp;", ",""))</f>
        <v/>
      </c>
      <c r="BX127" s="49">
        <f>IF($A127="","",IF(AND($BO127&gt;0,AND($A127&lt;&gt;"",$C127&lt;&gt;"DOOR ONLY"),$X127="KD",$E127="EXTERIOR"),"KD label on an exterior opening, ","")&amp;IF(AND($E127="EXTERIOR",OR(AND(AND($A127&lt;&gt;"",$C127&lt;&gt;"DOOR ONLY"),$W127="CR"),AND(N($BC127)&gt;0,$AH127="CR"))),"exterior in CR steel (G9?), ","")&amp;IF(AND(ISNUMBER($BJ127),N($BJ127)&lt;32),"clear width ~"&amp;TEXT($BJ127,"0.0")&amp;CHAR(34)&amp;" under 32"&amp;CHAR(34)&amp;" (ADA), ","")&amp;IF(AND($BO127=90,AND(OR($BL127="FG",$BL127="HG",$BL127="FNV",$BL127="FV"),N($BM127)*N($BN127)&gt;100)),"90 min lite over 100 sq in (stair/exit), ","")&amp;IF(AND($BO127&gt;0,AND($A127&lt;&gt;"",$C127&lt;&gt;"DOOR ONLY"),OR($AF127="",$AF127="-")),"rated: closer reinf.?, ","")&amp;IF(OR($I127="CORRIDOR",$I127="SMOKE BARRIER"),"S label + smoke gasketing, ","")&amp;IF($BP127="?","wall type/hr not in IBC table, ","")&amp;IF(AND(N($BC127)&gt;0,$AU127=""),"no hardware set, ","")&amp;IF(AND($AU127&lt;&gt;"",ISNA(MATCH($AU127,HWSets,0))),"set "&amp;$AU127&amp;" not on Hardware sheet, ","")&amp;IF(N($BE127)&gt;96,"leaf over 8'-0"&amp;CHAR(34)&amp;" - check listing, ",""))</f>
        <v/>
      </c>
    </row>
    <row r="128" ht="15" customHeight="1">
      <c r="A128" s="44" t="n"/>
      <c r="B128" s="45" t="n"/>
      <c r="C128" s="45" t="n"/>
      <c r="D128" s="45" t="n"/>
      <c r="E128" s="45" t="n"/>
      <c r="F128" s="45" t="n"/>
      <c r="G128" s="45" t="n"/>
      <c r="H128" s="45" t="n"/>
      <c r="I128" s="45" t="n"/>
      <c r="J128" s="45" t="n"/>
      <c r="K128" s="45" t="n"/>
      <c r="L128" s="45" t="n"/>
      <c r="M128" s="45" t="n"/>
      <c r="N128" s="45" t="n"/>
      <c r="O128" s="45" t="n"/>
      <c r="P128" s="45" t="n"/>
      <c r="Q128" s="45" t="n"/>
      <c r="R128" s="45" t="n"/>
      <c r="S128" s="46" t="n"/>
      <c r="T128" s="46" t="n"/>
      <c r="U128" s="46" t="n"/>
      <c r="V128" s="46" t="n"/>
      <c r="W128" s="46" t="n"/>
      <c r="X128" s="46" t="n"/>
      <c r="Y128" s="46" t="n"/>
      <c r="Z128" s="46" t="n"/>
      <c r="AA128" s="46" t="n"/>
      <c r="AB128" s="46" t="n"/>
      <c r="AC128" s="46" t="n"/>
      <c r="AD128" s="46" t="n"/>
      <c r="AE128" s="46" t="n"/>
      <c r="AF128" s="46" t="n"/>
      <c r="AG128" s="46" t="n"/>
      <c r="AH128" s="47" t="n"/>
      <c r="AI128" s="47" t="n"/>
      <c r="AJ128" s="47" t="n"/>
      <c r="AK128" s="47" t="n"/>
      <c r="AL128" s="47" t="n"/>
      <c r="AM128" s="47" t="n"/>
      <c r="AN128" s="47" t="n"/>
      <c r="AO128" s="47" t="n"/>
      <c r="AP128" s="47" t="n"/>
      <c r="AQ128" s="47" t="n"/>
      <c r="AR128" s="47" t="n"/>
      <c r="AS128" s="47" t="n"/>
      <c r="AT128" s="47" t="n"/>
      <c r="AU128" s="48" t="n"/>
      <c r="AV128" s="48" t="n"/>
      <c r="AW128" s="49">
        <f>IF($A128="","",IF($BW128&lt;&gt;"","FIX",IF($BX128&lt;&gt;"","CHECK","OK")))</f>
        <v/>
      </c>
      <c r="AX128" s="50">
        <f>IF($A128="","",IF($BW128&lt;&gt;"","FIX: "&amp;LEFT($BW128,LEN($BW128)-2)&amp;IF($BX128&lt;&gt;"","  ·  ",""),"")&amp;IF($BX128&lt;&gt;"","CHECK: "&amp;LEFT($BX128,LEN($BX128)-2),""))</f>
        <v/>
      </c>
      <c r="AY128" s="49">
        <f>IF(OR($A128="",$K128=""),"",$K128&amp;"'-"&amp;N($L128)&amp;CHAR(34)&amp;" x "&amp;$M128&amp;"'-"&amp;N($N128)&amp;CHAR(34))</f>
        <v/>
      </c>
      <c r="AZ128" s="49">
        <f>IF(OR($A128="",$K128=""),"",$K128&amp;N($L128)&amp;$M128&amp;N($N128))</f>
        <v/>
      </c>
      <c r="BA128" s="49">
        <f>IF(OR($A128="",$K128=""),"",$K128*12+N($L128))</f>
        <v/>
      </c>
      <c r="BB128" s="49">
        <f>IF(OR($A128="",$M128=""),"",$M128*12+N($N128))</f>
        <v/>
      </c>
      <c r="BC128" s="49">
        <f>IF($A128="","",IF(OR($C128="FRAME ONLY",$S128="BL"),0,IF($O128="Y",2,1)))</f>
        <v/>
      </c>
      <c r="BD128" s="51">
        <f>IF(OR(N($BC128)=0,$BA128=""),"",($BA128-2*EdgeClr-IF($BC128=2,MeetClr,0))/$BC128)</f>
        <v/>
      </c>
      <c r="BE128" s="51">
        <f>IF(OR(N($BC128)=0,$BB128=""),"",$BB128-HeadClr-Undercut)</f>
        <v/>
      </c>
      <c r="BF128" s="51">
        <f>IF($BA128="","",$BA128+2*FaceW+IF(N($Q128)&gt;0,($Q128+FaceW)*IF($R128="LR",2,1),0))</f>
        <v/>
      </c>
      <c r="BG128" s="51">
        <f>IF($BB128="","",$BB128+IF($AB128="Y",4,FaceW)+IF(N($P128)&gt;0,$P128+FaceW,0)+IF(OR($S128="4F",$S128="BL"),FaceW,0))</f>
        <v/>
      </c>
      <c r="BH128" s="51">
        <f>IF($BF128="","",$BF128+2*ROSide)</f>
        <v/>
      </c>
      <c r="BI128" s="51">
        <f>IF($BG128="","",$BG128+ROTop)</f>
        <v/>
      </c>
      <c r="BJ128" s="52">
        <f>IF(OR(N($BC128)=0,$BA128=""),"",$BA128/$BC128-ClearDeduct)</f>
        <v/>
      </c>
      <c r="BK128" s="49">
        <f>IF(OR(N($BC128)=0,$BE128=""),"",IF(OR($AC128="HGC",$AP128="HGC"),"CONT",IF($BE128&lt;=60,2,IF($BE128&lt;=90,3,IF($BE128&lt;=120,4,5)))))</f>
        <v/>
      </c>
      <c r="BL128" s="49">
        <f>IF(N($BC128)=0,"",IF(OR($AL128="",$AL128="FLUSH"),"FLUSH",IFERROR(LEFT($AL128,FIND("-",$AL128)-1),LEFT($AL128,2))))</f>
        <v/>
      </c>
      <c r="BM128" s="49">
        <f>IF($BL128="","",IFERROR(VALUE(MID($AL128,FIND("-",$AL128)+1,FIND(CHAR(34)&amp;"x",$AL128)-FIND("-",$AL128)-1)),0))</f>
        <v/>
      </c>
      <c r="BN128" s="49">
        <f>IF($BL128="","",IFERROR(VALUE(MID($AL128,FIND(CHAR(34)&amp;"x",$AL128)+2,FIND(CHAR(34),$AL128,FIND(CHAR(34)&amp;"x",$AL128)+2)-FIND(CHAR(34)&amp;"x",$AL128)-2)),0))</f>
        <v/>
      </c>
      <c r="BO128" s="53">
        <f>IF(OR($A128="",$H128="",$H128="NO LAB"),0,IFERROR(VALUE(LEFT($H128,FIND(" ",$H128)-1)),0))</f>
        <v/>
      </c>
      <c r="BP128" s="54">
        <f>IF(OR($A128="",$I128="",$I128="NON-RATED",N($J128)=0),"",IFERROR(VLOOKUP($I128&amp;"|"&amp;$J128,IBC,2,FALSE),"?"))</f>
        <v/>
      </c>
      <c r="BQ128" s="50">
        <f>IF(NOT(AND($A128&lt;&gt;"",$C128&lt;&gt;"DOOR ONLY")),"",TRIM(IFERROR(VLOOKUP($U128,CODES,2,FALSE),"")&amp;" "&amp;$AZ128&amp;" "&amp;IFERROR(VLOOKUP($Z128,CODES,2,FALSE),"")&amp;" "&amp;IFERROR(VLOOKUP($X128,CODES,2,FALSE),"")&amp;" "&amp;IFERROR(VLOOKUP($S128,CODES,2,FALSE),"")&amp;IF(N($P128)&gt;0," w/TRANSOM "&amp;$P128&amp;CHAR(34),"")&amp;IF(N($Q128)&gt;0," w/SIDELITE "&amp;$Q128&amp;CHAR(34)&amp;" "&amp;IF($R128="","R",$R128),"")&amp;IF($Y128="","  |  "," | "&amp;IFERROR(VLOOKUP($Y128,CODES,2,FALSE),"")&amp;" | ")&amp;IFERROR(VLOOKUP($AC128,CODES,2,FALSE),"")&amp;" "&amp;IFERROR(VLOOKUP($AD128,CODES,2,FALSE),"")&amp;IF(OR($AE128="",$AE128="-"),""," "&amp;$AE128)&amp;IF(OR($AF128="",$AF128="-"),""," "&amp;$AF128)&amp;IF($AB128="Y"," 4"&amp;CHAR(34)&amp;" HEAD","")&amp;" "&amp;IFERROR(VLOOKUP($H128,CODES,2,FALSE),"")))</f>
        <v/>
      </c>
      <c r="BR128" s="50">
        <f>IF(NOT(AND($A128&lt;&gt;"",N($BC128)&gt;0)),"",TRIM(IFERROR(VLOOKUP($AH128,CODES,2,FALSE),"")&amp;IF($AI128=""," "," "&amp;$AI128&amp;"GA ")&amp;$AZ128&amp;" "&amp;IF($AN128="",IFERROR(VLOOKUP($Z128,CODES,2,FALSE),""),IFERROR(VLOOKUP($AN128,CODES,2,FALSE),""))&amp;IF($BC128=2," PAIR","")&amp;" DOOR | "&amp;IF($AL128="","?",$AL128)&amp;" | "&amp;IF($AP128="",IFERROR(VLOOKUP($AC128,CODES,2,FALSE),""),IFERROR(VLOOKUP($AP128,CODES,2,FALSE),""))&amp;" "&amp;IFERROR(VLOOKUP($AQ128,CODES,2,FALSE),"")&amp;IF(OR($AR128="",$AR128="-"),""," SEAM "&amp;$AR128)&amp;IF($AS128="Y"," ASTRAGAL","")&amp;IF($AJ128=""," "," "&amp;$AJ128)&amp;IF($AK128=""," "," "&amp;$AK128)&amp;IF($AO128="",""," "&amp;$AO128)&amp;IF($AM128=""," "," SERIES "&amp;$AM128)&amp;" "&amp;IFERROR(VLOOKUP($H128,CODES,2,FALSE),"")))</f>
        <v/>
      </c>
      <c r="BS128" s="49">
        <f>IF(BV128="","",IF(COUNTIF($BV$6:BV128,BV128)=1,MAX($BS$5:BS127)+1,INDEX($BS$5:BS127,MATCH(BV128,$BV$5:BV127,0))))</f>
        <v/>
      </c>
      <c r="BT128" s="49">
        <f>IF(NOT(AND($A128&lt;&gt;"",$C128&lt;&gt;"DOOR ONLY")),"",MAX($BT$5:BT127)+1)</f>
        <v/>
      </c>
      <c r="BU128" s="49">
        <f>IF(NOT(AND($A128&lt;&gt;"",N($BC128)&gt;0)),"",MAX($BU$5:BU127)+1)</f>
        <v/>
      </c>
      <c r="BV128" s="49">
        <f>IF(OR($A128="",$BA128="",$BB128=""),"",$AZ128&amp;"|"&amp;$O128&amp;"|"&amp;$AL128&amp;"|"&amp;$S128&amp;"|"&amp;$P128&amp;"|"&amp;$Q128&amp;$R128&amp;"|"&amp;$C128&amp;"|"&amp;$AB128)</f>
        <v/>
      </c>
      <c r="BW128" s="49">
        <f>IF($A128="","",IF($B128="","qty, ","")&amp;IF($C128="","scope, ","")&amp;IF(OR($K128="",$M128=""),"size, ","")&amp;IF(AND($A128&lt;&gt;"",$C128&lt;&gt;"DOOR ONLY"),IF($U128="","jamb depth, ","")&amp;IF($X128="","construction, ","")&amp;IF($Y128="","anchor, ","")&amp;IF($S128="","frame type, ",""),"")&amp;IF(AND(N($BC128)&gt;0,$Z128=""),"hand, ","")&amp;IF(N($BC128)&gt;0,IF($AH128="","door material, ","")&amp;IF($AL128="","face type, ","")&amp;IF($AQ128="","lock prep, ","")&amp;IF(AND($AP128="",$AC128=""),"hinge prep, ",""),"")&amp;IF(AND($BO128&gt;0,$AH128="FRP"),"FRP cannot carry a label, ","")&amp;IF(AND($O128="Y",OR($Z128="L",$Z128="R",$Z128="LR",$Z128="RR")),"pair marked but hand is single, ","")&amp;IF(AND($O128&lt;&gt;"Y",OR($Z128="PR",AND(LEN($Z128)&gt;1,ISNUMBER(SEARCH("-",$Z128))))),"pair hand on a single door, ","")&amp;IF(AND(ISNUMBER($BP128),$BO128&lt;N($BP128)),"wall needs a "&amp;$BP128&amp;" min door, ","")&amp;IF(AND($BO128&gt;=180,AND(OR($BL128="FG",$BL128="HG",$BL128="FNV",$BL128="FV"),N($BM128)*N($BN128)&gt;100)),"180 min lite over 100 sq in, ","")&amp;IF(N($BD128)&gt;48,"leaf wider than 4'-0"&amp;CHAR(34)&amp;", ",""))</f>
        <v/>
      </c>
      <c r="BX128" s="49">
        <f>IF($A128="","",IF(AND($BO128&gt;0,AND($A128&lt;&gt;"",$C128&lt;&gt;"DOOR ONLY"),$X128="KD",$E128="EXTERIOR"),"KD label on an exterior opening, ","")&amp;IF(AND($E128="EXTERIOR",OR(AND(AND($A128&lt;&gt;"",$C128&lt;&gt;"DOOR ONLY"),$W128="CR"),AND(N($BC128)&gt;0,$AH128="CR"))),"exterior in CR steel (G9?), ","")&amp;IF(AND(ISNUMBER($BJ128),N($BJ128)&lt;32),"clear width ~"&amp;TEXT($BJ128,"0.0")&amp;CHAR(34)&amp;" under 32"&amp;CHAR(34)&amp;" (ADA), ","")&amp;IF(AND($BO128=90,AND(OR($BL128="FG",$BL128="HG",$BL128="FNV",$BL128="FV"),N($BM128)*N($BN128)&gt;100)),"90 min lite over 100 sq in (stair/exit), ","")&amp;IF(AND($BO128&gt;0,AND($A128&lt;&gt;"",$C128&lt;&gt;"DOOR ONLY"),OR($AF128="",$AF128="-")),"rated: closer reinf.?, ","")&amp;IF(OR($I128="CORRIDOR",$I128="SMOKE BARRIER"),"S label + smoke gasketing, ","")&amp;IF($BP128="?","wall type/hr not in IBC table, ","")&amp;IF(AND(N($BC128)&gt;0,$AU128=""),"no hardware set, ","")&amp;IF(AND($AU128&lt;&gt;"",ISNA(MATCH($AU128,HWSets,0))),"set "&amp;$AU128&amp;" not on Hardware sheet, ","")&amp;IF(N($BE128)&gt;96,"leaf over 8'-0"&amp;CHAR(34)&amp;" - check listing, ",""))</f>
        <v/>
      </c>
    </row>
    <row r="129" ht="15" customHeight="1">
      <c r="A129" s="44" t="n"/>
      <c r="B129" s="45" t="n"/>
      <c r="C129" s="45" t="n"/>
      <c r="D129" s="45" t="n"/>
      <c r="E129" s="45" t="n"/>
      <c r="F129" s="45" t="n"/>
      <c r="G129" s="45" t="n"/>
      <c r="H129" s="45" t="n"/>
      <c r="I129" s="45" t="n"/>
      <c r="J129" s="45" t="n"/>
      <c r="K129" s="45" t="n"/>
      <c r="L129" s="45" t="n"/>
      <c r="M129" s="45" t="n"/>
      <c r="N129" s="45" t="n"/>
      <c r="O129" s="45" t="n"/>
      <c r="P129" s="45" t="n"/>
      <c r="Q129" s="45" t="n"/>
      <c r="R129" s="45" t="n"/>
      <c r="S129" s="46" t="n"/>
      <c r="T129" s="46" t="n"/>
      <c r="U129" s="46" t="n"/>
      <c r="V129" s="46" t="n"/>
      <c r="W129" s="46" t="n"/>
      <c r="X129" s="46" t="n"/>
      <c r="Y129" s="46" t="n"/>
      <c r="Z129" s="46" t="n"/>
      <c r="AA129" s="46" t="n"/>
      <c r="AB129" s="46" t="n"/>
      <c r="AC129" s="46" t="n"/>
      <c r="AD129" s="46" t="n"/>
      <c r="AE129" s="46" t="n"/>
      <c r="AF129" s="46" t="n"/>
      <c r="AG129" s="46" t="n"/>
      <c r="AH129" s="47" t="n"/>
      <c r="AI129" s="47" t="n"/>
      <c r="AJ129" s="47" t="n"/>
      <c r="AK129" s="47" t="n"/>
      <c r="AL129" s="47" t="n"/>
      <c r="AM129" s="47" t="n"/>
      <c r="AN129" s="47" t="n"/>
      <c r="AO129" s="47" t="n"/>
      <c r="AP129" s="47" t="n"/>
      <c r="AQ129" s="47" t="n"/>
      <c r="AR129" s="47" t="n"/>
      <c r="AS129" s="47" t="n"/>
      <c r="AT129" s="47" t="n"/>
      <c r="AU129" s="48" t="n"/>
      <c r="AV129" s="48" t="n"/>
      <c r="AW129" s="49">
        <f>IF($A129="","",IF($BW129&lt;&gt;"","FIX",IF($BX129&lt;&gt;"","CHECK","OK")))</f>
        <v/>
      </c>
      <c r="AX129" s="50">
        <f>IF($A129="","",IF($BW129&lt;&gt;"","FIX: "&amp;LEFT($BW129,LEN($BW129)-2)&amp;IF($BX129&lt;&gt;"","  ·  ",""),"")&amp;IF($BX129&lt;&gt;"","CHECK: "&amp;LEFT($BX129,LEN($BX129)-2),""))</f>
        <v/>
      </c>
      <c r="AY129" s="49">
        <f>IF(OR($A129="",$K129=""),"",$K129&amp;"'-"&amp;N($L129)&amp;CHAR(34)&amp;" x "&amp;$M129&amp;"'-"&amp;N($N129)&amp;CHAR(34))</f>
        <v/>
      </c>
      <c r="AZ129" s="49">
        <f>IF(OR($A129="",$K129=""),"",$K129&amp;N($L129)&amp;$M129&amp;N($N129))</f>
        <v/>
      </c>
      <c r="BA129" s="49">
        <f>IF(OR($A129="",$K129=""),"",$K129*12+N($L129))</f>
        <v/>
      </c>
      <c r="BB129" s="49">
        <f>IF(OR($A129="",$M129=""),"",$M129*12+N($N129))</f>
        <v/>
      </c>
      <c r="BC129" s="49">
        <f>IF($A129="","",IF(OR($C129="FRAME ONLY",$S129="BL"),0,IF($O129="Y",2,1)))</f>
        <v/>
      </c>
      <c r="BD129" s="51">
        <f>IF(OR(N($BC129)=0,$BA129=""),"",($BA129-2*EdgeClr-IF($BC129=2,MeetClr,0))/$BC129)</f>
        <v/>
      </c>
      <c r="BE129" s="51">
        <f>IF(OR(N($BC129)=0,$BB129=""),"",$BB129-HeadClr-Undercut)</f>
        <v/>
      </c>
      <c r="BF129" s="51">
        <f>IF($BA129="","",$BA129+2*FaceW+IF(N($Q129)&gt;0,($Q129+FaceW)*IF($R129="LR",2,1),0))</f>
        <v/>
      </c>
      <c r="BG129" s="51">
        <f>IF($BB129="","",$BB129+IF($AB129="Y",4,FaceW)+IF(N($P129)&gt;0,$P129+FaceW,0)+IF(OR($S129="4F",$S129="BL"),FaceW,0))</f>
        <v/>
      </c>
      <c r="BH129" s="51">
        <f>IF($BF129="","",$BF129+2*ROSide)</f>
        <v/>
      </c>
      <c r="BI129" s="51">
        <f>IF($BG129="","",$BG129+ROTop)</f>
        <v/>
      </c>
      <c r="BJ129" s="52">
        <f>IF(OR(N($BC129)=0,$BA129=""),"",$BA129/$BC129-ClearDeduct)</f>
        <v/>
      </c>
      <c r="BK129" s="49">
        <f>IF(OR(N($BC129)=0,$BE129=""),"",IF(OR($AC129="HGC",$AP129="HGC"),"CONT",IF($BE129&lt;=60,2,IF($BE129&lt;=90,3,IF($BE129&lt;=120,4,5)))))</f>
        <v/>
      </c>
      <c r="BL129" s="49">
        <f>IF(N($BC129)=0,"",IF(OR($AL129="",$AL129="FLUSH"),"FLUSH",IFERROR(LEFT($AL129,FIND("-",$AL129)-1),LEFT($AL129,2))))</f>
        <v/>
      </c>
      <c r="BM129" s="49">
        <f>IF($BL129="","",IFERROR(VALUE(MID($AL129,FIND("-",$AL129)+1,FIND(CHAR(34)&amp;"x",$AL129)-FIND("-",$AL129)-1)),0))</f>
        <v/>
      </c>
      <c r="BN129" s="49">
        <f>IF($BL129="","",IFERROR(VALUE(MID($AL129,FIND(CHAR(34)&amp;"x",$AL129)+2,FIND(CHAR(34),$AL129,FIND(CHAR(34)&amp;"x",$AL129)+2)-FIND(CHAR(34)&amp;"x",$AL129)-2)),0))</f>
        <v/>
      </c>
      <c r="BO129" s="53">
        <f>IF(OR($A129="",$H129="",$H129="NO LAB"),0,IFERROR(VALUE(LEFT($H129,FIND(" ",$H129)-1)),0))</f>
        <v/>
      </c>
      <c r="BP129" s="54">
        <f>IF(OR($A129="",$I129="",$I129="NON-RATED",N($J129)=0),"",IFERROR(VLOOKUP($I129&amp;"|"&amp;$J129,IBC,2,FALSE),"?"))</f>
        <v/>
      </c>
      <c r="BQ129" s="50">
        <f>IF(NOT(AND($A129&lt;&gt;"",$C129&lt;&gt;"DOOR ONLY")),"",TRIM(IFERROR(VLOOKUP($U129,CODES,2,FALSE),"")&amp;" "&amp;$AZ129&amp;" "&amp;IFERROR(VLOOKUP($Z129,CODES,2,FALSE),"")&amp;" "&amp;IFERROR(VLOOKUP($X129,CODES,2,FALSE),"")&amp;" "&amp;IFERROR(VLOOKUP($S129,CODES,2,FALSE),"")&amp;IF(N($P129)&gt;0," w/TRANSOM "&amp;$P129&amp;CHAR(34),"")&amp;IF(N($Q129)&gt;0," w/SIDELITE "&amp;$Q129&amp;CHAR(34)&amp;" "&amp;IF($R129="","R",$R129),"")&amp;IF($Y129="","  |  "," | "&amp;IFERROR(VLOOKUP($Y129,CODES,2,FALSE),"")&amp;" | ")&amp;IFERROR(VLOOKUP($AC129,CODES,2,FALSE),"")&amp;" "&amp;IFERROR(VLOOKUP($AD129,CODES,2,FALSE),"")&amp;IF(OR($AE129="",$AE129="-"),""," "&amp;$AE129)&amp;IF(OR($AF129="",$AF129="-"),""," "&amp;$AF129)&amp;IF($AB129="Y"," 4"&amp;CHAR(34)&amp;" HEAD","")&amp;" "&amp;IFERROR(VLOOKUP($H129,CODES,2,FALSE),"")))</f>
        <v/>
      </c>
      <c r="BR129" s="50">
        <f>IF(NOT(AND($A129&lt;&gt;"",N($BC129)&gt;0)),"",TRIM(IFERROR(VLOOKUP($AH129,CODES,2,FALSE),"")&amp;IF($AI129=""," "," "&amp;$AI129&amp;"GA ")&amp;$AZ129&amp;" "&amp;IF($AN129="",IFERROR(VLOOKUP($Z129,CODES,2,FALSE),""),IFERROR(VLOOKUP($AN129,CODES,2,FALSE),""))&amp;IF($BC129=2," PAIR","")&amp;" DOOR | "&amp;IF($AL129="","?",$AL129)&amp;" | "&amp;IF($AP129="",IFERROR(VLOOKUP($AC129,CODES,2,FALSE),""),IFERROR(VLOOKUP($AP129,CODES,2,FALSE),""))&amp;" "&amp;IFERROR(VLOOKUP($AQ129,CODES,2,FALSE),"")&amp;IF(OR($AR129="",$AR129="-"),""," SEAM "&amp;$AR129)&amp;IF($AS129="Y"," ASTRAGAL","")&amp;IF($AJ129=""," "," "&amp;$AJ129)&amp;IF($AK129=""," "," "&amp;$AK129)&amp;IF($AO129="",""," "&amp;$AO129)&amp;IF($AM129=""," "," SERIES "&amp;$AM129)&amp;" "&amp;IFERROR(VLOOKUP($H129,CODES,2,FALSE),"")))</f>
        <v/>
      </c>
      <c r="BS129" s="49">
        <f>IF(BV129="","",IF(COUNTIF($BV$6:BV129,BV129)=1,MAX($BS$5:BS128)+1,INDEX($BS$5:BS128,MATCH(BV129,$BV$5:BV128,0))))</f>
        <v/>
      </c>
      <c r="BT129" s="49">
        <f>IF(NOT(AND($A129&lt;&gt;"",$C129&lt;&gt;"DOOR ONLY")),"",MAX($BT$5:BT128)+1)</f>
        <v/>
      </c>
      <c r="BU129" s="49">
        <f>IF(NOT(AND($A129&lt;&gt;"",N($BC129)&gt;0)),"",MAX($BU$5:BU128)+1)</f>
        <v/>
      </c>
      <c r="BV129" s="49">
        <f>IF(OR($A129="",$BA129="",$BB129=""),"",$AZ129&amp;"|"&amp;$O129&amp;"|"&amp;$AL129&amp;"|"&amp;$S129&amp;"|"&amp;$P129&amp;"|"&amp;$Q129&amp;$R129&amp;"|"&amp;$C129&amp;"|"&amp;$AB129)</f>
        <v/>
      </c>
      <c r="BW129" s="49">
        <f>IF($A129="","",IF($B129="","qty, ","")&amp;IF($C129="","scope, ","")&amp;IF(OR($K129="",$M129=""),"size, ","")&amp;IF(AND($A129&lt;&gt;"",$C129&lt;&gt;"DOOR ONLY"),IF($U129="","jamb depth, ","")&amp;IF($X129="","construction, ","")&amp;IF($Y129="","anchor, ","")&amp;IF($S129="","frame type, ",""),"")&amp;IF(AND(N($BC129)&gt;0,$Z129=""),"hand, ","")&amp;IF(N($BC129)&gt;0,IF($AH129="","door material, ","")&amp;IF($AL129="","face type, ","")&amp;IF($AQ129="","lock prep, ","")&amp;IF(AND($AP129="",$AC129=""),"hinge prep, ",""),"")&amp;IF(AND($BO129&gt;0,$AH129="FRP"),"FRP cannot carry a label, ","")&amp;IF(AND($O129="Y",OR($Z129="L",$Z129="R",$Z129="LR",$Z129="RR")),"pair marked but hand is single, ","")&amp;IF(AND($O129&lt;&gt;"Y",OR($Z129="PR",AND(LEN($Z129)&gt;1,ISNUMBER(SEARCH("-",$Z129))))),"pair hand on a single door, ","")&amp;IF(AND(ISNUMBER($BP129),$BO129&lt;N($BP129)),"wall needs a "&amp;$BP129&amp;" min door, ","")&amp;IF(AND($BO129&gt;=180,AND(OR($BL129="FG",$BL129="HG",$BL129="FNV",$BL129="FV"),N($BM129)*N($BN129)&gt;100)),"180 min lite over 100 sq in, ","")&amp;IF(N($BD129)&gt;48,"leaf wider than 4'-0"&amp;CHAR(34)&amp;", ",""))</f>
        <v/>
      </c>
      <c r="BX129" s="49">
        <f>IF($A129="","",IF(AND($BO129&gt;0,AND($A129&lt;&gt;"",$C129&lt;&gt;"DOOR ONLY"),$X129="KD",$E129="EXTERIOR"),"KD label on an exterior opening, ","")&amp;IF(AND($E129="EXTERIOR",OR(AND(AND($A129&lt;&gt;"",$C129&lt;&gt;"DOOR ONLY"),$W129="CR"),AND(N($BC129)&gt;0,$AH129="CR"))),"exterior in CR steel (G9?), ","")&amp;IF(AND(ISNUMBER($BJ129),N($BJ129)&lt;32),"clear width ~"&amp;TEXT($BJ129,"0.0")&amp;CHAR(34)&amp;" under 32"&amp;CHAR(34)&amp;" (ADA), ","")&amp;IF(AND($BO129=90,AND(OR($BL129="FG",$BL129="HG",$BL129="FNV",$BL129="FV"),N($BM129)*N($BN129)&gt;100)),"90 min lite over 100 sq in (stair/exit), ","")&amp;IF(AND($BO129&gt;0,AND($A129&lt;&gt;"",$C129&lt;&gt;"DOOR ONLY"),OR($AF129="",$AF129="-")),"rated: closer reinf.?, ","")&amp;IF(OR($I129="CORRIDOR",$I129="SMOKE BARRIER"),"S label + smoke gasketing, ","")&amp;IF($BP129="?","wall type/hr not in IBC table, ","")&amp;IF(AND(N($BC129)&gt;0,$AU129=""),"no hardware set, ","")&amp;IF(AND($AU129&lt;&gt;"",ISNA(MATCH($AU129,HWSets,0))),"set "&amp;$AU129&amp;" not on Hardware sheet, ","")&amp;IF(N($BE129)&gt;96,"leaf over 8'-0"&amp;CHAR(34)&amp;" - check listing, ",""))</f>
        <v/>
      </c>
    </row>
    <row r="130" ht="15" customHeight="1">
      <c r="A130" s="44" t="n"/>
      <c r="B130" s="45" t="n"/>
      <c r="C130" s="45" t="n"/>
      <c r="D130" s="45" t="n"/>
      <c r="E130" s="45" t="n"/>
      <c r="F130" s="45" t="n"/>
      <c r="G130" s="45" t="n"/>
      <c r="H130" s="45" t="n"/>
      <c r="I130" s="45" t="n"/>
      <c r="J130" s="45" t="n"/>
      <c r="K130" s="45" t="n"/>
      <c r="L130" s="45" t="n"/>
      <c r="M130" s="45" t="n"/>
      <c r="N130" s="45" t="n"/>
      <c r="O130" s="45" t="n"/>
      <c r="P130" s="45" t="n"/>
      <c r="Q130" s="45" t="n"/>
      <c r="R130" s="45" t="n"/>
      <c r="S130" s="46" t="n"/>
      <c r="T130" s="46" t="n"/>
      <c r="U130" s="46" t="n"/>
      <c r="V130" s="46" t="n"/>
      <c r="W130" s="46" t="n"/>
      <c r="X130" s="46" t="n"/>
      <c r="Y130" s="46" t="n"/>
      <c r="Z130" s="46" t="n"/>
      <c r="AA130" s="46" t="n"/>
      <c r="AB130" s="46" t="n"/>
      <c r="AC130" s="46" t="n"/>
      <c r="AD130" s="46" t="n"/>
      <c r="AE130" s="46" t="n"/>
      <c r="AF130" s="46" t="n"/>
      <c r="AG130" s="46" t="n"/>
      <c r="AH130" s="47" t="n"/>
      <c r="AI130" s="47" t="n"/>
      <c r="AJ130" s="47" t="n"/>
      <c r="AK130" s="47" t="n"/>
      <c r="AL130" s="47" t="n"/>
      <c r="AM130" s="47" t="n"/>
      <c r="AN130" s="47" t="n"/>
      <c r="AO130" s="47" t="n"/>
      <c r="AP130" s="47" t="n"/>
      <c r="AQ130" s="47" t="n"/>
      <c r="AR130" s="47" t="n"/>
      <c r="AS130" s="47" t="n"/>
      <c r="AT130" s="47" t="n"/>
      <c r="AU130" s="48" t="n"/>
      <c r="AV130" s="48" t="n"/>
      <c r="AW130" s="49">
        <f>IF($A130="","",IF($BW130&lt;&gt;"","FIX",IF($BX130&lt;&gt;"","CHECK","OK")))</f>
        <v/>
      </c>
      <c r="AX130" s="50">
        <f>IF($A130="","",IF($BW130&lt;&gt;"","FIX: "&amp;LEFT($BW130,LEN($BW130)-2)&amp;IF($BX130&lt;&gt;"","  ·  ",""),"")&amp;IF($BX130&lt;&gt;"","CHECK: "&amp;LEFT($BX130,LEN($BX130)-2),""))</f>
        <v/>
      </c>
      <c r="AY130" s="49">
        <f>IF(OR($A130="",$K130=""),"",$K130&amp;"'-"&amp;N($L130)&amp;CHAR(34)&amp;" x "&amp;$M130&amp;"'-"&amp;N($N130)&amp;CHAR(34))</f>
        <v/>
      </c>
      <c r="AZ130" s="49">
        <f>IF(OR($A130="",$K130=""),"",$K130&amp;N($L130)&amp;$M130&amp;N($N130))</f>
        <v/>
      </c>
      <c r="BA130" s="49">
        <f>IF(OR($A130="",$K130=""),"",$K130*12+N($L130))</f>
        <v/>
      </c>
      <c r="BB130" s="49">
        <f>IF(OR($A130="",$M130=""),"",$M130*12+N($N130))</f>
        <v/>
      </c>
      <c r="BC130" s="49">
        <f>IF($A130="","",IF(OR($C130="FRAME ONLY",$S130="BL"),0,IF($O130="Y",2,1)))</f>
        <v/>
      </c>
      <c r="BD130" s="51">
        <f>IF(OR(N($BC130)=0,$BA130=""),"",($BA130-2*EdgeClr-IF($BC130=2,MeetClr,0))/$BC130)</f>
        <v/>
      </c>
      <c r="BE130" s="51">
        <f>IF(OR(N($BC130)=0,$BB130=""),"",$BB130-HeadClr-Undercut)</f>
        <v/>
      </c>
      <c r="BF130" s="51">
        <f>IF($BA130="","",$BA130+2*FaceW+IF(N($Q130)&gt;0,($Q130+FaceW)*IF($R130="LR",2,1),0))</f>
        <v/>
      </c>
      <c r="BG130" s="51">
        <f>IF($BB130="","",$BB130+IF($AB130="Y",4,FaceW)+IF(N($P130)&gt;0,$P130+FaceW,0)+IF(OR($S130="4F",$S130="BL"),FaceW,0))</f>
        <v/>
      </c>
      <c r="BH130" s="51">
        <f>IF($BF130="","",$BF130+2*ROSide)</f>
        <v/>
      </c>
      <c r="BI130" s="51">
        <f>IF($BG130="","",$BG130+ROTop)</f>
        <v/>
      </c>
      <c r="BJ130" s="52">
        <f>IF(OR(N($BC130)=0,$BA130=""),"",$BA130/$BC130-ClearDeduct)</f>
        <v/>
      </c>
      <c r="BK130" s="49">
        <f>IF(OR(N($BC130)=0,$BE130=""),"",IF(OR($AC130="HGC",$AP130="HGC"),"CONT",IF($BE130&lt;=60,2,IF($BE130&lt;=90,3,IF($BE130&lt;=120,4,5)))))</f>
        <v/>
      </c>
      <c r="BL130" s="49">
        <f>IF(N($BC130)=0,"",IF(OR($AL130="",$AL130="FLUSH"),"FLUSH",IFERROR(LEFT($AL130,FIND("-",$AL130)-1),LEFT($AL130,2))))</f>
        <v/>
      </c>
      <c r="BM130" s="49">
        <f>IF($BL130="","",IFERROR(VALUE(MID($AL130,FIND("-",$AL130)+1,FIND(CHAR(34)&amp;"x",$AL130)-FIND("-",$AL130)-1)),0))</f>
        <v/>
      </c>
      <c r="BN130" s="49">
        <f>IF($BL130="","",IFERROR(VALUE(MID($AL130,FIND(CHAR(34)&amp;"x",$AL130)+2,FIND(CHAR(34),$AL130,FIND(CHAR(34)&amp;"x",$AL130)+2)-FIND(CHAR(34)&amp;"x",$AL130)-2)),0))</f>
        <v/>
      </c>
      <c r="BO130" s="53">
        <f>IF(OR($A130="",$H130="",$H130="NO LAB"),0,IFERROR(VALUE(LEFT($H130,FIND(" ",$H130)-1)),0))</f>
        <v/>
      </c>
      <c r="BP130" s="54">
        <f>IF(OR($A130="",$I130="",$I130="NON-RATED",N($J130)=0),"",IFERROR(VLOOKUP($I130&amp;"|"&amp;$J130,IBC,2,FALSE),"?"))</f>
        <v/>
      </c>
      <c r="BQ130" s="50">
        <f>IF(NOT(AND($A130&lt;&gt;"",$C130&lt;&gt;"DOOR ONLY")),"",TRIM(IFERROR(VLOOKUP($U130,CODES,2,FALSE),"")&amp;" "&amp;$AZ130&amp;" "&amp;IFERROR(VLOOKUP($Z130,CODES,2,FALSE),"")&amp;" "&amp;IFERROR(VLOOKUP($X130,CODES,2,FALSE),"")&amp;" "&amp;IFERROR(VLOOKUP($S130,CODES,2,FALSE),"")&amp;IF(N($P130)&gt;0," w/TRANSOM "&amp;$P130&amp;CHAR(34),"")&amp;IF(N($Q130)&gt;0," w/SIDELITE "&amp;$Q130&amp;CHAR(34)&amp;" "&amp;IF($R130="","R",$R130),"")&amp;IF($Y130="","  |  "," | "&amp;IFERROR(VLOOKUP($Y130,CODES,2,FALSE),"")&amp;" | ")&amp;IFERROR(VLOOKUP($AC130,CODES,2,FALSE),"")&amp;" "&amp;IFERROR(VLOOKUP($AD130,CODES,2,FALSE),"")&amp;IF(OR($AE130="",$AE130="-"),""," "&amp;$AE130)&amp;IF(OR($AF130="",$AF130="-"),""," "&amp;$AF130)&amp;IF($AB130="Y"," 4"&amp;CHAR(34)&amp;" HEAD","")&amp;" "&amp;IFERROR(VLOOKUP($H130,CODES,2,FALSE),"")))</f>
        <v/>
      </c>
      <c r="BR130" s="50">
        <f>IF(NOT(AND($A130&lt;&gt;"",N($BC130)&gt;0)),"",TRIM(IFERROR(VLOOKUP($AH130,CODES,2,FALSE),"")&amp;IF($AI130=""," "," "&amp;$AI130&amp;"GA ")&amp;$AZ130&amp;" "&amp;IF($AN130="",IFERROR(VLOOKUP($Z130,CODES,2,FALSE),""),IFERROR(VLOOKUP($AN130,CODES,2,FALSE),""))&amp;IF($BC130=2," PAIR","")&amp;" DOOR | "&amp;IF($AL130="","?",$AL130)&amp;" | "&amp;IF($AP130="",IFERROR(VLOOKUP($AC130,CODES,2,FALSE),""),IFERROR(VLOOKUP($AP130,CODES,2,FALSE),""))&amp;" "&amp;IFERROR(VLOOKUP($AQ130,CODES,2,FALSE),"")&amp;IF(OR($AR130="",$AR130="-"),""," SEAM "&amp;$AR130)&amp;IF($AS130="Y"," ASTRAGAL","")&amp;IF($AJ130=""," "," "&amp;$AJ130)&amp;IF($AK130=""," "," "&amp;$AK130)&amp;IF($AO130="",""," "&amp;$AO130)&amp;IF($AM130=""," "," SERIES "&amp;$AM130)&amp;" "&amp;IFERROR(VLOOKUP($H130,CODES,2,FALSE),"")))</f>
        <v/>
      </c>
      <c r="BS130" s="49">
        <f>IF(BV130="","",IF(COUNTIF($BV$6:BV130,BV130)=1,MAX($BS$5:BS129)+1,INDEX($BS$5:BS129,MATCH(BV130,$BV$5:BV129,0))))</f>
        <v/>
      </c>
      <c r="BT130" s="49">
        <f>IF(NOT(AND($A130&lt;&gt;"",$C130&lt;&gt;"DOOR ONLY")),"",MAX($BT$5:BT129)+1)</f>
        <v/>
      </c>
      <c r="BU130" s="49">
        <f>IF(NOT(AND($A130&lt;&gt;"",N($BC130)&gt;0)),"",MAX($BU$5:BU129)+1)</f>
        <v/>
      </c>
      <c r="BV130" s="49">
        <f>IF(OR($A130="",$BA130="",$BB130=""),"",$AZ130&amp;"|"&amp;$O130&amp;"|"&amp;$AL130&amp;"|"&amp;$S130&amp;"|"&amp;$P130&amp;"|"&amp;$Q130&amp;$R130&amp;"|"&amp;$C130&amp;"|"&amp;$AB130)</f>
        <v/>
      </c>
      <c r="BW130" s="49">
        <f>IF($A130="","",IF($B130="","qty, ","")&amp;IF($C130="","scope, ","")&amp;IF(OR($K130="",$M130=""),"size, ","")&amp;IF(AND($A130&lt;&gt;"",$C130&lt;&gt;"DOOR ONLY"),IF($U130="","jamb depth, ","")&amp;IF($X130="","construction, ","")&amp;IF($Y130="","anchor, ","")&amp;IF($S130="","frame type, ",""),"")&amp;IF(AND(N($BC130)&gt;0,$Z130=""),"hand, ","")&amp;IF(N($BC130)&gt;0,IF($AH130="","door material, ","")&amp;IF($AL130="","face type, ","")&amp;IF($AQ130="","lock prep, ","")&amp;IF(AND($AP130="",$AC130=""),"hinge prep, ",""),"")&amp;IF(AND($BO130&gt;0,$AH130="FRP"),"FRP cannot carry a label, ","")&amp;IF(AND($O130="Y",OR($Z130="L",$Z130="R",$Z130="LR",$Z130="RR")),"pair marked but hand is single, ","")&amp;IF(AND($O130&lt;&gt;"Y",OR($Z130="PR",AND(LEN($Z130)&gt;1,ISNUMBER(SEARCH("-",$Z130))))),"pair hand on a single door, ","")&amp;IF(AND(ISNUMBER($BP130),$BO130&lt;N($BP130)),"wall needs a "&amp;$BP130&amp;" min door, ","")&amp;IF(AND($BO130&gt;=180,AND(OR($BL130="FG",$BL130="HG",$BL130="FNV",$BL130="FV"),N($BM130)*N($BN130)&gt;100)),"180 min lite over 100 sq in, ","")&amp;IF(N($BD130)&gt;48,"leaf wider than 4'-0"&amp;CHAR(34)&amp;", ",""))</f>
        <v/>
      </c>
      <c r="BX130" s="49">
        <f>IF($A130="","",IF(AND($BO130&gt;0,AND($A130&lt;&gt;"",$C130&lt;&gt;"DOOR ONLY"),$X130="KD",$E130="EXTERIOR"),"KD label on an exterior opening, ","")&amp;IF(AND($E130="EXTERIOR",OR(AND(AND($A130&lt;&gt;"",$C130&lt;&gt;"DOOR ONLY"),$W130="CR"),AND(N($BC130)&gt;0,$AH130="CR"))),"exterior in CR steel (G9?), ","")&amp;IF(AND(ISNUMBER($BJ130),N($BJ130)&lt;32),"clear width ~"&amp;TEXT($BJ130,"0.0")&amp;CHAR(34)&amp;" under 32"&amp;CHAR(34)&amp;" (ADA), ","")&amp;IF(AND($BO130=90,AND(OR($BL130="FG",$BL130="HG",$BL130="FNV",$BL130="FV"),N($BM130)*N($BN130)&gt;100)),"90 min lite over 100 sq in (stair/exit), ","")&amp;IF(AND($BO130&gt;0,AND($A130&lt;&gt;"",$C130&lt;&gt;"DOOR ONLY"),OR($AF130="",$AF130="-")),"rated: closer reinf.?, ","")&amp;IF(OR($I130="CORRIDOR",$I130="SMOKE BARRIER"),"S label + smoke gasketing, ","")&amp;IF($BP130="?","wall type/hr not in IBC table, ","")&amp;IF(AND(N($BC130)&gt;0,$AU130=""),"no hardware set, ","")&amp;IF(AND($AU130&lt;&gt;"",ISNA(MATCH($AU130,HWSets,0))),"set "&amp;$AU130&amp;" not on Hardware sheet, ","")&amp;IF(N($BE130)&gt;96,"leaf over 8'-0"&amp;CHAR(34)&amp;" - check listing, ",""))</f>
        <v/>
      </c>
    </row>
    <row r="131" ht="15" customHeight="1">
      <c r="A131" s="44" t="n"/>
      <c r="B131" s="45" t="n"/>
      <c r="C131" s="45" t="n"/>
      <c r="D131" s="45" t="n"/>
      <c r="E131" s="45" t="n"/>
      <c r="F131" s="45" t="n"/>
      <c r="G131" s="45" t="n"/>
      <c r="H131" s="45" t="n"/>
      <c r="I131" s="45" t="n"/>
      <c r="J131" s="45" t="n"/>
      <c r="K131" s="45" t="n"/>
      <c r="L131" s="45" t="n"/>
      <c r="M131" s="45" t="n"/>
      <c r="N131" s="45" t="n"/>
      <c r="O131" s="45" t="n"/>
      <c r="P131" s="45" t="n"/>
      <c r="Q131" s="45" t="n"/>
      <c r="R131" s="45" t="n"/>
      <c r="S131" s="46" t="n"/>
      <c r="T131" s="46" t="n"/>
      <c r="U131" s="46" t="n"/>
      <c r="V131" s="46" t="n"/>
      <c r="W131" s="46" t="n"/>
      <c r="X131" s="46" t="n"/>
      <c r="Y131" s="46" t="n"/>
      <c r="Z131" s="46" t="n"/>
      <c r="AA131" s="46" t="n"/>
      <c r="AB131" s="46" t="n"/>
      <c r="AC131" s="46" t="n"/>
      <c r="AD131" s="46" t="n"/>
      <c r="AE131" s="46" t="n"/>
      <c r="AF131" s="46" t="n"/>
      <c r="AG131" s="46" t="n"/>
      <c r="AH131" s="47" t="n"/>
      <c r="AI131" s="47" t="n"/>
      <c r="AJ131" s="47" t="n"/>
      <c r="AK131" s="47" t="n"/>
      <c r="AL131" s="47" t="n"/>
      <c r="AM131" s="47" t="n"/>
      <c r="AN131" s="47" t="n"/>
      <c r="AO131" s="47" t="n"/>
      <c r="AP131" s="47" t="n"/>
      <c r="AQ131" s="47" t="n"/>
      <c r="AR131" s="47" t="n"/>
      <c r="AS131" s="47" t="n"/>
      <c r="AT131" s="47" t="n"/>
      <c r="AU131" s="48" t="n"/>
      <c r="AV131" s="48" t="n"/>
      <c r="AW131" s="49">
        <f>IF($A131="","",IF($BW131&lt;&gt;"","FIX",IF($BX131&lt;&gt;"","CHECK","OK")))</f>
        <v/>
      </c>
      <c r="AX131" s="50">
        <f>IF($A131="","",IF($BW131&lt;&gt;"","FIX: "&amp;LEFT($BW131,LEN($BW131)-2)&amp;IF($BX131&lt;&gt;"","  ·  ",""),"")&amp;IF($BX131&lt;&gt;"","CHECK: "&amp;LEFT($BX131,LEN($BX131)-2),""))</f>
        <v/>
      </c>
      <c r="AY131" s="49">
        <f>IF(OR($A131="",$K131=""),"",$K131&amp;"'-"&amp;N($L131)&amp;CHAR(34)&amp;" x "&amp;$M131&amp;"'-"&amp;N($N131)&amp;CHAR(34))</f>
        <v/>
      </c>
      <c r="AZ131" s="49">
        <f>IF(OR($A131="",$K131=""),"",$K131&amp;N($L131)&amp;$M131&amp;N($N131))</f>
        <v/>
      </c>
      <c r="BA131" s="49">
        <f>IF(OR($A131="",$K131=""),"",$K131*12+N($L131))</f>
        <v/>
      </c>
      <c r="BB131" s="49">
        <f>IF(OR($A131="",$M131=""),"",$M131*12+N($N131))</f>
        <v/>
      </c>
      <c r="BC131" s="49">
        <f>IF($A131="","",IF(OR($C131="FRAME ONLY",$S131="BL"),0,IF($O131="Y",2,1)))</f>
        <v/>
      </c>
      <c r="BD131" s="51">
        <f>IF(OR(N($BC131)=0,$BA131=""),"",($BA131-2*EdgeClr-IF($BC131=2,MeetClr,0))/$BC131)</f>
        <v/>
      </c>
      <c r="BE131" s="51">
        <f>IF(OR(N($BC131)=0,$BB131=""),"",$BB131-HeadClr-Undercut)</f>
        <v/>
      </c>
      <c r="BF131" s="51">
        <f>IF($BA131="","",$BA131+2*FaceW+IF(N($Q131)&gt;0,($Q131+FaceW)*IF($R131="LR",2,1),0))</f>
        <v/>
      </c>
      <c r="BG131" s="51">
        <f>IF($BB131="","",$BB131+IF($AB131="Y",4,FaceW)+IF(N($P131)&gt;0,$P131+FaceW,0)+IF(OR($S131="4F",$S131="BL"),FaceW,0))</f>
        <v/>
      </c>
      <c r="BH131" s="51">
        <f>IF($BF131="","",$BF131+2*ROSide)</f>
        <v/>
      </c>
      <c r="BI131" s="51">
        <f>IF($BG131="","",$BG131+ROTop)</f>
        <v/>
      </c>
      <c r="BJ131" s="52">
        <f>IF(OR(N($BC131)=0,$BA131=""),"",$BA131/$BC131-ClearDeduct)</f>
        <v/>
      </c>
      <c r="BK131" s="49">
        <f>IF(OR(N($BC131)=0,$BE131=""),"",IF(OR($AC131="HGC",$AP131="HGC"),"CONT",IF($BE131&lt;=60,2,IF($BE131&lt;=90,3,IF($BE131&lt;=120,4,5)))))</f>
        <v/>
      </c>
      <c r="BL131" s="49">
        <f>IF(N($BC131)=0,"",IF(OR($AL131="",$AL131="FLUSH"),"FLUSH",IFERROR(LEFT($AL131,FIND("-",$AL131)-1),LEFT($AL131,2))))</f>
        <v/>
      </c>
      <c r="BM131" s="49">
        <f>IF($BL131="","",IFERROR(VALUE(MID($AL131,FIND("-",$AL131)+1,FIND(CHAR(34)&amp;"x",$AL131)-FIND("-",$AL131)-1)),0))</f>
        <v/>
      </c>
      <c r="BN131" s="49">
        <f>IF($BL131="","",IFERROR(VALUE(MID($AL131,FIND(CHAR(34)&amp;"x",$AL131)+2,FIND(CHAR(34),$AL131,FIND(CHAR(34)&amp;"x",$AL131)+2)-FIND(CHAR(34)&amp;"x",$AL131)-2)),0))</f>
        <v/>
      </c>
      <c r="BO131" s="53">
        <f>IF(OR($A131="",$H131="",$H131="NO LAB"),0,IFERROR(VALUE(LEFT($H131,FIND(" ",$H131)-1)),0))</f>
        <v/>
      </c>
      <c r="BP131" s="54">
        <f>IF(OR($A131="",$I131="",$I131="NON-RATED",N($J131)=0),"",IFERROR(VLOOKUP($I131&amp;"|"&amp;$J131,IBC,2,FALSE),"?"))</f>
        <v/>
      </c>
      <c r="BQ131" s="50">
        <f>IF(NOT(AND($A131&lt;&gt;"",$C131&lt;&gt;"DOOR ONLY")),"",TRIM(IFERROR(VLOOKUP($U131,CODES,2,FALSE),"")&amp;" "&amp;$AZ131&amp;" "&amp;IFERROR(VLOOKUP($Z131,CODES,2,FALSE),"")&amp;" "&amp;IFERROR(VLOOKUP($X131,CODES,2,FALSE),"")&amp;" "&amp;IFERROR(VLOOKUP($S131,CODES,2,FALSE),"")&amp;IF(N($P131)&gt;0," w/TRANSOM "&amp;$P131&amp;CHAR(34),"")&amp;IF(N($Q131)&gt;0," w/SIDELITE "&amp;$Q131&amp;CHAR(34)&amp;" "&amp;IF($R131="","R",$R131),"")&amp;IF($Y131="","  |  "," | "&amp;IFERROR(VLOOKUP($Y131,CODES,2,FALSE),"")&amp;" | ")&amp;IFERROR(VLOOKUP($AC131,CODES,2,FALSE),"")&amp;" "&amp;IFERROR(VLOOKUP($AD131,CODES,2,FALSE),"")&amp;IF(OR($AE131="",$AE131="-"),""," "&amp;$AE131)&amp;IF(OR($AF131="",$AF131="-"),""," "&amp;$AF131)&amp;IF($AB131="Y"," 4"&amp;CHAR(34)&amp;" HEAD","")&amp;" "&amp;IFERROR(VLOOKUP($H131,CODES,2,FALSE),"")))</f>
        <v/>
      </c>
      <c r="BR131" s="50">
        <f>IF(NOT(AND($A131&lt;&gt;"",N($BC131)&gt;0)),"",TRIM(IFERROR(VLOOKUP($AH131,CODES,2,FALSE),"")&amp;IF($AI131=""," "," "&amp;$AI131&amp;"GA ")&amp;$AZ131&amp;" "&amp;IF($AN131="",IFERROR(VLOOKUP($Z131,CODES,2,FALSE),""),IFERROR(VLOOKUP($AN131,CODES,2,FALSE),""))&amp;IF($BC131=2," PAIR","")&amp;" DOOR | "&amp;IF($AL131="","?",$AL131)&amp;" | "&amp;IF($AP131="",IFERROR(VLOOKUP($AC131,CODES,2,FALSE),""),IFERROR(VLOOKUP($AP131,CODES,2,FALSE),""))&amp;" "&amp;IFERROR(VLOOKUP($AQ131,CODES,2,FALSE),"")&amp;IF(OR($AR131="",$AR131="-"),""," SEAM "&amp;$AR131)&amp;IF($AS131="Y"," ASTRAGAL","")&amp;IF($AJ131=""," "," "&amp;$AJ131)&amp;IF($AK131=""," "," "&amp;$AK131)&amp;IF($AO131="",""," "&amp;$AO131)&amp;IF($AM131=""," "," SERIES "&amp;$AM131)&amp;" "&amp;IFERROR(VLOOKUP($H131,CODES,2,FALSE),"")))</f>
        <v/>
      </c>
      <c r="BS131" s="49">
        <f>IF(BV131="","",IF(COUNTIF($BV$6:BV131,BV131)=1,MAX($BS$5:BS130)+1,INDEX($BS$5:BS130,MATCH(BV131,$BV$5:BV130,0))))</f>
        <v/>
      </c>
      <c r="BT131" s="49">
        <f>IF(NOT(AND($A131&lt;&gt;"",$C131&lt;&gt;"DOOR ONLY")),"",MAX($BT$5:BT130)+1)</f>
        <v/>
      </c>
      <c r="BU131" s="49">
        <f>IF(NOT(AND($A131&lt;&gt;"",N($BC131)&gt;0)),"",MAX($BU$5:BU130)+1)</f>
        <v/>
      </c>
      <c r="BV131" s="49">
        <f>IF(OR($A131="",$BA131="",$BB131=""),"",$AZ131&amp;"|"&amp;$O131&amp;"|"&amp;$AL131&amp;"|"&amp;$S131&amp;"|"&amp;$P131&amp;"|"&amp;$Q131&amp;$R131&amp;"|"&amp;$C131&amp;"|"&amp;$AB131)</f>
        <v/>
      </c>
      <c r="BW131" s="49">
        <f>IF($A131="","",IF($B131="","qty, ","")&amp;IF($C131="","scope, ","")&amp;IF(OR($K131="",$M131=""),"size, ","")&amp;IF(AND($A131&lt;&gt;"",$C131&lt;&gt;"DOOR ONLY"),IF($U131="","jamb depth, ","")&amp;IF($X131="","construction, ","")&amp;IF($Y131="","anchor, ","")&amp;IF($S131="","frame type, ",""),"")&amp;IF(AND(N($BC131)&gt;0,$Z131=""),"hand, ","")&amp;IF(N($BC131)&gt;0,IF($AH131="","door material, ","")&amp;IF($AL131="","face type, ","")&amp;IF($AQ131="","lock prep, ","")&amp;IF(AND($AP131="",$AC131=""),"hinge prep, ",""),"")&amp;IF(AND($BO131&gt;0,$AH131="FRP"),"FRP cannot carry a label, ","")&amp;IF(AND($O131="Y",OR($Z131="L",$Z131="R",$Z131="LR",$Z131="RR")),"pair marked but hand is single, ","")&amp;IF(AND($O131&lt;&gt;"Y",OR($Z131="PR",AND(LEN($Z131)&gt;1,ISNUMBER(SEARCH("-",$Z131))))),"pair hand on a single door, ","")&amp;IF(AND(ISNUMBER($BP131),$BO131&lt;N($BP131)),"wall needs a "&amp;$BP131&amp;" min door, ","")&amp;IF(AND($BO131&gt;=180,AND(OR($BL131="FG",$BL131="HG",$BL131="FNV",$BL131="FV"),N($BM131)*N($BN131)&gt;100)),"180 min lite over 100 sq in, ","")&amp;IF(N($BD131)&gt;48,"leaf wider than 4'-0"&amp;CHAR(34)&amp;", ",""))</f>
        <v/>
      </c>
      <c r="BX131" s="49">
        <f>IF($A131="","",IF(AND($BO131&gt;0,AND($A131&lt;&gt;"",$C131&lt;&gt;"DOOR ONLY"),$X131="KD",$E131="EXTERIOR"),"KD label on an exterior opening, ","")&amp;IF(AND($E131="EXTERIOR",OR(AND(AND($A131&lt;&gt;"",$C131&lt;&gt;"DOOR ONLY"),$W131="CR"),AND(N($BC131)&gt;0,$AH131="CR"))),"exterior in CR steel (G9?), ","")&amp;IF(AND(ISNUMBER($BJ131),N($BJ131)&lt;32),"clear width ~"&amp;TEXT($BJ131,"0.0")&amp;CHAR(34)&amp;" under 32"&amp;CHAR(34)&amp;" (ADA), ","")&amp;IF(AND($BO131=90,AND(OR($BL131="FG",$BL131="HG",$BL131="FNV",$BL131="FV"),N($BM131)*N($BN131)&gt;100)),"90 min lite over 100 sq in (stair/exit), ","")&amp;IF(AND($BO131&gt;0,AND($A131&lt;&gt;"",$C131&lt;&gt;"DOOR ONLY"),OR($AF131="",$AF131="-")),"rated: closer reinf.?, ","")&amp;IF(OR($I131="CORRIDOR",$I131="SMOKE BARRIER"),"S label + smoke gasketing, ","")&amp;IF($BP131="?","wall type/hr not in IBC table, ","")&amp;IF(AND(N($BC131)&gt;0,$AU131=""),"no hardware set, ","")&amp;IF(AND($AU131&lt;&gt;"",ISNA(MATCH($AU131,HWSets,0))),"set "&amp;$AU131&amp;" not on Hardware sheet, ","")&amp;IF(N($BE131)&gt;96,"leaf over 8'-0"&amp;CHAR(34)&amp;" - check listing, ",""))</f>
        <v/>
      </c>
    </row>
    <row r="132" ht="15" customHeight="1">
      <c r="A132" s="44" t="n"/>
      <c r="B132" s="45" t="n"/>
      <c r="C132" s="45" t="n"/>
      <c r="D132" s="45" t="n"/>
      <c r="E132" s="45" t="n"/>
      <c r="F132" s="45" t="n"/>
      <c r="G132" s="45" t="n"/>
      <c r="H132" s="45" t="n"/>
      <c r="I132" s="45" t="n"/>
      <c r="J132" s="45" t="n"/>
      <c r="K132" s="45" t="n"/>
      <c r="L132" s="45" t="n"/>
      <c r="M132" s="45" t="n"/>
      <c r="N132" s="45" t="n"/>
      <c r="O132" s="45" t="n"/>
      <c r="P132" s="45" t="n"/>
      <c r="Q132" s="45" t="n"/>
      <c r="R132" s="45" t="n"/>
      <c r="S132" s="46" t="n"/>
      <c r="T132" s="46" t="n"/>
      <c r="U132" s="46" t="n"/>
      <c r="V132" s="46" t="n"/>
      <c r="W132" s="46" t="n"/>
      <c r="X132" s="46" t="n"/>
      <c r="Y132" s="46" t="n"/>
      <c r="Z132" s="46" t="n"/>
      <c r="AA132" s="46" t="n"/>
      <c r="AB132" s="46" t="n"/>
      <c r="AC132" s="46" t="n"/>
      <c r="AD132" s="46" t="n"/>
      <c r="AE132" s="46" t="n"/>
      <c r="AF132" s="46" t="n"/>
      <c r="AG132" s="46" t="n"/>
      <c r="AH132" s="47" t="n"/>
      <c r="AI132" s="47" t="n"/>
      <c r="AJ132" s="47" t="n"/>
      <c r="AK132" s="47" t="n"/>
      <c r="AL132" s="47" t="n"/>
      <c r="AM132" s="47" t="n"/>
      <c r="AN132" s="47" t="n"/>
      <c r="AO132" s="47" t="n"/>
      <c r="AP132" s="47" t="n"/>
      <c r="AQ132" s="47" t="n"/>
      <c r="AR132" s="47" t="n"/>
      <c r="AS132" s="47" t="n"/>
      <c r="AT132" s="47" t="n"/>
      <c r="AU132" s="48" t="n"/>
      <c r="AV132" s="48" t="n"/>
      <c r="AW132" s="49">
        <f>IF($A132="","",IF($BW132&lt;&gt;"","FIX",IF($BX132&lt;&gt;"","CHECK","OK")))</f>
        <v/>
      </c>
      <c r="AX132" s="50">
        <f>IF($A132="","",IF($BW132&lt;&gt;"","FIX: "&amp;LEFT($BW132,LEN($BW132)-2)&amp;IF($BX132&lt;&gt;"","  ·  ",""),"")&amp;IF($BX132&lt;&gt;"","CHECK: "&amp;LEFT($BX132,LEN($BX132)-2),""))</f>
        <v/>
      </c>
      <c r="AY132" s="49">
        <f>IF(OR($A132="",$K132=""),"",$K132&amp;"'-"&amp;N($L132)&amp;CHAR(34)&amp;" x "&amp;$M132&amp;"'-"&amp;N($N132)&amp;CHAR(34))</f>
        <v/>
      </c>
      <c r="AZ132" s="49">
        <f>IF(OR($A132="",$K132=""),"",$K132&amp;N($L132)&amp;$M132&amp;N($N132))</f>
        <v/>
      </c>
      <c r="BA132" s="49">
        <f>IF(OR($A132="",$K132=""),"",$K132*12+N($L132))</f>
        <v/>
      </c>
      <c r="BB132" s="49">
        <f>IF(OR($A132="",$M132=""),"",$M132*12+N($N132))</f>
        <v/>
      </c>
      <c r="BC132" s="49">
        <f>IF($A132="","",IF(OR($C132="FRAME ONLY",$S132="BL"),0,IF($O132="Y",2,1)))</f>
        <v/>
      </c>
      <c r="BD132" s="51">
        <f>IF(OR(N($BC132)=0,$BA132=""),"",($BA132-2*EdgeClr-IF($BC132=2,MeetClr,0))/$BC132)</f>
        <v/>
      </c>
      <c r="BE132" s="51">
        <f>IF(OR(N($BC132)=0,$BB132=""),"",$BB132-HeadClr-Undercut)</f>
        <v/>
      </c>
      <c r="BF132" s="51">
        <f>IF($BA132="","",$BA132+2*FaceW+IF(N($Q132)&gt;0,($Q132+FaceW)*IF($R132="LR",2,1),0))</f>
        <v/>
      </c>
      <c r="BG132" s="51">
        <f>IF($BB132="","",$BB132+IF($AB132="Y",4,FaceW)+IF(N($P132)&gt;0,$P132+FaceW,0)+IF(OR($S132="4F",$S132="BL"),FaceW,0))</f>
        <v/>
      </c>
      <c r="BH132" s="51">
        <f>IF($BF132="","",$BF132+2*ROSide)</f>
        <v/>
      </c>
      <c r="BI132" s="51">
        <f>IF($BG132="","",$BG132+ROTop)</f>
        <v/>
      </c>
      <c r="BJ132" s="52">
        <f>IF(OR(N($BC132)=0,$BA132=""),"",$BA132/$BC132-ClearDeduct)</f>
        <v/>
      </c>
      <c r="BK132" s="49">
        <f>IF(OR(N($BC132)=0,$BE132=""),"",IF(OR($AC132="HGC",$AP132="HGC"),"CONT",IF($BE132&lt;=60,2,IF($BE132&lt;=90,3,IF($BE132&lt;=120,4,5)))))</f>
        <v/>
      </c>
      <c r="BL132" s="49">
        <f>IF(N($BC132)=0,"",IF(OR($AL132="",$AL132="FLUSH"),"FLUSH",IFERROR(LEFT($AL132,FIND("-",$AL132)-1),LEFT($AL132,2))))</f>
        <v/>
      </c>
      <c r="BM132" s="49">
        <f>IF($BL132="","",IFERROR(VALUE(MID($AL132,FIND("-",$AL132)+1,FIND(CHAR(34)&amp;"x",$AL132)-FIND("-",$AL132)-1)),0))</f>
        <v/>
      </c>
      <c r="BN132" s="49">
        <f>IF($BL132="","",IFERROR(VALUE(MID($AL132,FIND(CHAR(34)&amp;"x",$AL132)+2,FIND(CHAR(34),$AL132,FIND(CHAR(34)&amp;"x",$AL132)+2)-FIND(CHAR(34)&amp;"x",$AL132)-2)),0))</f>
        <v/>
      </c>
      <c r="BO132" s="53">
        <f>IF(OR($A132="",$H132="",$H132="NO LAB"),0,IFERROR(VALUE(LEFT($H132,FIND(" ",$H132)-1)),0))</f>
        <v/>
      </c>
      <c r="BP132" s="54">
        <f>IF(OR($A132="",$I132="",$I132="NON-RATED",N($J132)=0),"",IFERROR(VLOOKUP($I132&amp;"|"&amp;$J132,IBC,2,FALSE),"?"))</f>
        <v/>
      </c>
      <c r="BQ132" s="50">
        <f>IF(NOT(AND($A132&lt;&gt;"",$C132&lt;&gt;"DOOR ONLY")),"",TRIM(IFERROR(VLOOKUP($U132,CODES,2,FALSE),"")&amp;" "&amp;$AZ132&amp;" "&amp;IFERROR(VLOOKUP($Z132,CODES,2,FALSE),"")&amp;" "&amp;IFERROR(VLOOKUP($X132,CODES,2,FALSE),"")&amp;" "&amp;IFERROR(VLOOKUP($S132,CODES,2,FALSE),"")&amp;IF(N($P132)&gt;0," w/TRANSOM "&amp;$P132&amp;CHAR(34),"")&amp;IF(N($Q132)&gt;0," w/SIDELITE "&amp;$Q132&amp;CHAR(34)&amp;" "&amp;IF($R132="","R",$R132),"")&amp;IF($Y132="","  |  "," | "&amp;IFERROR(VLOOKUP($Y132,CODES,2,FALSE),"")&amp;" | ")&amp;IFERROR(VLOOKUP($AC132,CODES,2,FALSE),"")&amp;" "&amp;IFERROR(VLOOKUP($AD132,CODES,2,FALSE),"")&amp;IF(OR($AE132="",$AE132="-"),""," "&amp;$AE132)&amp;IF(OR($AF132="",$AF132="-"),""," "&amp;$AF132)&amp;IF($AB132="Y"," 4"&amp;CHAR(34)&amp;" HEAD","")&amp;" "&amp;IFERROR(VLOOKUP($H132,CODES,2,FALSE),"")))</f>
        <v/>
      </c>
      <c r="BR132" s="50">
        <f>IF(NOT(AND($A132&lt;&gt;"",N($BC132)&gt;0)),"",TRIM(IFERROR(VLOOKUP($AH132,CODES,2,FALSE),"")&amp;IF($AI132=""," "," "&amp;$AI132&amp;"GA ")&amp;$AZ132&amp;" "&amp;IF($AN132="",IFERROR(VLOOKUP($Z132,CODES,2,FALSE),""),IFERROR(VLOOKUP($AN132,CODES,2,FALSE),""))&amp;IF($BC132=2," PAIR","")&amp;" DOOR | "&amp;IF($AL132="","?",$AL132)&amp;" | "&amp;IF($AP132="",IFERROR(VLOOKUP($AC132,CODES,2,FALSE),""),IFERROR(VLOOKUP($AP132,CODES,2,FALSE),""))&amp;" "&amp;IFERROR(VLOOKUP($AQ132,CODES,2,FALSE),"")&amp;IF(OR($AR132="",$AR132="-"),""," SEAM "&amp;$AR132)&amp;IF($AS132="Y"," ASTRAGAL","")&amp;IF($AJ132=""," "," "&amp;$AJ132)&amp;IF($AK132=""," "," "&amp;$AK132)&amp;IF($AO132="",""," "&amp;$AO132)&amp;IF($AM132=""," "," SERIES "&amp;$AM132)&amp;" "&amp;IFERROR(VLOOKUP($H132,CODES,2,FALSE),"")))</f>
        <v/>
      </c>
      <c r="BS132" s="49">
        <f>IF(BV132="","",IF(COUNTIF($BV$6:BV132,BV132)=1,MAX($BS$5:BS131)+1,INDEX($BS$5:BS131,MATCH(BV132,$BV$5:BV131,0))))</f>
        <v/>
      </c>
      <c r="BT132" s="49">
        <f>IF(NOT(AND($A132&lt;&gt;"",$C132&lt;&gt;"DOOR ONLY")),"",MAX($BT$5:BT131)+1)</f>
        <v/>
      </c>
      <c r="BU132" s="49">
        <f>IF(NOT(AND($A132&lt;&gt;"",N($BC132)&gt;0)),"",MAX($BU$5:BU131)+1)</f>
        <v/>
      </c>
      <c r="BV132" s="49">
        <f>IF(OR($A132="",$BA132="",$BB132=""),"",$AZ132&amp;"|"&amp;$O132&amp;"|"&amp;$AL132&amp;"|"&amp;$S132&amp;"|"&amp;$P132&amp;"|"&amp;$Q132&amp;$R132&amp;"|"&amp;$C132&amp;"|"&amp;$AB132)</f>
        <v/>
      </c>
      <c r="BW132" s="49">
        <f>IF($A132="","",IF($B132="","qty, ","")&amp;IF($C132="","scope, ","")&amp;IF(OR($K132="",$M132=""),"size, ","")&amp;IF(AND($A132&lt;&gt;"",$C132&lt;&gt;"DOOR ONLY"),IF($U132="","jamb depth, ","")&amp;IF($X132="","construction, ","")&amp;IF($Y132="","anchor, ","")&amp;IF($S132="","frame type, ",""),"")&amp;IF(AND(N($BC132)&gt;0,$Z132=""),"hand, ","")&amp;IF(N($BC132)&gt;0,IF($AH132="","door material, ","")&amp;IF($AL132="","face type, ","")&amp;IF($AQ132="","lock prep, ","")&amp;IF(AND($AP132="",$AC132=""),"hinge prep, ",""),"")&amp;IF(AND($BO132&gt;0,$AH132="FRP"),"FRP cannot carry a label, ","")&amp;IF(AND($O132="Y",OR($Z132="L",$Z132="R",$Z132="LR",$Z132="RR")),"pair marked but hand is single, ","")&amp;IF(AND($O132&lt;&gt;"Y",OR($Z132="PR",AND(LEN($Z132)&gt;1,ISNUMBER(SEARCH("-",$Z132))))),"pair hand on a single door, ","")&amp;IF(AND(ISNUMBER($BP132),$BO132&lt;N($BP132)),"wall needs a "&amp;$BP132&amp;" min door, ","")&amp;IF(AND($BO132&gt;=180,AND(OR($BL132="FG",$BL132="HG",$BL132="FNV",$BL132="FV"),N($BM132)*N($BN132)&gt;100)),"180 min lite over 100 sq in, ","")&amp;IF(N($BD132)&gt;48,"leaf wider than 4'-0"&amp;CHAR(34)&amp;", ",""))</f>
        <v/>
      </c>
      <c r="BX132" s="49">
        <f>IF($A132="","",IF(AND($BO132&gt;0,AND($A132&lt;&gt;"",$C132&lt;&gt;"DOOR ONLY"),$X132="KD",$E132="EXTERIOR"),"KD label on an exterior opening, ","")&amp;IF(AND($E132="EXTERIOR",OR(AND(AND($A132&lt;&gt;"",$C132&lt;&gt;"DOOR ONLY"),$W132="CR"),AND(N($BC132)&gt;0,$AH132="CR"))),"exterior in CR steel (G9?), ","")&amp;IF(AND(ISNUMBER($BJ132),N($BJ132)&lt;32),"clear width ~"&amp;TEXT($BJ132,"0.0")&amp;CHAR(34)&amp;" under 32"&amp;CHAR(34)&amp;" (ADA), ","")&amp;IF(AND($BO132=90,AND(OR($BL132="FG",$BL132="HG",$BL132="FNV",$BL132="FV"),N($BM132)*N($BN132)&gt;100)),"90 min lite over 100 sq in (stair/exit), ","")&amp;IF(AND($BO132&gt;0,AND($A132&lt;&gt;"",$C132&lt;&gt;"DOOR ONLY"),OR($AF132="",$AF132="-")),"rated: closer reinf.?, ","")&amp;IF(OR($I132="CORRIDOR",$I132="SMOKE BARRIER"),"S label + smoke gasketing, ","")&amp;IF($BP132="?","wall type/hr not in IBC table, ","")&amp;IF(AND(N($BC132)&gt;0,$AU132=""),"no hardware set, ","")&amp;IF(AND($AU132&lt;&gt;"",ISNA(MATCH($AU132,HWSets,0))),"set "&amp;$AU132&amp;" not on Hardware sheet, ","")&amp;IF(N($BE132)&gt;96,"leaf over 8'-0"&amp;CHAR(34)&amp;" - check listing, ",""))</f>
        <v/>
      </c>
    </row>
    <row r="133" ht="15" customHeight="1">
      <c r="A133" s="44" t="n"/>
      <c r="B133" s="45" t="n"/>
      <c r="C133" s="45" t="n"/>
      <c r="D133" s="45" t="n"/>
      <c r="E133" s="45" t="n"/>
      <c r="F133" s="45" t="n"/>
      <c r="G133" s="45" t="n"/>
      <c r="H133" s="45" t="n"/>
      <c r="I133" s="45" t="n"/>
      <c r="J133" s="45" t="n"/>
      <c r="K133" s="45" t="n"/>
      <c r="L133" s="45" t="n"/>
      <c r="M133" s="45" t="n"/>
      <c r="N133" s="45" t="n"/>
      <c r="O133" s="45" t="n"/>
      <c r="P133" s="45" t="n"/>
      <c r="Q133" s="45" t="n"/>
      <c r="R133" s="45" t="n"/>
      <c r="S133" s="46" t="n"/>
      <c r="T133" s="46" t="n"/>
      <c r="U133" s="46" t="n"/>
      <c r="V133" s="46" t="n"/>
      <c r="W133" s="46" t="n"/>
      <c r="X133" s="46" t="n"/>
      <c r="Y133" s="46" t="n"/>
      <c r="Z133" s="46" t="n"/>
      <c r="AA133" s="46" t="n"/>
      <c r="AB133" s="46" t="n"/>
      <c r="AC133" s="46" t="n"/>
      <c r="AD133" s="46" t="n"/>
      <c r="AE133" s="46" t="n"/>
      <c r="AF133" s="46" t="n"/>
      <c r="AG133" s="46" t="n"/>
      <c r="AH133" s="47" t="n"/>
      <c r="AI133" s="47" t="n"/>
      <c r="AJ133" s="47" t="n"/>
      <c r="AK133" s="47" t="n"/>
      <c r="AL133" s="47" t="n"/>
      <c r="AM133" s="47" t="n"/>
      <c r="AN133" s="47" t="n"/>
      <c r="AO133" s="47" t="n"/>
      <c r="AP133" s="47" t="n"/>
      <c r="AQ133" s="47" t="n"/>
      <c r="AR133" s="47" t="n"/>
      <c r="AS133" s="47" t="n"/>
      <c r="AT133" s="47" t="n"/>
      <c r="AU133" s="48" t="n"/>
      <c r="AV133" s="48" t="n"/>
      <c r="AW133" s="49">
        <f>IF($A133="","",IF($BW133&lt;&gt;"","FIX",IF($BX133&lt;&gt;"","CHECK","OK")))</f>
        <v/>
      </c>
      <c r="AX133" s="50">
        <f>IF($A133="","",IF($BW133&lt;&gt;"","FIX: "&amp;LEFT($BW133,LEN($BW133)-2)&amp;IF($BX133&lt;&gt;"","  ·  ",""),"")&amp;IF($BX133&lt;&gt;"","CHECK: "&amp;LEFT($BX133,LEN($BX133)-2),""))</f>
        <v/>
      </c>
      <c r="AY133" s="49">
        <f>IF(OR($A133="",$K133=""),"",$K133&amp;"'-"&amp;N($L133)&amp;CHAR(34)&amp;" x "&amp;$M133&amp;"'-"&amp;N($N133)&amp;CHAR(34))</f>
        <v/>
      </c>
      <c r="AZ133" s="49">
        <f>IF(OR($A133="",$K133=""),"",$K133&amp;N($L133)&amp;$M133&amp;N($N133))</f>
        <v/>
      </c>
      <c r="BA133" s="49">
        <f>IF(OR($A133="",$K133=""),"",$K133*12+N($L133))</f>
        <v/>
      </c>
      <c r="BB133" s="49">
        <f>IF(OR($A133="",$M133=""),"",$M133*12+N($N133))</f>
        <v/>
      </c>
      <c r="BC133" s="49">
        <f>IF($A133="","",IF(OR($C133="FRAME ONLY",$S133="BL"),0,IF($O133="Y",2,1)))</f>
        <v/>
      </c>
      <c r="BD133" s="51">
        <f>IF(OR(N($BC133)=0,$BA133=""),"",($BA133-2*EdgeClr-IF($BC133=2,MeetClr,0))/$BC133)</f>
        <v/>
      </c>
      <c r="BE133" s="51">
        <f>IF(OR(N($BC133)=0,$BB133=""),"",$BB133-HeadClr-Undercut)</f>
        <v/>
      </c>
      <c r="BF133" s="51">
        <f>IF($BA133="","",$BA133+2*FaceW+IF(N($Q133)&gt;0,($Q133+FaceW)*IF($R133="LR",2,1),0))</f>
        <v/>
      </c>
      <c r="BG133" s="51">
        <f>IF($BB133="","",$BB133+IF($AB133="Y",4,FaceW)+IF(N($P133)&gt;0,$P133+FaceW,0)+IF(OR($S133="4F",$S133="BL"),FaceW,0))</f>
        <v/>
      </c>
      <c r="BH133" s="51">
        <f>IF($BF133="","",$BF133+2*ROSide)</f>
        <v/>
      </c>
      <c r="BI133" s="51">
        <f>IF($BG133="","",$BG133+ROTop)</f>
        <v/>
      </c>
      <c r="BJ133" s="52">
        <f>IF(OR(N($BC133)=0,$BA133=""),"",$BA133/$BC133-ClearDeduct)</f>
        <v/>
      </c>
      <c r="BK133" s="49">
        <f>IF(OR(N($BC133)=0,$BE133=""),"",IF(OR($AC133="HGC",$AP133="HGC"),"CONT",IF($BE133&lt;=60,2,IF($BE133&lt;=90,3,IF($BE133&lt;=120,4,5)))))</f>
        <v/>
      </c>
      <c r="BL133" s="49">
        <f>IF(N($BC133)=0,"",IF(OR($AL133="",$AL133="FLUSH"),"FLUSH",IFERROR(LEFT($AL133,FIND("-",$AL133)-1),LEFT($AL133,2))))</f>
        <v/>
      </c>
      <c r="BM133" s="49">
        <f>IF($BL133="","",IFERROR(VALUE(MID($AL133,FIND("-",$AL133)+1,FIND(CHAR(34)&amp;"x",$AL133)-FIND("-",$AL133)-1)),0))</f>
        <v/>
      </c>
      <c r="BN133" s="49">
        <f>IF($BL133="","",IFERROR(VALUE(MID($AL133,FIND(CHAR(34)&amp;"x",$AL133)+2,FIND(CHAR(34),$AL133,FIND(CHAR(34)&amp;"x",$AL133)+2)-FIND(CHAR(34)&amp;"x",$AL133)-2)),0))</f>
        <v/>
      </c>
      <c r="BO133" s="53">
        <f>IF(OR($A133="",$H133="",$H133="NO LAB"),0,IFERROR(VALUE(LEFT($H133,FIND(" ",$H133)-1)),0))</f>
        <v/>
      </c>
      <c r="BP133" s="54">
        <f>IF(OR($A133="",$I133="",$I133="NON-RATED",N($J133)=0),"",IFERROR(VLOOKUP($I133&amp;"|"&amp;$J133,IBC,2,FALSE),"?"))</f>
        <v/>
      </c>
      <c r="BQ133" s="50">
        <f>IF(NOT(AND($A133&lt;&gt;"",$C133&lt;&gt;"DOOR ONLY")),"",TRIM(IFERROR(VLOOKUP($U133,CODES,2,FALSE),"")&amp;" "&amp;$AZ133&amp;" "&amp;IFERROR(VLOOKUP($Z133,CODES,2,FALSE),"")&amp;" "&amp;IFERROR(VLOOKUP($X133,CODES,2,FALSE),"")&amp;" "&amp;IFERROR(VLOOKUP($S133,CODES,2,FALSE),"")&amp;IF(N($P133)&gt;0," w/TRANSOM "&amp;$P133&amp;CHAR(34),"")&amp;IF(N($Q133)&gt;0," w/SIDELITE "&amp;$Q133&amp;CHAR(34)&amp;" "&amp;IF($R133="","R",$R133),"")&amp;IF($Y133="","  |  "," | "&amp;IFERROR(VLOOKUP($Y133,CODES,2,FALSE),"")&amp;" | ")&amp;IFERROR(VLOOKUP($AC133,CODES,2,FALSE),"")&amp;" "&amp;IFERROR(VLOOKUP($AD133,CODES,2,FALSE),"")&amp;IF(OR($AE133="",$AE133="-"),""," "&amp;$AE133)&amp;IF(OR($AF133="",$AF133="-"),""," "&amp;$AF133)&amp;IF($AB133="Y"," 4"&amp;CHAR(34)&amp;" HEAD","")&amp;" "&amp;IFERROR(VLOOKUP($H133,CODES,2,FALSE),"")))</f>
        <v/>
      </c>
      <c r="BR133" s="50">
        <f>IF(NOT(AND($A133&lt;&gt;"",N($BC133)&gt;0)),"",TRIM(IFERROR(VLOOKUP($AH133,CODES,2,FALSE),"")&amp;IF($AI133=""," "," "&amp;$AI133&amp;"GA ")&amp;$AZ133&amp;" "&amp;IF($AN133="",IFERROR(VLOOKUP($Z133,CODES,2,FALSE),""),IFERROR(VLOOKUP($AN133,CODES,2,FALSE),""))&amp;IF($BC133=2," PAIR","")&amp;" DOOR | "&amp;IF($AL133="","?",$AL133)&amp;" | "&amp;IF($AP133="",IFERROR(VLOOKUP($AC133,CODES,2,FALSE),""),IFERROR(VLOOKUP($AP133,CODES,2,FALSE),""))&amp;" "&amp;IFERROR(VLOOKUP($AQ133,CODES,2,FALSE),"")&amp;IF(OR($AR133="",$AR133="-"),""," SEAM "&amp;$AR133)&amp;IF($AS133="Y"," ASTRAGAL","")&amp;IF($AJ133=""," "," "&amp;$AJ133)&amp;IF($AK133=""," "," "&amp;$AK133)&amp;IF($AO133="",""," "&amp;$AO133)&amp;IF($AM133=""," "," SERIES "&amp;$AM133)&amp;" "&amp;IFERROR(VLOOKUP($H133,CODES,2,FALSE),"")))</f>
        <v/>
      </c>
      <c r="BS133" s="49">
        <f>IF(BV133="","",IF(COUNTIF($BV$6:BV133,BV133)=1,MAX($BS$5:BS132)+1,INDEX($BS$5:BS132,MATCH(BV133,$BV$5:BV132,0))))</f>
        <v/>
      </c>
      <c r="BT133" s="49">
        <f>IF(NOT(AND($A133&lt;&gt;"",$C133&lt;&gt;"DOOR ONLY")),"",MAX($BT$5:BT132)+1)</f>
        <v/>
      </c>
      <c r="BU133" s="49">
        <f>IF(NOT(AND($A133&lt;&gt;"",N($BC133)&gt;0)),"",MAX($BU$5:BU132)+1)</f>
        <v/>
      </c>
      <c r="BV133" s="49">
        <f>IF(OR($A133="",$BA133="",$BB133=""),"",$AZ133&amp;"|"&amp;$O133&amp;"|"&amp;$AL133&amp;"|"&amp;$S133&amp;"|"&amp;$P133&amp;"|"&amp;$Q133&amp;$R133&amp;"|"&amp;$C133&amp;"|"&amp;$AB133)</f>
        <v/>
      </c>
      <c r="BW133" s="49">
        <f>IF($A133="","",IF($B133="","qty, ","")&amp;IF($C133="","scope, ","")&amp;IF(OR($K133="",$M133=""),"size, ","")&amp;IF(AND($A133&lt;&gt;"",$C133&lt;&gt;"DOOR ONLY"),IF($U133="","jamb depth, ","")&amp;IF($X133="","construction, ","")&amp;IF($Y133="","anchor, ","")&amp;IF($S133="","frame type, ",""),"")&amp;IF(AND(N($BC133)&gt;0,$Z133=""),"hand, ","")&amp;IF(N($BC133)&gt;0,IF($AH133="","door material, ","")&amp;IF($AL133="","face type, ","")&amp;IF($AQ133="","lock prep, ","")&amp;IF(AND($AP133="",$AC133=""),"hinge prep, ",""),"")&amp;IF(AND($BO133&gt;0,$AH133="FRP"),"FRP cannot carry a label, ","")&amp;IF(AND($O133="Y",OR($Z133="L",$Z133="R",$Z133="LR",$Z133="RR")),"pair marked but hand is single, ","")&amp;IF(AND($O133&lt;&gt;"Y",OR($Z133="PR",AND(LEN($Z133)&gt;1,ISNUMBER(SEARCH("-",$Z133))))),"pair hand on a single door, ","")&amp;IF(AND(ISNUMBER($BP133),$BO133&lt;N($BP133)),"wall needs a "&amp;$BP133&amp;" min door, ","")&amp;IF(AND($BO133&gt;=180,AND(OR($BL133="FG",$BL133="HG",$BL133="FNV",$BL133="FV"),N($BM133)*N($BN133)&gt;100)),"180 min lite over 100 sq in, ","")&amp;IF(N($BD133)&gt;48,"leaf wider than 4'-0"&amp;CHAR(34)&amp;", ",""))</f>
        <v/>
      </c>
      <c r="BX133" s="49">
        <f>IF($A133="","",IF(AND($BO133&gt;0,AND($A133&lt;&gt;"",$C133&lt;&gt;"DOOR ONLY"),$X133="KD",$E133="EXTERIOR"),"KD label on an exterior opening, ","")&amp;IF(AND($E133="EXTERIOR",OR(AND(AND($A133&lt;&gt;"",$C133&lt;&gt;"DOOR ONLY"),$W133="CR"),AND(N($BC133)&gt;0,$AH133="CR"))),"exterior in CR steel (G9?), ","")&amp;IF(AND(ISNUMBER($BJ133),N($BJ133)&lt;32),"clear width ~"&amp;TEXT($BJ133,"0.0")&amp;CHAR(34)&amp;" under 32"&amp;CHAR(34)&amp;" (ADA), ","")&amp;IF(AND($BO133=90,AND(OR($BL133="FG",$BL133="HG",$BL133="FNV",$BL133="FV"),N($BM133)*N($BN133)&gt;100)),"90 min lite over 100 sq in (stair/exit), ","")&amp;IF(AND($BO133&gt;0,AND($A133&lt;&gt;"",$C133&lt;&gt;"DOOR ONLY"),OR($AF133="",$AF133="-")),"rated: closer reinf.?, ","")&amp;IF(OR($I133="CORRIDOR",$I133="SMOKE BARRIER"),"S label + smoke gasketing, ","")&amp;IF($BP133="?","wall type/hr not in IBC table, ","")&amp;IF(AND(N($BC133)&gt;0,$AU133=""),"no hardware set, ","")&amp;IF(AND($AU133&lt;&gt;"",ISNA(MATCH($AU133,HWSets,0))),"set "&amp;$AU133&amp;" not on Hardware sheet, ","")&amp;IF(N($BE133)&gt;96,"leaf over 8'-0"&amp;CHAR(34)&amp;" - check listing, ",""))</f>
        <v/>
      </c>
    </row>
    <row r="134" ht="15" customHeight="1">
      <c r="A134" s="44" t="n"/>
      <c r="B134" s="45" t="n"/>
      <c r="C134" s="45" t="n"/>
      <c r="D134" s="45" t="n"/>
      <c r="E134" s="45" t="n"/>
      <c r="F134" s="45" t="n"/>
      <c r="G134" s="45" t="n"/>
      <c r="H134" s="45" t="n"/>
      <c r="I134" s="45" t="n"/>
      <c r="J134" s="45" t="n"/>
      <c r="K134" s="45" t="n"/>
      <c r="L134" s="45" t="n"/>
      <c r="M134" s="45" t="n"/>
      <c r="N134" s="45" t="n"/>
      <c r="O134" s="45" t="n"/>
      <c r="P134" s="45" t="n"/>
      <c r="Q134" s="45" t="n"/>
      <c r="R134" s="45" t="n"/>
      <c r="S134" s="46" t="n"/>
      <c r="T134" s="46" t="n"/>
      <c r="U134" s="46" t="n"/>
      <c r="V134" s="46" t="n"/>
      <c r="W134" s="46" t="n"/>
      <c r="X134" s="46" t="n"/>
      <c r="Y134" s="46" t="n"/>
      <c r="Z134" s="46" t="n"/>
      <c r="AA134" s="46" t="n"/>
      <c r="AB134" s="46" t="n"/>
      <c r="AC134" s="46" t="n"/>
      <c r="AD134" s="46" t="n"/>
      <c r="AE134" s="46" t="n"/>
      <c r="AF134" s="46" t="n"/>
      <c r="AG134" s="46" t="n"/>
      <c r="AH134" s="47" t="n"/>
      <c r="AI134" s="47" t="n"/>
      <c r="AJ134" s="47" t="n"/>
      <c r="AK134" s="47" t="n"/>
      <c r="AL134" s="47" t="n"/>
      <c r="AM134" s="47" t="n"/>
      <c r="AN134" s="47" t="n"/>
      <c r="AO134" s="47" t="n"/>
      <c r="AP134" s="47" t="n"/>
      <c r="AQ134" s="47" t="n"/>
      <c r="AR134" s="47" t="n"/>
      <c r="AS134" s="47" t="n"/>
      <c r="AT134" s="47" t="n"/>
      <c r="AU134" s="48" t="n"/>
      <c r="AV134" s="48" t="n"/>
      <c r="AW134" s="49">
        <f>IF($A134="","",IF($BW134&lt;&gt;"","FIX",IF($BX134&lt;&gt;"","CHECK","OK")))</f>
        <v/>
      </c>
      <c r="AX134" s="50">
        <f>IF($A134="","",IF($BW134&lt;&gt;"","FIX: "&amp;LEFT($BW134,LEN($BW134)-2)&amp;IF($BX134&lt;&gt;"","  ·  ",""),"")&amp;IF($BX134&lt;&gt;"","CHECK: "&amp;LEFT($BX134,LEN($BX134)-2),""))</f>
        <v/>
      </c>
      <c r="AY134" s="49">
        <f>IF(OR($A134="",$K134=""),"",$K134&amp;"'-"&amp;N($L134)&amp;CHAR(34)&amp;" x "&amp;$M134&amp;"'-"&amp;N($N134)&amp;CHAR(34))</f>
        <v/>
      </c>
      <c r="AZ134" s="49">
        <f>IF(OR($A134="",$K134=""),"",$K134&amp;N($L134)&amp;$M134&amp;N($N134))</f>
        <v/>
      </c>
      <c r="BA134" s="49">
        <f>IF(OR($A134="",$K134=""),"",$K134*12+N($L134))</f>
        <v/>
      </c>
      <c r="BB134" s="49">
        <f>IF(OR($A134="",$M134=""),"",$M134*12+N($N134))</f>
        <v/>
      </c>
      <c r="BC134" s="49">
        <f>IF($A134="","",IF(OR($C134="FRAME ONLY",$S134="BL"),0,IF($O134="Y",2,1)))</f>
        <v/>
      </c>
      <c r="BD134" s="51">
        <f>IF(OR(N($BC134)=0,$BA134=""),"",($BA134-2*EdgeClr-IF($BC134=2,MeetClr,0))/$BC134)</f>
        <v/>
      </c>
      <c r="BE134" s="51">
        <f>IF(OR(N($BC134)=0,$BB134=""),"",$BB134-HeadClr-Undercut)</f>
        <v/>
      </c>
      <c r="BF134" s="51">
        <f>IF($BA134="","",$BA134+2*FaceW+IF(N($Q134)&gt;0,($Q134+FaceW)*IF($R134="LR",2,1),0))</f>
        <v/>
      </c>
      <c r="BG134" s="51">
        <f>IF($BB134="","",$BB134+IF($AB134="Y",4,FaceW)+IF(N($P134)&gt;0,$P134+FaceW,0)+IF(OR($S134="4F",$S134="BL"),FaceW,0))</f>
        <v/>
      </c>
      <c r="BH134" s="51">
        <f>IF($BF134="","",$BF134+2*ROSide)</f>
        <v/>
      </c>
      <c r="BI134" s="51">
        <f>IF($BG134="","",$BG134+ROTop)</f>
        <v/>
      </c>
      <c r="BJ134" s="52">
        <f>IF(OR(N($BC134)=0,$BA134=""),"",$BA134/$BC134-ClearDeduct)</f>
        <v/>
      </c>
      <c r="BK134" s="49">
        <f>IF(OR(N($BC134)=0,$BE134=""),"",IF(OR($AC134="HGC",$AP134="HGC"),"CONT",IF($BE134&lt;=60,2,IF($BE134&lt;=90,3,IF($BE134&lt;=120,4,5)))))</f>
        <v/>
      </c>
      <c r="BL134" s="49">
        <f>IF(N($BC134)=0,"",IF(OR($AL134="",$AL134="FLUSH"),"FLUSH",IFERROR(LEFT($AL134,FIND("-",$AL134)-1),LEFT($AL134,2))))</f>
        <v/>
      </c>
      <c r="BM134" s="49">
        <f>IF($BL134="","",IFERROR(VALUE(MID($AL134,FIND("-",$AL134)+1,FIND(CHAR(34)&amp;"x",$AL134)-FIND("-",$AL134)-1)),0))</f>
        <v/>
      </c>
      <c r="BN134" s="49">
        <f>IF($BL134="","",IFERROR(VALUE(MID($AL134,FIND(CHAR(34)&amp;"x",$AL134)+2,FIND(CHAR(34),$AL134,FIND(CHAR(34)&amp;"x",$AL134)+2)-FIND(CHAR(34)&amp;"x",$AL134)-2)),0))</f>
        <v/>
      </c>
      <c r="BO134" s="53">
        <f>IF(OR($A134="",$H134="",$H134="NO LAB"),0,IFERROR(VALUE(LEFT($H134,FIND(" ",$H134)-1)),0))</f>
        <v/>
      </c>
      <c r="BP134" s="54">
        <f>IF(OR($A134="",$I134="",$I134="NON-RATED",N($J134)=0),"",IFERROR(VLOOKUP($I134&amp;"|"&amp;$J134,IBC,2,FALSE),"?"))</f>
        <v/>
      </c>
      <c r="BQ134" s="50">
        <f>IF(NOT(AND($A134&lt;&gt;"",$C134&lt;&gt;"DOOR ONLY")),"",TRIM(IFERROR(VLOOKUP($U134,CODES,2,FALSE),"")&amp;" "&amp;$AZ134&amp;" "&amp;IFERROR(VLOOKUP($Z134,CODES,2,FALSE),"")&amp;" "&amp;IFERROR(VLOOKUP($X134,CODES,2,FALSE),"")&amp;" "&amp;IFERROR(VLOOKUP($S134,CODES,2,FALSE),"")&amp;IF(N($P134)&gt;0," w/TRANSOM "&amp;$P134&amp;CHAR(34),"")&amp;IF(N($Q134)&gt;0," w/SIDELITE "&amp;$Q134&amp;CHAR(34)&amp;" "&amp;IF($R134="","R",$R134),"")&amp;IF($Y134="","  |  "," | "&amp;IFERROR(VLOOKUP($Y134,CODES,2,FALSE),"")&amp;" | ")&amp;IFERROR(VLOOKUP($AC134,CODES,2,FALSE),"")&amp;" "&amp;IFERROR(VLOOKUP($AD134,CODES,2,FALSE),"")&amp;IF(OR($AE134="",$AE134="-"),""," "&amp;$AE134)&amp;IF(OR($AF134="",$AF134="-"),""," "&amp;$AF134)&amp;IF($AB134="Y"," 4"&amp;CHAR(34)&amp;" HEAD","")&amp;" "&amp;IFERROR(VLOOKUP($H134,CODES,2,FALSE),"")))</f>
        <v/>
      </c>
      <c r="BR134" s="50">
        <f>IF(NOT(AND($A134&lt;&gt;"",N($BC134)&gt;0)),"",TRIM(IFERROR(VLOOKUP($AH134,CODES,2,FALSE),"")&amp;IF($AI134=""," "," "&amp;$AI134&amp;"GA ")&amp;$AZ134&amp;" "&amp;IF($AN134="",IFERROR(VLOOKUP($Z134,CODES,2,FALSE),""),IFERROR(VLOOKUP($AN134,CODES,2,FALSE),""))&amp;IF($BC134=2," PAIR","")&amp;" DOOR | "&amp;IF($AL134="","?",$AL134)&amp;" | "&amp;IF($AP134="",IFERROR(VLOOKUP($AC134,CODES,2,FALSE),""),IFERROR(VLOOKUP($AP134,CODES,2,FALSE),""))&amp;" "&amp;IFERROR(VLOOKUP($AQ134,CODES,2,FALSE),"")&amp;IF(OR($AR134="",$AR134="-"),""," SEAM "&amp;$AR134)&amp;IF($AS134="Y"," ASTRAGAL","")&amp;IF($AJ134=""," "," "&amp;$AJ134)&amp;IF($AK134=""," "," "&amp;$AK134)&amp;IF($AO134="",""," "&amp;$AO134)&amp;IF($AM134=""," "," SERIES "&amp;$AM134)&amp;" "&amp;IFERROR(VLOOKUP($H134,CODES,2,FALSE),"")))</f>
        <v/>
      </c>
      <c r="BS134" s="49">
        <f>IF(BV134="","",IF(COUNTIF($BV$6:BV134,BV134)=1,MAX($BS$5:BS133)+1,INDEX($BS$5:BS133,MATCH(BV134,$BV$5:BV133,0))))</f>
        <v/>
      </c>
      <c r="BT134" s="49">
        <f>IF(NOT(AND($A134&lt;&gt;"",$C134&lt;&gt;"DOOR ONLY")),"",MAX($BT$5:BT133)+1)</f>
        <v/>
      </c>
      <c r="BU134" s="49">
        <f>IF(NOT(AND($A134&lt;&gt;"",N($BC134)&gt;0)),"",MAX($BU$5:BU133)+1)</f>
        <v/>
      </c>
      <c r="BV134" s="49">
        <f>IF(OR($A134="",$BA134="",$BB134=""),"",$AZ134&amp;"|"&amp;$O134&amp;"|"&amp;$AL134&amp;"|"&amp;$S134&amp;"|"&amp;$P134&amp;"|"&amp;$Q134&amp;$R134&amp;"|"&amp;$C134&amp;"|"&amp;$AB134)</f>
        <v/>
      </c>
      <c r="BW134" s="49">
        <f>IF($A134="","",IF($B134="","qty, ","")&amp;IF($C134="","scope, ","")&amp;IF(OR($K134="",$M134=""),"size, ","")&amp;IF(AND($A134&lt;&gt;"",$C134&lt;&gt;"DOOR ONLY"),IF($U134="","jamb depth, ","")&amp;IF($X134="","construction, ","")&amp;IF($Y134="","anchor, ","")&amp;IF($S134="","frame type, ",""),"")&amp;IF(AND(N($BC134)&gt;0,$Z134=""),"hand, ","")&amp;IF(N($BC134)&gt;0,IF($AH134="","door material, ","")&amp;IF($AL134="","face type, ","")&amp;IF($AQ134="","lock prep, ","")&amp;IF(AND($AP134="",$AC134=""),"hinge prep, ",""),"")&amp;IF(AND($BO134&gt;0,$AH134="FRP"),"FRP cannot carry a label, ","")&amp;IF(AND($O134="Y",OR($Z134="L",$Z134="R",$Z134="LR",$Z134="RR")),"pair marked but hand is single, ","")&amp;IF(AND($O134&lt;&gt;"Y",OR($Z134="PR",AND(LEN($Z134)&gt;1,ISNUMBER(SEARCH("-",$Z134))))),"pair hand on a single door, ","")&amp;IF(AND(ISNUMBER($BP134),$BO134&lt;N($BP134)),"wall needs a "&amp;$BP134&amp;" min door, ","")&amp;IF(AND($BO134&gt;=180,AND(OR($BL134="FG",$BL134="HG",$BL134="FNV",$BL134="FV"),N($BM134)*N($BN134)&gt;100)),"180 min lite over 100 sq in, ","")&amp;IF(N($BD134)&gt;48,"leaf wider than 4'-0"&amp;CHAR(34)&amp;", ",""))</f>
        <v/>
      </c>
      <c r="BX134" s="49">
        <f>IF($A134="","",IF(AND($BO134&gt;0,AND($A134&lt;&gt;"",$C134&lt;&gt;"DOOR ONLY"),$X134="KD",$E134="EXTERIOR"),"KD label on an exterior opening, ","")&amp;IF(AND($E134="EXTERIOR",OR(AND(AND($A134&lt;&gt;"",$C134&lt;&gt;"DOOR ONLY"),$W134="CR"),AND(N($BC134)&gt;0,$AH134="CR"))),"exterior in CR steel (G9?), ","")&amp;IF(AND(ISNUMBER($BJ134),N($BJ134)&lt;32),"clear width ~"&amp;TEXT($BJ134,"0.0")&amp;CHAR(34)&amp;" under 32"&amp;CHAR(34)&amp;" (ADA), ","")&amp;IF(AND($BO134=90,AND(OR($BL134="FG",$BL134="HG",$BL134="FNV",$BL134="FV"),N($BM134)*N($BN134)&gt;100)),"90 min lite over 100 sq in (stair/exit), ","")&amp;IF(AND($BO134&gt;0,AND($A134&lt;&gt;"",$C134&lt;&gt;"DOOR ONLY"),OR($AF134="",$AF134="-")),"rated: closer reinf.?, ","")&amp;IF(OR($I134="CORRIDOR",$I134="SMOKE BARRIER"),"S label + smoke gasketing, ","")&amp;IF($BP134="?","wall type/hr not in IBC table, ","")&amp;IF(AND(N($BC134)&gt;0,$AU134=""),"no hardware set, ","")&amp;IF(AND($AU134&lt;&gt;"",ISNA(MATCH($AU134,HWSets,0))),"set "&amp;$AU134&amp;" not on Hardware sheet, ","")&amp;IF(N($BE134)&gt;96,"leaf over 8'-0"&amp;CHAR(34)&amp;" - check listing, ",""))</f>
        <v/>
      </c>
    </row>
    <row r="135" ht="15" customHeight="1">
      <c r="A135" s="44" t="n"/>
      <c r="B135" s="45" t="n"/>
      <c r="C135" s="45" t="n"/>
      <c r="D135" s="45" t="n"/>
      <c r="E135" s="45" t="n"/>
      <c r="F135" s="45" t="n"/>
      <c r="G135" s="45" t="n"/>
      <c r="H135" s="45" t="n"/>
      <c r="I135" s="45" t="n"/>
      <c r="J135" s="45" t="n"/>
      <c r="K135" s="45" t="n"/>
      <c r="L135" s="45" t="n"/>
      <c r="M135" s="45" t="n"/>
      <c r="N135" s="45" t="n"/>
      <c r="O135" s="45" t="n"/>
      <c r="P135" s="45" t="n"/>
      <c r="Q135" s="45" t="n"/>
      <c r="R135" s="45" t="n"/>
      <c r="S135" s="46" t="n"/>
      <c r="T135" s="46" t="n"/>
      <c r="U135" s="46" t="n"/>
      <c r="V135" s="46" t="n"/>
      <c r="W135" s="46" t="n"/>
      <c r="X135" s="46" t="n"/>
      <c r="Y135" s="46" t="n"/>
      <c r="Z135" s="46" t="n"/>
      <c r="AA135" s="46" t="n"/>
      <c r="AB135" s="46" t="n"/>
      <c r="AC135" s="46" t="n"/>
      <c r="AD135" s="46" t="n"/>
      <c r="AE135" s="46" t="n"/>
      <c r="AF135" s="46" t="n"/>
      <c r="AG135" s="46" t="n"/>
      <c r="AH135" s="47" t="n"/>
      <c r="AI135" s="47" t="n"/>
      <c r="AJ135" s="47" t="n"/>
      <c r="AK135" s="47" t="n"/>
      <c r="AL135" s="47" t="n"/>
      <c r="AM135" s="47" t="n"/>
      <c r="AN135" s="47" t="n"/>
      <c r="AO135" s="47" t="n"/>
      <c r="AP135" s="47" t="n"/>
      <c r="AQ135" s="47" t="n"/>
      <c r="AR135" s="47" t="n"/>
      <c r="AS135" s="47" t="n"/>
      <c r="AT135" s="47" t="n"/>
      <c r="AU135" s="48" t="n"/>
      <c r="AV135" s="48" t="n"/>
      <c r="AW135" s="49">
        <f>IF($A135="","",IF($BW135&lt;&gt;"","FIX",IF($BX135&lt;&gt;"","CHECK","OK")))</f>
        <v/>
      </c>
      <c r="AX135" s="50">
        <f>IF($A135="","",IF($BW135&lt;&gt;"","FIX: "&amp;LEFT($BW135,LEN($BW135)-2)&amp;IF($BX135&lt;&gt;"","  ·  ",""),"")&amp;IF($BX135&lt;&gt;"","CHECK: "&amp;LEFT($BX135,LEN($BX135)-2),""))</f>
        <v/>
      </c>
      <c r="AY135" s="49">
        <f>IF(OR($A135="",$K135=""),"",$K135&amp;"'-"&amp;N($L135)&amp;CHAR(34)&amp;" x "&amp;$M135&amp;"'-"&amp;N($N135)&amp;CHAR(34))</f>
        <v/>
      </c>
      <c r="AZ135" s="49">
        <f>IF(OR($A135="",$K135=""),"",$K135&amp;N($L135)&amp;$M135&amp;N($N135))</f>
        <v/>
      </c>
      <c r="BA135" s="49">
        <f>IF(OR($A135="",$K135=""),"",$K135*12+N($L135))</f>
        <v/>
      </c>
      <c r="BB135" s="49">
        <f>IF(OR($A135="",$M135=""),"",$M135*12+N($N135))</f>
        <v/>
      </c>
      <c r="BC135" s="49">
        <f>IF($A135="","",IF(OR($C135="FRAME ONLY",$S135="BL"),0,IF($O135="Y",2,1)))</f>
        <v/>
      </c>
      <c r="BD135" s="51">
        <f>IF(OR(N($BC135)=0,$BA135=""),"",($BA135-2*EdgeClr-IF($BC135=2,MeetClr,0))/$BC135)</f>
        <v/>
      </c>
      <c r="BE135" s="51">
        <f>IF(OR(N($BC135)=0,$BB135=""),"",$BB135-HeadClr-Undercut)</f>
        <v/>
      </c>
      <c r="BF135" s="51">
        <f>IF($BA135="","",$BA135+2*FaceW+IF(N($Q135)&gt;0,($Q135+FaceW)*IF($R135="LR",2,1),0))</f>
        <v/>
      </c>
      <c r="BG135" s="51">
        <f>IF($BB135="","",$BB135+IF($AB135="Y",4,FaceW)+IF(N($P135)&gt;0,$P135+FaceW,0)+IF(OR($S135="4F",$S135="BL"),FaceW,0))</f>
        <v/>
      </c>
      <c r="BH135" s="51">
        <f>IF($BF135="","",$BF135+2*ROSide)</f>
        <v/>
      </c>
      <c r="BI135" s="51">
        <f>IF($BG135="","",$BG135+ROTop)</f>
        <v/>
      </c>
      <c r="BJ135" s="52">
        <f>IF(OR(N($BC135)=0,$BA135=""),"",$BA135/$BC135-ClearDeduct)</f>
        <v/>
      </c>
      <c r="BK135" s="49">
        <f>IF(OR(N($BC135)=0,$BE135=""),"",IF(OR($AC135="HGC",$AP135="HGC"),"CONT",IF($BE135&lt;=60,2,IF($BE135&lt;=90,3,IF($BE135&lt;=120,4,5)))))</f>
        <v/>
      </c>
      <c r="BL135" s="49">
        <f>IF(N($BC135)=0,"",IF(OR($AL135="",$AL135="FLUSH"),"FLUSH",IFERROR(LEFT($AL135,FIND("-",$AL135)-1),LEFT($AL135,2))))</f>
        <v/>
      </c>
      <c r="BM135" s="49">
        <f>IF($BL135="","",IFERROR(VALUE(MID($AL135,FIND("-",$AL135)+1,FIND(CHAR(34)&amp;"x",$AL135)-FIND("-",$AL135)-1)),0))</f>
        <v/>
      </c>
      <c r="BN135" s="49">
        <f>IF($BL135="","",IFERROR(VALUE(MID($AL135,FIND(CHAR(34)&amp;"x",$AL135)+2,FIND(CHAR(34),$AL135,FIND(CHAR(34)&amp;"x",$AL135)+2)-FIND(CHAR(34)&amp;"x",$AL135)-2)),0))</f>
        <v/>
      </c>
      <c r="BO135" s="53">
        <f>IF(OR($A135="",$H135="",$H135="NO LAB"),0,IFERROR(VALUE(LEFT($H135,FIND(" ",$H135)-1)),0))</f>
        <v/>
      </c>
      <c r="BP135" s="54">
        <f>IF(OR($A135="",$I135="",$I135="NON-RATED",N($J135)=0),"",IFERROR(VLOOKUP($I135&amp;"|"&amp;$J135,IBC,2,FALSE),"?"))</f>
        <v/>
      </c>
      <c r="BQ135" s="50">
        <f>IF(NOT(AND($A135&lt;&gt;"",$C135&lt;&gt;"DOOR ONLY")),"",TRIM(IFERROR(VLOOKUP($U135,CODES,2,FALSE),"")&amp;" "&amp;$AZ135&amp;" "&amp;IFERROR(VLOOKUP($Z135,CODES,2,FALSE),"")&amp;" "&amp;IFERROR(VLOOKUP($X135,CODES,2,FALSE),"")&amp;" "&amp;IFERROR(VLOOKUP($S135,CODES,2,FALSE),"")&amp;IF(N($P135)&gt;0," w/TRANSOM "&amp;$P135&amp;CHAR(34),"")&amp;IF(N($Q135)&gt;0," w/SIDELITE "&amp;$Q135&amp;CHAR(34)&amp;" "&amp;IF($R135="","R",$R135),"")&amp;IF($Y135="","  |  "," | "&amp;IFERROR(VLOOKUP($Y135,CODES,2,FALSE),"")&amp;" | ")&amp;IFERROR(VLOOKUP($AC135,CODES,2,FALSE),"")&amp;" "&amp;IFERROR(VLOOKUP($AD135,CODES,2,FALSE),"")&amp;IF(OR($AE135="",$AE135="-"),""," "&amp;$AE135)&amp;IF(OR($AF135="",$AF135="-"),""," "&amp;$AF135)&amp;IF($AB135="Y"," 4"&amp;CHAR(34)&amp;" HEAD","")&amp;" "&amp;IFERROR(VLOOKUP($H135,CODES,2,FALSE),"")))</f>
        <v/>
      </c>
      <c r="BR135" s="50">
        <f>IF(NOT(AND($A135&lt;&gt;"",N($BC135)&gt;0)),"",TRIM(IFERROR(VLOOKUP($AH135,CODES,2,FALSE),"")&amp;IF($AI135=""," "," "&amp;$AI135&amp;"GA ")&amp;$AZ135&amp;" "&amp;IF($AN135="",IFERROR(VLOOKUP($Z135,CODES,2,FALSE),""),IFERROR(VLOOKUP($AN135,CODES,2,FALSE),""))&amp;IF($BC135=2," PAIR","")&amp;" DOOR | "&amp;IF($AL135="","?",$AL135)&amp;" | "&amp;IF($AP135="",IFERROR(VLOOKUP($AC135,CODES,2,FALSE),""),IFERROR(VLOOKUP($AP135,CODES,2,FALSE),""))&amp;" "&amp;IFERROR(VLOOKUP($AQ135,CODES,2,FALSE),"")&amp;IF(OR($AR135="",$AR135="-"),""," SEAM "&amp;$AR135)&amp;IF($AS135="Y"," ASTRAGAL","")&amp;IF($AJ135=""," "," "&amp;$AJ135)&amp;IF($AK135=""," "," "&amp;$AK135)&amp;IF($AO135="",""," "&amp;$AO135)&amp;IF($AM135=""," "," SERIES "&amp;$AM135)&amp;" "&amp;IFERROR(VLOOKUP($H135,CODES,2,FALSE),"")))</f>
        <v/>
      </c>
      <c r="BS135" s="49">
        <f>IF(BV135="","",IF(COUNTIF($BV$6:BV135,BV135)=1,MAX($BS$5:BS134)+1,INDEX($BS$5:BS134,MATCH(BV135,$BV$5:BV134,0))))</f>
        <v/>
      </c>
      <c r="BT135" s="49">
        <f>IF(NOT(AND($A135&lt;&gt;"",$C135&lt;&gt;"DOOR ONLY")),"",MAX($BT$5:BT134)+1)</f>
        <v/>
      </c>
      <c r="BU135" s="49">
        <f>IF(NOT(AND($A135&lt;&gt;"",N($BC135)&gt;0)),"",MAX($BU$5:BU134)+1)</f>
        <v/>
      </c>
      <c r="BV135" s="49">
        <f>IF(OR($A135="",$BA135="",$BB135=""),"",$AZ135&amp;"|"&amp;$O135&amp;"|"&amp;$AL135&amp;"|"&amp;$S135&amp;"|"&amp;$P135&amp;"|"&amp;$Q135&amp;$R135&amp;"|"&amp;$C135&amp;"|"&amp;$AB135)</f>
        <v/>
      </c>
      <c r="BW135" s="49">
        <f>IF($A135="","",IF($B135="","qty, ","")&amp;IF($C135="","scope, ","")&amp;IF(OR($K135="",$M135=""),"size, ","")&amp;IF(AND($A135&lt;&gt;"",$C135&lt;&gt;"DOOR ONLY"),IF($U135="","jamb depth, ","")&amp;IF($X135="","construction, ","")&amp;IF($Y135="","anchor, ","")&amp;IF($S135="","frame type, ",""),"")&amp;IF(AND(N($BC135)&gt;0,$Z135=""),"hand, ","")&amp;IF(N($BC135)&gt;0,IF($AH135="","door material, ","")&amp;IF($AL135="","face type, ","")&amp;IF($AQ135="","lock prep, ","")&amp;IF(AND($AP135="",$AC135=""),"hinge prep, ",""),"")&amp;IF(AND($BO135&gt;0,$AH135="FRP"),"FRP cannot carry a label, ","")&amp;IF(AND($O135="Y",OR($Z135="L",$Z135="R",$Z135="LR",$Z135="RR")),"pair marked but hand is single, ","")&amp;IF(AND($O135&lt;&gt;"Y",OR($Z135="PR",AND(LEN($Z135)&gt;1,ISNUMBER(SEARCH("-",$Z135))))),"pair hand on a single door, ","")&amp;IF(AND(ISNUMBER($BP135),$BO135&lt;N($BP135)),"wall needs a "&amp;$BP135&amp;" min door, ","")&amp;IF(AND($BO135&gt;=180,AND(OR($BL135="FG",$BL135="HG",$BL135="FNV",$BL135="FV"),N($BM135)*N($BN135)&gt;100)),"180 min lite over 100 sq in, ","")&amp;IF(N($BD135)&gt;48,"leaf wider than 4'-0"&amp;CHAR(34)&amp;", ",""))</f>
        <v/>
      </c>
      <c r="BX135" s="49">
        <f>IF($A135="","",IF(AND($BO135&gt;0,AND($A135&lt;&gt;"",$C135&lt;&gt;"DOOR ONLY"),$X135="KD",$E135="EXTERIOR"),"KD label on an exterior opening, ","")&amp;IF(AND($E135="EXTERIOR",OR(AND(AND($A135&lt;&gt;"",$C135&lt;&gt;"DOOR ONLY"),$W135="CR"),AND(N($BC135)&gt;0,$AH135="CR"))),"exterior in CR steel (G9?), ","")&amp;IF(AND(ISNUMBER($BJ135),N($BJ135)&lt;32),"clear width ~"&amp;TEXT($BJ135,"0.0")&amp;CHAR(34)&amp;" under 32"&amp;CHAR(34)&amp;" (ADA), ","")&amp;IF(AND($BO135=90,AND(OR($BL135="FG",$BL135="HG",$BL135="FNV",$BL135="FV"),N($BM135)*N($BN135)&gt;100)),"90 min lite over 100 sq in (stair/exit), ","")&amp;IF(AND($BO135&gt;0,AND($A135&lt;&gt;"",$C135&lt;&gt;"DOOR ONLY"),OR($AF135="",$AF135="-")),"rated: closer reinf.?, ","")&amp;IF(OR($I135="CORRIDOR",$I135="SMOKE BARRIER"),"S label + smoke gasketing, ","")&amp;IF($BP135="?","wall type/hr not in IBC table, ","")&amp;IF(AND(N($BC135)&gt;0,$AU135=""),"no hardware set, ","")&amp;IF(AND($AU135&lt;&gt;"",ISNA(MATCH($AU135,HWSets,0))),"set "&amp;$AU135&amp;" not on Hardware sheet, ","")&amp;IF(N($BE135)&gt;96,"leaf over 8'-0"&amp;CHAR(34)&amp;" - check listing, ",""))</f>
        <v/>
      </c>
    </row>
    <row r="136" ht="15" customHeight="1">
      <c r="A136" s="44" t="n"/>
      <c r="B136" s="45" t="n"/>
      <c r="C136" s="45" t="n"/>
      <c r="D136" s="45" t="n"/>
      <c r="E136" s="45" t="n"/>
      <c r="F136" s="45" t="n"/>
      <c r="G136" s="45" t="n"/>
      <c r="H136" s="45" t="n"/>
      <c r="I136" s="45" t="n"/>
      <c r="J136" s="45" t="n"/>
      <c r="K136" s="45" t="n"/>
      <c r="L136" s="45" t="n"/>
      <c r="M136" s="45" t="n"/>
      <c r="N136" s="45" t="n"/>
      <c r="O136" s="45" t="n"/>
      <c r="P136" s="45" t="n"/>
      <c r="Q136" s="45" t="n"/>
      <c r="R136" s="45" t="n"/>
      <c r="S136" s="46" t="n"/>
      <c r="T136" s="46" t="n"/>
      <c r="U136" s="46" t="n"/>
      <c r="V136" s="46" t="n"/>
      <c r="W136" s="46" t="n"/>
      <c r="X136" s="46" t="n"/>
      <c r="Y136" s="46" t="n"/>
      <c r="Z136" s="46" t="n"/>
      <c r="AA136" s="46" t="n"/>
      <c r="AB136" s="46" t="n"/>
      <c r="AC136" s="46" t="n"/>
      <c r="AD136" s="46" t="n"/>
      <c r="AE136" s="46" t="n"/>
      <c r="AF136" s="46" t="n"/>
      <c r="AG136" s="46" t="n"/>
      <c r="AH136" s="47" t="n"/>
      <c r="AI136" s="47" t="n"/>
      <c r="AJ136" s="47" t="n"/>
      <c r="AK136" s="47" t="n"/>
      <c r="AL136" s="47" t="n"/>
      <c r="AM136" s="47" t="n"/>
      <c r="AN136" s="47" t="n"/>
      <c r="AO136" s="47" t="n"/>
      <c r="AP136" s="47" t="n"/>
      <c r="AQ136" s="47" t="n"/>
      <c r="AR136" s="47" t="n"/>
      <c r="AS136" s="47" t="n"/>
      <c r="AT136" s="47" t="n"/>
      <c r="AU136" s="48" t="n"/>
      <c r="AV136" s="48" t="n"/>
      <c r="AW136" s="49">
        <f>IF($A136="","",IF($BW136&lt;&gt;"","FIX",IF($BX136&lt;&gt;"","CHECK","OK")))</f>
        <v/>
      </c>
      <c r="AX136" s="50">
        <f>IF($A136="","",IF($BW136&lt;&gt;"","FIX: "&amp;LEFT($BW136,LEN($BW136)-2)&amp;IF($BX136&lt;&gt;"","  ·  ",""),"")&amp;IF($BX136&lt;&gt;"","CHECK: "&amp;LEFT($BX136,LEN($BX136)-2),""))</f>
        <v/>
      </c>
      <c r="AY136" s="49">
        <f>IF(OR($A136="",$K136=""),"",$K136&amp;"'-"&amp;N($L136)&amp;CHAR(34)&amp;" x "&amp;$M136&amp;"'-"&amp;N($N136)&amp;CHAR(34))</f>
        <v/>
      </c>
      <c r="AZ136" s="49">
        <f>IF(OR($A136="",$K136=""),"",$K136&amp;N($L136)&amp;$M136&amp;N($N136))</f>
        <v/>
      </c>
      <c r="BA136" s="49">
        <f>IF(OR($A136="",$K136=""),"",$K136*12+N($L136))</f>
        <v/>
      </c>
      <c r="BB136" s="49">
        <f>IF(OR($A136="",$M136=""),"",$M136*12+N($N136))</f>
        <v/>
      </c>
      <c r="BC136" s="49">
        <f>IF($A136="","",IF(OR($C136="FRAME ONLY",$S136="BL"),0,IF($O136="Y",2,1)))</f>
        <v/>
      </c>
      <c r="BD136" s="51">
        <f>IF(OR(N($BC136)=0,$BA136=""),"",($BA136-2*EdgeClr-IF($BC136=2,MeetClr,0))/$BC136)</f>
        <v/>
      </c>
      <c r="BE136" s="51">
        <f>IF(OR(N($BC136)=0,$BB136=""),"",$BB136-HeadClr-Undercut)</f>
        <v/>
      </c>
      <c r="BF136" s="51">
        <f>IF($BA136="","",$BA136+2*FaceW+IF(N($Q136)&gt;0,($Q136+FaceW)*IF($R136="LR",2,1),0))</f>
        <v/>
      </c>
      <c r="BG136" s="51">
        <f>IF($BB136="","",$BB136+IF($AB136="Y",4,FaceW)+IF(N($P136)&gt;0,$P136+FaceW,0)+IF(OR($S136="4F",$S136="BL"),FaceW,0))</f>
        <v/>
      </c>
      <c r="BH136" s="51">
        <f>IF($BF136="","",$BF136+2*ROSide)</f>
        <v/>
      </c>
      <c r="BI136" s="51">
        <f>IF($BG136="","",$BG136+ROTop)</f>
        <v/>
      </c>
      <c r="BJ136" s="52">
        <f>IF(OR(N($BC136)=0,$BA136=""),"",$BA136/$BC136-ClearDeduct)</f>
        <v/>
      </c>
      <c r="BK136" s="49">
        <f>IF(OR(N($BC136)=0,$BE136=""),"",IF(OR($AC136="HGC",$AP136="HGC"),"CONT",IF($BE136&lt;=60,2,IF($BE136&lt;=90,3,IF($BE136&lt;=120,4,5)))))</f>
        <v/>
      </c>
      <c r="BL136" s="49">
        <f>IF(N($BC136)=0,"",IF(OR($AL136="",$AL136="FLUSH"),"FLUSH",IFERROR(LEFT($AL136,FIND("-",$AL136)-1),LEFT($AL136,2))))</f>
        <v/>
      </c>
      <c r="BM136" s="49">
        <f>IF($BL136="","",IFERROR(VALUE(MID($AL136,FIND("-",$AL136)+1,FIND(CHAR(34)&amp;"x",$AL136)-FIND("-",$AL136)-1)),0))</f>
        <v/>
      </c>
      <c r="BN136" s="49">
        <f>IF($BL136="","",IFERROR(VALUE(MID($AL136,FIND(CHAR(34)&amp;"x",$AL136)+2,FIND(CHAR(34),$AL136,FIND(CHAR(34)&amp;"x",$AL136)+2)-FIND(CHAR(34)&amp;"x",$AL136)-2)),0))</f>
        <v/>
      </c>
      <c r="BO136" s="53">
        <f>IF(OR($A136="",$H136="",$H136="NO LAB"),0,IFERROR(VALUE(LEFT($H136,FIND(" ",$H136)-1)),0))</f>
        <v/>
      </c>
      <c r="BP136" s="54">
        <f>IF(OR($A136="",$I136="",$I136="NON-RATED",N($J136)=0),"",IFERROR(VLOOKUP($I136&amp;"|"&amp;$J136,IBC,2,FALSE),"?"))</f>
        <v/>
      </c>
      <c r="BQ136" s="50">
        <f>IF(NOT(AND($A136&lt;&gt;"",$C136&lt;&gt;"DOOR ONLY")),"",TRIM(IFERROR(VLOOKUP($U136,CODES,2,FALSE),"")&amp;" "&amp;$AZ136&amp;" "&amp;IFERROR(VLOOKUP($Z136,CODES,2,FALSE),"")&amp;" "&amp;IFERROR(VLOOKUP($X136,CODES,2,FALSE),"")&amp;" "&amp;IFERROR(VLOOKUP($S136,CODES,2,FALSE),"")&amp;IF(N($P136)&gt;0," w/TRANSOM "&amp;$P136&amp;CHAR(34),"")&amp;IF(N($Q136)&gt;0," w/SIDELITE "&amp;$Q136&amp;CHAR(34)&amp;" "&amp;IF($R136="","R",$R136),"")&amp;IF($Y136="","  |  "," | "&amp;IFERROR(VLOOKUP($Y136,CODES,2,FALSE),"")&amp;" | ")&amp;IFERROR(VLOOKUP($AC136,CODES,2,FALSE),"")&amp;" "&amp;IFERROR(VLOOKUP($AD136,CODES,2,FALSE),"")&amp;IF(OR($AE136="",$AE136="-"),""," "&amp;$AE136)&amp;IF(OR($AF136="",$AF136="-"),""," "&amp;$AF136)&amp;IF($AB136="Y"," 4"&amp;CHAR(34)&amp;" HEAD","")&amp;" "&amp;IFERROR(VLOOKUP($H136,CODES,2,FALSE),"")))</f>
        <v/>
      </c>
      <c r="BR136" s="50">
        <f>IF(NOT(AND($A136&lt;&gt;"",N($BC136)&gt;0)),"",TRIM(IFERROR(VLOOKUP($AH136,CODES,2,FALSE),"")&amp;IF($AI136=""," "," "&amp;$AI136&amp;"GA ")&amp;$AZ136&amp;" "&amp;IF($AN136="",IFERROR(VLOOKUP($Z136,CODES,2,FALSE),""),IFERROR(VLOOKUP($AN136,CODES,2,FALSE),""))&amp;IF($BC136=2," PAIR","")&amp;" DOOR | "&amp;IF($AL136="","?",$AL136)&amp;" | "&amp;IF($AP136="",IFERROR(VLOOKUP($AC136,CODES,2,FALSE),""),IFERROR(VLOOKUP($AP136,CODES,2,FALSE),""))&amp;" "&amp;IFERROR(VLOOKUP($AQ136,CODES,2,FALSE),"")&amp;IF(OR($AR136="",$AR136="-"),""," SEAM "&amp;$AR136)&amp;IF($AS136="Y"," ASTRAGAL","")&amp;IF($AJ136=""," "," "&amp;$AJ136)&amp;IF($AK136=""," "," "&amp;$AK136)&amp;IF($AO136="",""," "&amp;$AO136)&amp;IF($AM136=""," "," SERIES "&amp;$AM136)&amp;" "&amp;IFERROR(VLOOKUP($H136,CODES,2,FALSE),"")))</f>
        <v/>
      </c>
      <c r="BS136" s="49">
        <f>IF(BV136="","",IF(COUNTIF($BV$6:BV136,BV136)=1,MAX($BS$5:BS135)+1,INDEX($BS$5:BS135,MATCH(BV136,$BV$5:BV135,0))))</f>
        <v/>
      </c>
      <c r="BT136" s="49">
        <f>IF(NOT(AND($A136&lt;&gt;"",$C136&lt;&gt;"DOOR ONLY")),"",MAX($BT$5:BT135)+1)</f>
        <v/>
      </c>
      <c r="BU136" s="49">
        <f>IF(NOT(AND($A136&lt;&gt;"",N($BC136)&gt;0)),"",MAX($BU$5:BU135)+1)</f>
        <v/>
      </c>
      <c r="BV136" s="49">
        <f>IF(OR($A136="",$BA136="",$BB136=""),"",$AZ136&amp;"|"&amp;$O136&amp;"|"&amp;$AL136&amp;"|"&amp;$S136&amp;"|"&amp;$P136&amp;"|"&amp;$Q136&amp;$R136&amp;"|"&amp;$C136&amp;"|"&amp;$AB136)</f>
        <v/>
      </c>
      <c r="BW136" s="49">
        <f>IF($A136="","",IF($B136="","qty, ","")&amp;IF($C136="","scope, ","")&amp;IF(OR($K136="",$M136=""),"size, ","")&amp;IF(AND($A136&lt;&gt;"",$C136&lt;&gt;"DOOR ONLY"),IF($U136="","jamb depth, ","")&amp;IF($X136="","construction, ","")&amp;IF($Y136="","anchor, ","")&amp;IF($S136="","frame type, ",""),"")&amp;IF(AND(N($BC136)&gt;0,$Z136=""),"hand, ","")&amp;IF(N($BC136)&gt;0,IF($AH136="","door material, ","")&amp;IF($AL136="","face type, ","")&amp;IF($AQ136="","lock prep, ","")&amp;IF(AND($AP136="",$AC136=""),"hinge prep, ",""),"")&amp;IF(AND($BO136&gt;0,$AH136="FRP"),"FRP cannot carry a label, ","")&amp;IF(AND($O136="Y",OR($Z136="L",$Z136="R",$Z136="LR",$Z136="RR")),"pair marked but hand is single, ","")&amp;IF(AND($O136&lt;&gt;"Y",OR($Z136="PR",AND(LEN($Z136)&gt;1,ISNUMBER(SEARCH("-",$Z136))))),"pair hand on a single door, ","")&amp;IF(AND(ISNUMBER($BP136),$BO136&lt;N($BP136)),"wall needs a "&amp;$BP136&amp;" min door, ","")&amp;IF(AND($BO136&gt;=180,AND(OR($BL136="FG",$BL136="HG",$BL136="FNV",$BL136="FV"),N($BM136)*N($BN136)&gt;100)),"180 min lite over 100 sq in, ","")&amp;IF(N($BD136)&gt;48,"leaf wider than 4'-0"&amp;CHAR(34)&amp;", ",""))</f>
        <v/>
      </c>
      <c r="BX136" s="49">
        <f>IF($A136="","",IF(AND($BO136&gt;0,AND($A136&lt;&gt;"",$C136&lt;&gt;"DOOR ONLY"),$X136="KD",$E136="EXTERIOR"),"KD label on an exterior opening, ","")&amp;IF(AND($E136="EXTERIOR",OR(AND(AND($A136&lt;&gt;"",$C136&lt;&gt;"DOOR ONLY"),$W136="CR"),AND(N($BC136)&gt;0,$AH136="CR"))),"exterior in CR steel (G9?), ","")&amp;IF(AND(ISNUMBER($BJ136),N($BJ136)&lt;32),"clear width ~"&amp;TEXT($BJ136,"0.0")&amp;CHAR(34)&amp;" under 32"&amp;CHAR(34)&amp;" (ADA), ","")&amp;IF(AND($BO136=90,AND(OR($BL136="FG",$BL136="HG",$BL136="FNV",$BL136="FV"),N($BM136)*N($BN136)&gt;100)),"90 min lite over 100 sq in (stair/exit), ","")&amp;IF(AND($BO136&gt;0,AND($A136&lt;&gt;"",$C136&lt;&gt;"DOOR ONLY"),OR($AF136="",$AF136="-")),"rated: closer reinf.?, ","")&amp;IF(OR($I136="CORRIDOR",$I136="SMOKE BARRIER"),"S label + smoke gasketing, ","")&amp;IF($BP136="?","wall type/hr not in IBC table, ","")&amp;IF(AND(N($BC136)&gt;0,$AU136=""),"no hardware set, ","")&amp;IF(AND($AU136&lt;&gt;"",ISNA(MATCH($AU136,HWSets,0))),"set "&amp;$AU136&amp;" not on Hardware sheet, ","")&amp;IF(N($BE136)&gt;96,"leaf over 8'-0"&amp;CHAR(34)&amp;" - check listing, ",""))</f>
        <v/>
      </c>
    </row>
    <row r="137" ht="15" customHeight="1">
      <c r="A137" s="44" t="n"/>
      <c r="B137" s="45" t="n"/>
      <c r="C137" s="45" t="n"/>
      <c r="D137" s="45" t="n"/>
      <c r="E137" s="45" t="n"/>
      <c r="F137" s="45" t="n"/>
      <c r="G137" s="45" t="n"/>
      <c r="H137" s="45" t="n"/>
      <c r="I137" s="45" t="n"/>
      <c r="J137" s="45" t="n"/>
      <c r="K137" s="45" t="n"/>
      <c r="L137" s="45" t="n"/>
      <c r="M137" s="45" t="n"/>
      <c r="N137" s="45" t="n"/>
      <c r="O137" s="45" t="n"/>
      <c r="P137" s="45" t="n"/>
      <c r="Q137" s="45" t="n"/>
      <c r="R137" s="45" t="n"/>
      <c r="S137" s="46" t="n"/>
      <c r="T137" s="46" t="n"/>
      <c r="U137" s="46" t="n"/>
      <c r="V137" s="46" t="n"/>
      <c r="W137" s="46" t="n"/>
      <c r="X137" s="46" t="n"/>
      <c r="Y137" s="46" t="n"/>
      <c r="Z137" s="46" t="n"/>
      <c r="AA137" s="46" t="n"/>
      <c r="AB137" s="46" t="n"/>
      <c r="AC137" s="46" t="n"/>
      <c r="AD137" s="46" t="n"/>
      <c r="AE137" s="46" t="n"/>
      <c r="AF137" s="46" t="n"/>
      <c r="AG137" s="46" t="n"/>
      <c r="AH137" s="47" t="n"/>
      <c r="AI137" s="47" t="n"/>
      <c r="AJ137" s="47" t="n"/>
      <c r="AK137" s="47" t="n"/>
      <c r="AL137" s="47" t="n"/>
      <c r="AM137" s="47" t="n"/>
      <c r="AN137" s="47" t="n"/>
      <c r="AO137" s="47" t="n"/>
      <c r="AP137" s="47" t="n"/>
      <c r="AQ137" s="47" t="n"/>
      <c r="AR137" s="47" t="n"/>
      <c r="AS137" s="47" t="n"/>
      <c r="AT137" s="47" t="n"/>
      <c r="AU137" s="48" t="n"/>
      <c r="AV137" s="48" t="n"/>
      <c r="AW137" s="49">
        <f>IF($A137="","",IF($BW137&lt;&gt;"","FIX",IF($BX137&lt;&gt;"","CHECK","OK")))</f>
        <v/>
      </c>
      <c r="AX137" s="50">
        <f>IF($A137="","",IF($BW137&lt;&gt;"","FIX: "&amp;LEFT($BW137,LEN($BW137)-2)&amp;IF($BX137&lt;&gt;"","  ·  ",""),"")&amp;IF($BX137&lt;&gt;"","CHECK: "&amp;LEFT($BX137,LEN($BX137)-2),""))</f>
        <v/>
      </c>
      <c r="AY137" s="49">
        <f>IF(OR($A137="",$K137=""),"",$K137&amp;"'-"&amp;N($L137)&amp;CHAR(34)&amp;" x "&amp;$M137&amp;"'-"&amp;N($N137)&amp;CHAR(34))</f>
        <v/>
      </c>
      <c r="AZ137" s="49">
        <f>IF(OR($A137="",$K137=""),"",$K137&amp;N($L137)&amp;$M137&amp;N($N137))</f>
        <v/>
      </c>
      <c r="BA137" s="49">
        <f>IF(OR($A137="",$K137=""),"",$K137*12+N($L137))</f>
        <v/>
      </c>
      <c r="BB137" s="49">
        <f>IF(OR($A137="",$M137=""),"",$M137*12+N($N137))</f>
        <v/>
      </c>
      <c r="BC137" s="49">
        <f>IF($A137="","",IF(OR($C137="FRAME ONLY",$S137="BL"),0,IF($O137="Y",2,1)))</f>
        <v/>
      </c>
      <c r="BD137" s="51">
        <f>IF(OR(N($BC137)=0,$BA137=""),"",($BA137-2*EdgeClr-IF($BC137=2,MeetClr,0))/$BC137)</f>
        <v/>
      </c>
      <c r="BE137" s="51">
        <f>IF(OR(N($BC137)=0,$BB137=""),"",$BB137-HeadClr-Undercut)</f>
        <v/>
      </c>
      <c r="BF137" s="51">
        <f>IF($BA137="","",$BA137+2*FaceW+IF(N($Q137)&gt;0,($Q137+FaceW)*IF($R137="LR",2,1),0))</f>
        <v/>
      </c>
      <c r="BG137" s="51">
        <f>IF($BB137="","",$BB137+IF($AB137="Y",4,FaceW)+IF(N($P137)&gt;0,$P137+FaceW,0)+IF(OR($S137="4F",$S137="BL"),FaceW,0))</f>
        <v/>
      </c>
      <c r="BH137" s="51">
        <f>IF($BF137="","",$BF137+2*ROSide)</f>
        <v/>
      </c>
      <c r="BI137" s="51">
        <f>IF($BG137="","",$BG137+ROTop)</f>
        <v/>
      </c>
      <c r="BJ137" s="52">
        <f>IF(OR(N($BC137)=0,$BA137=""),"",$BA137/$BC137-ClearDeduct)</f>
        <v/>
      </c>
      <c r="BK137" s="49">
        <f>IF(OR(N($BC137)=0,$BE137=""),"",IF(OR($AC137="HGC",$AP137="HGC"),"CONT",IF($BE137&lt;=60,2,IF($BE137&lt;=90,3,IF($BE137&lt;=120,4,5)))))</f>
        <v/>
      </c>
      <c r="BL137" s="49">
        <f>IF(N($BC137)=0,"",IF(OR($AL137="",$AL137="FLUSH"),"FLUSH",IFERROR(LEFT($AL137,FIND("-",$AL137)-1),LEFT($AL137,2))))</f>
        <v/>
      </c>
      <c r="BM137" s="49">
        <f>IF($BL137="","",IFERROR(VALUE(MID($AL137,FIND("-",$AL137)+1,FIND(CHAR(34)&amp;"x",$AL137)-FIND("-",$AL137)-1)),0))</f>
        <v/>
      </c>
      <c r="BN137" s="49">
        <f>IF($BL137="","",IFERROR(VALUE(MID($AL137,FIND(CHAR(34)&amp;"x",$AL137)+2,FIND(CHAR(34),$AL137,FIND(CHAR(34)&amp;"x",$AL137)+2)-FIND(CHAR(34)&amp;"x",$AL137)-2)),0))</f>
        <v/>
      </c>
      <c r="BO137" s="53">
        <f>IF(OR($A137="",$H137="",$H137="NO LAB"),0,IFERROR(VALUE(LEFT($H137,FIND(" ",$H137)-1)),0))</f>
        <v/>
      </c>
      <c r="BP137" s="54">
        <f>IF(OR($A137="",$I137="",$I137="NON-RATED",N($J137)=0),"",IFERROR(VLOOKUP($I137&amp;"|"&amp;$J137,IBC,2,FALSE),"?"))</f>
        <v/>
      </c>
      <c r="BQ137" s="50">
        <f>IF(NOT(AND($A137&lt;&gt;"",$C137&lt;&gt;"DOOR ONLY")),"",TRIM(IFERROR(VLOOKUP($U137,CODES,2,FALSE),"")&amp;" "&amp;$AZ137&amp;" "&amp;IFERROR(VLOOKUP($Z137,CODES,2,FALSE),"")&amp;" "&amp;IFERROR(VLOOKUP($X137,CODES,2,FALSE),"")&amp;" "&amp;IFERROR(VLOOKUP($S137,CODES,2,FALSE),"")&amp;IF(N($P137)&gt;0," w/TRANSOM "&amp;$P137&amp;CHAR(34),"")&amp;IF(N($Q137)&gt;0," w/SIDELITE "&amp;$Q137&amp;CHAR(34)&amp;" "&amp;IF($R137="","R",$R137),"")&amp;IF($Y137="","  |  "," | "&amp;IFERROR(VLOOKUP($Y137,CODES,2,FALSE),"")&amp;" | ")&amp;IFERROR(VLOOKUP($AC137,CODES,2,FALSE),"")&amp;" "&amp;IFERROR(VLOOKUP($AD137,CODES,2,FALSE),"")&amp;IF(OR($AE137="",$AE137="-"),""," "&amp;$AE137)&amp;IF(OR($AF137="",$AF137="-"),""," "&amp;$AF137)&amp;IF($AB137="Y"," 4"&amp;CHAR(34)&amp;" HEAD","")&amp;" "&amp;IFERROR(VLOOKUP($H137,CODES,2,FALSE),"")))</f>
        <v/>
      </c>
      <c r="BR137" s="50">
        <f>IF(NOT(AND($A137&lt;&gt;"",N($BC137)&gt;0)),"",TRIM(IFERROR(VLOOKUP($AH137,CODES,2,FALSE),"")&amp;IF($AI137=""," "," "&amp;$AI137&amp;"GA ")&amp;$AZ137&amp;" "&amp;IF($AN137="",IFERROR(VLOOKUP($Z137,CODES,2,FALSE),""),IFERROR(VLOOKUP($AN137,CODES,2,FALSE),""))&amp;IF($BC137=2," PAIR","")&amp;" DOOR | "&amp;IF($AL137="","?",$AL137)&amp;" | "&amp;IF($AP137="",IFERROR(VLOOKUP($AC137,CODES,2,FALSE),""),IFERROR(VLOOKUP($AP137,CODES,2,FALSE),""))&amp;" "&amp;IFERROR(VLOOKUP($AQ137,CODES,2,FALSE),"")&amp;IF(OR($AR137="",$AR137="-"),""," SEAM "&amp;$AR137)&amp;IF($AS137="Y"," ASTRAGAL","")&amp;IF($AJ137=""," "," "&amp;$AJ137)&amp;IF($AK137=""," "," "&amp;$AK137)&amp;IF($AO137="",""," "&amp;$AO137)&amp;IF($AM137=""," "," SERIES "&amp;$AM137)&amp;" "&amp;IFERROR(VLOOKUP($H137,CODES,2,FALSE),"")))</f>
        <v/>
      </c>
      <c r="BS137" s="49">
        <f>IF(BV137="","",IF(COUNTIF($BV$6:BV137,BV137)=1,MAX($BS$5:BS136)+1,INDEX($BS$5:BS136,MATCH(BV137,$BV$5:BV136,0))))</f>
        <v/>
      </c>
      <c r="BT137" s="49">
        <f>IF(NOT(AND($A137&lt;&gt;"",$C137&lt;&gt;"DOOR ONLY")),"",MAX($BT$5:BT136)+1)</f>
        <v/>
      </c>
      <c r="BU137" s="49">
        <f>IF(NOT(AND($A137&lt;&gt;"",N($BC137)&gt;0)),"",MAX($BU$5:BU136)+1)</f>
        <v/>
      </c>
      <c r="BV137" s="49">
        <f>IF(OR($A137="",$BA137="",$BB137=""),"",$AZ137&amp;"|"&amp;$O137&amp;"|"&amp;$AL137&amp;"|"&amp;$S137&amp;"|"&amp;$P137&amp;"|"&amp;$Q137&amp;$R137&amp;"|"&amp;$C137&amp;"|"&amp;$AB137)</f>
        <v/>
      </c>
      <c r="BW137" s="49">
        <f>IF($A137="","",IF($B137="","qty, ","")&amp;IF($C137="","scope, ","")&amp;IF(OR($K137="",$M137=""),"size, ","")&amp;IF(AND($A137&lt;&gt;"",$C137&lt;&gt;"DOOR ONLY"),IF($U137="","jamb depth, ","")&amp;IF($X137="","construction, ","")&amp;IF($Y137="","anchor, ","")&amp;IF($S137="","frame type, ",""),"")&amp;IF(AND(N($BC137)&gt;0,$Z137=""),"hand, ","")&amp;IF(N($BC137)&gt;0,IF($AH137="","door material, ","")&amp;IF($AL137="","face type, ","")&amp;IF($AQ137="","lock prep, ","")&amp;IF(AND($AP137="",$AC137=""),"hinge prep, ",""),"")&amp;IF(AND($BO137&gt;0,$AH137="FRP"),"FRP cannot carry a label, ","")&amp;IF(AND($O137="Y",OR($Z137="L",$Z137="R",$Z137="LR",$Z137="RR")),"pair marked but hand is single, ","")&amp;IF(AND($O137&lt;&gt;"Y",OR($Z137="PR",AND(LEN($Z137)&gt;1,ISNUMBER(SEARCH("-",$Z137))))),"pair hand on a single door, ","")&amp;IF(AND(ISNUMBER($BP137),$BO137&lt;N($BP137)),"wall needs a "&amp;$BP137&amp;" min door, ","")&amp;IF(AND($BO137&gt;=180,AND(OR($BL137="FG",$BL137="HG",$BL137="FNV",$BL137="FV"),N($BM137)*N($BN137)&gt;100)),"180 min lite over 100 sq in, ","")&amp;IF(N($BD137)&gt;48,"leaf wider than 4'-0"&amp;CHAR(34)&amp;", ",""))</f>
        <v/>
      </c>
      <c r="BX137" s="49">
        <f>IF($A137="","",IF(AND($BO137&gt;0,AND($A137&lt;&gt;"",$C137&lt;&gt;"DOOR ONLY"),$X137="KD",$E137="EXTERIOR"),"KD label on an exterior opening, ","")&amp;IF(AND($E137="EXTERIOR",OR(AND(AND($A137&lt;&gt;"",$C137&lt;&gt;"DOOR ONLY"),$W137="CR"),AND(N($BC137)&gt;0,$AH137="CR"))),"exterior in CR steel (G9?), ","")&amp;IF(AND(ISNUMBER($BJ137),N($BJ137)&lt;32),"clear width ~"&amp;TEXT($BJ137,"0.0")&amp;CHAR(34)&amp;" under 32"&amp;CHAR(34)&amp;" (ADA), ","")&amp;IF(AND($BO137=90,AND(OR($BL137="FG",$BL137="HG",$BL137="FNV",$BL137="FV"),N($BM137)*N($BN137)&gt;100)),"90 min lite over 100 sq in (stair/exit), ","")&amp;IF(AND($BO137&gt;0,AND($A137&lt;&gt;"",$C137&lt;&gt;"DOOR ONLY"),OR($AF137="",$AF137="-")),"rated: closer reinf.?, ","")&amp;IF(OR($I137="CORRIDOR",$I137="SMOKE BARRIER"),"S label + smoke gasketing, ","")&amp;IF($BP137="?","wall type/hr not in IBC table, ","")&amp;IF(AND(N($BC137)&gt;0,$AU137=""),"no hardware set, ","")&amp;IF(AND($AU137&lt;&gt;"",ISNA(MATCH($AU137,HWSets,0))),"set "&amp;$AU137&amp;" not on Hardware sheet, ","")&amp;IF(N($BE137)&gt;96,"leaf over 8'-0"&amp;CHAR(34)&amp;" - check listing, ",""))</f>
        <v/>
      </c>
    </row>
    <row r="138" ht="15" customHeight="1">
      <c r="A138" s="44" t="n"/>
      <c r="B138" s="45" t="n"/>
      <c r="C138" s="45" t="n"/>
      <c r="D138" s="45" t="n"/>
      <c r="E138" s="45" t="n"/>
      <c r="F138" s="45" t="n"/>
      <c r="G138" s="45" t="n"/>
      <c r="H138" s="45" t="n"/>
      <c r="I138" s="45" t="n"/>
      <c r="J138" s="45" t="n"/>
      <c r="K138" s="45" t="n"/>
      <c r="L138" s="45" t="n"/>
      <c r="M138" s="45" t="n"/>
      <c r="N138" s="45" t="n"/>
      <c r="O138" s="45" t="n"/>
      <c r="P138" s="45" t="n"/>
      <c r="Q138" s="45" t="n"/>
      <c r="R138" s="45" t="n"/>
      <c r="S138" s="46" t="n"/>
      <c r="T138" s="46" t="n"/>
      <c r="U138" s="46" t="n"/>
      <c r="V138" s="46" t="n"/>
      <c r="W138" s="46" t="n"/>
      <c r="X138" s="46" t="n"/>
      <c r="Y138" s="46" t="n"/>
      <c r="Z138" s="46" t="n"/>
      <c r="AA138" s="46" t="n"/>
      <c r="AB138" s="46" t="n"/>
      <c r="AC138" s="46" t="n"/>
      <c r="AD138" s="46" t="n"/>
      <c r="AE138" s="46" t="n"/>
      <c r="AF138" s="46" t="n"/>
      <c r="AG138" s="46" t="n"/>
      <c r="AH138" s="47" t="n"/>
      <c r="AI138" s="47" t="n"/>
      <c r="AJ138" s="47" t="n"/>
      <c r="AK138" s="47" t="n"/>
      <c r="AL138" s="47" t="n"/>
      <c r="AM138" s="47" t="n"/>
      <c r="AN138" s="47" t="n"/>
      <c r="AO138" s="47" t="n"/>
      <c r="AP138" s="47" t="n"/>
      <c r="AQ138" s="47" t="n"/>
      <c r="AR138" s="47" t="n"/>
      <c r="AS138" s="47" t="n"/>
      <c r="AT138" s="47" t="n"/>
      <c r="AU138" s="48" t="n"/>
      <c r="AV138" s="48" t="n"/>
      <c r="AW138" s="49">
        <f>IF($A138="","",IF($BW138&lt;&gt;"","FIX",IF($BX138&lt;&gt;"","CHECK","OK")))</f>
        <v/>
      </c>
      <c r="AX138" s="50">
        <f>IF($A138="","",IF($BW138&lt;&gt;"","FIX: "&amp;LEFT($BW138,LEN($BW138)-2)&amp;IF($BX138&lt;&gt;"","  ·  ",""),"")&amp;IF($BX138&lt;&gt;"","CHECK: "&amp;LEFT($BX138,LEN($BX138)-2),""))</f>
        <v/>
      </c>
      <c r="AY138" s="49">
        <f>IF(OR($A138="",$K138=""),"",$K138&amp;"'-"&amp;N($L138)&amp;CHAR(34)&amp;" x "&amp;$M138&amp;"'-"&amp;N($N138)&amp;CHAR(34))</f>
        <v/>
      </c>
      <c r="AZ138" s="49">
        <f>IF(OR($A138="",$K138=""),"",$K138&amp;N($L138)&amp;$M138&amp;N($N138))</f>
        <v/>
      </c>
      <c r="BA138" s="49">
        <f>IF(OR($A138="",$K138=""),"",$K138*12+N($L138))</f>
        <v/>
      </c>
      <c r="BB138" s="49">
        <f>IF(OR($A138="",$M138=""),"",$M138*12+N($N138))</f>
        <v/>
      </c>
      <c r="BC138" s="49">
        <f>IF($A138="","",IF(OR($C138="FRAME ONLY",$S138="BL"),0,IF($O138="Y",2,1)))</f>
        <v/>
      </c>
      <c r="BD138" s="51">
        <f>IF(OR(N($BC138)=0,$BA138=""),"",($BA138-2*EdgeClr-IF($BC138=2,MeetClr,0))/$BC138)</f>
        <v/>
      </c>
      <c r="BE138" s="51">
        <f>IF(OR(N($BC138)=0,$BB138=""),"",$BB138-HeadClr-Undercut)</f>
        <v/>
      </c>
      <c r="BF138" s="51">
        <f>IF($BA138="","",$BA138+2*FaceW+IF(N($Q138)&gt;0,($Q138+FaceW)*IF($R138="LR",2,1),0))</f>
        <v/>
      </c>
      <c r="BG138" s="51">
        <f>IF($BB138="","",$BB138+IF($AB138="Y",4,FaceW)+IF(N($P138)&gt;0,$P138+FaceW,0)+IF(OR($S138="4F",$S138="BL"),FaceW,0))</f>
        <v/>
      </c>
      <c r="BH138" s="51">
        <f>IF($BF138="","",$BF138+2*ROSide)</f>
        <v/>
      </c>
      <c r="BI138" s="51">
        <f>IF($BG138="","",$BG138+ROTop)</f>
        <v/>
      </c>
      <c r="BJ138" s="52">
        <f>IF(OR(N($BC138)=0,$BA138=""),"",$BA138/$BC138-ClearDeduct)</f>
        <v/>
      </c>
      <c r="BK138" s="49">
        <f>IF(OR(N($BC138)=0,$BE138=""),"",IF(OR($AC138="HGC",$AP138="HGC"),"CONT",IF($BE138&lt;=60,2,IF($BE138&lt;=90,3,IF($BE138&lt;=120,4,5)))))</f>
        <v/>
      </c>
      <c r="BL138" s="49">
        <f>IF(N($BC138)=0,"",IF(OR($AL138="",$AL138="FLUSH"),"FLUSH",IFERROR(LEFT($AL138,FIND("-",$AL138)-1),LEFT($AL138,2))))</f>
        <v/>
      </c>
      <c r="BM138" s="49">
        <f>IF($BL138="","",IFERROR(VALUE(MID($AL138,FIND("-",$AL138)+1,FIND(CHAR(34)&amp;"x",$AL138)-FIND("-",$AL138)-1)),0))</f>
        <v/>
      </c>
      <c r="BN138" s="49">
        <f>IF($BL138="","",IFERROR(VALUE(MID($AL138,FIND(CHAR(34)&amp;"x",$AL138)+2,FIND(CHAR(34),$AL138,FIND(CHAR(34)&amp;"x",$AL138)+2)-FIND(CHAR(34)&amp;"x",$AL138)-2)),0))</f>
        <v/>
      </c>
      <c r="BO138" s="53">
        <f>IF(OR($A138="",$H138="",$H138="NO LAB"),0,IFERROR(VALUE(LEFT($H138,FIND(" ",$H138)-1)),0))</f>
        <v/>
      </c>
      <c r="BP138" s="54">
        <f>IF(OR($A138="",$I138="",$I138="NON-RATED",N($J138)=0),"",IFERROR(VLOOKUP($I138&amp;"|"&amp;$J138,IBC,2,FALSE),"?"))</f>
        <v/>
      </c>
      <c r="BQ138" s="50">
        <f>IF(NOT(AND($A138&lt;&gt;"",$C138&lt;&gt;"DOOR ONLY")),"",TRIM(IFERROR(VLOOKUP($U138,CODES,2,FALSE),"")&amp;" "&amp;$AZ138&amp;" "&amp;IFERROR(VLOOKUP($Z138,CODES,2,FALSE),"")&amp;" "&amp;IFERROR(VLOOKUP($X138,CODES,2,FALSE),"")&amp;" "&amp;IFERROR(VLOOKUP($S138,CODES,2,FALSE),"")&amp;IF(N($P138)&gt;0," w/TRANSOM "&amp;$P138&amp;CHAR(34),"")&amp;IF(N($Q138)&gt;0," w/SIDELITE "&amp;$Q138&amp;CHAR(34)&amp;" "&amp;IF($R138="","R",$R138),"")&amp;IF($Y138="","  |  "," | "&amp;IFERROR(VLOOKUP($Y138,CODES,2,FALSE),"")&amp;" | ")&amp;IFERROR(VLOOKUP($AC138,CODES,2,FALSE),"")&amp;" "&amp;IFERROR(VLOOKUP($AD138,CODES,2,FALSE),"")&amp;IF(OR($AE138="",$AE138="-"),""," "&amp;$AE138)&amp;IF(OR($AF138="",$AF138="-"),""," "&amp;$AF138)&amp;IF($AB138="Y"," 4"&amp;CHAR(34)&amp;" HEAD","")&amp;" "&amp;IFERROR(VLOOKUP($H138,CODES,2,FALSE),"")))</f>
        <v/>
      </c>
      <c r="BR138" s="50">
        <f>IF(NOT(AND($A138&lt;&gt;"",N($BC138)&gt;0)),"",TRIM(IFERROR(VLOOKUP($AH138,CODES,2,FALSE),"")&amp;IF($AI138=""," "," "&amp;$AI138&amp;"GA ")&amp;$AZ138&amp;" "&amp;IF($AN138="",IFERROR(VLOOKUP($Z138,CODES,2,FALSE),""),IFERROR(VLOOKUP($AN138,CODES,2,FALSE),""))&amp;IF($BC138=2," PAIR","")&amp;" DOOR | "&amp;IF($AL138="","?",$AL138)&amp;" | "&amp;IF($AP138="",IFERROR(VLOOKUP($AC138,CODES,2,FALSE),""),IFERROR(VLOOKUP($AP138,CODES,2,FALSE),""))&amp;" "&amp;IFERROR(VLOOKUP($AQ138,CODES,2,FALSE),"")&amp;IF(OR($AR138="",$AR138="-"),""," SEAM "&amp;$AR138)&amp;IF($AS138="Y"," ASTRAGAL","")&amp;IF($AJ138=""," "," "&amp;$AJ138)&amp;IF($AK138=""," "," "&amp;$AK138)&amp;IF($AO138="",""," "&amp;$AO138)&amp;IF($AM138=""," "," SERIES "&amp;$AM138)&amp;" "&amp;IFERROR(VLOOKUP($H138,CODES,2,FALSE),"")))</f>
        <v/>
      </c>
      <c r="BS138" s="49">
        <f>IF(BV138="","",IF(COUNTIF($BV$6:BV138,BV138)=1,MAX($BS$5:BS137)+1,INDEX($BS$5:BS137,MATCH(BV138,$BV$5:BV137,0))))</f>
        <v/>
      </c>
      <c r="BT138" s="49">
        <f>IF(NOT(AND($A138&lt;&gt;"",$C138&lt;&gt;"DOOR ONLY")),"",MAX($BT$5:BT137)+1)</f>
        <v/>
      </c>
      <c r="BU138" s="49">
        <f>IF(NOT(AND($A138&lt;&gt;"",N($BC138)&gt;0)),"",MAX($BU$5:BU137)+1)</f>
        <v/>
      </c>
      <c r="BV138" s="49">
        <f>IF(OR($A138="",$BA138="",$BB138=""),"",$AZ138&amp;"|"&amp;$O138&amp;"|"&amp;$AL138&amp;"|"&amp;$S138&amp;"|"&amp;$P138&amp;"|"&amp;$Q138&amp;$R138&amp;"|"&amp;$C138&amp;"|"&amp;$AB138)</f>
        <v/>
      </c>
      <c r="BW138" s="49">
        <f>IF($A138="","",IF($B138="","qty, ","")&amp;IF($C138="","scope, ","")&amp;IF(OR($K138="",$M138=""),"size, ","")&amp;IF(AND($A138&lt;&gt;"",$C138&lt;&gt;"DOOR ONLY"),IF($U138="","jamb depth, ","")&amp;IF($X138="","construction, ","")&amp;IF($Y138="","anchor, ","")&amp;IF($S138="","frame type, ",""),"")&amp;IF(AND(N($BC138)&gt;0,$Z138=""),"hand, ","")&amp;IF(N($BC138)&gt;0,IF($AH138="","door material, ","")&amp;IF($AL138="","face type, ","")&amp;IF($AQ138="","lock prep, ","")&amp;IF(AND($AP138="",$AC138=""),"hinge prep, ",""),"")&amp;IF(AND($BO138&gt;0,$AH138="FRP"),"FRP cannot carry a label, ","")&amp;IF(AND($O138="Y",OR($Z138="L",$Z138="R",$Z138="LR",$Z138="RR")),"pair marked but hand is single, ","")&amp;IF(AND($O138&lt;&gt;"Y",OR($Z138="PR",AND(LEN($Z138)&gt;1,ISNUMBER(SEARCH("-",$Z138))))),"pair hand on a single door, ","")&amp;IF(AND(ISNUMBER($BP138),$BO138&lt;N($BP138)),"wall needs a "&amp;$BP138&amp;" min door, ","")&amp;IF(AND($BO138&gt;=180,AND(OR($BL138="FG",$BL138="HG",$BL138="FNV",$BL138="FV"),N($BM138)*N($BN138)&gt;100)),"180 min lite over 100 sq in, ","")&amp;IF(N($BD138)&gt;48,"leaf wider than 4'-0"&amp;CHAR(34)&amp;", ",""))</f>
        <v/>
      </c>
      <c r="BX138" s="49">
        <f>IF($A138="","",IF(AND($BO138&gt;0,AND($A138&lt;&gt;"",$C138&lt;&gt;"DOOR ONLY"),$X138="KD",$E138="EXTERIOR"),"KD label on an exterior opening, ","")&amp;IF(AND($E138="EXTERIOR",OR(AND(AND($A138&lt;&gt;"",$C138&lt;&gt;"DOOR ONLY"),$W138="CR"),AND(N($BC138)&gt;0,$AH138="CR"))),"exterior in CR steel (G9?), ","")&amp;IF(AND(ISNUMBER($BJ138),N($BJ138)&lt;32),"clear width ~"&amp;TEXT($BJ138,"0.0")&amp;CHAR(34)&amp;" under 32"&amp;CHAR(34)&amp;" (ADA), ","")&amp;IF(AND($BO138=90,AND(OR($BL138="FG",$BL138="HG",$BL138="FNV",$BL138="FV"),N($BM138)*N($BN138)&gt;100)),"90 min lite over 100 sq in (stair/exit), ","")&amp;IF(AND($BO138&gt;0,AND($A138&lt;&gt;"",$C138&lt;&gt;"DOOR ONLY"),OR($AF138="",$AF138="-")),"rated: closer reinf.?, ","")&amp;IF(OR($I138="CORRIDOR",$I138="SMOKE BARRIER"),"S label + smoke gasketing, ","")&amp;IF($BP138="?","wall type/hr not in IBC table, ","")&amp;IF(AND(N($BC138)&gt;0,$AU138=""),"no hardware set, ","")&amp;IF(AND($AU138&lt;&gt;"",ISNA(MATCH($AU138,HWSets,0))),"set "&amp;$AU138&amp;" not on Hardware sheet, ","")&amp;IF(N($BE138)&gt;96,"leaf over 8'-0"&amp;CHAR(34)&amp;" - check listing, ",""))</f>
        <v/>
      </c>
    </row>
    <row r="139" ht="15" customHeight="1">
      <c r="A139" s="44" t="n"/>
      <c r="B139" s="45" t="n"/>
      <c r="C139" s="45" t="n"/>
      <c r="D139" s="45" t="n"/>
      <c r="E139" s="45" t="n"/>
      <c r="F139" s="45" t="n"/>
      <c r="G139" s="45" t="n"/>
      <c r="H139" s="45" t="n"/>
      <c r="I139" s="45" t="n"/>
      <c r="J139" s="45" t="n"/>
      <c r="K139" s="45" t="n"/>
      <c r="L139" s="45" t="n"/>
      <c r="M139" s="45" t="n"/>
      <c r="N139" s="45" t="n"/>
      <c r="O139" s="45" t="n"/>
      <c r="P139" s="45" t="n"/>
      <c r="Q139" s="45" t="n"/>
      <c r="R139" s="45" t="n"/>
      <c r="S139" s="46" t="n"/>
      <c r="T139" s="46" t="n"/>
      <c r="U139" s="46" t="n"/>
      <c r="V139" s="46" t="n"/>
      <c r="W139" s="46" t="n"/>
      <c r="X139" s="46" t="n"/>
      <c r="Y139" s="46" t="n"/>
      <c r="Z139" s="46" t="n"/>
      <c r="AA139" s="46" t="n"/>
      <c r="AB139" s="46" t="n"/>
      <c r="AC139" s="46" t="n"/>
      <c r="AD139" s="46" t="n"/>
      <c r="AE139" s="46" t="n"/>
      <c r="AF139" s="46" t="n"/>
      <c r="AG139" s="46" t="n"/>
      <c r="AH139" s="47" t="n"/>
      <c r="AI139" s="47" t="n"/>
      <c r="AJ139" s="47" t="n"/>
      <c r="AK139" s="47" t="n"/>
      <c r="AL139" s="47" t="n"/>
      <c r="AM139" s="47" t="n"/>
      <c r="AN139" s="47" t="n"/>
      <c r="AO139" s="47" t="n"/>
      <c r="AP139" s="47" t="n"/>
      <c r="AQ139" s="47" t="n"/>
      <c r="AR139" s="47" t="n"/>
      <c r="AS139" s="47" t="n"/>
      <c r="AT139" s="47" t="n"/>
      <c r="AU139" s="48" t="n"/>
      <c r="AV139" s="48" t="n"/>
      <c r="AW139" s="49">
        <f>IF($A139="","",IF($BW139&lt;&gt;"","FIX",IF($BX139&lt;&gt;"","CHECK","OK")))</f>
        <v/>
      </c>
      <c r="AX139" s="50">
        <f>IF($A139="","",IF($BW139&lt;&gt;"","FIX: "&amp;LEFT($BW139,LEN($BW139)-2)&amp;IF($BX139&lt;&gt;"","  ·  ",""),"")&amp;IF($BX139&lt;&gt;"","CHECK: "&amp;LEFT($BX139,LEN($BX139)-2),""))</f>
        <v/>
      </c>
      <c r="AY139" s="49">
        <f>IF(OR($A139="",$K139=""),"",$K139&amp;"'-"&amp;N($L139)&amp;CHAR(34)&amp;" x "&amp;$M139&amp;"'-"&amp;N($N139)&amp;CHAR(34))</f>
        <v/>
      </c>
      <c r="AZ139" s="49">
        <f>IF(OR($A139="",$K139=""),"",$K139&amp;N($L139)&amp;$M139&amp;N($N139))</f>
        <v/>
      </c>
      <c r="BA139" s="49">
        <f>IF(OR($A139="",$K139=""),"",$K139*12+N($L139))</f>
        <v/>
      </c>
      <c r="BB139" s="49">
        <f>IF(OR($A139="",$M139=""),"",$M139*12+N($N139))</f>
        <v/>
      </c>
      <c r="BC139" s="49">
        <f>IF($A139="","",IF(OR($C139="FRAME ONLY",$S139="BL"),0,IF($O139="Y",2,1)))</f>
        <v/>
      </c>
      <c r="BD139" s="51">
        <f>IF(OR(N($BC139)=0,$BA139=""),"",($BA139-2*EdgeClr-IF($BC139=2,MeetClr,0))/$BC139)</f>
        <v/>
      </c>
      <c r="BE139" s="51">
        <f>IF(OR(N($BC139)=0,$BB139=""),"",$BB139-HeadClr-Undercut)</f>
        <v/>
      </c>
      <c r="BF139" s="51">
        <f>IF($BA139="","",$BA139+2*FaceW+IF(N($Q139)&gt;0,($Q139+FaceW)*IF($R139="LR",2,1),0))</f>
        <v/>
      </c>
      <c r="BG139" s="51">
        <f>IF($BB139="","",$BB139+IF($AB139="Y",4,FaceW)+IF(N($P139)&gt;0,$P139+FaceW,0)+IF(OR($S139="4F",$S139="BL"),FaceW,0))</f>
        <v/>
      </c>
      <c r="BH139" s="51">
        <f>IF($BF139="","",$BF139+2*ROSide)</f>
        <v/>
      </c>
      <c r="BI139" s="51">
        <f>IF($BG139="","",$BG139+ROTop)</f>
        <v/>
      </c>
      <c r="BJ139" s="52">
        <f>IF(OR(N($BC139)=0,$BA139=""),"",$BA139/$BC139-ClearDeduct)</f>
        <v/>
      </c>
      <c r="BK139" s="49">
        <f>IF(OR(N($BC139)=0,$BE139=""),"",IF(OR($AC139="HGC",$AP139="HGC"),"CONT",IF($BE139&lt;=60,2,IF($BE139&lt;=90,3,IF($BE139&lt;=120,4,5)))))</f>
        <v/>
      </c>
      <c r="BL139" s="49">
        <f>IF(N($BC139)=0,"",IF(OR($AL139="",$AL139="FLUSH"),"FLUSH",IFERROR(LEFT($AL139,FIND("-",$AL139)-1),LEFT($AL139,2))))</f>
        <v/>
      </c>
      <c r="BM139" s="49">
        <f>IF($BL139="","",IFERROR(VALUE(MID($AL139,FIND("-",$AL139)+1,FIND(CHAR(34)&amp;"x",$AL139)-FIND("-",$AL139)-1)),0))</f>
        <v/>
      </c>
      <c r="BN139" s="49">
        <f>IF($BL139="","",IFERROR(VALUE(MID($AL139,FIND(CHAR(34)&amp;"x",$AL139)+2,FIND(CHAR(34),$AL139,FIND(CHAR(34)&amp;"x",$AL139)+2)-FIND(CHAR(34)&amp;"x",$AL139)-2)),0))</f>
        <v/>
      </c>
      <c r="BO139" s="53">
        <f>IF(OR($A139="",$H139="",$H139="NO LAB"),0,IFERROR(VALUE(LEFT($H139,FIND(" ",$H139)-1)),0))</f>
        <v/>
      </c>
      <c r="BP139" s="54">
        <f>IF(OR($A139="",$I139="",$I139="NON-RATED",N($J139)=0),"",IFERROR(VLOOKUP($I139&amp;"|"&amp;$J139,IBC,2,FALSE),"?"))</f>
        <v/>
      </c>
      <c r="BQ139" s="50">
        <f>IF(NOT(AND($A139&lt;&gt;"",$C139&lt;&gt;"DOOR ONLY")),"",TRIM(IFERROR(VLOOKUP($U139,CODES,2,FALSE),"")&amp;" "&amp;$AZ139&amp;" "&amp;IFERROR(VLOOKUP($Z139,CODES,2,FALSE),"")&amp;" "&amp;IFERROR(VLOOKUP($X139,CODES,2,FALSE),"")&amp;" "&amp;IFERROR(VLOOKUP($S139,CODES,2,FALSE),"")&amp;IF(N($P139)&gt;0," w/TRANSOM "&amp;$P139&amp;CHAR(34),"")&amp;IF(N($Q139)&gt;0," w/SIDELITE "&amp;$Q139&amp;CHAR(34)&amp;" "&amp;IF($R139="","R",$R139),"")&amp;IF($Y139="","  |  "," | "&amp;IFERROR(VLOOKUP($Y139,CODES,2,FALSE),"")&amp;" | ")&amp;IFERROR(VLOOKUP($AC139,CODES,2,FALSE),"")&amp;" "&amp;IFERROR(VLOOKUP($AD139,CODES,2,FALSE),"")&amp;IF(OR($AE139="",$AE139="-"),""," "&amp;$AE139)&amp;IF(OR($AF139="",$AF139="-"),""," "&amp;$AF139)&amp;IF($AB139="Y"," 4"&amp;CHAR(34)&amp;" HEAD","")&amp;" "&amp;IFERROR(VLOOKUP($H139,CODES,2,FALSE),"")))</f>
        <v/>
      </c>
      <c r="BR139" s="50">
        <f>IF(NOT(AND($A139&lt;&gt;"",N($BC139)&gt;0)),"",TRIM(IFERROR(VLOOKUP($AH139,CODES,2,FALSE),"")&amp;IF($AI139=""," "," "&amp;$AI139&amp;"GA ")&amp;$AZ139&amp;" "&amp;IF($AN139="",IFERROR(VLOOKUP($Z139,CODES,2,FALSE),""),IFERROR(VLOOKUP($AN139,CODES,2,FALSE),""))&amp;IF($BC139=2," PAIR","")&amp;" DOOR | "&amp;IF($AL139="","?",$AL139)&amp;" | "&amp;IF($AP139="",IFERROR(VLOOKUP($AC139,CODES,2,FALSE),""),IFERROR(VLOOKUP($AP139,CODES,2,FALSE),""))&amp;" "&amp;IFERROR(VLOOKUP($AQ139,CODES,2,FALSE),"")&amp;IF(OR($AR139="",$AR139="-"),""," SEAM "&amp;$AR139)&amp;IF($AS139="Y"," ASTRAGAL","")&amp;IF($AJ139=""," "," "&amp;$AJ139)&amp;IF($AK139=""," "," "&amp;$AK139)&amp;IF($AO139="",""," "&amp;$AO139)&amp;IF($AM139=""," "," SERIES "&amp;$AM139)&amp;" "&amp;IFERROR(VLOOKUP($H139,CODES,2,FALSE),"")))</f>
        <v/>
      </c>
      <c r="BS139" s="49">
        <f>IF(BV139="","",IF(COUNTIF($BV$6:BV139,BV139)=1,MAX($BS$5:BS138)+1,INDEX($BS$5:BS138,MATCH(BV139,$BV$5:BV138,0))))</f>
        <v/>
      </c>
      <c r="BT139" s="49">
        <f>IF(NOT(AND($A139&lt;&gt;"",$C139&lt;&gt;"DOOR ONLY")),"",MAX($BT$5:BT138)+1)</f>
        <v/>
      </c>
      <c r="BU139" s="49">
        <f>IF(NOT(AND($A139&lt;&gt;"",N($BC139)&gt;0)),"",MAX($BU$5:BU138)+1)</f>
        <v/>
      </c>
      <c r="BV139" s="49">
        <f>IF(OR($A139="",$BA139="",$BB139=""),"",$AZ139&amp;"|"&amp;$O139&amp;"|"&amp;$AL139&amp;"|"&amp;$S139&amp;"|"&amp;$P139&amp;"|"&amp;$Q139&amp;$R139&amp;"|"&amp;$C139&amp;"|"&amp;$AB139)</f>
        <v/>
      </c>
      <c r="BW139" s="49">
        <f>IF($A139="","",IF($B139="","qty, ","")&amp;IF($C139="","scope, ","")&amp;IF(OR($K139="",$M139=""),"size, ","")&amp;IF(AND($A139&lt;&gt;"",$C139&lt;&gt;"DOOR ONLY"),IF($U139="","jamb depth, ","")&amp;IF($X139="","construction, ","")&amp;IF($Y139="","anchor, ","")&amp;IF($S139="","frame type, ",""),"")&amp;IF(AND(N($BC139)&gt;0,$Z139=""),"hand, ","")&amp;IF(N($BC139)&gt;0,IF($AH139="","door material, ","")&amp;IF($AL139="","face type, ","")&amp;IF($AQ139="","lock prep, ","")&amp;IF(AND($AP139="",$AC139=""),"hinge prep, ",""),"")&amp;IF(AND($BO139&gt;0,$AH139="FRP"),"FRP cannot carry a label, ","")&amp;IF(AND($O139="Y",OR($Z139="L",$Z139="R",$Z139="LR",$Z139="RR")),"pair marked but hand is single, ","")&amp;IF(AND($O139&lt;&gt;"Y",OR($Z139="PR",AND(LEN($Z139)&gt;1,ISNUMBER(SEARCH("-",$Z139))))),"pair hand on a single door, ","")&amp;IF(AND(ISNUMBER($BP139),$BO139&lt;N($BP139)),"wall needs a "&amp;$BP139&amp;" min door, ","")&amp;IF(AND($BO139&gt;=180,AND(OR($BL139="FG",$BL139="HG",$BL139="FNV",$BL139="FV"),N($BM139)*N($BN139)&gt;100)),"180 min lite over 100 sq in, ","")&amp;IF(N($BD139)&gt;48,"leaf wider than 4'-0"&amp;CHAR(34)&amp;", ",""))</f>
        <v/>
      </c>
      <c r="BX139" s="49">
        <f>IF($A139="","",IF(AND($BO139&gt;0,AND($A139&lt;&gt;"",$C139&lt;&gt;"DOOR ONLY"),$X139="KD",$E139="EXTERIOR"),"KD label on an exterior opening, ","")&amp;IF(AND($E139="EXTERIOR",OR(AND(AND($A139&lt;&gt;"",$C139&lt;&gt;"DOOR ONLY"),$W139="CR"),AND(N($BC139)&gt;0,$AH139="CR"))),"exterior in CR steel (G9?), ","")&amp;IF(AND(ISNUMBER($BJ139),N($BJ139)&lt;32),"clear width ~"&amp;TEXT($BJ139,"0.0")&amp;CHAR(34)&amp;" under 32"&amp;CHAR(34)&amp;" (ADA), ","")&amp;IF(AND($BO139=90,AND(OR($BL139="FG",$BL139="HG",$BL139="FNV",$BL139="FV"),N($BM139)*N($BN139)&gt;100)),"90 min lite over 100 sq in (stair/exit), ","")&amp;IF(AND($BO139&gt;0,AND($A139&lt;&gt;"",$C139&lt;&gt;"DOOR ONLY"),OR($AF139="",$AF139="-")),"rated: closer reinf.?, ","")&amp;IF(OR($I139="CORRIDOR",$I139="SMOKE BARRIER"),"S label + smoke gasketing, ","")&amp;IF($BP139="?","wall type/hr not in IBC table, ","")&amp;IF(AND(N($BC139)&gt;0,$AU139=""),"no hardware set, ","")&amp;IF(AND($AU139&lt;&gt;"",ISNA(MATCH($AU139,HWSets,0))),"set "&amp;$AU139&amp;" not on Hardware sheet, ","")&amp;IF(N($BE139)&gt;96,"leaf over 8'-0"&amp;CHAR(34)&amp;" - check listing, ",""))</f>
        <v/>
      </c>
    </row>
    <row r="140" ht="15" customHeight="1">
      <c r="A140" s="44" t="n"/>
      <c r="B140" s="45" t="n"/>
      <c r="C140" s="45" t="n"/>
      <c r="D140" s="45" t="n"/>
      <c r="E140" s="45" t="n"/>
      <c r="F140" s="45" t="n"/>
      <c r="G140" s="45" t="n"/>
      <c r="H140" s="45" t="n"/>
      <c r="I140" s="45" t="n"/>
      <c r="J140" s="45" t="n"/>
      <c r="K140" s="45" t="n"/>
      <c r="L140" s="45" t="n"/>
      <c r="M140" s="45" t="n"/>
      <c r="N140" s="45" t="n"/>
      <c r="O140" s="45" t="n"/>
      <c r="P140" s="45" t="n"/>
      <c r="Q140" s="45" t="n"/>
      <c r="R140" s="45" t="n"/>
      <c r="S140" s="46" t="n"/>
      <c r="T140" s="46" t="n"/>
      <c r="U140" s="46" t="n"/>
      <c r="V140" s="46" t="n"/>
      <c r="W140" s="46" t="n"/>
      <c r="X140" s="46" t="n"/>
      <c r="Y140" s="46" t="n"/>
      <c r="Z140" s="46" t="n"/>
      <c r="AA140" s="46" t="n"/>
      <c r="AB140" s="46" t="n"/>
      <c r="AC140" s="46" t="n"/>
      <c r="AD140" s="46" t="n"/>
      <c r="AE140" s="46" t="n"/>
      <c r="AF140" s="46" t="n"/>
      <c r="AG140" s="46" t="n"/>
      <c r="AH140" s="47" t="n"/>
      <c r="AI140" s="47" t="n"/>
      <c r="AJ140" s="47" t="n"/>
      <c r="AK140" s="47" t="n"/>
      <c r="AL140" s="47" t="n"/>
      <c r="AM140" s="47" t="n"/>
      <c r="AN140" s="47" t="n"/>
      <c r="AO140" s="47" t="n"/>
      <c r="AP140" s="47" t="n"/>
      <c r="AQ140" s="47" t="n"/>
      <c r="AR140" s="47" t="n"/>
      <c r="AS140" s="47" t="n"/>
      <c r="AT140" s="47" t="n"/>
      <c r="AU140" s="48" t="n"/>
      <c r="AV140" s="48" t="n"/>
      <c r="AW140" s="49">
        <f>IF($A140="","",IF($BW140&lt;&gt;"","FIX",IF($BX140&lt;&gt;"","CHECK","OK")))</f>
        <v/>
      </c>
      <c r="AX140" s="50">
        <f>IF($A140="","",IF($BW140&lt;&gt;"","FIX: "&amp;LEFT($BW140,LEN($BW140)-2)&amp;IF($BX140&lt;&gt;"","  ·  ",""),"")&amp;IF($BX140&lt;&gt;"","CHECK: "&amp;LEFT($BX140,LEN($BX140)-2),""))</f>
        <v/>
      </c>
      <c r="AY140" s="49">
        <f>IF(OR($A140="",$K140=""),"",$K140&amp;"'-"&amp;N($L140)&amp;CHAR(34)&amp;" x "&amp;$M140&amp;"'-"&amp;N($N140)&amp;CHAR(34))</f>
        <v/>
      </c>
      <c r="AZ140" s="49">
        <f>IF(OR($A140="",$K140=""),"",$K140&amp;N($L140)&amp;$M140&amp;N($N140))</f>
        <v/>
      </c>
      <c r="BA140" s="49">
        <f>IF(OR($A140="",$K140=""),"",$K140*12+N($L140))</f>
        <v/>
      </c>
      <c r="BB140" s="49">
        <f>IF(OR($A140="",$M140=""),"",$M140*12+N($N140))</f>
        <v/>
      </c>
      <c r="BC140" s="49">
        <f>IF($A140="","",IF(OR($C140="FRAME ONLY",$S140="BL"),0,IF($O140="Y",2,1)))</f>
        <v/>
      </c>
      <c r="BD140" s="51">
        <f>IF(OR(N($BC140)=0,$BA140=""),"",($BA140-2*EdgeClr-IF($BC140=2,MeetClr,0))/$BC140)</f>
        <v/>
      </c>
      <c r="BE140" s="51">
        <f>IF(OR(N($BC140)=0,$BB140=""),"",$BB140-HeadClr-Undercut)</f>
        <v/>
      </c>
      <c r="BF140" s="51">
        <f>IF($BA140="","",$BA140+2*FaceW+IF(N($Q140)&gt;0,($Q140+FaceW)*IF($R140="LR",2,1),0))</f>
        <v/>
      </c>
      <c r="BG140" s="51">
        <f>IF($BB140="","",$BB140+IF($AB140="Y",4,FaceW)+IF(N($P140)&gt;0,$P140+FaceW,0)+IF(OR($S140="4F",$S140="BL"),FaceW,0))</f>
        <v/>
      </c>
      <c r="BH140" s="51">
        <f>IF($BF140="","",$BF140+2*ROSide)</f>
        <v/>
      </c>
      <c r="BI140" s="51">
        <f>IF($BG140="","",$BG140+ROTop)</f>
        <v/>
      </c>
      <c r="BJ140" s="52">
        <f>IF(OR(N($BC140)=0,$BA140=""),"",$BA140/$BC140-ClearDeduct)</f>
        <v/>
      </c>
      <c r="BK140" s="49">
        <f>IF(OR(N($BC140)=0,$BE140=""),"",IF(OR($AC140="HGC",$AP140="HGC"),"CONT",IF($BE140&lt;=60,2,IF($BE140&lt;=90,3,IF($BE140&lt;=120,4,5)))))</f>
        <v/>
      </c>
      <c r="BL140" s="49">
        <f>IF(N($BC140)=0,"",IF(OR($AL140="",$AL140="FLUSH"),"FLUSH",IFERROR(LEFT($AL140,FIND("-",$AL140)-1),LEFT($AL140,2))))</f>
        <v/>
      </c>
      <c r="BM140" s="49">
        <f>IF($BL140="","",IFERROR(VALUE(MID($AL140,FIND("-",$AL140)+1,FIND(CHAR(34)&amp;"x",$AL140)-FIND("-",$AL140)-1)),0))</f>
        <v/>
      </c>
      <c r="BN140" s="49">
        <f>IF($BL140="","",IFERROR(VALUE(MID($AL140,FIND(CHAR(34)&amp;"x",$AL140)+2,FIND(CHAR(34),$AL140,FIND(CHAR(34)&amp;"x",$AL140)+2)-FIND(CHAR(34)&amp;"x",$AL140)-2)),0))</f>
        <v/>
      </c>
      <c r="BO140" s="53">
        <f>IF(OR($A140="",$H140="",$H140="NO LAB"),0,IFERROR(VALUE(LEFT($H140,FIND(" ",$H140)-1)),0))</f>
        <v/>
      </c>
      <c r="BP140" s="54">
        <f>IF(OR($A140="",$I140="",$I140="NON-RATED",N($J140)=0),"",IFERROR(VLOOKUP($I140&amp;"|"&amp;$J140,IBC,2,FALSE),"?"))</f>
        <v/>
      </c>
      <c r="BQ140" s="50">
        <f>IF(NOT(AND($A140&lt;&gt;"",$C140&lt;&gt;"DOOR ONLY")),"",TRIM(IFERROR(VLOOKUP($U140,CODES,2,FALSE),"")&amp;" "&amp;$AZ140&amp;" "&amp;IFERROR(VLOOKUP($Z140,CODES,2,FALSE),"")&amp;" "&amp;IFERROR(VLOOKUP($X140,CODES,2,FALSE),"")&amp;" "&amp;IFERROR(VLOOKUP($S140,CODES,2,FALSE),"")&amp;IF(N($P140)&gt;0," w/TRANSOM "&amp;$P140&amp;CHAR(34),"")&amp;IF(N($Q140)&gt;0," w/SIDELITE "&amp;$Q140&amp;CHAR(34)&amp;" "&amp;IF($R140="","R",$R140),"")&amp;IF($Y140="","  |  "," | "&amp;IFERROR(VLOOKUP($Y140,CODES,2,FALSE),"")&amp;" | ")&amp;IFERROR(VLOOKUP($AC140,CODES,2,FALSE),"")&amp;" "&amp;IFERROR(VLOOKUP($AD140,CODES,2,FALSE),"")&amp;IF(OR($AE140="",$AE140="-"),""," "&amp;$AE140)&amp;IF(OR($AF140="",$AF140="-"),""," "&amp;$AF140)&amp;IF($AB140="Y"," 4"&amp;CHAR(34)&amp;" HEAD","")&amp;" "&amp;IFERROR(VLOOKUP($H140,CODES,2,FALSE),"")))</f>
        <v/>
      </c>
      <c r="BR140" s="50">
        <f>IF(NOT(AND($A140&lt;&gt;"",N($BC140)&gt;0)),"",TRIM(IFERROR(VLOOKUP($AH140,CODES,2,FALSE),"")&amp;IF($AI140=""," "," "&amp;$AI140&amp;"GA ")&amp;$AZ140&amp;" "&amp;IF($AN140="",IFERROR(VLOOKUP($Z140,CODES,2,FALSE),""),IFERROR(VLOOKUP($AN140,CODES,2,FALSE),""))&amp;IF($BC140=2," PAIR","")&amp;" DOOR | "&amp;IF($AL140="","?",$AL140)&amp;" | "&amp;IF($AP140="",IFERROR(VLOOKUP($AC140,CODES,2,FALSE),""),IFERROR(VLOOKUP($AP140,CODES,2,FALSE),""))&amp;" "&amp;IFERROR(VLOOKUP($AQ140,CODES,2,FALSE),"")&amp;IF(OR($AR140="",$AR140="-"),""," SEAM "&amp;$AR140)&amp;IF($AS140="Y"," ASTRAGAL","")&amp;IF($AJ140=""," "," "&amp;$AJ140)&amp;IF($AK140=""," "," "&amp;$AK140)&amp;IF($AO140="",""," "&amp;$AO140)&amp;IF($AM140=""," "," SERIES "&amp;$AM140)&amp;" "&amp;IFERROR(VLOOKUP($H140,CODES,2,FALSE),"")))</f>
        <v/>
      </c>
      <c r="BS140" s="49">
        <f>IF(BV140="","",IF(COUNTIF($BV$6:BV140,BV140)=1,MAX($BS$5:BS139)+1,INDEX($BS$5:BS139,MATCH(BV140,$BV$5:BV139,0))))</f>
        <v/>
      </c>
      <c r="BT140" s="49">
        <f>IF(NOT(AND($A140&lt;&gt;"",$C140&lt;&gt;"DOOR ONLY")),"",MAX($BT$5:BT139)+1)</f>
        <v/>
      </c>
      <c r="BU140" s="49">
        <f>IF(NOT(AND($A140&lt;&gt;"",N($BC140)&gt;0)),"",MAX($BU$5:BU139)+1)</f>
        <v/>
      </c>
      <c r="BV140" s="49">
        <f>IF(OR($A140="",$BA140="",$BB140=""),"",$AZ140&amp;"|"&amp;$O140&amp;"|"&amp;$AL140&amp;"|"&amp;$S140&amp;"|"&amp;$P140&amp;"|"&amp;$Q140&amp;$R140&amp;"|"&amp;$C140&amp;"|"&amp;$AB140)</f>
        <v/>
      </c>
      <c r="BW140" s="49">
        <f>IF($A140="","",IF($B140="","qty, ","")&amp;IF($C140="","scope, ","")&amp;IF(OR($K140="",$M140=""),"size, ","")&amp;IF(AND($A140&lt;&gt;"",$C140&lt;&gt;"DOOR ONLY"),IF($U140="","jamb depth, ","")&amp;IF($X140="","construction, ","")&amp;IF($Y140="","anchor, ","")&amp;IF($S140="","frame type, ",""),"")&amp;IF(AND(N($BC140)&gt;0,$Z140=""),"hand, ","")&amp;IF(N($BC140)&gt;0,IF($AH140="","door material, ","")&amp;IF($AL140="","face type, ","")&amp;IF($AQ140="","lock prep, ","")&amp;IF(AND($AP140="",$AC140=""),"hinge prep, ",""),"")&amp;IF(AND($BO140&gt;0,$AH140="FRP"),"FRP cannot carry a label, ","")&amp;IF(AND($O140="Y",OR($Z140="L",$Z140="R",$Z140="LR",$Z140="RR")),"pair marked but hand is single, ","")&amp;IF(AND($O140&lt;&gt;"Y",OR($Z140="PR",AND(LEN($Z140)&gt;1,ISNUMBER(SEARCH("-",$Z140))))),"pair hand on a single door, ","")&amp;IF(AND(ISNUMBER($BP140),$BO140&lt;N($BP140)),"wall needs a "&amp;$BP140&amp;" min door, ","")&amp;IF(AND($BO140&gt;=180,AND(OR($BL140="FG",$BL140="HG",$BL140="FNV",$BL140="FV"),N($BM140)*N($BN140)&gt;100)),"180 min lite over 100 sq in, ","")&amp;IF(N($BD140)&gt;48,"leaf wider than 4'-0"&amp;CHAR(34)&amp;", ",""))</f>
        <v/>
      </c>
      <c r="BX140" s="49">
        <f>IF($A140="","",IF(AND($BO140&gt;0,AND($A140&lt;&gt;"",$C140&lt;&gt;"DOOR ONLY"),$X140="KD",$E140="EXTERIOR"),"KD label on an exterior opening, ","")&amp;IF(AND($E140="EXTERIOR",OR(AND(AND($A140&lt;&gt;"",$C140&lt;&gt;"DOOR ONLY"),$W140="CR"),AND(N($BC140)&gt;0,$AH140="CR"))),"exterior in CR steel (G9?), ","")&amp;IF(AND(ISNUMBER($BJ140),N($BJ140)&lt;32),"clear width ~"&amp;TEXT($BJ140,"0.0")&amp;CHAR(34)&amp;" under 32"&amp;CHAR(34)&amp;" (ADA), ","")&amp;IF(AND($BO140=90,AND(OR($BL140="FG",$BL140="HG",$BL140="FNV",$BL140="FV"),N($BM140)*N($BN140)&gt;100)),"90 min lite over 100 sq in (stair/exit), ","")&amp;IF(AND($BO140&gt;0,AND($A140&lt;&gt;"",$C140&lt;&gt;"DOOR ONLY"),OR($AF140="",$AF140="-")),"rated: closer reinf.?, ","")&amp;IF(OR($I140="CORRIDOR",$I140="SMOKE BARRIER"),"S label + smoke gasketing, ","")&amp;IF($BP140="?","wall type/hr not in IBC table, ","")&amp;IF(AND(N($BC140)&gt;0,$AU140=""),"no hardware set, ","")&amp;IF(AND($AU140&lt;&gt;"",ISNA(MATCH($AU140,HWSets,0))),"set "&amp;$AU140&amp;" not on Hardware sheet, ","")&amp;IF(N($BE140)&gt;96,"leaf over 8'-0"&amp;CHAR(34)&amp;" - check listing, ",""))</f>
        <v/>
      </c>
    </row>
    <row r="141" ht="15" customHeight="1">
      <c r="A141" s="44" t="n"/>
      <c r="B141" s="45" t="n"/>
      <c r="C141" s="45" t="n"/>
      <c r="D141" s="45" t="n"/>
      <c r="E141" s="45" t="n"/>
      <c r="F141" s="45" t="n"/>
      <c r="G141" s="45" t="n"/>
      <c r="H141" s="45" t="n"/>
      <c r="I141" s="45" t="n"/>
      <c r="J141" s="45" t="n"/>
      <c r="K141" s="45" t="n"/>
      <c r="L141" s="45" t="n"/>
      <c r="M141" s="45" t="n"/>
      <c r="N141" s="45" t="n"/>
      <c r="O141" s="45" t="n"/>
      <c r="P141" s="45" t="n"/>
      <c r="Q141" s="45" t="n"/>
      <c r="R141" s="45" t="n"/>
      <c r="S141" s="46" t="n"/>
      <c r="T141" s="46" t="n"/>
      <c r="U141" s="46" t="n"/>
      <c r="V141" s="46" t="n"/>
      <c r="W141" s="46" t="n"/>
      <c r="X141" s="46" t="n"/>
      <c r="Y141" s="46" t="n"/>
      <c r="Z141" s="46" t="n"/>
      <c r="AA141" s="46" t="n"/>
      <c r="AB141" s="46" t="n"/>
      <c r="AC141" s="46" t="n"/>
      <c r="AD141" s="46" t="n"/>
      <c r="AE141" s="46" t="n"/>
      <c r="AF141" s="46" t="n"/>
      <c r="AG141" s="46" t="n"/>
      <c r="AH141" s="47" t="n"/>
      <c r="AI141" s="47" t="n"/>
      <c r="AJ141" s="47" t="n"/>
      <c r="AK141" s="47" t="n"/>
      <c r="AL141" s="47" t="n"/>
      <c r="AM141" s="47" t="n"/>
      <c r="AN141" s="47" t="n"/>
      <c r="AO141" s="47" t="n"/>
      <c r="AP141" s="47" t="n"/>
      <c r="AQ141" s="47" t="n"/>
      <c r="AR141" s="47" t="n"/>
      <c r="AS141" s="47" t="n"/>
      <c r="AT141" s="47" t="n"/>
      <c r="AU141" s="48" t="n"/>
      <c r="AV141" s="48" t="n"/>
      <c r="AW141" s="49">
        <f>IF($A141="","",IF($BW141&lt;&gt;"","FIX",IF($BX141&lt;&gt;"","CHECK","OK")))</f>
        <v/>
      </c>
      <c r="AX141" s="50">
        <f>IF($A141="","",IF($BW141&lt;&gt;"","FIX: "&amp;LEFT($BW141,LEN($BW141)-2)&amp;IF($BX141&lt;&gt;"","  ·  ",""),"")&amp;IF($BX141&lt;&gt;"","CHECK: "&amp;LEFT($BX141,LEN($BX141)-2),""))</f>
        <v/>
      </c>
      <c r="AY141" s="49">
        <f>IF(OR($A141="",$K141=""),"",$K141&amp;"'-"&amp;N($L141)&amp;CHAR(34)&amp;" x "&amp;$M141&amp;"'-"&amp;N($N141)&amp;CHAR(34))</f>
        <v/>
      </c>
      <c r="AZ141" s="49">
        <f>IF(OR($A141="",$K141=""),"",$K141&amp;N($L141)&amp;$M141&amp;N($N141))</f>
        <v/>
      </c>
      <c r="BA141" s="49">
        <f>IF(OR($A141="",$K141=""),"",$K141*12+N($L141))</f>
        <v/>
      </c>
      <c r="BB141" s="49">
        <f>IF(OR($A141="",$M141=""),"",$M141*12+N($N141))</f>
        <v/>
      </c>
      <c r="BC141" s="49">
        <f>IF($A141="","",IF(OR($C141="FRAME ONLY",$S141="BL"),0,IF($O141="Y",2,1)))</f>
        <v/>
      </c>
      <c r="BD141" s="51">
        <f>IF(OR(N($BC141)=0,$BA141=""),"",($BA141-2*EdgeClr-IF($BC141=2,MeetClr,0))/$BC141)</f>
        <v/>
      </c>
      <c r="BE141" s="51">
        <f>IF(OR(N($BC141)=0,$BB141=""),"",$BB141-HeadClr-Undercut)</f>
        <v/>
      </c>
      <c r="BF141" s="51">
        <f>IF($BA141="","",$BA141+2*FaceW+IF(N($Q141)&gt;0,($Q141+FaceW)*IF($R141="LR",2,1),0))</f>
        <v/>
      </c>
      <c r="BG141" s="51">
        <f>IF($BB141="","",$BB141+IF($AB141="Y",4,FaceW)+IF(N($P141)&gt;0,$P141+FaceW,0)+IF(OR($S141="4F",$S141="BL"),FaceW,0))</f>
        <v/>
      </c>
      <c r="BH141" s="51">
        <f>IF($BF141="","",$BF141+2*ROSide)</f>
        <v/>
      </c>
      <c r="BI141" s="51">
        <f>IF($BG141="","",$BG141+ROTop)</f>
        <v/>
      </c>
      <c r="BJ141" s="52">
        <f>IF(OR(N($BC141)=0,$BA141=""),"",$BA141/$BC141-ClearDeduct)</f>
        <v/>
      </c>
      <c r="BK141" s="49">
        <f>IF(OR(N($BC141)=0,$BE141=""),"",IF(OR($AC141="HGC",$AP141="HGC"),"CONT",IF($BE141&lt;=60,2,IF($BE141&lt;=90,3,IF($BE141&lt;=120,4,5)))))</f>
        <v/>
      </c>
      <c r="BL141" s="49">
        <f>IF(N($BC141)=0,"",IF(OR($AL141="",$AL141="FLUSH"),"FLUSH",IFERROR(LEFT($AL141,FIND("-",$AL141)-1),LEFT($AL141,2))))</f>
        <v/>
      </c>
      <c r="BM141" s="49">
        <f>IF($BL141="","",IFERROR(VALUE(MID($AL141,FIND("-",$AL141)+1,FIND(CHAR(34)&amp;"x",$AL141)-FIND("-",$AL141)-1)),0))</f>
        <v/>
      </c>
      <c r="BN141" s="49">
        <f>IF($BL141="","",IFERROR(VALUE(MID($AL141,FIND(CHAR(34)&amp;"x",$AL141)+2,FIND(CHAR(34),$AL141,FIND(CHAR(34)&amp;"x",$AL141)+2)-FIND(CHAR(34)&amp;"x",$AL141)-2)),0))</f>
        <v/>
      </c>
      <c r="BO141" s="53">
        <f>IF(OR($A141="",$H141="",$H141="NO LAB"),0,IFERROR(VALUE(LEFT($H141,FIND(" ",$H141)-1)),0))</f>
        <v/>
      </c>
      <c r="BP141" s="54">
        <f>IF(OR($A141="",$I141="",$I141="NON-RATED",N($J141)=0),"",IFERROR(VLOOKUP($I141&amp;"|"&amp;$J141,IBC,2,FALSE),"?"))</f>
        <v/>
      </c>
      <c r="BQ141" s="50">
        <f>IF(NOT(AND($A141&lt;&gt;"",$C141&lt;&gt;"DOOR ONLY")),"",TRIM(IFERROR(VLOOKUP($U141,CODES,2,FALSE),"")&amp;" "&amp;$AZ141&amp;" "&amp;IFERROR(VLOOKUP($Z141,CODES,2,FALSE),"")&amp;" "&amp;IFERROR(VLOOKUP($X141,CODES,2,FALSE),"")&amp;" "&amp;IFERROR(VLOOKUP($S141,CODES,2,FALSE),"")&amp;IF(N($P141)&gt;0," w/TRANSOM "&amp;$P141&amp;CHAR(34),"")&amp;IF(N($Q141)&gt;0," w/SIDELITE "&amp;$Q141&amp;CHAR(34)&amp;" "&amp;IF($R141="","R",$R141),"")&amp;IF($Y141="","  |  "," | "&amp;IFERROR(VLOOKUP($Y141,CODES,2,FALSE),"")&amp;" | ")&amp;IFERROR(VLOOKUP($AC141,CODES,2,FALSE),"")&amp;" "&amp;IFERROR(VLOOKUP($AD141,CODES,2,FALSE),"")&amp;IF(OR($AE141="",$AE141="-"),""," "&amp;$AE141)&amp;IF(OR($AF141="",$AF141="-"),""," "&amp;$AF141)&amp;IF($AB141="Y"," 4"&amp;CHAR(34)&amp;" HEAD","")&amp;" "&amp;IFERROR(VLOOKUP($H141,CODES,2,FALSE),"")))</f>
        <v/>
      </c>
      <c r="BR141" s="50">
        <f>IF(NOT(AND($A141&lt;&gt;"",N($BC141)&gt;0)),"",TRIM(IFERROR(VLOOKUP($AH141,CODES,2,FALSE),"")&amp;IF($AI141=""," "," "&amp;$AI141&amp;"GA ")&amp;$AZ141&amp;" "&amp;IF($AN141="",IFERROR(VLOOKUP($Z141,CODES,2,FALSE),""),IFERROR(VLOOKUP($AN141,CODES,2,FALSE),""))&amp;IF($BC141=2," PAIR","")&amp;" DOOR | "&amp;IF($AL141="","?",$AL141)&amp;" | "&amp;IF($AP141="",IFERROR(VLOOKUP($AC141,CODES,2,FALSE),""),IFERROR(VLOOKUP($AP141,CODES,2,FALSE),""))&amp;" "&amp;IFERROR(VLOOKUP($AQ141,CODES,2,FALSE),"")&amp;IF(OR($AR141="",$AR141="-"),""," SEAM "&amp;$AR141)&amp;IF($AS141="Y"," ASTRAGAL","")&amp;IF($AJ141=""," "," "&amp;$AJ141)&amp;IF($AK141=""," "," "&amp;$AK141)&amp;IF($AO141="",""," "&amp;$AO141)&amp;IF($AM141=""," "," SERIES "&amp;$AM141)&amp;" "&amp;IFERROR(VLOOKUP($H141,CODES,2,FALSE),"")))</f>
        <v/>
      </c>
      <c r="BS141" s="49">
        <f>IF(BV141="","",IF(COUNTIF($BV$6:BV141,BV141)=1,MAX($BS$5:BS140)+1,INDEX($BS$5:BS140,MATCH(BV141,$BV$5:BV140,0))))</f>
        <v/>
      </c>
      <c r="BT141" s="49">
        <f>IF(NOT(AND($A141&lt;&gt;"",$C141&lt;&gt;"DOOR ONLY")),"",MAX($BT$5:BT140)+1)</f>
        <v/>
      </c>
      <c r="BU141" s="49">
        <f>IF(NOT(AND($A141&lt;&gt;"",N($BC141)&gt;0)),"",MAX($BU$5:BU140)+1)</f>
        <v/>
      </c>
      <c r="BV141" s="49">
        <f>IF(OR($A141="",$BA141="",$BB141=""),"",$AZ141&amp;"|"&amp;$O141&amp;"|"&amp;$AL141&amp;"|"&amp;$S141&amp;"|"&amp;$P141&amp;"|"&amp;$Q141&amp;$R141&amp;"|"&amp;$C141&amp;"|"&amp;$AB141)</f>
        <v/>
      </c>
      <c r="BW141" s="49">
        <f>IF($A141="","",IF($B141="","qty, ","")&amp;IF($C141="","scope, ","")&amp;IF(OR($K141="",$M141=""),"size, ","")&amp;IF(AND($A141&lt;&gt;"",$C141&lt;&gt;"DOOR ONLY"),IF($U141="","jamb depth, ","")&amp;IF($X141="","construction, ","")&amp;IF($Y141="","anchor, ","")&amp;IF($S141="","frame type, ",""),"")&amp;IF(AND(N($BC141)&gt;0,$Z141=""),"hand, ","")&amp;IF(N($BC141)&gt;0,IF($AH141="","door material, ","")&amp;IF($AL141="","face type, ","")&amp;IF($AQ141="","lock prep, ","")&amp;IF(AND($AP141="",$AC141=""),"hinge prep, ",""),"")&amp;IF(AND($BO141&gt;0,$AH141="FRP"),"FRP cannot carry a label, ","")&amp;IF(AND($O141="Y",OR($Z141="L",$Z141="R",$Z141="LR",$Z141="RR")),"pair marked but hand is single, ","")&amp;IF(AND($O141&lt;&gt;"Y",OR($Z141="PR",AND(LEN($Z141)&gt;1,ISNUMBER(SEARCH("-",$Z141))))),"pair hand on a single door, ","")&amp;IF(AND(ISNUMBER($BP141),$BO141&lt;N($BP141)),"wall needs a "&amp;$BP141&amp;" min door, ","")&amp;IF(AND($BO141&gt;=180,AND(OR($BL141="FG",$BL141="HG",$BL141="FNV",$BL141="FV"),N($BM141)*N($BN141)&gt;100)),"180 min lite over 100 sq in, ","")&amp;IF(N($BD141)&gt;48,"leaf wider than 4'-0"&amp;CHAR(34)&amp;", ",""))</f>
        <v/>
      </c>
      <c r="BX141" s="49">
        <f>IF($A141="","",IF(AND($BO141&gt;0,AND($A141&lt;&gt;"",$C141&lt;&gt;"DOOR ONLY"),$X141="KD",$E141="EXTERIOR"),"KD label on an exterior opening, ","")&amp;IF(AND($E141="EXTERIOR",OR(AND(AND($A141&lt;&gt;"",$C141&lt;&gt;"DOOR ONLY"),$W141="CR"),AND(N($BC141)&gt;0,$AH141="CR"))),"exterior in CR steel (G9?), ","")&amp;IF(AND(ISNUMBER($BJ141),N($BJ141)&lt;32),"clear width ~"&amp;TEXT($BJ141,"0.0")&amp;CHAR(34)&amp;" under 32"&amp;CHAR(34)&amp;" (ADA), ","")&amp;IF(AND($BO141=90,AND(OR($BL141="FG",$BL141="HG",$BL141="FNV",$BL141="FV"),N($BM141)*N($BN141)&gt;100)),"90 min lite over 100 sq in (stair/exit), ","")&amp;IF(AND($BO141&gt;0,AND($A141&lt;&gt;"",$C141&lt;&gt;"DOOR ONLY"),OR($AF141="",$AF141="-")),"rated: closer reinf.?, ","")&amp;IF(OR($I141="CORRIDOR",$I141="SMOKE BARRIER"),"S label + smoke gasketing, ","")&amp;IF($BP141="?","wall type/hr not in IBC table, ","")&amp;IF(AND(N($BC141)&gt;0,$AU141=""),"no hardware set, ","")&amp;IF(AND($AU141&lt;&gt;"",ISNA(MATCH($AU141,HWSets,0))),"set "&amp;$AU141&amp;" not on Hardware sheet, ","")&amp;IF(N($BE141)&gt;96,"leaf over 8'-0"&amp;CHAR(34)&amp;" - check listing, ",""))</f>
        <v/>
      </c>
    </row>
    <row r="142" ht="15" customHeight="1">
      <c r="A142" s="44" t="n"/>
      <c r="B142" s="45" t="n"/>
      <c r="C142" s="45" t="n"/>
      <c r="D142" s="45" t="n"/>
      <c r="E142" s="45" t="n"/>
      <c r="F142" s="45" t="n"/>
      <c r="G142" s="45" t="n"/>
      <c r="H142" s="45" t="n"/>
      <c r="I142" s="45" t="n"/>
      <c r="J142" s="45" t="n"/>
      <c r="K142" s="45" t="n"/>
      <c r="L142" s="45" t="n"/>
      <c r="M142" s="45" t="n"/>
      <c r="N142" s="45" t="n"/>
      <c r="O142" s="45" t="n"/>
      <c r="P142" s="45" t="n"/>
      <c r="Q142" s="45" t="n"/>
      <c r="R142" s="45" t="n"/>
      <c r="S142" s="46" t="n"/>
      <c r="T142" s="46" t="n"/>
      <c r="U142" s="46" t="n"/>
      <c r="V142" s="46" t="n"/>
      <c r="W142" s="46" t="n"/>
      <c r="X142" s="46" t="n"/>
      <c r="Y142" s="46" t="n"/>
      <c r="Z142" s="46" t="n"/>
      <c r="AA142" s="46" t="n"/>
      <c r="AB142" s="46" t="n"/>
      <c r="AC142" s="46" t="n"/>
      <c r="AD142" s="46" t="n"/>
      <c r="AE142" s="46" t="n"/>
      <c r="AF142" s="46" t="n"/>
      <c r="AG142" s="46" t="n"/>
      <c r="AH142" s="47" t="n"/>
      <c r="AI142" s="47" t="n"/>
      <c r="AJ142" s="47" t="n"/>
      <c r="AK142" s="47" t="n"/>
      <c r="AL142" s="47" t="n"/>
      <c r="AM142" s="47" t="n"/>
      <c r="AN142" s="47" t="n"/>
      <c r="AO142" s="47" t="n"/>
      <c r="AP142" s="47" t="n"/>
      <c r="AQ142" s="47" t="n"/>
      <c r="AR142" s="47" t="n"/>
      <c r="AS142" s="47" t="n"/>
      <c r="AT142" s="47" t="n"/>
      <c r="AU142" s="48" t="n"/>
      <c r="AV142" s="48" t="n"/>
      <c r="AW142" s="49">
        <f>IF($A142="","",IF($BW142&lt;&gt;"","FIX",IF($BX142&lt;&gt;"","CHECK","OK")))</f>
        <v/>
      </c>
      <c r="AX142" s="50">
        <f>IF($A142="","",IF($BW142&lt;&gt;"","FIX: "&amp;LEFT($BW142,LEN($BW142)-2)&amp;IF($BX142&lt;&gt;"","  ·  ",""),"")&amp;IF($BX142&lt;&gt;"","CHECK: "&amp;LEFT($BX142,LEN($BX142)-2),""))</f>
        <v/>
      </c>
      <c r="AY142" s="49">
        <f>IF(OR($A142="",$K142=""),"",$K142&amp;"'-"&amp;N($L142)&amp;CHAR(34)&amp;" x "&amp;$M142&amp;"'-"&amp;N($N142)&amp;CHAR(34))</f>
        <v/>
      </c>
      <c r="AZ142" s="49">
        <f>IF(OR($A142="",$K142=""),"",$K142&amp;N($L142)&amp;$M142&amp;N($N142))</f>
        <v/>
      </c>
      <c r="BA142" s="49">
        <f>IF(OR($A142="",$K142=""),"",$K142*12+N($L142))</f>
        <v/>
      </c>
      <c r="BB142" s="49">
        <f>IF(OR($A142="",$M142=""),"",$M142*12+N($N142))</f>
        <v/>
      </c>
      <c r="BC142" s="49">
        <f>IF($A142="","",IF(OR($C142="FRAME ONLY",$S142="BL"),0,IF($O142="Y",2,1)))</f>
        <v/>
      </c>
      <c r="BD142" s="51">
        <f>IF(OR(N($BC142)=0,$BA142=""),"",($BA142-2*EdgeClr-IF($BC142=2,MeetClr,0))/$BC142)</f>
        <v/>
      </c>
      <c r="BE142" s="51">
        <f>IF(OR(N($BC142)=0,$BB142=""),"",$BB142-HeadClr-Undercut)</f>
        <v/>
      </c>
      <c r="BF142" s="51">
        <f>IF($BA142="","",$BA142+2*FaceW+IF(N($Q142)&gt;0,($Q142+FaceW)*IF($R142="LR",2,1),0))</f>
        <v/>
      </c>
      <c r="BG142" s="51">
        <f>IF($BB142="","",$BB142+IF($AB142="Y",4,FaceW)+IF(N($P142)&gt;0,$P142+FaceW,0)+IF(OR($S142="4F",$S142="BL"),FaceW,0))</f>
        <v/>
      </c>
      <c r="BH142" s="51">
        <f>IF($BF142="","",$BF142+2*ROSide)</f>
        <v/>
      </c>
      <c r="BI142" s="51">
        <f>IF($BG142="","",$BG142+ROTop)</f>
        <v/>
      </c>
      <c r="BJ142" s="52">
        <f>IF(OR(N($BC142)=0,$BA142=""),"",$BA142/$BC142-ClearDeduct)</f>
        <v/>
      </c>
      <c r="BK142" s="49">
        <f>IF(OR(N($BC142)=0,$BE142=""),"",IF(OR($AC142="HGC",$AP142="HGC"),"CONT",IF($BE142&lt;=60,2,IF($BE142&lt;=90,3,IF($BE142&lt;=120,4,5)))))</f>
        <v/>
      </c>
      <c r="BL142" s="49">
        <f>IF(N($BC142)=0,"",IF(OR($AL142="",$AL142="FLUSH"),"FLUSH",IFERROR(LEFT($AL142,FIND("-",$AL142)-1),LEFT($AL142,2))))</f>
        <v/>
      </c>
      <c r="BM142" s="49">
        <f>IF($BL142="","",IFERROR(VALUE(MID($AL142,FIND("-",$AL142)+1,FIND(CHAR(34)&amp;"x",$AL142)-FIND("-",$AL142)-1)),0))</f>
        <v/>
      </c>
      <c r="BN142" s="49">
        <f>IF($BL142="","",IFERROR(VALUE(MID($AL142,FIND(CHAR(34)&amp;"x",$AL142)+2,FIND(CHAR(34),$AL142,FIND(CHAR(34)&amp;"x",$AL142)+2)-FIND(CHAR(34)&amp;"x",$AL142)-2)),0))</f>
        <v/>
      </c>
      <c r="BO142" s="53">
        <f>IF(OR($A142="",$H142="",$H142="NO LAB"),0,IFERROR(VALUE(LEFT($H142,FIND(" ",$H142)-1)),0))</f>
        <v/>
      </c>
      <c r="BP142" s="54">
        <f>IF(OR($A142="",$I142="",$I142="NON-RATED",N($J142)=0),"",IFERROR(VLOOKUP($I142&amp;"|"&amp;$J142,IBC,2,FALSE),"?"))</f>
        <v/>
      </c>
      <c r="BQ142" s="50">
        <f>IF(NOT(AND($A142&lt;&gt;"",$C142&lt;&gt;"DOOR ONLY")),"",TRIM(IFERROR(VLOOKUP($U142,CODES,2,FALSE),"")&amp;" "&amp;$AZ142&amp;" "&amp;IFERROR(VLOOKUP($Z142,CODES,2,FALSE),"")&amp;" "&amp;IFERROR(VLOOKUP($X142,CODES,2,FALSE),"")&amp;" "&amp;IFERROR(VLOOKUP($S142,CODES,2,FALSE),"")&amp;IF(N($P142)&gt;0," w/TRANSOM "&amp;$P142&amp;CHAR(34),"")&amp;IF(N($Q142)&gt;0," w/SIDELITE "&amp;$Q142&amp;CHAR(34)&amp;" "&amp;IF($R142="","R",$R142),"")&amp;IF($Y142="","  |  "," | "&amp;IFERROR(VLOOKUP($Y142,CODES,2,FALSE),"")&amp;" | ")&amp;IFERROR(VLOOKUP($AC142,CODES,2,FALSE),"")&amp;" "&amp;IFERROR(VLOOKUP($AD142,CODES,2,FALSE),"")&amp;IF(OR($AE142="",$AE142="-"),""," "&amp;$AE142)&amp;IF(OR($AF142="",$AF142="-"),""," "&amp;$AF142)&amp;IF($AB142="Y"," 4"&amp;CHAR(34)&amp;" HEAD","")&amp;" "&amp;IFERROR(VLOOKUP($H142,CODES,2,FALSE),"")))</f>
        <v/>
      </c>
      <c r="BR142" s="50">
        <f>IF(NOT(AND($A142&lt;&gt;"",N($BC142)&gt;0)),"",TRIM(IFERROR(VLOOKUP($AH142,CODES,2,FALSE),"")&amp;IF($AI142=""," "," "&amp;$AI142&amp;"GA ")&amp;$AZ142&amp;" "&amp;IF($AN142="",IFERROR(VLOOKUP($Z142,CODES,2,FALSE),""),IFERROR(VLOOKUP($AN142,CODES,2,FALSE),""))&amp;IF($BC142=2," PAIR","")&amp;" DOOR | "&amp;IF($AL142="","?",$AL142)&amp;" | "&amp;IF($AP142="",IFERROR(VLOOKUP($AC142,CODES,2,FALSE),""),IFERROR(VLOOKUP($AP142,CODES,2,FALSE),""))&amp;" "&amp;IFERROR(VLOOKUP($AQ142,CODES,2,FALSE),"")&amp;IF(OR($AR142="",$AR142="-"),""," SEAM "&amp;$AR142)&amp;IF($AS142="Y"," ASTRAGAL","")&amp;IF($AJ142=""," "," "&amp;$AJ142)&amp;IF($AK142=""," "," "&amp;$AK142)&amp;IF($AO142="",""," "&amp;$AO142)&amp;IF($AM142=""," "," SERIES "&amp;$AM142)&amp;" "&amp;IFERROR(VLOOKUP($H142,CODES,2,FALSE),"")))</f>
        <v/>
      </c>
      <c r="BS142" s="49">
        <f>IF(BV142="","",IF(COUNTIF($BV$6:BV142,BV142)=1,MAX($BS$5:BS141)+1,INDEX($BS$5:BS141,MATCH(BV142,$BV$5:BV141,0))))</f>
        <v/>
      </c>
      <c r="BT142" s="49">
        <f>IF(NOT(AND($A142&lt;&gt;"",$C142&lt;&gt;"DOOR ONLY")),"",MAX($BT$5:BT141)+1)</f>
        <v/>
      </c>
      <c r="BU142" s="49">
        <f>IF(NOT(AND($A142&lt;&gt;"",N($BC142)&gt;0)),"",MAX($BU$5:BU141)+1)</f>
        <v/>
      </c>
      <c r="BV142" s="49">
        <f>IF(OR($A142="",$BA142="",$BB142=""),"",$AZ142&amp;"|"&amp;$O142&amp;"|"&amp;$AL142&amp;"|"&amp;$S142&amp;"|"&amp;$P142&amp;"|"&amp;$Q142&amp;$R142&amp;"|"&amp;$C142&amp;"|"&amp;$AB142)</f>
        <v/>
      </c>
      <c r="BW142" s="49">
        <f>IF($A142="","",IF($B142="","qty, ","")&amp;IF($C142="","scope, ","")&amp;IF(OR($K142="",$M142=""),"size, ","")&amp;IF(AND($A142&lt;&gt;"",$C142&lt;&gt;"DOOR ONLY"),IF($U142="","jamb depth, ","")&amp;IF($X142="","construction, ","")&amp;IF($Y142="","anchor, ","")&amp;IF($S142="","frame type, ",""),"")&amp;IF(AND(N($BC142)&gt;0,$Z142=""),"hand, ","")&amp;IF(N($BC142)&gt;0,IF($AH142="","door material, ","")&amp;IF($AL142="","face type, ","")&amp;IF($AQ142="","lock prep, ","")&amp;IF(AND($AP142="",$AC142=""),"hinge prep, ",""),"")&amp;IF(AND($BO142&gt;0,$AH142="FRP"),"FRP cannot carry a label, ","")&amp;IF(AND($O142="Y",OR($Z142="L",$Z142="R",$Z142="LR",$Z142="RR")),"pair marked but hand is single, ","")&amp;IF(AND($O142&lt;&gt;"Y",OR($Z142="PR",AND(LEN($Z142)&gt;1,ISNUMBER(SEARCH("-",$Z142))))),"pair hand on a single door, ","")&amp;IF(AND(ISNUMBER($BP142),$BO142&lt;N($BP142)),"wall needs a "&amp;$BP142&amp;" min door, ","")&amp;IF(AND($BO142&gt;=180,AND(OR($BL142="FG",$BL142="HG",$BL142="FNV",$BL142="FV"),N($BM142)*N($BN142)&gt;100)),"180 min lite over 100 sq in, ","")&amp;IF(N($BD142)&gt;48,"leaf wider than 4'-0"&amp;CHAR(34)&amp;", ",""))</f>
        <v/>
      </c>
      <c r="BX142" s="49">
        <f>IF($A142="","",IF(AND($BO142&gt;0,AND($A142&lt;&gt;"",$C142&lt;&gt;"DOOR ONLY"),$X142="KD",$E142="EXTERIOR"),"KD label on an exterior opening, ","")&amp;IF(AND($E142="EXTERIOR",OR(AND(AND($A142&lt;&gt;"",$C142&lt;&gt;"DOOR ONLY"),$W142="CR"),AND(N($BC142)&gt;0,$AH142="CR"))),"exterior in CR steel (G9?), ","")&amp;IF(AND(ISNUMBER($BJ142),N($BJ142)&lt;32),"clear width ~"&amp;TEXT($BJ142,"0.0")&amp;CHAR(34)&amp;" under 32"&amp;CHAR(34)&amp;" (ADA), ","")&amp;IF(AND($BO142=90,AND(OR($BL142="FG",$BL142="HG",$BL142="FNV",$BL142="FV"),N($BM142)*N($BN142)&gt;100)),"90 min lite over 100 sq in (stair/exit), ","")&amp;IF(AND($BO142&gt;0,AND($A142&lt;&gt;"",$C142&lt;&gt;"DOOR ONLY"),OR($AF142="",$AF142="-")),"rated: closer reinf.?, ","")&amp;IF(OR($I142="CORRIDOR",$I142="SMOKE BARRIER"),"S label + smoke gasketing, ","")&amp;IF($BP142="?","wall type/hr not in IBC table, ","")&amp;IF(AND(N($BC142)&gt;0,$AU142=""),"no hardware set, ","")&amp;IF(AND($AU142&lt;&gt;"",ISNA(MATCH($AU142,HWSets,0))),"set "&amp;$AU142&amp;" not on Hardware sheet, ","")&amp;IF(N($BE142)&gt;96,"leaf over 8'-0"&amp;CHAR(34)&amp;" - check listing, ",""))</f>
        <v/>
      </c>
    </row>
    <row r="143" ht="15" customHeight="1">
      <c r="A143" s="44" t="n"/>
      <c r="B143" s="45" t="n"/>
      <c r="C143" s="45" t="n"/>
      <c r="D143" s="45" t="n"/>
      <c r="E143" s="45" t="n"/>
      <c r="F143" s="45" t="n"/>
      <c r="G143" s="45" t="n"/>
      <c r="H143" s="45" t="n"/>
      <c r="I143" s="45" t="n"/>
      <c r="J143" s="45" t="n"/>
      <c r="K143" s="45" t="n"/>
      <c r="L143" s="45" t="n"/>
      <c r="M143" s="45" t="n"/>
      <c r="N143" s="45" t="n"/>
      <c r="O143" s="45" t="n"/>
      <c r="P143" s="45" t="n"/>
      <c r="Q143" s="45" t="n"/>
      <c r="R143" s="45" t="n"/>
      <c r="S143" s="46" t="n"/>
      <c r="T143" s="46" t="n"/>
      <c r="U143" s="46" t="n"/>
      <c r="V143" s="46" t="n"/>
      <c r="W143" s="46" t="n"/>
      <c r="X143" s="46" t="n"/>
      <c r="Y143" s="46" t="n"/>
      <c r="Z143" s="46" t="n"/>
      <c r="AA143" s="46" t="n"/>
      <c r="AB143" s="46" t="n"/>
      <c r="AC143" s="46" t="n"/>
      <c r="AD143" s="46" t="n"/>
      <c r="AE143" s="46" t="n"/>
      <c r="AF143" s="46" t="n"/>
      <c r="AG143" s="46" t="n"/>
      <c r="AH143" s="47" t="n"/>
      <c r="AI143" s="47" t="n"/>
      <c r="AJ143" s="47" t="n"/>
      <c r="AK143" s="47" t="n"/>
      <c r="AL143" s="47" t="n"/>
      <c r="AM143" s="47" t="n"/>
      <c r="AN143" s="47" t="n"/>
      <c r="AO143" s="47" t="n"/>
      <c r="AP143" s="47" t="n"/>
      <c r="AQ143" s="47" t="n"/>
      <c r="AR143" s="47" t="n"/>
      <c r="AS143" s="47" t="n"/>
      <c r="AT143" s="47" t="n"/>
      <c r="AU143" s="48" t="n"/>
      <c r="AV143" s="48" t="n"/>
      <c r="AW143" s="49">
        <f>IF($A143="","",IF($BW143&lt;&gt;"","FIX",IF($BX143&lt;&gt;"","CHECK","OK")))</f>
        <v/>
      </c>
      <c r="AX143" s="50">
        <f>IF($A143="","",IF($BW143&lt;&gt;"","FIX: "&amp;LEFT($BW143,LEN($BW143)-2)&amp;IF($BX143&lt;&gt;"","  ·  ",""),"")&amp;IF($BX143&lt;&gt;"","CHECK: "&amp;LEFT($BX143,LEN($BX143)-2),""))</f>
        <v/>
      </c>
      <c r="AY143" s="49">
        <f>IF(OR($A143="",$K143=""),"",$K143&amp;"'-"&amp;N($L143)&amp;CHAR(34)&amp;" x "&amp;$M143&amp;"'-"&amp;N($N143)&amp;CHAR(34))</f>
        <v/>
      </c>
      <c r="AZ143" s="49">
        <f>IF(OR($A143="",$K143=""),"",$K143&amp;N($L143)&amp;$M143&amp;N($N143))</f>
        <v/>
      </c>
      <c r="BA143" s="49">
        <f>IF(OR($A143="",$K143=""),"",$K143*12+N($L143))</f>
        <v/>
      </c>
      <c r="BB143" s="49">
        <f>IF(OR($A143="",$M143=""),"",$M143*12+N($N143))</f>
        <v/>
      </c>
      <c r="BC143" s="49">
        <f>IF($A143="","",IF(OR($C143="FRAME ONLY",$S143="BL"),0,IF($O143="Y",2,1)))</f>
        <v/>
      </c>
      <c r="BD143" s="51">
        <f>IF(OR(N($BC143)=0,$BA143=""),"",($BA143-2*EdgeClr-IF($BC143=2,MeetClr,0))/$BC143)</f>
        <v/>
      </c>
      <c r="BE143" s="51">
        <f>IF(OR(N($BC143)=0,$BB143=""),"",$BB143-HeadClr-Undercut)</f>
        <v/>
      </c>
      <c r="BF143" s="51">
        <f>IF($BA143="","",$BA143+2*FaceW+IF(N($Q143)&gt;0,($Q143+FaceW)*IF($R143="LR",2,1),0))</f>
        <v/>
      </c>
      <c r="BG143" s="51">
        <f>IF($BB143="","",$BB143+IF($AB143="Y",4,FaceW)+IF(N($P143)&gt;0,$P143+FaceW,0)+IF(OR($S143="4F",$S143="BL"),FaceW,0))</f>
        <v/>
      </c>
      <c r="BH143" s="51">
        <f>IF($BF143="","",$BF143+2*ROSide)</f>
        <v/>
      </c>
      <c r="BI143" s="51">
        <f>IF($BG143="","",$BG143+ROTop)</f>
        <v/>
      </c>
      <c r="BJ143" s="52">
        <f>IF(OR(N($BC143)=0,$BA143=""),"",$BA143/$BC143-ClearDeduct)</f>
        <v/>
      </c>
      <c r="BK143" s="49">
        <f>IF(OR(N($BC143)=0,$BE143=""),"",IF(OR($AC143="HGC",$AP143="HGC"),"CONT",IF($BE143&lt;=60,2,IF($BE143&lt;=90,3,IF($BE143&lt;=120,4,5)))))</f>
        <v/>
      </c>
      <c r="BL143" s="49">
        <f>IF(N($BC143)=0,"",IF(OR($AL143="",$AL143="FLUSH"),"FLUSH",IFERROR(LEFT($AL143,FIND("-",$AL143)-1),LEFT($AL143,2))))</f>
        <v/>
      </c>
      <c r="BM143" s="49">
        <f>IF($BL143="","",IFERROR(VALUE(MID($AL143,FIND("-",$AL143)+1,FIND(CHAR(34)&amp;"x",$AL143)-FIND("-",$AL143)-1)),0))</f>
        <v/>
      </c>
      <c r="BN143" s="49">
        <f>IF($BL143="","",IFERROR(VALUE(MID($AL143,FIND(CHAR(34)&amp;"x",$AL143)+2,FIND(CHAR(34),$AL143,FIND(CHAR(34)&amp;"x",$AL143)+2)-FIND(CHAR(34)&amp;"x",$AL143)-2)),0))</f>
        <v/>
      </c>
      <c r="BO143" s="53">
        <f>IF(OR($A143="",$H143="",$H143="NO LAB"),0,IFERROR(VALUE(LEFT($H143,FIND(" ",$H143)-1)),0))</f>
        <v/>
      </c>
      <c r="BP143" s="54">
        <f>IF(OR($A143="",$I143="",$I143="NON-RATED",N($J143)=0),"",IFERROR(VLOOKUP($I143&amp;"|"&amp;$J143,IBC,2,FALSE),"?"))</f>
        <v/>
      </c>
      <c r="BQ143" s="50">
        <f>IF(NOT(AND($A143&lt;&gt;"",$C143&lt;&gt;"DOOR ONLY")),"",TRIM(IFERROR(VLOOKUP($U143,CODES,2,FALSE),"")&amp;" "&amp;$AZ143&amp;" "&amp;IFERROR(VLOOKUP($Z143,CODES,2,FALSE),"")&amp;" "&amp;IFERROR(VLOOKUP($X143,CODES,2,FALSE),"")&amp;" "&amp;IFERROR(VLOOKUP($S143,CODES,2,FALSE),"")&amp;IF(N($P143)&gt;0," w/TRANSOM "&amp;$P143&amp;CHAR(34),"")&amp;IF(N($Q143)&gt;0," w/SIDELITE "&amp;$Q143&amp;CHAR(34)&amp;" "&amp;IF($R143="","R",$R143),"")&amp;IF($Y143="","  |  "," | "&amp;IFERROR(VLOOKUP($Y143,CODES,2,FALSE),"")&amp;" | ")&amp;IFERROR(VLOOKUP($AC143,CODES,2,FALSE),"")&amp;" "&amp;IFERROR(VLOOKUP($AD143,CODES,2,FALSE),"")&amp;IF(OR($AE143="",$AE143="-"),""," "&amp;$AE143)&amp;IF(OR($AF143="",$AF143="-"),""," "&amp;$AF143)&amp;IF($AB143="Y"," 4"&amp;CHAR(34)&amp;" HEAD","")&amp;" "&amp;IFERROR(VLOOKUP($H143,CODES,2,FALSE),"")))</f>
        <v/>
      </c>
      <c r="BR143" s="50">
        <f>IF(NOT(AND($A143&lt;&gt;"",N($BC143)&gt;0)),"",TRIM(IFERROR(VLOOKUP($AH143,CODES,2,FALSE),"")&amp;IF($AI143=""," "," "&amp;$AI143&amp;"GA ")&amp;$AZ143&amp;" "&amp;IF($AN143="",IFERROR(VLOOKUP($Z143,CODES,2,FALSE),""),IFERROR(VLOOKUP($AN143,CODES,2,FALSE),""))&amp;IF($BC143=2," PAIR","")&amp;" DOOR | "&amp;IF($AL143="","?",$AL143)&amp;" | "&amp;IF($AP143="",IFERROR(VLOOKUP($AC143,CODES,2,FALSE),""),IFERROR(VLOOKUP($AP143,CODES,2,FALSE),""))&amp;" "&amp;IFERROR(VLOOKUP($AQ143,CODES,2,FALSE),"")&amp;IF(OR($AR143="",$AR143="-"),""," SEAM "&amp;$AR143)&amp;IF($AS143="Y"," ASTRAGAL","")&amp;IF($AJ143=""," "," "&amp;$AJ143)&amp;IF($AK143=""," "," "&amp;$AK143)&amp;IF($AO143="",""," "&amp;$AO143)&amp;IF($AM143=""," "," SERIES "&amp;$AM143)&amp;" "&amp;IFERROR(VLOOKUP($H143,CODES,2,FALSE),"")))</f>
        <v/>
      </c>
      <c r="BS143" s="49">
        <f>IF(BV143="","",IF(COUNTIF($BV$6:BV143,BV143)=1,MAX($BS$5:BS142)+1,INDEX($BS$5:BS142,MATCH(BV143,$BV$5:BV142,0))))</f>
        <v/>
      </c>
      <c r="BT143" s="49">
        <f>IF(NOT(AND($A143&lt;&gt;"",$C143&lt;&gt;"DOOR ONLY")),"",MAX($BT$5:BT142)+1)</f>
        <v/>
      </c>
      <c r="BU143" s="49">
        <f>IF(NOT(AND($A143&lt;&gt;"",N($BC143)&gt;0)),"",MAX($BU$5:BU142)+1)</f>
        <v/>
      </c>
      <c r="BV143" s="49">
        <f>IF(OR($A143="",$BA143="",$BB143=""),"",$AZ143&amp;"|"&amp;$O143&amp;"|"&amp;$AL143&amp;"|"&amp;$S143&amp;"|"&amp;$P143&amp;"|"&amp;$Q143&amp;$R143&amp;"|"&amp;$C143&amp;"|"&amp;$AB143)</f>
        <v/>
      </c>
      <c r="BW143" s="49">
        <f>IF($A143="","",IF($B143="","qty, ","")&amp;IF($C143="","scope, ","")&amp;IF(OR($K143="",$M143=""),"size, ","")&amp;IF(AND($A143&lt;&gt;"",$C143&lt;&gt;"DOOR ONLY"),IF($U143="","jamb depth, ","")&amp;IF($X143="","construction, ","")&amp;IF($Y143="","anchor, ","")&amp;IF($S143="","frame type, ",""),"")&amp;IF(AND(N($BC143)&gt;0,$Z143=""),"hand, ","")&amp;IF(N($BC143)&gt;0,IF($AH143="","door material, ","")&amp;IF($AL143="","face type, ","")&amp;IF($AQ143="","lock prep, ","")&amp;IF(AND($AP143="",$AC143=""),"hinge prep, ",""),"")&amp;IF(AND($BO143&gt;0,$AH143="FRP"),"FRP cannot carry a label, ","")&amp;IF(AND($O143="Y",OR($Z143="L",$Z143="R",$Z143="LR",$Z143="RR")),"pair marked but hand is single, ","")&amp;IF(AND($O143&lt;&gt;"Y",OR($Z143="PR",AND(LEN($Z143)&gt;1,ISNUMBER(SEARCH("-",$Z143))))),"pair hand on a single door, ","")&amp;IF(AND(ISNUMBER($BP143),$BO143&lt;N($BP143)),"wall needs a "&amp;$BP143&amp;" min door, ","")&amp;IF(AND($BO143&gt;=180,AND(OR($BL143="FG",$BL143="HG",$BL143="FNV",$BL143="FV"),N($BM143)*N($BN143)&gt;100)),"180 min lite over 100 sq in, ","")&amp;IF(N($BD143)&gt;48,"leaf wider than 4'-0"&amp;CHAR(34)&amp;", ",""))</f>
        <v/>
      </c>
      <c r="BX143" s="49">
        <f>IF($A143="","",IF(AND($BO143&gt;0,AND($A143&lt;&gt;"",$C143&lt;&gt;"DOOR ONLY"),$X143="KD",$E143="EXTERIOR"),"KD label on an exterior opening, ","")&amp;IF(AND($E143="EXTERIOR",OR(AND(AND($A143&lt;&gt;"",$C143&lt;&gt;"DOOR ONLY"),$W143="CR"),AND(N($BC143)&gt;0,$AH143="CR"))),"exterior in CR steel (G9?), ","")&amp;IF(AND(ISNUMBER($BJ143),N($BJ143)&lt;32),"clear width ~"&amp;TEXT($BJ143,"0.0")&amp;CHAR(34)&amp;" under 32"&amp;CHAR(34)&amp;" (ADA), ","")&amp;IF(AND($BO143=90,AND(OR($BL143="FG",$BL143="HG",$BL143="FNV",$BL143="FV"),N($BM143)*N($BN143)&gt;100)),"90 min lite over 100 sq in (stair/exit), ","")&amp;IF(AND($BO143&gt;0,AND($A143&lt;&gt;"",$C143&lt;&gt;"DOOR ONLY"),OR($AF143="",$AF143="-")),"rated: closer reinf.?, ","")&amp;IF(OR($I143="CORRIDOR",$I143="SMOKE BARRIER"),"S label + smoke gasketing, ","")&amp;IF($BP143="?","wall type/hr not in IBC table, ","")&amp;IF(AND(N($BC143)&gt;0,$AU143=""),"no hardware set, ","")&amp;IF(AND($AU143&lt;&gt;"",ISNA(MATCH($AU143,HWSets,0))),"set "&amp;$AU143&amp;" not on Hardware sheet, ","")&amp;IF(N($BE143)&gt;96,"leaf over 8'-0"&amp;CHAR(34)&amp;" - check listing, ",""))</f>
        <v/>
      </c>
    </row>
    <row r="144" ht="15" customHeight="1">
      <c r="A144" s="44" t="n"/>
      <c r="B144" s="45" t="n"/>
      <c r="C144" s="45" t="n"/>
      <c r="D144" s="45" t="n"/>
      <c r="E144" s="45" t="n"/>
      <c r="F144" s="45" t="n"/>
      <c r="G144" s="45" t="n"/>
      <c r="H144" s="45" t="n"/>
      <c r="I144" s="45" t="n"/>
      <c r="J144" s="45" t="n"/>
      <c r="K144" s="45" t="n"/>
      <c r="L144" s="45" t="n"/>
      <c r="M144" s="45" t="n"/>
      <c r="N144" s="45" t="n"/>
      <c r="O144" s="45" t="n"/>
      <c r="P144" s="45" t="n"/>
      <c r="Q144" s="45" t="n"/>
      <c r="R144" s="45" t="n"/>
      <c r="S144" s="46" t="n"/>
      <c r="T144" s="46" t="n"/>
      <c r="U144" s="46" t="n"/>
      <c r="V144" s="46" t="n"/>
      <c r="W144" s="46" t="n"/>
      <c r="X144" s="46" t="n"/>
      <c r="Y144" s="46" t="n"/>
      <c r="Z144" s="46" t="n"/>
      <c r="AA144" s="46" t="n"/>
      <c r="AB144" s="46" t="n"/>
      <c r="AC144" s="46" t="n"/>
      <c r="AD144" s="46" t="n"/>
      <c r="AE144" s="46" t="n"/>
      <c r="AF144" s="46" t="n"/>
      <c r="AG144" s="46" t="n"/>
      <c r="AH144" s="47" t="n"/>
      <c r="AI144" s="47" t="n"/>
      <c r="AJ144" s="47" t="n"/>
      <c r="AK144" s="47" t="n"/>
      <c r="AL144" s="47" t="n"/>
      <c r="AM144" s="47" t="n"/>
      <c r="AN144" s="47" t="n"/>
      <c r="AO144" s="47" t="n"/>
      <c r="AP144" s="47" t="n"/>
      <c r="AQ144" s="47" t="n"/>
      <c r="AR144" s="47" t="n"/>
      <c r="AS144" s="47" t="n"/>
      <c r="AT144" s="47" t="n"/>
      <c r="AU144" s="48" t="n"/>
      <c r="AV144" s="48" t="n"/>
      <c r="AW144" s="49">
        <f>IF($A144="","",IF($BW144&lt;&gt;"","FIX",IF($BX144&lt;&gt;"","CHECK","OK")))</f>
        <v/>
      </c>
      <c r="AX144" s="50">
        <f>IF($A144="","",IF($BW144&lt;&gt;"","FIX: "&amp;LEFT($BW144,LEN($BW144)-2)&amp;IF($BX144&lt;&gt;"","  ·  ",""),"")&amp;IF($BX144&lt;&gt;"","CHECK: "&amp;LEFT($BX144,LEN($BX144)-2),""))</f>
        <v/>
      </c>
      <c r="AY144" s="49">
        <f>IF(OR($A144="",$K144=""),"",$K144&amp;"'-"&amp;N($L144)&amp;CHAR(34)&amp;" x "&amp;$M144&amp;"'-"&amp;N($N144)&amp;CHAR(34))</f>
        <v/>
      </c>
      <c r="AZ144" s="49">
        <f>IF(OR($A144="",$K144=""),"",$K144&amp;N($L144)&amp;$M144&amp;N($N144))</f>
        <v/>
      </c>
      <c r="BA144" s="49">
        <f>IF(OR($A144="",$K144=""),"",$K144*12+N($L144))</f>
        <v/>
      </c>
      <c r="BB144" s="49">
        <f>IF(OR($A144="",$M144=""),"",$M144*12+N($N144))</f>
        <v/>
      </c>
      <c r="BC144" s="49">
        <f>IF($A144="","",IF(OR($C144="FRAME ONLY",$S144="BL"),0,IF($O144="Y",2,1)))</f>
        <v/>
      </c>
      <c r="BD144" s="51">
        <f>IF(OR(N($BC144)=0,$BA144=""),"",($BA144-2*EdgeClr-IF($BC144=2,MeetClr,0))/$BC144)</f>
        <v/>
      </c>
      <c r="BE144" s="51">
        <f>IF(OR(N($BC144)=0,$BB144=""),"",$BB144-HeadClr-Undercut)</f>
        <v/>
      </c>
      <c r="BF144" s="51">
        <f>IF($BA144="","",$BA144+2*FaceW+IF(N($Q144)&gt;0,($Q144+FaceW)*IF($R144="LR",2,1),0))</f>
        <v/>
      </c>
      <c r="BG144" s="51">
        <f>IF($BB144="","",$BB144+IF($AB144="Y",4,FaceW)+IF(N($P144)&gt;0,$P144+FaceW,0)+IF(OR($S144="4F",$S144="BL"),FaceW,0))</f>
        <v/>
      </c>
      <c r="BH144" s="51">
        <f>IF($BF144="","",$BF144+2*ROSide)</f>
        <v/>
      </c>
      <c r="BI144" s="51">
        <f>IF($BG144="","",$BG144+ROTop)</f>
        <v/>
      </c>
      <c r="BJ144" s="52">
        <f>IF(OR(N($BC144)=0,$BA144=""),"",$BA144/$BC144-ClearDeduct)</f>
        <v/>
      </c>
      <c r="BK144" s="49">
        <f>IF(OR(N($BC144)=0,$BE144=""),"",IF(OR($AC144="HGC",$AP144="HGC"),"CONT",IF($BE144&lt;=60,2,IF($BE144&lt;=90,3,IF($BE144&lt;=120,4,5)))))</f>
        <v/>
      </c>
      <c r="BL144" s="49">
        <f>IF(N($BC144)=0,"",IF(OR($AL144="",$AL144="FLUSH"),"FLUSH",IFERROR(LEFT($AL144,FIND("-",$AL144)-1),LEFT($AL144,2))))</f>
        <v/>
      </c>
      <c r="BM144" s="49">
        <f>IF($BL144="","",IFERROR(VALUE(MID($AL144,FIND("-",$AL144)+1,FIND(CHAR(34)&amp;"x",$AL144)-FIND("-",$AL144)-1)),0))</f>
        <v/>
      </c>
      <c r="BN144" s="49">
        <f>IF($BL144="","",IFERROR(VALUE(MID($AL144,FIND(CHAR(34)&amp;"x",$AL144)+2,FIND(CHAR(34),$AL144,FIND(CHAR(34)&amp;"x",$AL144)+2)-FIND(CHAR(34)&amp;"x",$AL144)-2)),0))</f>
        <v/>
      </c>
      <c r="BO144" s="53">
        <f>IF(OR($A144="",$H144="",$H144="NO LAB"),0,IFERROR(VALUE(LEFT($H144,FIND(" ",$H144)-1)),0))</f>
        <v/>
      </c>
      <c r="BP144" s="54">
        <f>IF(OR($A144="",$I144="",$I144="NON-RATED",N($J144)=0),"",IFERROR(VLOOKUP($I144&amp;"|"&amp;$J144,IBC,2,FALSE),"?"))</f>
        <v/>
      </c>
      <c r="BQ144" s="50">
        <f>IF(NOT(AND($A144&lt;&gt;"",$C144&lt;&gt;"DOOR ONLY")),"",TRIM(IFERROR(VLOOKUP($U144,CODES,2,FALSE),"")&amp;" "&amp;$AZ144&amp;" "&amp;IFERROR(VLOOKUP($Z144,CODES,2,FALSE),"")&amp;" "&amp;IFERROR(VLOOKUP($X144,CODES,2,FALSE),"")&amp;" "&amp;IFERROR(VLOOKUP($S144,CODES,2,FALSE),"")&amp;IF(N($P144)&gt;0," w/TRANSOM "&amp;$P144&amp;CHAR(34),"")&amp;IF(N($Q144)&gt;0," w/SIDELITE "&amp;$Q144&amp;CHAR(34)&amp;" "&amp;IF($R144="","R",$R144),"")&amp;IF($Y144="","  |  "," | "&amp;IFERROR(VLOOKUP($Y144,CODES,2,FALSE),"")&amp;" | ")&amp;IFERROR(VLOOKUP($AC144,CODES,2,FALSE),"")&amp;" "&amp;IFERROR(VLOOKUP($AD144,CODES,2,FALSE),"")&amp;IF(OR($AE144="",$AE144="-"),""," "&amp;$AE144)&amp;IF(OR($AF144="",$AF144="-"),""," "&amp;$AF144)&amp;IF($AB144="Y"," 4"&amp;CHAR(34)&amp;" HEAD","")&amp;" "&amp;IFERROR(VLOOKUP($H144,CODES,2,FALSE),"")))</f>
        <v/>
      </c>
      <c r="BR144" s="50">
        <f>IF(NOT(AND($A144&lt;&gt;"",N($BC144)&gt;0)),"",TRIM(IFERROR(VLOOKUP($AH144,CODES,2,FALSE),"")&amp;IF($AI144=""," "," "&amp;$AI144&amp;"GA ")&amp;$AZ144&amp;" "&amp;IF($AN144="",IFERROR(VLOOKUP($Z144,CODES,2,FALSE),""),IFERROR(VLOOKUP($AN144,CODES,2,FALSE),""))&amp;IF($BC144=2," PAIR","")&amp;" DOOR | "&amp;IF($AL144="","?",$AL144)&amp;" | "&amp;IF($AP144="",IFERROR(VLOOKUP($AC144,CODES,2,FALSE),""),IFERROR(VLOOKUP($AP144,CODES,2,FALSE),""))&amp;" "&amp;IFERROR(VLOOKUP($AQ144,CODES,2,FALSE),"")&amp;IF(OR($AR144="",$AR144="-"),""," SEAM "&amp;$AR144)&amp;IF($AS144="Y"," ASTRAGAL","")&amp;IF($AJ144=""," "," "&amp;$AJ144)&amp;IF($AK144=""," "," "&amp;$AK144)&amp;IF($AO144="",""," "&amp;$AO144)&amp;IF($AM144=""," "," SERIES "&amp;$AM144)&amp;" "&amp;IFERROR(VLOOKUP($H144,CODES,2,FALSE),"")))</f>
        <v/>
      </c>
      <c r="BS144" s="49">
        <f>IF(BV144="","",IF(COUNTIF($BV$6:BV144,BV144)=1,MAX($BS$5:BS143)+1,INDEX($BS$5:BS143,MATCH(BV144,$BV$5:BV143,0))))</f>
        <v/>
      </c>
      <c r="BT144" s="49">
        <f>IF(NOT(AND($A144&lt;&gt;"",$C144&lt;&gt;"DOOR ONLY")),"",MAX($BT$5:BT143)+1)</f>
        <v/>
      </c>
      <c r="BU144" s="49">
        <f>IF(NOT(AND($A144&lt;&gt;"",N($BC144)&gt;0)),"",MAX($BU$5:BU143)+1)</f>
        <v/>
      </c>
      <c r="BV144" s="49">
        <f>IF(OR($A144="",$BA144="",$BB144=""),"",$AZ144&amp;"|"&amp;$O144&amp;"|"&amp;$AL144&amp;"|"&amp;$S144&amp;"|"&amp;$P144&amp;"|"&amp;$Q144&amp;$R144&amp;"|"&amp;$C144&amp;"|"&amp;$AB144)</f>
        <v/>
      </c>
      <c r="BW144" s="49">
        <f>IF($A144="","",IF($B144="","qty, ","")&amp;IF($C144="","scope, ","")&amp;IF(OR($K144="",$M144=""),"size, ","")&amp;IF(AND($A144&lt;&gt;"",$C144&lt;&gt;"DOOR ONLY"),IF($U144="","jamb depth, ","")&amp;IF($X144="","construction, ","")&amp;IF($Y144="","anchor, ","")&amp;IF($S144="","frame type, ",""),"")&amp;IF(AND(N($BC144)&gt;0,$Z144=""),"hand, ","")&amp;IF(N($BC144)&gt;0,IF($AH144="","door material, ","")&amp;IF($AL144="","face type, ","")&amp;IF($AQ144="","lock prep, ","")&amp;IF(AND($AP144="",$AC144=""),"hinge prep, ",""),"")&amp;IF(AND($BO144&gt;0,$AH144="FRP"),"FRP cannot carry a label, ","")&amp;IF(AND($O144="Y",OR($Z144="L",$Z144="R",$Z144="LR",$Z144="RR")),"pair marked but hand is single, ","")&amp;IF(AND($O144&lt;&gt;"Y",OR($Z144="PR",AND(LEN($Z144)&gt;1,ISNUMBER(SEARCH("-",$Z144))))),"pair hand on a single door, ","")&amp;IF(AND(ISNUMBER($BP144),$BO144&lt;N($BP144)),"wall needs a "&amp;$BP144&amp;" min door, ","")&amp;IF(AND($BO144&gt;=180,AND(OR($BL144="FG",$BL144="HG",$BL144="FNV",$BL144="FV"),N($BM144)*N($BN144)&gt;100)),"180 min lite over 100 sq in, ","")&amp;IF(N($BD144)&gt;48,"leaf wider than 4'-0"&amp;CHAR(34)&amp;", ",""))</f>
        <v/>
      </c>
      <c r="BX144" s="49">
        <f>IF($A144="","",IF(AND($BO144&gt;0,AND($A144&lt;&gt;"",$C144&lt;&gt;"DOOR ONLY"),$X144="KD",$E144="EXTERIOR"),"KD label on an exterior opening, ","")&amp;IF(AND($E144="EXTERIOR",OR(AND(AND($A144&lt;&gt;"",$C144&lt;&gt;"DOOR ONLY"),$W144="CR"),AND(N($BC144)&gt;0,$AH144="CR"))),"exterior in CR steel (G9?), ","")&amp;IF(AND(ISNUMBER($BJ144),N($BJ144)&lt;32),"clear width ~"&amp;TEXT($BJ144,"0.0")&amp;CHAR(34)&amp;" under 32"&amp;CHAR(34)&amp;" (ADA), ","")&amp;IF(AND($BO144=90,AND(OR($BL144="FG",$BL144="HG",$BL144="FNV",$BL144="FV"),N($BM144)*N($BN144)&gt;100)),"90 min lite over 100 sq in (stair/exit), ","")&amp;IF(AND($BO144&gt;0,AND($A144&lt;&gt;"",$C144&lt;&gt;"DOOR ONLY"),OR($AF144="",$AF144="-")),"rated: closer reinf.?, ","")&amp;IF(OR($I144="CORRIDOR",$I144="SMOKE BARRIER"),"S label + smoke gasketing, ","")&amp;IF($BP144="?","wall type/hr not in IBC table, ","")&amp;IF(AND(N($BC144)&gt;0,$AU144=""),"no hardware set, ","")&amp;IF(AND($AU144&lt;&gt;"",ISNA(MATCH($AU144,HWSets,0))),"set "&amp;$AU144&amp;" not on Hardware sheet, ","")&amp;IF(N($BE144)&gt;96,"leaf over 8'-0"&amp;CHAR(34)&amp;" - check listing, ",""))</f>
        <v/>
      </c>
    </row>
    <row r="145" ht="15" customHeight="1">
      <c r="A145" s="44" t="n"/>
      <c r="B145" s="45" t="n"/>
      <c r="C145" s="45" t="n"/>
      <c r="D145" s="45" t="n"/>
      <c r="E145" s="45" t="n"/>
      <c r="F145" s="45" t="n"/>
      <c r="G145" s="45" t="n"/>
      <c r="H145" s="45" t="n"/>
      <c r="I145" s="45" t="n"/>
      <c r="J145" s="45" t="n"/>
      <c r="K145" s="45" t="n"/>
      <c r="L145" s="45" t="n"/>
      <c r="M145" s="45" t="n"/>
      <c r="N145" s="45" t="n"/>
      <c r="O145" s="45" t="n"/>
      <c r="P145" s="45" t="n"/>
      <c r="Q145" s="45" t="n"/>
      <c r="R145" s="45" t="n"/>
      <c r="S145" s="46" t="n"/>
      <c r="T145" s="46" t="n"/>
      <c r="U145" s="46" t="n"/>
      <c r="V145" s="46" t="n"/>
      <c r="W145" s="46" t="n"/>
      <c r="X145" s="46" t="n"/>
      <c r="Y145" s="46" t="n"/>
      <c r="Z145" s="46" t="n"/>
      <c r="AA145" s="46" t="n"/>
      <c r="AB145" s="46" t="n"/>
      <c r="AC145" s="46" t="n"/>
      <c r="AD145" s="46" t="n"/>
      <c r="AE145" s="46" t="n"/>
      <c r="AF145" s="46" t="n"/>
      <c r="AG145" s="46" t="n"/>
      <c r="AH145" s="47" t="n"/>
      <c r="AI145" s="47" t="n"/>
      <c r="AJ145" s="47" t="n"/>
      <c r="AK145" s="47" t="n"/>
      <c r="AL145" s="47" t="n"/>
      <c r="AM145" s="47" t="n"/>
      <c r="AN145" s="47" t="n"/>
      <c r="AO145" s="47" t="n"/>
      <c r="AP145" s="47" t="n"/>
      <c r="AQ145" s="47" t="n"/>
      <c r="AR145" s="47" t="n"/>
      <c r="AS145" s="47" t="n"/>
      <c r="AT145" s="47" t="n"/>
      <c r="AU145" s="48" t="n"/>
      <c r="AV145" s="48" t="n"/>
      <c r="AW145" s="49">
        <f>IF($A145="","",IF($BW145&lt;&gt;"","FIX",IF($BX145&lt;&gt;"","CHECK","OK")))</f>
        <v/>
      </c>
      <c r="AX145" s="50">
        <f>IF($A145="","",IF($BW145&lt;&gt;"","FIX: "&amp;LEFT($BW145,LEN($BW145)-2)&amp;IF($BX145&lt;&gt;"","  ·  ",""),"")&amp;IF($BX145&lt;&gt;"","CHECK: "&amp;LEFT($BX145,LEN($BX145)-2),""))</f>
        <v/>
      </c>
      <c r="AY145" s="49">
        <f>IF(OR($A145="",$K145=""),"",$K145&amp;"'-"&amp;N($L145)&amp;CHAR(34)&amp;" x "&amp;$M145&amp;"'-"&amp;N($N145)&amp;CHAR(34))</f>
        <v/>
      </c>
      <c r="AZ145" s="49">
        <f>IF(OR($A145="",$K145=""),"",$K145&amp;N($L145)&amp;$M145&amp;N($N145))</f>
        <v/>
      </c>
      <c r="BA145" s="49">
        <f>IF(OR($A145="",$K145=""),"",$K145*12+N($L145))</f>
        <v/>
      </c>
      <c r="BB145" s="49">
        <f>IF(OR($A145="",$M145=""),"",$M145*12+N($N145))</f>
        <v/>
      </c>
      <c r="BC145" s="49">
        <f>IF($A145="","",IF(OR($C145="FRAME ONLY",$S145="BL"),0,IF($O145="Y",2,1)))</f>
        <v/>
      </c>
      <c r="BD145" s="51">
        <f>IF(OR(N($BC145)=0,$BA145=""),"",($BA145-2*EdgeClr-IF($BC145=2,MeetClr,0))/$BC145)</f>
        <v/>
      </c>
      <c r="BE145" s="51">
        <f>IF(OR(N($BC145)=0,$BB145=""),"",$BB145-HeadClr-Undercut)</f>
        <v/>
      </c>
      <c r="BF145" s="51">
        <f>IF($BA145="","",$BA145+2*FaceW+IF(N($Q145)&gt;0,($Q145+FaceW)*IF($R145="LR",2,1),0))</f>
        <v/>
      </c>
      <c r="BG145" s="51">
        <f>IF($BB145="","",$BB145+IF($AB145="Y",4,FaceW)+IF(N($P145)&gt;0,$P145+FaceW,0)+IF(OR($S145="4F",$S145="BL"),FaceW,0))</f>
        <v/>
      </c>
      <c r="BH145" s="51">
        <f>IF($BF145="","",$BF145+2*ROSide)</f>
        <v/>
      </c>
      <c r="BI145" s="51">
        <f>IF($BG145="","",$BG145+ROTop)</f>
        <v/>
      </c>
      <c r="BJ145" s="52">
        <f>IF(OR(N($BC145)=0,$BA145=""),"",$BA145/$BC145-ClearDeduct)</f>
        <v/>
      </c>
      <c r="BK145" s="49">
        <f>IF(OR(N($BC145)=0,$BE145=""),"",IF(OR($AC145="HGC",$AP145="HGC"),"CONT",IF($BE145&lt;=60,2,IF($BE145&lt;=90,3,IF($BE145&lt;=120,4,5)))))</f>
        <v/>
      </c>
      <c r="BL145" s="49">
        <f>IF(N($BC145)=0,"",IF(OR($AL145="",$AL145="FLUSH"),"FLUSH",IFERROR(LEFT($AL145,FIND("-",$AL145)-1),LEFT($AL145,2))))</f>
        <v/>
      </c>
      <c r="BM145" s="49">
        <f>IF($BL145="","",IFERROR(VALUE(MID($AL145,FIND("-",$AL145)+1,FIND(CHAR(34)&amp;"x",$AL145)-FIND("-",$AL145)-1)),0))</f>
        <v/>
      </c>
      <c r="BN145" s="49">
        <f>IF($BL145="","",IFERROR(VALUE(MID($AL145,FIND(CHAR(34)&amp;"x",$AL145)+2,FIND(CHAR(34),$AL145,FIND(CHAR(34)&amp;"x",$AL145)+2)-FIND(CHAR(34)&amp;"x",$AL145)-2)),0))</f>
        <v/>
      </c>
      <c r="BO145" s="53">
        <f>IF(OR($A145="",$H145="",$H145="NO LAB"),0,IFERROR(VALUE(LEFT($H145,FIND(" ",$H145)-1)),0))</f>
        <v/>
      </c>
      <c r="BP145" s="54">
        <f>IF(OR($A145="",$I145="",$I145="NON-RATED",N($J145)=0),"",IFERROR(VLOOKUP($I145&amp;"|"&amp;$J145,IBC,2,FALSE),"?"))</f>
        <v/>
      </c>
      <c r="BQ145" s="50">
        <f>IF(NOT(AND($A145&lt;&gt;"",$C145&lt;&gt;"DOOR ONLY")),"",TRIM(IFERROR(VLOOKUP($U145,CODES,2,FALSE),"")&amp;" "&amp;$AZ145&amp;" "&amp;IFERROR(VLOOKUP($Z145,CODES,2,FALSE),"")&amp;" "&amp;IFERROR(VLOOKUP($X145,CODES,2,FALSE),"")&amp;" "&amp;IFERROR(VLOOKUP($S145,CODES,2,FALSE),"")&amp;IF(N($P145)&gt;0," w/TRANSOM "&amp;$P145&amp;CHAR(34),"")&amp;IF(N($Q145)&gt;0," w/SIDELITE "&amp;$Q145&amp;CHAR(34)&amp;" "&amp;IF($R145="","R",$R145),"")&amp;IF($Y145="","  |  "," | "&amp;IFERROR(VLOOKUP($Y145,CODES,2,FALSE),"")&amp;" | ")&amp;IFERROR(VLOOKUP($AC145,CODES,2,FALSE),"")&amp;" "&amp;IFERROR(VLOOKUP($AD145,CODES,2,FALSE),"")&amp;IF(OR($AE145="",$AE145="-"),""," "&amp;$AE145)&amp;IF(OR($AF145="",$AF145="-"),""," "&amp;$AF145)&amp;IF($AB145="Y"," 4"&amp;CHAR(34)&amp;" HEAD","")&amp;" "&amp;IFERROR(VLOOKUP($H145,CODES,2,FALSE),"")))</f>
        <v/>
      </c>
      <c r="BR145" s="50">
        <f>IF(NOT(AND($A145&lt;&gt;"",N($BC145)&gt;0)),"",TRIM(IFERROR(VLOOKUP($AH145,CODES,2,FALSE),"")&amp;IF($AI145=""," "," "&amp;$AI145&amp;"GA ")&amp;$AZ145&amp;" "&amp;IF($AN145="",IFERROR(VLOOKUP($Z145,CODES,2,FALSE),""),IFERROR(VLOOKUP($AN145,CODES,2,FALSE),""))&amp;IF($BC145=2," PAIR","")&amp;" DOOR | "&amp;IF($AL145="","?",$AL145)&amp;" | "&amp;IF($AP145="",IFERROR(VLOOKUP($AC145,CODES,2,FALSE),""),IFERROR(VLOOKUP($AP145,CODES,2,FALSE),""))&amp;" "&amp;IFERROR(VLOOKUP($AQ145,CODES,2,FALSE),"")&amp;IF(OR($AR145="",$AR145="-"),""," SEAM "&amp;$AR145)&amp;IF($AS145="Y"," ASTRAGAL","")&amp;IF($AJ145=""," "," "&amp;$AJ145)&amp;IF($AK145=""," "," "&amp;$AK145)&amp;IF($AO145="",""," "&amp;$AO145)&amp;IF($AM145=""," "," SERIES "&amp;$AM145)&amp;" "&amp;IFERROR(VLOOKUP($H145,CODES,2,FALSE),"")))</f>
        <v/>
      </c>
      <c r="BS145" s="49">
        <f>IF(BV145="","",IF(COUNTIF($BV$6:BV145,BV145)=1,MAX($BS$5:BS144)+1,INDEX($BS$5:BS144,MATCH(BV145,$BV$5:BV144,0))))</f>
        <v/>
      </c>
      <c r="BT145" s="49">
        <f>IF(NOT(AND($A145&lt;&gt;"",$C145&lt;&gt;"DOOR ONLY")),"",MAX($BT$5:BT144)+1)</f>
        <v/>
      </c>
      <c r="BU145" s="49">
        <f>IF(NOT(AND($A145&lt;&gt;"",N($BC145)&gt;0)),"",MAX($BU$5:BU144)+1)</f>
        <v/>
      </c>
      <c r="BV145" s="49">
        <f>IF(OR($A145="",$BA145="",$BB145=""),"",$AZ145&amp;"|"&amp;$O145&amp;"|"&amp;$AL145&amp;"|"&amp;$S145&amp;"|"&amp;$P145&amp;"|"&amp;$Q145&amp;$R145&amp;"|"&amp;$C145&amp;"|"&amp;$AB145)</f>
        <v/>
      </c>
      <c r="BW145" s="49">
        <f>IF($A145="","",IF($B145="","qty, ","")&amp;IF($C145="","scope, ","")&amp;IF(OR($K145="",$M145=""),"size, ","")&amp;IF(AND($A145&lt;&gt;"",$C145&lt;&gt;"DOOR ONLY"),IF($U145="","jamb depth, ","")&amp;IF($X145="","construction, ","")&amp;IF($Y145="","anchor, ","")&amp;IF($S145="","frame type, ",""),"")&amp;IF(AND(N($BC145)&gt;0,$Z145=""),"hand, ","")&amp;IF(N($BC145)&gt;0,IF($AH145="","door material, ","")&amp;IF($AL145="","face type, ","")&amp;IF($AQ145="","lock prep, ","")&amp;IF(AND($AP145="",$AC145=""),"hinge prep, ",""),"")&amp;IF(AND($BO145&gt;0,$AH145="FRP"),"FRP cannot carry a label, ","")&amp;IF(AND($O145="Y",OR($Z145="L",$Z145="R",$Z145="LR",$Z145="RR")),"pair marked but hand is single, ","")&amp;IF(AND($O145&lt;&gt;"Y",OR($Z145="PR",AND(LEN($Z145)&gt;1,ISNUMBER(SEARCH("-",$Z145))))),"pair hand on a single door, ","")&amp;IF(AND(ISNUMBER($BP145),$BO145&lt;N($BP145)),"wall needs a "&amp;$BP145&amp;" min door, ","")&amp;IF(AND($BO145&gt;=180,AND(OR($BL145="FG",$BL145="HG",$BL145="FNV",$BL145="FV"),N($BM145)*N($BN145)&gt;100)),"180 min lite over 100 sq in, ","")&amp;IF(N($BD145)&gt;48,"leaf wider than 4'-0"&amp;CHAR(34)&amp;", ",""))</f>
        <v/>
      </c>
      <c r="BX145" s="49">
        <f>IF($A145="","",IF(AND($BO145&gt;0,AND($A145&lt;&gt;"",$C145&lt;&gt;"DOOR ONLY"),$X145="KD",$E145="EXTERIOR"),"KD label on an exterior opening, ","")&amp;IF(AND($E145="EXTERIOR",OR(AND(AND($A145&lt;&gt;"",$C145&lt;&gt;"DOOR ONLY"),$W145="CR"),AND(N($BC145)&gt;0,$AH145="CR"))),"exterior in CR steel (G9?), ","")&amp;IF(AND(ISNUMBER($BJ145),N($BJ145)&lt;32),"clear width ~"&amp;TEXT($BJ145,"0.0")&amp;CHAR(34)&amp;" under 32"&amp;CHAR(34)&amp;" (ADA), ","")&amp;IF(AND($BO145=90,AND(OR($BL145="FG",$BL145="HG",$BL145="FNV",$BL145="FV"),N($BM145)*N($BN145)&gt;100)),"90 min lite over 100 sq in (stair/exit), ","")&amp;IF(AND($BO145&gt;0,AND($A145&lt;&gt;"",$C145&lt;&gt;"DOOR ONLY"),OR($AF145="",$AF145="-")),"rated: closer reinf.?, ","")&amp;IF(OR($I145="CORRIDOR",$I145="SMOKE BARRIER"),"S label + smoke gasketing, ","")&amp;IF($BP145="?","wall type/hr not in IBC table, ","")&amp;IF(AND(N($BC145)&gt;0,$AU145=""),"no hardware set, ","")&amp;IF(AND($AU145&lt;&gt;"",ISNA(MATCH($AU145,HWSets,0))),"set "&amp;$AU145&amp;" not on Hardware sheet, ","")&amp;IF(N($BE145)&gt;96,"leaf over 8'-0"&amp;CHAR(34)&amp;" - check listing, ",""))</f>
        <v/>
      </c>
    </row>
    <row r="146" ht="15" customHeight="1">
      <c r="A146" s="44" t="n"/>
      <c r="B146" s="45" t="n"/>
      <c r="C146" s="45" t="n"/>
      <c r="D146" s="45" t="n"/>
      <c r="E146" s="45" t="n"/>
      <c r="F146" s="45" t="n"/>
      <c r="G146" s="45" t="n"/>
      <c r="H146" s="45" t="n"/>
      <c r="I146" s="45" t="n"/>
      <c r="J146" s="45" t="n"/>
      <c r="K146" s="45" t="n"/>
      <c r="L146" s="45" t="n"/>
      <c r="M146" s="45" t="n"/>
      <c r="N146" s="45" t="n"/>
      <c r="O146" s="45" t="n"/>
      <c r="P146" s="45" t="n"/>
      <c r="Q146" s="45" t="n"/>
      <c r="R146" s="45" t="n"/>
      <c r="S146" s="46" t="n"/>
      <c r="T146" s="46" t="n"/>
      <c r="U146" s="46" t="n"/>
      <c r="V146" s="46" t="n"/>
      <c r="W146" s="46" t="n"/>
      <c r="X146" s="46" t="n"/>
      <c r="Y146" s="46" t="n"/>
      <c r="Z146" s="46" t="n"/>
      <c r="AA146" s="46" t="n"/>
      <c r="AB146" s="46" t="n"/>
      <c r="AC146" s="46" t="n"/>
      <c r="AD146" s="46" t="n"/>
      <c r="AE146" s="46" t="n"/>
      <c r="AF146" s="46" t="n"/>
      <c r="AG146" s="46" t="n"/>
      <c r="AH146" s="47" t="n"/>
      <c r="AI146" s="47" t="n"/>
      <c r="AJ146" s="47" t="n"/>
      <c r="AK146" s="47" t="n"/>
      <c r="AL146" s="47" t="n"/>
      <c r="AM146" s="47" t="n"/>
      <c r="AN146" s="47" t="n"/>
      <c r="AO146" s="47" t="n"/>
      <c r="AP146" s="47" t="n"/>
      <c r="AQ146" s="47" t="n"/>
      <c r="AR146" s="47" t="n"/>
      <c r="AS146" s="47" t="n"/>
      <c r="AT146" s="47" t="n"/>
      <c r="AU146" s="48" t="n"/>
      <c r="AV146" s="48" t="n"/>
      <c r="AW146" s="49">
        <f>IF($A146="","",IF($BW146&lt;&gt;"","FIX",IF($BX146&lt;&gt;"","CHECK","OK")))</f>
        <v/>
      </c>
      <c r="AX146" s="50">
        <f>IF($A146="","",IF($BW146&lt;&gt;"","FIX: "&amp;LEFT($BW146,LEN($BW146)-2)&amp;IF($BX146&lt;&gt;"","  ·  ",""),"")&amp;IF($BX146&lt;&gt;"","CHECK: "&amp;LEFT($BX146,LEN($BX146)-2),""))</f>
        <v/>
      </c>
      <c r="AY146" s="49">
        <f>IF(OR($A146="",$K146=""),"",$K146&amp;"'-"&amp;N($L146)&amp;CHAR(34)&amp;" x "&amp;$M146&amp;"'-"&amp;N($N146)&amp;CHAR(34))</f>
        <v/>
      </c>
      <c r="AZ146" s="49">
        <f>IF(OR($A146="",$K146=""),"",$K146&amp;N($L146)&amp;$M146&amp;N($N146))</f>
        <v/>
      </c>
      <c r="BA146" s="49">
        <f>IF(OR($A146="",$K146=""),"",$K146*12+N($L146))</f>
        <v/>
      </c>
      <c r="BB146" s="49">
        <f>IF(OR($A146="",$M146=""),"",$M146*12+N($N146))</f>
        <v/>
      </c>
      <c r="BC146" s="49">
        <f>IF($A146="","",IF(OR($C146="FRAME ONLY",$S146="BL"),0,IF($O146="Y",2,1)))</f>
        <v/>
      </c>
      <c r="BD146" s="51">
        <f>IF(OR(N($BC146)=0,$BA146=""),"",($BA146-2*EdgeClr-IF($BC146=2,MeetClr,0))/$BC146)</f>
        <v/>
      </c>
      <c r="BE146" s="51">
        <f>IF(OR(N($BC146)=0,$BB146=""),"",$BB146-HeadClr-Undercut)</f>
        <v/>
      </c>
      <c r="BF146" s="51">
        <f>IF($BA146="","",$BA146+2*FaceW+IF(N($Q146)&gt;0,($Q146+FaceW)*IF($R146="LR",2,1),0))</f>
        <v/>
      </c>
      <c r="BG146" s="51">
        <f>IF($BB146="","",$BB146+IF($AB146="Y",4,FaceW)+IF(N($P146)&gt;0,$P146+FaceW,0)+IF(OR($S146="4F",$S146="BL"),FaceW,0))</f>
        <v/>
      </c>
      <c r="BH146" s="51">
        <f>IF($BF146="","",$BF146+2*ROSide)</f>
        <v/>
      </c>
      <c r="BI146" s="51">
        <f>IF($BG146="","",$BG146+ROTop)</f>
        <v/>
      </c>
      <c r="BJ146" s="52">
        <f>IF(OR(N($BC146)=0,$BA146=""),"",$BA146/$BC146-ClearDeduct)</f>
        <v/>
      </c>
      <c r="BK146" s="49">
        <f>IF(OR(N($BC146)=0,$BE146=""),"",IF(OR($AC146="HGC",$AP146="HGC"),"CONT",IF($BE146&lt;=60,2,IF($BE146&lt;=90,3,IF($BE146&lt;=120,4,5)))))</f>
        <v/>
      </c>
      <c r="BL146" s="49">
        <f>IF(N($BC146)=0,"",IF(OR($AL146="",$AL146="FLUSH"),"FLUSH",IFERROR(LEFT($AL146,FIND("-",$AL146)-1),LEFT($AL146,2))))</f>
        <v/>
      </c>
      <c r="BM146" s="49">
        <f>IF($BL146="","",IFERROR(VALUE(MID($AL146,FIND("-",$AL146)+1,FIND(CHAR(34)&amp;"x",$AL146)-FIND("-",$AL146)-1)),0))</f>
        <v/>
      </c>
      <c r="BN146" s="49">
        <f>IF($BL146="","",IFERROR(VALUE(MID($AL146,FIND(CHAR(34)&amp;"x",$AL146)+2,FIND(CHAR(34),$AL146,FIND(CHAR(34)&amp;"x",$AL146)+2)-FIND(CHAR(34)&amp;"x",$AL146)-2)),0))</f>
        <v/>
      </c>
      <c r="BO146" s="53">
        <f>IF(OR($A146="",$H146="",$H146="NO LAB"),0,IFERROR(VALUE(LEFT($H146,FIND(" ",$H146)-1)),0))</f>
        <v/>
      </c>
      <c r="BP146" s="54">
        <f>IF(OR($A146="",$I146="",$I146="NON-RATED",N($J146)=0),"",IFERROR(VLOOKUP($I146&amp;"|"&amp;$J146,IBC,2,FALSE),"?"))</f>
        <v/>
      </c>
      <c r="BQ146" s="50">
        <f>IF(NOT(AND($A146&lt;&gt;"",$C146&lt;&gt;"DOOR ONLY")),"",TRIM(IFERROR(VLOOKUP($U146,CODES,2,FALSE),"")&amp;" "&amp;$AZ146&amp;" "&amp;IFERROR(VLOOKUP($Z146,CODES,2,FALSE),"")&amp;" "&amp;IFERROR(VLOOKUP($X146,CODES,2,FALSE),"")&amp;" "&amp;IFERROR(VLOOKUP($S146,CODES,2,FALSE),"")&amp;IF(N($P146)&gt;0," w/TRANSOM "&amp;$P146&amp;CHAR(34),"")&amp;IF(N($Q146)&gt;0," w/SIDELITE "&amp;$Q146&amp;CHAR(34)&amp;" "&amp;IF($R146="","R",$R146),"")&amp;IF($Y146="","  |  "," | "&amp;IFERROR(VLOOKUP($Y146,CODES,2,FALSE),"")&amp;" | ")&amp;IFERROR(VLOOKUP($AC146,CODES,2,FALSE),"")&amp;" "&amp;IFERROR(VLOOKUP($AD146,CODES,2,FALSE),"")&amp;IF(OR($AE146="",$AE146="-"),""," "&amp;$AE146)&amp;IF(OR($AF146="",$AF146="-"),""," "&amp;$AF146)&amp;IF($AB146="Y"," 4"&amp;CHAR(34)&amp;" HEAD","")&amp;" "&amp;IFERROR(VLOOKUP($H146,CODES,2,FALSE),"")))</f>
        <v/>
      </c>
      <c r="BR146" s="50">
        <f>IF(NOT(AND($A146&lt;&gt;"",N($BC146)&gt;0)),"",TRIM(IFERROR(VLOOKUP($AH146,CODES,2,FALSE),"")&amp;IF($AI146=""," "," "&amp;$AI146&amp;"GA ")&amp;$AZ146&amp;" "&amp;IF($AN146="",IFERROR(VLOOKUP($Z146,CODES,2,FALSE),""),IFERROR(VLOOKUP($AN146,CODES,2,FALSE),""))&amp;IF($BC146=2," PAIR","")&amp;" DOOR | "&amp;IF($AL146="","?",$AL146)&amp;" | "&amp;IF($AP146="",IFERROR(VLOOKUP($AC146,CODES,2,FALSE),""),IFERROR(VLOOKUP($AP146,CODES,2,FALSE),""))&amp;" "&amp;IFERROR(VLOOKUP($AQ146,CODES,2,FALSE),"")&amp;IF(OR($AR146="",$AR146="-"),""," SEAM "&amp;$AR146)&amp;IF($AS146="Y"," ASTRAGAL","")&amp;IF($AJ146=""," "," "&amp;$AJ146)&amp;IF($AK146=""," "," "&amp;$AK146)&amp;IF($AO146="",""," "&amp;$AO146)&amp;IF($AM146=""," "," SERIES "&amp;$AM146)&amp;" "&amp;IFERROR(VLOOKUP($H146,CODES,2,FALSE),"")))</f>
        <v/>
      </c>
      <c r="BS146" s="49">
        <f>IF(BV146="","",IF(COUNTIF($BV$6:BV146,BV146)=1,MAX($BS$5:BS145)+1,INDEX($BS$5:BS145,MATCH(BV146,$BV$5:BV145,0))))</f>
        <v/>
      </c>
      <c r="BT146" s="49">
        <f>IF(NOT(AND($A146&lt;&gt;"",$C146&lt;&gt;"DOOR ONLY")),"",MAX($BT$5:BT145)+1)</f>
        <v/>
      </c>
      <c r="BU146" s="49">
        <f>IF(NOT(AND($A146&lt;&gt;"",N($BC146)&gt;0)),"",MAX($BU$5:BU145)+1)</f>
        <v/>
      </c>
      <c r="BV146" s="49">
        <f>IF(OR($A146="",$BA146="",$BB146=""),"",$AZ146&amp;"|"&amp;$O146&amp;"|"&amp;$AL146&amp;"|"&amp;$S146&amp;"|"&amp;$P146&amp;"|"&amp;$Q146&amp;$R146&amp;"|"&amp;$C146&amp;"|"&amp;$AB146)</f>
        <v/>
      </c>
      <c r="BW146" s="49">
        <f>IF($A146="","",IF($B146="","qty, ","")&amp;IF($C146="","scope, ","")&amp;IF(OR($K146="",$M146=""),"size, ","")&amp;IF(AND($A146&lt;&gt;"",$C146&lt;&gt;"DOOR ONLY"),IF($U146="","jamb depth, ","")&amp;IF($X146="","construction, ","")&amp;IF($Y146="","anchor, ","")&amp;IF($S146="","frame type, ",""),"")&amp;IF(AND(N($BC146)&gt;0,$Z146=""),"hand, ","")&amp;IF(N($BC146)&gt;0,IF($AH146="","door material, ","")&amp;IF($AL146="","face type, ","")&amp;IF($AQ146="","lock prep, ","")&amp;IF(AND($AP146="",$AC146=""),"hinge prep, ",""),"")&amp;IF(AND($BO146&gt;0,$AH146="FRP"),"FRP cannot carry a label, ","")&amp;IF(AND($O146="Y",OR($Z146="L",$Z146="R",$Z146="LR",$Z146="RR")),"pair marked but hand is single, ","")&amp;IF(AND($O146&lt;&gt;"Y",OR($Z146="PR",AND(LEN($Z146)&gt;1,ISNUMBER(SEARCH("-",$Z146))))),"pair hand on a single door, ","")&amp;IF(AND(ISNUMBER($BP146),$BO146&lt;N($BP146)),"wall needs a "&amp;$BP146&amp;" min door, ","")&amp;IF(AND($BO146&gt;=180,AND(OR($BL146="FG",$BL146="HG",$BL146="FNV",$BL146="FV"),N($BM146)*N($BN146)&gt;100)),"180 min lite over 100 sq in, ","")&amp;IF(N($BD146)&gt;48,"leaf wider than 4'-0"&amp;CHAR(34)&amp;", ",""))</f>
        <v/>
      </c>
      <c r="BX146" s="49">
        <f>IF($A146="","",IF(AND($BO146&gt;0,AND($A146&lt;&gt;"",$C146&lt;&gt;"DOOR ONLY"),$X146="KD",$E146="EXTERIOR"),"KD label on an exterior opening, ","")&amp;IF(AND($E146="EXTERIOR",OR(AND(AND($A146&lt;&gt;"",$C146&lt;&gt;"DOOR ONLY"),$W146="CR"),AND(N($BC146)&gt;0,$AH146="CR"))),"exterior in CR steel (G9?), ","")&amp;IF(AND(ISNUMBER($BJ146),N($BJ146)&lt;32),"clear width ~"&amp;TEXT($BJ146,"0.0")&amp;CHAR(34)&amp;" under 32"&amp;CHAR(34)&amp;" (ADA), ","")&amp;IF(AND($BO146=90,AND(OR($BL146="FG",$BL146="HG",$BL146="FNV",$BL146="FV"),N($BM146)*N($BN146)&gt;100)),"90 min lite over 100 sq in (stair/exit), ","")&amp;IF(AND($BO146&gt;0,AND($A146&lt;&gt;"",$C146&lt;&gt;"DOOR ONLY"),OR($AF146="",$AF146="-")),"rated: closer reinf.?, ","")&amp;IF(OR($I146="CORRIDOR",$I146="SMOKE BARRIER"),"S label + smoke gasketing, ","")&amp;IF($BP146="?","wall type/hr not in IBC table, ","")&amp;IF(AND(N($BC146)&gt;0,$AU146=""),"no hardware set, ","")&amp;IF(AND($AU146&lt;&gt;"",ISNA(MATCH($AU146,HWSets,0))),"set "&amp;$AU146&amp;" not on Hardware sheet, ","")&amp;IF(N($BE146)&gt;96,"leaf over 8'-0"&amp;CHAR(34)&amp;" - check listing, ",""))</f>
        <v/>
      </c>
    </row>
    <row r="147" ht="15" customHeight="1">
      <c r="A147" s="44" t="n"/>
      <c r="B147" s="45" t="n"/>
      <c r="C147" s="45" t="n"/>
      <c r="D147" s="45" t="n"/>
      <c r="E147" s="45" t="n"/>
      <c r="F147" s="45" t="n"/>
      <c r="G147" s="45" t="n"/>
      <c r="H147" s="45" t="n"/>
      <c r="I147" s="45" t="n"/>
      <c r="J147" s="45" t="n"/>
      <c r="K147" s="45" t="n"/>
      <c r="L147" s="45" t="n"/>
      <c r="M147" s="45" t="n"/>
      <c r="N147" s="45" t="n"/>
      <c r="O147" s="45" t="n"/>
      <c r="P147" s="45" t="n"/>
      <c r="Q147" s="45" t="n"/>
      <c r="R147" s="45" t="n"/>
      <c r="S147" s="46" t="n"/>
      <c r="T147" s="46" t="n"/>
      <c r="U147" s="46" t="n"/>
      <c r="V147" s="46" t="n"/>
      <c r="W147" s="46" t="n"/>
      <c r="X147" s="46" t="n"/>
      <c r="Y147" s="46" t="n"/>
      <c r="Z147" s="46" t="n"/>
      <c r="AA147" s="46" t="n"/>
      <c r="AB147" s="46" t="n"/>
      <c r="AC147" s="46" t="n"/>
      <c r="AD147" s="46" t="n"/>
      <c r="AE147" s="46" t="n"/>
      <c r="AF147" s="46" t="n"/>
      <c r="AG147" s="46" t="n"/>
      <c r="AH147" s="47" t="n"/>
      <c r="AI147" s="47" t="n"/>
      <c r="AJ147" s="47" t="n"/>
      <c r="AK147" s="47" t="n"/>
      <c r="AL147" s="47" t="n"/>
      <c r="AM147" s="47" t="n"/>
      <c r="AN147" s="47" t="n"/>
      <c r="AO147" s="47" t="n"/>
      <c r="AP147" s="47" t="n"/>
      <c r="AQ147" s="47" t="n"/>
      <c r="AR147" s="47" t="n"/>
      <c r="AS147" s="47" t="n"/>
      <c r="AT147" s="47" t="n"/>
      <c r="AU147" s="48" t="n"/>
      <c r="AV147" s="48" t="n"/>
      <c r="AW147" s="49">
        <f>IF($A147="","",IF($BW147&lt;&gt;"","FIX",IF($BX147&lt;&gt;"","CHECK","OK")))</f>
        <v/>
      </c>
      <c r="AX147" s="50">
        <f>IF($A147="","",IF($BW147&lt;&gt;"","FIX: "&amp;LEFT($BW147,LEN($BW147)-2)&amp;IF($BX147&lt;&gt;"","  ·  ",""),"")&amp;IF($BX147&lt;&gt;"","CHECK: "&amp;LEFT($BX147,LEN($BX147)-2),""))</f>
        <v/>
      </c>
      <c r="AY147" s="49">
        <f>IF(OR($A147="",$K147=""),"",$K147&amp;"'-"&amp;N($L147)&amp;CHAR(34)&amp;" x "&amp;$M147&amp;"'-"&amp;N($N147)&amp;CHAR(34))</f>
        <v/>
      </c>
      <c r="AZ147" s="49">
        <f>IF(OR($A147="",$K147=""),"",$K147&amp;N($L147)&amp;$M147&amp;N($N147))</f>
        <v/>
      </c>
      <c r="BA147" s="49">
        <f>IF(OR($A147="",$K147=""),"",$K147*12+N($L147))</f>
        <v/>
      </c>
      <c r="BB147" s="49">
        <f>IF(OR($A147="",$M147=""),"",$M147*12+N($N147))</f>
        <v/>
      </c>
      <c r="BC147" s="49">
        <f>IF($A147="","",IF(OR($C147="FRAME ONLY",$S147="BL"),0,IF($O147="Y",2,1)))</f>
        <v/>
      </c>
      <c r="BD147" s="51">
        <f>IF(OR(N($BC147)=0,$BA147=""),"",($BA147-2*EdgeClr-IF($BC147=2,MeetClr,0))/$BC147)</f>
        <v/>
      </c>
      <c r="BE147" s="51">
        <f>IF(OR(N($BC147)=0,$BB147=""),"",$BB147-HeadClr-Undercut)</f>
        <v/>
      </c>
      <c r="BF147" s="51">
        <f>IF($BA147="","",$BA147+2*FaceW+IF(N($Q147)&gt;0,($Q147+FaceW)*IF($R147="LR",2,1),0))</f>
        <v/>
      </c>
      <c r="BG147" s="51">
        <f>IF($BB147="","",$BB147+IF($AB147="Y",4,FaceW)+IF(N($P147)&gt;0,$P147+FaceW,0)+IF(OR($S147="4F",$S147="BL"),FaceW,0))</f>
        <v/>
      </c>
      <c r="BH147" s="51">
        <f>IF($BF147="","",$BF147+2*ROSide)</f>
        <v/>
      </c>
      <c r="BI147" s="51">
        <f>IF($BG147="","",$BG147+ROTop)</f>
        <v/>
      </c>
      <c r="BJ147" s="52">
        <f>IF(OR(N($BC147)=0,$BA147=""),"",$BA147/$BC147-ClearDeduct)</f>
        <v/>
      </c>
      <c r="BK147" s="49">
        <f>IF(OR(N($BC147)=0,$BE147=""),"",IF(OR($AC147="HGC",$AP147="HGC"),"CONT",IF($BE147&lt;=60,2,IF($BE147&lt;=90,3,IF($BE147&lt;=120,4,5)))))</f>
        <v/>
      </c>
      <c r="BL147" s="49">
        <f>IF(N($BC147)=0,"",IF(OR($AL147="",$AL147="FLUSH"),"FLUSH",IFERROR(LEFT($AL147,FIND("-",$AL147)-1),LEFT($AL147,2))))</f>
        <v/>
      </c>
      <c r="BM147" s="49">
        <f>IF($BL147="","",IFERROR(VALUE(MID($AL147,FIND("-",$AL147)+1,FIND(CHAR(34)&amp;"x",$AL147)-FIND("-",$AL147)-1)),0))</f>
        <v/>
      </c>
      <c r="BN147" s="49">
        <f>IF($BL147="","",IFERROR(VALUE(MID($AL147,FIND(CHAR(34)&amp;"x",$AL147)+2,FIND(CHAR(34),$AL147,FIND(CHAR(34)&amp;"x",$AL147)+2)-FIND(CHAR(34)&amp;"x",$AL147)-2)),0))</f>
        <v/>
      </c>
      <c r="BO147" s="53">
        <f>IF(OR($A147="",$H147="",$H147="NO LAB"),0,IFERROR(VALUE(LEFT($H147,FIND(" ",$H147)-1)),0))</f>
        <v/>
      </c>
      <c r="BP147" s="54">
        <f>IF(OR($A147="",$I147="",$I147="NON-RATED",N($J147)=0),"",IFERROR(VLOOKUP($I147&amp;"|"&amp;$J147,IBC,2,FALSE),"?"))</f>
        <v/>
      </c>
      <c r="BQ147" s="50">
        <f>IF(NOT(AND($A147&lt;&gt;"",$C147&lt;&gt;"DOOR ONLY")),"",TRIM(IFERROR(VLOOKUP($U147,CODES,2,FALSE),"")&amp;" "&amp;$AZ147&amp;" "&amp;IFERROR(VLOOKUP($Z147,CODES,2,FALSE),"")&amp;" "&amp;IFERROR(VLOOKUP($X147,CODES,2,FALSE),"")&amp;" "&amp;IFERROR(VLOOKUP($S147,CODES,2,FALSE),"")&amp;IF(N($P147)&gt;0," w/TRANSOM "&amp;$P147&amp;CHAR(34),"")&amp;IF(N($Q147)&gt;0," w/SIDELITE "&amp;$Q147&amp;CHAR(34)&amp;" "&amp;IF($R147="","R",$R147),"")&amp;IF($Y147="","  |  "," | "&amp;IFERROR(VLOOKUP($Y147,CODES,2,FALSE),"")&amp;" | ")&amp;IFERROR(VLOOKUP($AC147,CODES,2,FALSE),"")&amp;" "&amp;IFERROR(VLOOKUP($AD147,CODES,2,FALSE),"")&amp;IF(OR($AE147="",$AE147="-"),""," "&amp;$AE147)&amp;IF(OR($AF147="",$AF147="-"),""," "&amp;$AF147)&amp;IF($AB147="Y"," 4"&amp;CHAR(34)&amp;" HEAD","")&amp;" "&amp;IFERROR(VLOOKUP($H147,CODES,2,FALSE),"")))</f>
        <v/>
      </c>
      <c r="BR147" s="50">
        <f>IF(NOT(AND($A147&lt;&gt;"",N($BC147)&gt;0)),"",TRIM(IFERROR(VLOOKUP($AH147,CODES,2,FALSE),"")&amp;IF($AI147=""," "," "&amp;$AI147&amp;"GA ")&amp;$AZ147&amp;" "&amp;IF($AN147="",IFERROR(VLOOKUP($Z147,CODES,2,FALSE),""),IFERROR(VLOOKUP($AN147,CODES,2,FALSE),""))&amp;IF($BC147=2," PAIR","")&amp;" DOOR | "&amp;IF($AL147="","?",$AL147)&amp;" | "&amp;IF($AP147="",IFERROR(VLOOKUP($AC147,CODES,2,FALSE),""),IFERROR(VLOOKUP($AP147,CODES,2,FALSE),""))&amp;" "&amp;IFERROR(VLOOKUP($AQ147,CODES,2,FALSE),"")&amp;IF(OR($AR147="",$AR147="-"),""," SEAM "&amp;$AR147)&amp;IF($AS147="Y"," ASTRAGAL","")&amp;IF($AJ147=""," "," "&amp;$AJ147)&amp;IF($AK147=""," "," "&amp;$AK147)&amp;IF($AO147="",""," "&amp;$AO147)&amp;IF($AM147=""," "," SERIES "&amp;$AM147)&amp;" "&amp;IFERROR(VLOOKUP($H147,CODES,2,FALSE),"")))</f>
        <v/>
      </c>
      <c r="BS147" s="49">
        <f>IF(BV147="","",IF(COUNTIF($BV$6:BV147,BV147)=1,MAX($BS$5:BS146)+1,INDEX($BS$5:BS146,MATCH(BV147,$BV$5:BV146,0))))</f>
        <v/>
      </c>
      <c r="BT147" s="49">
        <f>IF(NOT(AND($A147&lt;&gt;"",$C147&lt;&gt;"DOOR ONLY")),"",MAX($BT$5:BT146)+1)</f>
        <v/>
      </c>
      <c r="BU147" s="49">
        <f>IF(NOT(AND($A147&lt;&gt;"",N($BC147)&gt;0)),"",MAX($BU$5:BU146)+1)</f>
        <v/>
      </c>
      <c r="BV147" s="49">
        <f>IF(OR($A147="",$BA147="",$BB147=""),"",$AZ147&amp;"|"&amp;$O147&amp;"|"&amp;$AL147&amp;"|"&amp;$S147&amp;"|"&amp;$P147&amp;"|"&amp;$Q147&amp;$R147&amp;"|"&amp;$C147&amp;"|"&amp;$AB147)</f>
        <v/>
      </c>
      <c r="BW147" s="49">
        <f>IF($A147="","",IF($B147="","qty, ","")&amp;IF($C147="","scope, ","")&amp;IF(OR($K147="",$M147=""),"size, ","")&amp;IF(AND($A147&lt;&gt;"",$C147&lt;&gt;"DOOR ONLY"),IF($U147="","jamb depth, ","")&amp;IF($X147="","construction, ","")&amp;IF($Y147="","anchor, ","")&amp;IF($S147="","frame type, ",""),"")&amp;IF(AND(N($BC147)&gt;0,$Z147=""),"hand, ","")&amp;IF(N($BC147)&gt;0,IF($AH147="","door material, ","")&amp;IF($AL147="","face type, ","")&amp;IF($AQ147="","lock prep, ","")&amp;IF(AND($AP147="",$AC147=""),"hinge prep, ",""),"")&amp;IF(AND($BO147&gt;0,$AH147="FRP"),"FRP cannot carry a label, ","")&amp;IF(AND($O147="Y",OR($Z147="L",$Z147="R",$Z147="LR",$Z147="RR")),"pair marked but hand is single, ","")&amp;IF(AND($O147&lt;&gt;"Y",OR($Z147="PR",AND(LEN($Z147)&gt;1,ISNUMBER(SEARCH("-",$Z147))))),"pair hand on a single door, ","")&amp;IF(AND(ISNUMBER($BP147),$BO147&lt;N($BP147)),"wall needs a "&amp;$BP147&amp;" min door, ","")&amp;IF(AND($BO147&gt;=180,AND(OR($BL147="FG",$BL147="HG",$BL147="FNV",$BL147="FV"),N($BM147)*N($BN147)&gt;100)),"180 min lite over 100 sq in, ","")&amp;IF(N($BD147)&gt;48,"leaf wider than 4'-0"&amp;CHAR(34)&amp;", ",""))</f>
        <v/>
      </c>
      <c r="BX147" s="49">
        <f>IF($A147="","",IF(AND($BO147&gt;0,AND($A147&lt;&gt;"",$C147&lt;&gt;"DOOR ONLY"),$X147="KD",$E147="EXTERIOR"),"KD label on an exterior opening, ","")&amp;IF(AND($E147="EXTERIOR",OR(AND(AND($A147&lt;&gt;"",$C147&lt;&gt;"DOOR ONLY"),$W147="CR"),AND(N($BC147)&gt;0,$AH147="CR"))),"exterior in CR steel (G9?), ","")&amp;IF(AND(ISNUMBER($BJ147),N($BJ147)&lt;32),"clear width ~"&amp;TEXT($BJ147,"0.0")&amp;CHAR(34)&amp;" under 32"&amp;CHAR(34)&amp;" (ADA), ","")&amp;IF(AND($BO147=90,AND(OR($BL147="FG",$BL147="HG",$BL147="FNV",$BL147="FV"),N($BM147)*N($BN147)&gt;100)),"90 min lite over 100 sq in (stair/exit), ","")&amp;IF(AND($BO147&gt;0,AND($A147&lt;&gt;"",$C147&lt;&gt;"DOOR ONLY"),OR($AF147="",$AF147="-")),"rated: closer reinf.?, ","")&amp;IF(OR($I147="CORRIDOR",$I147="SMOKE BARRIER"),"S label + smoke gasketing, ","")&amp;IF($BP147="?","wall type/hr not in IBC table, ","")&amp;IF(AND(N($BC147)&gt;0,$AU147=""),"no hardware set, ","")&amp;IF(AND($AU147&lt;&gt;"",ISNA(MATCH($AU147,HWSets,0))),"set "&amp;$AU147&amp;" not on Hardware sheet, ","")&amp;IF(N($BE147)&gt;96,"leaf over 8'-0"&amp;CHAR(34)&amp;" - check listing, ",""))</f>
        <v/>
      </c>
    </row>
    <row r="148" ht="15" customHeight="1">
      <c r="A148" s="44" t="n"/>
      <c r="B148" s="45" t="n"/>
      <c r="C148" s="45" t="n"/>
      <c r="D148" s="45" t="n"/>
      <c r="E148" s="45" t="n"/>
      <c r="F148" s="45" t="n"/>
      <c r="G148" s="45" t="n"/>
      <c r="H148" s="45" t="n"/>
      <c r="I148" s="45" t="n"/>
      <c r="J148" s="45" t="n"/>
      <c r="K148" s="45" t="n"/>
      <c r="L148" s="45" t="n"/>
      <c r="M148" s="45" t="n"/>
      <c r="N148" s="45" t="n"/>
      <c r="O148" s="45" t="n"/>
      <c r="P148" s="45" t="n"/>
      <c r="Q148" s="45" t="n"/>
      <c r="R148" s="45" t="n"/>
      <c r="S148" s="46" t="n"/>
      <c r="T148" s="46" t="n"/>
      <c r="U148" s="46" t="n"/>
      <c r="V148" s="46" t="n"/>
      <c r="W148" s="46" t="n"/>
      <c r="X148" s="46" t="n"/>
      <c r="Y148" s="46" t="n"/>
      <c r="Z148" s="46" t="n"/>
      <c r="AA148" s="46" t="n"/>
      <c r="AB148" s="46" t="n"/>
      <c r="AC148" s="46" t="n"/>
      <c r="AD148" s="46" t="n"/>
      <c r="AE148" s="46" t="n"/>
      <c r="AF148" s="46" t="n"/>
      <c r="AG148" s="46" t="n"/>
      <c r="AH148" s="47" t="n"/>
      <c r="AI148" s="47" t="n"/>
      <c r="AJ148" s="47" t="n"/>
      <c r="AK148" s="47" t="n"/>
      <c r="AL148" s="47" t="n"/>
      <c r="AM148" s="47" t="n"/>
      <c r="AN148" s="47" t="n"/>
      <c r="AO148" s="47" t="n"/>
      <c r="AP148" s="47" t="n"/>
      <c r="AQ148" s="47" t="n"/>
      <c r="AR148" s="47" t="n"/>
      <c r="AS148" s="47" t="n"/>
      <c r="AT148" s="47" t="n"/>
      <c r="AU148" s="48" t="n"/>
      <c r="AV148" s="48" t="n"/>
      <c r="AW148" s="49">
        <f>IF($A148="","",IF($BW148&lt;&gt;"","FIX",IF($BX148&lt;&gt;"","CHECK","OK")))</f>
        <v/>
      </c>
      <c r="AX148" s="50">
        <f>IF($A148="","",IF($BW148&lt;&gt;"","FIX: "&amp;LEFT($BW148,LEN($BW148)-2)&amp;IF($BX148&lt;&gt;"","  ·  ",""),"")&amp;IF($BX148&lt;&gt;"","CHECK: "&amp;LEFT($BX148,LEN($BX148)-2),""))</f>
        <v/>
      </c>
      <c r="AY148" s="49">
        <f>IF(OR($A148="",$K148=""),"",$K148&amp;"'-"&amp;N($L148)&amp;CHAR(34)&amp;" x "&amp;$M148&amp;"'-"&amp;N($N148)&amp;CHAR(34))</f>
        <v/>
      </c>
      <c r="AZ148" s="49">
        <f>IF(OR($A148="",$K148=""),"",$K148&amp;N($L148)&amp;$M148&amp;N($N148))</f>
        <v/>
      </c>
      <c r="BA148" s="49">
        <f>IF(OR($A148="",$K148=""),"",$K148*12+N($L148))</f>
        <v/>
      </c>
      <c r="BB148" s="49">
        <f>IF(OR($A148="",$M148=""),"",$M148*12+N($N148))</f>
        <v/>
      </c>
      <c r="BC148" s="49">
        <f>IF($A148="","",IF(OR($C148="FRAME ONLY",$S148="BL"),0,IF($O148="Y",2,1)))</f>
        <v/>
      </c>
      <c r="BD148" s="51">
        <f>IF(OR(N($BC148)=0,$BA148=""),"",($BA148-2*EdgeClr-IF($BC148=2,MeetClr,0))/$BC148)</f>
        <v/>
      </c>
      <c r="BE148" s="51">
        <f>IF(OR(N($BC148)=0,$BB148=""),"",$BB148-HeadClr-Undercut)</f>
        <v/>
      </c>
      <c r="BF148" s="51">
        <f>IF($BA148="","",$BA148+2*FaceW+IF(N($Q148)&gt;0,($Q148+FaceW)*IF($R148="LR",2,1),0))</f>
        <v/>
      </c>
      <c r="BG148" s="51">
        <f>IF($BB148="","",$BB148+IF($AB148="Y",4,FaceW)+IF(N($P148)&gt;0,$P148+FaceW,0)+IF(OR($S148="4F",$S148="BL"),FaceW,0))</f>
        <v/>
      </c>
      <c r="BH148" s="51">
        <f>IF($BF148="","",$BF148+2*ROSide)</f>
        <v/>
      </c>
      <c r="BI148" s="51">
        <f>IF($BG148="","",$BG148+ROTop)</f>
        <v/>
      </c>
      <c r="BJ148" s="52">
        <f>IF(OR(N($BC148)=0,$BA148=""),"",$BA148/$BC148-ClearDeduct)</f>
        <v/>
      </c>
      <c r="BK148" s="49">
        <f>IF(OR(N($BC148)=0,$BE148=""),"",IF(OR($AC148="HGC",$AP148="HGC"),"CONT",IF($BE148&lt;=60,2,IF($BE148&lt;=90,3,IF($BE148&lt;=120,4,5)))))</f>
        <v/>
      </c>
      <c r="BL148" s="49">
        <f>IF(N($BC148)=0,"",IF(OR($AL148="",$AL148="FLUSH"),"FLUSH",IFERROR(LEFT($AL148,FIND("-",$AL148)-1),LEFT($AL148,2))))</f>
        <v/>
      </c>
      <c r="BM148" s="49">
        <f>IF($BL148="","",IFERROR(VALUE(MID($AL148,FIND("-",$AL148)+1,FIND(CHAR(34)&amp;"x",$AL148)-FIND("-",$AL148)-1)),0))</f>
        <v/>
      </c>
      <c r="BN148" s="49">
        <f>IF($BL148="","",IFERROR(VALUE(MID($AL148,FIND(CHAR(34)&amp;"x",$AL148)+2,FIND(CHAR(34),$AL148,FIND(CHAR(34)&amp;"x",$AL148)+2)-FIND(CHAR(34)&amp;"x",$AL148)-2)),0))</f>
        <v/>
      </c>
      <c r="BO148" s="53">
        <f>IF(OR($A148="",$H148="",$H148="NO LAB"),0,IFERROR(VALUE(LEFT($H148,FIND(" ",$H148)-1)),0))</f>
        <v/>
      </c>
      <c r="BP148" s="54">
        <f>IF(OR($A148="",$I148="",$I148="NON-RATED",N($J148)=0),"",IFERROR(VLOOKUP($I148&amp;"|"&amp;$J148,IBC,2,FALSE),"?"))</f>
        <v/>
      </c>
      <c r="BQ148" s="50">
        <f>IF(NOT(AND($A148&lt;&gt;"",$C148&lt;&gt;"DOOR ONLY")),"",TRIM(IFERROR(VLOOKUP($U148,CODES,2,FALSE),"")&amp;" "&amp;$AZ148&amp;" "&amp;IFERROR(VLOOKUP($Z148,CODES,2,FALSE),"")&amp;" "&amp;IFERROR(VLOOKUP($X148,CODES,2,FALSE),"")&amp;" "&amp;IFERROR(VLOOKUP($S148,CODES,2,FALSE),"")&amp;IF(N($P148)&gt;0," w/TRANSOM "&amp;$P148&amp;CHAR(34),"")&amp;IF(N($Q148)&gt;0," w/SIDELITE "&amp;$Q148&amp;CHAR(34)&amp;" "&amp;IF($R148="","R",$R148),"")&amp;IF($Y148="","  |  "," | "&amp;IFERROR(VLOOKUP($Y148,CODES,2,FALSE),"")&amp;" | ")&amp;IFERROR(VLOOKUP($AC148,CODES,2,FALSE),"")&amp;" "&amp;IFERROR(VLOOKUP($AD148,CODES,2,FALSE),"")&amp;IF(OR($AE148="",$AE148="-"),""," "&amp;$AE148)&amp;IF(OR($AF148="",$AF148="-"),""," "&amp;$AF148)&amp;IF($AB148="Y"," 4"&amp;CHAR(34)&amp;" HEAD","")&amp;" "&amp;IFERROR(VLOOKUP($H148,CODES,2,FALSE),"")))</f>
        <v/>
      </c>
      <c r="BR148" s="50">
        <f>IF(NOT(AND($A148&lt;&gt;"",N($BC148)&gt;0)),"",TRIM(IFERROR(VLOOKUP($AH148,CODES,2,FALSE),"")&amp;IF($AI148=""," "," "&amp;$AI148&amp;"GA ")&amp;$AZ148&amp;" "&amp;IF($AN148="",IFERROR(VLOOKUP($Z148,CODES,2,FALSE),""),IFERROR(VLOOKUP($AN148,CODES,2,FALSE),""))&amp;IF($BC148=2," PAIR","")&amp;" DOOR | "&amp;IF($AL148="","?",$AL148)&amp;" | "&amp;IF($AP148="",IFERROR(VLOOKUP($AC148,CODES,2,FALSE),""),IFERROR(VLOOKUP($AP148,CODES,2,FALSE),""))&amp;" "&amp;IFERROR(VLOOKUP($AQ148,CODES,2,FALSE),"")&amp;IF(OR($AR148="",$AR148="-"),""," SEAM "&amp;$AR148)&amp;IF($AS148="Y"," ASTRAGAL","")&amp;IF($AJ148=""," "," "&amp;$AJ148)&amp;IF($AK148=""," "," "&amp;$AK148)&amp;IF($AO148="",""," "&amp;$AO148)&amp;IF($AM148=""," "," SERIES "&amp;$AM148)&amp;" "&amp;IFERROR(VLOOKUP($H148,CODES,2,FALSE),"")))</f>
        <v/>
      </c>
      <c r="BS148" s="49">
        <f>IF(BV148="","",IF(COUNTIF($BV$6:BV148,BV148)=1,MAX($BS$5:BS147)+1,INDEX($BS$5:BS147,MATCH(BV148,$BV$5:BV147,0))))</f>
        <v/>
      </c>
      <c r="BT148" s="49">
        <f>IF(NOT(AND($A148&lt;&gt;"",$C148&lt;&gt;"DOOR ONLY")),"",MAX($BT$5:BT147)+1)</f>
        <v/>
      </c>
      <c r="BU148" s="49">
        <f>IF(NOT(AND($A148&lt;&gt;"",N($BC148)&gt;0)),"",MAX($BU$5:BU147)+1)</f>
        <v/>
      </c>
      <c r="BV148" s="49">
        <f>IF(OR($A148="",$BA148="",$BB148=""),"",$AZ148&amp;"|"&amp;$O148&amp;"|"&amp;$AL148&amp;"|"&amp;$S148&amp;"|"&amp;$P148&amp;"|"&amp;$Q148&amp;$R148&amp;"|"&amp;$C148&amp;"|"&amp;$AB148)</f>
        <v/>
      </c>
      <c r="BW148" s="49">
        <f>IF($A148="","",IF($B148="","qty, ","")&amp;IF($C148="","scope, ","")&amp;IF(OR($K148="",$M148=""),"size, ","")&amp;IF(AND($A148&lt;&gt;"",$C148&lt;&gt;"DOOR ONLY"),IF($U148="","jamb depth, ","")&amp;IF($X148="","construction, ","")&amp;IF($Y148="","anchor, ","")&amp;IF($S148="","frame type, ",""),"")&amp;IF(AND(N($BC148)&gt;0,$Z148=""),"hand, ","")&amp;IF(N($BC148)&gt;0,IF($AH148="","door material, ","")&amp;IF($AL148="","face type, ","")&amp;IF($AQ148="","lock prep, ","")&amp;IF(AND($AP148="",$AC148=""),"hinge prep, ",""),"")&amp;IF(AND($BO148&gt;0,$AH148="FRP"),"FRP cannot carry a label, ","")&amp;IF(AND($O148="Y",OR($Z148="L",$Z148="R",$Z148="LR",$Z148="RR")),"pair marked but hand is single, ","")&amp;IF(AND($O148&lt;&gt;"Y",OR($Z148="PR",AND(LEN($Z148)&gt;1,ISNUMBER(SEARCH("-",$Z148))))),"pair hand on a single door, ","")&amp;IF(AND(ISNUMBER($BP148),$BO148&lt;N($BP148)),"wall needs a "&amp;$BP148&amp;" min door, ","")&amp;IF(AND($BO148&gt;=180,AND(OR($BL148="FG",$BL148="HG",$BL148="FNV",$BL148="FV"),N($BM148)*N($BN148)&gt;100)),"180 min lite over 100 sq in, ","")&amp;IF(N($BD148)&gt;48,"leaf wider than 4'-0"&amp;CHAR(34)&amp;", ",""))</f>
        <v/>
      </c>
      <c r="BX148" s="49">
        <f>IF($A148="","",IF(AND($BO148&gt;0,AND($A148&lt;&gt;"",$C148&lt;&gt;"DOOR ONLY"),$X148="KD",$E148="EXTERIOR"),"KD label on an exterior opening, ","")&amp;IF(AND($E148="EXTERIOR",OR(AND(AND($A148&lt;&gt;"",$C148&lt;&gt;"DOOR ONLY"),$W148="CR"),AND(N($BC148)&gt;0,$AH148="CR"))),"exterior in CR steel (G9?), ","")&amp;IF(AND(ISNUMBER($BJ148),N($BJ148)&lt;32),"clear width ~"&amp;TEXT($BJ148,"0.0")&amp;CHAR(34)&amp;" under 32"&amp;CHAR(34)&amp;" (ADA), ","")&amp;IF(AND($BO148=90,AND(OR($BL148="FG",$BL148="HG",$BL148="FNV",$BL148="FV"),N($BM148)*N($BN148)&gt;100)),"90 min lite over 100 sq in (stair/exit), ","")&amp;IF(AND($BO148&gt;0,AND($A148&lt;&gt;"",$C148&lt;&gt;"DOOR ONLY"),OR($AF148="",$AF148="-")),"rated: closer reinf.?, ","")&amp;IF(OR($I148="CORRIDOR",$I148="SMOKE BARRIER"),"S label + smoke gasketing, ","")&amp;IF($BP148="?","wall type/hr not in IBC table, ","")&amp;IF(AND(N($BC148)&gt;0,$AU148=""),"no hardware set, ","")&amp;IF(AND($AU148&lt;&gt;"",ISNA(MATCH($AU148,HWSets,0))),"set "&amp;$AU148&amp;" not on Hardware sheet, ","")&amp;IF(N($BE148)&gt;96,"leaf over 8'-0"&amp;CHAR(34)&amp;" - check listing, ",""))</f>
        <v/>
      </c>
    </row>
    <row r="149" ht="15" customHeight="1">
      <c r="A149" s="44" t="n"/>
      <c r="B149" s="45" t="n"/>
      <c r="C149" s="45" t="n"/>
      <c r="D149" s="45" t="n"/>
      <c r="E149" s="45" t="n"/>
      <c r="F149" s="45" t="n"/>
      <c r="G149" s="45" t="n"/>
      <c r="H149" s="45" t="n"/>
      <c r="I149" s="45" t="n"/>
      <c r="J149" s="45" t="n"/>
      <c r="K149" s="45" t="n"/>
      <c r="L149" s="45" t="n"/>
      <c r="M149" s="45" t="n"/>
      <c r="N149" s="45" t="n"/>
      <c r="O149" s="45" t="n"/>
      <c r="P149" s="45" t="n"/>
      <c r="Q149" s="45" t="n"/>
      <c r="R149" s="45" t="n"/>
      <c r="S149" s="46" t="n"/>
      <c r="T149" s="46" t="n"/>
      <c r="U149" s="46" t="n"/>
      <c r="V149" s="46" t="n"/>
      <c r="W149" s="46" t="n"/>
      <c r="X149" s="46" t="n"/>
      <c r="Y149" s="46" t="n"/>
      <c r="Z149" s="46" t="n"/>
      <c r="AA149" s="46" t="n"/>
      <c r="AB149" s="46" t="n"/>
      <c r="AC149" s="46" t="n"/>
      <c r="AD149" s="46" t="n"/>
      <c r="AE149" s="46" t="n"/>
      <c r="AF149" s="46" t="n"/>
      <c r="AG149" s="46" t="n"/>
      <c r="AH149" s="47" t="n"/>
      <c r="AI149" s="47" t="n"/>
      <c r="AJ149" s="47" t="n"/>
      <c r="AK149" s="47" t="n"/>
      <c r="AL149" s="47" t="n"/>
      <c r="AM149" s="47" t="n"/>
      <c r="AN149" s="47" t="n"/>
      <c r="AO149" s="47" t="n"/>
      <c r="AP149" s="47" t="n"/>
      <c r="AQ149" s="47" t="n"/>
      <c r="AR149" s="47" t="n"/>
      <c r="AS149" s="47" t="n"/>
      <c r="AT149" s="47" t="n"/>
      <c r="AU149" s="48" t="n"/>
      <c r="AV149" s="48" t="n"/>
      <c r="AW149" s="49">
        <f>IF($A149="","",IF($BW149&lt;&gt;"","FIX",IF($BX149&lt;&gt;"","CHECK","OK")))</f>
        <v/>
      </c>
      <c r="AX149" s="50">
        <f>IF($A149="","",IF($BW149&lt;&gt;"","FIX: "&amp;LEFT($BW149,LEN($BW149)-2)&amp;IF($BX149&lt;&gt;"","  ·  ",""),"")&amp;IF($BX149&lt;&gt;"","CHECK: "&amp;LEFT($BX149,LEN($BX149)-2),""))</f>
        <v/>
      </c>
      <c r="AY149" s="49">
        <f>IF(OR($A149="",$K149=""),"",$K149&amp;"'-"&amp;N($L149)&amp;CHAR(34)&amp;" x "&amp;$M149&amp;"'-"&amp;N($N149)&amp;CHAR(34))</f>
        <v/>
      </c>
      <c r="AZ149" s="49">
        <f>IF(OR($A149="",$K149=""),"",$K149&amp;N($L149)&amp;$M149&amp;N($N149))</f>
        <v/>
      </c>
      <c r="BA149" s="49">
        <f>IF(OR($A149="",$K149=""),"",$K149*12+N($L149))</f>
        <v/>
      </c>
      <c r="BB149" s="49">
        <f>IF(OR($A149="",$M149=""),"",$M149*12+N($N149))</f>
        <v/>
      </c>
      <c r="BC149" s="49">
        <f>IF($A149="","",IF(OR($C149="FRAME ONLY",$S149="BL"),0,IF($O149="Y",2,1)))</f>
        <v/>
      </c>
      <c r="BD149" s="51">
        <f>IF(OR(N($BC149)=0,$BA149=""),"",($BA149-2*EdgeClr-IF($BC149=2,MeetClr,0))/$BC149)</f>
        <v/>
      </c>
      <c r="BE149" s="51">
        <f>IF(OR(N($BC149)=0,$BB149=""),"",$BB149-HeadClr-Undercut)</f>
        <v/>
      </c>
      <c r="BF149" s="51">
        <f>IF($BA149="","",$BA149+2*FaceW+IF(N($Q149)&gt;0,($Q149+FaceW)*IF($R149="LR",2,1),0))</f>
        <v/>
      </c>
      <c r="BG149" s="51">
        <f>IF($BB149="","",$BB149+IF($AB149="Y",4,FaceW)+IF(N($P149)&gt;0,$P149+FaceW,0)+IF(OR($S149="4F",$S149="BL"),FaceW,0))</f>
        <v/>
      </c>
      <c r="BH149" s="51">
        <f>IF($BF149="","",$BF149+2*ROSide)</f>
        <v/>
      </c>
      <c r="BI149" s="51">
        <f>IF($BG149="","",$BG149+ROTop)</f>
        <v/>
      </c>
      <c r="BJ149" s="52">
        <f>IF(OR(N($BC149)=0,$BA149=""),"",$BA149/$BC149-ClearDeduct)</f>
        <v/>
      </c>
      <c r="BK149" s="49">
        <f>IF(OR(N($BC149)=0,$BE149=""),"",IF(OR($AC149="HGC",$AP149="HGC"),"CONT",IF($BE149&lt;=60,2,IF($BE149&lt;=90,3,IF($BE149&lt;=120,4,5)))))</f>
        <v/>
      </c>
      <c r="BL149" s="49">
        <f>IF(N($BC149)=0,"",IF(OR($AL149="",$AL149="FLUSH"),"FLUSH",IFERROR(LEFT($AL149,FIND("-",$AL149)-1),LEFT($AL149,2))))</f>
        <v/>
      </c>
      <c r="BM149" s="49">
        <f>IF($BL149="","",IFERROR(VALUE(MID($AL149,FIND("-",$AL149)+1,FIND(CHAR(34)&amp;"x",$AL149)-FIND("-",$AL149)-1)),0))</f>
        <v/>
      </c>
      <c r="BN149" s="49">
        <f>IF($BL149="","",IFERROR(VALUE(MID($AL149,FIND(CHAR(34)&amp;"x",$AL149)+2,FIND(CHAR(34),$AL149,FIND(CHAR(34)&amp;"x",$AL149)+2)-FIND(CHAR(34)&amp;"x",$AL149)-2)),0))</f>
        <v/>
      </c>
      <c r="BO149" s="53">
        <f>IF(OR($A149="",$H149="",$H149="NO LAB"),0,IFERROR(VALUE(LEFT($H149,FIND(" ",$H149)-1)),0))</f>
        <v/>
      </c>
      <c r="BP149" s="54">
        <f>IF(OR($A149="",$I149="",$I149="NON-RATED",N($J149)=0),"",IFERROR(VLOOKUP($I149&amp;"|"&amp;$J149,IBC,2,FALSE),"?"))</f>
        <v/>
      </c>
      <c r="BQ149" s="50">
        <f>IF(NOT(AND($A149&lt;&gt;"",$C149&lt;&gt;"DOOR ONLY")),"",TRIM(IFERROR(VLOOKUP($U149,CODES,2,FALSE),"")&amp;" "&amp;$AZ149&amp;" "&amp;IFERROR(VLOOKUP($Z149,CODES,2,FALSE),"")&amp;" "&amp;IFERROR(VLOOKUP($X149,CODES,2,FALSE),"")&amp;" "&amp;IFERROR(VLOOKUP($S149,CODES,2,FALSE),"")&amp;IF(N($P149)&gt;0," w/TRANSOM "&amp;$P149&amp;CHAR(34),"")&amp;IF(N($Q149)&gt;0," w/SIDELITE "&amp;$Q149&amp;CHAR(34)&amp;" "&amp;IF($R149="","R",$R149),"")&amp;IF($Y149="","  |  "," | "&amp;IFERROR(VLOOKUP($Y149,CODES,2,FALSE),"")&amp;" | ")&amp;IFERROR(VLOOKUP($AC149,CODES,2,FALSE),"")&amp;" "&amp;IFERROR(VLOOKUP($AD149,CODES,2,FALSE),"")&amp;IF(OR($AE149="",$AE149="-"),""," "&amp;$AE149)&amp;IF(OR($AF149="",$AF149="-"),""," "&amp;$AF149)&amp;IF($AB149="Y"," 4"&amp;CHAR(34)&amp;" HEAD","")&amp;" "&amp;IFERROR(VLOOKUP($H149,CODES,2,FALSE),"")))</f>
        <v/>
      </c>
      <c r="BR149" s="50">
        <f>IF(NOT(AND($A149&lt;&gt;"",N($BC149)&gt;0)),"",TRIM(IFERROR(VLOOKUP($AH149,CODES,2,FALSE),"")&amp;IF($AI149=""," "," "&amp;$AI149&amp;"GA ")&amp;$AZ149&amp;" "&amp;IF($AN149="",IFERROR(VLOOKUP($Z149,CODES,2,FALSE),""),IFERROR(VLOOKUP($AN149,CODES,2,FALSE),""))&amp;IF($BC149=2," PAIR","")&amp;" DOOR | "&amp;IF($AL149="","?",$AL149)&amp;" | "&amp;IF($AP149="",IFERROR(VLOOKUP($AC149,CODES,2,FALSE),""),IFERROR(VLOOKUP($AP149,CODES,2,FALSE),""))&amp;" "&amp;IFERROR(VLOOKUP($AQ149,CODES,2,FALSE),"")&amp;IF(OR($AR149="",$AR149="-"),""," SEAM "&amp;$AR149)&amp;IF($AS149="Y"," ASTRAGAL","")&amp;IF($AJ149=""," "," "&amp;$AJ149)&amp;IF($AK149=""," "," "&amp;$AK149)&amp;IF($AO149="",""," "&amp;$AO149)&amp;IF($AM149=""," "," SERIES "&amp;$AM149)&amp;" "&amp;IFERROR(VLOOKUP($H149,CODES,2,FALSE),"")))</f>
        <v/>
      </c>
      <c r="BS149" s="49">
        <f>IF(BV149="","",IF(COUNTIF($BV$6:BV149,BV149)=1,MAX($BS$5:BS148)+1,INDEX($BS$5:BS148,MATCH(BV149,$BV$5:BV148,0))))</f>
        <v/>
      </c>
      <c r="BT149" s="49">
        <f>IF(NOT(AND($A149&lt;&gt;"",$C149&lt;&gt;"DOOR ONLY")),"",MAX($BT$5:BT148)+1)</f>
        <v/>
      </c>
      <c r="BU149" s="49">
        <f>IF(NOT(AND($A149&lt;&gt;"",N($BC149)&gt;0)),"",MAX($BU$5:BU148)+1)</f>
        <v/>
      </c>
      <c r="BV149" s="49">
        <f>IF(OR($A149="",$BA149="",$BB149=""),"",$AZ149&amp;"|"&amp;$O149&amp;"|"&amp;$AL149&amp;"|"&amp;$S149&amp;"|"&amp;$P149&amp;"|"&amp;$Q149&amp;$R149&amp;"|"&amp;$C149&amp;"|"&amp;$AB149)</f>
        <v/>
      </c>
      <c r="BW149" s="49">
        <f>IF($A149="","",IF($B149="","qty, ","")&amp;IF($C149="","scope, ","")&amp;IF(OR($K149="",$M149=""),"size, ","")&amp;IF(AND($A149&lt;&gt;"",$C149&lt;&gt;"DOOR ONLY"),IF($U149="","jamb depth, ","")&amp;IF($X149="","construction, ","")&amp;IF($Y149="","anchor, ","")&amp;IF($S149="","frame type, ",""),"")&amp;IF(AND(N($BC149)&gt;0,$Z149=""),"hand, ","")&amp;IF(N($BC149)&gt;0,IF($AH149="","door material, ","")&amp;IF($AL149="","face type, ","")&amp;IF($AQ149="","lock prep, ","")&amp;IF(AND($AP149="",$AC149=""),"hinge prep, ",""),"")&amp;IF(AND($BO149&gt;0,$AH149="FRP"),"FRP cannot carry a label, ","")&amp;IF(AND($O149="Y",OR($Z149="L",$Z149="R",$Z149="LR",$Z149="RR")),"pair marked but hand is single, ","")&amp;IF(AND($O149&lt;&gt;"Y",OR($Z149="PR",AND(LEN($Z149)&gt;1,ISNUMBER(SEARCH("-",$Z149))))),"pair hand on a single door, ","")&amp;IF(AND(ISNUMBER($BP149),$BO149&lt;N($BP149)),"wall needs a "&amp;$BP149&amp;" min door, ","")&amp;IF(AND($BO149&gt;=180,AND(OR($BL149="FG",$BL149="HG",$BL149="FNV",$BL149="FV"),N($BM149)*N($BN149)&gt;100)),"180 min lite over 100 sq in, ","")&amp;IF(N($BD149)&gt;48,"leaf wider than 4'-0"&amp;CHAR(34)&amp;", ",""))</f>
        <v/>
      </c>
      <c r="BX149" s="49">
        <f>IF($A149="","",IF(AND($BO149&gt;0,AND($A149&lt;&gt;"",$C149&lt;&gt;"DOOR ONLY"),$X149="KD",$E149="EXTERIOR"),"KD label on an exterior opening, ","")&amp;IF(AND($E149="EXTERIOR",OR(AND(AND($A149&lt;&gt;"",$C149&lt;&gt;"DOOR ONLY"),$W149="CR"),AND(N($BC149)&gt;0,$AH149="CR"))),"exterior in CR steel (G9?), ","")&amp;IF(AND(ISNUMBER($BJ149),N($BJ149)&lt;32),"clear width ~"&amp;TEXT($BJ149,"0.0")&amp;CHAR(34)&amp;" under 32"&amp;CHAR(34)&amp;" (ADA), ","")&amp;IF(AND($BO149=90,AND(OR($BL149="FG",$BL149="HG",$BL149="FNV",$BL149="FV"),N($BM149)*N($BN149)&gt;100)),"90 min lite over 100 sq in (stair/exit), ","")&amp;IF(AND($BO149&gt;0,AND($A149&lt;&gt;"",$C149&lt;&gt;"DOOR ONLY"),OR($AF149="",$AF149="-")),"rated: closer reinf.?, ","")&amp;IF(OR($I149="CORRIDOR",$I149="SMOKE BARRIER"),"S label + smoke gasketing, ","")&amp;IF($BP149="?","wall type/hr not in IBC table, ","")&amp;IF(AND(N($BC149)&gt;0,$AU149=""),"no hardware set, ","")&amp;IF(AND($AU149&lt;&gt;"",ISNA(MATCH($AU149,HWSets,0))),"set "&amp;$AU149&amp;" not on Hardware sheet, ","")&amp;IF(N($BE149)&gt;96,"leaf over 8'-0"&amp;CHAR(34)&amp;" - check listing, ",""))</f>
        <v/>
      </c>
    </row>
    <row r="150" ht="15" customHeight="1">
      <c r="A150" s="44" t="n"/>
      <c r="B150" s="45" t="n"/>
      <c r="C150" s="45" t="n"/>
      <c r="D150" s="45" t="n"/>
      <c r="E150" s="45" t="n"/>
      <c r="F150" s="45" t="n"/>
      <c r="G150" s="45" t="n"/>
      <c r="H150" s="45" t="n"/>
      <c r="I150" s="45" t="n"/>
      <c r="J150" s="45" t="n"/>
      <c r="K150" s="45" t="n"/>
      <c r="L150" s="45" t="n"/>
      <c r="M150" s="45" t="n"/>
      <c r="N150" s="45" t="n"/>
      <c r="O150" s="45" t="n"/>
      <c r="P150" s="45" t="n"/>
      <c r="Q150" s="45" t="n"/>
      <c r="R150" s="45" t="n"/>
      <c r="S150" s="46" t="n"/>
      <c r="T150" s="46" t="n"/>
      <c r="U150" s="46" t="n"/>
      <c r="V150" s="46" t="n"/>
      <c r="W150" s="46" t="n"/>
      <c r="X150" s="46" t="n"/>
      <c r="Y150" s="46" t="n"/>
      <c r="Z150" s="46" t="n"/>
      <c r="AA150" s="46" t="n"/>
      <c r="AB150" s="46" t="n"/>
      <c r="AC150" s="46" t="n"/>
      <c r="AD150" s="46" t="n"/>
      <c r="AE150" s="46" t="n"/>
      <c r="AF150" s="46" t="n"/>
      <c r="AG150" s="46" t="n"/>
      <c r="AH150" s="47" t="n"/>
      <c r="AI150" s="47" t="n"/>
      <c r="AJ150" s="47" t="n"/>
      <c r="AK150" s="47" t="n"/>
      <c r="AL150" s="47" t="n"/>
      <c r="AM150" s="47" t="n"/>
      <c r="AN150" s="47" t="n"/>
      <c r="AO150" s="47" t="n"/>
      <c r="AP150" s="47" t="n"/>
      <c r="AQ150" s="47" t="n"/>
      <c r="AR150" s="47" t="n"/>
      <c r="AS150" s="47" t="n"/>
      <c r="AT150" s="47" t="n"/>
      <c r="AU150" s="48" t="n"/>
      <c r="AV150" s="48" t="n"/>
      <c r="AW150" s="49">
        <f>IF($A150="","",IF($BW150&lt;&gt;"","FIX",IF($BX150&lt;&gt;"","CHECK","OK")))</f>
        <v/>
      </c>
      <c r="AX150" s="50">
        <f>IF($A150="","",IF($BW150&lt;&gt;"","FIX: "&amp;LEFT($BW150,LEN($BW150)-2)&amp;IF($BX150&lt;&gt;"","  ·  ",""),"")&amp;IF($BX150&lt;&gt;"","CHECK: "&amp;LEFT($BX150,LEN($BX150)-2),""))</f>
        <v/>
      </c>
      <c r="AY150" s="49">
        <f>IF(OR($A150="",$K150=""),"",$K150&amp;"'-"&amp;N($L150)&amp;CHAR(34)&amp;" x "&amp;$M150&amp;"'-"&amp;N($N150)&amp;CHAR(34))</f>
        <v/>
      </c>
      <c r="AZ150" s="49">
        <f>IF(OR($A150="",$K150=""),"",$K150&amp;N($L150)&amp;$M150&amp;N($N150))</f>
        <v/>
      </c>
      <c r="BA150" s="49">
        <f>IF(OR($A150="",$K150=""),"",$K150*12+N($L150))</f>
        <v/>
      </c>
      <c r="BB150" s="49">
        <f>IF(OR($A150="",$M150=""),"",$M150*12+N($N150))</f>
        <v/>
      </c>
      <c r="BC150" s="49">
        <f>IF($A150="","",IF(OR($C150="FRAME ONLY",$S150="BL"),0,IF($O150="Y",2,1)))</f>
        <v/>
      </c>
      <c r="BD150" s="51">
        <f>IF(OR(N($BC150)=0,$BA150=""),"",($BA150-2*EdgeClr-IF($BC150=2,MeetClr,0))/$BC150)</f>
        <v/>
      </c>
      <c r="BE150" s="51">
        <f>IF(OR(N($BC150)=0,$BB150=""),"",$BB150-HeadClr-Undercut)</f>
        <v/>
      </c>
      <c r="BF150" s="51">
        <f>IF($BA150="","",$BA150+2*FaceW+IF(N($Q150)&gt;0,($Q150+FaceW)*IF($R150="LR",2,1),0))</f>
        <v/>
      </c>
      <c r="BG150" s="51">
        <f>IF($BB150="","",$BB150+IF($AB150="Y",4,FaceW)+IF(N($P150)&gt;0,$P150+FaceW,0)+IF(OR($S150="4F",$S150="BL"),FaceW,0))</f>
        <v/>
      </c>
      <c r="BH150" s="51">
        <f>IF($BF150="","",$BF150+2*ROSide)</f>
        <v/>
      </c>
      <c r="BI150" s="51">
        <f>IF($BG150="","",$BG150+ROTop)</f>
        <v/>
      </c>
      <c r="BJ150" s="52">
        <f>IF(OR(N($BC150)=0,$BA150=""),"",$BA150/$BC150-ClearDeduct)</f>
        <v/>
      </c>
      <c r="BK150" s="49">
        <f>IF(OR(N($BC150)=0,$BE150=""),"",IF(OR($AC150="HGC",$AP150="HGC"),"CONT",IF($BE150&lt;=60,2,IF($BE150&lt;=90,3,IF($BE150&lt;=120,4,5)))))</f>
        <v/>
      </c>
      <c r="BL150" s="49">
        <f>IF(N($BC150)=0,"",IF(OR($AL150="",$AL150="FLUSH"),"FLUSH",IFERROR(LEFT($AL150,FIND("-",$AL150)-1),LEFT($AL150,2))))</f>
        <v/>
      </c>
      <c r="BM150" s="49">
        <f>IF($BL150="","",IFERROR(VALUE(MID($AL150,FIND("-",$AL150)+1,FIND(CHAR(34)&amp;"x",$AL150)-FIND("-",$AL150)-1)),0))</f>
        <v/>
      </c>
      <c r="BN150" s="49">
        <f>IF($BL150="","",IFERROR(VALUE(MID($AL150,FIND(CHAR(34)&amp;"x",$AL150)+2,FIND(CHAR(34),$AL150,FIND(CHAR(34)&amp;"x",$AL150)+2)-FIND(CHAR(34)&amp;"x",$AL150)-2)),0))</f>
        <v/>
      </c>
      <c r="BO150" s="53">
        <f>IF(OR($A150="",$H150="",$H150="NO LAB"),0,IFERROR(VALUE(LEFT($H150,FIND(" ",$H150)-1)),0))</f>
        <v/>
      </c>
      <c r="BP150" s="54">
        <f>IF(OR($A150="",$I150="",$I150="NON-RATED",N($J150)=0),"",IFERROR(VLOOKUP($I150&amp;"|"&amp;$J150,IBC,2,FALSE),"?"))</f>
        <v/>
      </c>
      <c r="BQ150" s="50">
        <f>IF(NOT(AND($A150&lt;&gt;"",$C150&lt;&gt;"DOOR ONLY")),"",TRIM(IFERROR(VLOOKUP($U150,CODES,2,FALSE),"")&amp;" "&amp;$AZ150&amp;" "&amp;IFERROR(VLOOKUP($Z150,CODES,2,FALSE),"")&amp;" "&amp;IFERROR(VLOOKUP($X150,CODES,2,FALSE),"")&amp;" "&amp;IFERROR(VLOOKUP($S150,CODES,2,FALSE),"")&amp;IF(N($P150)&gt;0," w/TRANSOM "&amp;$P150&amp;CHAR(34),"")&amp;IF(N($Q150)&gt;0," w/SIDELITE "&amp;$Q150&amp;CHAR(34)&amp;" "&amp;IF($R150="","R",$R150),"")&amp;IF($Y150="","  |  "," | "&amp;IFERROR(VLOOKUP($Y150,CODES,2,FALSE),"")&amp;" | ")&amp;IFERROR(VLOOKUP($AC150,CODES,2,FALSE),"")&amp;" "&amp;IFERROR(VLOOKUP($AD150,CODES,2,FALSE),"")&amp;IF(OR($AE150="",$AE150="-"),""," "&amp;$AE150)&amp;IF(OR($AF150="",$AF150="-"),""," "&amp;$AF150)&amp;IF($AB150="Y"," 4"&amp;CHAR(34)&amp;" HEAD","")&amp;" "&amp;IFERROR(VLOOKUP($H150,CODES,2,FALSE),"")))</f>
        <v/>
      </c>
      <c r="BR150" s="50">
        <f>IF(NOT(AND($A150&lt;&gt;"",N($BC150)&gt;0)),"",TRIM(IFERROR(VLOOKUP($AH150,CODES,2,FALSE),"")&amp;IF($AI150=""," "," "&amp;$AI150&amp;"GA ")&amp;$AZ150&amp;" "&amp;IF($AN150="",IFERROR(VLOOKUP($Z150,CODES,2,FALSE),""),IFERROR(VLOOKUP($AN150,CODES,2,FALSE),""))&amp;IF($BC150=2," PAIR","")&amp;" DOOR | "&amp;IF($AL150="","?",$AL150)&amp;" | "&amp;IF($AP150="",IFERROR(VLOOKUP($AC150,CODES,2,FALSE),""),IFERROR(VLOOKUP($AP150,CODES,2,FALSE),""))&amp;" "&amp;IFERROR(VLOOKUP($AQ150,CODES,2,FALSE),"")&amp;IF(OR($AR150="",$AR150="-"),""," SEAM "&amp;$AR150)&amp;IF($AS150="Y"," ASTRAGAL","")&amp;IF($AJ150=""," "," "&amp;$AJ150)&amp;IF($AK150=""," "," "&amp;$AK150)&amp;IF($AO150="",""," "&amp;$AO150)&amp;IF($AM150=""," "," SERIES "&amp;$AM150)&amp;" "&amp;IFERROR(VLOOKUP($H150,CODES,2,FALSE),"")))</f>
        <v/>
      </c>
      <c r="BS150" s="49">
        <f>IF(BV150="","",IF(COUNTIF($BV$6:BV150,BV150)=1,MAX($BS$5:BS149)+1,INDEX($BS$5:BS149,MATCH(BV150,$BV$5:BV149,0))))</f>
        <v/>
      </c>
      <c r="BT150" s="49">
        <f>IF(NOT(AND($A150&lt;&gt;"",$C150&lt;&gt;"DOOR ONLY")),"",MAX($BT$5:BT149)+1)</f>
        <v/>
      </c>
      <c r="BU150" s="49">
        <f>IF(NOT(AND($A150&lt;&gt;"",N($BC150)&gt;0)),"",MAX($BU$5:BU149)+1)</f>
        <v/>
      </c>
      <c r="BV150" s="49">
        <f>IF(OR($A150="",$BA150="",$BB150=""),"",$AZ150&amp;"|"&amp;$O150&amp;"|"&amp;$AL150&amp;"|"&amp;$S150&amp;"|"&amp;$P150&amp;"|"&amp;$Q150&amp;$R150&amp;"|"&amp;$C150&amp;"|"&amp;$AB150)</f>
        <v/>
      </c>
      <c r="BW150" s="49">
        <f>IF($A150="","",IF($B150="","qty, ","")&amp;IF($C150="","scope, ","")&amp;IF(OR($K150="",$M150=""),"size, ","")&amp;IF(AND($A150&lt;&gt;"",$C150&lt;&gt;"DOOR ONLY"),IF($U150="","jamb depth, ","")&amp;IF($X150="","construction, ","")&amp;IF($Y150="","anchor, ","")&amp;IF($S150="","frame type, ",""),"")&amp;IF(AND(N($BC150)&gt;0,$Z150=""),"hand, ","")&amp;IF(N($BC150)&gt;0,IF($AH150="","door material, ","")&amp;IF($AL150="","face type, ","")&amp;IF($AQ150="","lock prep, ","")&amp;IF(AND($AP150="",$AC150=""),"hinge prep, ",""),"")&amp;IF(AND($BO150&gt;0,$AH150="FRP"),"FRP cannot carry a label, ","")&amp;IF(AND($O150="Y",OR($Z150="L",$Z150="R",$Z150="LR",$Z150="RR")),"pair marked but hand is single, ","")&amp;IF(AND($O150&lt;&gt;"Y",OR($Z150="PR",AND(LEN($Z150)&gt;1,ISNUMBER(SEARCH("-",$Z150))))),"pair hand on a single door, ","")&amp;IF(AND(ISNUMBER($BP150),$BO150&lt;N($BP150)),"wall needs a "&amp;$BP150&amp;" min door, ","")&amp;IF(AND($BO150&gt;=180,AND(OR($BL150="FG",$BL150="HG",$BL150="FNV",$BL150="FV"),N($BM150)*N($BN150)&gt;100)),"180 min lite over 100 sq in, ","")&amp;IF(N($BD150)&gt;48,"leaf wider than 4'-0"&amp;CHAR(34)&amp;", ",""))</f>
        <v/>
      </c>
      <c r="BX150" s="49">
        <f>IF($A150="","",IF(AND($BO150&gt;0,AND($A150&lt;&gt;"",$C150&lt;&gt;"DOOR ONLY"),$X150="KD",$E150="EXTERIOR"),"KD label on an exterior opening, ","")&amp;IF(AND($E150="EXTERIOR",OR(AND(AND($A150&lt;&gt;"",$C150&lt;&gt;"DOOR ONLY"),$W150="CR"),AND(N($BC150)&gt;0,$AH150="CR"))),"exterior in CR steel (G9?), ","")&amp;IF(AND(ISNUMBER($BJ150),N($BJ150)&lt;32),"clear width ~"&amp;TEXT($BJ150,"0.0")&amp;CHAR(34)&amp;" under 32"&amp;CHAR(34)&amp;" (ADA), ","")&amp;IF(AND($BO150=90,AND(OR($BL150="FG",$BL150="HG",$BL150="FNV",$BL150="FV"),N($BM150)*N($BN150)&gt;100)),"90 min lite over 100 sq in (stair/exit), ","")&amp;IF(AND($BO150&gt;0,AND($A150&lt;&gt;"",$C150&lt;&gt;"DOOR ONLY"),OR($AF150="",$AF150="-")),"rated: closer reinf.?, ","")&amp;IF(OR($I150="CORRIDOR",$I150="SMOKE BARRIER"),"S label + smoke gasketing, ","")&amp;IF($BP150="?","wall type/hr not in IBC table, ","")&amp;IF(AND(N($BC150)&gt;0,$AU150=""),"no hardware set, ","")&amp;IF(AND($AU150&lt;&gt;"",ISNA(MATCH($AU150,HWSets,0))),"set "&amp;$AU150&amp;" not on Hardware sheet, ","")&amp;IF(N($BE150)&gt;96,"leaf over 8'-0"&amp;CHAR(34)&amp;" - check listing, ",""))</f>
        <v/>
      </c>
    </row>
    <row r="151" ht="15" customHeight="1">
      <c r="A151" s="44" t="n"/>
      <c r="B151" s="45" t="n"/>
      <c r="C151" s="45" t="n"/>
      <c r="D151" s="45" t="n"/>
      <c r="E151" s="45" t="n"/>
      <c r="F151" s="45" t="n"/>
      <c r="G151" s="45" t="n"/>
      <c r="H151" s="45" t="n"/>
      <c r="I151" s="45" t="n"/>
      <c r="J151" s="45" t="n"/>
      <c r="K151" s="45" t="n"/>
      <c r="L151" s="45" t="n"/>
      <c r="M151" s="45" t="n"/>
      <c r="N151" s="45" t="n"/>
      <c r="O151" s="45" t="n"/>
      <c r="P151" s="45" t="n"/>
      <c r="Q151" s="45" t="n"/>
      <c r="R151" s="45" t="n"/>
      <c r="S151" s="46" t="n"/>
      <c r="T151" s="46" t="n"/>
      <c r="U151" s="46" t="n"/>
      <c r="V151" s="46" t="n"/>
      <c r="W151" s="46" t="n"/>
      <c r="X151" s="46" t="n"/>
      <c r="Y151" s="46" t="n"/>
      <c r="Z151" s="46" t="n"/>
      <c r="AA151" s="46" t="n"/>
      <c r="AB151" s="46" t="n"/>
      <c r="AC151" s="46" t="n"/>
      <c r="AD151" s="46" t="n"/>
      <c r="AE151" s="46" t="n"/>
      <c r="AF151" s="46" t="n"/>
      <c r="AG151" s="46" t="n"/>
      <c r="AH151" s="47" t="n"/>
      <c r="AI151" s="47" t="n"/>
      <c r="AJ151" s="47" t="n"/>
      <c r="AK151" s="47" t="n"/>
      <c r="AL151" s="47" t="n"/>
      <c r="AM151" s="47" t="n"/>
      <c r="AN151" s="47" t="n"/>
      <c r="AO151" s="47" t="n"/>
      <c r="AP151" s="47" t="n"/>
      <c r="AQ151" s="47" t="n"/>
      <c r="AR151" s="47" t="n"/>
      <c r="AS151" s="47" t="n"/>
      <c r="AT151" s="47" t="n"/>
      <c r="AU151" s="48" t="n"/>
      <c r="AV151" s="48" t="n"/>
      <c r="AW151" s="49">
        <f>IF($A151="","",IF($BW151&lt;&gt;"","FIX",IF($BX151&lt;&gt;"","CHECK","OK")))</f>
        <v/>
      </c>
      <c r="AX151" s="50">
        <f>IF($A151="","",IF($BW151&lt;&gt;"","FIX: "&amp;LEFT($BW151,LEN($BW151)-2)&amp;IF($BX151&lt;&gt;"","  ·  ",""),"")&amp;IF($BX151&lt;&gt;"","CHECK: "&amp;LEFT($BX151,LEN($BX151)-2),""))</f>
        <v/>
      </c>
      <c r="AY151" s="49">
        <f>IF(OR($A151="",$K151=""),"",$K151&amp;"'-"&amp;N($L151)&amp;CHAR(34)&amp;" x "&amp;$M151&amp;"'-"&amp;N($N151)&amp;CHAR(34))</f>
        <v/>
      </c>
      <c r="AZ151" s="49">
        <f>IF(OR($A151="",$K151=""),"",$K151&amp;N($L151)&amp;$M151&amp;N($N151))</f>
        <v/>
      </c>
      <c r="BA151" s="49">
        <f>IF(OR($A151="",$K151=""),"",$K151*12+N($L151))</f>
        <v/>
      </c>
      <c r="BB151" s="49">
        <f>IF(OR($A151="",$M151=""),"",$M151*12+N($N151))</f>
        <v/>
      </c>
      <c r="BC151" s="49">
        <f>IF($A151="","",IF(OR($C151="FRAME ONLY",$S151="BL"),0,IF($O151="Y",2,1)))</f>
        <v/>
      </c>
      <c r="BD151" s="51">
        <f>IF(OR(N($BC151)=0,$BA151=""),"",($BA151-2*EdgeClr-IF($BC151=2,MeetClr,0))/$BC151)</f>
        <v/>
      </c>
      <c r="BE151" s="51">
        <f>IF(OR(N($BC151)=0,$BB151=""),"",$BB151-HeadClr-Undercut)</f>
        <v/>
      </c>
      <c r="BF151" s="51">
        <f>IF($BA151="","",$BA151+2*FaceW+IF(N($Q151)&gt;0,($Q151+FaceW)*IF($R151="LR",2,1),0))</f>
        <v/>
      </c>
      <c r="BG151" s="51">
        <f>IF($BB151="","",$BB151+IF($AB151="Y",4,FaceW)+IF(N($P151)&gt;0,$P151+FaceW,0)+IF(OR($S151="4F",$S151="BL"),FaceW,0))</f>
        <v/>
      </c>
      <c r="BH151" s="51">
        <f>IF($BF151="","",$BF151+2*ROSide)</f>
        <v/>
      </c>
      <c r="BI151" s="51">
        <f>IF($BG151="","",$BG151+ROTop)</f>
        <v/>
      </c>
      <c r="BJ151" s="52">
        <f>IF(OR(N($BC151)=0,$BA151=""),"",$BA151/$BC151-ClearDeduct)</f>
        <v/>
      </c>
      <c r="BK151" s="49">
        <f>IF(OR(N($BC151)=0,$BE151=""),"",IF(OR($AC151="HGC",$AP151="HGC"),"CONT",IF($BE151&lt;=60,2,IF($BE151&lt;=90,3,IF($BE151&lt;=120,4,5)))))</f>
        <v/>
      </c>
      <c r="BL151" s="49">
        <f>IF(N($BC151)=0,"",IF(OR($AL151="",$AL151="FLUSH"),"FLUSH",IFERROR(LEFT($AL151,FIND("-",$AL151)-1),LEFT($AL151,2))))</f>
        <v/>
      </c>
      <c r="BM151" s="49">
        <f>IF($BL151="","",IFERROR(VALUE(MID($AL151,FIND("-",$AL151)+1,FIND(CHAR(34)&amp;"x",$AL151)-FIND("-",$AL151)-1)),0))</f>
        <v/>
      </c>
      <c r="BN151" s="49">
        <f>IF($BL151="","",IFERROR(VALUE(MID($AL151,FIND(CHAR(34)&amp;"x",$AL151)+2,FIND(CHAR(34),$AL151,FIND(CHAR(34)&amp;"x",$AL151)+2)-FIND(CHAR(34)&amp;"x",$AL151)-2)),0))</f>
        <v/>
      </c>
      <c r="BO151" s="53">
        <f>IF(OR($A151="",$H151="",$H151="NO LAB"),0,IFERROR(VALUE(LEFT($H151,FIND(" ",$H151)-1)),0))</f>
        <v/>
      </c>
      <c r="BP151" s="54">
        <f>IF(OR($A151="",$I151="",$I151="NON-RATED",N($J151)=0),"",IFERROR(VLOOKUP($I151&amp;"|"&amp;$J151,IBC,2,FALSE),"?"))</f>
        <v/>
      </c>
      <c r="BQ151" s="50">
        <f>IF(NOT(AND($A151&lt;&gt;"",$C151&lt;&gt;"DOOR ONLY")),"",TRIM(IFERROR(VLOOKUP($U151,CODES,2,FALSE),"")&amp;" "&amp;$AZ151&amp;" "&amp;IFERROR(VLOOKUP($Z151,CODES,2,FALSE),"")&amp;" "&amp;IFERROR(VLOOKUP($X151,CODES,2,FALSE),"")&amp;" "&amp;IFERROR(VLOOKUP($S151,CODES,2,FALSE),"")&amp;IF(N($P151)&gt;0," w/TRANSOM "&amp;$P151&amp;CHAR(34),"")&amp;IF(N($Q151)&gt;0," w/SIDELITE "&amp;$Q151&amp;CHAR(34)&amp;" "&amp;IF($R151="","R",$R151),"")&amp;IF($Y151="","  |  "," | "&amp;IFERROR(VLOOKUP($Y151,CODES,2,FALSE),"")&amp;" | ")&amp;IFERROR(VLOOKUP($AC151,CODES,2,FALSE),"")&amp;" "&amp;IFERROR(VLOOKUP($AD151,CODES,2,FALSE),"")&amp;IF(OR($AE151="",$AE151="-"),""," "&amp;$AE151)&amp;IF(OR($AF151="",$AF151="-"),""," "&amp;$AF151)&amp;IF($AB151="Y"," 4"&amp;CHAR(34)&amp;" HEAD","")&amp;" "&amp;IFERROR(VLOOKUP($H151,CODES,2,FALSE),"")))</f>
        <v/>
      </c>
      <c r="BR151" s="50">
        <f>IF(NOT(AND($A151&lt;&gt;"",N($BC151)&gt;0)),"",TRIM(IFERROR(VLOOKUP($AH151,CODES,2,FALSE),"")&amp;IF($AI151=""," "," "&amp;$AI151&amp;"GA ")&amp;$AZ151&amp;" "&amp;IF($AN151="",IFERROR(VLOOKUP($Z151,CODES,2,FALSE),""),IFERROR(VLOOKUP($AN151,CODES,2,FALSE),""))&amp;IF($BC151=2," PAIR","")&amp;" DOOR | "&amp;IF($AL151="","?",$AL151)&amp;" | "&amp;IF($AP151="",IFERROR(VLOOKUP($AC151,CODES,2,FALSE),""),IFERROR(VLOOKUP($AP151,CODES,2,FALSE),""))&amp;" "&amp;IFERROR(VLOOKUP($AQ151,CODES,2,FALSE),"")&amp;IF(OR($AR151="",$AR151="-"),""," SEAM "&amp;$AR151)&amp;IF($AS151="Y"," ASTRAGAL","")&amp;IF($AJ151=""," "," "&amp;$AJ151)&amp;IF($AK151=""," "," "&amp;$AK151)&amp;IF($AO151="",""," "&amp;$AO151)&amp;IF($AM151=""," "," SERIES "&amp;$AM151)&amp;" "&amp;IFERROR(VLOOKUP($H151,CODES,2,FALSE),"")))</f>
        <v/>
      </c>
      <c r="BS151" s="49">
        <f>IF(BV151="","",IF(COUNTIF($BV$6:BV151,BV151)=1,MAX($BS$5:BS150)+1,INDEX($BS$5:BS150,MATCH(BV151,$BV$5:BV150,0))))</f>
        <v/>
      </c>
      <c r="BT151" s="49">
        <f>IF(NOT(AND($A151&lt;&gt;"",$C151&lt;&gt;"DOOR ONLY")),"",MAX($BT$5:BT150)+1)</f>
        <v/>
      </c>
      <c r="BU151" s="49">
        <f>IF(NOT(AND($A151&lt;&gt;"",N($BC151)&gt;0)),"",MAX($BU$5:BU150)+1)</f>
        <v/>
      </c>
      <c r="BV151" s="49">
        <f>IF(OR($A151="",$BA151="",$BB151=""),"",$AZ151&amp;"|"&amp;$O151&amp;"|"&amp;$AL151&amp;"|"&amp;$S151&amp;"|"&amp;$P151&amp;"|"&amp;$Q151&amp;$R151&amp;"|"&amp;$C151&amp;"|"&amp;$AB151)</f>
        <v/>
      </c>
      <c r="BW151" s="49">
        <f>IF($A151="","",IF($B151="","qty, ","")&amp;IF($C151="","scope, ","")&amp;IF(OR($K151="",$M151=""),"size, ","")&amp;IF(AND($A151&lt;&gt;"",$C151&lt;&gt;"DOOR ONLY"),IF($U151="","jamb depth, ","")&amp;IF($X151="","construction, ","")&amp;IF($Y151="","anchor, ","")&amp;IF($S151="","frame type, ",""),"")&amp;IF(AND(N($BC151)&gt;0,$Z151=""),"hand, ","")&amp;IF(N($BC151)&gt;0,IF($AH151="","door material, ","")&amp;IF($AL151="","face type, ","")&amp;IF($AQ151="","lock prep, ","")&amp;IF(AND($AP151="",$AC151=""),"hinge prep, ",""),"")&amp;IF(AND($BO151&gt;0,$AH151="FRP"),"FRP cannot carry a label, ","")&amp;IF(AND($O151="Y",OR($Z151="L",$Z151="R",$Z151="LR",$Z151="RR")),"pair marked but hand is single, ","")&amp;IF(AND($O151&lt;&gt;"Y",OR($Z151="PR",AND(LEN($Z151)&gt;1,ISNUMBER(SEARCH("-",$Z151))))),"pair hand on a single door, ","")&amp;IF(AND(ISNUMBER($BP151),$BO151&lt;N($BP151)),"wall needs a "&amp;$BP151&amp;" min door, ","")&amp;IF(AND($BO151&gt;=180,AND(OR($BL151="FG",$BL151="HG",$BL151="FNV",$BL151="FV"),N($BM151)*N($BN151)&gt;100)),"180 min lite over 100 sq in, ","")&amp;IF(N($BD151)&gt;48,"leaf wider than 4'-0"&amp;CHAR(34)&amp;", ",""))</f>
        <v/>
      </c>
      <c r="BX151" s="49">
        <f>IF($A151="","",IF(AND($BO151&gt;0,AND($A151&lt;&gt;"",$C151&lt;&gt;"DOOR ONLY"),$X151="KD",$E151="EXTERIOR"),"KD label on an exterior opening, ","")&amp;IF(AND($E151="EXTERIOR",OR(AND(AND($A151&lt;&gt;"",$C151&lt;&gt;"DOOR ONLY"),$W151="CR"),AND(N($BC151)&gt;0,$AH151="CR"))),"exterior in CR steel (G9?), ","")&amp;IF(AND(ISNUMBER($BJ151),N($BJ151)&lt;32),"clear width ~"&amp;TEXT($BJ151,"0.0")&amp;CHAR(34)&amp;" under 32"&amp;CHAR(34)&amp;" (ADA), ","")&amp;IF(AND($BO151=90,AND(OR($BL151="FG",$BL151="HG",$BL151="FNV",$BL151="FV"),N($BM151)*N($BN151)&gt;100)),"90 min lite over 100 sq in (stair/exit), ","")&amp;IF(AND($BO151&gt;0,AND($A151&lt;&gt;"",$C151&lt;&gt;"DOOR ONLY"),OR($AF151="",$AF151="-")),"rated: closer reinf.?, ","")&amp;IF(OR($I151="CORRIDOR",$I151="SMOKE BARRIER"),"S label + smoke gasketing, ","")&amp;IF($BP151="?","wall type/hr not in IBC table, ","")&amp;IF(AND(N($BC151)&gt;0,$AU151=""),"no hardware set, ","")&amp;IF(AND($AU151&lt;&gt;"",ISNA(MATCH($AU151,HWSets,0))),"set "&amp;$AU151&amp;" not on Hardware sheet, ","")&amp;IF(N($BE151)&gt;96,"leaf over 8'-0"&amp;CHAR(34)&amp;" - check listing, ",""))</f>
        <v/>
      </c>
    </row>
    <row r="152" ht="15" customHeight="1">
      <c r="A152" s="44" t="n"/>
      <c r="B152" s="45" t="n"/>
      <c r="C152" s="45" t="n"/>
      <c r="D152" s="45" t="n"/>
      <c r="E152" s="45" t="n"/>
      <c r="F152" s="45" t="n"/>
      <c r="G152" s="45" t="n"/>
      <c r="H152" s="45" t="n"/>
      <c r="I152" s="45" t="n"/>
      <c r="J152" s="45" t="n"/>
      <c r="K152" s="45" t="n"/>
      <c r="L152" s="45" t="n"/>
      <c r="M152" s="45" t="n"/>
      <c r="N152" s="45" t="n"/>
      <c r="O152" s="45" t="n"/>
      <c r="P152" s="45" t="n"/>
      <c r="Q152" s="45" t="n"/>
      <c r="R152" s="45" t="n"/>
      <c r="S152" s="46" t="n"/>
      <c r="T152" s="46" t="n"/>
      <c r="U152" s="46" t="n"/>
      <c r="V152" s="46" t="n"/>
      <c r="W152" s="46" t="n"/>
      <c r="X152" s="46" t="n"/>
      <c r="Y152" s="46" t="n"/>
      <c r="Z152" s="46" t="n"/>
      <c r="AA152" s="46" t="n"/>
      <c r="AB152" s="46" t="n"/>
      <c r="AC152" s="46" t="n"/>
      <c r="AD152" s="46" t="n"/>
      <c r="AE152" s="46" t="n"/>
      <c r="AF152" s="46" t="n"/>
      <c r="AG152" s="46" t="n"/>
      <c r="AH152" s="47" t="n"/>
      <c r="AI152" s="47" t="n"/>
      <c r="AJ152" s="47" t="n"/>
      <c r="AK152" s="47" t="n"/>
      <c r="AL152" s="47" t="n"/>
      <c r="AM152" s="47" t="n"/>
      <c r="AN152" s="47" t="n"/>
      <c r="AO152" s="47" t="n"/>
      <c r="AP152" s="47" t="n"/>
      <c r="AQ152" s="47" t="n"/>
      <c r="AR152" s="47" t="n"/>
      <c r="AS152" s="47" t="n"/>
      <c r="AT152" s="47" t="n"/>
      <c r="AU152" s="48" t="n"/>
      <c r="AV152" s="48" t="n"/>
      <c r="AW152" s="49">
        <f>IF($A152="","",IF($BW152&lt;&gt;"","FIX",IF($BX152&lt;&gt;"","CHECK","OK")))</f>
        <v/>
      </c>
      <c r="AX152" s="50">
        <f>IF($A152="","",IF($BW152&lt;&gt;"","FIX: "&amp;LEFT($BW152,LEN($BW152)-2)&amp;IF($BX152&lt;&gt;"","  ·  ",""),"")&amp;IF($BX152&lt;&gt;"","CHECK: "&amp;LEFT($BX152,LEN($BX152)-2),""))</f>
        <v/>
      </c>
      <c r="AY152" s="49">
        <f>IF(OR($A152="",$K152=""),"",$K152&amp;"'-"&amp;N($L152)&amp;CHAR(34)&amp;" x "&amp;$M152&amp;"'-"&amp;N($N152)&amp;CHAR(34))</f>
        <v/>
      </c>
      <c r="AZ152" s="49">
        <f>IF(OR($A152="",$K152=""),"",$K152&amp;N($L152)&amp;$M152&amp;N($N152))</f>
        <v/>
      </c>
      <c r="BA152" s="49">
        <f>IF(OR($A152="",$K152=""),"",$K152*12+N($L152))</f>
        <v/>
      </c>
      <c r="BB152" s="49">
        <f>IF(OR($A152="",$M152=""),"",$M152*12+N($N152))</f>
        <v/>
      </c>
      <c r="BC152" s="49">
        <f>IF($A152="","",IF(OR($C152="FRAME ONLY",$S152="BL"),0,IF($O152="Y",2,1)))</f>
        <v/>
      </c>
      <c r="BD152" s="51">
        <f>IF(OR(N($BC152)=0,$BA152=""),"",($BA152-2*EdgeClr-IF($BC152=2,MeetClr,0))/$BC152)</f>
        <v/>
      </c>
      <c r="BE152" s="51">
        <f>IF(OR(N($BC152)=0,$BB152=""),"",$BB152-HeadClr-Undercut)</f>
        <v/>
      </c>
      <c r="BF152" s="51">
        <f>IF($BA152="","",$BA152+2*FaceW+IF(N($Q152)&gt;0,($Q152+FaceW)*IF($R152="LR",2,1),0))</f>
        <v/>
      </c>
      <c r="BG152" s="51">
        <f>IF($BB152="","",$BB152+IF($AB152="Y",4,FaceW)+IF(N($P152)&gt;0,$P152+FaceW,0)+IF(OR($S152="4F",$S152="BL"),FaceW,0))</f>
        <v/>
      </c>
      <c r="BH152" s="51">
        <f>IF($BF152="","",$BF152+2*ROSide)</f>
        <v/>
      </c>
      <c r="BI152" s="51">
        <f>IF($BG152="","",$BG152+ROTop)</f>
        <v/>
      </c>
      <c r="BJ152" s="52">
        <f>IF(OR(N($BC152)=0,$BA152=""),"",$BA152/$BC152-ClearDeduct)</f>
        <v/>
      </c>
      <c r="BK152" s="49">
        <f>IF(OR(N($BC152)=0,$BE152=""),"",IF(OR($AC152="HGC",$AP152="HGC"),"CONT",IF($BE152&lt;=60,2,IF($BE152&lt;=90,3,IF($BE152&lt;=120,4,5)))))</f>
        <v/>
      </c>
      <c r="BL152" s="49">
        <f>IF(N($BC152)=0,"",IF(OR($AL152="",$AL152="FLUSH"),"FLUSH",IFERROR(LEFT($AL152,FIND("-",$AL152)-1),LEFT($AL152,2))))</f>
        <v/>
      </c>
      <c r="BM152" s="49">
        <f>IF($BL152="","",IFERROR(VALUE(MID($AL152,FIND("-",$AL152)+1,FIND(CHAR(34)&amp;"x",$AL152)-FIND("-",$AL152)-1)),0))</f>
        <v/>
      </c>
      <c r="BN152" s="49">
        <f>IF($BL152="","",IFERROR(VALUE(MID($AL152,FIND(CHAR(34)&amp;"x",$AL152)+2,FIND(CHAR(34),$AL152,FIND(CHAR(34)&amp;"x",$AL152)+2)-FIND(CHAR(34)&amp;"x",$AL152)-2)),0))</f>
        <v/>
      </c>
      <c r="BO152" s="53">
        <f>IF(OR($A152="",$H152="",$H152="NO LAB"),0,IFERROR(VALUE(LEFT($H152,FIND(" ",$H152)-1)),0))</f>
        <v/>
      </c>
      <c r="BP152" s="54">
        <f>IF(OR($A152="",$I152="",$I152="NON-RATED",N($J152)=0),"",IFERROR(VLOOKUP($I152&amp;"|"&amp;$J152,IBC,2,FALSE),"?"))</f>
        <v/>
      </c>
      <c r="BQ152" s="50">
        <f>IF(NOT(AND($A152&lt;&gt;"",$C152&lt;&gt;"DOOR ONLY")),"",TRIM(IFERROR(VLOOKUP($U152,CODES,2,FALSE),"")&amp;" "&amp;$AZ152&amp;" "&amp;IFERROR(VLOOKUP($Z152,CODES,2,FALSE),"")&amp;" "&amp;IFERROR(VLOOKUP($X152,CODES,2,FALSE),"")&amp;" "&amp;IFERROR(VLOOKUP($S152,CODES,2,FALSE),"")&amp;IF(N($P152)&gt;0," w/TRANSOM "&amp;$P152&amp;CHAR(34),"")&amp;IF(N($Q152)&gt;0," w/SIDELITE "&amp;$Q152&amp;CHAR(34)&amp;" "&amp;IF($R152="","R",$R152),"")&amp;IF($Y152="","  |  "," | "&amp;IFERROR(VLOOKUP($Y152,CODES,2,FALSE),"")&amp;" | ")&amp;IFERROR(VLOOKUP($AC152,CODES,2,FALSE),"")&amp;" "&amp;IFERROR(VLOOKUP($AD152,CODES,2,FALSE),"")&amp;IF(OR($AE152="",$AE152="-"),""," "&amp;$AE152)&amp;IF(OR($AF152="",$AF152="-"),""," "&amp;$AF152)&amp;IF($AB152="Y"," 4"&amp;CHAR(34)&amp;" HEAD","")&amp;" "&amp;IFERROR(VLOOKUP($H152,CODES,2,FALSE),"")))</f>
        <v/>
      </c>
      <c r="BR152" s="50">
        <f>IF(NOT(AND($A152&lt;&gt;"",N($BC152)&gt;0)),"",TRIM(IFERROR(VLOOKUP($AH152,CODES,2,FALSE),"")&amp;IF($AI152=""," "," "&amp;$AI152&amp;"GA ")&amp;$AZ152&amp;" "&amp;IF($AN152="",IFERROR(VLOOKUP($Z152,CODES,2,FALSE),""),IFERROR(VLOOKUP($AN152,CODES,2,FALSE),""))&amp;IF($BC152=2," PAIR","")&amp;" DOOR | "&amp;IF($AL152="","?",$AL152)&amp;" | "&amp;IF($AP152="",IFERROR(VLOOKUP($AC152,CODES,2,FALSE),""),IFERROR(VLOOKUP($AP152,CODES,2,FALSE),""))&amp;" "&amp;IFERROR(VLOOKUP($AQ152,CODES,2,FALSE),"")&amp;IF(OR($AR152="",$AR152="-"),""," SEAM "&amp;$AR152)&amp;IF($AS152="Y"," ASTRAGAL","")&amp;IF($AJ152=""," "," "&amp;$AJ152)&amp;IF($AK152=""," "," "&amp;$AK152)&amp;IF($AO152="",""," "&amp;$AO152)&amp;IF($AM152=""," "," SERIES "&amp;$AM152)&amp;" "&amp;IFERROR(VLOOKUP($H152,CODES,2,FALSE),"")))</f>
        <v/>
      </c>
      <c r="BS152" s="49">
        <f>IF(BV152="","",IF(COUNTIF($BV$6:BV152,BV152)=1,MAX($BS$5:BS151)+1,INDEX($BS$5:BS151,MATCH(BV152,$BV$5:BV151,0))))</f>
        <v/>
      </c>
      <c r="BT152" s="49">
        <f>IF(NOT(AND($A152&lt;&gt;"",$C152&lt;&gt;"DOOR ONLY")),"",MAX($BT$5:BT151)+1)</f>
        <v/>
      </c>
      <c r="BU152" s="49">
        <f>IF(NOT(AND($A152&lt;&gt;"",N($BC152)&gt;0)),"",MAX($BU$5:BU151)+1)</f>
        <v/>
      </c>
      <c r="BV152" s="49">
        <f>IF(OR($A152="",$BA152="",$BB152=""),"",$AZ152&amp;"|"&amp;$O152&amp;"|"&amp;$AL152&amp;"|"&amp;$S152&amp;"|"&amp;$P152&amp;"|"&amp;$Q152&amp;$R152&amp;"|"&amp;$C152&amp;"|"&amp;$AB152)</f>
        <v/>
      </c>
      <c r="BW152" s="49">
        <f>IF($A152="","",IF($B152="","qty, ","")&amp;IF($C152="","scope, ","")&amp;IF(OR($K152="",$M152=""),"size, ","")&amp;IF(AND($A152&lt;&gt;"",$C152&lt;&gt;"DOOR ONLY"),IF($U152="","jamb depth, ","")&amp;IF($X152="","construction, ","")&amp;IF($Y152="","anchor, ","")&amp;IF($S152="","frame type, ",""),"")&amp;IF(AND(N($BC152)&gt;0,$Z152=""),"hand, ","")&amp;IF(N($BC152)&gt;0,IF($AH152="","door material, ","")&amp;IF($AL152="","face type, ","")&amp;IF($AQ152="","lock prep, ","")&amp;IF(AND($AP152="",$AC152=""),"hinge prep, ",""),"")&amp;IF(AND($BO152&gt;0,$AH152="FRP"),"FRP cannot carry a label, ","")&amp;IF(AND($O152="Y",OR($Z152="L",$Z152="R",$Z152="LR",$Z152="RR")),"pair marked but hand is single, ","")&amp;IF(AND($O152&lt;&gt;"Y",OR($Z152="PR",AND(LEN($Z152)&gt;1,ISNUMBER(SEARCH("-",$Z152))))),"pair hand on a single door, ","")&amp;IF(AND(ISNUMBER($BP152),$BO152&lt;N($BP152)),"wall needs a "&amp;$BP152&amp;" min door, ","")&amp;IF(AND($BO152&gt;=180,AND(OR($BL152="FG",$BL152="HG",$BL152="FNV",$BL152="FV"),N($BM152)*N($BN152)&gt;100)),"180 min lite over 100 sq in, ","")&amp;IF(N($BD152)&gt;48,"leaf wider than 4'-0"&amp;CHAR(34)&amp;", ",""))</f>
        <v/>
      </c>
      <c r="BX152" s="49">
        <f>IF($A152="","",IF(AND($BO152&gt;0,AND($A152&lt;&gt;"",$C152&lt;&gt;"DOOR ONLY"),$X152="KD",$E152="EXTERIOR"),"KD label on an exterior opening, ","")&amp;IF(AND($E152="EXTERIOR",OR(AND(AND($A152&lt;&gt;"",$C152&lt;&gt;"DOOR ONLY"),$W152="CR"),AND(N($BC152)&gt;0,$AH152="CR"))),"exterior in CR steel (G9?), ","")&amp;IF(AND(ISNUMBER($BJ152),N($BJ152)&lt;32),"clear width ~"&amp;TEXT($BJ152,"0.0")&amp;CHAR(34)&amp;" under 32"&amp;CHAR(34)&amp;" (ADA), ","")&amp;IF(AND($BO152=90,AND(OR($BL152="FG",$BL152="HG",$BL152="FNV",$BL152="FV"),N($BM152)*N($BN152)&gt;100)),"90 min lite over 100 sq in (stair/exit), ","")&amp;IF(AND($BO152&gt;0,AND($A152&lt;&gt;"",$C152&lt;&gt;"DOOR ONLY"),OR($AF152="",$AF152="-")),"rated: closer reinf.?, ","")&amp;IF(OR($I152="CORRIDOR",$I152="SMOKE BARRIER"),"S label + smoke gasketing, ","")&amp;IF($BP152="?","wall type/hr not in IBC table, ","")&amp;IF(AND(N($BC152)&gt;0,$AU152=""),"no hardware set, ","")&amp;IF(AND($AU152&lt;&gt;"",ISNA(MATCH($AU152,HWSets,0))),"set "&amp;$AU152&amp;" not on Hardware sheet, ","")&amp;IF(N($BE152)&gt;96,"leaf over 8'-0"&amp;CHAR(34)&amp;" - check listing, ",""))</f>
        <v/>
      </c>
    </row>
    <row r="153" ht="15" customHeight="1">
      <c r="A153" s="44" t="n"/>
      <c r="B153" s="45" t="n"/>
      <c r="C153" s="45" t="n"/>
      <c r="D153" s="45" t="n"/>
      <c r="E153" s="45" t="n"/>
      <c r="F153" s="45" t="n"/>
      <c r="G153" s="45" t="n"/>
      <c r="H153" s="45" t="n"/>
      <c r="I153" s="45" t="n"/>
      <c r="J153" s="45" t="n"/>
      <c r="K153" s="45" t="n"/>
      <c r="L153" s="45" t="n"/>
      <c r="M153" s="45" t="n"/>
      <c r="N153" s="45" t="n"/>
      <c r="O153" s="45" t="n"/>
      <c r="P153" s="45" t="n"/>
      <c r="Q153" s="45" t="n"/>
      <c r="R153" s="45" t="n"/>
      <c r="S153" s="46" t="n"/>
      <c r="T153" s="46" t="n"/>
      <c r="U153" s="46" t="n"/>
      <c r="V153" s="46" t="n"/>
      <c r="W153" s="46" t="n"/>
      <c r="X153" s="46" t="n"/>
      <c r="Y153" s="46" t="n"/>
      <c r="Z153" s="46" t="n"/>
      <c r="AA153" s="46" t="n"/>
      <c r="AB153" s="46" t="n"/>
      <c r="AC153" s="46" t="n"/>
      <c r="AD153" s="46" t="n"/>
      <c r="AE153" s="46" t="n"/>
      <c r="AF153" s="46" t="n"/>
      <c r="AG153" s="46" t="n"/>
      <c r="AH153" s="47" t="n"/>
      <c r="AI153" s="47" t="n"/>
      <c r="AJ153" s="47" t="n"/>
      <c r="AK153" s="47" t="n"/>
      <c r="AL153" s="47" t="n"/>
      <c r="AM153" s="47" t="n"/>
      <c r="AN153" s="47" t="n"/>
      <c r="AO153" s="47" t="n"/>
      <c r="AP153" s="47" t="n"/>
      <c r="AQ153" s="47" t="n"/>
      <c r="AR153" s="47" t="n"/>
      <c r="AS153" s="47" t="n"/>
      <c r="AT153" s="47" t="n"/>
      <c r="AU153" s="48" t="n"/>
      <c r="AV153" s="48" t="n"/>
      <c r="AW153" s="49">
        <f>IF($A153="","",IF($BW153&lt;&gt;"","FIX",IF($BX153&lt;&gt;"","CHECK","OK")))</f>
        <v/>
      </c>
      <c r="AX153" s="50">
        <f>IF($A153="","",IF($BW153&lt;&gt;"","FIX: "&amp;LEFT($BW153,LEN($BW153)-2)&amp;IF($BX153&lt;&gt;"","  ·  ",""),"")&amp;IF($BX153&lt;&gt;"","CHECK: "&amp;LEFT($BX153,LEN($BX153)-2),""))</f>
        <v/>
      </c>
      <c r="AY153" s="49">
        <f>IF(OR($A153="",$K153=""),"",$K153&amp;"'-"&amp;N($L153)&amp;CHAR(34)&amp;" x "&amp;$M153&amp;"'-"&amp;N($N153)&amp;CHAR(34))</f>
        <v/>
      </c>
      <c r="AZ153" s="49">
        <f>IF(OR($A153="",$K153=""),"",$K153&amp;N($L153)&amp;$M153&amp;N($N153))</f>
        <v/>
      </c>
      <c r="BA153" s="49">
        <f>IF(OR($A153="",$K153=""),"",$K153*12+N($L153))</f>
        <v/>
      </c>
      <c r="BB153" s="49">
        <f>IF(OR($A153="",$M153=""),"",$M153*12+N($N153))</f>
        <v/>
      </c>
      <c r="BC153" s="49">
        <f>IF($A153="","",IF(OR($C153="FRAME ONLY",$S153="BL"),0,IF($O153="Y",2,1)))</f>
        <v/>
      </c>
      <c r="BD153" s="51">
        <f>IF(OR(N($BC153)=0,$BA153=""),"",($BA153-2*EdgeClr-IF($BC153=2,MeetClr,0))/$BC153)</f>
        <v/>
      </c>
      <c r="BE153" s="51">
        <f>IF(OR(N($BC153)=0,$BB153=""),"",$BB153-HeadClr-Undercut)</f>
        <v/>
      </c>
      <c r="BF153" s="51">
        <f>IF($BA153="","",$BA153+2*FaceW+IF(N($Q153)&gt;0,($Q153+FaceW)*IF($R153="LR",2,1),0))</f>
        <v/>
      </c>
      <c r="BG153" s="51">
        <f>IF($BB153="","",$BB153+IF($AB153="Y",4,FaceW)+IF(N($P153)&gt;0,$P153+FaceW,0)+IF(OR($S153="4F",$S153="BL"),FaceW,0))</f>
        <v/>
      </c>
      <c r="BH153" s="51">
        <f>IF($BF153="","",$BF153+2*ROSide)</f>
        <v/>
      </c>
      <c r="BI153" s="51">
        <f>IF($BG153="","",$BG153+ROTop)</f>
        <v/>
      </c>
      <c r="BJ153" s="52">
        <f>IF(OR(N($BC153)=0,$BA153=""),"",$BA153/$BC153-ClearDeduct)</f>
        <v/>
      </c>
      <c r="BK153" s="49">
        <f>IF(OR(N($BC153)=0,$BE153=""),"",IF(OR($AC153="HGC",$AP153="HGC"),"CONT",IF($BE153&lt;=60,2,IF($BE153&lt;=90,3,IF($BE153&lt;=120,4,5)))))</f>
        <v/>
      </c>
      <c r="BL153" s="49">
        <f>IF(N($BC153)=0,"",IF(OR($AL153="",$AL153="FLUSH"),"FLUSH",IFERROR(LEFT($AL153,FIND("-",$AL153)-1),LEFT($AL153,2))))</f>
        <v/>
      </c>
      <c r="BM153" s="49">
        <f>IF($BL153="","",IFERROR(VALUE(MID($AL153,FIND("-",$AL153)+1,FIND(CHAR(34)&amp;"x",$AL153)-FIND("-",$AL153)-1)),0))</f>
        <v/>
      </c>
      <c r="BN153" s="49">
        <f>IF($BL153="","",IFERROR(VALUE(MID($AL153,FIND(CHAR(34)&amp;"x",$AL153)+2,FIND(CHAR(34),$AL153,FIND(CHAR(34)&amp;"x",$AL153)+2)-FIND(CHAR(34)&amp;"x",$AL153)-2)),0))</f>
        <v/>
      </c>
      <c r="BO153" s="53">
        <f>IF(OR($A153="",$H153="",$H153="NO LAB"),0,IFERROR(VALUE(LEFT($H153,FIND(" ",$H153)-1)),0))</f>
        <v/>
      </c>
      <c r="BP153" s="54">
        <f>IF(OR($A153="",$I153="",$I153="NON-RATED",N($J153)=0),"",IFERROR(VLOOKUP($I153&amp;"|"&amp;$J153,IBC,2,FALSE),"?"))</f>
        <v/>
      </c>
      <c r="BQ153" s="50">
        <f>IF(NOT(AND($A153&lt;&gt;"",$C153&lt;&gt;"DOOR ONLY")),"",TRIM(IFERROR(VLOOKUP($U153,CODES,2,FALSE),"")&amp;" "&amp;$AZ153&amp;" "&amp;IFERROR(VLOOKUP($Z153,CODES,2,FALSE),"")&amp;" "&amp;IFERROR(VLOOKUP($X153,CODES,2,FALSE),"")&amp;" "&amp;IFERROR(VLOOKUP($S153,CODES,2,FALSE),"")&amp;IF(N($P153)&gt;0," w/TRANSOM "&amp;$P153&amp;CHAR(34),"")&amp;IF(N($Q153)&gt;0," w/SIDELITE "&amp;$Q153&amp;CHAR(34)&amp;" "&amp;IF($R153="","R",$R153),"")&amp;IF($Y153="","  |  "," | "&amp;IFERROR(VLOOKUP($Y153,CODES,2,FALSE),"")&amp;" | ")&amp;IFERROR(VLOOKUP($AC153,CODES,2,FALSE),"")&amp;" "&amp;IFERROR(VLOOKUP($AD153,CODES,2,FALSE),"")&amp;IF(OR($AE153="",$AE153="-"),""," "&amp;$AE153)&amp;IF(OR($AF153="",$AF153="-"),""," "&amp;$AF153)&amp;IF($AB153="Y"," 4"&amp;CHAR(34)&amp;" HEAD","")&amp;" "&amp;IFERROR(VLOOKUP($H153,CODES,2,FALSE),"")))</f>
        <v/>
      </c>
      <c r="BR153" s="50">
        <f>IF(NOT(AND($A153&lt;&gt;"",N($BC153)&gt;0)),"",TRIM(IFERROR(VLOOKUP($AH153,CODES,2,FALSE),"")&amp;IF($AI153=""," "," "&amp;$AI153&amp;"GA ")&amp;$AZ153&amp;" "&amp;IF($AN153="",IFERROR(VLOOKUP($Z153,CODES,2,FALSE),""),IFERROR(VLOOKUP($AN153,CODES,2,FALSE),""))&amp;IF($BC153=2," PAIR","")&amp;" DOOR | "&amp;IF($AL153="","?",$AL153)&amp;" | "&amp;IF($AP153="",IFERROR(VLOOKUP($AC153,CODES,2,FALSE),""),IFERROR(VLOOKUP($AP153,CODES,2,FALSE),""))&amp;" "&amp;IFERROR(VLOOKUP($AQ153,CODES,2,FALSE),"")&amp;IF(OR($AR153="",$AR153="-"),""," SEAM "&amp;$AR153)&amp;IF($AS153="Y"," ASTRAGAL","")&amp;IF($AJ153=""," "," "&amp;$AJ153)&amp;IF($AK153=""," "," "&amp;$AK153)&amp;IF($AO153="",""," "&amp;$AO153)&amp;IF($AM153=""," "," SERIES "&amp;$AM153)&amp;" "&amp;IFERROR(VLOOKUP($H153,CODES,2,FALSE),"")))</f>
        <v/>
      </c>
      <c r="BS153" s="49">
        <f>IF(BV153="","",IF(COUNTIF($BV$6:BV153,BV153)=1,MAX($BS$5:BS152)+1,INDEX($BS$5:BS152,MATCH(BV153,$BV$5:BV152,0))))</f>
        <v/>
      </c>
      <c r="BT153" s="49">
        <f>IF(NOT(AND($A153&lt;&gt;"",$C153&lt;&gt;"DOOR ONLY")),"",MAX($BT$5:BT152)+1)</f>
        <v/>
      </c>
      <c r="BU153" s="49">
        <f>IF(NOT(AND($A153&lt;&gt;"",N($BC153)&gt;0)),"",MAX($BU$5:BU152)+1)</f>
        <v/>
      </c>
      <c r="BV153" s="49">
        <f>IF(OR($A153="",$BA153="",$BB153=""),"",$AZ153&amp;"|"&amp;$O153&amp;"|"&amp;$AL153&amp;"|"&amp;$S153&amp;"|"&amp;$P153&amp;"|"&amp;$Q153&amp;$R153&amp;"|"&amp;$C153&amp;"|"&amp;$AB153)</f>
        <v/>
      </c>
      <c r="BW153" s="49">
        <f>IF($A153="","",IF($B153="","qty, ","")&amp;IF($C153="","scope, ","")&amp;IF(OR($K153="",$M153=""),"size, ","")&amp;IF(AND($A153&lt;&gt;"",$C153&lt;&gt;"DOOR ONLY"),IF($U153="","jamb depth, ","")&amp;IF($X153="","construction, ","")&amp;IF($Y153="","anchor, ","")&amp;IF($S153="","frame type, ",""),"")&amp;IF(AND(N($BC153)&gt;0,$Z153=""),"hand, ","")&amp;IF(N($BC153)&gt;0,IF($AH153="","door material, ","")&amp;IF($AL153="","face type, ","")&amp;IF($AQ153="","lock prep, ","")&amp;IF(AND($AP153="",$AC153=""),"hinge prep, ",""),"")&amp;IF(AND($BO153&gt;0,$AH153="FRP"),"FRP cannot carry a label, ","")&amp;IF(AND($O153="Y",OR($Z153="L",$Z153="R",$Z153="LR",$Z153="RR")),"pair marked but hand is single, ","")&amp;IF(AND($O153&lt;&gt;"Y",OR($Z153="PR",AND(LEN($Z153)&gt;1,ISNUMBER(SEARCH("-",$Z153))))),"pair hand on a single door, ","")&amp;IF(AND(ISNUMBER($BP153),$BO153&lt;N($BP153)),"wall needs a "&amp;$BP153&amp;" min door, ","")&amp;IF(AND($BO153&gt;=180,AND(OR($BL153="FG",$BL153="HG",$BL153="FNV",$BL153="FV"),N($BM153)*N($BN153)&gt;100)),"180 min lite over 100 sq in, ","")&amp;IF(N($BD153)&gt;48,"leaf wider than 4'-0"&amp;CHAR(34)&amp;", ",""))</f>
        <v/>
      </c>
      <c r="BX153" s="49">
        <f>IF($A153="","",IF(AND($BO153&gt;0,AND($A153&lt;&gt;"",$C153&lt;&gt;"DOOR ONLY"),$X153="KD",$E153="EXTERIOR"),"KD label on an exterior opening, ","")&amp;IF(AND($E153="EXTERIOR",OR(AND(AND($A153&lt;&gt;"",$C153&lt;&gt;"DOOR ONLY"),$W153="CR"),AND(N($BC153)&gt;0,$AH153="CR"))),"exterior in CR steel (G9?), ","")&amp;IF(AND(ISNUMBER($BJ153),N($BJ153)&lt;32),"clear width ~"&amp;TEXT($BJ153,"0.0")&amp;CHAR(34)&amp;" under 32"&amp;CHAR(34)&amp;" (ADA), ","")&amp;IF(AND($BO153=90,AND(OR($BL153="FG",$BL153="HG",$BL153="FNV",$BL153="FV"),N($BM153)*N($BN153)&gt;100)),"90 min lite over 100 sq in (stair/exit), ","")&amp;IF(AND($BO153&gt;0,AND($A153&lt;&gt;"",$C153&lt;&gt;"DOOR ONLY"),OR($AF153="",$AF153="-")),"rated: closer reinf.?, ","")&amp;IF(OR($I153="CORRIDOR",$I153="SMOKE BARRIER"),"S label + smoke gasketing, ","")&amp;IF($BP153="?","wall type/hr not in IBC table, ","")&amp;IF(AND(N($BC153)&gt;0,$AU153=""),"no hardware set, ","")&amp;IF(AND($AU153&lt;&gt;"",ISNA(MATCH($AU153,HWSets,0))),"set "&amp;$AU153&amp;" not on Hardware sheet, ","")&amp;IF(N($BE153)&gt;96,"leaf over 8'-0"&amp;CHAR(34)&amp;" - check listing, ",""))</f>
        <v/>
      </c>
    </row>
    <row r="154" ht="15" customHeight="1">
      <c r="A154" s="44" t="n"/>
      <c r="B154" s="45" t="n"/>
      <c r="C154" s="45" t="n"/>
      <c r="D154" s="45" t="n"/>
      <c r="E154" s="45" t="n"/>
      <c r="F154" s="45" t="n"/>
      <c r="G154" s="45" t="n"/>
      <c r="H154" s="45" t="n"/>
      <c r="I154" s="45" t="n"/>
      <c r="J154" s="45" t="n"/>
      <c r="K154" s="45" t="n"/>
      <c r="L154" s="45" t="n"/>
      <c r="M154" s="45" t="n"/>
      <c r="N154" s="45" t="n"/>
      <c r="O154" s="45" t="n"/>
      <c r="P154" s="45" t="n"/>
      <c r="Q154" s="45" t="n"/>
      <c r="R154" s="45" t="n"/>
      <c r="S154" s="46" t="n"/>
      <c r="T154" s="46" t="n"/>
      <c r="U154" s="46" t="n"/>
      <c r="V154" s="46" t="n"/>
      <c r="W154" s="46" t="n"/>
      <c r="X154" s="46" t="n"/>
      <c r="Y154" s="46" t="n"/>
      <c r="Z154" s="46" t="n"/>
      <c r="AA154" s="46" t="n"/>
      <c r="AB154" s="46" t="n"/>
      <c r="AC154" s="46" t="n"/>
      <c r="AD154" s="46" t="n"/>
      <c r="AE154" s="46" t="n"/>
      <c r="AF154" s="46" t="n"/>
      <c r="AG154" s="46" t="n"/>
      <c r="AH154" s="47" t="n"/>
      <c r="AI154" s="47" t="n"/>
      <c r="AJ154" s="47" t="n"/>
      <c r="AK154" s="47" t="n"/>
      <c r="AL154" s="47" t="n"/>
      <c r="AM154" s="47" t="n"/>
      <c r="AN154" s="47" t="n"/>
      <c r="AO154" s="47" t="n"/>
      <c r="AP154" s="47" t="n"/>
      <c r="AQ154" s="47" t="n"/>
      <c r="AR154" s="47" t="n"/>
      <c r="AS154" s="47" t="n"/>
      <c r="AT154" s="47" t="n"/>
      <c r="AU154" s="48" t="n"/>
      <c r="AV154" s="48" t="n"/>
      <c r="AW154" s="49">
        <f>IF($A154="","",IF($BW154&lt;&gt;"","FIX",IF($BX154&lt;&gt;"","CHECK","OK")))</f>
        <v/>
      </c>
      <c r="AX154" s="50">
        <f>IF($A154="","",IF($BW154&lt;&gt;"","FIX: "&amp;LEFT($BW154,LEN($BW154)-2)&amp;IF($BX154&lt;&gt;"","  ·  ",""),"")&amp;IF($BX154&lt;&gt;"","CHECK: "&amp;LEFT($BX154,LEN($BX154)-2),""))</f>
        <v/>
      </c>
      <c r="AY154" s="49">
        <f>IF(OR($A154="",$K154=""),"",$K154&amp;"'-"&amp;N($L154)&amp;CHAR(34)&amp;" x "&amp;$M154&amp;"'-"&amp;N($N154)&amp;CHAR(34))</f>
        <v/>
      </c>
      <c r="AZ154" s="49">
        <f>IF(OR($A154="",$K154=""),"",$K154&amp;N($L154)&amp;$M154&amp;N($N154))</f>
        <v/>
      </c>
      <c r="BA154" s="49">
        <f>IF(OR($A154="",$K154=""),"",$K154*12+N($L154))</f>
        <v/>
      </c>
      <c r="BB154" s="49">
        <f>IF(OR($A154="",$M154=""),"",$M154*12+N($N154))</f>
        <v/>
      </c>
      <c r="BC154" s="49">
        <f>IF($A154="","",IF(OR($C154="FRAME ONLY",$S154="BL"),0,IF($O154="Y",2,1)))</f>
        <v/>
      </c>
      <c r="BD154" s="51">
        <f>IF(OR(N($BC154)=0,$BA154=""),"",($BA154-2*EdgeClr-IF($BC154=2,MeetClr,0))/$BC154)</f>
        <v/>
      </c>
      <c r="BE154" s="51">
        <f>IF(OR(N($BC154)=0,$BB154=""),"",$BB154-HeadClr-Undercut)</f>
        <v/>
      </c>
      <c r="BF154" s="51">
        <f>IF($BA154="","",$BA154+2*FaceW+IF(N($Q154)&gt;0,($Q154+FaceW)*IF($R154="LR",2,1),0))</f>
        <v/>
      </c>
      <c r="BG154" s="51">
        <f>IF($BB154="","",$BB154+IF($AB154="Y",4,FaceW)+IF(N($P154)&gt;0,$P154+FaceW,0)+IF(OR($S154="4F",$S154="BL"),FaceW,0))</f>
        <v/>
      </c>
      <c r="BH154" s="51">
        <f>IF($BF154="","",$BF154+2*ROSide)</f>
        <v/>
      </c>
      <c r="BI154" s="51">
        <f>IF($BG154="","",$BG154+ROTop)</f>
        <v/>
      </c>
      <c r="BJ154" s="52">
        <f>IF(OR(N($BC154)=0,$BA154=""),"",$BA154/$BC154-ClearDeduct)</f>
        <v/>
      </c>
      <c r="BK154" s="49">
        <f>IF(OR(N($BC154)=0,$BE154=""),"",IF(OR($AC154="HGC",$AP154="HGC"),"CONT",IF($BE154&lt;=60,2,IF($BE154&lt;=90,3,IF($BE154&lt;=120,4,5)))))</f>
        <v/>
      </c>
      <c r="BL154" s="49">
        <f>IF(N($BC154)=0,"",IF(OR($AL154="",$AL154="FLUSH"),"FLUSH",IFERROR(LEFT($AL154,FIND("-",$AL154)-1),LEFT($AL154,2))))</f>
        <v/>
      </c>
      <c r="BM154" s="49">
        <f>IF($BL154="","",IFERROR(VALUE(MID($AL154,FIND("-",$AL154)+1,FIND(CHAR(34)&amp;"x",$AL154)-FIND("-",$AL154)-1)),0))</f>
        <v/>
      </c>
      <c r="BN154" s="49">
        <f>IF($BL154="","",IFERROR(VALUE(MID($AL154,FIND(CHAR(34)&amp;"x",$AL154)+2,FIND(CHAR(34),$AL154,FIND(CHAR(34)&amp;"x",$AL154)+2)-FIND(CHAR(34)&amp;"x",$AL154)-2)),0))</f>
        <v/>
      </c>
      <c r="BO154" s="53">
        <f>IF(OR($A154="",$H154="",$H154="NO LAB"),0,IFERROR(VALUE(LEFT($H154,FIND(" ",$H154)-1)),0))</f>
        <v/>
      </c>
      <c r="BP154" s="54">
        <f>IF(OR($A154="",$I154="",$I154="NON-RATED",N($J154)=0),"",IFERROR(VLOOKUP($I154&amp;"|"&amp;$J154,IBC,2,FALSE),"?"))</f>
        <v/>
      </c>
      <c r="BQ154" s="50">
        <f>IF(NOT(AND($A154&lt;&gt;"",$C154&lt;&gt;"DOOR ONLY")),"",TRIM(IFERROR(VLOOKUP($U154,CODES,2,FALSE),"")&amp;" "&amp;$AZ154&amp;" "&amp;IFERROR(VLOOKUP($Z154,CODES,2,FALSE),"")&amp;" "&amp;IFERROR(VLOOKUP($X154,CODES,2,FALSE),"")&amp;" "&amp;IFERROR(VLOOKUP($S154,CODES,2,FALSE),"")&amp;IF(N($P154)&gt;0," w/TRANSOM "&amp;$P154&amp;CHAR(34),"")&amp;IF(N($Q154)&gt;0," w/SIDELITE "&amp;$Q154&amp;CHAR(34)&amp;" "&amp;IF($R154="","R",$R154),"")&amp;IF($Y154="","  |  "," | "&amp;IFERROR(VLOOKUP($Y154,CODES,2,FALSE),"")&amp;" | ")&amp;IFERROR(VLOOKUP($AC154,CODES,2,FALSE),"")&amp;" "&amp;IFERROR(VLOOKUP($AD154,CODES,2,FALSE),"")&amp;IF(OR($AE154="",$AE154="-"),""," "&amp;$AE154)&amp;IF(OR($AF154="",$AF154="-"),""," "&amp;$AF154)&amp;IF($AB154="Y"," 4"&amp;CHAR(34)&amp;" HEAD","")&amp;" "&amp;IFERROR(VLOOKUP($H154,CODES,2,FALSE),"")))</f>
        <v/>
      </c>
      <c r="BR154" s="50">
        <f>IF(NOT(AND($A154&lt;&gt;"",N($BC154)&gt;0)),"",TRIM(IFERROR(VLOOKUP($AH154,CODES,2,FALSE),"")&amp;IF($AI154=""," "," "&amp;$AI154&amp;"GA ")&amp;$AZ154&amp;" "&amp;IF($AN154="",IFERROR(VLOOKUP($Z154,CODES,2,FALSE),""),IFERROR(VLOOKUP($AN154,CODES,2,FALSE),""))&amp;IF($BC154=2," PAIR","")&amp;" DOOR | "&amp;IF($AL154="","?",$AL154)&amp;" | "&amp;IF($AP154="",IFERROR(VLOOKUP($AC154,CODES,2,FALSE),""),IFERROR(VLOOKUP($AP154,CODES,2,FALSE),""))&amp;" "&amp;IFERROR(VLOOKUP($AQ154,CODES,2,FALSE),"")&amp;IF(OR($AR154="",$AR154="-"),""," SEAM "&amp;$AR154)&amp;IF($AS154="Y"," ASTRAGAL","")&amp;IF($AJ154=""," "," "&amp;$AJ154)&amp;IF($AK154=""," "," "&amp;$AK154)&amp;IF($AO154="",""," "&amp;$AO154)&amp;IF($AM154=""," "," SERIES "&amp;$AM154)&amp;" "&amp;IFERROR(VLOOKUP($H154,CODES,2,FALSE),"")))</f>
        <v/>
      </c>
      <c r="BS154" s="49">
        <f>IF(BV154="","",IF(COUNTIF($BV$6:BV154,BV154)=1,MAX($BS$5:BS153)+1,INDEX($BS$5:BS153,MATCH(BV154,$BV$5:BV153,0))))</f>
        <v/>
      </c>
      <c r="BT154" s="49">
        <f>IF(NOT(AND($A154&lt;&gt;"",$C154&lt;&gt;"DOOR ONLY")),"",MAX($BT$5:BT153)+1)</f>
        <v/>
      </c>
      <c r="BU154" s="49">
        <f>IF(NOT(AND($A154&lt;&gt;"",N($BC154)&gt;0)),"",MAX($BU$5:BU153)+1)</f>
        <v/>
      </c>
      <c r="BV154" s="49">
        <f>IF(OR($A154="",$BA154="",$BB154=""),"",$AZ154&amp;"|"&amp;$O154&amp;"|"&amp;$AL154&amp;"|"&amp;$S154&amp;"|"&amp;$P154&amp;"|"&amp;$Q154&amp;$R154&amp;"|"&amp;$C154&amp;"|"&amp;$AB154)</f>
        <v/>
      </c>
      <c r="BW154" s="49">
        <f>IF($A154="","",IF($B154="","qty, ","")&amp;IF($C154="","scope, ","")&amp;IF(OR($K154="",$M154=""),"size, ","")&amp;IF(AND($A154&lt;&gt;"",$C154&lt;&gt;"DOOR ONLY"),IF($U154="","jamb depth, ","")&amp;IF($X154="","construction, ","")&amp;IF($Y154="","anchor, ","")&amp;IF($S154="","frame type, ",""),"")&amp;IF(AND(N($BC154)&gt;0,$Z154=""),"hand, ","")&amp;IF(N($BC154)&gt;0,IF($AH154="","door material, ","")&amp;IF($AL154="","face type, ","")&amp;IF($AQ154="","lock prep, ","")&amp;IF(AND($AP154="",$AC154=""),"hinge prep, ",""),"")&amp;IF(AND($BO154&gt;0,$AH154="FRP"),"FRP cannot carry a label, ","")&amp;IF(AND($O154="Y",OR($Z154="L",$Z154="R",$Z154="LR",$Z154="RR")),"pair marked but hand is single, ","")&amp;IF(AND($O154&lt;&gt;"Y",OR($Z154="PR",AND(LEN($Z154)&gt;1,ISNUMBER(SEARCH("-",$Z154))))),"pair hand on a single door, ","")&amp;IF(AND(ISNUMBER($BP154),$BO154&lt;N($BP154)),"wall needs a "&amp;$BP154&amp;" min door, ","")&amp;IF(AND($BO154&gt;=180,AND(OR($BL154="FG",$BL154="HG",$BL154="FNV",$BL154="FV"),N($BM154)*N($BN154)&gt;100)),"180 min lite over 100 sq in, ","")&amp;IF(N($BD154)&gt;48,"leaf wider than 4'-0"&amp;CHAR(34)&amp;", ",""))</f>
        <v/>
      </c>
      <c r="BX154" s="49">
        <f>IF($A154="","",IF(AND($BO154&gt;0,AND($A154&lt;&gt;"",$C154&lt;&gt;"DOOR ONLY"),$X154="KD",$E154="EXTERIOR"),"KD label on an exterior opening, ","")&amp;IF(AND($E154="EXTERIOR",OR(AND(AND($A154&lt;&gt;"",$C154&lt;&gt;"DOOR ONLY"),$W154="CR"),AND(N($BC154)&gt;0,$AH154="CR"))),"exterior in CR steel (G9?), ","")&amp;IF(AND(ISNUMBER($BJ154),N($BJ154)&lt;32),"clear width ~"&amp;TEXT($BJ154,"0.0")&amp;CHAR(34)&amp;" under 32"&amp;CHAR(34)&amp;" (ADA), ","")&amp;IF(AND($BO154=90,AND(OR($BL154="FG",$BL154="HG",$BL154="FNV",$BL154="FV"),N($BM154)*N($BN154)&gt;100)),"90 min lite over 100 sq in (stair/exit), ","")&amp;IF(AND($BO154&gt;0,AND($A154&lt;&gt;"",$C154&lt;&gt;"DOOR ONLY"),OR($AF154="",$AF154="-")),"rated: closer reinf.?, ","")&amp;IF(OR($I154="CORRIDOR",$I154="SMOKE BARRIER"),"S label + smoke gasketing, ","")&amp;IF($BP154="?","wall type/hr not in IBC table, ","")&amp;IF(AND(N($BC154)&gt;0,$AU154=""),"no hardware set, ","")&amp;IF(AND($AU154&lt;&gt;"",ISNA(MATCH($AU154,HWSets,0))),"set "&amp;$AU154&amp;" not on Hardware sheet, ","")&amp;IF(N($BE154)&gt;96,"leaf over 8'-0"&amp;CHAR(34)&amp;" - check listing, ",""))</f>
        <v/>
      </c>
    </row>
    <row r="155" ht="15" customHeight="1">
      <c r="A155" s="44" t="n"/>
      <c r="B155" s="45" t="n"/>
      <c r="C155" s="45" t="n"/>
      <c r="D155" s="45" t="n"/>
      <c r="E155" s="45" t="n"/>
      <c r="F155" s="45" t="n"/>
      <c r="G155" s="45" t="n"/>
      <c r="H155" s="45" t="n"/>
      <c r="I155" s="45" t="n"/>
      <c r="J155" s="45" t="n"/>
      <c r="K155" s="45" t="n"/>
      <c r="L155" s="45" t="n"/>
      <c r="M155" s="45" t="n"/>
      <c r="N155" s="45" t="n"/>
      <c r="O155" s="45" t="n"/>
      <c r="P155" s="45" t="n"/>
      <c r="Q155" s="45" t="n"/>
      <c r="R155" s="45" t="n"/>
      <c r="S155" s="46" t="n"/>
      <c r="T155" s="46" t="n"/>
      <c r="U155" s="46" t="n"/>
      <c r="V155" s="46" t="n"/>
      <c r="W155" s="46" t="n"/>
      <c r="X155" s="46" t="n"/>
      <c r="Y155" s="46" t="n"/>
      <c r="Z155" s="46" t="n"/>
      <c r="AA155" s="46" t="n"/>
      <c r="AB155" s="46" t="n"/>
      <c r="AC155" s="46" t="n"/>
      <c r="AD155" s="46" t="n"/>
      <c r="AE155" s="46" t="n"/>
      <c r="AF155" s="46" t="n"/>
      <c r="AG155" s="46" t="n"/>
      <c r="AH155" s="47" t="n"/>
      <c r="AI155" s="47" t="n"/>
      <c r="AJ155" s="47" t="n"/>
      <c r="AK155" s="47" t="n"/>
      <c r="AL155" s="47" t="n"/>
      <c r="AM155" s="47" t="n"/>
      <c r="AN155" s="47" t="n"/>
      <c r="AO155" s="47" t="n"/>
      <c r="AP155" s="47" t="n"/>
      <c r="AQ155" s="47" t="n"/>
      <c r="AR155" s="47" t="n"/>
      <c r="AS155" s="47" t="n"/>
      <c r="AT155" s="47" t="n"/>
      <c r="AU155" s="48" t="n"/>
      <c r="AV155" s="48" t="n"/>
      <c r="AW155" s="49">
        <f>IF($A155="","",IF($BW155&lt;&gt;"","FIX",IF($BX155&lt;&gt;"","CHECK","OK")))</f>
        <v/>
      </c>
      <c r="AX155" s="50">
        <f>IF($A155="","",IF($BW155&lt;&gt;"","FIX: "&amp;LEFT($BW155,LEN($BW155)-2)&amp;IF($BX155&lt;&gt;"","  ·  ",""),"")&amp;IF($BX155&lt;&gt;"","CHECK: "&amp;LEFT($BX155,LEN($BX155)-2),""))</f>
        <v/>
      </c>
      <c r="AY155" s="49">
        <f>IF(OR($A155="",$K155=""),"",$K155&amp;"'-"&amp;N($L155)&amp;CHAR(34)&amp;" x "&amp;$M155&amp;"'-"&amp;N($N155)&amp;CHAR(34))</f>
        <v/>
      </c>
      <c r="AZ155" s="49">
        <f>IF(OR($A155="",$K155=""),"",$K155&amp;N($L155)&amp;$M155&amp;N($N155))</f>
        <v/>
      </c>
      <c r="BA155" s="49">
        <f>IF(OR($A155="",$K155=""),"",$K155*12+N($L155))</f>
        <v/>
      </c>
      <c r="BB155" s="49">
        <f>IF(OR($A155="",$M155=""),"",$M155*12+N($N155))</f>
        <v/>
      </c>
      <c r="BC155" s="49">
        <f>IF($A155="","",IF(OR($C155="FRAME ONLY",$S155="BL"),0,IF($O155="Y",2,1)))</f>
        <v/>
      </c>
      <c r="BD155" s="51">
        <f>IF(OR(N($BC155)=0,$BA155=""),"",($BA155-2*EdgeClr-IF($BC155=2,MeetClr,0))/$BC155)</f>
        <v/>
      </c>
      <c r="BE155" s="51">
        <f>IF(OR(N($BC155)=0,$BB155=""),"",$BB155-HeadClr-Undercut)</f>
        <v/>
      </c>
      <c r="BF155" s="51">
        <f>IF($BA155="","",$BA155+2*FaceW+IF(N($Q155)&gt;0,($Q155+FaceW)*IF($R155="LR",2,1),0))</f>
        <v/>
      </c>
      <c r="BG155" s="51">
        <f>IF($BB155="","",$BB155+IF($AB155="Y",4,FaceW)+IF(N($P155)&gt;0,$P155+FaceW,0)+IF(OR($S155="4F",$S155="BL"),FaceW,0))</f>
        <v/>
      </c>
      <c r="BH155" s="51">
        <f>IF($BF155="","",$BF155+2*ROSide)</f>
        <v/>
      </c>
      <c r="BI155" s="51">
        <f>IF($BG155="","",$BG155+ROTop)</f>
        <v/>
      </c>
      <c r="BJ155" s="52">
        <f>IF(OR(N($BC155)=0,$BA155=""),"",$BA155/$BC155-ClearDeduct)</f>
        <v/>
      </c>
      <c r="BK155" s="49">
        <f>IF(OR(N($BC155)=0,$BE155=""),"",IF(OR($AC155="HGC",$AP155="HGC"),"CONT",IF($BE155&lt;=60,2,IF($BE155&lt;=90,3,IF($BE155&lt;=120,4,5)))))</f>
        <v/>
      </c>
      <c r="BL155" s="49">
        <f>IF(N($BC155)=0,"",IF(OR($AL155="",$AL155="FLUSH"),"FLUSH",IFERROR(LEFT($AL155,FIND("-",$AL155)-1),LEFT($AL155,2))))</f>
        <v/>
      </c>
      <c r="BM155" s="49">
        <f>IF($BL155="","",IFERROR(VALUE(MID($AL155,FIND("-",$AL155)+1,FIND(CHAR(34)&amp;"x",$AL155)-FIND("-",$AL155)-1)),0))</f>
        <v/>
      </c>
      <c r="BN155" s="49">
        <f>IF($BL155="","",IFERROR(VALUE(MID($AL155,FIND(CHAR(34)&amp;"x",$AL155)+2,FIND(CHAR(34),$AL155,FIND(CHAR(34)&amp;"x",$AL155)+2)-FIND(CHAR(34)&amp;"x",$AL155)-2)),0))</f>
        <v/>
      </c>
      <c r="BO155" s="53">
        <f>IF(OR($A155="",$H155="",$H155="NO LAB"),0,IFERROR(VALUE(LEFT($H155,FIND(" ",$H155)-1)),0))</f>
        <v/>
      </c>
      <c r="BP155" s="54">
        <f>IF(OR($A155="",$I155="",$I155="NON-RATED",N($J155)=0),"",IFERROR(VLOOKUP($I155&amp;"|"&amp;$J155,IBC,2,FALSE),"?"))</f>
        <v/>
      </c>
      <c r="BQ155" s="50">
        <f>IF(NOT(AND($A155&lt;&gt;"",$C155&lt;&gt;"DOOR ONLY")),"",TRIM(IFERROR(VLOOKUP($U155,CODES,2,FALSE),"")&amp;" "&amp;$AZ155&amp;" "&amp;IFERROR(VLOOKUP($Z155,CODES,2,FALSE),"")&amp;" "&amp;IFERROR(VLOOKUP($X155,CODES,2,FALSE),"")&amp;" "&amp;IFERROR(VLOOKUP($S155,CODES,2,FALSE),"")&amp;IF(N($P155)&gt;0," w/TRANSOM "&amp;$P155&amp;CHAR(34),"")&amp;IF(N($Q155)&gt;0," w/SIDELITE "&amp;$Q155&amp;CHAR(34)&amp;" "&amp;IF($R155="","R",$R155),"")&amp;IF($Y155="","  |  "," | "&amp;IFERROR(VLOOKUP($Y155,CODES,2,FALSE),"")&amp;" | ")&amp;IFERROR(VLOOKUP($AC155,CODES,2,FALSE),"")&amp;" "&amp;IFERROR(VLOOKUP($AD155,CODES,2,FALSE),"")&amp;IF(OR($AE155="",$AE155="-"),""," "&amp;$AE155)&amp;IF(OR($AF155="",$AF155="-"),""," "&amp;$AF155)&amp;IF($AB155="Y"," 4"&amp;CHAR(34)&amp;" HEAD","")&amp;" "&amp;IFERROR(VLOOKUP($H155,CODES,2,FALSE),"")))</f>
        <v/>
      </c>
      <c r="BR155" s="50">
        <f>IF(NOT(AND($A155&lt;&gt;"",N($BC155)&gt;0)),"",TRIM(IFERROR(VLOOKUP($AH155,CODES,2,FALSE),"")&amp;IF($AI155=""," "," "&amp;$AI155&amp;"GA ")&amp;$AZ155&amp;" "&amp;IF($AN155="",IFERROR(VLOOKUP($Z155,CODES,2,FALSE),""),IFERROR(VLOOKUP($AN155,CODES,2,FALSE),""))&amp;IF($BC155=2," PAIR","")&amp;" DOOR | "&amp;IF($AL155="","?",$AL155)&amp;" | "&amp;IF($AP155="",IFERROR(VLOOKUP($AC155,CODES,2,FALSE),""),IFERROR(VLOOKUP($AP155,CODES,2,FALSE),""))&amp;" "&amp;IFERROR(VLOOKUP($AQ155,CODES,2,FALSE),"")&amp;IF(OR($AR155="",$AR155="-"),""," SEAM "&amp;$AR155)&amp;IF($AS155="Y"," ASTRAGAL","")&amp;IF($AJ155=""," "," "&amp;$AJ155)&amp;IF($AK155=""," "," "&amp;$AK155)&amp;IF($AO155="",""," "&amp;$AO155)&amp;IF($AM155=""," "," SERIES "&amp;$AM155)&amp;" "&amp;IFERROR(VLOOKUP($H155,CODES,2,FALSE),"")))</f>
        <v/>
      </c>
      <c r="BS155" s="49">
        <f>IF(BV155="","",IF(COUNTIF($BV$6:BV155,BV155)=1,MAX($BS$5:BS154)+1,INDEX($BS$5:BS154,MATCH(BV155,$BV$5:BV154,0))))</f>
        <v/>
      </c>
      <c r="BT155" s="49">
        <f>IF(NOT(AND($A155&lt;&gt;"",$C155&lt;&gt;"DOOR ONLY")),"",MAX($BT$5:BT154)+1)</f>
        <v/>
      </c>
      <c r="BU155" s="49">
        <f>IF(NOT(AND($A155&lt;&gt;"",N($BC155)&gt;0)),"",MAX($BU$5:BU154)+1)</f>
        <v/>
      </c>
      <c r="BV155" s="49">
        <f>IF(OR($A155="",$BA155="",$BB155=""),"",$AZ155&amp;"|"&amp;$O155&amp;"|"&amp;$AL155&amp;"|"&amp;$S155&amp;"|"&amp;$P155&amp;"|"&amp;$Q155&amp;$R155&amp;"|"&amp;$C155&amp;"|"&amp;$AB155)</f>
        <v/>
      </c>
      <c r="BW155" s="49">
        <f>IF($A155="","",IF($B155="","qty, ","")&amp;IF($C155="","scope, ","")&amp;IF(OR($K155="",$M155=""),"size, ","")&amp;IF(AND($A155&lt;&gt;"",$C155&lt;&gt;"DOOR ONLY"),IF($U155="","jamb depth, ","")&amp;IF($X155="","construction, ","")&amp;IF($Y155="","anchor, ","")&amp;IF($S155="","frame type, ",""),"")&amp;IF(AND(N($BC155)&gt;0,$Z155=""),"hand, ","")&amp;IF(N($BC155)&gt;0,IF($AH155="","door material, ","")&amp;IF($AL155="","face type, ","")&amp;IF($AQ155="","lock prep, ","")&amp;IF(AND($AP155="",$AC155=""),"hinge prep, ",""),"")&amp;IF(AND($BO155&gt;0,$AH155="FRP"),"FRP cannot carry a label, ","")&amp;IF(AND($O155="Y",OR($Z155="L",$Z155="R",$Z155="LR",$Z155="RR")),"pair marked but hand is single, ","")&amp;IF(AND($O155&lt;&gt;"Y",OR($Z155="PR",AND(LEN($Z155)&gt;1,ISNUMBER(SEARCH("-",$Z155))))),"pair hand on a single door, ","")&amp;IF(AND(ISNUMBER($BP155),$BO155&lt;N($BP155)),"wall needs a "&amp;$BP155&amp;" min door, ","")&amp;IF(AND($BO155&gt;=180,AND(OR($BL155="FG",$BL155="HG",$BL155="FNV",$BL155="FV"),N($BM155)*N($BN155)&gt;100)),"180 min lite over 100 sq in, ","")&amp;IF(N($BD155)&gt;48,"leaf wider than 4'-0"&amp;CHAR(34)&amp;", ",""))</f>
        <v/>
      </c>
      <c r="BX155" s="49">
        <f>IF($A155="","",IF(AND($BO155&gt;0,AND($A155&lt;&gt;"",$C155&lt;&gt;"DOOR ONLY"),$X155="KD",$E155="EXTERIOR"),"KD label on an exterior opening, ","")&amp;IF(AND($E155="EXTERIOR",OR(AND(AND($A155&lt;&gt;"",$C155&lt;&gt;"DOOR ONLY"),$W155="CR"),AND(N($BC155)&gt;0,$AH155="CR"))),"exterior in CR steel (G9?), ","")&amp;IF(AND(ISNUMBER($BJ155),N($BJ155)&lt;32),"clear width ~"&amp;TEXT($BJ155,"0.0")&amp;CHAR(34)&amp;" under 32"&amp;CHAR(34)&amp;" (ADA), ","")&amp;IF(AND($BO155=90,AND(OR($BL155="FG",$BL155="HG",$BL155="FNV",$BL155="FV"),N($BM155)*N($BN155)&gt;100)),"90 min lite over 100 sq in (stair/exit), ","")&amp;IF(AND($BO155&gt;0,AND($A155&lt;&gt;"",$C155&lt;&gt;"DOOR ONLY"),OR($AF155="",$AF155="-")),"rated: closer reinf.?, ","")&amp;IF(OR($I155="CORRIDOR",$I155="SMOKE BARRIER"),"S label + smoke gasketing, ","")&amp;IF($BP155="?","wall type/hr not in IBC table, ","")&amp;IF(AND(N($BC155)&gt;0,$AU155=""),"no hardware set, ","")&amp;IF(AND($AU155&lt;&gt;"",ISNA(MATCH($AU155,HWSets,0))),"set "&amp;$AU155&amp;" not on Hardware sheet, ","")&amp;IF(N($BE155)&gt;96,"leaf over 8'-0"&amp;CHAR(34)&amp;" - check listing, ",""))</f>
        <v/>
      </c>
    </row>
    <row r="156" ht="15" customHeight="1">
      <c r="A156" s="44" t="n"/>
      <c r="B156" s="45" t="n"/>
      <c r="C156" s="45" t="n"/>
      <c r="D156" s="45" t="n"/>
      <c r="E156" s="45" t="n"/>
      <c r="F156" s="45" t="n"/>
      <c r="G156" s="45" t="n"/>
      <c r="H156" s="45" t="n"/>
      <c r="I156" s="45" t="n"/>
      <c r="J156" s="45" t="n"/>
      <c r="K156" s="45" t="n"/>
      <c r="L156" s="45" t="n"/>
      <c r="M156" s="45" t="n"/>
      <c r="N156" s="45" t="n"/>
      <c r="O156" s="45" t="n"/>
      <c r="P156" s="45" t="n"/>
      <c r="Q156" s="45" t="n"/>
      <c r="R156" s="45" t="n"/>
      <c r="S156" s="46" t="n"/>
      <c r="T156" s="46" t="n"/>
      <c r="U156" s="46" t="n"/>
      <c r="V156" s="46" t="n"/>
      <c r="W156" s="46" t="n"/>
      <c r="X156" s="46" t="n"/>
      <c r="Y156" s="46" t="n"/>
      <c r="Z156" s="46" t="n"/>
      <c r="AA156" s="46" t="n"/>
      <c r="AB156" s="46" t="n"/>
      <c r="AC156" s="46" t="n"/>
      <c r="AD156" s="46" t="n"/>
      <c r="AE156" s="46" t="n"/>
      <c r="AF156" s="46" t="n"/>
      <c r="AG156" s="46" t="n"/>
      <c r="AH156" s="47" t="n"/>
      <c r="AI156" s="47" t="n"/>
      <c r="AJ156" s="47" t="n"/>
      <c r="AK156" s="47" t="n"/>
      <c r="AL156" s="47" t="n"/>
      <c r="AM156" s="47" t="n"/>
      <c r="AN156" s="47" t="n"/>
      <c r="AO156" s="47" t="n"/>
      <c r="AP156" s="47" t="n"/>
      <c r="AQ156" s="47" t="n"/>
      <c r="AR156" s="47" t="n"/>
      <c r="AS156" s="47" t="n"/>
      <c r="AT156" s="47" t="n"/>
      <c r="AU156" s="48" t="n"/>
      <c r="AV156" s="48" t="n"/>
      <c r="AW156" s="49">
        <f>IF($A156="","",IF($BW156&lt;&gt;"","FIX",IF($BX156&lt;&gt;"","CHECK","OK")))</f>
        <v/>
      </c>
      <c r="AX156" s="50">
        <f>IF($A156="","",IF($BW156&lt;&gt;"","FIX: "&amp;LEFT($BW156,LEN($BW156)-2)&amp;IF($BX156&lt;&gt;"","  ·  ",""),"")&amp;IF($BX156&lt;&gt;"","CHECK: "&amp;LEFT($BX156,LEN($BX156)-2),""))</f>
        <v/>
      </c>
      <c r="AY156" s="49">
        <f>IF(OR($A156="",$K156=""),"",$K156&amp;"'-"&amp;N($L156)&amp;CHAR(34)&amp;" x "&amp;$M156&amp;"'-"&amp;N($N156)&amp;CHAR(34))</f>
        <v/>
      </c>
      <c r="AZ156" s="49">
        <f>IF(OR($A156="",$K156=""),"",$K156&amp;N($L156)&amp;$M156&amp;N($N156))</f>
        <v/>
      </c>
      <c r="BA156" s="49">
        <f>IF(OR($A156="",$K156=""),"",$K156*12+N($L156))</f>
        <v/>
      </c>
      <c r="BB156" s="49">
        <f>IF(OR($A156="",$M156=""),"",$M156*12+N($N156))</f>
        <v/>
      </c>
      <c r="BC156" s="49">
        <f>IF($A156="","",IF(OR($C156="FRAME ONLY",$S156="BL"),0,IF($O156="Y",2,1)))</f>
        <v/>
      </c>
      <c r="BD156" s="51">
        <f>IF(OR(N($BC156)=0,$BA156=""),"",($BA156-2*EdgeClr-IF($BC156=2,MeetClr,0))/$BC156)</f>
        <v/>
      </c>
      <c r="BE156" s="51">
        <f>IF(OR(N($BC156)=0,$BB156=""),"",$BB156-HeadClr-Undercut)</f>
        <v/>
      </c>
      <c r="BF156" s="51">
        <f>IF($BA156="","",$BA156+2*FaceW+IF(N($Q156)&gt;0,($Q156+FaceW)*IF($R156="LR",2,1),0))</f>
        <v/>
      </c>
      <c r="BG156" s="51">
        <f>IF($BB156="","",$BB156+IF($AB156="Y",4,FaceW)+IF(N($P156)&gt;0,$P156+FaceW,0)+IF(OR($S156="4F",$S156="BL"),FaceW,0))</f>
        <v/>
      </c>
      <c r="BH156" s="51">
        <f>IF($BF156="","",$BF156+2*ROSide)</f>
        <v/>
      </c>
      <c r="BI156" s="51">
        <f>IF($BG156="","",$BG156+ROTop)</f>
        <v/>
      </c>
      <c r="BJ156" s="52">
        <f>IF(OR(N($BC156)=0,$BA156=""),"",$BA156/$BC156-ClearDeduct)</f>
        <v/>
      </c>
      <c r="BK156" s="49">
        <f>IF(OR(N($BC156)=0,$BE156=""),"",IF(OR($AC156="HGC",$AP156="HGC"),"CONT",IF($BE156&lt;=60,2,IF($BE156&lt;=90,3,IF($BE156&lt;=120,4,5)))))</f>
        <v/>
      </c>
      <c r="BL156" s="49">
        <f>IF(N($BC156)=0,"",IF(OR($AL156="",$AL156="FLUSH"),"FLUSH",IFERROR(LEFT($AL156,FIND("-",$AL156)-1),LEFT($AL156,2))))</f>
        <v/>
      </c>
      <c r="BM156" s="49">
        <f>IF($BL156="","",IFERROR(VALUE(MID($AL156,FIND("-",$AL156)+1,FIND(CHAR(34)&amp;"x",$AL156)-FIND("-",$AL156)-1)),0))</f>
        <v/>
      </c>
      <c r="BN156" s="49">
        <f>IF($BL156="","",IFERROR(VALUE(MID($AL156,FIND(CHAR(34)&amp;"x",$AL156)+2,FIND(CHAR(34),$AL156,FIND(CHAR(34)&amp;"x",$AL156)+2)-FIND(CHAR(34)&amp;"x",$AL156)-2)),0))</f>
        <v/>
      </c>
      <c r="BO156" s="53">
        <f>IF(OR($A156="",$H156="",$H156="NO LAB"),0,IFERROR(VALUE(LEFT($H156,FIND(" ",$H156)-1)),0))</f>
        <v/>
      </c>
      <c r="BP156" s="54">
        <f>IF(OR($A156="",$I156="",$I156="NON-RATED",N($J156)=0),"",IFERROR(VLOOKUP($I156&amp;"|"&amp;$J156,IBC,2,FALSE),"?"))</f>
        <v/>
      </c>
      <c r="BQ156" s="50">
        <f>IF(NOT(AND($A156&lt;&gt;"",$C156&lt;&gt;"DOOR ONLY")),"",TRIM(IFERROR(VLOOKUP($U156,CODES,2,FALSE),"")&amp;" "&amp;$AZ156&amp;" "&amp;IFERROR(VLOOKUP($Z156,CODES,2,FALSE),"")&amp;" "&amp;IFERROR(VLOOKUP($X156,CODES,2,FALSE),"")&amp;" "&amp;IFERROR(VLOOKUP($S156,CODES,2,FALSE),"")&amp;IF(N($P156)&gt;0," w/TRANSOM "&amp;$P156&amp;CHAR(34),"")&amp;IF(N($Q156)&gt;0," w/SIDELITE "&amp;$Q156&amp;CHAR(34)&amp;" "&amp;IF($R156="","R",$R156),"")&amp;IF($Y156="","  |  "," | "&amp;IFERROR(VLOOKUP($Y156,CODES,2,FALSE),"")&amp;" | ")&amp;IFERROR(VLOOKUP($AC156,CODES,2,FALSE),"")&amp;" "&amp;IFERROR(VLOOKUP($AD156,CODES,2,FALSE),"")&amp;IF(OR($AE156="",$AE156="-"),""," "&amp;$AE156)&amp;IF(OR($AF156="",$AF156="-"),""," "&amp;$AF156)&amp;IF($AB156="Y"," 4"&amp;CHAR(34)&amp;" HEAD","")&amp;" "&amp;IFERROR(VLOOKUP($H156,CODES,2,FALSE),"")))</f>
        <v/>
      </c>
      <c r="BR156" s="50">
        <f>IF(NOT(AND($A156&lt;&gt;"",N($BC156)&gt;0)),"",TRIM(IFERROR(VLOOKUP($AH156,CODES,2,FALSE),"")&amp;IF($AI156=""," "," "&amp;$AI156&amp;"GA ")&amp;$AZ156&amp;" "&amp;IF($AN156="",IFERROR(VLOOKUP($Z156,CODES,2,FALSE),""),IFERROR(VLOOKUP($AN156,CODES,2,FALSE),""))&amp;IF($BC156=2," PAIR","")&amp;" DOOR | "&amp;IF($AL156="","?",$AL156)&amp;" | "&amp;IF($AP156="",IFERROR(VLOOKUP($AC156,CODES,2,FALSE),""),IFERROR(VLOOKUP($AP156,CODES,2,FALSE),""))&amp;" "&amp;IFERROR(VLOOKUP($AQ156,CODES,2,FALSE),"")&amp;IF(OR($AR156="",$AR156="-"),""," SEAM "&amp;$AR156)&amp;IF($AS156="Y"," ASTRAGAL","")&amp;IF($AJ156=""," "," "&amp;$AJ156)&amp;IF($AK156=""," "," "&amp;$AK156)&amp;IF($AO156="",""," "&amp;$AO156)&amp;IF($AM156=""," "," SERIES "&amp;$AM156)&amp;" "&amp;IFERROR(VLOOKUP($H156,CODES,2,FALSE),"")))</f>
        <v/>
      </c>
      <c r="BS156" s="49">
        <f>IF(BV156="","",IF(COUNTIF($BV$6:BV156,BV156)=1,MAX($BS$5:BS155)+1,INDEX($BS$5:BS155,MATCH(BV156,$BV$5:BV155,0))))</f>
        <v/>
      </c>
      <c r="BT156" s="49">
        <f>IF(NOT(AND($A156&lt;&gt;"",$C156&lt;&gt;"DOOR ONLY")),"",MAX($BT$5:BT155)+1)</f>
        <v/>
      </c>
      <c r="BU156" s="49">
        <f>IF(NOT(AND($A156&lt;&gt;"",N($BC156)&gt;0)),"",MAX($BU$5:BU155)+1)</f>
        <v/>
      </c>
      <c r="BV156" s="49">
        <f>IF(OR($A156="",$BA156="",$BB156=""),"",$AZ156&amp;"|"&amp;$O156&amp;"|"&amp;$AL156&amp;"|"&amp;$S156&amp;"|"&amp;$P156&amp;"|"&amp;$Q156&amp;$R156&amp;"|"&amp;$C156&amp;"|"&amp;$AB156)</f>
        <v/>
      </c>
      <c r="BW156" s="49">
        <f>IF($A156="","",IF($B156="","qty, ","")&amp;IF($C156="","scope, ","")&amp;IF(OR($K156="",$M156=""),"size, ","")&amp;IF(AND($A156&lt;&gt;"",$C156&lt;&gt;"DOOR ONLY"),IF($U156="","jamb depth, ","")&amp;IF($X156="","construction, ","")&amp;IF($Y156="","anchor, ","")&amp;IF($S156="","frame type, ",""),"")&amp;IF(AND(N($BC156)&gt;0,$Z156=""),"hand, ","")&amp;IF(N($BC156)&gt;0,IF($AH156="","door material, ","")&amp;IF($AL156="","face type, ","")&amp;IF($AQ156="","lock prep, ","")&amp;IF(AND($AP156="",$AC156=""),"hinge prep, ",""),"")&amp;IF(AND($BO156&gt;0,$AH156="FRP"),"FRP cannot carry a label, ","")&amp;IF(AND($O156="Y",OR($Z156="L",$Z156="R",$Z156="LR",$Z156="RR")),"pair marked but hand is single, ","")&amp;IF(AND($O156&lt;&gt;"Y",OR($Z156="PR",AND(LEN($Z156)&gt;1,ISNUMBER(SEARCH("-",$Z156))))),"pair hand on a single door, ","")&amp;IF(AND(ISNUMBER($BP156),$BO156&lt;N($BP156)),"wall needs a "&amp;$BP156&amp;" min door, ","")&amp;IF(AND($BO156&gt;=180,AND(OR($BL156="FG",$BL156="HG",$BL156="FNV",$BL156="FV"),N($BM156)*N($BN156)&gt;100)),"180 min lite over 100 sq in, ","")&amp;IF(N($BD156)&gt;48,"leaf wider than 4'-0"&amp;CHAR(34)&amp;", ",""))</f>
        <v/>
      </c>
      <c r="BX156" s="49">
        <f>IF($A156="","",IF(AND($BO156&gt;0,AND($A156&lt;&gt;"",$C156&lt;&gt;"DOOR ONLY"),$X156="KD",$E156="EXTERIOR"),"KD label on an exterior opening, ","")&amp;IF(AND($E156="EXTERIOR",OR(AND(AND($A156&lt;&gt;"",$C156&lt;&gt;"DOOR ONLY"),$W156="CR"),AND(N($BC156)&gt;0,$AH156="CR"))),"exterior in CR steel (G9?), ","")&amp;IF(AND(ISNUMBER($BJ156),N($BJ156)&lt;32),"clear width ~"&amp;TEXT($BJ156,"0.0")&amp;CHAR(34)&amp;" under 32"&amp;CHAR(34)&amp;" (ADA), ","")&amp;IF(AND($BO156=90,AND(OR($BL156="FG",$BL156="HG",$BL156="FNV",$BL156="FV"),N($BM156)*N($BN156)&gt;100)),"90 min lite over 100 sq in (stair/exit), ","")&amp;IF(AND($BO156&gt;0,AND($A156&lt;&gt;"",$C156&lt;&gt;"DOOR ONLY"),OR($AF156="",$AF156="-")),"rated: closer reinf.?, ","")&amp;IF(OR($I156="CORRIDOR",$I156="SMOKE BARRIER"),"S label + smoke gasketing, ","")&amp;IF($BP156="?","wall type/hr not in IBC table, ","")&amp;IF(AND(N($BC156)&gt;0,$AU156=""),"no hardware set, ","")&amp;IF(AND($AU156&lt;&gt;"",ISNA(MATCH($AU156,HWSets,0))),"set "&amp;$AU156&amp;" not on Hardware sheet, ","")&amp;IF(N($BE156)&gt;96,"leaf over 8'-0"&amp;CHAR(34)&amp;" - check listing, ",""))</f>
        <v/>
      </c>
    </row>
    <row r="157" ht="15" customHeight="1">
      <c r="A157" s="44" t="n"/>
      <c r="B157" s="45" t="n"/>
      <c r="C157" s="45" t="n"/>
      <c r="D157" s="45" t="n"/>
      <c r="E157" s="45" t="n"/>
      <c r="F157" s="45" t="n"/>
      <c r="G157" s="45" t="n"/>
      <c r="H157" s="45" t="n"/>
      <c r="I157" s="45" t="n"/>
      <c r="J157" s="45" t="n"/>
      <c r="K157" s="45" t="n"/>
      <c r="L157" s="45" t="n"/>
      <c r="M157" s="45" t="n"/>
      <c r="N157" s="45" t="n"/>
      <c r="O157" s="45" t="n"/>
      <c r="P157" s="45" t="n"/>
      <c r="Q157" s="45" t="n"/>
      <c r="R157" s="45" t="n"/>
      <c r="S157" s="46" t="n"/>
      <c r="T157" s="46" t="n"/>
      <c r="U157" s="46" t="n"/>
      <c r="V157" s="46" t="n"/>
      <c r="W157" s="46" t="n"/>
      <c r="X157" s="46" t="n"/>
      <c r="Y157" s="46" t="n"/>
      <c r="Z157" s="46" t="n"/>
      <c r="AA157" s="46" t="n"/>
      <c r="AB157" s="46" t="n"/>
      <c r="AC157" s="46" t="n"/>
      <c r="AD157" s="46" t="n"/>
      <c r="AE157" s="46" t="n"/>
      <c r="AF157" s="46" t="n"/>
      <c r="AG157" s="46" t="n"/>
      <c r="AH157" s="47" t="n"/>
      <c r="AI157" s="47" t="n"/>
      <c r="AJ157" s="47" t="n"/>
      <c r="AK157" s="47" t="n"/>
      <c r="AL157" s="47" t="n"/>
      <c r="AM157" s="47" t="n"/>
      <c r="AN157" s="47" t="n"/>
      <c r="AO157" s="47" t="n"/>
      <c r="AP157" s="47" t="n"/>
      <c r="AQ157" s="47" t="n"/>
      <c r="AR157" s="47" t="n"/>
      <c r="AS157" s="47" t="n"/>
      <c r="AT157" s="47" t="n"/>
      <c r="AU157" s="48" t="n"/>
      <c r="AV157" s="48" t="n"/>
      <c r="AW157" s="49">
        <f>IF($A157="","",IF($BW157&lt;&gt;"","FIX",IF($BX157&lt;&gt;"","CHECK","OK")))</f>
        <v/>
      </c>
      <c r="AX157" s="50">
        <f>IF($A157="","",IF($BW157&lt;&gt;"","FIX: "&amp;LEFT($BW157,LEN($BW157)-2)&amp;IF($BX157&lt;&gt;"","  ·  ",""),"")&amp;IF($BX157&lt;&gt;"","CHECK: "&amp;LEFT($BX157,LEN($BX157)-2),""))</f>
        <v/>
      </c>
      <c r="AY157" s="49">
        <f>IF(OR($A157="",$K157=""),"",$K157&amp;"'-"&amp;N($L157)&amp;CHAR(34)&amp;" x "&amp;$M157&amp;"'-"&amp;N($N157)&amp;CHAR(34))</f>
        <v/>
      </c>
      <c r="AZ157" s="49">
        <f>IF(OR($A157="",$K157=""),"",$K157&amp;N($L157)&amp;$M157&amp;N($N157))</f>
        <v/>
      </c>
      <c r="BA157" s="49">
        <f>IF(OR($A157="",$K157=""),"",$K157*12+N($L157))</f>
        <v/>
      </c>
      <c r="BB157" s="49">
        <f>IF(OR($A157="",$M157=""),"",$M157*12+N($N157))</f>
        <v/>
      </c>
      <c r="BC157" s="49">
        <f>IF($A157="","",IF(OR($C157="FRAME ONLY",$S157="BL"),0,IF($O157="Y",2,1)))</f>
        <v/>
      </c>
      <c r="BD157" s="51">
        <f>IF(OR(N($BC157)=0,$BA157=""),"",($BA157-2*EdgeClr-IF($BC157=2,MeetClr,0))/$BC157)</f>
        <v/>
      </c>
      <c r="BE157" s="51">
        <f>IF(OR(N($BC157)=0,$BB157=""),"",$BB157-HeadClr-Undercut)</f>
        <v/>
      </c>
      <c r="BF157" s="51">
        <f>IF($BA157="","",$BA157+2*FaceW+IF(N($Q157)&gt;0,($Q157+FaceW)*IF($R157="LR",2,1),0))</f>
        <v/>
      </c>
      <c r="BG157" s="51">
        <f>IF($BB157="","",$BB157+IF($AB157="Y",4,FaceW)+IF(N($P157)&gt;0,$P157+FaceW,0)+IF(OR($S157="4F",$S157="BL"),FaceW,0))</f>
        <v/>
      </c>
      <c r="BH157" s="51">
        <f>IF($BF157="","",$BF157+2*ROSide)</f>
        <v/>
      </c>
      <c r="BI157" s="51">
        <f>IF($BG157="","",$BG157+ROTop)</f>
        <v/>
      </c>
      <c r="BJ157" s="52">
        <f>IF(OR(N($BC157)=0,$BA157=""),"",$BA157/$BC157-ClearDeduct)</f>
        <v/>
      </c>
      <c r="BK157" s="49">
        <f>IF(OR(N($BC157)=0,$BE157=""),"",IF(OR($AC157="HGC",$AP157="HGC"),"CONT",IF($BE157&lt;=60,2,IF($BE157&lt;=90,3,IF($BE157&lt;=120,4,5)))))</f>
        <v/>
      </c>
      <c r="BL157" s="49">
        <f>IF(N($BC157)=0,"",IF(OR($AL157="",$AL157="FLUSH"),"FLUSH",IFERROR(LEFT($AL157,FIND("-",$AL157)-1),LEFT($AL157,2))))</f>
        <v/>
      </c>
      <c r="BM157" s="49">
        <f>IF($BL157="","",IFERROR(VALUE(MID($AL157,FIND("-",$AL157)+1,FIND(CHAR(34)&amp;"x",$AL157)-FIND("-",$AL157)-1)),0))</f>
        <v/>
      </c>
      <c r="BN157" s="49">
        <f>IF($BL157="","",IFERROR(VALUE(MID($AL157,FIND(CHAR(34)&amp;"x",$AL157)+2,FIND(CHAR(34),$AL157,FIND(CHAR(34)&amp;"x",$AL157)+2)-FIND(CHAR(34)&amp;"x",$AL157)-2)),0))</f>
        <v/>
      </c>
      <c r="BO157" s="53">
        <f>IF(OR($A157="",$H157="",$H157="NO LAB"),0,IFERROR(VALUE(LEFT($H157,FIND(" ",$H157)-1)),0))</f>
        <v/>
      </c>
      <c r="BP157" s="54">
        <f>IF(OR($A157="",$I157="",$I157="NON-RATED",N($J157)=0),"",IFERROR(VLOOKUP($I157&amp;"|"&amp;$J157,IBC,2,FALSE),"?"))</f>
        <v/>
      </c>
      <c r="BQ157" s="50">
        <f>IF(NOT(AND($A157&lt;&gt;"",$C157&lt;&gt;"DOOR ONLY")),"",TRIM(IFERROR(VLOOKUP($U157,CODES,2,FALSE),"")&amp;" "&amp;$AZ157&amp;" "&amp;IFERROR(VLOOKUP($Z157,CODES,2,FALSE),"")&amp;" "&amp;IFERROR(VLOOKUP($X157,CODES,2,FALSE),"")&amp;" "&amp;IFERROR(VLOOKUP($S157,CODES,2,FALSE),"")&amp;IF(N($P157)&gt;0," w/TRANSOM "&amp;$P157&amp;CHAR(34),"")&amp;IF(N($Q157)&gt;0," w/SIDELITE "&amp;$Q157&amp;CHAR(34)&amp;" "&amp;IF($R157="","R",$R157),"")&amp;IF($Y157="","  |  "," | "&amp;IFERROR(VLOOKUP($Y157,CODES,2,FALSE),"")&amp;" | ")&amp;IFERROR(VLOOKUP($AC157,CODES,2,FALSE),"")&amp;" "&amp;IFERROR(VLOOKUP($AD157,CODES,2,FALSE),"")&amp;IF(OR($AE157="",$AE157="-"),""," "&amp;$AE157)&amp;IF(OR($AF157="",$AF157="-"),""," "&amp;$AF157)&amp;IF($AB157="Y"," 4"&amp;CHAR(34)&amp;" HEAD","")&amp;" "&amp;IFERROR(VLOOKUP($H157,CODES,2,FALSE),"")))</f>
        <v/>
      </c>
      <c r="BR157" s="50">
        <f>IF(NOT(AND($A157&lt;&gt;"",N($BC157)&gt;0)),"",TRIM(IFERROR(VLOOKUP($AH157,CODES,2,FALSE),"")&amp;IF($AI157=""," "," "&amp;$AI157&amp;"GA ")&amp;$AZ157&amp;" "&amp;IF($AN157="",IFERROR(VLOOKUP($Z157,CODES,2,FALSE),""),IFERROR(VLOOKUP($AN157,CODES,2,FALSE),""))&amp;IF($BC157=2," PAIR","")&amp;" DOOR | "&amp;IF($AL157="","?",$AL157)&amp;" | "&amp;IF($AP157="",IFERROR(VLOOKUP($AC157,CODES,2,FALSE),""),IFERROR(VLOOKUP($AP157,CODES,2,FALSE),""))&amp;" "&amp;IFERROR(VLOOKUP($AQ157,CODES,2,FALSE),"")&amp;IF(OR($AR157="",$AR157="-"),""," SEAM "&amp;$AR157)&amp;IF($AS157="Y"," ASTRAGAL","")&amp;IF($AJ157=""," "," "&amp;$AJ157)&amp;IF($AK157=""," "," "&amp;$AK157)&amp;IF($AO157="",""," "&amp;$AO157)&amp;IF($AM157=""," "," SERIES "&amp;$AM157)&amp;" "&amp;IFERROR(VLOOKUP($H157,CODES,2,FALSE),"")))</f>
        <v/>
      </c>
      <c r="BS157" s="49">
        <f>IF(BV157="","",IF(COUNTIF($BV$6:BV157,BV157)=1,MAX($BS$5:BS156)+1,INDEX($BS$5:BS156,MATCH(BV157,$BV$5:BV156,0))))</f>
        <v/>
      </c>
      <c r="BT157" s="49">
        <f>IF(NOT(AND($A157&lt;&gt;"",$C157&lt;&gt;"DOOR ONLY")),"",MAX($BT$5:BT156)+1)</f>
        <v/>
      </c>
      <c r="BU157" s="49">
        <f>IF(NOT(AND($A157&lt;&gt;"",N($BC157)&gt;0)),"",MAX($BU$5:BU156)+1)</f>
        <v/>
      </c>
      <c r="BV157" s="49">
        <f>IF(OR($A157="",$BA157="",$BB157=""),"",$AZ157&amp;"|"&amp;$O157&amp;"|"&amp;$AL157&amp;"|"&amp;$S157&amp;"|"&amp;$P157&amp;"|"&amp;$Q157&amp;$R157&amp;"|"&amp;$C157&amp;"|"&amp;$AB157)</f>
        <v/>
      </c>
      <c r="BW157" s="49">
        <f>IF($A157="","",IF($B157="","qty, ","")&amp;IF($C157="","scope, ","")&amp;IF(OR($K157="",$M157=""),"size, ","")&amp;IF(AND($A157&lt;&gt;"",$C157&lt;&gt;"DOOR ONLY"),IF($U157="","jamb depth, ","")&amp;IF($X157="","construction, ","")&amp;IF($Y157="","anchor, ","")&amp;IF($S157="","frame type, ",""),"")&amp;IF(AND(N($BC157)&gt;0,$Z157=""),"hand, ","")&amp;IF(N($BC157)&gt;0,IF($AH157="","door material, ","")&amp;IF($AL157="","face type, ","")&amp;IF($AQ157="","lock prep, ","")&amp;IF(AND($AP157="",$AC157=""),"hinge prep, ",""),"")&amp;IF(AND($BO157&gt;0,$AH157="FRP"),"FRP cannot carry a label, ","")&amp;IF(AND($O157="Y",OR($Z157="L",$Z157="R",$Z157="LR",$Z157="RR")),"pair marked but hand is single, ","")&amp;IF(AND($O157&lt;&gt;"Y",OR($Z157="PR",AND(LEN($Z157)&gt;1,ISNUMBER(SEARCH("-",$Z157))))),"pair hand on a single door, ","")&amp;IF(AND(ISNUMBER($BP157),$BO157&lt;N($BP157)),"wall needs a "&amp;$BP157&amp;" min door, ","")&amp;IF(AND($BO157&gt;=180,AND(OR($BL157="FG",$BL157="HG",$BL157="FNV",$BL157="FV"),N($BM157)*N($BN157)&gt;100)),"180 min lite over 100 sq in, ","")&amp;IF(N($BD157)&gt;48,"leaf wider than 4'-0"&amp;CHAR(34)&amp;", ",""))</f>
        <v/>
      </c>
      <c r="BX157" s="49">
        <f>IF($A157="","",IF(AND($BO157&gt;0,AND($A157&lt;&gt;"",$C157&lt;&gt;"DOOR ONLY"),$X157="KD",$E157="EXTERIOR"),"KD label on an exterior opening, ","")&amp;IF(AND($E157="EXTERIOR",OR(AND(AND($A157&lt;&gt;"",$C157&lt;&gt;"DOOR ONLY"),$W157="CR"),AND(N($BC157)&gt;0,$AH157="CR"))),"exterior in CR steel (G9?), ","")&amp;IF(AND(ISNUMBER($BJ157),N($BJ157)&lt;32),"clear width ~"&amp;TEXT($BJ157,"0.0")&amp;CHAR(34)&amp;" under 32"&amp;CHAR(34)&amp;" (ADA), ","")&amp;IF(AND($BO157=90,AND(OR($BL157="FG",$BL157="HG",$BL157="FNV",$BL157="FV"),N($BM157)*N($BN157)&gt;100)),"90 min lite over 100 sq in (stair/exit), ","")&amp;IF(AND($BO157&gt;0,AND($A157&lt;&gt;"",$C157&lt;&gt;"DOOR ONLY"),OR($AF157="",$AF157="-")),"rated: closer reinf.?, ","")&amp;IF(OR($I157="CORRIDOR",$I157="SMOKE BARRIER"),"S label + smoke gasketing, ","")&amp;IF($BP157="?","wall type/hr not in IBC table, ","")&amp;IF(AND(N($BC157)&gt;0,$AU157=""),"no hardware set, ","")&amp;IF(AND($AU157&lt;&gt;"",ISNA(MATCH($AU157,HWSets,0))),"set "&amp;$AU157&amp;" not on Hardware sheet, ","")&amp;IF(N($BE157)&gt;96,"leaf over 8'-0"&amp;CHAR(34)&amp;" - check listing, ",""))</f>
        <v/>
      </c>
    </row>
    <row r="158" ht="15" customHeight="1">
      <c r="A158" s="44" t="n"/>
      <c r="B158" s="45" t="n"/>
      <c r="C158" s="45" t="n"/>
      <c r="D158" s="45" t="n"/>
      <c r="E158" s="45" t="n"/>
      <c r="F158" s="45" t="n"/>
      <c r="G158" s="45" t="n"/>
      <c r="H158" s="45" t="n"/>
      <c r="I158" s="45" t="n"/>
      <c r="J158" s="45" t="n"/>
      <c r="K158" s="45" t="n"/>
      <c r="L158" s="45" t="n"/>
      <c r="M158" s="45" t="n"/>
      <c r="N158" s="45" t="n"/>
      <c r="O158" s="45" t="n"/>
      <c r="P158" s="45" t="n"/>
      <c r="Q158" s="45" t="n"/>
      <c r="R158" s="45" t="n"/>
      <c r="S158" s="46" t="n"/>
      <c r="T158" s="46" t="n"/>
      <c r="U158" s="46" t="n"/>
      <c r="V158" s="46" t="n"/>
      <c r="W158" s="46" t="n"/>
      <c r="X158" s="46" t="n"/>
      <c r="Y158" s="46" t="n"/>
      <c r="Z158" s="46" t="n"/>
      <c r="AA158" s="46" t="n"/>
      <c r="AB158" s="46" t="n"/>
      <c r="AC158" s="46" t="n"/>
      <c r="AD158" s="46" t="n"/>
      <c r="AE158" s="46" t="n"/>
      <c r="AF158" s="46" t="n"/>
      <c r="AG158" s="46" t="n"/>
      <c r="AH158" s="47" t="n"/>
      <c r="AI158" s="47" t="n"/>
      <c r="AJ158" s="47" t="n"/>
      <c r="AK158" s="47" t="n"/>
      <c r="AL158" s="47" t="n"/>
      <c r="AM158" s="47" t="n"/>
      <c r="AN158" s="47" t="n"/>
      <c r="AO158" s="47" t="n"/>
      <c r="AP158" s="47" t="n"/>
      <c r="AQ158" s="47" t="n"/>
      <c r="AR158" s="47" t="n"/>
      <c r="AS158" s="47" t="n"/>
      <c r="AT158" s="47" t="n"/>
      <c r="AU158" s="48" t="n"/>
      <c r="AV158" s="48" t="n"/>
      <c r="AW158" s="49">
        <f>IF($A158="","",IF($BW158&lt;&gt;"","FIX",IF($BX158&lt;&gt;"","CHECK","OK")))</f>
        <v/>
      </c>
      <c r="AX158" s="50">
        <f>IF($A158="","",IF($BW158&lt;&gt;"","FIX: "&amp;LEFT($BW158,LEN($BW158)-2)&amp;IF($BX158&lt;&gt;"","  ·  ",""),"")&amp;IF($BX158&lt;&gt;"","CHECK: "&amp;LEFT($BX158,LEN($BX158)-2),""))</f>
        <v/>
      </c>
      <c r="AY158" s="49">
        <f>IF(OR($A158="",$K158=""),"",$K158&amp;"'-"&amp;N($L158)&amp;CHAR(34)&amp;" x "&amp;$M158&amp;"'-"&amp;N($N158)&amp;CHAR(34))</f>
        <v/>
      </c>
      <c r="AZ158" s="49">
        <f>IF(OR($A158="",$K158=""),"",$K158&amp;N($L158)&amp;$M158&amp;N($N158))</f>
        <v/>
      </c>
      <c r="BA158" s="49">
        <f>IF(OR($A158="",$K158=""),"",$K158*12+N($L158))</f>
        <v/>
      </c>
      <c r="BB158" s="49">
        <f>IF(OR($A158="",$M158=""),"",$M158*12+N($N158))</f>
        <v/>
      </c>
      <c r="BC158" s="49">
        <f>IF($A158="","",IF(OR($C158="FRAME ONLY",$S158="BL"),0,IF($O158="Y",2,1)))</f>
        <v/>
      </c>
      <c r="BD158" s="51">
        <f>IF(OR(N($BC158)=0,$BA158=""),"",($BA158-2*EdgeClr-IF($BC158=2,MeetClr,0))/$BC158)</f>
        <v/>
      </c>
      <c r="BE158" s="51">
        <f>IF(OR(N($BC158)=0,$BB158=""),"",$BB158-HeadClr-Undercut)</f>
        <v/>
      </c>
      <c r="BF158" s="51">
        <f>IF($BA158="","",$BA158+2*FaceW+IF(N($Q158)&gt;0,($Q158+FaceW)*IF($R158="LR",2,1),0))</f>
        <v/>
      </c>
      <c r="BG158" s="51">
        <f>IF($BB158="","",$BB158+IF($AB158="Y",4,FaceW)+IF(N($P158)&gt;0,$P158+FaceW,0)+IF(OR($S158="4F",$S158="BL"),FaceW,0))</f>
        <v/>
      </c>
      <c r="BH158" s="51">
        <f>IF($BF158="","",$BF158+2*ROSide)</f>
        <v/>
      </c>
      <c r="BI158" s="51">
        <f>IF($BG158="","",$BG158+ROTop)</f>
        <v/>
      </c>
      <c r="BJ158" s="52">
        <f>IF(OR(N($BC158)=0,$BA158=""),"",$BA158/$BC158-ClearDeduct)</f>
        <v/>
      </c>
      <c r="BK158" s="49">
        <f>IF(OR(N($BC158)=0,$BE158=""),"",IF(OR($AC158="HGC",$AP158="HGC"),"CONT",IF($BE158&lt;=60,2,IF($BE158&lt;=90,3,IF($BE158&lt;=120,4,5)))))</f>
        <v/>
      </c>
      <c r="BL158" s="49">
        <f>IF(N($BC158)=0,"",IF(OR($AL158="",$AL158="FLUSH"),"FLUSH",IFERROR(LEFT($AL158,FIND("-",$AL158)-1),LEFT($AL158,2))))</f>
        <v/>
      </c>
      <c r="BM158" s="49">
        <f>IF($BL158="","",IFERROR(VALUE(MID($AL158,FIND("-",$AL158)+1,FIND(CHAR(34)&amp;"x",$AL158)-FIND("-",$AL158)-1)),0))</f>
        <v/>
      </c>
      <c r="BN158" s="49">
        <f>IF($BL158="","",IFERROR(VALUE(MID($AL158,FIND(CHAR(34)&amp;"x",$AL158)+2,FIND(CHAR(34),$AL158,FIND(CHAR(34)&amp;"x",$AL158)+2)-FIND(CHAR(34)&amp;"x",$AL158)-2)),0))</f>
        <v/>
      </c>
      <c r="BO158" s="53">
        <f>IF(OR($A158="",$H158="",$H158="NO LAB"),0,IFERROR(VALUE(LEFT($H158,FIND(" ",$H158)-1)),0))</f>
        <v/>
      </c>
      <c r="BP158" s="54">
        <f>IF(OR($A158="",$I158="",$I158="NON-RATED",N($J158)=0),"",IFERROR(VLOOKUP($I158&amp;"|"&amp;$J158,IBC,2,FALSE),"?"))</f>
        <v/>
      </c>
      <c r="BQ158" s="50">
        <f>IF(NOT(AND($A158&lt;&gt;"",$C158&lt;&gt;"DOOR ONLY")),"",TRIM(IFERROR(VLOOKUP($U158,CODES,2,FALSE),"")&amp;" "&amp;$AZ158&amp;" "&amp;IFERROR(VLOOKUP($Z158,CODES,2,FALSE),"")&amp;" "&amp;IFERROR(VLOOKUP($X158,CODES,2,FALSE),"")&amp;" "&amp;IFERROR(VLOOKUP($S158,CODES,2,FALSE),"")&amp;IF(N($P158)&gt;0," w/TRANSOM "&amp;$P158&amp;CHAR(34),"")&amp;IF(N($Q158)&gt;0," w/SIDELITE "&amp;$Q158&amp;CHAR(34)&amp;" "&amp;IF($R158="","R",$R158),"")&amp;IF($Y158="","  |  "," | "&amp;IFERROR(VLOOKUP($Y158,CODES,2,FALSE),"")&amp;" | ")&amp;IFERROR(VLOOKUP($AC158,CODES,2,FALSE),"")&amp;" "&amp;IFERROR(VLOOKUP($AD158,CODES,2,FALSE),"")&amp;IF(OR($AE158="",$AE158="-"),""," "&amp;$AE158)&amp;IF(OR($AF158="",$AF158="-"),""," "&amp;$AF158)&amp;IF($AB158="Y"," 4"&amp;CHAR(34)&amp;" HEAD","")&amp;" "&amp;IFERROR(VLOOKUP($H158,CODES,2,FALSE),"")))</f>
        <v/>
      </c>
      <c r="BR158" s="50">
        <f>IF(NOT(AND($A158&lt;&gt;"",N($BC158)&gt;0)),"",TRIM(IFERROR(VLOOKUP($AH158,CODES,2,FALSE),"")&amp;IF($AI158=""," "," "&amp;$AI158&amp;"GA ")&amp;$AZ158&amp;" "&amp;IF($AN158="",IFERROR(VLOOKUP($Z158,CODES,2,FALSE),""),IFERROR(VLOOKUP($AN158,CODES,2,FALSE),""))&amp;IF($BC158=2," PAIR","")&amp;" DOOR | "&amp;IF($AL158="","?",$AL158)&amp;" | "&amp;IF($AP158="",IFERROR(VLOOKUP($AC158,CODES,2,FALSE),""),IFERROR(VLOOKUP($AP158,CODES,2,FALSE),""))&amp;" "&amp;IFERROR(VLOOKUP($AQ158,CODES,2,FALSE),"")&amp;IF(OR($AR158="",$AR158="-"),""," SEAM "&amp;$AR158)&amp;IF($AS158="Y"," ASTRAGAL","")&amp;IF($AJ158=""," "," "&amp;$AJ158)&amp;IF($AK158=""," "," "&amp;$AK158)&amp;IF($AO158="",""," "&amp;$AO158)&amp;IF($AM158=""," "," SERIES "&amp;$AM158)&amp;" "&amp;IFERROR(VLOOKUP($H158,CODES,2,FALSE),"")))</f>
        <v/>
      </c>
      <c r="BS158" s="49">
        <f>IF(BV158="","",IF(COUNTIF($BV$6:BV158,BV158)=1,MAX($BS$5:BS157)+1,INDEX($BS$5:BS157,MATCH(BV158,$BV$5:BV157,0))))</f>
        <v/>
      </c>
      <c r="BT158" s="49">
        <f>IF(NOT(AND($A158&lt;&gt;"",$C158&lt;&gt;"DOOR ONLY")),"",MAX($BT$5:BT157)+1)</f>
        <v/>
      </c>
      <c r="BU158" s="49">
        <f>IF(NOT(AND($A158&lt;&gt;"",N($BC158)&gt;0)),"",MAX($BU$5:BU157)+1)</f>
        <v/>
      </c>
      <c r="BV158" s="49">
        <f>IF(OR($A158="",$BA158="",$BB158=""),"",$AZ158&amp;"|"&amp;$O158&amp;"|"&amp;$AL158&amp;"|"&amp;$S158&amp;"|"&amp;$P158&amp;"|"&amp;$Q158&amp;$R158&amp;"|"&amp;$C158&amp;"|"&amp;$AB158)</f>
        <v/>
      </c>
      <c r="BW158" s="49">
        <f>IF($A158="","",IF($B158="","qty, ","")&amp;IF($C158="","scope, ","")&amp;IF(OR($K158="",$M158=""),"size, ","")&amp;IF(AND($A158&lt;&gt;"",$C158&lt;&gt;"DOOR ONLY"),IF($U158="","jamb depth, ","")&amp;IF($X158="","construction, ","")&amp;IF($Y158="","anchor, ","")&amp;IF($S158="","frame type, ",""),"")&amp;IF(AND(N($BC158)&gt;0,$Z158=""),"hand, ","")&amp;IF(N($BC158)&gt;0,IF($AH158="","door material, ","")&amp;IF($AL158="","face type, ","")&amp;IF($AQ158="","lock prep, ","")&amp;IF(AND($AP158="",$AC158=""),"hinge prep, ",""),"")&amp;IF(AND($BO158&gt;0,$AH158="FRP"),"FRP cannot carry a label, ","")&amp;IF(AND($O158="Y",OR($Z158="L",$Z158="R",$Z158="LR",$Z158="RR")),"pair marked but hand is single, ","")&amp;IF(AND($O158&lt;&gt;"Y",OR($Z158="PR",AND(LEN($Z158)&gt;1,ISNUMBER(SEARCH("-",$Z158))))),"pair hand on a single door, ","")&amp;IF(AND(ISNUMBER($BP158),$BO158&lt;N($BP158)),"wall needs a "&amp;$BP158&amp;" min door, ","")&amp;IF(AND($BO158&gt;=180,AND(OR($BL158="FG",$BL158="HG",$BL158="FNV",$BL158="FV"),N($BM158)*N($BN158)&gt;100)),"180 min lite over 100 sq in, ","")&amp;IF(N($BD158)&gt;48,"leaf wider than 4'-0"&amp;CHAR(34)&amp;", ",""))</f>
        <v/>
      </c>
      <c r="BX158" s="49">
        <f>IF($A158="","",IF(AND($BO158&gt;0,AND($A158&lt;&gt;"",$C158&lt;&gt;"DOOR ONLY"),$X158="KD",$E158="EXTERIOR"),"KD label on an exterior opening, ","")&amp;IF(AND($E158="EXTERIOR",OR(AND(AND($A158&lt;&gt;"",$C158&lt;&gt;"DOOR ONLY"),$W158="CR"),AND(N($BC158)&gt;0,$AH158="CR"))),"exterior in CR steel (G9?), ","")&amp;IF(AND(ISNUMBER($BJ158),N($BJ158)&lt;32),"clear width ~"&amp;TEXT($BJ158,"0.0")&amp;CHAR(34)&amp;" under 32"&amp;CHAR(34)&amp;" (ADA), ","")&amp;IF(AND($BO158=90,AND(OR($BL158="FG",$BL158="HG",$BL158="FNV",$BL158="FV"),N($BM158)*N($BN158)&gt;100)),"90 min lite over 100 sq in (stair/exit), ","")&amp;IF(AND($BO158&gt;0,AND($A158&lt;&gt;"",$C158&lt;&gt;"DOOR ONLY"),OR($AF158="",$AF158="-")),"rated: closer reinf.?, ","")&amp;IF(OR($I158="CORRIDOR",$I158="SMOKE BARRIER"),"S label + smoke gasketing, ","")&amp;IF($BP158="?","wall type/hr not in IBC table, ","")&amp;IF(AND(N($BC158)&gt;0,$AU158=""),"no hardware set, ","")&amp;IF(AND($AU158&lt;&gt;"",ISNA(MATCH($AU158,HWSets,0))),"set "&amp;$AU158&amp;" not on Hardware sheet, ","")&amp;IF(N($BE158)&gt;96,"leaf over 8'-0"&amp;CHAR(34)&amp;" - check listing, ",""))</f>
        <v/>
      </c>
    </row>
    <row r="159" ht="15" customHeight="1">
      <c r="A159" s="44" t="n"/>
      <c r="B159" s="45" t="n"/>
      <c r="C159" s="45" t="n"/>
      <c r="D159" s="45" t="n"/>
      <c r="E159" s="45" t="n"/>
      <c r="F159" s="45" t="n"/>
      <c r="G159" s="45" t="n"/>
      <c r="H159" s="45" t="n"/>
      <c r="I159" s="45" t="n"/>
      <c r="J159" s="45" t="n"/>
      <c r="K159" s="45" t="n"/>
      <c r="L159" s="45" t="n"/>
      <c r="M159" s="45" t="n"/>
      <c r="N159" s="45" t="n"/>
      <c r="O159" s="45" t="n"/>
      <c r="P159" s="45" t="n"/>
      <c r="Q159" s="45" t="n"/>
      <c r="R159" s="45" t="n"/>
      <c r="S159" s="46" t="n"/>
      <c r="T159" s="46" t="n"/>
      <c r="U159" s="46" t="n"/>
      <c r="V159" s="46" t="n"/>
      <c r="W159" s="46" t="n"/>
      <c r="X159" s="46" t="n"/>
      <c r="Y159" s="46" t="n"/>
      <c r="Z159" s="46" t="n"/>
      <c r="AA159" s="46" t="n"/>
      <c r="AB159" s="46" t="n"/>
      <c r="AC159" s="46" t="n"/>
      <c r="AD159" s="46" t="n"/>
      <c r="AE159" s="46" t="n"/>
      <c r="AF159" s="46" t="n"/>
      <c r="AG159" s="46" t="n"/>
      <c r="AH159" s="47" t="n"/>
      <c r="AI159" s="47" t="n"/>
      <c r="AJ159" s="47" t="n"/>
      <c r="AK159" s="47" t="n"/>
      <c r="AL159" s="47" t="n"/>
      <c r="AM159" s="47" t="n"/>
      <c r="AN159" s="47" t="n"/>
      <c r="AO159" s="47" t="n"/>
      <c r="AP159" s="47" t="n"/>
      <c r="AQ159" s="47" t="n"/>
      <c r="AR159" s="47" t="n"/>
      <c r="AS159" s="47" t="n"/>
      <c r="AT159" s="47" t="n"/>
      <c r="AU159" s="48" t="n"/>
      <c r="AV159" s="48" t="n"/>
      <c r="AW159" s="49">
        <f>IF($A159="","",IF($BW159&lt;&gt;"","FIX",IF($BX159&lt;&gt;"","CHECK","OK")))</f>
        <v/>
      </c>
      <c r="AX159" s="50">
        <f>IF($A159="","",IF($BW159&lt;&gt;"","FIX: "&amp;LEFT($BW159,LEN($BW159)-2)&amp;IF($BX159&lt;&gt;"","  ·  ",""),"")&amp;IF($BX159&lt;&gt;"","CHECK: "&amp;LEFT($BX159,LEN($BX159)-2),""))</f>
        <v/>
      </c>
      <c r="AY159" s="49">
        <f>IF(OR($A159="",$K159=""),"",$K159&amp;"'-"&amp;N($L159)&amp;CHAR(34)&amp;" x "&amp;$M159&amp;"'-"&amp;N($N159)&amp;CHAR(34))</f>
        <v/>
      </c>
      <c r="AZ159" s="49">
        <f>IF(OR($A159="",$K159=""),"",$K159&amp;N($L159)&amp;$M159&amp;N($N159))</f>
        <v/>
      </c>
      <c r="BA159" s="49">
        <f>IF(OR($A159="",$K159=""),"",$K159*12+N($L159))</f>
        <v/>
      </c>
      <c r="BB159" s="49">
        <f>IF(OR($A159="",$M159=""),"",$M159*12+N($N159))</f>
        <v/>
      </c>
      <c r="BC159" s="49">
        <f>IF($A159="","",IF(OR($C159="FRAME ONLY",$S159="BL"),0,IF($O159="Y",2,1)))</f>
        <v/>
      </c>
      <c r="BD159" s="51">
        <f>IF(OR(N($BC159)=0,$BA159=""),"",($BA159-2*EdgeClr-IF($BC159=2,MeetClr,0))/$BC159)</f>
        <v/>
      </c>
      <c r="BE159" s="51">
        <f>IF(OR(N($BC159)=0,$BB159=""),"",$BB159-HeadClr-Undercut)</f>
        <v/>
      </c>
      <c r="BF159" s="51">
        <f>IF($BA159="","",$BA159+2*FaceW+IF(N($Q159)&gt;0,($Q159+FaceW)*IF($R159="LR",2,1),0))</f>
        <v/>
      </c>
      <c r="BG159" s="51">
        <f>IF($BB159="","",$BB159+IF($AB159="Y",4,FaceW)+IF(N($P159)&gt;0,$P159+FaceW,0)+IF(OR($S159="4F",$S159="BL"),FaceW,0))</f>
        <v/>
      </c>
      <c r="BH159" s="51">
        <f>IF($BF159="","",$BF159+2*ROSide)</f>
        <v/>
      </c>
      <c r="BI159" s="51">
        <f>IF($BG159="","",$BG159+ROTop)</f>
        <v/>
      </c>
      <c r="BJ159" s="52">
        <f>IF(OR(N($BC159)=0,$BA159=""),"",$BA159/$BC159-ClearDeduct)</f>
        <v/>
      </c>
      <c r="BK159" s="49">
        <f>IF(OR(N($BC159)=0,$BE159=""),"",IF(OR($AC159="HGC",$AP159="HGC"),"CONT",IF($BE159&lt;=60,2,IF($BE159&lt;=90,3,IF($BE159&lt;=120,4,5)))))</f>
        <v/>
      </c>
      <c r="BL159" s="49">
        <f>IF(N($BC159)=0,"",IF(OR($AL159="",$AL159="FLUSH"),"FLUSH",IFERROR(LEFT($AL159,FIND("-",$AL159)-1),LEFT($AL159,2))))</f>
        <v/>
      </c>
      <c r="BM159" s="49">
        <f>IF($BL159="","",IFERROR(VALUE(MID($AL159,FIND("-",$AL159)+1,FIND(CHAR(34)&amp;"x",$AL159)-FIND("-",$AL159)-1)),0))</f>
        <v/>
      </c>
      <c r="BN159" s="49">
        <f>IF($BL159="","",IFERROR(VALUE(MID($AL159,FIND(CHAR(34)&amp;"x",$AL159)+2,FIND(CHAR(34),$AL159,FIND(CHAR(34)&amp;"x",$AL159)+2)-FIND(CHAR(34)&amp;"x",$AL159)-2)),0))</f>
        <v/>
      </c>
      <c r="BO159" s="53">
        <f>IF(OR($A159="",$H159="",$H159="NO LAB"),0,IFERROR(VALUE(LEFT($H159,FIND(" ",$H159)-1)),0))</f>
        <v/>
      </c>
      <c r="BP159" s="54">
        <f>IF(OR($A159="",$I159="",$I159="NON-RATED",N($J159)=0),"",IFERROR(VLOOKUP($I159&amp;"|"&amp;$J159,IBC,2,FALSE),"?"))</f>
        <v/>
      </c>
      <c r="BQ159" s="50">
        <f>IF(NOT(AND($A159&lt;&gt;"",$C159&lt;&gt;"DOOR ONLY")),"",TRIM(IFERROR(VLOOKUP($U159,CODES,2,FALSE),"")&amp;" "&amp;$AZ159&amp;" "&amp;IFERROR(VLOOKUP($Z159,CODES,2,FALSE),"")&amp;" "&amp;IFERROR(VLOOKUP($X159,CODES,2,FALSE),"")&amp;" "&amp;IFERROR(VLOOKUP($S159,CODES,2,FALSE),"")&amp;IF(N($P159)&gt;0," w/TRANSOM "&amp;$P159&amp;CHAR(34),"")&amp;IF(N($Q159)&gt;0," w/SIDELITE "&amp;$Q159&amp;CHAR(34)&amp;" "&amp;IF($R159="","R",$R159),"")&amp;IF($Y159="","  |  "," | "&amp;IFERROR(VLOOKUP($Y159,CODES,2,FALSE),"")&amp;" | ")&amp;IFERROR(VLOOKUP($AC159,CODES,2,FALSE),"")&amp;" "&amp;IFERROR(VLOOKUP($AD159,CODES,2,FALSE),"")&amp;IF(OR($AE159="",$AE159="-"),""," "&amp;$AE159)&amp;IF(OR($AF159="",$AF159="-"),""," "&amp;$AF159)&amp;IF($AB159="Y"," 4"&amp;CHAR(34)&amp;" HEAD","")&amp;" "&amp;IFERROR(VLOOKUP($H159,CODES,2,FALSE),"")))</f>
        <v/>
      </c>
      <c r="BR159" s="50">
        <f>IF(NOT(AND($A159&lt;&gt;"",N($BC159)&gt;0)),"",TRIM(IFERROR(VLOOKUP($AH159,CODES,2,FALSE),"")&amp;IF($AI159=""," "," "&amp;$AI159&amp;"GA ")&amp;$AZ159&amp;" "&amp;IF($AN159="",IFERROR(VLOOKUP($Z159,CODES,2,FALSE),""),IFERROR(VLOOKUP($AN159,CODES,2,FALSE),""))&amp;IF($BC159=2," PAIR","")&amp;" DOOR | "&amp;IF($AL159="","?",$AL159)&amp;" | "&amp;IF($AP159="",IFERROR(VLOOKUP($AC159,CODES,2,FALSE),""),IFERROR(VLOOKUP($AP159,CODES,2,FALSE),""))&amp;" "&amp;IFERROR(VLOOKUP($AQ159,CODES,2,FALSE),"")&amp;IF(OR($AR159="",$AR159="-"),""," SEAM "&amp;$AR159)&amp;IF($AS159="Y"," ASTRAGAL","")&amp;IF($AJ159=""," "," "&amp;$AJ159)&amp;IF($AK159=""," "," "&amp;$AK159)&amp;IF($AO159="",""," "&amp;$AO159)&amp;IF($AM159=""," "," SERIES "&amp;$AM159)&amp;" "&amp;IFERROR(VLOOKUP($H159,CODES,2,FALSE),"")))</f>
        <v/>
      </c>
      <c r="BS159" s="49">
        <f>IF(BV159="","",IF(COUNTIF($BV$6:BV159,BV159)=1,MAX($BS$5:BS158)+1,INDEX($BS$5:BS158,MATCH(BV159,$BV$5:BV158,0))))</f>
        <v/>
      </c>
      <c r="BT159" s="49">
        <f>IF(NOT(AND($A159&lt;&gt;"",$C159&lt;&gt;"DOOR ONLY")),"",MAX($BT$5:BT158)+1)</f>
        <v/>
      </c>
      <c r="BU159" s="49">
        <f>IF(NOT(AND($A159&lt;&gt;"",N($BC159)&gt;0)),"",MAX($BU$5:BU158)+1)</f>
        <v/>
      </c>
      <c r="BV159" s="49">
        <f>IF(OR($A159="",$BA159="",$BB159=""),"",$AZ159&amp;"|"&amp;$O159&amp;"|"&amp;$AL159&amp;"|"&amp;$S159&amp;"|"&amp;$P159&amp;"|"&amp;$Q159&amp;$R159&amp;"|"&amp;$C159&amp;"|"&amp;$AB159)</f>
        <v/>
      </c>
      <c r="BW159" s="49">
        <f>IF($A159="","",IF($B159="","qty, ","")&amp;IF($C159="","scope, ","")&amp;IF(OR($K159="",$M159=""),"size, ","")&amp;IF(AND($A159&lt;&gt;"",$C159&lt;&gt;"DOOR ONLY"),IF($U159="","jamb depth, ","")&amp;IF($X159="","construction, ","")&amp;IF($Y159="","anchor, ","")&amp;IF($S159="","frame type, ",""),"")&amp;IF(AND(N($BC159)&gt;0,$Z159=""),"hand, ","")&amp;IF(N($BC159)&gt;0,IF($AH159="","door material, ","")&amp;IF($AL159="","face type, ","")&amp;IF($AQ159="","lock prep, ","")&amp;IF(AND($AP159="",$AC159=""),"hinge prep, ",""),"")&amp;IF(AND($BO159&gt;0,$AH159="FRP"),"FRP cannot carry a label, ","")&amp;IF(AND($O159="Y",OR($Z159="L",$Z159="R",$Z159="LR",$Z159="RR")),"pair marked but hand is single, ","")&amp;IF(AND($O159&lt;&gt;"Y",OR($Z159="PR",AND(LEN($Z159)&gt;1,ISNUMBER(SEARCH("-",$Z159))))),"pair hand on a single door, ","")&amp;IF(AND(ISNUMBER($BP159),$BO159&lt;N($BP159)),"wall needs a "&amp;$BP159&amp;" min door, ","")&amp;IF(AND($BO159&gt;=180,AND(OR($BL159="FG",$BL159="HG",$BL159="FNV",$BL159="FV"),N($BM159)*N($BN159)&gt;100)),"180 min lite over 100 sq in, ","")&amp;IF(N($BD159)&gt;48,"leaf wider than 4'-0"&amp;CHAR(34)&amp;", ",""))</f>
        <v/>
      </c>
      <c r="BX159" s="49">
        <f>IF($A159="","",IF(AND($BO159&gt;0,AND($A159&lt;&gt;"",$C159&lt;&gt;"DOOR ONLY"),$X159="KD",$E159="EXTERIOR"),"KD label on an exterior opening, ","")&amp;IF(AND($E159="EXTERIOR",OR(AND(AND($A159&lt;&gt;"",$C159&lt;&gt;"DOOR ONLY"),$W159="CR"),AND(N($BC159)&gt;0,$AH159="CR"))),"exterior in CR steel (G9?), ","")&amp;IF(AND(ISNUMBER($BJ159),N($BJ159)&lt;32),"clear width ~"&amp;TEXT($BJ159,"0.0")&amp;CHAR(34)&amp;" under 32"&amp;CHAR(34)&amp;" (ADA), ","")&amp;IF(AND($BO159=90,AND(OR($BL159="FG",$BL159="HG",$BL159="FNV",$BL159="FV"),N($BM159)*N($BN159)&gt;100)),"90 min lite over 100 sq in (stair/exit), ","")&amp;IF(AND($BO159&gt;0,AND($A159&lt;&gt;"",$C159&lt;&gt;"DOOR ONLY"),OR($AF159="",$AF159="-")),"rated: closer reinf.?, ","")&amp;IF(OR($I159="CORRIDOR",$I159="SMOKE BARRIER"),"S label + smoke gasketing, ","")&amp;IF($BP159="?","wall type/hr not in IBC table, ","")&amp;IF(AND(N($BC159)&gt;0,$AU159=""),"no hardware set, ","")&amp;IF(AND($AU159&lt;&gt;"",ISNA(MATCH($AU159,HWSets,0))),"set "&amp;$AU159&amp;" not on Hardware sheet, ","")&amp;IF(N($BE159)&gt;96,"leaf over 8'-0"&amp;CHAR(34)&amp;" - check listing, ",""))</f>
        <v/>
      </c>
    </row>
    <row r="160" ht="15" customHeight="1">
      <c r="A160" s="44" t="n"/>
      <c r="B160" s="45" t="n"/>
      <c r="C160" s="45" t="n"/>
      <c r="D160" s="45" t="n"/>
      <c r="E160" s="45" t="n"/>
      <c r="F160" s="45" t="n"/>
      <c r="G160" s="45" t="n"/>
      <c r="H160" s="45" t="n"/>
      <c r="I160" s="45" t="n"/>
      <c r="J160" s="45" t="n"/>
      <c r="K160" s="45" t="n"/>
      <c r="L160" s="45" t="n"/>
      <c r="M160" s="45" t="n"/>
      <c r="N160" s="45" t="n"/>
      <c r="O160" s="45" t="n"/>
      <c r="P160" s="45" t="n"/>
      <c r="Q160" s="45" t="n"/>
      <c r="R160" s="45" t="n"/>
      <c r="S160" s="46" t="n"/>
      <c r="T160" s="46" t="n"/>
      <c r="U160" s="46" t="n"/>
      <c r="V160" s="46" t="n"/>
      <c r="W160" s="46" t="n"/>
      <c r="X160" s="46" t="n"/>
      <c r="Y160" s="46" t="n"/>
      <c r="Z160" s="46" t="n"/>
      <c r="AA160" s="46" t="n"/>
      <c r="AB160" s="46" t="n"/>
      <c r="AC160" s="46" t="n"/>
      <c r="AD160" s="46" t="n"/>
      <c r="AE160" s="46" t="n"/>
      <c r="AF160" s="46" t="n"/>
      <c r="AG160" s="46" t="n"/>
      <c r="AH160" s="47" t="n"/>
      <c r="AI160" s="47" t="n"/>
      <c r="AJ160" s="47" t="n"/>
      <c r="AK160" s="47" t="n"/>
      <c r="AL160" s="47" t="n"/>
      <c r="AM160" s="47" t="n"/>
      <c r="AN160" s="47" t="n"/>
      <c r="AO160" s="47" t="n"/>
      <c r="AP160" s="47" t="n"/>
      <c r="AQ160" s="47" t="n"/>
      <c r="AR160" s="47" t="n"/>
      <c r="AS160" s="47" t="n"/>
      <c r="AT160" s="47" t="n"/>
      <c r="AU160" s="48" t="n"/>
      <c r="AV160" s="48" t="n"/>
      <c r="AW160" s="49">
        <f>IF($A160="","",IF($BW160&lt;&gt;"","FIX",IF($BX160&lt;&gt;"","CHECK","OK")))</f>
        <v/>
      </c>
      <c r="AX160" s="50">
        <f>IF($A160="","",IF($BW160&lt;&gt;"","FIX: "&amp;LEFT($BW160,LEN($BW160)-2)&amp;IF($BX160&lt;&gt;"","  ·  ",""),"")&amp;IF($BX160&lt;&gt;"","CHECK: "&amp;LEFT($BX160,LEN($BX160)-2),""))</f>
        <v/>
      </c>
      <c r="AY160" s="49">
        <f>IF(OR($A160="",$K160=""),"",$K160&amp;"'-"&amp;N($L160)&amp;CHAR(34)&amp;" x "&amp;$M160&amp;"'-"&amp;N($N160)&amp;CHAR(34))</f>
        <v/>
      </c>
      <c r="AZ160" s="49">
        <f>IF(OR($A160="",$K160=""),"",$K160&amp;N($L160)&amp;$M160&amp;N($N160))</f>
        <v/>
      </c>
      <c r="BA160" s="49">
        <f>IF(OR($A160="",$K160=""),"",$K160*12+N($L160))</f>
        <v/>
      </c>
      <c r="BB160" s="49">
        <f>IF(OR($A160="",$M160=""),"",$M160*12+N($N160))</f>
        <v/>
      </c>
      <c r="BC160" s="49">
        <f>IF($A160="","",IF(OR($C160="FRAME ONLY",$S160="BL"),0,IF($O160="Y",2,1)))</f>
        <v/>
      </c>
      <c r="BD160" s="51">
        <f>IF(OR(N($BC160)=0,$BA160=""),"",($BA160-2*EdgeClr-IF($BC160=2,MeetClr,0))/$BC160)</f>
        <v/>
      </c>
      <c r="BE160" s="51">
        <f>IF(OR(N($BC160)=0,$BB160=""),"",$BB160-HeadClr-Undercut)</f>
        <v/>
      </c>
      <c r="BF160" s="51">
        <f>IF($BA160="","",$BA160+2*FaceW+IF(N($Q160)&gt;0,($Q160+FaceW)*IF($R160="LR",2,1),0))</f>
        <v/>
      </c>
      <c r="BG160" s="51">
        <f>IF($BB160="","",$BB160+IF($AB160="Y",4,FaceW)+IF(N($P160)&gt;0,$P160+FaceW,0)+IF(OR($S160="4F",$S160="BL"),FaceW,0))</f>
        <v/>
      </c>
      <c r="BH160" s="51">
        <f>IF($BF160="","",$BF160+2*ROSide)</f>
        <v/>
      </c>
      <c r="BI160" s="51">
        <f>IF($BG160="","",$BG160+ROTop)</f>
        <v/>
      </c>
      <c r="BJ160" s="52">
        <f>IF(OR(N($BC160)=0,$BA160=""),"",$BA160/$BC160-ClearDeduct)</f>
        <v/>
      </c>
      <c r="BK160" s="49">
        <f>IF(OR(N($BC160)=0,$BE160=""),"",IF(OR($AC160="HGC",$AP160="HGC"),"CONT",IF($BE160&lt;=60,2,IF($BE160&lt;=90,3,IF($BE160&lt;=120,4,5)))))</f>
        <v/>
      </c>
      <c r="BL160" s="49">
        <f>IF(N($BC160)=0,"",IF(OR($AL160="",$AL160="FLUSH"),"FLUSH",IFERROR(LEFT($AL160,FIND("-",$AL160)-1),LEFT($AL160,2))))</f>
        <v/>
      </c>
      <c r="BM160" s="49">
        <f>IF($BL160="","",IFERROR(VALUE(MID($AL160,FIND("-",$AL160)+1,FIND(CHAR(34)&amp;"x",$AL160)-FIND("-",$AL160)-1)),0))</f>
        <v/>
      </c>
      <c r="BN160" s="49">
        <f>IF($BL160="","",IFERROR(VALUE(MID($AL160,FIND(CHAR(34)&amp;"x",$AL160)+2,FIND(CHAR(34),$AL160,FIND(CHAR(34)&amp;"x",$AL160)+2)-FIND(CHAR(34)&amp;"x",$AL160)-2)),0))</f>
        <v/>
      </c>
      <c r="BO160" s="53">
        <f>IF(OR($A160="",$H160="",$H160="NO LAB"),0,IFERROR(VALUE(LEFT($H160,FIND(" ",$H160)-1)),0))</f>
        <v/>
      </c>
      <c r="BP160" s="54">
        <f>IF(OR($A160="",$I160="",$I160="NON-RATED",N($J160)=0),"",IFERROR(VLOOKUP($I160&amp;"|"&amp;$J160,IBC,2,FALSE),"?"))</f>
        <v/>
      </c>
      <c r="BQ160" s="50">
        <f>IF(NOT(AND($A160&lt;&gt;"",$C160&lt;&gt;"DOOR ONLY")),"",TRIM(IFERROR(VLOOKUP($U160,CODES,2,FALSE),"")&amp;" "&amp;$AZ160&amp;" "&amp;IFERROR(VLOOKUP($Z160,CODES,2,FALSE),"")&amp;" "&amp;IFERROR(VLOOKUP($X160,CODES,2,FALSE),"")&amp;" "&amp;IFERROR(VLOOKUP($S160,CODES,2,FALSE),"")&amp;IF(N($P160)&gt;0," w/TRANSOM "&amp;$P160&amp;CHAR(34),"")&amp;IF(N($Q160)&gt;0," w/SIDELITE "&amp;$Q160&amp;CHAR(34)&amp;" "&amp;IF($R160="","R",$R160),"")&amp;IF($Y160="","  |  "," | "&amp;IFERROR(VLOOKUP($Y160,CODES,2,FALSE),"")&amp;" | ")&amp;IFERROR(VLOOKUP($AC160,CODES,2,FALSE),"")&amp;" "&amp;IFERROR(VLOOKUP($AD160,CODES,2,FALSE),"")&amp;IF(OR($AE160="",$AE160="-"),""," "&amp;$AE160)&amp;IF(OR($AF160="",$AF160="-"),""," "&amp;$AF160)&amp;IF($AB160="Y"," 4"&amp;CHAR(34)&amp;" HEAD","")&amp;" "&amp;IFERROR(VLOOKUP($H160,CODES,2,FALSE),"")))</f>
        <v/>
      </c>
      <c r="BR160" s="50">
        <f>IF(NOT(AND($A160&lt;&gt;"",N($BC160)&gt;0)),"",TRIM(IFERROR(VLOOKUP($AH160,CODES,2,FALSE),"")&amp;IF($AI160=""," "," "&amp;$AI160&amp;"GA ")&amp;$AZ160&amp;" "&amp;IF($AN160="",IFERROR(VLOOKUP($Z160,CODES,2,FALSE),""),IFERROR(VLOOKUP($AN160,CODES,2,FALSE),""))&amp;IF($BC160=2," PAIR","")&amp;" DOOR | "&amp;IF($AL160="","?",$AL160)&amp;" | "&amp;IF($AP160="",IFERROR(VLOOKUP($AC160,CODES,2,FALSE),""),IFERROR(VLOOKUP($AP160,CODES,2,FALSE),""))&amp;" "&amp;IFERROR(VLOOKUP($AQ160,CODES,2,FALSE),"")&amp;IF(OR($AR160="",$AR160="-"),""," SEAM "&amp;$AR160)&amp;IF($AS160="Y"," ASTRAGAL","")&amp;IF($AJ160=""," "," "&amp;$AJ160)&amp;IF($AK160=""," "," "&amp;$AK160)&amp;IF($AO160="",""," "&amp;$AO160)&amp;IF($AM160=""," "," SERIES "&amp;$AM160)&amp;" "&amp;IFERROR(VLOOKUP($H160,CODES,2,FALSE),"")))</f>
        <v/>
      </c>
      <c r="BS160" s="49">
        <f>IF(BV160="","",IF(COUNTIF($BV$6:BV160,BV160)=1,MAX($BS$5:BS159)+1,INDEX($BS$5:BS159,MATCH(BV160,$BV$5:BV159,0))))</f>
        <v/>
      </c>
      <c r="BT160" s="49">
        <f>IF(NOT(AND($A160&lt;&gt;"",$C160&lt;&gt;"DOOR ONLY")),"",MAX($BT$5:BT159)+1)</f>
        <v/>
      </c>
      <c r="BU160" s="49">
        <f>IF(NOT(AND($A160&lt;&gt;"",N($BC160)&gt;0)),"",MAX($BU$5:BU159)+1)</f>
        <v/>
      </c>
      <c r="BV160" s="49">
        <f>IF(OR($A160="",$BA160="",$BB160=""),"",$AZ160&amp;"|"&amp;$O160&amp;"|"&amp;$AL160&amp;"|"&amp;$S160&amp;"|"&amp;$P160&amp;"|"&amp;$Q160&amp;$R160&amp;"|"&amp;$C160&amp;"|"&amp;$AB160)</f>
        <v/>
      </c>
      <c r="BW160" s="49">
        <f>IF($A160="","",IF($B160="","qty, ","")&amp;IF($C160="","scope, ","")&amp;IF(OR($K160="",$M160=""),"size, ","")&amp;IF(AND($A160&lt;&gt;"",$C160&lt;&gt;"DOOR ONLY"),IF($U160="","jamb depth, ","")&amp;IF($X160="","construction, ","")&amp;IF($Y160="","anchor, ","")&amp;IF($S160="","frame type, ",""),"")&amp;IF(AND(N($BC160)&gt;0,$Z160=""),"hand, ","")&amp;IF(N($BC160)&gt;0,IF($AH160="","door material, ","")&amp;IF($AL160="","face type, ","")&amp;IF($AQ160="","lock prep, ","")&amp;IF(AND($AP160="",$AC160=""),"hinge prep, ",""),"")&amp;IF(AND($BO160&gt;0,$AH160="FRP"),"FRP cannot carry a label, ","")&amp;IF(AND($O160="Y",OR($Z160="L",$Z160="R",$Z160="LR",$Z160="RR")),"pair marked but hand is single, ","")&amp;IF(AND($O160&lt;&gt;"Y",OR($Z160="PR",AND(LEN($Z160)&gt;1,ISNUMBER(SEARCH("-",$Z160))))),"pair hand on a single door, ","")&amp;IF(AND(ISNUMBER($BP160),$BO160&lt;N($BP160)),"wall needs a "&amp;$BP160&amp;" min door, ","")&amp;IF(AND($BO160&gt;=180,AND(OR($BL160="FG",$BL160="HG",$BL160="FNV",$BL160="FV"),N($BM160)*N($BN160)&gt;100)),"180 min lite over 100 sq in, ","")&amp;IF(N($BD160)&gt;48,"leaf wider than 4'-0"&amp;CHAR(34)&amp;", ",""))</f>
        <v/>
      </c>
      <c r="BX160" s="49">
        <f>IF($A160="","",IF(AND($BO160&gt;0,AND($A160&lt;&gt;"",$C160&lt;&gt;"DOOR ONLY"),$X160="KD",$E160="EXTERIOR"),"KD label on an exterior opening, ","")&amp;IF(AND($E160="EXTERIOR",OR(AND(AND($A160&lt;&gt;"",$C160&lt;&gt;"DOOR ONLY"),$W160="CR"),AND(N($BC160)&gt;0,$AH160="CR"))),"exterior in CR steel (G9?), ","")&amp;IF(AND(ISNUMBER($BJ160),N($BJ160)&lt;32),"clear width ~"&amp;TEXT($BJ160,"0.0")&amp;CHAR(34)&amp;" under 32"&amp;CHAR(34)&amp;" (ADA), ","")&amp;IF(AND($BO160=90,AND(OR($BL160="FG",$BL160="HG",$BL160="FNV",$BL160="FV"),N($BM160)*N($BN160)&gt;100)),"90 min lite over 100 sq in (stair/exit), ","")&amp;IF(AND($BO160&gt;0,AND($A160&lt;&gt;"",$C160&lt;&gt;"DOOR ONLY"),OR($AF160="",$AF160="-")),"rated: closer reinf.?, ","")&amp;IF(OR($I160="CORRIDOR",$I160="SMOKE BARRIER"),"S label + smoke gasketing, ","")&amp;IF($BP160="?","wall type/hr not in IBC table, ","")&amp;IF(AND(N($BC160)&gt;0,$AU160=""),"no hardware set, ","")&amp;IF(AND($AU160&lt;&gt;"",ISNA(MATCH($AU160,HWSets,0))),"set "&amp;$AU160&amp;" not on Hardware sheet, ","")&amp;IF(N($BE160)&gt;96,"leaf over 8'-0"&amp;CHAR(34)&amp;" - check listing, ",""))</f>
        <v/>
      </c>
    </row>
    <row r="161" ht="15" customHeight="1">
      <c r="A161" s="44" t="n"/>
      <c r="B161" s="45" t="n"/>
      <c r="C161" s="45" t="n"/>
      <c r="D161" s="45" t="n"/>
      <c r="E161" s="45" t="n"/>
      <c r="F161" s="45" t="n"/>
      <c r="G161" s="45" t="n"/>
      <c r="H161" s="45" t="n"/>
      <c r="I161" s="45" t="n"/>
      <c r="J161" s="45" t="n"/>
      <c r="K161" s="45" t="n"/>
      <c r="L161" s="45" t="n"/>
      <c r="M161" s="45" t="n"/>
      <c r="N161" s="45" t="n"/>
      <c r="O161" s="45" t="n"/>
      <c r="P161" s="45" t="n"/>
      <c r="Q161" s="45" t="n"/>
      <c r="R161" s="45" t="n"/>
      <c r="S161" s="46" t="n"/>
      <c r="T161" s="46" t="n"/>
      <c r="U161" s="46" t="n"/>
      <c r="V161" s="46" t="n"/>
      <c r="W161" s="46" t="n"/>
      <c r="X161" s="46" t="n"/>
      <c r="Y161" s="46" t="n"/>
      <c r="Z161" s="46" t="n"/>
      <c r="AA161" s="46" t="n"/>
      <c r="AB161" s="46" t="n"/>
      <c r="AC161" s="46" t="n"/>
      <c r="AD161" s="46" t="n"/>
      <c r="AE161" s="46" t="n"/>
      <c r="AF161" s="46" t="n"/>
      <c r="AG161" s="46" t="n"/>
      <c r="AH161" s="47" t="n"/>
      <c r="AI161" s="47" t="n"/>
      <c r="AJ161" s="47" t="n"/>
      <c r="AK161" s="47" t="n"/>
      <c r="AL161" s="47" t="n"/>
      <c r="AM161" s="47" t="n"/>
      <c r="AN161" s="47" t="n"/>
      <c r="AO161" s="47" t="n"/>
      <c r="AP161" s="47" t="n"/>
      <c r="AQ161" s="47" t="n"/>
      <c r="AR161" s="47" t="n"/>
      <c r="AS161" s="47" t="n"/>
      <c r="AT161" s="47" t="n"/>
      <c r="AU161" s="48" t="n"/>
      <c r="AV161" s="48" t="n"/>
      <c r="AW161" s="49">
        <f>IF($A161="","",IF($BW161&lt;&gt;"","FIX",IF($BX161&lt;&gt;"","CHECK","OK")))</f>
        <v/>
      </c>
      <c r="AX161" s="50">
        <f>IF($A161="","",IF($BW161&lt;&gt;"","FIX: "&amp;LEFT($BW161,LEN($BW161)-2)&amp;IF($BX161&lt;&gt;"","  ·  ",""),"")&amp;IF($BX161&lt;&gt;"","CHECK: "&amp;LEFT($BX161,LEN($BX161)-2),""))</f>
        <v/>
      </c>
      <c r="AY161" s="49">
        <f>IF(OR($A161="",$K161=""),"",$K161&amp;"'-"&amp;N($L161)&amp;CHAR(34)&amp;" x "&amp;$M161&amp;"'-"&amp;N($N161)&amp;CHAR(34))</f>
        <v/>
      </c>
      <c r="AZ161" s="49">
        <f>IF(OR($A161="",$K161=""),"",$K161&amp;N($L161)&amp;$M161&amp;N($N161))</f>
        <v/>
      </c>
      <c r="BA161" s="49">
        <f>IF(OR($A161="",$K161=""),"",$K161*12+N($L161))</f>
        <v/>
      </c>
      <c r="BB161" s="49">
        <f>IF(OR($A161="",$M161=""),"",$M161*12+N($N161))</f>
        <v/>
      </c>
      <c r="BC161" s="49">
        <f>IF($A161="","",IF(OR($C161="FRAME ONLY",$S161="BL"),0,IF($O161="Y",2,1)))</f>
        <v/>
      </c>
      <c r="BD161" s="51">
        <f>IF(OR(N($BC161)=0,$BA161=""),"",($BA161-2*EdgeClr-IF($BC161=2,MeetClr,0))/$BC161)</f>
        <v/>
      </c>
      <c r="BE161" s="51">
        <f>IF(OR(N($BC161)=0,$BB161=""),"",$BB161-HeadClr-Undercut)</f>
        <v/>
      </c>
      <c r="BF161" s="51">
        <f>IF($BA161="","",$BA161+2*FaceW+IF(N($Q161)&gt;0,($Q161+FaceW)*IF($R161="LR",2,1),0))</f>
        <v/>
      </c>
      <c r="BG161" s="51">
        <f>IF($BB161="","",$BB161+IF($AB161="Y",4,FaceW)+IF(N($P161)&gt;0,$P161+FaceW,0)+IF(OR($S161="4F",$S161="BL"),FaceW,0))</f>
        <v/>
      </c>
      <c r="BH161" s="51">
        <f>IF($BF161="","",$BF161+2*ROSide)</f>
        <v/>
      </c>
      <c r="BI161" s="51">
        <f>IF($BG161="","",$BG161+ROTop)</f>
        <v/>
      </c>
      <c r="BJ161" s="52">
        <f>IF(OR(N($BC161)=0,$BA161=""),"",$BA161/$BC161-ClearDeduct)</f>
        <v/>
      </c>
      <c r="BK161" s="49">
        <f>IF(OR(N($BC161)=0,$BE161=""),"",IF(OR($AC161="HGC",$AP161="HGC"),"CONT",IF($BE161&lt;=60,2,IF($BE161&lt;=90,3,IF($BE161&lt;=120,4,5)))))</f>
        <v/>
      </c>
      <c r="BL161" s="49">
        <f>IF(N($BC161)=0,"",IF(OR($AL161="",$AL161="FLUSH"),"FLUSH",IFERROR(LEFT($AL161,FIND("-",$AL161)-1),LEFT($AL161,2))))</f>
        <v/>
      </c>
      <c r="BM161" s="49">
        <f>IF($BL161="","",IFERROR(VALUE(MID($AL161,FIND("-",$AL161)+1,FIND(CHAR(34)&amp;"x",$AL161)-FIND("-",$AL161)-1)),0))</f>
        <v/>
      </c>
      <c r="BN161" s="49">
        <f>IF($BL161="","",IFERROR(VALUE(MID($AL161,FIND(CHAR(34)&amp;"x",$AL161)+2,FIND(CHAR(34),$AL161,FIND(CHAR(34)&amp;"x",$AL161)+2)-FIND(CHAR(34)&amp;"x",$AL161)-2)),0))</f>
        <v/>
      </c>
      <c r="BO161" s="53">
        <f>IF(OR($A161="",$H161="",$H161="NO LAB"),0,IFERROR(VALUE(LEFT($H161,FIND(" ",$H161)-1)),0))</f>
        <v/>
      </c>
      <c r="BP161" s="54">
        <f>IF(OR($A161="",$I161="",$I161="NON-RATED",N($J161)=0),"",IFERROR(VLOOKUP($I161&amp;"|"&amp;$J161,IBC,2,FALSE),"?"))</f>
        <v/>
      </c>
      <c r="BQ161" s="50">
        <f>IF(NOT(AND($A161&lt;&gt;"",$C161&lt;&gt;"DOOR ONLY")),"",TRIM(IFERROR(VLOOKUP($U161,CODES,2,FALSE),"")&amp;" "&amp;$AZ161&amp;" "&amp;IFERROR(VLOOKUP($Z161,CODES,2,FALSE),"")&amp;" "&amp;IFERROR(VLOOKUP($X161,CODES,2,FALSE),"")&amp;" "&amp;IFERROR(VLOOKUP($S161,CODES,2,FALSE),"")&amp;IF(N($P161)&gt;0," w/TRANSOM "&amp;$P161&amp;CHAR(34),"")&amp;IF(N($Q161)&gt;0," w/SIDELITE "&amp;$Q161&amp;CHAR(34)&amp;" "&amp;IF($R161="","R",$R161),"")&amp;IF($Y161="","  |  "," | "&amp;IFERROR(VLOOKUP($Y161,CODES,2,FALSE),"")&amp;" | ")&amp;IFERROR(VLOOKUP($AC161,CODES,2,FALSE),"")&amp;" "&amp;IFERROR(VLOOKUP($AD161,CODES,2,FALSE),"")&amp;IF(OR($AE161="",$AE161="-"),""," "&amp;$AE161)&amp;IF(OR($AF161="",$AF161="-"),""," "&amp;$AF161)&amp;IF($AB161="Y"," 4"&amp;CHAR(34)&amp;" HEAD","")&amp;" "&amp;IFERROR(VLOOKUP($H161,CODES,2,FALSE),"")))</f>
        <v/>
      </c>
      <c r="BR161" s="50">
        <f>IF(NOT(AND($A161&lt;&gt;"",N($BC161)&gt;0)),"",TRIM(IFERROR(VLOOKUP($AH161,CODES,2,FALSE),"")&amp;IF($AI161=""," "," "&amp;$AI161&amp;"GA ")&amp;$AZ161&amp;" "&amp;IF($AN161="",IFERROR(VLOOKUP($Z161,CODES,2,FALSE),""),IFERROR(VLOOKUP($AN161,CODES,2,FALSE),""))&amp;IF($BC161=2," PAIR","")&amp;" DOOR | "&amp;IF($AL161="","?",$AL161)&amp;" | "&amp;IF($AP161="",IFERROR(VLOOKUP($AC161,CODES,2,FALSE),""),IFERROR(VLOOKUP($AP161,CODES,2,FALSE),""))&amp;" "&amp;IFERROR(VLOOKUP($AQ161,CODES,2,FALSE),"")&amp;IF(OR($AR161="",$AR161="-"),""," SEAM "&amp;$AR161)&amp;IF($AS161="Y"," ASTRAGAL","")&amp;IF($AJ161=""," "," "&amp;$AJ161)&amp;IF($AK161=""," "," "&amp;$AK161)&amp;IF($AO161="",""," "&amp;$AO161)&amp;IF($AM161=""," "," SERIES "&amp;$AM161)&amp;" "&amp;IFERROR(VLOOKUP($H161,CODES,2,FALSE),"")))</f>
        <v/>
      </c>
      <c r="BS161" s="49">
        <f>IF(BV161="","",IF(COUNTIF($BV$6:BV161,BV161)=1,MAX($BS$5:BS160)+1,INDEX($BS$5:BS160,MATCH(BV161,$BV$5:BV160,0))))</f>
        <v/>
      </c>
      <c r="BT161" s="49">
        <f>IF(NOT(AND($A161&lt;&gt;"",$C161&lt;&gt;"DOOR ONLY")),"",MAX($BT$5:BT160)+1)</f>
        <v/>
      </c>
      <c r="BU161" s="49">
        <f>IF(NOT(AND($A161&lt;&gt;"",N($BC161)&gt;0)),"",MAX($BU$5:BU160)+1)</f>
        <v/>
      </c>
      <c r="BV161" s="49">
        <f>IF(OR($A161="",$BA161="",$BB161=""),"",$AZ161&amp;"|"&amp;$O161&amp;"|"&amp;$AL161&amp;"|"&amp;$S161&amp;"|"&amp;$P161&amp;"|"&amp;$Q161&amp;$R161&amp;"|"&amp;$C161&amp;"|"&amp;$AB161)</f>
        <v/>
      </c>
      <c r="BW161" s="49">
        <f>IF($A161="","",IF($B161="","qty, ","")&amp;IF($C161="","scope, ","")&amp;IF(OR($K161="",$M161=""),"size, ","")&amp;IF(AND($A161&lt;&gt;"",$C161&lt;&gt;"DOOR ONLY"),IF($U161="","jamb depth, ","")&amp;IF($X161="","construction, ","")&amp;IF($Y161="","anchor, ","")&amp;IF($S161="","frame type, ",""),"")&amp;IF(AND(N($BC161)&gt;0,$Z161=""),"hand, ","")&amp;IF(N($BC161)&gt;0,IF($AH161="","door material, ","")&amp;IF($AL161="","face type, ","")&amp;IF($AQ161="","lock prep, ","")&amp;IF(AND($AP161="",$AC161=""),"hinge prep, ",""),"")&amp;IF(AND($BO161&gt;0,$AH161="FRP"),"FRP cannot carry a label, ","")&amp;IF(AND($O161="Y",OR($Z161="L",$Z161="R",$Z161="LR",$Z161="RR")),"pair marked but hand is single, ","")&amp;IF(AND($O161&lt;&gt;"Y",OR($Z161="PR",AND(LEN($Z161)&gt;1,ISNUMBER(SEARCH("-",$Z161))))),"pair hand on a single door, ","")&amp;IF(AND(ISNUMBER($BP161),$BO161&lt;N($BP161)),"wall needs a "&amp;$BP161&amp;" min door, ","")&amp;IF(AND($BO161&gt;=180,AND(OR($BL161="FG",$BL161="HG",$BL161="FNV",$BL161="FV"),N($BM161)*N($BN161)&gt;100)),"180 min lite over 100 sq in, ","")&amp;IF(N($BD161)&gt;48,"leaf wider than 4'-0"&amp;CHAR(34)&amp;", ",""))</f>
        <v/>
      </c>
      <c r="BX161" s="49">
        <f>IF($A161="","",IF(AND($BO161&gt;0,AND($A161&lt;&gt;"",$C161&lt;&gt;"DOOR ONLY"),$X161="KD",$E161="EXTERIOR"),"KD label on an exterior opening, ","")&amp;IF(AND($E161="EXTERIOR",OR(AND(AND($A161&lt;&gt;"",$C161&lt;&gt;"DOOR ONLY"),$W161="CR"),AND(N($BC161)&gt;0,$AH161="CR"))),"exterior in CR steel (G9?), ","")&amp;IF(AND(ISNUMBER($BJ161),N($BJ161)&lt;32),"clear width ~"&amp;TEXT($BJ161,"0.0")&amp;CHAR(34)&amp;" under 32"&amp;CHAR(34)&amp;" (ADA), ","")&amp;IF(AND($BO161=90,AND(OR($BL161="FG",$BL161="HG",$BL161="FNV",$BL161="FV"),N($BM161)*N($BN161)&gt;100)),"90 min lite over 100 sq in (stair/exit), ","")&amp;IF(AND($BO161&gt;0,AND($A161&lt;&gt;"",$C161&lt;&gt;"DOOR ONLY"),OR($AF161="",$AF161="-")),"rated: closer reinf.?, ","")&amp;IF(OR($I161="CORRIDOR",$I161="SMOKE BARRIER"),"S label + smoke gasketing, ","")&amp;IF($BP161="?","wall type/hr not in IBC table, ","")&amp;IF(AND(N($BC161)&gt;0,$AU161=""),"no hardware set, ","")&amp;IF(AND($AU161&lt;&gt;"",ISNA(MATCH($AU161,HWSets,0))),"set "&amp;$AU161&amp;" not on Hardware sheet, ","")&amp;IF(N($BE161)&gt;96,"leaf over 8'-0"&amp;CHAR(34)&amp;" - check listing, ",""))</f>
        <v/>
      </c>
    </row>
    <row r="162" ht="15" customHeight="1">
      <c r="A162" s="44" t="n"/>
      <c r="B162" s="45" t="n"/>
      <c r="C162" s="45" t="n"/>
      <c r="D162" s="45" t="n"/>
      <c r="E162" s="45" t="n"/>
      <c r="F162" s="45" t="n"/>
      <c r="G162" s="45" t="n"/>
      <c r="H162" s="45" t="n"/>
      <c r="I162" s="45" t="n"/>
      <c r="J162" s="45" t="n"/>
      <c r="K162" s="45" t="n"/>
      <c r="L162" s="45" t="n"/>
      <c r="M162" s="45" t="n"/>
      <c r="N162" s="45" t="n"/>
      <c r="O162" s="45" t="n"/>
      <c r="P162" s="45" t="n"/>
      <c r="Q162" s="45" t="n"/>
      <c r="R162" s="45" t="n"/>
      <c r="S162" s="46" t="n"/>
      <c r="T162" s="46" t="n"/>
      <c r="U162" s="46" t="n"/>
      <c r="V162" s="46" t="n"/>
      <c r="W162" s="46" t="n"/>
      <c r="X162" s="46" t="n"/>
      <c r="Y162" s="46" t="n"/>
      <c r="Z162" s="46" t="n"/>
      <c r="AA162" s="46" t="n"/>
      <c r="AB162" s="46" t="n"/>
      <c r="AC162" s="46" t="n"/>
      <c r="AD162" s="46" t="n"/>
      <c r="AE162" s="46" t="n"/>
      <c r="AF162" s="46" t="n"/>
      <c r="AG162" s="46" t="n"/>
      <c r="AH162" s="47" t="n"/>
      <c r="AI162" s="47" t="n"/>
      <c r="AJ162" s="47" t="n"/>
      <c r="AK162" s="47" t="n"/>
      <c r="AL162" s="47" t="n"/>
      <c r="AM162" s="47" t="n"/>
      <c r="AN162" s="47" t="n"/>
      <c r="AO162" s="47" t="n"/>
      <c r="AP162" s="47" t="n"/>
      <c r="AQ162" s="47" t="n"/>
      <c r="AR162" s="47" t="n"/>
      <c r="AS162" s="47" t="n"/>
      <c r="AT162" s="47" t="n"/>
      <c r="AU162" s="48" t="n"/>
      <c r="AV162" s="48" t="n"/>
      <c r="AW162" s="49">
        <f>IF($A162="","",IF($BW162&lt;&gt;"","FIX",IF($BX162&lt;&gt;"","CHECK","OK")))</f>
        <v/>
      </c>
      <c r="AX162" s="50">
        <f>IF($A162="","",IF($BW162&lt;&gt;"","FIX: "&amp;LEFT($BW162,LEN($BW162)-2)&amp;IF($BX162&lt;&gt;"","  ·  ",""),"")&amp;IF($BX162&lt;&gt;"","CHECK: "&amp;LEFT($BX162,LEN($BX162)-2),""))</f>
        <v/>
      </c>
      <c r="AY162" s="49">
        <f>IF(OR($A162="",$K162=""),"",$K162&amp;"'-"&amp;N($L162)&amp;CHAR(34)&amp;" x "&amp;$M162&amp;"'-"&amp;N($N162)&amp;CHAR(34))</f>
        <v/>
      </c>
      <c r="AZ162" s="49">
        <f>IF(OR($A162="",$K162=""),"",$K162&amp;N($L162)&amp;$M162&amp;N($N162))</f>
        <v/>
      </c>
      <c r="BA162" s="49">
        <f>IF(OR($A162="",$K162=""),"",$K162*12+N($L162))</f>
        <v/>
      </c>
      <c r="BB162" s="49">
        <f>IF(OR($A162="",$M162=""),"",$M162*12+N($N162))</f>
        <v/>
      </c>
      <c r="BC162" s="49">
        <f>IF($A162="","",IF(OR($C162="FRAME ONLY",$S162="BL"),0,IF($O162="Y",2,1)))</f>
        <v/>
      </c>
      <c r="BD162" s="51">
        <f>IF(OR(N($BC162)=0,$BA162=""),"",($BA162-2*EdgeClr-IF($BC162=2,MeetClr,0))/$BC162)</f>
        <v/>
      </c>
      <c r="BE162" s="51">
        <f>IF(OR(N($BC162)=0,$BB162=""),"",$BB162-HeadClr-Undercut)</f>
        <v/>
      </c>
      <c r="BF162" s="51">
        <f>IF($BA162="","",$BA162+2*FaceW+IF(N($Q162)&gt;0,($Q162+FaceW)*IF($R162="LR",2,1),0))</f>
        <v/>
      </c>
      <c r="BG162" s="51">
        <f>IF($BB162="","",$BB162+IF($AB162="Y",4,FaceW)+IF(N($P162)&gt;0,$P162+FaceW,0)+IF(OR($S162="4F",$S162="BL"),FaceW,0))</f>
        <v/>
      </c>
      <c r="BH162" s="51">
        <f>IF($BF162="","",$BF162+2*ROSide)</f>
        <v/>
      </c>
      <c r="BI162" s="51">
        <f>IF($BG162="","",$BG162+ROTop)</f>
        <v/>
      </c>
      <c r="BJ162" s="52">
        <f>IF(OR(N($BC162)=0,$BA162=""),"",$BA162/$BC162-ClearDeduct)</f>
        <v/>
      </c>
      <c r="BK162" s="49">
        <f>IF(OR(N($BC162)=0,$BE162=""),"",IF(OR($AC162="HGC",$AP162="HGC"),"CONT",IF($BE162&lt;=60,2,IF($BE162&lt;=90,3,IF($BE162&lt;=120,4,5)))))</f>
        <v/>
      </c>
      <c r="BL162" s="49">
        <f>IF(N($BC162)=0,"",IF(OR($AL162="",$AL162="FLUSH"),"FLUSH",IFERROR(LEFT($AL162,FIND("-",$AL162)-1),LEFT($AL162,2))))</f>
        <v/>
      </c>
      <c r="BM162" s="49">
        <f>IF($BL162="","",IFERROR(VALUE(MID($AL162,FIND("-",$AL162)+1,FIND(CHAR(34)&amp;"x",$AL162)-FIND("-",$AL162)-1)),0))</f>
        <v/>
      </c>
      <c r="BN162" s="49">
        <f>IF($BL162="","",IFERROR(VALUE(MID($AL162,FIND(CHAR(34)&amp;"x",$AL162)+2,FIND(CHAR(34),$AL162,FIND(CHAR(34)&amp;"x",$AL162)+2)-FIND(CHAR(34)&amp;"x",$AL162)-2)),0))</f>
        <v/>
      </c>
      <c r="BO162" s="53">
        <f>IF(OR($A162="",$H162="",$H162="NO LAB"),0,IFERROR(VALUE(LEFT($H162,FIND(" ",$H162)-1)),0))</f>
        <v/>
      </c>
      <c r="BP162" s="54">
        <f>IF(OR($A162="",$I162="",$I162="NON-RATED",N($J162)=0),"",IFERROR(VLOOKUP($I162&amp;"|"&amp;$J162,IBC,2,FALSE),"?"))</f>
        <v/>
      </c>
      <c r="BQ162" s="50">
        <f>IF(NOT(AND($A162&lt;&gt;"",$C162&lt;&gt;"DOOR ONLY")),"",TRIM(IFERROR(VLOOKUP($U162,CODES,2,FALSE),"")&amp;" "&amp;$AZ162&amp;" "&amp;IFERROR(VLOOKUP($Z162,CODES,2,FALSE),"")&amp;" "&amp;IFERROR(VLOOKUP($X162,CODES,2,FALSE),"")&amp;" "&amp;IFERROR(VLOOKUP($S162,CODES,2,FALSE),"")&amp;IF(N($P162)&gt;0," w/TRANSOM "&amp;$P162&amp;CHAR(34),"")&amp;IF(N($Q162)&gt;0," w/SIDELITE "&amp;$Q162&amp;CHAR(34)&amp;" "&amp;IF($R162="","R",$R162),"")&amp;IF($Y162="","  |  "," | "&amp;IFERROR(VLOOKUP($Y162,CODES,2,FALSE),"")&amp;" | ")&amp;IFERROR(VLOOKUP($AC162,CODES,2,FALSE),"")&amp;" "&amp;IFERROR(VLOOKUP($AD162,CODES,2,FALSE),"")&amp;IF(OR($AE162="",$AE162="-"),""," "&amp;$AE162)&amp;IF(OR($AF162="",$AF162="-"),""," "&amp;$AF162)&amp;IF($AB162="Y"," 4"&amp;CHAR(34)&amp;" HEAD","")&amp;" "&amp;IFERROR(VLOOKUP($H162,CODES,2,FALSE),"")))</f>
        <v/>
      </c>
      <c r="BR162" s="50">
        <f>IF(NOT(AND($A162&lt;&gt;"",N($BC162)&gt;0)),"",TRIM(IFERROR(VLOOKUP($AH162,CODES,2,FALSE),"")&amp;IF($AI162=""," "," "&amp;$AI162&amp;"GA ")&amp;$AZ162&amp;" "&amp;IF($AN162="",IFERROR(VLOOKUP($Z162,CODES,2,FALSE),""),IFERROR(VLOOKUP($AN162,CODES,2,FALSE),""))&amp;IF($BC162=2," PAIR","")&amp;" DOOR | "&amp;IF($AL162="","?",$AL162)&amp;" | "&amp;IF($AP162="",IFERROR(VLOOKUP($AC162,CODES,2,FALSE),""),IFERROR(VLOOKUP($AP162,CODES,2,FALSE),""))&amp;" "&amp;IFERROR(VLOOKUP($AQ162,CODES,2,FALSE),"")&amp;IF(OR($AR162="",$AR162="-"),""," SEAM "&amp;$AR162)&amp;IF($AS162="Y"," ASTRAGAL","")&amp;IF($AJ162=""," "," "&amp;$AJ162)&amp;IF($AK162=""," "," "&amp;$AK162)&amp;IF($AO162="",""," "&amp;$AO162)&amp;IF($AM162=""," "," SERIES "&amp;$AM162)&amp;" "&amp;IFERROR(VLOOKUP($H162,CODES,2,FALSE),"")))</f>
        <v/>
      </c>
      <c r="BS162" s="49">
        <f>IF(BV162="","",IF(COUNTIF($BV$6:BV162,BV162)=1,MAX($BS$5:BS161)+1,INDEX($BS$5:BS161,MATCH(BV162,$BV$5:BV161,0))))</f>
        <v/>
      </c>
      <c r="BT162" s="49">
        <f>IF(NOT(AND($A162&lt;&gt;"",$C162&lt;&gt;"DOOR ONLY")),"",MAX($BT$5:BT161)+1)</f>
        <v/>
      </c>
      <c r="BU162" s="49">
        <f>IF(NOT(AND($A162&lt;&gt;"",N($BC162)&gt;0)),"",MAX($BU$5:BU161)+1)</f>
        <v/>
      </c>
      <c r="BV162" s="49">
        <f>IF(OR($A162="",$BA162="",$BB162=""),"",$AZ162&amp;"|"&amp;$O162&amp;"|"&amp;$AL162&amp;"|"&amp;$S162&amp;"|"&amp;$P162&amp;"|"&amp;$Q162&amp;$R162&amp;"|"&amp;$C162&amp;"|"&amp;$AB162)</f>
        <v/>
      </c>
      <c r="BW162" s="49">
        <f>IF($A162="","",IF($B162="","qty, ","")&amp;IF($C162="","scope, ","")&amp;IF(OR($K162="",$M162=""),"size, ","")&amp;IF(AND($A162&lt;&gt;"",$C162&lt;&gt;"DOOR ONLY"),IF($U162="","jamb depth, ","")&amp;IF($X162="","construction, ","")&amp;IF($Y162="","anchor, ","")&amp;IF($S162="","frame type, ",""),"")&amp;IF(AND(N($BC162)&gt;0,$Z162=""),"hand, ","")&amp;IF(N($BC162)&gt;0,IF($AH162="","door material, ","")&amp;IF($AL162="","face type, ","")&amp;IF($AQ162="","lock prep, ","")&amp;IF(AND($AP162="",$AC162=""),"hinge prep, ",""),"")&amp;IF(AND($BO162&gt;0,$AH162="FRP"),"FRP cannot carry a label, ","")&amp;IF(AND($O162="Y",OR($Z162="L",$Z162="R",$Z162="LR",$Z162="RR")),"pair marked but hand is single, ","")&amp;IF(AND($O162&lt;&gt;"Y",OR($Z162="PR",AND(LEN($Z162)&gt;1,ISNUMBER(SEARCH("-",$Z162))))),"pair hand on a single door, ","")&amp;IF(AND(ISNUMBER($BP162),$BO162&lt;N($BP162)),"wall needs a "&amp;$BP162&amp;" min door, ","")&amp;IF(AND($BO162&gt;=180,AND(OR($BL162="FG",$BL162="HG",$BL162="FNV",$BL162="FV"),N($BM162)*N($BN162)&gt;100)),"180 min lite over 100 sq in, ","")&amp;IF(N($BD162)&gt;48,"leaf wider than 4'-0"&amp;CHAR(34)&amp;", ",""))</f>
        <v/>
      </c>
      <c r="BX162" s="49">
        <f>IF($A162="","",IF(AND($BO162&gt;0,AND($A162&lt;&gt;"",$C162&lt;&gt;"DOOR ONLY"),$X162="KD",$E162="EXTERIOR"),"KD label on an exterior opening, ","")&amp;IF(AND($E162="EXTERIOR",OR(AND(AND($A162&lt;&gt;"",$C162&lt;&gt;"DOOR ONLY"),$W162="CR"),AND(N($BC162)&gt;0,$AH162="CR"))),"exterior in CR steel (G9?), ","")&amp;IF(AND(ISNUMBER($BJ162),N($BJ162)&lt;32),"clear width ~"&amp;TEXT($BJ162,"0.0")&amp;CHAR(34)&amp;" under 32"&amp;CHAR(34)&amp;" (ADA), ","")&amp;IF(AND($BO162=90,AND(OR($BL162="FG",$BL162="HG",$BL162="FNV",$BL162="FV"),N($BM162)*N($BN162)&gt;100)),"90 min lite over 100 sq in (stair/exit), ","")&amp;IF(AND($BO162&gt;0,AND($A162&lt;&gt;"",$C162&lt;&gt;"DOOR ONLY"),OR($AF162="",$AF162="-")),"rated: closer reinf.?, ","")&amp;IF(OR($I162="CORRIDOR",$I162="SMOKE BARRIER"),"S label + smoke gasketing, ","")&amp;IF($BP162="?","wall type/hr not in IBC table, ","")&amp;IF(AND(N($BC162)&gt;0,$AU162=""),"no hardware set, ","")&amp;IF(AND($AU162&lt;&gt;"",ISNA(MATCH($AU162,HWSets,0))),"set "&amp;$AU162&amp;" not on Hardware sheet, ","")&amp;IF(N($BE162)&gt;96,"leaf over 8'-0"&amp;CHAR(34)&amp;" - check listing, ",""))</f>
        <v/>
      </c>
    </row>
    <row r="163" ht="15" customHeight="1">
      <c r="A163" s="44" t="n"/>
      <c r="B163" s="45" t="n"/>
      <c r="C163" s="45" t="n"/>
      <c r="D163" s="45" t="n"/>
      <c r="E163" s="45" t="n"/>
      <c r="F163" s="45" t="n"/>
      <c r="G163" s="45" t="n"/>
      <c r="H163" s="45" t="n"/>
      <c r="I163" s="45" t="n"/>
      <c r="J163" s="45" t="n"/>
      <c r="K163" s="45" t="n"/>
      <c r="L163" s="45" t="n"/>
      <c r="M163" s="45" t="n"/>
      <c r="N163" s="45" t="n"/>
      <c r="O163" s="45" t="n"/>
      <c r="P163" s="45" t="n"/>
      <c r="Q163" s="45" t="n"/>
      <c r="R163" s="45" t="n"/>
      <c r="S163" s="46" t="n"/>
      <c r="T163" s="46" t="n"/>
      <c r="U163" s="46" t="n"/>
      <c r="V163" s="46" t="n"/>
      <c r="W163" s="46" t="n"/>
      <c r="X163" s="46" t="n"/>
      <c r="Y163" s="46" t="n"/>
      <c r="Z163" s="46" t="n"/>
      <c r="AA163" s="46" t="n"/>
      <c r="AB163" s="46" t="n"/>
      <c r="AC163" s="46" t="n"/>
      <c r="AD163" s="46" t="n"/>
      <c r="AE163" s="46" t="n"/>
      <c r="AF163" s="46" t="n"/>
      <c r="AG163" s="46" t="n"/>
      <c r="AH163" s="47" t="n"/>
      <c r="AI163" s="47" t="n"/>
      <c r="AJ163" s="47" t="n"/>
      <c r="AK163" s="47" t="n"/>
      <c r="AL163" s="47" t="n"/>
      <c r="AM163" s="47" t="n"/>
      <c r="AN163" s="47" t="n"/>
      <c r="AO163" s="47" t="n"/>
      <c r="AP163" s="47" t="n"/>
      <c r="AQ163" s="47" t="n"/>
      <c r="AR163" s="47" t="n"/>
      <c r="AS163" s="47" t="n"/>
      <c r="AT163" s="47" t="n"/>
      <c r="AU163" s="48" t="n"/>
      <c r="AV163" s="48" t="n"/>
      <c r="AW163" s="49">
        <f>IF($A163="","",IF($BW163&lt;&gt;"","FIX",IF($BX163&lt;&gt;"","CHECK","OK")))</f>
        <v/>
      </c>
      <c r="AX163" s="50">
        <f>IF($A163="","",IF($BW163&lt;&gt;"","FIX: "&amp;LEFT($BW163,LEN($BW163)-2)&amp;IF($BX163&lt;&gt;"","  ·  ",""),"")&amp;IF($BX163&lt;&gt;"","CHECK: "&amp;LEFT($BX163,LEN($BX163)-2),""))</f>
        <v/>
      </c>
      <c r="AY163" s="49">
        <f>IF(OR($A163="",$K163=""),"",$K163&amp;"'-"&amp;N($L163)&amp;CHAR(34)&amp;" x "&amp;$M163&amp;"'-"&amp;N($N163)&amp;CHAR(34))</f>
        <v/>
      </c>
      <c r="AZ163" s="49">
        <f>IF(OR($A163="",$K163=""),"",$K163&amp;N($L163)&amp;$M163&amp;N($N163))</f>
        <v/>
      </c>
      <c r="BA163" s="49">
        <f>IF(OR($A163="",$K163=""),"",$K163*12+N($L163))</f>
        <v/>
      </c>
      <c r="BB163" s="49">
        <f>IF(OR($A163="",$M163=""),"",$M163*12+N($N163))</f>
        <v/>
      </c>
      <c r="BC163" s="49">
        <f>IF($A163="","",IF(OR($C163="FRAME ONLY",$S163="BL"),0,IF($O163="Y",2,1)))</f>
        <v/>
      </c>
      <c r="BD163" s="51">
        <f>IF(OR(N($BC163)=0,$BA163=""),"",($BA163-2*EdgeClr-IF($BC163=2,MeetClr,0))/$BC163)</f>
        <v/>
      </c>
      <c r="BE163" s="51">
        <f>IF(OR(N($BC163)=0,$BB163=""),"",$BB163-HeadClr-Undercut)</f>
        <v/>
      </c>
      <c r="BF163" s="51">
        <f>IF($BA163="","",$BA163+2*FaceW+IF(N($Q163)&gt;0,($Q163+FaceW)*IF($R163="LR",2,1),0))</f>
        <v/>
      </c>
      <c r="BG163" s="51">
        <f>IF($BB163="","",$BB163+IF($AB163="Y",4,FaceW)+IF(N($P163)&gt;0,$P163+FaceW,0)+IF(OR($S163="4F",$S163="BL"),FaceW,0))</f>
        <v/>
      </c>
      <c r="BH163" s="51">
        <f>IF($BF163="","",$BF163+2*ROSide)</f>
        <v/>
      </c>
      <c r="BI163" s="51">
        <f>IF($BG163="","",$BG163+ROTop)</f>
        <v/>
      </c>
      <c r="BJ163" s="52">
        <f>IF(OR(N($BC163)=0,$BA163=""),"",$BA163/$BC163-ClearDeduct)</f>
        <v/>
      </c>
      <c r="BK163" s="49">
        <f>IF(OR(N($BC163)=0,$BE163=""),"",IF(OR($AC163="HGC",$AP163="HGC"),"CONT",IF($BE163&lt;=60,2,IF($BE163&lt;=90,3,IF($BE163&lt;=120,4,5)))))</f>
        <v/>
      </c>
      <c r="BL163" s="49">
        <f>IF(N($BC163)=0,"",IF(OR($AL163="",$AL163="FLUSH"),"FLUSH",IFERROR(LEFT($AL163,FIND("-",$AL163)-1),LEFT($AL163,2))))</f>
        <v/>
      </c>
      <c r="BM163" s="49">
        <f>IF($BL163="","",IFERROR(VALUE(MID($AL163,FIND("-",$AL163)+1,FIND(CHAR(34)&amp;"x",$AL163)-FIND("-",$AL163)-1)),0))</f>
        <v/>
      </c>
      <c r="BN163" s="49">
        <f>IF($BL163="","",IFERROR(VALUE(MID($AL163,FIND(CHAR(34)&amp;"x",$AL163)+2,FIND(CHAR(34),$AL163,FIND(CHAR(34)&amp;"x",$AL163)+2)-FIND(CHAR(34)&amp;"x",$AL163)-2)),0))</f>
        <v/>
      </c>
      <c r="BO163" s="53">
        <f>IF(OR($A163="",$H163="",$H163="NO LAB"),0,IFERROR(VALUE(LEFT($H163,FIND(" ",$H163)-1)),0))</f>
        <v/>
      </c>
      <c r="BP163" s="54">
        <f>IF(OR($A163="",$I163="",$I163="NON-RATED",N($J163)=0),"",IFERROR(VLOOKUP($I163&amp;"|"&amp;$J163,IBC,2,FALSE),"?"))</f>
        <v/>
      </c>
      <c r="BQ163" s="50">
        <f>IF(NOT(AND($A163&lt;&gt;"",$C163&lt;&gt;"DOOR ONLY")),"",TRIM(IFERROR(VLOOKUP($U163,CODES,2,FALSE),"")&amp;" "&amp;$AZ163&amp;" "&amp;IFERROR(VLOOKUP($Z163,CODES,2,FALSE),"")&amp;" "&amp;IFERROR(VLOOKUP($X163,CODES,2,FALSE),"")&amp;" "&amp;IFERROR(VLOOKUP($S163,CODES,2,FALSE),"")&amp;IF(N($P163)&gt;0," w/TRANSOM "&amp;$P163&amp;CHAR(34),"")&amp;IF(N($Q163)&gt;0," w/SIDELITE "&amp;$Q163&amp;CHAR(34)&amp;" "&amp;IF($R163="","R",$R163),"")&amp;IF($Y163="","  |  "," | "&amp;IFERROR(VLOOKUP($Y163,CODES,2,FALSE),"")&amp;" | ")&amp;IFERROR(VLOOKUP($AC163,CODES,2,FALSE),"")&amp;" "&amp;IFERROR(VLOOKUP($AD163,CODES,2,FALSE),"")&amp;IF(OR($AE163="",$AE163="-"),""," "&amp;$AE163)&amp;IF(OR($AF163="",$AF163="-"),""," "&amp;$AF163)&amp;IF($AB163="Y"," 4"&amp;CHAR(34)&amp;" HEAD","")&amp;" "&amp;IFERROR(VLOOKUP($H163,CODES,2,FALSE),"")))</f>
        <v/>
      </c>
      <c r="BR163" s="50">
        <f>IF(NOT(AND($A163&lt;&gt;"",N($BC163)&gt;0)),"",TRIM(IFERROR(VLOOKUP($AH163,CODES,2,FALSE),"")&amp;IF($AI163=""," "," "&amp;$AI163&amp;"GA ")&amp;$AZ163&amp;" "&amp;IF($AN163="",IFERROR(VLOOKUP($Z163,CODES,2,FALSE),""),IFERROR(VLOOKUP($AN163,CODES,2,FALSE),""))&amp;IF($BC163=2," PAIR","")&amp;" DOOR | "&amp;IF($AL163="","?",$AL163)&amp;" | "&amp;IF($AP163="",IFERROR(VLOOKUP($AC163,CODES,2,FALSE),""),IFERROR(VLOOKUP($AP163,CODES,2,FALSE),""))&amp;" "&amp;IFERROR(VLOOKUP($AQ163,CODES,2,FALSE),"")&amp;IF(OR($AR163="",$AR163="-"),""," SEAM "&amp;$AR163)&amp;IF($AS163="Y"," ASTRAGAL","")&amp;IF($AJ163=""," "," "&amp;$AJ163)&amp;IF($AK163=""," "," "&amp;$AK163)&amp;IF($AO163="",""," "&amp;$AO163)&amp;IF($AM163=""," "," SERIES "&amp;$AM163)&amp;" "&amp;IFERROR(VLOOKUP($H163,CODES,2,FALSE),"")))</f>
        <v/>
      </c>
      <c r="BS163" s="49">
        <f>IF(BV163="","",IF(COUNTIF($BV$6:BV163,BV163)=1,MAX($BS$5:BS162)+1,INDEX($BS$5:BS162,MATCH(BV163,$BV$5:BV162,0))))</f>
        <v/>
      </c>
      <c r="BT163" s="49">
        <f>IF(NOT(AND($A163&lt;&gt;"",$C163&lt;&gt;"DOOR ONLY")),"",MAX($BT$5:BT162)+1)</f>
        <v/>
      </c>
      <c r="BU163" s="49">
        <f>IF(NOT(AND($A163&lt;&gt;"",N($BC163)&gt;0)),"",MAX($BU$5:BU162)+1)</f>
        <v/>
      </c>
      <c r="BV163" s="49">
        <f>IF(OR($A163="",$BA163="",$BB163=""),"",$AZ163&amp;"|"&amp;$O163&amp;"|"&amp;$AL163&amp;"|"&amp;$S163&amp;"|"&amp;$P163&amp;"|"&amp;$Q163&amp;$R163&amp;"|"&amp;$C163&amp;"|"&amp;$AB163)</f>
        <v/>
      </c>
      <c r="BW163" s="49">
        <f>IF($A163="","",IF($B163="","qty, ","")&amp;IF($C163="","scope, ","")&amp;IF(OR($K163="",$M163=""),"size, ","")&amp;IF(AND($A163&lt;&gt;"",$C163&lt;&gt;"DOOR ONLY"),IF($U163="","jamb depth, ","")&amp;IF($X163="","construction, ","")&amp;IF($Y163="","anchor, ","")&amp;IF($S163="","frame type, ",""),"")&amp;IF(AND(N($BC163)&gt;0,$Z163=""),"hand, ","")&amp;IF(N($BC163)&gt;0,IF($AH163="","door material, ","")&amp;IF($AL163="","face type, ","")&amp;IF($AQ163="","lock prep, ","")&amp;IF(AND($AP163="",$AC163=""),"hinge prep, ",""),"")&amp;IF(AND($BO163&gt;0,$AH163="FRP"),"FRP cannot carry a label, ","")&amp;IF(AND($O163="Y",OR($Z163="L",$Z163="R",$Z163="LR",$Z163="RR")),"pair marked but hand is single, ","")&amp;IF(AND($O163&lt;&gt;"Y",OR($Z163="PR",AND(LEN($Z163)&gt;1,ISNUMBER(SEARCH("-",$Z163))))),"pair hand on a single door, ","")&amp;IF(AND(ISNUMBER($BP163),$BO163&lt;N($BP163)),"wall needs a "&amp;$BP163&amp;" min door, ","")&amp;IF(AND($BO163&gt;=180,AND(OR($BL163="FG",$BL163="HG",$BL163="FNV",$BL163="FV"),N($BM163)*N($BN163)&gt;100)),"180 min lite over 100 sq in, ","")&amp;IF(N($BD163)&gt;48,"leaf wider than 4'-0"&amp;CHAR(34)&amp;", ",""))</f>
        <v/>
      </c>
      <c r="BX163" s="49">
        <f>IF($A163="","",IF(AND($BO163&gt;0,AND($A163&lt;&gt;"",$C163&lt;&gt;"DOOR ONLY"),$X163="KD",$E163="EXTERIOR"),"KD label on an exterior opening, ","")&amp;IF(AND($E163="EXTERIOR",OR(AND(AND($A163&lt;&gt;"",$C163&lt;&gt;"DOOR ONLY"),$W163="CR"),AND(N($BC163)&gt;0,$AH163="CR"))),"exterior in CR steel (G9?), ","")&amp;IF(AND(ISNUMBER($BJ163),N($BJ163)&lt;32),"clear width ~"&amp;TEXT($BJ163,"0.0")&amp;CHAR(34)&amp;" under 32"&amp;CHAR(34)&amp;" (ADA), ","")&amp;IF(AND($BO163=90,AND(OR($BL163="FG",$BL163="HG",$BL163="FNV",$BL163="FV"),N($BM163)*N($BN163)&gt;100)),"90 min lite over 100 sq in (stair/exit), ","")&amp;IF(AND($BO163&gt;0,AND($A163&lt;&gt;"",$C163&lt;&gt;"DOOR ONLY"),OR($AF163="",$AF163="-")),"rated: closer reinf.?, ","")&amp;IF(OR($I163="CORRIDOR",$I163="SMOKE BARRIER"),"S label + smoke gasketing, ","")&amp;IF($BP163="?","wall type/hr not in IBC table, ","")&amp;IF(AND(N($BC163)&gt;0,$AU163=""),"no hardware set, ","")&amp;IF(AND($AU163&lt;&gt;"",ISNA(MATCH($AU163,HWSets,0))),"set "&amp;$AU163&amp;" not on Hardware sheet, ","")&amp;IF(N($BE163)&gt;96,"leaf over 8'-0"&amp;CHAR(34)&amp;" - check listing, ",""))</f>
        <v/>
      </c>
    </row>
    <row r="164" ht="15" customHeight="1">
      <c r="A164" s="44" t="n"/>
      <c r="B164" s="45" t="n"/>
      <c r="C164" s="45" t="n"/>
      <c r="D164" s="45" t="n"/>
      <c r="E164" s="45" t="n"/>
      <c r="F164" s="45" t="n"/>
      <c r="G164" s="45" t="n"/>
      <c r="H164" s="45" t="n"/>
      <c r="I164" s="45" t="n"/>
      <c r="J164" s="45" t="n"/>
      <c r="K164" s="45" t="n"/>
      <c r="L164" s="45" t="n"/>
      <c r="M164" s="45" t="n"/>
      <c r="N164" s="45" t="n"/>
      <c r="O164" s="45" t="n"/>
      <c r="P164" s="45" t="n"/>
      <c r="Q164" s="45" t="n"/>
      <c r="R164" s="45" t="n"/>
      <c r="S164" s="46" t="n"/>
      <c r="T164" s="46" t="n"/>
      <c r="U164" s="46" t="n"/>
      <c r="V164" s="46" t="n"/>
      <c r="W164" s="46" t="n"/>
      <c r="X164" s="46" t="n"/>
      <c r="Y164" s="46" t="n"/>
      <c r="Z164" s="46" t="n"/>
      <c r="AA164" s="46" t="n"/>
      <c r="AB164" s="46" t="n"/>
      <c r="AC164" s="46" t="n"/>
      <c r="AD164" s="46" t="n"/>
      <c r="AE164" s="46" t="n"/>
      <c r="AF164" s="46" t="n"/>
      <c r="AG164" s="46" t="n"/>
      <c r="AH164" s="47" t="n"/>
      <c r="AI164" s="47" t="n"/>
      <c r="AJ164" s="47" t="n"/>
      <c r="AK164" s="47" t="n"/>
      <c r="AL164" s="47" t="n"/>
      <c r="AM164" s="47" t="n"/>
      <c r="AN164" s="47" t="n"/>
      <c r="AO164" s="47" t="n"/>
      <c r="AP164" s="47" t="n"/>
      <c r="AQ164" s="47" t="n"/>
      <c r="AR164" s="47" t="n"/>
      <c r="AS164" s="47" t="n"/>
      <c r="AT164" s="47" t="n"/>
      <c r="AU164" s="48" t="n"/>
      <c r="AV164" s="48" t="n"/>
      <c r="AW164" s="49">
        <f>IF($A164="","",IF($BW164&lt;&gt;"","FIX",IF($BX164&lt;&gt;"","CHECK","OK")))</f>
        <v/>
      </c>
      <c r="AX164" s="50">
        <f>IF($A164="","",IF($BW164&lt;&gt;"","FIX: "&amp;LEFT($BW164,LEN($BW164)-2)&amp;IF($BX164&lt;&gt;"","  ·  ",""),"")&amp;IF($BX164&lt;&gt;"","CHECK: "&amp;LEFT($BX164,LEN($BX164)-2),""))</f>
        <v/>
      </c>
      <c r="AY164" s="49">
        <f>IF(OR($A164="",$K164=""),"",$K164&amp;"'-"&amp;N($L164)&amp;CHAR(34)&amp;" x "&amp;$M164&amp;"'-"&amp;N($N164)&amp;CHAR(34))</f>
        <v/>
      </c>
      <c r="AZ164" s="49">
        <f>IF(OR($A164="",$K164=""),"",$K164&amp;N($L164)&amp;$M164&amp;N($N164))</f>
        <v/>
      </c>
      <c r="BA164" s="49">
        <f>IF(OR($A164="",$K164=""),"",$K164*12+N($L164))</f>
        <v/>
      </c>
      <c r="BB164" s="49">
        <f>IF(OR($A164="",$M164=""),"",$M164*12+N($N164))</f>
        <v/>
      </c>
      <c r="BC164" s="49">
        <f>IF($A164="","",IF(OR($C164="FRAME ONLY",$S164="BL"),0,IF($O164="Y",2,1)))</f>
        <v/>
      </c>
      <c r="BD164" s="51">
        <f>IF(OR(N($BC164)=0,$BA164=""),"",($BA164-2*EdgeClr-IF($BC164=2,MeetClr,0))/$BC164)</f>
        <v/>
      </c>
      <c r="BE164" s="51">
        <f>IF(OR(N($BC164)=0,$BB164=""),"",$BB164-HeadClr-Undercut)</f>
        <v/>
      </c>
      <c r="BF164" s="51">
        <f>IF($BA164="","",$BA164+2*FaceW+IF(N($Q164)&gt;0,($Q164+FaceW)*IF($R164="LR",2,1),0))</f>
        <v/>
      </c>
      <c r="BG164" s="51">
        <f>IF($BB164="","",$BB164+IF($AB164="Y",4,FaceW)+IF(N($P164)&gt;0,$P164+FaceW,0)+IF(OR($S164="4F",$S164="BL"),FaceW,0))</f>
        <v/>
      </c>
      <c r="BH164" s="51">
        <f>IF($BF164="","",$BF164+2*ROSide)</f>
        <v/>
      </c>
      <c r="BI164" s="51">
        <f>IF($BG164="","",$BG164+ROTop)</f>
        <v/>
      </c>
      <c r="BJ164" s="52">
        <f>IF(OR(N($BC164)=0,$BA164=""),"",$BA164/$BC164-ClearDeduct)</f>
        <v/>
      </c>
      <c r="BK164" s="49">
        <f>IF(OR(N($BC164)=0,$BE164=""),"",IF(OR($AC164="HGC",$AP164="HGC"),"CONT",IF($BE164&lt;=60,2,IF($BE164&lt;=90,3,IF($BE164&lt;=120,4,5)))))</f>
        <v/>
      </c>
      <c r="BL164" s="49">
        <f>IF(N($BC164)=0,"",IF(OR($AL164="",$AL164="FLUSH"),"FLUSH",IFERROR(LEFT($AL164,FIND("-",$AL164)-1),LEFT($AL164,2))))</f>
        <v/>
      </c>
      <c r="BM164" s="49">
        <f>IF($BL164="","",IFERROR(VALUE(MID($AL164,FIND("-",$AL164)+1,FIND(CHAR(34)&amp;"x",$AL164)-FIND("-",$AL164)-1)),0))</f>
        <v/>
      </c>
      <c r="BN164" s="49">
        <f>IF($BL164="","",IFERROR(VALUE(MID($AL164,FIND(CHAR(34)&amp;"x",$AL164)+2,FIND(CHAR(34),$AL164,FIND(CHAR(34)&amp;"x",$AL164)+2)-FIND(CHAR(34)&amp;"x",$AL164)-2)),0))</f>
        <v/>
      </c>
      <c r="BO164" s="53">
        <f>IF(OR($A164="",$H164="",$H164="NO LAB"),0,IFERROR(VALUE(LEFT($H164,FIND(" ",$H164)-1)),0))</f>
        <v/>
      </c>
      <c r="BP164" s="54">
        <f>IF(OR($A164="",$I164="",$I164="NON-RATED",N($J164)=0),"",IFERROR(VLOOKUP($I164&amp;"|"&amp;$J164,IBC,2,FALSE),"?"))</f>
        <v/>
      </c>
      <c r="BQ164" s="50">
        <f>IF(NOT(AND($A164&lt;&gt;"",$C164&lt;&gt;"DOOR ONLY")),"",TRIM(IFERROR(VLOOKUP($U164,CODES,2,FALSE),"")&amp;" "&amp;$AZ164&amp;" "&amp;IFERROR(VLOOKUP($Z164,CODES,2,FALSE),"")&amp;" "&amp;IFERROR(VLOOKUP($X164,CODES,2,FALSE),"")&amp;" "&amp;IFERROR(VLOOKUP($S164,CODES,2,FALSE),"")&amp;IF(N($P164)&gt;0," w/TRANSOM "&amp;$P164&amp;CHAR(34),"")&amp;IF(N($Q164)&gt;0," w/SIDELITE "&amp;$Q164&amp;CHAR(34)&amp;" "&amp;IF($R164="","R",$R164),"")&amp;IF($Y164="","  |  "," | "&amp;IFERROR(VLOOKUP($Y164,CODES,2,FALSE),"")&amp;" | ")&amp;IFERROR(VLOOKUP($AC164,CODES,2,FALSE),"")&amp;" "&amp;IFERROR(VLOOKUP($AD164,CODES,2,FALSE),"")&amp;IF(OR($AE164="",$AE164="-"),""," "&amp;$AE164)&amp;IF(OR($AF164="",$AF164="-"),""," "&amp;$AF164)&amp;IF($AB164="Y"," 4"&amp;CHAR(34)&amp;" HEAD","")&amp;" "&amp;IFERROR(VLOOKUP($H164,CODES,2,FALSE),"")))</f>
        <v/>
      </c>
      <c r="BR164" s="50">
        <f>IF(NOT(AND($A164&lt;&gt;"",N($BC164)&gt;0)),"",TRIM(IFERROR(VLOOKUP($AH164,CODES,2,FALSE),"")&amp;IF($AI164=""," "," "&amp;$AI164&amp;"GA ")&amp;$AZ164&amp;" "&amp;IF($AN164="",IFERROR(VLOOKUP($Z164,CODES,2,FALSE),""),IFERROR(VLOOKUP($AN164,CODES,2,FALSE),""))&amp;IF($BC164=2," PAIR","")&amp;" DOOR | "&amp;IF($AL164="","?",$AL164)&amp;" | "&amp;IF($AP164="",IFERROR(VLOOKUP($AC164,CODES,2,FALSE),""),IFERROR(VLOOKUP($AP164,CODES,2,FALSE),""))&amp;" "&amp;IFERROR(VLOOKUP($AQ164,CODES,2,FALSE),"")&amp;IF(OR($AR164="",$AR164="-"),""," SEAM "&amp;$AR164)&amp;IF($AS164="Y"," ASTRAGAL","")&amp;IF($AJ164=""," "," "&amp;$AJ164)&amp;IF($AK164=""," "," "&amp;$AK164)&amp;IF($AO164="",""," "&amp;$AO164)&amp;IF($AM164=""," "," SERIES "&amp;$AM164)&amp;" "&amp;IFERROR(VLOOKUP($H164,CODES,2,FALSE),"")))</f>
        <v/>
      </c>
      <c r="BS164" s="49">
        <f>IF(BV164="","",IF(COUNTIF($BV$6:BV164,BV164)=1,MAX($BS$5:BS163)+1,INDEX($BS$5:BS163,MATCH(BV164,$BV$5:BV163,0))))</f>
        <v/>
      </c>
      <c r="BT164" s="49">
        <f>IF(NOT(AND($A164&lt;&gt;"",$C164&lt;&gt;"DOOR ONLY")),"",MAX($BT$5:BT163)+1)</f>
        <v/>
      </c>
      <c r="BU164" s="49">
        <f>IF(NOT(AND($A164&lt;&gt;"",N($BC164)&gt;0)),"",MAX($BU$5:BU163)+1)</f>
        <v/>
      </c>
      <c r="BV164" s="49">
        <f>IF(OR($A164="",$BA164="",$BB164=""),"",$AZ164&amp;"|"&amp;$O164&amp;"|"&amp;$AL164&amp;"|"&amp;$S164&amp;"|"&amp;$P164&amp;"|"&amp;$Q164&amp;$R164&amp;"|"&amp;$C164&amp;"|"&amp;$AB164)</f>
        <v/>
      </c>
      <c r="BW164" s="49">
        <f>IF($A164="","",IF($B164="","qty, ","")&amp;IF($C164="","scope, ","")&amp;IF(OR($K164="",$M164=""),"size, ","")&amp;IF(AND($A164&lt;&gt;"",$C164&lt;&gt;"DOOR ONLY"),IF($U164="","jamb depth, ","")&amp;IF($X164="","construction, ","")&amp;IF($Y164="","anchor, ","")&amp;IF($S164="","frame type, ",""),"")&amp;IF(AND(N($BC164)&gt;0,$Z164=""),"hand, ","")&amp;IF(N($BC164)&gt;0,IF($AH164="","door material, ","")&amp;IF($AL164="","face type, ","")&amp;IF($AQ164="","lock prep, ","")&amp;IF(AND($AP164="",$AC164=""),"hinge prep, ",""),"")&amp;IF(AND($BO164&gt;0,$AH164="FRP"),"FRP cannot carry a label, ","")&amp;IF(AND($O164="Y",OR($Z164="L",$Z164="R",$Z164="LR",$Z164="RR")),"pair marked but hand is single, ","")&amp;IF(AND($O164&lt;&gt;"Y",OR($Z164="PR",AND(LEN($Z164)&gt;1,ISNUMBER(SEARCH("-",$Z164))))),"pair hand on a single door, ","")&amp;IF(AND(ISNUMBER($BP164),$BO164&lt;N($BP164)),"wall needs a "&amp;$BP164&amp;" min door, ","")&amp;IF(AND($BO164&gt;=180,AND(OR($BL164="FG",$BL164="HG",$BL164="FNV",$BL164="FV"),N($BM164)*N($BN164)&gt;100)),"180 min lite over 100 sq in, ","")&amp;IF(N($BD164)&gt;48,"leaf wider than 4'-0"&amp;CHAR(34)&amp;", ",""))</f>
        <v/>
      </c>
      <c r="BX164" s="49">
        <f>IF($A164="","",IF(AND($BO164&gt;0,AND($A164&lt;&gt;"",$C164&lt;&gt;"DOOR ONLY"),$X164="KD",$E164="EXTERIOR"),"KD label on an exterior opening, ","")&amp;IF(AND($E164="EXTERIOR",OR(AND(AND($A164&lt;&gt;"",$C164&lt;&gt;"DOOR ONLY"),$W164="CR"),AND(N($BC164)&gt;0,$AH164="CR"))),"exterior in CR steel (G9?), ","")&amp;IF(AND(ISNUMBER($BJ164),N($BJ164)&lt;32),"clear width ~"&amp;TEXT($BJ164,"0.0")&amp;CHAR(34)&amp;" under 32"&amp;CHAR(34)&amp;" (ADA), ","")&amp;IF(AND($BO164=90,AND(OR($BL164="FG",$BL164="HG",$BL164="FNV",$BL164="FV"),N($BM164)*N($BN164)&gt;100)),"90 min lite over 100 sq in (stair/exit), ","")&amp;IF(AND($BO164&gt;0,AND($A164&lt;&gt;"",$C164&lt;&gt;"DOOR ONLY"),OR($AF164="",$AF164="-")),"rated: closer reinf.?, ","")&amp;IF(OR($I164="CORRIDOR",$I164="SMOKE BARRIER"),"S label + smoke gasketing, ","")&amp;IF($BP164="?","wall type/hr not in IBC table, ","")&amp;IF(AND(N($BC164)&gt;0,$AU164=""),"no hardware set, ","")&amp;IF(AND($AU164&lt;&gt;"",ISNA(MATCH($AU164,HWSets,0))),"set "&amp;$AU164&amp;" not on Hardware sheet, ","")&amp;IF(N($BE164)&gt;96,"leaf over 8'-0"&amp;CHAR(34)&amp;" - check listing, ",""))</f>
        <v/>
      </c>
    </row>
    <row r="165" ht="15" customHeight="1">
      <c r="A165" s="44" t="n"/>
      <c r="B165" s="45" t="n"/>
      <c r="C165" s="45" t="n"/>
      <c r="D165" s="45" t="n"/>
      <c r="E165" s="45" t="n"/>
      <c r="F165" s="45" t="n"/>
      <c r="G165" s="45" t="n"/>
      <c r="H165" s="45" t="n"/>
      <c r="I165" s="45" t="n"/>
      <c r="J165" s="45" t="n"/>
      <c r="K165" s="45" t="n"/>
      <c r="L165" s="45" t="n"/>
      <c r="M165" s="45" t="n"/>
      <c r="N165" s="45" t="n"/>
      <c r="O165" s="45" t="n"/>
      <c r="P165" s="45" t="n"/>
      <c r="Q165" s="45" t="n"/>
      <c r="R165" s="45" t="n"/>
      <c r="S165" s="46" t="n"/>
      <c r="T165" s="46" t="n"/>
      <c r="U165" s="46" t="n"/>
      <c r="V165" s="46" t="n"/>
      <c r="W165" s="46" t="n"/>
      <c r="X165" s="46" t="n"/>
      <c r="Y165" s="46" t="n"/>
      <c r="Z165" s="46" t="n"/>
      <c r="AA165" s="46" t="n"/>
      <c r="AB165" s="46" t="n"/>
      <c r="AC165" s="46" t="n"/>
      <c r="AD165" s="46" t="n"/>
      <c r="AE165" s="46" t="n"/>
      <c r="AF165" s="46" t="n"/>
      <c r="AG165" s="46" t="n"/>
      <c r="AH165" s="47" t="n"/>
      <c r="AI165" s="47" t="n"/>
      <c r="AJ165" s="47" t="n"/>
      <c r="AK165" s="47" t="n"/>
      <c r="AL165" s="47" t="n"/>
      <c r="AM165" s="47" t="n"/>
      <c r="AN165" s="47" t="n"/>
      <c r="AO165" s="47" t="n"/>
      <c r="AP165" s="47" t="n"/>
      <c r="AQ165" s="47" t="n"/>
      <c r="AR165" s="47" t="n"/>
      <c r="AS165" s="47" t="n"/>
      <c r="AT165" s="47" t="n"/>
      <c r="AU165" s="48" t="n"/>
      <c r="AV165" s="48" t="n"/>
      <c r="AW165" s="49">
        <f>IF($A165="","",IF($BW165&lt;&gt;"","FIX",IF($BX165&lt;&gt;"","CHECK","OK")))</f>
        <v/>
      </c>
      <c r="AX165" s="50">
        <f>IF($A165="","",IF($BW165&lt;&gt;"","FIX: "&amp;LEFT($BW165,LEN($BW165)-2)&amp;IF($BX165&lt;&gt;"","  ·  ",""),"")&amp;IF($BX165&lt;&gt;"","CHECK: "&amp;LEFT($BX165,LEN($BX165)-2),""))</f>
        <v/>
      </c>
      <c r="AY165" s="49">
        <f>IF(OR($A165="",$K165=""),"",$K165&amp;"'-"&amp;N($L165)&amp;CHAR(34)&amp;" x "&amp;$M165&amp;"'-"&amp;N($N165)&amp;CHAR(34))</f>
        <v/>
      </c>
      <c r="AZ165" s="49">
        <f>IF(OR($A165="",$K165=""),"",$K165&amp;N($L165)&amp;$M165&amp;N($N165))</f>
        <v/>
      </c>
      <c r="BA165" s="49">
        <f>IF(OR($A165="",$K165=""),"",$K165*12+N($L165))</f>
        <v/>
      </c>
      <c r="BB165" s="49">
        <f>IF(OR($A165="",$M165=""),"",$M165*12+N($N165))</f>
        <v/>
      </c>
      <c r="BC165" s="49">
        <f>IF($A165="","",IF(OR($C165="FRAME ONLY",$S165="BL"),0,IF($O165="Y",2,1)))</f>
        <v/>
      </c>
      <c r="BD165" s="51">
        <f>IF(OR(N($BC165)=0,$BA165=""),"",($BA165-2*EdgeClr-IF($BC165=2,MeetClr,0))/$BC165)</f>
        <v/>
      </c>
      <c r="BE165" s="51">
        <f>IF(OR(N($BC165)=0,$BB165=""),"",$BB165-HeadClr-Undercut)</f>
        <v/>
      </c>
      <c r="BF165" s="51">
        <f>IF($BA165="","",$BA165+2*FaceW+IF(N($Q165)&gt;0,($Q165+FaceW)*IF($R165="LR",2,1),0))</f>
        <v/>
      </c>
      <c r="BG165" s="51">
        <f>IF($BB165="","",$BB165+IF($AB165="Y",4,FaceW)+IF(N($P165)&gt;0,$P165+FaceW,0)+IF(OR($S165="4F",$S165="BL"),FaceW,0))</f>
        <v/>
      </c>
      <c r="BH165" s="51">
        <f>IF($BF165="","",$BF165+2*ROSide)</f>
        <v/>
      </c>
      <c r="BI165" s="51">
        <f>IF($BG165="","",$BG165+ROTop)</f>
        <v/>
      </c>
      <c r="BJ165" s="52">
        <f>IF(OR(N($BC165)=0,$BA165=""),"",$BA165/$BC165-ClearDeduct)</f>
        <v/>
      </c>
      <c r="BK165" s="49">
        <f>IF(OR(N($BC165)=0,$BE165=""),"",IF(OR($AC165="HGC",$AP165="HGC"),"CONT",IF($BE165&lt;=60,2,IF($BE165&lt;=90,3,IF($BE165&lt;=120,4,5)))))</f>
        <v/>
      </c>
      <c r="BL165" s="49">
        <f>IF(N($BC165)=0,"",IF(OR($AL165="",$AL165="FLUSH"),"FLUSH",IFERROR(LEFT($AL165,FIND("-",$AL165)-1),LEFT($AL165,2))))</f>
        <v/>
      </c>
      <c r="BM165" s="49">
        <f>IF($BL165="","",IFERROR(VALUE(MID($AL165,FIND("-",$AL165)+1,FIND(CHAR(34)&amp;"x",$AL165)-FIND("-",$AL165)-1)),0))</f>
        <v/>
      </c>
      <c r="BN165" s="49">
        <f>IF($BL165="","",IFERROR(VALUE(MID($AL165,FIND(CHAR(34)&amp;"x",$AL165)+2,FIND(CHAR(34),$AL165,FIND(CHAR(34)&amp;"x",$AL165)+2)-FIND(CHAR(34)&amp;"x",$AL165)-2)),0))</f>
        <v/>
      </c>
      <c r="BO165" s="53">
        <f>IF(OR($A165="",$H165="",$H165="NO LAB"),0,IFERROR(VALUE(LEFT($H165,FIND(" ",$H165)-1)),0))</f>
        <v/>
      </c>
      <c r="BP165" s="54">
        <f>IF(OR($A165="",$I165="",$I165="NON-RATED",N($J165)=0),"",IFERROR(VLOOKUP($I165&amp;"|"&amp;$J165,IBC,2,FALSE),"?"))</f>
        <v/>
      </c>
      <c r="BQ165" s="50">
        <f>IF(NOT(AND($A165&lt;&gt;"",$C165&lt;&gt;"DOOR ONLY")),"",TRIM(IFERROR(VLOOKUP($U165,CODES,2,FALSE),"")&amp;" "&amp;$AZ165&amp;" "&amp;IFERROR(VLOOKUP($Z165,CODES,2,FALSE),"")&amp;" "&amp;IFERROR(VLOOKUP($X165,CODES,2,FALSE),"")&amp;" "&amp;IFERROR(VLOOKUP($S165,CODES,2,FALSE),"")&amp;IF(N($P165)&gt;0," w/TRANSOM "&amp;$P165&amp;CHAR(34),"")&amp;IF(N($Q165)&gt;0," w/SIDELITE "&amp;$Q165&amp;CHAR(34)&amp;" "&amp;IF($R165="","R",$R165),"")&amp;IF($Y165="","  |  "," | "&amp;IFERROR(VLOOKUP($Y165,CODES,2,FALSE),"")&amp;" | ")&amp;IFERROR(VLOOKUP($AC165,CODES,2,FALSE),"")&amp;" "&amp;IFERROR(VLOOKUP($AD165,CODES,2,FALSE),"")&amp;IF(OR($AE165="",$AE165="-"),""," "&amp;$AE165)&amp;IF(OR($AF165="",$AF165="-"),""," "&amp;$AF165)&amp;IF($AB165="Y"," 4"&amp;CHAR(34)&amp;" HEAD","")&amp;" "&amp;IFERROR(VLOOKUP($H165,CODES,2,FALSE),"")))</f>
        <v/>
      </c>
      <c r="BR165" s="50">
        <f>IF(NOT(AND($A165&lt;&gt;"",N($BC165)&gt;0)),"",TRIM(IFERROR(VLOOKUP($AH165,CODES,2,FALSE),"")&amp;IF($AI165=""," "," "&amp;$AI165&amp;"GA ")&amp;$AZ165&amp;" "&amp;IF($AN165="",IFERROR(VLOOKUP($Z165,CODES,2,FALSE),""),IFERROR(VLOOKUP($AN165,CODES,2,FALSE),""))&amp;IF($BC165=2," PAIR","")&amp;" DOOR | "&amp;IF($AL165="","?",$AL165)&amp;" | "&amp;IF($AP165="",IFERROR(VLOOKUP($AC165,CODES,2,FALSE),""),IFERROR(VLOOKUP($AP165,CODES,2,FALSE),""))&amp;" "&amp;IFERROR(VLOOKUP($AQ165,CODES,2,FALSE),"")&amp;IF(OR($AR165="",$AR165="-"),""," SEAM "&amp;$AR165)&amp;IF($AS165="Y"," ASTRAGAL","")&amp;IF($AJ165=""," "," "&amp;$AJ165)&amp;IF($AK165=""," "," "&amp;$AK165)&amp;IF($AO165="",""," "&amp;$AO165)&amp;IF($AM165=""," "," SERIES "&amp;$AM165)&amp;" "&amp;IFERROR(VLOOKUP($H165,CODES,2,FALSE),"")))</f>
        <v/>
      </c>
      <c r="BS165" s="49">
        <f>IF(BV165="","",IF(COUNTIF($BV$6:BV165,BV165)=1,MAX($BS$5:BS164)+1,INDEX($BS$5:BS164,MATCH(BV165,$BV$5:BV164,0))))</f>
        <v/>
      </c>
      <c r="BT165" s="49">
        <f>IF(NOT(AND($A165&lt;&gt;"",$C165&lt;&gt;"DOOR ONLY")),"",MAX($BT$5:BT164)+1)</f>
        <v/>
      </c>
      <c r="BU165" s="49">
        <f>IF(NOT(AND($A165&lt;&gt;"",N($BC165)&gt;0)),"",MAX($BU$5:BU164)+1)</f>
        <v/>
      </c>
      <c r="BV165" s="49">
        <f>IF(OR($A165="",$BA165="",$BB165=""),"",$AZ165&amp;"|"&amp;$O165&amp;"|"&amp;$AL165&amp;"|"&amp;$S165&amp;"|"&amp;$P165&amp;"|"&amp;$Q165&amp;$R165&amp;"|"&amp;$C165&amp;"|"&amp;$AB165)</f>
        <v/>
      </c>
      <c r="BW165" s="49">
        <f>IF($A165="","",IF($B165="","qty, ","")&amp;IF($C165="","scope, ","")&amp;IF(OR($K165="",$M165=""),"size, ","")&amp;IF(AND($A165&lt;&gt;"",$C165&lt;&gt;"DOOR ONLY"),IF($U165="","jamb depth, ","")&amp;IF($X165="","construction, ","")&amp;IF($Y165="","anchor, ","")&amp;IF($S165="","frame type, ",""),"")&amp;IF(AND(N($BC165)&gt;0,$Z165=""),"hand, ","")&amp;IF(N($BC165)&gt;0,IF($AH165="","door material, ","")&amp;IF($AL165="","face type, ","")&amp;IF($AQ165="","lock prep, ","")&amp;IF(AND($AP165="",$AC165=""),"hinge prep, ",""),"")&amp;IF(AND($BO165&gt;0,$AH165="FRP"),"FRP cannot carry a label, ","")&amp;IF(AND($O165="Y",OR($Z165="L",$Z165="R",$Z165="LR",$Z165="RR")),"pair marked but hand is single, ","")&amp;IF(AND($O165&lt;&gt;"Y",OR($Z165="PR",AND(LEN($Z165)&gt;1,ISNUMBER(SEARCH("-",$Z165))))),"pair hand on a single door, ","")&amp;IF(AND(ISNUMBER($BP165),$BO165&lt;N($BP165)),"wall needs a "&amp;$BP165&amp;" min door, ","")&amp;IF(AND($BO165&gt;=180,AND(OR($BL165="FG",$BL165="HG",$BL165="FNV",$BL165="FV"),N($BM165)*N($BN165)&gt;100)),"180 min lite over 100 sq in, ","")&amp;IF(N($BD165)&gt;48,"leaf wider than 4'-0"&amp;CHAR(34)&amp;", ",""))</f>
        <v/>
      </c>
      <c r="BX165" s="49">
        <f>IF($A165="","",IF(AND($BO165&gt;0,AND($A165&lt;&gt;"",$C165&lt;&gt;"DOOR ONLY"),$X165="KD",$E165="EXTERIOR"),"KD label on an exterior opening, ","")&amp;IF(AND($E165="EXTERIOR",OR(AND(AND($A165&lt;&gt;"",$C165&lt;&gt;"DOOR ONLY"),$W165="CR"),AND(N($BC165)&gt;0,$AH165="CR"))),"exterior in CR steel (G9?), ","")&amp;IF(AND(ISNUMBER($BJ165),N($BJ165)&lt;32),"clear width ~"&amp;TEXT($BJ165,"0.0")&amp;CHAR(34)&amp;" under 32"&amp;CHAR(34)&amp;" (ADA), ","")&amp;IF(AND($BO165=90,AND(OR($BL165="FG",$BL165="HG",$BL165="FNV",$BL165="FV"),N($BM165)*N($BN165)&gt;100)),"90 min lite over 100 sq in (stair/exit), ","")&amp;IF(AND($BO165&gt;0,AND($A165&lt;&gt;"",$C165&lt;&gt;"DOOR ONLY"),OR($AF165="",$AF165="-")),"rated: closer reinf.?, ","")&amp;IF(OR($I165="CORRIDOR",$I165="SMOKE BARRIER"),"S label + smoke gasketing, ","")&amp;IF($BP165="?","wall type/hr not in IBC table, ","")&amp;IF(AND(N($BC165)&gt;0,$AU165=""),"no hardware set, ","")&amp;IF(AND($AU165&lt;&gt;"",ISNA(MATCH($AU165,HWSets,0))),"set "&amp;$AU165&amp;" not on Hardware sheet, ","")&amp;IF(N($BE165)&gt;96,"leaf over 8'-0"&amp;CHAR(34)&amp;" - check listing, ",""))</f>
        <v/>
      </c>
    </row>
    <row r="166" ht="15" customHeight="1">
      <c r="A166" s="44" t="n"/>
      <c r="B166" s="45" t="n"/>
      <c r="C166" s="45" t="n"/>
      <c r="D166" s="45" t="n"/>
      <c r="E166" s="45" t="n"/>
      <c r="F166" s="45" t="n"/>
      <c r="G166" s="45" t="n"/>
      <c r="H166" s="45" t="n"/>
      <c r="I166" s="45" t="n"/>
      <c r="J166" s="45" t="n"/>
      <c r="K166" s="45" t="n"/>
      <c r="L166" s="45" t="n"/>
      <c r="M166" s="45" t="n"/>
      <c r="N166" s="45" t="n"/>
      <c r="O166" s="45" t="n"/>
      <c r="P166" s="45" t="n"/>
      <c r="Q166" s="45" t="n"/>
      <c r="R166" s="45" t="n"/>
      <c r="S166" s="46" t="n"/>
      <c r="T166" s="46" t="n"/>
      <c r="U166" s="46" t="n"/>
      <c r="V166" s="46" t="n"/>
      <c r="W166" s="46" t="n"/>
      <c r="X166" s="46" t="n"/>
      <c r="Y166" s="46" t="n"/>
      <c r="Z166" s="46" t="n"/>
      <c r="AA166" s="46" t="n"/>
      <c r="AB166" s="46" t="n"/>
      <c r="AC166" s="46" t="n"/>
      <c r="AD166" s="46" t="n"/>
      <c r="AE166" s="46" t="n"/>
      <c r="AF166" s="46" t="n"/>
      <c r="AG166" s="46" t="n"/>
      <c r="AH166" s="47" t="n"/>
      <c r="AI166" s="47" t="n"/>
      <c r="AJ166" s="47" t="n"/>
      <c r="AK166" s="47" t="n"/>
      <c r="AL166" s="47" t="n"/>
      <c r="AM166" s="47" t="n"/>
      <c r="AN166" s="47" t="n"/>
      <c r="AO166" s="47" t="n"/>
      <c r="AP166" s="47" t="n"/>
      <c r="AQ166" s="47" t="n"/>
      <c r="AR166" s="47" t="n"/>
      <c r="AS166" s="47" t="n"/>
      <c r="AT166" s="47" t="n"/>
      <c r="AU166" s="48" t="n"/>
      <c r="AV166" s="48" t="n"/>
      <c r="AW166" s="49">
        <f>IF($A166="","",IF($BW166&lt;&gt;"","FIX",IF($BX166&lt;&gt;"","CHECK","OK")))</f>
        <v/>
      </c>
      <c r="AX166" s="50">
        <f>IF($A166="","",IF($BW166&lt;&gt;"","FIX: "&amp;LEFT($BW166,LEN($BW166)-2)&amp;IF($BX166&lt;&gt;"","  ·  ",""),"")&amp;IF($BX166&lt;&gt;"","CHECK: "&amp;LEFT($BX166,LEN($BX166)-2),""))</f>
        <v/>
      </c>
      <c r="AY166" s="49">
        <f>IF(OR($A166="",$K166=""),"",$K166&amp;"'-"&amp;N($L166)&amp;CHAR(34)&amp;" x "&amp;$M166&amp;"'-"&amp;N($N166)&amp;CHAR(34))</f>
        <v/>
      </c>
      <c r="AZ166" s="49">
        <f>IF(OR($A166="",$K166=""),"",$K166&amp;N($L166)&amp;$M166&amp;N($N166))</f>
        <v/>
      </c>
      <c r="BA166" s="49">
        <f>IF(OR($A166="",$K166=""),"",$K166*12+N($L166))</f>
        <v/>
      </c>
      <c r="BB166" s="49">
        <f>IF(OR($A166="",$M166=""),"",$M166*12+N($N166))</f>
        <v/>
      </c>
      <c r="BC166" s="49">
        <f>IF($A166="","",IF(OR($C166="FRAME ONLY",$S166="BL"),0,IF($O166="Y",2,1)))</f>
        <v/>
      </c>
      <c r="BD166" s="51">
        <f>IF(OR(N($BC166)=0,$BA166=""),"",($BA166-2*EdgeClr-IF($BC166=2,MeetClr,0))/$BC166)</f>
        <v/>
      </c>
      <c r="BE166" s="51">
        <f>IF(OR(N($BC166)=0,$BB166=""),"",$BB166-HeadClr-Undercut)</f>
        <v/>
      </c>
      <c r="BF166" s="51">
        <f>IF($BA166="","",$BA166+2*FaceW+IF(N($Q166)&gt;0,($Q166+FaceW)*IF($R166="LR",2,1),0))</f>
        <v/>
      </c>
      <c r="BG166" s="51">
        <f>IF($BB166="","",$BB166+IF($AB166="Y",4,FaceW)+IF(N($P166)&gt;0,$P166+FaceW,0)+IF(OR($S166="4F",$S166="BL"),FaceW,0))</f>
        <v/>
      </c>
      <c r="BH166" s="51">
        <f>IF($BF166="","",$BF166+2*ROSide)</f>
        <v/>
      </c>
      <c r="BI166" s="51">
        <f>IF($BG166="","",$BG166+ROTop)</f>
        <v/>
      </c>
      <c r="BJ166" s="52">
        <f>IF(OR(N($BC166)=0,$BA166=""),"",$BA166/$BC166-ClearDeduct)</f>
        <v/>
      </c>
      <c r="BK166" s="49">
        <f>IF(OR(N($BC166)=0,$BE166=""),"",IF(OR($AC166="HGC",$AP166="HGC"),"CONT",IF($BE166&lt;=60,2,IF($BE166&lt;=90,3,IF($BE166&lt;=120,4,5)))))</f>
        <v/>
      </c>
      <c r="BL166" s="49">
        <f>IF(N($BC166)=0,"",IF(OR($AL166="",$AL166="FLUSH"),"FLUSH",IFERROR(LEFT($AL166,FIND("-",$AL166)-1),LEFT($AL166,2))))</f>
        <v/>
      </c>
      <c r="BM166" s="49">
        <f>IF($BL166="","",IFERROR(VALUE(MID($AL166,FIND("-",$AL166)+1,FIND(CHAR(34)&amp;"x",$AL166)-FIND("-",$AL166)-1)),0))</f>
        <v/>
      </c>
      <c r="BN166" s="49">
        <f>IF($BL166="","",IFERROR(VALUE(MID($AL166,FIND(CHAR(34)&amp;"x",$AL166)+2,FIND(CHAR(34),$AL166,FIND(CHAR(34)&amp;"x",$AL166)+2)-FIND(CHAR(34)&amp;"x",$AL166)-2)),0))</f>
        <v/>
      </c>
      <c r="BO166" s="53">
        <f>IF(OR($A166="",$H166="",$H166="NO LAB"),0,IFERROR(VALUE(LEFT($H166,FIND(" ",$H166)-1)),0))</f>
        <v/>
      </c>
      <c r="BP166" s="54">
        <f>IF(OR($A166="",$I166="",$I166="NON-RATED",N($J166)=0),"",IFERROR(VLOOKUP($I166&amp;"|"&amp;$J166,IBC,2,FALSE),"?"))</f>
        <v/>
      </c>
      <c r="BQ166" s="50">
        <f>IF(NOT(AND($A166&lt;&gt;"",$C166&lt;&gt;"DOOR ONLY")),"",TRIM(IFERROR(VLOOKUP($U166,CODES,2,FALSE),"")&amp;" "&amp;$AZ166&amp;" "&amp;IFERROR(VLOOKUP($Z166,CODES,2,FALSE),"")&amp;" "&amp;IFERROR(VLOOKUP($X166,CODES,2,FALSE),"")&amp;" "&amp;IFERROR(VLOOKUP($S166,CODES,2,FALSE),"")&amp;IF(N($P166)&gt;0," w/TRANSOM "&amp;$P166&amp;CHAR(34),"")&amp;IF(N($Q166)&gt;0," w/SIDELITE "&amp;$Q166&amp;CHAR(34)&amp;" "&amp;IF($R166="","R",$R166),"")&amp;IF($Y166="","  |  "," | "&amp;IFERROR(VLOOKUP($Y166,CODES,2,FALSE),"")&amp;" | ")&amp;IFERROR(VLOOKUP($AC166,CODES,2,FALSE),"")&amp;" "&amp;IFERROR(VLOOKUP($AD166,CODES,2,FALSE),"")&amp;IF(OR($AE166="",$AE166="-"),""," "&amp;$AE166)&amp;IF(OR($AF166="",$AF166="-"),""," "&amp;$AF166)&amp;IF($AB166="Y"," 4"&amp;CHAR(34)&amp;" HEAD","")&amp;" "&amp;IFERROR(VLOOKUP($H166,CODES,2,FALSE),"")))</f>
        <v/>
      </c>
      <c r="BR166" s="50">
        <f>IF(NOT(AND($A166&lt;&gt;"",N($BC166)&gt;0)),"",TRIM(IFERROR(VLOOKUP($AH166,CODES,2,FALSE),"")&amp;IF($AI166=""," "," "&amp;$AI166&amp;"GA ")&amp;$AZ166&amp;" "&amp;IF($AN166="",IFERROR(VLOOKUP($Z166,CODES,2,FALSE),""),IFERROR(VLOOKUP($AN166,CODES,2,FALSE),""))&amp;IF($BC166=2," PAIR","")&amp;" DOOR | "&amp;IF($AL166="","?",$AL166)&amp;" | "&amp;IF($AP166="",IFERROR(VLOOKUP($AC166,CODES,2,FALSE),""),IFERROR(VLOOKUP($AP166,CODES,2,FALSE),""))&amp;" "&amp;IFERROR(VLOOKUP($AQ166,CODES,2,FALSE),"")&amp;IF(OR($AR166="",$AR166="-"),""," SEAM "&amp;$AR166)&amp;IF($AS166="Y"," ASTRAGAL","")&amp;IF($AJ166=""," "," "&amp;$AJ166)&amp;IF($AK166=""," "," "&amp;$AK166)&amp;IF($AO166="",""," "&amp;$AO166)&amp;IF($AM166=""," "," SERIES "&amp;$AM166)&amp;" "&amp;IFERROR(VLOOKUP($H166,CODES,2,FALSE),"")))</f>
        <v/>
      </c>
      <c r="BS166" s="49">
        <f>IF(BV166="","",IF(COUNTIF($BV$6:BV166,BV166)=1,MAX($BS$5:BS165)+1,INDEX($BS$5:BS165,MATCH(BV166,$BV$5:BV165,0))))</f>
        <v/>
      </c>
      <c r="BT166" s="49">
        <f>IF(NOT(AND($A166&lt;&gt;"",$C166&lt;&gt;"DOOR ONLY")),"",MAX($BT$5:BT165)+1)</f>
        <v/>
      </c>
      <c r="BU166" s="49">
        <f>IF(NOT(AND($A166&lt;&gt;"",N($BC166)&gt;0)),"",MAX($BU$5:BU165)+1)</f>
        <v/>
      </c>
      <c r="BV166" s="49">
        <f>IF(OR($A166="",$BA166="",$BB166=""),"",$AZ166&amp;"|"&amp;$O166&amp;"|"&amp;$AL166&amp;"|"&amp;$S166&amp;"|"&amp;$P166&amp;"|"&amp;$Q166&amp;$R166&amp;"|"&amp;$C166&amp;"|"&amp;$AB166)</f>
        <v/>
      </c>
      <c r="BW166" s="49">
        <f>IF($A166="","",IF($B166="","qty, ","")&amp;IF($C166="","scope, ","")&amp;IF(OR($K166="",$M166=""),"size, ","")&amp;IF(AND($A166&lt;&gt;"",$C166&lt;&gt;"DOOR ONLY"),IF($U166="","jamb depth, ","")&amp;IF($X166="","construction, ","")&amp;IF($Y166="","anchor, ","")&amp;IF($S166="","frame type, ",""),"")&amp;IF(AND(N($BC166)&gt;0,$Z166=""),"hand, ","")&amp;IF(N($BC166)&gt;0,IF($AH166="","door material, ","")&amp;IF($AL166="","face type, ","")&amp;IF($AQ166="","lock prep, ","")&amp;IF(AND($AP166="",$AC166=""),"hinge prep, ",""),"")&amp;IF(AND($BO166&gt;0,$AH166="FRP"),"FRP cannot carry a label, ","")&amp;IF(AND($O166="Y",OR($Z166="L",$Z166="R",$Z166="LR",$Z166="RR")),"pair marked but hand is single, ","")&amp;IF(AND($O166&lt;&gt;"Y",OR($Z166="PR",AND(LEN($Z166)&gt;1,ISNUMBER(SEARCH("-",$Z166))))),"pair hand on a single door, ","")&amp;IF(AND(ISNUMBER($BP166),$BO166&lt;N($BP166)),"wall needs a "&amp;$BP166&amp;" min door, ","")&amp;IF(AND($BO166&gt;=180,AND(OR($BL166="FG",$BL166="HG",$BL166="FNV",$BL166="FV"),N($BM166)*N($BN166)&gt;100)),"180 min lite over 100 sq in, ","")&amp;IF(N($BD166)&gt;48,"leaf wider than 4'-0"&amp;CHAR(34)&amp;", ",""))</f>
        <v/>
      </c>
      <c r="BX166" s="49">
        <f>IF($A166="","",IF(AND($BO166&gt;0,AND($A166&lt;&gt;"",$C166&lt;&gt;"DOOR ONLY"),$X166="KD",$E166="EXTERIOR"),"KD label on an exterior opening, ","")&amp;IF(AND($E166="EXTERIOR",OR(AND(AND($A166&lt;&gt;"",$C166&lt;&gt;"DOOR ONLY"),$W166="CR"),AND(N($BC166)&gt;0,$AH166="CR"))),"exterior in CR steel (G9?), ","")&amp;IF(AND(ISNUMBER($BJ166),N($BJ166)&lt;32),"clear width ~"&amp;TEXT($BJ166,"0.0")&amp;CHAR(34)&amp;" under 32"&amp;CHAR(34)&amp;" (ADA), ","")&amp;IF(AND($BO166=90,AND(OR($BL166="FG",$BL166="HG",$BL166="FNV",$BL166="FV"),N($BM166)*N($BN166)&gt;100)),"90 min lite over 100 sq in (stair/exit), ","")&amp;IF(AND($BO166&gt;0,AND($A166&lt;&gt;"",$C166&lt;&gt;"DOOR ONLY"),OR($AF166="",$AF166="-")),"rated: closer reinf.?, ","")&amp;IF(OR($I166="CORRIDOR",$I166="SMOKE BARRIER"),"S label + smoke gasketing, ","")&amp;IF($BP166="?","wall type/hr not in IBC table, ","")&amp;IF(AND(N($BC166)&gt;0,$AU166=""),"no hardware set, ","")&amp;IF(AND($AU166&lt;&gt;"",ISNA(MATCH($AU166,HWSets,0))),"set "&amp;$AU166&amp;" not on Hardware sheet, ","")&amp;IF(N($BE166)&gt;96,"leaf over 8'-0"&amp;CHAR(34)&amp;" - check listing, ",""))</f>
        <v/>
      </c>
    </row>
    <row r="167" ht="15" customHeight="1">
      <c r="A167" s="44" t="n"/>
      <c r="B167" s="45" t="n"/>
      <c r="C167" s="45" t="n"/>
      <c r="D167" s="45" t="n"/>
      <c r="E167" s="45" t="n"/>
      <c r="F167" s="45" t="n"/>
      <c r="G167" s="45" t="n"/>
      <c r="H167" s="45" t="n"/>
      <c r="I167" s="45" t="n"/>
      <c r="J167" s="45" t="n"/>
      <c r="K167" s="45" t="n"/>
      <c r="L167" s="45" t="n"/>
      <c r="M167" s="45" t="n"/>
      <c r="N167" s="45" t="n"/>
      <c r="O167" s="45" t="n"/>
      <c r="P167" s="45" t="n"/>
      <c r="Q167" s="45" t="n"/>
      <c r="R167" s="45" t="n"/>
      <c r="S167" s="46" t="n"/>
      <c r="T167" s="46" t="n"/>
      <c r="U167" s="46" t="n"/>
      <c r="V167" s="46" t="n"/>
      <c r="W167" s="46" t="n"/>
      <c r="X167" s="46" t="n"/>
      <c r="Y167" s="46" t="n"/>
      <c r="Z167" s="46" t="n"/>
      <c r="AA167" s="46" t="n"/>
      <c r="AB167" s="46" t="n"/>
      <c r="AC167" s="46" t="n"/>
      <c r="AD167" s="46" t="n"/>
      <c r="AE167" s="46" t="n"/>
      <c r="AF167" s="46" t="n"/>
      <c r="AG167" s="46" t="n"/>
      <c r="AH167" s="47" t="n"/>
      <c r="AI167" s="47" t="n"/>
      <c r="AJ167" s="47" t="n"/>
      <c r="AK167" s="47" t="n"/>
      <c r="AL167" s="47" t="n"/>
      <c r="AM167" s="47" t="n"/>
      <c r="AN167" s="47" t="n"/>
      <c r="AO167" s="47" t="n"/>
      <c r="AP167" s="47" t="n"/>
      <c r="AQ167" s="47" t="n"/>
      <c r="AR167" s="47" t="n"/>
      <c r="AS167" s="47" t="n"/>
      <c r="AT167" s="47" t="n"/>
      <c r="AU167" s="48" t="n"/>
      <c r="AV167" s="48" t="n"/>
      <c r="AW167" s="49">
        <f>IF($A167="","",IF($BW167&lt;&gt;"","FIX",IF($BX167&lt;&gt;"","CHECK","OK")))</f>
        <v/>
      </c>
      <c r="AX167" s="50">
        <f>IF($A167="","",IF($BW167&lt;&gt;"","FIX: "&amp;LEFT($BW167,LEN($BW167)-2)&amp;IF($BX167&lt;&gt;"","  ·  ",""),"")&amp;IF($BX167&lt;&gt;"","CHECK: "&amp;LEFT($BX167,LEN($BX167)-2),""))</f>
        <v/>
      </c>
      <c r="AY167" s="49">
        <f>IF(OR($A167="",$K167=""),"",$K167&amp;"'-"&amp;N($L167)&amp;CHAR(34)&amp;" x "&amp;$M167&amp;"'-"&amp;N($N167)&amp;CHAR(34))</f>
        <v/>
      </c>
      <c r="AZ167" s="49">
        <f>IF(OR($A167="",$K167=""),"",$K167&amp;N($L167)&amp;$M167&amp;N($N167))</f>
        <v/>
      </c>
      <c r="BA167" s="49">
        <f>IF(OR($A167="",$K167=""),"",$K167*12+N($L167))</f>
        <v/>
      </c>
      <c r="BB167" s="49">
        <f>IF(OR($A167="",$M167=""),"",$M167*12+N($N167))</f>
        <v/>
      </c>
      <c r="BC167" s="49">
        <f>IF($A167="","",IF(OR($C167="FRAME ONLY",$S167="BL"),0,IF($O167="Y",2,1)))</f>
        <v/>
      </c>
      <c r="BD167" s="51">
        <f>IF(OR(N($BC167)=0,$BA167=""),"",($BA167-2*EdgeClr-IF($BC167=2,MeetClr,0))/$BC167)</f>
        <v/>
      </c>
      <c r="BE167" s="51">
        <f>IF(OR(N($BC167)=0,$BB167=""),"",$BB167-HeadClr-Undercut)</f>
        <v/>
      </c>
      <c r="BF167" s="51">
        <f>IF($BA167="","",$BA167+2*FaceW+IF(N($Q167)&gt;0,($Q167+FaceW)*IF($R167="LR",2,1),0))</f>
        <v/>
      </c>
      <c r="BG167" s="51">
        <f>IF($BB167="","",$BB167+IF($AB167="Y",4,FaceW)+IF(N($P167)&gt;0,$P167+FaceW,0)+IF(OR($S167="4F",$S167="BL"),FaceW,0))</f>
        <v/>
      </c>
      <c r="BH167" s="51">
        <f>IF($BF167="","",$BF167+2*ROSide)</f>
        <v/>
      </c>
      <c r="BI167" s="51">
        <f>IF($BG167="","",$BG167+ROTop)</f>
        <v/>
      </c>
      <c r="BJ167" s="52">
        <f>IF(OR(N($BC167)=0,$BA167=""),"",$BA167/$BC167-ClearDeduct)</f>
        <v/>
      </c>
      <c r="BK167" s="49">
        <f>IF(OR(N($BC167)=0,$BE167=""),"",IF(OR($AC167="HGC",$AP167="HGC"),"CONT",IF($BE167&lt;=60,2,IF($BE167&lt;=90,3,IF($BE167&lt;=120,4,5)))))</f>
        <v/>
      </c>
      <c r="BL167" s="49">
        <f>IF(N($BC167)=0,"",IF(OR($AL167="",$AL167="FLUSH"),"FLUSH",IFERROR(LEFT($AL167,FIND("-",$AL167)-1),LEFT($AL167,2))))</f>
        <v/>
      </c>
      <c r="BM167" s="49">
        <f>IF($BL167="","",IFERROR(VALUE(MID($AL167,FIND("-",$AL167)+1,FIND(CHAR(34)&amp;"x",$AL167)-FIND("-",$AL167)-1)),0))</f>
        <v/>
      </c>
      <c r="BN167" s="49">
        <f>IF($BL167="","",IFERROR(VALUE(MID($AL167,FIND(CHAR(34)&amp;"x",$AL167)+2,FIND(CHAR(34),$AL167,FIND(CHAR(34)&amp;"x",$AL167)+2)-FIND(CHAR(34)&amp;"x",$AL167)-2)),0))</f>
        <v/>
      </c>
      <c r="BO167" s="53">
        <f>IF(OR($A167="",$H167="",$H167="NO LAB"),0,IFERROR(VALUE(LEFT($H167,FIND(" ",$H167)-1)),0))</f>
        <v/>
      </c>
      <c r="BP167" s="54">
        <f>IF(OR($A167="",$I167="",$I167="NON-RATED",N($J167)=0),"",IFERROR(VLOOKUP($I167&amp;"|"&amp;$J167,IBC,2,FALSE),"?"))</f>
        <v/>
      </c>
      <c r="BQ167" s="50">
        <f>IF(NOT(AND($A167&lt;&gt;"",$C167&lt;&gt;"DOOR ONLY")),"",TRIM(IFERROR(VLOOKUP($U167,CODES,2,FALSE),"")&amp;" "&amp;$AZ167&amp;" "&amp;IFERROR(VLOOKUP($Z167,CODES,2,FALSE),"")&amp;" "&amp;IFERROR(VLOOKUP($X167,CODES,2,FALSE),"")&amp;" "&amp;IFERROR(VLOOKUP($S167,CODES,2,FALSE),"")&amp;IF(N($P167)&gt;0," w/TRANSOM "&amp;$P167&amp;CHAR(34),"")&amp;IF(N($Q167)&gt;0," w/SIDELITE "&amp;$Q167&amp;CHAR(34)&amp;" "&amp;IF($R167="","R",$R167),"")&amp;IF($Y167="","  |  "," | "&amp;IFERROR(VLOOKUP($Y167,CODES,2,FALSE),"")&amp;" | ")&amp;IFERROR(VLOOKUP($AC167,CODES,2,FALSE),"")&amp;" "&amp;IFERROR(VLOOKUP($AD167,CODES,2,FALSE),"")&amp;IF(OR($AE167="",$AE167="-"),""," "&amp;$AE167)&amp;IF(OR($AF167="",$AF167="-"),""," "&amp;$AF167)&amp;IF($AB167="Y"," 4"&amp;CHAR(34)&amp;" HEAD","")&amp;" "&amp;IFERROR(VLOOKUP($H167,CODES,2,FALSE),"")))</f>
        <v/>
      </c>
      <c r="BR167" s="50">
        <f>IF(NOT(AND($A167&lt;&gt;"",N($BC167)&gt;0)),"",TRIM(IFERROR(VLOOKUP($AH167,CODES,2,FALSE),"")&amp;IF($AI167=""," "," "&amp;$AI167&amp;"GA ")&amp;$AZ167&amp;" "&amp;IF($AN167="",IFERROR(VLOOKUP($Z167,CODES,2,FALSE),""),IFERROR(VLOOKUP($AN167,CODES,2,FALSE),""))&amp;IF($BC167=2," PAIR","")&amp;" DOOR | "&amp;IF($AL167="","?",$AL167)&amp;" | "&amp;IF($AP167="",IFERROR(VLOOKUP($AC167,CODES,2,FALSE),""),IFERROR(VLOOKUP($AP167,CODES,2,FALSE),""))&amp;" "&amp;IFERROR(VLOOKUP($AQ167,CODES,2,FALSE),"")&amp;IF(OR($AR167="",$AR167="-"),""," SEAM "&amp;$AR167)&amp;IF($AS167="Y"," ASTRAGAL","")&amp;IF($AJ167=""," "," "&amp;$AJ167)&amp;IF($AK167=""," "," "&amp;$AK167)&amp;IF($AO167="",""," "&amp;$AO167)&amp;IF($AM167=""," "," SERIES "&amp;$AM167)&amp;" "&amp;IFERROR(VLOOKUP($H167,CODES,2,FALSE),"")))</f>
        <v/>
      </c>
      <c r="BS167" s="49">
        <f>IF(BV167="","",IF(COUNTIF($BV$6:BV167,BV167)=1,MAX($BS$5:BS166)+1,INDEX($BS$5:BS166,MATCH(BV167,$BV$5:BV166,0))))</f>
        <v/>
      </c>
      <c r="BT167" s="49">
        <f>IF(NOT(AND($A167&lt;&gt;"",$C167&lt;&gt;"DOOR ONLY")),"",MAX($BT$5:BT166)+1)</f>
        <v/>
      </c>
      <c r="BU167" s="49">
        <f>IF(NOT(AND($A167&lt;&gt;"",N($BC167)&gt;0)),"",MAX($BU$5:BU166)+1)</f>
        <v/>
      </c>
      <c r="BV167" s="49">
        <f>IF(OR($A167="",$BA167="",$BB167=""),"",$AZ167&amp;"|"&amp;$O167&amp;"|"&amp;$AL167&amp;"|"&amp;$S167&amp;"|"&amp;$P167&amp;"|"&amp;$Q167&amp;$R167&amp;"|"&amp;$C167&amp;"|"&amp;$AB167)</f>
        <v/>
      </c>
      <c r="BW167" s="49">
        <f>IF($A167="","",IF($B167="","qty, ","")&amp;IF($C167="","scope, ","")&amp;IF(OR($K167="",$M167=""),"size, ","")&amp;IF(AND($A167&lt;&gt;"",$C167&lt;&gt;"DOOR ONLY"),IF($U167="","jamb depth, ","")&amp;IF($X167="","construction, ","")&amp;IF($Y167="","anchor, ","")&amp;IF($S167="","frame type, ",""),"")&amp;IF(AND(N($BC167)&gt;0,$Z167=""),"hand, ","")&amp;IF(N($BC167)&gt;0,IF($AH167="","door material, ","")&amp;IF($AL167="","face type, ","")&amp;IF($AQ167="","lock prep, ","")&amp;IF(AND($AP167="",$AC167=""),"hinge prep, ",""),"")&amp;IF(AND($BO167&gt;0,$AH167="FRP"),"FRP cannot carry a label, ","")&amp;IF(AND($O167="Y",OR($Z167="L",$Z167="R",$Z167="LR",$Z167="RR")),"pair marked but hand is single, ","")&amp;IF(AND($O167&lt;&gt;"Y",OR($Z167="PR",AND(LEN($Z167)&gt;1,ISNUMBER(SEARCH("-",$Z167))))),"pair hand on a single door, ","")&amp;IF(AND(ISNUMBER($BP167),$BO167&lt;N($BP167)),"wall needs a "&amp;$BP167&amp;" min door, ","")&amp;IF(AND($BO167&gt;=180,AND(OR($BL167="FG",$BL167="HG",$BL167="FNV",$BL167="FV"),N($BM167)*N($BN167)&gt;100)),"180 min lite over 100 sq in, ","")&amp;IF(N($BD167)&gt;48,"leaf wider than 4'-0"&amp;CHAR(34)&amp;", ",""))</f>
        <v/>
      </c>
      <c r="BX167" s="49">
        <f>IF($A167="","",IF(AND($BO167&gt;0,AND($A167&lt;&gt;"",$C167&lt;&gt;"DOOR ONLY"),$X167="KD",$E167="EXTERIOR"),"KD label on an exterior opening, ","")&amp;IF(AND($E167="EXTERIOR",OR(AND(AND($A167&lt;&gt;"",$C167&lt;&gt;"DOOR ONLY"),$W167="CR"),AND(N($BC167)&gt;0,$AH167="CR"))),"exterior in CR steel (G9?), ","")&amp;IF(AND(ISNUMBER($BJ167),N($BJ167)&lt;32),"clear width ~"&amp;TEXT($BJ167,"0.0")&amp;CHAR(34)&amp;" under 32"&amp;CHAR(34)&amp;" (ADA), ","")&amp;IF(AND($BO167=90,AND(OR($BL167="FG",$BL167="HG",$BL167="FNV",$BL167="FV"),N($BM167)*N($BN167)&gt;100)),"90 min lite over 100 sq in (stair/exit), ","")&amp;IF(AND($BO167&gt;0,AND($A167&lt;&gt;"",$C167&lt;&gt;"DOOR ONLY"),OR($AF167="",$AF167="-")),"rated: closer reinf.?, ","")&amp;IF(OR($I167="CORRIDOR",$I167="SMOKE BARRIER"),"S label + smoke gasketing, ","")&amp;IF($BP167="?","wall type/hr not in IBC table, ","")&amp;IF(AND(N($BC167)&gt;0,$AU167=""),"no hardware set, ","")&amp;IF(AND($AU167&lt;&gt;"",ISNA(MATCH($AU167,HWSets,0))),"set "&amp;$AU167&amp;" not on Hardware sheet, ","")&amp;IF(N($BE167)&gt;96,"leaf over 8'-0"&amp;CHAR(34)&amp;" - check listing, ",""))</f>
        <v/>
      </c>
    </row>
    <row r="168" ht="15" customHeight="1">
      <c r="A168" s="44" t="n"/>
      <c r="B168" s="45" t="n"/>
      <c r="C168" s="45" t="n"/>
      <c r="D168" s="45" t="n"/>
      <c r="E168" s="45" t="n"/>
      <c r="F168" s="45" t="n"/>
      <c r="G168" s="45" t="n"/>
      <c r="H168" s="45" t="n"/>
      <c r="I168" s="45" t="n"/>
      <c r="J168" s="45" t="n"/>
      <c r="K168" s="45" t="n"/>
      <c r="L168" s="45" t="n"/>
      <c r="M168" s="45" t="n"/>
      <c r="N168" s="45" t="n"/>
      <c r="O168" s="45" t="n"/>
      <c r="P168" s="45" t="n"/>
      <c r="Q168" s="45" t="n"/>
      <c r="R168" s="45" t="n"/>
      <c r="S168" s="46" t="n"/>
      <c r="T168" s="46" t="n"/>
      <c r="U168" s="46" t="n"/>
      <c r="V168" s="46" t="n"/>
      <c r="W168" s="46" t="n"/>
      <c r="X168" s="46" t="n"/>
      <c r="Y168" s="46" t="n"/>
      <c r="Z168" s="46" t="n"/>
      <c r="AA168" s="46" t="n"/>
      <c r="AB168" s="46" t="n"/>
      <c r="AC168" s="46" t="n"/>
      <c r="AD168" s="46" t="n"/>
      <c r="AE168" s="46" t="n"/>
      <c r="AF168" s="46" t="n"/>
      <c r="AG168" s="46" t="n"/>
      <c r="AH168" s="47" t="n"/>
      <c r="AI168" s="47" t="n"/>
      <c r="AJ168" s="47" t="n"/>
      <c r="AK168" s="47" t="n"/>
      <c r="AL168" s="47" t="n"/>
      <c r="AM168" s="47" t="n"/>
      <c r="AN168" s="47" t="n"/>
      <c r="AO168" s="47" t="n"/>
      <c r="AP168" s="47" t="n"/>
      <c r="AQ168" s="47" t="n"/>
      <c r="AR168" s="47" t="n"/>
      <c r="AS168" s="47" t="n"/>
      <c r="AT168" s="47" t="n"/>
      <c r="AU168" s="48" t="n"/>
      <c r="AV168" s="48" t="n"/>
      <c r="AW168" s="49">
        <f>IF($A168="","",IF($BW168&lt;&gt;"","FIX",IF($BX168&lt;&gt;"","CHECK","OK")))</f>
        <v/>
      </c>
      <c r="AX168" s="50">
        <f>IF($A168="","",IF($BW168&lt;&gt;"","FIX: "&amp;LEFT($BW168,LEN($BW168)-2)&amp;IF($BX168&lt;&gt;"","  ·  ",""),"")&amp;IF($BX168&lt;&gt;"","CHECK: "&amp;LEFT($BX168,LEN($BX168)-2),""))</f>
        <v/>
      </c>
      <c r="AY168" s="49">
        <f>IF(OR($A168="",$K168=""),"",$K168&amp;"'-"&amp;N($L168)&amp;CHAR(34)&amp;" x "&amp;$M168&amp;"'-"&amp;N($N168)&amp;CHAR(34))</f>
        <v/>
      </c>
      <c r="AZ168" s="49">
        <f>IF(OR($A168="",$K168=""),"",$K168&amp;N($L168)&amp;$M168&amp;N($N168))</f>
        <v/>
      </c>
      <c r="BA168" s="49">
        <f>IF(OR($A168="",$K168=""),"",$K168*12+N($L168))</f>
        <v/>
      </c>
      <c r="BB168" s="49">
        <f>IF(OR($A168="",$M168=""),"",$M168*12+N($N168))</f>
        <v/>
      </c>
      <c r="BC168" s="49">
        <f>IF($A168="","",IF(OR($C168="FRAME ONLY",$S168="BL"),0,IF($O168="Y",2,1)))</f>
        <v/>
      </c>
      <c r="BD168" s="51">
        <f>IF(OR(N($BC168)=0,$BA168=""),"",($BA168-2*EdgeClr-IF($BC168=2,MeetClr,0))/$BC168)</f>
        <v/>
      </c>
      <c r="BE168" s="51">
        <f>IF(OR(N($BC168)=0,$BB168=""),"",$BB168-HeadClr-Undercut)</f>
        <v/>
      </c>
      <c r="BF168" s="51">
        <f>IF($BA168="","",$BA168+2*FaceW+IF(N($Q168)&gt;0,($Q168+FaceW)*IF($R168="LR",2,1),0))</f>
        <v/>
      </c>
      <c r="BG168" s="51">
        <f>IF($BB168="","",$BB168+IF($AB168="Y",4,FaceW)+IF(N($P168)&gt;0,$P168+FaceW,0)+IF(OR($S168="4F",$S168="BL"),FaceW,0))</f>
        <v/>
      </c>
      <c r="BH168" s="51">
        <f>IF($BF168="","",$BF168+2*ROSide)</f>
        <v/>
      </c>
      <c r="BI168" s="51">
        <f>IF($BG168="","",$BG168+ROTop)</f>
        <v/>
      </c>
      <c r="BJ168" s="52">
        <f>IF(OR(N($BC168)=0,$BA168=""),"",$BA168/$BC168-ClearDeduct)</f>
        <v/>
      </c>
      <c r="BK168" s="49">
        <f>IF(OR(N($BC168)=0,$BE168=""),"",IF(OR($AC168="HGC",$AP168="HGC"),"CONT",IF($BE168&lt;=60,2,IF($BE168&lt;=90,3,IF($BE168&lt;=120,4,5)))))</f>
        <v/>
      </c>
      <c r="BL168" s="49">
        <f>IF(N($BC168)=0,"",IF(OR($AL168="",$AL168="FLUSH"),"FLUSH",IFERROR(LEFT($AL168,FIND("-",$AL168)-1),LEFT($AL168,2))))</f>
        <v/>
      </c>
      <c r="BM168" s="49">
        <f>IF($BL168="","",IFERROR(VALUE(MID($AL168,FIND("-",$AL168)+1,FIND(CHAR(34)&amp;"x",$AL168)-FIND("-",$AL168)-1)),0))</f>
        <v/>
      </c>
      <c r="BN168" s="49">
        <f>IF($BL168="","",IFERROR(VALUE(MID($AL168,FIND(CHAR(34)&amp;"x",$AL168)+2,FIND(CHAR(34),$AL168,FIND(CHAR(34)&amp;"x",$AL168)+2)-FIND(CHAR(34)&amp;"x",$AL168)-2)),0))</f>
        <v/>
      </c>
      <c r="BO168" s="53">
        <f>IF(OR($A168="",$H168="",$H168="NO LAB"),0,IFERROR(VALUE(LEFT($H168,FIND(" ",$H168)-1)),0))</f>
        <v/>
      </c>
      <c r="BP168" s="54">
        <f>IF(OR($A168="",$I168="",$I168="NON-RATED",N($J168)=0),"",IFERROR(VLOOKUP($I168&amp;"|"&amp;$J168,IBC,2,FALSE),"?"))</f>
        <v/>
      </c>
      <c r="BQ168" s="50">
        <f>IF(NOT(AND($A168&lt;&gt;"",$C168&lt;&gt;"DOOR ONLY")),"",TRIM(IFERROR(VLOOKUP($U168,CODES,2,FALSE),"")&amp;" "&amp;$AZ168&amp;" "&amp;IFERROR(VLOOKUP($Z168,CODES,2,FALSE),"")&amp;" "&amp;IFERROR(VLOOKUP($X168,CODES,2,FALSE),"")&amp;" "&amp;IFERROR(VLOOKUP($S168,CODES,2,FALSE),"")&amp;IF(N($P168)&gt;0," w/TRANSOM "&amp;$P168&amp;CHAR(34),"")&amp;IF(N($Q168)&gt;0," w/SIDELITE "&amp;$Q168&amp;CHAR(34)&amp;" "&amp;IF($R168="","R",$R168),"")&amp;IF($Y168="","  |  "," | "&amp;IFERROR(VLOOKUP($Y168,CODES,2,FALSE),"")&amp;" | ")&amp;IFERROR(VLOOKUP($AC168,CODES,2,FALSE),"")&amp;" "&amp;IFERROR(VLOOKUP($AD168,CODES,2,FALSE),"")&amp;IF(OR($AE168="",$AE168="-"),""," "&amp;$AE168)&amp;IF(OR($AF168="",$AF168="-"),""," "&amp;$AF168)&amp;IF($AB168="Y"," 4"&amp;CHAR(34)&amp;" HEAD","")&amp;" "&amp;IFERROR(VLOOKUP($H168,CODES,2,FALSE),"")))</f>
        <v/>
      </c>
      <c r="BR168" s="50">
        <f>IF(NOT(AND($A168&lt;&gt;"",N($BC168)&gt;0)),"",TRIM(IFERROR(VLOOKUP($AH168,CODES,2,FALSE),"")&amp;IF($AI168=""," "," "&amp;$AI168&amp;"GA ")&amp;$AZ168&amp;" "&amp;IF($AN168="",IFERROR(VLOOKUP($Z168,CODES,2,FALSE),""),IFERROR(VLOOKUP($AN168,CODES,2,FALSE),""))&amp;IF($BC168=2," PAIR","")&amp;" DOOR | "&amp;IF($AL168="","?",$AL168)&amp;" | "&amp;IF($AP168="",IFERROR(VLOOKUP($AC168,CODES,2,FALSE),""),IFERROR(VLOOKUP($AP168,CODES,2,FALSE),""))&amp;" "&amp;IFERROR(VLOOKUP($AQ168,CODES,2,FALSE),"")&amp;IF(OR($AR168="",$AR168="-"),""," SEAM "&amp;$AR168)&amp;IF($AS168="Y"," ASTRAGAL","")&amp;IF($AJ168=""," "," "&amp;$AJ168)&amp;IF($AK168=""," "," "&amp;$AK168)&amp;IF($AO168="",""," "&amp;$AO168)&amp;IF($AM168=""," "," SERIES "&amp;$AM168)&amp;" "&amp;IFERROR(VLOOKUP($H168,CODES,2,FALSE),"")))</f>
        <v/>
      </c>
      <c r="BS168" s="49">
        <f>IF(BV168="","",IF(COUNTIF($BV$6:BV168,BV168)=1,MAX($BS$5:BS167)+1,INDEX($BS$5:BS167,MATCH(BV168,$BV$5:BV167,0))))</f>
        <v/>
      </c>
      <c r="BT168" s="49">
        <f>IF(NOT(AND($A168&lt;&gt;"",$C168&lt;&gt;"DOOR ONLY")),"",MAX($BT$5:BT167)+1)</f>
        <v/>
      </c>
      <c r="BU168" s="49">
        <f>IF(NOT(AND($A168&lt;&gt;"",N($BC168)&gt;0)),"",MAX($BU$5:BU167)+1)</f>
        <v/>
      </c>
      <c r="BV168" s="49">
        <f>IF(OR($A168="",$BA168="",$BB168=""),"",$AZ168&amp;"|"&amp;$O168&amp;"|"&amp;$AL168&amp;"|"&amp;$S168&amp;"|"&amp;$P168&amp;"|"&amp;$Q168&amp;$R168&amp;"|"&amp;$C168&amp;"|"&amp;$AB168)</f>
        <v/>
      </c>
      <c r="BW168" s="49">
        <f>IF($A168="","",IF($B168="","qty, ","")&amp;IF($C168="","scope, ","")&amp;IF(OR($K168="",$M168=""),"size, ","")&amp;IF(AND($A168&lt;&gt;"",$C168&lt;&gt;"DOOR ONLY"),IF($U168="","jamb depth, ","")&amp;IF($X168="","construction, ","")&amp;IF($Y168="","anchor, ","")&amp;IF($S168="","frame type, ",""),"")&amp;IF(AND(N($BC168)&gt;0,$Z168=""),"hand, ","")&amp;IF(N($BC168)&gt;0,IF($AH168="","door material, ","")&amp;IF($AL168="","face type, ","")&amp;IF($AQ168="","lock prep, ","")&amp;IF(AND($AP168="",$AC168=""),"hinge prep, ",""),"")&amp;IF(AND($BO168&gt;0,$AH168="FRP"),"FRP cannot carry a label, ","")&amp;IF(AND($O168="Y",OR($Z168="L",$Z168="R",$Z168="LR",$Z168="RR")),"pair marked but hand is single, ","")&amp;IF(AND($O168&lt;&gt;"Y",OR($Z168="PR",AND(LEN($Z168)&gt;1,ISNUMBER(SEARCH("-",$Z168))))),"pair hand on a single door, ","")&amp;IF(AND(ISNUMBER($BP168),$BO168&lt;N($BP168)),"wall needs a "&amp;$BP168&amp;" min door, ","")&amp;IF(AND($BO168&gt;=180,AND(OR($BL168="FG",$BL168="HG",$BL168="FNV",$BL168="FV"),N($BM168)*N($BN168)&gt;100)),"180 min lite over 100 sq in, ","")&amp;IF(N($BD168)&gt;48,"leaf wider than 4'-0"&amp;CHAR(34)&amp;", ",""))</f>
        <v/>
      </c>
      <c r="BX168" s="49">
        <f>IF($A168="","",IF(AND($BO168&gt;0,AND($A168&lt;&gt;"",$C168&lt;&gt;"DOOR ONLY"),$X168="KD",$E168="EXTERIOR"),"KD label on an exterior opening, ","")&amp;IF(AND($E168="EXTERIOR",OR(AND(AND($A168&lt;&gt;"",$C168&lt;&gt;"DOOR ONLY"),$W168="CR"),AND(N($BC168)&gt;0,$AH168="CR"))),"exterior in CR steel (G9?), ","")&amp;IF(AND(ISNUMBER($BJ168),N($BJ168)&lt;32),"clear width ~"&amp;TEXT($BJ168,"0.0")&amp;CHAR(34)&amp;" under 32"&amp;CHAR(34)&amp;" (ADA), ","")&amp;IF(AND($BO168=90,AND(OR($BL168="FG",$BL168="HG",$BL168="FNV",$BL168="FV"),N($BM168)*N($BN168)&gt;100)),"90 min lite over 100 sq in (stair/exit), ","")&amp;IF(AND($BO168&gt;0,AND($A168&lt;&gt;"",$C168&lt;&gt;"DOOR ONLY"),OR($AF168="",$AF168="-")),"rated: closer reinf.?, ","")&amp;IF(OR($I168="CORRIDOR",$I168="SMOKE BARRIER"),"S label + smoke gasketing, ","")&amp;IF($BP168="?","wall type/hr not in IBC table, ","")&amp;IF(AND(N($BC168)&gt;0,$AU168=""),"no hardware set, ","")&amp;IF(AND($AU168&lt;&gt;"",ISNA(MATCH($AU168,HWSets,0))),"set "&amp;$AU168&amp;" not on Hardware sheet, ","")&amp;IF(N($BE168)&gt;96,"leaf over 8'-0"&amp;CHAR(34)&amp;" - check listing, ",""))</f>
        <v/>
      </c>
    </row>
    <row r="169" ht="15" customHeight="1">
      <c r="A169" s="44" t="n"/>
      <c r="B169" s="45" t="n"/>
      <c r="C169" s="45" t="n"/>
      <c r="D169" s="45" t="n"/>
      <c r="E169" s="45" t="n"/>
      <c r="F169" s="45" t="n"/>
      <c r="G169" s="45" t="n"/>
      <c r="H169" s="45" t="n"/>
      <c r="I169" s="45" t="n"/>
      <c r="J169" s="45" t="n"/>
      <c r="K169" s="45" t="n"/>
      <c r="L169" s="45" t="n"/>
      <c r="M169" s="45" t="n"/>
      <c r="N169" s="45" t="n"/>
      <c r="O169" s="45" t="n"/>
      <c r="P169" s="45" t="n"/>
      <c r="Q169" s="45" t="n"/>
      <c r="R169" s="45" t="n"/>
      <c r="S169" s="46" t="n"/>
      <c r="T169" s="46" t="n"/>
      <c r="U169" s="46" t="n"/>
      <c r="V169" s="46" t="n"/>
      <c r="W169" s="46" t="n"/>
      <c r="X169" s="46" t="n"/>
      <c r="Y169" s="46" t="n"/>
      <c r="Z169" s="46" t="n"/>
      <c r="AA169" s="46" t="n"/>
      <c r="AB169" s="46" t="n"/>
      <c r="AC169" s="46" t="n"/>
      <c r="AD169" s="46" t="n"/>
      <c r="AE169" s="46" t="n"/>
      <c r="AF169" s="46" t="n"/>
      <c r="AG169" s="46" t="n"/>
      <c r="AH169" s="47" t="n"/>
      <c r="AI169" s="47" t="n"/>
      <c r="AJ169" s="47" t="n"/>
      <c r="AK169" s="47" t="n"/>
      <c r="AL169" s="47" t="n"/>
      <c r="AM169" s="47" t="n"/>
      <c r="AN169" s="47" t="n"/>
      <c r="AO169" s="47" t="n"/>
      <c r="AP169" s="47" t="n"/>
      <c r="AQ169" s="47" t="n"/>
      <c r="AR169" s="47" t="n"/>
      <c r="AS169" s="47" t="n"/>
      <c r="AT169" s="47" t="n"/>
      <c r="AU169" s="48" t="n"/>
      <c r="AV169" s="48" t="n"/>
      <c r="AW169" s="49">
        <f>IF($A169="","",IF($BW169&lt;&gt;"","FIX",IF($BX169&lt;&gt;"","CHECK","OK")))</f>
        <v/>
      </c>
      <c r="AX169" s="50">
        <f>IF($A169="","",IF($BW169&lt;&gt;"","FIX: "&amp;LEFT($BW169,LEN($BW169)-2)&amp;IF($BX169&lt;&gt;"","  ·  ",""),"")&amp;IF($BX169&lt;&gt;"","CHECK: "&amp;LEFT($BX169,LEN($BX169)-2),""))</f>
        <v/>
      </c>
      <c r="AY169" s="49">
        <f>IF(OR($A169="",$K169=""),"",$K169&amp;"'-"&amp;N($L169)&amp;CHAR(34)&amp;" x "&amp;$M169&amp;"'-"&amp;N($N169)&amp;CHAR(34))</f>
        <v/>
      </c>
      <c r="AZ169" s="49">
        <f>IF(OR($A169="",$K169=""),"",$K169&amp;N($L169)&amp;$M169&amp;N($N169))</f>
        <v/>
      </c>
      <c r="BA169" s="49">
        <f>IF(OR($A169="",$K169=""),"",$K169*12+N($L169))</f>
        <v/>
      </c>
      <c r="BB169" s="49">
        <f>IF(OR($A169="",$M169=""),"",$M169*12+N($N169))</f>
        <v/>
      </c>
      <c r="BC169" s="49">
        <f>IF($A169="","",IF(OR($C169="FRAME ONLY",$S169="BL"),0,IF($O169="Y",2,1)))</f>
        <v/>
      </c>
      <c r="BD169" s="51">
        <f>IF(OR(N($BC169)=0,$BA169=""),"",($BA169-2*EdgeClr-IF($BC169=2,MeetClr,0))/$BC169)</f>
        <v/>
      </c>
      <c r="BE169" s="51">
        <f>IF(OR(N($BC169)=0,$BB169=""),"",$BB169-HeadClr-Undercut)</f>
        <v/>
      </c>
      <c r="BF169" s="51">
        <f>IF($BA169="","",$BA169+2*FaceW+IF(N($Q169)&gt;0,($Q169+FaceW)*IF($R169="LR",2,1),0))</f>
        <v/>
      </c>
      <c r="BG169" s="51">
        <f>IF($BB169="","",$BB169+IF($AB169="Y",4,FaceW)+IF(N($P169)&gt;0,$P169+FaceW,0)+IF(OR($S169="4F",$S169="BL"),FaceW,0))</f>
        <v/>
      </c>
      <c r="BH169" s="51">
        <f>IF($BF169="","",$BF169+2*ROSide)</f>
        <v/>
      </c>
      <c r="BI169" s="51">
        <f>IF($BG169="","",$BG169+ROTop)</f>
        <v/>
      </c>
      <c r="BJ169" s="52">
        <f>IF(OR(N($BC169)=0,$BA169=""),"",$BA169/$BC169-ClearDeduct)</f>
        <v/>
      </c>
      <c r="BK169" s="49">
        <f>IF(OR(N($BC169)=0,$BE169=""),"",IF(OR($AC169="HGC",$AP169="HGC"),"CONT",IF($BE169&lt;=60,2,IF($BE169&lt;=90,3,IF($BE169&lt;=120,4,5)))))</f>
        <v/>
      </c>
      <c r="BL169" s="49">
        <f>IF(N($BC169)=0,"",IF(OR($AL169="",$AL169="FLUSH"),"FLUSH",IFERROR(LEFT($AL169,FIND("-",$AL169)-1),LEFT($AL169,2))))</f>
        <v/>
      </c>
      <c r="BM169" s="49">
        <f>IF($BL169="","",IFERROR(VALUE(MID($AL169,FIND("-",$AL169)+1,FIND(CHAR(34)&amp;"x",$AL169)-FIND("-",$AL169)-1)),0))</f>
        <v/>
      </c>
      <c r="BN169" s="49">
        <f>IF($BL169="","",IFERROR(VALUE(MID($AL169,FIND(CHAR(34)&amp;"x",$AL169)+2,FIND(CHAR(34),$AL169,FIND(CHAR(34)&amp;"x",$AL169)+2)-FIND(CHAR(34)&amp;"x",$AL169)-2)),0))</f>
        <v/>
      </c>
      <c r="BO169" s="53">
        <f>IF(OR($A169="",$H169="",$H169="NO LAB"),0,IFERROR(VALUE(LEFT($H169,FIND(" ",$H169)-1)),0))</f>
        <v/>
      </c>
      <c r="BP169" s="54">
        <f>IF(OR($A169="",$I169="",$I169="NON-RATED",N($J169)=0),"",IFERROR(VLOOKUP($I169&amp;"|"&amp;$J169,IBC,2,FALSE),"?"))</f>
        <v/>
      </c>
      <c r="BQ169" s="50">
        <f>IF(NOT(AND($A169&lt;&gt;"",$C169&lt;&gt;"DOOR ONLY")),"",TRIM(IFERROR(VLOOKUP($U169,CODES,2,FALSE),"")&amp;" "&amp;$AZ169&amp;" "&amp;IFERROR(VLOOKUP($Z169,CODES,2,FALSE),"")&amp;" "&amp;IFERROR(VLOOKUP($X169,CODES,2,FALSE),"")&amp;" "&amp;IFERROR(VLOOKUP($S169,CODES,2,FALSE),"")&amp;IF(N($P169)&gt;0," w/TRANSOM "&amp;$P169&amp;CHAR(34),"")&amp;IF(N($Q169)&gt;0," w/SIDELITE "&amp;$Q169&amp;CHAR(34)&amp;" "&amp;IF($R169="","R",$R169),"")&amp;IF($Y169="","  |  "," | "&amp;IFERROR(VLOOKUP($Y169,CODES,2,FALSE),"")&amp;" | ")&amp;IFERROR(VLOOKUP($AC169,CODES,2,FALSE),"")&amp;" "&amp;IFERROR(VLOOKUP($AD169,CODES,2,FALSE),"")&amp;IF(OR($AE169="",$AE169="-"),""," "&amp;$AE169)&amp;IF(OR($AF169="",$AF169="-"),""," "&amp;$AF169)&amp;IF($AB169="Y"," 4"&amp;CHAR(34)&amp;" HEAD","")&amp;" "&amp;IFERROR(VLOOKUP($H169,CODES,2,FALSE),"")))</f>
        <v/>
      </c>
      <c r="BR169" s="50">
        <f>IF(NOT(AND($A169&lt;&gt;"",N($BC169)&gt;0)),"",TRIM(IFERROR(VLOOKUP($AH169,CODES,2,FALSE),"")&amp;IF($AI169=""," "," "&amp;$AI169&amp;"GA ")&amp;$AZ169&amp;" "&amp;IF($AN169="",IFERROR(VLOOKUP($Z169,CODES,2,FALSE),""),IFERROR(VLOOKUP($AN169,CODES,2,FALSE),""))&amp;IF($BC169=2," PAIR","")&amp;" DOOR | "&amp;IF($AL169="","?",$AL169)&amp;" | "&amp;IF($AP169="",IFERROR(VLOOKUP($AC169,CODES,2,FALSE),""),IFERROR(VLOOKUP($AP169,CODES,2,FALSE),""))&amp;" "&amp;IFERROR(VLOOKUP($AQ169,CODES,2,FALSE),"")&amp;IF(OR($AR169="",$AR169="-"),""," SEAM "&amp;$AR169)&amp;IF($AS169="Y"," ASTRAGAL","")&amp;IF($AJ169=""," "," "&amp;$AJ169)&amp;IF($AK169=""," "," "&amp;$AK169)&amp;IF($AO169="",""," "&amp;$AO169)&amp;IF($AM169=""," "," SERIES "&amp;$AM169)&amp;" "&amp;IFERROR(VLOOKUP($H169,CODES,2,FALSE),"")))</f>
        <v/>
      </c>
      <c r="BS169" s="49">
        <f>IF(BV169="","",IF(COUNTIF($BV$6:BV169,BV169)=1,MAX($BS$5:BS168)+1,INDEX($BS$5:BS168,MATCH(BV169,$BV$5:BV168,0))))</f>
        <v/>
      </c>
      <c r="BT169" s="49">
        <f>IF(NOT(AND($A169&lt;&gt;"",$C169&lt;&gt;"DOOR ONLY")),"",MAX($BT$5:BT168)+1)</f>
        <v/>
      </c>
      <c r="BU169" s="49">
        <f>IF(NOT(AND($A169&lt;&gt;"",N($BC169)&gt;0)),"",MAX($BU$5:BU168)+1)</f>
        <v/>
      </c>
      <c r="BV169" s="49">
        <f>IF(OR($A169="",$BA169="",$BB169=""),"",$AZ169&amp;"|"&amp;$O169&amp;"|"&amp;$AL169&amp;"|"&amp;$S169&amp;"|"&amp;$P169&amp;"|"&amp;$Q169&amp;$R169&amp;"|"&amp;$C169&amp;"|"&amp;$AB169)</f>
        <v/>
      </c>
      <c r="BW169" s="49">
        <f>IF($A169="","",IF($B169="","qty, ","")&amp;IF($C169="","scope, ","")&amp;IF(OR($K169="",$M169=""),"size, ","")&amp;IF(AND($A169&lt;&gt;"",$C169&lt;&gt;"DOOR ONLY"),IF($U169="","jamb depth, ","")&amp;IF($X169="","construction, ","")&amp;IF($Y169="","anchor, ","")&amp;IF($S169="","frame type, ",""),"")&amp;IF(AND(N($BC169)&gt;0,$Z169=""),"hand, ","")&amp;IF(N($BC169)&gt;0,IF($AH169="","door material, ","")&amp;IF($AL169="","face type, ","")&amp;IF($AQ169="","lock prep, ","")&amp;IF(AND($AP169="",$AC169=""),"hinge prep, ",""),"")&amp;IF(AND($BO169&gt;0,$AH169="FRP"),"FRP cannot carry a label, ","")&amp;IF(AND($O169="Y",OR($Z169="L",$Z169="R",$Z169="LR",$Z169="RR")),"pair marked but hand is single, ","")&amp;IF(AND($O169&lt;&gt;"Y",OR($Z169="PR",AND(LEN($Z169)&gt;1,ISNUMBER(SEARCH("-",$Z169))))),"pair hand on a single door, ","")&amp;IF(AND(ISNUMBER($BP169),$BO169&lt;N($BP169)),"wall needs a "&amp;$BP169&amp;" min door, ","")&amp;IF(AND($BO169&gt;=180,AND(OR($BL169="FG",$BL169="HG",$BL169="FNV",$BL169="FV"),N($BM169)*N($BN169)&gt;100)),"180 min lite over 100 sq in, ","")&amp;IF(N($BD169)&gt;48,"leaf wider than 4'-0"&amp;CHAR(34)&amp;", ",""))</f>
        <v/>
      </c>
      <c r="BX169" s="49">
        <f>IF($A169="","",IF(AND($BO169&gt;0,AND($A169&lt;&gt;"",$C169&lt;&gt;"DOOR ONLY"),$X169="KD",$E169="EXTERIOR"),"KD label on an exterior opening, ","")&amp;IF(AND($E169="EXTERIOR",OR(AND(AND($A169&lt;&gt;"",$C169&lt;&gt;"DOOR ONLY"),$W169="CR"),AND(N($BC169)&gt;0,$AH169="CR"))),"exterior in CR steel (G9?), ","")&amp;IF(AND(ISNUMBER($BJ169),N($BJ169)&lt;32),"clear width ~"&amp;TEXT($BJ169,"0.0")&amp;CHAR(34)&amp;" under 32"&amp;CHAR(34)&amp;" (ADA), ","")&amp;IF(AND($BO169=90,AND(OR($BL169="FG",$BL169="HG",$BL169="FNV",$BL169="FV"),N($BM169)*N($BN169)&gt;100)),"90 min lite over 100 sq in (stair/exit), ","")&amp;IF(AND($BO169&gt;0,AND($A169&lt;&gt;"",$C169&lt;&gt;"DOOR ONLY"),OR($AF169="",$AF169="-")),"rated: closer reinf.?, ","")&amp;IF(OR($I169="CORRIDOR",$I169="SMOKE BARRIER"),"S label + smoke gasketing, ","")&amp;IF($BP169="?","wall type/hr not in IBC table, ","")&amp;IF(AND(N($BC169)&gt;0,$AU169=""),"no hardware set, ","")&amp;IF(AND($AU169&lt;&gt;"",ISNA(MATCH($AU169,HWSets,0))),"set "&amp;$AU169&amp;" not on Hardware sheet, ","")&amp;IF(N($BE169)&gt;96,"leaf over 8'-0"&amp;CHAR(34)&amp;" - check listing, ",""))</f>
        <v/>
      </c>
    </row>
    <row r="170" ht="15" customHeight="1">
      <c r="A170" s="44" t="n"/>
      <c r="B170" s="45" t="n"/>
      <c r="C170" s="45" t="n"/>
      <c r="D170" s="45" t="n"/>
      <c r="E170" s="45" t="n"/>
      <c r="F170" s="45" t="n"/>
      <c r="G170" s="45" t="n"/>
      <c r="H170" s="45" t="n"/>
      <c r="I170" s="45" t="n"/>
      <c r="J170" s="45" t="n"/>
      <c r="K170" s="45" t="n"/>
      <c r="L170" s="45" t="n"/>
      <c r="M170" s="45" t="n"/>
      <c r="N170" s="45" t="n"/>
      <c r="O170" s="45" t="n"/>
      <c r="P170" s="45" t="n"/>
      <c r="Q170" s="45" t="n"/>
      <c r="R170" s="45" t="n"/>
      <c r="S170" s="46" t="n"/>
      <c r="T170" s="46" t="n"/>
      <c r="U170" s="46" t="n"/>
      <c r="V170" s="46" t="n"/>
      <c r="W170" s="46" t="n"/>
      <c r="X170" s="46" t="n"/>
      <c r="Y170" s="46" t="n"/>
      <c r="Z170" s="46" t="n"/>
      <c r="AA170" s="46" t="n"/>
      <c r="AB170" s="46" t="n"/>
      <c r="AC170" s="46" t="n"/>
      <c r="AD170" s="46" t="n"/>
      <c r="AE170" s="46" t="n"/>
      <c r="AF170" s="46" t="n"/>
      <c r="AG170" s="46" t="n"/>
      <c r="AH170" s="47" t="n"/>
      <c r="AI170" s="47" t="n"/>
      <c r="AJ170" s="47" t="n"/>
      <c r="AK170" s="47" t="n"/>
      <c r="AL170" s="47" t="n"/>
      <c r="AM170" s="47" t="n"/>
      <c r="AN170" s="47" t="n"/>
      <c r="AO170" s="47" t="n"/>
      <c r="AP170" s="47" t="n"/>
      <c r="AQ170" s="47" t="n"/>
      <c r="AR170" s="47" t="n"/>
      <c r="AS170" s="47" t="n"/>
      <c r="AT170" s="47" t="n"/>
      <c r="AU170" s="48" t="n"/>
      <c r="AV170" s="48" t="n"/>
      <c r="AW170" s="49">
        <f>IF($A170="","",IF($BW170&lt;&gt;"","FIX",IF($BX170&lt;&gt;"","CHECK","OK")))</f>
        <v/>
      </c>
      <c r="AX170" s="50">
        <f>IF($A170="","",IF($BW170&lt;&gt;"","FIX: "&amp;LEFT($BW170,LEN($BW170)-2)&amp;IF($BX170&lt;&gt;"","  ·  ",""),"")&amp;IF($BX170&lt;&gt;"","CHECK: "&amp;LEFT($BX170,LEN($BX170)-2),""))</f>
        <v/>
      </c>
      <c r="AY170" s="49">
        <f>IF(OR($A170="",$K170=""),"",$K170&amp;"'-"&amp;N($L170)&amp;CHAR(34)&amp;" x "&amp;$M170&amp;"'-"&amp;N($N170)&amp;CHAR(34))</f>
        <v/>
      </c>
      <c r="AZ170" s="49">
        <f>IF(OR($A170="",$K170=""),"",$K170&amp;N($L170)&amp;$M170&amp;N($N170))</f>
        <v/>
      </c>
      <c r="BA170" s="49">
        <f>IF(OR($A170="",$K170=""),"",$K170*12+N($L170))</f>
        <v/>
      </c>
      <c r="BB170" s="49">
        <f>IF(OR($A170="",$M170=""),"",$M170*12+N($N170))</f>
        <v/>
      </c>
      <c r="BC170" s="49">
        <f>IF($A170="","",IF(OR($C170="FRAME ONLY",$S170="BL"),0,IF($O170="Y",2,1)))</f>
        <v/>
      </c>
      <c r="BD170" s="51">
        <f>IF(OR(N($BC170)=0,$BA170=""),"",($BA170-2*EdgeClr-IF($BC170=2,MeetClr,0))/$BC170)</f>
        <v/>
      </c>
      <c r="BE170" s="51">
        <f>IF(OR(N($BC170)=0,$BB170=""),"",$BB170-HeadClr-Undercut)</f>
        <v/>
      </c>
      <c r="BF170" s="51">
        <f>IF($BA170="","",$BA170+2*FaceW+IF(N($Q170)&gt;0,($Q170+FaceW)*IF($R170="LR",2,1),0))</f>
        <v/>
      </c>
      <c r="BG170" s="51">
        <f>IF($BB170="","",$BB170+IF($AB170="Y",4,FaceW)+IF(N($P170)&gt;0,$P170+FaceW,0)+IF(OR($S170="4F",$S170="BL"),FaceW,0))</f>
        <v/>
      </c>
      <c r="BH170" s="51">
        <f>IF($BF170="","",$BF170+2*ROSide)</f>
        <v/>
      </c>
      <c r="BI170" s="51">
        <f>IF($BG170="","",$BG170+ROTop)</f>
        <v/>
      </c>
      <c r="BJ170" s="52">
        <f>IF(OR(N($BC170)=0,$BA170=""),"",$BA170/$BC170-ClearDeduct)</f>
        <v/>
      </c>
      <c r="BK170" s="49">
        <f>IF(OR(N($BC170)=0,$BE170=""),"",IF(OR($AC170="HGC",$AP170="HGC"),"CONT",IF($BE170&lt;=60,2,IF($BE170&lt;=90,3,IF($BE170&lt;=120,4,5)))))</f>
        <v/>
      </c>
      <c r="BL170" s="49">
        <f>IF(N($BC170)=0,"",IF(OR($AL170="",$AL170="FLUSH"),"FLUSH",IFERROR(LEFT($AL170,FIND("-",$AL170)-1),LEFT($AL170,2))))</f>
        <v/>
      </c>
      <c r="BM170" s="49">
        <f>IF($BL170="","",IFERROR(VALUE(MID($AL170,FIND("-",$AL170)+1,FIND(CHAR(34)&amp;"x",$AL170)-FIND("-",$AL170)-1)),0))</f>
        <v/>
      </c>
      <c r="BN170" s="49">
        <f>IF($BL170="","",IFERROR(VALUE(MID($AL170,FIND(CHAR(34)&amp;"x",$AL170)+2,FIND(CHAR(34),$AL170,FIND(CHAR(34)&amp;"x",$AL170)+2)-FIND(CHAR(34)&amp;"x",$AL170)-2)),0))</f>
        <v/>
      </c>
      <c r="BO170" s="53">
        <f>IF(OR($A170="",$H170="",$H170="NO LAB"),0,IFERROR(VALUE(LEFT($H170,FIND(" ",$H170)-1)),0))</f>
        <v/>
      </c>
      <c r="BP170" s="54">
        <f>IF(OR($A170="",$I170="",$I170="NON-RATED",N($J170)=0),"",IFERROR(VLOOKUP($I170&amp;"|"&amp;$J170,IBC,2,FALSE),"?"))</f>
        <v/>
      </c>
      <c r="BQ170" s="50">
        <f>IF(NOT(AND($A170&lt;&gt;"",$C170&lt;&gt;"DOOR ONLY")),"",TRIM(IFERROR(VLOOKUP($U170,CODES,2,FALSE),"")&amp;" "&amp;$AZ170&amp;" "&amp;IFERROR(VLOOKUP($Z170,CODES,2,FALSE),"")&amp;" "&amp;IFERROR(VLOOKUP($X170,CODES,2,FALSE),"")&amp;" "&amp;IFERROR(VLOOKUP($S170,CODES,2,FALSE),"")&amp;IF(N($P170)&gt;0," w/TRANSOM "&amp;$P170&amp;CHAR(34),"")&amp;IF(N($Q170)&gt;0," w/SIDELITE "&amp;$Q170&amp;CHAR(34)&amp;" "&amp;IF($R170="","R",$R170),"")&amp;IF($Y170="","  |  "," | "&amp;IFERROR(VLOOKUP($Y170,CODES,2,FALSE),"")&amp;" | ")&amp;IFERROR(VLOOKUP($AC170,CODES,2,FALSE),"")&amp;" "&amp;IFERROR(VLOOKUP($AD170,CODES,2,FALSE),"")&amp;IF(OR($AE170="",$AE170="-"),""," "&amp;$AE170)&amp;IF(OR($AF170="",$AF170="-"),""," "&amp;$AF170)&amp;IF($AB170="Y"," 4"&amp;CHAR(34)&amp;" HEAD","")&amp;" "&amp;IFERROR(VLOOKUP($H170,CODES,2,FALSE),"")))</f>
        <v/>
      </c>
      <c r="BR170" s="50">
        <f>IF(NOT(AND($A170&lt;&gt;"",N($BC170)&gt;0)),"",TRIM(IFERROR(VLOOKUP($AH170,CODES,2,FALSE),"")&amp;IF($AI170=""," "," "&amp;$AI170&amp;"GA ")&amp;$AZ170&amp;" "&amp;IF($AN170="",IFERROR(VLOOKUP($Z170,CODES,2,FALSE),""),IFERROR(VLOOKUP($AN170,CODES,2,FALSE),""))&amp;IF($BC170=2," PAIR","")&amp;" DOOR | "&amp;IF($AL170="","?",$AL170)&amp;" | "&amp;IF($AP170="",IFERROR(VLOOKUP($AC170,CODES,2,FALSE),""),IFERROR(VLOOKUP($AP170,CODES,2,FALSE),""))&amp;" "&amp;IFERROR(VLOOKUP($AQ170,CODES,2,FALSE),"")&amp;IF(OR($AR170="",$AR170="-"),""," SEAM "&amp;$AR170)&amp;IF($AS170="Y"," ASTRAGAL","")&amp;IF($AJ170=""," "," "&amp;$AJ170)&amp;IF($AK170=""," "," "&amp;$AK170)&amp;IF($AO170="",""," "&amp;$AO170)&amp;IF($AM170=""," "," SERIES "&amp;$AM170)&amp;" "&amp;IFERROR(VLOOKUP($H170,CODES,2,FALSE),"")))</f>
        <v/>
      </c>
      <c r="BS170" s="49">
        <f>IF(BV170="","",IF(COUNTIF($BV$6:BV170,BV170)=1,MAX($BS$5:BS169)+1,INDEX($BS$5:BS169,MATCH(BV170,$BV$5:BV169,0))))</f>
        <v/>
      </c>
      <c r="BT170" s="49">
        <f>IF(NOT(AND($A170&lt;&gt;"",$C170&lt;&gt;"DOOR ONLY")),"",MAX($BT$5:BT169)+1)</f>
        <v/>
      </c>
      <c r="BU170" s="49">
        <f>IF(NOT(AND($A170&lt;&gt;"",N($BC170)&gt;0)),"",MAX($BU$5:BU169)+1)</f>
        <v/>
      </c>
      <c r="BV170" s="49">
        <f>IF(OR($A170="",$BA170="",$BB170=""),"",$AZ170&amp;"|"&amp;$O170&amp;"|"&amp;$AL170&amp;"|"&amp;$S170&amp;"|"&amp;$P170&amp;"|"&amp;$Q170&amp;$R170&amp;"|"&amp;$C170&amp;"|"&amp;$AB170)</f>
        <v/>
      </c>
      <c r="BW170" s="49">
        <f>IF($A170="","",IF($B170="","qty, ","")&amp;IF($C170="","scope, ","")&amp;IF(OR($K170="",$M170=""),"size, ","")&amp;IF(AND($A170&lt;&gt;"",$C170&lt;&gt;"DOOR ONLY"),IF($U170="","jamb depth, ","")&amp;IF($X170="","construction, ","")&amp;IF($Y170="","anchor, ","")&amp;IF($S170="","frame type, ",""),"")&amp;IF(AND(N($BC170)&gt;0,$Z170=""),"hand, ","")&amp;IF(N($BC170)&gt;0,IF($AH170="","door material, ","")&amp;IF($AL170="","face type, ","")&amp;IF($AQ170="","lock prep, ","")&amp;IF(AND($AP170="",$AC170=""),"hinge prep, ",""),"")&amp;IF(AND($BO170&gt;0,$AH170="FRP"),"FRP cannot carry a label, ","")&amp;IF(AND($O170="Y",OR($Z170="L",$Z170="R",$Z170="LR",$Z170="RR")),"pair marked but hand is single, ","")&amp;IF(AND($O170&lt;&gt;"Y",OR($Z170="PR",AND(LEN($Z170)&gt;1,ISNUMBER(SEARCH("-",$Z170))))),"pair hand on a single door, ","")&amp;IF(AND(ISNUMBER($BP170),$BO170&lt;N($BP170)),"wall needs a "&amp;$BP170&amp;" min door, ","")&amp;IF(AND($BO170&gt;=180,AND(OR($BL170="FG",$BL170="HG",$BL170="FNV",$BL170="FV"),N($BM170)*N($BN170)&gt;100)),"180 min lite over 100 sq in, ","")&amp;IF(N($BD170)&gt;48,"leaf wider than 4'-0"&amp;CHAR(34)&amp;", ",""))</f>
        <v/>
      </c>
      <c r="BX170" s="49">
        <f>IF($A170="","",IF(AND($BO170&gt;0,AND($A170&lt;&gt;"",$C170&lt;&gt;"DOOR ONLY"),$X170="KD",$E170="EXTERIOR"),"KD label on an exterior opening, ","")&amp;IF(AND($E170="EXTERIOR",OR(AND(AND($A170&lt;&gt;"",$C170&lt;&gt;"DOOR ONLY"),$W170="CR"),AND(N($BC170)&gt;0,$AH170="CR"))),"exterior in CR steel (G9?), ","")&amp;IF(AND(ISNUMBER($BJ170),N($BJ170)&lt;32),"clear width ~"&amp;TEXT($BJ170,"0.0")&amp;CHAR(34)&amp;" under 32"&amp;CHAR(34)&amp;" (ADA), ","")&amp;IF(AND($BO170=90,AND(OR($BL170="FG",$BL170="HG",$BL170="FNV",$BL170="FV"),N($BM170)*N($BN170)&gt;100)),"90 min lite over 100 sq in (stair/exit), ","")&amp;IF(AND($BO170&gt;0,AND($A170&lt;&gt;"",$C170&lt;&gt;"DOOR ONLY"),OR($AF170="",$AF170="-")),"rated: closer reinf.?, ","")&amp;IF(OR($I170="CORRIDOR",$I170="SMOKE BARRIER"),"S label + smoke gasketing, ","")&amp;IF($BP170="?","wall type/hr not in IBC table, ","")&amp;IF(AND(N($BC170)&gt;0,$AU170=""),"no hardware set, ","")&amp;IF(AND($AU170&lt;&gt;"",ISNA(MATCH($AU170,HWSets,0))),"set "&amp;$AU170&amp;" not on Hardware sheet, ","")&amp;IF(N($BE170)&gt;96,"leaf over 8'-0"&amp;CHAR(34)&amp;" - check listing, ",""))</f>
        <v/>
      </c>
    </row>
    <row r="171" ht="15" customHeight="1">
      <c r="A171" s="44" t="n"/>
      <c r="B171" s="45" t="n"/>
      <c r="C171" s="45" t="n"/>
      <c r="D171" s="45" t="n"/>
      <c r="E171" s="45" t="n"/>
      <c r="F171" s="45" t="n"/>
      <c r="G171" s="45" t="n"/>
      <c r="H171" s="45" t="n"/>
      <c r="I171" s="45" t="n"/>
      <c r="J171" s="45" t="n"/>
      <c r="K171" s="45" t="n"/>
      <c r="L171" s="45" t="n"/>
      <c r="M171" s="45" t="n"/>
      <c r="N171" s="45" t="n"/>
      <c r="O171" s="45" t="n"/>
      <c r="P171" s="45" t="n"/>
      <c r="Q171" s="45" t="n"/>
      <c r="R171" s="45" t="n"/>
      <c r="S171" s="46" t="n"/>
      <c r="T171" s="46" t="n"/>
      <c r="U171" s="46" t="n"/>
      <c r="V171" s="46" t="n"/>
      <c r="W171" s="46" t="n"/>
      <c r="X171" s="46" t="n"/>
      <c r="Y171" s="46" t="n"/>
      <c r="Z171" s="46" t="n"/>
      <c r="AA171" s="46" t="n"/>
      <c r="AB171" s="46" t="n"/>
      <c r="AC171" s="46" t="n"/>
      <c r="AD171" s="46" t="n"/>
      <c r="AE171" s="46" t="n"/>
      <c r="AF171" s="46" t="n"/>
      <c r="AG171" s="46" t="n"/>
      <c r="AH171" s="47" t="n"/>
      <c r="AI171" s="47" t="n"/>
      <c r="AJ171" s="47" t="n"/>
      <c r="AK171" s="47" t="n"/>
      <c r="AL171" s="47" t="n"/>
      <c r="AM171" s="47" t="n"/>
      <c r="AN171" s="47" t="n"/>
      <c r="AO171" s="47" t="n"/>
      <c r="AP171" s="47" t="n"/>
      <c r="AQ171" s="47" t="n"/>
      <c r="AR171" s="47" t="n"/>
      <c r="AS171" s="47" t="n"/>
      <c r="AT171" s="47" t="n"/>
      <c r="AU171" s="48" t="n"/>
      <c r="AV171" s="48" t="n"/>
      <c r="AW171" s="49">
        <f>IF($A171="","",IF($BW171&lt;&gt;"","FIX",IF($BX171&lt;&gt;"","CHECK","OK")))</f>
        <v/>
      </c>
      <c r="AX171" s="50">
        <f>IF($A171="","",IF($BW171&lt;&gt;"","FIX: "&amp;LEFT($BW171,LEN($BW171)-2)&amp;IF($BX171&lt;&gt;"","  ·  ",""),"")&amp;IF($BX171&lt;&gt;"","CHECK: "&amp;LEFT($BX171,LEN($BX171)-2),""))</f>
        <v/>
      </c>
      <c r="AY171" s="49">
        <f>IF(OR($A171="",$K171=""),"",$K171&amp;"'-"&amp;N($L171)&amp;CHAR(34)&amp;" x "&amp;$M171&amp;"'-"&amp;N($N171)&amp;CHAR(34))</f>
        <v/>
      </c>
      <c r="AZ171" s="49">
        <f>IF(OR($A171="",$K171=""),"",$K171&amp;N($L171)&amp;$M171&amp;N($N171))</f>
        <v/>
      </c>
      <c r="BA171" s="49">
        <f>IF(OR($A171="",$K171=""),"",$K171*12+N($L171))</f>
        <v/>
      </c>
      <c r="BB171" s="49">
        <f>IF(OR($A171="",$M171=""),"",$M171*12+N($N171))</f>
        <v/>
      </c>
      <c r="BC171" s="49">
        <f>IF($A171="","",IF(OR($C171="FRAME ONLY",$S171="BL"),0,IF($O171="Y",2,1)))</f>
        <v/>
      </c>
      <c r="BD171" s="51">
        <f>IF(OR(N($BC171)=0,$BA171=""),"",($BA171-2*EdgeClr-IF($BC171=2,MeetClr,0))/$BC171)</f>
        <v/>
      </c>
      <c r="BE171" s="51">
        <f>IF(OR(N($BC171)=0,$BB171=""),"",$BB171-HeadClr-Undercut)</f>
        <v/>
      </c>
      <c r="BF171" s="51">
        <f>IF($BA171="","",$BA171+2*FaceW+IF(N($Q171)&gt;0,($Q171+FaceW)*IF($R171="LR",2,1),0))</f>
        <v/>
      </c>
      <c r="BG171" s="51">
        <f>IF($BB171="","",$BB171+IF($AB171="Y",4,FaceW)+IF(N($P171)&gt;0,$P171+FaceW,0)+IF(OR($S171="4F",$S171="BL"),FaceW,0))</f>
        <v/>
      </c>
      <c r="BH171" s="51">
        <f>IF($BF171="","",$BF171+2*ROSide)</f>
        <v/>
      </c>
      <c r="BI171" s="51">
        <f>IF($BG171="","",$BG171+ROTop)</f>
        <v/>
      </c>
      <c r="BJ171" s="52">
        <f>IF(OR(N($BC171)=0,$BA171=""),"",$BA171/$BC171-ClearDeduct)</f>
        <v/>
      </c>
      <c r="BK171" s="49">
        <f>IF(OR(N($BC171)=0,$BE171=""),"",IF(OR($AC171="HGC",$AP171="HGC"),"CONT",IF($BE171&lt;=60,2,IF($BE171&lt;=90,3,IF($BE171&lt;=120,4,5)))))</f>
        <v/>
      </c>
      <c r="BL171" s="49">
        <f>IF(N($BC171)=0,"",IF(OR($AL171="",$AL171="FLUSH"),"FLUSH",IFERROR(LEFT($AL171,FIND("-",$AL171)-1),LEFT($AL171,2))))</f>
        <v/>
      </c>
      <c r="BM171" s="49">
        <f>IF($BL171="","",IFERROR(VALUE(MID($AL171,FIND("-",$AL171)+1,FIND(CHAR(34)&amp;"x",$AL171)-FIND("-",$AL171)-1)),0))</f>
        <v/>
      </c>
      <c r="BN171" s="49">
        <f>IF($BL171="","",IFERROR(VALUE(MID($AL171,FIND(CHAR(34)&amp;"x",$AL171)+2,FIND(CHAR(34),$AL171,FIND(CHAR(34)&amp;"x",$AL171)+2)-FIND(CHAR(34)&amp;"x",$AL171)-2)),0))</f>
        <v/>
      </c>
      <c r="BO171" s="53">
        <f>IF(OR($A171="",$H171="",$H171="NO LAB"),0,IFERROR(VALUE(LEFT($H171,FIND(" ",$H171)-1)),0))</f>
        <v/>
      </c>
      <c r="BP171" s="54">
        <f>IF(OR($A171="",$I171="",$I171="NON-RATED",N($J171)=0),"",IFERROR(VLOOKUP($I171&amp;"|"&amp;$J171,IBC,2,FALSE),"?"))</f>
        <v/>
      </c>
      <c r="BQ171" s="50">
        <f>IF(NOT(AND($A171&lt;&gt;"",$C171&lt;&gt;"DOOR ONLY")),"",TRIM(IFERROR(VLOOKUP($U171,CODES,2,FALSE),"")&amp;" "&amp;$AZ171&amp;" "&amp;IFERROR(VLOOKUP($Z171,CODES,2,FALSE),"")&amp;" "&amp;IFERROR(VLOOKUP($X171,CODES,2,FALSE),"")&amp;" "&amp;IFERROR(VLOOKUP($S171,CODES,2,FALSE),"")&amp;IF(N($P171)&gt;0," w/TRANSOM "&amp;$P171&amp;CHAR(34),"")&amp;IF(N($Q171)&gt;0," w/SIDELITE "&amp;$Q171&amp;CHAR(34)&amp;" "&amp;IF($R171="","R",$R171),"")&amp;IF($Y171="","  |  "," | "&amp;IFERROR(VLOOKUP($Y171,CODES,2,FALSE),"")&amp;" | ")&amp;IFERROR(VLOOKUP($AC171,CODES,2,FALSE),"")&amp;" "&amp;IFERROR(VLOOKUP($AD171,CODES,2,FALSE),"")&amp;IF(OR($AE171="",$AE171="-"),""," "&amp;$AE171)&amp;IF(OR($AF171="",$AF171="-"),""," "&amp;$AF171)&amp;IF($AB171="Y"," 4"&amp;CHAR(34)&amp;" HEAD","")&amp;" "&amp;IFERROR(VLOOKUP($H171,CODES,2,FALSE),"")))</f>
        <v/>
      </c>
      <c r="BR171" s="50">
        <f>IF(NOT(AND($A171&lt;&gt;"",N($BC171)&gt;0)),"",TRIM(IFERROR(VLOOKUP($AH171,CODES,2,FALSE),"")&amp;IF($AI171=""," "," "&amp;$AI171&amp;"GA ")&amp;$AZ171&amp;" "&amp;IF($AN171="",IFERROR(VLOOKUP($Z171,CODES,2,FALSE),""),IFERROR(VLOOKUP($AN171,CODES,2,FALSE),""))&amp;IF($BC171=2," PAIR","")&amp;" DOOR | "&amp;IF($AL171="","?",$AL171)&amp;" | "&amp;IF($AP171="",IFERROR(VLOOKUP($AC171,CODES,2,FALSE),""),IFERROR(VLOOKUP($AP171,CODES,2,FALSE),""))&amp;" "&amp;IFERROR(VLOOKUP($AQ171,CODES,2,FALSE),"")&amp;IF(OR($AR171="",$AR171="-"),""," SEAM "&amp;$AR171)&amp;IF($AS171="Y"," ASTRAGAL","")&amp;IF($AJ171=""," "," "&amp;$AJ171)&amp;IF($AK171=""," "," "&amp;$AK171)&amp;IF($AO171="",""," "&amp;$AO171)&amp;IF($AM171=""," "," SERIES "&amp;$AM171)&amp;" "&amp;IFERROR(VLOOKUP($H171,CODES,2,FALSE),"")))</f>
        <v/>
      </c>
      <c r="BS171" s="49">
        <f>IF(BV171="","",IF(COUNTIF($BV$6:BV171,BV171)=1,MAX($BS$5:BS170)+1,INDEX($BS$5:BS170,MATCH(BV171,$BV$5:BV170,0))))</f>
        <v/>
      </c>
      <c r="BT171" s="49">
        <f>IF(NOT(AND($A171&lt;&gt;"",$C171&lt;&gt;"DOOR ONLY")),"",MAX($BT$5:BT170)+1)</f>
        <v/>
      </c>
      <c r="BU171" s="49">
        <f>IF(NOT(AND($A171&lt;&gt;"",N($BC171)&gt;0)),"",MAX($BU$5:BU170)+1)</f>
        <v/>
      </c>
      <c r="BV171" s="49">
        <f>IF(OR($A171="",$BA171="",$BB171=""),"",$AZ171&amp;"|"&amp;$O171&amp;"|"&amp;$AL171&amp;"|"&amp;$S171&amp;"|"&amp;$P171&amp;"|"&amp;$Q171&amp;$R171&amp;"|"&amp;$C171&amp;"|"&amp;$AB171)</f>
        <v/>
      </c>
      <c r="BW171" s="49">
        <f>IF($A171="","",IF($B171="","qty, ","")&amp;IF($C171="","scope, ","")&amp;IF(OR($K171="",$M171=""),"size, ","")&amp;IF(AND($A171&lt;&gt;"",$C171&lt;&gt;"DOOR ONLY"),IF($U171="","jamb depth, ","")&amp;IF($X171="","construction, ","")&amp;IF($Y171="","anchor, ","")&amp;IF($S171="","frame type, ",""),"")&amp;IF(AND(N($BC171)&gt;0,$Z171=""),"hand, ","")&amp;IF(N($BC171)&gt;0,IF($AH171="","door material, ","")&amp;IF($AL171="","face type, ","")&amp;IF($AQ171="","lock prep, ","")&amp;IF(AND($AP171="",$AC171=""),"hinge prep, ",""),"")&amp;IF(AND($BO171&gt;0,$AH171="FRP"),"FRP cannot carry a label, ","")&amp;IF(AND($O171="Y",OR($Z171="L",$Z171="R",$Z171="LR",$Z171="RR")),"pair marked but hand is single, ","")&amp;IF(AND($O171&lt;&gt;"Y",OR($Z171="PR",AND(LEN($Z171)&gt;1,ISNUMBER(SEARCH("-",$Z171))))),"pair hand on a single door, ","")&amp;IF(AND(ISNUMBER($BP171),$BO171&lt;N($BP171)),"wall needs a "&amp;$BP171&amp;" min door, ","")&amp;IF(AND($BO171&gt;=180,AND(OR($BL171="FG",$BL171="HG",$BL171="FNV",$BL171="FV"),N($BM171)*N($BN171)&gt;100)),"180 min lite over 100 sq in, ","")&amp;IF(N($BD171)&gt;48,"leaf wider than 4'-0"&amp;CHAR(34)&amp;", ",""))</f>
        <v/>
      </c>
      <c r="BX171" s="49">
        <f>IF($A171="","",IF(AND($BO171&gt;0,AND($A171&lt;&gt;"",$C171&lt;&gt;"DOOR ONLY"),$X171="KD",$E171="EXTERIOR"),"KD label on an exterior opening, ","")&amp;IF(AND($E171="EXTERIOR",OR(AND(AND($A171&lt;&gt;"",$C171&lt;&gt;"DOOR ONLY"),$W171="CR"),AND(N($BC171)&gt;0,$AH171="CR"))),"exterior in CR steel (G9?), ","")&amp;IF(AND(ISNUMBER($BJ171),N($BJ171)&lt;32),"clear width ~"&amp;TEXT($BJ171,"0.0")&amp;CHAR(34)&amp;" under 32"&amp;CHAR(34)&amp;" (ADA), ","")&amp;IF(AND($BO171=90,AND(OR($BL171="FG",$BL171="HG",$BL171="FNV",$BL171="FV"),N($BM171)*N($BN171)&gt;100)),"90 min lite over 100 sq in (stair/exit), ","")&amp;IF(AND($BO171&gt;0,AND($A171&lt;&gt;"",$C171&lt;&gt;"DOOR ONLY"),OR($AF171="",$AF171="-")),"rated: closer reinf.?, ","")&amp;IF(OR($I171="CORRIDOR",$I171="SMOKE BARRIER"),"S label + smoke gasketing, ","")&amp;IF($BP171="?","wall type/hr not in IBC table, ","")&amp;IF(AND(N($BC171)&gt;0,$AU171=""),"no hardware set, ","")&amp;IF(AND($AU171&lt;&gt;"",ISNA(MATCH($AU171,HWSets,0))),"set "&amp;$AU171&amp;" not on Hardware sheet, ","")&amp;IF(N($BE171)&gt;96,"leaf over 8'-0"&amp;CHAR(34)&amp;" - check listing, ",""))</f>
        <v/>
      </c>
    </row>
    <row r="172" ht="15" customHeight="1">
      <c r="A172" s="44" t="n"/>
      <c r="B172" s="45" t="n"/>
      <c r="C172" s="45" t="n"/>
      <c r="D172" s="45" t="n"/>
      <c r="E172" s="45" t="n"/>
      <c r="F172" s="45" t="n"/>
      <c r="G172" s="45" t="n"/>
      <c r="H172" s="45" t="n"/>
      <c r="I172" s="45" t="n"/>
      <c r="J172" s="45" t="n"/>
      <c r="K172" s="45" t="n"/>
      <c r="L172" s="45" t="n"/>
      <c r="M172" s="45" t="n"/>
      <c r="N172" s="45" t="n"/>
      <c r="O172" s="45" t="n"/>
      <c r="P172" s="45" t="n"/>
      <c r="Q172" s="45" t="n"/>
      <c r="R172" s="45" t="n"/>
      <c r="S172" s="46" t="n"/>
      <c r="T172" s="46" t="n"/>
      <c r="U172" s="46" t="n"/>
      <c r="V172" s="46" t="n"/>
      <c r="W172" s="46" t="n"/>
      <c r="X172" s="46" t="n"/>
      <c r="Y172" s="46" t="n"/>
      <c r="Z172" s="46" t="n"/>
      <c r="AA172" s="46" t="n"/>
      <c r="AB172" s="46" t="n"/>
      <c r="AC172" s="46" t="n"/>
      <c r="AD172" s="46" t="n"/>
      <c r="AE172" s="46" t="n"/>
      <c r="AF172" s="46" t="n"/>
      <c r="AG172" s="46" t="n"/>
      <c r="AH172" s="47" t="n"/>
      <c r="AI172" s="47" t="n"/>
      <c r="AJ172" s="47" t="n"/>
      <c r="AK172" s="47" t="n"/>
      <c r="AL172" s="47" t="n"/>
      <c r="AM172" s="47" t="n"/>
      <c r="AN172" s="47" t="n"/>
      <c r="AO172" s="47" t="n"/>
      <c r="AP172" s="47" t="n"/>
      <c r="AQ172" s="47" t="n"/>
      <c r="AR172" s="47" t="n"/>
      <c r="AS172" s="47" t="n"/>
      <c r="AT172" s="47" t="n"/>
      <c r="AU172" s="48" t="n"/>
      <c r="AV172" s="48" t="n"/>
      <c r="AW172" s="49">
        <f>IF($A172="","",IF($BW172&lt;&gt;"","FIX",IF($BX172&lt;&gt;"","CHECK","OK")))</f>
        <v/>
      </c>
      <c r="AX172" s="50">
        <f>IF($A172="","",IF($BW172&lt;&gt;"","FIX: "&amp;LEFT($BW172,LEN($BW172)-2)&amp;IF($BX172&lt;&gt;"","  ·  ",""),"")&amp;IF($BX172&lt;&gt;"","CHECK: "&amp;LEFT($BX172,LEN($BX172)-2),""))</f>
        <v/>
      </c>
      <c r="AY172" s="49">
        <f>IF(OR($A172="",$K172=""),"",$K172&amp;"'-"&amp;N($L172)&amp;CHAR(34)&amp;" x "&amp;$M172&amp;"'-"&amp;N($N172)&amp;CHAR(34))</f>
        <v/>
      </c>
      <c r="AZ172" s="49">
        <f>IF(OR($A172="",$K172=""),"",$K172&amp;N($L172)&amp;$M172&amp;N($N172))</f>
        <v/>
      </c>
      <c r="BA172" s="49">
        <f>IF(OR($A172="",$K172=""),"",$K172*12+N($L172))</f>
        <v/>
      </c>
      <c r="BB172" s="49">
        <f>IF(OR($A172="",$M172=""),"",$M172*12+N($N172))</f>
        <v/>
      </c>
      <c r="BC172" s="49">
        <f>IF($A172="","",IF(OR($C172="FRAME ONLY",$S172="BL"),0,IF($O172="Y",2,1)))</f>
        <v/>
      </c>
      <c r="BD172" s="51">
        <f>IF(OR(N($BC172)=0,$BA172=""),"",($BA172-2*EdgeClr-IF($BC172=2,MeetClr,0))/$BC172)</f>
        <v/>
      </c>
      <c r="BE172" s="51">
        <f>IF(OR(N($BC172)=0,$BB172=""),"",$BB172-HeadClr-Undercut)</f>
        <v/>
      </c>
      <c r="BF172" s="51">
        <f>IF($BA172="","",$BA172+2*FaceW+IF(N($Q172)&gt;0,($Q172+FaceW)*IF($R172="LR",2,1),0))</f>
        <v/>
      </c>
      <c r="BG172" s="51">
        <f>IF($BB172="","",$BB172+IF($AB172="Y",4,FaceW)+IF(N($P172)&gt;0,$P172+FaceW,0)+IF(OR($S172="4F",$S172="BL"),FaceW,0))</f>
        <v/>
      </c>
      <c r="BH172" s="51">
        <f>IF($BF172="","",$BF172+2*ROSide)</f>
        <v/>
      </c>
      <c r="BI172" s="51">
        <f>IF($BG172="","",$BG172+ROTop)</f>
        <v/>
      </c>
      <c r="BJ172" s="52">
        <f>IF(OR(N($BC172)=0,$BA172=""),"",$BA172/$BC172-ClearDeduct)</f>
        <v/>
      </c>
      <c r="BK172" s="49">
        <f>IF(OR(N($BC172)=0,$BE172=""),"",IF(OR($AC172="HGC",$AP172="HGC"),"CONT",IF($BE172&lt;=60,2,IF($BE172&lt;=90,3,IF($BE172&lt;=120,4,5)))))</f>
        <v/>
      </c>
      <c r="BL172" s="49">
        <f>IF(N($BC172)=0,"",IF(OR($AL172="",$AL172="FLUSH"),"FLUSH",IFERROR(LEFT($AL172,FIND("-",$AL172)-1),LEFT($AL172,2))))</f>
        <v/>
      </c>
      <c r="BM172" s="49">
        <f>IF($BL172="","",IFERROR(VALUE(MID($AL172,FIND("-",$AL172)+1,FIND(CHAR(34)&amp;"x",$AL172)-FIND("-",$AL172)-1)),0))</f>
        <v/>
      </c>
      <c r="BN172" s="49">
        <f>IF($BL172="","",IFERROR(VALUE(MID($AL172,FIND(CHAR(34)&amp;"x",$AL172)+2,FIND(CHAR(34),$AL172,FIND(CHAR(34)&amp;"x",$AL172)+2)-FIND(CHAR(34)&amp;"x",$AL172)-2)),0))</f>
        <v/>
      </c>
      <c r="BO172" s="53">
        <f>IF(OR($A172="",$H172="",$H172="NO LAB"),0,IFERROR(VALUE(LEFT($H172,FIND(" ",$H172)-1)),0))</f>
        <v/>
      </c>
      <c r="BP172" s="54">
        <f>IF(OR($A172="",$I172="",$I172="NON-RATED",N($J172)=0),"",IFERROR(VLOOKUP($I172&amp;"|"&amp;$J172,IBC,2,FALSE),"?"))</f>
        <v/>
      </c>
      <c r="BQ172" s="50">
        <f>IF(NOT(AND($A172&lt;&gt;"",$C172&lt;&gt;"DOOR ONLY")),"",TRIM(IFERROR(VLOOKUP($U172,CODES,2,FALSE),"")&amp;" "&amp;$AZ172&amp;" "&amp;IFERROR(VLOOKUP($Z172,CODES,2,FALSE),"")&amp;" "&amp;IFERROR(VLOOKUP($X172,CODES,2,FALSE),"")&amp;" "&amp;IFERROR(VLOOKUP($S172,CODES,2,FALSE),"")&amp;IF(N($P172)&gt;0," w/TRANSOM "&amp;$P172&amp;CHAR(34),"")&amp;IF(N($Q172)&gt;0," w/SIDELITE "&amp;$Q172&amp;CHAR(34)&amp;" "&amp;IF($R172="","R",$R172),"")&amp;IF($Y172="","  |  "," | "&amp;IFERROR(VLOOKUP($Y172,CODES,2,FALSE),"")&amp;" | ")&amp;IFERROR(VLOOKUP($AC172,CODES,2,FALSE),"")&amp;" "&amp;IFERROR(VLOOKUP($AD172,CODES,2,FALSE),"")&amp;IF(OR($AE172="",$AE172="-"),""," "&amp;$AE172)&amp;IF(OR($AF172="",$AF172="-"),""," "&amp;$AF172)&amp;IF($AB172="Y"," 4"&amp;CHAR(34)&amp;" HEAD","")&amp;" "&amp;IFERROR(VLOOKUP($H172,CODES,2,FALSE),"")))</f>
        <v/>
      </c>
      <c r="BR172" s="50">
        <f>IF(NOT(AND($A172&lt;&gt;"",N($BC172)&gt;0)),"",TRIM(IFERROR(VLOOKUP($AH172,CODES,2,FALSE),"")&amp;IF($AI172=""," "," "&amp;$AI172&amp;"GA ")&amp;$AZ172&amp;" "&amp;IF($AN172="",IFERROR(VLOOKUP($Z172,CODES,2,FALSE),""),IFERROR(VLOOKUP($AN172,CODES,2,FALSE),""))&amp;IF($BC172=2," PAIR","")&amp;" DOOR | "&amp;IF($AL172="","?",$AL172)&amp;" | "&amp;IF($AP172="",IFERROR(VLOOKUP($AC172,CODES,2,FALSE),""),IFERROR(VLOOKUP($AP172,CODES,2,FALSE),""))&amp;" "&amp;IFERROR(VLOOKUP($AQ172,CODES,2,FALSE),"")&amp;IF(OR($AR172="",$AR172="-"),""," SEAM "&amp;$AR172)&amp;IF($AS172="Y"," ASTRAGAL","")&amp;IF($AJ172=""," "," "&amp;$AJ172)&amp;IF($AK172=""," "," "&amp;$AK172)&amp;IF($AO172="",""," "&amp;$AO172)&amp;IF($AM172=""," "," SERIES "&amp;$AM172)&amp;" "&amp;IFERROR(VLOOKUP($H172,CODES,2,FALSE),"")))</f>
        <v/>
      </c>
      <c r="BS172" s="49">
        <f>IF(BV172="","",IF(COUNTIF($BV$6:BV172,BV172)=1,MAX($BS$5:BS171)+1,INDEX($BS$5:BS171,MATCH(BV172,$BV$5:BV171,0))))</f>
        <v/>
      </c>
      <c r="BT172" s="49">
        <f>IF(NOT(AND($A172&lt;&gt;"",$C172&lt;&gt;"DOOR ONLY")),"",MAX($BT$5:BT171)+1)</f>
        <v/>
      </c>
      <c r="BU172" s="49">
        <f>IF(NOT(AND($A172&lt;&gt;"",N($BC172)&gt;0)),"",MAX($BU$5:BU171)+1)</f>
        <v/>
      </c>
      <c r="BV172" s="49">
        <f>IF(OR($A172="",$BA172="",$BB172=""),"",$AZ172&amp;"|"&amp;$O172&amp;"|"&amp;$AL172&amp;"|"&amp;$S172&amp;"|"&amp;$P172&amp;"|"&amp;$Q172&amp;$R172&amp;"|"&amp;$C172&amp;"|"&amp;$AB172)</f>
        <v/>
      </c>
      <c r="BW172" s="49">
        <f>IF($A172="","",IF($B172="","qty, ","")&amp;IF($C172="","scope, ","")&amp;IF(OR($K172="",$M172=""),"size, ","")&amp;IF(AND($A172&lt;&gt;"",$C172&lt;&gt;"DOOR ONLY"),IF($U172="","jamb depth, ","")&amp;IF($X172="","construction, ","")&amp;IF($Y172="","anchor, ","")&amp;IF($S172="","frame type, ",""),"")&amp;IF(AND(N($BC172)&gt;0,$Z172=""),"hand, ","")&amp;IF(N($BC172)&gt;0,IF($AH172="","door material, ","")&amp;IF($AL172="","face type, ","")&amp;IF($AQ172="","lock prep, ","")&amp;IF(AND($AP172="",$AC172=""),"hinge prep, ",""),"")&amp;IF(AND($BO172&gt;0,$AH172="FRP"),"FRP cannot carry a label, ","")&amp;IF(AND($O172="Y",OR($Z172="L",$Z172="R",$Z172="LR",$Z172="RR")),"pair marked but hand is single, ","")&amp;IF(AND($O172&lt;&gt;"Y",OR($Z172="PR",AND(LEN($Z172)&gt;1,ISNUMBER(SEARCH("-",$Z172))))),"pair hand on a single door, ","")&amp;IF(AND(ISNUMBER($BP172),$BO172&lt;N($BP172)),"wall needs a "&amp;$BP172&amp;" min door, ","")&amp;IF(AND($BO172&gt;=180,AND(OR($BL172="FG",$BL172="HG",$BL172="FNV",$BL172="FV"),N($BM172)*N($BN172)&gt;100)),"180 min lite over 100 sq in, ","")&amp;IF(N($BD172)&gt;48,"leaf wider than 4'-0"&amp;CHAR(34)&amp;", ",""))</f>
        <v/>
      </c>
      <c r="BX172" s="49">
        <f>IF($A172="","",IF(AND($BO172&gt;0,AND($A172&lt;&gt;"",$C172&lt;&gt;"DOOR ONLY"),$X172="KD",$E172="EXTERIOR"),"KD label on an exterior opening, ","")&amp;IF(AND($E172="EXTERIOR",OR(AND(AND($A172&lt;&gt;"",$C172&lt;&gt;"DOOR ONLY"),$W172="CR"),AND(N($BC172)&gt;0,$AH172="CR"))),"exterior in CR steel (G9?), ","")&amp;IF(AND(ISNUMBER($BJ172),N($BJ172)&lt;32),"clear width ~"&amp;TEXT($BJ172,"0.0")&amp;CHAR(34)&amp;" under 32"&amp;CHAR(34)&amp;" (ADA), ","")&amp;IF(AND($BO172=90,AND(OR($BL172="FG",$BL172="HG",$BL172="FNV",$BL172="FV"),N($BM172)*N($BN172)&gt;100)),"90 min lite over 100 sq in (stair/exit), ","")&amp;IF(AND($BO172&gt;0,AND($A172&lt;&gt;"",$C172&lt;&gt;"DOOR ONLY"),OR($AF172="",$AF172="-")),"rated: closer reinf.?, ","")&amp;IF(OR($I172="CORRIDOR",$I172="SMOKE BARRIER"),"S label + smoke gasketing, ","")&amp;IF($BP172="?","wall type/hr not in IBC table, ","")&amp;IF(AND(N($BC172)&gt;0,$AU172=""),"no hardware set, ","")&amp;IF(AND($AU172&lt;&gt;"",ISNA(MATCH($AU172,HWSets,0))),"set "&amp;$AU172&amp;" not on Hardware sheet, ","")&amp;IF(N($BE172)&gt;96,"leaf over 8'-0"&amp;CHAR(34)&amp;" - check listing, ",""))</f>
        <v/>
      </c>
    </row>
    <row r="173" ht="15" customHeight="1">
      <c r="A173" s="44" t="n"/>
      <c r="B173" s="45" t="n"/>
      <c r="C173" s="45" t="n"/>
      <c r="D173" s="45" t="n"/>
      <c r="E173" s="45" t="n"/>
      <c r="F173" s="45" t="n"/>
      <c r="G173" s="45" t="n"/>
      <c r="H173" s="45" t="n"/>
      <c r="I173" s="45" t="n"/>
      <c r="J173" s="45" t="n"/>
      <c r="K173" s="45" t="n"/>
      <c r="L173" s="45" t="n"/>
      <c r="M173" s="45" t="n"/>
      <c r="N173" s="45" t="n"/>
      <c r="O173" s="45" t="n"/>
      <c r="P173" s="45" t="n"/>
      <c r="Q173" s="45" t="n"/>
      <c r="R173" s="45" t="n"/>
      <c r="S173" s="46" t="n"/>
      <c r="T173" s="46" t="n"/>
      <c r="U173" s="46" t="n"/>
      <c r="V173" s="46" t="n"/>
      <c r="W173" s="46" t="n"/>
      <c r="X173" s="46" t="n"/>
      <c r="Y173" s="46" t="n"/>
      <c r="Z173" s="46" t="n"/>
      <c r="AA173" s="46" t="n"/>
      <c r="AB173" s="46" t="n"/>
      <c r="AC173" s="46" t="n"/>
      <c r="AD173" s="46" t="n"/>
      <c r="AE173" s="46" t="n"/>
      <c r="AF173" s="46" t="n"/>
      <c r="AG173" s="46" t="n"/>
      <c r="AH173" s="47" t="n"/>
      <c r="AI173" s="47" t="n"/>
      <c r="AJ173" s="47" t="n"/>
      <c r="AK173" s="47" t="n"/>
      <c r="AL173" s="47" t="n"/>
      <c r="AM173" s="47" t="n"/>
      <c r="AN173" s="47" t="n"/>
      <c r="AO173" s="47" t="n"/>
      <c r="AP173" s="47" t="n"/>
      <c r="AQ173" s="47" t="n"/>
      <c r="AR173" s="47" t="n"/>
      <c r="AS173" s="47" t="n"/>
      <c r="AT173" s="47" t="n"/>
      <c r="AU173" s="48" t="n"/>
      <c r="AV173" s="48" t="n"/>
      <c r="AW173" s="49">
        <f>IF($A173="","",IF($BW173&lt;&gt;"","FIX",IF($BX173&lt;&gt;"","CHECK","OK")))</f>
        <v/>
      </c>
      <c r="AX173" s="50">
        <f>IF($A173="","",IF($BW173&lt;&gt;"","FIX: "&amp;LEFT($BW173,LEN($BW173)-2)&amp;IF($BX173&lt;&gt;"","  ·  ",""),"")&amp;IF($BX173&lt;&gt;"","CHECK: "&amp;LEFT($BX173,LEN($BX173)-2),""))</f>
        <v/>
      </c>
      <c r="AY173" s="49">
        <f>IF(OR($A173="",$K173=""),"",$K173&amp;"'-"&amp;N($L173)&amp;CHAR(34)&amp;" x "&amp;$M173&amp;"'-"&amp;N($N173)&amp;CHAR(34))</f>
        <v/>
      </c>
      <c r="AZ173" s="49">
        <f>IF(OR($A173="",$K173=""),"",$K173&amp;N($L173)&amp;$M173&amp;N($N173))</f>
        <v/>
      </c>
      <c r="BA173" s="49">
        <f>IF(OR($A173="",$K173=""),"",$K173*12+N($L173))</f>
        <v/>
      </c>
      <c r="BB173" s="49">
        <f>IF(OR($A173="",$M173=""),"",$M173*12+N($N173))</f>
        <v/>
      </c>
      <c r="BC173" s="49">
        <f>IF($A173="","",IF(OR($C173="FRAME ONLY",$S173="BL"),0,IF($O173="Y",2,1)))</f>
        <v/>
      </c>
      <c r="BD173" s="51">
        <f>IF(OR(N($BC173)=0,$BA173=""),"",($BA173-2*EdgeClr-IF($BC173=2,MeetClr,0))/$BC173)</f>
        <v/>
      </c>
      <c r="BE173" s="51">
        <f>IF(OR(N($BC173)=0,$BB173=""),"",$BB173-HeadClr-Undercut)</f>
        <v/>
      </c>
      <c r="BF173" s="51">
        <f>IF($BA173="","",$BA173+2*FaceW+IF(N($Q173)&gt;0,($Q173+FaceW)*IF($R173="LR",2,1),0))</f>
        <v/>
      </c>
      <c r="BG173" s="51">
        <f>IF($BB173="","",$BB173+IF($AB173="Y",4,FaceW)+IF(N($P173)&gt;0,$P173+FaceW,0)+IF(OR($S173="4F",$S173="BL"),FaceW,0))</f>
        <v/>
      </c>
      <c r="BH173" s="51">
        <f>IF($BF173="","",$BF173+2*ROSide)</f>
        <v/>
      </c>
      <c r="BI173" s="51">
        <f>IF($BG173="","",$BG173+ROTop)</f>
        <v/>
      </c>
      <c r="BJ173" s="52">
        <f>IF(OR(N($BC173)=0,$BA173=""),"",$BA173/$BC173-ClearDeduct)</f>
        <v/>
      </c>
      <c r="BK173" s="49">
        <f>IF(OR(N($BC173)=0,$BE173=""),"",IF(OR($AC173="HGC",$AP173="HGC"),"CONT",IF($BE173&lt;=60,2,IF($BE173&lt;=90,3,IF($BE173&lt;=120,4,5)))))</f>
        <v/>
      </c>
      <c r="BL173" s="49">
        <f>IF(N($BC173)=0,"",IF(OR($AL173="",$AL173="FLUSH"),"FLUSH",IFERROR(LEFT($AL173,FIND("-",$AL173)-1),LEFT($AL173,2))))</f>
        <v/>
      </c>
      <c r="BM173" s="49">
        <f>IF($BL173="","",IFERROR(VALUE(MID($AL173,FIND("-",$AL173)+1,FIND(CHAR(34)&amp;"x",$AL173)-FIND("-",$AL173)-1)),0))</f>
        <v/>
      </c>
      <c r="BN173" s="49">
        <f>IF($BL173="","",IFERROR(VALUE(MID($AL173,FIND(CHAR(34)&amp;"x",$AL173)+2,FIND(CHAR(34),$AL173,FIND(CHAR(34)&amp;"x",$AL173)+2)-FIND(CHAR(34)&amp;"x",$AL173)-2)),0))</f>
        <v/>
      </c>
      <c r="BO173" s="53">
        <f>IF(OR($A173="",$H173="",$H173="NO LAB"),0,IFERROR(VALUE(LEFT($H173,FIND(" ",$H173)-1)),0))</f>
        <v/>
      </c>
      <c r="BP173" s="54">
        <f>IF(OR($A173="",$I173="",$I173="NON-RATED",N($J173)=0),"",IFERROR(VLOOKUP($I173&amp;"|"&amp;$J173,IBC,2,FALSE),"?"))</f>
        <v/>
      </c>
      <c r="BQ173" s="50">
        <f>IF(NOT(AND($A173&lt;&gt;"",$C173&lt;&gt;"DOOR ONLY")),"",TRIM(IFERROR(VLOOKUP($U173,CODES,2,FALSE),"")&amp;" "&amp;$AZ173&amp;" "&amp;IFERROR(VLOOKUP($Z173,CODES,2,FALSE),"")&amp;" "&amp;IFERROR(VLOOKUP($X173,CODES,2,FALSE),"")&amp;" "&amp;IFERROR(VLOOKUP($S173,CODES,2,FALSE),"")&amp;IF(N($P173)&gt;0," w/TRANSOM "&amp;$P173&amp;CHAR(34),"")&amp;IF(N($Q173)&gt;0," w/SIDELITE "&amp;$Q173&amp;CHAR(34)&amp;" "&amp;IF($R173="","R",$R173),"")&amp;IF($Y173="","  |  "," | "&amp;IFERROR(VLOOKUP($Y173,CODES,2,FALSE),"")&amp;" | ")&amp;IFERROR(VLOOKUP($AC173,CODES,2,FALSE),"")&amp;" "&amp;IFERROR(VLOOKUP($AD173,CODES,2,FALSE),"")&amp;IF(OR($AE173="",$AE173="-"),""," "&amp;$AE173)&amp;IF(OR($AF173="",$AF173="-"),""," "&amp;$AF173)&amp;IF($AB173="Y"," 4"&amp;CHAR(34)&amp;" HEAD","")&amp;" "&amp;IFERROR(VLOOKUP($H173,CODES,2,FALSE),"")))</f>
        <v/>
      </c>
      <c r="BR173" s="50">
        <f>IF(NOT(AND($A173&lt;&gt;"",N($BC173)&gt;0)),"",TRIM(IFERROR(VLOOKUP($AH173,CODES,2,FALSE),"")&amp;IF($AI173=""," "," "&amp;$AI173&amp;"GA ")&amp;$AZ173&amp;" "&amp;IF($AN173="",IFERROR(VLOOKUP($Z173,CODES,2,FALSE),""),IFERROR(VLOOKUP($AN173,CODES,2,FALSE),""))&amp;IF($BC173=2," PAIR","")&amp;" DOOR | "&amp;IF($AL173="","?",$AL173)&amp;" | "&amp;IF($AP173="",IFERROR(VLOOKUP($AC173,CODES,2,FALSE),""),IFERROR(VLOOKUP($AP173,CODES,2,FALSE),""))&amp;" "&amp;IFERROR(VLOOKUP($AQ173,CODES,2,FALSE),"")&amp;IF(OR($AR173="",$AR173="-"),""," SEAM "&amp;$AR173)&amp;IF($AS173="Y"," ASTRAGAL","")&amp;IF($AJ173=""," "," "&amp;$AJ173)&amp;IF($AK173=""," "," "&amp;$AK173)&amp;IF($AO173="",""," "&amp;$AO173)&amp;IF($AM173=""," "," SERIES "&amp;$AM173)&amp;" "&amp;IFERROR(VLOOKUP($H173,CODES,2,FALSE),"")))</f>
        <v/>
      </c>
      <c r="BS173" s="49">
        <f>IF(BV173="","",IF(COUNTIF($BV$6:BV173,BV173)=1,MAX($BS$5:BS172)+1,INDEX($BS$5:BS172,MATCH(BV173,$BV$5:BV172,0))))</f>
        <v/>
      </c>
      <c r="BT173" s="49">
        <f>IF(NOT(AND($A173&lt;&gt;"",$C173&lt;&gt;"DOOR ONLY")),"",MAX($BT$5:BT172)+1)</f>
        <v/>
      </c>
      <c r="BU173" s="49">
        <f>IF(NOT(AND($A173&lt;&gt;"",N($BC173)&gt;0)),"",MAX($BU$5:BU172)+1)</f>
        <v/>
      </c>
      <c r="BV173" s="49">
        <f>IF(OR($A173="",$BA173="",$BB173=""),"",$AZ173&amp;"|"&amp;$O173&amp;"|"&amp;$AL173&amp;"|"&amp;$S173&amp;"|"&amp;$P173&amp;"|"&amp;$Q173&amp;$R173&amp;"|"&amp;$C173&amp;"|"&amp;$AB173)</f>
        <v/>
      </c>
      <c r="BW173" s="49">
        <f>IF($A173="","",IF($B173="","qty, ","")&amp;IF($C173="","scope, ","")&amp;IF(OR($K173="",$M173=""),"size, ","")&amp;IF(AND($A173&lt;&gt;"",$C173&lt;&gt;"DOOR ONLY"),IF($U173="","jamb depth, ","")&amp;IF($X173="","construction, ","")&amp;IF($Y173="","anchor, ","")&amp;IF($S173="","frame type, ",""),"")&amp;IF(AND(N($BC173)&gt;0,$Z173=""),"hand, ","")&amp;IF(N($BC173)&gt;0,IF($AH173="","door material, ","")&amp;IF($AL173="","face type, ","")&amp;IF($AQ173="","lock prep, ","")&amp;IF(AND($AP173="",$AC173=""),"hinge prep, ",""),"")&amp;IF(AND($BO173&gt;0,$AH173="FRP"),"FRP cannot carry a label, ","")&amp;IF(AND($O173="Y",OR($Z173="L",$Z173="R",$Z173="LR",$Z173="RR")),"pair marked but hand is single, ","")&amp;IF(AND($O173&lt;&gt;"Y",OR($Z173="PR",AND(LEN($Z173)&gt;1,ISNUMBER(SEARCH("-",$Z173))))),"pair hand on a single door, ","")&amp;IF(AND(ISNUMBER($BP173),$BO173&lt;N($BP173)),"wall needs a "&amp;$BP173&amp;" min door, ","")&amp;IF(AND($BO173&gt;=180,AND(OR($BL173="FG",$BL173="HG",$BL173="FNV",$BL173="FV"),N($BM173)*N($BN173)&gt;100)),"180 min lite over 100 sq in, ","")&amp;IF(N($BD173)&gt;48,"leaf wider than 4'-0"&amp;CHAR(34)&amp;", ",""))</f>
        <v/>
      </c>
      <c r="BX173" s="49">
        <f>IF($A173="","",IF(AND($BO173&gt;0,AND($A173&lt;&gt;"",$C173&lt;&gt;"DOOR ONLY"),$X173="KD",$E173="EXTERIOR"),"KD label on an exterior opening, ","")&amp;IF(AND($E173="EXTERIOR",OR(AND(AND($A173&lt;&gt;"",$C173&lt;&gt;"DOOR ONLY"),$W173="CR"),AND(N($BC173)&gt;0,$AH173="CR"))),"exterior in CR steel (G9?), ","")&amp;IF(AND(ISNUMBER($BJ173),N($BJ173)&lt;32),"clear width ~"&amp;TEXT($BJ173,"0.0")&amp;CHAR(34)&amp;" under 32"&amp;CHAR(34)&amp;" (ADA), ","")&amp;IF(AND($BO173=90,AND(OR($BL173="FG",$BL173="HG",$BL173="FNV",$BL173="FV"),N($BM173)*N($BN173)&gt;100)),"90 min lite over 100 sq in (stair/exit), ","")&amp;IF(AND($BO173&gt;0,AND($A173&lt;&gt;"",$C173&lt;&gt;"DOOR ONLY"),OR($AF173="",$AF173="-")),"rated: closer reinf.?, ","")&amp;IF(OR($I173="CORRIDOR",$I173="SMOKE BARRIER"),"S label + smoke gasketing, ","")&amp;IF($BP173="?","wall type/hr not in IBC table, ","")&amp;IF(AND(N($BC173)&gt;0,$AU173=""),"no hardware set, ","")&amp;IF(AND($AU173&lt;&gt;"",ISNA(MATCH($AU173,HWSets,0))),"set "&amp;$AU173&amp;" not on Hardware sheet, ","")&amp;IF(N($BE173)&gt;96,"leaf over 8'-0"&amp;CHAR(34)&amp;" - check listing, ",""))</f>
        <v/>
      </c>
    </row>
    <row r="174" ht="15" customHeight="1">
      <c r="A174" s="44" t="n"/>
      <c r="B174" s="45" t="n"/>
      <c r="C174" s="45" t="n"/>
      <c r="D174" s="45" t="n"/>
      <c r="E174" s="45" t="n"/>
      <c r="F174" s="45" t="n"/>
      <c r="G174" s="45" t="n"/>
      <c r="H174" s="45" t="n"/>
      <c r="I174" s="45" t="n"/>
      <c r="J174" s="45" t="n"/>
      <c r="K174" s="45" t="n"/>
      <c r="L174" s="45" t="n"/>
      <c r="M174" s="45" t="n"/>
      <c r="N174" s="45" t="n"/>
      <c r="O174" s="45" t="n"/>
      <c r="P174" s="45" t="n"/>
      <c r="Q174" s="45" t="n"/>
      <c r="R174" s="45" t="n"/>
      <c r="S174" s="46" t="n"/>
      <c r="T174" s="46" t="n"/>
      <c r="U174" s="46" t="n"/>
      <c r="V174" s="46" t="n"/>
      <c r="W174" s="46" t="n"/>
      <c r="X174" s="46" t="n"/>
      <c r="Y174" s="46" t="n"/>
      <c r="Z174" s="46" t="n"/>
      <c r="AA174" s="46" t="n"/>
      <c r="AB174" s="46" t="n"/>
      <c r="AC174" s="46" t="n"/>
      <c r="AD174" s="46" t="n"/>
      <c r="AE174" s="46" t="n"/>
      <c r="AF174" s="46" t="n"/>
      <c r="AG174" s="46" t="n"/>
      <c r="AH174" s="47" t="n"/>
      <c r="AI174" s="47" t="n"/>
      <c r="AJ174" s="47" t="n"/>
      <c r="AK174" s="47" t="n"/>
      <c r="AL174" s="47" t="n"/>
      <c r="AM174" s="47" t="n"/>
      <c r="AN174" s="47" t="n"/>
      <c r="AO174" s="47" t="n"/>
      <c r="AP174" s="47" t="n"/>
      <c r="AQ174" s="47" t="n"/>
      <c r="AR174" s="47" t="n"/>
      <c r="AS174" s="47" t="n"/>
      <c r="AT174" s="47" t="n"/>
      <c r="AU174" s="48" t="n"/>
      <c r="AV174" s="48" t="n"/>
      <c r="AW174" s="49">
        <f>IF($A174="","",IF($BW174&lt;&gt;"","FIX",IF($BX174&lt;&gt;"","CHECK","OK")))</f>
        <v/>
      </c>
      <c r="AX174" s="50">
        <f>IF($A174="","",IF($BW174&lt;&gt;"","FIX: "&amp;LEFT($BW174,LEN($BW174)-2)&amp;IF($BX174&lt;&gt;"","  ·  ",""),"")&amp;IF($BX174&lt;&gt;"","CHECK: "&amp;LEFT($BX174,LEN($BX174)-2),""))</f>
        <v/>
      </c>
      <c r="AY174" s="49">
        <f>IF(OR($A174="",$K174=""),"",$K174&amp;"'-"&amp;N($L174)&amp;CHAR(34)&amp;" x "&amp;$M174&amp;"'-"&amp;N($N174)&amp;CHAR(34))</f>
        <v/>
      </c>
      <c r="AZ174" s="49">
        <f>IF(OR($A174="",$K174=""),"",$K174&amp;N($L174)&amp;$M174&amp;N($N174))</f>
        <v/>
      </c>
      <c r="BA174" s="49">
        <f>IF(OR($A174="",$K174=""),"",$K174*12+N($L174))</f>
        <v/>
      </c>
      <c r="BB174" s="49">
        <f>IF(OR($A174="",$M174=""),"",$M174*12+N($N174))</f>
        <v/>
      </c>
      <c r="BC174" s="49">
        <f>IF($A174="","",IF(OR($C174="FRAME ONLY",$S174="BL"),0,IF($O174="Y",2,1)))</f>
        <v/>
      </c>
      <c r="BD174" s="51">
        <f>IF(OR(N($BC174)=0,$BA174=""),"",($BA174-2*EdgeClr-IF($BC174=2,MeetClr,0))/$BC174)</f>
        <v/>
      </c>
      <c r="BE174" s="51">
        <f>IF(OR(N($BC174)=0,$BB174=""),"",$BB174-HeadClr-Undercut)</f>
        <v/>
      </c>
      <c r="BF174" s="51">
        <f>IF($BA174="","",$BA174+2*FaceW+IF(N($Q174)&gt;0,($Q174+FaceW)*IF($R174="LR",2,1),0))</f>
        <v/>
      </c>
      <c r="BG174" s="51">
        <f>IF($BB174="","",$BB174+IF($AB174="Y",4,FaceW)+IF(N($P174)&gt;0,$P174+FaceW,0)+IF(OR($S174="4F",$S174="BL"),FaceW,0))</f>
        <v/>
      </c>
      <c r="BH174" s="51">
        <f>IF($BF174="","",$BF174+2*ROSide)</f>
        <v/>
      </c>
      <c r="BI174" s="51">
        <f>IF($BG174="","",$BG174+ROTop)</f>
        <v/>
      </c>
      <c r="BJ174" s="52">
        <f>IF(OR(N($BC174)=0,$BA174=""),"",$BA174/$BC174-ClearDeduct)</f>
        <v/>
      </c>
      <c r="BK174" s="49">
        <f>IF(OR(N($BC174)=0,$BE174=""),"",IF(OR($AC174="HGC",$AP174="HGC"),"CONT",IF($BE174&lt;=60,2,IF($BE174&lt;=90,3,IF($BE174&lt;=120,4,5)))))</f>
        <v/>
      </c>
      <c r="BL174" s="49">
        <f>IF(N($BC174)=0,"",IF(OR($AL174="",$AL174="FLUSH"),"FLUSH",IFERROR(LEFT($AL174,FIND("-",$AL174)-1),LEFT($AL174,2))))</f>
        <v/>
      </c>
      <c r="BM174" s="49">
        <f>IF($BL174="","",IFERROR(VALUE(MID($AL174,FIND("-",$AL174)+1,FIND(CHAR(34)&amp;"x",$AL174)-FIND("-",$AL174)-1)),0))</f>
        <v/>
      </c>
      <c r="BN174" s="49">
        <f>IF($BL174="","",IFERROR(VALUE(MID($AL174,FIND(CHAR(34)&amp;"x",$AL174)+2,FIND(CHAR(34),$AL174,FIND(CHAR(34)&amp;"x",$AL174)+2)-FIND(CHAR(34)&amp;"x",$AL174)-2)),0))</f>
        <v/>
      </c>
      <c r="BO174" s="53">
        <f>IF(OR($A174="",$H174="",$H174="NO LAB"),0,IFERROR(VALUE(LEFT($H174,FIND(" ",$H174)-1)),0))</f>
        <v/>
      </c>
      <c r="BP174" s="54">
        <f>IF(OR($A174="",$I174="",$I174="NON-RATED",N($J174)=0),"",IFERROR(VLOOKUP($I174&amp;"|"&amp;$J174,IBC,2,FALSE),"?"))</f>
        <v/>
      </c>
      <c r="BQ174" s="50">
        <f>IF(NOT(AND($A174&lt;&gt;"",$C174&lt;&gt;"DOOR ONLY")),"",TRIM(IFERROR(VLOOKUP($U174,CODES,2,FALSE),"")&amp;" "&amp;$AZ174&amp;" "&amp;IFERROR(VLOOKUP($Z174,CODES,2,FALSE),"")&amp;" "&amp;IFERROR(VLOOKUP($X174,CODES,2,FALSE),"")&amp;" "&amp;IFERROR(VLOOKUP($S174,CODES,2,FALSE),"")&amp;IF(N($P174)&gt;0," w/TRANSOM "&amp;$P174&amp;CHAR(34),"")&amp;IF(N($Q174)&gt;0," w/SIDELITE "&amp;$Q174&amp;CHAR(34)&amp;" "&amp;IF($R174="","R",$R174),"")&amp;IF($Y174="","  |  "," | "&amp;IFERROR(VLOOKUP($Y174,CODES,2,FALSE),"")&amp;" | ")&amp;IFERROR(VLOOKUP($AC174,CODES,2,FALSE),"")&amp;" "&amp;IFERROR(VLOOKUP($AD174,CODES,2,FALSE),"")&amp;IF(OR($AE174="",$AE174="-"),""," "&amp;$AE174)&amp;IF(OR($AF174="",$AF174="-"),""," "&amp;$AF174)&amp;IF($AB174="Y"," 4"&amp;CHAR(34)&amp;" HEAD","")&amp;" "&amp;IFERROR(VLOOKUP($H174,CODES,2,FALSE),"")))</f>
        <v/>
      </c>
      <c r="BR174" s="50">
        <f>IF(NOT(AND($A174&lt;&gt;"",N($BC174)&gt;0)),"",TRIM(IFERROR(VLOOKUP($AH174,CODES,2,FALSE),"")&amp;IF($AI174=""," "," "&amp;$AI174&amp;"GA ")&amp;$AZ174&amp;" "&amp;IF($AN174="",IFERROR(VLOOKUP($Z174,CODES,2,FALSE),""),IFERROR(VLOOKUP($AN174,CODES,2,FALSE),""))&amp;IF($BC174=2," PAIR","")&amp;" DOOR | "&amp;IF($AL174="","?",$AL174)&amp;" | "&amp;IF($AP174="",IFERROR(VLOOKUP($AC174,CODES,2,FALSE),""),IFERROR(VLOOKUP($AP174,CODES,2,FALSE),""))&amp;" "&amp;IFERROR(VLOOKUP($AQ174,CODES,2,FALSE),"")&amp;IF(OR($AR174="",$AR174="-"),""," SEAM "&amp;$AR174)&amp;IF($AS174="Y"," ASTRAGAL","")&amp;IF($AJ174=""," "," "&amp;$AJ174)&amp;IF($AK174=""," "," "&amp;$AK174)&amp;IF($AO174="",""," "&amp;$AO174)&amp;IF($AM174=""," "," SERIES "&amp;$AM174)&amp;" "&amp;IFERROR(VLOOKUP($H174,CODES,2,FALSE),"")))</f>
        <v/>
      </c>
      <c r="BS174" s="49">
        <f>IF(BV174="","",IF(COUNTIF($BV$6:BV174,BV174)=1,MAX($BS$5:BS173)+1,INDEX($BS$5:BS173,MATCH(BV174,$BV$5:BV173,0))))</f>
        <v/>
      </c>
      <c r="BT174" s="49">
        <f>IF(NOT(AND($A174&lt;&gt;"",$C174&lt;&gt;"DOOR ONLY")),"",MAX($BT$5:BT173)+1)</f>
        <v/>
      </c>
      <c r="BU174" s="49">
        <f>IF(NOT(AND($A174&lt;&gt;"",N($BC174)&gt;0)),"",MAX($BU$5:BU173)+1)</f>
        <v/>
      </c>
      <c r="BV174" s="49">
        <f>IF(OR($A174="",$BA174="",$BB174=""),"",$AZ174&amp;"|"&amp;$O174&amp;"|"&amp;$AL174&amp;"|"&amp;$S174&amp;"|"&amp;$P174&amp;"|"&amp;$Q174&amp;$R174&amp;"|"&amp;$C174&amp;"|"&amp;$AB174)</f>
        <v/>
      </c>
      <c r="BW174" s="49">
        <f>IF($A174="","",IF($B174="","qty, ","")&amp;IF($C174="","scope, ","")&amp;IF(OR($K174="",$M174=""),"size, ","")&amp;IF(AND($A174&lt;&gt;"",$C174&lt;&gt;"DOOR ONLY"),IF($U174="","jamb depth, ","")&amp;IF($X174="","construction, ","")&amp;IF($Y174="","anchor, ","")&amp;IF($S174="","frame type, ",""),"")&amp;IF(AND(N($BC174)&gt;0,$Z174=""),"hand, ","")&amp;IF(N($BC174)&gt;0,IF($AH174="","door material, ","")&amp;IF($AL174="","face type, ","")&amp;IF($AQ174="","lock prep, ","")&amp;IF(AND($AP174="",$AC174=""),"hinge prep, ",""),"")&amp;IF(AND($BO174&gt;0,$AH174="FRP"),"FRP cannot carry a label, ","")&amp;IF(AND($O174="Y",OR($Z174="L",$Z174="R",$Z174="LR",$Z174="RR")),"pair marked but hand is single, ","")&amp;IF(AND($O174&lt;&gt;"Y",OR($Z174="PR",AND(LEN($Z174)&gt;1,ISNUMBER(SEARCH("-",$Z174))))),"pair hand on a single door, ","")&amp;IF(AND(ISNUMBER($BP174),$BO174&lt;N($BP174)),"wall needs a "&amp;$BP174&amp;" min door, ","")&amp;IF(AND($BO174&gt;=180,AND(OR($BL174="FG",$BL174="HG",$BL174="FNV",$BL174="FV"),N($BM174)*N($BN174)&gt;100)),"180 min lite over 100 sq in, ","")&amp;IF(N($BD174)&gt;48,"leaf wider than 4'-0"&amp;CHAR(34)&amp;", ",""))</f>
        <v/>
      </c>
      <c r="BX174" s="49">
        <f>IF($A174="","",IF(AND($BO174&gt;0,AND($A174&lt;&gt;"",$C174&lt;&gt;"DOOR ONLY"),$X174="KD",$E174="EXTERIOR"),"KD label on an exterior opening, ","")&amp;IF(AND($E174="EXTERIOR",OR(AND(AND($A174&lt;&gt;"",$C174&lt;&gt;"DOOR ONLY"),$W174="CR"),AND(N($BC174)&gt;0,$AH174="CR"))),"exterior in CR steel (G9?), ","")&amp;IF(AND(ISNUMBER($BJ174),N($BJ174)&lt;32),"clear width ~"&amp;TEXT($BJ174,"0.0")&amp;CHAR(34)&amp;" under 32"&amp;CHAR(34)&amp;" (ADA), ","")&amp;IF(AND($BO174=90,AND(OR($BL174="FG",$BL174="HG",$BL174="FNV",$BL174="FV"),N($BM174)*N($BN174)&gt;100)),"90 min lite over 100 sq in (stair/exit), ","")&amp;IF(AND($BO174&gt;0,AND($A174&lt;&gt;"",$C174&lt;&gt;"DOOR ONLY"),OR($AF174="",$AF174="-")),"rated: closer reinf.?, ","")&amp;IF(OR($I174="CORRIDOR",$I174="SMOKE BARRIER"),"S label + smoke gasketing, ","")&amp;IF($BP174="?","wall type/hr not in IBC table, ","")&amp;IF(AND(N($BC174)&gt;0,$AU174=""),"no hardware set, ","")&amp;IF(AND($AU174&lt;&gt;"",ISNA(MATCH($AU174,HWSets,0))),"set "&amp;$AU174&amp;" not on Hardware sheet, ","")&amp;IF(N($BE174)&gt;96,"leaf over 8'-0"&amp;CHAR(34)&amp;" - check listing, ",""))</f>
        <v/>
      </c>
    </row>
    <row r="175" ht="15" customHeight="1">
      <c r="A175" s="44" t="n"/>
      <c r="B175" s="45" t="n"/>
      <c r="C175" s="45" t="n"/>
      <c r="D175" s="45" t="n"/>
      <c r="E175" s="45" t="n"/>
      <c r="F175" s="45" t="n"/>
      <c r="G175" s="45" t="n"/>
      <c r="H175" s="45" t="n"/>
      <c r="I175" s="45" t="n"/>
      <c r="J175" s="45" t="n"/>
      <c r="K175" s="45" t="n"/>
      <c r="L175" s="45" t="n"/>
      <c r="M175" s="45" t="n"/>
      <c r="N175" s="45" t="n"/>
      <c r="O175" s="45" t="n"/>
      <c r="P175" s="45" t="n"/>
      <c r="Q175" s="45" t="n"/>
      <c r="R175" s="45" t="n"/>
      <c r="S175" s="46" t="n"/>
      <c r="T175" s="46" t="n"/>
      <c r="U175" s="46" t="n"/>
      <c r="V175" s="46" t="n"/>
      <c r="W175" s="46" t="n"/>
      <c r="X175" s="46" t="n"/>
      <c r="Y175" s="46" t="n"/>
      <c r="Z175" s="46" t="n"/>
      <c r="AA175" s="46" t="n"/>
      <c r="AB175" s="46" t="n"/>
      <c r="AC175" s="46" t="n"/>
      <c r="AD175" s="46" t="n"/>
      <c r="AE175" s="46" t="n"/>
      <c r="AF175" s="46" t="n"/>
      <c r="AG175" s="46" t="n"/>
      <c r="AH175" s="47" t="n"/>
      <c r="AI175" s="47" t="n"/>
      <c r="AJ175" s="47" t="n"/>
      <c r="AK175" s="47" t="n"/>
      <c r="AL175" s="47" t="n"/>
      <c r="AM175" s="47" t="n"/>
      <c r="AN175" s="47" t="n"/>
      <c r="AO175" s="47" t="n"/>
      <c r="AP175" s="47" t="n"/>
      <c r="AQ175" s="47" t="n"/>
      <c r="AR175" s="47" t="n"/>
      <c r="AS175" s="47" t="n"/>
      <c r="AT175" s="47" t="n"/>
      <c r="AU175" s="48" t="n"/>
      <c r="AV175" s="48" t="n"/>
      <c r="AW175" s="49">
        <f>IF($A175="","",IF($BW175&lt;&gt;"","FIX",IF($BX175&lt;&gt;"","CHECK","OK")))</f>
        <v/>
      </c>
      <c r="AX175" s="50">
        <f>IF($A175="","",IF($BW175&lt;&gt;"","FIX: "&amp;LEFT($BW175,LEN($BW175)-2)&amp;IF($BX175&lt;&gt;"","  ·  ",""),"")&amp;IF($BX175&lt;&gt;"","CHECK: "&amp;LEFT($BX175,LEN($BX175)-2),""))</f>
        <v/>
      </c>
      <c r="AY175" s="49">
        <f>IF(OR($A175="",$K175=""),"",$K175&amp;"'-"&amp;N($L175)&amp;CHAR(34)&amp;" x "&amp;$M175&amp;"'-"&amp;N($N175)&amp;CHAR(34))</f>
        <v/>
      </c>
      <c r="AZ175" s="49">
        <f>IF(OR($A175="",$K175=""),"",$K175&amp;N($L175)&amp;$M175&amp;N($N175))</f>
        <v/>
      </c>
      <c r="BA175" s="49">
        <f>IF(OR($A175="",$K175=""),"",$K175*12+N($L175))</f>
        <v/>
      </c>
      <c r="BB175" s="49">
        <f>IF(OR($A175="",$M175=""),"",$M175*12+N($N175))</f>
        <v/>
      </c>
      <c r="BC175" s="49">
        <f>IF($A175="","",IF(OR($C175="FRAME ONLY",$S175="BL"),0,IF($O175="Y",2,1)))</f>
        <v/>
      </c>
      <c r="BD175" s="51">
        <f>IF(OR(N($BC175)=0,$BA175=""),"",($BA175-2*EdgeClr-IF($BC175=2,MeetClr,0))/$BC175)</f>
        <v/>
      </c>
      <c r="BE175" s="51">
        <f>IF(OR(N($BC175)=0,$BB175=""),"",$BB175-HeadClr-Undercut)</f>
        <v/>
      </c>
      <c r="BF175" s="51">
        <f>IF($BA175="","",$BA175+2*FaceW+IF(N($Q175)&gt;0,($Q175+FaceW)*IF($R175="LR",2,1),0))</f>
        <v/>
      </c>
      <c r="BG175" s="51">
        <f>IF($BB175="","",$BB175+IF($AB175="Y",4,FaceW)+IF(N($P175)&gt;0,$P175+FaceW,0)+IF(OR($S175="4F",$S175="BL"),FaceW,0))</f>
        <v/>
      </c>
      <c r="BH175" s="51">
        <f>IF($BF175="","",$BF175+2*ROSide)</f>
        <v/>
      </c>
      <c r="BI175" s="51">
        <f>IF($BG175="","",$BG175+ROTop)</f>
        <v/>
      </c>
      <c r="BJ175" s="52">
        <f>IF(OR(N($BC175)=0,$BA175=""),"",$BA175/$BC175-ClearDeduct)</f>
        <v/>
      </c>
      <c r="BK175" s="49">
        <f>IF(OR(N($BC175)=0,$BE175=""),"",IF(OR($AC175="HGC",$AP175="HGC"),"CONT",IF($BE175&lt;=60,2,IF($BE175&lt;=90,3,IF($BE175&lt;=120,4,5)))))</f>
        <v/>
      </c>
      <c r="BL175" s="49">
        <f>IF(N($BC175)=0,"",IF(OR($AL175="",$AL175="FLUSH"),"FLUSH",IFERROR(LEFT($AL175,FIND("-",$AL175)-1),LEFT($AL175,2))))</f>
        <v/>
      </c>
      <c r="BM175" s="49">
        <f>IF($BL175="","",IFERROR(VALUE(MID($AL175,FIND("-",$AL175)+1,FIND(CHAR(34)&amp;"x",$AL175)-FIND("-",$AL175)-1)),0))</f>
        <v/>
      </c>
      <c r="BN175" s="49">
        <f>IF($BL175="","",IFERROR(VALUE(MID($AL175,FIND(CHAR(34)&amp;"x",$AL175)+2,FIND(CHAR(34),$AL175,FIND(CHAR(34)&amp;"x",$AL175)+2)-FIND(CHAR(34)&amp;"x",$AL175)-2)),0))</f>
        <v/>
      </c>
      <c r="BO175" s="53">
        <f>IF(OR($A175="",$H175="",$H175="NO LAB"),0,IFERROR(VALUE(LEFT($H175,FIND(" ",$H175)-1)),0))</f>
        <v/>
      </c>
      <c r="BP175" s="54">
        <f>IF(OR($A175="",$I175="",$I175="NON-RATED",N($J175)=0),"",IFERROR(VLOOKUP($I175&amp;"|"&amp;$J175,IBC,2,FALSE),"?"))</f>
        <v/>
      </c>
      <c r="BQ175" s="50">
        <f>IF(NOT(AND($A175&lt;&gt;"",$C175&lt;&gt;"DOOR ONLY")),"",TRIM(IFERROR(VLOOKUP($U175,CODES,2,FALSE),"")&amp;" "&amp;$AZ175&amp;" "&amp;IFERROR(VLOOKUP($Z175,CODES,2,FALSE),"")&amp;" "&amp;IFERROR(VLOOKUP($X175,CODES,2,FALSE),"")&amp;" "&amp;IFERROR(VLOOKUP($S175,CODES,2,FALSE),"")&amp;IF(N($P175)&gt;0," w/TRANSOM "&amp;$P175&amp;CHAR(34),"")&amp;IF(N($Q175)&gt;0," w/SIDELITE "&amp;$Q175&amp;CHAR(34)&amp;" "&amp;IF($R175="","R",$R175),"")&amp;IF($Y175="","  |  "," | "&amp;IFERROR(VLOOKUP($Y175,CODES,2,FALSE),"")&amp;" | ")&amp;IFERROR(VLOOKUP($AC175,CODES,2,FALSE),"")&amp;" "&amp;IFERROR(VLOOKUP($AD175,CODES,2,FALSE),"")&amp;IF(OR($AE175="",$AE175="-"),""," "&amp;$AE175)&amp;IF(OR($AF175="",$AF175="-"),""," "&amp;$AF175)&amp;IF($AB175="Y"," 4"&amp;CHAR(34)&amp;" HEAD","")&amp;" "&amp;IFERROR(VLOOKUP($H175,CODES,2,FALSE),"")))</f>
        <v/>
      </c>
      <c r="BR175" s="50">
        <f>IF(NOT(AND($A175&lt;&gt;"",N($BC175)&gt;0)),"",TRIM(IFERROR(VLOOKUP($AH175,CODES,2,FALSE),"")&amp;IF($AI175=""," "," "&amp;$AI175&amp;"GA ")&amp;$AZ175&amp;" "&amp;IF($AN175="",IFERROR(VLOOKUP($Z175,CODES,2,FALSE),""),IFERROR(VLOOKUP($AN175,CODES,2,FALSE),""))&amp;IF($BC175=2," PAIR","")&amp;" DOOR | "&amp;IF($AL175="","?",$AL175)&amp;" | "&amp;IF($AP175="",IFERROR(VLOOKUP($AC175,CODES,2,FALSE),""),IFERROR(VLOOKUP($AP175,CODES,2,FALSE),""))&amp;" "&amp;IFERROR(VLOOKUP($AQ175,CODES,2,FALSE),"")&amp;IF(OR($AR175="",$AR175="-"),""," SEAM "&amp;$AR175)&amp;IF($AS175="Y"," ASTRAGAL","")&amp;IF($AJ175=""," "," "&amp;$AJ175)&amp;IF($AK175=""," "," "&amp;$AK175)&amp;IF($AO175="",""," "&amp;$AO175)&amp;IF($AM175=""," "," SERIES "&amp;$AM175)&amp;" "&amp;IFERROR(VLOOKUP($H175,CODES,2,FALSE),"")))</f>
        <v/>
      </c>
      <c r="BS175" s="49">
        <f>IF(BV175="","",IF(COUNTIF($BV$6:BV175,BV175)=1,MAX($BS$5:BS174)+1,INDEX($BS$5:BS174,MATCH(BV175,$BV$5:BV174,0))))</f>
        <v/>
      </c>
      <c r="BT175" s="49">
        <f>IF(NOT(AND($A175&lt;&gt;"",$C175&lt;&gt;"DOOR ONLY")),"",MAX($BT$5:BT174)+1)</f>
        <v/>
      </c>
      <c r="BU175" s="49">
        <f>IF(NOT(AND($A175&lt;&gt;"",N($BC175)&gt;0)),"",MAX($BU$5:BU174)+1)</f>
        <v/>
      </c>
      <c r="BV175" s="49">
        <f>IF(OR($A175="",$BA175="",$BB175=""),"",$AZ175&amp;"|"&amp;$O175&amp;"|"&amp;$AL175&amp;"|"&amp;$S175&amp;"|"&amp;$P175&amp;"|"&amp;$Q175&amp;$R175&amp;"|"&amp;$C175&amp;"|"&amp;$AB175)</f>
        <v/>
      </c>
      <c r="BW175" s="49">
        <f>IF($A175="","",IF($B175="","qty, ","")&amp;IF($C175="","scope, ","")&amp;IF(OR($K175="",$M175=""),"size, ","")&amp;IF(AND($A175&lt;&gt;"",$C175&lt;&gt;"DOOR ONLY"),IF($U175="","jamb depth, ","")&amp;IF($X175="","construction, ","")&amp;IF($Y175="","anchor, ","")&amp;IF($S175="","frame type, ",""),"")&amp;IF(AND(N($BC175)&gt;0,$Z175=""),"hand, ","")&amp;IF(N($BC175)&gt;0,IF($AH175="","door material, ","")&amp;IF($AL175="","face type, ","")&amp;IF($AQ175="","lock prep, ","")&amp;IF(AND($AP175="",$AC175=""),"hinge prep, ",""),"")&amp;IF(AND($BO175&gt;0,$AH175="FRP"),"FRP cannot carry a label, ","")&amp;IF(AND($O175="Y",OR($Z175="L",$Z175="R",$Z175="LR",$Z175="RR")),"pair marked but hand is single, ","")&amp;IF(AND($O175&lt;&gt;"Y",OR($Z175="PR",AND(LEN($Z175)&gt;1,ISNUMBER(SEARCH("-",$Z175))))),"pair hand on a single door, ","")&amp;IF(AND(ISNUMBER($BP175),$BO175&lt;N($BP175)),"wall needs a "&amp;$BP175&amp;" min door, ","")&amp;IF(AND($BO175&gt;=180,AND(OR($BL175="FG",$BL175="HG",$BL175="FNV",$BL175="FV"),N($BM175)*N($BN175)&gt;100)),"180 min lite over 100 sq in, ","")&amp;IF(N($BD175)&gt;48,"leaf wider than 4'-0"&amp;CHAR(34)&amp;", ",""))</f>
        <v/>
      </c>
      <c r="BX175" s="49">
        <f>IF($A175="","",IF(AND($BO175&gt;0,AND($A175&lt;&gt;"",$C175&lt;&gt;"DOOR ONLY"),$X175="KD",$E175="EXTERIOR"),"KD label on an exterior opening, ","")&amp;IF(AND($E175="EXTERIOR",OR(AND(AND($A175&lt;&gt;"",$C175&lt;&gt;"DOOR ONLY"),$W175="CR"),AND(N($BC175)&gt;0,$AH175="CR"))),"exterior in CR steel (G9?), ","")&amp;IF(AND(ISNUMBER($BJ175),N($BJ175)&lt;32),"clear width ~"&amp;TEXT($BJ175,"0.0")&amp;CHAR(34)&amp;" under 32"&amp;CHAR(34)&amp;" (ADA), ","")&amp;IF(AND($BO175=90,AND(OR($BL175="FG",$BL175="HG",$BL175="FNV",$BL175="FV"),N($BM175)*N($BN175)&gt;100)),"90 min lite over 100 sq in (stair/exit), ","")&amp;IF(AND($BO175&gt;0,AND($A175&lt;&gt;"",$C175&lt;&gt;"DOOR ONLY"),OR($AF175="",$AF175="-")),"rated: closer reinf.?, ","")&amp;IF(OR($I175="CORRIDOR",$I175="SMOKE BARRIER"),"S label + smoke gasketing, ","")&amp;IF($BP175="?","wall type/hr not in IBC table, ","")&amp;IF(AND(N($BC175)&gt;0,$AU175=""),"no hardware set, ","")&amp;IF(AND($AU175&lt;&gt;"",ISNA(MATCH($AU175,HWSets,0))),"set "&amp;$AU175&amp;" not on Hardware sheet, ","")&amp;IF(N($BE175)&gt;96,"leaf over 8'-0"&amp;CHAR(34)&amp;" - check listing, ",""))</f>
        <v/>
      </c>
    </row>
    <row r="176" ht="15" customHeight="1">
      <c r="A176" s="44" t="n"/>
      <c r="B176" s="45" t="n"/>
      <c r="C176" s="45" t="n"/>
      <c r="D176" s="45" t="n"/>
      <c r="E176" s="45" t="n"/>
      <c r="F176" s="45" t="n"/>
      <c r="G176" s="45" t="n"/>
      <c r="H176" s="45" t="n"/>
      <c r="I176" s="45" t="n"/>
      <c r="J176" s="45" t="n"/>
      <c r="K176" s="45" t="n"/>
      <c r="L176" s="45" t="n"/>
      <c r="M176" s="45" t="n"/>
      <c r="N176" s="45" t="n"/>
      <c r="O176" s="45" t="n"/>
      <c r="P176" s="45" t="n"/>
      <c r="Q176" s="45" t="n"/>
      <c r="R176" s="45" t="n"/>
      <c r="S176" s="46" t="n"/>
      <c r="T176" s="46" t="n"/>
      <c r="U176" s="46" t="n"/>
      <c r="V176" s="46" t="n"/>
      <c r="W176" s="46" t="n"/>
      <c r="X176" s="46" t="n"/>
      <c r="Y176" s="46" t="n"/>
      <c r="Z176" s="46" t="n"/>
      <c r="AA176" s="46" t="n"/>
      <c r="AB176" s="46" t="n"/>
      <c r="AC176" s="46" t="n"/>
      <c r="AD176" s="46" t="n"/>
      <c r="AE176" s="46" t="n"/>
      <c r="AF176" s="46" t="n"/>
      <c r="AG176" s="46" t="n"/>
      <c r="AH176" s="47" t="n"/>
      <c r="AI176" s="47" t="n"/>
      <c r="AJ176" s="47" t="n"/>
      <c r="AK176" s="47" t="n"/>
      <c r="AL176" s="47" t="n"/>
      <c r="AM176" s="47" t="n"/>
      <c r="AN176" s="47" t="n"/>
      <c r="AO176" s="47" t="n"/>
      <c r="AP176" s="47" t="n"/>
      <c r="AQ176" s="47" t="n"/>
      <c r="AR176" s="47" t="n"/>
      <c r="AS176" s="47" t="n"/>
      <c r="AT176" s="47" t="n"/>
      <c r="AU176" s="48" t="n"/>
      <c r="AV176" s="48" t="n"/>
      <c r="AW176" s="49">
        <f>IF($A176="","",IF($BW176&lt;&gt;"","FIX",IF($BX176&lt;&gt;"","CHECK","OK")))</f>
        <v/>
      </c>
      <c r="AX176" s="50">
        <f>IF($A176="","",IF($BW176&lt;&gt;"","FIX: "&amp;LEFT($BW176,LEN($BW176)-2)&amp;IF($BX176&lt;&gt;"","  ·  ",""),"")&amp;IF($BX176&lt;&gt;"","CHECK: "&amp;LEFT($BX176,LEN($BX176)-2),""))</f>
        <v/>
      </c>
      <c r="AY176" s="49">
        <f>IF(OR($A176="",$K176=""),"",$K176&amp;"'-"&amp;N($L176)&amp;CHAR(34)&amp;" x "&amp;$M176&amp;"'-"&amp;N($N176)&amp;CHAR(34))</f>
        <v/>
      </c>
      <c r="AZ176" s="49">
        <f>IF(OR($A176="",$K176=""),"",$K176&amp;N($L176)&amp;$M176&amp;N($N176))</f>
        <v/>
      </c>
      <c r="BA176" s="49">
        <f>IF(OR($A176="",$K176=""),"",$K176*12+N($L176))</f>
        <v/>
      </c>
      <c r="BB176" s="49">
        <f>IF(OR($A176="",$M176=""),"",$M176*12+N($N176))</f>
        <v/>
      </c>
      <c r="BC176" s="49">
        <f>IF($A176="","",IF(OR($C176="FRAME ONLY",$S176="BL"),0,IF($O176="Y",2,1)))</f>
        <v/>
      </c>
      <c r="BD176" s="51">
        <f>IF(OR(N($BC176)=0,$BA176=""),"",($BA176-2*EdgeClr-IF($BC176=2,MeetClr,0))/$BC176)</f>
        <v/>
      </c>
      <c r="BE176" s="51">
        <f>IF(OR(N($BC176)=0,$BB176=""),"",$BB176-HeadClr-Undercut)</f>
        <v/>
      </c>
      <c r="BF176" s="51">
        <f>IF($BA176="","",$BA176+2*FaceW+IF(N($Q176)&gt;0,($Q176+FaceW)*IF($R176="LR",2,1),0))</f>
        <v/>
      </c>
      <c r="BG176" s="51">
        <f>IF($BB176="","",$BB176+IF($AB176="Y",4,FaceW)+IF(N($P176)&gt;0,$P176+FaceW,0)+IF(OR($S176="4F",$S176="BL"),FaceW,0))</f>
        <v/>
      </c>
      <c r="BH176" s="51">
        <f>IF($BF176="","",$BF176+2*ROSide)</f>
        <v/>
      </c>
      <c r="BI176" s="51">
        <f>IF($BG176="","",$BG176+ROTop)</f>
        <v/>
      </c>
      <c r="BJ176" s="52">
        <f>IF(OR(N($BC176)=0,$BA176=""),"",$BA176/$BC176-ClearDeduct)</f>
        <v/>
      </c>
      <c r="BK176" s="49">
        <f>IF(OR(N($BC176)=0,$BE176=""),"",IF(OR($AC176="HGC",$AP176="HGC"),"CONT",IF($BE176&lt;=60,2,IF($BE176&lt;=90,3,IF($BE176&lt;=120,4,5)))))</f>
        <v/>
      </c>
      <c r="BL176" s="49">
        <f>IF(N($BC176)=0,"",IF(OR($AL176="",$AL176="FLUSH"),"FLUSH",IFERROR(LEFT($AL176,FIND("-",$AL176)-1),LEFT($AL176,2))))</f>
        <v/>
      </c>
      <c r="BM176" s="49">
        <f>IF($BL176="","",IFERROR(VALUE(MID($AL176,FIND("-",$AL176)+1,FIND(CHAR(34)&amp;"x",$AL176)-FIND("-",$AL176)-1)),0))</f>
        <v/>
      </c>
      <c r="BN176" s="49">
        <f>IF($BL176="","",IFERROR(VALUE(MID($AL176,FIND(CHAR(34)&amp;"x",$AL176)+2,FIND(CHAR(34),$AL176,FIND(CHAR(34)&amp;"x",$AL176)+2)-FIND(CHAR(34)&amp;"x",$AL176)-2)),0))</f>
        <v/>
      </c>
      <c r="BO176" s="53">
        <f>IF(OR($A176="",$H176="",$H176="NO LAB"),0,IFERROR(VALUE(LEFT($H176,FIND(" ",$H176)-1)),0))</f>
        <v/>
      </c>
      <c r="BP176" s="54">
        <f>IF(OR($A176="",$I176="",$I176="NON-RATED",N($J176)=0),"",IFERROR(VLOOKUP($I176&amp;"|"&amp;$J176,IBC,2,FALSE),"?"))</f>
        <v/>
      </c>
      <c r="BQ176" s="50">
        <f>IF(NOT(AND($A176&lt;&gt;"",$C176&lt;&gt;"DOOR ONLY")),"",TRIM(IFERROR(VLOOKUP($U176,CODES,2,FALSE),"")&amp;" "&amp;$AZ176&amp;" "&amp;IFERROR(VLOOKUP($Z176,CODES,2,FALSE),"")&amp;" "&amp;IFERROR(VLOOKUP($X176,CODES,2,FALSE),"")&amp;" "&amp;IFERROR(VLOOKUP($S176,CODES,2,FALSE),"")&amp;IF(N($P176)&gt;0," w/TRANSOM "&amp;$P176&amp;CHAR(34),"")&amp;IF(N($Q176)&gt;0," w/SIDELITE "&amp;$Q176&amp;CHAR(34)&amp;" "&amp;IF($R176="","R",$R176),"")&amp;IF($Y176="","  |  "," | "&amp;IFERROR(VLOOKUP($Y176,CODES,2,FALSE),"")&amp;" | ")&amp;IFERROR(VLOOKUP($AC176,CODES,2,FALSE),"")&amp;" "&amp;IFERROR(VLOOKUP($AD176,CODES,2,FALSE),"")&amp;IF(OR($AE176="",$AE176="-"),""," "&amp;$AE176)&amp;IF(OR($AF176="",$AF176="-"),""," "&amp;$AF176)&amp;IF($AB176="Y"," 4"&amp;CHAR(34)&amp;" HEAD","")&amp;" "&amp;IFERROR(VLOOKUP($H176,CODES,2,FALSE),"")))</f>
        <v/>
      </c>
      <c r="BR176" s="50">
        <f>IF(NOT(AND($A176&lt;&gt;"",N($BC176)&gt;0)),"",TRIM(IFERROR(VLOOKUP($AH176,CODES,2,FALSE),"")&amp;IF($AI176=""," "," "&amp;$AI176&amp;"GA ")&amp;$AZ176&amp;" "&amp;IF($AN176="",IFERROR(VLOOKUP($Z176,CODES,2,FALSE),""),IFERROR(VLOOKUP($AN176,CODES,2,FALSE),""))&amp;IF($BC176=2," PAIR","")&amp;" DOOR | "&amp;IF($AL176="","?",$AL176)&amp;" | "&amp;IF($AP176="",IFERROR(VLOOKUP($AC176,CODES,2,FALSE),""),IFERROR(VLOOKUP($AP176,CODES,2,FALSE),""))&amp;" "&amp;IFERROR(VLOOKUP($AQ176,CODES,2,FALSE),"")&amp;IF(OR($AR176="",$AR176="-"),""," SEAM "&amp;$AR176)&amp;IF($AS176="Y"," ASTRAGAL","")&amp;IF($AJ176=""," "," "&amp;$AJ176)&amp;IF($AK176=""," "," "&amp;$AK176)&amp;IF($AO176="",""," "&amp;$AO176)&amp;IF($AM176=""," "," SERIES "&amp;$AM176)&amp;" "&amp;IFERROR(VLOOKUP($H176,CODES,2,FALSE),"")))</f>
        <v/>
      </c>
      <c r="BS176" s="49">
        <f>IF(BV176="","",IF(COUNTIF($BV$6:BV176,BV176)=1,MAX($BS$5:BS175)+1,INDEX($BS$5:BS175,MATCH(BV176,$BV$5:BV175,0))))</f>
        <v/>
      </c>
      <c r="BT176" s="49">
        <f>IF(NOT(AND($A176&lt;&gt;"",$C176&lt;&gt;"DOOR ONLY")),"",MAX($BT$5:BT175)+1)</f>
        <v/>
      </c>
      <c r="BU176" s="49">
        <f>IF(NOT(AND($A176&lt;&gt;"",N($BC176)&gt;0)),"",MAX($BU$5:BU175)+1)</f>
        <v/>
      </c>
      <c r="BV176" s="49">
        <f>IF(OR($A176="",$BA176="",$BB176=""),"",$AZ176&amp;"|"&amp;$O176&amp;"|"&amp;$AL176&amp;"|"&amp;$S176&amp;"|"&amp;$P176&amp;"|"&amp;$Q176&amp;$R176&amp;"|"&amp;$C176&amp;"|"&amp;$AB176)</f>
        <v/>
      </c>
      <c r="BW176" s="49">
        <f>IF($A176="","",IF($B176="","qty, ","")&amp;IF($C176="","scope, ","")&amp;IF(OR($K176="",$M176=""),"size, ","")&amp;IF(AND($A176&lt;&gt;"",$C176&lt;&gt;"DOOR ONLY"),IF($U176="","jamb depth, ","")&amp;IF($X176="","construction, ","")&amp;IF($Y176="","anchor, ","")&amp;IF($S176="","frame type, ",""),"")&amp;IF(AND(N($BC176)&gt;0,$Z176=""),"hand, ","")&amp;IF(N($BC176)&gt;0,IF($AH176="","door material, ","")&amp;IF($AL176="","face type, ","")&amp;IF($AQ176="","lock prep, ","")&amp;IF(AND($AP176="",$AC176=""),"hinge prep, ",""),"")&amp;IF(AND($BO176&gt;0,$AH176="FRP"),"FRP cannot carry a label, ","")&amp;IF(AND($O176="Y",OR($Z176="L",$Z176="R",$Z176="LR",$Z176="RR")),"pair marked but hand is single, ","")&amp;IF(AND($O176&lt;&gt;"Y",OR($Z176="PR",AND(LEN($Z176)&gt;1,ISNUMBER(SEARCH("-",$Z176))))),"pair hand on a single door, ","")&amp;IF(AND(ISNUMBER($BP176),$BO176&lt;N($BP176)),"wall needs a "&amp;$BP176&amp;" min door, ","")&amp;IF(AND($BO176&gt;=180,AND(OR($BL176="FG",$BL176="HG",$BL176="FNV",$BL176="FV"),N($BM176)*N($BN176)&gt;100)),"180 min lite over 100 sq in, ","")&amp;IF(N($BD176)&gt;48,"leaf wider than 4'-0"&amp;CHAR(34)&amp;", ",""))</f>
        <v/>
      </c>
      <c r="BX176" s="49">
        <f>IF($A176="","",IF(AND($BO176&gt;0,AND($A176&lt;&gt;"",$C176&lt;&gt;"DOOR ONLY"),$X176="KD",$E176="EXTERIOR"),"KD label on an exterior opening, ","")&amp;IF(AND($E176="EXTERIOR",OR(AND(AND($A176&lt;&gt;"",$C176&lt;&gt;"DOOR ONLY"),$W176="CR"),AND(N($BC176)&gt;0,$AH176="CR"))),"exterior in CR steel (G9?), ","")&amp;IF(AND(ISNUMBER($BJ176),N($BJ176)&lt;32),"clear width ~"&amp;TEXT($BJ176,"0.0")&amp;CHAR(34)&amp;" under 32"&amp;CHAR(34)&amp;" (ADA), ","")&amp;IF(AND($BO176=90,AND(OR($BL176="FG",$BL176="HG",$BL176="FNV",$BL176="FV"),N($BM176)*N($BN176)&gt;100)),"90 min lite over 100 sq in (stair/exit), ","")&amp;IF(AND($BO176&gt;0,AND($A176&lt;&gt;"",$C176&lt;&gt;"DOOR ONLY"),OR($AF176="",$AF176="-")),"rated: closer reinf.?, ","")&amp;IF(OR($I176="CORRIDOR",$I176="SMOKE BARRIER"),"S label + smoke gasketing, ","")&amp;IF($BP176="?","wall type/hr not in IBC table, ","")&amp;IF(AND(N($BC176)&gt;0,$AU176=""),"no hardware set, ","")&amp;IF(AND($AU176&lt;&gt;"",ISNA(MATCH($AU176,HWSets,0))),"set "&amp;$AU176&amp;" not on Hardware sheet, ","")&amp;IF(N($BE176)&gt;96,"leaf over 8'-0"&amp;CHAR(34)&amp;" - check listing, ",""))</f>
        <v/>
      </c>
    </row>
    <row r="177" ht="15" customHeight="1">
      <c r="A177" s="44" t="n"/>
      <c r="B177" s="45" t="n"/>
      <c r="C177" s="45" t="n"/>
      <c r="D177" s="45" t="n"/>
      <c r="E177" s="45" t="n"/>
      <c r="F177" s="45" t="n"/>
      <c r="G177" s="45" t="n"/>
      <c r="H177" s="45" t="n"/>
      <c r="I177" s="45" t="n"/>
      <c r="J177" s="45" t="n"/>
      <c r="K177" s="45" t="n"/>
      <c r="L177" s="45" t="n"/>
      <c r="M177" s="45" t="n"/>
      <c r="N177" s="45" t="n"/>
      <c r="O177" s="45" t="n"/>
      <c r="P177" s="45" t="n"/>
      <c r="Q177" s="45" t="n"/>
      <c r="R177" s="45" t="n"/>
      <c r="S177" s="46" t="n"/>
      <c r="T177" s="46" t="n"/>
      <c r="U177" s="46" t="n"/>
      <c r="V177" s="46" t="n"/>
      <c r="W177" s="46" t="n"/>
      <c r="X177" s="46" t="n"/>
      <c r="Y177" s="46" t="n"/>
      <c r="Z177" s="46" t="n"/>
      <c r="AA177" s="46" t="n"/>
      <c r="AB177" s="46" t="n"/>
      <c r="AC177" s="46" t="n"/>
      <c r="AD177" s="46" t="n"/>
      <c r="AE177" s="46" t="n"/>
      <c r="AF177" s="46" t="n"/>
      <c r="AG177" s="46" t="n"/>
      <c r="AH177" s="47" t="n"/>
      <c r="AI177" s="47" t="n"/>
      <c r="AJ177" s="47" t="n"/>
      <c r="AK177" s="47" t="n"/>
      <c r="AL177" s="47" t="n"/>
      <c r="AM177" s="47" t="n"/>
      <c r="AN177" s="47" t="n"/>
      <c r="AO177" s="47" t="n"/>
      <c r="AP177" s="47" t="n"/>
      <c r="AQ177" s="47" t="n"/>
      <c r="AR177" s="47" t="n"/>
      <c r="AS177" s="47" t="n"/>
      <c r="AT177" s="47" t="n"/>
      <c r="AU177" s="48" t="n"/>
      <c r="AV177" s="48" t="n"/>
      <c r="AW177" s="49">
        <f>IF($A177="","",IF($BW177&lt;&gt;"","FIX",IF($BX177&lt;&gt;"","CHECK","OK")))</f>
        <v/>
      </c>
      <c r="AX177" s="50">
        <f>IF($A177="","",IF($BW177&lt;&gt;"","FIX: "&amp;LEFT($BW177,LEN($BW177)-2)&amp;IF($BX177&lt;&gt;"","  ·  ",""),"")&amp;IF($BX177&lt;&gt;"","CHECK: "&amp;LEFT($BX177,LEN($BX177)-2),""))</f>
        <v/>
      </c>
      <c r="AY177" s="49">
        <f>IF(OR($A177="",$K177=""),"",$K177&amp;"'-"&amp;N($L177)&amp;CHAR(34)&amp;" x "&amp;$M177&amp;"'-"&amp;N($N177)&amp;CHAR(34))</f>
        <v/>
      </c>
      <c r="AZ177" s="49">
        <f>IF(OR($A177="",$K177=""),"",$K177&amp;N($L177)&amp;$M177&amp;N($N177))</f>
        <v/>
      </c>
      <c r="BA177" s="49">
        <f>IF(OR($A177="",$K177=""),"",$K177*12+N($L177))</f>
        <v/>
      </c>
      <c r="BB177" s="49">
        <f>IF(OR($A177="",$M177=""),"",$M177*12+N($N177))</f>
        <v/>
      </c>
      <c r="BC177" s="49">
        <f>IF($A177="","",IF(OR($C177="FRAME ONLY",$S177="BL"),0,IF($O177="Y",2,1)))</f>
        <v/>
      </c>
      <c r="BD177" s="51">
        <f>IF(OR(N($BC177)=0,$BA177=""),"",($BA177-2*EdgeClr-IF($BC177=2,MeetClr,0))/$BC177)</f>
        <v/>
      </c>
      <c r="BE177" s="51">
        <f>IF(OR(N($BC177)=0,$BB177=""),"",$BB177-HeadClr-Undercut)</f>
        <v/>
      </c>
      <c r="BF177" s="51">
        <f>IF($BA177="","",$BA177+2*FaceW+IF(N($Q177)&gt;0,($Q177+FaceW)*IF($R177="LR",2,1),0))</f>
        <v/>
      </c>
      <c r="BG177" s="51">
        <f>IF($BB177="","",$BB177+IF($AB177="Y",4,FaceW)+IF(N($P177)&gt;0,$P177+FaceW,0)+IF(OR($S177="4F",$S177="BL"),FaceW,0))</f>
        <v/>
      </c>
      <c r="BH177" s="51">
        <f>IF($BF177="","",$BF177+2*ROSide)</f>
        <v/>
      </c>
      <c r="BI177" s="51">
        <f>IF($BG177="","",$BG177+ROTop)</f>
        <v/>
      </c>
      <c r="BJ177" s="52">
        <f>IF(OR(N($BC177)=0,$BA177=""),"",$BA177/$BC177-ClearDeduct)</f>
        <v/>
      </c>
      <c r="BK177" s="49">
        <f>IF(OR(N($BC177)=0,$BE177=""),"",IF(OR($AC177="HGC",$AP177="HGC"),"CONT",IF($BE177&lt;=60,2,IF($BE177&lt;=90,3,IF($BE177&lt;=120,4,5)))))</f>
        <v/>
      </c>
      <c r="BL177" s="49">
        <f>IF(N($BC177)=0,"",IF(OR($AL177="",$AL177="FLUSH"),"FLUSH",IFERROR(LEFT($AL177,FIND("-",$AL177)-1),LEFT($AL177,2))))</f>
        <v/>
      </c>
      <c r="BM177" s="49">
        <f>IF($BL177="","",IFERROR(VALUE(MID($AL177,FIND("-",$AL177)+1,FIND(CHAR(34)&amp;"x",$AL177)-FIND("-",$AL177)-1)),0))</f>
        <v/>
      </c>
      <c r="BN177" s="49">
        <f>IF($BL177="","",IFERROR(VALUE(MID($AL177,FIND(CHAR(34)&amp;"x",$AL177)+2,FIND(CHAR(34),$AL177,FIND(CHAR(34)&amp;"x",$AL177)+2)-FIND(CHAR(34)&amp;"x",$AL177)-2)),0))</f>
        <v/>
      </c>
      <c r="BO177" s="53">
        <f>IF(OR($A177="",$H177="",$H177="NO LAB"),0,IFERROR(VALUE(LEFT($H177,FIND(" ",$H177)-1)),0))</f>
        <v/>
      </c>
      <c r="BP177" s="54">
        <f>IF(OR($A177="",$I177="",$I177="NON-RATED",N($J177)=0),"",IFERROR(VLOOKUP($I177&amp;"|"&amp;$J177,IBC,2,FALSE),"?"))</f>
        <v/>
      </c>
      <c r="BQ177" s="50">
        <f>IF(NOT(AND($A177&lt;&gt;"",$C177&lt;&gt;"DOOR ONLY")),"",TRIM(IFERROR(VLOOKUP($U177,CODES,2,FALSE),"")&amp;" "&amp;$AZ177&amp;" "&amp;IFERROR(VLOOKUP($Z177,CODES,2,FALSE),"")&amp;" "&amp;IFERROR(VLOOKUP($X177,CODES,2,FALSE),"")&amp;" "&amp;IFERROR(VLOOKUP($S177,CODES,2,FALSE),"")&amp;IF(N($P177)&gt;0," w/TRANSOM "&amp;$P177&amp;CHAR(34),"")&amp;IF(N($Q177)&gt;0," w/SIDELITE "&amp;$Q177&amp;CHAR(34)&amp;" "&amp;IF($R177="","R",$R177),"")&amp;IF($Y177="","  |  "," | "&amp;IFERROR(VLOOKUP($Y177,CODES,2,FALSE),"")&amp;" | ")&amp;IFERROR(VLOOKUP($AC177,CODES,2,FALSE),"")&amp;" "&amp;IFERROR(VLOOKUP($AD177,CODES,2,FALSE),"")&amp;IF(OR($AE177="",$AE177="-"),""," "&amp;$AE177)&amp;IF(OR($AF177="",$AF177="-"),""," "&amp;$AF177)&amp;IF($AB177="Y"," 4"&amp;CHAR(34)&amp;" HEAD","")&amp;" "&amp;IFERROR(VLOOKUP($H177,CODES,2,FALSE),"")))</f>
        <v/>
      </c>
      <c r="BR177" s="50">
        <f>IF(NOT(AND($A177&lt;&gt;"",N($BC177)&gt;0)),"",TRIM(IFERROR(VLOOKUP($AH177,CODES,2,FALSE),"")&amp;IF($AI177=""," "," "&amp;$AI177&amp;"GA ")&amp;$AZ177&amp;" "&amp;IF($AN177="",IFERROR(VLOOKUP($Z177,CODES,2,FALSE),""),IFERROR(VLOOKUP($AN177,CODES,2,FALSE),""))&amp;IF($BC177=2," PAIR","")&amp;" DOOR | "&amp;IF($AL177="","?",$AL177)&amp;" | "&amp;IF($AP177="",IFERROR(VLOOKUP($AC177,CODES,2,FALSE),""),IFERROR(VLOOKUP($AP177,CODES,2,FALSE),""))&amp;" "&amp;IFERROR(VLOOKUP($AQ177,CODES,2,FALSE),"")&amp;IF(OR($AR177="",$AR177="-"),""," SEAM "&amp;$AR177)&amp;IF($AS177="Y"," ASTRAGAL","")&amp;IF($AJ177=""," "," "&amp;$AJ177)&amp;IF($AK177=""," "," "&amp;$AK177)&amp;IF($AO177="",""," "&amp;$AO177)&amp;IF($AM177=""," "," SERIES "&amp;$AM177)&amp;" "&amp;IFERROR(VLOOKUP($H177,CODES,2,FALSE),"")))</f>
        <v/>
      </c>
      <c r="BS177" s="49">
        <f>IF(BV177="","",IF(COUNTIF($BV$6:BV177,BV177)=1,MAX($BS$5:BS176)+1,INDEX($BS$5:BS176,MATCH(BV177,$BV$5:BV176,0))))</f>
        <v/>
      </c>
      <c r="BT177" s="49">
        <f>IF(NOT(AND($A177&lt;&gt;"",$C177&lt;&gt;"DOOR ONLY")),"",MAX($BT$5:BT176)+1)</f>
        <v/>
      </c>
      <c r="BU177" s="49">
        <f>IF(NOT(AND($A177&lt;&gt;"",N($BC177)&gt;0)),"",MAX($BU$5:BU176)+1)</f>
        <v/>
      </c>
      <c r="BV177" s="49">
        <f>IF(OR($A177="",$BA177="",$BB177=""),"",$AZ177&amp;"|"&amp;$O177&amp;"|"&amp;$AL177&amp;"|"&amp;$S177&amp;"|"&amp;$P177&amp;"|"&amp;$Q177&amp;$R177&amp;"|"&amp;$C177&amp;"|"&amp;$AB177)</f>
        <v/>
      </c>
      <c r="BW177" s="49">
        <f>IF($A177="","",IF($B177="","qty, ","")&amp;IF($C177="","scope, ","")&amp;IF(OR($K177="",$M177=""),"size, ","")&amp;IF(AND($A177&lt;&gt;"",$C177&lt;&gt;"DOOR ONLY"),IF($U177="","jamb depth, ","")&amp;IF($X177="","construction, ","")&amp;IF($Y177="","anchor, ","")&amp;IF($S177="","frame type, ",""),"")&amp;IF(AND(N($BC177)&gt;0,$Z177=""),"hand, ","")&amp;IF(N($BC177)&gt;0,IF($AH177="","door material, ","")&amp;IF($AL177="","face type, ","")&amp;IF($AQ177="","lock prep, ","")&amp;IF(AND($AP177="",$AC177=""),"hinge prep, ",""),"")&amp;IF(AND($BO177&gt;0,$AH177="FRP"),"FRP cannot carry a label, ","")&amp;IF(AND($O177="Y",OR($Z177="L",$Z177="R",$Z177="LR",$Z177="RR")),"pair marked but hand is single, ","")&amp;IF(AND($O177&lt;&gt;"Y",OR($Z177="PR",AND(LEN($Z177)&gt;1,ISNUMBER(SEARCH("-",$Z177))))),"pair hand on a single door, ","")&amp;IF(AND(ISNUMBER($BP177),$BO177&lt;N($BP177)),"wall needs a "&amp;$BP177&amp;" min door, ","")&amp;IF(AND($BO177&gt;=180,AND(OR($BL177="FG",$BL177="HG",$BL177="FNV",$BL177="FV"),N($BM177)*N($BN177)&gt;100)),"180 min lite over 100 sq in, ","")&amp;IF(N($BD177)&gt;48,"leaf wider than 4'-0"&amp;CHAR(34)&amp;", ",""))</f>
        <v/>
      </c>
      <c r="BX177" s="49">
        <f>IF($A177="","",IF(AND($BO177&gt;0,AND($A177&lt;&gt;"",$C177&lt;&gt;"DOOR ONLY"),$X177="KD",$E177="EXTERIOR"),"KD label on an exterior opening, ","")&amp;IF(AND($E177="EXTERIOR",OR(AND(AND($A177&lt;&gt;"",$C177&lt;&gt;"DOOR ONLY"),$W177="CR"),AND(N($BC177)&gt;0,$AH177="CR"))),"exterior in CR steel (G9?), ","")&amp;IF(AND(ISNUMBER($BJ177),N($BJ177)&lt;32),"clear width ~"&amp;TEXT($BJ177,"0.0")&amp;CHAR(34)&amp;" under 32"&amp;CHAR(34)&amp;" (ADA), ","")&amp;IF(AND($BO177=90,AND(OR($BL177="FG",$BL177="HG",$BL177="FNV",$BL177="FV"),N($BM177)*N($BN177)&gt;100)),"90 min lite over 100 sq in (stair/exit), ","")&amp;IF(AND($BO177&gt;0,AND($A177&lt;&gt;"",$C177&lt;&gt;"DOOR ONLY"),OR($AF177="",$AF177="-")),"rated: closer reinf.?, ","")&amp;IF(OR($I177="CORRIDOR",$I177="SMOKE BARRIER"),"S label + smoke gasketing, ","")&amp;IF($BP177="?","wall type/hr not in IBC table, ","")&amp;IF(AND(N($BC177)&gt;0,$AU177=""),"no hardware set, ","")&amp;IF(AND($AU177&lt;&gt;"",ISNA(MATCH($AU177,HWSets,0))),"set "&amp;$AU177&amp;" not on Hardware sheet, ","")&amp;IF(N($BE177)&gt;96,"leaf over 8'-0"&amp;CHAR(34)&amp;" - check listing, ",""))</f>
        <v/>
      </c>
    </row>
    <row r="178" ht="15" customHeight="1">
      <c r="A178" s="44" t="n"/>
      <c r="B178" s="45" t="n"/>
      <c r="C178" s="45" t="n"/>
      <c r="D178" s="45" t="n"/>
      <c r="E178" s="45" t="n"/>
      <c r="F178" s="45" t="n"/>
      <c r="G178" s="45" t="n"/>
      <c r="H178" s="45" t="n"/>
      <c r="I178" s="45" t="n"/>
      <c r="J178" s="45" t="n"/>
      <c r="K178" s="45" t="n"/>
      <c r="L178" s="45" t="n"/>
      <c r="M178" s="45" t="n"/>
      <c r="N178" s="45" t="n"/>
      <c r="O178" s="45" t="n"/>
      <c r="P178" s="45" t="n"/>
      <c r="Q178" s="45" t="n"/>
      <c r="R178" s="45" t="n"/>
      <c r="S178" s="46" t="n"/>
      <c r="T178" s="46" t="n"/>
      <c r="U178" s="46" t="n"/>
      <c r="V178" s="46" t="n"/>
      <c r="W178" s="46" t="n"/>
      <c r="X178" s="46" t="n"/>
      <c r="Y178" s="46" t="n"/>
      <c r="Z178" s="46" t="n"/>
      <c r="AA178" s="46" t="n"/>
      <c r="AB178" s="46" t="n"/>
      <c r="AC178" s="46" t="n"/>
      <c r="AD178" s="46" t="n"/>
      <c r="AE178" s="46" t="n"/>
      <c r="AF178" s="46" t="n"/>
      <c r="AG178" s="46" t="n"/>
      <c r="AH178" s="47" t="n"/>
      <c r="AI178" s="47" t="n"/>
      <c r="AJ178" s="47" t="n"/>
      <c r="AK178" s="47" t="n"/>
      <c r="AL178" s="47" t="n"/>
      <c r="AM178" s="47" t="n"/>
      <c r="AN178" s="47" t="n"/>
      <c r="AO178" s="47" t="n"/>
      <c r="AP178" s="47" t="n"/>
      <c r="AQ178" s="47" t="n"/>
      <c r="AR178" s="47" t="n"/>
      <c r="AS178" s="47" t="n"/>
      <c r="AT178" s="47" t="n"/>
      <c r="AU178" s="48" t="n"/>
      <c r="AV178" s="48" t="n"/>
      <c r="AW178" s="49">
        <f>IF($A178="","",IF($BW178&lt;&gt;"","FIX",IF($BX178&lt;&gt;"","CHECK","OK")))</f>
        <v/>
      </c>
      <c r="AX178" s="50">
        <f>IF($A178="","",IF($BW178&lt;&gt;"","FIX: "&amp;LEFT($BW178,LEN($BW178)-2)&amp;IF($BX178&lt;&gt;"","  ·  ",""),"")&amp;IF($BX178&lt;&gt;"","CHECK: "&amp;LEFT($BX178,LEN($BX178)-2),""))</f>
        <v/>
      </c>
      <c r="AY178" s="49">
        <f>IF(OR($A178="",$K178=""),"",$K178&amp;"'-"&amp;N($L178)&amp;CHAR(34)&amp;" x "&amp;$M178&amp;"'-"&amp;N($N178)&amp;CHAR(34))</f>
        <v/>
      </c>
      <c r="AZ178" s="49">
        <f>IF(OR($A178="",$K178=""),"",$K178&amp;N($L178)&amp;$M178&amp;N($N178))</f>
        <v/>
      </c>
      <c r="BA178" s="49">
        <f>IF(OR($A178="",$K178=""),"",$K178*12+N($L178))</f>
        <v/>
      </c>
      <c r="BB178" s="49">
        <f>IF(OR($A178="",$M178=""),"",$M178*12+N($N178))</f>
        <v/>
      </c>
      <c r="BC178" s="49">
        <f>IF($A178="","",IF(OR($C178="FRAME ONLY",$S178="BL"),0,IF($O178="Y",2,1)))</f>
        <v/>
      </c>
      <c r="BD178" s="51">
        <f>IF(OR(N($BC178)=0,$BA178=""),"",($BA178-2*EdgeClr-IF($BC178=2,MeetClr,0))/$BC178)</f>
        <v/>
      </c>
      <c r="BE178" s="51">
        <f>IF(OR(N($BC178)=0,$BB178=""),"",$BB178-HeadClr-Undercut)</f>
        <v/>
      </c>
      <c r="BF178" s="51">
        <f>IF($BA178="","",$BA178+2*FaceW+IF(N($Q178)&gt;0,($Q178+FaceW)*IF($R178="LR",2,1),0))</f>
        <v/>
      </c>
      <c r="BG178" s="51">
        <f>IF($BB178="","",$BB178+IF($AB178="Y",4,FaceW)+IF(N($P178)&gt;0,$P178+FaceW,0)+IF(OR($S178="4F",$S178="BL"),FaceW,0))</f>
        <v/>
      </c>
      <c r="BH178" s="51">
        <f>IF($BF178="","",$BF178+2*ROSide)</f>
        <v/>
      </c>
      <c r="BI178" s="51">
        <f>IF($BG178="","",$BG178+ROTop)</f>
        <v/>
      </c>
      <c r="BJ178" s="52">
        <f>IF(OR(N($BC178)=0,$BA178=""),"",$BA178/$BC178-ClearDeduct)</f>
        <v/>
      </c>
      <c r="BK178" s="49">
        <f>IF(OR(N($BC178)=0,$BE178=""),"",IF(OR($AC178="HGC",$AP178="HGC"),"CONT",IF($BE178&lt;=60,2,IF($BE178&lt;=90,3,IF($BE178&lt;=120,4,5)))))</f>
        <v/>
      </c>
      <c r="BL178" s="49">
        <f>IF(N($BC178)=0,"",IF(OR($AL178="",$AL178="FLUSH"),"FLUSH",IFERROR(LEFT($AL178,FIND("-",$AL178)-1),LEFT($AL178,2))))</f>
        <v/>
      </c>
      <c r="BM178" s="49">
        <f>IF($BL178="","",IFERROR(VALUE(MID($AL178,FIND("-",$AL178)+1,FIND(CHAR(34)&amp;"x",$AL178)-FIND("-",$AL178)-1)),0))</f>
        <v/>
      </c>
      <c r="BN178" s="49">
        <f>IF($BL178="","",IFERROR(VALUE(MID($AL178,FIND(CHAR(34)&amp;"x",$AL178)+2,FIND(CHAR(34),$AL178,FIND(CHAR(34)&amp;"x",$AL178)+2)-FIND(CHAR(34)&amp;"x",$AL178)-2)),0))</f>
        <v/>
      </c>
      <c r="BO178" s="53">
        <f>IF(OR($A178="",$H178="",$H178="NO LAB"),0,IFERROR(VALUE(LEFT($H178,FIND(" ",$H178)-1)),0))</f>
        <v/>
      </c>
      <c r="BP178" s="54">
        <f>IF(OR($A178="",$I178="",$I178="NON-RATED",N($J178)=0),"",IFERROR(VLOOKUP($I178&amp;"|"&amp;$J178,IBC,2,FALSE),"?"))</f>
        <v/>
      </c>
      <c r="BQ178" s="50">
        <f>IF(NOT(AND($A178&lt;&gt;"",$C178&lt;&gt;"DOOR ONLY")),"",TRIM(IFERROR(VLOOKUP($U178,CODES,2,FALSE),"")&amp;" "&amp;$AZ178&amp;" "&amp;IFERROR(VLOOKUP($Z178,CODES,2,FALSE),"")&amp;" "&amp;IFERROR(VLOOKUP($X178,CODES,2,FALSE),"")&amp;" "&amp;IFERROR(VLOOKUP($S178,CODES,2,FALSE),"")&amp;IF(N($P178)&gt;0," w/TRANSOM "&amp;$P178&amp;CHAR(34),"")&amp;IF(N($Q178)&gt;0," w/SIDELITE "&amp;$Q178&amp;CHAR(34)&amp;" "&amp;IF($R178="","R",$R178),"")&amp;IF($Y178="","  |  "," | "&amp;IFERROR(VLOOKUP($Y178,CODES,2,FALSE),"")&amp;" | ")&amp;IFERROR(VLOOKUP($AC178,CODES,2,FALSE),"")&amp;" "&amp;IFERROR(VLOOKUP($AD178,CODES,2,FALSE),"")&amp;IF(OR($AE178="",$AE178="-"),""," "&amp;$AE178)&amp;IF(OR($AF178="",$AF178="-"),""," "&amp;$AF178)&amp;IF($AB178="Y"," 4"&amp;CHAR(34)&amp;" HEAD","")&amp;" "&amp;IFERROR(VLOOKUP($H178,CODES,2,FALSE),"")))</f>
        <v/>
      </c>
      <c r="BR178" s="50">
        <f>IF(NOT(AND($A178&lt;&gt;"",N($BC178)&gt;0)),"",TRIM(IFERROR(VLOOKUP($AH178,CODES,2,FALSE),"")&amp;IF($AI178=""," "," "&amp;$AI178&amp;"GA ")&amp;$AZ178&amp;" "&amp;IF($AN178="",IFERROR(VLOOKUP($Z178,CODES,2,FALSE),""),IFERROR(VLOOKUP($AN178,CODES,2,FALSE),""))&amp;IF($BC178=2," PAIR","")&amp;" DOOR | "&amp;IF($AL178="","?",$AL178)&amp;" | "&amp;IF($AP178="",IFERROR(VLOOKUP($AC178,CODES,2,FALSE),""),IFERROR(VLOOKUP($AP178,CODES,2,FALSE),""))&amp;" "&amp;IFERROR(VLOOKUP($AQ178,CODES,2,FALSE),"")&amp;IF(OR($AR178="",$AR178="-"),""," SEAM "&amp;$AR178)&amp;IF($AS178="Y"," ASTRAGAL","")&amp;IF($AJ178=""," "," "&amp;$AJ178)&amp;IF($AK178=""," "," "&amp;$AK178)&amp;IF($AO178="",""," "&amp;$AO178)&amp;IF($AM178=""," "," SERIES "&amp;$AM178)&amp;" "&amp;IFERROR(VLOOKUP($H178,CODES,2,FALSE),"")))</f>
        <v/>
      </c>
      <c r="BS178" s="49">
        <f>IF(BV178="","",IF(COUNTIF($BV$6:BV178,BV178)=1,MAX($BS$5:BS177)+1,INDEX($BS$5:BS177,MATCH(BV178,$BV$5:BV177,0))))</f>
        <v/>
      </c>
      <c r="BT178" s="49">
        <f>IF(NOT(AND($A178&lt;&gt;"",$C178&lt;&gt;"DOOR ONLY")),"",MAX($BT$5:BT177)+1)</f>
        <v/>
      </c>
      <c r="BU178" s="49">
        <f>IF(NOT(AND($A178&lt;&gt;"",N($BC178)&gt;0)),"",MAX($BU$5:BU177)+1)</f>
        <v/>
      </c>
      <c r="BV178" s="49">
        <f>IF(OR($A178="",$BA178="",$BB178=""),"",$AZ178&amp;"|"&amp;$O178&amp;"|"&amp;$AL178&amp;"|"&amp;$S178&amp;"|"&amp;$P178&amp;"|"&amp;$Q178&amp;$R178&amp;"|"&amp;$C178&amp;"|"&amp;$AB178)</f>
        <v/>
      </c>
      <c r="BW178" s="49">
        <f>IF($A178="","",IF($B178="","qty, ","")&amp;IF($C178="","scope, ","")&amp;IF(OR($K178="",$M178=""),"size, ","")&amp;IF(AND($A178&lt;&gt;"",$C178&lt;&gt;"DOOR ONLY"),IF($U178="","jamb depth, ","")&amp;IF($X178="","construction, ","")&amp;IF($Y178="","anchor, ","")&amp;IF($S178="","frame type, ",""),"")&amp;IF(AND(N($BC178)&gt;0,$Z178=""),"hand, ","")&amp;IF(N($BC178)&gt;0,IF($AH178="","door material, ","")&amp;IF($AL178="","face type, ","")&amp;IF($AQ178="","lock prep, ","")&amp;IF(AND($AP178="",$AC178=""),"hinge prep, ",""),"")&amp;IF(AND($BO178&gt;0,$AH178="FRP"),"FRP cannot carry a label, ","")&amp;IF(AND($O178="Y",OR($Z178="L",$Z178="R",$Z178="LR",$Z178="RR")),"pair marked but hand is single, ","")&amp;IF(AND($O178&lt;&gt;"Y",OR($Z178="PR",AND(LEN($Z178)&gt;1,ISNUMBER(SEARCH("-",$Z178))))),"pair hand on a single door, ","")&amp;IF(AND(ISNUMBER($BP178),$BO178&lt;N($BP178)),"wall needs a "&amp;$BP178&amp;" min door, ","")&amp;IF(AND($BO178&gt;=180,AND(OR($BL178="FG",$BL178="HG",$BL178="FNV",$BL178="FV"),N($BM178)*N($BN178)&gt;100)),"180 min lite over 100 sq in, ","")&amp;IF(N($BD178)&gt;48,"leaf wider than 4'-0"&amp;CHAR(34)&amp;", ",""))</f>
        <v/>
      </c>
      <c r="BX178" s="49">
        <f>IF($A178="","",IF(AND($BO178&gt;0,AND($A178&lt;&gt;"",$C178&lt;&gt;"DOOR ONLY"),$X178="KD",$E178="EXTERIOR"),"KD label on an exterior opening, ","")&amp;IF(AND($E178="EXTERIOR",OR(AND(AND($A178&lt;&gt;"",$C178&lt;&gt;"DOOR ONLY"),$W178="CR"),AND(N($BC178)&gt;0,$AH178="CR"))),"exterior in CR steel (G9?), ","")&amp;IF(AND(ISNUMBER($BJ178),N($BJ178)&lt;32),"clear width ~"&amp;TEXT($BJ178,"0.0")&amp;CHAR(34)&amp;" under 32"&amp;CHAR(34)&amp;" (ADA), ","")&amp;IF(AND($BO178=90,AND(OR($BL178="FG",$BL178="HG",$BL178="FNV",$BL178="FV"),N($BM178)*N($BN178)&gt;100)),"90 min lite over 100 sq in (stair/exit), ","")&amp;IF(AND($BO178&gt;0,AND($A178&lt;&gt;"",$C178&lt;&gt;"DOOR ONLY"),OR($AF178="",$AF178="-")),"rated: closer reinf.?, ","")&amp;IF(OR($I178="CORRIDOR",$I178="SMOKE BARRIER"),"S label + smoke gasketing, ","")&amp;IF($BP178="?","wall type/hr not in IBC table, ","")&amp;IF(AND(N($BC178)&gt;0,$AU178=""),"no hardware set, ","")&amp;IF(AND($AU178&lt;&gt;"",ISNA(MATCH($AU178,HWSets,0))),"set "&amp;$AU178&amp;" not on Hardware sheet, ","")&amp;IF(N($BE178)&gt;96,"leaf over 8'-0"&amp;CHAR(34)&amp;" - check listing, ",""))</f>
        <v/>
      </c>
    </row>
    <row r="179" ht="15" customHeight="1">
      <c r="A179" s="44" t="n"/>
      <c r="B179" s="45" t="n"/>
      <c r="C179" s="45" t="n"/>
      <c r="D179" s="45" t="n"/>
      <c r="E179" s="45" t="n"/>
      <c r="F179" s="45" t="n"/>
      <c r="G179" s="45" t="n"/>
      <c r="H179" s="45" t="n"/>
      <c r="I179" s="45" t="n"/>
      <c r="J179" s="45" t="n"/>
      <c r="K179" s="45" t="n"/>
      <c r="L179" s="45" t="n"/>
      <c r="M179" s="45" t="n"/>
      <c r="N179" s="45" t="n"/>
      <c r="O179" s="45" t="n"/>
      <c r="P179" s="45" t="n"/>
      <c r="Q179" s="45" t="n"/>
      <c r="R179" s="45" t="n"/>
      <c r="S179" s="46" t="n"/>
      <c r="T179" s="46" t="n"/>
      <c r="U179" s="46" t="n"/>
      <c r="V179" s="46" t="n"/>
      <c r="W179" s="46" t="n"/>
      <c r="X179" s="46" t="n"/>
      <c r="Y179" s="46" t="n"/>
      <c r="Z179" s="46" t="n"/>
      <c r="AA179" s="46" t="n"/>
      <c r="AB179" s="46" t="n"/>
      <c r="AC179" s="46" t="n"/>
      <c r="AD179" s="46" t="n"/>
      <c r="AE179" s="46" t="n"/>
      <c r="AF179" s="46" t="n"/>
      <c r="AG179" s="46" t="n"/>
      <c r="AH179" s="47" t="n"/>
      <c r="AI179" s="47" t="n"/>
      <c r="AJ179" s="47" t="n"/>
      <c r="AK179" s="47" t="n"/>
      <c r="AL179" s="47" t="n"/>
      <c r="AM179" s="47" t="n"/>
      <c r="AN179" s="47" t="n"/>
      <c r="AO179" s="47" t="n"/>
      <c r="AP179" s="47" t="n"/>
      <c r="AQ179" s="47" t="n"/>
      <c r="AR179" s="47" t="n"/>
      <c r="AS179" s="47" t="n"/>
      <c r="AT179" s="47" t="n"/>
      <c r="AU179" s="48" t="n"/>
      <c r="AV179" s="48" t="n"/>
      <c r="AW179" s="49">
        <f>IF($A179="","",IF($BW179&lt;&gt;"","FIX",IF($BX179&lt;&gt;"","CHECK","OK")))</f>
        <v/>
      </c>
      <c r="AX179" s="50">
        <f>IF($A179="","",IF($BW179&lt;&gt;"","FIX: "&amp;LEFT($BW179,LEN($BW179)-2)&amp;IF($BX179&lt;&gt;"","  ·  ",""),"")&amp;IF($BX179&lt;&gt;"","CHECK: "&amp;LEFT($BX179,LEN($BX179)-2),""))</f>
        <v/>
      </c>
      <c r="AY179" s="49">
        <f>IF(OR($A179="",$K179=""),"",$K179&amp;"'-"&amp;N($L179)&amp;CHAR(34)&amp;" x "&amp;$M179&amp;"'-"&amp;N($N179)&amp;CHAR(34))</f>
        <v/>
      </c>
      <c r="AZ179" s="49">
        <f>IF(OR($A179="",$K179=""),"",$K179&amp;N($L179)&amp;$M179&amp;N($N179))</f>
        <v/>
      </c>
      <c r="BA179" s="49">
        <f>IF(OR($A179="",$K179=""),"",$K179*12+N($L179))</f>
        <v/>
      </c>
      <c r="BB179" s="49">
        <f>IF(OR($A179="",$M179=""),"",$M179*12+N($N179))</f>
        <v/>
      </c>
      <c r="BC179" s="49">
        <f>IF($A179="","",IF(OR($C179="FRAME ONLY",$S179="BL"),0,IF($O179="Y",2,1)))</f>
        <v/>
      </c>
      <c r="BD179" s="51">
        <f>IF(OR(N($BC179)=0,$BA179=""),"",($BA179-2*EdgeClr-IF($BC179=2,MeetClr,0))/$BC179)</f>
        <v/>
      </c>
      <c r="BE179" s="51">
        <f>IF(OR(N($BC179)=0,$BB179=""),"",$BB179-HeadClr-Undercut)</f>
        <v/>
      </c>
      <c r="BF179" s="51">
        <f>IF($BA179="","",$BA179+2*FaceW+IF(N($Q179)&gt;0,($Q179+FaceW)*IF($R179="LR",2,1),0))</f>
        <v/>
      </c>
      <c r="BG179" s="51">
        <f>IF($BB179="","",$BB179+IF($AB179="Y",4,FaceW)+IF(N($P179)&gt;0,$P179+FaceW,0)+IF(OR($S179="4F",$S179="BL"),FaceW,0))</f>
        <v/>
      </c>
      <c r="BH179" s="51">
        <f>IF($BF179="","",$BF179+2*ROSide)</f>
        <v/>
      </c>
      <c r="BI179" s="51">
        <f>IF($BG179="","",$BG179+ROTop)</f>
        <v/>
      </c>
      <c r="BJ179" s="52">
        <f>IF(OR(N($BC179)=0,$BA179=""),"",$BA179/$BC179-ClearDeduct)</f>
        <v/>
      </c>
      <c r="BK179" s="49">
        <f>IF(OR(N($BC179)=0,$BE179=""),"",IF(OR($AC179="HGC",$AP179="HGC"),"CONT",IF($BE179&lt;=60,2,IF($BE179&lt;=90,3,IF($BE179&lt;=120,4,5)))))</f>
        <v/>
      </c>
      <c r="BL179" s="49">
        <f>IF(N($BC179)=0,"",IF(OR($AL179="",$AL179="FLUSH"),"FLUSH",IFERROR(LEFT($AL179,FIND("-",$AL179)-1),LEFT($AL179,2))))</f>
        <v/>
      </c>
      <c r="BM179" s="49">
        <f>IF($BL179="","",IFERROR(VALUE(MID($AL179,FIND("-",$AL179)+1,FIND(CHAR(34)&amp;"x",$AL179)-FIND("-",$AL179)-1)),0))</f>
        <v/>
      </c>
      <c r="BN179" s="49">
        <f>IF($BL179="","",IFERROR(VALUE(MID($AL179,FIND(CHAR(34)&amp;"x",$AL179)+2,FIND(CHAR(34),$AL179,FIND(CHAR(34)&amp;"x",$AL179)+2)-FIND(CHAR(34)&amp;"x",$AL179)-2)),0))</f>
        <v/>
      </c>
      <c r="BO179" s="53">
        <f>IF(OR($A179="",$H179="",$H179="NO LAB"),0,IFERROR(VALUE(LEFT($H179,FIND(" ",$H179)-1)),0))</f>
        <v/>
      </c>
      <c r="BP179" s="54">
        <f>IF(OR($A179="",$I179="",$I179="NON-RATED",N($J179)=0),"",IFERROR(VLOOKUP($I179&amp;"|"&amp;$J179,IBC,2,FALSE),"?"))</f>
        <v/>
      </c>
      <c r="BQ179" s="50">
        <f>IF(NOT(AND($A179&lt;&gt;"",$C179&lt;&gt;"DOOR ONLY")),"",TRIM(IFERROR(VLOOKUP($U179,CODES,2,FALSE),"")&amp;" "&amp;$AZ179&amp;" "&amp;IFERROR(VLOOKUP($Z179,CODES,2,FALSE),"")&amp;" "&amp;IFERROR(VLOOKUP($X179,CODES,2,FALSE),"")&amp;" "&amp;IFERROR(VLOOKUP($S179,CODES,2,FALSE),"")&amp;IF(N($P179)&gt;0," w/TRANSOM "&amp;$P179&amp;CHAR(34),"")&amp;IF(N($Q179)&gt;0," w/SIDELITE "&amp;$Q179&amp;CHAR(34)&amp;" "&amp;IF($R179="","R",$R179),"")&amp;IF($Y179="","  |  "," | "&amp;IFERROR(VLOOKUP($Y179,CODES,2,FALSE),"")&amp;" | ")&amp;IFERROR(VLOOKUP($AC179,CODES,2,FALSE),"")&amp;" "&amp;IFERROR(VLOOKUP($AD179,CODES,2,FALSE),"")&amp;IF(OR($AE179="",$AE179="-"),""," "&amp;$AE179)&amp;IF(OR($AF179="",$AF179="-"),""," "&amp;$AF179)&amp;IF($AB179="Y"," 4"&amp;CHAR(34)&amp;" HEAD","")&amp;" "&amp;IFERROR(VLOOKUP($H179,CODES,2,FALSE),"")))</f>
        <v/>
      </c>
      <c r="BR179" s="50">
        <f>IF(NOT(AND($A179&lt;&gt;"",N($BC179)&gt;0)),"",TRIM(IFERROR(VLOOKUP($AH179,CODES,2,FALSE),"")&amp;IF($AI179=""," "," "&amp;$AI179&amp;"GA ")&amp;$AZ179&amp;" "&amp;IF($AN179="",IFERROR(VLOOKUP($Z179,CODES,2,FALSE),""),IFERROR(VLOOKUP($AN179,CODES,2,FALSE),""))&amp;IF($BC179=2," PAIR","")&amp;" DOOR | "&amp;IF($AL179="","?",$AL179)&amp;" | "&amp;IF($AP179="",IFERROR(VLOOKUP($AC179,CODES,2,FALSE),""),IFERROR(VLOOKUP($AP179,CODES,2,FALSE),""))&amp;" "&amp;IFERROR(VLOOKUP($AQ179,CODES,2,FALSE),"")&amp;IF(OR($AR179="",$AR179="-"),""," SEAM "&amp;$AR179)&amp;IF($AS179="Y"," ASTRAGAL","")&amp;IF($AJ179=""," "," "&amp;$AJ179)&amp;IF($AK179=""," "," "&amp;$AK179)&amp;IF($AO179="",""," "&amp;$AO179)&amp;IF($AM179=""," "," SERIES "&amp;$AM179)&amp;" "&amp;IFERROR(VLOOKUP($H179,CODES,2,FALSE),"")))</f>
        <v/>
      </c>
      <c r="BS179" s="49">
        <f>IF(BV179="","",IF(COUNTIF($BV$6:BV179,BV179)=1,MAX($BS$5:BS178)+1,INDEX($BS$5:BS178,MATCH(BV179,$BV$5:BV178,0))))</f>
        <v/>
      </c>
      <c r="BT179" s="49">
        <f>IF(NOT(AND($A179&lt;&gt;"",$C179&lt;&gt;"DOOR ONLY")),"",MAX($BT$5:BT178)+1)</f>
        <v/>
      </c>
      <c r="BU179" s="49">
        <f>IF(NOT(AND($A179&lt;&gt;"",N($BC179)&gt;0)),"",MAX($BU$5:BU178)+1)</f>
        <v/>
      </c>
      <c r="BV179" s="49">
        <f>IF(OR($A179="",$BA179="",$BB179=""),"",$AZ179&amp;"|"&amp;$O179&amp;"|"&amp;$AL179&amp;"|"&amp;$S179&amp;"|"&amp;$P179&amp;"|"&amp;$Q179&amp;$R179&amp;"|"&amp;$C179&amp;"|"&amp;$AB179)</f>
        <v/>
      </c>
      <c r="BW179" s="49">
        <f>IF($A179="","",IF($B179="","qty, ","")&amp;IF($C179="","scope, ","")&amp;IF(OR($K179="",$M179=""),"size, ","")&amp;IF(AND($A179&lt;&gt;"",$C179&lt;&gt;"DOOR ONLY"),IF($U179="","jamb depth, ","")&amp;IF($X179="","construction, ","")&amp;IF($Y179="","anchor, ","")&amp;IF($S179="","frame type, ",""),"")&amp;IF(AND(N($BC179)&gt;0,$Z179=""),"hand, ","")&amp;IF(N($BC179)&gt;0,IF($AH179="","door material, ","")&amp;IF($AL179="","face type, ","")&amp;IF($AQ179="","lock prep, ","")&amp;IF(AND($AP179="",$AC179=""),"hinge prep, ",""),"")&amp;IF(AND($BO179&gt;0,$AH179="FRP"),"FRP cannot carry a label, ","")&amp;IF(AND($O179="Y",OR($Z179="L",$Z179="R",$Z179="LR",$Z179="RR")),"pair marked but hand is single, ","")&amp;IF(AND($O179&lt;&gt;"Y",OR($Z179="PR",AND(LEN($Z179)&gt;1,ISNUMBER(SEARCH("-",$Z179))))),"pair hand on a single door, ","")&amp;IF(AND(ISNUMBER($BP179),$BO179&lt;N($BP179)),"wall needs a "&amp;$BP179&amp;" min door, ","")&amp;IF(AND($BO179&gt;=180,AND(OR($BL179="FG",$BL179="HG",$BL179="FNV",$BL179="FV"),N($BM179)*N($BN179)&gt;100)),"180 min lite over 100 sq in, ","")&amp;IF(N($BD179)&gt;48,"leaf wider than 4'-0"&amp;CHAR(34)&amp;", ",""))</f>
        <v/>
      </c>
      <c r="BX179" s="49">
        <f>IF($A179="","",IF(AND($BO179&gt;0,AND($A179&lt;&gt;"",$C179&lt;&gt;"DOOR ONLY"),$X179="KD",$E179="EXTERIOR"),"KD label on an exterior opening, ","")&amp;IF(AND($E179="EXTERIOR",OR(AND(AND($A179&lt;&gt;"",$C179&lt;&gt;"DOOR ONLY"),$W179="CR"),AND(N($BC179)&gt;0,$AH179="CR"))),"exterior in CR steel (G9?), ","")&amp;IF(AND(ISNUMBER($BJ179),N($BJ179)&lt;32),"clear width ~"&amp;TEXT($BJ179,"0.0")&amp;CHAR(34)&amp;" under 32"&amp;CHAR(34)&amp;" (ADA), ","")&amp;IF(AND($BO179=90,AND(OR($BL179="FG",$BL179="HG",$BL179="FNV",$BL179="FV"),N($BM179)*N($BN179)&gt;100)),"90 min lite over 100 sq in (stair/exit), ","")&amp;IF(AND($BO179&gt;0,AND($A179&lt;&gt;"",$C179&lt;&gt;"DOOR ONLY"),OR($AF179="",$AF179="-")),"rated: closer reinf.?, ","")&amp;IF(OR($I179="CORRIDOR",$I179="SMOKE BARRIER"),"S label + smoke gasketing, ","")&amp;IF($BP179="?","wall type/hr not in IBC table, ","")&amp;IF(AND(N($BC179)&gt;0,$AU179=""),"no hardware set, ","")&amp;IF(AND($AU179&lt;&gt;"",ISNA(MATCH($AU179,HWSets,0))),"set "&amp;$AU179&amp;" not on Hardware sheet, ","")&amp;IF(N($BE179)&gt;96,"leaf over 8'-0"&amp;CHAR(34)&amp;" - check listing, ",""))</f>
        <v/>
      </c>
    </row>
    <row r="180" ht="15" customHeight="1">
      <c r="A180" s="44" t="n"/>
      <c r="B180" s="45" t="n"/>
      <c r="C180" s="45" t="n"/>
      <c r="D180" s="45" t="n"/>
      <c r="E180" s="45" t="n"/>
      <c r="F180" s="45" t="n"/>
      <c r="G180" s="45" t="n"/>
      <c r="H180" s="45" t="n"/>
      <c r="I180" s="45" t="n"/>
      <c r="J180" s="45" t="n"/>
      <c r="K180" s="45" t="n"/>
      <c r="L180" s="45" t="n"/>
      <c r="M180" s="45" t="n"/>
      <c r="N180" s="45" t="n"/>
      <c r="O180" s="45" t="n"/>
      <c r="P180" s="45" t="n"/>
      <c r="Q180" s="45" t="n"/>
      <c r="R180" s="45" t="n"/>
      <c r="S180" s="46" t="n"/>
      <c r="T180" s="46" t="n"/>
      <c r="U180" s="46" t="n"/>
      <c r="V180" s="46" t="n"/>
      <c r="W180" s="46" t="n"/>
      <c r="X180" s="46" t="n"/>
      <c r="Y180" s="46" t="n"/>
      <c r="Z180" s="46" t="n"/>
      <c r="AA180" s="46" t="n"/>
      <c r="AB180" s="46" t="n"/>
      <c r="AC180" s="46" t="n"/>
      <c r="AD180" s="46" t="n"/>
      <c r="AE180" s="46" t="n"/>
      <c r="AF180" s="46" t="n"/>
      <c r="AG180" s="46" t="n"/>
      <c r="AH180" s="47" t="n"/>
      <c r="AI180" s="47" t="n"/>
      <c r="AJ180" s="47" t="n"/>
      <c r="AK180" s="47" t="n"/>
      <c r="AL180" s="47" t="n"/>
      <c r="AM180" s="47" t="n"/>
      <c r="AN180" s="47" t="n"/>
      <c r="AO180" s="47" t="n"/>
      <c r="AP180" s="47" t="n"/>
      <c r="AQ180" s="47" t="n"/>
      <c r="AR180" s="47" t="n"/>
      <c r="AS180" s="47" t="n"/>
      <c r="AT180" s="47" t="n"/>
      <c r="AU180" s="48" t="n"/>
      <c r="AV180" s="48" t="n"/>
      <c r="AW180" s="49">
        <f>IF($A180="","",IF($BW180&lt;&gt;"","FIX",IF($BX180&lt;&gt;"","CHECK","OK")))</f>
        <v/>
      </c>
      <c r="AX180" s="50">
        <f>IF($A180="","",IF($BW180&lt;&gt;"","FIX: "&amp;LEFT($BW180,LEN($BW180)-2)&amp;IF($BX180&lt;&gt;"","  ·  ",""),"")&amp;IF($BX180&lt;&gt;"","CHECK: "&amp;LEFT($BX180,LEN($BX180)-2),""))</f>
        <v/>
      </c>
      <c r="AY180" s="49">
        <f>IF(OR($A180="",$K180=""),"",$K180&amp;"'-"&amp;N($L180)&amp;CHAR(34)&amp;" x "&amp;$M180&amp;"'-"&amp;N($N180)&amp;CHAR(34))</f>
        <v/>
      </c>
      <c r="AZ180" s="49">
        <f>IF(OR($A180="",$K180=""),"",$K180&amp;N($L180)&amp;$M180&amp;N($N180))</f>
        <v/>
      </c>
      <c r="BA180" s="49">
        <f>IF(OR($A180="",$K180=""),"",$K180*12+N($L180))</f>
        <v/>
      </c>
      <c r="BB180" s="49">
        <f>IF(OR($A180="",$M180=""),"",$M180*12+N($N180))</f>
        <v/>
      </c>
      <c r="BC180" s="49">
        <f>IF($A180="","",IF(OR($C180="FRAME ONLY",$S180="BL"),0,IF($O180="Y",2,1)))</f>
        <v/>
      </c>
      <c r="BD180" s="51">
        <f>IF(OR(N($BC180)=0,$BA180=""),"",($BA180-2*EdgeClr-IF($BC180=2,MeetClr,0))/$BC180)</f>
        <v/>
      </c>
      <c r="BE180" s="51">
        <f>IF(OR(N($BC180)=0,$BB180=""),"",$BB180-HeadClr-Undercut)</f>
        <v/>
      </c>
      <c r="BF180" s="51">
        <f>IF($BA180="","",$BA180+2*FaceW+IF(N($Q180)&gt;0,($Q180+FaceW)*IF($R180="LR",2,1),0))</f>
        <v/>
      </c>
      <c r="BG180" s="51">
        <f>IF($BB180="","",$BB180+IF($AB180="Y",4,FaceW)+IF(N($P180)&gt;0,$P180+FaceW,0)+IF(OR($S180="4F",$S180="BL"),FaceW,0))</f>
        <v/>
      </c>
      <c r="BH180" s="51">
        <f>IF($BF180="","",$BF180+2*ROSide)</f>
        <v/>
      </c>
      <c r="BI180" s="51">
        <f>IF($BG180="","",$BG180+ROTop)</f>
        <v/>
      </c>
      <c r="BJ180" s="52">
        <f>IF(OR(N($BC180)=0,$BA180=""),"",$BA180/$BC180-ClearDeduct)</f>
        <v/>
      </c>
      <c r="BK180" s="49">
        <f>IF(OR(N($BC180)=0,$BE180=""),"",IF(OR($AC180="HGC",$AP180="HGC"),"CONT",IF($BE180&lt;=60,2,IF($BE180&lt;=90,3,IF($BE180&lt;=120,4,5)))))</f>
        <v/>
      </c>
      <c r="BL180" s="49">
        <f>IF(N($BC180)=0,"",IF(OR($AL180="",$AL180="FLUSH"),"FLUSH",IFERROR(LEFT($AL180,FIND("-",$AL180)-1),LEFT($AL180,2))))</f>
        <v/>
      </c>
      <c r="BM180" s="49">
        <f>IF($BL180="","",IFERROR(VALUE(MID($AL180,FIND("-",$AL180)+1,FIND(CHAR(34)&amp;"x",$AL180)-FIND("-",$AL180)-1)),0))</f>
        <v/>
      </c>
      <c r="BN180" s="49">
        <f>IF($BL180="","",IFERROR(VALUE(MID($AL180,FIND(CHAR(34)&amp;"x",$AL180)+2,FIND(CHAR(34),$AL180,FIND(CHAR(34)&amp;"x",$AL180)+2)-FIND(CHAR(34)&amp;"x",$AL180)-2)),0))</f>
        <v/>
      </c>
      <c r="BO180" s="53">
        <f>IF(OR($A180="",$H180="",$H180="NO LAB"),0,IFERROR(VALUE(LEFT($H180,FIND(" ",$H180)-1)),0))</f>
        <v/>
      </c>
      <c r="BP180" s="54">
        <f>IF(OR($A180="",$I180="",$I180="NON-RATED",N($J180)=0),"",IFERROR(VLOOKUP($I180&amp;"|"&amp;$J180,IBC,2,FALSE),"?"))</f>
        <v/>
      </c>
      <c r="BQ180" s="50">
        <f>IF(NOT(AND($A180&lt;&gt;"",$C180&lt;&gt;"DOOR ONLY")),"",TRIM(IFERROR(VLOOKUP($U180,CODES,2,FALSE),"")&amp;" "&amp;$AZ180&amp;" "&amp;IFERROR(VLOOKUP($Z180,CODES,2,FALSE),"")&amp;" "&amp;IFERROR(VLOOKUP($X180,CODES,2,FALSE),"")&amp;" "&amp;IFERROR(VLOOKUP($S180,CODES,2,FALSE),"")&amp;IF(N($P180)&gt;0," w/TRANSOM "&amp;$P180&amp;CHAR(34),"")&amp;IF(N($Q180)&gt;0," w/SIDELITE "&amp;$Q180&amp;CHAR(34)&amp;" "&amp;IF($R180="","R",$R180),"")&amp;IF($Y180="","  |  "," | "&amp;IFERROR(VLOOKUP($Y180,CODES,2,FALSE),"")&amp;" | ")&amp;IFERROR(VLOOKUP($AC180,CODES,2,FALSE),"")&amp;" "&amp;IFERROR(VLOOKUP($AD180,CODES,2,FALSE),"")&amp;IF(OR($AE180="",$AE180="-"),""," "&amp;$AE180)&amp;IF(OR($AF180="",$AF180="-"),""," "&amp;$AF180)&amp;IF($AB180="Y"," 4"&amp;CHAR(34)&amp;" HEAD","")&amp;" "&amp;IFERROR(VLOOKUP($H180,CODES,2,FALSE),"")))</f>
        <v/>
      </c>
      <c r="BR180" s="50">
        <f>IF(NOT(AND($A180&lt;&gt;"",N($BC180)&gt;0)),"",TRIM(IFERROR(VLOOKUP($AH180,CODES,2,FALSE),"")&amp;IF($AI180=""," "," "&amp;$AI180&amp;"GA ")&amp;$AZ180&amp;" "&amp;IF($AN180="",IFERROR(VLOOKUP($Z180,CODES,2,FALSE),""),IFERROR(VLOOKUP($AN180,CODES,2,FALSE),""))&amp;IF($BC180=2," PAIR","")&amp;" DOOR | "&amp;IF($AL180="","?",$AL180)&amp;" | "&amp;IF($AP180="",IFERROR(VLOOKUP($AC180,CODES,2,FALSE),""),IFERROR(VLOOKUP($AP180,CODES,2,FALSE),""))&amp;" "&amp;IFERROR(VLOOKUP($AQ180,CODES,2,FALSE),"")&amp;IF(OR($AR180="",$AR180="-"),""," SEAM "&amp;$AR180)&amp;IF($AS180="Y"," ASTRAGAL","")&amp;IF($AJ180=""," "," "&amp;$AJ180)&amp;IF($AK180=""," "," "&amp;$AK180)&amp;IF($AO180="",""," "&amp;$AO180)&amp;IF($AM180=""," "," SERIES "&amp;$AM180)&amp;" "&amp;IFERROR(VLOOKUP($H180,CODES,2,FALSE),"")))</f>
        <v/>
      </c>
      <c r="BS180" s="49">
        <f>IF(BV180="","",IF(COUNTIF($BV$6:BV180,BV180)=1,MAX($BS$5:BS179)+1,INDEX($BS$5:BS179,MATCH(BV180,$BV$5:BV179,0))))</f>
        <v/>
      </c>
      <c r="BT180" s="49">
        <f>IF(NOT(AND($A180&lt;&gt;"",$C180&lt;&gt;"DOOR ONLY")),"",MAX($BT$5:BT179)+1)</f>
        <v/>
      </c>
      <c r="BU180" s="49">
        <f>IF(NOT(AND($A180&lt;&gt;"",N($BC180)&gt;0)),"",MAX($BU$5:BU179)+1)</f>
        <v/>
      </c>
      <c r="BV180" s="49">
        <f>IF(OR($A180="",$BA180="",$BB180=""),"",$AZ180&amp;"|"&amp;$O180&amp;"|"&amp;$AL180&amp;"|"&amp;$S180&amp;"|"&amp;$P180&amp;"|"&amp;$Q180&amp;$R180&amp;"|"&amp;$C180&amp;"|"&amp;$AB180)</f>
        <v/>
      </c>
      <c r="BW180" s="49">
        <f>IF($A180="","",IF($B180="","qty, ","")&amp;IF($C180="","scope, ","")&amp;IF(OR($K180="",$M180=""),"size, ","")&amp;IF(AND($A180&lt;&gt;"",$C180&lt;&gt;"DOOR ONLY"),IF($U180="","jamb depth, ","")&amp;IF($X180="","construction, ","")&amp;IF($Y180="","anchor, ","")&amp;IF($S180="","frame type, ",""),"")&amp;IF(AND(N($BC180)&gt;0,$Z180=""),"hand, ","")&amp;IF(N($BC180)&gt;0,IF($AH180="","door material, ","")&amp;IF($AL180="","face type, ","")&amp;IF($AQ180="","lock prep, ","")&amp;IF(AND($AP180="",$AC180=""),"hinge prep, ",""),"")&amp;IF(AND($BO180&gt;0,$AH180="FRP"),"FRP cannot carry a label, ","")&amp;IF(AND($O180="Y",OR($Z180="L",$Z180="R",$Z180="LR",$Z180="RR")),"pair marked but hand is single, ","")&amp;IF(AND($O180&lt;&gt;"Y",OR($Z180="PR",AND(LEN($Z180)&gt;1,ISNUMBER(SEARCH("-",$Z180))))),"pair hand on a single door, ","")&amp;IF(AND(ISNUMBER($BP180),$BO180&lt;N($BP180)),"wall needs a "&amp;$BP180&amp;" min door, ","")&amp;IF(AND($BO180&gt;=180,AND(OR($BL180="FG",$BL180="HG",$BL180="FNV",$BL180="FV"),N($BM180)*N($BN180)&gt;100)),"180 min lite over 100 sq in, ","")&amp;IF(N($BD180)&gt;48,"leaf wider than 4'-0"&amp;CHAR(34)&amp;", ",""))</f>
        <v/>
      </c>
      <c r="BX180" s="49">
        <f>IF($A180="","",IF(AND($BO180&gt;0,AND($A180&lt;&gt;"",$C180&lt;&gt;"DOOR ONLY"),$X180="KD",$E180="EXTERIOR"),"KD label on an exterior opening, ","")&amp;IF(AND($E180="EXTERIOR",OR(AND(AND($A180&lt;&gt;"",$C180&lt;&gt;"DOOR ONLY"),$W180="CR"),AND(N($BC180)&gt;0,$AH180="CR"))),"exterior in CR steel (G9?), ","")&amp;IF(AND(ISNUMBER($BJ180),N($BJ180)&lt;32),"clear width ~"&amp;TEXT($BJ180,"0.0")&amp;CHAR(34)&amp;" under 32"&amp;CHAR(34)&amp;" (ADA), ","")&amp;IF(AND($BO180=90,AND(OR($BL180="FG",$BL180="HG",$BL180="FNV",$BL180="FV"),N($BM180)*N($BN180)&gt;100)),"90 min lite over 100 sq in (stair/exit), ","")&amp;IF(AND($BO180&gt;0,AND($A180&lt;&gt;"",$C180&lt;&gt;"DOOR ONLY"),OR($AF180="",$AF180="-")),"rated: closer reinf.?, ","")&amp;IF(OR($I180="CORRIDOR",$I180="SMOKE BARRIER"),"S label + smoke gasketing, ","")&amp;IF($BP180="?","wall type/hr not in IBC table, ","")&amp;IF(AND(N($BC180)&gt;0,$AU180=""),"no hardware set, ","")&amp;IF(AND($AU180&lt;&gt;"",ISNA(MATCH($AU180,HWSets,0))),"set "&amp;$AU180&amp;" not on Hardware sheet, ","")&amp;IF(N($BE180)&gt;96,"leaf over 8'-0"&amp;CHAR(34)&amp;" - check listing, ",""))</f>
        <v/>
      </c>
    </row>
    <row r="181" ht="15" customHeight="1">
      <c r="A181" s="44" t="n"/>
      <c r="B181" s="45" t="n"/>
      <c r="C181" s="45" t="n"/>
      <c r="D181" s="45" t="n"/>
      <c r="E181" s="45" t="n"/>
      <c r="F181" s="45" t="n"/>
      <c r="G181" s="45" t="n"/>
      <c r="H181" s="45" t="n"/>
      <c r="I181" s="45" t="n"/>
      <c r="J181" s="45" t="n"/>
      <c r="K181" s="45" t="n"/>
      <c r="L181" s="45" t="n"/>
      <c r="M181" s="45" t="n"/>
      <c r="N181" s="45" t="n"/>
      <c r="O181" s="45" t="n"/>
      <c r="P181" s="45" t="n"/>
      <c r="Q181" s="45" t="n"/>
      <c r="R181" s="45" t="n"/>
      <c r="S181" s="46" t="n"/>
      <c r="T181" s="46" t="n"/>
      <c r="U181" s="46" t="n"/>
      <c r="V181" s="46" t="n"/>
      <c r="W181" s="46" t="n"/>
      <c r="X181" s="46" t="n"/>
      <c r="Y181" s="46" t="n"/>
      <c r="Z181" s="46" t="n"/>
      <c r="AA181" s="46" t="n"/>
      <c r="AB181" s="46" t="n"/>
      <c r="AC181" s="46" t="n"/>
      <c r="AD181" s="46" t="n"/>
      <c r="AE181" s="46" t="n"/>
      <c r="AF181" s="46" t="n"/>
      <c r="AG181" s="46" t="n"/>
      <c r="AH181" s="47" t="n"/>
      <c r="AI181" s="47" t="n"/>
      <c r="AJ181" s="47" t="n"/>
      <c r="AK181" s="47" t="n"/>
      <c r="AL181" s="47" t="n"/>
      <c r="AM181" s="47" t="n"/>
      <c r="AN181" s="47" t="n"/>
      <c r="AO181" s="47" t="n"/>
      <c r="AP181" s="47" t="n"/>
      <c r="AQ181" s="47" t="n"/>
      <c r="AR181" s="47" t="n"/>
      <c r="AS181" s="47" t="n"/>
      <c r="AT181" s="47" t="n"/>
      <c r="AU181" s="48" t="n"/>
      <c r="AV181" s="48" t="n"/>
      <c r="AW181" s="49">
        <f>IF($A181="","",IF($BW181&lt;&gt;"","FIX",IF($BX181&lt;&gt;"","CHECK","OK")))</f>
        <v/>
      </c>
      <c r="AX181" s="50">
        <f>IF($A181="","",IF($BW181&lt;&gt;"","FIX: "&amp;LEFT($BW181,LEN($BW181)-2)&amp;IF($BX181&lt;&gt;"","  ·  ",""),"")&amp;IF($BX181&lt;&gt;"","CHECK: "&amp;LEFT($BX181,LEN($BX181)-2),""))</f>
        <v/>
      </c>
      <c r="AY181" s="49">
        <f>IF(OR($A181="",$K181=""),"",$K181&amp;"'-"&amp;N($L181)&amp;CHAR(34)&amp;" x "&amp;$M181&amp;"'-"&amp;N($N181)&amp;CHAR(34))</f>
        <v/>
      </c>
      <c r="AZ181" s="49">
        <f>IF(OR($A181="",$K181=""),"",$K181&amp;N($L181)&amp;$M181&amp;N($N181))</f>
        <v/>
      </c>
      <c r="BA181" s="49">
        <f>IF(OR($A181="",$K181=""),"",$K181*12+N($L181))</f>
        <v/>
      </c>
      <c r="BB181" s="49">
        <f>IF(OR($A181="",$M181=""),"",$M181*12+N($N181))</f>
        <v/>
      </c>
      <c r="BC181" s="49">
        <f>IF($A181="","",IF(OR($C181="FRAME ONLY",$S181="BL"),0,IF($O181="Y",2,1)))</f>
        <v/>
      </c>
      <c r="BD181" s="51">
        <f>IF(OR(N($BC181)=0,$BA181=""),"",($BA181-2*EdgeClr-IF($BC181=2,MeetClr,0))/$BC181)</f>
        <v/>
      </c>
      <c r="BE181" s="51">
        <f>IF(OR(N($BC181)=0,$BB181=""),"",$BB181-HeadClr-Undercut)</f>
        <v/>
      </c>
      <c r="BF181" s="51">
        <f>IF($BA181="","",$BA181+2*FaceW+IF(N($Q181)&gt;0,($Q181+FaceW)*IF($R181="LR",2,1),0))</f>
        <v/>
      </c>
      <c r="BG181" s="51">
        <f>IF($BB181="","",$BB181+IF($AB181="Y",4,FaceW)+IF(N($P181)&gt;0,$P181+FaceW,0)+IF(OR($S181="4F",$S181="BL"),FaceW,0))</f>
        <v/>
      </c>
      <c r="BH181" s="51">
        <f>IF($BF181="","",$BF181+2*ROSide)</f>
        <v/>
      </c>
      <c r="BI181" s="51">
        <f>IF($BG181="","",$BG181+ROTop)</f>
        <v/>
      </c>
      <c r="BJ181" s="52">
        <f>IF(OR(N($BC181)=0,$BA181=""),"",$BA181/$BC181-ClearDeduct)</f>
        <v/>
      </c>
      <c r="BK181" s="49">
        <f>IF(OR(N($BC181)=0,$BE181=""),"",IF(OR($AC181="HGC",$AP181="HGC"),"CONT",IF($BE181&lt;=60,2,IF($BE181&lt;=90,3,IF($BE181&lt;=120,4,5)))))</f>
        <v/>
      </c>
      <c r="BL181" s="49">
        <f>IF(N($BC181)=0,"",IF(OR($AL181="",$AL181="FLUSH"),"FLUSH",IFERROR(LEFT($AL181,FIND("-",$AL181)-1),LEFT($AL181,2))))</f>
        <v/>
      </c>
      <c r="BM181" s="49">
        <f>IF($BL181="","",IFERROR(VALUE(MID($AL181,FIND("-",$AL181)+1,FIND(CHAR(34)&amp;"x",$AL181)-FIND("-",$AL181)-1)),0))</f>
        <v/>
      </c>
      <c r="BN181" s="49">
        <f>IF($BL181="","",IFERROR(VALUE(MID($AL181,FIND(CHAR(34)&amp;"x",$AL181)+2,FIND(CHAR(34),$AL181,FIND(CHAR(34)&amp;"x",$AL181)+2)-FIND(CHAR(34)&amp;"x",$AL181)-2)),0))</f>
        <v/>
      </c>
      <c r="BO181" s="53">
        <f>IF(OR($A181="",$H181="",$H181="NO LAB"),0,IFERROR(VALUE(LEFT($H181,FIND(" ",$H181)-1)),0))</f>
        <v/>
      </c>
      <c r="BP181" s="54">
        <f>IF(OR($A181="",$I181="",$I181="NON-RATED",N($J181)=0),"",IFERROR(VLOOKUP($I181&amp;"|"&amp;$J181,IBC,2,FALSE),"?"))</f>
        <v/>
      </c>
      <c r="BQ181" s="50">
        <f>IF(NOT(AND($A181&lt;&gt;"",$C181&lt;&gt;"DOOR ONLY")),"",TRIM(IFERROR(VLOOKUP($U181,CODES,2,FALSE),"")&amp;" "&amp;$AZ181&amp;" "&amp;IFERROR(VLOOKUP($Z181,CODES,2,FALSE),"")&amp;" "&amp;IFERROR(VLOOKUP($X181,CODES,2,FALSE),"")&amp;" "&amp;IFERROR(VLOOKUP($S181,CODES,2,FALSE),"")&amp;IF(N($P181)&gt;0," w/TRANSOM "&amp;$P181&amp;CHAR(34),"")&amp;IF(N($Q181)&gt;0," w/SIDELITE "&amp;$Q181&amp;CHAR(34)&amp;" "&amp;IF($R181="","R",$R181),"")&amp;IF($Y181="","  |  "," | "&amp;IFERROR(VLOOKUP($Y181,CODES,2,FALSE),"")&amp;" | ")&amp;IFERROR(VLOOKUP($AC181,CODES,2,FALSE),"")&amp;" "&amp;IFERROR(VLOOKUP($AD181,CODES,2,FALSE),"")&amp;IF(OR($AE181="",$AE181="-"),""," "&amp;$AE181)&amp;IF(OR($AF181="",$AF181="-"),""," "&amp;$AF181)&amp;IF($AB181="Y"," 4"&amp;CHAR(34)&amp;" HEAD","")&amp;" "&amp;IFERROR(VLOOKUP($H181,CODES,2,FALSE),"")))</f>
        <v/>
      </c>
      <c r="BR181" s="50">
        <f>IF(NOT(AND($A181&lt;&gt;"",N($BC181)&gt;0)),"",TRIM(IFERROR(VLOOKUP($AH181,CODES,2,FALSE),"")&amp;IF($AI181=""," "," "&amp;$AI181&amp;"GA ")&amp;$AZ181&amp;" "&amp;IF($AN181="",IFERROR(VLOOKUP($Z181,CODES,2,FALSE),""),IFERROR(VLOOKUP($AN181,CODES,2,FALSE),""))&amp;IF($BC181=2," PAIR","")&amp;" DOOR | "&amp;IF($AL181="","?",$AL181)&amp;" | "&amp;IF($AP181="",IFERROR(VLOOKUP($AC181,CODES,2,FALSE),""),IFERROR(VLOOKUP($AP181,CODES,2,FALSE),""))&amp;" "&amp;IFERROR(VLOOKUP($AQ181,CODES,2,FALSE),"")&amp;IF(OR($AR181="",$AR181="-"),""," SEAM "&amp;$AR181)&amp;IF($AS181="Y"," ASTRAGAL","")&amp;IF($AJ181=""," "," "&amp;$AJ181)&amp;IF($AK181=""," "," "&amp;$AK181)&amp;IF($AO181="",""," "&amp;$AO181)&amp;IF($AM181=""," "," SERIES "&amp;$AM181)&amp;" "&amp;IFERROR(VLOOKUP($H181,CODES,2,FALSE),"")))</f>
        <v/>
      </c>
      <c r="BS181" s="49">
        <f>IF(BV181="","",IF(COUNTIF($BV$6:BV181,BV181)=1,MAX($BS$5:BS180)+1,INDEX($BS$5:BS180,MATCH(BV181,$BV$5:BV180,0))))</f>
        <v/>
      </c>
      <c r="BT181" s="49">
        <f>IF(NOT(AND($A181&lt;&gt;"",$C181&lt;&gt;"DOOR ONLY")),"",MAX($BT$5:BT180)+1)</f>
        <v/>
      </c>
      <c r="BU181" s="49">
        <f>IF(NOT(AND($A181&lt;&gt;"",N($BC181)&gt;0)),"",MAX($BU$5:BU180)+1)</f>
        <v/>
      </c>
      <c r="BV181" s="49">
        <f>IF(OR($A181="",$BA181="",$BB181=""),"",$AZ181&amp;"|"&amp;$O181&amp;"|"&amp;$AL181&amp;"|"&amp;$S181&amp;"|"&amp;$P181&amp;"|"&amp;$Q181&amp;$R181&amp;"|"&amp;$C181&amp;"|"&amp;$AB181)</f>
        <v/>
      </c>
      <c r="BW181" s="49">
        <f>IF($A181="","",IF($B181="","qty, ","")&amp;IF($C181="","scope, ","")&amp;IF(OR($K181="",$M181=""),"size, ","")&amp;IF(AND($A181&lt;&gt;"",$C181&lt;&gt;"DOOR ONLY"),IF($U181="","jamb depth, ","")&amp;IF($X181="","construction, ","")&amp;IF($Y181="","anchor, ","")&amp;IF($S181="","frame type, ",""),"")&amp;IF(AND(N($BC181)&gt;0,$Z181=""),"hand, ","")&amp;IF(N($BC181)&gt;0,IF($AH181="","door material, ","")&amp;IF($AL181="","face type, ","")&amp;IF($AQ181="","lock prep, ","")&amp;IF(AND($AP181="",$AC181=""),"hinge prep, ",""),"")&amp;IF(AND($BO181&gt;0,$AH181="FRP"),"FRP cannot carry a label, ","")&amp;IF(AND($O181="Y",OR($Z181="L",$Z181="R",$Z181="LR",$Z181="RR")),"pair marked but hand is single, ","")&amp;IF(AND($O181&lt;&gt;"Y",OR($Z181="PR",AND(LEN($Z181)&gt;1,ISNUMBER(SEARCH("-",$Z181))))),"pair hand on a single door, ","")&amp;IF(AND(ISNUMBER($BP181),$BO181&lt;N($BP181)),"wall needs a "&amp;$BP181&amp;" min door, ","")&amp;IF(AND($BO181&gt;=180,AND(OR($BL181="FG",$BL181="HG",$BL181="FNV",$BL181="FV"),N($BM181)*N($BN181)&gt;100)),"180 min lite over 100 sq in, ","")&amp;IF(N($BD181)&gt;48,"leaf wider than 4'-0"&amp;CHAR(34)&amp;", ",""))</f>
        <v/>
      </c>
      <c r="BX181" s="49">
        <f>IF($A181="","",IF(AND($BO181&gt;0,AND($A181&lt;&gt;"",$C181&lt;&gt;"DOOR ONLY"),$X181="KD",$E181="EXTERIOR"),"KD label on an exterior opening, ","")&amp;IF(AND($E181="EXTERIOR",OR(AND(AND($A181&lt;&gt;"",$C181&lt;&gt;"DOOR ONLY"),$W181="CR"),AND(N($BC181)&gt;0,$AH181="CR"))),"exterior in CR steel (G9?), ","")&amp;IF(AND(ISNUMBER($BJ181),N($BJ181)&lt;32),"clear width ~"&amp;TEXT($BJ181,"0.0")&amp;CHAR(34)&amp;" under 32"&amp;CHAR(34)&amp;" (ADA), ","")&amp;IF(AND($BO181=90,AND(OR($BL181="FG",$BL181="HG",$BL181="FNV",$BL181="FV"),N($BM181)*N($BN181)&gt;100)),"90 min lite over 100 sq in (stair/exit), ","")&amp;IF(AND($BO181&gt;0,AND($A181&lt;&gt;"",$C181&lt;&gt;"DOOR ONLY"),OR($AF181="",$AF181="-")),"rated: closer reinf.?, ","")&amp;IF(OR($I181="CORRIDOR",$I181="SMOKE BARRIER"),"S label + smoke gasketing, ","")&amp;IF($BP181="?","wall type/hr not in IBC table, ","")&amp;IF(AND(N($BC181)&gt;0,$AU181=""),"no hardware set, ","")&amp;IF(AND($AU181&lt;&gt;"",ISNA(MATCH($AU181,HWSets,0))),"set "&amp;$AU181&amp;" not on Hardware sheet, ","")&amp;IF(N($BE181)&gt;96,"leaf over 8'-0"&amp;CHAR(34)&amp;" - check listing, ",""))</f>
        <v/>
      </c>
    </row>
    <row r="182" ht="15" customHeight="1">
      <c r="A182" s="44" t="n"/>
      <c r="B182" s="45" t="n"/>
      <c r="C182" s="45" t="n"/>
      <c r="D182" s="45" t="n"/>
      <c r="E182" s="45" t="n"/>
      <c r="F182" s="45" t="n"/>
      <c r="G182" s="45" t="n"/>
      <c r="H182" s="45" t="n"/>
      <c r="I182" s="45" t="n"/>
      <c r="J182" s="45" t="n"/>
      <c r="K182" s="45" t="n"/>
      <c r="L182" s="45" t="n"/>
      <c r="M182" s="45" t="n"/>
      <c r="N182" s="45" t="n"/>
      <c r="O182" s="45" t="n"/>
      <c r="P182" s="45" t="n"/>
      <c r="Q182" s="45" t="n"/>
      <c r="R182" s="45" t="n"/>
      <c r="S182" s="46" t="n"/>
      <c r="T182" s="46" t="n"/>
      <c r="U182" s="46" t="n"/>
      <c r="V182" s="46" t="n"/>
      <c r="W182" s="46" t="n"/>
      <c r="X182" s="46" t="n"/>
      <c r="Y182" s="46" t="n"/>
      <c r="Z182" s="46" t="n"/>
      <c r="AA182" s="46" t="n"/>
      <c r="AB182" s="46" t="n"/>
      <c r="AC182" s="46" t="n"/>
      <c r="AD182" s="46" t="n"/>
      <c r="AE182" s="46" t="n"/>
      <c r="AF182" s="46" t="n"/>
      <c r="AG182" s="46" t="n"/>
      <c r="AH182" s="47" t="n"/>
      <c r="AI182" s="47" t="n"/>
      <c r="AJ182" s="47" t="n"/>
      <c r="AK182" s="47" t="n"/>
      <c r="AL182" s="47" t="n"/>
      <c r="AM182" s="47" t="n"/>
      <c r="AN182" s="47" t="n"/>
      <c r="AO182" s="47" t="n"/>
      <c r="AP182" s="47" t="n"/>
      <c r="AQ182" s="47" t="n"/>
      <c r="AR182" s="47" t="n"/>
      <c r="AS182" s="47" t="n"/>
      <c r="AT182" s="47" t="n"/>
      <c r="AU182" s="48" t="n"/>
      <c r="AV182" s="48" t="n"/>
      <c r="AW182" s="49">
        <f>IF($A182="","",IF($BW182&lt;&gt;"","FIX",IF($BX182&lt;&gt;"","CHECK","OK")))</f>
        <v/>
      </c>
      <c r="AX182" s="50">
        <f>IF($A182="","",IF($BW182&lt;&gt;"","FIX: "&amp;LEFT($BW182,LEN($BW182)-2)&amp;IF($BX182&lt;&gt;"","  ·  ",""),"")&amp;IF($BX182&lt;&gt;"","CHECK: "&amp;LEFT($BX182,LEN($BX182)-2),""))</f>
        <v/>
      </c>
      <c r="AY182" s="49">
        <f>IF(OR($A182="",$K182=""),"",$K182&amp;"'-"&amp;N($L182)&amp;CHAR(34)&amp;" x "&amp;$M182&amp;"'-"&amp;N($N182)&amp;CHAR(34))</f>
        <v/>
      </c>
      <c r="AZ182" s="49">
        <f>IF(OR($A182="",$K182=""),"",$K182&amp;N($L182)&amp;$M182&amp;N($N182))</f>
        <v/>
      </c>
      <c r="BA182" s="49">
        <f>IF(OR($A182="",$K182=""),"",$K182*12+N($L182))</f>
        <v/>
      </c>
      <c r="BB182" s="49">
        <f>IF(OR($A182="",$M182=""),"",$M182*12+N($N182))</f>
        <v/>
      </c>
      <c r="BC182" s="49">
        <f>IF($A182="","",IF(OR($C182="FRAME ONLY",$S182="BL"),0,IF($O182="Y",2,1)))</f>
        <v/>
      </c>
      <c r="BD182" s="51">
        <f>IF(OR(N($BC182)=0,$BA182=""),"",($BA182-2*EdgeClr-IF($BC182=2,MeetClr,0))/$BC182)</f>
        <v/>
      </c>
      <c r="BE182" s="51">
        <f>IF(OR(N($BC182)=0,$BB182=""),"",$BB182-HeadClr-Undercut)</f>
        <v/>
      </c>
      <c r="BF182" s="51">
        <f>IF($BA182="","",$BA182+2*FaceW+IF(N($Q182)&gt;0,($Q182+FaceW)*IF($R182="LR",2,1),0))</f>
        <v/>
      </c>
      <c r="BG182" s="51">
        <f>IF($BB182="","",$BB182+IF($AB182="Y",4,FaceW)+IF(N($P182)&gt;0,$P182+FaceW,0)+IF(OR($S182="4F",$S182="BL"),FaceW,0))</f>
        <v/>
      </c>
      <c r="BH182" s="51">
        <f>IF($BF182="","",$BF182+2*ROSide)</f>
        <v/>
      </c>
      <c r="BI182" s="51">
        <f>IF($BG182="","",$BG182+ROTop)</f>
        <v/>
      </c>
      <c r="BJ182" s="52">
        <f>IF(OR(N($BC182)=0,$BA182=""),"",$BA182/$BC182-ClearDeduct)</f>
        <v/>
      </c>
      <c r="BK182" s="49">
        <f>IF(OR(N($BC182)=0,$BE182=""),"",IF(OR($AC182="HGC",$AP182="HGC"),"CONT",IF($BE182&lt;=60,2,IF($BE182&lt;=90,3,IF($BE182&lt;=120,4,5)))))</f>
        <v/>
      </c>
      <c r="BL182" s="49">
        <f>IF(N($BC182)=0,"",IF(OR($AL182="",$AL182="FLUSH"),"FLUSH",IFERROR(LEFT($AL182,FIND("-",$AL182)-1),LEFT($AL182,2))))</f>
        <v/>
      </c>
      <c r="BM182" s="49">
        <f>IF($BL182="","",IFERROR(VALUE(MID($AL182,FIND("-",$AL182)+1,FIND(CHAR(34)&amp;"x",$AL182)-FIND("-",$AL182)-1)),0))</f>
        <v/>
      </c>
      <c r="BN182" s="49">
        <f>IF($BL182="","",IFERROR(VALUE(MID($AL182,FIND(CHAR(34)&amp;"x",$AL182)+2,FIND(CHAR(34),$AL182,FIND(CHAR(34)&amp;"x",$AL182)+2)-FIND(CHAR(34)&amp;"x",$AL182)-2)),0))</f>
        <v/>
      </c>
      <c r="BO182" s="53">
        <f>IF(OR($A182="",$H182="",$H182="NO LAB"),0,IFERROR(VALUE(LEFT($H182,FIND(" ",$H182)-1)),0))</f>
        <v/>
      </c>
      <c r="BP182" s="54">
        <f>IF(OR($A182="",$I182="",$I182="NON-RATED",N($J182)=0),"",IFERROR(VLOOKUP($I182&amp;"|"&amp;$J182,IBC,2,FALSE),"?"))</f>
        <v/>
      </c>
      <c r="BQ182" s="50">
        <f>IF(NOT(AND($A182&lt;&gt;"",$C182&lt;&gt;"DOOR ONLY")),"",TRIM(IFERROR(VLOOKUP($U182,CODES,2,FALSE),"")&amp;" "&amp;$AZ182&amp;" "&amp;IFERROR(VLOOKUP($Z182,CODES,2,FALSE),"")&amp;" "&amp;IFERROR(VLOOKUP($X182,CODES,2,FALSE),"")&amp;" "&amp;IFERROR(VLOOKUP($S182,CODES,2,FALSE),"")&amp;IF(N($P182)&gt;0," w/TRANSOM "&amp;$P182&amp;CHAR(34),"")&amp;IF(N($Q182)&gt;0," w/SIDELITE "&amp;$Q182&amp;CHAR(34)&amp;" "&amp;IF($R182="","R",$R182),"")&amp;IF($Y182="","  |  "," | "&amp;IFERROR(VLOOKUP($Y182,CODES,2,FALSE),"")&amp;" | ")&amp;IFERROR(VLOOKUP($AC182,CODES,2,FALSE),"")&amp;" "&amp;IFERROR(VLOOKUP($AD182,CODES,2,FALSE),"")&amp;IF(OR($AE182="",$AE182="-"),""," "&amp;$AE182)&amp;IF(OR($AF182="",$AF182="-"),""," "&amp;$AF182)&amp;IF($AB182="Y"," 4"&amp;CHAR(34)&amp;" HEAD","")&amp;" "&amp;IFERROR(VLOOKUP($H182,CODES,2,FALSE),"")))</f>
        <v/>
      </c>
      <c r="BR182" s="50">
        <f>IF(NOT(AND($A182&lt;&gt;"",N($BC182)&gt;0)),"",TRIM(IFERROR(VLOOKUP($AH182,CODES,2,FALSE),"")&amp;IF($AI182=""," "," "&amp;$AI182&amp;"GA ")&amp;$AZ182&amp;" "&amp;IF($AN182="",IFERROR(VLOOKUP($Z182,CODES,2,FALSE),""),IFERROR(VLOOKUP($AN182,CODES,2,FALSE),""))&amp;IF($BC182=2," PAIR","")&amp;" DOOR | "&amp;IF($AL182="","?",$AL182)&amp;" | "&amp;IF($AP182="",IFERROR(VLOOKUP($AC182,CODES,2,FALSE),""),IFERROR(VLOOKUP($AP182,CODES,2,FALSE),""))&amp;" "&amp;IFERROR(VLOOKUP($AQ182,CODES,2,FALSE),"")&amp;IF(OR($AR182="",$AR182="-"),""," SEAM "&amp;$AR182)&amp;IF($AS182="Y"," ASTRAGAL","")&amp;IF($AJ182=""," "," "&amp;$AJ182)&amp;IF($AK182=""," "," "&amp;$AK182)&amp;IF($AO182="",""," "&amp;$AO182)&amp;IF($AM182=""," "," SERIES "&amp;$AM182)&amp;" "&amp;IFERROR(VLOOKUP($H182,CODES,2,FALSE),"")))</f>
        <v/>
      </c>
      <c r="BS182" s="49">
        <f>IF(BV182="","",IF(COUNTIF($BV$6:BV182,BV182)=1,MAX($BS$5:BS181)+1,INDEX($BS$5:BS181,MATCH(BV182,$BV$5:BV181,0))))</f>
        <v/>
      </c>
      <c r="BT182" s="49">
        <f>IF(NOT(AND($A182&lt;&gt;"",$C182&lt;&gt;"DOOR ONLY")),"",MAX($BT$5:BT181)+1)</f>
        <v/>
      </c>
      <c r="BU182" s="49">
        <f>IF(NOT(AND($A182&lt;&gt;"",N($BC182)&gt;0)),"",MAX($BU$5:BU181)+1)</f>
        <v/>
      </c>
      <c r="BV182" s="49">
        <f>IF(OR($A182="",$BA182="",$BB182=""),"",$AZ182&amp;"|"&amp;$O182&amp;"|"&amp;$AL182&amp;"|"&amp;$S182&amp;"|"&amp;$P182&amp;"|"&amp;$Q182&amp;$R182&amp;"|"&amp;$C182&amp;"|"&amp;$AB182)</f>
        <v/>
      </c>
      <c r="BW182" s="49">
        <f>IF($A182="","",IF($B182="","qty, ","")&amp;IF($C182="","scope, ","")&amp;IF(OR($K182="",$M182=""),"size, ","")&amp;IF(AND($A182&lt;&gt;"",$C182&lt;&gt;"DOOR ONLY"),IF($U182="","jamb depth, ","")&amp;IF($X182="","construction, ","")&amp;IF($Y182="","anchor, ","")&amp;IF($S182="","frame type, ",""),"")&amp;IF(AND(N($BC182)&gt;0,$Z182=""),"hand, ","")&amp;IF(N($BC182)&gt;0,IF($AH182="","door material, ","")&amp;IF($AL182="","face type, ","")&amp;IF($AQ182="","lock prep, ","")&amp;IF(AND($AP182="",$AC182=""),"hinge prep, ",""),"")&amp;IF(AND($BO182&gt;0,$AH182="FRP"),"FRP cannot carry a label, ","")&amp;IF(AND($O182="Y",OR($Z182="L",$Z182="R",$Z182="LR",$Z182="RR")),"pair marked but hand is single, ","")&amp;IF(AND($O182&lt;&gt;"Y",OR($Z182="PR",AND(LEN($Z182)&gt;1,ISNUMBER(SEARCH("-",$Z182))))),"pair hand on a single door, ","")&amp;IF(AND(ISNUMBER($BP182),$BO182&lt;N($BP182)),"wall needs a "&amp;$BP182&amp;" min door, ","")&amp;IF(AND($BO182&gt;=180,AND(OR($BL182="FG",$BL182="HG",$BL182="FNV",$BL182="FV"),N($BM182)*N($BN182)&gt;100)),"180 min lite over 100 sq in, ","")&amp;IF(N($BD182)&gt;48,"leaf wider than 4'-0"&amp;CHAR(34)&amp;", ",""))</f>
        <v/>
      </c>
      <c r="BX182" s="49">
        <f>IF($A182="","",IF(AND($BO182&gt;0,AND($A182&lt;&gt;"",$C182&lt;&gt;"DOOR ONLY"),$X182="KD",$E182="EXTERIOR"),"KD label on an exterior opening, ","")&amp;IF(AND($E182="EXTERIOR",OR(AND(AND($A182&lt;&gt;"",$C182&lt;&gt;"DOOR ONLY"),$W182="CR"),AND(N($BC182)&gt;0,$AH182="CR"))),"exterior in CR steel (G9?), ","")&amp;IF(AND(ISNUMBER($BJ182),N($BJ182)&lt;32),"clear width ~"&amp;TEXT($BJ182,"0.0")&amp;CHAR(34)&amp;" under 32"&amp;CHAR(34)&amp;" (ADA), ","")&amp;IF(AND($BO182=90,AND(OR($BL182="FG",$BL182="HG",$BL182="FNV",$BL182="FV"),N($BM182)*N($BN182)&gt;100)),"90 min lite over 100 sq in (stair/exit), ","")&amp;IF(AND($BO182&gt;0,AND($A182&lt;&gt;"",$C182&lt;&gt;"DOOR ONLY"),OR($AF182="",$AF182="-")),"rated: closer reinf.?, ","")&amp;IF(OR($I182="CORRIDOR",$I182="SMOKE BARRIER"),"S label + smoke gasketing, ","")&amp;IF($BP182="?","wall type/hr not in IBC table, ","")&amp;IF(AND(N($BC182)&gt;0,$AU182=""),"no hardware set, ","")&amp;IF(AND($AU182&lt;&gt;"",ISNA(MATCH($AU182,HWSets,0))),"set "&amp;$AU182&amp;" not on Hardware sheet, ","")&amp;IF(N($BE182)&gt;96,"leaf over 8'-0"&amp;CHAR(34)&amp;" - check listing, ",""))</f>
        <v/>
      </c>
    </row>
    <row r="183" ht="15" customHeight="1">
      <c r="A183" s="44" t="n"/>
      <c r="B183" s="45" t="n"/>
      <c r="C183" s="45" t="n"/>
      <c r="D183" s="45" t="n"/>
      <c r="E183" s="45" t="n"/>
      <c r="F183" s="45" t="n"/>
      <c r="G183" s="45" t="n"/>
      <c r="H183" s="45" t="n"/>
      <c r="I183" s="45" t="n"/>
      <c r="J183" s="45" t="n"/>
      <c r="K183" s="45" t="n"/>
      <c r="L183" s="45" t="n"/>
      <c r="M183" s="45" t="n"/>
      <c r="N183" s="45" t="n"/>
      <c r="O183" s="45" t="n"/>
      <c r="P183" s="45" t="n"/>
      <c r="Q183" s="45" t="n"/>
      <c r="R183" s="45" t="n"/>
      <c r="S183" s="46" t="n"/>
      <c r="T183" s="46" t="n"/>
      <c r="U183" s="46" t="n"/>
      <c r="V183" s="46" t="n"/>
      <c r="W183" s="46" t="n"/>
      <c r="X183" s="46" t="n"/>
      <c r="Y183" s="46" t="n"/>
      <c r="Z183" s="46" t="n"/>
      <c r="AA183" s="46" t="n"/>
      <c r="AB183" s="46" t="n"/>
      <c r="AC183" s="46" t="n"/>
      <c r="AD183" s="46" t="n"/>
      <c r="AE183" s="46" t="n"/>
      <c r="AF183" s="46" t="n"/>
      <c r="AG183" s="46" t="n"/>
      <c r="AH183" s="47" t="n"/>
      <c r="AI183" s="47" t="n"/>
      <c r="AJ183" s="47" t="n"/>
      <c r="AK183" s="47" t="n"/>
      <c r="AL183" s="47" t="n"/>
      <c r="AM183" s="47" t="n"/>
      <c r="AN183" s="47" t="n"/>
      <c r="AO183" s="47" t="n"/>
      <c r="AP183" s="47" t="n"/>
      <c r="AQ183" s="47" t="n"/>
      <c r="AR183" s="47" t="n"/>
      <c r="AS183" s="47" t="n"/>
      <c r="AT183" s="47" t="n"/>
      <c r="AU183" s="48" t="n"/>
      <c r="AV183" s="48" t="n"/>
      <c r="AW183" s="49">
        <f>IF($A183="","",IF($BW183&lt;&gt;"","FIX",IF($BX183&lt;&gt;"","CHECK","OK")))</f>
        <v/>
      </c>
      <c r="AX183" s="50">
        <f>IF($A183="","",IF($BW183&lt;&gt;"","FIX: "&amp;LEFT($BW183,LEN($BW183)-2)&amp;IF($BX183&lt;&gt;"","  ·  ",""),"")&amp;IF($BX183&lt;&gt;"","CHECK: "&amp;LEFT($BX183,LEN($BX183)-2),""))</f>
        <v/>
      </c>
      <c r="AY183" s="49">
        <f>IF(OR($A183="",$K183=""),"",$K183&amp;"'-"&amp;N($L183)&amp;CHAR(34)&amp;" x "&amp;$M183&amp;"'-"&amp;N($N183)&amp;CHAR(34))</f>
        <v/>
      </c>
      <c r="AZ183" s="49">
        <f>IF(OR($A183="",$K183=""),"",$K183&amp;N($L183)&amp;$M183&amp;N($N183))</f>
        <v/>
      </c>
      <c r="BA183" s="49">
        <f>IF(OR($A183="",$K183=""),"",$K183*12+N($L183))</f>
        <v/>
      </c>
      <c r="BB183" s="49">
        <f>IF(OR($A183="",$M183=""),"",$M183*12+N($N183))</f>
        <v/>
      </c>
      <c r="BC183" s="49">
        <f>IF($A183="","",IF(OR($C183="FRAME ONLY",$S183="BL"),0,IF($O183="Y",2,1)))</f>
        <v/>
      </c>
      <c r="BD183" s="51">
        <f>IF(OR(N($BC183)=0,$BA183=""),"",($BA183-2*EdgeClr-IF($BC183=2,MeetClr,0))/$BC183)</f>
        <v/>
      </c>
      <c r="BE183" s="51">
        <f>IF(OR(N($BC183)=0,$BB183=""),"",$BB183-HeadClr-Undercut)</f>
        <v/>
      </c>
      <c r="BF183" s="51">
        <f>IF($BA183="","",$BA183+2*FaceW+IF(N($Q183)&gt;0,($Q183+FaceW)*IF($R183="LR",2,1),0))</f>
        <v/>
      </c>
      <c r="BG183" s="51">
        <f>IF($BB183="","",$BB183+IF($AB183="Y",4,FaceW)+IF(N($P183)&gt;0,$P183+FaceW,0)+IF(OR($S183="4F",$S183="BL"),FaceW,0))</f>
        <v/>
      </c>
      <c r="BH183" s="51">
        <f>IF($BF183="","",$BF183+2*ROSide)</f>
        <v/>
      </c>
      <c r="BI183" s="51">
        <f>IF($BG183="","",$BG183+ROTop)</f>
        <v/>
      </c>
      <c r="BJ183" s="52">
        <f>IF(OR(N($BC183)=0,$BA183=""),"",$BA183/$BC183-ClearDeduct)</f>
        <v/>
      </c>
      <c r="BK183" s="49">
        <f>IF(OR(N($BC183)=0,$BE183=""),"",IF(OR($AC183="HGC",$AP183="HGC"),"CONT",IF($BE183&lt;=60,2,IF($BE183&lt;=90,3,IF($BE183&lt;=120,4,5)))))</f>
        <v/>
      </c>
      <c r="BL183" s="49">
        <f>IF(N($BC183)=0,"",IF(OR($AL183="",$AL183="FLUSH"),"FLUSH",IFERROR(LEFT($AL183,FIND("-",$AL183)-1),LEFT($AL183,2))))</f>
        <v/>
      </c>
      <c r="BM183" s="49">
        <f>IF($BL183="","",IFERROR(VALUE(MID($AL183,FIND("-",$AL183)+1,FIND(CHAR(34)&amp;"x",$AL183)-FIND("-",$AL183)-1)),0))</f>
        <v/>
      </c>
      <c r="BN183" s="49">
        <f>IF($BL183="","",IFERROR(VALUE(MID($AL183,FIND(CHAR(34)&amp;"x",$AL183)+2,FIND(CHAR(34),$AL183,FIND(CHAR(34)&amp;"x",$AL183)+2)-FIND(CHAR(34)&amp;"x",$AL183)-2)),0))</f>
        <v/>
      </c>
      <c r="BO183" s="53">
        <f>IF(OR($A183="",$H183="",$H183="NO LAB"),0,IFERROR(VALUE(LEFT($H183,FIND(" ",$H183)-1)),0))</f>
        <v/>
      </c>
      <c r="BP183" s="54">
        <f>IF(OR($A183="",$I183="",$I183="NON-RATED",N($J183)=0),"",IFERROR(VLOOKUP($I183&amp;"|"&amp;$J183,IBC,2,FALSE),"?"))</f>
        <v/>
      </c>
      <c r="BQ183" s="50">
        <f>IF(NOT(AND($A183&lt;&gt;"",$C183&lt;&gt;"DOOR ONLY")),"",TRIM(IFERROR(VLOOKUP($U183,CODES,2,FALSE),"")&amp;" "&amp;$AZ183&amp;" "&amp;IFERROR(VLOOKUP($Z183,CODES,2,FALSE),"")&amp;" "&amp;IFERROR(VLOOKUP($X183,CODES,2,FALSE),"")&amp;" "&amp;IFERROR(VLOOKUP($S183,CODES,2,FALSE),"")&amp;IF(N($P183)&gt;0," w/TRANSOM "&amp;$P183&amp;CHAR(34),"")&amp;IF(N($Q183)&gt;0," w/SIDELITE "&amp;$Q183&amp;CHAR(34)&amp;" "&amp;IF($R183="","R",$R183),"")&amp;IF($Y183="","  |  "," | "&amp;IFERROR(VLOOKUP($Y183,CODES,2,FALSE),"")&amp;" | ")&amp;IFERROR(VLOOKUP($AC183,CODES,2,FALSE),"")&amp;" "&amp;IFERROR(VLOOKUP($AD183,CODES,2,FALSE),"")&amp;IF(OR($AE183="",$AE183="-"),""," "&amp;$AE183)&amp;IF(OR($AF183="",$AF183="-"),""," "&amp;$AF183)&amp;IF($AB183="Y"," 4"&amp;CHAR(34)&amp;" HEAD","")&amp;" "&amp;IFERROR(VLOOKUP($H183,CODES,2,FALSE),"")))</f>
        <v/>
      </c>
      <c r="BR183" s="50">
        <f>IF(NOT(AND($A183&lt;&gt;"",N($BC183)&gt;0)),"",TRIM(IFERROR(VLOOKUP($AH183,CODES,2,FALSE),"")&amp;IF($AI183=""," "," "&amp;$AI183&amp;"GA ")&amp;$AZ183&amp;" "&amp;IF($AN183="",IFERROR(VLOOKUP($Z183,CODES,2,FALSE),""),IFERROR(VLOOKUP($AN183,CODES,2,FALSE),""))&amp;IF($BC183=2," PAIR","")&amp;" DOOR | "&amp;IF($AL183="","?",$AL183)&amp;" | "&amp;IF($AP183="",IFERROR(VLOOKUP($AC183,CODES,2,FALSE),""),IFERROR(VLOOKUP($AP183,CODES,2,FALSE),""))&amp;" "&amp;IFERROR(VLOOKUP($AQ183,CODES,2,FALSE),"")&amp;IF(OR($AR183="",$AR183="-"),""," SEAM "&amp;$AR183)&amp;IF($AS183="Y"," ASTRAGAL","")&amp;IF($AJ183=""," "," "&amp;$AJ183)&amp;IF($AK183=""," "," "&amp;$AK183)&amp;IF($AO183="",""," "&amp;$AO183)&amp;IF($AM183=""," "," SERIES "&amp;$AM183)&amp;" "&amp;IFERROR(VLOOKUP($H183,CODES,2,FALSE),"")))</f>
        <v/>
      </c>
      <c r="BS183" s="49">
        <f>IF(BV183="","",IF(COUNTIF($BV$6:BV183,BV183)=1,MAX($BS$5:BS182)+1,INDEX($BS$5:BS182,MATCH(BV183,$BV$5:BV182,0))))</f>
        <v/>
      </c>
      <c r="BT183" s="49">
        <f>IF(NOT(AND($A183&lt;&gt;"",$C183&lt;&gt;"DOOR ONLY")),"",MAX($BT$5:BT182)+1)</f>
        <v/>
      </c>
      <c r="BU183" s="49">
        <f>IF(NOT(AND($A183&lt;&gt;"",N($BC183)&gt;0)),"",MAX($BU$5:BU182)+1)</f>
        <v/>
      </c>
      <c r="BV183" s="49">
        <f>IF(OR($A183="",$BA183="",$BB183=""),"",$AZ183&amp;"|"&amp;$O183&amp;"|"&amp;$AL183&amp;"|"&amp;$S183&amp;"|"&amp;$P183&amp;"|"&amp;$Q183&amp;$R183&amp;"|"&amp;$C183&amp;"|"&amp;$AB183)</f>
        <v/>
      </c>
      <c r="BW183" s="49">
        <f>IF($A183="","",IF($B183="","qty, ","")&amp;IF($C183="","scope, ","")&amp;IF(OR($K183="",$M183=""),"size, ","")&amp;IF(AND($A183&lt;&gt;"",$C183&lt;&gt;"DOOR ONLY"),IF($U183="","jamb depth, ","")&amp;IF($X183="","construction, ","")&amp;IF($Y183="","anchor, ","")&amp;IF($S183="","frame type, ",""),"")&amp;IF(AND(N($BC183)&gt;0,$Z183=""),"hand, ","")&amp;IF(N($BC183)&gt;0,IF($AH183="","door material, ","")&amp;IF($AL183="","face type, ","")&amp;IF($AQ183="","lock prep, ","")&amp;IF(AND($AP183="",$AC183=""),"hinge prep, ",""),"")&amp;IF(AND($BO183&gt;0,$AH183="FRP"),"FRP cannot carry a label, ","")&amp;IF(AND($O183="Y",OR($Z183="L",$Z183="R",$Z183="LR",$Z183="RR")),"pair marked but hand is single, ","")&amp;IF(AND($O183&lt;&gt;"Y",OR($Z183="PR",AND(LEN($Z183)&gt;1,ISNUMBER(SEARCH("-",$Z183))))),"pair hand on a single door, ","")&amp;IF(AND(ISNUMBER($BP183),$BO183&lt;N($BP183)),"wall needs a "&amp;$BP183&amp;" min door, ","")&amp;IF(AND($BO183&gt;=180,AND(OR($BL183="FG",$BL183="HG",$BL183="FNV",$BL183="FV"),N($BM183)*N($BN183)&gt;100)),"180 min lite over 100 sq in, ","")&amp;IF(N($BD183)&gt;48,"leaf wider than 4'-0"&amp;CHAR(34)&amp;", ",""))</f>
        <v/>
      </c>
      <c r="BX183" s="49">
        <f>IF($A183="","",IF(AND($BO183&gt;0,AND($A183&lt;&gt;"",$C183&lt;&gt;"DOOR ONLY"),$X183="KD",$E183="EXTERIOR"),"KD label on an exterior opening, ","")&amp;IF(AND($E183="EXTERIOR",OR(AND(AND($A183&lt;&gt;"",$C183&lt;&gt;"DOOR ONLY"),$W183="CR"),AND(N($BC183)&gt;0,$AH183="CR"))),"exterior in CR steel (G9?), ","")&amp;IF(AND(ISNUMBER($BJ183),N($BJ183)&lt;32),"clear width ~"&amp;TEXT($BJ183,"0.0")&amp;CHAR(34)&amp;" under 32"&amp;CHAR(34)&amp;" (ADA), ","")&amp;IF(AND($BO183=90,AND(OR($BL183="FG",$BL183="HG",$BL183="FNV",$BL183="FV"),N($BM183)*N($BN183)&gt;100)),"90 min lite over 100 sq in (stair/exit), ","")&amp;IF(AND($BO183&gt;0,AND($A183&lt;&gt;"",$C183&lt;&gt;"DOOR ONLY"),OR($AF183="",$AF183="-")),"rated: closer reinf.?, ","")&amp;IF(OR($I183="CORRIDOR",$I183="SMOKE BARRIER"),"S label + smoke gasketing, ","")&amp;IF($BP183="?","wall type/hr not in IBC table, ","")&amp;IF(AND(N($BC183)&gt;0,$AU183=""),"no hardware set, ","")&amp;IF(AND($AU183&lt;&gt;"",ISNA(MATCH($AU183,HWSets,0))),"set "&amp;$AU183&amp;" not on Hardware sheet, ","")&amp;IF(N($BE183)&gt;96,"leaf over 8'-0"&amp;CHAR(34)&amp;" - check listing, ",""))</f>
        <v/>
      </c>
    </row>
    <row r="184" ht="15" customHeight="1">
      <c r="A184" s="44" t="n"/>
      <c r="B184" s="45" t="n"/>
      <c r="C184" s="45" t="n"/>
      <c r="D184" s="45" t="n"/>
      <c r="E184" s="45" t="n"/>
      <c r="F184" s="45" t="n"/>
      <c r="G184" s="45" t="n"/>
      <c r="H184" s="45" t="n"/>
      <c r="I184" s="45" t="n"/>
      <c r="J184" s="45" t="n"/>
      <c r="K184" s="45" t="n"/>
      <c r="L184" s="45" t="n"/>
      <c r="M184" s="45" t="n"/>
      <c r="N184" s="45" t="n"/>
      <c r="O184" s="45" t="n"/>
      <c r="P184" s="45" t="n"/>
      <c r="Q184" s="45" t="n"/>
      <c r="R184" s="45" t="n"/>
      <c r="S184" s="46" t="n"/>
      <c r="T184" s="46" t="n"/>
      <c r="U184" s="46" t="n"/>
      <c r="V184" s="46" t="n"/>
      <c r="W184" s="46" t="n"/>
      <c r="X184" s="46" t="n"/>
      <c r="Y184" s="46" t="n"/>
      <c r="Z184" s="46" t="n"/>
      <c r="AA184" s="46" t="n"/>
      <c r="AB184" s="46" t="n"/>
      <c r="AC184" s="46" t="n"/>
      <c r="AD184" s="46" t="n"/>
      <c r="AE184" s="46" t="n"/>
      <c r="AF184" s="46" t="n"/>
      <c r="AG184" s="46" t="n"/>
      <c r="AH184" s="47" t="n"/>
      <c r="AI184" s="47" t="n"/>
      <c r="AJ184" s="47" t="n"/>
      <c r="AK184" s="47" t="n"/>
      <c r="AL184" s="47" t="n"/>
      <c r="AM184" s="47" t="n"/>
      <c r="AN184" s="47" t="n"/>
      <c r="AO184" s="47" t="n"/>
      <c r="AP184" s="47" t="n"/>
      <c r="AQ184" s="47" t="n"/>
      <c r="AR184" s="47" t="n"/>
      <c r="AS184" s="47" t="n"/>
      <c r="AT184" s="47" t="n"/>
      <c r="AU184" s="48" t="n"/>
      <c r="AV184" s="48" t="n"/>
      <c r="AW184" s="49">
        <f>IF($A184="","",IF($BW184&lt;&gt;"","FIX",IF($BX184&lt;&gt;"","CHECK","OK")))</f>
        <v/>
      </c>
      <c r="AX184" s="50">
        <f>IF($A184="","",IF($BW184&lt;&gt;"","FIX: "&amp;LEFT($BW184,LEN($BW184)-2)&amp;IF($BX184&lt;&gt;"","  ·  ",""),"")&amp;IF($BX184&lt;&gt;"","CHECK: "&amp;LEFT($BX184,LEN($BX184)-2),""))</f>
        <v/>
      </c>
      <c r="AY184" s="49">
        <f>IF(OR($A184="",$K184=""),"",$K184&amp;"'-"&amp;N($L184)&amp;CHAR(34)&amp;" x "&amp;$M184&amp;"'-"&amp;N($N184)&amp;CHAR(34))</f>
        <v/>
      </c>
      <c r="AZ184" s="49">
        <f>IF(OR($A184="",$K184=""),"",$K184&amp;N($L184)&amp;$M184&amp;N($N184))</f>
        <v/>
      </c>
      <c r="BA184" s="49">
        <f>IF(OR($A184="",$K184=""),"",$K184*12+N($L184))</f>
        <v/>
      </c>
      <c r="BB184" s="49">
        <f>IF(OR($A184="",$M184=""),"",$M184*12+N($N184))</f>
        <v/>
      </c>
      <c r="BC184" s="49">
        <f>IF($A184="","",IF(OR($C184="FRAME ONLY",$S184="BL"),0,IF($O184="Y",2,1)))</f>
        <v/>
      </c>
      <c r="BD184" s="51">
        <f>IF(OR(N($BC184)=0,$BA184=""),"",($BA184-2*EdgeClr-IF($BC184=2,MeetClr,0))/$BC184)</f>
        <v/>
      </c>
      <c r="BE184" s="51">
        <f>IF(OR(N($BC184)=0,$BB184=""),"",$BB184-HeadClr-Undercut)</f>
        <v/>
      </c>
      <c r="BF184" s="51">
        <f>IF($BA184="","",$BA184+2*FaceW+IF(N($Q184)&gt;0,($Q184+FaceW)*IF($R184="LR",2,1),0))</f>
        <v/>
      </c>
      <c r="BG184" s="51">
        <f>IF($BB184="","",$BB184+IF($AB184="Y",4,FaceW)+IF(N($P184)&gt;0,$P184+FaceW,0)+IF(OR($S184="4F",$S184="BL"),FaceW,0))</f>
        <v/>
      </c>
      <c r="BH184" s="51">
        <f>IF($BF184="","",$BF184+2*ROSide)</f>
        <v/>
      </c>
      <c r="BI184" s="51">
        <f>IF($BG184="","",$BG184+ROTop)</f>
        <v/>
      </c>
      <c r="BJ184" s="52">
        <f>IF(OR(N($BC184)=0,$BA184=""),"",$BA184/$BC184-ClearDeduct)</f>
        <v/>
      </c>
      <c r="BK184" s="49">
        <f>IF(OR(N($BC184)=0,$BE184=""),"",IF(OR($AC184="HGC",$AP184="HGC"),"CONT",IF($BE184&lt;=60,2,IF($BE184&lt;=90,3,IF($BE184&lt;=120,4,5)))))</f>
        <v/>
      </c>
      <c r="BL184" s="49">
        <f>IF(N($BC184)=0,"",IF(OR($AL184="",$AL184="FLUSH"),"FLUSH",IFERROR(LEFT($AL184,FIND("-",$AL184)-1),LEFT($AL184,2))))</f>
        <v/>
      </c>
      <c r="BM184" s="49">
        <f>IF($BL184="","",IFERROR(VALUE(MID($AL184,FIND("-",$AL184)+1,FIND(CHAR(34)&amp;"x",$AL184)-FIND("-",$AL184)-1)),0))</f>
        <v/>
      </c>
      <c r="BN184" s="49">
        <f>IF($BL184="","",IFERROR(VALUE(MID($AL184,FIND(CHAR(34)&amp;"x",$AL184)+2,FIND(CHAR(34),$AL184,FIND(CHAR(34)&amp;"x",$AL184)+2)-FIND(CHAR(34)&amp;"x",$AL184)-2)),0))</f>
        <v/>
      </c>
      <c r="BO184" s="53">
        <f>IF(OR($A184="",$H184="",$H184="NO LAB"),0,IFERROR(VALUE(LEFT($H184,FIND(" ",$H184)-1)),0))</f>
        <v/>
      </c>
      <c r="BP184" s="54">
        <f>IF(OR($A184="",$I184="",$I184="NON-RATED",N($J184)=0),"",IFERROR(VLOOKUP($I184&amp;"|"&amp;$J184,IBC,2,FALSE),"?"))</f>
        <v/>
      </c>
      <c r="BQ184" s="50">
        <f>IF(NOT(AND($A184&lt;&gt;"",$C184&lt;&gt;"DOOR ONLY")),"",TRIM(IFERROR(VLOOKUP($U184,CODES,2,FALSE),"")&amp;" "&amp;$AZ184&amp;" "&amp;IFERROR(VLOOKUP($Z184,CODES,2,FALSE),"")&amp;" "&amp;IFERROR(VLOOKUP($X184,CODES,2,FALSE),"")&amp;" "&amp;IFERROR(VLOOKUP($S184,CODES,2,FALSE),"")&amp;IF(N($P184)&gt;0," w/TRANSOM "&amp;$P184&amp;CHAR(34),"")&amp;IF(N($Q184)&gt;0," w/SIDELITE "&amp;$Q184&amp;CHAR(34)&amp;" "&amp;IF($R184="","R",$R184),"")&amp;IF($Y184="","  |  "," | "&amp;IFERROR(VLOOKUP($Y184,CODES,2,FALSE),"")&amp;" | ")&amp;IFERROR(VLOOKUP($AC184,CODES,2,FALSE),"")&amp;" "&amp;IFERROR(VLOOKUP($AD184,CODES,2,FALSE),"")&amp;IF(OR($AE184="",$AE184="-"),""," "&amp;$AE184)&amp;IF(OR($AF184="",$AF184="-"),""," "&amp;$AF184)&amp;IF($AB184="Y"," 4"&amp;CHAR(34)&amp;" HEAD","")&amp;" "&amp;IFERROR(VLOOKUP($H184,CODES,2,FALSE),"")))</f>
        <v/>
      </c>
      <c r="BR184" s="50">
        <f>IF(NOT(AND($A184&lt;&gt;"",N($BC184)&gt;0)),"",TRIM(IFERROR(VLOOKUP($AH184,CODES,2,FALSE),"")&amp;IF($AI184=""," "," "&amp;$AI184&amp;"GA ")&amp;$AZ184&amp;" "&amp;IF($AN184="",IFERROR(VLOOKUP($Z184,CODES,2,FALSE),""),IFERROR(VLOOKUP($AN184,CODES,2,FALSE),""))&amp;IF($BC184=2," PAIR","")&amp;" DOOR | "&amp;IF($AL184="","?",$AL184)&amp;" | "&amp;IF($AP184="",IFERROR(VLOOKUP($AC184,CODES,2,FALSE),""),IFERROR(VLOOKUP($AP184,CODES,2,FALSE),""))&amp;" "&amp;IFERROR(VLOOKUP($AQ184,CODES,2,FALSE),"")&amp;IF(OR($AR184="",$AR184="-"),""," SEAM "&amp;$AR184)&amp;IF($AS184="Y"," ASTRAGAL","")&amp;IF($AJ184=""," "," "&amp;$AJ184)&amp;IF($AK184=""," "," "&amp;$AK184)&amp;IF($AO184="",""," "&amp;$AO184)&amp;IF($AM184=""," "," SERIES "&amp;$AM184)&amp;" "&amp;IFERROR(VLOOKUP($H184,CODES,2,FALSE),"")))</f>
        <v/>
      </c>
      <c r="BS184" s="49">
        <f>IF(BV184="","",IF(COUNTIF($BV$6:BV184,BV184)=1,MAX($BS$5:BS183)+1,INDEX($BS$5:BS183,MATCH(BV184,$BV$5:BV183,0))))</f>
        <v/>
      </c>
      <c r="BT184" s="49">
        <f>IF(NOT(AND($A184&lt;&gt;"",$C184&lt;&gt;"DOOR ONLY")),"",MAX($BT$5:BT183)+1)</f>
        <v/>
      </c>
      <c r="BU184" s="49">
        <f>IF(NOT(AND($A184&lt;&gt;"",N($BC184)&gt;0)),"",MAX($BU$5:BU183)+1)</f>
        <v/>
      </c>
      <c r="BV184" s="49">
        <f>IF(OR($A184="",$BA184="",$BB184=""),"",$AZ184&amp;"|"&amp;$O184&amp;"|"&amp;$AL184&amp;"|"&amp;$S184&amp;"|"&amp;$P184&amp;"|"&amp;$Q184&amp;$R184&amp;"|"&amp;$C184&amp;"|"&amp;$AB184)</f>
        <v/>
      </c>
      <c r="BW184" s="49">
        <f>IF($A184="","",IF($B184="","qty, ","")&amp;IF($C184="","scope, ","")&amp;IF(OR($K184="",$M184=""),"size, ","")&amp;IF(AND($A184&lt;&gt;"",$C184&lt;&gt;"DOOR ONLY"),IF($U184="","jamb depth, ","")&amp;IF($X184="","construction, ","")&amp;IF($Y184="","anchor, ","")&amp;IF($S184="","frame type, ",""),"")&amp;IF(AND(N($BC184)&gt;0,$Z184=""),"hand, ","")&amp;IF(N($BC184)&gt;0,IF($AH184="","door material, ","")&amp;IF($AL184="","face type, ","")&amp;IF($AQ184="","lock prep, ","")&amp;IF(AND($AP184="",$AC184=""),"hinge prep, ",""),"")&amp;IF(AND($BO184&gt;0,$AH184="FRP"),"FRP cannot carry a label, ","")&amp;IF(AND($O184="Y",OR($Z184="L",$Z184="R",$Z184="LR",$Z184="RR")),"pair marked but hand is single, ","")&amp;IF(AND($O184&lt;&gt;"Y",OR($Z184="PR",AND(LEN($Z184)&gt;1,ISNUMBER(SEARCH("-",$Z184))))),"pair hand on a single door, ","")&amp;IF(AND(ISNUMBER($BP184),$BO184&lt;N($BP184)),"wall needs a "&amp;$BP184&amp;" min door, ","")&amp;IF(AND($BO184&gt;=180,AND(OR($BL184="FG",$BL184="HG",$BL184="FNV",$BL184="FV"),N($BM184)*N($BN184)&gt;100)),"180 min lite over 100 sq in, ","")&amp;IF(N($BD184)&gt;48,"leaf wider than 4'-0"&amp;CHAR(34)&amp;", ",""))</f>
        <v/>
      </c>
      <c r="BX184" s="49">
        <f>IF($A184="","",IF(AND($BO184&gt;0,AND($A184&lt;&gt;"",$C184&lt;&gt;"DOOR ONLY"),$X184="KD",$E184="EXTERIOR"),"KD label on an exterior opening, ","")&amp;IF(AND($E184="EXTERIOR",OR(AND(AND($A184&lt;&gt;"",$C184&lt;&gt;"DOOR ONLY"),$W184="CR"),AND(N($BC184)&gt;0,$AH184="CR"))),"exterior in CR steel (G9?), ","")&amp;IF(AND(ISNUMBER($BJ184),N($BJ184)&lt;32),"clear width ~"&amp;TEXT($BJ184,"0.0")&amp;CHAR(34)&amp;" under 32"&amp;CHAR(34)&amp;" (ADA), ","")&amp;IF(AND($BO184=90,AND(OR($BL184="FG",$BL184="HG",$BL184="FNV",$BL184="FV"),N($BM184)*N($BN184)&gt;100)),"90 min lite over 100 sq in (stair/exit), ","")&amp;IF(AND($BO184&gt;0,AND($A184&lt;&gt;"",$C184&lt;&gt;"DOOR ONLY"),OR($AF184="",$AF184="-")),"rated: closer reinf.?, ","")&amp;IF(OR($I184="CORRIDOR",$I184="SMOKE BARRIER"),"S label + smoke gasketing, ","")&amp;IF($BP184="?","wall type/hr not in IBC table, ","")&amp;IF(AND(N($BC184)&gt;0,$AU184=""),"no hardware set, ","")&amp;IF(AND($AU184&lt;&gt;"",ISNA(MATCH($AU184,HWSets,0))),"set "&amp;$AU184&amp;" not on Hardware sheet, ","")&amp;IF(N($BE184)&gt;96,"leaf over 8'-0"&amp;CHAR(34)&amp;" - check listing, ",""))</f>
        <v/>
      </c>
    </row>
    <row r="185" ht="15" customHeight="1">
      <c r="A185" s="44" t="n"/>
      <c r="B185" s="45" t="n"/>
      <c r="C185" s="45" t="n"/>
      <c r="D185" s="45" t="n"/>
      <c r="E185" s="45" t="n"/>
      <c r="F185" s="45" t="n"/>
      <c r="G185" s="45" t="n"/>
      <c r="H185" s="45" t="n"/>
      <c r="I185" s="45" t="n"/>
      <c r="J185" s="45" t="n"/>
      <c r="K185" s="45" t="n"/>
      <c r="L185" s="45" t="n"/>
      <c r="M185" s="45" t="n"/>
      <c r="N185" s="45" t="n"/>
      <c r="O185" s="45" t="n"/>
      <c r="P185" s="45" t="n"/>
      <c r="Q185" s="45" t="n"/>
      <c r="R185" s="45" t="n"/>
      <c r="S185" s="46" t="n"/>
      <c r="T185" s="46" t="n"/>
      <c r="U185" s="46" t="n"/>
      <c r="V185" s="46" t="n"/>
      <c r="W185" s="46" t="n"/>
      <c r="X185" s="46" t="n"/>
      <c r="Y185" s="46" t="n"/>
      <c r="Z185" s="46" t="n"/>
      <c r="AA185" s="46" t="n"/>
      <c r="AB185" s="46" t="n"/>
      <c r="AC185" s="46" t="n"/>
      <c r="AD185" s="46" t="n"/>
      <c r="AE185" s="46" t="n"/>
      <c r="AF185" s="46" t="n"/>
      <c r="AG185" s="46" t="n"/>
      <c r="AH185" s="47" t="n"/>
      <c r="AI185" s="47" t="n"/>
      <c r="AJ185" s="47" t="n"/>
      <c r="AK185" s="47" t="n"/>
      <c r="AL185" s="47" t="n"/>
      <c r="AM185" s="47" t="n"/>
      <c r="AN185" s="47" t="n"/>
      <c r="AO185" s="47" t="n"/>
      <c r="AP185" s="47" t="n"/>
      <c r="AQ185" s="47" t="n"/>
      <c r="AR185" s="47" t="n"/>
      <c r="AS185" s="47" t="n"/>
      <c r="AT185" s="47" t="n"/>
      <c r="AU185" s="48" t="n"/>
      <c r="AV185" s="48" t="n"/>
      <c r="AW185" s="49">
        <f>IF($A185="","",IF($BW185&lt;&gt;"","FIX",IF($BX185&lt;&gt;"","CHECK","OK")))</f>
        <v/>
      </c>
      <c r="AX185" s="50">
        <f>IF($A185="","",IF($BW185&lt;&gt;"","FIX: "&amp;LEFT($BW185,LEN($BW185)-2)&amp;IF($BX185&lt;&gt;"","  ·  ",""),"")&amp;IF($BX185&lt;&gt;"","CHECK: "&amp;LEFT($BX185,LEN($BX185)-2),""))</f>
        <v/>
      </c>
      <c r="AY185" s="49">
        <f>IF(OR($A185="",$K185=""),"",$K185&amp;"'-"&amp;N($L185)&amp;CHAR(34)&amp;" x "&amp;$M185&amp;"'-"&amp;N($N185)&amp;CHAR(34))</f>
        <v/>
      </c>
      <c r="AZ185" s="49">
        <f>IF(OR($A185="",$K185=""),"",$K185&amp;N($L185)&amp;$M185&amp;N($N185))</f>
        <v/>
      </c>
      <c r="BA185" s="49">
        <f>IF(OR($A185="",$K185=""),"",$K185*12+N($L185))</f>
        <v/>
      </c>
      <c r="BB185" s="49">
        <f>IF(OR($A185="",$M185=""),"",$M185*12+N($N185))</f>
        <v/>
      </c>
      <c r="BC185" s="49">
        <f>IF($A185="","",IF(OR($C185="FRAME ONLY",$S185="BL"),0,IF($O185="Y",2,1)))</f>
        <v/>
      </c>
      <c r="BD185" s="51">
        <f>IF(OR(N($BC185)=0,$BA185=""),"",($BA185-2*EdgeClr-IF($BC185=2,MeetClr,0))/$BC185)</f>
        <v/>
      </c>
      <c r="BE185" s="51">
        <f>IF(OR(N($BC185)=0,$BB185=""),"",$BB185-HeadClr-Undercut)</f>
        <v/>
      </c>
      <c r="BF185" s="51">
        <f>IF($BA185="","",$BA185+2*FaceW+IF(N($Q185)&gt;0,($Q185+FaceW)*IF($R185="LR",2,1),0))</f>
        <v/>
      </c>
      <c r="BG185" s="51">
        <f>IF($BB185="","",$BB185+IF($AB185="Y",4,FaceW)+IF(N($P185)&gt;0,$P185+FaceW,0)+IF(OR($S185="4F",$S185="BL"),FaceW,0))</f>
        <v/>
      </c>
      <c r="BH185" s="51">
        <f>IF($BF185="","",$BF185+2*ROSide)</f>
        <v/>
      </c>
      <c r="BI185" s="51">
        <f>IF($BG185="","",$BG185+ROTop)</f>
        <v/>
      </c>
      <c r="BJ185" s="52">
        <f>IF(OR(N($BC185)=0,$BA185=""),"",$BA185/$BC185-ClearDeduct)</f>
        <v/>
      </c>
      <c r="BK185" s="49">
        <f>IF(OR(N($BC185)=0,$BE185=""),"",IF(OR($AC185="HGC",$AP185="HGC"),"CONT",IF($BE185&lt;=60,2,IF($BE185&lt;=90,3,IF($BE185&lt;=120,4,5)))))</f>
        <v/>
      </c>
      <c r="BL185" s="49">
        <f>IF(N($BC185)=0,"",IF(OR($AL185="",$AL185="FLUSH"),"FLUSH",IFERROR(LEFT($AL185,FIND("-",$AL185)-1),LEFT($AL185,2))))</f>
        <v/>
      </c>
      <c r="BM185" s="49">
        <f>IF($BL185="","",IFERROR(VALUE(MID($AL185,FIND("-",$AL185)+1,FIND(CHAR(34)&amp;"x",$AL185)-FIND("-",$AL185)-1)),0))</f>
        <v/>
      </c>
      <c r="BN185" s="49">
        <f>IF($BL185="","",IFERROR(VALUE(MID($AL185,FIND(CHAR(34)&amp;"x",$AL185)+2,FIND(CHAR(34),$AL185,FIND(CHAR(34)&amp;"x",$AL185)+2)-FIND(CHAR(34)&amp;"x",$AL185)-2)),0))</f>
        <v/>
      </c>
      <c r="BO185" s="53">
        <f>IF(OR($A185="",$H185="",$H185="NO LAB"),0,IFERROR(VALUE(LEFT($H185,FIND(" ",$H185)-1)),0))</f>
        <v/>
      </c>
      <c r="BP185" s="54">
        <f>IF(OR($A185="",$I185="",$I185="NON-RATED",N($J185)=0),"",IFERROR(VLOOKUP($I185&amp;"|"&amp;$J185,IBC,2,FALSE),"?"))</f>
        <v/>
      </c>
      <c r="BQ185" s="50">
        <f>IF(NOT(AND($A185&lt;&gt;"",$C185&lt;&gt;"DOOR ONLY")),"",TRIM(IFERROR(VLOOKUP($U185,CODES,2,FALSE),"")&amp;" "&amp;$AZ185&amp;" "&amp;IFERROR(VLOOKUP($Z185,CODES,2,FALSE),"")&amp;" "&amp;IFERROR(VLOOKUP($X185,CODES,2,FALSE),"")&amp;" "&amp;IFERROR(VLOOKUP($S185,CODES,2,FALSE),"")&amp;IF(N($P185)&gt;0," w/TRANSOM "&amp;$P185&amp;CHAR(34),"")&amp;IF(N($Q185)&gt;0," w/SIDELITE "&amp;$Q185&amp;CHAR(34)&amp;" "&amp;IF($R185="","R",$R185),"")&amp;IF($Y185="","  |  "," | "&amp;IFERROR(VLOOKUP($Y185,CODES,2,FALSE),"")&amp;" | ")&amp;IFERROR(VLOOKUP($AC185,CODES,2,FALSE),"")&amp;" "&amp;IFERROR(VLOOKUP($AD185,CODES,2,FALSE),"")&amp;IF(OR($AE185="",$AE185="-"),""," "&amp;$AE185)&amp;IF(OR($AF185="",$AF185="-"),""," "&amp;$AF185)&amp;IF($AB185="Y"," 4"&amp;CHAR(34)&amp;" HEAD","")&amp;" "&amp;IFERROR(VLOOKUP($H185,CODES,2,FALSE),"")))</f>
        <v/>
      </c>
      <c r="BR185" s="50">
        <f>IF(NOT(AND($A185&lt;&gt;"",N($BC185)&gt;0)),"",TRIM(IFERROR(VLOOKUP($AH185,CODES,2,FALSE),"")&amp;IF($AI185=""," "," "&amp;$AI185&amp;"GA ")&amp;$AZ185&amp;" "&amp;IF($AN185="",IFERROR(VLOOKUP($Z185,CODES,2,FALSE),""),IFERROR(VLOOKUP($AN185,CODES,2,FALSE),""))&amp;IF($BC185=2," PAIR","")&amp;" DOOR | "&amp;IF($AL185="","?",$AL185)&amp;" | "&amp;IF($AP185="",IFERROR(VLOOKUP($AC185,CODES,2,FALSE),""),IFERROR(VLOOKUP($AP185,CODES,2,FALSE),""))&amp;" "&amp;IFERROR(VLOOKUP($AQ185,CODES,2,FALSE),"")&amp;IF(OR($AR185="",$AR185="-"),""," SEAM "&amp;$AR185)&amp;IF($AS185="Y"," ASTRAGAL","")&amp;IF($AJ185=""," "," "&amp;$AJ185)&amp;IF($AK185=""," "," "&amp;$AK185)&amp;IF($AO185="",""," "&amp;$AO185)&amp;IF($AM185=""," "," SERIES "&amp;$AM185)&amp;" "&amp;IFERROR(VLOOKUP($H185,CODES,2,FALSE),"")))</f>
        <v/>
      </c>
      <c r="BS185" s="49">
        <f>IF(BV185="","",IF(COUNTIF($BV$6:BV185,BV185)=1,MAX($BS$5:BS184)+1,INDEX($BS$5:BS184,MATCH(BV185,$BV$5:BV184,0))))</f>
        <v/>
      </c>
      <c r="BT185" s="49">
        <f>IF(NOT(AND($A185&lt;&gt;"",$C185&lt;&gt;"DOOR ONLY")),"",MAX($BT$5:BT184)+1)</f>
        <v/>
      </c>
      <c r="BU185" s="49">
        <f>IF(NOT(AND($A185&lt;&gt;"",N($BC185)&gt;0)),"",MAX($BU$5:BU184)+1)</f>
        <v/>
      </c>
      <c r="BV185" s="49">
        <f>IF(OR($A185="",$BA185="",$BB185=""),"",$AZ185&amp;"|"&amp;$O185&amp;"|"&amp;$AL185&amp;"|"&amp;$S185&amp;"|"&amp;$P185&amp;"|"&amp;$Q185&amp;$R185&amp;"|"&amp;$C185&amp;"|"&amp;$AB185)</f>
        <v/>
      </c>
      <c r="BW185" s="49">
        <f>IF($A185="","",IF($B185="","qty, ","")&amp;IF($C185="","scope, ","")&amp;IF(OR($K185="",$M185=""),"size, ","")&amp;IF(AND($A185&lt;&gt;"",$C185&lt;&gt;"DOOR ONLY"),IF($U185="","jamb depth, ","")&amp;IF($X185="","construction, ","")&amp;IF($Y185="","anchor, ","")&amp;IF($S185="","frame type, ",""),"")&amp;IF(AND(N($BC185)&gt;0,$Z185=""),"hand, ","")&amp;IF(N($BC185)&gt;0,IF($AH185="","door material, ","")&amp;IF($AL185="","face type, ","")&amp;IF($AQ185="","lock prep, ","")&amp;IF(AND($AP185="",$AC185=""),"hinge prep, ",""),"")&amp;IF(AND($BO185&gt;0,$AH185="FRP"),"FRP cannot carry a label, ","")&amp;IF(AND($O185="Y",OR($Z185="L",$Z185="R",$Z185="LR",$Z185="RR")),"pair marked but hand is single, ","")&amp;IF(AND($O185&lt;&gt;"Y",OR($Z185="PR",AND(LEN($Z185)&gt;1,ISNUMBER(SEARCH("-",$Z185))))),"pair hand on a single door, ","")&amp;IF(AND(ISNUMBER($BP185),$BO185&lt;N($BP185)),"wall needs a "&amp;$BP185&amp;" min door, ","")&amp;IF(AND($BO185&gt;=180,AND(OR($BL185="FG",$BL185="HG",$BL185="FNV",$BL185="FV"),N($BM185)*N($BN185)&gt;100)),"180 min lite over 100 sq in, ","")&amp;IF(N($BD185)&gt;48,"leaf wider than 4'-0"&amp;CHAR(34)&amp;", ",""))</f>
        <v/>
      </c>
      <c r="BX185" s="49">
        <f>IF($A185="","",IF(AND($BO185&gt;0,AND($A185&lt;&gt;"",$C185&lt;&gt;"DOOR ONLY"),$X185="KD",$E185="EXTERIOR"),"KD label on an exterior opening, ","")&amp;IF(AND($E185="EXTERIOR",OR(AND(AND($A185&lt;&gt;"",$C185&lt;&gt;"DOOR ONLY"),$W185="CR"),AND(N($BC185)&gt;0,$AH185="CR"))),"exterior in CR steel (G9?), ","")&amp;IF(AND(ISNUMBER($BJ185),N($BJ185)&lt;32),"clear width ~"&amp;TEXT($BJ185,"0.0")&amp;CHAR(34)&amp;" under 32"&amp;CHAR(34)&amp;" (ADA), ","")&amp;IF(AND($BO185=90,AND(OR($BL185="FG",$BL185="HG",$BL185="FNV",$BL185="FV"),N($BM185)*N($BN185)&gt;100)),"90 min lite over 100 sq in (stair/exit), ","")&amp;IF(AND($BO185&gt;0,AND($A185&lt;&gt;"",$C185&lt;&gt;"DOOR ONLY"),OR($AF185="",$AF185="-")),"rated: closer reinf.?, ","")&amp;IF(OR($I185="CORRIDOR",$I185="SMOKE BARRIER"),"S label + smoke gasketing, ","")&amp;IF($BP185="?","wall type/hr not in IBC table, ","")&amp;IF(AND(N($BC185)&gt;0,$AU185=""),"no hardware set, ","")&amp;IF(AND($AU185&lt;&gt;"",ISNA(MATCH($AU185,HWSets,0))),"set "&amp;$AU185&amp;" not on Hardware sheet, ","")&amp;IF(N($BE185)&gt;96,"leaf over 8'-0"&amp;CHAR(34)&amp;" - check listing, ",""))</f>
        <v/>
      </c>
    </row>
    <row r="186" ht="15" customHeight="1">
      <c r="A186" s="44" t="n"/>
      <c r="B186" s="45" t="n"/>
      <c r="C186" s="45" t="n"/>
      <c r="D186" s="45" t="n"/>
      <c r="E186" s="45" t="n"/>
      <c r="F186" s="45" t="n"/>
      <c r="G186" s="45" t="n"/>
      <c r="H186" s="45" t="n"/>
      <c r="I186" s="45" t="n"/>
      <c r="J186" s="45" t="n"/>
      <c r="K186" s="45" t="n"/>
      <c r="L186" s="45" t="n"/>
      <c r="M186" s="45" t="n"/>
      <c r="N186" s="45" t="n"/>
      <c r="O186" s="45" t="n"/>
      <c r="P186" s="45" t="n"/>
      <c r="Q186" s="45" t="n"/>
      <c r="R186" s="45" t="n"/>
      <c r="S186" s="46" t="n"/>
      <c r="T186" s="46" t="n"/>
      <c r="U186" s="46" t="n"/>
      <c r="V186" s="46" t="n"/>
      <c r="W186" s="46" t="n"/>
      <c r="X186" s="46" t="n"/>
      <c r="Y186" s="46" t="n"/>
      <c r="Z186" s="46" t="n"/>
      <c r="AA186" s="46" t="n"/>
      <c r="AB186" s="46" t="n"/>
      <c r="AC186" s="46" t="n"/>
      <c r="AD186" s="46" t="n"/>
      <c r="AE186" s="46" t="n"/>
      <c r="AF186" s="46" t="n"/>
      <c r="AG186" s="46" t="n"/>
      <c r="AH186" s="47" t="n"/>
      <c r="AI186" s="47" t="n"/>
      <c r="AJ186" s="47" t="n"/>
      <c r="AK186" s="47" t="n"/>
      <c r="AL186" s="47" t="n"/>
      <c r="AM186" s="47" t="n"/>
      <c r="AN186" s="47" t="n"/>
      <c r="AO186" s="47" t="n"/>
      <c r="AP186" s="47" t="n"/>
      <c r="AQ186" s="47" t="n"/>
      <c r="AR186" s="47" t="n"/>
      <c r="AS186" s="47" t="n"/>
      <c r="AT186" s="47" t="n"/>
      <c r="AU186" s="48" t="n"/>
      <c r="AV186" s="48" t="n"/>
      <c r="AW186" s="49">
        <f>IF($A186="","",IF($BW186&lt;&gt;"","FIX",IF($BX186&lt;&gt;"","CHECK","OK")))</f>
        <v/>
      </c>
      <c r="AX186" s="50">
        <f>IF($A186="","",IF($BW186&lt;&gt;"","FIX: "&amp;LEFT($BW186,LEN($BW186)-2)&amp;IF($BX186&lt;&gt;"","  ·  ",""),"")&amp;IF($BX186&lt;&gt;"","CHECK: "&amp;LEFT($BX186,LEN($BX186)-2),""))</f>
        <v/>
      </c>
      <c r="AY186" s="49">
        <f>IF(OR($A186="",$K186=""),"",$K186&amp;"'-"&amp;N($L186)&amp;CHAR(34)&amp;" x "&amp;$M186&amp;"'-"&amp;N($N186)&amp;CHAR(34))</f>
        <v/>
      </c>
      <c r="AZ186" s="49">
        <f>IF(OR($A186="",$K186=""),"",$K186&amp;N($L186)&amp;$M186&amp;N($N186))</f>
        <v/>
      </c>
      <c r="BA186" s="49">
        <f>IF(OR($A186="",$K186=""),"",$K186*12+N($L186))</f>
        <v/>
      </c>
      <c r="BB186" s="49">
        <f>IF(OR($A186="",$M186=""),"",$M186*12+N($N186))</f>
        <v/>
      </c>
      <c r="BC186" s="49">
        <f>IF($A186="","",IF(OR($C186="FRAME ONLY",$S186="BL"),0,IF($O186="Y",2,1)))</f>
        <v/>
      </c>
      <c r="BD186" s="51">
        <f>IF(OR(N($BC186)=0,$BA186=""),"",($BA186-2*EdgeClr-IF($BC186=2,MeetClr,0))/$BC186)</f>
        <v/>
      </c>
      <c r="BE186" s="51">
        <f>IF(OR(N($BC186)=0,$BB186=""),"",$BB186-HeadClr-Undercut)</f>
        <v/>
      </c>
      <c r="BF186" s="51">
        <f>IF($BA186="","",$BA186+2*FaceW+IF(N($Q186)&gt;0,($Q186+FaceW)*IF($R186="LR",2,1),0))</f>
        <v/>
      </c>
      <c r="BG186" s="51">
        <f>IF($BB186="","",$BB186+IF($AB186="Y",4,FaceW)+IF(N($P186)&gt;0,$P186+FaceW,0)+IF(OR($S186="4F",$S186="BL"),FaceW,0))</f>
        <v/>
      </c>
      <c r="BH186" s="51">
        <f>IF($BF186="","",$BF186+2*ROSide)</f>
        <v/>
      </c>
      <c r="BI186" s="51">
        <f>IF($BG186="","",$BG186+ROTop)</f>
        <v/>
      </c>
      <c r="BJ186" s="52">
        <f>IF(OR(N($BC186)=0,$BA186=""),"",$BA186/$BC186-ClearDeduct)</f>
        <v/>
      </c>
      <c r="BK186" s="49">
        <f>IF(OR(N($BC186)=0,$BE186=""),"",IF(OR($AC186="HGC",$AP186="HGC"),"CONT",IF($BE186&lt;=60,2,IF($BE186&lt;=90,3,IF($BE186&lt;=120,4,5)))))</f>
        <v/>
      </c>
      <c r="BL186" s="49">
        <f>IF(N($BC186)=0,"",IF(OR($AL186="",$AL186="FLUSH"),"FLUSH",IFERROR(LEFT($AL186,FIND("-",$AL186)-1),LEFT($AL186,2))))</f>
        <v/>
      </c>
      <c r="BM186" s="49">
        <f>IF($BL186="","",IFERROR(VALUE(MID($AL186,FIND("-",$AL186)+1,FIND(CHAR(34)&amp;"x",$AL186)-FIND("-",$AL186)-1)),0))</f>
        <v/>
      </c>
      <c r="BN186" s="49">
        <f>IF($BL186="","",IFERROR(VALUE(MID($AL186,FIND(CHAR(34)&amp;"x",$AL186)+2,FIND(CHAR(34),$AL186,FIND(CHAR(34)&amp;"x",$AL186)+2)-FIND(CHAR(34)&amp;"x",$AL186)-2)),0))</f>
        <v/>
      </c>
      <c r="BO186" s="53">
        <f>IF(OR($A186="",$H186="",$H186="NO LAB"),0,IFERROR(VALUE(LEFT($H186,FIND(" ",$H186)-1)),0))</f>
        <v/>
      </c>
      <c r="BP186" s="54">
        <f>IF(OR($A186="",$I186="",$I186="NON-RATED",N($J186)=0),"",IFERROR(VLOOKUP($I186&amp;"|"&amp;$J186,IBC,2,FALSE),"?"))</f>
        <v/>
      </c>
      <c r="BQ186" s="50">
        <f>IF(NOT(AND($A186&lt;&gt;"",$C186&lt;&gt;"DOOR ONLY")),"",TRIM(IFERROR(VLOOKUP($U186,CODES,2,FALSE),"")&amp;" "&amp;$AZ186&amp;" "&amp;IFERROR(VLOOKUP($Z186,CODES,2,FALSE),"")&amp;" "&amp;IFERROR(VLOOKUP($X186,CODES,2,FALSE),"")&amp;" "&amp;IFERROR(VLOOKUP($S186,CODES,2,FALSE),"")&amp;IF(N($P186)&gt;0," w/TRANSOM "&amp;$P186&amp;CHAR(34),"")&amp;IF(N($Q186)&gt;0," w/SIDELITE "&amp;$Q186&amp;CHAR(34)&amp;" "&amp;IF($R186="","R",$R186),"")&amp;IF($Y186="","  |  "," | "&amp;IFERROR(VLOOKUP($Y186,CODES,2,FALSE),"")&amp;" | ")&amp;IFERROR(VLOOKUP($AC186,CODES,2,FALSE),"")&amp;" "&amp;IFERROR(VLOOKUP($AD186,CODES,2,FALSE),"")&amp;IF(OR($AE186="",$AE186="-"),""," "&amp;$AE186)&amp;IF(OR($AF186="",$AF186="-"),""," "&amp;$AF186)&amp;IF($AB186="Y"," 4"&amp;CHAR(34)&amp;" HEAD","")&amp;" "&amp;IFERROR(VLOOKUP($H186,CODES,2,FALSE),"")))</f>
        <v/>
      </c>
      <c r="BR186" s="50">
        <f>IF(NOT(AND($A186&lt;&gt;"",N($BC186)&gt;0)),"",TRIM(IFERROR(VLOOKUP($AH186,CODES,2,FALSE),"")&amp;IF($AI186=""," "," "&amp;$AI186&amp;"GA ")&amp;$AZ186&amp;" "&amp;IF($AN186="",IFERROR(VLOOKUP($Z186,CODES,2,FALSE),""),IFERROR(VLOOKUP($AN186,CODES,2,FALSE),""))&amp;IF($BC186=2," PAIR","")&amp;" DOOR | "&amp;IF($AL186="","?",$AL186)&amp;" | "&amp;IF($AP186="",IFERROR(VLOOKUP($AC186,CODES,2,FALSE),""),IFERROR(VLOOKUP($AP186,CODES,2,FALSE),""))&amp;" "&amp;IFERROR(VLOOKUP($AQ186,CODES,2,FALSE),"")&amp;IF(OR($AR186="",$AR186="-"),""," SEAM "&amp;$AR186)&amp;IF($AS186="Y"," ASTRAGAL","")&amp;IF($AJ186=""," "," "&amp;$AJ186)&amp;IF($AK186=""," "," "&amp;$AK186)&amp;IF($AO186="",""," "&amp;$AO186)&amp;IF($AM186=""," "," SERIES "&amp;$AM186)&amp;" "&amp;IFERROR(VLOOKUP($H186,CODES,2,FALSE),"")))</f>
        <v/>
      </c>
      <c r="BS186" s="49">
        <f>IF(BV186="","",IF(COUNTIF($BV$6:BV186,BV186)=1,MAX($BS$5:BS185)+1,INDEX($BS$5:BS185,MATCH(BV186,$BV$5:BV185,0))))</f>
        <v/>
      </c>
      <c r="BT186" s="49">
        <f>IF(NOT(AND($A186&lt;&gt;"",$C186&lt;&gt;"DOOR ONLY")),"",MAX($BT$5:BT185)+1)</f>
        <v/>
      </c>
      <c r="BU186" s="49">
        <f>IF(NOT(AND($A186&lt;&gt;"",N($BC186)&gt;0)),"",MAX($BU$5:BU185)+1)</f>
        <v/>
      </c>
      <c r="BV186" s="49">
        <f>IF(OR($A186="",$BA186="",$BB186=""),"",$AZ186&amp;"|"&amp;$O186&amp;"|"&amp;$AL186&amp;"|"&amp;$S186&amp;"|"&amp;$P186&amp;"|"&amp;$Q186&amp;$R186&amp;"|"&amp;$C186&amp;"|"&amp;$AB186)</f>
        <v/>
      </c>
      <c r="BW186" s="49">
        <f>IF($A186="","",IF($B186="","qty, ","")&amp;IF($C186="","scope, ","")&amp;IF(OR($K186="",$M186=""),"size, ","")&amp;IF(AND($A186&lt;&gt;"",$C186&lt;&gt;"DOOR ONLY"),IF($U186="","jamb depth, ","")&amp;IF($X186="","construction, ","")&amp;IF($Y186="","anchor, ","")&amp;IF($S186="","frame type, ",""),"")&amp;IF(AND(N($BC186)&gt;0,$Z186=""),"hand, ","")&amp;IF(N($BC186)&gt;0,IF($AH186="","door material, ","")&amp;IF($AL186="","face type, ","")&amp;IF($AQ186="","lock prep, ","")&amp;IF(AND($AP186="",$AC186=""),"hinge prep, ",""),"")&amp;IF(AND($BO186&gt;0,$AH186="FRP"),"FRP cannot carry a label, ","")&amp;IF(AND($O186="Y",OR($Z186="L",$Z186="R",$Z186="LR",$Z186="RR")),"pair marked but hand is single, ","")&amp;IF(AND($O186&lt;&gt;"Y",OR($Z186="PR",AND(LEN($Z186)&gt;1,ISNUMBER(SEARCH("-",$Z186))))),"pair hand on a single door, ","")&amp;IF(AND(ISNUMBER($BP186),$BO186&lt;N($BP186)),"wall needs a "&amp;$BP186&amp;" min door, ","")&amp;IF(AND($BO186&gt;=180,AND(OR($BL186="FG",$BL186="HG",$BL186="FNV",$BL186="FV"),N($BM186)*N($BN186)&gt;100)),"180 min lite over 100 sq in, ","")&amp;IF(N($BD186)&gt;48,"leaf wider than 4'-0"&amp;CHAR(34)&amp;", ",""))</f>
        <v/>
      </c>
      <c r="BX186" s="49">
        <f>IF($A186="","",IF(AND($BO186&gt;0,AND($A186&lt;&gt;"",$C186&lt;&gt;"DOOR ONLY"),$X186="KD",$E186="EXTERIOR"),"KD label on an exterior opening, ","")&amp;IF(AND($E186="EXTERIOR",OR(AND(AND($A186&lt;&gt;"",$C186&lt;&gt;"DOOR ONLY"),$W186="CR"),AND(N($BC186)&gt;0,$AH186="CR"))),"exterior in CR steel (G9?), ","")&amp;IF(AND(ISNUMBER($BJ186),N($BJ186)&lt;32),"clear width ~"&amp;TEXT($BJ186,"0.0")&amp;CHAR(34)&amp;" under 32"&amp;CHAR(34)&amp;" (ADA), ","")&amp;IF(AND($BO186=90,AND(OR($BL186="FG",$BL186="HG",$BL186="FNV",$BL186="FV"),N($BM186)*N($BN186)&gt;100)),"90 min lite over 100 sq in (stair/exit), ","")&amp;IF(AND($BO186&gt;0,AND($A186&lt;&gt;"",$C186&lt;&gt;"DOOR ONLY"),OR($AF186="",$AF186="-")),"rated: closer reinf.?, ","")&amp;IF(OR($I186="CORRIDOR",$I186="SMOKE BARRIER"),"S label + smoke gasketing, ","")&amp;IF($BP186="?","wall type/hr not in IBC table, ","")&amp;IF(AND(N($BC186)&gt;0,$AU186=""),"no hardware set, ","")&amp;IF(AND($AU186&lt;&gt;"",ISNA(MATCH($AU186,HWSets,0))),"set "&amp;$AU186&amp;" not on Hardware sheet, ","")&amp;IF(N($BE186)&gt;96,"leaf over 8'-0"&amp;CHAR(34)&amp;" - check listing, ",""))</f>
        <v/>
      </c>
    </row>
    <row r="187" ht="15" customHeight="1">
      <c r="A187" s="44" t="n"/>
      <c r="B187" s="45" t="n"/>
      <c r="C187" s="45" t="n"/>
      <c r="D187" s="45" t="n"/>
      <c r="E187" s="45" t="n"/>
      <c r="F187" s="45" t="n"/>
      <c r="G187" s="45" t="n"/>
      <c r="H187" s="45" t="n"/>
      <c r="I187" s="45" t="n"/>
      <c r="J187" s="45" t="n"/>
      <c r="K187" s="45" t="n"/>
      <c r="L187" s="45" t="n"/>
      <c r="M187" s="45" t="n"/>
      <c r="N187" s="45" t="n"/>
      <c r="O187" s="45" t="n"/>
      <c r="P187" s="45" t="n"/>
      <c r="Q187" s="45" t="n"/>
      <c r="R187" s="45" t="n"/>
      <c r="S187" s="46" t="n"/>
      <c r="T187" s="46" t="n"/>
      <c r="U187" s="46" t="n"/>
      <c r="V187" s="46" t="n"/>
      <c r="W187" s="46" t="n"/>
      <c r="X187" s="46" t="n"/>
      <c r="Y187" s="46" t="n"/>
      <c r="Z187" s="46" t="n"/>
      <c r="AA187" s="46" t="n"/>
      <c r="AB187" s="46" t="n"/>
      <c r="AC187" s="46" t="n"/>
      <c r="AD187" s="46" t="n"/>
      <c r="AE187" s="46" t="n"/>
      <c r="AF187" s="46" t="n"/>
      <c r="AG187" s="46" t="n"/>
      <c r="AH187" s="47" t="n"/>
      <c r="AI187" s="47" t="n"/>
      <c r="AJ187" s="47" t="n"/>
      <c r="AK187" s="47" t="n"/>
      <c r="AL187" s="47" t="n"/>
      <c r="AM187" s="47" t="n"/>
      <c r="AN187" s="47" t="n"/>
      <c r="AO187" s="47" t="n"/>
      <c r="AP187" s="47" t="n"/>
      <c r="AQ187" s="47" t="n"/>
      <c r="AR187" s="47" t="n"/>
      <c r="AS187" s="47" t="n"/>
      <c r="AT187" s="47" t="n"/>
      <c r="AU187" s="48" t="n"/>
      <c r="AV187" s="48" t="n"/>
      <c r="AW187" s="49">
        <f>IF($A187="","",IF($BW187&lt;&gt;"","FIX",IF($BX187&lt;&gt;"","CHECK","OK")))</f>
        <v/>
      </c>
      <c r="AX187" s="50">
        <f>IF($A187="","",IF($BW187&lt;&gt;"","FIX: "&amp;LEFT($BW187,LEN($BW187)-2)&amp;IF($BX187&lt;&gt;"","  ·  ",""),"")&amp;IF($BX187&lt;&gt;"","CHECK: "&amp;LEFT($BX187,LEN($BX187)-2),""))</f>
        <v/>
      </c>
      <c r="AY187" s="49">
        <f>IF(OR($A187="",$K187=""),"",$K187&amp;"'-"&amp;N($L187)&amp;CHAR(34)&amp;" x "&amp;$M187&amp;"'-"&amp;N($N187)&amp;CHAR(34))</f>
        <v/>
      </c>
      <c r="AZ187" s="49">
        <f>IF(OR($A187="",$K187=""),"",$K187&amp;N($L187)&amp;$M187&amp;N($N187))</f>
        <v/>
      </c>
      <c r="BA187" s="49">
        <f>IF(OR($A187="",$K187=""),"",$K187*12+N($L187))</f>
        <v/>
      </c>
      <c r="BB187" s="49">
        <f>IF(OR($A187="",$M187=""),"",$M187*12+N($N187))</f>
        <v/>
      </c>
      <c r="BC187" s="49">
        <f>IF($A187="","",IF(OR($C187="FRAME ONLY",$S187="BL"),0,IF($O187="Y",2,1)))</f>
        <v/>
      </c>
      <c r="BD187" s="51">
        <f>IF(OR(N($BC187)=0,$BA187=""),"",($BA187-2*EdgeClr-IF($BC187=2,MeetClr,0))/$BC187)</f>
        <v/>
      </c>
      <c r="BE187" s="51">
        <f>IF(OR(N($BC187)=0,$BB187=""),"",$BB187-HeadClr-Undercut)</f>
        <v/>
      </c>
      <c r="BF187" s="51">
        <f>IF($BA187="","",$BA187+2*FaceW+IF(N($Q187)&gt;0,($Q187+FaceW)*IF($R187="LR",2,1),0))</f>
        <v/>
      </c>
      <c r="BG187" s="51">
        <f>IF($BB187="","",$BB187+IF($AB187="Y",4,FaceW)+IF(N($P187)&gt;0,$P187+FaceW,0)+IF(OR($S187="4F",$S187="BL"),FaceW,0))</f>
        <v/>
      </c>
      <c r="BH187" s="51">
        <f>IF($BF187="","",$BF187+2*ROSide)</f>
        <v/>
      </c>
      <c r="BI187" s="51">
        <f>IF($BG187="","",$BG187+ROTop)</f>
        <v/>
      </c>
      <c r="BJ187" s="52">
        <f>IF(OR(N($BC187)=0,$BA187=""),"",$BA187/$BC187-ClearDeduct)</f>
        <v/>
      </c>
      <c r="BK187" s="49">
        <f>IF(OR(N($BC187)=0,$BE187=""),"",IF(OR($AC187="HGC",$AP187="HGC"),"CONT",IF($BE187&lt;=60,2,IF($BE187&lt;=90,3,IF($BE187&lt;=120,4,5)))))</f>
        <v/>
      </c>
      <c r="BL187" s="49">
        <f>IF(N($BC187)=0,"",IF(OR($AL187="",$AL187="FLUSH"),"FLUSH",IFERROR(LEFT($AL187,FIND("-",$AL187)-1),LEFT($AL187,2))))</f>
        <v/>
      </c>
      <c r="BM187" s="49">
        <f>IF($BL187="","",IFERROR(VALUE(MID($AL187,FIND("-",$AL187)+1,FIND(CHAR(34)&amp;"x",$AL187)-FIND("-",$AL187)-1)),0))</f>
        <v/>
      </c>
      <c r="BN187" s="49">
        <f>IF($BL187="","",IFERROR(VALUE(MID($AL187,FIND(CHAR(34)&amp;"x",$AL187)+2,FIND(CHAR(34),$AL187,FIND(CHAR(34)&amp;"x",$AL187)+2)-FIND(CHAR(34)&amp;"x",$AL187)-2)),0))</f>
        <v/>
      </c>
      <c r="BO187" s="53">
        <f>IF(OR($A187="",$H187="",$H187="NO LAB"),0,IFERROR(VALUE(LEFT($H187,FIND(" ",$H187)-1)),0))</f>
        <v/>
      </c>
      <c r="BP187" s="54">
        <f>IF(OR($A187="",$I187="",$I187="NON-RATED",N($J187)=0),"",IFERROR(VLOOKUP($I187&amp;"|"&amp;$J187,IBC,2,FALSE),"?"))</f>
        <v/>
      </c>
      <c r="BQ187" s="50">
        <f>IF(NOT(AND($A187&lt;&gt;"",$C187&lt;&gt;"DOOR ONLY")),"",TRIM(IFERROR(VLOOKUP($U187,CODES,2,FALSE),"")&amp;" "&amp;$AZ187&amp;" "&amp;IFERROR(VLOOKUP($Z187,CODES,2,FALSE),"")&amp;" "&amp;IFERROR(VLOOKUP($X187,CODES,2,FALSE),"")&amp;" "&amp;IFERROR(VLOOKUP($S187,CODES,2,FALSE),"")&amp;IF(N($P187)&gt;0," w/TRANSOM "&amp;$P187&amp;CHAR(34),"")&amp;IF(N($Q187)&gt;0," w/SIDELITE "&amp;$Q187&amp;CHAR(34)&amp;" "&amp;IF($R187="","R",$R187),"")&amp;IF($Y187="","  |  "," | "&amp;IFERROR(VLOOKUP($Y187,CODES,2,FALSE),"")&amp;" | ")&amp;IFERROR(VLOOKUP($AC187,CODES,2,FALSE),"")&amp;" "&amp;IFERROR(VLOOKUP($AD187,CODES,2,FALSE),"")&amp;IF(OR($AE187="",$AE187="-"),""," "&amp;$AE187)&amp;IF(OR($AF187="",$AF187="-"),""," "&amp;$AF187)&amp;IF($AB187="Y"," 4"&amp;CHAR(34)&amp;" HEAD","")&amp;" "&amp;IFERROR(VLOOKUP($H187,CODES,2,FALSE),"")))</f>
        <v/>
      </c>
      <c r="BR187" s="50">
        <f>IF(NOT(AND($A187&lt;&gt;"",N($BC187)&gt;0)),"",TRIM(IFERROR(VLOOKUP($AH187,CODES,2,FALSE),"")&amp;IF($AI187=""," "," "&amp;$AI187&amp;"GA ")&amp;$AZ187&amp;" "&amp;IF($AN187="",IFERROR(VLOOKUP($Z187,CODES,2,FALSE),""),IFERROR(VLOOKUP($AN187,CODES,2,FALSE),""))&amp;IF($BC187=2," PAIR","")&amp;" DOOR | "&amp;IF($AL187="","?",$AL187)&amp;" | "&amp;IF($AP187="",IFERROR(VLOOKUP($AC187,CODES,2,FALSE),""),IFERROR(VLOOKUP($AP187,CODES,2,FALSE),""))&amp;" "&amp;IFERROR(VLOOKUP($AQ187,CODES,2,FALSE),"")&amp;IF(OR($AR187="",$AR187="-"),""," SEAM "&amp;$AR187)&amp;IF($AS187="Y"," ASTRAGAL","")&amp;IF($AJ187=""," "," "&amp;$AJ187)&amp;IF($AK187=""," "," "&amp;$AK187)&amp;IF($AO187="",""," "&amp;$AO187)&amp;IF($AM187=""," "," SERIES "&amp;$AM187)&amp;" "&amp;IFERROR(VLOOKUP($H187,CODES,2,FALSE),"")))</f>
        <v/>
      </c>
      <c r="BS187" s="49">
        <f>IF(BV187="","",IF(COUNTIF($BV$6:BV187,BV187)=1,MAX($BS$5:BS186)+1,INDEX($BS$5:BS186,MATCH(BV187,$BV$5:BV186,0))))</f>
        <v/>
      </c>
      <c r="BT187" s="49">
        <f>IF(NOT(AND($A187&lt;&gt;"",$C187&lt;&gt;"DOOR ONLY")),"",MAX($BT$5:BT186)+1)</f>
        <v/>
      </c>
      <c r="BU187" s="49">
        <f>IF(NOT(AND($A187&lt;&gt;"",N($BC187)&gt;0)),"",MAX($BU$5:BU186)+1)</f>
        <v/>
      </c>
      <c r="BV187" s="49">
        <f>IF(OR($A187="",$BA187="",$BB187=""),"",$AZ187&amp;"|"&amp;$O187&amp;"|"&amp;$AL187&amp;"|"&amp;$S187&amp;"|"&amp;$P187&amp;"|"&amp;$Q187&amp;$R187&amp;"|"&amp;$C187&amp;"|"&amp;$AB187)</f>
        <v/>
      </c>
      <c r="BW187" s="49">
        <f>IF($A187="","",IF($B187="","qty, ","")&amp;IF($C187="","scope, ","")&amp;IF(OR($K187="",$M187=""),"size, ","")&amp;IF(AND($A187&lt;&gt;"",$C187&lt;&gt;"DOOR ONLY"),IF($U187="","jamb depth, ","")&amp;IF($X187="","construction, ","")&amp;IF($Y187="","anchor, ","")&amp;IF($S187="","frame type, ",""),"")&amp;IF(AND(N($BC187)&gt;0,$Z187=""),"hand, ","")&amp;IF(N($BC187)&gt;0,IF($AH187="","door material, ","")&amp;IF($AL187="","face type, ","")&amp;IF($AQ187="","lock prep, ","")&amp;IF(AND($AP187="",$AC187=""),"hinge prep, ",""),"")&amp;IF(AND($BO187&gt;0,$AH187="FRP"),"FRP cannot carry a label, ","")&amp;IF(AND($O187="Y",OR($Z187="L",$Z187="R",$Z187="LR",$Z187="RR")),"pair marked but hand is single, ","")&amp;IF(AND($O187&lt;&gt;"Y",OR($Z187="PR",AND(LEN($Z187)&gt;1,ISNUMBER(SEARCH("-",$Z187))))),"pair hand on a single door, ","")&amp;IF(AND(ISNUMBER($BP187),$BO187&lt;N($BP187)),"wall needs a "&amp;$BP187&amp;" min door, ","")&amp;IF(AND($BO187&gt;=180,AND(OR($BL187="FG",$BL187="HG",$BL187="FNV",$BL187="FV"),N($BM187)*N($BN187)&gt;100)),"180 min lite over 100 sq in, ","")&amp;IF(N($BD187)&gt;48,"leaf wider than 4'-0"&amp;CHAR(34)&amp;", ",""))</f>
        <v/>
      </c>
      <c r="BX187" s="49">
        <f>IF($A187="","",IF(AND($BO187&gt;0,AND($A187&lt;&gt;"",$C187&lt;&gt;"DOOR ONLY"),$X187="KD",$E187="EXTERIOR"),"KD label on an exterior opening, ","")&amp;IF(AND($E187="EXTERIOR",OR(AND(AND($A187&lt;&gt;"",$C187&lt;&gt;"DOOR ONLY"),$W187="CR"),AND(N($BC187)&gt;0,$AH187="CR"))),"exterior in CR steel (G9?), ","")&amp;IF(AND(ISNUMBER($BJ187),N($BJ187)&lt;32),"clear width ~"&amp;TEXT($BJ187,"0.0")&amp;CHAR(34)&amp;" under 32"&amp;CHAR(34)&amp;" (ADA), ","")&amp;IF(AND($BO187=90,AND(OR($BL187="FG",$BL187="HG",$BL187="FNV",$BL187="FV"),N($BM187)*N($BN187)&gt;100)),"90 min lite over 100 sq in (stair/exit), ","")&amp;IF(AND($BO187&gt;0,AND($A187&lt;&gt;"",$C187&lt;&gt;"DOOR ONLY"),OR($AF187="",$AF187="-")),"rated: closer reinf.?, ","")&amp;IF(OR($I187="CORRIDOR",$I187="SMOKE BARRIER"),"S label + smoke gasketing, ","")&amp;IF($BP187="?","wall type/hr not in IBC table, ","")&amp;IF(AND(N($BC187)&gt;0,$AU187=""),"no hardware set, ","")&amp;IF(AND($AU187&lt;&gt;"",ISNA(MATCH($AU187,HWSets,0))),"set "&amp;$AU187&amp;" not on Hardware sheet, ","")&amp;IF(N($BE187)&gt;96,"leaf over 8'-0"&amp;CHAR(34)&amp;" - check listing, ",""))</f>
        <v/>
      </c>
    </row>
    <row r="188" ht="15" customHeight="1">
      <c r="A188" s="44" t="n"/>
      <c r="B188" s="45" t="n"/>
      <c r="C188" s="45" t="n"/>
      <c r="D188" s="45" t="n"/>
      <c r="E188" s="45" t="n"/>
      <c r="F188" s="45" t="n"/>
      <c r="G188" s="45" t="n"/>
      <c r="H188" s="45" t="n"/>
      <c r="I188" s="45" t="n"/>
      <c r="J188" s="45" t="n"/>
      <c r="K188" s="45" t="n"/>
      <c r="L188" s="45" t="n"/>
      <c r="M188" s="45" t="n"/>
      <c r="N188" s="45" t="n"/>
      <c r="O188" s="45" t="n"/>
      <c r="P188" s="45" t="n"/>
      <c r="Q188" s="45" t="n"/>
      <c r="R188" s="45" t="n"/>
      <c r="S188" s="46" t="n"/>
      <c r="T188" s="46" t="n"/>
      <c r="U188" s="46" t="n"/>
      <c r="V188" s="46" t="n"/>
      <c r="W188" s="46" t="n"/>
      <c r="X188" s="46" t="n"/>
      <c r="Y188" s="46" t="n"/>
      <c r="Z188" s="46" t="n"/>
      <c r="AA188" s="46" t="n"/>
      <c r="AB188" s="46" t="n"/>
      <c r="AC188" s="46" t="n"/>
      <c r="AD188" s="46" t="n"/>
      <c r="AE188" s="46" t="n"/>
      <c r="AF188" s="46" t="n"/>
      <c r="AG188" s="46" t="n"/>
      <c r="AH188" s="47" t="n"/>
      <c r="AI188" s="47" t="n"/>
      <c r="AJ188" s="47" t="n"/>
      <c r="AK188" s="47" t="n"/>
      <c r="AL188" s="47" t="n"/>
      <c r="AM188" s="47" t="n"/>
      <c r="AN188" s="47" t="n"/>
      <c r="AO188" s="47" t="n"/>
      <c r="AP188" s="47" t="n"/>
      <c r="AQ188" s="47" t="n"/>
      <c r="AR188" s="47" t="n"/>
      <c r="AS188" s="47" t="n"/>
      <c r="AT188" s="47" t="n"/>
      <c r="AU188" s="48" t="n"/>
      <c r="AV188" s="48" t="n"/>
      <c r="AW188" s="49">
        <f>IF($A188="","",IF($BW188&lt;&gt;"","FIX",IF($BX188&lt;&gt;"","CHECK","OK")))</f>
        <v/>
      </c>
      <c r="AX188" s="50">
        <f>IF($A188="","",IF($BW188&lt;&gt;"","FIX: "&amp;LEFT($BW188,LEN($BW188)-2)&amp;IF($BX188&lt;&gt;"","  ·  ",""),"")&amp;IF($BX188&lt;&gt;"","CHECK: "&amp;LEFT($BX188,LEN($BX188)-2),""))</f>
        <v/>
      </c>
      <c r="AY188" s="49">
        <f>IF(OR($A188="",$K188=""),"",$K188&amp;"'-"&amp;N($L188)&amp;CHAR(34)&amp;" x "&amp;$M188&amp;"'-"&amp;N($N188)&amp;CHAR(34))</f>
        <v/>
      </c>
      <c r="AZ188" s="49">
        <f>IF(OR($A188="",$K188=""),"",$K188&amp;N($L188)&amp;$M188&amp;N($N188))</f>
        <v/>
      </c>
      <c r="BA188" s="49">
        <f>IF(OR($A188="",$K188=""),"",$K188*12+N($L188))</f>
        <v/>
      </c>
      <c r="BB188" s="49">
        <f>IF(OR($A188="",$M188=""),"",$M188*12+N($N188))</f>
        <v/>
      </c>
      <c r="BC188" s="49">
        <f>IF($A188="","",IF(OR($C188="FRAME ONLY",$S188="BL"),0,IF($O188="Y",2,1)))</f>
        <v/>
      </c>
      <c r="BD188" s="51">
        <f>IF(OR(N($BC188)=0,$BA188=""),"",($BA188-2*EdgeClr-IF($BC188=2,MeetClr,0))/$BC188)</f>
        <v/>
      </c>
      <c r="BE188" s="51">
        <f>IF(OR(N($BC188)=0,$BB188=""),"",$BB188-HeadClr-Undercut)</f>
        <v/>
      </c>
      <c r="BF188" s="51">
        <f>IF($BA188="","",$BA188+2*FaceW+IF(N($Q188)&gt;0,($Q188+FaceW)*IF($R188="LR",2,1),0))</f>
        <v/>
      </c>
      <c r="BG188" s="51">
        <f>IF($BB188="","",$BB188+IF($AB188="Y",4,FaceW)+IF(N($P188)&gt;0,$P188+FaceW,0)+IF(OR($S188="4F",$S188="BL"),FaceW,0))</f>
        <v/>
      </c>
      <c r="BH188" s="51">
        <f>IF($BF188="","",$BF188+2*ROSide)</f>
        <v/>
      </c>
      <c r="BI188" s="51">
        <f>IF($BG188="","",$BG188+ROTop)</f>
        <v/>
      </c>
      <c r="BJ188" s="52">
        <f>IF(OR(N($BC188)=0,$BA188=""),"",$BA188/$BC188-ClearDeduct)</f>
        <v/>
      </c>
      <c r="BK188" s="49">
        <f>IF(OR(N($BC188)=0,$BE188=""),"",IF(OR($AC188="HGC",$AP188="HGC"),"CONT",IF($BE188&lt;=60,2,IF($BE188&lt;=90,3,IF($BE188&lt;=120,4,5)))))</f>
        <v/>
      </c>
      <c r="BL188" s="49">
        <f>IF(N($BC188)=0,"",IF(OR($AL188="",$AL188="FLUSH"),"FLUSH",IFERROR(LEFT($AL188,FIND("-",$AL188)-1),LEFT($AL188,2))))</f>
        <v/>
      </c>
      <c r="BM188" s="49">
        <f>IF($BL188="","",IFERROR(VALUE(MID($AL188,FIND("-",$AL188)+1,FIND(CHAR(34)&amp;"x",$AL188)-FIND("-",$AL188)-1)),0))</f>
        <v/>
      </c>
      <c r="BN188" s="49">
        <f>IF($BL188="","",IFERROR(VALUE(MID($AL188,FIND(CHAR(34)&amp;"x",$AL188)+2,FIND(CHAR(34),$AL188,FIND(CHAR(34)&amp;"x",$AL188)+2)-FIND(CHAR(34)&amp;"x",$AL188)-2)),0))</f>
        <v/>
      </c>
      <c r="BO188" s="53">
        <f>IF(OR($A188="",$H188="",$H188="NO LAB"),0,IFERROR(VALUE(LEFT($H188,FIND(" ",$H188)-1)),0))</f>
        <v/>
      </c>
      <c r="BP188" s="54">
        <f>IF(OR($A188="",$I188="",$I188="NON-RATED",N($J188)=0),"",IFERROR(VLOOKUP($I188&amp;"|"&amp;$J188,IBC,2,FALSE),"?"))</f>
        <v/>
      </c>
      <c r="BQ188" s="50">
        <f>IF(NOT(AND($A188&lt;&gt;"",$C188&lt;&gt;"DOOR ONLY")),"",TRIM(IFERROR(VLOOKUP($U188,CODES,2,FALSE),"")&amp;" "&amp;$AZ188&amp;" "&amp;IFERROR(VLOOKUP($Z188,CODES,2,FALSE),"")&amp;" "&amp;IFERROR(VLOOKUP($X188,CODES,2,FALSE),"")&amp;" "&amp;IFERROR(VLOOKUP($S188,CODES,2,FALSE),"")&amp;IF(N($P188)&gt;0," w/TRANSOM "&amp;$P188&amp;CHAR(34),"")&amp;IF(N($Q188)&gt;0," w/SIDELITE "&amp;$Q188&amp;CHAR(34)&amp;" "&amp;IF($R188="","R",$R188),"")&amp;IF($Y188="","  |  "," | "&amp;IFERROR(VLOOKUP($Y188,CODES,2,FALSE),"")&amp;" | ")&amp;IFERROR(VLOOKUP($AC188,CODES,2,FALSE),"")&amp;" "&amp;IFERROR(VLOOKUP($AD188,CODES,2,FALSE),"")&amp;IF(OR($AE188="",$AE188="-"),""," "&amp;$AE188)&amp;IF(OR($AF188="",$AF188="-"),""," "&amp;$AF188)&amp;IF($AB188="Y"," 4"&amp;CHAR(34)&amp;" HEAD","")&amp;" "&amp;IFERROR(VLOOKUP($H188,CODES,2,FALSE),"")))</f>
        <v/>
      </c>
      <c r="BR188" s="50">
        <f>IF(NOT(AND($A188&lt;&gt;"",N($BC188)&gt;0)),"",TRIM(IFERROR(VLOOKUP($AH188,CODES,2,FALSE),"")&amp;IF($AI188=""," "," "&amp;$AI188&amp;"GA ")&amp;$AZ188&amp;" "&amp;IF($AN188="",IFERROR(VLOOKUP($Z188,CODES,2,FALSE),""),IFERROR(VLOOKUP($AN188,CODES,2,FALSE),""))&amp;IF($BC188=2," PAIR","")&amp;" DOOR | "&amp;IF($AL188="","?",$AL188)&amp;" | "&amp;IF($AP188="",IFERROR(VLOOKUP($AC188,CODES,2,FALSE),""),IFERROR(VLOOKUP($AP188,CODES,2,FALSE),""))&amp;" "&amp;IFERROR(VLOOKUP($AQ188,CODES,2,FALSE),"")&amp;IF(OR($AR188="",$AR188="-"),""," SEAM "&amp;$AR188)&amp;IF($AS188="Y"," ASTRAGAL","")&amp;IF($AJ188=""," "," "&amp;$AJ188)&amp;IF($AK188=""," "," "&amp;$AK188)&amp;IF($AO188="",""," "&amp;$AO188)&amp;IF($AM188=""," "," SERIES "&amp;$AM188)&amp;" "&amp;IFERROR(VLOOKUP($H188,CODES,2,FALSE),"")))</f>
        <v/>
      </c>
      <c r="BS188" s="49">
        <f>IF(BV188="","",IF(COUNTIF($BV$6:BV188,BV188)=1,MAX($BS$5:BS187)+1,INDEX($BS$5:BS187,MATCH(BV188,$BV$5:BV187,0))))</f>
        <v/>
      </c>
      <c r="BT188" s="49">
        <f>IF(NOT(AND($A188&lt;&gt;"",$C188&lt;&gt;"DOOR ONLY")),"",MAX($BT$5:BT187)+1)</f>
        <v/>
      </c>
      <c r="BU188" s="49">
        <f>IF(NOT(AND($A188&lt;&gt;"",N($BC188)&gt;0)),"",MAX($BU$5:BU187)+1)</f>
        <v/>
      </c>
      <c r="BV188" s="49">
        <f>IF(OR($A188="",$BA188="",$BB188=""),"",$AZ188&amp;"|"&amp;$O188&amp;"|"&amp;$AL188&amp;"|"&amp;$S188&amp;"|"&amp;$P188&amp;"|"&amp;$Q188&amp;$R188&amp;"|"&amp;$C188&amp;"|"&amp;$AB188)</f>
        <v/>
      </c>
      <c r="BW188" s="49">
        <f>IF($A188="","",IF($B188="","qty, ","")&amp;IF($C188="","scope, ","")&amp;IF(OR($K188="",$M188=""),"size, ","")&amp;IF(AND($A188&lt;&gt;"",$C188&lt;&gt;"DOOR ONLY"),IF($U188="","jamb depth, ","")&amp;IF($X188="","construction, ","")&amp;IF($Y188="","anchor, ","")&amp;IF($S188="","frame type, ",""),"")&amp;IF(AND(N($BC188)&gt;0,$Z188=""),"hand, ","")&amp;IF(N($BC188)&gt;0,IF($AH188="","door material, ","")&amp;IF($AL188="","face type, ","")&amp;IF($AQ188="","lock prep, ","")&amp;IF(AND($AP188="",$AC188=""),"hinge prep, ",""),"")&amp;IF(AND($BO188&gt;0,$AH188="FRP"),"FRP cannot carry a label, ","")&amp;IF(AND($O188="Y",OR($Z188="L",$Z188="R",$Z188="LR",$Z188="RR")),"pair marked but hand is single, ","")&amp;IF(AND($O188&lt;&gt;"Y",OR($Z188="PR",AND(LEN($Z188)&gt;1,ISNUMBER(SEARCH("-",$Z188))))),"pair hand on a single door, ","")&amp;IF(AND(ISNUMBER($BP188),$BO188&lt;N($BP188)),"wall needs a "&amp;$BP188&amp;" min door, ","")&amp;IF(AND($BO188&gt;=180,AND(OR($BL188="FG",$BL188="HG",$BL188="FNV",$BL188="FV"),N($BM188)*N($BN188)&gt;100)),"180 min lite over 100 sq in, ","")&amp;IF(N($BD188)&gt;48,"leaf wider than 4'-0"&amp;CHAR(34)&amp;", ",""))</f>
        <v/>
      </c>
      <c r="BX188" s="49">
        <f>IF($A188="","",IF(AND($BO188&gt;0,AND($A188&lt;&gt;"",$C188&lt;&gt;"DOOR ONLY"),$X188="KD",$E188="EXTERIOR"),"KD label on an exterior opening, ","")&amp;IF(AND($E188="EXTERIOR",OR(AND(AND($A188&lt;&gt;"",$C188&lt;&gt;"DOOR ONLY"),$W188="CR"),AND(N($BC188)&gt;0,$AH188="CR"))),"exterior in CR steel (G9?), ","")&amp;IF(AND(ISNUMBER($BJ188),N($BJ188)&lt;32),"clear width ~"&amp;TEXT($BJ188,"0.0")&amp;CHAR(34)&amp;" under 32"&amp;CHAR(34)&amp;" (ADA), ","")&amp;IF(AND($BO188=90,AND(OR($BL188="FG",$BL188="HG",$BL188="FNV",$BL188="FV"),N($BM188)*N($BN188)&gt;100)),"90 min lite over 100 sq in (stair/exit), ","")&amp;IF(AND($BO188&gt;0,AND($A188&lt;&gt;"",$C188&lt;&gt;"DOOR ONLY"),OR($AF188="",$AF188="-")),"rated: closer reinf.?, ","")&amp;IF(OR($I188="CORRIDOR",$I188="SMOKE BARRIER"),"S label + smoke gasketing, ","")&amp;IF($BP188="?","wall type/hr not in IBC table, ","")&amp;IF(AND(N($BC188)&gt;0,$AU188=""),"no hardware set, ","")&amp;IF(AND($AU188&lt;&gt;"",ISNA(MATCH($AU188,HWSets,0))),"set "&amp;$AU188&amp;" not on Hardware sheet, ","")&amp;IF(N($BE188)&gt;96,"leaf over 8'-0"&amp;CHAR(34)&amp;" - check listing, ",""))</f>
        <v/>
      </c>
    </row>
    <row r="189" ht="15" customHeight="1">
      <c r="A189" s="44" t="n"/>
      <c r="B189" s="45" t="n"/>
      <c r="C189" s="45" t="n"/>
      <c r="D189" s="45" t="n"/>
      <c r="E189" s="45" t="n"/>
      <c r="F189" s="45" t="n"/>
      <c r="G189" s="45" t="n"/>
      <c r="H189" s="45" t="n"/>
      <c r="I189" s="45" t="n"/>
      <c r="J189" s="45" t="n"/>
      <c r="K189" s="45" t="n"/>
      <c r="L189" s="45" t="n"/>
      <c r="M189" s="45" t="n"/>
      <c r="N189" s="45" t="n"/>
      <c r="O189" s="45" t="n"/>
      <c r="P189" s="45" t="n"/>
      <c r="Q189" s="45" t="n"/>
      <c r="R189" s="45" t="n"/>
      <c r="S189" s="46" t="n"/>
      <c r="T189" s="46" t="n"/>
      <c r="U189" s="46" t="n"/>
      <c r="V189" s="46" t="n"/>
      <c r="W189" s="46" t="n"/>
      <c r="X189" s="46" t="n"/>
      <c r="Y189" s="46" t="n"/>
      <c r="Z189" s="46" t="n"/>
      <c r="AA189" s="46" t="n"/>
      <c r="AB189" s="46" t="n"/>
      <c r="AC189" s="46" t="n"/>
      <c r="AD189" s="46" t="n"/>
      <c r="AE189" s="46" t="n"/>
      <c r="AF189" s="46" t="n"/>
      <c r="AG189" s="46" t="n"/>
      <c r="AH189" s="47" t="n"/>
      <c r="AI189" s="47" t="n"/>
      <c r="AJ189" s="47" t="n"/>
      <c r="AK189" s="47" t="n"/>
      <c r="AL189" s="47" t="n"/>
      <c r="AM189" s="47" t="n"/>
      <c r="AN189" s="47" t="n"/>
      <c r="AO189" s="47" t="n"/>
      <c r="AP189" s="47" t="n"/>
      <c r="AQ189" s="47" t="n"/>
      <c r="AR189" s="47" t="n"/>
      <c r="AS189" s="47" t="n"/>
      <c r="AT189" s="47" t="n"/>
      <c r="AU189" s="48" t="n"/>
      <c r="AV189" s="48" t="n"/>
      <c r="AW189" s="49">
        <f>IF($A189="","",IF($BW189&lt;&gt;"","FIX",IF($BX189&lt;&gt;"","CHECK","OK")))</f>
        <v/>
      </c>
      <c r="AX189" s="50">
        <f>IF($A189="","",IF($BW189&lt;&gt;"","FIX: "&amp;LEFT($BW189,LEN($BW189)-2)&amp;IF($BX189&lt;&gt;"","  ·  ",""),"")&amp;IF($BX189&lt;&gt;"","CHECK: "&amp;LEFT($BX189,LEN($BX189)-2),""))</f>
        <v/>
      </c>
      <c r="AY189" s="49">
        <f>IF(OR($A189="",$K189=""),"",$K189&amp;"'-"&amp;N($L189)&amp;CHAR(34)&amp;" x "&amp;$M189&amp;"'-"&amp;N($N189)&amp;CHAR(34))</f>
        <v/>
      </c>
      <c r="AZ189" s="49">
        <f>IF(OR($A189="",$K189=""),"",$K189&amp;N($L189)&amp;$M189&amp;N($N189))</f>
        <v/>
      </c>
      <c r="BA189" s="49">
        <f>IF(OR($A189="",$K189=""),"",$K189*12+N($L189))</f>
        <v/>
      </c>
      <c r="BB189" s="49">
        <f>IF(OR($A189="",$M189=""),"",$M189*12+N($N189))</f>
        <v/>
      </c>
      <c r="BC189" s="49">
        <f>IF($A189="","",IF(OR($C189="FRAME ONLY",$S189="BL"),0,IF($O189="Y",2,1)))</f>
        <v/>
      </c>
      <c r="BD189" s="51">
        <f>IF(OR(N($BC189)=0,$BA189=""),"",($BA189-2*EdgeClr-IF($BC189=2,MeetClr,0))/$BC189)</f>
        <v/>
      </c>
      <c r="BE189" s="51">
        <f>IF(OR(N($BC189)=0,$BB189=""),"",$BB189-HeadClr-Undercut)</f>
        <v/>
      </c>
      <c r="BF189" s="51">
        <f>IF($BA189="","",$BA189+2*FaceW+IF(N($Q189)&gt;0,($Q189+FaceW)*IF($R189="LR",2,1),0))</f>
        <v/>
      </c>
      <c r="BG189" s="51">
        <f>IF($BB189="","",$BB189+IF($AB189="Y",4,FaceW)+IF(N($P189)&gt;0,$P189+FaceW,0)+IF(OR($S189="4F",$S189="BL"),FaceW,0))</f>
        <v/>
      </c>
      <c r="BH189" s="51">
        <f>IF($BF189="","",$BF189+2*ROSide)</f>
        <v/>
      </c>
      <c r="BI189" s="51">
        <f>IF($BG189="","",$BG189+ROTop)</f>
        <v/>
      </c>
      <c r="BJ189" s="52">
        <f>IF(OR(N($BC189)=0,$BA189=""),"",$BA189/$BC189-ClearDeduct)</f>
        <v/>
      </c>
      <c r="BK189" s="49">
        <f>IF(OR(N($BC189)=0,$BE189=""),"",IF(OR($AC189="HGC",$AP189="HGC"),"CONT",IF($BE189&lt;=60,2,IF($BE189&lt;=90,3,IF($BE189&lt;=120,4,5)))))</f>
        <v/>
      </c>
      <c r="BL189" s="49">
        <f>IF(N($BC189)=0,"",IF(OR($AL189="",$AL189="FLUSH"),"FLUSH",IFERROR(LEFT($AL189,FIND("-",$AL189)-1),LEFT($AL189,2))))</f>
        <v/>
      </c>
      <c r="BM189" s="49">
        <f>IF($BL189="","",IFERROR(VALUE(MID($AL189,FIND("-",$AL189)+1,FIND(CHAR(34)&amp;"x",$AL189)-FIND("-",$AL189)-1)),0))</f>
        <v/>
      </c>
      <c r="BN189" s="49">
        <f>IF($BL189="","",IFERROR(VALUE(MID($AL189,FIND(CHAR(34)&amp;"x",$AL189)+2,FIND(CHAR(34),$AL189,FIND(CHAR(34)&amp;"x",$AL189)+2)-FIND(CHAR(34)&amp;"x",$AL189)-2)),0))</f>
        <v/>
      </c>
      <c r="BO189" s="53">
        <f>IF(OR($A189="",$H189="",$H189="NO LAB"),0,IFERROR(VALUE(LEFT($H189,FIND(" ",$H189)-1)),0))</f>
        <v/>
      </c>
      <c r="BP189" s="54">
        <f>IF(OR($A189="",$I189="",$I189="NON-RATED",N($J189)=0),"",IFERROR(VLOOKUP($I189&amp;"|"&amp;$J189,IBC,2,FALSE),"?"))</f>
        <v/>
      </c>
      <c r="BQ189" s="50">
        <f>IF(NOT(AND($A189&lt;&gt;"",$C189&lt;&gt;"DOOR ONLY")),"",TRIM(IFERROR(VLOOKUP($U189,CODES,2,FALSE),"")&amp;" "&amp;$AZ189&amp;" "&amp;IFERROR(VLOOKUP($Z189,CODES,2,FALSE),"")&amp;" "&amp;IFERROR(VLOOKUP($X189,CODES,2,FALSE),"")&amp;" "&amp;IFERROR(VLOOKUP($S189,CODES,2,FALSE),"")&amp;IF(N($P189)&gt;0," w/TRANSOM "&amp;$P189&amp;CHAR(34),"")&amp;IF(N($Q189)&gt;0," w/SIDELITE "&amp;$Q189&amp;CHAR(34)&amp;" "&amp;IF($R189="","R",$R189),"")&amp;IF($Y189="","  |  "," | "&amp;IFERROR(VLOOKUP($Y189,CODES,2,FALSE),"")&amp;" | ")&amp;IFERROR(VLOOKUP($AC189,CODES,2,FALSE),"")&amp;" "&amp;IFERROR(VLOOKUP($AD189,CODES,2,FALSE),"")&amp;IF(OR($AE189="",$AE189="-"),""," "&amp;$AE189)&amp;IF(OR($AF189="",$AF189="-"),""," "&amp;$AF189)&amp;IF($AB189="Y"," 4"&amp;CHAR(34)&amp;" HEAD","")&amp;" "&amp;IFERROR(VLOOKUP($H189,CODES,2,FALSE),"")))</f>
        <v/>
      </c>
      <c r="BR189" s="50">
        <f>IF(NOT(AND($A189&lt;&gt;"",N($BC189)&gt;0)),"",TRIM(IFERROR(VLOOKUP($AH189,CODES,2,FALSE),"")&amp;IF($AI189=""," "," "&amp;$AI189&amp;"GA ")&amp;$AZ189&amp;" "&amp;IF($AN189="",IFERROR(VLOOKUP($Z189,CODES,2,FALSE),""),IFERROR(VLOOKUP($AN189,CODES,2,FALSE),""))&amp;IF($BC189=2," PAIR","")&amp;" DOOR | "&amp;IF($AL189="","?",$AL189)&amp;" | "&amp;IF($AP189="",IFERROR(VLOOKUP($AC189,CODES,2,FALSE),""),IFERROR(VLOOKUP($AP189,CODES,2,FALSE),""))&amp;" "&amp;IFERROR(VLOOKUP($AQ189,CODES,2,FALSE),"")&amp;IF(OR($AR189="",$AR189="-"),""," SEAM "&amp;$AR189)&amp;IF($AS189="Y"," ASTRAGAL","")&amp;IF($AJ189=""," "," "&amp;$AJ189)&amp;IF($AK189=""," "," "&amp;$AK189)&amp;IF($AO189="",""," "&amp;$AO189)&amp;IF($AM189=""," "," SERIES "&amp;$AM189)&amp;" "&amp;IFERROR(VLOOKUP($H189,CODES,2,FALSE),"")))</f>
        <v/>
      </c>
      <c r="BS189" s="49">
        <f>IF(BV189="","",IF(COUNTIF($BV$6:BV189,BV189)=1,MAX($BS$5:BS188)+1,INDEX($BS$5:BS188,MATCH(BV189,$BV$5:BV188,0))))</f>
        <v/>
      </c>
      <c r="BT189" s="49">
        <f>IF(NOT(AND($A189&lt;&gt;"",$C189&lt;&gt;"DOOR ONLY")),"",MAX($BT$5:BT188)+1)</f>
        <v/>
      </c>
      <c r="BU189" s="49">
        <f>IF(NOT(AND($A189&lt;&gt;"",N($BC189)&gt;0)),"",MAX($BU$5:BU188)+1)</f>
        <v/>
      </c>
      <c r="BV189" s="49">
        <f>IF(OR($A189="",$BA189="",$BB189=""),"",$AZ189&amp;"|"&amp;$O189&amp;"|"&amp;$AL189&amp;"|"&amp;$S189&amp;"|"&amp;$P189&amp;"|"&amp;$Q189&amp;$R189&amp;"|"&amp;$C189&amp;"|"&amp;$AB189)</f>
        <v/>
      </c>
      <c r="BW189" s="49">
        <f>IF($A189="","",IF($B189="","qty, ","")&amp;IF($C189="","scope, ","")&amp;IF(OR($K189="",$M189=""),"size, ","")&amp;IF(AND($A189&lt;&gt;"",$C189&lt;&gt;"DOOR ONLY"),IF($U189="","jamb depth, ","")&amp;IF($X189="","construction, ","")&amp;IF($Y189="","anchor, ","")&amp;IF($S189="","frame type, ",""),"")&amp;IF(AND(N($BC189)&gt;0,$Z189=""),"hand, ","")&amp;IF(N($BC189)&gt;0,IF($AH189="","door material, ","")&amp;IF($AL189="","face type, ","")&amp;IF($AQ189="","lock prep, ","")&amp;IF(AND($AP189="",$AC189=""),"hinge prep, ",""),"")&amp;IF(AND($BO189&gt;0,$AH189="FRP"),"FRP cannot carry a label, ","")&amp;IF(AND($O189="Y",OR($Z189="L",$Z189="R",$Z189="LR",$Z189="RR")),"pair marked but hand is single, ","")&amp;IF(AND($O189&lt;&gt;"Y",OR($Z189="PR",AND(LEN($Z189)&gt;1,ISNUMBER(SEARCH("-",$Z189))))),"pair hand on a single door, ","")&amp;IF(AND(ISNUMBER($BP189),$BO189&lt;N($BP189)),"wall needs a "&amp;$BP189&amp;" min door, ","")&amp;IF(AND($BO189&gt;=180,AND(OR($BL189="FG",$BL189="HG",$BL189="FNV",$BL189="FV"),N($BM189)*N($BN189)&gt;100)),"180 min lite over 100 sq in, ","")&amp;IF(N($BD189)&gt;48,"leaf wider than 4'-0"&amp;CHAR(34)&amp;", ",""))</f>
        <v/>
      </c>
      <c r="BX189" s="49">
        <f>IF($A189="","",IF(AND($BO189&gt;0,AND($A189&lt;&gt;"",$C189&lt;&gt;"DOOR ONLY"),$X189="KD",$E189="EXTERIOR"),"KD label on an exterior opening, ","")&amp;IF(AND($E189="EXTERIOR",OR(AND(AND($A189&lt;&gt;"",$C189&lt;&gt;"DOOR ONLY"),$W189="CR"),AND(N($BC189)&gt;0,$AH189="CR"))),"exterior in CR steel (G9?), ","")&amp;IF(AND(ISNUMBER($BJ189),N($BJ189)&lt;32),"clear width ~"&amp;TEXT($BJ189,"0.0")&amp;CHAR(34)&amp;" under 32"&amp;CHAR(34)&amp;" (ADA), ","")&amp;IF(AND($BO189=90,AND(OR($BL189="FG",$BL189="HG",$BL189="FNV",$BL189="FV"),N($BM189)*N($BN189)&gt;100)),"90 min lite over 100 sq in (stair/exit), ","")&amp;IF(AND($BO189&gt;0,AND($A189&lt;&gt;"",$C189&lt;&gt;"DOOR ONLY"),OR($AF189="",$AF189="-")),"rated: closer reinf.?, ","")&amp;IF(OR($I189="CORRIDOR",$I189="SMOKE BARRIER"),"S label + smoke gasketing, ","")&amp;IF($BP189="?","wall type/hr not in IBC table, ","")&amp;IF(AND(N($BC189)&gt;0,$AU189=""),"no hardware set, ","")&amp;IF(AND($AU189&lt;&gt;"",ISNA(MATCH($AU189,HWSets,0))),"set "&amp;$AU189&amp;" not on Hardware sheet, ","")&amp;IF(N($BE189)&gt;96,"leaf over 8'-0"&amp;CHAR(34)&amp;" - check listing, ",""))</f>
        <v/>
      </c>
    </row>
    <row r="190" ht="15" customHeight="1">
      <c r="A190" s="44" t="n"/>
      <c r="B190" s="45" t="n"/>
      <c r="C190" s="45" t="n"/>
      <c r="D190" s="45" t="n"/>
      <c r="E190" s="45" t="n"/>
      <c r="F190" s="45" t="n"/>
      <c r="G190" s="45" t="n"/>
      <c r="H190" s="45" t="n"/>
      <c r="I190" s="45" t="n"/>
      <c r="J190" s="45" t="n"/>
      <c r="K190" s="45" t="n"/>
      <c r="L190" s="45" t="n"/>
      <c r="M190" s="45" t="n"/>
      <c r="N190" s="45" t="n"/>
      <c r="O190" s="45" t="n"/>
      <c r="P190" s="45" t="n"/>
      <c r="Q190" s="45" t="n"/>
      <c r="R190" s="45" t="n"/>
      <c r="S190" s="46" t="n"/>
      <c r="T190" s="46" t="n"/>
      <c r="U190" s="46" t="n"/>
      <c r="V190" s="46" t="n"/>
      <c r="W190" s="46" t="n"/>
      <c r="X190" s="46" t="n"/>
      <c r="Y190" s="46" t="n"/>
      <c r="Z190" s="46" t="n"/>
      <c r="AA190" s="46" t="n"/>
      <c r="AB190" s="46" t="n"/>
      <c r="AC190" s="46" t="n"/>
      <c r="AD190" s="46" t="n"/>
      <c r="AE190" s="46" t="n"/>
      <c r="AF190" s="46" t="n"/>
      <c r="AG190" s="46" t="n"/>
      <c r="AH190" s="47" t="n"/>
      <c r="AI190" s="47" t="n"/>
      <c r="AJ190" s="47" t="n"/>
      <c r="AK190" s="47" t="n"/>
      <c r="AL190" s="47" t="n"/>
      <c r="AM190" s="47" t="n"/>
      <c r="AN190" s="47" t="n"/>
      <c r="AO190" s="47" t="n"/>
      <c r="AP190" s="47" t="n"/>
      <c r="AQ190" s="47" t="n"/>
      <c r="AR190" s="47" t="n"/>
      <c r="AS190" s="47" t="n"/>
      <c r="AT190" s="47" t="n"/>
      <c r="AU190" s="48" t="n"/>
      <c r="AV190" s="48" t="n"/>
      <c r="AW190" s="49">
        <f>IF($A190="","",IF($BW190&lt;&gt;"","FIX",IF($BX190&lt;&gt;"","CHECK","OK")))</f>
        <v/>
      </c>
      <c r="AX190" s="50">
        <f>IF($A190="","",IF($BW190&lt;&gt;"","FIX: "&amp;LEFT($BW190,LEN($BW190)-2)&amp;IF($BX190&lt;&gt;"","  ·  ",""),"")&amp;IF($BX190&lt;&gt;"","CHECK: "&amp;LEFT($BX190,LEN($BX190)-2),""))</f>
        <v/>
      </c>
      <c r="AY190" s="49">
        <f>IF(OR($A190="",$K190=""),"",$K190&amp;"'-"&amp;N($L190)&amp;CHAR(34)&amp;" x "&amp;$M190&amp;"'-"&amp;N($N190)&amp;CHAR(34))</f>
        <v/>
      </c>
      <c r="AZ190" s="49">
        <f>IF(OR($A190="",$K190=""),"",$K190&amp;N($L190)&amp;$M190&amp;N($N190))</f>
        <v/>
      </c>
      <c r="BA190" s="49">
        <f>IF(OR($A190="",$K190=""),"",$K190*12+N($L190))</f>
        <v/>
      </c>
      <c r="BB190" s="49">
        <f>IF(OR($A190="",$M190=""),"",$M190*12+N($N190))</f>
        <v/>
      </c>
      <c r="BC190" s="49">
        <f>IF($A190="","",IF(OR($C190="FRAME ONLY",$S190="BL"),0,IF($O190="Y",2,1)))</f>
        <v/>
      </c>
      <c r="BD190" s="51">
        <f>IF(OR(N($BC190)=0,$BA190=""),"",($BA190-2*EdgeClr-IF($BC190=2,MeetClr,0))/$BC190)</f>
        <v/>
      </c>
      <c r="BE190" s="51">
        <f>IF(OR(N($BC190)=0,$BB190=""),"",$BB190-HeadClr-Undercut)</f>
        <v/>
      </c>
      <c r="BF190" s="51">
        <f>IF($BA190="","",$BA190+2*FaceW+IF(N($Q190)&gt;0,($Q190+FaceW)*IF($R190="LR",2,1),0))</f>
        <v/>
      </c>
      <c r="BG190" s="51">
        <f>IF($BB190="","",$BB190+IF($AB190="Y",4,FaceW)+IF(N($P190)&gt;0,$P190+FaceW,0)+IF(OR($S190="4F",$S190="BL"),FaceW,0))</f>
        <v/>
      </c>
      <c r="BH190" s="51">
        <f>IF($BF190="","",$BF190+2*ROSide)</f>
        <v/>
      </c>
      <c r="BI190" s="51">
        <f>IF($BG190="","",$BG190+ROTop)</f>
        <v/>
      </c>
      <c r="BJ190" s="52">
        <f>IF(OR(N($BC190)=0,$BA190=""),"",$BA190/$BC190-ClearDeduct)</f>
        <v/>
      </c>
      <c r="BK190" s="49">
        <f>IF(OR(N($BC190)=0,$BE190=""),"",IF(OR($AC190="HGC",$AP190="HGC"),"CONT",IF($BE190&lt;=60,2,IF($BE190&lt;=90,3,IF($BE190&lt;=120,4,5)))))</f>
        <v/>
      </c>
      <c r="BL190" s="49">
        <f>IF(N($BC190)=0,"",IF(OR($AL190="",$AL190="FLUSH"),"FLUSH",IFERROR(LEFT($AL190,FIND("-",$AL190)-1),LEFT($AL190,2))))</f>
        <v/>
      </c>
      <c r="BM190" s="49">
        <f>IF($BL190="","",IFERROR(VALUE(MID($AL190,FIND("-",$AL190)+1,FIND(CHAR(34)&amp;"x",$AL190)-FIND("-",$AL190)-1)),0))</f>
        <v/>
      </c>
      <c r="BN190" s="49">
        <f>IF($BL190="","",IFERROR(VALUE(MID($AL190,FIND(CHAR(34)&amp;"x",$AL190)+2,FIND(CHAR(34),$AL190,FIND(CHAR(34)&amp;"x",$AL190)+2)-FIND(CHAR(34)&amp;"x",$AL190)-2)),0))</f>
        <v/>
      </c>
      <c r="BO190" s="53">
        <f>IF(OR($A190="",$H190="",$H190="NO LAB"),0,IFERROR(VALUE(LEFT($H190,FIND(" ",$H190)-1)),0))</f>
        <v/>
      </c>
      <c r="BP190" s="54">
        <f>IF(OR($A190="",$I190="",$I190="NON-RATED",N($J190)=0),"",IFERROR(VLOOKUP($I190&amp;"|"&amp;$J190,IBC,2,FALSE),"?"))</f>
        <v/>
      </c>
      <c r="BQ190" s="50">
        <f>IF(NOT(AND($A190&lt;&gt;"",$C190&lt;&gt;"DOOR ONLY")),"",TRIM(IFERROR(VLOOKUP($U190,CODES,2,FALSE),"")&amp;" "&amp;$AZ190&amp;" "&amp;IFERROR(VLOOKUP($Z190,CODES,2,FALSE),"")&amp;" "&amp;IFERROR(VLOOKUP($X190,CODES,2,FALSE),"")&amp;" "&amp;IFERROR(VLOOKUP($S190,CODES,2,FALSE),"")&amp;IF(N($P190)&gt;0," w/TRANSOM "&amp;$P190&amp;CHAR(34),"")&amp;IF(N($Q190)&gt;0," w/SIDELITE "&amp;$Q190&amp;CHAR(34)&amp;" "&amp;IF($R190="","R",$R190),"")&amp;IF($Y190="","  |  "," | "&amp;IFERROR(VLOOKUP($Y190,CODES,2,FALSE),"")&amp;" | ")&amp;IFERROR(VLOOKUP($AC190,CODES,2,FALSE),"")&amp;" "&amp;IFERROR(VLOOKUP($AD190,CODES,2,FALSE),"")&amp;IF(OR($AE190="",$AE190="-"),""," "&amp;$AE190)&amp;IF(OR($AF190="",$AF190="-"),""," "&amp;$AF190)&amp;IF($AB190="Y"," 4"&amp;CHAR(34)&amp;" HEAD","")&amp;" "&amp;IFERROR(VLOOKUP($H190,CODES,2,FALSE),"")))</f>
        <v/>
      </c>
      <c r="BR190" s="50">
        <f>IF(NOT(AND($A190&lt;&gt;"",N($BC190)&gt;0)),"",TRIM(IFERROR(VLOOKUP($AH190,CODES,2,FALSE),"")&amp;IF($AI190=""," "," "&amp;$AI190&amp;"GA ")&amp;$AZ190&amp;" "&amp;IF($AN190="",IFERROR(VLOOKUP($Z190,CODES,2,FALSE),""),IFERROR(VLOOKUP($AN190,CODES,2,FALSE),""))&amp;IF($BC190=2," PAIR","")&amp;" DOOR | "&amp;IF($AL190="","?",$AL190)&amp;" | "&amp;IF($AP190="",IFERROR(VLOOKUP($AC190,CODES,2,FALSE),""),IFERROR(VLOOKUP($AP190,CODES,2,FALSE),""))&amp;" "&amp;IFERROR(VLOOKUP($AQ190,CODES,2,FALSE),"")&amp;IF(OR($AR190="",$AR190="-"),""," SEAM "&amp;$AR190)&amp;IF($AS190="Y"," ASTRAGAL","")&amp;IF($AJ190=""," "," "&amp;$AJ190)&amp;IF($AK190=""," "," "&amp;$AK190)&amp;IF($AO190="",""," "&amp;$AO190)&amp;IF($AM190=""," "," SERIES "&amp;$AM190)&amp;" "&amp;IFERROR(VLOOKUP($H190,CODES,2,FALSE),"")))</f>
        <v/>
      </c>
      <c r="BS190" s="49">
        <f>IF(BV190="","",IF(COUNTIF($BV$6:BV190,BV190)=1,MAX($BS$5:BS189)+1,INDEX($BS$5:BS189,MATCH(BV190,$BV$5:BV189,0))))</f>
        <v/>
      </c>
      <c r="BT190" s="49">
        <f>IF(NOT(AND($A190&lt;&gt;"",$C190&lt;&gt;"DOOR ONLY")),"",MAX($BT$5:BT189)+1)</f>
        <v/>
      </c>
      <c r="BU190" s="49">
        <f>IF(NOT(AND($A190&lt;&gt;"",N($BC190)&gt;0)),"",MAX($BU$5:BU189)+1)</f>
        <v/>
      </c>
      <c r="BV190" s="49">
        <f>IF(OR($A190="",$BA190="",$BB190=""),"",$AZ190&amp;"|"&amp;$O190&amp;"|"&amp;$AL190&amp;"|"&amp;$S190&amp;"|"&amp;$P190&amp;"|"&amp;$Q190&amp;$R190&amp;"|"&amp;$C190&amp;"|"&amp;$AB190)</f>
        <v/>
      </c>
      <c r="BW190" s="49">
        <f>IF($A190="","",IF($B190="","qty, ","")&amp;IF($C190="","scope, ","")&amp;IF(OR($K190="",$M190=""),"size, ","")&amp;IF(AND($A190&lt;&gt;"",$C190&lt;&gt;"DOOR ONLY"),IF($U190="","jamb depth, ","")&amp;IF($X190="","construction, ","")&amp;IF($Y190="","anchor, ","")&amp;IF($S190="","frame type, ",""),"")&amp;IF(AND(N($BC190)&gt;0,$Z190=""),"hand, ","")&amp;IF(N($BC190)&gt;0,IF($AH190="","door material, ","")&amp;IF($AL190="","face type, ","")&amp;IF($AQ190="","lock prep, ","")&amp;IF(AND($AP190="",$AC190=""),"hinge prep, ",""),"")&amp;IF(AND($BO190&gt;0,$AH190="FRP"),"FRP cannot carry a label, ","")&amp;IF(AND($O190="Y",OR($Z190="L",$Z190="R",$Z190="LR",$Z190="RR")),"pair marked but hand is single, ","")&amp;IF(AND($O190&lt;&gt;"Y",OR($Z190="PR",AND(LEN($Z190)&gt;1,ISNUMBER(SEARCH("-",$Z190))))),"pair hand on a single door, ","")&amp;IF(AND(ISNUMBER($BP190),$BO190&lt;N($BP190)),"wall needs a "&amp;$BP190&amp;" min door, ","")&amp;IF(AND($BO190&gt;=180,AND(OR($BL190="FG",$BL190="HG",$BL190="FNV",$BL190="FV"),N($BM190)*N($BN190)&gt;100)),"180 min lite over 100 sq in, ","")&amp;IF(N($BD190)&gt;48,"leaf wider than 4'-0"&amp;CHAR(34)&amp;", ",""))</f>
        <v/>
      </c>
      <c r="BX190" s="49">
        <f>IF($A190="","",IF(AND($BO190&gt;0,AND($A190&lt;&gt;"",$C190&lt;&gt;"DOOR ONLY"),$X190="KD",$E190="EXTERIOR"),"KD label on an exterior opening, ","")&amp;IF(AND($E190="EXTERIOR",OR(AND(AND($A190&lt;&gt;"",$C190&lt;&gt;"DOOR ONLY"),$W190="CR"),AND(N($BC190)&gt;0,$AH190="CR"))),"exterior in CR steel (G9?), ","")&amp;IF(AND(ISNUMBER($BJ190),N($BJ190)&lt;32),"clear width ~"&amp;TEXT($BJ190,"0.0")&amp;CHAR(34)&amp;" under 32"&amp;CHAR(34)&amp;" (ADA), ","")&amp;IF(AND($BO190=90,AND(OR($BL190="FG",$BL190="HG",$BL190="FNV",$BL190="FV"),N($BM190)*N($BN190)&gt;100)),"90 min lite over 100 sq in (stair/exit), ","")&amp;IF(AND($BO190&gt;0,AND($A190&lt;&gt;"",$C190&lt;&gt;"DOOR ONLY"),OR($AF190="",$AF190="-")),"rated: closer reinf.?, ","")&amp;IF(OR($I190="CORRIDOR",$I190="SMOKE BARRIER"),"S label + smoke gasketing, ","")&amp;IF($BP190="?","wall type/hr not in IBC table, ","")&amp;IF(AND(N($BC190)&gt;0,$AU190=""),"no hardware set, ","")&amp;IF(AND($AU190&lt;&gt;"",ISNA(MATCH($AU190,HWSets,0))),"set "&amp;$AU190&amp;" not on Hardware sheet, ","")&amp;IF(N($BE190)&gt;96,"leaf over 8'-0"&amp;CHAR(34)&amp;" - check listing, ",""))</f>
        <v/>
      </c>
    </row>
    <row r="191" ht="15" customHeight="1">
      <c r="A191" s="44" t="n"/>
      <c r="B191" s="45" t="n"/>
      <c r="C191" s="45" t="n"/>
      <c r="D191" s="45" t="n"/>
      <c r="E191" s="45" t="n"/>
      <c r="F191" s="45" t="n"/>
      <c r="G191" s="45" t="n"/>
      <c r="H191" s="45" t="n"/>
      <c r="I191" s="45" t="n"/>
      <c r="J191" s="45" t="n"/>
      <c r="K191" s="45" t="n"/>
      <c r="L191" s="45" t="n"/>
      <c r="M191" s="45" t="n"/>
      <c r="N191" s="45" t="n"/>
      <c r="O191" s="45" t="n"/>
      <c r="P191" s="45" t="n"/>
      <c r="Q191" s="45" t="n"/>
      <c r="R191" s="45" t="n"/>
      <c r="S191" s="46" t="n"/>
      <c r="T191" s="46" t="n"/>
      <c r="U191" s="46" t="n"/>
      <c r="V191" s="46" t="n"/>
      <c r="W191" s="46" t="n"/>
      <c r="X191" s="46" t="n"/>
      <c r="Y191" s="46" t="n"/>
      <c r="Z191" s="46" t="n"/>
      <c r="AA191" s="46" t="n"/>
      <c r="AB191" s="46" t="n"/>
      <c r="AC191" s="46" t="n"/>
      <c r="AD191" s="46" t="n"/>
      <c r="AE191" s="46" t="n"/>
      <c r="AF191" s="46" t="n"/>
      <c r="AG191" s="46" t="n"/>
      <c r="AH191" s="47" t="n"/>
      <c r="AI191" s="47" t="n"/>
      <c r="AJ191" s="47" t="n"/>
      <c r="AK191" s="47" t="n"/>
      <c r="AL191" s="47" t="n"/>
      <c r="AM191" s="47" t="n"/>
      <c r="AN191" s="47" t="n"/>
      <c r="AO191" s="47" t="n"/>
      <c r="AP191" s="47" t="n"/>
      <c r="AQ191" s="47" t="n"/>
      <c r="AR191" s="47" t="n"/>
      <c r="AS191" s="47" t="n"/>
      <c r="AT191" s="47" t="n"/>
      <c r="AU191" s="48" t="n"/>
      <c r="AV191" s="48" t="n"/>
      <c r="AW191" s="49">
        <f>IF($A191="","",IF($BW191&lt;&gt;"","FIX",IF($BX191&lt;&gt;"","CHECK","OK")))</f>
        <v/>
      </c>
      <c r="AX191" s="50">
        <f>IF($A191="","",IF($BW191&lt;&gt;"","FIX: "&amp;LEFT($BW191,LEN($BW191)-2)&amp;IF($BX191&lt;&gt;"","  ·  ",""),"")&amp;IF($BX191&lt;&gt;"","CHECK: "&amp;LEFT($BX191,LEN($BX191)-2),""))</f>
        <v/>
      </c>
      <c r="AY191" s="49">
        <f>IF(OR($A191="",$K191=""),"",$K191&amp;"'-"&amp;N($L191)&amp;CHAR(34)&amp;" x "&amp;$M191&amp;"'-"&amp;N($N191)&amp;CHAR(34))</f>
        <v/>
      </c>
      <c r="AZ191" s="49">
        <f>IF(OR($A191="",$K191=""),"",$K191&amp;N($L191)&amp;$M191&amp;N($N191))</f>
        <v/>
      </c>
      <c r="BA191" s="49">
        <f>IF(OR($A191="",$K191=""),"",$K191*12+N($L191))</f>
        <v/>
      </c>
      <c r="BB191" s="49">
        <f>IF(OR($A191="",$M191=""),"",$M191*12+N($N191))</f>
        <v/>
      </c>
      <c r="BC191" s="49">
        <f>IF($A191="","",IF(OR($C191="FRAME ONLY",$S191="BL"),0,IF($O191="Y",2,1)))</f>
        <v/>
      </c>
      <c r="BD191" s="51">
        <f>IF(OR(N($BC191)=0,$BA191=""),"",($BA191-2*EdgeClr-IF($BC191=2,MeetClr,0))/$BC191)</f>
        <v/>
      </c>
      <c r="BE191" s="51">
        <f>IF(OR(N($BC191)=0,$BB191=""),"",$BB191-HeadClr-Undercut)</f>
        <v/>
      </c>
      <c r="BF191" s="51">
        <f>IF($BA191="","",$BA191+2*FaceW+IF(N($Q191)&gt;0,($Q191+FaceW)*IF($R191="LR",2,1),0))</f>
        <v/>
      </c>
      <c r="BG191" s="51">
        <f>IF($BB191="","",$BB191+IF($AB191="Y",4,FaceW)+IF(N($P191)&gt;0,$P191+FaceW,0)+IF(OR($S191="4F",$S191="BL"),FaceW,0))</f>
        <v/>
      </c>
      <c r="BH191" s="51">
        <f>IF($BF191="","",$BF191+2*ROSide)</f>
        <v/>
      </c>
      <c r="BI191" s="51">
        <f>IF($BG191="","",$BG191+ROTop)</f>
        <v/>
      </c>
      <c r="BJ191" s="52">
        <f>IF(OR(N($BC191)=0,$BA191=""),"",$BA191/$BC191-ClearDeduct)</f>
        <v/>
      </c>
      <c r="BK191" s="49">
        <f>IF(OR(N($BC191)=0,$BE191=""),"",IF(OR($AC191="HGC",$AP191="HGC"),"CONT",IF($BE191&lt;=60,2,IF($BE191&lt;=90,3,IF($BE191&lt;=120,4,5)))))</f>
        <v/>
      </c>
      <c r="BL191" s="49">
        <f>IF(N($BC191)=0,"",IF(OR($AL191="",$AL191="FLUSH"),"FLUSH",IFERROR(LEFT($AL191,FIND("-",$AL191)-1),LEFT($AL191,2))))</f>
        <v/>
      </c>
      <c r="BM191" s="49">
        <f>IF($BL191="","",IFERROR(VALUE(MID($AL191,FIND("-",$AL191)+1,FIND(CHAR(34)&amp;"x",$AL191)-FIND("-",$AL191)-1)),0))</f>
        <v/>
      </c>
      <c r="BN191" s="49">
        <f>IF($BL191="","",IFERROR(VALUE(MID($AL191,FIND(CHAR(34)&amp;"x",$AL191)+2,FIND(CHAR(34),$AL191,FIND(CHAR(34)&amp;"x",$AL191)+2)-FIND(CHAR(34)&amp;"x",$AL191)-2)),0))</f>
        <v/>
      </c>
      <c r="BO191" s="53">
        <f>IF(OR($A191="",$H191="",$H191="NO LAB"),0,IFERROR(VALUE(LEFT($H191,FIND(" ",$H191)-1)),0))</f>
        <v/>
      </c>
      <c r="BP191" s="54">
        <f>IF(OR($A191="",$I191="",$I191="NON-RATED",N($J191)=0),"",IFERROR(VLOOKUP($I191&amp;"|"&amp;$J191,IBC,2,FALSE),"?"))</f>
        <v/>
      </c>
      <c r="BQ191" s="50">
        <f>IF(NOT(AND($A191&lt;&gt;"",$C191&lt;&gt;"DOOR ONLY")),"",TRIM(IFERROR(VLOOKUP($U191,CODES,2,FALSE),"")&amp;" "&amp;$AZ191&amp;" "&amp;IFERROR(VLOOKUP($Z191,CODES,2,FALSE),"")&amp;" "&amp;IFERROR(VLOOKUP($X191,CODES,2,FALSE),"")&amp;" "&amp;IFERROR(VLOOKUP($S191,CODES,2,FALSE),"")&amp;IF(N($P191)&gt;0," w/TRANSOM "&amp;$P191&amp;CHAR(34),"")&amp;IF(N($Q191)&gt;0," w/SIDELITE "&amp;$Q191&amp;CHAR(34)&amp;" "&amp;IF($R191="","R",$R191),"")&amp;IF($Y191="","  |  "," | "&amp;IFERROR(VLOOKUP($Y191,CODES,2,FALSE),"")&amp;" | ")&amp;IFERROR(VLOOKUP($AC191,CODES,2,FALSE),"")&amp;" "&amp;IFERROR(VLOOKUP($AD191,CODES,2,FALSE),"")&amp;IF(OR($AE191="",$AE191="-"),""," "&amp;$AE191)&amp;IF(OR($AF191="",$AF191="-"),""," "&amp;$AF191)&amp;IF($AB191="Y"," 4"&amp;CHAR(34)&amp;" HEAD","")&amp;" "&amp;IFERROR(VLOOKUP($H191,CODES,2,FALSE),"")))</f>
        <v/>
      </c>
      <c r="BR191" s="50">
        <f>IF(NOT(AND($A191&lt;&gt;"",N($BC191)&gt;0)),"",TRIM(IFERROR(VLOOKUP($AH191,CODES,2,FALSE),"")&amp;IF($AI191=""," "," "&amp;$AI191&amp;"GA ")&amp;$AZ191&amp;" "&amp;IF($AN191="",IFERROR(VLOOKUP($Z191,CODES,2,FALSE),""),IFERROR(VLOOKUP($AN191,CODES,2,FALSE),""))&amp;IF($BC191=2," PAIR","")&amp;" DOOR | "&amp;IF($AL191="","?",$AL191)&amp;" | "&amp;IF($AP191="",IFERROR(VLOOKUP($AC191,CODES,2,FALSE),""),IFERROR(VLOOKUP($AP191,CODES,2,FALSE),""))&amp;" "&amp;IFERROR(VLOOKUP($AQ191,CODES,2,FALSE),"")&amp;IF(OR($AR191="",$AR191="-"),""," SEAM "&amp;$AR191)&amp;IF($AS191="Y"," ASTRAGAL","")&amp;IF($AJ191=""," "," "&amp;$AJ191)&amp;IF($AK191=""," "," "&amp;$AK191)&amp;IF($AO191="",""," "&amp;$AO191)&amp;IF($AM191=""," "," SERIES "&amp;$AM191)&amp;" "&amp;IFERROR(VLOOKUP($H191,CODES,2,FALSE),"")))</f>
        <v/>
      </c>
      <c r="BS191" s="49">
        <f>IF(BV191="","",IF(COUNTIF($BV$6:BV191,BV191)=1,MAX($BS$5:BS190)+1,INDEX($BS$5:BS190,MATCH(BV191,$BV$5:BV190,0))))</f>
        <v/>
      </c>
      <c r="BT191" s="49">
        <f>IF(NOT(AND($A191&lt;&gt;"",$C191&lt;&gt;"DOOR ONLY")),"",MAX($BT$5:BT190)+1)</f>
        <v/>
      </c>
      <c r="BU191" s="49">
        <f>IF(NOT(AND($A191&lt;&gt;"",N($BC191)&gt;0)),"",MAX($BU$5:BU190)+1)</f>
        <v/>
      </c>
      <c r="BV191" s="49">
        <f>IF(OR($A191="",$BA191="",$BB191=""),"",$AZ191&amp;"|"&amp;$O191&amp;"|"&amp;$AL191&amp;"|"&amp;$S191&amp;"|"&amp;$P191&amp;"|"&amp;$Q191&amp;$R191&amp;"|"&amp;$C191&amp;"|"&amp;$AB191)</f>
        <v/>
      </c>
      <c r="BW191" s="49">
        <f>IF($A191="","",IF($B191="","qty, ","")&amp;IF($C191="","scope, ","")&amp;IF(OR($K191="",$M191=""),"size, ","")&amp;IF(AND($A191&lt;&gt;"",$C191&lt;&gt;"DOOR ONLY"),IF($U191="","jamb depth, ","")&amp;IF($X191="","construction, ","")&amp;IF($Y191="","anchor, ","")&amp;IF($S191="","frame type, ",""),"")&amp;IF(AND(N($BC191)&gt;0,$Z191=""),"hand, ","")&amp;IF(N($BC191)&gt;0,IF($AH191="","door material, ","")&amp;IF($AL191="","face type, ","")&amp;IF($AQ191="","lock prep, ","")&amp;IF(AND($AP191="",$AC191=""),"hinge prep, ",""),"")&amp;IF(AND($BO191&gt;0,$AH191="FRP"),"FRP cannot carry a label, ","")&amp;IF(AND($O191="Y",OR($Z191="L",$Z191="R",$Z191="LR",$Z191="RR")),"pair marked but hand is single, ","")&amp;IF(AND($O191&lt;&gt;"Y",OR($Z191="PR",AND(LEN($Z191)&gt;1,ISNUMBER(SEARCH("-",$Z191))))),"pair hand on a single door, ","")&amp;IF(AND(ISNUMBER($BP191),$BO191&lt;N($BP191)),"wall needs a "&amp;$BP191&amp;" min door, ","")&amp;IF(AND($BO191&gt;=180,AND(OR($BL191="FG",$BL191="HG",$BL191="FNV",$BL191="FV"),N($BM191)*N($BN191)&gt;100)),"180 min lite over 100 sq in, ","")&amp;IF(N($BD191)&gt;48,"leaf wider than 4'-0"&amp;CHAR(34)&amp;", ",""))</f>
        <v/>
      </c>
      <c r="BX191" s="49">
        <f>IF($A191="","",IF(AND($BO191&gt;0,AND($A191&lt;&gt;"",$C191&lt;&gt;"DOOR ONLY"),$X191="KD",$E191="EXTERIOR"),"KD label on an exterior opening, ","")&amp;IF(AND($E191="EXTERIOR",OR(AND(AND($A191&lt;&gt;"",$C191&lt;&gt;"DOOR ONLY"),$W191="CR"),AND(N($BC191)&gt;0,$AH191="CR"))),"exterior in CR steel (G9?), ","")&amp;IF(AND(ISNUMBER($BJ191),N($BJ191)&lt;32),"clear width ~"&amp;TEXT($BJ191,"0.0")&amp;CHAR(34)&amp;" under 32"&amp;CHAR(34)&amp;" (ADA), ","")&amp;IF(AND($BO191=90,AND(OR($BL191="FG",$BL191="HG",$BL191="FNV",$BL191="FV"),N($BM191)*N($BN191)&gt;100)),"90 min lite over 100 sq in (stair/exit), ","")&amp;IF(AND($BO191&gt;0,AND($A191&lt;&gt;"",$C191&lt;&gt;"DOOR ONLY"),OR($AF191="",$AF191="-")),"rated: closer reinf.?, ","")&amp;IF(OR($I191="CORRIDOR",$I191="SMOKE BARRIER"),"S label + smoke gasketing, ","")&amp;IF($BP191="?","wall type/hr not in IBC table, ","")&amp;IF(AND(N($BC191)&gt;0,$AU191=""),"no hardware set, ","")&amp;IF(AND($AU191&lt;&gt;"",ISNA(MATCH($AU191,HWSets,0))),"set "&amp;$AU191&amp;" not on Hardware sheet, ","")&amp;IF(N($BE191)&gt;96,"leaf over 8'-0"&amp;CHAR(34)&amp;" - check listing, ",""))</f>
        <v/>
      </c>
    </row>
    <row r="192" ht="15" customHeight="1">
      <c r="A192" s="44" t="n"/>
      <c r="B192" s="45" t="n"/>
      <c r="C192" s="45" t="n"/>
      <c r="D192" s="45" t="n"/>
      <c r="E192" s="45" t="n"/>
      <c r="F192" s="45" t="n"/>
      <c r="G192" s="45" t="n"/>
      <c r="H192" s="45" t="n"/>
      <c r="I192" s="45" t="n"/>
      <c r="J192" s="45" t="n"/>
      <c r="K192" s="45" t="n"/>
      <c r="L192" s="45" t="n"/>
      <c r="M192" s="45" t="n"/>
      <c r="N192" s="45" t="n"/>
      <c r="O192" s="45" t="n"/>
      <c r="P192" s="45" t="n"/>
      <c r="Q192" s="45" t="n"/>
      <c r="R192" s="45" t="n"/>
      <c r="S192" s="46" t="n"/>
      <c r="T192" s="46" t="n"/>
      <c r="U192" s="46" t="n"/>
      <c r="V192" s="46" t="n"/>
      <c r="W192" s="46" t="n"/>
      <c r="X192" s="46" t="n"/>
      <c r="Y192" s="46" t="n"/>
      <c r="Z192" s="46" t="n"/>
      <c r="AA192" s="46" t="n"/>
      <c r="AB192" s="46" t="n"/>
      <c r="AC192" s="46" t="n"/>
      <c r="AD192" s="46" t="n"/>
      <c r="AE192" s="46" t="n"/>
      <c r="AF192" s="46" t="n"/>
      <c r="AG192" s="46" t="n"/>
      <c r="AH192" s="47" t="n"/>
      <c r="AI192" s="47" t="n"/>
      <c r="AJ192" s="47" t="n"/>
      <c r="AK192" s="47" t="n"/>
      <c r="AL192" s="47" t="n"/>
      <c r="AM192" s="47" t="n"/>
      <c r="AN192" s="47" t="n"/>
      <c r="AO192" s="47" t="n"/>
      <c r="AP192" s="47" t="n"/>
      <c r="AQ192" s="47" t="n"/>
      <c r="AR192" s="47" t="n"/>
      <c r="AS192" s="47" t="n"/>
      <c r="AT192" s="47" t="n"/>
      <c r="AU192" s="48" t="n"/>
      <c r="AV192" s="48" t="n"/>
      <c r="AW192" s="49">
        <f>IF($A192="","",IF($BW192&lt;&gt;"","FIX",IF($BX192&lt;&gt;"","CHECK","OK")))</f>
        <v/>
      </c>
      <c r="AX192" s="50">
        <f>IF($A192="","",IF($BW192&lt;&gt;"","FIX: "&amp;LEFT($BW192,LEN($BW192)-2)&amp;IF($BX192&lt;&gt;"","  ·  ",""),"")&amp;IF($BX192&lt;&gt;"","CHECK: "&amp;LEFT($BX192,LEN($BX192)-2),""))</f>
        <v/>
      </c>
      <c r="AY192" s="49">
        <f>IF(OR($A192="",$K192=""),"",$K192&amp;"'-"&amp;N($L192)&amp;CHAR(34)&amp;" x "&amp;$M192&amp;"'-"&amp;N($N192)&amp;CHAR(34))</f>
        <v/>
      </c>
      <c r="AZ192" s="49">
        <f>IF(OR($A192="",$K192=""),"",$K192&amp;N($L192)&amp;$M192&amp;N($N192))</f>
        <v/>
      </c>
      <c r="BA192" s="49">
        <f>IF(OR($A192="",$K192=""),"",$K192*12+N($L192))</f>
        <v/>
      </c>
      <c r="BB192" s="49">
        <f>IF(OR($A192="",$M192=""),"",$M192*12+N($N192))</f>
        <v/>
      </c>
      <c r="BC192" s="49">
        <f>IF($A192="","",IF(OR($C192="FRAME ONLY",$S192="BL"),0,IF($O192="Y",2,1)))</f>
        <v/>
      </c>
      <c r="BD192" s="51">
        <f>IF(OR(N($BC192)=0,$BA192=""),"",($BA192-2*EdgeClr-IF($BC192=2,MeetClr,0))/$BC192)</f>
        <v/>
      </c>
      <c r="BE192" s="51">
        <f>IF(OR(N($BC192)=0,$BB192=""),"",$BB192-HeadClr-Undercut)</f>
        <v/>
      </c>
      <c r="BF192" s="51">
        <f>IF($BA192="","",$BA192+2*FaceW+IF(N($Q192)&gt;0,($Q192+FaceW)*IF($R192="LR",2,1),0))</f>
        <v/>
      </c>
      <c r="BG192" s="51">
        <f>IF($BB192="","",$BB192+IF($AB192="Y",4,FaceW)+IF(N($P192)&gt;0,$P192+FaceW,0)+IF(OR($S192="4F",$S192="BL"),FaceW,0))</f>
        <v/>
      </c>
      <c r="BH192" s="51">
        <f>IF($BF192="","",$BF192+2*ROSide)</f>
        <v/>
      </c>
      <c r="BI192" s="51">
        <f>IF($BG192="","",$BG192+ROTop)</f>
        <v/>
      </c>
      <c r="BJ192" s="52">
        <f>IF(OR(N($BC192)=0,$BA192=""),"",$BA192/$BC192-ClearDeduct)</f>
        <v/>
      </c>
      <c r="BK192" s="49">
        <f>IF(OR(N($BC192)=0,$BE192=""),"",IF(OR($AC192="HGC",$AP192="HGC"),"CONT",IF($BE192&lt;=60,2,IF($BE192&lt;=90,3,IF($BE192&lt;=120,4,5)))))</f>
        <v/>
      </c>
      <c r="BL192" s="49">
        <f>IF(N($BC192)=0,"",IF(OR($AL192="",$AL192="FLUSH"),"FLUSH",IFERROR(LEFT($AL192,FIND("-",$AL192)-1),LEFT($AL192,2))))</f>
        <v/>
      </c>
      <c r="BM192" s="49">
        <f>IF($BL192="","",IFERROR(VALUE(MID($AL192,FIND("-",$AL192)+1,FIND(CHAR(34)&amp;"x",$AL192)-FIND("-",$AL192)-1)),0))</f>
        <v/>
      </c>
      <c r="BN192" s="49">
        <f>IF($BL192="","",IFERROR(VALUE(MID($AL192,FIND(CHAR(34)&amp;"x",$AL192)+2,FIND(CHAR(34),$AL192,FIND(CHAR(34)&amp;"x",$AL192)+2)-FIND(CHAR(34)&amp;"x",$AL192)-2)),0))</f>
        <v/>
      </c>
      <c r="BO192" s="53">
        <f>IF(OR($A192="",$H192="",$H192="NO LAB"),0,IFERROR(VALUE(LEFT($H192,FIND(" ",$H192)-1)),0))</f>
        <v/>
      </c>
      <c r="BP192" s="54">
        <f>IF(OR($A192="",$I192="",$I192="NON-RATED",N($J192)=0),"",IFERROR(VLOOKUP($I192&amp;"|"&amp;$J192,IBC,2,FALSE),"?"))</f>
        <v/>
      </c>
      <c r="BQ192" s="50">
        <f>IF(NOT(AND($A192&lt;&gt;"",$C192&lt;&gt;"DOOR ONLY")),"",TRIM(IFERROR(VLOOKUP($U192,CODES,2,FALSE),"")&amp;" "&amp;$AZ192&amp;" "&amp;IFERROR(VLOOKUP($Z192,CODES,2,FALSE),"")&amp;" "&amp;IFERROR(VLOOKUP($X192,CODES,2,FALSE),"")&amp;" "&amp;IFERROR(VLOOKUP($S192,CODES,2,FALSE),"")&amp;IF(N($P192)&gt;0," w/TRANSOM "&amp;$P192&amp;CHAR(34),"")&amp;IF(N($Q192)&gt;0," w/SIDELITE "&amp;$Q192&amp;CHAR(34)&amp;" "&amp;IF($R192="","R",$R192),"")&amp;IF($Y192="","  |  "," | "&amp;IFERROR(VLOOKUP($Y192,CODES,2,FALSE),"")&amp;" | ")&amp;IFERROR(VLOOKUP($AC192,CODES,2,FALSE),"")&amp;" "&amp;IFERROR(VLOOKUP($AD192,CODES,2,FALSE),"")&amp;IF(OR($AE192="",$AE192="-"),""," "&amp;$AE192)&amp;IF(OR($AF192="",$AF192="-"),""," "&amp;$AF192)&amp;IF($AB192="Y"," 4"&amp;CHAR(34)&amp;" HEAD","")&amp;" "&amp;IFERROR(VLOOKUP($H192,CODES,2,FALSE),"")))</f>
        <v/>
      </c>
      <c r="BR192" s="50">
        <f>IF(NOT(AND($A192&lt;&gt;"",N($BC192)&gt;0)),"",TRIM(IFERROR(VLOOKUP($AH192,CODES,2,FALSE),"")&amp;IF($AI192=""," "," "&amp;$AI192&amp;"GA ")&amp;$AZ192&amp;" "&amp;IF($AN192="",IFERROR(VLOOKUP($Z192,CODES,2,FALSE),""),IFERROR(VLOOKUP($AN192,CODES,2,FALSE),""))&amp;IF($BC192=2," PAIR","")&amp;" DOOR | "&amp;IF($AL192="","?",$AL192)&amp;" | "&amp;IF($AP192="",IFERROR(VLOOKUP($AC192,CODES,2,FALSE),""),IFERROR(VLOOKUP($AP192,CODES,2,FALSE),""))&amp;" "&amp;IFERROR(VLOOKUP($AQ192,CODES,2,FALSE),"")&amp;IF(OR($AR192="",$AR192="-"),""," SEAM "&amp;$AR192)&amp;IF($AS192="Y"," ASTRAGAL","")&amp;IF($AJ192=""," "," "&amp;$AJ192)&amp;IF($AK192=""," "," "&amp;$AK192)&amp;IF($AO192="",""," "&amp;$AO192)&amp;IF($AM192=""," "," SERIES "&amp;$AM192)&amp;" "&amp;IFERROR(VLOOKUP($H192,CODES,2,FALSE),"")))</f>
        <v/>
      </c>
      <c r="BS192" s="49">
        <f>IF(BV192="","",IF(COUNTIF($BV$6:BV192,BV192)=1,MAX($BS$5:BS191)+1,INDEX($BS$5:BS191,MATCH(BV192,$BV$5:BV191,0))))</f>
        <v/>
      </c>
      <c r="BT192" s="49">
        <f>IF(NOT(AND($A192&lt;&gt;"",$C192&lt;&gt;"DOOR ONLY")),"",MAX($BT$5:BT191)+1)</f>
        <v/>
      </c>
      <c r="BU192" s="49">
        <f>IF(NOT(AND($A192&lt;&gt;"",N($BC192)&gt;0)),"",MAX($BU$5:BU191)+1)</f>
        <v/>
      </c>
      <c r="BV192" s="49">
        <f>IF(OR($A192="",$BA192="",$BB192=""),"",$AZ192&amp;"|"&amp;$O192&amp;"|"&amp;$AL192&amp;"|"&amp;$S192&amp;"|"&amp;$P192&amp;"|"&amp;$Q192&amp;$R192&amp;"|"&amp;$C192&amp;"|"&amp;$AB192)</f>
        <v/>
      </c>
      <c r="BW192" s="49">
        <f>IF($A192="","",IF($B192="","qty, ","")&amp;IF($C192="","scope, ","")&amp;IF(OR($K192="",$M192=""),"size, ","")&amp;IF(AND($A192&lt;&gt;"",$C192&lt;&gt;"DOOR ONLY"),IF($U192="","jamb depth, ","")&amp;IF($X192="","construction, ","")&amp;IF($Y192="","anchor, ","")&amp;IF($S192="","frame type, ",""),"")&amp;IF(AND(N($BC192)&gt;0,$Z192=""),"hand, ","")&amp;IF(N($BC192)&gt;0,IF($AH192="","door material, ","")&amp;IF($AL192="","face type, ","")&amp;IF($AQ192="","lock prep, ","")&amp;IF(AND($AP192="",$AC192=""),"hinge prep, ",""),"")&amp;IF(AND($BO192&gt;0,$AH192="FRP"),"FRP cannot carry a label, ","")&amp;IF(AND($O192="Y",OR($Z192="L",$Z192="R",$Z192="LR",$Z192="RR")),"pair marked but hand is single, ","")&amp;IF(AND($O192&lt;&gt;"Y",OR($Z192="PR",AND(LEN($Z192)&gt;1,ISNUMBER(SEARCH("-",$Z192))))),"pair hand on a single door, ","")&amp;IF(AND(ISNUMBER($BP192),$BO192&lt;N($BP192)),"wall needs a "&amp;$BP192&amp;" min door, ","")&amp;IF(AND($BO192&gt;=180,AND(OR($BL192="FG",$BL192="HG",$BL192="FNV",$BL192="FV"),N($BM192)*N($BN192)&gt;100)),"180 min lite over 100 sq in, ","")&amp;IF(N($BD192)&gt;48,"leaf wider than 4'-0"&amp;CHAR(34)&amp;", ",""))</f>
        <v/>
      </c>
      <c r="BX192" s="49">
        <f>IF($A192="","",IF(AND($BO192&gt;0,AND($A192&lt;&gt;"",$C192&lt;&gt;"DOOR ONLY"),$X192="KD",$E192="EXTERIOR"),"KD label on an exterior opening, ","")&amp;IF(AND($E192="EXTERIOR",OR(AND(AND($A192&lt;&gt;"",$C192&lt;&gt;"DOOR ONLY"),$W192="CR"),AND(N($BC192)&gt;0,$AH192="CR"))),"exterior in CR steel (G9?), ","")&amp;IF(AND(ISNUMBER($BJ192),N($BJ192)&lt;32),"clear width ~"&amp;TEXT($BJ192,"0.0")&amp;CHAR(34)&amp;" under 32"&amp;CHAR(34)&amp;" (ADA), ","")&amp;IF(AND($BO192=90,AND(OR($BL192="FG",$BL192="HG",$BL192="FNV",$BL192="FV"),N($BM192)*N($BN192)&gt;100)),"90 min lite over 100 sq in (stair/exit), ","")&amp;IF(AND($BO192&gt;0,AND($A192&lt;&gt;"",$C192&lt;&gt;"DOOR ONLY"),OR($AF192="",$AF192="-")),"rated: closer reinf.?, ","")&amp;IF(OR($I192="CORRIDOR",$I192="SMOKE BARRIER"),"S label + smoke gasketing, ","")&amp;IF($BP192="?","wall type/hr not in IBC table, ","")&amp;IF(AND(N($BC192)&gt;0,$AU192=""),"no hardware set, ","")&amp;IF(AND($AU192&lt;&gt;"",ISNA(MATCH($AU192,HWSets,0))),"set "&amp;$AU192&amp;" not on Hardware sheet, ","")&amp;IF(N($BE192)&gt;96,"leaf over 8'-0"&amp;CHAR(34)&amp;" - check listing, ",""))</f>
        <v/>
      </c>
    </row>
    <row r="193" ht="15" customHeight="1">
      <c r="A193" s="44" t="n"/>
      <c r="B193" s="45" t="n"/>
      <c r="C193" s="45" t="n"/>
      <c r="D193" s="45" t="n"/>
      <c r="E193" s="45" t="n"/>
      <c r="F193" s="45" t="n"/>
      <c r="G193" s="45" t="n"/>
      <c r="H193" s="45" t="n"/>
      <c r="I193" s="45" t="n"/>
      <c r="J193" s="45" t="n"/>
      <c r="K193" s="45" t="n"/>
      <c r="L193" s="45" t="n"/>
      <c r="M193" s="45" t="n"/>
      <c r="N193" s="45" t="n"/>
      <c r="O193" s="45" t="n"/>
      <c r="P193" s="45" t="n"/>
      <c r="Q193" s="45" t="n"/>
      <c r="R193" s="45" t="n"/>
      <c r="S193" s="46" t="n"/>
      <c r="T193" s="46" t="n"/>
      <c r="U193" s="46" t="n"/>
      <c r="V193" s="46" t="n"/>
      <c r="W193" s="46" t="n"/>
      <c r="X193" s="46" t="n"/>
      <c r="Y193" s="46" t="n"/>
      <c r="Z193" s="46" t="n"/>
      <c r="AA193" s="46" t="n"/>
      <c r="AB193" s="46" t="n"/>
      <c r="AC193" s="46" t="n"/>
      <c r="AD193" s="46" t="n"/>
      <c r="AE193" s="46" t="n"/>
      <c r="AF193" s="46" t="n"/>
      <c r="AG193" s="46" t="n"/>
      <c r="AH193" s="47" t="n"/>
      <c r="AI193" s="47" t="n"/>
      <c r="AJ193" s="47" t="n"/>
      <c r="AK193" s="47" t="n"/>
      <c r="AL193" s="47" t="n"/>
      <c r="AM193" s="47" t="n"/>
      <c r="AN193" s="47" t="n"/>
      <c r="AO193" s="47" t="n"/>
      <c r="AP193" s="47" t="n"/>
      <c r="AQ193" s="47" t="n"/>
      <c r="AR193" s="47" t="n"/>
      <c r="AS193" s="47" t="n"/>
      <c r="AT193" s="47" t="n"/>
      <c r="AU193" s="48" t="n"/>
      <c r="AV193" s="48" t="n"/>
      <c r="AW193" s="49">
        <f>IF($A193="","",IF($BW193&lt;&gt;"","FIX",IF($BX193&lt;&gt;"","CHECK","OK")))</f>
        <v/>
      </c>
      <c r="AX193" s="50">
        <f>IF($A193="","",IF($BW193&lt;&gt;"","FIX: "&amp;LEFT($BW193,LEN($BW193)-2)&amp;IF($BX193&lt;&gt;"","  ·  ",""),"")&amp;IF($BX193&lt;&gt;"","CHECK: "&amp;LEFT($BX193,LEN($BX193)-2),""))</f>
        <v/>
      </c>
      <c r="AY193" s="49">
        <f>IF(OR($A193="",$K193=""),"",$K193&amp;"'-"&amp;N($L193)&amp;CHAR(34)&amp;" x "&amp;$M193&amp;"'-"&amp;N($N193)&amp;CHAR(34))</f>
        <v/>
      </c>
      <c r="AZ193" s="49">
        <f>IF(OR($A193="",$K193=""),"",$K193&amp;N($L193)&amp;$M193&amp;N($N193))</f>
        <v/>
      </c>
      <c r="BA193" s="49">
        <f>IF(OR($A193="",$K193=""),"",$K193*12+N($L193))</f>
        <v/>
      </c>
      <c r="BB193" s="49">
        <f>IF(OR($A193="",$M193=""),"",$M193*12+N($N193))</f>
        <v/>
      </c>
      <c r="BC193" s="49">
        <f>IF($A193="","",IF(OR($C193="FRAME ONLY",$S193="BL"),0,IF($O193="Y",2,1)))</f>
        <v/>
      </c>
      <c r="BD193" s="51">
        <f>IF(OR(N($BC193)=0,$BA193=""),"",($BA193-2*EdgeClr-IF($BC193=2,MeetClr,0))/$BC193)</f>
        <v/>
      </c>
      <c r="BE193" s="51">
        <f>IF(OR(N($BC193)=0,$BB193=""),"",$BB193-HeadClr-Undercut)</f>
        <v/>
      </c>
      <c r="BF193" s="51">
        <f>IF($BA193="","",$BA193+2*FaceW+IF(N($Q193)&gt;0,($Q193+FaceW)*IF($R193="LR",2,1),0))</f>
        <v/>
      </c>
      <c r="BG193" s="51">
        <f>IF($BB193="","",$BB193+IF($AB193="Y",4,FaceW)+IF(N($P193)&gt;0,$P193+FaceW,0)+IF(OR($S193="4F",$S193="BL"),FaceW,0))</f>
        <v/>
      </c>
      <c r="BH193" s="51">
        <f>IF($BF193="","",$BF193+2*ROSide)</f>
        <v/>
      </c>
      <c r="BI193" s="51">
        <f>IF($BG193="","",$BG193+ROTop)</f>
        <v/>
      </c>
      <c r="BJ193" s="52">
        <f>IF(OR(N($BC193)=0,$BA193=""),"",$BA193/$BC193-ClearDeduct)</f>
        <v/>
      </c>
      <c r="BK193" s="49">
        <f>IF(OR(N($BC193)=0,$BE193=""),"",IF(OR($AC193="HGC",$AP193="HGC"),"CONT",IF($BE193&lt;=60,2,IF($BE193&lt;=90,3,IF($BE193&lt;=120,4,5)))))</f>
        <v/>
      </c>
      <c r="BL193" s="49">
        <f>IF(N($BC193)=0,"",IF(OR($AL193="",$AL193="FLUSH"),"FLUSH",IFERROR(LEFT($AL193,FIND("-",$AL193)-1),LEFT($AL193,2))))</f>
        <v/>
      </c>
      <c r="BM193" s="49">
        <f>IF($BL193="","",IFERROR(VALUE(MID($AL193,FIND("-",$AL193)+1,FIND(CHAR(34)&amp;"x",$AL193)-FIND("-",$AL193)-1)),0))</f>
        <v/>
      </c>
      <c r="BN193" s="49">
        <f>IF($BL193="","",IFERROR(VALUE(MID($AL193,FIND(CHAR(34)&amp;"x",$AL193)+2,FIND(CHAR(34),$AL193,FIND(CHAR(34)&amp;"x",$AL193)+2)-FIND(CHAR(34)&amp;"x",$AL193)-2)),0))</f>
        <v/>
      </c>
      <c r="BO193" s="53">
        <f>IF(OR($A193="",$H193="",$H193="NO LAB"),0,IFERROR(VALUE(LEFT($H193,FIND(" ",$H193)-1)),0))</f>
        <v/>
      </c>
      <c r="BP193" s="54">
        <f>IF(OR($A193="",$I193="",$I193="NON-RATED",N($J193)=0),"",IFERROR(VLOOKUP($I193&amp;"|"&amp;$J193,IBC,2,FALSE),"?"))</f>
        <v/>
      </c>
      <c r="BQ193" s="50">
        <f>IF(NOT(AND($A193&lt;&gt;"",$C193&lt;&gt;"DOOR ONLY")),"",TRIM(IFERROR(VLOOKUP($U193,CODES,2,FALSE),"")&amp;" "&amp;$AZ193&amp;" "&amp;IFERROR(VLOOKUP($Z193,CODES,2,FALSE),"")&amp;" "&amp;IFERROR(VLOOKUP($X193,CODES,2,FALSE),"")&amp;" "&amp;IFERROR(VLOOKUP($S193,CODES,2,FALSE),"")&amp;IF(N($P193)&gt;0," w/TRANSOM "&amp;$P193&amp;CHAR(34),"")&amp;IF(N($Q193)&gt;0," w/SIDELITE "&amp;$Q193&amp;CHAR(34)&amp;" "&amp;IF($R193="","R",$R193),"")&amp;IF($Y193="","  |  "," | "&amp;IFERROR(VLOOKUP($Y193,CODES,2,FALSE),"")&amp;" | ")&amp;IFERROR(VLOOKUP($AC193,CODES,2,FALSE),"")&amp;" "&amp;IFERROR(VLOOKUP($AD193,CODES,2,FALSE),"")&amp;IF(OR($AE193="",$AE193="-"),""," "&amp;$AE193)&amp;IF(OR($AF193="",$AF193="-"),""," "&amp;$AF193)&amp;IF($AB193="Y"," 4"&amp;CHAR(34)&amp;" HEAD","")&amp;" "&amp;IFERROR(VLOOKUP($H193,CODES,2,FALSE),"")))</f>
        <v/>
      </c>
      <c r="BR193" s="50">
        <f>IF(NOT(AND($A193&lt;&gt;"",N($BC193)&gt;0)),"",TRIM(IFERROR(VLOOKUP($AH193,CODES,2,FALSE),"")&amp;IF($AI193=""," "," "&amp;$AI193&amp;"GA ")&amp;$AZ193&amp;" "&amp;IF($AN193="",IFERROR(VLOOKUP($Z193,CODES,2,FALSE),""),IFERROR(VLOOKUP($AN193,CODES,2,FALSE),""))&amp;IF($BC193=2," PAIR","")&amp;" DOOR | "&amp;IF($AL193="","?",$AL193)&amp;" | "&amp;IF($AP193="",IFERROR(VLOOKUP($AC193,CODES,2,FALSE),""),IFERROR(VLOOKUP($AP193,CODES,2,FALSE),""))&amp;" "&amp;IFERROR(VLOOKUP($AQ193,CODES,2,FALSE),"")&amp;IF(OR($AR193="",$AR193="-"),""," SEAM "&amp;$AR193)&amp;IF($AS193="Y"," ASTRAGAL","")&amp;IF($AJ193=""," "," "&amp;$AJ193)&amp;IF($AK193=""," "," "&amp;$AK193)&amp;IF($AO193="",""," "&amp;$AO193)&amp;IF($AM193=""," "," SERIES "&amp;$AM193)&amp;" "&amp;IFERROR(VLOOKUP($H193,CODES,2,FALSE),"")))</f>
        <v/>
      </c>
      <c r="BS193" s="49">
        <f>IF(BV193="","",IF(COUNTIF($BV$6:BV193,BV193)=1,MAX($BS$5:BS192)+1,INDEX($BS$5:BS192,MATCH(BV193,$BV$5:BV192,0))))</f>
        <v/>
      </c>
      <c r="BT193" s="49">
        <f>IF(NOT(AND($A193&lt;&gt;"",$C193&lt;&gt;"DOOR ONLY")),"",MAX($BT$5:BT192)+1)</f>
        <v/>
      </c>
      <c r="BU193" s="49">
        <f>IF(NOT(AND($A193&lt;&gt;"",N($BC193)&gt;0)),"",MAX($BU$5:BU192)+1)</f>
        <v/>
      </c>
      <c r="BV193" s="49">
        <f>IF(OR($A193="",$BA193="",$BB193=""),"",$AZ193&amp;"|"&amp;$O193&amp;"|"&amp;$AL193&amp;"|"&amp;$S193&amp;"|"&amp;$P193&amp;"|"&amp;$Q193&amp;$R193&amp;"|"&amp;$C193&amp;"|"&amp;$AB193)</f>
        <v/>
      </c>
      <c r="BW193" s="49">
        <f>IF($A193="","",IF($B193="","qty, ","")&amp;IF($C193="","scope, ","")&amp;IF(OR($K193="",$M193=""),"size, ","")&amp;IF(AND($A193&lt;&gt;"",$C193&lt;&gt;"DOOR ONLY"),IF($U193="","jamb depth, ","")&amp;IF($X193="","construction, ","")&amp;IF($Y193="","anchor, ","")&amp;IF($S193="","frame type, ",""),"")&amp;IF(AND(N($BC193)&gt;0,$Z193=""),"hand, ","")&amp;IF(N($BC193)&gt;0,IF($AH193="","door material, ","")&amp;IF($AL193="","face type, ","")&amp;IF($AQ193="","lock prep, ","")&amp;IF(AND($AP193="",$AC193=""),"hinge prep, ",""),"")&amp;IF(AND($BO193&gt;0,$AH193="FRP"),"FRP cannot carry a label, ","")&amp;IF(AND($O193="Y",OR($Z193="L",$Z193="R",$Z193="LR",$Z193="RR")),"pair marked but hand is single, ","")&amp;IF(AND($O193&lt;&gt;"Y",OR($Z193="PR",AND(LEN($Z193)&gt;1,ISNUMBER(SEARCH("-",$Z193))))),"pair hand on a single door, ","")&amp;IF(AND(ISNUMBER($BP193),$BO193&lt;N($BP193)),"wall needs a "&amp;$BP193&amp;" min door, ","")&amp;IF(AND($BO193&gt;=180,AND(OR($BL193="FG",$BL193="HG",$BL193="FNV",$BL193="FV"),N($BM193)*N($BN193)&gt;100)),"180 min lite over 100 sq in, ","")&amp;IF(N($BD193)&gt;48,"leaf wider than 4'-0"&amp;CHAR(34)&amp;", ",""))</f>
        <v/>
      </c>
      <c r="BX193" s="49">
        <f>IF($A193="","",IF(AND($BO193&gt;0,AND($A193&lt;&gt;"",$C193&lt;&gt;"DOOR ONLY"),$X193="KD",$E193="EXTERIOR"),"KD label on an exterior opening, ","")&amp;IF(AND($E193="EXTERIOR",OR(AND(AND($A193&lt;&gt;"",$C193&lt;&gt;"DOOR ONLY"),$W193="CR"),AND(N($BC193)&gt;0,$AH193="CR"))),"exterior in CR steel (G9?), ","")&amp;IF(AND(ISNUMBER($BJ193),N($BJ193)&lt;32),"clear width ~"&amp;TEXT($BJ193,"0.0")&amp;CHAR(34)&amp;" under 32"&amp;CHAR(34)&amp;" (ADA), ","")&amp;IF(AND($BO193=90,AND(OR($BL193="FG",$BL193="HG",$BL193="FNV",$BL193="FV"),N($BM193)*N($BN193)&gt;100)),"90 min lite over 100 sq in (stair/exit), ","")&amp;IF(AND($BO193&gt;0,AND($A193&lt;&gt;"",$C193&lt;&gt;"DOOR ONLY"),OR($AF193="",$AF193="-")),"rated: closer reinf.?, ","")&amp;IF(OR($I193="CORRIDOR",$I193="SMOKE BARRIER"),"S label + smoke gasketing, ","")&amp;IF($BP193="?","wall type/hr not in IBC table, ","")&amp;IF(AND(N($BC193)&gt;0,$AU193=""),"no hardware set, ","")&amp;IF(AND($AU193&lt;&gt;"",ISNA(MATCH($AU193,HWSets,0))),"set "&amp;$AU193&amp;" not on Hardware sheet, ","")&amp;IF(N($BE193)&gt;96,"leaf over 8'-0"&amp;CHAR(34)&amp;" - check listing, ",""))</f>
        <v/>
      </c>
    </row>
    <row r="194" ht="15" customHeight="1">
      <c r="A194" s="44" t="n"/>
      <c r="B194" s="45" t="n"/>
      <c r="C194" s="45" t="n"/>
      <c r="D194" s="45" t="n"/>
      <c r="E194" s="45" t="n"/>
      <c r="F194" s="45" t="n"/>
      <c r="G194" s="45" t="n"/>
      <c r="H194" s="45" t="n"/>
      <c r="I194" s="45" t="n"/>
      <c r="J194" s="45" t="n"/>
      <c r="K194" s="45" t="n"/>
      <c r="L194" s="45" t="n"/>
      <c r="M194" s="45" t="n"/>
      <c r="N194" s="45" t="n"/>
      <c r="O194" s="45" t="n"/>
      <c r="P194" s="45" t="n"/>
      <c r="Q194" s="45" t="n"/>
      <c r="R194" s="45" t="n"/>
      <c r="S194" s="46" t="n"/>
      <c r="T194" s="46" t="n"/>
      <c r="U194" s="46" t="n"/>
      <c r="V194" s="46" t="n"/>
      <c r="W194" s="46" t="n"/>
      <c r="X194" s="46" t="n"/>
      <c r="Y194" s="46" t="n"/>
      <c r="Z194" s="46" t="n"/>
      <c r="AA194" s="46" t="n"/>
      <c r="AB194" s="46" t="n"/>
      <c r="AC194" s="46" t="n"/>
      <c r="AD194" s="46" t="n"/>
      <c r="AE194" s="46" t="n"/>
      <c r="AF194" s="46" t="n"/>
      <c r="AG194" s="46" t="n"/>
      <c r="AH194" s="47" t="n"/>
      <c r="AI194" s="47" t="n"/>
      <c r="AJ194" s="47" t="n"/>
      <c r="AK194" s="47" t="n"/>
      <c r="AL194" s="47" t="n"/>
      <c r="AM194" s="47" t="n"/>
      <c r="AN194" s="47" t="n"/>
      <c r="AO194" s="47" t="n"/>
      <c r="AP194" s="47" t="n"/>
      <c r="AQ194" s="47" t="n"/>
      <c r="AR194" s="47" t="n"/>
      <c r="AS194" s="47" t="n"/>
      <c r="AT194" s="47" t="n"/>
      <c r="AU194" s="48" t="n"/>
      <c r="AV194" s="48" t="n"/>
      <c r="AW194" s="49">
        <f>IF($A194="","",IF($BW194&lt;&gt;"","FIX",IF($BX194&lt;&gt;"","CHECK","OK")))</f>
        <v/>
      </c>
      <c r="AX194" s="50">
        <f>IF($A194="","",IF($BW194&lt;&gt;"","FIX: "&amp;LEFT($BW194,LEN($BW194)-2)&amp;IF($BX194&lt;&gt;"","  ·  ",""),"")&amp;IF($BX194&lt;&gt;"","CHECK: "&amp;LEFT($BX194,LEN($BX194)-2),""))</f>
        <v/>
      </c>
      <c r="AY194" s="49">
        <f>IF(OR($A194="",$K194=""),"",$K194&amp;"'-"&amp;N($L194)&amp;CHAR(34)&amp;" x "&amp;$M194&amp;"'-"&amp;N($N194)&amp;CHAR(34))</f>
        <v/>
      </c>
      <c r="AZ194" s="49">
        <f>IF(OR($A194="",$K194=""),"",$K194&amp;N($L194)&amp;$M194&amp;N($N194))</f>
        <v/>
      </c>
      <c r="BA194" s="49">
        <f>IF(OR($A194="",$K194=""),"",$K194*12+N($L194))</f>
        <v/>
      </c>
      <c r="BB194" s="49">
        <f>IF(OR($A194="",$M194=""),"",$M194*12+N($N194))</f>
        <v/>
      </c>
      <c r="BC194" s="49">
        <f>IF($A194="","",IF(OR($C194="FRAME ONLY",$S194="BL"),0,IF($O194="Y",2,1)))</f>
        <v/>
      </c>
      <c r="BD194" s="51">
        <f>IF(OR(N($BC194)=0,$BA194=""),"",($BA194-2*EdgeClr-IF($BC194=2,MeetClr,0))/$BC194)</f>
        <v/>
      </c>
      <c r="BE194" s="51">
        <f>IF(OR(N($BC194)=0,$BB194=""),"",$BB194-HeadClr-Undercut)</f>
        <v/>
      </c>
      <c r="BF194" s="51">
        <f>IF($BA194="","",$BA194+2*FaceW+IF(N($Q194)&gt;0,($Q194+FaceW)*IF($R194="LR",2,1),0))</f>
        <v/>
      </c>
      <c r="BG194" s="51">
        <f>IF($BB194="","",$BB194+IF($AB194="Y",4,FaceW)+IF(N($P194)&gt;0,$P194+FaceW,0)+IF(OR($S194="4F",$S194="BL"),FaceW,0))</f>
        <v/>
      </c>
      <c r="BH194" s="51">
        <f>IF($BF194="","",$BF194+2*ROSide)</f>
        <v/>
      </c>
      <c r="BI194" s="51">
        <f>IF($BG194="","",$BG194+ROTop)</f>
        <v/>
      </c>
      <c r="BJ194" s="52">
        <f>IF(OR(N($BC194)=0,$BA194=""),"",$BA194/$BC194-ClearDeduct)</f>
        <v/>
      </c>
      <c r="BK194" s="49">
        <f>IF(OR(N($BC194)=0,$BE194=""),"",IF(OR($AC194="HGC",$AP194="HGC"),"CONT",IF($BE194&lt;=60,2,IF($BE194&lt;=90,3,IF($BE194&lt;=120,4,5)))))</f>
        <v/>
      </c>
      <c r="BL194" s="49">
        <f>IF(N($BC194)=0,"",IF(OR($AL194="",$AL194="FLUSH"),"FLUSH",IFERROR(LEFT($AL194,FIND("-",$AL194)-1),LEFT($AL194,2))))</f>
        <v/>
      </c>
      <c r="BM194" s="49">
        <f>IF($BL194="","",IFERROR(VALUE(MID($AL194,FIND("-",$AL194)+1,FIND(CHAR(34)&amp;"x",$AL194)-FIND("-",$AL194)-1)),0))</f>
        <v/>
      </c>
      <c r="BN194" s="49">
        <f>IF($BL194="","",IFERROR(VALUE(MID($AL194,FIND(CHAR(34)&amp;"x",$AL194)+2,FIND(CHAR(34),$AL194,FIND(CHAR(34)&amp;"x",$AL194)+2)-FIND(CHAR(34)&amp;"x",$AL194)-2)),0))</f>
        <v/>
      </c>
      <c r="BO194" s="53">
        <f>IF(OR($A194="",$H194="",$H194="NO LAB"),0,IFERROR(VALUE(LEFT($H194,FIND(" ",$H194)-1)),0))</f>
        <v/>
      </c>
      <c r="BP194" s="54">
        <f>IF(OR($A194="",$I194="",$I194="NON-RATED",N($J194)=0),"",IFERROR(VLOOKUP($I194&amp;"|"&amp;$J194,IBC,2,FALSE),"?"))</f>
        <v/>
      </c>
      <c r="BQ194" s="50">
        <f>IF(NOT(AND($A194&lt;&gt;"",$C194&lt;&gt;"DOOR ONLY")),"",TRIM(IFERROR(VLOOKUP($U194,CODES,2,FALSE),"")&amp;" "&amp;$AZ194&amp;" "&amp;IFERROR(VLOOKUP($Z194,CODES,2,FALSE),"")&amp;" "&amp;IFERROR(VLOOKUP($X194,CODES,2,FALSE),"")&amp;" "&amp;IFERROR(VLOOKUP($S194,CODES,2,FALSE),"")&amp;IF(N($P194)&gt;0," w/TRANSOM "&amp;$P194&amp;CHAR(34),"")&amp;IF(N($Q194)&gt;0," w/SIDELITE "&amp;$Q194&amp;CHAR(34)&amp;" "&amp;IF($R194="","R",$R194),"")&amp;IF($Y194="","  |  "," | "&amp;IFERROR(VLOOKUP($Y194,CODES,2,FALSE),"")&amp;" | ")&amp;IFERROR(VLOOKUP($AC194,CODES,2,FALSE),"")&amp;" "&amp;IFERROR(VLOOKUP($AD194,CODES,2,FALSE),"")&amp;IF(OR($AE194="",$AE194="-"),""," "&amp;$AE194)&amp;IF(OR($AF194="",$AF194="-"),""," "&amp;$AF194)&amp;IF($AB194="Y"," 4"&amp;CHAR(34)&amp;" HEAD","")&amp;" "&amp;IFERROR(VLOOKUP($H194,CODES,2,FALSE),"")))</f>
        <v/>
      </c>
      <c r="BR194" s="50">
        <f>IF(NOT(AND($A194&lt;&gt;"",N($BC194)&gt;0)),"",TRIM(IFERROR(VLOOKUP($AH194,CODES,2,FALSE),"")&amp;IF($AI194=""," "," "&amp;$AI194&amp;"GA ")&amp;$AZ194&amp;" "&amp;IF($AN194="",IFERROR(VLOOKUP($Z194,CODES,2,FALSE),""),IFERROR(VLOOKUP($AN194,CODES,2,FALSE),""))&amp;IF($BC194=2," PAIR","")&amp;" DOOR | "&amp;IF($AL194="","?",$AL194)&amp;" | "&amp;IF($AP194="",IFERROR(VLOOKUP($AC194,CODES,2,FALSE),""),IFERROR(VLOOKUP($AP194,CODES,2,FALSE),""))&amp;" "&amp;IFERROR(VLOOKUP($AQ194,CODES,2,FALSE),"")&amp;IF(OR($AR194="",$AR194="-"),""," SEAM "&amp;$AR194)&amp;IF($AS194="Y"," ASTRAGAL","")&amp;IF($AJ194=""," "," "&amp;$AJ194)&amp;IF($AK194=""," "," "&amp;$AK194)&amp;IF($AO194="",""," "&amp;$AO194)&amp;IF($AM194=""," "," SERIES "&amp;$AM194)&amp;" "&amp;IFERROR(VLOOKUP($H194,CODES,2,FALSE),"")))</f>
        <v/>
      </c>
      <c r="BS194" s="49">
        <f>IF(BV194="","",IF(COUNTIF($BV$6:BV194,BV194)=1,MAX($BS$5:BS193)+1,INDEX($BS$5:BS193,MATCH(BV194,$BV$5:BV193,0))))</f>
        <v/>
      </c>
      <c r="BT194" s="49">
        <f>IF(NOT(AND($A194&lt;&gt;"",$C194&lt;&gt;"DOOR ONLY")),"",MAX($BT$5:BT193)+1)</f>
        <v/>
      </c>
      <c r="BU194" s="49">
        <f>IF(NOT(AND($A194&lt;&gt;"",N($BC194)&gt;0)),"",MAX($BU$5:BU193)+1)</f>
        <v/>
      </c>
      <c r="BV194" s="49">
        <f>IF(OR($A194="",$BA194="",$BB194=""),"",$AZ194&amp;"|"&amp;$O194&amp;"|"&amp;$AL194&amp;"|"&amp;$S194&amp;"|"&amp;$P194&amp;"|"&amp;$Q194&amp;$R194&amp;"|"&amp;$C194&amp;"|"&amp;$AB194)</f>
        <v/>
      </c>
      <c r="BW194" s="49">
        <f>IF($A194="","",IF($B194="","qty, ","")&amp;IF($C194="","scope, ","")&amp;IF(OR($K194="",$M194=""),"size, ","")&amp;IF(AND($A194&lt;&gt;"",$C194&lt;&gt;"DOOR ONLY"),IF($U194="","jamb depth, ","")&amp;IF($X194="","construction, ","")&amp;IF($Y194="","anchor, ","")&amp;IF($S194="","frame type, ",""),"")&amp;IF(AND(N($BC194)&gt;0,$Z194=""),"hand, ","")&amp;IF(N($BC194)&gt;0,IF($AH194="","door material, ","")&amp;IF($AL194="","face type, ","")&amp;IF($AQ194="","lock prep, ","")&amp;IF(AND($AP194="",$AC194=""),"hinge prep, ",""),"")&amp;IF(AND($BO194&gt;0,$AH194="FRP"),"FRP cannot carry a label, ","")&amp;IF(AND($O194="Y",OR($Z194="L",$Z194="R",$Z194="LR",$Z194="RR")),"pair marked but hand is single, ","")&amp;IF(AND($O194&lt;&gt;"Y",OR($Z194="PR",AND(LEN($Z194)&gt;1,ISNUMBER(SEARCH("-",$Z194))))),"pair hand on a single door, ","")&amp;IF(AND(ISNUMBER($BP194),$BO194&lt;N($BP194)),"wall needs a "&amp;$BP194&amp;" min door, ","")&amp;IF(AND($BO194&gt;=180,AND(OR($BL194="FG",$BL194="HG",$BL194="FNV",$BL194="FV"),N($BM194)*N($BN194)&gt;100)),"180 min lite over 100 sq in, ","")&amp;IF(N($BD194)&gt;48,"leaf wider than 4'-0"&amp;CHAR(34)&amp;", ",""))</f>
        <v/>
      </c>
      <c r="BX194" s="49">
        <f>IF($A194="","",IF(AND($BO194&gt;0,AND($A194&lt;&gt;"",$C194&lt;&gt;"DOOR ONLY"),$X194="KD",$E194="EXTERIOR"),"KD label on an exterior opening, ","")&amp;IF(AND($E194="EXTERIOR",OR(AND(AND($A194&lt;&gt;"",$C194&lt;&gt;"DOOR ONLY"),$W194="CR"),AND(N($BC194)&gt;0,$AH194="CR"))),"exterior in CR steel (G9?), ","")&amp;IF(AND(ISNUMBER($BJ194),N($BJ194)&lt;32),"clear width ~"&amp;TEXT($BJ194,"0.0")&amp;CHAR(34)&amp;" under 32"&amp;CHAR(34)&amp;" (ADA), ","")&amp;IF(AND($BO194=90,AND(OR($BL194="FG",$BL194="HG",$BL194="FNV",$BL194="FV"),N($BM194)*N($BN194)&gt;100)),"90 min lite over 100 sq in (stair/exit), ","")&amp;IF(AND($BO194&gt;0,AND($A194&lt;&gt;"",$C194&lt;&gt;"DOOR ONLY"),OR($AF194="",$AF194="-")),"rated: closer reinf.?, ","")&amp;IF(OR($I194="CORRIDOR",$I194="SMOKE BARRIER"),"S label + smoke gasketing, ","")&amp;IF($BP194="?","wall type/hr not in IBC table, ","")&amp;IF(AND(N($BC194)&gt;0,$AU194=""),"no hardware set, ","")&amp;IF(AND($AU194&lt;&gt;"",ISNA(MATCH($AU194,HWSets,0))),"set "&amp;$AU194&amp;" not on Hardware sheet, ","")&amp;IF(N($BE194)&gt;96,"leaf over 8'-0"&amp;CHAR(34)&amp;" - check listing, ",""))</f>
        <v/>
      </c>
    </row>
    <row r="195" ht="15" customHeight="1">
      <c r="A195" s="44" t="n"/>
      <c r="B195" s="45" t="n"/>
      <c r="C195" s="45" t="n"/>
      <c r="D195" s="45" t="n"/>
      <c r="E195" s="45" t="n"/>
      <c r="F195" s="45" t="n"/>
      <c r="G195" s="45" t="n"/>
      <c r="H195" s="45" t="n"/>
      <c r="I195" s="45" t="n"/>
      <c r="J195" s="45" t="n"/>
      <c r="K195" s="45" t="n"/>
      <c r="L195" s="45" t="n"/>
      <c r="M195" s="45" t="n"/>
      <c r="N195" s="45" t="n"/>
      <c r="O195" s="45" t="n"/>
      <c r="P195" s="45" t="n"/>
      <c r="Q195" s="45" t="n"/>
      <c r="R195" s="45" t="n"/>
      <c r="S195" s="46" t="n"/>
      <c r="T195" s="46" t="n"/>
      <c r="U195" s="46" t="n"/>
      <c r="V195" s="46" t="n"/>
      <c r="W195" s="46" t="n"/>
      <c r="X195" s="46" t="n"/>
      <c r="Y195" s="46" t="n"/>
      <c r="Z195" s="46" t="n"/>
      <c r="AA195" s="46" t="n"/>
      <c r="AB195" s="46" t="n"/>
      <c r="AC195" s="46" t="n"/>
      <c r="AD195" s="46" t="n"/>
      <c r="AE195" s="46" t="n"/>
      <c r="AF195" s="46" t="n"/>
      <c r="AG195" s="46" t="n"/>
      <c r="AH195" s="47" t="n"/>
      <c r="AI195" s="47" t="n"/>
      <c r="AJ195" s="47" t="n"/>
      <c r="AK195" s="47" t="n"/>
      <c r="AL195" s="47" t="n"/>
      <c r="AM195" s="47" t="n"/>
      <c r="AN195" s="47" t="n"/>
      <c r="AO195" s="47" t="n"/>
      <c r="AP195" s="47" t="n"/>
      <c r="AQ195" s="47" t="n"/>
      <c r="AR195" s="47" t="n"/>
      <c r="AS195" s="47" t="n"/>
      <c r="AT195" s="47" t="n"/>
      <c r="AU195" s="48" t="n"/>
      <c r="AV195" s="48" t="n"/>
      <c r="AW195" s="49">
        <f>IF($A195="","",IF($BW195&lt;&gt;"","FIX",IF($BX195&lt;&gt;"","CHECK","OK")))</f>
        <v/>
      </c>
      <c r="AX195" s="50">
        <f>IF($A195="","",IF($BW195&lt;&gt;"","FIX: "&amp;LEFT($BW195,LEN($BW195)-2)&amp;IF($BX195&lt;&gt;"","  ·  ",""),"")&amp;IF($BX195&lt;&gt;"","CHECK: "&amp;LEFT($BX195,LEN($BX195)-2),""))</f>
        <v/>
      </c>
      <c r="AY195" s="49">
        <f>IF(OR($A195="",$K195=""),"",$K195&amp;"'-"&amp;N($L195)&amp;CHAR(34)&amp;" x "&amp;$M195&amp;"'-"&amp;N($N195)&amp;CHAR(34))</f>
        <v/>
      </c>
      <c r="AZ195" s="49">
        <f>IF(OR($A195="",$K195=""),"",$K195&amp;N($L195)&amp;$M195&amp;N($N195))</f>
        <v/>
      </c>
      <c r="BA195" s="49">
        <f>IF(OR($A195="",$K195=""),"",$K195*12+N($L195))</f>
        <v/>
      </c>
      <c r="BB195" s="49">
        <f>IF(OR($A195="",$M195=""),"",$M195*12+N($N195))</f>
        <v/>
      </c>
      <c r="BC195" s="49">
        <f>IF($A195="","",IF(OR($C195="FRAME ONLY",$S195="BL"),0,IF($O195="Y",2,1)))</f>
        <v/>
      </c>
      <c r="BD195" s="51">
        <f>IF(OR(N($BC195)=0,$BA195=""),"",($BA195-2*EdgeClr-IF($BC195=2,MeetClr,0))/$BC195)</f>
        <v/>
      </c>
      <c r="BE195" s="51">
        <f>IF(OR(N($BC195)=0,$BB195=""),"",$BB195-HeadClr-Undercut)</f>
        <v/>
      </c>
      <c r="BF195" s="51">
        <f>IF($BA195="","",$BA195+2*FaceW+IF(N($Q195)&gt;0,($Q195+FaceW)*IF($R195="LR",2,1),0))</f>
        <v/>
      </c>
      <c r="BG195" s="51">
        <f>IF($BB195="","",$BB195+IF($AB195="Y",4,FaceW)+IF(N($P195)&gt;0,$P195+FaceW,0)+IF(OR($S195="4F",$S195="BL"),FaceW,0))</f>
        <v/>
      </c>
      <c r="BH195" s="51">
        <f>IF($BF195="","",$BF195+2*ROSide)</f>
        <v/>
      </c>
      <c r="BI195" s="51">
        <f>IF($BG195="","",$BG195+ROTop)</f>
        <v/>
      </c>
      <c r="BJ195" s="52">
        <f>IF(OR(N($BC195)=0,$BA195=""),"",$BA195/$BC195-ClearDeduct)</f>
        <v/>
      </c>
      <c r="BK195" s="49">
        <f>IF(OR(N($BC195)=0,$BE195=""),"",IF(OR($AC195="HGC",$AP195="HGC"),"CONT",IF($BE195&lt;=60,2,IF($BE195&lt;=90,3,IF($BE195&lt;=120,4,5)))))</f>
        <v/>
      </c>
      <c r="BL195" s="49">
        <f>IF(N($BC195)=0,"",IF(OR($AL195="",$AL195="FLUSH"),"FLUSH",IFERROR(LEFT($AL195,FIND("-",$AL195)-1),LEFT($AL195,2))))</f>
        <v/>
      </c>
      <c r="BM195" s="49">
        <f>IF($BL195="","",IFERROR(VALUE(MID($AL195,FIND("-",$AL195)+1,FIND(CHAR(34)&amp;"x",$AL195)-FIND("-",$AL195)-1)),0))</f>
        <v/>
      </c>
      <c r="BN195" s="49">
        <f>IF($BL195="","",IFERROR(VALUE(MID($AL195,FIND(CHAR(34)&amp;"x",$AL195)+2,FIND(CHAR(34),$AL195,FIND(CHAR(34)&amp;"x",$AL195)+2)-FIND(CHAR(34)&amp;"x",$AL195)-2)),0))</f>
        <v/>
      </c>
      <c r="BO195" s="53">
        <f>IF(OR($A195="",$H195="",$H195="NO LAB"),0,IFERROR(VALUE(LEFT($H195,FIND(" ",$H195)-1)),0))</f>
        <v/>
      </c>
      <c r="BP195" s="54">
        <f>IF(OR($A195="",$I195="",$I195="NON-RATED",N($J195)=0),"",IFERROR(VLOOKUP($I195&amp;"|"&amp;$J195,IBC,2,FALSE),"?"))</f>
        <v/>
      </c>
      <c r="BQ195" s="50">
        <f>IF(NOT(AND($A195&lt;&gt;"",$C195&lt;&gt;"DOOR ONLY")),"",TRIM(IFERROR(VLOOKUP($U195,CODES,2,FALSE),"")&amp;" "&amp;$AZ195&amp;" "&amp;IFERROR(VLOOKUP($Z195,CODES,2,FALSE),"")&amp;" "&amp;IFERROR(VLOOKUP($X195,CODES,2,FALSE),"")&amp;" "&amp;IFERROR(VLOOKUP($S195,CODES,2,FALSE),"")&amp;IF(N($P195)&gt;0," w/TRANSOM "&amp;$P195&amp;CHAR(34),"")&amp;IF(N($Q195)&gt;0," w/SIDELITE "&amp;$Q195&amp;CHAR(34)&amp;" "&amp;IF($R195="","R",$R195),"")&amp;IF($Y195="","  |  "," | "&amp;IFERROR(VLOOKUP($Y195,CODES,2,FALSE),"")&amp;" | ")&amp;IFERROR(VLOOKUP($AC195,CODES,2,FALSE),"")&amp;" "&amp;IFERROR(VLOOKUP($AD195,CODES,2,FALSE),"")&amp;IF(OR($AE195="",$AE195="-"),""," "&amp;$AE195)&amp;IF(OR($AF195="",$AF195="-"),""," "&amp;$AF195)&amp;IF($AB195="Y"," 4"&amp;CHAR(34)&amp;" HEAD","")&amp;" "&amp;IFERROR(VLOOKUP($H195,CODES,2,FALSE),"")))</f>
        <v/>
      </c>
      <c r="BR195" s="50">
        <f>IF(NOT(AND($A195&lt;&gt;"",N($BC195)&gt;0)),"",TRIM(IFERROR(VLOOKUP($AH195,CODES,2,FALSE),"")&amp;IF($AI195=""," "," "&amp;$AI195&amp;"GA ")&amp;$AZ195&amp;" "&amp;IF($AN195="",IFERROR(VLOOKUP($Z195,CODES,2,FALSE),""),IFERROR(VLOOKUP($AN195,CODES,2,FALSE),""))&amp;IF($BC195=2," PAIR","")&amp;" DOOR | "&amp;IF($AL195="","?",$AL195)&amp;" | "&amp;IF($AP195="",IFERROR(VLOOKUP($AC195,CODES,2,FALSE),""),IFERROR(VLOOKUP($AP195,CODES,2,FALSE),""))&amp;" "&amp;IFERROR(VLOOKUP($AQ195,CODES,2,FALSE),"")&amp;IF(OR($AR195="",$AR195="-"),""," SEAM "&amp;$AR195)&amp;IF($AS195="Y"," ASTRAGAL","")&amp;IF($AJ195=""," "," "&amp;$AJ195)&amp;IF($AK195=""," "," "&amp;$AK195)&amp;IF($AO195="",""," "&amp;$AO195)&amp;IF($AM195=""," "," SERIES "&amp;$AM195)&amp;" "&amp;IFERROR(VLOOKUP($H195,CODES,2,FALSE),"")))</f>
        <v/>
      </c>
      <c r="BS195" s="49">
        <f>IF(BV195="","",IF(COUNTIF($BV$6:BV195,BV195)=1,MAX($BS$5:BS194)+1,INDEX($BS$5:BS194,MATCH(BV195,$BV$5:BV194,0))))</f>
        <v/>
      </c>
      <c r="BT195" s="49">
        <f>IF(NOT(AND($A195&lt;&gt;"",$C195&lt;&gt;"DOOR ONLY")),"",MAX($BT$5:BT194)+1)</f>
        <v/>
      </c>
      <c r="BU195" s="49">
        <f>IF(NOT(AND($A195&lt;&gt;"",N($BC195)&gt;0)),"",MAX($BU$5:BU194)+1)</f>
        <v/>
      </c>
      <c r="BV195" s="49">
        <f>IF(OR($A195="",$BA195="",$BB195=""),"",$AZ195&amp;"|"&amp;$O195&amp;"|"&amp;$AL195&amp;"|"&amp;$S195&amp;"|"&amp;$P195&amp;"|"&amp;$Q195&amp;$R195&amp;"|"&amp;$C195&amp;"|"&amp;$AB195)</f>
        <v/>
      </c>
      <c r="BW195" s="49">
        <f>IF($A195="","",IF($B195="","qty, ","")&amp;IF($C195="","scope, ","")&amp;IF(OR($K195="",$M195=""),"size, ","")&amp;IF(AND($A195&lt;&gt;"",$C195&lt;&gt;"DOOR ONLY"),IF($U195="","jamb depth, ","")&amp;IF($X195="","construction, ","")&amp;IF($Y195="","anchor, ","")&amp;IF($S195="","frame type, ",""),"")&amp;IF(AND(N($BC195)&gt;0,$Z195=""),"hand, ","")&amp;IF(N($BC195)&gt;0,IF($AH195="","door material, ","")&amp;IF($AL195="","face type, ","")&amp;IF($AQ195="","lock prep, ","")&amp;IF(AND($AP195="",$AC195=""),"hinge prep, ",""),"")&amp;IF(AND($BO195&gt;0,$AH195="FRP"),"FRP cannot carry a label, ","")&amp;IF(AND($O195="Y",OR($Z195="L",$Z195="R",$Z195="LR",$Z195="RR")),"pair marked but hand is single, ","")&amp;IF(AND($O195&lt;&gt;"Y",OR($Z195="PR",AND(LEN($Z195)&gt;1,ISNUMBER(SEARCH("-",$Z195))))),"pair hand on a single door, ","")&amp;IF(AND(ISNUMBER($BP195),$BO195&lt;N($BP195)),"wall needs a "&amp;$BP195&amp;" min door, ","")&amp;IF(AND($BO195&gt;=180,AND(OR($BL195="FG",$BL195="HG",$BL195="FNV",$BL195="FV"),N($BM195)*N($BN195)&gt;100)),"180 min lite over 100 sq in, ","")&amp;IF(N($BD195)&gt;48,"leaf wider than 4'-0"&amp;CHAR(34)&amp;", ",""))</f>
        <v/>
      </c>
      <c r="BX195" s="49">
        <f>IF($A195="","",IF(AND($BO195&gt;0,AND($A195&lt;&gt;"",$C195&lt;&gt;"DOOR ONLY"),$X195="KD",$E195="EXTERIOR"),"KD label on an exterior opening, ","")&amp;IF(AND($E195="EXTERIOR",OR(AND(AND($A195&lt;&gt;"",$C195&lt;&gt;"DOOR ONLY"),$W195="CR"),AND(N($BC195)&gt;0,$AH195="CR"))),"exterior in CR steel (G9?), ","")&amp;IF(AND(ISNUMBER($BJ195),N($BJ195)&lt;32),"clear width ~"&amp;TEXT($BJ195,"0.0")&amp;CHAR(34)&amp;" under 32"&amp;CHAR(34)&amp;" (ADA), ","")&amp;IF(AND($BO195=90,AND(OR($BL195="FG",$BL195="HG",$BL195="FNV",$BL195="FV"),N($BM195)*N($BN195)&gt;100)),"90 min lite over 100 sq in (stair/exit), ","")&amp;IF(AND($BO195&gt;0,AND($A195&lt;&gt;"",$C195&lt;&gt;"DOOR ONLY"),OR($AF195="",$AF195="-")),"rated: closer reinf.?, ","")&amp;IF(OR($I195="CORRIDOR",$I195="SMOKE BARRIER"),"S label + smoke gasketing, ","")&amp;IF($BP195="?","wall type/hr not in IBC table, ","")&amp;IF(AND(N($BC195)&gt;0,$AU195=""),"no hardware set, ","")&amp;IF(AND($AU195&lt;&gt;"",ISNA(MATCH($AU195,HWSets,0))),"set "&amp;$AU195&amp;" not on Hardware sheet, ","")&amp;IF(N($BE195)&gt;96,"leaf over 8'-0"&amp;CHAR(34)&amp;" - check listing, ",""))</f>
        <v/>
      </c>
    </row>
    <row r="196" ht="15" customHeight="1">
      <c r="A196" s="44" t="n"/>
      <c r="B196" s="45" t="n"/>
      <c r="C196" s="45" t="n"/>
      <c r="D196" s="45" t="n"/>
      <c r="E196" s="45" t="n"/>
      <c r="F196" s="45" t="n"/>
      <c r="G196" s="45" t="n"/>
      <c r="H196" s="45" t="n"/>
      <c r="I196" s="45" t="n"/>
      <c r="J196" s="45" t="n"/>
      <c r="K196" s="45" t="n"/>
      <c r="L196" s="45" t="n"/>
      <c r="M196" s="45" t="n"/>
      <c r="N196" s="45" t="n"/>
      <c r="O196" s="45" t="n"/>
      <c r="P196" s="45" t="n"/>
      <c r="Q196" s="45" t="n"/>
      <c r="R196" s="45" t="n"/>
      <c r="S196" s="46" t="n"/>
      <c r="T196" s="46" t="n"/>
      <c r="U196" s="46" t="n"/>
      <c r="V196" s="46" t="n"/>
      <c r="W196" s="46" t="n"/>
      <c r="X196" s="46" t="n"/>
      <c r="Y196" s="46" t="n"/>
      <c r="Z196" s="46" t="n"/>
      <c r="AA196" s="46" t="n"/>
      <c r="AB196" s="46" t="n"/>
      <c r="AC196" s="46" t="n"/>
      <c r="AD196" s="46" t="n"/>
      <c r="AE196" s="46" t="n"/>
      <c r="AF196" s="46" t="n"/>
      <c r="AG196" s="46" t="n"/>
      <c r="AH196" s="47" t="n"/>
      <c r="AI196" s="47" t="n"/>
      <c r="AJ196" s="47" t="n"/>
      <c r="AK196" s="47" t="n"/>
      <c r="AL196" s="47" t="n"/>
      <c r="AM196" s="47" t="n"/>
      <c r="AN196" s="47" t="n"/>
      <c r="AO196" s="47" t="n"/>
      <c r="AP196" s="47" t="n"/>
      <c r="AQ196" s="47" t="n"/>
      <c r="AR196" s="47" t="n"/>
      <c r="AS196" s="47" t="n"/>
      <c r="AT196" s="47" t="n"/>
      <c r="AU196" s="48" t="n"/>
      <c r="AV196" s="48" t="n"/>
      <c r="AW196" s="49">
        <f>IF($A196="","",IF($BW196&lt;&gt;"","FIX",IF($BX196&lt;&gt;"","CHECK","OK")))</f>
        <v/>
      </c>
      <c r="AX196" s="50">
        <f>IF($A196="","",IF($BW196&lt;&gt;"","FIX: "&amp;LEFT($BW196,LEN($BW196)-2)&amp;IF($BX196&lt;&gt;"","  ·  ",""),"")&amp;IF($BX196&lt;&gt;"","CHECK: "&amp;LEFT($BX196,LEN($BX196)-2),""))</f>
        <v/>
      </c>
      <c r="AY196" s="49">
        <f>IF(OR($A196="",$K196=""),"",$K196&amp;"'-"&amp;N($L196)&amp;CHAR(34)&amp;" x "&amp;$M196&amp;"'-"&amp;N($N196)&amp;CHAR(34))</f>
        <v/>
      </c>
      <c r="AZ196" s="49">
        <f>IF(OR($A196="",$K196=""),"",$K196&amp;N($L196)&amp;$M196&amp;N($N196))</f>
        <v/>
      </c>
      <c r="BA196" s="49">
        <f>IF(OR($A196="",$K196=""),"",$K196*12+N($L196))</f>
        <v/>
      </c>
      <c r="BB196" s="49">
        <f>IF(OR($A196="",$M196=""),"",$M196*12+N($N196))</f>
        <v/>
      </c>
      <c r="BC196" s="49">
        <f>IF($A196="","",IF(OR($C196="FRAME ONLY",$S196="BL"),0,IF($O196="Y",2,1)))</f>
        <v/>
      </c>
      <c r="BD196" s="51">
        <f>IF(OR(N($BC196)=0,$BA196=""),"",($BA196-2*EdgeClr-IF($BC196=2,MeetClr,0))/$BC196)</f>
        <v/>
      </c>
      <c r="BE196" s="51">
        <f>IF(OR(N($BC196)=0,$BB196=""),"",$BB196-HeadClr-Undercut)</f>
        <v/>
      </c>
      <c r="BF196" s="51">
        <f>IF($BA196="","",$BA196+2*FaceW+IF(N($Q196)&gt;0,($Q196+FaceW)*IF($R196="LR",2,1),0))</f>
        <v/>
      </c>
      <c r="BG196" s="51">
        <f>IF($BB196="","",$BB196+IF($AB196="Y",4,FaceW)+IF(N($P196)&gt;0,$P196+FaceW,0)+IF(OR($S196="4F",$S196="BL"),FaceW,0))</f>
        <v/>
      </c>
      <c r="BH196" s="51">
        <f>IF($BF196="","",$BF196+2*ROSide)</f>
        <v/>
      </c>
      <c r="BI196" s="51">
        <f>IF($BG196="","",$BG196+ROTop)</f>
        <v/>
      </c>
      <c r="BJ196" s="52">
        <f>IF(OR(N($BC196)=0,$BA196=""),"",$BA196/$BC196-ClearDeduct)</f>
        <v/>
      </c>
      <c r="BK196" s="49">
        <f>IF(OR(N($BC196)=0,$BE196=""),"",IF(OR($AC196="HGC",$AP196="HGC"),"CONT",IF($BE196&lt;=60,2,IF($BE196&lt;=90,3,IF($BE196&lt;=120,4,5)))))</f>
        <v/>
      </c>
      <c r="BL196" s="49">
        <f>IF(N($BC196)=0,"",IF(OR($AL196="",$AL196="FLUSH"),"FLUSH",IFERROR(LEFT($AL196,FIND("-",$AL196)-1),LEFT($AL196,2))))</f>
        <v/>
      </c>
      <c r="BM196" s="49">
        <f>IF($BL196="","",IFERROR(VALUE(MID($AL196,FIND("-",$AL196)+1,FIND(CHAR(34)&amp;"x",$AL196)-FIND("-",$AL196)-1)),0))</f>
        <v/>
      </c>
      <c r="BN196" s="49">
        <f>IF($BL196="","",IFERROR(VALUE(MID($AL196,FIND(CHAR(34)&amp;"x",$AL196)+2,FIND(CHAR(34),$AL196,FIND(CHAR(34)&amp;"x",$AL196)+2)-FIND(CHAR(34)&amp;"x",$AL196)-2)),0))</f>
        <v/>
      </c>
      <c r="BO196" s="53">
        <f>IF(OR($A196="",$H196="",$H196="NO LAB"),0,IFERROR(VALUE(LEFT($H196,FIND(" ",$H196)-1)),0))</f>
        <v/>
      </c>
      <c r="BP196" s="54">
        <f>IF(OR($A196="",$I196="",$I196="NON-RATED",N($J196)=0),"",IFERROR(VLOOKUP($I196&amp;"|"&amp;$J196,IBC,2,FALSE),"?"))</f>
        <v/>
      </c>
      <c r="BQ196" s="50">
        <f>IF(NOT(AND($A196&lt;&gt;"",$C196&lt;&gt;"DOOR ONLY")),"",TRIM(IFERROR(VLOOKUP($U196,CODES,2,FALSE),"")&amp;" "&amp;$AZ196&amp;" "&amp;IFERROR(VLOOKUP($Z196,CODES,2,FALSE),"")&amp;" "&amp;IFERROR(VLOOKUP($X196,CODES,2,FALSE),"")&amp;" "&amp;IFERROR(VLOOKUP($S196,CODES,2,FALSE),"")&amp;IF(N($P196)&gt;0," w/TRANSOM "&amp;$P196&amp;CHAR(34),"")&amp;IF(N($Q196)&gt;0," w/SIDELITE "&amp;$Q196&amp;CHAR(34)&amp;" "&amp;IF($R196="","R",$R196),"")&amp;IF($Y196="","  |  "," | "&amp;IFERROR(VLOOKUP($Y196,CODES,2,FALSE),"")&amp;" | ")&amp;IFERROR(VLOOKUP($AC196,CODES,2,FALSE),"")&amp;" "&amp;IFERROR(VLOOKUP($AD196,CODES,2,FALSE),"")&amp;IF(OR($AE196="",$AE196="-"),""," "&amp;$AE196)&amp;IF(OR($AF196="",$AF196="-"),""," "&amp;$AF196)&amp;IF($AB196="Y"," 4"&amp;CHAR(34)&amp;" HEAD","")&amp;" "&amp;IFERROR(VLOOKUP($H196,CODES,2,FALSE),"")))</f>
        <v/>
      </c>
      <c r="BR196" s="50">
        <f>IF(NOT(AND($A196&lt;&gt;"",N($BC196)&gt;0)),"",TRIM(IFERROR(VLOOKUP($AH196,CODES,2,FALSE),"")&amp;IF($AI196=""," "," "&amp;$AI196&amp;"GA ")&amp;$AZ196&amp;" "&amp;IF($AN196="",IFERROR(VLOOKUP($Z196,CODES,2,FALSE),""),IFERROR(VLOOKUP($AN196,CODES,2,FALSE),""))&amp;IF($BC196=2," PAIR","")&amp;" DOOR | "&amp;IF($AL196="","?",$AL196)&amp;" | "&amp;IF($AP196="",IFERROR(VLOOKUP($AC196,CODES,2,FALSE),""),IFERROR(VLOOKUP($AP196,CODES,2,FALSE),""))&amp;" "&amp;IFERROR(VLOOKUP($AQ196,CODES,2,FALSE),"")&amp;IF(OR($AR196="",$AR196="-"),""," SEAM "&amp;$AR196)&amp;IF($AS196="Y"," ASTRAGAL","")&amp;IF($AJ196=""," "," "&amp;$AJ196)&amp;IF($AK196=""," "," "&amp;$AK196)&amp;IF($AO196="",""," "&amp;$AO196)&amp;IF($AM196=""," "," SERIES "&amp;$AM196)&amp;" "&amp;IFERROR(VLOOKUP($H196,CODES,2,FALSE),"")))</f>
        <v/>
      </c>
      <c r="BS196" s="49">
        <f>IF(BV196="","",IF(COUNTIF($BV$6:BV196,BV196)=1,MAX($BS$5:BS195)+1,INDEX($BS$5:BS195,MATCH(BV196,$BV$5:BV195,0))))</f>
        <v/>
      </c>
      <c r="BT196" s="49">
        <f>IF(NOT(AND($A196&lt;&gt;"",$C196&lt;&gt;"DOOR ONLY")),"",MAX($BT$5:BT195)+1)</f>
        <v/>
      </c>
      <c r="BU196" s="49">
        <f>IF(NOT(AND($A196&lt;&gt;"",N($BC196)&gt;0)),"",MAX($BU$5:BU195)+1)</f>
        <v/>
      </c>
      <c r="BV196" s="49">
        <f>IF(OR($A196="",$BA196="",$BB196=""),"",$AZ196&amp;"|"&amp;$O196&amp;"|"&amp;$AL196&amp;"|"&amp;$S196&amp;"|"&amp;$P196&amp;"|"&amp;$Q196&amp;$R196&amp;"|"&amp;$C196&amp;"|"&amp;$AB196)</f>
        <v/>
      </c>
      <c r="BW196" s="49">
        <f>IF($A196="","",IF($B196="","qty, ","")&amp;IF($C196="","scope, ","")&amp;IF(OR($K196="",$M196=""),"size, ","")&amp;IF(AND($A196&lt;&gt;"",$C196&lt;&gt;"DOOR ONLY"),IF($U196="","jamb depth, ","")&amp;IF($X196="","construction, ","")&amp;IF($Y196="","anchor, ","")&amp;IF($S196="","frame type, ",""),"")&amp;IF(AND(N($BC196)&gt;0,$Z196=""),"hand, ","")&amp;IF(N($BC196)&gt;0,IF($AH196="","door material, ","")&amp;IF($AL196="","face type, ","")&amp;IF($AQ196="","lock prep, ","")&amp;IF(AND($AP196="",$AC196=""),"hinge prep, ",""),"")&amp;IF(AND($BO196&gt;0,$AH196="FRP"),"FRP cannot carry a label, ","")&amp;IF(AND($O196="Y",OR($Z196="L",$Z196="R",$Z196="LR",$Z196="RR")),"pair marked but hand is single, ","")&amp;IF(AND($O196&lt;&gt;"Y",OR($Z196="PR",AND(LEN($Z196)&gt;1,ISNUMBER(SEARCH("-",$Z196))))),"pair hand on a single door, ","")&amp;IF(AND(ISNUMBER($BP196),$BO196&lt;N($BP196)),"wall needs a "&amp;$BP196&amp;" min door, ","")&amp;IF(AND($BO196&gt;=180,AND(OR($BL196="FG",$BL196="HG",$BL196="FNV",$BL196="FV"),N($BM196)*N($BN196)&gt;100)),"180 min lite over 100 sq in, ","")&amp;IF(N($BD196)&gt;48,"leaf wider than 4'-0"&amp;CHAR(34)&amp;", ",""))</f>
        <v/>
      </c>
      <c r="BX196" s="49">
        <f>IF($A196="","",IF(AND($BO196&gt;0,AND($A196&lt;&gt;"",$C196&lt;&gt;"DOOR ONLY"),$X196="KD",$E196="EXTERIOR"),"KD label on an exterior opening, ","")&amp;IF(AND($E196="EXTERIOR",OR(AND(AND($A196&lt;&gt;"",$C196&lt;&gt;"DOOR ONLY"),$W196="CR"),AND(N($BC196)&gt;0,$AH196="CR"))),"exterior in CR steel (G9?), ","")&amp;IF(AND(ISNUMBER($BJ196),N($BJ196)&lt;32),"clear width ~"&amp;TEXT($BJ196,"0.0")&amp;CHAR(34)&amp;" under 32"&amp;CHAR(34)&amp;" (ADA), ","")&amp;IF(AND($BO196=90,AND(OR($BL196="FG",$BL196="HG",$BL196="FNV",$BL196="FV"),N($BM196)*N($BN196)&gt;100)),"90 min lite over 100 sq in (stair/exit), ","")&amp;IF(AND($BO196&gt;0,AND($A196&lt;&gt;"",$C196&lt;&gt;"DOOR ONLY"),OR($AF196="",$AF196="-")),"rated: closer reinf.?, ","")&amp;IF(OR($I196="CORRIDOR",$I196="SMOKE BARRIER"),"S label + smoke gasketing, ","")&amp;IF($BP196="?","wall type/hr not in IBC table, ","")&amp;IF(AND(N($BC196)&gt;0,$AU196=""),"no hardware set, ","")&amp;IF(AND($AU196&lt;&gt;"",ISNA(MATCH($AU196,HWSets,0))),"set "&amp;$AU196&amp;" not on Hardware sheet, ","")&amp;IF(N($BE196)&gt;96,"leaf over 8'-0"&amp;CHAR(34)&amp;" - check listing, ",""))</f>
        <v/>
      </c>
    </row>
    <row r="197" ht="15" customHeight="1">
      <c r="A197" s="44" t="n"/>
      <c r="B197" s="45" t="n"/>
      <c r="C197" s="45" t="n"/>
      <c r="D197" s="45" t="n"/>
      <c r="E197" s="45" t="n"/>
      <c r="F197" s="45" t="n"/>
      <c r="G197" s="45" t="n"/>
      <c r="H197" s="45" t="n"/>
      <c r="I197" s="45" t="n"/>
      <c r="J197" s="45" t="n"/>
      <c r="K197" s="45" t="n"/>
      <c r="L197" s="45" t="n"/>
      <c r="M197" s="45" t="n"/>
      <c r="N197" s="45" t="n"/>
      <c r="O197" s="45" t="n"/>
      <c r="P197" s="45" t="n"/>
      <c r="Q197" s="45" t="n"/>
      <c r="R197" s="45" t="n"/>
      <c r="S197" s="46" t="n"/>
      <c r="T197" s="46" t="n"/>
      <c r="U197" s="46" t="n"/>
      <c r="V197" s="46" t="n"/>
      <c r="W197" s="46" t="n"/>
      <c r="X197" s="46" t="n"/>
      <c r="Y197" s="46" t="n"/>
      <c r="Z197" s="46" t="n"/>
      <c r="AA197" s="46" t="n"/>
      <c r="AB197" s="46" t="n"/>
      <c r="AC197" s="46" t="n"/>
      <c r="AD197" s="46" t="n"/>
      <c r="AE197" s="46" t="n"/>
      <c r="AF197" s="46" t="n"/>
      <c r="AG197" s="46" t="n"/>
      <c r="AH197" s="47" t="n"/>
      <c r="AI197" s="47" t="n"/>
      <c r="AJ197" s="47" t="n"/>
      <c r="AK197" s="47" t="n"/>
      <c r="AL197" s="47" t="n"/>
      <c r="AM197" s="47" t="n"/>
      <c r="AN197" s="47" t="n"/>
      <c r="AO197" s="47" t="n"/>
      <c r="AP197" s="47" t="n"/>
      <c r="AQ197" s="47" t="n"/>
      <c r="AR197" s="47" t="n"/>
      <c r="AS197" s="47" t="n"/>
      <c r="AT197" s="47" t="n"/>
      <c r="AU197" s="48" t="n"/>
      <c r="AV197" s="48" t="n"/>
      <c r="AW197" s="49">
        <f>IF($A197="","",IF($BW197&lt;&gt;"","FIX",IF($BX197&lt;&gt;"","CHECK","OK")))</f>
        <v/>
      </c>
      <c r="AX197" s="50">
        <f>IF($A197="","",IF($BW197&lt;&gt;"","FIX: "&amp;LEFT($BW197,LEN($BW197)-2)&amp;IF($BX197&lt;&gt;"","  ·  ",""),"")&amp;IF($BX197&lt;&gt;"","CHECK: "&amp;LEFT($BX197,LEN($BX197)-2),""))</f>
        <v/>
      </c>
      <c r="AY197" s="49">
        <f>IF(OR($A197="",$K197=""),"",$K197&amp;"'-"&amp;N($L197)&amp;CHAR(34)&amp;" x "&amp;$M197&amp;"'-"&amp;N($N197)&amp;CHAR(34))</f>
        <v/>
      </c>
      <c r="AZ197" s="49">
        <f>IF(OR($A197="",$K197=""),"",$K197&amp;N($L197)&amp;$M197&amp;N($N197))</f>
        <v/>
      </c>
      <c r="BA197" s="49">
        <f>IF(OR($A197="",$K197=""),"",$K197*12+N($L197))</f>
        <v/>
      </c>
      <c r="BB197" s="49">
        <f>IF(OR($A197="",$M197=""),"",$M197*12+N($N197))</f>
        <v/>
      </c>
      <c r="BC197" s="49">
        <f>IF($A197="","",IF(OR($C197="FRAME ONLY",$S197="BL"),0,IF($O197="Y",2,1)))</f>
        <v/>
      </c>
      <c r="BD197" s="51">
        <f>IF(OR(N($BC197)=0,$BA197=""),"",($BA197-2*EdgeClr-IF($BC197=2,MeetClr,0))/$BC197)</f>
        <v/>
      </c>
      <c r="BE197" s="51">
        <f>IF(OR(N($BC197)=0,$BB197=""),"",$BB197-HeadClr-Undercut)</f>
        <v/>
      </c>
      <c r="BF197" s="51">
        <f>IF($BA197="","",$BA197+2*FaceW+IF(N($Q197)&gt;0,($Q197+FaceW)*IF($R197="LR",2,1),0))</f>
        <v/>
      </c>
      <c r="BG197" s="51">
        <f>IF($BB197="","",$BB197+IF($AB197="Y",4,FaceW)+IF(N($P197)&gt;0,$P197+FaceW,0)+IF(OR($S197="4F",$S197="BL"),FaceW,0))</f>
        <v/>
      </c>
      <c r="BH197" s="51">
        <f>IF($BF197="","",$BF197+2*ROSide)</f>
        <v/>
      </c>
      <c r="BI197" s="51">
        <f>IF($BG197="","",$BG197+ROTop)</f>
        <v/>
      </c>
      <c r="BJ197" s="52">
        <f>IF(OR(N($BC197)=0,$BA197=""),"",$BA197/$BC197-ClearDeduct)</f>
        <v/>
      </c>
      <c r="BK197" s="49">
        <f>IF(OR(N($BC197)=0,$BE197=""),"",IF(OR($AC197="HGC",$AP197="HGC"),"CONT",IF($BE197&lt;=60,2,IF($BE197&lt;=90,3,IF($BE197&lt;=120,4,5)))))</f>
        <v/>
      </c>
      <c r="BL197" s="49">
        <f>IF(N($BC197)=0,"",IF(OR($AL197="",$AL197="FLUSH"),"FLUSH",IFERROR(LEFT($AL197,FIND("-",$AL197)-1),LEFT($AL197,2))))</f>
        <v/>
      </c>
      <c r="BM197" s="49">
        <f>IF($BL197="","",IFERROR(VALUE(MID($AL197,FIND("-",$AL197)+1,FIND(CHAR(34)&amp;"x",$AL197)-FIND("-",$AL197)-1)),0))</f>
        <v/>
      </c>
      <c r="BN197" s="49">
        <f>IF($BL197="","",IFERROR(VALUE(MID($AL197,FIND(CHAR(34)&amp;"x",$AL197)+2,FIND(CHAR(34),$AL197,FIND(CHAR(34)&amp;"x",$AL197)+2)-FIND(CHAR(34)&amp;"x",$AL197)-2)),0))</f>
        <v/>
      </c>
      <c r="BO197" s="53">
        <f>IF(OR($A197="",$H197="",$H197="NO LAB"),0,IFERROR(VALUE(LEFT($H197,FIND(" ",$H197)-1)),0))</f>
        <v/>
      </c>
      <c r="BP197" s="54">
        <f>IF(OR($A197="",$I197="",$I197="NON-RATED",N($J197)=0),"",IFERROR(VLOOKUP($I197&amp;"|"&amp;$J197,IBC,2,FALSE),"?"))</f>
        <v/>
      </c>
      <c r="BQ197" s="50">
        <f>IF(NOT(AND($A197&lt;&gt;"",$C197&lt;&gt;"DOOR ONLY")),"",TRIM(IFERROR(VLOOKUP($U197,CODES,2,FALSE),"")&amp;" "&amp;$AZ197&amp;" "&amp;IFERROR(VLOOKUP($Z197,CODES,2,FALSE),"")&amp;" "&amp;IFERROR(VLOOKUP($X197,CODES,2,FALSE),"")&amp;" "&amp;IFERROR(VLOOKUP($S197,CODES,2,FALSE),"")&amp;IF(N($P197)&gt;0," w/TRANSOM "&amp;$P197&amp;CHAR(34),"")&amp;IF(N($Q197)&gt;0," w/SIDELITE "&amp;$Q197&amp;CHAR(34)&amp;" "&amp;IF($R197="","R",$R197),"")&amp;IF($Y197="","  |  "," | "&amp;IFERROR(VLOOKUP($Y197,CODES,2,FALSE),"")&amp;" | ")&amp;IFERROR(VLOOKUP($AC197,CODES,2,FALSE),"")&amp;" "&amp;IFERROR(VLOOKUP($AD197,CODES,2,FALSE),"")&amp;IF(OR($AE197="",$AE197="-"),""," "&amp;$AE197)&amp;IF(OR($AF197="",$AF197="-"),""," "&amp;$AF197)&amp;IF($AB197="Y"," 4"&amp;CHAR(34)&amp;" HEAD","")&amp;" "&amp;IFERROR(VLOOKUP($H197,CODES,2,FALSE),"")))</f>
        <v/>
      </c>
      <c r="BR197" s="50">
        <f>IF(NOT(AND($A197&lt;&gt;"",N($BC197)&gt;0)),"",TRIM(IFERROR(VLOOKUP($AH197,CODES,2,FALSE),"")&amp;IF($AI197=""," "," "&amp;$AI197&amp;"GA ")&amp;$AZ197&amp;" "&amp;IF($AN197="",IFERROR(VLOOKUP($Z197,CODES,2,FALSE),""),IFERROR(VLOOKUP($AN197,CODES,2,FALSE),""))&amp;IF($BC197=2," PAIR","")&amp;" DOOR | "&amp;IF($AL197="","?",$AL197)&amp;" | "&amp;IF($AP197="",IFERROR(VLOOKUP($AC197,CODES,2,FALSE),""),IFERROR(VLOOKUP($AP197,CODES,2,FALSE),""))&amp;" "&amp;IFERROR(VLOOKUP($AQ197,CODES,2,FALSE),"")&amp;IF(OR($AR197="",$AR197="-"),""," SEAM "&amp;$AR197)&amp;IF($AS197="Y"," ASTRAGAL","")&amp;IF($AJ197=""," "," "&amp;$AJ197)&amp;IF($AK197=""," "," "&amp;$AK197)&amp;IF($AO197="",""," "&amp;$AO197)&amp;IF($AM197=""," "," SERIES "&amp;$AM197)&amp;" "&amp;IFERROR(VLOOKUP($H197,CODES,2,FALSE),"")))</f>
        <v/>
      </c>
      <c r="BS197" s="49">
        <f>IF(BV197="","",IF(COUNTIF($BV$6:BV197,BV197)=1,MAX($BS$5:BS196)+1,INDEX($BS$5:BS196,MATCH(BV197,$BV$5:BV196,0))))</f>
        <v/>
      </c>
      <c r="BT197" s="49">
        <f>IF(NOT(AND($A197&lt;&gt;"",$C197&lt;&gt;"DOOR ONLY")),"",MAX($BT$5:BT196)+1)</f>
        <v/>
      </c>
      <c r="BU197" s="49">
        <f>IF(NOT(AND($A197&lt;&gt;"",N($BC197)&gt;0)),"",MAX($BU$5:BU196)+1)</f>
        <v/>
      </c>
      <c r="BV197" s="49">
        <f>IF(OR($A197="",$BA197="",$BB197=""),"",$AZ197&amp;"|"&amp;$O197&amp;"|"&amp;$AL197&amp;"|"&amp;$S197&amp;"|"&amp;$P197&amp;"|"&amp;$Q197&amp;$R197&amp;"|"&amp;$C197&amp;"|"&amp;$AB197)</f>
        <v/>
      </c>
      <c r="BW197" s="49">
        <f>IF($A197="","",IF($B197="","qty, ","")&amp;IF($C197="","scope, ","")&amp;IF(OR($K197="",$M197=""),"size, ","")&amp;IF(AND($A197&lt;&gt;"",$C197&lt;&gt;"DOOR ONLY"),IF($U197="","jamb depth, ","")&amp;IF($X197="","construction, ","")&amp;IF($Y197="","anchor, ","")&amp;IF($S197="","frame type, ",""),"")&amp;IF(AND(N($BC197)&gt;0,$Z197=""),"hand, ","")&amp;IF(N($BC197)&gt;0,IF($AH197="","door material, ","")&amp;IF($AL197="","face type, ","")&amp;IF($AQ197="","lock prep, ","")&amp;IF(AND($AP197="",$AC197=""),"hinge prep, ",""),"")&amp;IF(AND($BO197&gt;0,$AH197="FRP"),"FRP cannot carry a label, ","")&amp;IF(AND($O197="Y",OR($Z197="L",$Z197="R",$Z197="LR",$Z197="RR")),"pair marked but hand is single, ","")&amp;IF(AND($O197&lt;&gt;"Y",OR($Z197="PR",AND(LEN($Z197)&gt;1,ISNUMBER(SEARCH("-",$Z197))))),"pair hand on a single door, ","")&amp;IF(AND(ISNUMBER($BP197),$BO197&lt;N($BP197)),"wall needs a "&amp;$BP197&amp;" min door, ","")&amp;IF(AND($BO197&gt;=180,AND(OR($BL197="FG",$BL197="HG",$BL197="FNV",$BL197="FV"),N($BM197)*N($BN197)&gt;100)),"180 min lite over 100 sq in, ","")&amp;IF(N($BD197)&gt;48,"leaf wider than 4'-0"&amp;CHAR(34)&amp;", ",""))</f>
        <v/>
      </c>
      <c r="BX197" s="49">
        <f>IF($A197="","",IF(AND($BO197&gt;0,AND($A197&lt;&gt;"",$C197&lt;&gt;"DOOR ONLY"),$X197="KD",$E197="EXTERIOR"),"KD label on an exterior opening, ","")&amp;IF(AND($E197="EXTERIOR",OR(AND(AND($A197&lt;&gt;"",$C197&lt;&gt;"DOOR ONLY"),$W197="CR"),AND(N($BC197)&gt;0,$AH197="CR"))),"exterior in CR steel (G9?), ","")&amp;IF(AND(ISNUMBER($BJ197),N($BJ197)&lt;32),"clear width ~"&amp;TEXT($BJ197,"0.0")&amp;CHAR(34)&amp;" under 32"&amp;CHAR(34)&amp;" (ADA), ","")&amp;IF(AND($BO197=90,AND(OR($BL197="FG",$BL197="HG",$BL197="FNV",$BL197="FV"),N($BM197)*N($BN197)&gt;100)),"90 min lite over 100 sq in (stair/exit), ","")&amp;IF(AND($BO197&gt;0,AND($A197&lt;&gt;"",$C197&lt;&gt;"DOOR ONLY"),OR($AF197="",$AF197="-")),"rated: closer reinf.?, ","")&amp;IF(OR($I197="CORRIDOR",$I197="SMOKE BARRIER"),"S label + smoke gasketing, ","")&amp;IF($BP197="?","wall type/hr not in IBC table, ","")&amp;IF(AND(N($BC197)&gt;0,$AU197=""),"no hardware set, ","")&amp;IF(AND($AU197&lt;&gt;"",ISNA(MATCH($AU197,HWSets,0))),"set "&amp;$AU197&amp;" not on Hardware sheet, ","")&amp;IF(N($BE197)&gt;96,"leaf over 8'-0"&amp;CHAR(34)&amp;" - check listing, ",""))</f>
        <v/>
      </c>
    </row>
    <row r="198" ht="15" customHeight="1">
      <c r="A198" s="44" t="n"/>
      <c r="B198" s="45" t="n"/>
      <c r="C198" s="45" t="n"/>
      <c r="D198" s="45" t="n"/>
      <c r="E198" s="45" t="n"/>
      <c r="F198" s="45" t="n"/>
      <c r="G198" s="45" t="n"/>
      <c r="H198" s="45" t="n"/>
      <c r="I198" s="45" t="n"/>
      <c r="J198" s="45" t="n"/>
      <c r="K198" s="45" t="n"/>
      <c r="L198" s="45" t="n"/>
      <c r="M198" s="45" t="n"/>
      <c r="N198" s="45" t="n"/>
      <c r="O198" s="45" t="n"/>
      <c r="P198" s="45" t="n"/>
      <c r="Q198" s="45" t="n"/>
      <c r="R198" s="45" t="n"/>
      <c r="S198" s="46" t="n"/>
      <c r="T198" s="46" t="n"/>
      <c r="U198" s="46" t="n"/>
      <c r="V198" s="46" t="n"/>
      <c r="W198" s="46" t="n"/>
      <c r="X198" s="46" t="n"/>
      <c r="Y198" s="46" t="n"/>
      <c r="Z198" s="46" t="n"/>
      <c r="AA198" s="46" t="n"/>
      <c r="AB198" s="46" t="n"/>
      <c r="AC198" s="46" t="n"/>
      <c r="AD198" s="46" t="n"/>
      <c r="AE198" s="46" t="n"/>
      <c r="AF198" s="46" t="n"/>
      <c r="AG198" s="46" t="n"/>
      <c r="AH198" s="47" t="n"/>
      <c r="AI198" s="47" t="n"/>
      <c r="AJ198" s="47" t="n"/>
      <c r="AK198" s="47" t="n"/>
      <c r="AL198" s="47" t="n"/>
      <c r="AM198" s="47" t="n"/>
      <c r="AN198" s="47" t="n"/>
      <c r="AO198" s="47" t="n"/>
      <c r="AP198" s="47" t="n"/>
      <c r="AQ198" s="47" t="n"/>
      <c r="AR198" s="47" t="n"/>
      <c r="AS198" s="47" t="n"/>
      <c r="AT198" s="47" t="n"/>
      <c r="AU198" s="48" t="n"/>
      <c r="AV198" s="48" t="n"/>
      <c r="AW198" s="49">
        <f>IF($A198="","",IF($BW198&lt;&gt;"","FIX",IF($BX198&lt;&gt;"","CHECK","OK")))</f>
        <v/>
      </c>
      <c r="AX198" s="50">
        <f>IF($A198="","",IF($BW198&lt;&gt;"","FIX: "&amp;LEFT($BW198,LEN($BW198)-2)&amp;IF($BX198&lt;&gt;"","  ·  ",""),"")&amp;IF($BX198&lt;&gt;"","CHECK: "&amp;LEFT($BX198,LEN($BX198)-2),""))</f>
        <v/>
      </c>
      <c r="AY198" s="49">
        <f>IF(OR($A198="",$K198=""),"",$K198&amp;"'-"&amp;N($L198)&amp;CHAR(34)&amp;" x "&amp;$M198&amp;"'-"&amp;N($N198)&amp;CHAR(34))</f>
        <v/>
      </c>
      <c r="AZ198" s="49">
        <f>IF(OR($A198="",$K198=""),"",$K198&amp;N($L198)&amp;$M198&amp;N($N198))</f>
        <v/>
      </c>
      <c r="BA198" s="49">
        <f>IF(OR($A198="",$K198=""),"",$K198*12+N($L198))</f>
        <v/>
      </c>
      <c r="BB198" s="49">
        <f>IF(OR($A198="",$M198=""),"",$M198*12+N($N198))</f>
        <v/>
      </c>
      <c r="BC198" s="49">
        <f>IF($A198="","",IF(OR($C198="FRAME ONLY",$S198="BL"),0,IF($O198="Y",2,1)))</f>
        <v/>
      </c>
      <c r="BD198" s="51">
        <f>IF(OR(N($BC198)=0,$BA198=""),"",($BA198-2*EdgeClr-IF($BC198=2,MeetClr,0))/$BC198)</f>
        <v/>
      </c>
      <c r="BE198" s="51">
        <f>IF(OR(N($BC198)=0,$BB198=""),"",$BB198-HeadClr-Undercut)</f>
        <v/>
      </c>
      <c r="BF198" s="51">
        <f>IF($BA198="","",$BA198+2*FaceW+IF(N($Q198)&gt;0,($Q198+FaceW)*IF($R198="LR",2,1),0))</f>
        <v/>
      </c>
      <c r="BG198" s="51">
        <f>IF($BB198="","",$BB198+IF($AB198="Y",4,FaceW)+IF(N($P198)&gt;0,$P198+FaceW,0)+IF(OR($S198="4F",$S198="BL"),FaceW,0))</f>
        <v/>
      </c>
      <c r="BH198" s="51">
        <f>IF($BF198="","",$BF198+2*ROSide)</f>
        <v/>
      </c>
      <c r="BI198" s="51">
        <f>IF($BG198="","",$BG198+ROTop)</f>
        <v/>
      </c>
      <c r="BJ198" s="52">
        <f>IF(OR(N($BC198)=0,$BA198=""),"",$BA198/$BC198-ClearDeduct)</f>
        <v/>
      </c>
      <c r="BK198" s="49">
        <f>IF(OR(N($BC198)=0,$BE198=""),"",IF(OR($AC198="HGC",$AP198="HGC"),"CONT",IF($BE198&lt;=60,2,IF($BE198&lt;=90,3,IF($BE198&lt;=120,4,5)))))</f>
        <v/>
      </c>
      <c r="BL198" s="49">
        <f>IF(N($BC198)=0,"",IF(OR($AL198="",$AL198="FLUSH"),"FLUSH",IFERROR(LEFT($AL198,FIND("-",$AL198)-1),LEFT($AL198,2))))</f>
        <v/>
      </c>
      <c r="BM198" s="49">
        <f>IF($BL198="","",IFERROR(VALUE(MID($AL198,FIND("-",$AL198)+1,FIND(CHAR(34)&amp;"x",$AL198)-FIND("-",$AL198)-1)),0))</f>
        <v/>
      </c>
      <c r="BN198" s="49">
        <f>IF($BL198="","",IFERROR(VALUE(MID($AL198,FIND(CHAR(34)&amp;"x",$AL198)+2,FIND(CHAR(34),$AL198,FIND(CHAR(34)&amp;"x",$AL198)+2)-FIND(CHAR(34)&amp;"x",$AL198)-2)),0))</f>
        <v/>
      </c>
      <c r="BO198" s="53">
        <f>IF(OR($A198="",$H198="",$H198="NO LAB"),0,IFERROR(VALUE(LEFT($H198,FIND(" ",$H198)-1)),0))</f>
        <v/>
      </c>
      <c r="BP198" s="54">
        <f>IF(OR($A198="",$I198="",$I198="NON-RATED",N($J198)=0),"",IFERROR(VLOOKUP($I198&amp;"|"&amp;$J198,IBC,2,FALSE),"?"))</f>
        <v/>
      </c>
      <c r="BQ198" s="50">
        <f>IF(NOT(AND($A198&lt;&gt;"",$C198&lt;&gt;"DOOR ONLY")),"",TRIM(IFERROR(VLOOKUP($U198,CODES,2,FALSE),"")&amp;" "&amp;$AZ198&amp;" "&amp;IFERROR(VLOOKUP($Z198,CODES,2,FALSE),"")&amp;" "&amp;IFERROR(VLOOKUP($X198,CODES,2,FALSE),"")&amp;" "&amp;IFERROR(VLOOKUP($S198,CODES,2,FALSE),"")&amp;IF(N($P198)&gt;0," w/TRANSOM "&amp;$P198&amp;CHAR(34),"")&amp;IF(N($Q198)&gt;0," w/SIDELITE "&amp;$Q198&amp;CHAR(34)&amp;" "&amp;IF($R198="","R",$R198),"")&amp;IF($Y198="","  |  "," | "&amp;IFERROR(VLOOKUP($Y198,CODES,2,FALSE),"")&amp;" | ")&amp;IFERROR(VLOOKUP($AC198,CODES,2,FALSE),"")&amp;" "&amp;IFERROR(VLOOKUP($AD198,CODES,2,FALSE),"")&amp;IF(OR($AE198="",$AE198="-"),""," "&amp;$AE198)&amp;IF(OR($AF198="",$AF198="-"),""," "&amp;$AF198)&amp;IF($AB198="Y"," 4"&amp;CHAR(34)&amp;" HEAD","")&amp;" "&amp;IFERROR(VLOOKUP($H198,CODES,2,FALSE),"")))</f>
        <v/>
      </c>
      <c r="BR198" s="50">
        <f>IF(NOT(AND($A198&lt;&gt;"",N($BC198)&gt;0)),"",TRIM(IFERROR(VLOOKUP($AH198,CODES,2,FALSE),"")&amp;IF($AI198=""," "," "&amp;$AI198&amp;"GA ")&amp;$AZ198&amp;" "&amp;IF($AN198="",IFERROR(VLOOKUP($Z198,CODES,2,FALSE),""),IFERROR(VLOOKUP($AN198,CODES,2,FALSE),""))&amp;IF($BC198=2," PAIR","")&amp;" DOOR | "&amp;IF($AL198="","?",$AL198)&amp;" | "&amp;IF($AP198="",IFERROR(VLOOKUP($AC198,CODES,2,FALSE),""),IFERROR(VLOOKUP($AP198,CODES,2,FALSE),""))&amp;" "&amp;IFERROR(VLOOKUP($AQ198,CODES,2,FALSE),"")&amp;IF(OR($AR198="",$AR198="-"),""," SEAM "&amp;$AR198)&amp;IF($AS198="Y"," ASTRAGAL","")&amp;IF($AJ198=""," "," "&amp;$AJ198)&amp;IF($AK198=""," "," "&amp;$AK198)&amp;IF($AO198="",""," "&amp;$AO198)&amp;IF($AM198=""," "," SERIES "&amp;$AM198)&amp;" "&amp;IFERROR(VLOOKUP($H198,CODES,2,FALSE),"")))</f>
        <v/>
      </c>
      <c r="BS198" s="49">
        <f>IF(BV198="","",IF(COUNTIF($BV$6:BV198,BV198)=1,MAX($BS$5:BS197)+1,INDEX($BS$5:BS197,MATCH(BV198,$BV$5:BV197,0))))</f>
        <v/>
      </c>
      <c r="BT198" s="49">
        <f>IF(NOT(AND($A198&lt;&gt;"",$C198&lt;&gt;"DOOR ONLY")),"",MAX($BT$5:BT197)+1)</f>
        <v/>
      </c>
      <c r="BU198" s="49">
        <f>IF(NOT(AND($A198&lt;&gt;"",N($BC198)&gt;0)),"",MAX($BU$5:BU197)+1)</f>
        <v/>
      </c>
      <c r="BV198" s="49">
        <f>IF(OR($A198="",$BA198="",$BB198=""),"",$AZ198&amp;"|"&amp;$O198&amp;"|"&amp;$AL198&amp;"|"&amp;$S198&amp;"|"&amp;$P198&amp;"|"&amp;$Q198&amp;$R198&amp;"|"&amp;$C198&amp;"|"&amp;$AB198)</f>
        <v/>
      </c>
      <c r="BW198" s="49">
        <f>IF($A198="","",IF($B198="","qty, ","")&amp;IF($C198="","scope, ","")&amp;IF(OR($K198="",$M198=""),"size, ","")&amp;IF(AND($A198&lt;&gt;"",$C198&lt;&gt;"DOOR ONLY"),IF($U198="","jamb depth, ","")&amp;IF($X198="","construction, ","")&amp;IF($Y198="","anchor, ","")&amp;IF($S198="","frame type, ",""),"")&amp;IF(AND(N($BC198)&gt;0,$Z198=""),"hand, ","")&amp;IF(N($BC198)&gt;0,IF($AH198="","door material, ","")&amp;IF($AL198="","face type, ","")&amp;IF($AQ198="","lock prep, ","")&amp;IF(AND($AP198="",$AC198=""),"hinge prep, ",""),"")&amp;IF(AND($BO198&gt;0,$AH198="FRP"),"FRP cannot carry a label, ","")&amp;IF(AND($O198="Y",OR($Z198="L",$Z198="R",$Z198="LR",$Z198="RR")),"pair marked but hand is single, ","")&amp;IF(AND($O198&lt;&gt;"Y",OR($Z198="PR",AND(LEN($Z198)&gt;1,ISNUMBER(SEARCH("-",$Z198))))),"pair hand on a single door, ","")&amp;IF(AND(ISNUMBER($BP198),$BO198&lt;N($BP198)),"wall needs a "&amp;$BP198&amp;" min door, ","")&amp;IF(AND($BO198&gt;=180,AND(OR($BL198="FG",$BL198="HG",$BL198="FNV",$BL198="FV"),N($BM198)*N($BN198)&gt;100)),"180 min lite over 100 sq in, ","")&amp;IF(N($BD198)&gt;48,"leaf wider than 4'-0"&amp;CHAR(34)&amp;", ",""))</f>
        <v/>
      </c>
      <c r="BX198" s="49">
        <f>IF($A198="","",IF(AND($BO198&gt;0,AND($A198&lt;&gt;"",$C198&lt;&gt;"DOOR ONLY"),$X198="KD",$E198="EXTERIOR"),"KD label on an exterior opening, ","")&amp;IF(AND($E198="EXTERIOR",OR(AND(AND($A198&lt;&gt;"",$C198&lt;&gt;"DOOR ONLY"),$W198="CR"),AND(N($BC198)&gt;0,$AH198="CR"))),"exterior in CR steel (G9?), ","")&amp;IF(AND(ISNUMBER($BJ198),N($BJ198)&lt;32),"clear width ~"&amp;TEXT($BJ198,"0.0")&amp;CHAR(34)&amp;" under 32"&amp;CHAR(34)&amp;" (ADA), ","")&amp;IF(AND($BO198=90,AND(OR($BL198="FG",$BL198="HG",$BL198="FNV",$BL198="FV"),N($BM198)*N($BN198)&gt;100)),"90 min lite over 100 sq in (stair/exit), ","")&amp;IF(AND($BO198&gt;0,AND($A198&lt;&gt;"",$C198&lt;&gt;"DOOR ONLY"),OR($AF198="",$AF198="-")),"rated: closer reinf.?, ","")&amp;IF(OR($I198="CORRIDOR",$I198="SMOKE BARRIER"),"S label + smoke gasketing, ","")&amp;IF($BP198="?","wall type/hr not in IBC table, ","")&amp;IF(AND(N($BC198)&gt;0,$AU198=""),"no hardware set, ","")&amp;IF(AND($AU198&lt;&gt;"",ISNA(MATCH($AU198,HWSets,0))),"set "&amp;$AU198&amp;" not on Hardware sheet, ","")&amp;IF(N($BE198)&gt;96,"leaf over 8'-0"&amp;CHAR(34)&amp;" - check listing, ",""))</f>
        <v/>
      </c>
    </row>
    <row r="199" ht="15" customHeight="1">
      <c r="A199" s="44" t="n"/>
      <c r="B199" s="45" t="n"/>
      <c r="C199" s="45" t="n"/>
      <c r="D199" s="45" t="n"/>
      <c r="E199" s="45" t="n"/>
      <c r="F199" s="45" t="n"/>
      <c r="G199" s="45" t="n"/>
      <c r="H199" s="45" t="n"/>
      <c r="I199" s="45" t="n"/>
      <c r="J199" s="45" t="n"/>
      <c r="K199" s="45" t="n"/>
      <c r="L199" s="45" t="n"/>
      <c r="M199" s="45" t="n"/>
      <c r="N199" s="45" t="n"/>
      <c r="O199" s="45" t="n"/>
      <c r="P199" s="45" t="n"/>
      <c r="Q199" s="45" t="n"/>
      <c r="R199" s="45" t="n"/>
      <c r="S199" s="46" t="n"/>
      <c r="T199" s="46" t="n"/>
      <c r="U199" s="46" t="n"/>
      <c r="V199" s="46" t="n"/>
      <c r="W199" s="46" t="n"/>
      <c r="X199" s="46" t="n"/>
      <c r="Y199" s="46" t="n"/>
      <c r="Z199" s="46" t="n"/>
      <c r="AA199" s="46" t="n"/>
      <c r="AB199" s="46" t="n"/>
      <c r="AC199" s="46" t="n"/>
      <c r="AD199" s="46" t="n"/>
      <c r="AE199" s="46" t="n"/>
      <c r="AF199" s="46" t="n"/>
      <c r="AG199" s="46" t="n"/>
      <c r="AH199" s="47" t="n"/>
      <c r="AI199" s="47" t="n"/>
      <c r="AJ199" s="47" t="n"/>
      <c r="AK199" s="47" t="n"/>
      <c r="AL199" s="47" t="n"/>
      <c r="AM199" s="47" t="n"/>
      <c r="AN199" s="47" t="n"/>
      <c r="AO199" s="47" t="n"/>
      <c r="AP199" s="47" t="n"/>
      <c r="AQ199" s="47" t="n"/>
      <c r="AR199" s="47" t="n"/>
      <c r="AS199" s="47" t="n"/>
      <c r="AT199" s="47" t="n"/>
      <c r="AU199" s="48" t="n"/>
      <c r="AV199" s="48" t="n"/>
      <c r="AW199" s="49">
        <f>IF($A199="","",IF($BW199&lt;&gt;"","FIX",IF($BX199&lt;&gt;"","CHECK","OK")))</f>
        <v/>
      </c>
      <c r="AX199" s="50">
        <f>IF($A199="","",IF($BW199&lt;&gt;"","FIX: "&amp;LEFT($BW199,LEN($BW199)-2)&amp;IF($BX199&lt;&gt;"","  ·  ",""),"")&amp;IF($BX199&lt;&gt;"","CHECK: "&amp;LEFT($BX199,LEN($BX199)-2),""))</f>
        <v/>
      </c>
      <c r="AY199" s="49">
        <f>IF(OR($A199="",$K199=""),"",$K199&amp;"'-"&amp;N($L199)&amp;CHAR(34)&amp;" x "&amp;$M199&amp;"'-"&amp;N($N199)&amp;CHAR(34))</f>
        <v/>
      </c>
      <c r="AZ199" s="49">
        <f>IF(OR($A199="",$K199=""),"",$K199&amp;N($L199)&amp;$M199&amp;N($N199))</f>
        <v/>
      </c>
      <c r="BA199" s="49">
        <f>IF(OR($A199="",$K199=""),"",$K199*12+N($L199))</f>
        <v/>
      </c>
      <c r="BB199" s="49">
        <f>IF(OR($A199="",$M199=""),"",$M199*12+N($N199))</f>
        <v/>
      </c>
      <c r="BC199" s="49">
        <f>IF($A199="","",IF(OR($C199="FRAME ONLY",$S199="BL"),0,IF($O199="Y",2,1)))</f>
        <v/>
      </c>
      <c r="BD199" s="51">
        <f>IF(OR(N($BC199)=0,$BA199=""),"",($BA199-2*EdgeClr-IF($BC199=2,MeetClr,0))/$BC199)</f>
        <v/>
      </c>
      <c r="BE199" s="51">
        <f>IF(OR(N($BC199)=0,$BB199=""),"",$BB199-HeadClr-Undercut)</f>
        <v/>
      </c>
      <c r="BF199" s="51">
        <f>IF($BA199="","",$BA199+2*FaceW+IF(N($Q199)&gt;0,($Q199+FaceW)*IF($R199="LR",2,1),0))</f>
        <v/>
      </c>
      <c r="BG199" s="51">
        <f>IF($BB199="","",$BB199+IF($AB199="Y",4,FaceW)+IF(N($P199)&gt;0,$P199+FaceW,0)+IF(OR($S199="4F",$S199="BL"),FaceW,0))</f>
        <v/>
      </c>
      <c r="BH199" s="51">
        <f>IF($BF199="","",$BF199+2*ROSide)</f>
        <v/>
      </c>
      <c r="BI199" s="51">
        <f>IF($BG199="","",$BG199+ROTop)</f>
        <v/>
      </c>
      <c r="BJ199" s="52">
        <f>IF(OR(N($BC199)=0,$BA199=""),"",$BA199/$BC199-ClearDeduct)</f>
        <v/>
      </c>
      <c r="BK199" s="49">
        <f>IF(OR(N($BC199)=0,$BE199=""),"",IF(OR($AC199="HGC",$AP199="HGC"),"CONT",IF($BE199&lt;=60,2,IF($BE199&lt;=90,3,IF($BE199&lt;=120,4,5)))))</f>
        <v/>
      </c>
      <c r="BL199" s="49">
        <f>IF(N($BC199)=0,"",IF(OR($AL199="",$AL199="FLUSH"),"FLUSH",IFERROR(LEFT($AL199,FIND("-",$AL199)-1),LEFT($AL199,2))))</f>
        <v/>
      </c>
      <c r="BM199" s="49">
        <f>IF($BL199="","",IFERROR(VALUE(MID($AL199,FIND("-",$AL199)+1,FIND(CHAR(34)&amp;"x",$AL199)-FIND("-",$AL199)-1)),0))</f>
        <v/>
      </c>
      <c r="BN199" s="49">
        <f>IF($BL199="","",IFERROR(VALUE(MID($AL199,FIND(CHAR(34)&amp;"x",$AL199)+2,FIND(CHAR(34),$AL199,FIND(CHAR(34)&amp;"x",$AL199)+2)-FIND(CHAR(34)&amp;"x",$AL199)-2)),0))</f>
        <v/>
      </c>
      <c r="BO199" s="53">
        <f>IF(OR($A199="",$H199="",$H199="NO LAB"),0,IFERROR(VALUE(LEFT($H199,FIND(" ",$H199)-1)),0))</f>
        <v/>
      </c>
      <c r="BP199" s="54">
        <f>IF(OR($A199="",$I199="",$I199="NON-RATED",N($J199)=0),"",IFERROR(VLOOKUP($I199&amp;"|"&amp;$J199,IBC,2,FALSE),"?"))</f>
        <v/>
      </c>
      <c r="BQ199" s="50">
        <f>IF(NOT(AND($A199&lt;&gt;"",$C199&lt;&gt;"DOOR ONLY")),"",TRIM(IFERROR(VLOOKUP($U199,CODES,2,FALSE),"")&amp;" "&amp;$AZ199&amp;" "&amp;IFERROR(VLOOKUP($Z199,CODES,2,FALSE),"")&amp;" "&amp;IFERROR(VLOOKUP($X199,CODES,2,FALSE),"")&amp;" "&amp;IFERROR(VLOOKUP($S199,CODES,2,FALSE),"")&amp;IF(N($P199)&gt;0," w/TRANSOM "&amp;$P199&amp;CHAR(34),"")&amp;IF(N($Q199)&gt;0," w/SIDELITE "&amp;$Q199&amp;CHAR(34)&amp;" "&amp;IF($R199="","R",$R199),"")&amp;IF($Y199="","  |  "," | "&amp;IFERROR(VLOOKUP($Y199,CODES,2,FALSE),"")&amp;" | ")&amp;IFERROR(VLOOKUP($AC199,CODES,2,FALSE),"")&amp;" "&amp;IFERROR(VLOOKUP($AD199,CODES,2,FALSE),"")&amp;IF(OR($AE199="",$AE199="-"),""," "&amp;$AE199)&amp;IF(OR($AF199="",$AF199="-"),""," "&amp;$AF199)&amp;IF($AB199="Y"," 4"&amp;CHAR(34)&amp;" HEAD","")&amp;" "&amp;IFERROR(VLOOKUP($H199,CODES,2,FALSE),"")))</f>
        <v/>
      </c>
      <c r="BR199" s="50">
        <f>IF(NOT(AND($A199&lt;&gt;"",N($BC199)&gt;0)),"",TRIM(IFERROR(VLOOKUP($AH199,CODES,2,FALSE),"")&amp;IF($AI199=""," "," "&amp;$AI199&amp;"GA ")&amp;$AZ199&amp;" "&amp;IF($AN199="",IFERROR(VLOOKUP($Z199,CODES,2,FALSE),""),IFERROR(VLOOKUP($AN199,CODES,2,FALSE),""))&amp;IF($BC199=2," PAIR","")&amp;" DOOR | "&amp;IF($AL199="","?",$AL199)&amp;" | "&amp;IF($AP199="",IFERROR(VLOOKUP($AC199,CODES,2,FALSE),""),IFERROR(VLOOKUP($AP199,CODES,2,FALSE),""))&amp;" "&amp;IFERROR(VLOOKUP($AQ199,CODES,2,FALSE),"")&amp;IF(OR($AR199="",$AR199="-"),""," SEAM "&amp;$AR199)&amp;IF($AS199="Y"," ASTRAGAL","")&amp;IF($AJ199=""," "," "&amp;$AJ199)&amp;IF($AK199=""," "," "&amp;$AK199)&amp;IF($AO199="",""," "&amp;$AO199)&amp;IF($AM199=""," "," SERIES "&amp;$AM199)&amp;" "&amp;IFERROR(VLOOKUP($H199,CODES,2,FALSE),"")))</f>
        <v/>
      </c>
      <c r="BS199" s="49">
        <f>IF(BV199="","",IF(COUNTIF($BV$6:BV199,BV199)=1,MAX($BS$5:BS198)+1,INDEX($BS$5:BS198,MATCH(BV199,$BV$5:BV198,0))))</f>
        <v/>
      </c>
      <c r="BT199" s="49">
        <f>IF(NOT(AND($A199&lt;&gt;"",$C199&lt;&gt;"DOOR ONLY")),"",MAX($BT$5:BT198)+1)</f>
        <v/>
      </c>
      <c r="BU199" s="49">
        <f>IF(NOT(AND($A199&lt;&gt;"",N($BC199)&gt;0)),"",MAX($BU$5:BU198)+1)</f>
        <v/>
      </c>
      <c r="BV199" s="49">
        <f>IF(OR($A199="",$BA199="",$BB199=""),"",$AZ199&amp;"|"&amp;$O199&amp;"|"&amp;$AL199&amp;"|"&amp;$S199&amp;"|"&amp;$P199&amp;"|"&amp;$Q199&amp;$R199&amp;"|"&amp;$C199&amp;"|"&amp;$AB199)</f>
        <v/>
      </c>
      <c r="BW199" s="49">
        <f>IF($A199="","",IF($B199="","qty, ","")&amp;IF($C199="","scope, ","")&amp;IF(OR($K199="",$M199=""),"size, ","")&amp;IF(AND($A199&lt;&gt;"",$C199&lt;&gt;"DOOR ONLY"),IF($U199="","jamb depth, ","")&amp;IF($X199="","construction, ","")&amp;IF($Y199="","anchor, ","")&amp;IF($S199="","frame type, ",""),"")&amp;IF(AND(N($BC199)&gt;0,$Z199=""),"hand, ","")&amp;IF(N($BC199)&gt;0,IF($AH199="","door material, ","")&amp;IF($AL199="","face type, ","")&amp;IF($AQ199="","lock prep, ","")&amp;IF(AND($AP199="",$AC199=""),"hinge prep, ",""),"")&amp;IF(AND($BO199&gt;0,$AH199="FRP"),"FRP cannot carry a label, ","")&amp;IF(AND($O199="Y",OR($Z199="L",$Z199="R",$Z199="LR",$Z199="RR")),"pair marked but hand is single, ","")&amp;IF(AND($O199&lt;&gt;"Y",OR($Z199="PR",AND(LEN($Z199)&gt;1,ISNUMBER(SEARCH("-",$Z199))))),"pair hand on a single door, ","")&amp;IF(AND(ISNUMBER($BP199),$BO199&lt;N($BP199)),"wall needs a "&amp;$BP199&amp;" min door, ","")&amp;IF(AND($BO199&gt;=180,AND(OR($BL199="FG",$BL199="HG",$BL199="FNV",$BL199="FV"),N($BM199)*N($BN199)&gt;100)),"180 min lite over 100 sq in, ","")&amp;IF(N($BD199)&gt;48,"leaf wider than 4'-0"&amp;CHAR(34)&amp;", ",""))</f>
        <v/>
      </c>
      <c r="BX199" s="49">
        <f>IF($A199="","",IF(AND($BO199&gt;0,AND($A199&lt;&gt;"",$C199&lt;&gt;"DOOR ONLY"),$X199="KD",$E199="EXTERIOR"),"KD label on an exterior opening, ","")&amp;IF(AND($E199="EXTERIOR",OR(AND(AND($A199&lt;&gt;"",$C199&lt;&gt;"DOOR ONLY"),$W199="CR"),AND(N($BC199)&gt;0,$AH199="CR"))),"exterior in CR steel (G9?), ","")&amp;IF(AND(ISNUMBER($BJ199),N($BJ199)&lt;32),"clear width ~"&amp;TEXT($BJ199,"0.0")&amp;CHAR(34)&amp;" under 32"&amp;CHAR(34)&amp;" (ADA), ","")&amp;IF(AND($BO199=90,AND(OR($BL199="FG",$BL199="HG",$BL199="FNV",$BL199="FV"),N($BM199)*N($BN199)&gt;100)),"90 min lite over 100 sq in (stair/exit), ","")&amp;IF(AND($BO199&gt;0,AND($A199&lt;&gt;"",$C199&lt;&gt;"DOOR ONLY"),OR($AF199="",$AF199="-")),"rated: closer reinf.?, ","")&amp;IF(OR($I199="CORRIDOR",$I199="SMOKE BARRIER"),"S label + smoke gasketing, ","")&amp;IF($BP199="?","wall type/hr not in IBC table, ","")&amp;IF(AND(N($BC199)&gt;0,$AU199=""),"no hardware set, ","")&amp;IF(AND($AU199&lt;&gt;"",ISNA(MATCH($AU199,HWSets,0))),"set "&amp;$AU199&amp;" not on Hardware sheet, ","")&amp;IF(N($BE199)&gt;96,"leaf over 8'-0"&amp;CHAR(34)&amp;" - check listing, ",""))</f>
        <v/>
      </c>
    </row>
    <row r="200" ht="15" customHeight="1">
      <c r="A200" s="44" t="n"/>
      <c r="B200" s="45" t="n"/>
      <c r="C200" s="45" t="n"/>
      <c r="D200" s="45" t="n"/>
      <c r="E200" s="45" t="n"/>
      <c r="F200" s="45" t="n"/>
      <c r="G200" s="45" t="n"/>
      <c r="H200" s="45" t="n"/>
      <c r="I200" s="45" t="n"/>
      <c r="J200" s="45" t="n"/>
      <c r="K200" s="45" t="n"/>
      <c r="L200" s="45" t="n"/>
      <c r="M200" s="45" t="n"/>
      <c r="N200" s="45" t="n"/>
      <c r="O200" s="45" t="n"/>
      <c r="P200" s="45" t="n"/>
      <c r="Q200" s="45" t="n"/>
      <c r="R200" s="45" t="n"/>
      <c r="S200" s="46" t="n"/>
      <c r="T200" s="46" t="n"/>
      <c r="U200" s="46" t="n"/>
      <c r="V200" s="46" t="n"/>
      <c r="W200" s="46" t="n"/>
      <c r="X200" s="46" t="n"/>
      <c r="Y200" s="46" t="n"/>
      <c r="Z200" s="46" t="n"/>
      <c r="AA200" s="46" t="n"/>
      <c r="AB200" s="46" t="n"/>
      <c r="AC200" s="46" t="n"/>
      <c r="AD200" s="46" t="n"/>
      <c r="AE200" s="46" t="n"/>
      <c r="AF200" s="46" t="n"/>
      <c r="AG200" s="46" t="n"/>
      <c r="AH200" s="47" t="n"/>
      <c r="AI200" s="47" t="n"/>
      <c r="AJ200" s="47" t="n"/>
      <c r="AK200" s="47" t="n"/>
      <c r="AL200" s="47" t="n"/>
      <c r="AM200" s="47" t="n"/>
      <c r="AN200" s="47" t="n"/>
      <c r="AO200" s="47" t="n"/>
      <c r="AP200" s="47" t="n"/>
      <c r="AQ200" s="47" t="n"/>
      <c r="AR200" s="47" t="n"/>
      <c r="AS200" s="47" t="n"/>
      <c r="AT200" s="47" t="n"/>
      <c r="AU200" s="48" t="n"/>
      <c r="AV200" s="48" t="n"/>
      <c r="AW200" s="49">
        <f>IF($A200="","",IF($BW200&lt;&gt;"","FIX",IF($BX200&lt;&gt;"","CHECK","OK")))</f>
        <v/>
      </c>
      <c r="AX200" s="50">
        <f>IF($A200="","",IF($BW200&lt;&gt;"","FIX: "&amp;LEFT($BW200,LEN($BW200)-2)&amp;IF($BX200&lt;&gt;"","  ·  ",""),"")&amp;IF($BX200&lt;&gt;"","CHECK: "&amp;LEFT($BX200,LEN($BX200)-2),""))</f>
        <v/>
      </c>
      <c r="AY200" s="49">
        <f>IF(OR($A200="",$K200=""),"",$K200&amp;"'-"&amp;N($L200)&amp;CHAR(34)&amp;" x "&amp;$M200&amp;"'-"&amp;N($N200)&amp;CHAR(34))</f>
        <v/>
      </c>
      <c r="AZ200" s="49">
        <f>IF(OR($A200="",$K200=""),"",$K200&amp;N($L200)&amp;$M200&amp;N($N200))</f>
        <v/>
      </c>
      <c r="BA200" s="49">
        <f>IF(OR($A200="",$K200=""),"",$K200*12+N($L200))</f>
        <v/>
      </c>
      <c r="BB200" s="49">
        <f>IF(OR($A200="",$M200=""),"",$M200*12+N($N200))</f>
        <v/>
      </c>
      <c r="BC200" s="49">
        <f>IF($A200="","",IF(OR($C200="FRAME ONLY",$S200="BL"),0,IF($O200="Y",2,1)))</f>
        <v/>
      </c>
      <c r="BD200" s="51">
        <f>IF(OR(N($BC200)=0,$BA200=""),"",($BA200-2*EdgeClr-IF($BC200=2,MeetClr,0))/$BC200)</f>
        <v/>
      </c>
      <c r="BE200" s="51">
        <f>IF(OR(N($BC200)=0,$BB200=""),"",$BB200-HeadClr-Undercut)</f>
        <v/>
      </c>
      <c r="BF200" s="51">
        <f>IF($BA200="","",$BA200+2*FaceW+IF(N($Q200)&gt;0,($Q200+FaceW)*IF($R200="LR",2,1),0))</f>
        <v/>
      </c>
      <c r="BG200" s="51">
        <f>IF($BB200="","",$BB200+IF($AB200="Y",4,FaceW)+IF(N($P200)&gt;0,$P200+FaceW,0)+IF(OR($S200="4F",$S200="BL"),FaceW,0))</f>
        <v/>
      </c>
      <c r="BH200" s="51">
        <f>IF($BF200="","",$BF200+2*ROSide)</f>
        <v/>
      </c>
      <c r="BI200" s="51">
        <f>IF($BG200="","",$BG200+ROTop)</f>
        <v/>
      </c>
      <c r="BJ200" s="52">
        <f>IF(OR(N($BC200)=0,$BA200=""),"",$BA200/$BC200-ClearDeduct)</f>
        <v/>
      </c>
      <c r="BK200" s="49">
        <f>IF(OR(N($BC200)=0,$BE200=""),"",IF(OR($AC200="HGC",$AP200="HGC"),"CONT",IF($BE200&lt;=60,2,IF($BE200&lt;=90,3,IF($BE200&lt;=120,4,5)))))</f>
        <v/>
      </c>
      <c r="BL200" s="49">
        <f>IF(N($BC200)=0,"",IF(OR($AL200="",$AL200="FLUSH"),"FLUSH",IFERROR(LEFT($AL200,FIND("-",$AL200)-1),LEFT($AL200,2))))</f>
        <v/>
      </c>
      <c r="BM200" s="49">
        <f>IF($BL200="","",IFERROR(VALUE(MID($AL200,FIND("-",$AL200)+1,FIND(CHAR(34)&amp;"x",$AL200)-FIND("-",$AL200)-1)),0))</f>
        <v/>
      </c>
      <c r="BN200" s="49">
        <f>IF($BL200="","",IFERROR(VALUE(MID($AL200,FIND(CHAR(34)&amp;"x",$AL200)+2,FIND(CHAR(34),$AL200,FIND(CHAR(34)&amp;"x",$AL200)+2)-FIND(CHAR(34)&amp;"x",$AL200)-2)),0))</f>
        <v/>
      </c>
      <c r="BO200" s="53">
        <f>IF(OR($A200="",$H200="",$H200="NO LAB"),0,IFERROR(VALUE(LEFT($H200,FIND(" ",$H200)-1)),0))</f>
        <v/>
      </c>
      <c r="BP200" s="54">
        <f>IF(OR($A200="",$I200="",$I200="NON-RATED",N($J200)=0),"",IFERROR(VLOOKUP($I200&amp;"|"&amp;$J200,IBC,2,FALSE),"?"))</f>
        <v/>
      </c>
      <c r="BQ200" s="50">
        <f>IF(NOT(AND($A200&lt;&gt;"",$C200&lt;&gt;"DOOR ONLY")),"",TRIM(IFERROR(VLOOKUP($U200,CODES,2,FALSE),"")&amp;" "&amp;$AZ200&amp;" "&amp;IFERROR(VLOOKUP($Z200,CODES,2,FALSE),"")&amp;" "&amp;IFERROR(VLOOKUP($X200,CODES,2,FALSE),"")&amp;" "&amp;IFERROR(VLOOKUP($S200,CODES,2,FALSE),"")&amp;IF(N($P200)&gt;0," w/TRANSOM "&amp;$P200&amp;CHAR(34),"")&amp;IF(N($Q200)&gt;0," w/SIDELITE "&amp;$Q200&amp;CHAR(34)&amp;" "&amp;IF($R200="","R",$R200),"")&amp;IF($Y200="","  |  "," | "&amp;IFERROR(VLOOKUP($Y200,CODES,2,FALSE),"")&amp;" | ")&amp;IFERROR(VLOOKUP($AC200,CODES,2,FALSE),"")&amp;" "&amp;IFERROR(VLOOKUP($AD200,CODES,2,FALSE),"")&amp;IF(OR($AE200="",$AE200="-"),""," "&amp;$AE200)&amp;IF(OR($AF200="",$AF200="-"),""," "&amp;$AF200)&amp;IF($AB200="Y"," 4"&amp;CHAR(34)&amp;" HEAD","")&amp;" "&amp;IFERROR(VLOOKUP($H200,CODES,2,FALSE),"")))</f>
        <v/>
      </c>
      <c r="BR200" s="50">
        <f>IF(NOT(AND($A200&lt;&gt;"",N($BC200)&gt;0)),"",TRIM(IFERROR(VLOOKUP($AH200,CODES,2,FALSE),"")&amp;IF($AI200=""," "," "&amp;$AI200&amp;"GA ")&amp;$AZ200&amp;" "&amp;IF($AN200="",IFERROR(VLOOKUP($Z200,CODES,2,FALSE),""),IFERROR(VLOOKUP($AN200,CODES,2,FALSE),""))&amp;IF($BC200=2," PAIR","")&amp;" DOOR | "&amp;IF($AL200="","?",$AL200)&amp;" | "&amp;IF($AP200="",IFERROR(VLOOKUP($AC200,CODES,2,FALSE),""),IFERROR(VLOOKUP($AP200,CODES,2,FALSE),""))&amp;" "&amp;IFERROR(VLOOKUP($AQ200,CODES,2,FALSE),"")&amp;IF(OR($AR200="",$AR200="-"),""," SEAM "&amp;$AR200)&amp;IF($AS200="Y"," ASTRAGAL","")&amp;IF($AJ200=""," "," "&amp;$AJ200)&amp;IF($AK200=""," "," "&amp;$AK200)&amp;IF($AO200="",""," "&amp;$AO200)&amp;IF($AM200=""," "," SERIES "&amp;$AM200)&amp;" "&amp;IFERROR(VLOOKUP($H200,CODES,2,FALSE),"")))</f>
        <v/>
      </c>
      <c r="BS200" s="49">
        <f>IF(BV200="","",IF(COUNTIF($BV$6:BV200,BV200)=1,MAX($BS$5:BS199)+1,INDEX($BS$5:BS199,MATCH(BV200,$BV$5:BV199,0))))</f>
        <v/>
      </c>
      <c r="BT200" s="49">
        <f>IF(NOT(AND($A200&lt;&gt;"",$C200&lt;&gt;"DOOR ONLY")),"",MAX($BT$5:BT199)+1)</f>
        <v/>
      </c>
      <c r="BU200" s="49">
        <f>IF(NOT(AND($A200&lt;&gt;"",N($BC200)&gt;0)),"",MAX($BU$5:BU199)+1)</f>
        <v/>
      </c>
      <c r="BV200" s="49">
        <f>IF(OR($A200="",$BA200="",$BB200=""),"",$AZ200&amp;"|"&amp;$O200&amp;"|"&amp;$AL200&amp;"|"&amp;$S200&amp;"|"&amp;$P200&amp;"|"&amp;$Q200&amp;$R200&amp;"|"&amp;$C200&amp;"|"&amp;$AB200)</f>
        <v/>
      </c>
      <c r="BW200" s="49">
        <f>IF($A200="","",IF($B200="","qty, ","")&amp;IF($C200="","scope, ","")&amp;IF(OR($K200="",$M200=""),"size, ","")&amp;IF(AND($A200&lt;&gt;"",$C200&lt;&gt;"DOOR ONLY"),IF($U200="","jamb depth, ","")&amp;IF($X200="","construction, ","")&amp;IF($Y200="","anchor, ","")&amp;IF($S200="","frame type, ",""),"")&amp;IF(AND(N($BC200)&gt;0,$Z200=""),"hand, ","")&amp;IF(N($BC200)&gt;0,IF($AH200="","door material, ","")&amp;IF($AL200="","face type, ","")&amp;IF($AQ200="","lock prep, ","")&amp;IF(AND($AP200="",$AC200=""),"hinge prep, ",""),"")&amp;IF(AND($BO200&gt;0,$AH200="FRP"),"FRP cannot carry a label, ","")&amp;IF(AND($O200="Y",OR($Z200="L",$Z200="R",$Z200="LR",$Z200="RR")),"pair marked but hand is single, ","")&amp;IF(AND($O200&lt;&gt;"Y",OR($Z200="PR",AND(LEN($Z200)&gt;1,ISNUMBER(SEARCH("-",$Z200))))),"pair hand on a single door, ","")&amp;IF(AND(ISNUMBER($BP200),$BO200&lt;N($BP200)),"wall needs a "&amp;$BP200&amp;" min door, ","")&amp;IF(AND($BO200&gt;=180,AND(OR($BL200="FG",$BL200="HG",$BL200="FNV",$BL200="FV"),N($BM200)*N($BN200)&gt;100)),"180 min lite over 100 sq in, ","")&amp;IF(N($BD200)&gt;48,"leaf wider than 4'-0"&amp;CHAR(34)&amp;", ",""))</f>
        <v/>
      </c>
      <c r="BX200" s="49">
        <f>IF($A200="","",IF(AND($BO200&gt;0,AND($A200&lt;&gt;"",$C200&lt;&gt;"DOOR ONLY"),$X200="KD",$E200="EXTERIOR"),"KD label on an exterior opening, ","")&amp;IF(AND($E200="EXTERIOR",OR(AND(AND($A200&lt;&gt;"",$C200&lt;&gt;"DOOR ONLY"),$W200="CR"),AND(N($BC200)&gt;0,$AH200="CR"))),"exterior in CR steel (G9?), ","")&amp;IF(AND(ISNUMBER($BJ200),N($BJ200)&lt;32),"clear width ~"&amp;TEXT($BJ200,"0.0")&amp;CHAR(34)&amp;" under 32"&amp;CHAR(34)&amp;" (ADA), ","")&amp;IF(AND($BO200=90,AND(OR($BL200="FG",$BL200="HG",$BL200="FNV",$BL200="FV"),N($BM200)*N($BN200)&gt;100)),"90 min lite over 100 sq in (stair/exit), ","")&amp;IF(AND($BO200&gt;0,AND($A200&lt;&gt;"",$C200&lt;&gt;"DOOR ONLY"),OR($AF200="",$AF200="-")),"rated: closer reinf.?, ","")&amp;IF(OR($I200="CORRIDOR",$I200="SMOKE BARRIER"),"S label + smoke gasketing, ","")&amp;IF($BP200="?","wall type/hr not in IBC table, ","")&amp;IF(AND(N($BC200)&gt;0,$AU200=""),"no hardware set, ","")&amp;IF(AND($AU200&lt;&gt;"",ISNA(MATCH($AU200,HWSets,0))),"set "&amp;$AU200&amp;" not on Hardware sheet, ","")&amp;IF(N($BE200)&gt;96,"leaf over 8'-0"&amp;CHAR(34)&amp;" - check listing, ",""))</f>
        <v/>
      </c>
    </row>
    <row r="201" ht="15" customHeight="1">
      <c r="A201" s="44" t="n"/>
      <c r="B201" s="45" t="n"/>
      <c r="C201" s="45" t="n"/>
      <c r="D201" s="45" t="n"/>
      <c r="E201" s="45" t="n"/>
      <c r="F201" s="45" t="n"/>
      <c r="G201" s="45" t="n"/>
      <c r="H201" s="45" t="n"/>
      <c r="I201" s="45" t="n"/>
      <c r="J201" s="45" t="n"/>
      <c r="K201" s="45" t="n"/>
      <c r="L201" s="45" t="n"/>
      <c r="M201" s="45" t="n"/>
      <c r="N201" s="45" t="n"/>
      <c r="O201" s="45" t="n"/>
      <c r="P201" s="45" t="n"/>
      <c r="Q201" s="45" t="n"/>
      <c r="R201" s="45" t="n"/>
      <c r="S201" s="46" t="n"/>
      <c r="T201" s="46" t="n"/>
      <c r="U201" s="46" t="n"/>
      <c r="V201" s="46" t="n"/>
      <c r="W201" s="46" t="n"/>
      <c r="X201" s="46" t="n"/>
      <c r="Y201" s="46" t="n"/>
      <c r="Z201" s="46" t="n"/>
      <c r="AA201" s="46" t="n"/>
      <c r="AB201" s="46" t="n"/>
      <c r="AC201" s="46" t="n"/>
      <c r="AD201" s="46" t="n"/>
      <c r="AE201" s="46" t="n"/>
      <c r="AF201" s="46" t="n"/>
      <c r="AG201" s="46" t="n"/>
      <c r="AH201" s="47" t="n"/>
      <c r="AI201" s="47" t="n"/>
      <c r="AJ201" s="47" t="n"/>
      <c r="AK201" s="47" t="n"/>
      <c r="AL201" s="47" t="n"/>
      <c r="AM201" s="47" t="n"/>
      <c r="AN201" s="47" t="n"/>
      <c r="AO201" s="47" t="n"/>
      <c r="AP201" s="47" t="n"/>
      <c r="AQ201" s="47" t="n"/>
      <c r="AR201" s="47" t="n"/>
      <c r="AS201" s="47" t="n"/>
      <c r="AT201" s="47" t="n"/>
      <c r="AU201" s="48" t="n"/>
      <c r="AV201" s="48" t="n"/>
      <c r="AW201" s="49">
        <f>IF($A201="","",IF($BW201&lt;&gt;"","FIX",IF($BX201&lt;&gt;"","CHECK","OK")))</f>
        <v/>
      </c>
      <c r="AX201" s="50">
        <f>IF($A201="","",IF($BW201&lt;&gt;"","FIX: "&amp;LEFT($BW201,LEN($BW201)-2)&amp;IF($BX201&lt;&gt;"","  ·  ",""),"")&amp;IF($BX201&lt;&gt;"","CHECK: "&amp;LEFT($BX201,LEN($BX201)-2),""))</f>
        <v/>
      </c>
      <c r="AY201" s="49">
        <f>IF(OR($A201="",$K201=""),"",$K201&amp;"'-"&amp;N($L201)&amp;CHAR(34)&amp;" x "&amp;$M201&amp;"'-"&amp;N($N201)&amp;CHAR(34))</f>
        <v/>
      </c>
      <c r="AZ201" s="49">
        <f>IF(OR($A201="",$K201=""),"",$K201&amp;N($L201)&amp;$M201&amp;N($N201))</f>
        <v/>
      </c>
      <c r="BA201" s="49">
        <f>IF(OR($A201="",$K201=""),"",$K201*12+N($L201))</f>
        <v/>
      </c>
      <c r="BB201" s="49">
        <f>IF(OR($A201="",$M201=""),"",$M201*12+N($N201))</f>
        <v/>
      </c>
      <c r="BC201" s="49">
        <f>IF($A201="","",IF(OR($C201="FRAME ONLY",$S201="BL"),0,IF($O201="Y",2,1)))</f>
        <v/>
      </c>
      <c r="BD201" s="51">
        <f>IF(OR(N($BC201)=0,$BA201=""),"",($BA201-2*EdgeClr-IF($BC201=2,MeetClr,0))/$BC201)</f>
        <v/>
      </c>
      <c r="BE201" s="51">
        <f>IF(OR(N($BC201)=0,$BB201=""),"",$BB201-HeadClr-Undercut)</f>
        <v/>
      </c>
      <c r="BF201" s="51">
        <f>IF($BA201="","",$BA201+2*FaceW+IF(N($Q201)&gt;0,($Q201+FaceW)*IF($R201="LR",2,1),0))</f>
        <v/>
      </c>
      <c r="BG201" s="51">
        <f>IF($BB201="","",$BB201+IF($AB201="Y",4,FaceW)+IF(N($P201)&gt;0,$P201+FaceW,0)+IF(OR($S201="4F",$S201="BL"),FaceW,0))</f>
        <v/>
      </c>
      <c r="BH201" s="51">
        <f>IF($BF201="","",$BF201+2*ROSide)</f>
        <v/>
      </c>
      <c r="BI201" s="51">
        <f>IF($BG201="","",$BG201+ROTop)</f>
        <v/>
      </c>
      <c r="BJ201" s="52">
        <f>IF(OR(N($BC201)=0,$BA201=""),"",$BA201/$BC201-ClearDeduct)</f>
        <v/>
      </c>
      <c r="BK201" s="49">
        <f>IF(OR(N($BC201)=0,$BE201=""),"",IF(OR($AC201="HGC",$AP201="HGC"),"CONT",IF($BE201&lt;=60,2,IF($BE201&lt;=90,3,IF($BE201&lt;=120,4,5)))))</f>
        <v/>
      </c>
      <c r="BL201" s="49">
        <f>IF(N($BC201)=0,"",IF(OR($AL201="",$AL201="FLUSH"),"FLUSH",IFERROR(LEFT($AL201,FIND("-",$AL201)-1),LEFT($AL201,2))))</f>
        <v/>
      </c>
      <c r="BM201" s="49">
        <f>IF($BL201="","",IFERROR(VALUE(MID($AL201,FIND("-",$AL201)+1,FIND(CHAR(34)&amp;"x",$AL201)-FIND("-",$AL201)-1)),0))</f>
        <v/>
      </c>
      <c r="BN201" s="49">
        <f>IF($BL201="","",IFERROR(VALUE(MID($AL201,FIND(CHAR(34)&amp;"x",$AL201)+2,FIND(CHAR(34),$AL201,FIND(CHAR(34)&amp;"x",$AL201)+2)-FIND(CHAR(34)&amp;"x",$AL201)-2)),0))</f>
        <v/>
      </c>
      <c r="BO201" s="53">
        <f>IF(OR($A201="",$H201="",$H201="NO LAB"),0,IFERROR(VALUE(LEFT($H201,FIND(" ",$H201)-1)),0))</f>
        <v/>
      </c>
      <c r="BP201" s="54">
        <f>IF(OR($A201="",$I201="",$I201="NON-RATED",N($J201)=0),"",IFERROR(VLOOKUP($I201&amp;"|"&amp;$J201,IBC,2,FALSE),"?"))</f>
        <v/>
      </c>
      <c r="BQ201" s="50">
        <f>IF(NOT(AND($A201&lt;&gt;"",$C201&lt;&gt;"DOOR ONLY")),"",TRIM(IFERROR(VLOOKUP($U201,CODES,2,FALSE),"")&amp;" "&amp;$AZ201&amp;" "&amp;IFERROR(VLOOKUP($Z201,CODES,2,FALSE),"")&amp;" "&amp;IFERROR(VLOOKUP($X201,CODES,2,FALSE),"")&amp;" "&amp;IFERROR(VLOOKUP($S201,CODES,2,FALSE),"")&amp;IF(N($P201)&gt;0," w/TRANSOM "&amp;$P201&amp;CHAR(34),"")&amp;IF(N($Q201)&gt;0," w/SIDELITE "&amp;$Q201&amp;CHAR(34)&amp;" "&amp;IF($R201="","R",$R201),"")&amp;IF($Y201="","  |  "," | "&amp;IFERROR(VLOOKUP($Y201,CODES,2,FALSE),"")&amp;" | ")&amp;IFERROR(VLOOKUP($AC201,CODES,2,FALSE),"")&amp;" "&amp;IFERROR(VLOOKUP($AD201,CODES,2,FALSE),"")&amp;IF(OR($AE201="",$AE201="-"),""," "&amp;$AE201)&amp;IF(OR($AF201="",$AF201="-"),""," "&amp;$AF201)&amp;IF($AB201="Y"," 4"&amp;CHAR(34)&amp;" HEAD","")&amp;" "&amp;IFERROR(VLOOKUP($H201,CODES,2,FALSE),"")))</f>
        <v/>
      </c>
      <c r="BR201" s="50">
        <f>IF(NOT(AND($A201&lt;&gt;"",N($BC201)&gt;0)),"",TRIM(IFERROR(VLOOKUP($AH201,CODES,2,FALSE),"")&amp;IF($AI201=""," "," "&amp;$AI201&amp;"GA ")&amp;$AZ201&amp;" "&amp;IF($AN201="",IFERROR(VLOOKUP($Z201,CODES,2,FALSE),""),IFERROR(VLOOKUP($AN201,CODES,2,FALSE),""))&amp;IF($BC201=2," PAIR","")&amp;" DOOR | "&amp;IF($AL201="","?",$AL201)&amp;" | "&amp;IF($AP201="",IFERROR(VLOOKUP($AC201,CODES,2,FALSE),""),IFERROR(VLOOKUP($AP201,CODES,2,FALSE),""))&amp;" "&amp;IFERROR(VLOOKUP($AQ201,CODES,2,FALSE),"")&amp;IF(OR($AR201="",$AR201="-"),""," SEAM "&amp;$AR201)&amp;IF($AS201="Y"," ASTRAGAL","")&amp;IF($AJ201=""," "," "&amp;$AJ201)&amp;IF($AK201=""," "," "&amp;$AK201)&amp;IF($AO201="",""," "&amp;$AO201)&amp;IF($AM201=""," "," SERIES "&amp;$AM201)&amp;" "&amp;IFERROR(VLOOKUP($H201,CODES,2,FALSE),"")))</f>
        <v/>
      </c>
      <c r="BS201" s="49">
        <f>IF(BV201="","",IF(COUNTIF($BV$6:BV201,BV201)=1,MAX($BS$5:BS200)+1,INDEX($BS$5:BS200,MATCH(BV201,$BV$5:BV200,0))))</f>
        <v/>
      </c>
      <c r="BT201" s="49">
        <f>IF(NOT(AND($A201&lt;&gt;"",$C201&lt;&gt;"DOOR ONLY")),"",MAX($BT$5:BT200)+1)</f>
        <v/>
      </c>
      <c r="BU201" s="49">
        <f>IF(NOT(AND($A201&lt;&gt;"",N($BC201)&gt;0)),"",MAX($BU$5:BU200)+1)</f>
        <v/>
      </c>
      <c r="BV201" s="49">
        <f>IF(OR($A201="",$BA201="",$BB201=""),"",$AZ201&amp;"|"&amp;$O201&amp;"|"&amp;$AL201&amp;"|"&amp;$S201&amp;"|"&amp;$P201&amp;"|"&amp;$Q201&amp;$R201&amp;"|"&amp;$C201&amp;"|"&amp;$AB201)</f>
        <v/>
      </c>
      <c r="BW201" s="49">
        <f>IF($A201="","",IF($B201="","qty, ","")&amp;IF($C201="","scope, ","")&amp;IF(OR($K201="",$M201=""),"size, ","")&amp;IF(AND($A201&lt;&gt;"",$C201&lt;&gt;"DOOR ONLY"),IF($U201="","jamb depth, ","")&amp;IF($X201="","construction, ","")&amp;IF($Y201="","anchor, ","")&amp;IF($S201="","frame type, ",""),"")&amp;IF(AND(N($BC201)&gt;0,$Z201=""),"hand, ","")&amp;IF(N($BC201)&gt;0,IF($AH201="","door material, ","")&amp;IF($AL201="","face type, ","")&amp;IF($AQ201="","lock prep, ","")&amp;IF(AND($AP201="",$AC201=""),"hinge prep, ",""),"")&amp;IF(AND($BO201&gt;0,$AH201="FRP"),"FRP cannot carry a label, ","")&amp;IF(AND($O201="Y",OR($Z201="L",$Z201="R",$Z201="LR",$Z201="RR")),"pair marked but hand is single, ","")&amp;IF(AND($O201&lt;&gt;"Y",OR($Z201="PR",AND(LEN($Z201)&gt;1,ISNUMBER(SEARCH("-",$Z201))))),"pair hand on a single door, ","")&amp;IF(AND(ISNUMBER($BP201),$BO201&lt;N($BP201)),"wall needs a "&amp;$BP201&amp;" min door, ","")&amp;IF(AND($BO201&gt;=180,AND(OR($BL201="FG",$BL201="HG",$BL201="FNV",$BL201="FV"),N($BM201)*N($BN201)&gt;100)),"180 min lite over 100 sq in, ","")&amp;IF(N($BD201)&gt;48,"leaf wider than 4'-0"&amp;CHAR(34)&amp;", ",""))</f>
        <v/>
      </c>
      <c r="BX201" s="49">
        <f>IF($A201="","",IF(AND($BO201&gt;0,AND($A201&lt;&gt;"",$C201&lt;&gt;"DOOR ONLY"),$X201="KD",$E201="EXTERIOR"),"KD label on an exterior opening, ","")&amp;IF(AND($E201="EXTERIOR",OR(AND(AND($A201&lt;&gt;"",$C201&lt;&gt;"DOOR ONLY"),$W201="CR"),AND(N($BC201)&gt;0,$AH201="CR"))),"exterior in CR steel (G9?), ","")&amp;IF(AND(ISNUMBER($BJ201),N($BJ201)&lt;32),"clear width ~"&amp;TEXT($BJ201,"0.0")&amp;CHAR(34)&amp;" under 32"&amp;CHAR(34)&amp;" (ADA), ","")&amp;IF(AND($BO201=90,AND(OR($BL201="FG",$BL201="HG",$BL201="FNV",$BL201="FV"),N($BM201)*N($BN201)&gt;100)),"90 min lite over 100 sq in (stair/exit), ","")&amp;IF(AND($BO201&gt;0,AND($A201&lt;&gt;"",$C201&lt;&gt;"DOOR ONLY"),OR($AF201="",$AF201="-")),"rated: closer reinf.?, ","")&amp;IF(OR($I201="CORRIDOR",$I201="SMOKE BARRIER"),"S label + smoke gasketing, ","")&amp;IF($BP201="?","wall type/hr not in IBC table, ","")&amp;IF(AND(N($BC201)&gt;0,$AU201=""),"no hardware set, ","")&amp;IF(AND($AU201&lt;&gt;"",ISNA(MATCH($AU201,HWSets,0))),"set "&amp;$AU201&amp;" not on Hardware sheet, ","")&amp;IF(N($BE201)&gt;96,"leaf over 8'-0"&amp;CHAR(34)&amp;" - check listing, ",""))</f>
        <v/>
      </c>
    </row>
    <row r="202" ht="15" customHeight="1">
      <c r="A202" s="44" t="n"/>
      <c r="B202" s="45" t="n"/>
      <c r="C202" s="45" t="n"/>
      <c r="D202" s="45" t="n"/>
      <c r="E202" s="45" t="n"/>
      <c r="F202" s="45" t="n"/>
      <c r="G202" s="45" t="n"/>
      <c r="H202" s="45" t="n"/>
      <c r="I202" s="45" t="n"/>
      <c r="J202" s="45" t="n"/>
      <c r="K202" s="45" t="n"/>
      <c r="L202" s="45" t="n"/>
      <c r="M202" s="45" t="n"/>
      <c r="N202" s="45" t="n"/>
      <c r="O202" s="45" t="n"/>
      <c r="P202" s="45" t="n"/>
      <c r="Q202" s="45" t="n"/>
      <c r="R202" s="45" t="n"/>
      <c r="S202" s="46" t="n"/>
      <c r="T202" s="46" t="n"/>
      <c r="U202" s="46" t="n"/>
      <c r="V202" s="46" t="n"/>
      <c r="W202" s="46" t="n"/>
      <c r="X202" s="46" t="n"/>
      <c r="Y202" s="46" t="n"/>
      <c r="Z202" s="46" t="n"/>
      <c r="AA202" s="46" t="n"/>
      <c r="AB202" s="46" t="n"/>
      <c r="AC202" s="46" t="n"/>
      <c r="AD202" s="46" t="n"/>
      <c r="AE202" s="46" t="n"/>
      <c r="AF202" s="46" t="n"/>
      <c r="AG202" s="46" t="n"/>
      <c r="AH202" s="47" t="n"/>
      <c r="AI202" s="47" t="n"/>
      <c r="AJ202" s="47" t="n"/>
      <c r="AK202" s="47" t="n"/>
      <c r="AL202" s="47" t="n"/>
      <c r="AM202" s="47" t="n"/>
      <c r="AN202" s="47" t="n"/>
      <c r="AO202" s="47" t="n"/>
      <c r="AP202" s="47" t="n"/>
      <c r="AQ202" s="47" t="n"/>
      <c r="AR202" s="47" t="n"/>
      <c r="AS202" s="47" t="n"/>
      <c r="AT202" s="47" t="n"/>
      <c r="AU202" s="48" t="n"/>
      <c r="AV202" s="48" t="n"/>
      <c r="AW202" s="49">
        <f>IF($A202="","",IF($BW202&lt;&gt;"","FIX",IF($BX202&lt;&gt;"","CHECK","OK")))</f>
        <v/>
      </c>
      <c r="AX202" s="50">
        <f>IF($A202="","",IF($BW202&lt;&gt;"","FIX: "&amp;LEFT($BW202,LEN($BW202)-2)&amp;IF($BX202&lt;&gt;"","  ·  ",""),"")&amp;IF($BX202&lt;&gt;"","CHECK: "&amp;LEFT($BX202,LEN($BX202)-2),""))</f>
        <v/>
      </c>
      <c r="AY202" s="49">
        <f>IF(OR($A202="",$K202=""),"",$K202&amp;"'-"&amp;N($L202)&amp;CHAR(34)&amp;" x "&amp;$M202&amp;"'-"&amp;N($N202)&amp;CHAR(34))</f>
        <v/>
      </c>
      <c r="AZ202" s="49">
        <f>IF(OR($A202="",$K202=""),"",$K202&amp;N($L202)&amp;$M202&amp;N($N202))</f>
        <v/>
      </c>
      <c r="BA202" s="49">
        <f>IF(OR($A202="",$K202=""),"",$K202*12+N($L202))</f>
        <v/>
      </c>
      <c r="BB202" s="49">
        <f>IF(OR($A202="",$M202=""),"",$M202*12+N($N202))</f>
        <v/>
      </c>
      <c r="BC202" s="49">
        <f>IF($A202="","",IF(OR($C202="FRAME ONLY",$S202="BL"),0,IF($O202="Y",2,1)))</f>
        <v/>
      </c>
      <c r="BD202" s="51">
        <f>IF(OR(N($BC202)=0,$BA202=""),"",($BA202-2*EdgeClr-IF($BC202=2,MeetClr,0))/$BC202)</f>
        <v/>
      </c>
      <c r="BE202" s="51">
        <f>IF(OR(N($BC202)=0,$BB202=""),"",$BB202-HeadClr-Undercut)</f>
        <v/>
      </c>
      <c r="BF202" s="51">
        <f>IF($BA202="","",$BA202+2*FaceW+IF(N($Q202)&gt;0,($Q202+FaceW)*IF($R202="LR",2,1),0))</f>
        <v/>
      </c>
      <c r="BG202" s="51">
        <f>IF($BB202="","",$BB202+IF($AB202="Y",4,FaceW)+IF(N($P202)&gt;0,$P202+FaceW,0)+IF(OR($S202="4F",$S202="BL"),FaceW,0))</f>
        <v/>
      </c>
      <c r="BH202" s="51">
        <f>IF($BF202="","",$BF202+2*ROSide)</f>
        <v/>
      </c>
      <c r="BI202" s="51">
        <f>IF($BG202="","",$BG202+ROTop)</f>
        <v/>
      </c>
      <c r="BJ202" s="52">
        <f>IF(OR(N($BC202)=0,$BA202=""),"",$BA202/$BC202-ClearDeduct)</f>
        <v/>
      </c>
      <c r="BK202" s="49">
        <f>IF(OR(N($BC202)=0,$BE202=""),"",IF(OR($AC202="HGC",$AP202="HGC"),"CONT",IF($BE202&lt;=60,2,IF($BE202&lt;=90,3,IF($BE202&lt;=120,4,5)))))</f>
        <v/>
      </c>
      <c r="BL202" s="49">
        <f>IF(N($BC202)=0,"",IF(OR($AL202="",$AL202="FLUSH"),"FLUSH",IFERROR(LEFT($AL202,FIND("-",$AL202)-1),LEFT($AL202,2))))</f>
        <v/>
      </c>
      <c r="BM202" s="49">
        <f>IF($BL202="","",IFERROR(VALUE(MID($AL202,FIND("-",$AL202)+1,FIND(CHAR(34)&amp;"x",$AL202)-FIND("-",$AL202)-1)),0))</f>
        <v/>
      </c>
      <c r="BN202" s="49">
        <f>IF($BL202="","",IFERROR(VALUE(MID($AL202,FIND(CHAR(34)&amp;"x",$AL202)+2,FIND(CHAR(34),$AL202,FIND(CHAR(34)&amp;"x",$AL202)+2)-FIND(CHAR(34)&amp;"x",$AL202)-2)),0))</f>
        <v/>
      </c>
      <c r="BO202" s="53">
        <f>IF(OR($A202="",$H202="",$H202="NO LAB"),0,IFERROR(VALUE(LEFT($H202,FIND(" ",$H202)-1)),0))</f>
        <v/>
      </c>
      <c r="BP202" s="54">
        <f>IF(OR($A202="",$I202="",$I202="NON-RATED",N($J202)=0),"",IFERROR(VLOOKUP($I202&amp;"|"&amp;$J202,IBC,2,FALSE),"?"))</f>
        <v/>
      </c>
      <c r="BQ202" s="50">
        <f>IF(NOT(AND($A202&lt;&gt;"",$C202&lt;&gt;"DOOR ONLY")),"",TRIM(IFERROR(VLOOKUP($U202,CODES,2,FALSE),"")&amp;" "&amp;$AZ202&amp;" "&amp;IFERROR(VLOOKUP($Z202,CODES,2,FALSE),"")&amp;" "&amp;IFERROR(VLOOKUP($X202,CODES,2,FALSE),"")&amp;" "&amp;IFERROR(VLOOKUP($S202,CODES,2,FALSE),"")&amp;IF(N($P202)&gt;0," w/TRANSOM "&amp;$P202&amp;CHAR(34),"")&amp;IF(N($Q202)&gt;0," w/SIDELITE "&amp;$Q202&amp;CHAR(34)&amp;" "&amp;IF($R202="","R",$R202),"")&amp;IF($Y202="","  |  "," | "&amp;IFERROR(VLOOKUP($Y202,CODES,2,FALSE),"")&amp;" | ")&amp;IFERROR(VLOOKUP($AC202,CODES,2,FALSE),"")&amp;" "&amp;IFERROR(VLOOKUP($AD202,CODES,2,FALSE),"")&amp;IF(OR($AE202="",$AE202="-"),""," "&amp;$AE202)&amp;IF(OR($AF202="",$AF202="-"),""," "&amp;$AF202)&amp;IF($AB202="Y"," 4"&amp;CHAR(34)&amp;" HEAD","")&amp;" "&amp;IFERROR(VLOOKUP($H202,CODES,2,FALSE),"")))</f>
        <v/>
      </c>
      <c r="BR202" s="50">
        <f>IF(NOT(AND($A202&lt;&gt;"",N($BC202)&gt;0)),"",TRIM(IFERROR(VLOOKUP($AH202,CODES,2,FALSE),"")&amp;IF($AI202=""," "," "&amp;$AI202&amp;"GA ")&amp;$AZ202&amp;" "&amp;IF($AN202="",IFERROR(VLOOKUP($Z202,CODES,2,FALSE),""),IFERROR(VLOOKUP($AN202,CODES,2,FALSE),""))&amp;IF($BC202=2," PAIR","")&amp;" DOOR | "&amp;IF($AL202="","?",$AL202)&amp;" | "&amp;IF($AP202="",IFERROR(VLOOKUP($AC202,CODES,2,FALSE),""),IFERROR(VLOOKUP($AP202,CODES,2,FALSE),""))&amp;" "&amp;IFERROR(VLOOKUP($AQ202,CODES,2,FALSE),"")&amp;IF(OR($AR202="",$AR202="-"),""," SEAM "&amp;$AR202)&amp;IF($AS202="Y"," ASTRAGAL","")&amp;IF($AJ202=""," "," "&amp;$AJ202)&amp;IF($AK202=""," "," "&amp;$AK202)&amp;IF($AO202="",""," "&amp;$AO202)&amp;IF($AM202=""," "," SERIES "&amp;$AM202)&amp;" "&amp;IFERROR(VLOOKUP($H202,CODES,2,FALSE),"")))</f>
        <v/>
      </c>
      <c r="BS202" s="49">
        <f>IF(BV202="","",IF(COUNTIF($BV$6:BV202,BV202)=1,MAX($BS$5:BS201)+1,INDEX($BS$5:BS201,MATCH(BV202,$BV$5:BV201,0))))</f>
        <v/>
      </c>
      <c r="BT202" s="49">
        <f>IF(NOT(AND($A202&lt;&gt;"",$C202&lt;&gt;"DOOR ONLY")),"",MAX($BT$5:BT201)+1)</f>
        <v/>
      </c>
      <c r="BU202" s="49">
        <f>IF(NOT(AND($A202&lt;&gt;"",N($BC202)&gt;0)),"",MAX($BU$5:BU201)+1)</f>
        <v/>
      </c>
      <c r="BV202" s="49">
        <f>IF(OR($A202="",$BA202="",$BB202=""),"",$AZ202&amp;"|"&amp;$O202&amp;"|"&amp;$AL202&amp;"|"&amp;$S202&amp;"|"&amp;$P202&amp;"|"&amp;$Q202&amp;$R202&amp;"|"&amp;$C202&amp;"|"&amp;$AB202)</f>
        <v/>
      </c>
      <c r="BW202" s="49">
        <f>IF($A202="","",IF($B202="","qty, ","")&amp;IF($C202="","scope, ","")&amp;IF(OR($K202="",$M202=""),"size, ","")&amp;IF(AND($A202&lt;&gt;"",$C202&lt;&gt;"DOOR ONLY"),IF($U202="","jamb depth, ","")&amp;IF($X202="","construction, ","")&amp;IF($Y202="","anchor, ","")&amp;IF($S202="","frame type, ",""),"")&amp;IF(AND(N($BC202)&gt;0,$Z202=""),"hand, ","")&amp;IF(N($BC202)&gt;0,IF($AH202="","door material, ","")&amp;IF($AL202="","face type, ","")&amp;IF($AQ202="","lock prep, ","")&amp;IF(AND($AP202="",$AC202=""),"hinge prep, ",""),"")&amp;IF(AND($BO202&gt;0,$AH202="FRP"),"FRP cannot carry a label, ","")&amp;IF(AND($O202="Y",OR($Z202="L",$Z202="R",$Z202="LR",$Z202="RR")),"pair marked but hand is single, ","")&amp;IF(AND($O202&lt;&gt;"Y",OR($Z202="PR",AND(LEN($Z202)&gt;1,ISNUMBER(SEARCH("-",$Z202))))),"pair hand on a single door, ","")&amp;IF(AND(ISNUMBER($BP202),$BO202&lt;N($BP202)),"wall needs a "&amp;$BP202&amp;" min door, ","")&amp;IF(AND($BO202&gt;=180,AND(OR($BL202="FG",$BL202="HG",$BL202="FNV",$BL202="FV"),N($BM202)*N($BN202)&gt;100)),"180 min lite over 100 sq in, ","")&amp;IF(N($BD202)&gt;48,"leaf wider than 4'-0"&amp;CHAR(34)&amp;", ",""))</f>
        <v/>
      </c>
      <c r="BX202" s="49">
        <f>IF($A202="","",IF(AND($BO202&gt;0,AND($A202&lt;&gt;"",$C202&lt;&gt;"DOOR ONLY"),$X202="KD",$E202="EXTERIOR"),"KD label on an exterior opening, ","")&amp;IF(AND($E202="EXTERIOR",OR(AND(AND($A202&lt;&gt;"",$C202&lt;&gt;"DOOR ONLY"),$W202="CR"),AND(N($BC202)&gt;0,$AH202="CR"))),"exterior in CR steel (G9?), ","")&amp;IF(AND(ISNUMBER($BJ202),N($BJ202)&lt;32),"clear width ~"&amp;TEXT($BJ202,"0.0")&amp;CHAR(34)&amp;" under 32"&amp;CHAR(34)&amp;" (ADA), ","")&amp;IF(AND($BO202=90,AND(OR($BL202="FG",$BL202="HG",$BL202="FNV",$BL202="FV"),N($BM202)*N($BN202)&gt;100)),"90 min lite over 100 sq in (stair/exit), ","")&amp;IF(AND($BO202&gt;0,AND($A202&lt;&gt;"",$C202&lt;&gt;"DOOR ONLY"),OR($AF202="",$AF202="-")),"rated: closer reinf.?, ","")&amp;IF(OR($I202="CORRIDOR",$I202="SMOKE BARRIER"),"S label + smoke gasketing, ","")&amp;IF($BP202="?","wall type/hr not in IBC table, ","")&amp;IF(AND(N($BC202)&gt;0,$AU202=""),"no hardware set, ","")&amp;IF(AND($AU202&lt;&gt;"",ISNA(MATCH($AU202,HWSets,0))),"set "&amp;$AU202&amp;" not on Hardware sheet, ","")&amp;IF(N($BE202)&gt;96,"leaf over 8'-0"&amp;CHAR(34)&amp;" - check listing, ",""))</f>
        <v/>
      </c>
    </row>
    <row r="203" ht="15" customHeight="1">
      <c r="A203" s="44" t="n"/>
      <c r="B203" s="45" t="n"/>
      <c r="C203" s="45" t="n"/>
      <c r="D203" s="45" t="n"/>
      <c r="E203" s="45" t="n"/>
      <c r="F203" s="45" t="n"/>
      <c r="G203" s="45" t="n"/>
      <c r="H203" s="45" t="n"/>
      <c r="I203" s="45" t="n"/>
      <c r="J203" s="45" t="n"/>
      <c r="K203" s="45" t="n"/>
      <c r="L203" s="45" t="n"/>
      <c r="M203" s="45" t="n"/>
      <c r="N203" s="45" t="n"/>
      <c r="O203" s="45" t="n"/>
      <c r="P203" s="45" t="n"/>
      <c r="Q203" s="45" t="n"/>
      <c r="R203" s="45" t="n"/>
      <c r="S203" s="46" t="n"/>
      <c r="T203" s="46" t="n"/>
      <c r="U203" s="46" t="n"/>
      <c r="V203" s="46" t="n"/>
      <c r="W203" s="46" t="n"/>
      <c r="X203" s="46" t="n"/>
      <c r="Y203" s="46" t="n"/>
      <c r="Z203" s="46" t="n"/>
      <c r="AA203" s="46" t="n"/>
      <c r="AB203" s="46" t="n"/>
      <c r="AC203" s="46" t="n"/>
      <c r="AD203" s="46" t="n"/>
      <c r="AE203" s="46" t="n"/>
      <c r="AF203" s="46" t="n"/>
      <c r="AG203" s="46" t="n"/>
      <c r="AH203" s="47" t="n"/>
      <c r="AI203" s="47" t="n"/>
      <c r="AJ203" s="47" t="n"/>
      <c r="AK203" s="47" t="n"/>
      <c r="AL203" s="47" t="n"/>
      <c r="AM203" s="47" t="n"/>
      <c r="AN203" s="47" t="n"/>
      <c r="AO203" s="47" t="n"/>
      <c r="AP203" s="47" t="n"/>
      <c r="AQ203" s="47" t="n"/>
      <c r="AR203" s="47" t="n"/>
      <c r="AS203" s="47" t="n"/>
      <c r="AT203" s="47" t="n"/>
      <c r="AU203" s="48" t="n"/>
      <c r="AV203" s="48" t="n"/>
      <c r="AW203" s="49">
        <f>IF($A203="","",IF($BW203&lt;&gt;"","FIX",IF($BX203&lt;&gt;"","CHECK","OK")))</f>
        <v/>
      </c>
      <c r="AX203" s="50">
        <f>IF($A203="","",IF($BW203&lt;&gt;"","FIX: "&amp;LEFT($BW203,LEN($BW203)-2)&amp;IF($BX203&lt;&gt;"","  ·  ",""),"")&amp;IF($BX203&lt;&gt;"","CHECK: "&amp;LEFT($BX203,LEN($BX203)-2),""))</f>
        <v/>
      </c>
      <c r="AY203" s="49">
        <f>IF(OR($A203="",$K203=""),"",$K203&amp;"'-"&amp;N($L203)&amp;CHAR(34)&amp;" x "&amp;$M203&amp;"'-"&amp;N($N203)&amp;CHAR(34))</f>
        <v/>
      </c>
      <c r="AZ203" s="49">
        <f>IF(OR($A203="",$K203=""),"",$K203&amp;N($L203)&amp;$M203&amp;N($N203))</f>
        <v/>
      </c>
      <c r="BA203" s="49">
        <f>IF(OR($A203="",$K203=""),"",$K203*12+N($L203))</f>
        <v/>
      </c>
      <c r="BB203" s="49">
        <f>IF(OR($A203="",$M203=""),"",$M203*12+N($N203))</f>
        <v/>
      </c>
      <c r="BC203" s="49">
        <f>IF($A203="","",IF(OR($C203="FRAME ONLY",$S203="BL"),0,IF($O203="Y",2,1)))</f>
        <v/>
      </c>
      <c r="BD203" s="51">
        <f>IF(OR(N($BC203)=0,$BA203=""),"",($BA203-2*EdgeClr-IF($BC203=2,MeetClr,0))/$BC203)</f>
        <v/>
      </c>
      <c r="BE203" s="51">
        <f>IF(OR(N($BC203)=0,$BB203=""),"",$BB203-HeadClr-Undercut)</f>
        <v/>
      </c>
      <c r="BF203" s="51">
        <f>IF($BA203="","",$BA203+2*FaceW+IF(N($Q203)&gt;0,($Q203+FaceW)*IF($R203="LR",2,1),0))</f>
        <v/>
      </c>
      <c r="BG203" s="51">
        <f>IF($BB203="","",$BB203+IF($AB203="Y",4,FaceW)+IF(N($P203)&gt;0,$P203+FaceW,0)+IF(OR($S203="4F",$S203="BL"),FaceW,0))</f>
        <v/>
      </c>
      <c r="BH203" s="51">
        <f>IF($BF203="","",$BF203+2*ROSide)</f>
        <v/>
      </c>
      <c r="BI203" s="51">
        <f>IF($BG203="","",$BG203+ROTop)</f>
        <v/>
      </c>
      <c r="BJ203" s="52">
        <f>IF(OR(N($BC203)=0,$BA203=""),"",$BA203/$BC203-ClearDeduct)</f>
        <v/>
      </c>
      <c r="BK203" s="49">
        <f>IF(OR(N($BC203)=0,$BE203=""),"",IF(OR($AC203="HGC",$AP203="HGC"),"CONT",IF($BE203&lt;=60,2,IF($BE203&lt;=90,3,IF($BE203&lt;=120,4,5)))))</f>
        <v/>
      </c>
      <c r="BL203" s="49">
        <f>IF(N($BC203)=0,"",IF(OR($AL203="",$AL203="FLUSH"),"FLUSH",IFERROR(LEFT($AL203,FIND("-",$AL203)-1),LEFT($AL203,2))))</f>
        <v/>
      </c>
      <c r="BM203" s="49">
        <f>IF($BL203="","",IFERROR(VALUE(MID($AL203,FIND("-",$AL203)+1,FIND(CHAR(34)&amp;"x",$AL203)-FIND("-",$AL203)-1)),0))</f>
        <v/>
      </c>
      <c r="BN203" s="49">
        <f>IF($BL203="","",IFERROR(VALUE(MID($AL203,FIND(CHAR(34)&amp;"x",$AL203)+2,FIND(CHAR(34),$AL203,FIND(CHAR(34)&amp;"x",$AL203)+2)-FIND(CHAR(34)&amp;"x",$AL203)-2)),0))</f>
        <v/>
      </c>
      <c r="BO203" s="53">
        <f>IF(OR($A203="",$H203="",$H203="NO LAB"),0,IFERROR(VALUE(LEFT($H203,FIND(" ",$H203)-1)),0))</f>
        <v/>
      </c>
      <c r="BP203" s="54">
        <f>IF(OR($A203="",$I203="",$I203="NON-RATED",N($J203)=0),"",IFERROR(VLOOKUP($I203&amp;"|"&amp;$J203,IBC,2,FALSE),"?"))</f>
        <v/>
      </c>
      <c r="BQ203" s="50">
        <f>IF(NOT(AND($A203&lt;&gt;"",$C203&lt;&gt;"DOOR ONLY")),"",TRIM(IFERROR(VLOOKUP($U203,CODES,2,FALSE),"")&amp;" "&amp;$AZ203&amp;" "&amp;IFERROR(VLOOKUP($Z203,CODES,2,FALSE),"")&amp;" "&amp;IFERROR(VLOOKUP($X203,CODES,2,FALSE),"")&amp;" "&amp;IFERROR(VLOOKUP($S203,CODES,2,FALSE),"")&amp;IF(N($P203)&gt;0," w/TRANSOM "&amp;$P203&amp;CHAR(34),"")&amp;IF(N($Q203)&gt;0," w/SIDELITE "&amp;$Q203&amp;CHAR(34)&amp;" "&amp;IF($R203="","R",$R203),"")&amp;IF($Y203="","  |  "," | "&amp;IFERROR(VLOOKUP($Y203,CODES,2,FALSE),"")&amp;" | ")&amp;IFERROR(VLOOKUP($AC203,CODES,2,FALSE),"")&amp;" "&amp;IFERROR(VLOOKUP($AD203,CODES,2,FALSE),"")&amp;IF(OR($AE203="",$AE203="-"),""," "&amp;$AE203)&amp;IF(OR($AF203="",$AF203="-"),""," "&amp;$AF203)&amp;IF($AB203="Y"," 4"&amp;CHAR(34)&amp;" HEAD","")&amp;" "&amp;IFERROR(VLOOKUP($H203,CODES,2,FALSE),"")))</f>
        <v/>
      </c>
      <c r="BR203" s="50">
        <f>IF(NOT(AND($A203&lt;&gt;"",N($BC203)&gt;0)),"",TRIM(IFERROR(VLOOKUP($AH203,CODES,2,FALSE),"")&amp;IF($AI203=""," "," "&amp;$AI203&amp;"GA ")&amp;$AZ203&amp;" "&amp;IF($AN203="",IFERROR(VLOOKUP($Z203,CODES,2,FALSE),""),IFERROR(VLOOKUP($AN203,CODES,2,FALSE),""))&amp;IF($BC203=2," PAIR","")&amp;" DOOR | "&amp;IF($AL203="","?",$AL203)&amp;" | "&amp;IF($AP203="",IFERROR(VLOOKUP($AC203,CODES,2,FALSE),""),IFERROR(VLOOKUP($AP203,CODES,2,FALSE),""))&amp;" "&amp;IFERROR(VLOOKUP($AQ203,CODES,2,FALSE),"")&amp;IF(OR($AR203="",$AR203="-"),""," SEAM "&amp;$AR203)&amp;IF($AS203="Y"," ASTRAGAL","")&amp;IF($AJ203=""," "," "&amp;$AJ203)&amp;IF($AK203=""," "," "&amp;$AK203)&amp;IF($AO203="",""," "&amp;$AO203)&amp;IF($AM203=""," "," SERIES "&amp;$AM203)&amp;" "&amp;IFERROR(VLOOKUP($H203,CODES,2,FALSE),"")))</f>
        <v/>
      </c>
      <c r="BS203" s="49">
        <f>IF(BV203="","",IF(COUNTIF($BV$6:BV203,BV203)=1,MAX($BS$5:BS202)+1,INDEX($BS$5:BS202,MATCH(BV203,$BV$5:BV202,0))))</f>
        <v/>
      </c>
      <c r="BT203" s="49">
        <f>IF(NOT(AND($A203&lt;&gt;"",$C203&lt;&gt;"DOOR ONLY")),"",MAX($BT$5:BT202)+1)</f>
        <v/>
      </c>
      <c r="BU203" s="49">
        <f>IF(NOT(AND($A203&lt;&gt;"",N($BC203)&gt;0)),"",MAX($BU$5:BU202)+1)</f>
        <v/>
      </c>
      <c r="BV203" s="49">
        <f>IF(OR($A203="",$BA203="",$BB203=""),"",$AZ203&amp;"|"&amp;$O203&amp;"|"&amp;$AL203&amp;"|"&amp;$S203&amp;"|"&amp;$P203&amp;"|"&amp;$Q203&amp;$R203&amp;"|"&amp;$C203&amp;"|"&amp;$AB203)</f>
        <v/>
      </c>
      <c r="BW203" s="49">
        <f>IF($A203="","",IF($B203="","qty, ","")&amp;IF($C203="","scope, ","")&amp;IF(OR($K203="",$M203=""),"size, ","")&amp;IF(AND($A203&lt;&gt;"",$C203&lt;&gt;"DOOR ONLY"),IF($U203="","jamb depth, ","")&amp;IF($X203="","construction, ","")&amp;IF($Y203="","anchor, ","")&amp;IF($S203="","frame type, ",""),"")&amp;IF(AND(N($BC203)&gt;0,$Z203=""),"hand, ","")&amp;IF(N($BC203)&gt;0,IF($AH203="","door material, ","")&amp;IF($AL203="","face type, ","")&amp;IF($AQ203="","lock prep, ","")&amp;IF(AND($AP203="",$AC203=""),"hinge prep, ",""),"")&amp;IF(AND($BO203&gt;0,$AH203="FRP"),"FRP cannot carry a label, ","")&amp;IF(AND($O203="Y",OR($Z203="L",$Z203="R",$Z203="LR",$Z203="RR")),"pair marked but hand is single, ","")&amp;IF(AND($O203&lt;&gt;"Y",OR($Z203="PR",AND(LEN($Z203)&gt;1,ISNUMBER(SEARCH("-",$Z203))))),"pair hand on a single door, ","")&amp;IF(AND(ISNUMBER($BP203),$BO203&lt;N($BP203)),"wall needs a "&amp;$BP203&amp;" min door, ","")&amp;IF(AND($BO203&gt;=180,AND(OR($BL203="FG",$BL203="HG",$BL203="FNV",$BL203="FV"),N($BM203)*N($BN203)&gt;100)),"180 min lite over 100 sq in, ","")&amp;IF(N($BD203)&gt;48,"leaf wider than 4'-0"&amp;CHAR(34)&amp;", ",""))</f>
        <v/>
      </c>
      <c r="BX203" s="49">
        <f>IF($A203="","",IF(AND($BO203&gt;0,AND($A203&lt;&gt;"",$C203&lt;&gt;"DOOR ONLY"),$X203="KD",$E203="EXTERIOR"),"KD label on an exterior opening, ","")&amp;IF(AND($E203="EXTERIOR",OR(AND(AND($A203&lt;&gt;"",$C203&lt;&gt;"DOOR ONLY"),$W203="CR"),AND(N($BC203)&gt;0,$AH203="CR"))),"exterior in CR steel (G9?), ","")&amp;IF(AND(ISNUMBER($BJ203),N($BJ203)&lt;32),"clear width ~"&amp;TEXT($BJ203,"0.0")&amp;CHAR(34)&amp;" under 32"&amp;CHAR(34)&amp;" (ADA), ","")&amp;IF(AND($BO203=90,AND(OR($BL203="FG",$BL203="HG",$BL203="FNV",$BL203="FV"),N($BM203)*N($BN203)&gt;100)),"90 min lite over 100 sq in (stair/exit), ","")&amp;IF(AND($BO203&gt;0,AND($A203&lt;&gt;"",$C203&lt;&gt;"DOOR ONLY"),OR($AF203="",$AF203="-")),"rated: closer reinf.?, ","")&amp;IF(OR($I203="CORRIDOR",$I203="SMOKE BARRIER"),"S label + smoke gasketing, ","")&amp;IF($BP203="?","wall type/hr not in IBC table, ","")&amp;IF(AND(N($BC203)&gt;0,$AU203=""),"no hardware set, ","")&amp;IF(AND($AU203&lt;&gt;"",ISNA(MATCH($AU203,HWSets,0))),"set "&amp;$AU203&amp;" not on Hardware sheet, ","")&amp;IF(N($BE203)&gt;96,"leaf over 8'-0"&amp;CHAR(34)&amp;" - check listing, ",""))</f>
        <v/>
      </c>
    </row>
    <row r="204" ht="15" customHeight="1">
      <c r="A204" s="44" t="n"/>
      <c r="B204" s="45" t="n"/>
      <c r="C204" s="45" t="n"/>
      <c r="D204" s="45" t="n"/>
      <c r="E204" s="45" t="n"/>
      <c r="F204" s="45" t="n"/>
      <c r="G204" s="45" t="n"/>
      <c r="H204" s="45" t="n"/>
      <c r="I204" s="45" t="n"/>
      <c r="J204" s="45" t="n"/>
      <c r="K204" s="45" t="n"/>
      <c r="L204" s="45" t="n"/>
      <c r="M204" s="45" t="n"/>
      <c r="N204" s="45" t="n"/>
      <c r="O204" s="45" t="n"/>
      <c r="P204" s="45" t="n"/>
      <c r="Q204" s="45" t="n"/>
      <c r="R204" s="45" t="n"/>
      <c r="S204" s="46" t="n"/>
      <c r="T204" s="46" t="n"/>
      <c r="U204" s="46" t="n"/>
      <c r="V204" s="46" t="n"/>
      <c r="W204" s="46" t="n"/>
      <c r="X204" s="46" t="n"/>
      <c r="Y204" s="46" t="n"/>
      <c r="Z204" s="46" t="n"/>
      <c r="AA204" s="46" t="n"/>
      <c r="AB204" s="46" t="n"/>
      <c r="AC204" s="46" t="n"/>
      <c r="AD204" s="46" t="n"/>
      <c r="AE204" s="46" t="n"/>
      <c r="AF204" s="46" t="n"/>
      <c r="AG204" s="46" t="n"/>
      <c r="AH204" s="47" t="n"/>
      <c r="AI204" s="47" t="n"/>
      <c r="AJ204" s="47" t="n"/>
      <c r="AK204" s="47" t="n"/>
      <c r="AL204" s="47" t="n"/>
      <c r="AM204" s="47" t="n"/>
      <c r="AN204" s="47" t="n"/>
      <c r="AO204" s="47" t="n"/>
      <c r="AP204" s="47" t="n"/>
      <c r="AQ204" s="47" t="n"/>
      <c r="AR204" s="47" t="n"/>
      <c r="AS204" s="47" t="n"/>
      <c r="AT204" s="47" t="n"/>
      <c r="AU204" s="48" t="n"/>
      <c r="AV204" s="48" t="n"/>
      <c r="AW204" s="49">
        <f>IF($A204="","",IF($BW204&lt;&gt;"","FIX",IF($BX204&lt;&gt;"","CHECK","OK")))</f>
        <v/>
      </c>
      <c r="AX204" s="50">
        <f>IF($A204="","",IF($BW204&lt;&gt;"","FIX: "&amp;LEFT($BW204,LEN($BW204)-2)&amp;IF($BX204&lt;&gt;"","  ·  ",""),"")&amp;IF($BX204&lt;&gt;"","CHECK: "&amp;LEFT($BX204,LEN($BX204)-2),""))</f>
        <v/>
      </c>
      <c r="AY204" s="49">
        <f>IF(OR($A204="",$K204=""),"",$K204&amp;"'-"&amp;N($L204)&amp;CHAR(34)&amp;" x "&amp;$M204&amp;"'-"&amp;N($N204)&amp;CHAR(34))</f>
        <v/>
      </c>
      <c r="AZ204" s="49">
        <f>IF(OR($A204="",$K204=""),"",$K204&amp;N($L204)&amp;$M204&amp;N($N204))</f>
        <v/>
      </c>
      <c r="BA204" s="49">
        <f>IF(OR($A204="",$K204=""),"",$K204*12+N($L204))</f>
        <v/>
      </c>
      <c r="BB204" s="49">
        <f>IF(OR($A204="",$M204=""),"",$M204*12+N($N204))</f>
        <v/>
      </c>
      <c r="BC204" s="49">
        <f>IF($A204="","",IF(OR($C204="FRAME ONLY",$S204="BL"),0,IF($O204="Y",2,1)))</f>
        <v/>
      </c>
      <c r="BD204" s="51">
        <f>IF(OR(N($BC204)=0,$BA204=""),"",($BA204-2*EdgeClr-IF($BC204=2,MeetClr,0))/$BC204)</f>
        <v/>
      </c>
      <c r="BE204" s="51">
        <f>IF(OR(N($BC204)=0,$BB204=""),"",$BB204-HeadClr-Undercut)</f>
        <v/>
      </c>
      <c r="BF204" s="51">
        <f>IF($BA204="","",$BA204+2*FaceW+IF(N($Q204)&gt;0,($Q204+FaceW)*IF($R204="LR",2,1),0))</f>
        <v/>
      </c>
      <c r="BG204" s="51">
        <f>IF($BB204="","",$BB204+IF($AB204="Y",4,FaceW)+IF(N($P204)&gt;0,$P204+FaceW,0)+IF(OR($S204="4F",$S204="BL"),FaceW,0))</f>
        <v/>
      </c>
      <c r="BH204" s="51">
        <f>IF($BF204="","",$BF204+2*ROSide)</f>
        <v/>
      </c>
      <c r="BI204" s="51">
        <f>IF($BG204="","",$BG204+ROTop)</f>
        <v/>
      </c>
      <c r="BJ204" s="52">
        <f>IF(OR(N($BC204)=0,$BA204=""),"",$BA204/$BC204-ClearDeduct)</f>
        <v/>
      </c>
      <c r="BK204" s="49">
        <f>IF(OR(N($BC204)=0,$BE204=""),"",IF(OR($AC204="HGC",$AP204="HGC"),"CONT",IF($BE204&lt;=60,2,IF($BE204&lt;=90,3,IF($BE204&lt;=120,4,5)))))</f>
        <v/>
      </c>
      <c r="BL204" s="49">
        <f>IF(N($BC204)=0,"",IF(OR($AL204="",$AL204="FLUSH"),"FLUSH",IFERROR(LEFT($AL204,FIND("-",$AL204)-1),LEFT($AL204,2))))</f>
        <v/>
      </c>
      <c r="BM204" s="49">
        <f>IF($BL204="","",IFERROR(VALUE(MID($AL204,FIND("-",$AL204)+1,FIND(CHAR(34)&amp;"x",$AL204)-FIND("-",$AL204)-1)),0))</f>
        <v/>
      </c>
      <c r="BN204" s="49">
        <f>IF($BL204="","",IFERROR(VALUE(MID($AL204,FIND(CHAR(34)&amp;"x",$AL204)+2,FIND(CHAR(34),$AL204,FIND(CHAR(34)&amp;"x",$AL204)+2)-FIND(CHAR(34)&amp;"x",$AL204)-2)),0))</f>
        <v/>
      </c>
      <c r="BO204" s="53">
        <f>IF(OR($A204="",$H204="",$H204="NO LAB"),0,IFERROR(VALUE(LEFT($H204,FIND(" ",$H204)-1)),0))</f>
        <v/>
      </c>
      <c r="BP204" s="54">
        <f>IF(OR($A204="",$I204="",$I204="NON-RATED",N($J204)=0),"",IFERROR(VLOOKUP($I204&amp;"|"&amp;$J204,IBC,2,FALSE),"?"))</f>
        <v/>
      </c>
      <c r="BQ204" s="50">
        <f>IF(NOT(AND($A204&lt;&gt;"",$C204&lt;&gt;"DOOR ONLY")),"",TRIM(IFERROR(VLOOKUP($U204,CODES,2,FALSE),"")&amp;" "&amp;$AZ204&amp;" "&amp;IFERROR(VLOOKUP($Z204,CODES,2,FALSE),"")&amp;" "&amp;IFERROR(VLOOKUP($X204,CODES,2,FALSE),"")&amp;" "&amp;IFERROR(VLOOKUP($S204,CODES,2,FALSE),"")&amp;IF(N($P204)&gt;0," w/TRANSOM "&amp;$P204&amp;CHAR(34),"")&amp;IF(N($Q204)&gt;0," w/SIDELITE "&amp;$Q204&amp;CHAR(34)&amp;" "&amp;IF($R204="","R",$R204),"")&amp;IF($Y204="","  |  "," | "&amp;IFERROR(VLOOKUP($Y204,CODES,2,FALSE),"")&amp;" | ")&amp;IFERROR(VLOOKUP($AC204,CODES,2,FALSE),"")&amp;" "&amp;IFERROR(VLOOKUP($AD204,CODES,2,FALSE),"")&amp;IF(OR($AE204="",$AE204="-"),""," "&amp;$AE204)&amp;IF(OR($AF204="",$AF204="-"),""," "&amp;$AF204)&amp;IF($AB204="Y"," 4"&amp;CHAR(34)&amp;" HEAD","")&amp;" "&amp;IFERROR(VLOOKUP($H204,CODES,2,FALSE),"")))</f>
        <v/>
      </c>
      <c r="BR204" s="50">
        <f>IF(NOT(AND($A204&lt;&gt;"",N($BC204)&gt;0)),"",TRIM(IFERROR(VLOOKUP($AH204,CODES,2,FALSE),"")&amp;IF($AI204=""," "," "&amp;$AI204&amp;"GA ")&amp;$AZ204&amp;" "&amp;IF($AN204="",IFERROR(VLOOKUP($Z204,CODES,2,FALSE),""),IFERROR(VLOOKUP($AN204,CODES,2,FALSE),""))&amp;IF($BC204=2," PAIR","")&amp;" DOOR | "&amp;IF($AL204="","?",$AL204)&amp;" | "&amp;IF($AP204="",IFERROR(VLOOKUP($AC204,CODES,2,FALSE),""),IFERROR(VLOOKUP($AP204,CODES,2,FALSE),""))&amp;" "&amp;IFERROR(VLOOKUP($AQ204,CODES,2,FALSE),"")&amp;IF(OR($AR204="",$AR204="-"),""," SEAM "&amp;$AR204)&amp;IF($AS204="Y"," ASTRAGAL","")&amp;IF($AJ204=""," "," "&amp;$AJ204)&amp;IF($AK204=""," "," "&amp;$AK204)&amp;IF($AO204="",""," "&amp;$AO204)&amp;IF($AM204=""," "," SERIES "&amp;$AM204)&amp;" "&amp;IFERROR(VLOOKUP($H204,CODES,2,FALSE),"")))</f>
        <v/>
      </c>
      <c r="BS204" s="49">
        <f>IF(BV204="","",IF(COUNTIF($BV$6:BV204,BV204)=1,MAX($BS$5:BS203)+1,INDEX($BS$5:BS203,MATCH(BV204,$BV$5:BV203,0))))</f>
        <v/>
      </c>
      <c r="BT204" s="49">
        <f>IF(NOT(AND($A204&lt;&gt;"",$C204&lt;&gt;"DOOR ONLY")),"",MAX($BT$5:BT203)+1)</f>
        <v/>
      </c>
      <c r="BU204" s="49">
        <f>IF(NOT(AND($A204&lt;&gt;"",N($BC204)&gt;0)),"",MAX($BU$5:BU203)+1)</f>
        <v/>
      </c>
      <c r="BV204" s="49">
        <f>IF(OR($A204="",$BA204="",$BB204=""),"",$AZ204&amp;"|"&amp;$O204&amp;"|"&amp;$AL204&amp;"|"&amp;$S204&amp;"|"&amp;$P204&amp;"|"&amp;$Q204&amp;$R204&amp;"|"&amp;$C204&amp;"|"&amp;$AB204)</f>
        <v/>
      </c>
      <c r="BW204" s="49">
        <f>IF($A204="","",IF($B204="","qty, ","")&amp;IF($C204="","scope, ","")&amp;IF(OR($K204="",$M204=""),"size, ","")&amp;IF(AND($A204&lt;&gt;"",$C204&lt;&gt;"DOOR ONLY"),IF($U204="","jamb depth, ","")&amp;IF($X204="","construction, ","")&amp;IF($Y204="","anchor, ","")&amp;IF($S204="","frame type, ",""),"")&amp;IF(AND(N($BC204)&gt;0,$Z204=""),"hand, ","")&amp;IF(N($BC204)&gt;0,IF($AH204="","door material, ","")&amp;IF($AL204="","face type, ","")&amp;IF($AQ204="","lock prep, ","")&amp;IF(AND($AP204="",$AC204=""),"hinge prep, ",""),"")&amp;IF(AND($BO204&gt;0,$AH204="FRP"),"FRP cannot carry a label, ","")&amp;IF(AND($O204="Y",OR($Z204="L",$Z204="R",$Z204="LR",$Z204="RR")),"pair marked but hand is single, ","")&amp;IF(AND($O204&lt;&gt;"Y",OR($Z204="PR",AND(LEN($Z204)&gt;1,ISNUMBER(SEARCH("-",$Z204))))),"pair hand on a single door, ","")&amp;IF(AND(ISNUMBER($BP204),$BO204&lt;N($BP204)),"wall needs a "&amp;$BP204&amp;" min door, ","")&amp;IF(AND($BO204&gt;=180,AND(OR($BL204="FG",$BL204="HG",$BL204="FNV",$BL204="FV"),N($BM204)*N($BN204)&gt;100)),"180 min lite over 100 sq in, ","")&amp;IF(N($BD204)&gt;48,"leaf wider than 4'-0"&amp;CHAR(34)&amp;", ",""))</f>
        <v/>
      </c>
      <c r="BX204" s="49">
        <f>IF($A204="","",IF(AND($BO204&gt;0,AND($A204&lt;&gt;"",$C204&lt;&gt;"DOOR ONLY"),$X204="KD",$E204="EXTERIOR"),"KD label on an exterior opening, ","")&amp;IF(AND($E204="EXTERIOR",OR(AND(AND($A204&lt;&gt;"",$C204&lt;&gt;"DOOR ONLY"),$W204="CR"),AND(N($BC204)&gt;0,$AH204="CR"))),"exterior in CR steel (G9?), ","")&amp;IF(AND(ISNUMBER($BJ204),N($BJ204)&lt;32),"clear width ~"&amp;TEXT($BJ204,"0.0")&amp;CHAR(34)&amp;" under 32"&amp;CHAR(34)&amp;" (ADA), ","")&amp;IF(AND($BO204=90,AND(OR($BL204="FG",$BL204="HG",$BL204="FNV",$BL204="FV"),N($BM204)*N($BN204)&gt;100)),"90 min lite over 100 sq in (stair/exit), ","")&amp;IF(AND($BO204&gt;0,AND($A204&lt;&gt;"",$C204&lt;&gt;"DOOR ONLY"),OR($AF204="",$AF204="-")),"rated: closer reinf.?, ","")&amp;IF(OR($I204="CORRIDOR",$I204="SMOKE BARRIER"),"S label + smoke gasketing, ","")&amp;IF($BP204="?","wall type/hr not in IBC table, ","")&amp;IF(AND(N($BC204)&gt;0,$AU204=""),"no hardware set, ","")&amp;IF(AND($AU204&lt;&gt;"",ISNA(MATCH($AU204,HWSets,0))),"set "&amp;$AU204&amp;" not on Hardware sheet, ","")&amp;IF(N($BE204)&gt;96,"leaf over 8'-0"&amp;CHAR(34)&amp;" - check listing, ",""))</f>
        <v/>
      </c>
    </row>
    <row r="205" ht="15" customHeight="1">
      <c r="A205" s="44" t="n"/>
      <c r="B205" s="45" t="n"/>
      <c r="C205" s="45" t="n"/>
      <c r="D205" s="45" t="n"/>
      <c r="E205" s="45" t="n"/>
      <c r="F205" s="45" t="n"/>
      <c r="G205" s="45" t="n"/>
      <c r="H205" s="45" t="n"/>
      <c r="I205" s="45" t="n"/>
      <c r="J205" s="45" t="n"/>
      <c r="K205" s="45" t="n"/>
      <c r="L205" s="45" t="n"/>
      <c r="M205" s="45" t="n"/>
      <c r="N205" s="45" t="n"/>
      <c r="O205" s="45" t="n"/>
      <c r="P205" s="45" t="n"/>
      <c r="Q205" s="45" t="n"/>
      <c r="R205" s="45" t="n"/>
      <c r="S205" s="46" t="n"/>
      <c r="T205" s="46" t="n"/>
      <c r="U205" s="46" t="n"/>
      <c r="V205" s="46" t="n"/>
      <c r="W205" s="46" t="n"/>
      <c r="X205" s="46" t="n"/>
      <c r="Y205" s="46" t="n"/>
      <c r="Z205" s="46" t="n"/>
      <c r="AA205" s="46" t="n"/>
      <c r="AB205" s="46" t="n"/>
      <c r="AC205" s="46" t="n"/>
      <c r="AD205" s="46" t="n"/>
      <c r="AE205" s="46" t="n"/>
      <c r="AF205" s="46" t="n"/>
      <c r="AG205" s="46" t="n"/>
      <c r="AH205" s="47" t="n"/>
      <c r="AI205" s="47" t="n"/>
      <c r="AJ205" s="47" t="n"/>
      <c r="AK205" s="47" t="n"/>
      <c r="AL205" s="47" t="n"/>
      <c r="AM205" s="47" t="n"/>
      <c r="AN205" s="47" t="n"/>
      <c r="AO205" s="47" t="n"/>
      <c r="AP205" s="47" t="n"/>
      <c r="AQ205" s="47" t="n"/>
      <c r="AR205" s="47" t="n"/>
      <c r="AS205" s="47" t="n"/>
      <c r="AT205" s="47" t="n"/>
      <c r="AU205" s="48" t="n"/>
      <c r="AV205" s="48" t="n"/>
      <c r="AW205" s="49">
        <f>IF($A205="","",IF($BW205&lt;&gt;"","FIX",IF($BX205&lt;&gt;"","CHECK","OK")))</f>
        <v/>
      </c>
      <c r="AX205" s="50">
        <f>IF($A205="","",IF($BW205&lt;&gt;"","FIX: "&amp;LEFT($BW205,LEN($BW205)-2)&amp;IF($BX205&lt;&gt;"","  ·  ",""),"")&amp;IF($BX205&lt;&gt;"","CHECK: "&amp;LEFT($BX205,LEN($BX205)-2),""))</f>
        <v/>
      </c>
      <c r="AY205" s="49">
        <f>IF(OR($A205="",$K205=""),"",$K205&amp;"'-"&amp;N($L205)&amp;CHAR(34)&amp;" x "&amp;$M205&amp;"'-"&amp;N($N205)&amp;CHAR(34))</f>
        <v/>
      </c>
      <c r="AZ205" s="49">
        <f>IF(OR($A205="",$K205=""),"",$K205&amp;N($L205)&amp;$M205&amp;N($N205))</f>
        <v/>
      </c>
      <c r="BA205" s="49">
        <f>IF(OR($A205="",$K205=""),"",$K205*12+N($L205))</f>
        <v/>
      </c>
      <c r="BB205" s="49">
        <f>IF(OR($A205="",$M205=""),"",$M205*12+N($N205))</f>
        <v/>
      </c>
      <c r="BC205" s="49">
        <f>IF($A205="","",IF(OR($C205="FRAME ONLY",$S205="BL"),0,IF($O205="Y",2,1)))</f>
        <v/>
      </c>
      <c r="BD205" s="51">
        <f>IF(OR(N($BC205)=0,$BA205=""),"",($BA205-2*EdgeClr-IF($BC205=2,MeetClr,0))/$BC205)</f>
        <v/>
      </c>
      <c r="BE205" s="51">
        <f>IF(OR(N($BC205)=0,$BB205=""),"",$BB205-HeadClr-Undercut)</f>
        <v/>
      </c>
      <c r="BF205" s="51">
        <f>IF($BA205="","",$BA205+2*FaceW+IF(N($Q205)&gt;0,($Q205+FaceW)*IF($R205="LR",2,1),0))</f>
        <v/>
      </c>
      <c r="BG205" s="51">
        <f>IF($BB205="","",$BB205+IF($AB205="Y",4,FaceW)+IF(N($P205)&gt;0,$P205+FaceW,0)+IF(OR($S205="4F",$S205="BL"),FaceW,0))</f>
        <v/>
      </c>
      <c r="BH205" s="51">
        <f>IF($BF205="","",$BF205+2*ROSide)</f>
        <v/>
      </c>
      <c r="BI205" s="51">
        <f>IF($BG205="","",$BG205+ROTop)</f>
        <v/>
      </c>
      <c r="BJ205" s="52">
        <f>IF(OR(N($BC205)=0,$BA205=""),"",$BA205/$BC205-ClearDeduct)</f>
        <v/>
      </c>
      <c r="BK205" s="49">
        <f>IF(OR(N($BC205)=0,$BE205=""),"",IF(OR($AC205="HGC",$AP205="HGC"),"CONT",IF($BE205&lt;=60,2,IF($BE205&lt;=90,3,IF($BE205&lt;=120,4,5)))))</f>
        <v/>
      </c>
      <c r="BL205" s="49">
        <f>IF(N($BC205)=0,"",IF(OR($AL205="",$AL205="FLUSH"),"FLUSH",IFERROR(LEFT($AL205,FIND("-",$AL205)-1),LEFT($AL205,2))))</f>
        <v/>
      </c>
      <c r="BM205" s="49">
        <f>IF($BL205="","",IFERROR(VALUE(MID($AL205,FIND("-",$AL205)+1,FIND(CHAR(34)&amp;"x",$AL205)-FIND("-",$AL205)-1)),0))</f>
        <v/>
      </c>
      <c r="BN205" s="49">
        <f>IF($BL205="","",IFERROR(VALUE(MID($AL205,FIND(CHAR(34)&amp;"x",$AL205)+2,FIND(CHAR(34),$AL205,FIND(CHAR(34)&amp;"x",$AL205)+2)-FIND(CHAR(34)&amp;"x",$AL205)-2)),0))</f>
        <v/>
      </c>
      <c r="BO205" s="53">
        <f>IF(OR($A205="",$H205="",$H205="NO LAB"),0,IFERROR(VALUE(LEFT($H205,FIND(" ",$H205)-1)),0))</f>
        <v/>
      </c>
      <c r="BP205" s="54">
        <f>IF(OR($A205="",$I205="",$I205="NON-RATED",N($J205)=0),"",IFERROR(VLOOKUP($I205&amp;"|"&amp;$J205,IBC,2,FALSE),"?"))</f>
        <v/>
      </c>
      <c r="BQ205" s="50">
        <f>IF(NOT(AND($A205&lt;&gt;"",$C205&lt;&gt;"DOOR ONLY")),"",TRIM(IFERROR(VLOOKUP($U205,CODES,2,FALSE),"")&amp;" "&amp;$AZ205&amp;" "&amp;IFERROR(VLOOKUP($Z205,CODES,2,FALSE),"")&amp;" "&amp;IFERROR(VLOOKUP($X205,CODES,2,FALSE),"")&amp;" "&amp;IFERROR(VLOOKUP($S205,CODES,2,FALSE),"")&amp;IF(N($P205)&gt;0," w/TRANSOM "&amp;$P205&amp;CHAR(34),"")&amp;IF(N($Q205)&gt;0," w/SIDELITE "&amp;$Q205&amp;CHAR(34)&amp;" "&amp;IF($R205="","R",$R205),"")&amp;IF($Y205="","  |  "," | "&amp;IFERROR(VLOOKUP($Y205,CODES,2,FALSE),"")&amp;" | ")&amp;IFERROR(VLOOKUP($AC205,CODES,2,FALSE),"")&amp;" "&amp;IFERROR(VLOOKUP($AD205,CODES,2,FALSE),"")&amp;IF(OR($AE205="",$AE205="-"),""," "&amp;$AE205)&amp;IF(OR($AF205="",$AF205="-"),""," "&amp;$AF205)&amp;IF($AB205="Y"," 4"&amp;CHAR(34)&amp;" HEAD","")&amp;" "&amp;IFERROR(VLOOKUP($H205,CODES,2,FALSE),"")))</f>
        <v/>
      </c>
      <c r="BR205" s="50">
        <f>IF(NOT(AND($A205&lt;&gt;"",N($BC205)&gt;0)),"",TRIM(IFERROR(VLOOKUP($AH205,CODES,2,FALSE),"")&amp;IF($AI205=""," "," "&amp;$AI205&amp;"GA ")&amp;$AZ205&amp;" "&amp;IF($AN205="",IFERROR(VLOOKUP($Z205,CODES,2,FALSE),""),IFERROR(VLOOKUP($AN205,CODES,2,FALSE),""))&amp;IF($BC205=2," PAIR","")&amp;" DOOR | "&amp;IF($AL205="","?",$AL205)&amp;" | "&amp;IF($AP205="",IFERROR(VLOOKUP($AC205,CODES,2,FALSE),""),IFERROR(VLOOKUP($AP205,CODES,2,FALSE),""))&amp;" "&amp;IFERROR(VLOOKUP($AQ205,CODES,2,FALSE),"")&amp;IF(OR($AR205="",$AR205="-"),""," SEAM "&amp;$AR205)&amp;IF($AS205="Y"," ASTRAGAL","")&amp;IF($AJ205=""," "," "&amp;$AJ205)&amp;IF($AK205=""," "," "&amp;$AK205)&amp;IF($AO205="",""," "&amp;$AO205)&amp;IF($AM205=""," "," SERIES "&amp;$AM205)&amp;" "&amp;IFERROR(VLOOKUP($H205,CODES,2,FALSE),"")))</f>
        <v/>
      </c>
      <c r="BS205" s="49">
        <f>IF(BV205="","",IF(COUNTIF($BV$6:BV205,BV205)=1,MAX($BS$5:BS204)+1,INDEX($BS$5:BS204,MATCH(BV205,$BV$5:BV204,0))))</f>
        <v/>
      </c>
      <c r="BT205" s="49">
        <f>IF(NOT(AND($A205&lt;&gt;"",$C205&lt;&gt;"DOOR ONLY")),"",MAX($BT$5:BT204)+1)</f>
        <v/>
      </c>
      <c r="BU205" s="49">
        <f>IF(NOT(AND($A205&lt;&gt;"",N($BC205)&gt;0)),"",MAX($BU$5:BU204)+1)</f>
        <v/>
      </c>
      <c r="BV205" s="49">
        <f>IF(OR($A205="",$BA205="",$BB205=""),"",$AZ205&amp;"|"&amp;$O205&amp;"|"&amp;$AL205&amp;"|"&amp;$S205&amp;"|"&amp;$P205&amp;"|"&amp;$Q205&amp;$R205&amp;"|"&amp;$C205&amp;"|"&amp;$AB205)</f>
        <v/>
      </c>
      <c r="BW205" s="49">
        <f>IF($A205="","",IF($B205="","qty, ","")&amp;IF($C205="","scope, ","")&amp;IF(OR($K205="",$M205=""),"size, ","")&amp;IF(AND($A205&lt;&gt;"",$C205&lt;&gt;"DOOR ONLY"),IF($U205="","jamb depth, ","")&amp;IF($X205="","construction, ","")&amp;IF($Y205="","anchor, ","")&amp;IF($S205="","frame type, ",""),"")&amp;IF(AND(N($BC205)&gt;0,$Z205=""),"hand, ","")&amp;IF(N($BC205)&gt;0,IF($AH205="","door material, ","")&amp;IF($AL205="","face type, ","")&amp;IF($AQ205="","lock prep, ","")&amp;IF(AND($AP205="",$AC205=""),"hinge prep, ",""),"")&amp;IF(AND($BO205&gt;0,$AH205="FRP"),"FRP cannot carry a label, ","")&amp;IF(AND($O205="Y",OR($Z205="L",$Z205="R",$Z205="LR",$Z205="RR")),"pair marked but hand is single, ","")&amp;IF(AND($O205&lt;&gt;"Y",OR($Z205="PR",AND(LEN($Z205)&gt;1,ISNUMBER(SEARCH("-",$Z205))))),"pair hand on a single door, ","")&amp;IF(AND(ISNUMBER($BP205),$BO205&lt;N($BP205)),"wall needs a "&amp;$BP205&amp;" min door, ","")&amp;IF(AND($BO205&gt;=180,AND(OR($BL205="FG",$BL205="HG",$BL205="FNV",$BL205="FV"),N($BM205)*N($BN205)&gt;100)),"180 min lite over 100 sq in, ","")&amp;IF(N($BD205)&gt;48,"leaf wider than 4'-0"&amp;CHAR(34)&amp;", ",""))</f>
        <v/>
      </c>
      <c r="BX205" s="49">
        <f>IF($A205="","",IF(AND($BO205&gt;0,AND($A205&lt;&gt;"",$C205&lt;&gt;"DOOR ONLY"),$X205="KD",$E205="EXTERIOR"),"KD label on an exterior opening, ","")&amp;IF(AND($E205="EXTERIOR",OR(AND(AND($A205&lt;&gt;"",$C205&lt;&gt;"DOOR ONLY"),$W205="CR"),AND(N($BC205)&gt;0,$AH205="CR"))),"exterior in CR steel (G9?), ","")&amp;IF(AND(ISNUMBER($BJ205),N($BJ205)&lt;32),"clear width ~"&amp;TEXT($BJ205,"0.0")&amp;CHAR(34)&amp;" under 32"&amp;CHAR(34)&amp;" (ADA), ","")&amp;IF(AND($BO205=90,AND(OR($BL205="FG",$BL205="HG",$BL205="FNV",$BL205="FV"),N($BM205)*N($BN205)&gt;100)),"90 min lite over 100 sq in (stair/exit), ","")&amp;IF(AND($BO205&gt;0,AND($A205&lt;&gt;"",$C205&lt;&gt;"DOOR ONLY"),OR($AF205="",$AF205="-")),"rated: closer reinf.?, ","")&amp;IF(OR($I205="CORRIDOR",$I205="SMOKE BARRIER"),"S label + smoke gasketing, ","")&amp;IF($BP205="?","wall type/hr not in IBC table, ","")&amp;IF(AND(N($BC205)&gt;0,$AU205=""),"no hardware set, ","")&amp;IF(AND($AU205&lt;&gt;"",ISNA(MATCH($AU205,HWSets,0))),"set "&amp;$AU205&amp;" not on Hardware sheet, ","")&amp;IF(N($BE205)&gt;96,"leaf over 8'-0"&amp;CHAR(34)&amp;" - check listing, ",""))</f>
        <v/>
      </c>
    </row>
    <row r="206" ht="15" customHeight="1">
      <c r="A206" s="44" t="n"/>
      <c r="B206" s="45" t="n"/>
      <c r="C206" s="45" t="n"/>
      <c r="D206" s="45" t="n"/>
      <c r="E206" s="45" t="n"/>
      <c r="F206" s="45" t="n"/>
      <c r="G206" s="45" t="n"/>
      <c r="H206" s="45" t="n"/>
      <c r="I206" s="45" t="n"/>
      <c r="J206" s="45" t="n"/>
      <c r="K206" s="45" t="n"/>
      <c r="L206" s="45" t="n"/>
      <c r="M206" s="45" t="n"/>
      <c r="N206" s="45" t="n"/>
      <c r="O206" s="45" t="n"/>
      <c r="P206" s="45" t="n"/>
      <c r="Q206" s="45" t="n"/>
      <c r="R206" s="45" t="n"/>
      <c r="S206" s="46" t="n"/>
      <c r="T206" s="46" t="n"/>
      <c r="U206" s="46" t="n"/>
      <c r="V206" s="46" t="n"/>
      <c r="W206" s="46" t="n"/>
      <c r="X206" s="46" t="n"/>
      <c r="Y206" s="46" t="n"/>
      <c r="Z206" s="46" t="n"/>
      <c r="AA206" s="46" t="n"/>
      <c r="AB206" s="46" t="n"/>
      <c r="AC206" s="46" t="n"/>
      <c r="AD206" s="46" t="n"/>
      <c r="AE206" s="46" t="n"/>
      <c r="AF206" s="46" t="n"/>
      <c r="AG206" s="46" t="n"/>
      <c r="AH206" s="47" t="n"/>
      <c r="AI206" s="47" t="n"/>
      <c r="AJ206" s="47" t="n"/>
      <c r="AK206" s="47" t="n"/>
      <c r="AL206" s="47" t="n"/>
      <c r="AM206" s="47" t="n"/>
      <c r="AN206" s="47" t="n"/>
      <c r="AO206" s="47" t="n"/>
      <c r="AP206" s="47" t="n"/>
      <c r="AQ206" s="47" t="n"/>
      <c r="AR206" s="47" t="n"/>
      <c r="AS206" s="47" t="n"/>
      <c r="AT206" s="47" t="n"/>
      <c r="AU206" s="48" t="n"/>
      <c r="AV206" s="48" t="n"/>
      <c r="AW206" s="49">
        <f>IF($A206="","",IF($BW206&lt;&gt;"","FIX",IF($BX206&lt;&gt;"","CHECK","OK")))</f>
        <v/>
      </c>
      <c r="AX206" s="50">
        <f>IF($A206="","",IF($BW206&lt;&gt;"","FIX: "&amp;LEFT($BW206,LEN($BW206)-2)&amp;IF($BX206&lt;&gt;"","  ·  ",""),"")&amp;IF($BX206&lt;&gt;"","CHECK: "&amp;LEFT($BX206,LEN($BX206)-2),""))</f>
        <v/>
      </c>
      <c r="AY206" s="49">
        <f>IF(OR($A206="",$K206=""),"",$K206&amp;"'-"&amp;N($L206)&amp;CHAR(34)&amp;" x "&amp;$M206&amp;"'-"&amp;N($N206)&amp;CHAR(34))</f>
        <v/>
      </c>
      <c r="AZ206" s="49">
        <f>IF(OR($A206="",$K206=""),"",$K206&amp;N($L206)&amp;$M206&amp;N($N206))</f>
        <v/>
      </c>
      <c r="BA206" s="49">
        <f>IF(OR($A206="",$K206=""),"",$K206*12+N($L206))</f>
        <v/>
      </c>
      <c r="BB206" s="49">
        <f>IF(OR($A206="",$M206=""),"",$M206*12+N($N206))</f>
        <v/>
      </c>
      <c r="BC206" s="49">
        <f>IF($A206="","",IF(OR($C206="FRAME ONLY",$S206="BL"),0,IF($O206="Y",2,1)))</f>
        <v/>
      </c>
      <c r="BD206" s="51">
        <f>IF(OR(N($BC206)=0,$BA206=""),"",($BA206-2*EdgeClr-IF($BC206=2,MeetClr,0))/$BC206)</f>
        <v/>
      </c>
      <c r="BE206" s="51">
        <f>IF(OR(N($BC206)=0,$BB206=""),"",$BB206-HeadClr-Undercut)</f>
        <v/>
      </c>
      <c r="BF206" s="51">
        <f>IF($BA206="","",$BA206+2*FaceW+IF(N($Q206)&gt;0,($Q206+FaceW)*IF($R206="LR",2,1),0))</f>
        <v/>
      </c>
      <c r="BG206" s="51">
        <f>IF($BB206="","",$BB206+IF($AB206="Y",4,FaceW)+IF(N($P206)&gt;0,$P206+FaceW,0)+IF(OR($S206="4F",$S206="BL"),FaceW,0))</f>
        <v/>
      </c>
      <c r="BH206" s="51">
        <f>IF($BF206="","",$BF206+2*ROSide)</f>
        <v/>
      </c>
      <c r="BI206" s="51">
        <f>IF($BG206="","",$BG206+ROTop)</f>
        <v/>
      </c>
      <c r="BJ206" s="52">
        <f>IF(OR(N($BC206)=0,$BA206=""),"",$BA206/$BC206-ClearDeduct)</f>
        <v/>
      </c>
      <c r="BK206" s="49">
        <f>IF(OR(N($BC206)=0,$BE206=""),"",IF(OR($AC206="HGC",$AP206="HGC"),"CONT",IF($BE206&lt;=60,2,IF($BE206&lt;=90,3,IF($BE206&lt;=120,4,5)))))</f>
        <v/>
      </c>
      <c r="BL206" s="49">
        <f>IF(N($BC206)=0,"",IF(OR($AL206="",$AL206="FLUSH"),"FLUSH",IFERROR(LEFT($AL206,FIND("-",$AL206)-1),LEFT($AL206,2))))</f>
        <v/>
      </c>
      <c r="BM206" s="49">
        <f>IF($BL206="","",IFERROR(VALUE(MID($AL206,FIND("-",$AL206)+1,FIND(CHAR(34)&amp;"x",$AL206)-FIND("-",$AL206)-1)),0))</f>
        <v/>
      </c>
      <c r="BN206" s="49">
        <f>IF($BL206="","",IFERROR(VALUE(MID($AL206,FIND(CHAR(34)&amp;"x",$AL206)+2,FIND(CHAR(34),$AL206,FIND(CHAR(34)&amp;"x",$AL206)+2)-FIND(CHAR(34)&amp;"x",$AL206)-2)),0))</f>
        <v/>
      </c>
      <c r="BO206" s="53">
        <f>IF(OR($A206="",$H206="",$H206="NO LAB"),0,IFERROR(VALUE(LEFT($H206,FIND(" ",$H206)-1)),0))</f>
        <v/>
      </c>
      <c r="BP206" s="54">
        <f>IF(OR($A206="",$I206="",$I206="NON-RATED",N($J206)=0),"",IFERROR(VLOOKUP($I206&amp;"|"&amp;$J206,IBC,2,FALSE),"?"))</f>
        <v/>
      </c>
      <c r="BQ206" s="50">
        <f>IF(NOT(AND($A206&lt;&gt;"",$C206&lt;&gt;"DOOR ONLY")),"",TRIM(IFERROR(VLOOKUP($U206,CODES,2,FALSE),"")&amp;" "&amp;$AZ206&amp;" "&amp;IFERROR(VLOOKUP($Z206,CODES,2,FALSE),"")&amp;" "&amp;IFERROR(VLOOKUP($X206,CODES,2,FALSE),"")&amp;" "&amp;IFERROR(VLOOKUP($S206,CODES,2,FALSE),"")&amp;IF(N($P206)&gt;0," w/TRANSOM "&amp;$P206&amp;CHAR(34),"")&amp;IF(N($Q206)&gt;0," w/SIDELITE "&amp;$Q206&amp;CHAR(34)&amp;" "&amp;IF($R206="","R",$R206),"")&amp;IF($Y206="","  |  "," | "&amp;IFERROR(VLOOKUP($Y206,CODES,2,FALSE),"")&amp;" | ")&amp;IFERROR(VLOOKUP($AC206,CODES,2,FALSE),"")&amp;" "&amp;IFERROR(VLOOKUP($AD206,CODES,2,FALSE),"")&amp;IF(OR($AE206="",$AE206="-"),""," "&amp;$AE206)&amp;IF(OR($AF206="",$AF206="-"),""," "&amp;$AF206)&amp;IF($AB206="Y"," 4"&amp;CHAR(34)&amp;" HEAD","")&amp;" "&amp;IFERROR(VLOOKUP($H206,CODES,2,FALSE),"")))</f>
        <v/>
      </c>
      <c r="BR206" s="50">
        <f>IF(NOT(AND($A206&lt;&gt;"",N($BC206)&gt;0)),"",TRIM(IFERROR(VLOOKUP($AH206,CODES,2,FALSE),"")&amp;IF($AI206=""," "," "&amp;$AI206&amp;"GA ")&amp;$AZ206&amp;" "&amp;IF($AN206="",IFERROR(VLOOKUP($Z206,CODES,2,FALSE),""),IFERROR(VLOOKUP($AN206,CODES,2,FALSE),""))&amp;IF($BC206=2," PAIR","")&amp;" DOOR | "&amp;IF($AL206="","?",$AL206)&amp;" | "&amp;IF($AP206="",IFERROR(VLOOKUP($AC206,CODES,2,FALSE),""),IFERROR(VLOOKUP($AP206,CODES,2,FALSE),""))&amp;" "&amp;IFERROR(VLOOKUP($AQ206,CODES,2,FALSE),"")&amp;IF(OR($AR206="",$AR206="-"),""," SEAM "&amp;$AR206)&amp;IF($AS206="Y"," ASTRAGAL","")&amp;IF($AJ206=""," "," "&amp;$AJ206)&amp;IF($AK206=""," "," "&amp;$AK206)&amp;IF($AO206="",""," "&amp;$AO206)&amp;IF($AM206=""," "," SERIES "&amp;$AM206)&amp;" "&amp;IFERROR(VLOOKUP($H206,CODES,2,FALSE),"")))</f>
        <v/>
      </c>
      <c r="BS206" s="49">
        <f>IF(BV206="","",IF(COUNTIF($BV$6:BV206,BV206)=1,MAX($BS$5:BS205)+1,INDEX($BS$5:BS205,MATCH(BV206,$BV$5:BV205,0))))</f>
        <v/>
      </c>
      <c r="BT206" s="49">
        <f>IF(NOT(AND($A206&lt;&gt;"",$C206&lt;&gt;"DOOR ONLY")),"",MAX($BT$5:BT205)+1)</f>
        <v/>
      </c>
      <c r="BU206" s="49">
        <f>IF(NOT(AND($A206&lt;&gt;"",N($BC206)&gt;0)),"",MAX($BU$5:BU205)+1)</f>
        <v/>
      </c>
      <c r="BV206" s="49">
        <f>IF(OR($A206="",$BA206="",$BB206=""),"",$AZ206&amp;"|"&amp;$O206&amp;"|"&amp;$AL206&amp;"|"&amp;$S206&amp;"|"&amp;$P206&amp;"|"&amp;$Q206&amp;$R206&amp;"|"&amp;$C206&amp;"|"&amp;$AB206)</f>
        <v/>
      </c>
      <c r="BW206" s="49">
        <f>IF($A206="","",IF($B206="","qty, ","")&amp;IF($C206="","scope, ","")&amp;IF(OR($K206="",$M206=""),"size, ","")&amp;IF(AND($A206&lt;&gt;"",$C206&lt;&gt;"DOOR ONLY"),IF($U206="","jamb depth, ","")&amp;IF($X206="","construction, ","")&amp;IF($Y206="","anchor, ","")&amp;IF($S206="","frame type, ",""),"")&amp;IF(AND(N($BC206)&gt;0,$Z206=""),"hand, ","")&amp;IF(N($BC206)&gt;0,IF($AH206="","door material, ","")&amp;IF($AL206="","face type, ","")&amp;IF($AQ206="","lock prep, ","")&amp;IF(AND($AP206="",$AC206=""),"hinge prep, ",""),"")&amp;IF(AND($BO206&gt;0,$AH206="FRP"),"FRP cannot carry a label, ","")&amp;IF(AND($O206="Y",OR($Z206="L",$Z206="R",$Z206="LR",$Z206="RR")),"pair marked but hand is single, ","")&amp;IF(AND($O206&lt;&gt;"Y",OR($Z206="PR",AND(LEN($Z206)&gt;1,ISNUMBER(SEARCH("-",$Z206))))),"pair hand on a single door, ","")&amp;IF(AND(ISNUMBER($BP206),$BO206&lt;N($BP206)),"wall needs a "&amp;$BP206&amp;" min door, ","")&amp;IF(AND($BO206&gt;=180,AND(OR($BL206="FG",$BL206="HG",$BL206="FNV",$BL206="FV"),N($BM206)*N($BN206)&gt;100)),"180 min lite over 100 sq in, ","")&amp;IF(N($BD206)&gt;48,"leaf wider than 4'-0"&amp;CHAR(34)&amp;", ",""))</f>
        <v/>
      </c>
      <c r="BX206" s="49">
        <f>IF($A206="","",IF(AND($BO206&gt;0,AND($A206&lt;&gt;"",$C206&lt;&gt;"DOOR ONLY"),$X206="KD",$E206="EXTERIOR"),"KD label on an exterior opening, ","")&amp;IF(AND($E206="EXTERIOR",OR(AND(AND($A206&lt;&gt;"",$C206&lt;&gt;"DOOR ONLY"),$W206="CR"),AND(N($BC206)&gt;0,$AH206="CR"))),"exterior in CR steel (G9?), ","")&amp;IF(AND(ISNUMBER($BJ206),N($BJ206)&lt;32),"clear width ~"&amp;TEXT($BJ206,"0.0")&amp;CHAR(34)&amp;" under 32"&amp;CHAR(34)&amp;" (ADA), ","")&amp;IF(AND($BO206=90,AND(OR($BL206="FG",$BL206="HG",$BL206="FNV",$BL206="FV"),N($BM206)*N($BN206)&gt;100)),"90 min lite over 100 sq in (stair/exit), ","")&amp;IF(AND($BO206&gt;0,AND($A206&lt;&gt;"",$C206&lt;&gt;"DOOR ONLY"),OR($AF206="",$AF206="-")),"rated: closer reinf.?, ","")&amp;IF(OR($I206="CORRIDOR",$I206="SMOKE BARRIER"),"S label + smoke gasketing, ","")&amp;IF($BP206="?","wall type/hr not in IBC table, ","")&amp;IF(AND(N($BC206)&gt;0,$AU206=""),"no hardware set, ","")&amp;IF(AND($AU206&lt;&gt;"",ISNA(MATCH($AU206,HWSets,0))),"set "&amp;$AU206&amp;" not on Hardware sheet, ","")&amp;IF(N($BE206)&gt;96,"leaf over 8'-0"&amp;CHAR(34)&amp;" - check listing, ",""))</f>
        <v/>
      </c>
    </row>
    <row r="207" ht="15" customHeight="1">
      <c r="A207" s="44" t="n"/>
      <c r="B207" s="45" t="n"/>
      <c r="C207" s="45" t="n"/>
      <c r="D207" s="45" t="n"/>
      <c r="E207" s="45" t="n"/>
      <c r="F207" s="45" t="n"/>
      <c r="G207" s="45" t="n"/>
      <c r="H207" s="45" t="n"/>
      <c r="I207" s="45" t="n"/>
      <c r="J207" s="45" t="n"/>
      <c r="K207" s="45" t="n"/>
      <c r="L207" s="45" t="n"/>
      <c r="M207" s="45" t="n"/>
      <c r="N207" s="45" t="n"/>
      <c r="O207" s="45" t="n"/>
      <c r="P207" s="45" t="n"/>
      <c r="Q207" s="45" t="n"/>
      <c r="R207" s="45" t="n"/>
      <c r="S207" s="46" t="n"/>
      <c r="T207" s="46" t="n"/>
      <c r="U207" s="46" t="n"/>
      <c r="V207" s="46" t="n"/>
      <c r="W207" s="46" t="n"/>
      <c r="X207" s="46" t="n"/>
      <c r="Y207" s="46" t="n"/>
      <c r="Z207" s="46" t="n"/>
      <c r="AA207" s="46" t="n"/>
      <c r="AB207" s="46" t="n"/>
      <c r="AC207" s="46" t="n"/>
      <c r="AD207" s="46" t="n"/>
      <c r="AE207" s="46" t="n"/>
      <c r="AF207" s="46" t="n"/>
      <c r="AG207" s="46" t="n"/>
      <c r="AH207" s="47" t="n"/>
      <c r="AI207" s="47" t="n"/>
      <c r="AJ207" s="47" t="n"/>
      <c r="AK207" s="47" t="n"/>
      <c r="AL207" s="47" t="n"/>
      <c r="AM207" s="47" t="n"/>
      <c r="AN207" s="47" t="n"/>
      <c r="AO207" s="47" t="n"/>
      <c r="AP207" s="47" t="n"/>
      <c r="AQ207" s="47" t="n"/>
      <c r="AR207" s="47" t="n"/>
      <c r="AS207" s="47" t="n"/>
      <c r="AT207" s="47" t="n"/>
      <c r="AU207" s="48" t="n"/>
      <c r="AV207" s="48" t="n"/>
      <c r="AW207" s="49">
        <f>IF($A207="","",IF($BW207&lt;&gt;"","FIX",IF($BX207&lt;&gt;"","CHECK","OK")))</f>
        <v/>
      </c>
      <c r="AX207" s="50">
        <f>IF($A207="","",IF($BW207&lt;&gt;"","FIX: "&amp;LEFT($BW207,LEN($BW207)-2)&amp;IF($BX207&lt;&gt;"","  ·  ",""),"")&amp;IF($BX207&lt;&gt;"","CHECK: "&amp;LEFT($BX207,LEN($BX207)-2),""))</f>
        <v/>
      </c>
      <c r="AY207" s="49">
        <f>IF(OR($A207="",$K207=""),"",$K207&amp;"'-"&amp;N($L207)&amp;CHAR(34)&amp;" x "&amp;$M207&amp;"'-"&amp;N($N207)&amp;CHAR(34))</f>
        <v/>
      </c>
      <c r="AZ207" s="49">
        <f>IF(OR($A207="",$K207=""),"",$K207&amp;N($L207)&amp;$M207&amp;N($N207))</f>
        <v/>
      </c>
      <c r="BA207" s="49">
        <f>IF(OR($A207="",$K207=""),"",$K207*12+N($L207))</f>
        <v/>
      </c>
      <c r="BB207" s="49">
        <f>IF(OR($A207="",$M207=""),"",$M207*12+N($N207))</f>
        <v/>
      </c>
      <c r="BC207" s="49">
        <f>IF($A207="","",IF(OR($C207="FRAME ONLY",$S207="BL"),0,IF($O207="Y",2,1)))</f>
        <v/>
      </c>
      <c r="BD207" s="51">
        <f>IF(OR(N($BC207)=0,$BA207=""),"",($BA207-2*EdgeClr-IF($BC207=2,MeetClr,0))/$BC207)</f>
        <v/>
      </c>
      <c r="BE207" s="51">
        <f>IF(OR(N($BC207)=0,$BB207=""),"",$BB207-HeadClr-Undercut)</f>
        <v/>
      </c>
      <c r="BF207" s="51">
        <f>IF($BA207="","",$BA207+2*FaceW+IF(N($Q207)&gt;0,($Q207+FaceW)*IF($R207="LR",2,1),0))</f>
        <v/>
      </c>
      <c r="BG207" s="51">
        <f>IF($BB207="","",$BB207+IF($AB207="Y",4,FaceW)+IF(N($P207)&gt;0,$P207+FaceW,0)+IF(OR($S207="4F",$S207="BL"),FaceW,0))</f>
        <v/>
      </c>
      <c r="BH207" s="51">
        <f>IF($BF207="","",$BF207+2*ROSide)</f>
        <v/>
      </c>
      <c r="BI207" s="51">
        <f>IF($BG207="","",$BG207+ROTop)</f>
        <v/>
      </c>
      <c r="BJ207" s="52">
        <f>IF(OR(N($BC207)=0,$BA207=""),"",$BA207/$BC207-ClearDeduct)</f>
        <v/>
      </c>
      <c r="BK207" s="49">
        <f>IF(OR(N($BC207)=0,$BE207=""),"",IF(OR($AC207="HGC",$AP207="HGC"),"CONT",IF($BE207&lt;=60,2,IF($BE207&lt;=90,3,IF($BE207&lt;=120,4,5)))))</f>
        <v/>
      </c>
      <c r="BL207" s="49">
        <f>IF(N($BC207)=0,"",IF(OR($AL207="",$AL207="FLUSH"),"FLUSH",IFERROR(LEFT($AL207,FIND("-",$AL207)-1),LEFT($AL207,2))))</f>
        <v/>
      </c>
      <c r="BM207" s="49">
        <f>IF($BL207="","",IFERROR(VALUE(MID($AL207,FIND("-",$AL207)+1,FIND(CHAR(34)&amp;"x",$AL207)-FIND("-",$AL207)-1)),0))</f>
        <v/>
      </c>
      <c r="BN207" s="49">
        <f>IF($BL207="","",IFERROR(VALUE(MID($AL207,FIND(CHAR(34)&amp;"x",$AL207)+2,FIND(CHAR(34),$AL207,FIND(CHAR(34)&amp;"x",$AL207)+2)-FIND(CHAR(34)&amp;"x",$AL207)-2)),0))</f>
        <v/>
      </c>
      <c r="BO207" s="53">
        <f>IF(OR($A207="",$H207="",$H207="NO LAB"),0,IFERROR(VALUE(LEFT($H207,FIND(" ",$H207)-1)),0))</f>
        <v/>
      </c>
      <c r="BP207" s="54">
        <f>IF(OR($A207="",$I207="",$I207="NON-RATED",N($J207)=0),"",IFERROR(VLOOKUP($I207&amp;"|"&amp;$J207,IBC,2,FALSE),"?"))</f>
        <v/>
      </c>
      <c r="BQ207" s="50">
        <f>IF(NOT(AND($A207&lt;&gt;"",$C207&lt;&gt;"DOOR ONLY")),"",TRIM(IFERROR(VLOOKUP($U207,CODES,2,FALSE),"")&amp;" "&amp;$AZ207&amp;" "&amp;IFERROR(VLOOKUP($Z207,CODES,2,FALSE),"")&amp;" "&amp;IFERROR(VLOOKUP($X207,CODES,2,FALSE),"")&amp;" "&amp;IFERROR(VLOOKUP($S207,CODES,2,FALSE),"")&amp;IF(N($P207)&gt;0," w/TRANSOM "&amp;$P207&amp;CHAR(34),"")&amp;IF(N($Q207)&gt;0," w/SIDELITE "&amp;$Q207&amp;CHAR(34)&amp;" "&amp;IF($R207="","R",$R207),"")&amp;IF($Y207="","  |  "," | "&amp;IFERROR(VLOOKUP($Y207,CODES,2,FALSE),"")&amp;" | ")&amp;IFERROR(VLOOKUP($AC207,CODES,2,FALSE),"")&amp;" "&amp;IFERROR(VLOOKUP($AD207,CODES,2,FALSE),"")&amp;IF(OR($AE207="",$AE207="-"),""," "&amp;$AE207)&amp;IF(OR($AF207="",$AF207="-"),""," "&amp;$AF207)&amp;IF($AB207="Y"," 4"&amp;CHAR(34)&amp;" HEAD","")&amp;" "&amp;IFERROR(VLOOKUP($H207,CODES,2,FALSE),"")))</f>
        <v/>
      </c>
      <c r="BR207" s="50">
        <f>IF(NOT(AND($A207&lt;&gt;"",N($BC207)&gt;0)),"",TRIM(IFERROR(VLOOKUP($AH207,CODES,2,FALSE),"")&amp;IF($AI207=""," "," "&amp;$AI207&amp;"GA ")&amp;$AZ207&amp;" "&amp;IF($AN207="",IFERROR(VLOOKUP($Z207,CODES,2,FALSE),""),IFERROR(VLOOKUP($AN207,CODES,2,FALSE),""))&amp;IF($BC207=2," PAIR","")&amp;" DOOR | "&amp;IF($AL207="","?",$AL207)&amp;" | "&amp;IF($AP207="",IFERROR(VLOOKUP($AC207,CODES,2,FALSE),""),IFERROR(VLOOKUP($AP207,CODES,2,FALSE),""))&amp;" "&amp;IFERROR(VLOOKUP($AQ207,CODES,2,FALSE),"")&amp;IF(OR($AR207="",$AR207="-"),""," SEAM "&amp;$AR207)&amp;IF($AS207="Y"," ASTRAGAL","")&amp;IF($AJ207=""," "," "&amp;$AJ207)&amp;IF($AK207=""," "," "&amp;$AK207)&amp;IF($AO207="",""," "&amp;$AO207)&amp;IF($AM207=""," "," SERIES "&amp;$AM207)&amp;" "&amp;IFERROR(VLOOKUP($H207,CODES,2,FALSE),"")))</f>
        <v/>
      </c>
      <c r="BS207" s="49">
        <f>IF(BV207="","",IF(COUNTIF($BV$6:BV207,BV207)=1,MAX($BS$5:BS206)+1,INDEX($BS$5:BS206,MATCH(BV207,$BV$5:BV206,0))))</f>
        <v/>
      </c>
      <c r="BT207" s="49">
        <f>IF(NOT(AND($A207&lt;&gt;"",$C207&lt;&gt;"DOOR ONLY")),"",MAX($BT$5:BT206)+1)</f>
        <v/>
      </c>
      <c r="BU207" s="49">
        <f>IF(NOT(AND($A207&lt;&gt;"",N($BC207)&gt;0)),"",MAX($BU$5:BU206)+1)</f>
        <v/>
      </c>
      <c r="BV207" s="49">
        <f>IF(OR($A207="",$BA207="",$BB207=""),"",$AZ207&amp;"|"&amp;$O207&amp;"|"&amp;$AL207&amp;"|"&amp;$S207&amp;"|"&amp;$P207&amp;"|"&amp;$Q207&amp;$R207&amp;"|"&amp;$C207&amp;"|"&amp;$AB207)</f>
        <v/>
      </c>
      <c r="BW207" s="49">
        <f>IF($A207="","",IF($B207="","qty, ","")&amp;IF($C207="","scope, ","")&amp;IF(OR($K207="",$M207=""),"size, ","")&amp;IF(AND($A207&lt;&gt;"",$C207&lt;&gt;"DOOR ONLY"),IF($U207="","jamb depth, ","")&amp;IF($X207="","construction, ","")&amp;IF($Y207="","anchor, ","")&amp;IF($S207="","frame type, ",""),"")&amp;IF(AND(N($BC207)&gt;0,$Z207=""),"hand, ","")&amp;IF(N($BC207)&gt;0,IF($AH207="","door material, ","")&amp;IF($AL207="","face type, ","")&amp;IF($AQ207="","lock prep, ","")&amp;IF(AND($AP207="",$AC207=""),"hinge prep, ",""),"")&amp;IF(AND($BO207&gt;0,$AH207="FRP"),"FRP cannot carry a label, ","")&amp;IF(AND($O207="Y",OR($Z207="L",$Z207="R",$Z207="LR",$Z207="RR")),"pair marked but hand is single, ","")&amp;IF(AND($O207&lt;&gt;"Y",OR($Z207="PR",AND(LEN($Z207)&gt;1,ISNUMBER(SEARCH("-",$Z207))))),"pair hand on a single door, ","")&amp;IF(AND(ISNUMBER($BP207),$BO207&lt;N($BP207)),"wall needs a "&amp;$BP207&amp;" min door, ","")&amp;IF(AND($BO207&gt;=180,AND(OR($BL207="FG",$BL207="HG",$BL207="FNV",$BL207="FV"),N($BM207)*N($BN207)&gt;100)),"180 min lite over 100 sq in, ","")&amp;IF(N($BD207)&gt;48,"leaf wider than 4'-0"&amp;CHAR(34)&amp;", ",""))</f>
        <v/>
      </c>
      <c r="BX207" s="49">
        <f>IF($A207="","",IF(AND($BO207&gt;0,AND($A207&lt;&gt;"",$C207&lt;&gt;"DOOR ONLY"),$X207="KD",$E207="EXTERIOR"),"KD label on an exterior opening, ","")&amp;IF(AND($E207="EXTERIOR",OR(AND(AND($A207&lt;&gt;"",$C207&lt;&gt;"DOOR ONLY"),$W207="CR"),AND(N($BC207)&gt;0,$AH207="CR"))),"exterior in CR steel (G9?), ","")&amp;IF(AND(ISNUMBER($BJ207),N($BJ207)&lt;32),"clear width ~"&amp;TEXT($BJ207,"0.0")&amp;CHAR(34)&amp;" under 32"&amp;CHAR(34)&amp;" (ADA), ","")&amp;IF(AND($BO207=90,AND(OR($BL207="FG",$BL207="HG",$BL207="FNV",$BL207="FV"),N($BM207)*N($BN207)&gt;100)),"90 min lite over 100 sq in (stair/exit), ","")&amp;IF(AND($BO207&gt;0,AND($A207&lt;&gt;"",$C207&lt;&gt;"DOOR ONLY"),OR($AF207="",$AF207="-")),"rated: closer reinf.?, ","")&amp;IF(OR($I207="CORRIDOR",$I207="SMOKE BARRIER"),"S label + smoke gasketing, ","")&amp;IF($BP207="?","wall type/hr not in IBC table, ","")&amp;IF(AND(N($BC207)&gt;0,$AU207=""),"no hardware set, ","")&amp;IF(AND($AU207&lt;&gt;"",ISNA(MATCH($AU207,HWSets,0))),"set "&amp;$AU207&amp;" not on Hardware sheet, ","")&amp;IF(N($BE207)&gt;96,"leaf over 8'-0"&amp;CHAR(34)&amp;" - check listing, ",""))</f>
        <v/>
      </c>
    </row>
    <row r="208" ht="15" customHeight="1">
      <c r="A208" s="44" t="n"/>
      <c r="B208" s="45" t="n"/>
      <c r="C208" s="45" t="n"/>
      <c r="D208" s="45" t="n"/>
      <c r="E208" s="45" t="n"/>
      <c r="F208" s="45" t="n"/>
      <c r="G208" s="45" t="n"/>
      <c r="H208" s="45" t="n"/>
      <c r="I208" s="45" t="n"/>
      <c r="J208" s="45" t="n"/>
      <c r="K208" s="45" t="n"/>
      <c r="L208" s="45" t="n"/>
      <c r="M208" s="45" t="n"/>
      <c r="N208" s="45" t="n"/>
      <c r="O208" s="45" t="n"/>
      <c r="P208" s="45" t="n"/>
      <c r="Q208" s="45" t="n"/>
      <c r="R208" s="45" t="n"/>
      <c r="S208" s="46" t="n"/>
      <c r="T208" s="46" t="n"/>
      <c r="U208" s="46" t="n"/>
      <c r="V208" s="46" t="n"/>
      <c r="W208" s="46" t="n"/>
      <c r="X208" s="46" t="n"/>
      <c r="Y208" s="46" t="n"/>
      <c r="Z208" s="46" t="n"/>
      <c r="AA208" s="46" t="n"/>
      <c r="AB208" s="46" t="n"/>
      <c r="AC208" s="46" t="n"/>
      <c r="AD208" s="46" t="n"/>
      <c r="AE208" s="46" t="n"/>
      <c r="AF208" s="46" t="n"/>
      <c r="AG208" s="46" t="n"/>
      <c r="AH208" s="47" t="n"/>
      <c r="AI208" s="47" t="n"/>
      <c r="AJ208" s="47" t="n"/>
      <c r="AK208" s="47" t="n"/>
      <c r="AL208" s="47" t="n"/>
      <c r="AM208" s="47" t="n"/>
      <c r="AN208" s="47" t="n"/>
      <c r="AO208" s="47" t="n"/>
      <c r="AP208" s="47" t="n"/>
      <c r="AQ208" s="47" t="n"/>
      <c r="AR208" s="47" t="n"/>
      <c r="AS208" s="47" t="n"/>
      <c r="AT208" s="47" t="n"/>
      <c r="AU208" s="48" t="n"/>
      <c r="AV208" s="48" t="n"/>
      <c r="AW208" s="49">
        <f>IF($A208="","",IF($BW208&lt;&gt;"","FIX",IF($BX208&lt;&gt;"","CHECK","OK")))</f>
        <v/>
      </c>
      <c r="AX208" s="50">
        <f>IF($A208="","",IF($BW208&lt;&gt;"","FIX: "&amp;LEFT($BW208,LEN($BW208)-2)&amp;IF($BX208&lt;&gt;"","  ·  ",""),"")&amp;IF($BX208&lt;&gt;"","CHECK: "&amp;LEFT($BX208,LEN($BX208)-2),""))</f>
        <v/>
      </c>
      <c r="AY208" s="49">
        <f>IF(OR($A208="",$K208=""),"",$K208&amp;"'-"&amp;N($L208)&amp;CHAR(34)&amp;" x "&amp;$M208&amp;"'-"&amp;N($N208)&amp;CHAR(34))</f>
        <v/>
      </c>
      <c r="AZ208" s="49">
        <f>IF(OR($A208="",$K208=""),"",$K208&amp;N($L208)&amp;$M208&amp;N($N208))</f>
        <v/>
      </c>
      <c r="BA208" s="49">
        <f>IF(OR($A208="",$K208=""),"",$K208*12+N($L208))</f>
        <v/>
      </c>
      <c r="BB208" s="49">
        <f>IF(OR($A208="",$M208=""),"",$M208*12+N($N208))</f>
        <v/>
      </c>
      <c r="BC208" s="49">
        <f>IF($A208="","",IF(OR($C208="FRAME ONLY",$S208="BL"),0,IF($O208="Y",2,1)))</f>
        <v/>
      </c>
      <c r="BD208" s="51">
        <f>IF(OR(N($BC208)=0,$BA208=""),"",($BA208-2*EdgeClr-IF($BC208=2,MeetClr,0))/$BC208)</f>
        <v/>
      </c>
      <c r="BE208" s="51">
        <f>IF(OR(N($BC208)=0,$BB208=""),"",$BB208-HeadClr-Undercut)</f>
        <v/>
      </c>
      <c r="BF208" s="51">
        <f>IF($BA208="","",$BA208+2*FaceW+IF(N($Q208)&gt;0,($Q208+FaceW)*IF($R208="LR",2,1),0))</f>
        <v/>
      </c>
      <c r="BG208" s="51">
        <f>IF($BB208="","",$BB208+IF($AB208="Y",4,FaceW)+IF(N($P208)&gt;0,$P208+FaceW,0)+IF(OR($S208="4F",$S208="BL"),FaceW,0))</f>
        <v/>
      </c>
      <c r="BH208" s="51">
        <f>IF($BF208="","",$BF208+2*ROSide)</f>
        <v/>
      </c>
      <c r="BI208" s="51">
        <f>IF($BG208="","",$BG208+ROTop)</f>
        <v/>
      </c>
      <c r="BJ208" s="52">
        <f>IF(OR(N($BC208)=0,$BA208=""),"",$BA208/$BC208-ClearDeduct)</f>
        <v/>
      </c>
      <c r="BK208" s="49">
        <f>IF(OR(N($BC208)=0,$BE208=""),"",IF(OR($AC208="HGC",$AP208="HGC"),"CONT",IF($BE208&lt;=60,2,IF($BE208&lt;=90,3,IF($BE208&lt;=120,4,5)))))</f>
        <v/>
      </c>
      <c r="BL208" s="49">
        <f>IF(N($BC208)=0,"",IF(OR($AL208="",$AL208="FLUSH"),"FLUSH",IFERROR(LEFT($AL208,FIND("-",$AL208)-1),LEFT($AL208,2))))</f>
        <v/>
      </c>
      <c r="BM208" s="49">
        <f>IF($BL208="","",IFERROR(VALUE(MID($AL208,FIND("-",$AL208)+1,FIND(CHAR(34)&amp;"x",$AL208)-FIND("-",$AL208)-1)),0))</f>
        <v/>
      </c>
      <c r="BN208" s="49">
        <f>IF($BL208="","",IFERROR(VALUE(MID($AL208,FIND(CHAR(34)&amp;"x",$AL208)+2,FIND(CHAR(34),$AL208,FIND(CHAR(34)&amp;"x",$AL208)+2)-FIND(CHAR(34)&amp;"x",$AL208)-2)),0))</f>
        <v/>
      </c>
      <c r="BO208" s="53">
        <f>IF(OR($A208="",$H208="",$H208="NO LAB"),0,IFERROR(VALUE(LEFT($H208,FIND(" ",$H208)-1)),0))</f>
        <v/>
      </c>
      <c r="BP208" s="54">
        <f>IF(OR($A208="",$I208="",$I208="NON-RATED",N($J208)=0),"",IFERROR(VLOOKUP($I208&amp;"|"&amp;$J208,IBC,2,FALSE),"?"))</f>
        <v/>
      </c>
      <c r="BQ208" s="50">
        <f>IF(NOT(AND($A208&lt;&gt;"",$C208&lt;&gt;"DOOR ONLY")),"",TRIM(IFERROR(VLOOKUP($U208,CODES,2,FALSE),"")&amp;" "&amp;$AZ208&amp;" "&amp;IFERROR(VLOOKUP($Z208,CODES,2,FALSE),"")&amp;" "&amp;IFERROR(VLOOKUP($X208,CODES,2,FALSE),"")&amp;" "&amp;IFERROR(VLOOKUP($S208,CODES,2,FALSE),"")&amp;IF(N($P208)&gt;0," w/TRANSOM "&amp;$P208&amp;CHAR(34),"")&amp;IF(N($Q208)&gt;0," w/SIDELITE "&amp;$Q208&amp;CHAR(34)&amp;" "&amp;IF($R208="","R",$R208),"")&amp;IF($Y208="","  |  "," | "&amp;IFERROR(VLOOKUP($Y208,CODES,2,FALSE),"")&amp;" | ")&amp;IFERROR(VLOOKUP($AC208,CODES,2,FALSE),"")&amp;" "&amp;IFERROR(VLOOKUP($AD208,CODES,2,FALSE),"")&amp;IF(OR($AE208="",$AE208="-"),""," "&amp;$AE208)&amp;IF(OR($AF208="",$AF208="-"),""," "&amp;$AF208)&amp;IF($AB208="Y"," 4"&amp;CHAR(34)&amp;" HEAD","")&amp;" "&amp;IFERROR(VLOOKUP($H208,CODES,2,FALSE),"")))</f>
        <v/>
      </c>
      <c r="BR208" s="50">
        <f>IF(NOT(AND($A208&lt;&gt;"",N($BC208)&gt;0)),"",TRIM(IFERROR(VLOOKUP($AH208,CODES,2,FALSE),"")&amp;IF($AI208=""," "," "&amp;$AI208&amp;"GA ")&amp;$AZ208&amp;" "&amp;IF($AN208="",IFERROR(VLOOKUP($Z208,CODES,2,FALSE),""),IFERROR(VLOOKUP($AN208,CODES,2,FALSE),""))&amp;IF($BC208=2," PAIR","")&amp;" DOOR | "&amp;IF($AL208="","?",$AL208)&amp;" | "&amp;IF($AP208="",IFERROR(VLOOKUP($AC208,CODES,2,FALSE),""),IFERROR(VLOOKUP($AP208,CODES,2,FALSE),""))&amp;" "&amp;IFERROR(VLOOKUP($AQ208,CODES,2,FALSE),"")&amp;IF(OR($AR208="",$AR208="-"),""," SEAM "&amp;$AR208)&amp;IF($AS208="Y"," ASTRAGAL","")&amp;IF($AJ208=""," "," "&amp;$AJ208)&amp;IF($AK208=""," "," "&amp;$AK208)&amp;IF($AO208="",""," "&amp;$AO208)&amp;IF($AM208=""," "," SERIES "&amp;$AM208)&amp;" "&amp;IFERROR(VLOOKUP($H208,CODES,2,FALSE),"")))</f>
        <v/>
      </c>
      <c r="BS208" s="49">
        <f>IF(BV208="","",IF(COUNTIF($BV$6:BV208,BV208)=1,MAX($BS$5:BS207)+1,INDEX($BS$5:BS207,MATCH(BV208,$BV$5:BV207,0))))</f>
        <v/>
      </c>
      <c r="BT208" s="49">
        <f>IF(NOT(AND($A208&lt;&gt;"",$C208&lt;&gt;"DOOR ONLY")),"",MAX($BT$5:BT207)+1)</f>
        <v/>
      </c>
      <c r="BU208" s="49">
        <f>IF(NOT(AND($A208&lt;&gt;"",N($BC208)&gt;0)),"",MAX($BU$5:BU207)+1)</f>
        <v/>
      </c>
      <c r="BV208" s="49">
        <f>IF(OR($A208="",$BA208="",$BB208=""),"",$AZ208&amp;"|"&amp;$O208&amp;"|"&amp;$AL208&amp;"|"&amp;$S208&amp;"|"&amp;$P208&amp;"|"&amp;$Q208&amp;$R208&amp;"|"&amp;$C208&amp;"|"&amp;$AB208)</f>
        <v/>
      </c>
      <c r="BW208" s="49">
        <f>IF($A208="","",IF($B208="","qty, ","")&amp;IF($C208="","scope, ","")&amp;IF(OR($K208="",$M208=""),"size, ","")&amp;IF(AND($A208&lt;&gt;"",$C208&lt;&gt;"DOOR ONLY"),IF($U208="","jamb depth, ","")&amp;IF($X208="","construction, ","")&amp;IF($Y208="","anchor, ","")&amp;IF($S208="","frame type, ",""),"")&amp;IF(AND(N($BC208)&gt;0,$Z208=""),"hand, ","")&amp;IF(N($BC208)&gt;0,IF($AH208="","door material, ","")&amp;IF($AL208="","face type, ","")&amp;IF($AQ208="","lock prep, ","")&amp;IF(AND($AP208="",$AC208=""),"hinge prep, ",""),"")&amp;IF(AND($BO208&gt;0,$AH208="FRP"),"FRP cannot carry a label, ","")&amp;IF(AND($O208="Y",OR($Z208="L",$Z208="R",$Z208="LR",$Z208="RR")),"pair marked but hand is single, ","")&amp;IF(AND($O208&lt;&gt;"Y",OR($Z208="PR",AND(LEN($Z208)&gt;1,ISNUMBER(SEARCH("-",$Z208))))),"pair hand on a single door, ","")&amp;IF(AND(ISNUMBER($BP208),$BO208&lt;N($BP208)),"wall needs a "&amp;$BP208&amp;" min door, ","")&amp;IF(AND($BO208&gt;=180,AND(OR($BL208="FG",$BL208="HG",$BL208="FNV",$BL208="FV"),N($BM208)*N($BN208)&gt;100)),"180 min lite over 100 sq in, ","")&amp;IF(N($BD208)&gt;48,"leaf wider than 4'-0"&amp;CHAR(34)&amp;", ",""))</f>
        <v/>
      </c>
      <c r="BX208" s="49">
        <f>IF($A208="","",IF(AND($BO208&gt;0,AND($A208&lt;&gt;"",$C208&lt;&gt;"DOOR ONLY"),$X208="KD",$E208="EXTERIOR"),"KD label on an exterior opening, ","")&amp;IF(AND($E208="EXTERIOR",OR(AND(AND($A208&lt;&gt;"",$C208&lt;&gt;"DOOR ONLY"),$W208="CR"),AND(N($BC208)&gt;0,$AH208="CR"))),"exterior in CR steel (G9?), ","")&amp;IF(AND(ISNUMBER($BJ208),N($BJ208)&lt;32),"clear width ~"&amp;TEXT($BJ208,"0.0")&amp;CHAR(34)&amp;" under 32"&amp;CHAR(34)&amp;" (ADA), ","")&amp;IF(AND($BO208=90,AND(OR($BL208="FG",$BL208="HG",$BL208="FNV",$BL208="FV"),N($BM208)*N($BN208)&gt;100)),"90 min lite over 100 sq in (stair/exit), ","")&amp;IF(AND($BO208&gt;0,AND($A208&lt;&gt;"",$C208&lt;&gt;"DOOR ONLY"),OR($AF208="",$AF208="-")),"rated: closer reinf.?, ","")&amp;IF(OR($I208="CORRIDOR",$I208="SMOKE BARRIER"),"S label + smoke gasketing, ","")&amp;IF($BP208="?","wall type/hr not in IBC table, ","")&amp;IF(AND(N($BC208)&gt;0,$AU208=""),"no hardware set, ","")&amp;IF(AND($AU208&lt;&gt;"",ISNA(MATCH($AU208,HWSets,0))),"set "&amp;$AU208&amp;" not on Hardware sheet, ","")&amp;IF(N($BE208)&gt;96,"leaf over 8'-0"&amp;CHAR(34)&amp;" - check listing, ",""))</f>
        <v/>
      </c>
    </row>
    <row r="209" ht="15" customHeight="1">
      <c r="A209" s="44" t="n"/>
      <c r="B209" s="45" t="n"/>
      <c r="C209" s="45" t="n"/>
      <c r="D209" s="45" t="n"/>
      <c r="E209" s="45" t="n"/>
      <c r="F209" s="45" t="n"/>
      <c r="G209" s="45" t="n"/>
      <c r="H209" s="45" t="n"/>
      <c r="I209" s="45" t="n"/>
      <c r="J209" s="45" t="n"/>
      <c r="K209" s="45" t="n"/>
      <c r="L209" s="45" t="n"/>
      <c r="M209" s="45" t="n"/>
      <c r="N209" s="45" t="n"/>
      <c r="O209" s="45" t="n"/>
      <c r="P209" s="45" t="n"/>
      <c r="Q209" s="45" t="n"/>
      <c r="R209" s="45" t="n"/>
      <c r="S209" s="46" t="n"/>
      <c r="T209" s="46" t="n"/>
      <c r="U209" s="46" t="n"/>
      <c r="V209" s="46" t="n"/>
      <c r="W209" s="46" t="n"/>
      <c r="X209" s="46" t="n"/>
      <c r="Y209" s="46" t="n"/>
      <c r="Z209" s="46" t="n"/>
      <c r="AA209" s="46" t="n"/>
      <c r="AB209" s="46" t="n"/>
      <c r="AC209" s="46" t="n"/>
      <c r="AD209" s="46" t="n"/>
      <c r="AE209" s="46" t="n"/>
      <c r="AF209" s="46" t="n"/>
      <c r="AG209" s="46" t="n"/>
      <c r="AH209" s="47" t="n"/>
      <c r="AI209" s="47" t="n"/>
      <c r="AJ209" s="47" t="n"/>
      <c r="AK209" s="47" t="n"/>
      <c r="AL209" s="47" t="n"/>
      <c r="AM209" s="47" t="n"/>
      <c r="AN209" s="47" t="n"/>
      <c r="AO209" s="47" t="n"/>
      <c r="AP209" s="47" t="n"/>
      <c r="AQ209" s="47" t="n"/>
      <c r="AR209" s="47" t="n"/>
      <c r="AS209" s="47" t="n"/>
      <c r="AT209" s="47" t="n"/>
      <c r="AU209" s="48" t="n"/>
      <c r="AV209" s="48" t="n"/>
      <c r="AW209" s="49">
        <f>IF($A209="","",IF($BW209&lt;&gt;"","FIX",IF($BX209&lt;&gt;"","CHECK","OK")))</f>
        <v/>
      </c>
      <c r="AX209" s="50">
        <f>IF($A209="","",IF($BW209&lt;&gt;"","FIX: "&amp;LEFT($BW209,LEN($BW209)-2)&amp;IF($BX209&lt;&gt;"","  ·  ",""),"")&amp;IF($BX209&lt;&gt;"","CHECK: "&amp;LEFT($BX209,LEN($BX209)-2),""))</f>
        <v/>
      </c>
      <c r="AY209" s="49">
        <f>IF(OR($A209="",$K209=""),"",$K209&amp;"'-"&amp;N($L209)&amp;CHAR(34)&amp;" x "&amp;$M209&amp;"'-"&amp;N($N209)&amp;CHAR(34))</f>
        <v/>
      </c>
      <c r="AZ209" s="49">
        <f>IF(OR($A209="",$K209=""),"",$K209&amp;N($L209)&amp;$M209&amp;N($N209))</f>
        <v/>
      </c>
      <c r="BA209" s="49">
        <f>IF(OR($A209="",$K209=""),"",$K209*12+N($L209))</f>
        <v/>
      </c>
      <c r="BB209" s="49">
        <f>IF(OR($A209="",$M209=""),"",$M209*12+N($N209))</f>
        <v/>
      </c>
      <c r="BC209" s="49">
        <f>IF($A209="","",IF(OR($C209="FRAME ONLY",$S209="BL"),0,IF($O209="Y",2,1)))</f>
        <v/>
      </c>
      <c r="BD209" s="51">
        <f>IF(OR(N($BC209)=0,$BA209=""),"",($BA209-2*EdgeClr-IF($BC209=2,MeetClr,0))/$BC209)</f>
        <v/>
      </c>
      <c r="BE209" s="51">
        <f>IF(OR(N($BC209)=0,$BB209=""),"",$BB209-HeadClr-Undercut)</f>
        <v/>
      </c>
      <c r="BF209" s="51">
        <f>IF($BA209="","",$BA209+2*FaceW+IF(N($Q209)&gt;0,($Q209+FaceW)*IF($R209="LR",2,1),0))</f>
        <v/>
      </c>
      <c r="BG209" s="51">
        <f>IF($BB209="","",$BB209+IF($AB209="Y",4,FaceW)+IF(N($P209)&gt;0,$P209+FaceW,0)+IF(OR($S209="4F",$S209="BL"),FaceW,0))</f>
        <v/>
      </c>
      <c r="BH209" s="51">
        <f>IF($BF209="","",$BF209+2*ROSide)</f>
        <v/>
      </c>
      <c r="BI209" s="51">
        <f>IF($BG209="","",$BG209+ROTop)</f>
        <v/>
      </c>
      <c r="BJ209" s="52">
        <f>IF(OR(N($BC209)=0,$BA209=""),"",$BA209/$BC209-ClearDeduct)</f>
        <v/>
      </c>
      <c r="BK209" s="49">
        <f>IF(OR(N($BC209)=0,$BE209=""),"",IF(OR($AC209="HGC",$AP209="HGC"),"CONT",IF($BE209&lt;=60,2,IF($BE209&lt;=90,3,IF($BE209&lt;=120,4,5)))))</f>
        <v/>
      </c>
      <c r="BL209" s="49">
        <f>IF(N($BC209)=0,"",IF(OR($AL209="",$AL209="FLUSH"),"FLUSH",IFERROR(LEFT($AL209,FIND("-",$AL209)-1),LEFT($AL209,2))))</f>
        <v/>
      </c>
      <c r="BM209" s="49">
        <f>IF($BL209="","",IFERROR(VALUE(MID($AL209,FIND("-",$AL209)+1,FIND(CHAR(34)&amp;"x",$AL209)-FIND("-",$AL209)-1)),0))</f>
        <v/>
      </c>
      <c r="BN209" s="49">
        <f>IF($BL209="","",IFERROR(VALUE(MID($AL209,FIND(CHAR(34)&amp;"x",$AL209)+2,FIND(CHAR(34),$AL209,FIND(CHAR(34)&amp;"x",$AL209)+2)-FIND(CHAR(34)&amp;"x",$AL209)-2)),0))</f>
        <v/>
      </c>
      <c r="BO209" s="53">
        <f>IF(OR($A209="",$H209="",$H209="NO LAB"),0,IFERROR(VALUE(LEFT($H209,FIND(" ",$H209)-1)),0))</f>
        <v/>
      </c>
      <c r="BP209" s="54">
        <f>IF(OR($A209="",$I209="",$I209="NON-RATED",N($J209)=0),"",IFERROR(VLOOKUP($I209&amp;"|"&amp;$J209,IBC,2,FALSE),"?"))</f>
        <v/>
      </c>
      <c r="BQ209" s="50">
        <f>IF(NOT(AND($A209&lt;&gt;"",$C209&lt;&gt;"DOOR ONLY")),"",TRIM(IFERROR(VLOOKUP($U209,CODES,2,FALSE),"")&amp;" "&amp;$AZ209&amp;" "&amp;IFERROR(VLOOKUP($Z209,CODES,2,FALSE),"")&amp;" "&amp;IFERROR(VLOOKUP($X209,CODES,2,FALSE),"")&amp;" "&amp;IFERROR(VLOOKUP($S209,CODES,2,FALSE),"")&amp;IF(N($P209)&gt;0," w/TRANSOM "&amp;$P209&amp;CHAR(34),"")&amp;IF(N($Q209)&gt;0," w/SIDELITE "&amp;$Q209&amp;CHAR(34)&amp;" "&amp;IF($R209="","R",$R209),"")&amp;IF($Y209="","  |  "," | "&amp;IFERROR(VLOOKUP($Y209,CODES,2,FALSE),"")&amp;" | ")&amp;IFERROR(VLOOKUP($AC209,CODES,2,FALSE),"")&amp;" "&amp;IFERROR(VLOOKUP($AD209,CODES,2,FALSE),"")&amp;IF(OR($AE209="",$AE209="-"),""," "&amp;$AE209)&amp;IF(OR($AF209="",$AF209="-"),""," "&amp;$AF209)&amp;IF($AB209="Y"," 4"&amp;CHAR(34)&amp;" HEAD","")&amp;" "&amp;IFERROR(VLOOKUP($H209,CODES,2,FALSE),"")))</f>
        <v/>
      </c>
      <c r="BR209" s="50">
        <f>IF(NOT(AND($A209&lt;&gt;"",N($BC209)&gt;0)),"",TRIM(IFERROR(VLOOKUP($AH209,CODES,2,FALSE),"")&amp;IF($AI209=""," "," "&amp;$AI209&amp;"GA ")&amp;$AZ209&amp;" "&amp;IF($AN209="",IFERROR(VLOOKUP($Z209,CODES,2,FALSE),""),IFERROR(VLOOKUP($AN209,CODES,2,FALSE),""))&amp;IF($BC209=2," PAIR","")&amp;" DOOR | "&amp;IF($AL209="","?",$AL209)&amp;" | "&amp;IF($AP209="",IFERROR(VLOOKUP($AC209,CODES,2,FALSE),""),IFERROR(VLOOKUP($AP209,CODES,2,FALSE),""))&amp;" "&amp;IFERROR(VLOOKUP($AQ209,CODES,2,FALSE),"")&amp;IF(OR($AR209="",$AR209="-"),""," SEAM "&amp;$AR209)&amp;IF($AS209="Y"," ASTRAGAL","")&amp;IF($AJ209=""," "," "&amp;$AJ209)&amp;IF($AK209=""," "," "&amp;$AK209)&amp;IF($AO209="",""," "&amp;$AO209)&amp;IF($AM209=""," "," SERIES "&amp;$AM209)&amp;" "&amp;IFERROR(VLOOKUP($H209,CODES,2,FALSE),"")))</f>
        <v/>
      </c>
      <c r="BS209" s="49">
        <f>IF(BV209="","",IF(COUNTIF($BV$6:BV209,BV209)=1,MAX($BS$5:BS208)+1,INDEX($BS$5:BS208,MATCH(BV209,$BV$5:BV208,0))))</f>
        <v/>
      </c>
      <c r="BT209" s="49">
        <f>IF(NOT(AND($A209&lt;&gt;"",$C209&lt;&gt;"DOOR ONLY")),"",MAX($BT$5:BT208)+1)</f>
        <v/>
      </c>
      <c r="BU209" s="49">
        <f>IF(NOT(AND($A209&lt;&gt;"",N($BC209)&gt;0)),"",MAX($BU$5:BU208)+1)</f>
        <v/>
      </c>
      <c r="BV209" s="49">
        <f>IF(OR($A209="",$BA209="",$BB209=""),"",$AZ209&amp;"|"&amp;$O209&amp;"|"&amp;$AL209&amp;"|"&amp;$S209&amp;"|"&amp;$P209&amp;"|"&amp;$Q209&amp;$R209&amp;"|"&amp;$C209&amp;"|"&amp;$AB209)</f>
        <v/>
      </c>
      <c r="BW209" s="49">
        <f>IF($A209="","",IF($B209="","qty, ","")&amp;IF($C209="","scope, ","")&amp;IF(OR($K209="",$M209=""),"size, ","")&amp;IF(AND($A209&lt;&gt;"",$C209&lt;&gt;"DOOR ONLY"),IF($U209="","jamb depth, ","")&amp;IF($X209="","construction, ","")&amp;IF($Y209="","anchor, ","")&amp;IF($S209="","frame type, ",""),"")&amp;IF(AND(N($BC209)&gt;0,$Z209=""),"hand, ","")&amp;IF(N($BC209)&gt;0,IF($AH209="","door material, ","")&amp;IF($AL209="","face type, ","")&amp;IF($AQ209="","lock prep, ","")&amp;IF(AND($AP209="",$AC209=""),"hinge prep, ",""),"")&amp;IF(AND($BO209&gt;0,$AH209="FRP"),"FRP cannot carry a label, ","")&amp;IF(AND($O209="Y",OR($Z209="L",$Z209="R",$Z209="LR",$Z209="RR")),"pair marked but hand is single, ","")&amp;IF(AND($O209&lt;&gt;"Y",OR($Z209="PR",AND(LEN($Z209)&gt;1,ISNUMBER(SEARCH("-",$Z209))))),"pair hand on a single door, ","")&amp;IF(AND(ISNUMBER($BP209),$BO209&lt;N($BP209)),"wall needs a "&amp;$BP209&amp;" min door, ","")&amp;IF(AND($BO209&gt;=180,AND(OR($BL209="FG",$BL209="HG",$BL209="FNV",$BL209="FV"),N($BM209)*N($BN209)&gt;100)),"180 min lite over 100 sq in, ","")&amp;IF(N($BD209)&gt;48,"leaf wider than 4'-0"&amp;CHAR(34)&amp;", ",""))</f>
        <v/>
      </c>
      <c r="BX209" s="49">
        <f>IF($A209="","",IF(AND($BO209&gt;0,AND($A209&lt;&gt;"",$C209&lt;&gt;"DOOR ONLY"),$X209="KD",$E209="EXTERIOR"),"KD label on an exterior opening, ","")&amp;IF(AND($E209="EXTERIOR",OR(AND(AND($A209&lt;&gt;"",$C209&lt;&gt;"DOOR ONLY"),$W209="CR"),AND(N($BC209)&gt;0,$AH209="CR"))),"exterior in CR steel (G9?), ","")&amp;IF(AND(ISNUMBER($BJ209),N($BJ209)&lt;32),"clear width ~"&amp;TEXT($BJ209,"0.0")&amp;CHAR(34)&amp;" under 32"&amp;CHAR(34)&amp;" (ADA), ","")&amp;IF(AND($BO209=90,AND(OR($BL209="FG",$BL209="HG",$BL209="FNV",$BL209="FV"),N($BM209)*N($BN209)&gt;100)),"90 min lite over 100 sq in (stair/exit), ","")&amp;IF(AND($BO209&gt;0,AND($A209&lt;&gt;"",$C209&lt;&gt;"DOOR ONLY"),OR($AF209="",$AF209="-")),"rated: closer reinf.?, ","")&amp;IF(OR($I209="CORRIDOR",$I209="SMOKE BARRIER"),"S label + smoke gasketing, ","")&amp;IF($BP209="?","wall type/hr not in IBC table, ","")&amp;IF(AND(N($BC209)&gt;0,$AU209=""),"no hardware set, ","")&amp;IF(AND($AU209&lt;&gt;"",ISNA(MATCH($AU209,HWSets,0))),"set "&amp;$AU209&amp;" not on Hardware sheet, ","")&amp;IF(N($BE209)&gt;96,"leaf over 8'-0"&amp;CHAR(34)&amp;" - check listing, ",""))</f>
        <v/>
      </c>
    </row>
    <row r="210" ht="15" customHeight="1">
      <c r="A210" s="44" t="n"/>
      <c r="B210" s="45" t="n"/>
      <c r="C210" s="45" t="n"/>
      <c r="D210" s="45" t="n"/>
      <c r="E210" s="45" t="n"/>
      <c r="F210" s="45" t="n"/>
      <c r="G210" s="45" t="n"/>
      <c r="H210" s="45" t="n"/>
      <c r="I210" s="45" t="n"/>
      <c r="J210" s="45" t="n"/>
      <c r="K210" s="45" t="n"/>
      <c r="L210" s="45" t="n"/>
      <c r="M210" s="45" t="n"/>
      <c r="N210" s="45" t="n"/>
      <c r="O210" s="45" t="n"/>
      <c r="P210" s="45" t="n"/>
      <c r="Q210" s="45" t="n"/>
      <c r="R210" s="45" t="n"/>
      <c r="S210" s="46" t="n"/>
      <c r="T210" s="46" t="n"/>
      <c r="U210" s="46" t="n"/>
      <c r="V210" s="46" t="n"/>
      <c r="W210" s="46" t="n"/>
      <c r="X210" s="46" t="n"/>
      <c r="Y210" s="46" t="n"/>
      <c r="Z210" s="46" t="n"/>
      <c r="AA210" s="46" t="n"/>
      <c r="AB210" s="46" t="n"/>
      <c r="AC210" s="46" t="n"/>
      <c r="AD210" s="46" t="n"/>
      <c r="AE210" s="46" t="n"/>
      <c r="AF210" s="46" t="n"/>
      <c r="AG210" s="46" t="n"/>
      <c r="AH210" s="47" t="n"/>
      <c r="AI210" s="47" t="n"/>
      <c r="AJ210" s="47" t="n"/>
      <c r="AK210" s="47" t="n"/>
      <c r="AL210" s="47" t="n"/>
      <c r="AM210" s="47" t="n"/>
      <c r="AN210" s="47" t="n"/>
      <c r="AO210" s="47" t="n"/>
      <c r="AP210" s="47" t="n"/>
      <c r="AQ210" s="47" t="n"/>
      <c r="AR210" s="47" t="n"/>
      <c r="AS210" s="47" t="n"/>
      <c r="AT210" s="47" t="n"/>
      <c r="AU210" s="48" t="n"/>
      <c r="AV210" s="48" t="n"/>
      <c r="AW210" s="49">
        <f>IF($A210="","",IF($BW210&lt;&gt;"","FIX",IF($BX210&lt;&gt;"","CHECK","OK")))</f>
        <v/>
      </c>
      <c r="AX210" s="50">
        <f>IF($A210="","",IF($BW210&lt;&gt;"","FIX: "&amp;LEFT($BW210,LEN($BW210)-2)&amp;IF($BX210&lt;&gt;"","  ·  ",""),"")&amp;IF($BX210&lt;&gt;"","CHECK: "&amp;LEFT($BX210,LEN($BX210)-2),""))</f>
        <v/>
      </c>
      <c r="AY210" s="49">
        <f>IF(OR($A210="",$K210=""),"",$K210&amp;"'-"&amp;N($L210)&amp;CHAR(34)&amp;" x "&amp;$M210&amp;"'-"&amp;N($N210)&amp;CHAR(34))</f>
        <v/>
      </c>
      <c r="AZ210" s="49">
        <f>IF(OR($A210="",$K210=""),"",$K210&amp;N($L210)&amp;$M210&amp;N($N210))</f>
        <v/>
      </c>
      <c r="BA210" s="49">
        <f>IF(OR($A210="",$K210=""),"",$K210*12+N($L210))</f>
        <v/>
      </c>
      <c r="BB210" s="49">
        <f>IF(OR($A210="",$M210=""),"",$M210*12+N($N210))</f>
        <v/>
      </c>
      <c r="BC210" s="49">
        <f>IF($A210="","",IF(OR($C210="FRAME ONLY",$S210="BL"),0,IF($O210="Y",2,1)))</f>
        <v/>
      </c>
      <c r="BD210" s="51">
        <f>IF(OR(N($BC210)=0,$BA210=""),"",($BA210-2*EdgeClr-IF($BC210=2,MeetClr,0))/$BC210)</f>
        <v/>
      </c>
      <c r="BE210" s="51">
        <f>IF(OR(N($BC210)=0,$BB210=""),"",$BB210-HeadClr-Undercut)</f>
        <v/>
      </c>
      <c r="BF210" s="51">
        <f>IF($BA210="","",$BA210+2*FaceW+IF(N($Q210)&gt;0,($Q210+FaceW)*IF($R210="LR",2,1),0))</f>
        <v/>
      </c>
      <c r="BG210" s="51">
        <f>IF($BB210="","",$BB210+IF($AB210="Y",4,FaceW)+IF(N($P210)&gt;0,$P210+FaceW,0)+IF(OR($S210="4F",$S210="BL"),FaceW,0))</f>
        <v/>
      </c>
      <c r="BH210" s="51">
        <f>IF($BF210="","",$BF210+2*ROSide)</f>
        <v/>
      </c>
      <c r="BI210" s="51">
        <f>IF($BG210="","",$BG210+ROTop)</f>
        <v/>
      </c>
      <c r="BJ210" s="52">
        <f>IF(OR(N($BC210)=0,$BA210=""),"",$BA210/$BC210-ClearDeduct)</f>
        <v/>
      </c>
      <c r="BK210" s="49">
        <f>IF(OR(N($BC210)=0,$BE210=""),"",IF(OR($AC210="HGC",$AP210="HGC"),"CONT",IF($BE210&lt;=60,2,IF($BE210&lt;=90,3,IF($BE210&lt;=120,4,5)))))</f>
        <v/>
      </c>
      <c r="BL210" s="49">
        <f>IF(N($BC210)=0,"",IF(OR($AL210="",$AL210="FLUSH"),"FLUSH",IFERROR(LEFT($AL210,FIND("-",$AL210)-1),LEFT($AL210,2))))</f>
        <v/>
      </c>
      <c r="BM210" s="49">
        <f>IF($BL210="","",IFERROR(VALUE(MID($AL210,FIND("-",$AL210)+1,FIND(CHAR(34)&amp;"x",$AL210)-FIND("-",$AL210)-1)),0))</f>
        <v/>
      </c>
      <c r="BN210" s="49">
        <f>IF($BL210="","",IFERROR(VALUE(MID($AL210,FIND(CHAR(34)&amp;"x",$AL210)+2,FIND(CHAR(34),$AL210,FIND(CHAR(34)&amp;"x",$AL210)+2)-FIND(CHAR(34)&amp;"x",$AL210)-2)),0))</f>
        <v/>
      </c>
      <c r="BO210" s="53">
        <f>IF(OR($A210="",$H210="",$H210="NO LAB"),0,IFERROR(VALUE(LEFT($H210,FIND(" ",$H210)-1)),0))</f>
        <v/>
      </c>
      <c r="BP210" s="54">
        <f>IF(OR($A210="",$I210="",$I210="NON-RATED",N($J210)=0),"",IFERROR(VLOOKUP($I210&amp;"|"&amp;$J210,IBC,2,FALSE),"?"))</f>
        <v/>
      </c>
      <c r="BQ210" s="50">
        <f>IF(NOT(AND($A210&lt;&gt;"",$C210&lt;&gt;"DOOR ONLY")),"",TRIM(IFERROR(VLOOKUP($U210,CODES,2,FALSE),"")&amp;" "&amp;$AZ210&amp;" "&amp;IFERROR(VLOOKUP($Z210,CODES,2,FALSE),"")&amp;" "&amp;IFERROR(VLOOKUP($X210,CODES,2,FALSE),"")&amp;" "&amp;IFERROR(VLOOKUP($S210,CODES,2,FALSE),"")&amp;IF(N($P210)&gt;0," w/TRANSOM "&amp;$P210&amp;CHAR(34),"")&amp;IF(N($Q210)&gt;0," w/SIDELITE "&amp;$Q210&amp;CHAR(34)&amp;" "&amp;IF($R210="","R",$R210),"")&amp;IF($Y210="","  |  "," | "&amp;IFERROR(VLOOKUP($Y210,CODES,2,FALSE),"")&amp;" | ")&amp;IFERROR(VLOOKUP($AC210,CODES,2,FALSE),"")&amp;" "&amp;IFERROR(VLOOKUP($AD210,CODES,2,FALSE),"")&amp;IF(OR($AE210="",$AE210="-"),""," "&amp;$AE210)&amp;IF(OR($AF210="",$AF210="-"),""," "&amp;$AF210)&amp;IF($AB210="Y"," 4"&amp;CHAR(34)&amp;" HEAD","")&amp;" "&amp;IFERROR(VLOOKUP($H210,CODES,2,FALSE),"")))</f>
        <v/>
      </c>
      <c r="BR210" s="50">
        <f>IF(NOT(AND($A210&lt;&gt;"",N($BC210)&gt;0)),"",TRIM(IFERROR(VLOOKUP($AH210,CODES,2,FALSE),"")&amp;IF($AI210=""," "," "&amp;$AI210&amp;"GA ")&amp;$AZ210&amp;" "&amp;IF($AN210="",IFERROR(VLOOKUP($Z210,CODES,2,FALSE),""),IFERROR(VLOOKUP($AN210,CODES,2,FALSE),""))&amp;IF($BC210=2," PAIR","")&amp;" DOOR | "&amp;IF($AL210="","?",$AL210)&amp;" | "&amp;IF($AP210="",IFERROR(VLOOKUP($AC210,CODES,2,FALSE),""),IFERROR(VLOOKUP($AP210,CODES,2,FALSE),""))&amp;" "&amp;IFERROR(VLOOKUP($AQ210,CODES,2,FALSE),"")&amp;IF(OR($AR210="",$AR210="-"),""," SEAM "&amp;$AR210)&amp;IF($AS210="Y"," ASTRAGAL","")&amp;IF($AJ210=""," "," "&amp;$AJ210)&amp;IF($AK210=""," "," "&amp;$AK210)&amp;IF($AO210="",""," "&amp;$AO210)&amp;IF($AM210=""," "," SERIES "&amp;$AM210)&amp;" "&amp;IFERROR(VLOOKUP($H210,CODES,2,FALSE),"")))</f>
        <v/>
      </c>
      <c r="BS210" s="49">
        <f>IF(BV210="","",IF(COUNTIF($BV$6:BV210,BV210)=1,MAX($BS$5:BS209)+1,INDEX($BS$5:BS209,MATCH(BV210,$BV$5:BV209,0))))</f>
        <v/>
      </c>
      <c r="BT210" s="49">
        <f>IF(NOT(AND($A210&lt;&gt;"",$C210&lt;&gt;"DOOR ONLY")),"",MAX($BT$5:BT209)+1)</f>
        <v/>
      </c>
      <c r="BU210" s="49">
        <f>IF(NOT(AND($A210&lt;&gt;"",N($BC210)&gt;0)),"",MAX($BU$5:BU209)+1)</f>
        <v/>
      </c>
      <c r="BV210" s="49">
        <f>IF(OR($A210="",$BA210="",$BB210=""),"",$AZ210&amp;"|"&amp;$O210&amp;"|"&amp;$AL210&amp;"|"&amp;$S210&amp;"|"&amp;$P210&amp;"|"&amp;$Q210&amp;$R210&amp;"|"&amp;$C210&amp;"|"&amp;$AB210)</f>
        <v/>
      </c>
      <c r="BW210" s="49">
        <f>IF($A210="","",IF($B210="","qty, ","")&amp;IF($C210="","scope, ","")&amp;IF(OR($K210="",$M210=""),"size, ","")&amp;IF(AND($A210&lt;&gt;"",$C210&lt;&gt;"DOOR ONLY"),IF($U210="","jamb depth, ","")&amp;IF($X210="","construction, ","")&amp;IF($Y210="","anchor, ","")&amp;IF($S210="","frame type, ",""),"")&amp;IF(AND(N($BC210)&gt;0,$Z210=""),"hand, ","")&amp;IF(N($BC210)&gt;0,IF($AH210="","door material, ","")&amp;IF($AL210="","face type, ","")&amp;IF($AQ210="","lock prep, ","")&amp;IF(AND($AP210="",$AC210=""),"hinge prep, ",""),"")&amp;IF(AND($BO210&gt;0,$AH210="FRP"),"FRP cannot carry a label, ","")&amp;IF(AND($O210="Y",OR($Z210="L",$Z210="R",$Z210="LR",$Z210="RR")),"pair marked but hand is single, ","")&amp;IF(AND($O210&lt;&gt;"Y",OR($Z210="PR",AND(LEN($Z210)&gt;1,ISNUMBER(SEARCH("-",$Z210))))),"pair hand on a single door, ","")&amp;IF(AND(ISNUMBER($BP210),$BO210&lt;N($BP210)),"wall needs a "&amp;$BP210&amp;" min door, ","")&amp;IF(AND($BO210&gt;=180,AND(OR($BL210="FG",$BL210="HG",$BL210="FNV",$BL210="FV"),N($BM210)*N($BN210)&gt;100)),"180 min lite over 100 sq in, ","")&amp;IF(N($BD210)&gt;48,"leaf wider than 4'-0"&amp;CHAR(34)&amp;", ",""))</f>
        <v/>
      </c>
      <c r="BX210" s="49">
        <f>IF($A210="","",IF(AND($BO210&gt;0,AND($A210&lt;&gt;"",$C210&lt;&gt;"DOOR ONLY"),$X210="KD",$E210="EXTERIOR"),"KD label on an exterior opening, ","")&amp;IF(AND($E210="EXTERIOR",OR(AND(AND($A210&lt;&gt;"",$C210&lt;&gt;"DOOR ONLY"),$W210="CR"),AND(N($BC210)&gt;0,$AH210="CR"))),"exterior in CR steel (G9?), ","")&amp;IF(AND(ISNUMBER($BJ210),N($BJ210)&lt;32),"clear width ~"&amp;TEXT($BJ210,"0.0")&amp;CHAR(34)&amp;" under 32"&amp;CHAR(34)&amp;" (ADA), ","")&amp;IF(AND($BO210=90,AND(OR($BL210="FG",$BL210="HG",$BL210="FNV",$BL210="FV"),N($BM210)*N($BN210)&gt;100)),"90 min lite over 100 sq in (stair/exit), ","")&amp;IF(AND($BO210&gt;0,AND($A210&lt;&gt;"",$C210&lt;&gt;"DOOR ONLY"),OR($AF210="",$AF210="-")),"rated: closer reinf.?, ","")&amp;IF(OR($I210="CORRIDOR",$I210="SMOKE BARRIER"),"S label + smoke gasketing, ","")&amp;IF($BP210="?","wall type/hr not in IBC table, ","")&amp;IF(AND(N($BC210)&gt;0,$AU210=""),"no hardware set, ","")&amp;IF(AND($AU210&lt;&gt;"",ISNA(MATCH($AU210,HWSets,0))),"set "&amp;$AU210&amp;" not on Hardware sheet, ","")&amp;IF(N($BE210)&gt;96,"leaf over 8'-0"&amp;CHAR(34)&amp;" - check listing, ",""))</f>
        <v/>
      </c>
    </row>
    <row r="211" ht="15" customHeight="1">
      <c r="A211" s="44" t="n"/>
      <c r="B211" s="45" t="n"/>
      <c r="C211" s="45" t="n"/>
      <c r="D211" s="45" t="n"/>
      <c r="E211" s="45" t="n"/>
      <c r="F211" s="45" t="n"/>
      <c r="G211" s="45" t="n"/>
      <c r="H211" s="45" t="n"/>
      <c r="I211" s="45" t="n"/>
      <c r="J211" s="45" t="n"/>
      <c r="K211" s="45" t="n"/>
      <c r="L211" s="45" t="n"/>
      <c r="M211" s="45" t="n"/>
      <c r="N211" s="45" t="n"/>
      <c r="O211" s="45" t="n"/>
      <c r="P211" s="45" t="n"/>
      <c r="Q211" s="45" t="n"/>
      <c r="R211" s="45" t="n"/>
      <c r="S211" s="46" t="n"/>
      <c r="T211" s="46" t="n"/>
      <c r="U211" s="46" t="n"/>
      <c r="V211" s="46" t="n"/>
      <c r="W211" s="46" t="n"/>
      <c r="X211" s="46" t="n"/>
      <c r="Y211" s="46" t="n"/>
      <c r="Z211" s="46" t="n"/>
      <c r="AA211" s="46" t="n"/>
      <c r="AB211" s="46" t="n"/>
      <c r="AC211" s="46" t="n"/>
      <c r="AD211" s="46" t="n"/>
      <c r="AE211" s="46" t="n"/>
      <c r="AF211" s="46" t="n"/>
      <c r="AG211" s="46" t="n"/>
      <c r="AH211" s="47" t="n"/>
      <c r="AI211" s="47" t="n"/>
      <c r="AJ211" s="47" t="n"/>
      <c r="AK211" s="47" t="n"/>
      <c r="AL211" s="47" t="n"/>
      <c r="AM211" s="47" t="n"/>
      <c r="AN211" s="47" t="n"/>
      <c r="AO211" s="47" t="n"/>
      <c r="AP211" s="47" t="n"/>
      <c r="AQ211" s="47" t="n"/>
      <c r="AR211" s="47" t="n"/>
      <c r="AS211" s="47" t="n"/>
      <c r="AT211" s="47" t="n"/>
      <c r="AU211" s="48" t="n"/>
      <c r="AV211" s="48" t="n"/>
      <c r="AW211" s="49">
        <f>IF($A211="","",IF($BW211&lt;&gt;"","FIX",IF($BX211&lt;&gt;"","CHECK","OK")))</f>
        <v/>
      </c>
      <c r="AX211" s="50">
        <f>IF($A211="","",IF($BW211&lt;&gt;"","FIX: "&amp;LEFT($BW211,LEN($BW211)-2)&amp;IF($BX211&lt;&gt;"","  ·  ",""),"")&amp;IF($BX211&lt;&gt;"","CHECK: "&amp;LEFT($BX211,LEN($BX211)-2),""))</f>
        <v/>
      </c>
      <c r="AY211" s="49">
        <f>IF(OR($A211="",$K211=""),"",$K211&amp;"'-"&amp;N($L211)&amp;CHAR(34)&amp;" x "&amp;$M211&amp;"'-"&amp;N($N211)&amp;CHAR(34))</f>
        <v/>
      </c>
      <c r="AZ211" s="49">
        <f>IF(OR($A211="",$K211=""),"",$K211&amp;N($L211)&amp;$M211&amp;N($N211))</f>
        <v/>
      </c>
      <c r="BA211" s="49">
        <f>IF(OR($A211="",$K211=""),"",$K211*12+N($L211))</f>
        <v/>
      </c>
      <c r="BB211" s="49">
        <f>IF(OR($A211="",$M211=""),"",$M211*12+N($N211))</f>
        <v/>
      </c>
      <c r="BC211" s="49">
        <f>IF($A211="","",IF(OR($C211="FRAME ONLY",$S211="BL"),0,IF($O211="Y",2,1)))</f>
        <v/>
      </c>
      <c r="BD211" s="51">
        <f>IF(OR(N($BC211)=0,$BA211=""),"",($BA211-2*EdgeClr-IF($BC211=2,MeetClr,0))/$BC211)</f>
        <v/>
      </c>
      <c r="BE211" s="51">
        <f>IF(OR(N($BC211)=0,$BB211=""),"",$BB211-HeadClr-Undercut)</f>
        <v/>
      </c>
      <c r="BF211" s="51">
        <f>IF($BA211="","",$BA211+2*FaceW+IF(N($Q211)&gt;0,($Q211+FaceW)*IF($R211="LR",2,1),0))</f>
        <v/>
      </c>
      <c r="BG211" s="51">
        <f>IF($BB211="","",$BB211+IF($AB211="Y",4,FaceW)+IF(N($P211)&gt;0,$P211+FaceW,0)+IF(OR($S211="4F",$S211="BL"),FaceW,0))</f>
        <v/>
      </c>
      <c r="BH211" s="51">
        <f>IF($BF211="","",$BF211+2*ROSide)</f>
        <v/>
      </c>
      <c r="BI211" s="51">
        <f>IF($BG211="","",$BG211+ROTop)</f>
        <v/>
      </c>
      <c r="BJ211" s="52">
        <f>IF(OR(N($BC211)=0,$BA211=""),"",$BA211/$BC211-ClearDeduct)</f>
        <v/>
      </c>
      <c r="BK211" s="49">
        <f>IF(OR(N($BC211)=0,$BE211=""),"",IF(OR($AC211="HGC",$AP211="HGC"),"CONT",IF($BE211&lt;=60,2,IF($BE211&lt;=90,3,IF($BE211&lt;=120,4,5)))))</f>
        <v/>
      </c>
      <c r="BL211" s="49">
        <f>IF(N($BC211)=0,"",IF(OR($AL211="",$AL211="FLUSH"),"FLUSH",IFERROR(LEFT($AL211,FIND("-",$AL211)-1),LEFT($AL211,2))))</f>
        <v/>
      </c>
      <c r="BM211" s="49">
        <f>IF($BL211="","",IFERROR(VALUE(MID($AL211,FIND("-",$AL211)+1,FIND(CHAR(34)&amp;"x",$AL211)-FIND("-",$AL211)-1)),0))</f>
        <v/>
      </c>
      <c r="BN211" s="49">
        <f>IF($BL211="","",IFERROR(VALUE(MID($AL211,FIND(CHAR(34)&amp;"x",$AL211)+2,FIND(CHAR(34),$AL211,FIND(CHAR(34)&amp;"x",$AL211)+2)-FIND(CHAR(34)&amp;"x",$AL211)-2)),0))</f>
        <v/>
      </c>
      <c r="BO211" s="53">
        <f>IF(OR($A211="",$H211="",$H211="NO LAB"),0,IFERROR(VALUE(LEFT($H211,FIND(" ",$H211)-1)),0))</f>
        <v/>
      </c>
      <c r="BP211" s="54">
        <f>IF(OR($A211="",$I211="",$I211="NON-RATED",N($J211)=0),"",IFERROR(VLOOKUP($I211&amp;"|"&amp;$J211,IBC,2,FALSE),"?"))</f>
        <v/>
      </c>
      <c r="BQ211" s="50">
        <f>IF(NOT(AND($A211&lt;&gt;"",$C211&lt;&gt;"DOOR ONLY")),"",TRIM(IFERROR(VLOOKUP($U211,CODES,2,FALSE),"")&amp;" "&amp;$AZ211&amp;" "&amp;IFERROR(VLOOKUP($Z211,CODES,2,FALSE),"")&amp;" "&amp;IFERROR(VLOOKUP($X211,CODES,2,FALSE),"")&amp;" "&amp;IFERROR(VLOOKUP($S211,CODES,2,FALSE),"")&amp;IF(N($P211)&gt;0," w/TRANSOM "&amp;$P211&amp;CHAR(34),"")&amp;IF(N($Q211)&gt;0," w/SIDELITE "&amp;$Q211&amp;CHAR(34)&amp;" "&amp;IF($R211="","R",$R211),"")&amp;IF($Y211="","  |  "," | "&amp;IFERROR(VLOOKUP($Y211,CODES,2,FALSE),"")&amp;" | ")&amp;IFERROR(VLOOKUP($AC211,CODES,2,FALSE),"")&amp;" "&amp;IFERROR(VLOOKUP($AD211,CODES,2,FALSE),"")&amp;IF(OR($AE211="",$AE211="-"),""," "&amp;$AE211)&amp;IF(OR($AF211="",$AF211="-"),""," "&amp;$AF211)&amp;IF($AB211="Y"," 4"&amp;CHAR(34)&amp;" HEAD","")&amp;" "&amp;IFERROR(VLOOKUP($H211,CODES,2,FALSE),"")))</f>
        <v/>
      </c>
      <c r="BR211" s="50">
        <f>IF(NOT(AND($A211&lt;&gt;"",N($BC211)&gt;0)),"",TRIM(IFERROR(VLOOKUP($AH211,CODES,2,FALSE),"")&amp;IF($AI211=""," "," "&amp;$AI211&amp;"GA ")&amp;$AZ211&amp;" "&amp;IF($AN211="",IFERROR(VLOOKUP($Z211,CODES,2,FALSE),""),IFERROR(VLOOKUP($AN211,CODES,2,FALSE),""))&amp;IF($BC211=2," PAIR","")&amp;" DOOR | "&amp;IF($AL211="","?",$AL211)&amp;" | "&amp;IF($AP211="",IFERROR(VLOOKUP($AC211,CODES,2,FALSE),""),IFERROR(VLOOKUP($AP211,CODES,2,FALSE),""))&amp;" "&amp;IFERROR(VLOOKUP($AQ211,CODES,2,FALSE),"")&amp;IF(OR($AR211="",$AR211="-"),""," SEAM "&amp;$AR211)&amp;IF($AS211="Y"," ASTRAGAL","")&amp;IF($AJ211=""," "," "&amp;$AJ211)&amp;IF($AK211=""," "," "&amp;$AK211)&amp;IF($AO211="",""," "&amp;$AO211)&amp;IF($AM211=""," "," SERIES "&amp;$AM211)&amp;" "&amp;IFERROR(VLOOKUP($H211,CODES,2,FALSE),"")))</f>
        <v/>
      </c>
      <c r="BS211" s="49">
        <f>IF(BV211="","",IF(COUNTIF($BV$6:BV211,BV211)=1,MAX($BS$5:BS210)+1,INDEX($BS$5:BS210,MATCH(BV211,$BV$5:BV210,0))))</f>
        <v/>
      </c>
      <c r="BT211" s="49">
        <f>IF(NOT(AND($A211&lt;&gt;"",$C211&lt;&gt;"DOOR ONLY")),"",MAX($BT$5:BT210)+1)</f>
        <v/>
      </c>
      <c r="BU211" s="49">
        <f>IF(NOT(AND($A211&lt;&gt;"",N($BC211)&gt;0)),"",MAX($BU$5:BU210)+1)</f>
        <v/>
      </c>
      <c r="BV211" s="49">
        <f>IF(OR($A211="",$BA211="",$BB211=""),"",$AZ211&amp;"|"&amp;$O211&amp;"|"&amp;$AL211&amp;"|"&amp;$S211&amp;"|"&amp;$P211&amp;"|"&amp;$Q211&amp;$R211&amp;"|"&amp;$C211&amp;"|"&amp;$AB211)</f>
        <v/>
      </c>
      <c r="BW211" s="49">
        <f>IF($A211="","",IF($B211="","qty, ","")&amp;IF($C211="","scope, ","")&amp;IF(OR($K211="",$M211=""),"size, ","")&amp;IF(AND($A211&lt;&gt;"",$C211&lt;&gt;"DOOR ONLY"),IF($U211="","jamb depth, ","")&amp;IF($X211="","construction, ","")&amp;IF($Y211="","anchor, ","")&amp;IF($S211="","frame type, ",""),"")&amp;IF(AND(N($BC211)&gt;0,$Z211=""),"hand, ","")&amp;IF(N($BC211)&gt;0,IF($AH211="","door material, ","")&amp;IF($AL211="","face type, ","")&amp;IF($AQ211="","lock prep, ","")&amp;IF(AND($AP211="",$AC211=""),"hinge prep, ",""),"")&amp;IF(AND($BO211&gt;0,$AH211="FRP"),"FRP cannot carry a label, ","")&amp;IF(AND($O211="Y",OR($Z211="L",$Z211="R",$Z211="LR",$Z211="RR")),"pair marked but hand is single, ","")&amp;IF(AND($O211&lt;&gt;"Y",OR($Z211="PR",AND(LEN($Z211)&gt;1,ISNUMBER(SEARCH("-",$Z211))))),"pair hand on a single door, ","")&amp;IF(AND(ISNUMBER($BP211),$BO211&lt;N($BP211)),"wall needs a "&amp;$BP211&amp;" min door, ","")&amp;IF(AND($BO211&gt;=180,AND(OR($BL211="FG",$BL211="HG",$BL211="FNV",$BL211="FV"),N($BM211)*N($BN211)&gt;100)),"180 min lite over 100 sq in, ","")&amp;IF(N($BD211)&gt;48,"leaf wider than 4'-0"&amp;CHAR(34)&amp;", ",""))</f>
        <v/>
      </c>
      <c r="BX211" s="49">
        <f>IF($A211="","",IF(AND($BO211&gt;0,AND($A211&lt;&gt;"",$C211&lt;&gt;"DOOR ONLY"),$X211="KD",$E211="EXTERIOR"),"KD label on an exterior opening, ","")&amp;IF(AND($E211="EXTERIOR",OR(AND(AND($A211&lt;&gt;"",$C211&lt;&gt;"DOOR ONLY"),$W211="CR"),AND(N($BC211)&gt;0,$AH211="CR"))),"exterior in CR steel (G9?), ","")&amp;IF(AND(ISNUMBER($BJ211),N($BJ211)&lt;32),"clear width ~"&amp;TEXT($BJ211,"0.0")&amp;CHAR(34)&amp;" under 32"&amp;CHAR(34)&amp;" (ADA), ","")&amp;IF(AND($BO211=90,AND(OR($BL211="FG",$BL211="HG",$BL211="FNV",$BL211="FV"),N($BM211)*N($BN211)&gt;100)),"90 min lite over 100 sq in (stair/exit), ","")&amp;IF(AND($BO211&gt;0,AND($A211&lt;&gt;"",$C211&lt;&gt;"DOOR ONLY"),OR($AF211="",$AF211="-")),"rated: closer reinf.?, ","")&amp;IF(OR($I211="CORRIDOR",$I211="SMOKE BARRIER"),"S label + smoke gasketing, ","")&amp;IF($BP211="?","wall type/hr not in IBC table, ","")&amp;IF(AND(N($BC211)&gt;0,$AU211=""),"no hardware set, ","")&amp;IF(AND($AU211&lt;&gt;"",ISNA(MATCH($AU211,HWSets,0))),"set "&amp;$AU211&amp;" not on Hardware sheet, ","")&amp;IF(N($BE211)&gt;96,"leaf over 8'-0"&amp;CHAR(34)&amp;" - check listing, ",""))</f>
        <v/>
      </c>
    </row>
    <row r="212" ht="15" customHeight="1">
      <c r="A212" s="44" t="n"/>
      <c r="B212" s="45" t="n"/>
      <c r="C212" s="45" t="n"/>
      <c r="D212" s="45" t="n"/>
      <c r="E212" s="45" t="n"/>
      <c r="F212" s="45" t="n"/>
      <c r="G212" s="45" t="n"/>
      <c r="H212" s="45" t="n"/>
      <c r="I212" s="45" t="n"/>
      <c r="J212" s="45" t="n"/>
      <c r="K212" s="45" t="n"/>
      <c r="L212" s="45" t="n"/>
      <c r="M212" s="45" t="n"/>
      <c r="N212" s="45" t="n"/>
      <c r="O212" s="45" t="n"/>
      <c r="P212" s="45" t="n"/>
      <c r="Q212" s="45" t="n"/>
      <c r="R212" s="45" t="n"/>
      <c r="S212" s="46" t="n"/>
      <c r="T212" s="46" t="n"/>
      <c r="U212" s="46" t="n"/>
      <c r="V212" s="46" t="n"/>
      <c r="W212" s="46" t="n"/>
      <c r="X212" s="46" t="n"/>
      <c r="Y212" s="46" t="n"/>
      <c r="Z212" s="46" t="n"/>
      <c r="AA212" s="46" t="n"/>
      <c r="AB212" s="46" t="n"/>
      <c r="AC212" s="46" t="n"/>
      <c r="AD212" s="46" t="n"/>
      <c r="AE212" s="46" t="n"/>
      <c r="AF212" s="46" t="n"/>
      <c r="AG212" s="46" t="n"/>
      <c r="AH212" s="47" t="n"/>
      <c r="AI212" s="47" t="n"/>
      <c r="AJ212" s="47" t="n"/>
      <c r="AK212" s="47" t="n"/>
      <c r="AL212" s="47" t="n"/>
      <c r="AM212" s="47" t="n"/>
      <c r="AN212" s="47" t="n"/>
      <c r="AO212" s="47" t="n"/>
      <c r="AP212" s="47" t="n"/>
      <c r="AQ212" s="47" t="n"/>
      <c r="AR212" s="47" t="n"/>
      <c r="AS212" s="47" t="n"/>
      <c r="AT212" s="47" t="n"/>
      <c r="AU212" s="48" t="n"/>
      <c r="AV212" s="48" t="n"/>
      <c r="AW212" s="49">
        <f>IF($A212="","",IF($BW212&lt;&gt;"","FIX",IF($BX212&lt;&gt;"","CHECK","OK")))</f>
        <v/>
      </c>
      <c r="AX212" s="50">
        <f>IF($A212="","",IF($BW212&lt;&gt;"","FIX: "&amp;LEFT($BW212,LEN($BW212)-2)&amp;IF($BX212&lt;&gt;"","  ·  ",""),"")&amp;IF($BX212&lt;&gt;"","CHECK: "&amp;LEFT($BX212,LEN($BX212)-2),""))</f>
        <v/>
      </c>
      <c r="AY212" s="49">
        <f>IF(OR($A212="",$K212=""),"",$K212&amp;"'-"&amp;N($L212)&amp;CHAR(34)&amp;" x "&amp;$M212&amp;"'-"&amp;N($N212)&amp;CHAR(34))</f>
        <v/>
      </c>
      <c r="AZ212" s="49">
        <f>IF(OR($A212="",$K212=""),"",$K212&amp;N($L212)&amp;$M212&amp;N($N212))</f>
        <v/>
      </c>
      <c r="BA212" s="49">
        <f>IF(OR($A212="",$K212=""),"",$K212*12+N($L212))</f>
        <v/>
      </c>
      <c r="BB212" s="49">
        <f>IF(OR($A212="",$M212=""),"",$M212*12+N($N212))</f>
        <v/>
      </c>
      <c r="BC212" s="49">
        <f>IF($A212="","",IF(OR($C212="FRAME ONLY",$S212="BL"),0,IF($O212="Y",2,1)))</f>
        <v/>
      </c>
      <c r="BD212" s="51">
        <f>IF(OR(N($BC212)=0,$BA212=""),"",($BA212-2*EdgeClr-IF($BC212=2,MeetClr,0))/$BC212)</f>
        <v/>
      </c>
      <c r="BE212" s="51">
        <f>IF(OR(N($BC212)=0,$BB212=""),"",$BB212-HeadClr-Undercut)</f>
        <v/>
      </c>
      <c r="BF212" s="51">
        <f>IF($BA212="","",$BA212+2*FaceW+IF(N($Q212)&gt;0,($Q212+FaceW)*IF($R212="LR",2,1),0))</f>
        <v/>
      </c>
      <c r="BG212" s="51">
        <f>IF($BB212="","",$BB212+IF($AB212="Y",4,FaceW)+IF(N($P212)&gt;0,$P212+FaceW,0)+IF(OR($S212="4F",$S212="BL"),FaceW,0))</f>
        <v/>
      </c>
      <c r="BH212" s="51">
        <f>IF($BF212="","",$BF212+2*ROSide)</f>
        <v/>
      </c>
      <c r="BI212" s="51">
        <f>IF($BG212="","",$BG212+ROTop)</f>
        <v/>
      </c>
      <c r="BJ212" s="52">
        <f>IF(OR(N($BC212)=0,$BA212=""),"",$BA212/$BC212-ClearDeduct)</f>
        <v/>
      </c>
      <c r="BK212" s="49">
        <f>IF(OR(N($BC212)=0,$BE212=""),"",IF(OR($AC212="HGC",$AP212="HGC"),"CONT",IF($BE212&lt;=60,2,IF($BE212&lt;=90,3,IF($BE212&lt;=120,4,5)))))</f>
        <v/>
      </c>
      <c r="BL212" s="49">
        <f>IF(N($BC212)=0,"",IF(OR($AL212="",$AL212="FLUSH"),"FLUSH",IFERROR(LEFT($AL212,FIND("-",$AL212)-1),LEFT($AL212,2))))</f>
        <v/>
      </c>
      <c r="BM212" s="49">
        <f>IF($BL212="","",IFERROR(VALUE(MID($AL212,FIND("-",$AL212)+1,FIND(CHAR(34)&amp;"x",$AL212)-FIND("-",$AL212)-1)),0))</f>
        <v/>
      </c>
      <c r="BN212" s="49">
        <f>IF($BL212="","",IFERROR(VALUE(MID($AL212,FIND(CHAR(34)&amp;"x",$AL212)+2,FIND(CHAR(34),$AL212,FIND(CHAR(34)&amp;"x",$AL212)+2)-FIND(CHAR(34)&amp;"x",$AL212)-2)),0))</f>
        <v/>
      </c>
      <c r="BO212" s="53">
        <f>IF(OR($A212="",$H212="",$H212="NO LAB"),0,IFERROR(VALUE(LEFT($H212,FIND(" ",$H212)-1)),0))</f>
        <v/>
      </c>
      <c r="BP212" s="54">
        <f>IF(OR($A212="",$I212="",$I212="NON-RATED",N($J212)=0),"",IFERROR(VLOOKUP($I212&amp;"|"&amp;$J212,IBC,2,FALSE),"?"))</f>
        <v/>
      </c>
      <c r="BQ212" s="50">
        <f>IF(NOT(AND($A212&lt;&gt;"",$C212&lt;&gt;"DOOR ONLY")),"",TRIM(IFERROR(VLOOKUP($U212,CODES,2,FALSE),"")&amp;" "&amp;$AZ212&amp;" "&amp;IFERROR(VLOOKUP($Z212,CODES,2,FALSE),"")&amp;" "&amp;IFERROR(VLOOKUP($X212,CODES,2,FALSE),"")&amp;" "&amp;IFERROR(VLOOKUP($S212,CODES,2,FALSE),"")&amp;IF(N($P212)&gt;0," w/TRANSOM "&amp;$P212&amp;CHAR(34),"")&amp;IF(N($Q212)&gt;0," w/SIDELITE "&amp;$Q212&amp;CHAR(34)&amp;" "&amp;IF($R212="","R",$R212),"")&amp;IF($Y212="","  |  "," | "&amp;IFERROR(VLOOKUP($Y212,CODES,2,FALSE),"")&amp;" | ")&amp;IFERROR(VLOOKUP($AC212,CODES,2,FALSE),"")&amp;" "&amp;IFERROR(VLOOKUP($AD212,CODES,2,FALSE),"")&amp;IF(OR($AE212="",$AE212="-"),""," "&amp;$AE212)&amp;IF(OR($AF212="",$AF212="-"),""," "&amp;$AF212)&amp;IF($AB212="Y"," 4"&amp;CHAR(34)&amp;" HEAD","")&amp;" "&amp;IFERROR(VLOOKUP($H212,CODES,2,FALSE),"")))</f>
        <v/>
      </c>
      <c r="BR212" s="50">
        <f>IF(NOT(AND($A212&lt;&gt;"",N($BC212)&gt;0)),"",TRIM(IFERROR(VLOOKUP($AH212,CODES,2,FALSE),"")&amp;IF($AI212=""," "," "&amp;$AI212&amp;"GA ")&amp;$AZ212&amp;" "&amp;IF($AN212="",IFERROR(VLOOKUP($Z212,CODES,2,FALSE),""),IFERROR(VLOOKUP($AN212,CODES,2,FALSE),""))&amp;IF($BC212=2," PAIR","")&amp;" DOOR | "&amp;IF($AL212="","?",$AL212)&amp;" | "&amp;IF($AP212="",IFERROR(VLOOKUP($AC212,CODES,2,FALSE),""),IFERROR(VLOOKUP($AP212,CODES,2,FALSE),""))&amp;" "&amp;IFERROR(VLOOKUP($AQ212,CODES,2,FALSE),"")&amp;IF(OR($AR212="",$AR212="-"),""," SEAM "&amp;$AR212)&amp;IF($AS212="Y"," ASTRAGAL","")&amp;IF($AJ212=""," "," "&amp;$AJ212)&amp;IF($AK212=""," "," "&amp;$AK212)&amp;IF($AO212="",""," "&amp;$AO212)&amp;IF($AM212=""," "," SERIES "&amp;$AM212)&amp;" "&amp;IFERROR(VLOOKUP($H212,CODES,2,FALSE),"")))</f>
        <v/>
      </c>
      <c r="BS212" s="49">
        <f>IF(BV212="","",IF(COUNTIF($BV$6:BV212,BV212)=1,MAX($BS$5:BS211)+1,INDEX($BS$5:BS211,MATCH(BV212,$BV$5:BV211,0))))</f>
        <v/>
      </c>
      <c r="BT212" s="49">
        <f>IF(NOT(AND($A212&lt;&gt;"",$C212&lt;&gt;"DOOR ONLY")),"",MAX($BT$5:BT211)+1)</f>
        <v/>
      </c>
      <c r="BU212" s="49">
        <f>IF(NOT(AND($A212&lt;&gt;"",N($BC212)&gt;0)),"",MAX($BU$5:BU211)+1)</f>
        <v/>
      </c>
      <c r="BV212" s="49">
        <f>IF(OR($A212="",$BA212="",$BB212=""),"",$AZ212&amp;"|"&amp;$O212&amp;"|"&amp;$AL212&amp;"|"&amp;$S212&amp;"|"&amp;$P212&amp;"|"&amp;$Q212&amp;$R212&amp;"|"&amp;$C212&amp;"|"&amp;$AB212)</f>
        <v/>
      </c>
      <c r="BW212" s="49">
        <f>IF($A212="","",IF($B212="","qty, ","")&amp;IF($C212="","scope, ","")&amp;IF(OR($K212="",$M212=""),"size, ","")&amp;IF(AND($A212&lt;&gt;"",$C212&lt;&gt;"DOOR ONLY"),IF($U212="","jamb depth, ","")&amp;IF($X212="","construction, ","")&amp;IF($Y212="","anchor, ","")&amp;IF($S212="","frame type, ",""),"")&amp;IF(AND(N($BC212)&gt;0,$Z212=""),"hand, ","")&amp;IF(N($BC212)&gt;0,IF($AH212="","door material, ","")&amp;IF($AL212="","face type, ","")&amp;IF($AQ212="","lock prep, ","")&amp;IF(AND($AP212="",$AC212=""),"hinge prep, ",""),"")&amp;IF(AND($BO212&gt;0,$AH212="FRP"),"FRP cannot carry a label, ","")&amp;IF(AND($O212="Y",OR($Z212="L",$Z212="R",$Z212="LR",$Z212="RR")),"pair marked but hand is single, ","")&amp;IF(AND($O212&lt;&gt;"Y",OR($Z212="PR",AND(LEN($Z212)&gt;1,ISNUMBER(SEARCH("-",$Z212))))),"pair hand on a single door, ","")&amp;IF(AND(ISNUMBER($BP212),$BO212&lt;N($BP212)),"wall needs a "&amp;$BP212&amp;" min door, ","")&amp;IF(AND($BO212&gt;=180,AND(OR($BL212="FG",$BL212="HG",$BL212="FNV",$BL212="FV"),N($BM212)*N($BN212)&gt;100)),"180 min lite over 100 sq in, ","")&amp;IF(N($BD212)&gt;48,"leaf wider than 4'-0"&amp;CHAR(34)&amp;", ",""))</f>
        <v/>
      </c>
      <c r="BX212" s="49">
        <f>IF($A212="","",IF(AND($BO212&gt;0,AND($A212&lt;&gt;"",$C212&lt;&gt;"DOOR ONLY"),$X212="KD",$E212="EXTERIOR"),"KD label on an exterior opening, ","")&amp;IF(AND($E212="EXTERIOR",OR(AND(AND($A212&lt;&gt;"",$C212&lt;&gt;"DOOR ONLY"),$W212="CR"),AND(N($BC212)&gt;0,$AH212="CR"))),"exterior in CR steel (G9?), ","")&amp;IF(AND(ISNUMBER($BJ212),N($BJ212)&lt;32),"clear width ~"&amp;TEXT($BJ212,"0.0")&amp;CHAR(34)&amp;" under 32"&amp;CHAR(34)&amp;" (ADA), ","")&amp;IF(AND($BO212=90,AND(OR($BL212="FG",$BL212="HG",$BL212="FNV",$BL212="FV"),N($BM212)*N($BN212)&gt;100)),"90 min lite over 100 sq in (stair/exit), ","")&amp;IF(AND($BO212&gt;0,AND($A212&lt;&gt;"",$C212&lt;&gt;"DOOR ONLY"),OR($AF212="",$AF212="-")),"rated: closer reinf.?, ","")&amp;IF(OR($I212="CORRIDOR",$I212="SMOKE BARRIER"),"S label + smoke gasketing, ","")&amp;IF($BP212="?","wall type/hr not in IBC table, ","")&amp;IF(AND(N($BC212)&gt;0,$AU212=""),"no hardware set, ","")&amp;IF(AND($AU212&lt;&gt;"",ISNA(MATCH($AU212,HWSets,0))),"set "&amp;$AU212&amp;" not on Hardware sheet, ","")&amp;IF(N($BE212)&gt;96,"leaf over 8'-0"&amp;CHAR(34)&amp;" - check listing, ",""))</f>
        <v/>
      </c>
    </row>
    <row r="213" ht="15" customHeight="1">
      <c r="A213" s="44" t="n"/>
      <c r="B213" s="45" t="n"/>
      <c r="C213" s="45" t="n"/>
      <c r="D213" s="45" t="n"/>
      <c r="E213" s="45" t="n"/>
      <c r="F213" s="45" t="n"/>
      <c r="G213" s="45" t="n"/>
      <c r="H213" s="45" t="n"/>
      <c r="I213" s="45" t="n"/>
      <c r="J213" s="45" t="n"/>
      <c r="K213" s="45" t="n"/>
      <c r="L213" s="45" t="n"/>
      <c r="M213" s="45" t="n"/>
      <c r="N213" s="45" t="n"/>
      <c r="O213" s="45" t="n"/>
      <c r="P213" s="45" t="n"/>
      <c r="Q213" s="45" t="n"/>
      <c r="R213" s="45" t="n"/>
      <c r="S213" s="46" t="n"/>
      <c r="T213" s="46" t="n"/>
      <c r="U213" s="46" t="n"/>
      <c r="V213" s="46" t="n"/>
      <c r="W213" s="46" t="n"/>
      <c r="X213" s="46" t="n"/>
      <c r="Y213" s="46" t="n"/>
      <c r="Z213" s="46" t="n"/>
      <c r="AA213" s="46" t="n"/>
      <c r="AB213" s="46" t="n"/>
      <c r="AC213" s="46" t="n"/>
      <c r="AD213" s="46" t="n"/>
      <c r="AE213" s="46" t="n"/>
      <c r="AF213" s="46" t="n"/>
      <c r="AG213" s="46" t="n"/>
      <c r="AH213" s="47" t="n"/>
      <c r="AI213" s="47" t="n"/>
      <c r="AJ213" s="47" t="n"/>
      <c r="AK213" s="47" t="n"/>
      <c r="AL213" s="47" t="n"/>
      <c r="AM213" s="47" t="n"/>
      <c r="AN213" s="47" t="n"/>
      <c r="AO213" s="47" t="n"/>
      <c r="AP213" s="47" t="n"/>
      <c r="AQ213" s="47" t="n"/>
      <c r="AR213" s="47" t="n"/>
      <c r="AS213" s="47" t="n"/>
      <c r="AT213" s="47" t="n"/>
      <c r="AU213" s="48" t="n"/>
      <c r="AV213" s="48" t="n"/>
      <c r="AW213" s="49">
        <f>IF($A213="","",IF($BW213&lt;&gt;"","FIX",IF($BX213&lt;&gt;"","CHECK","OK")))</f>
        <v/>
      </c>
      <c r="AX213" s="50">
        <f>IF($A213="","",IF($BW213&lt;&gt;"","FIX: "&amp;LEFT($BW213,LEN($BW213)-2)&amp;IF($BX213&lt;&gt;"","  ·  ",""),"")&amp;IF($BX213&lt;&gt;"","CHECK: "&amp;LEFT($BX213,LEN($BX213)-2),""))</f>
        <v/>
      </c>
      <c r="AY213" s="49">
        <f>IF(OR($A213="",$K213=""),"",$K213&amp;"'-"&amp;N($L213)&amp;CHAR(34)&amp;" x "&amp;$M213&amp;"'-"&amp;N($N213)&amp;CHAR(34))</f>
        <v/>
      </c>
      <c r="AZ213" s="49">
        <f>IF(OR($A213="",$K213=""),"",$K213&amp;N($L213)&amp;$M213&amp;N($N213))</f>
        <v/>
      </c>
      <c r="BA213" s="49">
        <f>IF(OR($A213="",$K213=""),"",$K213*12+N($L213))</f>
        <v/>
      </c>
      <c r="BB213" s="49">
        <f>IF(OR($A213="",$M213=""),"",$M213*12+N($N213))</f>
        <v/>
      </c>
      <c r="BC213" s="49">
        <f>IF($A213="","",IF(OR($C213="FRAME ONLY",$S213="BL"),0,IF($O213="Y",2,1)))</f>
        <v/>
      </c>
      <c r="BD213" s="51">
        <f>IF(OR(N($BC213)=0,$BA213=""),"",($BA213-2*EdgeClr-IF($BC213=2,MeetClr,0))/$BC213)</f>
        <v/>
      </c>
      <c r="BE213" s="51">
        <f>IF(OR(N($BC213)=0,$BB213=""),"",$BB213-HeadClr-Undercut)</f>
        <v/>
      </c>
      <c r="BF213" s="51">
        <f>IF($BA213="","",$BA213+2*FaceW+IF(N($Q213)&gt;0,($Q213+FaceW)*IF($R213="LR",2,1),0))</f>
        <v/>
      </c>
      <c r="BG213" s="51">
        <f>IF($BB213="","",$BB213+IF($AB213="Y",4,FaceW)+IF(N($P213)&gt;0,$P213+FaceW,0)+IF(OR($S213="4F",$S213="BL"),FaceW,0))</f>
        <v/>
      </c>
      <c r="BH213" s="51">
        <f>IF($BF213="","",$BF213+2*ROSide)</f>
        <v/>
      </c>
      <c r="BI213" s="51">
        <f>IF($BG213="","",$BG213+ROTop)</f>
        <v/>
      </c>
      <c r="BJ213" s="52">
        <f>IF(OR(N($BC213)=0,$BA213=""),"",$BA213/$BC213-ClearDeduct)</f>
        <v/>
      </c>
      <c r="BK213" s="49">
        <f>IF(OR(N($BC213)=0,$BE213=""),"",IF(OR($AC213="HGC",$AP213="HGC"),"CONT",IF($BE213&lt;=60,2,IF($BE213&lt;=90,3,IF($BE213&lt;=120,4,5)))))</f>
        <v/>
      </c>
      <c r="BL213" s="49">
        <f>IF(N($BC213)=0,"",IF(OR($AL213="",$AL213="FLUSH"),"FLUSH",IFERROR(LEFT($AL213,FIND("-",$AL213)-1),LEFT($AL213,2))))</f>
        <v/>
      </c>
      <c r="BM213" s="49">
        <f>IF($BL213="","",IFERROR(VALUE(MID($AL213,FIND("-",$AL213)+1,FIND(CHAR(34)&amp;"x",$AL213)-FIND("-",$AL213)-1)),0))</f>
        <v/>
      </c>
      <c r="BN213" s="49">
        <f>IF($BL213="","",IFERROR(VALUE(MID($AL213,FIND(CHAR(34)&amp;"x",$AL213)+2,FIND(CHAR(34),$AL213,FIND(CHAR(34)&amp;"x",$AL213)+2)-FIND(CHAR(34)&amp;"x",$AL213)-2)),0))</f>
        <v/>
      </c>
      <c r="BO213" s="53">
        <f>IF(OR($A213="",$H213="",$H213="NO LAB"),0,IFERROR(VALUE(LEFT($H213,FIND(" ",$H213)-1)),0))</f>
        <v/>
      </c>
      <c r="BP213" s="54">
        <f>IF(OR($A213="",$I213="",$I213="NON-RATED",N($J213)=0),"",IFERROR(VLOOKUP($I213&amp;"|"&amp;$J213,IBC,2,FALSE),"?"))</f>
        <v/>
      </c>
      <c r="BQ213" s="50">
        <f>IF(NOT(AND($A213&lt;&gt;"",$C213&lt;&gt;"DOOR ONLY")),"",TRIM(IFERROR(VLOOKUP($U213,CODES,2,FALSE),"")&amp;" "&amp;$AZ213&amp;" "&amp;IFERROR(VLOOKUP($Z213,CODES,2,FALSE),"")&amp;" "&amp;IFERROR(VLOOKUP($X213,CODES,2,FALSE),"")&amp;" "&amp;IFERROR(VLOOKUP($S213,CODES,2,FALSE),"")&amp;IF(N($P213)&gt;0," w/TRANSOM "&amp;$P213&amp;CHAR(34),"")&amp;IF(N($Q213)&gt;0," w/SIDELITE "&amp;$Q213&amp;CHAR(34)&amp;" "&amp;IF($R213="","R",$R213),"")&amp;IF($Y213="","  |  "," | "&amp;IFERROR(VLOOKUP($Y213,CODES,2,FALSE),"")&amp;" | ")&amp;IFERROR(VLOOKUP($AC213,CODES,2,FALSE),"")&amp;" "&amp;IFERROR(VLOOKUP($AD213,CODES,2,FALSE),"")&amp;IF(OR($AE213="",$AE213="-"),""," "&amp;$AE213)&amp;IF(OR($AF213="",$AF213="-"),""," "&amp;$AF213)&amp;IF($AB213="Y"," 4"&amp;CHAR(34)&amp;" HEAD","")&amp;" "&amp;IFERROR(VLOOKUP($H213,CODES,2,FALSE),"")))</f>
        <v/>
      </c>
      <c r="BR213" s="50">
        <f>IF(NOT(AND($A213&lt;&gt;"",N($BC213)&gt;0)),"",TRIM(IFERROR(VLOOKUP($AH213,CODES,2,FALSE),"")&amp;IF($AI213=""," "," "&amp;$AI213&amp;"GA ")&amp;$AZ213&amp;" "&amp;IF($AN213="",IFERROR(VLOOKUP($Z213,CODES,2,FALSE),""),IFERROR(VLOOKUP($AN213,CODES,2,FALSE),""))&amp;IF($BC213=2," PAIR","")&amp;" DOOR | "&amp;IF($AL213="","?",$AL213)&amp;" | "&amp;IF($AP213="",IFERROR(VLOOKUP($AC213,CODES,2,FALSE),""),IFERROR(VLOOKUP($AP213,CODES,2,FALSE),""))&amp;" "&amp;IFERROR(VLOOKUP($AQ213,CODES,2,FALSE),"")&amp;IF(OR($AR213="",$AR213="-"),""," SEAM "&amp;$AR213)&amp;IF($AS213="Y"," ASTRAGAL","")&amp;IF($AJ213=""," "," "&amp;$AJ213)&amp;IF($AK213=""," "," "&amp;$AK213)&amp;IF($AO213="",""," "&amp;$AO213)&amp;IF($AM213=""," "," SERIES "&amp;$AM213)&amp;" "&amp;IFERROR(VLOOKUP($H213,CODES,2,FALSE),"")))</f>
        <v/>
      </c>
      <c r="BS213" s="49">
        <f>IF(BV213="","",IF(COUNTIF($BV$6:BV213,BV213)=1,MAX($BS$5:BS212)+1,INDEX($BS$5:BS212,MATCH(BV213,$BV$5:BV212,0))))</f>
        <v/>
      </c>
      <c r="BT213" s="49">
        <f>IF(NOT(AND($A213&lt;&gt;"",$C213&lt;&gt;"DOOR ONLY")),"",MAX($BT$5:BT212)+1)</f>
        <v/>
      </c>
      <c r="BU213" s="49">
        <f>IF(NOT(AND($A213&lt;&gt;"",N($BC213)&gt;0)),"",MAX($BU$5:BU212)+1)</f>
        <v/>
      </c>
      <c r="BV213" s="49">
        <f>IF(OR($A213="",$BA213="",$BB213=""),"",$AZ213&amp;"|"&amp;$O213&amp;"|"&amp;$AL213&amp;"|"&amp;$S213&amp;"|"&amp;$P213&amp;"|"&amp;$Q213&amp;$R213&amp;"|"&amp;$C213&amp;"|"&amp;$AB213)</f>
        <v/>
      </c>
      <c r="BW213" s="49">
        <f>IF($A213="","",IF($B213="","qty, ","")&amp;IF($C213="","scope, ","")&amp;IF(OR($K213="",$M213=""),"size, ","")&amp;IF(AND($A213&lt;&gt;"",$C213&lt;&gt;"DOOR ONLY"),IF($U213="","jamb depth, ","")&amp;IF($X213="","construction, ","")&amp;IF($Y213="","anchor, ","")&amp;IF($S213="","frame type, ",""),"")&amp;IF(AND(N($BC213)&gt;0,$Z213=""),"hand, ","")&amp;IF(N($BC213)&gt;0,IF($AH213="","door material, ","")&amp;IF($AL213="","face type, ","")&amp;IF($AQ213="","lock prep, ","")&amp;IF(AND($AP213="",$AC213=""),"hinge prep, ",""),"")&amp;IF(AND($BO213&gt;0,$AH213="FRP"),"FRP cannot carry a label, ","")&amp;IF(AND($O213="Y",OR($Z213="L",$Z213="R",$Z213="LR",$Z213="RR")),"pair marked but hand is single, ","")&amp;IF(AND($O213&lt;&gt;"Y",OR($Z213="PR",AND(LEN($Z213)&gt;1,ISNUMBER(SEARCH("-",$Z213))))),"pair hand on a single door, ","")&amp;IF(AND(ISNUMBER($BP213),$BO213&lt;N($BP213)),"wall needs a "&amp;$BP213&amp;" min door, ","")&amp;IF(AND($BO213&gt;=180,AND(OR($BL213="FG",$BL213="HG",$BL213="FNV",$BL213="FV"),N($BM213)*N($BN213)&gt;100)),"180 min lite over 100 sq in, ","")&amp;IF(N($BD213)&gt;48,"leaf wider than 4'-0"&amp;CHAR(34)&amp;", ",""))</f>
        <v/>
      </c>
      <c r="BX213" s="49">
        <f>IF($A213="","",IF(AND($BO213&gt;0,AND($A213&lt;&gt;"",$C213&lt;&gt;"DOOR ONLY"),$X213="KD",$E213="EXTERIOR"),"KD label on an exterior opening, ","")&amp;IF(AND($E213="EXTERIOR",OR(AND(AND($A213&lt;&gt;"",$C213&lt;&gt;"DOOR ONLY"),$W213="CR"),AND(N($BC213)&gt;0,$AH213="CR"))),"exterior in CR steel (G9?), ","")&amp;IF(AND(ISNUMBER($BJ213),N($BJ213)&lt;32),"clear width ~"&amp;TEXT($BJ213,"0.0")&amp;CHAR(34)&amp;" under 32"&amp;CHAR(34)&amp;" (ADA), ","")&amp;IF(AND($BO213=90,AND(OR($BL213="FG",$BL213="HG",$BL213="FNV",$BL213="FV"),N($BM213)*N($BN213)&gt;100)),"90 min lite over 100 sq in (stair/exit), ","")&amp;IF(AND($BO213&gt;0,AND($A213&lt;&gt;"",$C213&lt;&gt;"DOOR ONLY"),OR($AF213="",$AF213="-")),"rated: closer reinf.?, ","")&amp;IF(OR($I213="CORRIDOR",$I213="SMOKE BARRIER"),"S label + smoke gasketing, ","")&amp;IF($BP213="?","wall type/hr not in IBC table, ","")&amp;IF(AND(N($BC213)&gt;0,$AU213=""),"no hardware set, ","")&amp;IF(AND($AU213&lt;&gt;"",ISNA(MATCH($AU213,HWSets,0))),"set "&amp;$AU213&amp;" not on Hardware sheet, ","")&amp;IF(N($BE213)&gt;96,"leaf over 8'-0"&amp;CHAR(34)&amp;" - check listing, ",""))</f>
        <v/>
      </c>
    </row>
    <row r="214" ht="15" customHeight="1">
      <c r="A214" s="44" t="n"/>
      <c r="B214" s="45" t="n"/>
      <c r="C214" s="45" t="n"/>
      <c r="D214" s="45" t="n"/>
      <c r="E214" s="45" t="n"/>
      <c r="F214" s="45" t="n"/>
      <c r="G214" s="45" t="n"/>
      <c r="H214" s="45" t="n"/>
      <c r="I214" s="45" t="n"/>
      <c r="J214" s="45" t="n"/>
      <c r="K214" s="45" t="n"/>
      <c r="L214" s="45" t="n"/>
      <c r="M214" s="45" t="n"/>
      <c r="N214" s="45" t="n"/>
      <c r="O214" s="45" t="n"/>
      <c r="P214" s="45" t="n"/>
      <c r="Q214" s="45" t="n"/>
      <c r="R214" s="45" t="n"/>
      <c r="S214" s="46" t="n"/>
      <c r="T214" s="46" t="n"/>
      <c r="U214" s="46" t="n"/>
      <c r="V214" s="46" t="n"/>
      <c r="W214" s="46" t="n"/>
      <c r="X214" s="46" t="n"/>
      <c r="Y214" s="46" t="n"/>
      <c r="Z214" s="46" t="n"/>
      <c r="AA214" s="46" t="n"/>
      <c r="AB214" s="46" t="n"/>
      <c r="AC214" s="46" t="n"/>
      <c r="AD214" s="46" t="n"/>
      <c r="AE214" s="46" t="n"/>
      <c r="AF214" s="46" t="n"/>
      <c r="AG214" s="46" t="n"/>
      <c r="AH214" s="47" t="n"/>
      <c r="AI214" s="47" t="n"/>
      <c r="AJ214" s="47" t="n"/>
      <c r="AK214" s="47" t="n"/>
      <c r="AL214" s="47" t="n"/>
      <c r="AM214" s="47" t="n"/>
      <c r="AN214" s="47" t="n"/>
      <c r="AO214" s="47" t="n"/>
      <c r="AP214" s="47" t="n"/>
      <c r="AQ214" s="47" t="n"/>
      <c r="AR214" s="47" t="n"/>
      <c r="AS214" s="47" t="n"/>
      <c r="AT214" s="47" t="n"/>
      <c r="AU214" s="48" t="n"/>
      <c r="AV214" s="48" t="n"/>
      <c r="AW214" s="49">
        <f>IF($A214="","",IF($BW214&lt;&gt;"","FIX",IF($BX214&lt;&gt;"","CHECK","OK")))</f>
        <v/>
      </c>
      <c r="AX214" s="50">
        <f>IF($A214="","",IF($BW214&lt;&gt;"","FIX: "&amp;LEFT($BW214,LEN($BW214)-2)&amp;IF($BX214&lt;&gt;"","  ·  ",""),"")&amp;IF($BX214&lt;&gt;"","CHECK: "&amp;LEFT($BX214,LEN($BX214)-2),""))</f>
        <v/>
      </c>
      <c r="AY214" s="49">
        <f>IF(OR($A214="",$K214=""),"",$K214&amp;"'-"&amp;N($L214)&amp;CHAR(34)&amp;" x "&amp;$M214&amp;"'-"&amp;N($N214)&amp;CHAR(34))</f>
        <v/>
      </c>
      <c r="AZ214" s="49">
        <f>IF(OR($A214="",$K214=""),"",$K214&amp;N($L214)&amp;$M214&amp;N($N214))</f>
        <v/>
      </c>
      <c r="BA214" s="49">
        <f>IF(OR($A214="",$K214=""),"",$K214*12+N($L214))</f>
        <v/>
      </c>
      <c r="BB214" s="49">
        <f>IF(OR($A214="",$M214=""),"",$M214*12+N($N214))</f>
        <v/>
      </c>
      <c r="BC214" s="49">
        <f>IF($A214="","",IF(OR($C214="FRAME ONLY",$S214="BL"),0,IF($O214="Y",2,1)))</f>
        <v/>
      </c>
      <c r="BD214" s="51">
        <f>IF(OR(N($BC214)=0,$BA214=""),"",($BA214-2*EdgeClr-IF($BC214=2,MeetClr,0))/$BC214)</f>
        <v/>
      </c>
      <c r="BE214" s="51">
        <f>IF(OR(N($BC214)=0,$BB214=""),"",$BB214-HeadClr-Undercut)</f>
        <v/>
      </c>
      <c r="BF214" s="51">
        <f>IF($BA214="","",$BA214+2*FaceW+IF(N($Q214)&gt;0,($Q214+FaceW)*IF($R214="LR",2,1),0))</f>
        <v/>
      </c>
      <c r="BG214" s="51">
        <f>IF($BB214="","",$BB214+IF($AB214="Y",4,FaceW)+IF(N($P214)&gt;0,$P214+FaceW,0)+IF(OR($S214="4F",$S214="BL"),FaceW,0))</f>
        <v/>
      </c>
      <c r="BH214" s="51">
        <f>IF($BF214="","",$BF214+2*ROSide)</f>
        <v/>
      </c>
      <c r="BI214" s="51">
        <f>IF($BG214="","",$BG214+ROTop)</f>
        <v/>
      </c>
      <c r="BJ214" s="52">
        <f>IF(OR(N($BC214)=0,$BA214=""),"",$BA214/$BC214-ClearDeduct)</f>
        <v/>
      </c>
      <c r="BK214" s="49">
        <f>IF(OR(N($BC214)=0,$BE214=""),"",IF(OR($AC214="HGC",$AP214="HGC"),"CONT",IF($BE214&lt;=60,2,IF($BE214&lt;=90,3,IF($BE214&lt;=120,4,5)))))</f>
        <v/>
      </c>
      <c r="BL214" s="49">
        <f>IF(N($BC214)=0,"",IF(OR($AL214="",$AL214="FLUSH"),"FLUSH",IFERROR(LEFT($AL214,FIND("-",$AL214)-1),LEFT($AL214,2))))</f>
        <v/>
      </c>
      <c r="BM214" s="49">
        <f>IF($BL214="","",IFERROR(VALUE(MID($AL214,FIND("-",$AL214)+1,FIND(CHAR(34)&amp;"x",$AL214)-FIND("-",$AL214)-1)),0))</f>
        <v/>
      </c>
      <c r="BN214" s="49">
        <f>IF($BL214="","",IFERROR(VALUE(MID($AL214,FIND(CHAR(34)&amp;"x",$AL214)+2,FIND(CHAR(34),$AL214,FIND(CHAR(34)&amp;"x",$AL214)+2)-FIND(CHAR(34)&amp;"x",$AL214)-2)),0))</f>
        <v/>
      </c>
      <c r="BO214" s="53">
        <f>IF(OR($A214="",$H214="",$H214="NO LAB"),0,IFERROR(VALUE(LEFT($H214,FIND(" ",$H214)-1)),0))</f>
        <v/>
      </c>
      <c r="BP214" s="54">
        <f>IF(OR($A214="",$I214="",$I214="NON-RATED",N($J214)=0),"",IFERROR(VLOOKUP($I214&amp;"|"&amp;$J214,IBC,2,FALSE),"?"))</f>
        <v/>
      </c>
      <c r="BQ214" s="50">
        <f>IF(NOT(AND($A214&lt;&gt;"",$C214&lt;&gt;"DOOR ONLY")),"",TRIM(IFERROR(VLOOKUP($U214,CODES,2,FALSE),"")&amp;" "&amp;$AZ214&amp;" "&amp;IFERROR(VLOOKUP($Z214,CODES,2,FALSE),"")&amp;" "&amp;IFERROR(VLOOKUP($X214,CODES,2,FALSE),"")&amp;" "&amp;IFERROR(VLOOKUP($S214,CODES,2,FALSE),"")&amp;IF(N($P214)&gt;0," w/TRANSOM "&amp;$P214&amp;CHAR(34),"")&amp;IF(N($Q214)&gt;0," w/SIDELITE "&amp;$Q214&amp;CHAR(34)&amp;" "&amp;IF($R214="","R",$R214),"")&amp;IF($Y214="","  |  "," | "&amp;IFERROR(VLOOKUP($Y214,CODES,2,FALSE),"")&amp;" | ")&amp;IFERROR(VLOOKUP($AC214,CODES,2,FALSE),"")&amp;" "&amp;IFERROR(VLOOKUP($AD214,CODES,2,FALSE),"")&amp;IF(OR($AE214="",$AE214="-"),""," "&amp;$AE214)&amp;IF(OR($AF214="",$AF214="-"),""," "&amp;$AF214)&amp;IF($AB214="Y"," 4"&amp;CHAR(34)&amp;" HEAD","")&amp;" "&amp;IFERROR(VLOOKUP($H214,CODES,2,FALSE),"")))</f>
        <v/>
      </c>
      <c r="BR214" s="50">
        <f>IF(NOT(AND($A214&lt;&gt;"",N($BC214)&gt;0)),"",TRIM(IFERROR(VLOOKUP($AH214,CODES,2,FALSE),"")&amp;IF($AI214=""," "," "&amp;$AI214&amp;"GA ")&amp;$AZ214&amp;" "&amp;IF($AN214="",IFERROR(VLOOKUP($Z214,CODES,2,FALSE),""),IFERROR(VLOOKUP($AN214,CODES,2,FALSE),""))&amp;IF($BC214=2," PAIR","")&amp;" DOOR | "&amp;IF($AL214="","?",$AL214)&amp;" | "&amp;IF($AP214="",IFERROR(VLOOKUP($AC214,CODES,2,FALSE),""),IFERROR(VLOOKUP($AP214,CODES,2,FALSE),""))&amp;" "&amp;IFERROR(VLOOKUP($AQ214,CODES,2,FALSE),"")&amp;IF(OR($AR214="",$AR214="-"),""," SEAM "&amp;$AR214)&amp;IF($AS214="Y"," ASTRAGAL","")&amp;IF($AJ214=""," "," "&amp;$AJ214)&amp;IF($AK214=""," "," "&amp;$AK214)&amp;IF($AO214="",""," "&amp;$AO214)&amp;IF($AM214=""," "," SERIES "&amp;$AM214)&amp;" "&amp;IFERROR(VLOOKUP($H214,CODES,2,FALSE),"")))</f>
        <v/>
      </c>
      <c r="BS214" s="49">
        <f>IF(BV214="","",IF(COUNTIF($BV$6:BV214,BV214)=1,MAX($BS$5:BS213)+1,INDEX($BS$5:BS213,MATCH(BV214,$BV$5:BV213,0))))</f>
        <v/>
      </c>
      <c r="BT214" s="49">
        <f>IF(NOT(AND($A214&lt;&gt;"",$C214&lt;&gt;"DOOR ONLY")),"",MAX($BT$5:BT213)+1)</f>
        <v/>
      </c>
      <c r="BU214" s="49">
        <f>IF(NOT(AND($A214&lt;&gt;"",N($BC214)&gt;0)),"",MAX($BU$5:BU213)+1)</f>
        <v/>
      </c>
      <c r="BV214" s="49">
        <f>IF(OR($A214="",$BA214="",$BB214=""),"",$AZ214&amp;"|"&amp;$O214&amp;"|"&amp;$AL214&amp;"|"&amp;$S214&amp;"|"&amp;$P214&amp;"|"&amp;$Q214&amp;$R214&amp;"|"&amp;$C214&amp;"|"&amp;$AB214)</f>
        <v/>
      </c>
      <c r="BW214" s="49">
        <f>IF($A214="","",IF($B214="","qty, ","")&amp;IF($C214="","scope, ","")&amp;IF(OR($K214="",$M214=""),"size, ","")&amp;IF(AND($A214&lt;&gt;"",$C214&lt;&gt;"DOOR ONLY"),IF($U214="","jamb depth, ","")&amp;IF($X214="","construction, ","")&amp;IF($Y214="","anchor, ","")&amp;IF($S214="","frame type, ",""),"")&amp;IF(AND(N($BC214)&gt;0,$Z214=""),"hand, ","")&amp;IF(N($BC214)&gt;0,IF($AH214="","door material, ","")&amp;IF($AL214="","face type, ","")&amp;IF($AQ214="","lock prep, ","")&amp;IF(AND($AP214="",$AC214=""),"hinge prep, ",""),"")&amp;IF(AND($BO214&gt;0,$AH214="FRP"),"FRP cannot carry a label, ","")&amp;IF(AND($O214="Y",OR($Z214="L",$Z214="R",$Z214="LR",$Z214="RR")),"pair marked but hand is single, ","")&amp;IF(AND($O214&lt;&gt;"Y",OR($Z214="PR",AND(LEN($Z214)&gt;1,ISNUMBER(SEARCH("-",$Z214))))),"pair hand on a single door, ","")&amp;IF(AND(ISNUMBER($BP214),$BO214&lt;N($BP214)),"wall needs a "&amp;$BP214&amp;" min door, ","")&amp;IF(AND($BO214&gt;=180,AND(OR($BL214="FG",$BL214="HG",$BL214="FNV",$BL214="FV"),N($BM214)*N($BN214)&gt;100)),"180 min lite over 100 sq in, ","")&amp;IF(N($BD214)&gt;48,"leaf wider than 4'-0"&amp;CHAR(34)&amp;", ",""))</f>
        <v/>
      </c>
      <c r="BX214" s="49">
        <f>IF($A214="","",IF(AND($BO214&gt;0,AND($A214&lt;&gt;"",$C214&lt;&gt;"DOOR ONLY"),$X214="KD",$E214="EXTERIOR"),"KD label on an exterior opening, ","")&amp;IF(AND($E214="EXTERIOR",OR(AND(AND($A214&lt;&gt;"",$C214&lt;&gt;"DOOR ONLY"),$W214="CR"),AND(N($BC214)&gt;0,$AH214="CR"))),"exterior in CR steel (G9?), ","")&amp;IF(AND(ISNUMBER($BJ214),N($BJ214)&lt;32),"clear width ~"&amp;TEXT($BJ214,"0.0")&amp;CHAR(34)&amp;" under 32"&amp;CHAR(34)&amp;" (ADA), ","")&amp;IF(AND($BO214=90,AND(OR($BL214="FG",$BL214="HG",$BL214="FNV",$BL214="FV"),N($BM214)*N($BN214)&gt;100)),"90 min lite over 100 sq in (stair/exit), ","")&amp;IF(AND($BO214&gt;0,AND($A214&lt;&gt;"",$C214&lt;&gt;"DOOR ONLY"),OR($AF214="",$AF214="-")),"rated: closer reinf.?, ","")&amp;IF(OR($I214="CORRIDOR",$I214="SMOKE BARRIER"),"S label + smoke gasketing, ","")&amp;IF($BP214="?","wall type/hr not in IBC table, ","")&amp;IF(AND(N($BC214)&gt;0,$AU214=""),"no hardware set, ","")&amp;IF(AND($AU214&lt;&gt;"",ISNA(MATCH($AU214,HWSets,0))),"set "&amp;$AU214&amp;" not on Hardware sheet, ","")&amp;IF(N($BE214)&gt;96,"leaf over 8'-0"&amp;CHAR(34)&amp;" - check listing, ",""))</f>
        <v/>
      </c>
    </row>
    <row r="215" ht="15" customHeight="1">
      <c r="A215" s="44" t="n"/>
      <c r="B215" s="45" t="n"/>
      <c r="C215" s="45" t="n"/>
      <c r="D215" s="45" t="n"/>
      <c r="E215" s="45" t="n"/>
      <c r="F215" s="45" t="n"/>
      <c r="G215" s="45" t="n"/>
      <c r="H215" s="45" t="n"/>
      <c r="I215" s="45" t="n"/>
      <c r="J215" s="45" t="n"/>
      <c r="K215" s="45" t="n"/>
      <c r="L215" s="45" t="n"/>
      <c r="M215" s="45" t="n"/>
      <c r="N215" s="45" t="n"/>
      <c r="O215" s="45" t="n"/>
      <c r="P215" s="45" t="n"/>
      <c r="Q215" s="45" t="n"/>
      <c r="R215" s="45" t="n"/>
      <c r="S215" s="46" t="n"/>
      <c r="T215" s="46" t="n"/>
      <c r="U215" s="46" t="n"/>
      <c r="V215" s="46" t="n"/>
      <c r="W215" s="46" t="n"/>
      <c r="X215" s="46" t="n"/>
      <c r="Y215" s="46" t="n"/>
      <c r="Z215" s="46" t="n"/>
      <c r="AA215" s="46" t="n"/>
      <c r="AB215" s="46" t="n"/>
      <c r="AC215" s="46" t="n"/>
      <c r="AD215" s="46" t="n"/>
      <c r="AE215" s="46" t="n"/>
      <c r="AF215" s="46" t="n"/>
      <c r="AG215" s="46" t="n"/>
      <c r="AH215" s="47" t="n"/>
      <c r="AI215" s="47" t="n"/>
      <c r="AJ215" s="47" t="n"/>
      <c r="AK215" s="47" t="n"/>
      <c r="AL215" s="47" t="n"/>
      <c r="AM215" s="47" t="n"/>
      <c r="AN215" s="47" t="n"/>
      <c r="AO215" s="47" t="n"/>
      <c r="AP215" s="47" t="n"/>
      <c r="AQ215" s="47" t="n"/>
      <c r="AR215" s="47" t="n"/>
      <c r="AS215" s="47" t="n"/>
      <c r="AT215" s="47" t="n"/>
      <c r="AU215" s="48" t="n"/>
      <c r="AV215" s="48" t="n"/>
      <c r="AW215" s="49">
        <f>IF($A215="","",IF($BW215&lt;&gt;"","FIX",IF($BX215&lt;&gt;"","CHECK","OK")))</f>
        <v/>
      </c>
      <c r="AX215" s="50">
        <f>IF($A215="","",IF($BW215&lt;&gt;"","FIX: "&amp;LEFT($BW215,LEN($BW215)-2)&amp;IF($BX215&lt;&gt;"","  ·  ",""),"")&amp;IF($BX215&lt;&gt;"","CHECK: "&amp;LEFT($BX215,LEN($BX215)-2),""))</f>
        <v/>
      </c>
      <c r="AY215" s="49">
        <f>IF(OR($A215="",$K215=""),"",$K215&amp;"'-"&amp;N($L215)&amp;CHAR(34)&amp;" x "&amp;$M215&amp;"'-"&amp;N($N215)&amp;CHAR(34))</f>
        <v/>
      </c>
      <c r="AZ215" s="49">
        <f>IF(OR($A215="",$K215=""),"",$K215&amp;N($L215)&amp;$M215&amp;N($N215))</f>
        <v/>
      </c>
      <c r="BA215" s="49">
        <f>IF(OR($A215="",$K215=""),"",$K215*12+N($L215))</f>
        <v/>
      </c>
      <c r="BB215" s="49">
        <f>IF(OR($A215="",$M215=""),"",$M215*12+N($N215))</f>
        <v/>
      </c>
      <c r="BC215" s="49">
        <f>IF($A215="","",IF(OR($C215="FRAME ONLY",$S215="BL"),0,IF($O215="Y",2,1)))</f>
        <v/>
      </c>
      <c r="BD215" s="51">
        <f>IF(OR(N($BC215)=0,$BA215=""),"",($BA215-2*EdgeClr-IF($BC215=2,MeetClr,0))/$BC215)</f>
        <v/>
      </c>
      <c r="BE215" s="51">
        <f>IF(OR(N($BC215)=0,$BB215=""),"",$BB215-HeadClr-Undercut)</f>
        <v/>
      </c>
      <c r="BF215" s="51">
        <f>IF($BA215="","",$BA215+2*FaceW+IF(N($Q215)&gt;0,($Q215+FaceW)*IF($R215="LR",2,1),0))</f>
        <v/>
      </c>
      <c r="BG215" s="51">
        <f>IF($BB215="","",$BB215+IF($AB215="Y",4,FaceW)+IF(N($P215)&gt;0,$P215+FaceW,0)+IF(OR($S215="4F",$S215="BL"),FaceW,0))</f>
        <v/>
      </c>
      <c r="BH215" s="51">
        <f>IF($BF215="","",$BF215+2*ROSide)</f>
        <v/>
      </c>
      <c r="BI215" s="51">
        <f>IF($BG215="","",$BG215+ROTop)</f>
        <v/>
      </c>
      <c r="BJ215" s="52">
        <f>IF(OR(N($BC215)=0,$BA215=""),"",$BA215/$BC215-ClearDeduct)</f>
        <v/>
      </c>
      <c r="BK215" s="49">
        <f>IF(OR(N($BC215)=0,$BE215=""),"",IF(OR($AC215="HGC",$AP215="HGC"),"CONT",IF($BE215&lt;=60,2,IF($BE215&lt;=90,3,IF($BE215&lt;=120,4,5)))))</f>
        <v/>
      </c>
      <c r="BL215" s="49">
        <f>IF(N($BC215)=0,"",IF(OR($AL215="",$AL215="FLUSH"),"FLUSH",IFERROR(LEFT($AL215,FIND("-",$AL215)-1),LEFT($AL215,2))))</f>
        <v/>
      </c>
      <c r="BM215" s="49">
        <f>IF($BL215="","",IFERROR(VALUE(MID($AL215,FIND("-",$AL215)+1,FIND(CHAR(34)&amp;"x",$AL215)-FIND("-",$AL215)-1)),0))</f>
        <v/>
      </c>
      <c r="BN215" s="49">
        <f>IF($BL215="","",IFERROR(VALUE(MID($AL215,FIND(CHAR(34)&amp;"x",$AL215)+2,FIND(CHAR(34),$AL215,FIND(CHAR(34)&amp;"x",$AL215)+2)-FIND(CHAR(34)&amp;"x",$AL215)-2)),0))</f>
        <v/>
      </c>
      <c r="BO215" s="53">
        <f>IF(OR($A215="",$H215="",$H215="NO LAB"),0,IFERROR(VALUE(LEFT($H215,FIND(" ",$H215)-1)),0))</f>
        <v/>
      </c>
      <c r="BP215" s="54">
        <f>IF(OR($A215="",$I215="",$I215="NON-RATED",N($J215)=0),"",IFERROR(VLOOKUP($I215&amp;"|"&amp;$J215,IBC,2,FALSE),"?"))</f>
        <v/>
      </c>
      <c r="BQ215" s="50">
        <f>IF(NOT(AND($A215&lt;&gt;"",$C215&lt;&gt;"DOOR ONLY")),"",TRIM(IFERROR(VLOOKUP($U215,CODES,2,FALSE),"")&amp;" "&amp;$AZ215&amp;" "&amp;IFERROR(VLOOKUP($Z215,CODES,2,FALSE),"")&amp;" "&amp;IFERROR(VLOOKUP($X215,CODES,2,FALSE),"")&amp;" "&amp;IFERROR(VLOOKUP($S215,CODES,2,FALSE),"")&amp;IF(N($P215)&gt;0," w/TRANSOM "&amp;$P215&amp;CHAR(34),"")&amp;IF(N($Q215)&gt;0," w/SIDELITE "&amp;$Q215&amp;CHAR(34)&amp;" "&amp;IF($R215="","R",$R215),"")&amp;IF($Y215="","  |  "," | "&amp;IFERROR(VLOOKUP($Y215,CODES,2,FALSE),"")&amp;" | ")&amp;IFERROR(VLOOKUP($AC215,CODES,2,FALSE),"")&amp;" "&amp;IFERROR(VLOOKUP($AD215,CODES,2,FALSE),"")&amp;IF(OR($AE215="",$AE215="-"),""," "&amp;$AE215)&amp;IF(OR($AF215="",$AF215="-"),""," "&amp;$AF215)&amp;IF($AB215="Y"," 4"&amp;CHAR(34)&amp;" HEAD","")&amp;" "&amp;IFERROR(VLOOKUP($H215,CODES,2,FALSE),"")))</f>
        <v/>
      </c>
      <c r="BR215" s="50">
        <f>IF(NOT(AND($A215&lt;&gt;"",N($BC215)&gt;0)),"",TRIM(IFERROR(VLOOKUP($AH215,CODES,2,FALSE),"")&amp;IF($AI215=""," "," "&amp;$AI215&amp;"GA ")&amp;$AZ215&amp;" "&amp;IF($AN215="",IFERROR(VLOOKUP($Z215,CODES,2,FALSE),""),IFERROR(VLOOKUP($AN215,CODES,2,FALSE),""))&amp;IF($BC215=2," PAIR","")&amp;" DOOR | "&amp;IF($AL215="","?",$AL215)&amp;" | "&amp;IF($AP215="",IFERROR(VLOOKUP($AC215,CODES,2,FALSE),""),IFERROR(VLOOKUP($AP215,CODES,2,FALSE),""))&amp;" "&amp;IFERROR(VLOOKUP($AQ215,CODES,2,FALSE),"")&amp;IF(OR($AR215="",$AR215="-"),""," SEAM "&amp;$AR215)&amp;IF($AS215="Y"," ASTRAGAL","")&amp;IF($AJ215=""," "," "&amp;$AJ215)&amp;IF($AK215=""," "," "&amp;$AK215)&amp;IF($AO215="",""," "&amp;$AO215)&amp;IF($AM215=""," "," SERIES "&amp;$AM215)&amp;" "&amp;IFERROR(VLOOKUP($H215,CODES,2,FALSE),"")))</f>
        <v/>
      </c>
      <c r="BS215" s="49">
        <f>IF(BV215="","",IF(COUNTIF($BV$6:BV215,BV215)=1,MAX($BS$5:BS214)+1,INDEX($BS$5:BS214,MATCH(BV215,$BV$5:BV214,0))))</f>
        <v/>
      </c>
      <c r="BT215" s="49">
        <f>IF(NOT(AND($A215&lt;&gt;"",$C215&lt;&gt;"DOOR ONLY")),"",MAX($BT$5:BT214)+1)</f>
        <v/>
      </c>
      <c r="BU215" s="49">
        <f>IF(NOT(AND($A215&lt;&gt;"",N($BC215)&gt;0)),"",MAX($BU$5:BU214)+1)</f>
        <v/>
      </c>
      <c r="BV215" s="49">
        <f>IF(OR($A215="",$BA215="",$BB215=""),"",$AZ215&amp;"|"&amp;$O215&amp;"|"&amp;$AL215&amp;"|"&amp;$S215&amp;"|"&amp;$P215&amp;"|"&amp;$Q215&amp;$R215&amp;"|"&amp;$C215&amp;"|"&amp;$AB215)</f>
        <v/>
      </c>
      <c r="BW215" s="49">
        <f>IF($A215="","",IF($B215="","qty, ","")&amp;IF($C215="","scope, ","")&amp;IF(OR($K215="",$M215=""),"size, ","")&amp;IF(AND($A215&lt;&gt;"",$C215&lt;&gt;"DOOR ONLY"),IF($U215="","jamb depth, ","")&amp;IF($X215="","construction, ","")&amp;IF($Y215="","anchor, ","")&amp;IF($S215="","frame type, ",""),"")&amp;IF(AND(N($BC215)&gt;0,$Z215=""),"hand, ","")&amp;IF(N($BC215)&gt;0,IF($AH215="","door material, ","")&amp;IF($AL215="","face type, ","")&amp;IF($AQ215="","lock prep, ","")&amp;IF(AND($AP215="",$AC215=""),"hinge prep, ",""),"")&amp;IF(AND($BO215&gt;0,$AH215="FRP"),"FRP cannot carry a label, ","")&amp;IF(AND($O215="Y",OR($Z215="L",$Z215="R",$Z215="LR",$Z215="RR")),"pair marked but hand is single, ","")&amp;IF(AND($O215&lt;&gt;"Y",OR($Z215="PR",AND(LEN($Z215)&gt;1,ISNUMBER(SEARCH("-",$Z215))))),"pair hand on a single door, ","")&amp;IF(AND(ISNUMBER($BP215),$BO215&lt;N($BP215)),"wall needs a "&amp;$BP215&amp;" min door, ","")&amp;IF(AND($BO215&gt;=180,AND(OR($BL215="FG",$BL215="HG",$BL215="FNV",$BL215="FV"),N($BM215)*N($BN215)&gt;100)),"180 min lite over 100 sq in, ","")&amp;IF(N($BD215)&gt;48,"leaf wider than 4'-0"&amp;CHAR(34)&amp;", ",""))</f>
        <v/>
      </c>
      <c r="BX215" s="49">
        <f>IF($A215="","",IF(AND($BO215&gt;0,AND($A215&lt;&gt;"",$C215&lt;&gt;"DOOR ONLY"),$X215="KD",$E215="EXTERIOR"),"KD label on an exterior opening, ","")&amp;IF(AND($E215="EXTERIOR",OR(AND(AND($A215&lt;&gt;"",$C215&lt;&gt;"DOOR ONLY"),$W215="CR"),AND(N($BC215)&gt;0,$AH215="CR"))),"exterior in CR steel (G9?), ","")&amp;IF(AND(ISNUMBER($BJ215),N($BJ215)&lt;32),"clear width ~"&amp;TEXT($BJ215,"0.0")&amp;CHAR(34)&amp;" under 32"&amp;CHAR(34)&amp;" (ADA), ","")&amp;IF(AND($BO215=90,AND(OR($BL215="FG",$BL215="HG",$BL215="FNV",$BL215="FV"),N($BM215)*N($BN215)&gt;100)),"90 min lite over 100 sq in (stair/exit), ","")&amp;IF(AND($BO215&gt;0,AND($A215&lt;&gt;"",$C215&lt;&gt;"DOOR ONLY"),OR($AF215="",$AF215="-")),"rated: closer reinf.?, ","")&amp;IF(OR($I215="CORRIDOR",$I215="SMOKE BARRIER"),"S label + smoke gasketing, ","")&amp;IF($BP215="?","wall type/hr not in IBC table, ","")&amp;IF(AND(N($BC215)&gt;0,$AU215=""),"no hardware set, ","")&amp;IF(AND($AU215&lt;&gt;"",ISNA(MATCH($AU215,HWSets,0))),"set "&amp;$AU215&amp;" not on Hardware sheet, ","")&amp;IF(N($BE215)&gt;96,"leaf over 8'-0"&amp;CHAR(34)&amp;" - check listing, ",""))</f>
        <v/>
      </c>
    </row>
    <row r="216" ht="15" customHeight="1">
      <c r="A216" s="44" t="n"/>
      <c r="B216" s="45" t="n"/>
      <c r="C216" s="45" t="n"/>
      <c r="D216" s="45" t="n"/>
      <c r="E216" s="45" t="n"/>
      <c r="F216" s="45" t="n"/>
      <c r="G216" s="45" t="n"/>
      <c r="H216" s="45" t="n"/>
      <c r="I216" s="45" t="n"/>
      <c r="J216" s="45" t="n"/>
      <c r="K216" s="45" t="n"/>
      <c r="L216" s="45" t="n"/>
      <c r="M216" s="45" t="n"/>
      <c r="N216" s="45" t="n"/>
      <c r="O216" s="45" t="n"/>
      <c r="P216" s="45" t="n"/>
      <c r="Q216" s="45" t="n"/>
      <c r="R216" s="45" t="n"/>
      <c r="S216" s="46" t="n"/>
      <c r="T216" s="46" t="n"/>
      <c r="U216" s="46" t="n"/>
      <c r="V216" s="46" t="n"/>
      <c r="W216" s="46" t="n"/>
      <c r="X216" s="46" t="n"/>
      <c r="Y216" s="46" t="n"/>
      <c r="Z216" s="46" t="n"/>
      <c r="AA216" s="46" t="n"/>
      <c r="AB216" s="46" t="n"/>
      <c r="AC216" s="46" t="n"/>
      <c r="AD216" s="46" t="n"/>
      <c r="AE216" s="46" t="n"/>
      <c r="AF216" s="46" t="n"/>
      <c r="AG216" s="46" t="n"/>
      <c r="AH216" s="47" t="n"/>
      <c r="AI216" s="47" t="n"/>
      <c r="AJ216" s="47" t="n"/>
      <c r="AK216" s="47" t="n"/>
      <c r="AL216" s="47" t="n"/>
      <c r="AM216" s="47" t="n"/>
      <c r="AN216" s="47" t="n"/>
      <c r="AO216" s="47" t="n"/>
      <c r="AP216" s="47" t="n"/>
      <c r="AQ216" s="47" t="n"/>
      <c r="AR216" s="47" t="n"/>
      <c r="AS216" s="47" t="n"/>
      <c r="AT216" s="47" t="n"/>
      <c r="AU216" s="48" t="n"/>
      <c r="AV216" s="48" t="n"/>
      <c r="AW216" s="49">
        <f>IF($A216="","",IF($BW216&lt;&gt;"","FIX",IF($BX216&lt;&gt;"","CHECK","OK")))</f>
        <v/>
      </c>
      <c r="AX216" s="50">
        <f>IF($A216="","",IF($BW216&lt;&gt;"","FIX: "&amp;LEFT($BW216,LEN($BW216)-2)&amp;IF($BX216&lt;&gt;"","  ·  ",""),"")&amp;IF($BX216&lt;&gt;"","CHECK: "&amp;LEFT($BX216,LEN($BX216)-2),""))</f>
        <v/>
      </c>
      <c r="AY216" s="49">
        <f>IF(OR($A216="",$K216=""),"",$K216&amp;"'-"&amp;N($L216)&amp;CHAR(34)&amp;" x "&amp;$M216&amp;"'-"&amp;N($N216)&amp;CHAR(34))</f>
        <v/>
      </c>
      <c r="AZ216" s="49">
        <f>IF(OR($A216="",$K216=""),"",$K216&amp;N($L216)&amp;$M216&amp;N($N216))</f>
        <v/>
      </c>
      <c r="BA216" s="49">
        <f>IF(OR($A216="",$K216=""),"",$K216*12+N($L216))</f>
        <v/>
      </c>
      <c r="BB216" s="49">
        <f>IF(OR($A216="",$M216=""),"",$M216*12+N($N216))</f>
        <v/>
      </c>
      <c r="BC216" s="49">
        <f>IF($A216="","",IF(OR($C216="FRAME ONLY",$S216="BL"),0,IF($O216="Y",2,1)))</f>
        <v/>
      </c>
      <c r="BD216" s="51">
        <f>IF(OR(N($BC216)=0,$BA216=""),"",($BA216-2*EdgeClr-IF($BC216=2,MeetClr,0))/$BC216)</f>
        <v/>
      </c>
      <c r="BE216" s="51">
        <f>IF(OR(N($BC216)=0,$BB216=""),"",$BB216-HeadClr-Undercut)</f>
        <v/>
      </c>
      <c r="BF216" s="51">
        <f>IF($BA216="","",$BA216+2*FaceW+IF(N($Q216)&gt;0,($Q216+FaceW)*IF($R216="LR",2,1),0))</f>
        <v/>
      </c>
      <c r="BG216" s="51">
        <f>IF($BB216="","",$BB216+IF($AB216="Y",4,FaceW)+IF(N($P216)&gt;0,$P216+FaceW,0)+IF(OR($S216="4F",$S216="BL"),FaceW,0))</f>
        <v/>
      </c>
      <c r="BH216" s="51">
        <f>IF($BF216="","",$BF216+2*ROSide)</f>
        <v/>
      </c>
      <c r="BI216" s="51">
        <f>IF($BG216="","",$BG216+ROTop)</f>
        <v/>
      </c>
      <c r="BJ216" s="52">
        <f>IF(OR(N($BC216)=0,$BA216=""),"",$BA216/$BC216-ClearDeduct)</f>
        <v/>
      </c>
      <c r="BK216" s="49">
        <f>IF(OR(N($BC216)=0,$BE216=""),"",IF(OR($AC216="HGC",$AP216="HGC"),"CONT",IF($BE216&lt;=60,2,IF($BE216&lt;=90,3,IF($BE216&lt;=120,4,5)))))</f>
        <v/>
      </c>
      <c r="BL216" s="49">
        <f>IF(N($BC216)=0,"",IF(OR($AL216="",$AL216="FLUSH"),"FLUSH",IFERROR(LEFT($AL216,FIND("-",$AL216)-1),LEFT($AL216,2))))</f>
        <v/>
      </c>
      <c r="BM216" s="49">
        <f>IF($BL216="","",IFERROR(VALUE(MID($AL216,FIND("-",$AL216)+1,FIND(CHAR(34)&amp;"x",$AL216)-FIND("-",$AL216)-1)),0))</f>
        <v/>
      </c>
      <c r="BN216" s="49">
        <f>IF($BL216="","",IFERROR(VALUE(MID($AL216,FIND(CHAR(34)&amp;"x",$AL216)+2,FIND(CHAR(34),$AL216,FIND(CHAR(34)&amp;"x",$AL216)+2)-FIND(CHAR(34)&amp;"x",$AL216)-2)),0))</f>
        <v/>
      </c>
      <c r="BO216" s="53">
        <f>IF(OR($A216="",$H216="",$H216="NO LAB"),0,IFERROR(VALUE(LEFT($H216,FIND(" ",$H216)-1)),0))</f>
        <v/>
      </c>
      <c r="BP216" s="54">
        <f>IF(OR($A216="",$I216="",$I216="NON-RATED",N($J216)=0),"",IFERROR(VLOOKUP($I216&amp;"|"&amp;$J216,IBC,2,FALSE),"?"))</f>
        <v/>
      </c>
      <c r="BQ216" s="50">
        <f>IF(NOT(AND($A216&lt;&gt;"",$C216&lt;&gt;"DOOR ONLY")),"",TRIM(IFERROR(VLOOKUP($U216,CODES,2,FALSE),"")&amp;" "&amp;$AZ216&amp;" "&amp;IFERROR(VLOOKUP($Z216,CODES,2,FALSE),"")&amp;" "&amp;IFERROR(VLOOKUP($X216,CODES,2,FALSE),"")&amp;" "&amp;IFERROR(VLOOKUP($S216,CODES,2,FALSE),"")&amp;IF(N($P216)&gt;0," w/TRANSOM "&amp;$P216&amp;CHAR(34),"")&amp;IF(N($Q216)&gt;0," w/SIDELITE "&amp;$Q216&amp;CHAR(34)&amp;" "&amp;IF($R216="","R",$R216),"")&amp;IF($Y216="","  |  "," | "&amp;IFERROR(VLOOKUP($Y216,CODES,2,FALSE),"")&amp;" | ")&amp;IFERROR(VLOOKUP($AC216,CODES,2,FALSE),"")&amp;" "&amp;IFERROR(VLOOKUP($AD216,CODES,2,FALSE),"")&amp;IF(OR($AE216="",$AE216="-"),""," "&amp;$AE216)&amp;IF(OR($AF216="",$AF216="-"),""," "&amp;$AF216)&amp;IF($AB216="Y"," 4"&amp;CHAR(34)&amp;" HEAD","")&amp;" "&amp;IFERROR(VLOOKUP($H216,CODES,2,FALSE),"")))</f>
        <v/>
      </c>
      <c r="BR216" s="50">
        <f>IF(NOT(AND($A216&lt;&gt;"",N($BC216)&gt;0)),"",TRIM(IFERROR(VLOOKUP($AH216,CODES,2,FALSE),"")&amp;IF($AI216=""," "," "&amp;$AI216&amp;"GA ")&amp;$AZ216&amp;" "&amp;IF($AN216="",IFERROR(VLOOKUP($Z216,CODES,2,FALSE),""),IFERROR(VLOOKUP($AN216,CODES,2,FALSE),""))&amp;IF($BC216=2," PAIR","")&amp;" DOOR | "&amp;IF($AL216="","?",$AL216)&amp;" | "&amp;IF($AP216="",IFERROR(VLOOKUP($AC216,CODES,2,FALSE),""),IFERROR(VLOOKUP($AP216,CODES,2,FALSE),""))&amp;" "&amp;IFERROR(VLOOKUP($AQ216,CODES,2,FALSE),"")&amp;IF(OR($AR216="",$AR216="-"),""," SEAM "&amp;$AR216)&amp;IF($AS216="Y"," ASTRAGAL","")&amp;IF($AJ216=""," "," "&amp;$AJ216)&amp;IF($AK216=""," "," "&amp;$AK216)&amp;IF($AO216="",""," "&amp;$AO216)&amp;IF($AM216=""," "," SERIES "&amp;$AM216)&amp;" "&amp;IFERROR(VLOOKUP($H216,CODES,2,FALSE),"")))</f>
        <v/>
      </c>
      <c r="BS216" s="49">
        <f>IF(BV216="","",IF(COUNTIF($BV$6:BV216,BV216)=1,MAX($BS$5:BS215)+1,INDEX($BS$5:BS215,MATCH(BV216,$BV$5:BV215,0))))</f>
        <v/>
      </c>
      <c r="BT216" s="49">
        <f>IF(NOT(AND($A216&lt;&gt;"",$C216&lt;&gt;"DOOR ONLY")),"",MAX($BT$5:BT215)+1)</f>
        <v/>
      </c>
      <c r="BU216" s="49">
        <f>IF(NOT(AND($A216&lt;&gt;"",N($BC216)&gt;0)),"",MAX($BU$5:BU215)+1)</f>
        <v/>
      </c>
      <c r="BV216" s="49">
        <f>IF(OR($A216="",$BA216="",$BB216=""),"",$AZ216&amp;"|"&amp;$O216&amp;"|"&amp;$AL216&amp;"|"&amp;$S216&amp;"|"&amp;$P216&amp;"|"&amp;$Q216&amp;$R216&amp;"|"&amp;$C216&amp;"|"&amp;$AB216)</f>
        <v/>
      </c>
      <c r="BW216" s="49">
        <f>IF($A216="","",IF($B216="","qty, ","")&amp;IF($C216="","scope, ","")&amp;IF(OR($K216="",$M216=""),"size, ","")&amp;IF(AND($A216&lt;&gt;"",$C216&lt;&gt;"DOOR ONLY"),IF($U216="","jamb depth, ","")&amp;IF($X216="","construction, ","")&amp;IF($Y216="","anchor, ","")&amp;IF($S216="","frame type, ",""),"")&amp;IF(AND(N($BC216)&gt;0,$Z216=""),"hand, ","")&amp;IF(N($BC216)&gt;0,IF($AH216="","door material, ","")&amp;IF($AL216="","face type, ","")&amp;IF($AQ216="","lock prep, ","")&amp;IF(AND($AP216="",$AC216=""),"hinge prep, ",""),"")&amp;IF(AND($BO216&gt;0,$AH216="FRP"),"FRP cannot carry a label, ","")&amp;IF(AND($O216="Y",OR($Z216="L",$Z216="R",$Z216="LR",$Z216="RR")),"pair marked but hand is single, ","")&amp;IF(AND($O216&lt;&gt;"Y",OR($Z216="PR",AND(LEN($Z216)&gt;1,ISNUMBER(SEARCH("-",$Z216))))),"pair hand on a single door, ","")&amp;IF(AND(ISNUMBER($BP216),$BO216&lt;N($BP216)),"wall needs a "&amp;$BP216&amp;" min door, ","")&amp;IF(AND($BO216&gt;=180,AND(OR($BL216="FG",$BL216="HG",$BL216="FNV",$BL216="FV"),N($BM216)*N($BN216)&gt;100)),"180 min lite over 100 sq in, ","")&amp;IF(N($BD216)&gt;48,"leaf wider than 4'-0"&amp;CHAR(34)&amp;", ",""))</f>
        <v/>
      </c>
      <c r="BX216" s="49">
        <f>IF($A216="","",IF(AND($BO216&gt;0,AND($A216&lt;&gt;"",$C216&lt;&gt;"DOOR ONLY"),$X216="KD",$E216="EXTERIOR"),"KD label on an exterior opening, ","")&amp;IF(AND($E216="EXTERIOR",OR(AND(AND($A216&lt;&gt;"",$C216&lt;&gt;"DOOR ONLY"),$W216="CR"),AND(N($BC216)&gt;0,$AH216="CR"))),"exterior in CR steel (G9?), ","")&amp;IF(AND(ISNUMBER($BJ216),N($BJ216)&lt;32),"clear width ~"&amp;TEXT($BJ216,"0.0")&amp;CHAR(34)&amp;" under 32"&amp;CHAR(34)&amp;" (ADA), ","")&amp;IF(AND($BO216=90,AND(OR($BL216="FG",$BL216="HG",$BL216="FNV",$BL216="FV"),N($BM216)*N($BN216)&gt;100)),"90 min lite over 100 sq in (stair/exit), ","")&amp;IF(AND($BO216&gt;0,AND($A216&lt;&gt;"",$C216&lt;&gt;"DOOR ONLY"),OR($AF216="",$AF216="-")),"rated: closer reinf.?, ","")&amp;IF(OR($I216="CORRIDOR",$I216="SMOKE BARRIER"),"S label + smoke gasketing, ","")&amp;IF($BP216="?","wall type/hr not in IBC table, ","")&amp;IF(AND(N($BC216)&gt;0,$AU216=""),"no hardware set, ","")&amp;IF(AND($AU216&lt;&gt;"",ISNA(MATCH($AU216,HWSets,0))),"set "&amp;$AU216&amp;" not on Hardware sheet, ","")&amp;IF(N($BE216)&gt;96,"leaf over 8'-0"&amp;CHAR(34)&amp;" - check listing, ",""))</f>
        <v/>
      </c>
    </row>
    <row r="217" ht="15" customHeight="1">
      <c r="A217" s="44" t="n"/>
      <c r="B217" s="45" t="n"/>
      <c r="C217" s="45" t="n"/>
      <c r="D217" s="45" t="n"/>
      <c r="E217" s="45" t="n"/>
      <c r="F217" s="45" t="n"/>
      <c r="G217" s="45" t="n"/>
      <c r="H217" s="45" t="n"/>
      <c r="I217" s="45" t="n"/>
      <c r="J217" s="45" t="n"/>
      <c r="K217" s="45" t="n"/>
      <c r="L217" s="45" t="n"/>
      <c r="M217" s="45" t="n"/>
      <c r="N217" s="45" t="n"/>
      <c r="O217" s="45" t="n"/>
      <c r="P217" s="45" t="n"/>
      <c r="Q217" s="45" t="n"/>
      <c r="R217" s="45" t="n"/>
      <c r="S217" s="46" t="n"/>
      <c r="T217" s="46" t="n"/>
      <c r="U217" s="46" t="n"/>
      <c r="V217" s="46" t="n"/>
      <c r="W217" s="46" t="n"/>
      <c r="X217" s="46" t="n"/>
      <c r="Y217" s="46" t="n"/>
      <c r="Z217" s="46" t="n"/>
      <c r="AA217" s="46" t="n"/>
      <c r="AB217" s="46" t="n"/>
      <c r="AC217" s="46" t="n"/>
      <c r="AD217" s="46" t="n"/>
      <c r="AE217" s="46" t="n"/>
      <c r="AF217" s="46" t="n"/>
      <c r="AG217" s="46" t="n"/>
      <c r="AH217" s="47" t="n"/>
      <c r="AI217" s="47" t="n"/>
      <c r="AJ217" s="47" t="n"/>
      <c r="AK217" s="47" t="n"/>
      <c r="AL217" s="47" t="n"/>
      <c r="AM217" s="47" t="n"/>
      <c r="AN217" s="47" t="n"/>
      <c r="AO217" s="47" t="n"/>
      <c r="AP217" s="47" t="n"/>
      <c r="AQ217" s="47" t="n"/>
      <c r="AR217" s="47" t="n"/>
      <c r="AS217" s="47" t="n"/>
      <c r="AT217" s="47" t="n"/>
      <c r="AU217" s="48" t="n"/>
      <c r="AV217" s="48" t="n"/>
      <c r="AW217" s="49">
        <f>IF($A217="","",IF($BW217&lt;&gt;"","FIX",IF($BX217&lt;&gt;"","CHECK","OK")))</f>
        <v/>
      </c>
      <c r="AX217" s="50">
        <f>IF($A217="","",IF($BW217&lt;&gt;"","FIX: "&amp;LEFT($BW217,LEN($BW217)-2)&amp;IF($BX217&lt;&gt;"","  ·  ",""),"")&amp;IF($BX217&lt;&gt;"","CHECK: "&amp;LEFT($BX217,LEN($BX217)-2),""))</f>
        <v/>
      </c>
      <c r="AY217" s="49">
        <f>IF(OR($A217="",$K217=""),"",$K217&amp;"'-"&amp;N($L217)&amp;CHAR(34)&amp;" x "&amp;$M217&amp;"'-"&amp;N($N217)&amp;CHAR(34))</f>
        <v/>
      </c>
      <c r="AZ217" s="49">
        <f>IF(OR($A217="",$K217=""),"",$K217&amp;N($L217)&amp;$M217&amp;N($N217))</f>
        <v/>
      </c>
      <c r="BA217" s="49">
        <f>IF(OR($A217="",$K217=""),"",$K217*12+N($L217))</f>
        <v/>
      </c>
      <c r="BB217" s="49">
        <f>IF(OR($A217="",$M217=""),"",$M217*12+N($N217))</f>
        <v/>
      </c>
      <c r="BC217" s="49">
        <f>IF($A217="","",IF(OR($C217="FRAME ONLY",$S217="BL"),0,IF($O217="Y",2,1)))</f>
        <v/>
      </c>
      <c r="BD217" s="51">
        <f>IF(OR(N($BC217)=0,$BA217=""),"",($BA217-2*EdgeClr-IF($BC217=2,MeetClr,0))/$BC217)</f>
        <v/>
      </c>
      <c r="BE217" s="51">
        <f>IF(OR(N($BC217)=0,$BB217=""),"",$BB217-HeadClr-Undercut)</f>
        <v/>
      </c>
      <c r="BF217" s="51">
        <f>IF($BA217="","",$BA217+2*FaceW+IF(N($Q217)&gt;0,($Q217+FaceW)*IF($R217="LR",2,1),0))</f>
        <v/>
      </c>
      <c r="BG217" s="51">
        <f>IF($BB217="","",$BB217+IF($AB217="Y",4,FaceW)+IF(N($P217)&gt;0,$P217+FaceW,0)+IF(OR($S217="4F",$S217="BL"),FaceW,0))</f>
        <v/>
      </c>
      <c r="BH217" s="51">
        <f>IF($BF217="","",$BF217+2*ROSide)</f>
        <v/>
      </c>
      <c r="BI217" s="51">
        <f>IF($BG217="","",$BG217+ROTop)</f>
        <v/>
      </c>
      <c r="BJ217" s="52">
        <f>IF(OR(N($BC217)=0,$BA217=""),"",$BA217/$BC217-ClearDeduct)</f>
        <v/>
      </c>
      <c r="BK217" s="49">
        <f>IF(OR(N($BC217)=0,$BE217=""),"",IF(OR($AC217="HGC",$AP217="HGC"),"CONT",IF($BE217&lt;=60,2,IF($BE217&lt;=90,3,IF($BE217&lt;=120,4,5)))))</f>
        <v/>
      </c>
      <c r="BL217" s="49">
        <f>IF(N($BC217)=0,"",IF(OR($AL217="",$AL217="FLUSH"),"FLUSH",IFERROR(LEFT($AL217,FIND("-",$AL217)-1),LEFT($AL217,2))))</f>
        <v/>
      </c>
      <c r="BM217" s="49">
        <f>IF($BL217="","",IFERROR(VALUE(MID($AL217,FIND("-",$AL217)+1,FIND(CHAR(34)&amp;"x",$AL217)-FIND("-",$AL217)-1)),0))</f>
        <v/>
      </c>
      <c r="BN217" s="49">
        <f>IF($BL217="","",IFERROR(VALUE(MID($AL217,FIND(CHAR(34)&amp;"x",$AL217)+2,FIND(CHAR(34),$AL217,FIND(CHAR(34)&amp;"x",$AL217)+2)-FIND(CHAR(34)&amp;"x",$AL217)-2)),0))</f>
        <v/>
      </c>
      <c r="BO217" s="53">
        <f>IF(OR($A217="",$H217="",$H217="NO LAB"),0,IFERROR(VALUE(LEFT($H217,FIND(" ",$H217)-1)),0))</f>
        <v/>
      </c>
      <c r="BP217" s="54">
        <f>IF(OR($A217="",$I217="",$I217="NON-RATED",N($J217)=0),"",IFERROR(VLOOKUP($I217&amp;"|"&amp;$J217,IBC,2,FALSE),"?"))</f>
        <v/>
      </c>
      <c r="BQ217" s="50">
        <f>IF(NOT(AND($A217&lt;&gt;"",$C217&lt;&gt;"DOOR ONLY")),"",TRIM(IFERROR(VLOOKUP($U217,CODES,2,FALSE),"")&amp;" "&amp;$AZ217&amp;" "&amp;IFERROR(VLOOKUP($Z217,CODES,2,FALSE),"")&amp;" "&amp;IFERROR(VLOOKUP($X217,CODES,2,FALSE),"")&amp;" "&amp;IFERROR(VLOOKUP($S217,CODES,2,FALSE),"")&amp;IF(N($P217)&gt;0," w/TRANSOM "&amp;$P217&amp;CHAR(34),"")&amp;IF(N($Q217)&gt;0," w/SIDELITE "&amp;$Q217&amp;CHAR(34)&amp;" "&amp;IF($R217="","R",$R217),"")&amp;IF($Y217="","  |  "," | "&amp;IFERROR(VLOOKUP($Y217,CODES,2,FALSE),"")&amp;" | ")&amp;IFERROR(VLOOKUP($AC217,CODES,2,FALSE),"")&amp;" "&amp;IFERROR(VLOOKUP($AD217,CODES,2,FALSE),"")&amp;IF(OR($AE217="",$AE217="-"),""," "&amp;$AE217)&amp;IF(OR($AF217="",$AF217="-"),""," "&amp;$AF217)&amp;IF($AB217="Y"," 4"&amp;CHAR(34)&amp;" HEAD","")&amp;" "&amp;IFERROR(VLOOKUP($H217,CODES,2,FALSE),"")))</f>
        <v/>
      </c>
      <c r="BR217" s="50">
        <f>IF(NOT(AND($A217&lt;&gt;"",N($BC217)&gt;0)),"",TRIM(IFERROR(VLOOKUP($AH217,CODES,2,FALSE),"")&amp;IF($AI217=""," "," "&amp;$AI217&amp;"GA ")&amp;$AZ217&amp;" "&amp;IF($AN217="",IFERROR(VLOOKUP($Z217,CODES,2,FALSE),""),IFERROR(VLOOKUP($AN217,CODES,2,FALSE),""))&amp;IF($BC217=2," PAIR","")&amp;" DOOR | "&amp;IF($AL217="","?",$AL217)&amp;" | "&amp;IF($AP217="",IFERROR(VLOOKUP($AC217,CODES,2,FALSE),""),IFERROR(VLOOKUP($AP217,CODES,2,FALSE),""))&amp;" "&amp;IFERROR(VLOOKUP($AQ217,CODES,2,FALSE),"")&amp;IF(OR($AR217="",$AR217="-"),""," SEAM "&amp;$AR217)&amp;IF($AS217="Y"," ASTRAGAL","")&amp;IF($AJ217=""," "," "&amp;$AJ217)&amp;IF($AK217=""," "," "&amp;$AK217)&amp;IF($AO217="",""," "&amp;$AO217)&amp;IF($AM217=""," "," SERIES "&amp;$AM217)&amp;" "&amp;IFERROR(VLOOKUP($H217,CODES,2,FALSE),"")))</f>
        <v/>
      </c>
      <c r="BS217" s="49">
        <f>IF(BV217="","",IF(COUNTIF($BV$6:BV217,BV217)=1,MAX($BS$5:BS216)+1,INDEX($BS$5:BS216,MATCH(BV217,$BV$5:BV216,0))))</f>
        <v/>
      </c>
      <c r="BT217" s="49">
        <f>IF(NOT(AND($A217&lt;&gt;"",$C217&lt;&gt;"DOOR ONLY")),"",MAX($BT$5:BT216)+1)</f>
        <v/>
      </c>
      <c r="BU217" s="49">
        <f>IF(NOT(AND($A217&lt;&gt;"",N($BC217)&gt;0)),"",MAX($BU$5:BU216)+1)</f>
        <v/>
      </c>
      <c r="BV217" s="49">
        <f>IF(OR($A217="",$BA217="",$BB217=""),"",$AZ217&amp;"|"&amp;$O217&amp;"|"&amp;$AL217&amp;"|"&amp;$S217&amp;"|"&amp;$P217&amp;"|"&amp;$Q217&amp;$R217&amp;"|"&amp;$C217&amp;"|"&amp;$AB217)</f>
        <v/>
      </c>
      <c r="BW217" s="49">
        <f>IF($A217="","",IF($B217="","qty, ","")&amp;IF($C217="","scope, ","")&amp;IF(OR($K217="",$M217=""),"size, ","")&amp;IF(AND($A217&lt;&gt;"",$C217&lt;&gt;"DOOR ONLY"),IF($U217="","jamb depth, ","")&amp;IF($X217="","construction, ","")&amp;IF($Y217="","anchor, ","")&amp;IF($S217="","frame type, ",""),"")&amp;IF(AND(N($BC217)&gt;0,$Z217=""),"hand, ","")&amp;IF(N($BC217)&gt;0,IF($AH217="","door material, ","")&amp;IF($AL217="","face type, ","")&amp;IF($AQ217="","lock prep, ","")&amp;IF(AND($AP217="",$AC217=""),"hinge prep, ",""),"")&amp;IF(AND($BO217&gt;0,$AH217="FRP"),"FRP cannot carry a label, ","")&amp;IF(AND($O217="Y",OR($Z217="L",$Z217="R",$Z217="LR",$Z217="RR")),"pair marked but hand is single, ","")&amp;IF(AND($O217&lt;&gt;"Y",OR($Z217="PR",AND(LEN($Z217)&gt;1,ISNUMBER(SEARCH("-",$Z217))))),"pair hand on a single door, ","")&amp;IF(AND(ISNUMBER($BP217),$BO217&lt;N($BP217)),"wall needs a "&amp;$BP217&amp;" min door, ","")&amp;IF(AND($BO217&gt;=180,AND(OR($BL217="FG",$BL217="HG",$BL217="FNV",$BL217="FV"),N($BM217)*N($BN217)&gt;100)),"180 min lite over 100 sq in, ","")&amp;IF(N($BD217)&gt;48,"leaf wider than 4'-0"&amp;CHAR(34)&amp;", ",""))</f>
        <v/>
      </c>
      <c r="BX217" s="49">
        <f>IF($A217="","",IF(AND($BO217&gt;0,AND($A217&lt;&gt;"",$C217&lt;&gt;"DOOR ONLY"),$X217="KD",$E217="EXTERIOR"),"KD label on an exterior opening, ","")&amp;IF(AND($E217="EXTERIOR",OR(AND(AND($A217&lt;&gt;"",$C217&lt;&gt;"DOOR ONLY"),$W217="CR"),AND(N($BC217)&gt;0,$AH217="CR"))),"exterior in CR steel (G9?), ","")&amp;IF(AND(ISNUMBER($BJ217),N($BJ217)&lt;32),"clear width ~"&amp;TEXT($BJ217,"0.0")&amp;CHAR(34)&amp;" under 32"&amp;CHAR(34)&amp;" (ADA), ","")&amp;IF(AND($BO217=90,AND(OR($BL217="FG",$BL217="HG",$BL217="FNV",$BL217="FV"),N($BM217)*N($BN217)&gt;100)),"90 min lite over 100 sq in (stair/exit), ","")&amp;IF(AND($BO217&gt;0,AND($A217&lt;&gt;"",$C217&lt;&gt;"DOOR ONLY"),OR($AF217="",$AF217="-")),"rated: closer reinf.?, ","")&amp;IF(OR($I217="CORRIDOR",$I217="SMOKE BARRIER"),"S label + smoke gasketing, ","")&amp;IF($BP217="?","wall type/hr not in IBC table, ","")&amp;IF(AND(N($BC217)&gt;0,$AU217=""),"no hardware set, ","")&amp;IF(AND($AU217&lt;&gt;"",ISNA(MATCH($AU217,HWSets,0))),"set "&amp;$AU217&amp;" not on Hardware sheet, ","")&amp;IF(N($BE217)&gt;96,"leaf over 8'-0"&amp;CHAR(34)&amp;" - check listing, ",""))</f>
        <v/>
      </c>
    </row>
    <row r="218" ht="15" customHeight="1">
      <c r="A218" s="44" t="n"/>
      <c r="B218" s="45" t="n"/>
      <c r="C218" s="45" t="n"/>
      <c r="D218" s="45" t="n"/>
      <c r="E218" s="45" t="n"/>
      <c r="F218" s="45" t="n"/>
      <c r="G218" s="45" t="n"/>
      <c r="H218" s="45" t="n"/>
      <c r="I218" s="45" t="n"/>
      <c r="J218" s="45" t="n"/>
      <c r="K218" s="45" t="n"/>
      <c r="L218" s="45" t="n"/>
      <c r="M218" s="45" t="n"/>
      <c r="N218" s="45" t="n"/>
      <c r="O218" s="45" t="n"/>
      <c r="P218" s="45" t="n"/>
      <c r="Q218" s="45" t="n"/>
      <c r="R218" s="45" t="n"/>
      <c r="S218" s="46" t="n"/>
      <c r="T218" s="46" t="n"/>
      <c r="U218" s="46" t="n"/>
      <c r="V218" s="46" t="n"/>
      <c r="W218" s="46" t="n"/>
      <c r="X218" s="46" t="n"/>
      <c r="Y218" s="46" t="n"/>
      <c r="Z218" s="46" t="n"/>
      <c r="AA218" s="46" t="n"/>
      <c r="AB218" s="46" t="n"/>
      <c r="AC218" s="46" t="n"/>
      <c r="AD218" s="46" t="n"/>
      <c r="AE218" s="46" t="n"/>
      <c r="AF218" s="46" t="n"/>
      <c r="AG218" s="46" t="n"/>
      <c r="AH218" s="47" t="n"/>
      <c r="AI218" s="47" t="n"/>
      <c r="AJ218" s="47" t="n"/>
      <c r="AK218" s="47" t="n"/>
      <c r="AL218" s="47" t="n"/>
      <c r="AM218" s="47" t="n"/>
      <c r="AN218" s="47" t="n"/>
      <c r="AO218" s="47" t="n"/>
      <c r="AP218" s="47" t="n"/>
      <c r="AQ218" s="47" t="n"/>
      <c r="AR218" s="47" t="n"/>
      <c r="AS218" s="47" t="n"/>
      <c r="AT218" s="47" t="n"/>
      <c r="AU218" s="48" t="n"/>
      <c r="AV218" s="48" t="n"/>
      <c r="AW218" s="49">
        <f>IF($A218="","",IF($BW218&lt;&gt;"","FIX",IF($BX218&lt;&gt;"","CHECK","OK")))</f>
        <v/>
      </c>
      <c r="AX218" s="50">
        <f>IF($A218="","",IF($BW218&lt;&gt;"","FIX: "&amp;LEFT($BW218,LEN($BW218)-2)&amp;IF($BX218&lt;&gt;"","  ·  ",""),"")&amp;IF($BX218&lt;&gt;"","CHECK: "&amp;LEFT($BX218,LEN($BX218)-2),""))</f>
        <v/>
      </c>
      <c r="AY218" s="49">
        <f>IF(OR($A218="",$K218=""),"",$K218&amp;"'-"&amp;N($L218)&amp;CHAR(34)&amp;" x "&amp;$M218&amp;"'-"&amp;N($N218)&amp;CHAR(34))</f>
        <v/>
      </c>
      <c r="AZ218" s="49">
        <f>IF(OR($A218="",$K218=""),"",$K218&amp;N($L218)&amp;$M218&amp;N($N218))</f>
        <v/>
      </c>
      <c r="BA218" s="49">
        <f>IF(OR($A218="",$K218=""),"",$K218*12+N($L218))</f>
        <v/>
      </c>
      <c r="BB218" s="49">
        <f>IF(OR($A218="",$M218=""),"",$M218*12+N($N218))</f>
        <v/>
      </c>
      <c r="BC218" s="49">
        <f>IF($A218="","",IF(OR($C218="FRAME ONLY",$S218="BL"),0,IF($O218="Y",2,1)))</f>
        <v/>
      </c>
      <c r="BD218" s="51">
        <f>IF(OR(N($BC218)=0,$BA218=""),"",($BA218-2*EdgeClr-IF($BC218=2,MeetClr,0))/$BC218)</f>
        <v/>
      </c>
      <c r="BE218" s="51">
        <f>IF(OR(N($BC218)=0,$BB218=""),"",$BB218-HeadClr-Undercut)</f>
        <v/>
      </c>
      <c r="BF218" s="51">
        <f>IF($BA218="","",$BA218+2*FaceW+IF(N($Q218)&gt;0,($Q218+FaceW)*IF($R218="LR",2,1),0))</f>
        <v/>
      </c>
      <c r="BG218" s="51">
        <f>IF($BB218="","",$BB218+IF($AB218="Y",4,FaceW)+IF(N($P218)&gt;0,$P218+FaceW,0)+IF(OR($S218="4F",$S218="BL"),FaceW,0))</f>
        <v/>
      </c>
      <c r="BH218" s="51">
        <f>IF($BF218="","",$BF218+2*ROSide)</f>
        <v/>
      </c>
      <c r="BI218" s="51">
        <f>IF($BG218="","",$BG218+ROTop)</f>
        <v/>
      </c>
      <c r="BJ218" s="52">
        <f>IF(OR(N($BC218)=0,$BA218=""),"",$BA218/$BC218-ClearDeduct)</f>
        <v/>
      </c>
      <c r="BK218" s="49">
        <f>IF(OR(N($BC218)=0,$BE218=""),"",IF(OR($AC218="HGC",$AP218="HGC"),"CONT",IF($BE218&lt;=60,2,IF($BE218&lt;=90,3,IF($BE218&lt;=120,4,5)))))</f>
        <v/>
      </c>
      <c r="BL218" s="49">
        <f>IF(N($BC218)=0,"",IF(OR($AL218="",$AL218="FLUSH"),"FLUSH",IFERROR(LEFT($AL218,FIND("-",$AL218)-1),LEFT($AL218,2))))</f>
        <v/>
      </c>
      <c r="BM218" s="49">
        <f>IF($BL218="","",IFERROR(VALUE(MID($AL218,FIND("-",$AL218)+1,FIND(CHAR(34)&amp;"x",$AL218)-FIND("-",$AL218)-1)),0))</f>
        <v/>
      </c>
      <c r="BN218" s="49">
        <f>IF($BL218="","",IFERROR(VALUE(MID($AL218,FIND(CHAR(34)&amp;"x",$AL218)+2,FIND(CHAR(34),$AL218,FIND(CHAR(34)&amp;"x",$AL218)+2)-FIND(CHAR(34)&amp;"x",$AL218)-2)),0))</f>
        <v/>
      </c>
      <c r="BO218" s="53">
        <f>IF(OR($A218="",$H218="",$H218="NO LAB"),0,IFERROR(VALUE(LEFT($H218,FIND(" ",$H218)-1)),0))</f>
        <v/>
      </c>
      <c r="BP218" s="54">
        <f>IF(OR($A218="",$I218="",$I218="NON-RATED",N($J218)=0),"",IFERROR(VLOOKUP($I218&amp;"|"&amp;$J218,IBC,2,FALSE),"?"))</f>
        <v/>
      </c>
      <c r="BQ218" s="50">
        <f>IF(NOT(AND($A218&lt;&gt;"",$C218&lt;&gt;"DOOR ONLY")),"",TRIM(IFERROR(VLOOKUP($U218,CODES,2,FALSE),"")&amp;" "&amp;$AZ218&amp;" "&amp;IFERROR(VLOOKUP($Z218,CODES,2,FALSE),"")&amp;" "&amp;IFERROR(VLOOKUP($X218,CODES,2,FALSE),"")&amp;" "&amp;IFERROR(VLOOKUP($S218,CODES,2,FALSE),"")&amp;IF(N($P218)&gt;0," w/TRANSOM "&amp;$P218&amp;CHAR(34),"")&amp;IF(N($Q218)&gt;0," w/SIDELITE "&amp;$Q218&amp;CHAR(34)&amp;" "&amp;IF($R218="","R",$R218),"")&amp;IF($Y218="","  |  "," | "&amp;IFERROR(VLOOKUP($Y218,CODES,2,FALSE),"")&amp;" | ")&amp;IFERROR(VLOOKUP($AC218,CODES,2,FALSE),"")&amp;" "&amp;IFERROR(VLOOKUP($AD218,CODES,2,FALSE),"")&amp;IF(OR($AE218="",$AE218="-"),""," "&amp;$AE218)&amp;IF(OR($AF218="",$AF218="-"),""," "&amp;$AF218)&amp;IF($AB218="Y"," 4"&amp;CHAR(34)&amp;" HEAD","")&amp;" "&amp;IFERROR(VLOOKUP($H218,CODES,2,FALSE),"")))</f>
        <v/>
      </c>
      <c r="BR218" s="50">
        <f>IF(NOT(AND($A218&lt;&gt;"",N($BC218)&gt;0)),"",TRIM(IFERROR(VLOOKUP($AH218,CODES,2,FALSE),"")&amp;IF($AI218=""," "," "&amp;$AI218&amp;"GA ")&amp;$AZ218&amp;" "&amp;IF($AN218="",IFERROR(VLOOKUP($Z218,CODES,2,FALSE),""),IFERROR(VLOOKUP($AN218,CODES,2,FALSE),""))&amp;IF($BC218=2," PAIR","")&amp;" DOOR | "&amp;IF($AL218="","?",$AL218)&amp;" | "&amp;IF($AP218="",IFERROR(VLOOKUP($AC218,CODES,2,FALSE),""),IFERROR(VLOOKUP($AP218,CODES,2,FALSE),""))&amp;" "&amp;IFERROR(VLOOKUP($AQ218,CODES,2,FALSE),"")&amp;IF(OR($AR218="",$AR218="-"),""," SEAM "&amp;$AR218)&amp;IF($AS218="Y"," ASTRAGAL","")&amp;IF($AJ218=""," "," "&amp;$AJ218)&amp;IF($AK218=""," "," "&amp;$AK218)&amp;IF($AO218="",""," "&amp;$AO218)&amp;IF($AM218=""," "," SERIES "&amp;$AM218)&amp;" "&amp;IFERROR(VLOOKUP($H218,CODES,2,FALSE),"")))</f>
        <v/>
      </c>
      <c r="BS218" s="49">
        <f>IF(BV218="","",IF(COUNTIF($BV$6:BV218,BV218)=1,MAX($BS$5:BS217)+1,INDEX($BS$5:BS217,MATCH(BV218,$BV$5:BV217,0))))</f>
        <v/>
      </c>
      <c r="BT218" s="49">
        <f>IF(NOT(AND($A218&lt;&gt;"",$C218&lt;&gt;"DOOR ONLY")),"",MAX($BT$5:BT217)+1)</f>
        <v/>
      </c>
      <c r="BU218" s="49">
        <f>IF(NOT(AND($A218&lt;&gt;"",N($BC218)&gt;0)),"",MAX($BU$5:BU217)+1)</f>
        <v/>
      </c>
      <c r="BV218" s="49">
        <f>IF(OR($A218="",$BA218="",$BB218=""),"",$AZ218&amp;"|"&amp;$O218&amp;"|"&amp;$AL218&amp;"|"&amp;$S218&amp;"|"&amp;$P218&amp;"|"&amp;$Q218&amp;$R218&amp;"|"&amp;$C218&amp;"|"&amp;$AB218)</f>
        <v/>
      </c>
      <c r="BW218" s="49">
        <f>IF($A218="","",IF($B218="","qty, ","")&amp;IF($C218="","scope, ","")&amp;IF(OR($K218="",$M218=""),"size, ","")&amp;IF(AND($A218&lt;&gt;"",$C218&lt;&gt;"DOOR ONLY"),IF($U218="","jamb depth, ","")&amp;IF($X218="","construction, ","")&amp;IF($Y218="","anchor, ","")&amp;IF($S218="","frame type, ",""),"")&amp;IF(AND(N($BC218)&gt;0,$Z218=""),"hand, ","")&amp;IF(N($BC218)&gt;0,IF($AH218="","door material, ","")&amp;IF($AL218="","face type, ","")&amp;IF($AQ218="","lock prep, ","")&amp;IF(AND($AP218="",$AC218=""),"hinge prep, ",""),"")&amp;IF(AND($BO218&gt;0,$AH218="FRP"),"FRP cannot carry a label, ","")&amp;IF(AND($O218="Y",OR($Z218="L",$Z218="R",$Z218="LR",$Z218="RR")),"pair marked but hand is single, ","")&amp;IF(AND($O218&lt;&gt;"Y",OR($Z218="PR",AND(LEN($Z218)&gt;1,ISNUMBER(SEARCH("-",$Z218))))),"pair hand on a single door, ","")&amp;IF(AND(ISNUMBER($BP218),$BO218&lt;N($BP218)),"wall needs a "&amp;$BP218&amp;" min door, ","")&amp;IF(AND($BO218&gt;=180,AND(OR($BL218="FG",$BL218="HG",$BL218="FNV",$BL218="FV"),N($BM218)*N($BN218)&gt;100)),"180 min lite over 100 sq in, ","")&amp;IF(N($BD218)&gt;48,"leaf wider than 4'-0"&amp;CHAR(34)&amp;", ",""))</f>
        <v/>
      </c>
      <c r="BX218" s="49">
        <f>IF($A218="","",IF(AND($BO218&gt;0,AND($A218&lt;&gt;"",$C218&lt;&gt;"DOOR ONLY"),$X218="KD",$E218="EXTERIOR"),"KD label on an exterior opening, ","")&amp;IF(AND($E218="EXTERIOR",OR(AND(AND($A218&lt;&gt;"",$C218&lt;&gt;"DOOR ONLY"),$W218="CR"),AND(N($BC218)&gt;0,$AH218="CR"))),"exterior in CR steel (G9?), ","")&amp;IF(AND(ISNUMBER($BJ218),N($BJ218)&lt;32),"clear width ~"&amp;TEXT($BJ218,"0.0")&amp;CHAR(34)&amp;" under 32"&amp;CHAR(34)&amp;" (ADA), ","")&amp;IF(AND($BO218=90,AND(OR($BL218="FG",$BL218="HG",$BL218="FNV",$BL218="FV"),N($BM218)*N($BN218)&gt;100)),"90 min lite over 100 sq in (stair/exit), ","")&amp;IF(AND($BO218&gt;0,AND($A218&lt;&gt;"",$C218&lt;&gt;"DOOR ONLY"),OR($AF218="",$AF218="-")),"rated: closer reinf.?, ","")&amp;IF(OR($I218="CORRIDOR",$I218="SMOKE BARRIER"),"S label + smoke gasketing, ","")&amp;IF($BP218="?","wall type/hr not in IBC table, ","")&amp;IF(AND(N($BC218)&gt;0,$AU218=""),"no hardware set, ","")&amp;IF(AND($AU218&lt;&gt;"",ISNA(MATCH($AU218,HWSets,0))),"set "&amp;$AU218&amp;" not on Hardware sheet, ","")&amp;IF(N($BE218)&gt;96,"leaf over 8'-0"&amp;CHAR(34)&amp;" - check listing, ",""))</f>
        <v/>
      </c>
    </row>
    <row r="219" ht="15" customHeight="1">
      <c r="A219" s="44" t="n"/>
      <c r="B219" s="45" t="n"/>
      <c r="C219" s="45" t="n"/>
      <c r="D219" s="45" t="n"/>
      <c r="E219" s="45" t="n"/>
      <c r="F219" s="45" t="n"/>
      <c r="G219" s="45" t="n"/>
      <c r="H219" s="45" t="n"/>
      <c r="I219" s="45" t="n"/>
      <c r="J219" s="45" t="n"/>
      <c r="K219" s="45" t="n"/>
      <c r="L219" s="45" t="n"/>
      <c r="M219" s="45" t="n"/>
      <c r="N219" s="45" t="n"/>
      <c r="O219" s="45" t="n"/>
      <c r="P219" s="45" t="n"/>
      <c r="Q219" s="45" t="n"/>
      <c r="R219" s="45" t="n"/>
      <c r="S219" s="46" t="n"/>
      <c r="T219" s="46" t="n"/>
      <c r="U219" s="46" t="n"/>
      <c r="V219" s="46" t="n"/>
      <c r="W219" s="46" t="n"/>
      <c r="X219" s="46" t="n"/>
      <c r="Y219" s="46" t="n"/>
      <c r="Z219" s="46" t="n"/>
      <c r="AA219" s="46" t="n"/>
      <c r="AB219" s="46" t="n"/>
      <c r="AC219" s="46" t="n"/>
      <c r="AD219" s="46" t="n"/>
      <c r="AE219" s="46" t="n"/>
      <c r="AF219" s="46" t="n"/>
      <c r="AG219" s="46" t="n"/>
      <c r="AH219" s="47" t="n"/>
      <c r="AI219" s="47" t="n"/>
      <c r="AJ219" s="47" t="n"/>
      <c r="AK219" s="47" t="n"/>
      <c r="AL219" s="47" t="n"/>
      <c r="AM219" s="47" t="n"/>
      <c r="AN219" s="47" t="n"/>
      <c r="AO219" s="47" t="n"/>
      <c r="AP219" s="47" t="n"/>
      <c r="AQ219" s="47" t="n"/>
      <c r="AR219" s="47" t="n"/>
      <c r="AS219" s="47" t="n"/>
      <c r="AT219" s="47" t="n"/>
      <c r="AU219" s="48" t="n"/>
      <c r="AV219" s="48" t="n"/>
      <c r="AW219" s="49">
        <f>IF($A219="","",IF($BW219&lt;&gt;"","FIX",IF($BX219&lt;&gt;"","CHECK","OK")))</f>
        <v/>
      </c>
      <c r="AX219" s="50">
        <f>IF($A219="","",IF($BW219&lt;&gt;"","FIX: "&amp;LEFT($BW219,LEN($BW219)-2)&amp;IF($BX219&lt;&gt;"","  ·  ",""),"")&amp;IF($BX219&lt;&gt;"","CHECK: "&amp;LEFT($BX219,LEN($BX219)-2),""))</f>
        <v/>
      </c>
      <c r="AY219" s="49">
        <f>IF(OR($A219="",$K219=""),"",$K219&amp;"'-"&amp;N($L219)&amp;CHAR(34)&amp;" x "&amp;$M219&amp;"'-"&amp;N($N219)&amp;CHAR(34))</f>
        <v/>
      </c>
      <c r="AZ219" s="49">
        <f>IF(OR($A219="",$K219=""),"",$K219&amp;N($L219)&amp;$M219&amp;N($N219))</f>
        <v/>
      </c>
      <c r="BA219" s="49">
        <f>IF(OR($A219="",$K219=""),"",$K219*12+N($L219))</f>
        <v/>
      </c>
      <c r="BB219" s="49">
        <f>IF(OR($A219="",$M219=""),"",$M219*12+N($N219))</f>
        <v/>
      </c>
      <c r="BC219" s="49">
        <f>IF($A219="","",IF(OR($C219="FRAME ONLY",$S219="BL"),0,IF($O219="Y",2,1)))</f>
        <v/>
      </c>
      <c r="BD219" s="51">
        <f>IF(OR(N($BC219)=0,$BA219=""),"",($BA219-2*EdgeClr-IF($BC219=2,MeetClr,0))/$BC219)</f>
        <v/>
      </c>
      <c r="BE219" s="51">
        <f>IF(OR(N($BC219)=0,$BB219=""),"",$BB219-HeadClr-Undercut)</f>
        <v/>
      </c>
      <c r="BF219" s="51">
        <f>IF($BA219="","",$BA219+2*FaceW+IF(N($Q219)&gt;0,($Q219+FaceW)*IF($R219="LR",2,1),0))</f>
        <v/>
      </c>
      <c r="BG219" s="51">
        <f>IF($BB219="","",$BB219+IF($AB219="Y",4,FaceW)+IF(N($P219)&gt;0,$P219+FaceW,0)+IF(OR($S219="4F",$S219="BL"),FaceW,0))</f>
        <v/>
      </c>
      <c r="BH219" s="51">
        <f>IF($BF219="","",$BF219+2*ROSide)</f>
        <v/>
      </c>
      <c r="BI219" s="51">
        <f>IF($BG219="","",$BG219+ROTop)</f>
        <v/>
      </c>
      <c r="BJ219" s="52">
        <f>IF(OR(N($BC219)=0,$BA219=""),"",$BA219/$BC219-ClearDeduct)</f>
        <v/>
      </c>
      <c r="BK219" s="49">
        <f>IF(OR(N($BC219)=0,$BE219=""),"",IF(OR($AC219="HGC",$AP219="HGC"),"CONT",IF($BE219&lt;=60,2,IF($BE219&lt;=90,3,IF($BE219&lt;=120,4,5)))))</f>
        <v/>
      </c>
      <c r="BL219" s="49">
        <f>IF(N($BC219)=0,"",IF(OR($AL219="",$AL219="FLUSH"),"FLUSH",IFERROR(LEFT($AL219,FIND("-",$AL219)-1),LEFT($AL219,2))))</f>
        <v/>
      </c>
      <c r="BM219" s="49">
        <f>IF($BL219="","",IFERROR(VALUE(MID($AL219,FIND("-",$AL219)+1,FIND(CHAR(34)&amp;"x",$AL219)-FIND("-",$AL219)-1)),0))</f>
        <v/>
      </c>
      <c r="BN219" s="49">
        <f>IF($BL219="","",IFERROR(VALUE(MID($AL219,FIND(CHAR(34)&amp;"x",$AL219)+2,FIND(CHAR(34),$AL219,FIND(CHAR(34)&amp;"x",$AL219)+2)-FIND(CHAR(34)&amp;"x",$AL219)-2)),0))</f>
        <v/>
      </c>
      <c r="BO219" s="53">
        <f>IF(OR($A219="",$H219="",$H219="NO LAB"),0,IFERROR(VALUE(LEFT($H219,FIND(" ",$H219)-1)),0))</f>
        <v/>
      </c>
      <c r="BP219" s="54">
        <f>IF(OR($A219="",$I219="",$I219="NON-RATED",N($J219)=0),"",IFERROR(VLOOKUP($I219&amp;"|"&amp;$J219,IBC,2,FALSE),"?"))</f>
        <v/>
      </c>
      <c r="BQ219" s="50">
        <f>IF(NOT(AND($A219&lt;&gt;"",$C219&lt;&gt;"DOOR ONLY")),"",TRIM(IFERROR(VLOOKUP($U219,CODES,2,FALSE),"")&amp;" "&amp;$AZ219&amp;" "&amp;IFERROR(VLOOKUP($Z219,CODES,2,FALSE),"")&amp;" "&amp;IFERROR(VLOOKUP($X219,CODES,2,FALSE),"")&amp;" "&amp;IFERROR(VLOOKUP($S219,CODES,2,FALSE),"")&amp;IF(N($P219)&gt;0," w/TRANSOM "&amp;$P219&amp;CHAR(34),"")&amp;IF(N($Q219)&gt;0," w/SIDELITE "&amp;$Q219&amp;CHAR(34)&amp;" "&amp;IF($R219="","R",$R219),"")&amp;IF($Y219="","  |  "," | "&amp;IFERROR(VLOOKUP($Y219,CODES,2,FALSE),"")&amp;" | ")&amp;IFERROR(VLOOKUP($AC219,CODES,2,FALSE),"")&amp;" "&amp;IFERROR(VLOOKUP($AD219,CODES,2,FALSE),"")&amp;IF(OR($AE219="",$AE219="-"),""," "&amp;$AE219)&amp;IF(OR($AF219="",$AF219="-"),""," "&amp;$AF219)&amp;IF($AB219="Y"," 4"&amp;CHAR(34)&amp;" HEAD","")&amp;" "&amp;IFERROR(VLOOKUP($H219,CODES,2,FALSE),"")))</f>
        <v/>
      </c>
      <c r="BR219" s="50">
        <f>IF(NOT(AND($A219&lt;&gt;"",N($BC219)&gt;0)),"",TRIM(IFERROR(VLOOKUP($AH219,CODES,2,FALSE),"")&amp;IF($AI219=""," "," "&amp;$AI219&amp;"GA ")&amp;$AZ219&amp;" "&amp;IF($AN219="",IFERROR(VLOOKUP($Z219,CODES,2,FALSE),""),IFERROR(VLOOKUP($AN219,CODES,2,FALSE),""))&amp;IF($BC219=2," PAIR","")&amp;" DOOR | "&amp;IF($AL219="","?",$AL219)&amp;" | "&amp;IF($AP219="",IFERROR(VLOOKUP($AC219,CODES,2,FALSE),""),IFERROR(VLOOKUP($AP219,CODES,2,FALSE),""))&amp;" "&amp;IFERROR(VLOOKUP($AQ219,CODES,2,FALSE),"")&amp;IF(OR($AR219="",$AR219="-"),""," SEAM "&amp;$AR219)&amp;IF($AS219="Y"," ASTRAGAL","")&amp;IF($AJ219=""," "," "&amp;$AJ219)&amp;IF($AK219=""," "," "&amp;$AK219)&amp;IF($AO219="",""," "&amp;$AO219)&amp;IF($AM219=""," "," SERIES "&amp;$AM219)&amp;" "&amp;IFERROR(VLOOKUP($H219,CODES,2,FALSE),"")))</f>
        <v/>
      </c>
      <c r="BS219" s="49">
        <f>IF(BV219="","",IF(COUNTIF($BV$6:BV219,BV219)=1,MAX($BS$5:BS218)+1,INDEX($BS$5:BS218,MATCH(BV219,$BV$5:BV218,0))))</f>
        <v/>
      </c>
      <c r="BT219" s="49">
        <f>IF(NOT(AND($A219&lt;&gt;"",$C219&lt;&gt;"DOOR ONLY")),"",MAX($BT$5:BT218)+1)</f>
        <v/>
      </c>
      <c r="BU219" s="49">
        <f>IF(NOT(AND($A219&lt;&gt;"",N($BC219)&gt;0)),"",MAX($BU$5:BU218)+1)</f>
        <v/>
      </c>
      <c r="BV219" s="49">
        <f>IF(OR($A219="",$BA219="",$BB219=""),"",$AZ219&amp;"|"&amp;$O219&amp;"|"&amp;$AL219&amp;"|"&amp;$S219&amp;"|"&amp;$P219&amp;"|"&amp;$Q219&amp;$R219&amp;"|"&amp;$C219&amp;"|"&amp;$AB219)</f>
        <v/>
      </c>
      <c r="BW219" s="49">
        <f>IF($A219="","",IF($B219="","qty, ","")&amp;IF($C219="","scope, ","")&amp;IF(OR($K219="",$M219=""),"size, ","")&amp;IF(AND($A219&lt;&gt;"",$C219&lt;&gt;"DOOR ONLY"),IF($U219="","jamb depth, ","")&amp;IF($X219="","construction, ","")&amp;IF($Y219="","anchor, ","")&amp;IF($S219="","frame type, ",""),"")&amp;IF(AND(N($BC219)&gt;0,$Z219=""),"hand, ","")&amp;IF(N($BC219)&gt;0,IF($AH219="","door material, ","")&amp;IF($AL219="","face type, ","")&amp;IF($AQ219="","lock prep, ","")&amp;IF(AND($AP219="",$AC219=""),"hinge prep, ",""),"")&amp;IF(AND($BO219&gt;0,$AH219="FRP"),"FRP cannot carry a label, ","")&amp;IF(AND($O219="Y",OR($Z219="L",$Z219="R",$Z219="LR",$Z219="RR")),"pair marked but hand is single, ","")&amp;IF(AND($O219&lt;&gt;"Y",OR($Z219="PR",AND(LEN($Z219)&gt;1,ISNUMBER(SEARCH("-",$Z219))))),"pair hand on a single door, ","")&amp;IF(AND(ISNUMBER($BP219),$BO219&lt;N($BP219)),"wall needs a "&amp;$BP219&amp;" min door, ","")&amp;IF(AND($BO219&gt;=180,AND(OR($BL219="FG",$BL219="HG",$BL219="FNV",$BL219="FV"),N($BM219)*N($BN219)&gt;100)),"180 min lite over 100 sq in, ","")&amp;IF(N($BD219)&gt;48,"leaf wider than 4'-0"&amp;CHAR(34)&amp;", ",""))</f>
        <v/>
      </c>
      <c r="BX219" s="49">
        <f>IF($A219="","",IF(AND($BO219&gt;0,AND($A219&lt;&gt;"",$C219&lt;&gt;"DOOR ONLY"),$X219="KD",$E219="EXTERIOR"),"KD label on an exterior opening, ","")&amp;IF(AND($E219="EXTERIOR",OR(AND(AND($A219&lt;&gt;"",$C219&lt;&gt;"DOOR ONLY"),$W219="CR"),AND(N($BC219)&gt;0,$AH219="CR"))),"exterior in CR steel (G9?), ","")&amp;IF(AND(ISNUMBER($BJ219),N($BJ219)&lt;32),"clear width ~"&amp;TEXT($BJ219,"0.0")&amp;CHAR(34)&amp;" under 32"&amp;CHAR(34)&amp;" (ADA), ","")&amp;IF(AND($BO219=90,AND(OR($BL219="FG",$BL219="HG",$BL219="FNV",$BL219="FV"),N($BM219)*N($BN219)&gt;100)),"90 min lite over 100 sq in (stair/exit), ","")&amp;IF(AND($BO219&gt;0,AND($A219&lt;&gt;"",$C219&lt;&gt;"DOOR ONLY"),OR($AF219="",$AF219="-")),"rated: closer reinf.?, ","")&amp;IF(OR($I219="CORRIDOR",$I219="SMOKE BARRIER"),"S label + smoke gasketing, ","")&amp;IF($BP219="?","wall type/hr not in IBC table, ","")&amp;IF(AND(N($BC219)&gt;0,$AU219=""),"no hardware set, ","")&amp;IF(AND($AU219&lt;&gt;"",ISNA(MATCH($AU219,HWSets,0))),"set "&amp;$AU219&amp;" not on Hardware sheet, ","")&amp;IF(N($BE219)&gt;96,"leaf over 8'-0"&amp;CHAR(34)&amp;" - check listing, ",""))</f>
        <v/>
      </c>
    </row>
    <row r="220" ht="15" customHeight="1">
      <c r="A220" s="44" t="n"/>
      <c r="B220" s="45" t="n"/>
      <c r="C220" s="45" t="n"/>
      <c r="D220" s="45" t="n"/>
      <c r="E220" s="45" t="n"/>
      <c r="F220" s="45" t="n"/>
      <c r="G220" s="45" t="n"/>
      <c r="H220" s="45" t="n"/>
      <c r="I220" s="45" t="n"/>
      <c r="J220" s="45" t="n"/>
      <c r="K220" s="45" t="n"/>
      <c r="L220" s="45" t="n"/>
      <c r="M220" s="45" t="n"/>
      <c r="N220" s="45" t="n"/>
      <c r="O220" s="45" t="n"/>
      <c r="P220" s="45" t="n"/>
      <c r="Q220" s="45" t="n"/>
      <c r="R220" s="45" t="n"/>
      <c r="S220" s="46" t="n"/>
      <c r="T220" s="46" t="n"/>
      <c r="U220" s="46" t="n"/>
      <c r="V220" s="46" t="n"/>
      <c r="W220" s="46" t="n"/>
      <c r="X220" s="46" t="n"/>
      <c r="Y220" s="46" t="n"/>
      <c r="Z220" s="46" t="n"/>
      <c r="AA220" s="46" t="n"/>
      <c r="AB220" s="46" t="n"/>
      <c r="AC220" s="46" t="n"/>
      <c r="AD220" s="46" t="n"/>
      <c r="AE220" s="46" t="n"/>
      <c r="AF220" s="46" t="n"/>
      <c r="AG220" s="46" t="n"/>
      <c r="AH220" s="47" t="n"/>
      <c r="AI220" s="47" t="n"/>
      <c r="AJ220" s="47" t="n"/>
      <c r="AK220" s="47" t="n"/>
      <c r="AL220" s="47" t="n"/>
      <c r="AM220" s="47" t="n"/>
      <c r="AN220" s="47" t="n"/>
      <c r="AO220" s="47" t="n"/>
      <c r="AP220" s="47" t="n"/>
      <c r="AQ220" s="47" t="n"/>
      <c r="AR220" s="47" t="n"/>
      <c r="AS220" s="47" t="n"/>
      <c r="AT220" s="47" t="n"/>
      <c r="AU220" s="48" t="n"/>
      <c r="AV220" s="48" t="n"/>
      <c r="AW220" s="49">
        <f>IF($A220="","",IF($BW220&lt;&gt;"","FIX",IF($BX220&lt;&gt;"","CHECK","OK")))</f>
        <v/>
      </c>
      <c r="AX220" s="50">
        <f>IF($A220="","",IF($BW220&lt;&gt;"","FIX: "&amp;LEFT($BW220,LEN($BW220)-2)&amp;IF($BX220&lt;&gt;"","  ·  ",""),"")&amp;IF($BX220&lt;&gt;"","CHECK: "&amp;LEFT($BX220,LEN($BX220)-2),""))</f>
        <v/>
      </c>
      <c r="AY220" s="49">
        <f>IF(OR($A220="",$K220=""),"",$K220&amp;"'-"&amp;N($L220)&amp;CHAR(34)&amp;" x "&amp;$M220&amp;"'-"&amp;N($N220)&amp;CHAR(34))</f>
        <v/>
      </c>
      <c r="AZ220" s="49">
        <f>IF(OR($A220="",$K220=""),"",$K220&amp;N($L220)&amp;$M220&amp;N($N220))</f>
        <v/>
      </c>
      <c r="BA220" s="49">
        <f>IF(OR($A220="",$K220=""),"",$K220*12+N($L220))</f>
        <v/>
      </c>
      <c r="BB220" s="49">
        <f>IF(OR($A220="",$M220=""),"",$M220*12+N($N220))</f>
        <v/>
      </c>
      <c r="BC220" s="49">
        <f>IF($A220="","",IF(OR($C220="FRAME ONLY",$S220="BL"),0,IF($O220="Y",2,1)))</f>
        <v/>
      </c>
      <c r="BD220" s="51">
        <f>IF(OR(N($BC220)=0,$BA220=""),"",($BA220-2*EdgeClr-IF($BC220=2,MeetClr,0))/$BC220)</f>
        <v/>
      </c>
      <c r="BE220" s="51">
        <f>IF(OR(N($BC220)=0,$BB220=""),"",$BB220-HeadClr-Undercut)</f>
        <v/>
      </c>
      <c r="BF220" s="51">
        <f>IF($BA220="","",$BA220+2*FaceW+IF(N($Q220)&gt;0,($Q220+FaceW)*IF($R220="LR",2,1),0))</f>
        <v/>
      </c>
      <c r="BG220" s="51">
        <f>IF($BB220="","",$BB220+IF($AB220="Y",4,FaceW)+IF(N($P220)&gt;0,$P220+FaceW,0)+IF(OR($S220="4F",$S220="BL"),FaceW,0))</f>
        <v/>
      </c>
      <c r="BH220" s="51">
        <f>IF($BF220="","",$BF220+2*ROSide)</f>
        <v/>
      </c>
      <c r="BI220" s="51">
        <f>IF($BG220="","",$BG220+ROTop)</f>
        <v/>
      </c>
      <c r="BJ220" s="52">
        <f>IF(OR(N($BC220)=0,$BA220=""),"",$BA220/$BC220-ClearDeduct)</f>
        <v/>
      </c>
      <c r="BK220" s="49">
        <f>IF(OR(N($BC220)=0,$BE220=""),"",IF(OR($AC220="HGC",$AP220="HGC"),"CONT",IF($BE220&lt;=60,2,IF($BE220&lt;=90,3,IF($BE220&lt;=120,4,5)))))</f>
        <v/>
      </c>
      <c r="BL220" s="49">
        <f>IF(N($BC220)=0,"",IF(OR($AL220="",$AL220="FLUSH"),"FLUSH",IFERROR(LEFT($AL220,FIND("-",$AL220)-1),LEFT($AL220,2))))</f>
        <v/>
      </c>
      <c r="BM220" s="49">
        <f>IF($BL220="","",IFERROR(VALUE(MID($AL220,FIND("-",$AL220)+1,FIND(CHAR(34)&amp;"x",$AL220)-FIND("-",$AL220)-1)),0))</f>
        <v/>
      </c>
      <c r="BN220" s="49">
        <f>IF($BL220="","",IFERROR(VALUE(MID($AL220,FIND(CHAR(34)&amp;"x",$AL220)+2,FIND(CHAR(34),$AL220,FIND(CHAR(34)&amp;"x",$AL220)+2)-FIND(CHAR(34)&amp;"x",$AL220)-2)),0))</f>
        <v/>
      </c>
      <c r="BO220" s="53">
        <f>IF(OR($A220="",$H220="",$H220="NO LAB"),0,IFERROR(VALUE(LEFT($H220,FIND(" ",$H220)-1)),0))</f>
        <v/>
      </c>
      <c r="BP220" s="54">
        <f>IF(OR($A220="",$I220="",$I220="NON-RATED",N($J220)=0),"",IFERROR(VLOOKUP($I220&amp;"|"&amp;$J220,IBC,2,FALSE),"?"))</f>
        <v/>
      </c>
      <c r="BQ220" s="50">
        <f>IF(NOT(AND($A220&lt;&gt;"",$C220&lt;&gt;"DOOR ONLY")),"",TRIM(IFERROR(VLOOKUP($U220,CODES,2,FALSE),"")&amp;" "&amp;$AZ220&amp;" "&amp;IFERROR(VLOOKUP($Z220,CODES,2,FALSE),"")&amp;" "&amp;IFERROR(VLOOKUP($X220,CODES,2,FALSE),"")&amp;" "&amp;IFERROR(VLOOKUP($S220,CODES,2,FALSE),"")&amp;IF(N($P220)&gt;0," w/TRANSOM "&amp;$P220&amp;CHAR(34),"")&amp;IF(N($Q220)&gt;0," w/SIDELITE "&amp;$Q220&amp;CHAR(34)&amp;" "&amp;IF($R220="","R",$R220),"")&amp;IF($Y220="","  |  "," | "&amp;IFERROR(VLOOKUP($Y220,CODES,2,FALSE),"")&amp;" | ")&amp;IFERROR(VLOOKUP($AC220,CODES,2,FALSE),"")&amp;" "&amp;IFERROR(VLOOKUP($AD220,CODES,2,FALSE),"")&amp;IF(OR($AE220="",$AE220="-"),""," "&amp;$AE220)&amp;IF(OR($AF220="",$AF220="-"),""," "&amp;$AF220)&amp;IF($AB220="Y"," 4"&amp;CHAR(34)&amp;" HEAD","")&amp;" "&amp;IFERROR(VLOOKUP($H220,CODES,2,FALSE),"")))</f>
        <v/>
      </c>
      <c r="BR220" s="50">
        <f>IF(NOT(AND($A220&lt;&gt;"",N($BC220)&gt;0)),"",TRIM(IFERROR(VLOOKUP($AH220,CODES,2,FALSE),"")&amp;IF($AI220=""," "," "&amp;$AI220&amp;"GA ")&amp;$AZ220&amp;" "&amp;IF($AN220="",IFERROR(VLOOKUP($Z220,CODES,2,FALSE),""),IFERROR(VLOOKUP($AN220,CODES,2,FALSE),""))&amp;IF($BC220=2," PAIR","")&amp;" DOOR | "&amp;IF($AL220="","?",$AL220)&amp;" | "&amp;IF($AP220="",IFERROR(VLOOKUP($AC220,CODES,2,FALSE),""),IFERROR(VLOOKUP($AP220,CODES,2,FALSE),""))&amp;" "&amp;IFERROR(VLOOKUP($AQ220,CODES,2,FALSE),"")&amp;IF(OR($AR220="",$AR220="-"),""," SEAM "&amp;$AR220)&amp;IF($AS220="Y"," ASTRAGAL","")&amp;IF($AJ220=""," "," "&amp;$AJ220)&amp;IF($AK220=""," "," "&amp;$AK220)&amp;IF($AO220="",""," "&amp;$AO220)&amp;IF($AM220=""," "," SERIES "&amp;$AM220)&amp;" "&amp;IFERROR(VLOOKUP($H220,CODES,2,FALSE),"")))</f>
        <v/>
      </c>
      <c r="BS220" s="49">
        <f>IF(BV220="","",IF(COUNTIF($BV$6:BV220,BV220)=1,MAX($BS$5:BS219)+1,INDEX($BS$5:BS219,MATCH(BV220,$BV$5:BV219,0))))</f>
        <v/>
      </c>
      <c r="BT220" s="49">
        <f>IF(NOT(AND($A220&lt;&gt;"",$C220&lt;&gt;"DOOR ONLY")),"",MAX($BT$5:BT219)+1)</f>
        <v/>
      </c>
      <c r="BU220" s="49">
        <f>IF(NOT(AND($A220&lt;&gt;"",N($BC220)&gt;0)),"",MAX($BU$5:BU219)+1)</f>
        <v/>
      </c>
      <c r="BV220" s="49">
        <f>IF(OR($A220="",$BA220="",$BB220=""),"",$AZ220&amp;"|"&amp;$O220&amp;"|"&amp;$AL220&amp;"|"&amp;$S220&amp;"|"&amp;$P220&amp;"|"&amp;$Q220&amp;$R220&amp;"|"&amp;$C220&amp;"|"&amp;$AB220)</f>
        <v/>
      </c>
      <c r="BW220" s="49">
        <f>IF($A220="","",IF($B220="","qty, ","")&amp;IF($C220="","scope, ","")&amp;IF(OR($K220="",$M220=""),"size, ","")&amp;IF(AND($A220&lt;&gt;"",$C220&lt;&gt;"DOOR ONLY"),IF($U220="","jamb depth, ","")&amp;IF($X220="","construction, ","")&amp;IF($Y220="","anchor, ","")&amp;IF($S220="","frame type, ",""),"")&amp;IF(AND(N($BC220)&gt;0,$Z220=""),"hand, ","")&amp;IF(N($BC220)&gt;0,IF($AH220="","door material, ","")&amp;IF($AL220="","face type, ","")&amp;IF($AQ220="","lock prep, ","")&amp;IF(AND($AP220="",$AC220=""),"hinge prep, ",""),"")&amp;IF(AND($BO220&gt;0,$AH220="FRP"),"FRP cannot carry a label, ","")&amp;IF(AND($O220="Y",OR($Z220="L",$Z220="R",$Z220="LR",$Z220="RR")),"pair marked but hand is single, ","")&amp;IF(AND($O220&lt;&gt;"Y",OR($Z220="PR",AND(LEN($Z220)&gt;1,ISNUMBER(SEARCH("-",$Z220))))),"pair hand on a single door, ","")&amp;IF(AND(ISNUMBER($BP220),$BO220&lt;N($BP220)),"wall needs a "&amp;$BP220&amp;" min door, ","")&amp;IF(AND($BO220&gt;=180,AND(OR($BL220="FG",$BL220="HG",$BL220="FNV",$BL220="FV"),N($BM220)*N($BN220)&gt;100)),"180 min lite over 100 sq in, ","")&amp;IF(N($BD220)&gt;48,"leaf wider than 4'-0"&amp;CHAR(34)&amp;", ",""))</f>
        <v/>
      </c>
      <c r="BX220" s="49">
        <f>IF($A220="","",IF(AND($BO220&gt;0,AND($A220&lt;&gt;"",$C220&lt;&gt;"DOOR ONLY"),$X220="KD",$E220="EXTERIOR"),"KD label on an exterior opening, ","")&amp;IF(AND($E220="EXTERIOR",OR(AND(AND($A220&lt;&gt;"",$C220&lt;&gt;"DOOR ONLY"),$W220="CR"),AND(N($BC220)&gt;0,$AH220="CR"))),"exterior in CR steel (G9?), ","")&amp;IF(AND(ISNUMBER($BJ220),N($BJ220)&lt;32),"clear width ~"&amp;TEXT($BJ220,"0.0")&amp;CHAR(34)&amp;" under 32"&amp;CHAR(34)&amp;" (ADA), ","")&amp;IF(AND($BO220=90,AND(OR($BL220="FG",$BL220="HG",$BL220="FNV",$BL220="FV"),N($BM220)*N($BN220)&gt;100)),"90 min lite over 100 sq in (stair/exit), ","")&amp;IF(AND($BO220&gt;0,AND($A220&lt;&gt;"",$C220&lt;&gt;"DOOR ONLY"),OR($AF220="",$AF220="-")),"rated: closer reinf.?, ","")&amp;IF(OR($I220="CORRIDOR",$I220="SMOKE BARRIER"),"S label + smoke gasketing, ","")&amp;IF($BP220="?","wall type/hr not in IBC table, ","")&amp;IF(AND(N($BC220)&gt;0,$AU220=""),"no hardware set, ","")&amp;IF(AND($AU220&lt;&gt;"",ISNA(MATCH($AU220,HWSets,0))),"set "&amp;$AU220&amp;" not on Hardware sheet, ","")&amp;IF(N($BE220)&gt;96,"leaf over 8'-0"&amp;CHAR(34)&amp;" - check listing, ",""))</f>
        <v/>
      </c>
    </row>
    <row r="221" ht="15" customHeight="1">
      <c r="A221" s="44" t="n"/>
      <c r="B221" s="45" t="n"/>
      <c r="C221" s="45" t="n"/>
      <c r="D221" s="45" t="n"/>
      <c r="E221" s="45" t="n"/>
      <c r="F221" s="45" t="n"/>
      <c r="G221" s="45" t="n"/>
      <c r="H221" s="45" t="n"/>
      <c r="I221" s="45" t="n"/>
      <c r="J221" s="45" t="n"/>
      <c r="K221" s="45" t="n"/>
      <c r="L221" s="45" t="n"/>
      <c r="M221" s="45" t="n"/>
      <c r="N221" s="45" t="n"/>
      <c r="O221" s="45" t="n"/>
      <c r="P221" s="45" t="n"/>
      <c r="Q221" s="45" t="n"/>
      <c r="R221" s="45" t="n"/>
      <c r="S221" s="46" t="n"/>
      <c r="T221" s="46" t="n"/>
      <c r="U221" s="46" t="n"/>
      <c r="V221" s="46" t="n"/>
      <c r="W221" s="46" t="n"/>
      <c r="X221" s="46" t="n"/>
      <c r="Y221" s="46" t="n"/>
      <c r="Z221" s="46" t="n"/>
      <c r="AA221" s="46" t="n"/>
      <c r="AB221" s="46" t="n"/>
      <c r="AC221" s="46" t="n"/>
      <c r="AD221" s="46" t="n"/>
      <c r="AE221" s="46" t="n"/>
      <c r="AF221" s="46" t="n"/>
      <c r="AG221" s="46" t="n"/>
      <c r="AH221" s="47" t="n"/>
      <c r="AI221" s="47" t="n"/>
      <c r="AJ221" s="47" t="n"/>
      <c r="AK221" s="47" t="n"/>
      <c r="AL221" s="47" t="n"/>
      <c r="AM221" s="47" t="n"/>
      <c r="AN221" s="47" t="n"/>
      <c r="AO221" s="47" t="n"/>
      <c r="AP221" s="47" t="n"/>
      <c r="AQ221" s="47" t="n"/>
      <c r="AR221" s="47" t="n"/>
      <c r="AS221" s="47" t="n"/>
      <c r="AT221" s="47" t="n"/>
      <c r="AU221" s="48" t="n"/>
      <c r="AV221" s="48" t="n"/>
      <c r="AW221" s="49">
        <f>IF($A221="","",IF($BW221&lt;&gt;"","FIX",IF($BX221&lt;&gt;"","CHECK","OK")))</f>
        <v/>
      </c>
      <c r="AX221" s="50">
        <f>IF($A221="","",IF($BW221&lt;&gt;"","FIX: "&amp;LEFT($BW221,LEN($BW221)-2)&amp;IF($BX221&lt;&gt;"","  ·  ",""),"")&amp;IF($BX221&lt;&gt;"","CHECK: "&amp;LEFT($BX221,LEN($BX221)-2),""))</f>
        <v/>
      </c>
      <c r="AY221" s="49">
        <f>IF(OR($A221="",$K221=""),"",$K221&amp;"'-"&amp;N($L221)&amp;CHAR(34)&amp;" x "&amp;$M221&amp;"'-"&amp;N($N221)&amp;CHAR(34))</f>
        <v/>
      </c>
      <c r="AZ221" s="49">
        <f>IF(OR($A221="",$K221=""),"",$K221&amp;N($L221)&amp;$M221&amp;N($N221))</f>
        <v/>
      </c>
      <c r="BA221" s="49">
        <f>IF(OR($A221="",$K221=""),"",$K221*12+N($L221))</f>
        <v/>
      </c>
      <c r="BB221" s="49">
        <f>IF(OR($A221="",$M221=""),"",$M221*12+N($N221))</f>
        <v/>
      </c>
      <c r="BC221" s="49">
        <f>IF($A221="","",IF(OR($C221="FRAME ONLY",$S221="BL"),0,IF($O221="Y",2,1)))</f>
        <v/>
      </c>
      <c r="BD221" s="51">
        <f>IF(OR(N($BC221)=0,$BA221=""),"",($BA221-2*EdgeClr-IF($BC221=2,MeetClr,0))/$BC221)</f>
        <v/>
      </c>
      <c r="BE221" s="51">
        <f>IF(OR(N($BC221)=0,$BB221=""),"",$BB221-HeadClr-Undercut)</f>
        <v/>
      </c>
      <c r="BF221" s="51">
        <f>IF($BA221="","",$BA221+2*FaceW+IF(N($Q221)&gt;0,($Q221+FaceW)*IF($R221="LR",2,1),0))</f>
        <v/>
      </c>
      <c r="BG221" s="51">
        <f>IF($BB221="","",$BB221+IF($AB221="Y",4,FaceW)+IF(N($P221)&gt;0,$P221+FaceW,0)+IF(OR($S221="4F",$S221="BL"),FaceW,0))</f>
        <v/>
      </c>
      <c r="BH221" s="51">
        <f>IF($BF221="","",$BF221+2*ROSide)</f>
        <v/>
      </c>
      <c r="BI221" s="51">
        <f>IF($BG221="","",$BG221+ROTop)</f>
        <v/>
      </c>
      <c r="BJ221" s="52">
        <f>IF(OR(N($BC221)=0,$BA221=""),"",$BA221/$BC221-ClearDeduct)</f>
        <v/>
      </c>
      <c r="BK221" s="49">
        <f>IF(OR(N($BC221)=0,$BE221=""),"",IF(OR($AC221="HGC",$AP221="HGC"),"CONT",IF($BE221&lt;=60,2,IF($BE221&lt;=90,3,IF($BE221&lt;=120,4,5)))))</f>
        <v/>
      </c>
      <c r="BL221" s="49">
        <f>IF(N($BC221)=0,"",IF(OR($AL221="",$AL221="FLUSH"),"FLUSH",IFERROR(LEFT($AL221,FIND("-",$AL221)-1),LEFT($AL221,2))))</f>
        <v/>
      </c>
      <c r="BM221" s="49">
        <f>IF($BL221="","",IFERROR(VALUE(MID($AL221,FIND("-",$AL221)+1,FIND(CHAR(34)&amp;"x",$AL221)-FIND("-",$AL221)-1)),0))</f>
        <v/>
      </c>
      <c r="BN221" s="49">
        <f>IF($BL221="","",IFERROR(VALUE(MID($AL221,FIND(CHAR(34)&amp;"x",$AL221)+2,FIND(CHAR(34),$AL221,FIND(CHAR(34)&amp;"x",$AL221)+2)-FIND(CHAR(34)&amp;"x",$AL221)-2)),0))</f>
        <v/>
      </c>
      <c r="BO221" s="53">
        <f>IF(OR($A221="",$H221="",$H221="NO LAB"),0,IFERROR(VALUE(LEFT($H221,FIND(" ",$H221)-1)),0))</f>
        <v/>
      </c>
      <c r="BP221" s="54">
        <f>IF(OR($A221="",$I221="",$I221="NON-RATED",N($J221)=0),"",IFERROR(VLOOKUP($I221&amp;"|"&amp;$J221,IBC,2,FALSE),"?"))</f>
        <v/>
      </c>
      <c r="BQ221" s="50">
        <f>IF(NOT(AND($A221&lt;&gt;"",$C221&lt;&gt;"DOOR ONLY")),"",TRIM(IFERROR(VLOOKUP($U221,CODES,2,FALSE),"")&amp;" "&amp;$AZ221&amp;" "&amp;IFERROR(VLOOKUP($Z221,CODES,2,FALSE),"")&amp;" "&amp;IFERROR(VLOOKUP($X221,CODES,2,FALSE),"")&amp;" "&amp;IFERROR(VLOOKUP($S221,CODES,2,FALSE),"")&amp;IF(N($P221)&gt;0," w/TRANSOM "&amp;$P221&amp;CHAR(34),"")&amp;IF(N($Q221)&gt;0," w/SIDELITE "&amp;$Q221&amp;CHAR(34)&amp;" "&amp;IF($R221="","R",$R221),"")&amp;IF($Y221="","  |  "," | "&amp;IFERROR(VLOOKUP($Y221,CODES,2,FALSE),"")&amp;" | ")&amp;IFERROR(VLOOKUP($AC221,CODES,2,FALSE),"")&amp;" "&amp;IFERROR(VLOOKUP($AD221,CODES,2,FALSE),"")&amp;IF(OR($AE221="",$AE221="-"),""," "&amp;$AE221)&amp;IF(OR($AF221="",$AF221="-"),""," "&amp;$AF221)&amp;IF($AB221="Y"," 4"&amp;CHAR(34)&amp;" HEAD","")&amp;" "&amp;IFERROR(VLOOKUP($H221,CODES,2,FALSE),"")))</f>
        <v/>
      </c>
      <c r="BR221" s="50">
        <f>IF(NOT(AND($A221&lt;&gt;"",N($BC221)&gt;0)),"",TRIM(IFERROR(VLOOKUP($AH221,CODES,2,FALSE),"")&amp;IF($AI221=""," "," "&amp;$AI221&amp;"GA ")&amp;$AZ221&amp;" "&amp;IF($AN221="",IFERROR(VLOOKUP($Z221,CODES,2,FALSE),""),IFERROR(VLOOKUP($AN221,CODES,2,FALSE),""))&amp;IF($BC221=2," PAIR","")&amp;" DOOR | "&amp;IF($AL221="","?",$AL221)&amp;" | "&amp;IF($AP221="",IFERROR(VLOOKUP($AC221,CODES,2,FALSE),""),IFERROR(VLOOKUP($AP221,CODES,2,FALSE),""))&amp;" "&amp;IFERROR(VLOOKUP($AQ221,CODES,2,FALSE),"")&amp;IF(OR($AR221="",$AR221="-"),""," SEAM "&amp;$AR221)&amp;IF($AS221="Y"," ASTRAGAL","")&amp;IF($AJ221=""," "," "&amp;$AJ221)&amp;IF($AK221=""," "," "&amp;$AK221)&amp;IF($AO221="",""," "&amp;$AO221)&amp;IF($AM221=""," "," SERIES "&amp;$AM221)&amp;" "&amp;IFERROR(VLOOKUP($H221,CODES,2,FALSE),"")))</f>
        <v/>
      </c>
      <c r="BS221" s="49">
        <f>IF(BV221="","",IF(COUNTIF($BV$6:BV221,BV221)=1,MAX($BS$5:BS220)+1,INDEX($BS$5:BS220,MATCH(BV221,$BV$5:BV220,0))))</f>
        <v/>
      </c>
      <c r="BT221" s="49">
        <f>IF(NOT(AND($A221&lt;&gt;"",$C221&lt;&gt;"DOOR ONLY")),"",MAX($BT$5:BT220)+1)</f>
        <v/>
      </c>
      <c r="BU221" s="49">
        <f>IF(NOT(AND($A221&lt;&gt;"",N($BC221)&gt;0)),"",MAX($BU$5:BU220)+1)</f>
        <v/>
      </c>
      <c r="BV221" s="49">
        <f>IF(OR($A221="",$BA221="",$BB221=""),"",$AZ221&amp;"|"&amp;$O221&amp;"|"&amp;$AL221&amp;"|"&amp;$S221&amp;"|"&amp;$P221&amp;"|"&amp;$Q221&amp;$R221&amp;"|"&amp;$C221&amp;"|"&amp;$AB221)</f>
        <v/>
      </c>
      <c r="BW221" s="49">
        <f>IF($A221="","",IF($B221="","qty, ","")&amp;IF($C221="","scope, ","")&amp;IF(OR($K221="",$M221=""),"size, ","")&amp;IF(AND($A221&lt;&gt;"",$C221&lt;&gt;"DOOR ONLY"),IF($U221="","jamb depth, ","")&amp;IF($X221="","construction, ","")&amp;IF($Y221="","anchor, ","")&amp;IF($S221="","frame type, ",""),"")&amp;IF(AND(N($BC221)&gt;0,$Z221=""),"hand, ","")&amp;IF(N($BC221)&gt;0,IF($AH221="","door material, ","")&amp;IF($AL221="","face type, ","")&amp;IF($AQ221="","lock prep, ","")&amp;IF(AND($AP221="",$AC221=""),"hinge prep, ",""),"")&amp;IF(AND($BO221&gt;0,$AH221="FRP"),"FRP cannot carry a label, ","")&amp;IF(AND($O221="Y",OR($Z221="L",$Z221="R",$Z221="LR",$Z221="RR")),"pair marked but hand is single, ","")&amp;IF(AND($O221&lt;&gt;"Y",OR($Z221="PR",AND(LEN($Z221)&gt;1,ISNUMBER(SEARCH("-",$Z221))))),"pair hand on a single door, ","")&amp;IF(AND(ISNUMBER($BP221),$BO221&lt;N($BP221)),"wall needs a "&amp;$BP221&amp;" min door, ","")&amp;IF(AND($BO221&gt;=180,AND(OR($BL221="FG",$BL221="HG",$BL221="FNV",$BL221="FV"),N($BM221)*N($BN221)&gt;100)),"180 min lite over 100 sq in, ","")&amp;IF(N($BD221)&gt;48,"leaf wider than 4'-0"&amp;CHAR(34)&amp;", ",""))</f>
        <v/>
      </c>
      <c r="BX221" s="49">
        <f>IF($A221="","",IF(AND($BO221&gt;0,AND($A221&lt;&gt;"",$C221&lt;&gt;"DOOR ONLY"),$X221="KD",$E221="EXTERIOR"),"KD label on an exterior opening, ","")&amp;IF(AND($E221="EXTERIOR",OR(AND(AND($A221&lt;&gt;"",$C221&lt;&gt;"DOOR ONLY"),$W221="CR"),AND(N($BC221)&gt;0,$AH221="CR"))),"exterior in CR steel (G9?), ","")&amp;IF(AND(ISNUMBER($BJ221),N($BJ221)&lt;32),"clear width ~"&amp;TEXT($BJ221,"0.0")&amp;CHAR(34)&amp;" under 32"&amp;CHAR(34)&amp;" (ADA), ","")&amp;IF(AND($BO221=90,AND(OR($BL221="FG",$BL221="HG",$BL221="FNV",$BL221="FV"),N($BM221)*N($BN221)&gt;100)),"90 min lite over 100 sq in (stair/exit), ","")&amp;IF(AND($BO221&gt;0,AND($A221&lt;&gt;"",$C221&lt;&gt;"DOOR ONLY"),OR($AF221="",$AF221="-")),"rated: closer reinf.?, ","")&amp;IF(OR($I221="CORRIDOR",$I221="SMOKE BARRIER"),"S label + smoke gasketing, ","")&amp;IF($BP221="?","wall type/hr not in IBC table, ","")&amp;IF(AND(N($BC221)&gt;0,$AU221=""),"no hardware set, ","")&amp;IF(AND($AU221&lt;&gt;"",ISNA(MATCH($AU221,HWSets,0))),"set "&amp;$AU221&amp;" not on Hardware sheet, ","")&amp;IF(N($BE221)&gt;96,"leaf over 8'-0"&amp;CHAR(34)&amp;" - check listing, ",""))</f>
        <v/>
      </c>
    </row>
    <row r="222" ht="15" customHeight="1">
      <c r="A222" s="44" t="n"/>
      <c r="B222" s="45" t="n"/>
      <c r="C222" s="45" t="n"/>
      <c r="D222" s="45" t="n"/>
      <c r="E222" s="45" t="n"/>
      <c r="F222" s="45" t="n"/>
      <c r="G222" s="45" t="n"/>
      <c r="H222" s="45" t="n"/>
      <c r="I222" s="45" t="n"/>
      <c r="J222" s="45" t="n"/>
      <c r="K222" s="45" t="n"/>
      <c r="L222" s="45" t="n"/>
      <c r="M222" s="45" t="n"/>
      <c r="N222" s="45" t="n"/>
      <c r="O222" s="45" t="n"/>
      <c r="P222" s="45" t="n"/>
      <c r="Q222" s="45" t="n"/>
      <c r="R222" s="45" t="n"/>
      <c r="S222" s="46" t="n"/>
      <c r="T222" s="46" t="n"/>
      <c r="U222" s="46" t="n"/>
      <c r="V222" s="46" t="n"/>
      <c r="W222" s="46" t="n"/>
      <c r="X222" s="46" t="n"/>
      <c r="Y222" s="46" t="n"/>
      <c r="Z222" s="46" t="n"/>
      <c r="AA222" s="46" t="n"/>
      <c r="AB222" s="46" t="n"/>
      <c r="AC222" s="46" t="n"/>
      <c r="AD222" s="46" t="n"/>
      <c r="AE222" s="46" t="n"/>
      <c r="AF222" s="46" t="n"/>
      <c r="AG222" s="46" t="n"/>
      <c r="AH222" s="47" t="n"/>
      <c r="AI222" s="47" t="n"/>
      <c r="AJ222" s="47" t="n"/>
      <c r="AK222" s="47" t="n"/>
      <c r="AL222" s="47" t="n"/>
      <c r="AM222" s="47" t="n"/>
      <c r="AN222" s="47" t="n"/>
      <c r="AO222" s="47" t="n"/>
      <c r="AP222" s="47" t="n"/>
      <c r="AQ222" s="47" t="n"/>
      <c r="AR222" s="47" t="n"/>
      <c r="AS222" s="47" t="n"/>
      <c r="AT222" s="47" t="n"/>
      <c r="AU222" s="48" t="n"/>
      <c r="AV222" s="48" t="n"/>
      <c r="AW222" s="49">
        <f>IF($A222="","",IF($BW222&lt;&gt;"","FIX",IF($BX222&lt;&gt;"","CHECK","OK")))</f>
        <v/>
      </c>
      <c r="AX222" s="50">
        <f>IF($A222="","",IF($BW222&lt;&gt;"","FIX: "&amp;LEFT($BW222,LEN($BW222)-2)&amp;IF($BX222&lt;&gt;"","  ·  ",""),"")&amp;IF($BX222&lt;&gt;"","CHECK: "&amp;LEFT($BX222,LEN($BX222)-2),""))</f>
        <v/>
      </c>
      <c r="AY222" s="49">
        <f>IF(OR($A222="",$K222=""),"",$K222&amp;"'-"&amp;N($L222)&amp;CHAR(34)&amp;" x "&amp;$M222&amp;"'-"&amp;N($N222)&amp;CHAR(34))</f>
        <v/>
      </c>
      <c r="AZ222" s="49">
        <f>IF(OR($A222="",$K222=""),"",$K222&amp;N($L222)&amp;$M222&amp;N($N222))</f>
        <v/>
      </c>
      <c r="BA222" s="49">
        <f>IF(OR($A222="",$K222=""),"",$K222*12+N($L222))</f>
        <v/>
      </c>
      <c r="BB222" s="49">
        <f>IF(OR($A222="",$M222=""),"",$M222*12+N($N222))</f>
        <v/>
      </c>
      <c r="BC222" s="49">
        <f>IF($A222="","",IF(OR($C222="FRAME ONLY",$S222="BL"),0,IF($O222="Y",2,1)))</f>
        <v/>
      </c>
      <c r="BD222" s="51">
        <f>IF(OR(N($BC222)=0,$BA222=""),"",($BA222-2*EdgeClr-IF($BC222=2,MeetClr,0))/$BC222)</f>
        <v/>
      </c>
      <c r="BE222" s="51">
        <f>IF(OR(N($BC222)=0,$BB222=""),"",$BB222-HeadClr-Undercut)</f>
        <v/>
      </c>
      <c r="BF222" s="51">
        <f>IF($BA222="","",$BA222+2*FaceW+IF(N($Q222)&gt;0,($Q222+FaceW)*IF($R222="LR",2,1),0))</f>
        <v/>
      </c>
      <c r="BG222" s="51">
        <f>IF($BB222="","",$BB222+IF($AB222="Y",4,FaceW)+IF(N($P222)&gt;0,$P222+FaceW,0)+IF(OR($S222="4F",$S222="BL"),FaceW,0))</f>
        <v/>
      </c>
      <c r="BH222" s="51">
        <f>IF($BF222="","",$BF222+2*ROSide)</f>
        <v/>
      </c>
      <c r="BI222" s="51">
        <f>IF($BG222="","",$BG222+ROTop)</f>
        <v/>
      </c>
      <c r="BJ222" s="52">
        <f>IF(OR(N($BC222)=0,$BA222=""),"",$BA222/$BC222-ClearDeduct)</f>
        <v/>
      </c>
      <c r="BK222" s="49">
        <f>IF(OR(N($BC222)=0,$BE222=""),"",IF(OR($AC222="HGC",$AP222="HGC"),"CONT",IF($BE222&lt;=60,2,IF($BE222&lt;=90,3,IF($BE222&lt;=120,4,5)))))</f>
        <v/>
      </c>
      <c r="BL222" s="49">
        <f>IF(N($BC222)=0,"",IF(OR($AL222="",$AL222="FLUSH"),"FLUSH",IFERROR(LEFT($AL222,FIND("-",$AL222)-1),LEFT($AL222,2))))</f>
        <v/>
      </c>
      <c r="BM222" s="49">
        <f>IF($BL222="","",IFERROR(VALUE(MID($AL222,FIND("-",$AL222)+1,FIND(CHAR(34)&amp;"x",$AL222)-FIND("-",$AL222)-1)),0))</f>
        <v/>
      </c>
      <c r="BN222" s="49">
        <f>IF($BL222="","",IFERROR(VALUE(MID($AL222,FIND(CHAR(34)&amp;"x",$AL222)+2,FIND(CHAR(34),$AL222,FIND(CHAR(34)&amp;"x",$AL222)+2)-FIND(CHAR(34)&amp;"x",$AL222)-2)),0))</f>
        <v/>
      </c>
      <c r="BO222" s="53">
        <f>IF(OR($A222="",$H222="",$H222="NO LAB"),0,IFERROR(VALUE(LEFT($H222,FIND(" ",$H222)-1)),0))</f>
        <v/>
      </c>
      <c r="BP222" s="54">
        <f>IF(OR($A222="",$I222="",$I222="NON-RATED",N($J222)=0),"",IFERROR(VLOOKUP($I222&amp;"|"&amp;$J222,IBC,2,FALSE),"?"))</f>
        <v/>
      </c>
      <c r="BQ222" s="50">
        <f>IF(NOT(AND($A222&lt;&gt;"",$C222&lt;&gt;"DOOR ONLY")),"",TRIM(IFERROR(VLOOKUP($U222,CODES,2,FALSE),"")&amp;" "&amp;$AZ222&amp;" "&amp;IFERROR(VLOOKUP($Z222,CODES,2,FALSE),"")&amp;" "&amp;IFERROR(VLOOKUP($X222,CODES,2,FALSE),"")&amp;" "&amp;IFERROR(VLOOKUP($S222,CODES,2,FALSE),"")&amp;IF(N($P222)&gt;0," w/TRANSOM "&amp;$P222&amp;CHAR(34),"")&amp;IF(N($Q222)&gt;0," w/SIDELITE "&amp;$Q222&amp;CHAR(34)&amp;" "&amp;IF($R222="","R",$R222),"")&amp;IF($Y222="","  |  "," | "&amp;IFERROR(VLOOKUP($Y222,CODES,2,FALSE),"")&amp;" | ")&amp;IFERROR(VLOOKUP($AC222,CODES,2,FALSE),"")&amp;" "&amp;IFERROR(VLOOKUP($AD222,CODES,2,FALSE),"")&amp;IF(OR($AE222="",$AE222="-"),""," "&amp;$AE222)&amp;IF(OR($AF222="",$AF222="-"),""," "&amp;$AF222)&amp;IF($AB222="Y"," 4"&amp;CHAR(34)&amp;" HEAD","")&amp;" "&amp;IFERROR(VLOOKUP($H222,CODES,2,FALSE),"")))</f>
        <v/>
      </c>
      <c r="BR222" s="50">
        <f>IF(NOT(AND($A222&lt;&gt;"",N($BC222)&gt;0)),"",TRIM(IFERROR(VLOOKUP($AH222,CODES,2,FALSE),"")&amp;IF($AI222=""," "," "&amp;$AI222&amp;"GA ")&amp;$AZ222&amp;" "&amp;IF($AN222="",IFERROR(VLOOKUP($Z222,CODES,2,FALSE),""),IFERROR(VLOOKUP($AN222,CODES,2,FALSE),""))&amp;IF($BC222=2," PAIR","")&amp;" DOOR | "&amp;IF($AL222="","?",$AL222)&amp;" | "&amp;IF($AP222="",IFERROR(VLOOKUP($AC222,CODES,2,FALSE),""),IFERROR(VLOOKUP($AP222,CODES,2,FALSE),""))&amp;" "&amp;IFERROR(VLOOKUP($AQ222,CODES,2,FALSE),"")&amp;IF(OR($AR222="",$AR222="-"),""," SEAM "&amp;$AR222)&amp;IF($AS222="Y"," ASTRAGAL","")&amp;IF($AJ222=""," "," "&amp;$AJ222)&amp;IF($AK222=""," "," "&amp;$AK222)&amp;IF($AO222="",""," "&amp;$AO222)&amp;IF($AM222=""," "," SERIES "&amp;$AM222)&amp;" "&amp;IFERROR(VLOOKUP($H222,CODES,2,FALSE),"")))</f>
        <v/>
      </c>
      <c r="BS222" s="49">
        <f>IF(BV222="","",IF(COUNTIF($BV$6:BV222,BV222)=1,MAX($BS$5:BS221)+1,INDEX($BS$5:BS221,MATCH(BV222,$BV$5:BV221,0))))</f>
        <v/>
      </c>
      <c r="BT222" s="49">
        <f>IF(NOT(AND($A222&lt;&gt;"",$C222&lt;&gt;"DOOR ONLY")),"",MAX($BT$5:BT221)+1)</f>
        <v/>
      </c>
      <c r="BU222" s="49">
        <f>IF(NOT(AND($A222&lt;&gt;"",N($BC222)&gt;0)),"",MAX($BU$5:BU221)+1)</f>
        <v/>
      </c>
      <c r="BV222" s="49">
        <f>IF(OR($A222="",$BA222="",$BB222=""),"",$AZ222&amp;"|"&amp;$O222&amp;"|"&amp;$AL222&amp;"|"&amp;$S222&amp;"|"&amp;$P222&amp;"|"&amp;$Q222&amp;$R222&amp;"|"&amp;$C222&amp;"|"&amp;$AB222)</f>
        <v/>
      </c>
      <c r="BW222" s="49">
        <f>IF($A222="","",IF($B222="","qty, ","")&amp;IF($C222="","scope, ","")&amp;IF(OR($K222="",$M222=""),"size, ","")&amp;IF(AND($A222&lt;&gt;"",$C222&lt;&gt;"DOOR ONLY"),IF($U222="","jamb depth, ","")&amp;IF($X222="","construction, ","")&amp;IF($Y222="","anchor, ","")&amp;IF($S222="","frame type, ",""),"")&amp;IF(AND(N($BC222)&gt;0,$Z222=""),"hand, ","")&amp;IF(N($BC222)&gt;0,IF($AH222="","door material, ","")&amp;IF($AL222="","face type, ","")&amp;IF($AQ222="","lock prep, ","")&amp;IF(AND($AP222="",$AC222=""),"hinge prep, ",""),"")&amp;IF(AND($BO222&gt;0,$AH222="FRP"),"FRP cannot carry a label, ","")&amp;IF(AND($O222="Y",OR($Z222="L",$Z222="R",$Z222="LR",$Z222="RR")),"pair marked but hand is single, ","")&amp;IF(AND($O222&lt;&gt;"Y",OR($Z222="PR",AND(LEN($Z222)&gt;1,ISNUMBER(SEARCH("-",$Z222))))),"pair hand on a single door, ","")&amp;IF(AND(ISNUMBER($BP222),$BO222&lt;N($BP222)),"wall needs a "&amp;$BP222&amp;" min door, ","")&amp;IF(AND($BO222&gt;=180,AND(OR($BL222="FG",$BL222="HG",$BL222="FNV",$BL222="FV"),N($BM222)*N($BN222)&gt;100)),"180 min lite over 100 sq in, ","")&amp;IF(N($BD222)&gt;48,"leaf wider than 4'-0"&amp;CHAR(34)&amp;", ",""))</f>
        <v/>
      </c>
      <c r="BX222" s="49">
        <f>IF($A222="","",IF(AND($BO222&gt;0,AND($A222&lt;&gt;"",$C222&lt;&gt;"DOOR ONLY"),$X222="KD",$E222="EXTERIOR"),"KD label on an exterior opening, ","")&amp;IF(AND($E222="EXTERIOR",OR(AND(AND($A222&lt;&gt;"",$C222&lt;&gt;"DOOR ONLY"),$W222="CR"),AND(N($BC222)&gt;0,$AH222="CR"))),"exterior in CR steel (G9?), ","")&amp;IF(AND(ISNUMBER($BJ222),N($BJ222)&lt;32),"clear width ~"&amp;TEXT($BJ222,"0.0")&amp;CHAR(34)&amp;" under 32"&amp;CHAR(34)&amp;" (ADA), ","")&amp;IF(AND($BO222=90,AND(OR($BL222="FG",$BL222="HG",$BL222="FNV",$BL222="FV"),N($BM222)*N($BN222)&gt;100)),"90 min lite over 100 sq in (stair/exit), ","")&amp;IF(AND($BO222&gt;0,AND($A222&lt;&gt;"",$C222&lt;&gt;"DOOR ONLY"),OR($AF222="",$AF222="-")),"rated: closer reinf.?, ","")&amp;IF(OR($I222="CORRIDOR",$I222="SMOKE BARRIER"),"S label + smoke gasketing, ","")&amp;IF($BP222="?","wall type/hr not in IBC table, ","")&amp;IF(AND(N($BC222)&gt;0,$AU222=""),"no hardware set, ","")&amp;IF(AND($AU222&lt;&gt;"",ISNA(MATCH($AU222,HWSets,0))),"set "&amp;$AU222&amp;" not on Hardware sheet, ","")&amp;IF(N($BE222)&gt;96,"leaf over 8'-0"&amp;CHAR(34)&amp;" - check listing, ",""))</f>
        <v/>
      </c>
    </row>
    <row r="223" ht="15" customHeight="1">
      <c r="A223" s="44" t="n"/>
      <c r="B223" s="45" t="n"/>
      <c r="C223" s="45" t="n"/>
      <c r="D223" s="45" t="n"/>
      <c r="E223" s="45" t="n"/>
      <c r="F223" s="45" t="n"/>
      <c r="G223" s="45" t="n"/>
      <c r="H223" s="45" t="n"/>
      <c r="I223" s="45" t="n"/>
      <c r="J223" s="45" t="n"/>
      <c r="K223" s="45" t="n"/>
      <c r="L223" s="45" t="n"/>
      <c r="M223" s="45" t="n"/>
      <c r="N223" s="45" t="n"/>
      <c r="O223" s="45" t="n"/>
      <c r="P223" s="45" t="n"/>
      <c r="Q223" s="45" t="n"/>
      <c r="R223" s="45" t="n"/>
      <c r="S223" s="46" t="n"/>
      <c r="T223" s="46" t="n"/>
      <c r="U223" s="46" t="n"/>
      <c r="V223" s="46" t="n"/>
      <c r="W223" s="46" t="n"/>
      <c r="X223" s="46" t="n"/>
      <c r="Y223" s="46" t="n"/>
      <c r="Z223" s="46" t="n"/>
      <c r="AA223" s="46" t="n"/>
      <c r="AB223" s="46" t="n"/>
      <c r="AC223" s="46" t="n"/>
      <c r="AD223" s="46" t="n"/>
      <c r="AE223" s="46" t="n"/>
      <c r="AF223" s="46" t="n"/>
      <c r="AG223" s="46" t="n"/>
      <c r="AH223" s="47" t="n"/>
      <c r="AI223" s="47" t="n"/>
      <c r="AJ223" s="47" t="n"/>
      <c r="AK223" s="47" t="n"/>
      <c r="AL223" s="47" t="n"/>
      <c r="AM223" s="47" t="n"/>
      <c r="AN223" s="47" t="n"/>
      <c r="AO223" s="47" t="n"/>
      <c r="AP223" s="47" t="n"/>
      <c r="AQ223" s="47" t="n"/>
      <c r="AR223" s="47" t="n"/>
      <c r="AS223" s="47" t="n"/>
      <c r="AT223" s="47" t="n"/>
      <c r="AU223" s="48" t="n"/>
      <c r="AV223" s="48" t="n"/>
      <c r="AW223" s="49">
        <f>IF($A223="","",IF($BW223&lt;&gt;"","FIX",IF($BX223&lt;&gt;"","CHECK","OK")))</f>
        <v/>
      </c>
      <c r="AX223" s="50">
        <f>IF($A223="","",IF($BW223&lt;&gt;"","FIX: "&amp;LEFT($BW223,LEN($BW223)-2)&amp;IF($BX223&lt;&gt;"","  ·  ",""),"")&amp;IF($BX223&lt;&gt;"","CHECK: "&amp;LEFT($BX223,LEN($BX223)-2),""))</f>
        <v/>
      </c>
      <c r="AY223" s="49">
        <f>IF(OR($A223="",$K223=""),"",$K223&amp;"'-"&amp;N($L223)&amp;CHAR(34)&amp;" x "&amp;$M223&amp;"'-"&amp;N($N223)&amp;CHAR(34))</f>
        <v/>
      </c>
      <c r="AZ223" s="49">
        <f>IF(OR($A223="",$K223=""),"",$K223&amp;N($L223)&amp;$M223&amp;N($N223))</f>
        <v/>
      </c>
      <c r="BA223" s="49">
        <f>IF(OR($A223="",$K223=""),"",$K223*12+N($L223))</f>
        <v/>
      </c>
      <c r="BB223" s="49">
        <f>IF(OR($A223="",$M223=""),"",$M223*12+N($N223))</f>
        <v/>
      </c>
      <c r="BC223" s="49">
        <f>IF($A223="","",IF(OR($C223="FRAME ONLY",$S223="BL"),0,IF($O223="Y",2,1)))</f>
        <v/>
      </c>
      <c r="BD223" s="51">
        <f>IF(OR(N($BC223)=0,$BA223=""),"",($BA223-2*EdgeClr-IF($BC223=2,MeetClr,0))/$BC223)</f>
        <v/>
      </c>
      <c r="BE223" s="51">
        <f>IF(OR(N($BC223)=0,$BB223=""),"",$BB223-HeadClr-Undercut)</f>
        <v/>
      </c>
      <c r="BF223" s="51">
        <f>IF($BA223="","",$BA223+2*FaceW+IF(N($Q223)&gt;0,($Q223+FaceW)*IF($R223="LR",2,1),0))</f>
        <v/>
      </c>
      <c r="BG223" s="51">
        <f>IF($BB223="","",$BB223+IF($AB223="Y",4,FaceW)+IF(N($P223)&gt;0,$P223+FaceW,0)+IF(OR($S223="4F",$S223="BL"),FaceW,0))</f>
        <v/>
      </c>
      <c r="BH223" s="51">
        <f>IF($BF223="","",$BF223+2*ROSide)</f>
        <v/>
      </c>
      <c r="BI223" s="51">
        <f>IF($BG223="","",$BG223+ROTop)</f>
        <v/>
      </c>
      <c r="BJ223" s="52">
        <f>IF(OR(N($BC223)=0,$BA223=""),"",$BA223/$BC223-ClearDeduct)</f>
        <v/>
      </c>
      <c r="BK223" s="49">
        <f>IF(OR(N($BC223)=0,$BE223=""),"",IF(OR($AC223="HGC",$AP223="HGC"),"CONT",IF($BE223&lt;=60,2,IF($BE223&lt;=90,3,IF($BE223&lt;=120,4,5)))))</f>
        <v/>
      </c>
      <c r="BL223" s="49">
        <f>IF(N($BC223)=0,"",IF(OR($AL223="",$AL223="FLUSH"),"FLUSH",IFERROR(LEFT($AL223,FIND("-",$AL223)-1),LEFT($AL223,2))))</f>
        <v/>
      </c>
      <c r="BM223" s="49">
        <f>IF($BL223="","",IFERROR(VALUE(MID($AL223,FIND("-",$AL223)+1,FIND(CHAR(34)&amp;"x",$AL223)-FIND("-",$AL223)-1)),0))</f>
        <v/>
      </c>
      <c r="BN223" s="49">
        <f>IF($BL223="","",IFERROR(VALUE(MID($AL223,FIND(CHAR(34)&amp;"x",$AL223)+2,FIND(CHAR(34),$AL223,FIND(CHAR(34)&amp;"x",$AL223)+2)-FIND(CHAR(34)&amp;"x",$AL223)-2)),0))</f>
        <v/>
      </c>
      <c r="BO223" s="53">
        <f>IF(OR($A223="",$H223="",$H223="NO LAB"),0,IFERROR(VALUE(LEFT($H223,FIND(" ",$H223)-1)),0))</f>
        <v/>
      </c>
      <c r="BP223" s="54">
        <f>IF(OR($A223="",$I223="",$I223="NON-RATED",N($J223)=0),"",IFERROR(VLOOKUP($I223&amp;"|"&amp;$J223,IBC,2,FALSE),"?"))</f>
        <v/>
      </c>
      <c r="BQ223" s="50">
        <f>IF(NOT(AND($A223&lt;&gt;"",$C223&lt;&gt;"DOOR ONLY")),"",TRIM(IFERROR(VLOOKUP($U223,CODES,2,FALSE),"")&amp;" "&amp;$AZ223&amp;" "&amp;IFERROR(VLOOKUP($Z223,CODES,2,FALSE),"")&amp;" "&amp;IFERROR(VLOOKUP($X223,CODES,2,FALSE),"")&amp;" "&amp;IFERROR(VLOOKUP($S223,CODES,2,FALSE),"")&amp;IF(N($P223)&gt;0," w/TRANSOM "&amp;$P223&amp;CHAR(34),"")&amp;IF(N($Q223)&gt;0," w/SIDELITE "&amp;$Q223&amp;CHAR(34)&amp;" "&amp;IF($R223="","R",$R223),"")&amp;IF($Y223="","  |  "," | "&amp;IFERROR(VLOOKUP($Y223,CODES,2,FALSE),"")&amp;" | ")&amp;IFERROR(VLOOKUP($AC223,CODES,2,FALSE),"")&amp;" "&amp;IFERROR(VLOOKUP($AD223,CODES,2,FALSE),"")&amp;IF(OR($AE223="",$AE223="-"),""," "&amp;$AE223)&amp;IF(OR($AF223="",$AF223="-"),""," "&amp;$AF223)&amp;IF($AB223="Y"," 4"&amp;CHAR(34)&amp;" HEAD","")&amp;" "&amp;IFERROR(VLOOKUP($H223,CODES,2,FALSE),"")))</f>
        <v/>
      </c>
      <c r="BR223" s="50">
        <f>IF(NOT(AND($A223&lt;&gt;"",N($BC223)&gt;0)),"",TRIM(IFERROR(VLOOKUP($AH223,CODES,2,FALSE),"")&amp;IF($AI223=""," "," "&amp;$AI223&amp;"GA ")&amp;$AZ223&amp;" "&amp;IF($AN223="",IFERROR(VLOOKUP($Z223,CODES,2,FALSE),""),IFERROR(VLOOKUP($AN223,CODES,2,FALSE),""))&amp;IF($BC223=2," PAIR","")&amp;" DOOR | "&amp;IF($AL223="","?",$AL223)&amp;" | "&amp;IF($AP223="",IFERROR(VLOOKUP($AC223,CODES,2,FALSE),""),IFERROR(VLOOKUP($AP223,CODES,2,FALSE),""))&amp;" "&amp;IFERROR(VLOOKUP($AQ223,CODES,2,FALSE),"")&amp;IF(OR($AR223="",$AR223="-"),""," SEAM "&amp;$AR223)&amp;IF($AS223="Y"," ASTRAGAL","")&amp;IF($AJ223=""," "," "&amp;$AJ223)&amp;IF($AK223=""," "," "&amp;$AK223)&amp;IF($AO223="",""," "&amp;$AO223)&amp;IF($AM223=""," "," SERIES "&amp;$AM223)&amp;" "&amp;IFERROR(VLOOKUP($H223,CODES,2,FALSE),"")))</f>
        <v/>
      </c>
      <c r="BS223" s="49">
        <f>IF(BV223="","",IF(COUNTIF($BV$6:BV223,BV223)=1,MAX($BS$5:BS222)+1,INDEX($BS$5:BS222,MATCH(BV223,$BV$5:BV222,0))))</f>
        <v/>
      </c>
      <c r="BT223" s="49">
        <f>IF(NOT(AND($A223&lt;&gt;"",$C223&lt;&gt;"DOOR ONLY")),"",MAX($BT$5:BT222)+1)</f>
        <v/>
      </c>
      <c r="BU223" s="49">
        <f>IF(NOT(AND($A223&lt;&gt;"",N($BC223)&gt;0)),"",MAX($BU$5:BU222)+1)</f>
        <v/>
      </c>
      <c r="BV223" s="49">
        <f>IF(OR($A223="",$BA223="",$BB223=""),"",$AZ223&amp;"|"&amp;$O223&amp;"|"&amp;$AL223&amp;"|"&amp;$S223&amp;"|"&amp;$P223&amp;"|"&amp;$Q223&amp;$R223&amp;"|"&amp;$C223&amp;"|"&amp;$AB223)</f>
        <v/>
      </c>
      <c r="BW223" s="49">
        <f>IF($A223="","",IF($B223="","qty, ","")&amp;IF($C223="","scope, ","")&amp;IF(OR($K223="",$M223=""),"size, ","")&amp;IF(AND($A223&lt;&gt;"",$C223&lt;&gt;"DOOR ONLY"),IF($U223="","jamb depth, ","")&amp;IF($X223="","construction, ","")&amp;IF($Y223="","anchor, ","")&amp;IF($S223="","frame type, ",""),"")&amp;IF(AND(N($BC223)&gt;0,$Z223=""),"hand, ","")&amp;IF(N($BC223)&gt;0,IF($AH223="","door material, ","")&amp;IF($AL223="","face type, ","")&amp;IF($AQ223="","lock prep, ","")&amp;IF(AND($AP223="",$AC223=""),"hinge prep, ",""),"")&amp;IF(AND($BO223&gt;0,$AH223="FRP"),"FRP cannot carry a label, ","")&amp;IF(AND($O223="Y",OR($Z223="L",$Z223="R",$Z223="LR",$Z223="RR")),"pair marked but hand is single, ","")&amp;IF(AND($O223&lt;&gt;"Y",OR($Z223="PR",AND(LEN($Z223)&gt;1,ISNUMBER(SEARCH("-",$Z223))))),"pair hand on a single door, ","")&amp;IF(AND(ISNUMBER($BP223),$BO223&lt;N($BP223)),"wall needs a "&amp;$BP223&amp;" min door, ","")&amp;IF(AND($BO223&gt;=180,AND(OR($BL223="FG",$BL223="HG",$BL223="FNV",$BL223="FV"),N($BM223)*N($BN223)&gt;100)),"180 min lite over 100 sq in, ","")&amp;IF(N($BD223)&gt;48,"leaf wider than 4'-0"&amp;CHAR(34)&amp;", ",""))</f>
        <v/>
      </c>
      <c r="BX223" s="49">
        <f>IF($A223="","",IF(AND($BO223&gt;0,AND($A223&lt;&gt;"",$C223&lt;&gt;"DOOR ONLY"),$X223="KD",$E223="EXTERIOR"),"KD label on an exterior opening, ","")&amp;IF(AND($E223="EXTERIOR",OR(AND(AND($A223&lt;&gt;"",$C223&lt;&gt;"DOOR ONLY"),$W223="CR"),AND(N($BC223)&gt;0,$AH223="CR"))),"exterior in CR steel (G9?), ","")&amp;IF(AND(ISNUMBER($BJ223),N($BJ223)&lt;32),"clear width ~"&amp;TEXT($BJ223,"0.0")&amp;CHAR(34)&amp;" under 32"&amp;CHAR(34)&amp;" (ADA), ","")&amp;IF(AND($BO223=90,AND(OR($BL223="FG",$BL223="HG",$BL223="FNV",$BL223="FV"),N($BM223)*N($BN223)&gt;100)),"90 min lite over 100 sq in (stair/exit), ","")&amp;IF(AND($BO223&gt;0,AND($A223&lt;&gt;"",$C223&lt;&gt;"DOOR ONLY"),OR($AF223="",$AF223="-")),"rated: closer reinf.?, ","")&amp;IF(OR($I223="CORRIDOR",$I223="SMOKE BARRIER"),"S label + smoke gasketing, ","")&amp;IF($BP223="?","wall type/hr not in IBC table, ","")&amp;IF(AND(N($BC223)&gt;0,$AU223=""),"no hardware set, ","")&amp;IF(AND($AU223&lt;&gt;"",ISNA(MATCH($AU223,HWSets,0))),"set "&amp;$AU223&amp;" not on Hardware sheet, ","")&amp;IF(N($BE223)&gt;96,"leaf over 8'-0"&amp;CHAR(34)&amp;" - check listing, ",""))</f>
        <v/>
      </c>
    </row>
    <row r="224" ht="15" customHeight="1">
      <c r="A224" s="44" t="n"/>
      <c r="B224" s="45" t="n"/>
      <c r="C224" s="45" t="n"/>
      <c r="D224" s="45" t="n"/>
      <c r="E224" s="45" t="n"/>
      <c r="F224" s="45" t="n"/>
      <c r="G224" s="45" t="n"/>
      <c r="H224" s="45" t="n"/>
      <c r="I224" s="45" t="n"/>
      <c r="J224" s="45" t="n"/>
      <c r="K224" s="45" t="n"/>
      <c r="L224" s="45" t="n"/>
      <c r="M224" s="45" t="n"/>
      <c r="N224" s="45" t="n"/>
      <c r="O224" s="45" t="n"/>
      <c r="P224" s="45" t="n"/>
      <c r="Q224" s="45" t="n"/>
      <c r="R224" s="45" t="n"/>
      <c r="S224" s="46" t="n"/>
      <c r="T224" s="46" t="n"/>
      <c r="U224" s="46" t="n"/>
      <c r="V224" s="46" t="n"/>
      <c r="W224" s="46" t="n"/>
      <c r="X224" s="46" t="n"/>
      <c r="Y224" s="46" t="n"/>
      <c r="Z224" s="46" t="n"/>
      <c r="AA224" s="46" t="n"/>
      <c r="AB224" s="46" t="n"/>
      <c r="AC224" s="46" t="n"/>
      <c r="AD224" s="46" t="n"/>
      <c r="AE224" s="46" t="n"/>
      <c r="AF224" s="46" t="n"/>
      <c r="AG224" s="46" t="n"/>
      <c r="AH224" s="47" t="n"/>
      <c r="AI224" s="47" t="n"/>
      <c r="AJ224" s="47" t="n"/>
      <c r="AK224" s="47" t="n"/>
      <c r="AL224" s="47" t="n"/>
      <c r="AM224" s="47" t="n"/>
      <c r="AN224" s="47" t="n"/>
      <c r="AO224" s="47" t="n"/>
      <c r="AP224" s="47" t="n"/>
      <c r="AQ224" s="47" t="n"/>
      <c r="AR224" s="47" t="n"/>
      <c r="AS224" s="47" t="n"/>
      <c r="AT224" s="47" t="n"/>
      <c r="AU224" s="48" t="n"/>
      <c r="AV224" s="48" t="n"/>
      <c r="AW224" s="49">
        <f>IF($A224="","",IF($BW224&lt;&gt;"","FIX",IF($BX224&lt;&gt;"","CHECK","OK")))</f>
        <v/>
      </c>
      <c r="AX224" s="50">
        <f>IF($A224="","",IF($BW224&lt;&gt;"","FIX: "&amp;LEFT($BW224,LEN($BW224)-2)&amp;IF($BX224&lt;&gt;"","  ·  ",""),"")&amp;IF($BX224&lt;&gt;"","CHECK: "&amp;LEFT($BX224,LEN($BX224)-2),""))</f>
        <v/>
      </c>
      <c r="AY224" s="49">
        <f>IF(OR($A224="",$K224=""),"",$K224&amp;"'-"&amp;N($L224)&amp;CHAR(34)&amp;" x "&amp;$M224&amp;"'-"&amp;N($N224)&amp;CHAR(34))</f>
        <v/>
      </c>
      <c r="AZ224" s="49">
        <f>IF(OR($A224="",$K224=""),"",$K224&amp;N($L224)&amp;$M224&amp;N($N224))</f>
        <v/>
      </c>
      <c r="BA224" s="49">
        <f>IF(OR($A224="",$K224=""),"",$K224*12+N($L224))</f>
        <v/>
      </c>
      <c r="BB224" s="49">
        <f>IF(OR($A224="",$M224=""),"",$M224*12+N($N224))</f>
        <v/>
      </c>
      <c r="BC224" s="49">
        <f>IF($A224="","",IF(OR($C224="FRAME ONLY",$S224="BL"),0,IF($O224="Y",2,1)))</f>
        <v/>
      </c>
      <c r="BD224" s="51">
        <f>IF(OR(N($BC224)=0,$BA224=""),"",($BA224-2*EdgeClr-IF($BC224=2,MeetClr,0))/$BC224)</f>
        <v/>
      </c>
      <c r="BE224" s="51">
        <f>IF(OR(N($BC224)=0,$BB224=""),"",$BB224-HeadClr-Undercut)</f>
        <v/>
      </c>
      <c r="BF224" s="51">
        <f>IF($BA224="","",$BA224+2*FaceW+IF(N($Q224)&gt;0,($Q224+FaceW)*IF($R224="LR",2,1),0))</f>
        <v/>
      </c>
      <c r="BG224" s="51">
        <f>IF($BB224="","",$BB224+IF($AB224="Y",4,FaceW)+IF(N($P224)&gt;0,$P224+FaceW,0)+IF(OR($S224="4F",$S224="BL"),FaceW,0))</f>
        <v/>
      </c>
      <c r="BH224" s="51">
        <f>IF($BF224="","",$BF224+2*ROSide)</f>
        <v/>
      </c>
      <c r="BI224" s="51">
        <f>IF($BG224="","",$BG224+ROTop)</f>
        <v/>
      </c>
      <c r="BJ224" s="52">
        <f>IF(OR(N($BC224)=0,$BA224=""),"",$BA224/$BC224-ClearDeduct)</f>
        <v/>
      </c>
      <c r="BK224" s="49">
        <f>IF(OR(N($BC224)=0,$BE224=""),"",IF(OR($AC224="HGC",$AP224="HGC"),"CONT",IF($BE224&lt;=60,2,IF($BE224&lt;=90,3,IF($BE224&lt;=120,4,5)))))</f>
        <v/>
      </c>
      <c r="BL224" s="49">
        <f>IF(N($BC224)=0,"",IF(OR($AL224="",$AL224="FLUSH"),"FLUSH",IFERROR(LEFT($AL224,FIND("-",$AL224)-1),LEFT($AL224,2))))</f>
        <v/>
      </c>
      <c r="BM224" s="49">
        <f>IF($BL224="","",IFERROR(VALUE(MID($AL224,FIND("-",$AL224)+1,FIND(CHAR(34)&amp;"x",$AL224)-FIND("-",$AL224)-1)),0))</f>
        <v/>
      </c>
      <c r="BN224" s="49">
        <f>IF($BL224="","",IFERROR(VALUE(MID($AL224,FIND(CHAR(34)&amp;"x",$AL224)+2,FIND(CHAR(34),$AL224,FIND(CHAR(34)&amp;"x",$AL224)+2)-FIND(CHAR(34)&amp;"x",$AL224)-2)),0))</f>
        <v/>
      </c>
      <c r="BO224" s="53">
        <f>IF(OR($A224="",$H224="",$H224="NO LAB"),0,IFERROR(VALUE(LEFT($H224,FIND(" ",$H224)-1)),0))</f>
        <v/>
      </c>
      <c r="BP224" s="54">
        <f>IF(OR($A224="",$I224="",$I224="NON-RATED",N($J224)=0),"",IFERROR(VLOOKUP($I224&amp;"|"&amp;$J224,IBC,2,FALSE),"?"))</f>
        <v/>
      </c>
      <c r="BQ224" s="50">
        <f>IF(NOT(AND($A224&lt;&gt;"",$C224&lt;&gt;"DOOR ONLY")),"",TRIM(IFERROR(VLOOKUP($U224,CODES,2,FALSE),"")&amp;" "&amp;$AZ224&amp;" "&amp;IFERROR(VLOOKUP($Z224,CODES,2,FALSE),"")&amp;" "&amp;IFERROR(VLOOKUP($X224,CODES,2,FALSE),"")&amp;" "&amp;IFERROR(VLOOKUP($S224,CODES,2,FALSE),"")&amp;IF(N($P224)&gt;0," w/TRANSOM "&amp;$P224&amp;CHAR(34),"")&amp;IF(N($Q224)&gt;0," w/SIDELITE "&amp;$Q224&amp;CHAR(34)&amp;" "&amp;IF($R224="","R",$R224),"")&amp;IF($Y224="","  |  "," | "&amp;IFERROR(VLOOKUP($Y224,CODES,2,FALSE),"")&amp;" | ")&amp;IFERROR(VLOOKUP($AC224,CODES,2,FALSE),"")&amp;" "&amp;IFERROR(VLOOKUP($AD224,CODES,2,FALSE),"")&amp;IF(OR($AE224="",$AE224="-"),""," "&amp;$AE224)&amp;IF(OR($AF224="",$AF224="-"),""," "&amp;$AF224)&amp;IF($AB224="Y"," 4"&amp;CHAR(34)&amp;" HEAD","")&amp;" "&amp;IFERROR(VLOOKUP($H224,CODES,2,FALSE),"")))</f>
        <v/>
      </c>
      <c r="BR224" s="50">
        <f>IF(NOT(AND($A224&lt;&gt;"",N($BC224)&gt;0)),"",TRIM(IFERROR(VLOOKUP($AH224,CODES,2,FALSE),"")&amp;IF($AI224=""," "," "&amp;$AI224&amp;"GA ")&amp;$AZ224&amp;" "&amp;IF($AN224="",IFERROR(VLOOKUP($Z224,CODES,2,FALSE),""),IFERROR(VLOOKUP($AN224,CODES,2,FALSE),""))&amp;IF($BC224=2," PAIR","")&amp;" DOOR | "&amp;IF($AL224="","?",$AL224)&amp;" | "&amp;IF($AP224="",IFERROR(VLOOKUP($AC224,CODES,2,FALSE),""),IFERROR(VLOOKUP($AP224,CODES,2,FALSE),""))&amp;" "&amp;IFERROR(VLOOKUP($AQ224,CODES,2,FALSE),"")&amp;IF(OR($AR224="",$AR224="-"),""," SEAM "&amp;$AR224)&amp;IF($AS224="Y"," ASTRAGAL","")&amp;IF($AJ224=""," "," "&amp;$AJ224)&amp;IF($AK224=""," "," "&amp;$AK224)&amp;IF($AO224="",""," "&amp;$AO224)&amp;IF($AM224=""," "," SERIES "&amp;$AM224)&amp;" "&amp;IFERROR(VLOOKUP($H224,CODES,2,FALSE),"")))</f>
        <v/>
      </c>
      <c r="BS224" s="49">
        <f>IF(BV224="","",IF(COUNTIF($BV$6:BV224,BV224)=1,MAX($BS$5:BS223)+1,INDEX($BS$5:BS223,MATCH(BV224,$BV$5:BV223,0))))</f>
        <v/>
      </c>
      <c r="BT224" s="49">
        <f>IF(NOT(AND($A224&lt;&gt;"",$C224&lt;&gt;"DOOR ONLY")),"",MAX($BT$5:BT223)+1)</f>
        <v/>
      </c>
      <c r="BU224" s="49">
        <f>IF(NOT(AND($A224&lt;&gt;"",N($BC224)&gt;0)),"",MAX($BU$5:BU223)+1)</f>
        <v/>
      </c>
      <c r="BV224" s="49">
        <f>IF(OR($A224="",$BA224="",$BB224=""),"",$AZ224&amp;"|"&amp;$O224&amp;"|"&amp;$AL224&amp;"|"&amp;$S224&amp;"|"&amp;$P224&amp;"|"&amp;$Q224&amp;$R224&amp;"|"&amp;$C224&amp;"|"&amp;$AB224)</f>
        <v/>
      </c>
      <c r="BW224" s="49">
        <f>IF($A224="","",IF($B224="","qty, ","")&amp;IF($C224="","scope, ","")&amp;IF(OR($K224="",$M224=""),"size, ","")&amp;IF(AND($A224&lt;&gt;"",$C224&lt;&gt;"DOOR ONLY"),IF($U224="","jamb depth, ","")&amp;IF($X224="","construction, ","")&amp;IF($Y224="","anchor, ","")&amp;IF($S224="","frame type, ",""),"")&amp;IF(AND(N($BC224)&gt;0,$Z224=""),"hand, ","")&amp;IF(N($BC224)&gt;0,IF($AH224="","door material, ","")&amp;IF($AL224="","face type, ","")&amp;IF($AQ224="","lock prep, ","")&amp;IF(AND($AP224="",$AC224=""),"hinge prep, ",""),"")&amp;IF(AND($BO224&gt;0,$AH224="FRP"),"FRP cannot carry a label, ","")&amp;IF(AND($O224="Y",OR($Z224="L",$Z224="R",$Z224="LR",$Z224="RR")),"pair marked but hand is single, ","")&amp;IF(AND($O224&lt;&gt;"Y",OR($Z224="PR",AND(LEN($Z224)&gt;1,ISNUMBER(SEARCH("-",$Z224))))),"pair hand on a single door, ","")&amp;IF(AND(ISNUMBER($BP224),$BO224&lt;N($BP224)),"wall needs a "&amp;$BP224&amp;" min door, ","")&amp;IF(AND($BO224&gt;=180,AND(OR($BL224="FG",$BL224="HG",$BL224="FNV",$BL224="FV"),N($BM224)*N($BN224)&gt;100)),"180 min lite over 100 sq in, ","")&amp;IF(N($BD224)&gt;48,"leaf wider than 4'-0"&amp;CHAR(34)&amp;", ",""))</f>
        <v/>
      </c>
      <c r="BX224" s="49">
        <f>IF($A224="","",IF(AND($BO224&gt;0,AND($A224&lt;&gt;"",$C224&lt;&gt;"DOOR ONLY"),$X224="KD",$E224="EXTERIOR"),"KD label on an exterior opening, ","")&amp;IF(AND($E224="EXTERIOR",OR(AND(AND($A224&lt;&gt;"",$C224&lt;&gt;"DOOR ONLY"),$W224="CR"),AND(N($BC224)&gt;0,$AH224="CR"))),"exterior in CR steel (G9?), ","")&amp;IF(AND(ISNUMBER($BJ224),N($BJ224)&lt;32),"clear width ~"&amp;TEXT($BJ224,"0.0")&amp;CHAR(34)&amp;" under 32"&amp;CHAR(34)&amp;" (ADA), ","")&amp;IF(AND($BO224=90,AND(OR($BL224="FG",$BL224="HG",$BL224="FNV",$BL224="FV"),N($BM224)*N($BN224)&gt;100)),"90 min lite over 100 sq in (stair/exit), ","")&amp;IF(AND($BO224&gt;0,AND($A224&lt;&gt;"",$C224&lt;&gt;"DOOR ONLY"),OR($AF224="",$AF224="-")),"rated: closer reinf.?, ","")&amp;IF(OR($I224="CORRIDOR",$I224="SMOKE BARRIER"),"S label + smoke gasketing, ","")&amp;IF($BP224="?","wall type/hr not in IBC table, ","")&amp;IF(AND(N($BC224)&gt;0,$AU224=""),"no hardware set, ","")&amp;IF(AND($AU224&lt;&gt;"",ISNA(MATCH($AU224,HWSets,0))),"set "&amp;$AU224&amp;" not on Hardware sheet, ","")&amp;IF(N($BE224)&gt;96,"leaf over 8'-0"&amp;CHAR(34)&amp;" - check listing, ",""))</f>
        <v/>
      </c>
    </row>
    <row r="225" ht="15" customHeight="1">
      <c r="A225" s="44" t="n"/>
      <c r="B225" s="45" t="n"/>
      <c r="C225" s="45" t="n"/>
      <c r="D225" s="45" t="n"/>
      <c r="E225" s="45" t="n"/>
      <c r="F225" s="45" t="n"/>
      <c r="G225" s="45" t="n"/>
      <c r="H225" s="45" t="n"/>
      <c r="I225" s="45" t="n"/>
      <c r="J225" s="45" t="n"/>
      <c r="K225" s="45" t="n"/>
      <c r="L225" s="45" t="n"/>
      <c r="M225" s="45" t="n"/>
      <c r="N225" s="45" t="n"/>
      <c r="O225" s="45" t="n"/>
      <c r="P225" s="45" t="n"/>
      <c r="Q225" s="45" t="n"/>
      <c r="R225" s="45" t="n"/>
      <c r="S225" s="46" t="n"/>
      <c r="T225" s="46" t="n"/>
      <c r="U225" s="46" t="n"/>
      <c r="V225" s="46" t="n"/>
      <c r="W225" s="46" t="n"/>
      <c r="X225" s="46" t="n"/>
      <c r="Y225" s="46" t="n"/>
      <c r="Z225" s="46" t="n"/>
      <c r="AA225" s="46" t="n"/>
      <c r="AB225" s="46" t="n"/>
      <c r="AC225" s="46" t="n"/>
      <c r="AD225" s="46" t="n"/>
      <c r="AE225" s="46" t="n"/>
      <c r="AF225" s="46" t="n"/>
      <c r="AG225" s="46" t="n"/>
      <c r="AH225" s="47" t="n"/>
      <c r="AI225" s="47" t="n"/>
      <c r="AJ225" s="47" t="n"/>
      <c r="AK225" s="47" t="n"/>
      <c r="AL225" s="47" t="n"/>
      <c r="AM225" s="47" t="n"/>
      <c r="AN225" s="47" t="n"/>
      <c r="AO225" s="47" t="n"/>
      <c r="AP225" s="47" t="n"/>
      <c r="AQ225" s="47" t="n"/>
      <c r="AR225" s="47" t="n"/>
      <c r="AS225" s="47" t="n"/>
      <c r="AT225" s="47" t="n"/>
      <c r="AU225" s="48" t="n"/>
      <c r="AV225" s="48" t="n"/>
      <c r="AW225" s="49">
        <f>IF($A225="","",IF($BW225&lt;&gt;"","FIX",IF($BX225&lt;&gt;"","CHECK","OK")))</f>
        <v/>
      </c>
      <c r="AX225" s="50">
        <f>IF($A225="","",IF($BW225&lt;&gt;"","FIX: "&amp;LEFT($BW225,LEN($BW225)-2)&amp;IF($BX225&lt;&gt;"","  ·  ",""),"")&amp;IF($BX225&lt;&gt;"","CHECK: "&amp;LEFT($BX225,LEN($BX225)-2),""))</f>
        <v/>
      </c>
      <c r="AY225" s="49">
        <f>IF(OR($A225="",$K225=""),"",$K225&amp;"'-"&amp;N($L225)&amp;CHAR(34)&amp;" x "&amp;$M225&amp;"'-"&amp;N($N225)&amp;CHAR(34))</f>
        <v/>
      </c>
      <c r="AZ225" s="49">
        <f>IF(OR($A225="",$K225=""),"",$K225&amp;N($L225)&amp;$M225&amp;N($N225))</f>
        <v/>
      </c>
      <c r="BA225" s="49">
        <f>IF(OR($A225="",$K225=""),"",$K225*12+N($L225))</f>
        <v/>
      </c>
      <c r="BB225" s="49">
        <f>IF(OR($A225="",$M225=""),"",$M225*12+N($N225))</f>
        <v/>
      </c>
      <c r="BC225" s="49">
        <f>IF($A225="","",IF(OR($C225="FRAME ONLY",$S225="BL"),0,IF($O225="Y",2,1)))</f>
        <v/>
      </c>
      <c r="BD225" s="51">
        <f>IF(OR(N($BC225)=0,$BA225=""),"",($BA225-2*EdgeClr-IF($BC225=2,MeetClr,0))/$BC225)</f>
        <v/>
      </c>
      <c r="BE225" s="51">
        <f>IF(OR(N($BC225)=0,$BB225=""),"",$BB225-HeadClr-Undercut)</f>
        <v/>
      </c>
      <c r="BF225" s="51">
        <f>IF($BA225="","",$BA225+2*FaceW+IF(N($Q225)&gt;0,($Q225+FaceW)*IF($R225="LR",2,1),0))</f>
        <v/>
      </c>
      <c r="BG225" s="51">
        <f>IF($BB225="","",$BB225+IF($AB225="Y",4,FaceW)+IF(N($P225)&gt;0,$P225+FaceW,0)+IF(OR($S225="4F",$S225="BL"),FaceW,0))</f>
        <v/>
      </c>
      <c r="BH225" s="51">
        <f>IF($BF225="","",$BF225+2*ROSide)</f>
        <v/>
      </c>
      <c r="BI225" s="51">
        <f>IF($BG225="","",$BG225+ROTop)</f>
        <v/>
      </c>
      <c r="BJ225" s="52">
        <f>IF(OR(N($BC225)=0,$BA225=""),"",$BA225/$BC225-ClearDeduct)</f>
        <v/>
      </c>
      <c r="BK225" s="49">
        <f>IF(OR(N($BC225)=0,$BE225=""),"",IF(OR($AC225="HGC",$AP225="HGC"),"CONT",IF($BE225&lt;=60,2,IF($BE225&lt;=90,3,IF($BE225&lt;=120,4,5)))))</f>
        <v/>
      </c>
      <c r="BL225" s="49">
        <f>IF(N($BC225)=0,"",IF(OR($AL225="",$AL225="FLUSH"),"FLUSH",IFERROR(LEFT($AL225,FIND("-",$AL225)-1),LEFT($AL225,2))))</f>
        <v/>
      </c>
      <c r="BM225" s="49">
        <f>IF($BL225="","",IFERROR(VALUE(MID($AL225,FIND("-",$AL225)+1,FIND(CHAR(34)&amp;"x",$AL225)-FIND("-",$AL225)-1)),0))</f>
        <v/>
      </c>
      <c r="BN225" s="49">
        <f>IF($BL225="","",IFERROR(VALUE(MID($AL225,FIND(CHAR(34)&amp;"x",$AL225)+2,FIND(CHAR(34),$AL225,FIND(CHAR(34)&amp;"x",$AL225)+2)-FIND(CHAR(34)&amp;"x",$AL225)-2)),0))</f>
        <v/>
      </c>
      <c r="BO225" s="53">
        <f>IF(OR($A225="",$H225="",$H225="NO LAB"),0,IFERROR(VALUE(LEFT($H225,FIND(" ",$H225)-1)),0))</f>
        <v/>
      </c>
      <c r="BP225" s="54">
        <f>IF(OR($A225="",$I225="",$I225="NON-RATED",N($J225)=0),"",IFERROR(VLOOKUP($I225&amp;"|"&amp;$J225,IBC,2,FALSE),"?"))</f>
        <v/>
      </c>
      <c r="BQ225" s="50">
        <f>IF(NOT(AND($A225&lt;&gt;"",$C225&lt;&gt;"DOOR ONLY")),"",TRIM(IFERROR(VLOOKUP($U225,CODES,2,FALSE),"")&amp;" "&amp;$AZ225&amp;" "&amp;IFERROR(VLOOKUP($Z225,CODES,2,FALSE),"")&amp;" "&amp;IFERROR(VLOOKUP($X225,CODES,2,FALSE),"")&amp;" "&amp;IFERROR(VLOOKUP($S225,CODES,2,FALSE),"")&amp;IF(N($P225)&gt;0," w/TRANSOM "&amp;$P225&amp;CHAR(34),"")&amp;IF(N($Q225)&gt;0," w/SIDELITE "&amp;$Q225&amp;CHAR(34)&amp;" "&amp;IF($R225="","R",$R225),"")&amp;IF($Y225="","  |  "," | "&amp;IFERROR(VLOOKUP($Y225,CODES,2,FALSE),"")&amp;" | ")&amp;IFERROR(VLOOKUP($AC225,CODES,2,FALSE),"")&amp;" "&amp;IFERROR(VLOOKUP($AD225,CODES,2,FALSE),"")&amp;IF(OR($AE225="",$AE225="-"),""," "&amp;$AE225)&amp;IF(OR($AF225="",$AF225="-"),""," "&amp;$AF225)&amp;IF($AB225="Y"," 4"&amp;CHAR(34)&amp;" HEAD","")&amp;" "&amp;IFERROR(VLOOKUP($H225,CODES,2,FALSE),"")))</f>
        <v/>
      </c>
      <c r="BR225" s="50">
        <f>IF(NOT(AND($A225&lt;&gt;"",N($BC225)&gt;0)),"",TRIM(IFERROR(VLOOKUP($AH225,CODES,2,FALSE),"")&amp;IF($AI225=""," "," "&amp;$AI225&amp;"GA ")&amp;$AZ225&amp;" "&amp;IF($AN225="",IFERROR(VLOOKUP($Z225,CODES,2,FALSE),""),IFERROR(VLOOKUP($AN225,CODES,2,FALSE),""))&amp;IF($BC225=2," PAIR","")&amp;" DOOR | "&amp;IF($AL225="","?",$AL225)&amp;" | "&amp;IF($AP225="",IFERROR(VLOOKUP($AC225,CODES,2,FALSE),""),IFERROR(VLOOKUP($AP225,CODES,2,FALSE),""))&amp;" "&amp;IFERROR(VLOOKUP($AQ225,CODES,2,FALSE),"")&amp;IF(OR($AR225="",$AR225="-"),""," SEAM "&amp;$AR225)&amp;IF($AS225="Y"," ASTRAGAL","")&amp;IF($AJ225=""," "," "&amp;$AJ225)&amp;IF($AK225=""," "," "&amp;$AK225)&amp;IF($AO225="",""," "&amp;$AO225)&amp;IF($AM225=""," "," SERIES "&amp;$AM225)&amp;" "&amp;IFERROR(VLOOKUP($H225,CODES,2,FALSE),"")))</f>
        <v/>
      </c>
      <c r="BS225" s="49">
        <f>IF(BV225="","",IF(COUNTIF($BV$6:BV225,BV225)=1,MAX($BS$5:BS224)+1,INDEX($BS$5:BS224,MATCH(BV225,$BV$5:BV224,0))))</f>
        <v/>
      </c>
      <c r="BT225" s="49">
        <f>IF(NOT(AND($A225&lt;&gt;"",$C225&lt;&gt;"DOOR ONLY")),"",MAX($BT$5:BT224)+1)</f>
        <v/>
      </c>
      <c r="BU225" s="49">
        <f>IF(NOT(AND($A225&lt;&gt;"",N($BC225)&gt;0)),"",MAX($BU$5:BU224)+1)</f>
        <v/>
      </c>
      <c r="BV225" s="49">
        <f>IF(OR($A225="",$BA225="",$BB225=""),"",$AZ225&amp;"|"&amp;$O225&amp;"|"&amp;$AL225&amp;"|"&amp;$S225&amp;"|"&amp;$P225&amp;"|"&amp;$Q225&amp;$R225&amp;"|"&amp;$C225&amp;"|"&amp;$AB225)</f>
        <v/>
      </c>
      <c r="BW225" s="49">
        <f>IF($A225="","",IF($B225="","qty, ","")&amp;IF($C225="","scope, ","")&amp;IF(OR($K225="",$M225=""),"size, ","")&amp;IF(AND($A225&lt;&gt;"",$C225&lt;&gt;"DOOR ONLY"),IF($U225="","jamb depth, ","")&amp;IF($X225="","construction, ","")&amp;IF($Y225="","anchor, ","")&amp;IF($S225="","frame type, ",""),"")&amp;IF(AND(N($BC225)&gt;0,$Z225=""),"hand, ","")&amp;IF(N($BC225)&gt;0,IF($AH225="","door material, ","")&amp;IF($AL225="","face type, ","")&amp;IF($AQ225="","lock prep, ","")&amp;IF(AND($AP225="",$AC225=""),"hinge prep, ",""),"")&amp;IF(AND($BO225&gt;0,$AH225="FRP"),"FRP cannot carry a label, ","")&amp;IF(AND($O225="Y",OR($Z225="L",$Z225="R",$Z225="LR",$Z225="RR")),"pair marked but hand is single, ","")&amp;IF(AND($O225&lt;&gt;"Y",OR($Z225="PR",AND(LEN($Z225)&gt;1,ISNUMBER(SEARCH("-",$Z225))))),"pair hand on a single door, ","")&amp;IF(AND(ISNUMBER($BP225),$BO225&lt;N($BP225)),"wall needs a "&amp;$BP225&amp;" min door, ","")&amp;IF(AND($BO225&gt;=180,AND(OR($BL225="FG",$BL225="HG",$BL225="FNV",$BL225="FV"),N($BM225)*N($BN225)&gt;100)),"180 min lite over 100 sq in, ","")&amp;IF(N($BD225)&gt;48,"leaf wider than 4'-0"&amp;CHAR(34)&amp;", ",""))</f>
        <v/>
      </c>
      <c r="BX225" s="49">
        <f>IF($A225="","",IF(AND($BO225&gt;0,AND($A225&lt;&gt;"",$C225&lt;&gt;"DOOR ONLY"),$X225="KD",$E225="EXTERIOR"),"KD label on an exterior opening, ","")&amp;IF(AND($E225="EXTERIOR",OR(AND(AND($A225&lt;&gt;"",$C225&lt;&gt;"DOOR ONLY"),$W225="CR"),AND(N($BC225)&gt;0,$AH225="CR"))),"exterior in CR steel (G9?), ","")&amp;IF(AND(ISNUMBER($BJ225),N($BJ225)&lt;32),"clear width ~"&amp;TEXT($BJ225,"0.0")&amp;CHAR(34)&amp;" under 32"&amp;CHAR(34)&amp;" (ADA), ","")&amp;IF(AND($BO225=90,AND(OR($BL225="FG",$BL225="HG",$BL225="FNV",$BL225="FV"),N($BM225)*N($BN225)&gt;100)),"90 min lite over 100 sq in (stair/exit), ","")&amp;IF(AND($BO225&gt;0,AND($A225&lt;&gt;"",$C225&lt;&gt;"DOOR ONLY"),OR($AF225="",$AF225="-")),"rated: closer reinf.?, ","")&amp;IF(OR($I225="CORRIDOR",$I225="SMOKE BARRIER"),"S label + smoke gasketing, ","")&amp;IF($BP225="?","wall type/hr not in IBC table, ","")&amp;IF(AND(N($BC225)&gt;0,$AU225=""),"no hardware set, ","")&amp;IF(AND($AU225&lt;&gt;"",ISNA(MATCH($AU225,HWSets,0))),"set "&amp;$AU225&amp;" not on Hardware sheet, ","")&amp;IF(N($BE225)&gt;96,"leaf over 8'-0"&amp;CHAR(34)&amp;" - check listing, ",""))</f>
        <v/>
      </c>
    </row>
    <row r="226" ht="15" customHeight="1">
      <c r="A226" s="44" t="n"/>
      <c r="B226" s="45" t="n"/>
      <c r="C226" s="45" t="n"/>
      <c r="D226" s="45" t="n"/>
      <c r="E226" s="45" t="n"/>
      <c r="F226" s="45" t="n"/>
      <c r="G226" s="45" t="n"/>
      <c r="H226" s="45" t="n"/>
      <c r="I226" s="45" t="n"/>
      <c r="J226" s="45" t="n"/>
      <c r="K226" s="45" t="n"/>
      <c r="L226" s="45" t="n"/>
      <c r="M226" s="45" t="n"/>
      <c r="N226" s="45" t="n"/>
      <c r="O226" s="45" t="n"/>
      <c r="P226" s="45" t="n"/>
      <c r="Q226" s="45" t="n"/>
      <c r="R226" s="45" t="n"/>
      <c r="S226" s="46" t="n"/>
      <c r="T226" s="46" t="n"/>
      <c r="U226" s="46" t="n"/>
      <c r="V226" s="46" t="n"/>
      <c r="W226" s="46" t="n"/>
      <c r="X226" s="46" t="n"/>
      <c r="Y226" s="46" t="n"/>
      <c r="Z226" s="46" t="n"/>
      <c r="AA226" s="46" t="n"/>
      <c r="AB226" s="46" t="n"/>
      <c r="AC226" s="46" t="n"/>
      <c r="AD226" s="46" t="n"/>
      <c r="AE226" s="46" t="n"/>
      <c r="AF226" s="46" t="n"/>
      <c r="AG226" s="46" t="n"/>
      <c r="AH226" s="47" t="n"/>
      <c r="AI226" s="47" t="n"/>
      <c r="AJ226" s="47" t="n"/>
      <c r="AK226" s="47" t="n"/>
      <c r="AL226" s="47" t="n"/>
      <c r="AM226" s="47" t="n"/>
      <c r="AN226" s="47" t="n"/>
      <c r="AO226" s="47" t="n"/>
      <c r="AP226" s="47" t="n"/>
      <c r="AQ226" s="47" t="n"/>
      <c r="AR226" s="47" t="n"/>
      <c r="AS226" s="47" t="n"/>
      <c r="AT226" s="47" t="n"/>
      <c r="AU226" s="48" t="n"/>
      <c r="AV226" s="48" t="n"/>
      <c r="AW226" s="49">
        <f>IF($A226="","",IF($BW226&lt;&gt;"","FIX",IF($BX226&lt;&gt;"","CHECK","OK")))</f>
        <v/>
      </c>
      <c r="AX226" s="50">
        <f>IF($A226="","",IF($BW226&lt;&gt;"","FIX: "&amp;LEFT($BW226,LEN($BW226)-2)&amp;IF($BX226&lt;&gt;"","  ·  ",""),"")&amp;IF($BX226&lt;&gt;"","CHECK: "&amp;LEFT($BX226,LEN($BX226)-2),""))</f>
        <v/>
      </c>
      <c r="AY226" s="49">
        <f>IF(OR($A226="",$K226=""),"",$K226&amp;"'-"&amp;N($L226)&amp;CHAR(34)&amp;" x "&amp;$M226&amp;"'-"&amp;N($N226)&amp;CHAR(34))</f>
        <v/>
      </c>
      <c r="AZ226" s="49">
        <f>IF(OR($A226="",$K226=""),"",$K226&amp;N($L226)&amp;$M226&amp;N($N226))</f>
        <v/>
      </c>
      <c r="BA226" s="49">
        <f>IF(OR($A226="",$K226=""),"",$K226*12+N($L226))</f>
        <v/>
      </c>
      <c r="BB226" s="49">
        <f>IF(OR($A226="",$M226=""),"",$M226*12+N($N226))</f>
        <v/>
      </c>
      <c r="BC226" s="49">
        <f>IF($A226="","",IF(OR($C226="FRAME ONLY",$S226="BL"),0,IF($O226="Y",2,1)))</f>
        <v/>
      </c>
      <c r="BD226" s="51">
        <f>IF(OR(N($BC226)=0,$BA226=""),"",($BA226-2*EdgeClr-IF($BC226=2,MeetClr,0))/$BC226)</f>
        <v/>
      </c>
      <c r="BE226" s="51">
        <f>IF(OR(N($BC226)=0,$BB226=""),"",$BB226-HeadClr-Undercut)</f>
        <v/>
      </c>
      <c r="BF226" s="51">
        <f>IF($BA226="","",$BA226+2*FaceW+IF(N($Q226)&gt;0,($Q226+FaceW)*IF($R226="LR",2,1),0))</f>
        <v/>
      </c>
      <c r="BG226" s="51">
        <f>IF($BB226="","",$BB226+IF($AB226="Y",4,FaceW)+IF(N($P226)&gt;0,$P226+FaceW,0)+IF(OR($S226="4F",$S226="BL"),FaceW,0))</f>
        <v/>
      </c>
      <c r="BH226" s="51">
        <f>IF($BF226="","",$BF226+2*ROSide)</f>
        <v/>
      </c>
      <c r="BI226" s="51">
        <f>IF($BG226="","",$BG226+ROTop)</f>
        <v/>
      </c>
      <c r="BJ226" s="52">
        <f>IF(OR(N($BC226)=0,$BA226=""),"",$BA226/$BC226-ClearDeduct)</f>
        <v/>
      </c>
      <c r="BK226" s="49">
        <f>IF(OR(N($BC226)=0,$BE226=""),"",IF(OR($AC226="HGC",$AP226="HGC"),"CONT",IF($BE226&lt;=60,2,IF($BE226&lt;=90,3,IF($BE226&lt;=120,4,5)))))</f>
        <v/>
      </c>
      <c r="BL226" s="49">
        <f>IF(N($BC226)=0,"",IF(OR($AL226="",$AL226="FLUSH"),"FLUSH",IFERROR(LEFT($AL226,FIND("-",$AL226)-1),LEFT($AL226,2))))</f>
        <v/>
      </c>
      <c r="BM226" s="49">
        <f>IF($BL226="","",IFERROR(VALUE(MID($AL226,FIND("-",$AL226)+1,FIND(CHAR(34)&amp;"x",$AL226)-FIND("-",$AL226)-1)),0))</f>
        <v/>
      </c>
      <c r="BN226" s="49">
        <f>IF($BL226="","",IFERROR(VALUE(MID($AL226,FIND(CHAR(34)&amp;"x",$AL226)+2,FIND(CHAR(34),$AL226,FIND(CHAR(34)&amp;"x",$AL226)+2)-FIND(CHAR(34)&amp;"x",$AL226)-2)),0))</f>
        <v/>
      </c>
      <c r="BO226" s="53">
        <f>IF(OR($A226="",$H226="",$H226="NO LAB"),0,IFERROR(VALUE(LEFT($H226,FIND(" ",$H226)-1)),0))</f>
        <v/>
      </c>
      <c r="BP226" s="54">
        <f>IF(OR($A226="",$I226="",$I226="NON-RATED",N($J226)=0),"",IFERROR(VLOOKUP($I226&amp;"|"&amp;$J226,IBC,2,FALSE),"?"))</f>
        <v/>
      </c>
      <c r="BQ226" s="50">
        <f>IF(NOT(AND($A226&lt;&gt;"",$C226&lt;&gt;"DOOR ONLY")),"",TRIM(IFERROR(VLOOKUP($U226,CODES,2,FALSE),"")&amp;" "&amp;$AZ226&amp;" "&amp;IFERROR(VLOOKUP($Z226,CODES,2,FALSE),"")&amp;" "&amp;IFERROR(VLOOKUP($X226,CODES,2,FALSE),"")&amp;" "&amp;IFERROR(VLOOKUP($S226,CODES,2,FALSE),"")&amp;IF(N($P226)&gt;0," w/TRANSOM "&amp;$P226&amp;CHAR(34),"")&amp;IF(N($Q226)&gt;0," w/SIDELITE "&amp;$Q226&amp;CHAR(34)&amp;" "&amp;IF($R226="","R",$R226),"")&amp;IF($Y226="","  |  "," | "&amp;IFERROR(VLOOKUP($Y226,CODES,2,FALSE),"")&amp;" | ")&amp;IFERROR(VLOOKUP($AC226,CODES,2,FALSE),"")&amp;" "&amp;IFERROR(VLOOKUP($AD226,CODES,2,FALSE),"")&amp;IF(OR($AE226="",$AE226="-"),""," "&amp;$AE226)&amp;IF(OR($AF226="",$AF226="-"),""," "&amp;$AF226)&amp;IF($AB226="Y"," 4"&amp;CHAR(34)&amp;" HEAD","")&amp;" "&amp;IFERROR(VLOOKUP($H226,CODES,2,FALSE),"")))</f>
        <v/>
      </c>
      <c r="BR226" s="50">
        <f>IF(NOT(AND($A226&lt;&gt;"",N($BC226)&gt;0)),"",TRIM(IFERROR(VLOOKUP($AH226,CODES,2,FALSE),"")&amp;IF($AI226=""," "," "&amp;$AI226&amp;"GA ")&amp;$AZ226&amp;" "&amp;IF($AN226="",IFERROR(VLOOKUP($Z226,CODES,2,FALSE),""),IFERROR(VLOOKUP($AN226,CODES,2,FALSE),""))&amp;IF($BC226=2," PAIR","")&amp;" DOOR | "&amp;IF($AL226="","?",$AL226)&amp;" | "&amp;IF($AP226="",IFERROR(VLOOKUP($AC226,CODES,2,FALSE),""),IFERROR(VLOOKUP($AP226,CODES,2,FALSE),""))&amp;" "&amp;IFERROR(VLOOKUP($AQ226,CODES,2,FALSE),"")&amp;IF(OR($AR226="",$AR226="-"),""," SEAM "&amp;$AR226)&amp;IF($AS226="Y"," ASTRAGAL","")&amp;IF($AJ226=""," "," "&amp;$AJ226)&amp;IF($AK226=""," "," "&amp;$AK226)&amp;IF($AO226="",""," "&amp;$AO226)&amp;IF($AM226=""," "," SERIES "&amp;$AM226)&amp;" "&amp;IFERROR(VLOOKUP($H226,CODES,2,FALSE),"")))</f>
        <v/>
      </c>
      <c r="BS226" s="49">
        <f>IF(BV226="","",IF(COUNTIF($BV$6:BV226,BV226)=1,MAX($BS$5:BS225)+1,INDEX($BS$5:BS225,MATCH(BV226,$BV$5:BV225,0))))</f>
        <v/>
      </c>
      <c r="BT226" s="49">
        <f>IF(NOT(AND($A226&lt;&gt;"",$C226&lt;&gt;"DOOR ONLY")),"",MAX($BT$5:BT225)+1)</f>
        <v/>
      </c>
      <c r="BU226" s="49">
        <f>IF(NOT(AND($A226&lt;&gt;"",N($BC226)&gt;0)),"",MAX($BU$5:BU225)+1)</f>
        <v/>
      </c>
      <c r="BV226" s="49">
        <f>IF(OR($A226="",$BA226="",$BB226=""),"",$AZ226&amp;"|"&amp;$O226&amp;"|"&amp;$AL226&amp;"|"&amp;$S226&amp;"|"&amp;$P226&amp;"|"&amp;$Q226&amp;$R226&amp;"|"&amp;$C226&amp;"|"&amp;$AB226)</f>
        <v/>
      </c>
      <c r="BW226" s="49">
        <f>IF($A226="","",IF($B226="","qty, ","")&amp;IF($C226="","scope, ","")&amp;IF(OR($K226="",$M226=""),"size, ","")&amp;IF(AND($A226&lt;&gt;"",$C226&lt;&gt;"DOOR ONLY"),IF($U226="","jamb depth, ","")&amp;IF($X226="","construction, ","")&amp;IF($Y226="","anchor, ","")&amp;IF($S226="","frame type, ",""),"")&amp;IF(AND(N($BC226)&gt;0,$Z226=""),"hand, ","")&amp;IF(N($BC226)&gt;0,IF($AH226="","door material, ","")&amp;IF($AL226="","face type, ","")&amp;IF($AQ226="","lock prep, ","")&amp;IF(AND($AP226="",$AC226=""),"hinge prep, ",""),"")&amp;IF(AND($BO226&gt;0,$AH226="FRP"),"FRP cannot carry a label, ","")&amp;IF(AND($O226="Y",OR($Z226="L",$Z226="R",$Z226="LR",$Z226="RR")),"pair marked but hand is single, ","")&amp;IF(AND($O226&lt;&gt;"Y",OR($Z226="PR",AND(LEN($Z226)&gt;1,ISNUMBER(SEARCH("-",$Z226))))),"pair hand on a single door, ","")&amp;IF(AND(ISNUMBER($BP226),$BO226&lt;N($BP226)),"wall needs a "&amp;$BP226&amp;" min door, ","")&amp;IF(AND($BO226&gt;=180,AND(OR($BL226="FG",$BL226="HG",$BL226="FNV",$BL226="FV"),N($BM226)*N($BN226)&gt;100)),"180 min lite over 100 sq in, ","")&amp;IF(N($BD226)&gt;48,"leaf wider than 4'-0"&amp;CHAR(34)&amp;", ",""))</f>
        <v/>
      </c>
      <c r="BX226" s="49">
        <f>IF($A226="","",IF(AND($BO226&gt;0,AND($A226&lt;&gt;"",$C226&lt;&gt;"DOOR ONLY"),$X226="KD",$E226="EXTERIOR"),"KD label on an exterior opening, ","")&amp;IF(AND($E226="EXTERIOR",OR(AND(AND($A226&lt;&gt;"",$C226&lt;&gt;"DOOR ONLY"),$W226="CR"),AND(N($BC226)&gt;0,$AH226="CR"))),"exterior in CR steel (G9?), ","")&amp;IF(AND(ISNUMBER($BJ226),N($BJ226)&lt;32),"clear width ~"&amp;TEXT($BJ226,"0.0")&amp;CHAR(34)&amp;" under 32"&amp;CHAR(34)&amp;" (ADA), ","")&amp;IF(AND($BO226=90,AND(OR($BL226="FG",$BL226="HG",$BL226="FNV",$BL226="FV"),N($BM226)*N($BN226)&gt;100)),"90 min lite over 100 sq in (stair/exit), ","")&amp;IF(AND($BO226&gt;0,AND($A226&lt;&gt;"",$C226&lt;&gt;"DOOR ONLY"),OR($AF226="",$AF226="-")),"rated: closer reinf.?, ","")&amp;IF(OR($I226="CORRIDOR",$I226="SMOKE BARRIER"),"S label + smoke gasketing, ","")&amp;IF($BP226="?","wall type/hr not in IBC table, ","")&amp;IF(AND(N($BC226)&gt;0,$AU226=""),"no hardware set, ","")&amp;IF(AND($AU226&lt;&gt;"",ISNA(MATCH($AU226,HWSets,0))),"set "&amp;$AU226&amp;" not on Hardware sheet, ","")&amp;IF(N($BE226)&gt;96,"leaf over 8'-0"&amp;CHAR(34)&amp;" - check listing, ",""))</f>
        <v/>
      </c>
    </row>
    <row r="227" ht="15" customHeight="1">
      <c r="A227" s="44" t="n"/>
      <c r="B227" s="45" t="n"/>
      <c r="C227" s="45" t="n"/>
      <c r="D227" s="45" t="n"/>
      <c r="E227" s="45" t="n"/>
      <c r="F227" s="45" t="n"/>
      <c r="G227" s="45" t="n"/>
      <c r="H227" s="45" t="n"/>
      <c r="I227" s="45" t="n"/>
      <c r="J227" s="45" t="n"/>
      <c r="K227" s="45" t="n"/>
      <c r="L227" s="45" t="n"/>
      <c r="M227" s="45" t="n"/>
      <c r="N227" s="45" t="n"/>
      <c r="O227" s="45" t="n"/>
      <c r="P227" s="45" t="n"/>
      <c r="Q227" s="45" t="n"/>
      <c r="R227" s="45" t="n"/>
      <c r="S227" s="46" t="n"/>
      <c r="T227" s="46" t="n"/>
      <c r="U227" s="46" t="n"/>
      <c r="V227" s="46" t="n"/>
      <c r="W227" s="46" t="n"/>
      <c r="X227" s="46" t="n"/>
      <c r="Y227" s="46" t="n"/>
      <c r="Z227" s="46" t="n"/>
      <c r="AA227" s="46" t="n"/>
      <c r="AB227" s="46" t="n"/>
      <c r="AC227" s="46" t="n"/>
      <c r="AD227" s="46" t="n"/>
      <c r="AE227" s="46" t="n"/>
      <c r="AF227" s="46" t="n"/>
      <c r="AG227" s="46" t="n"/>
      <c r="AH227" s="47" t="n"/>
      <c r="AI227" s="47" t="n"/>
      <c r="AJ227" s="47" t="n"/>
      <c r="AK227" s="47" t="n"/>
      <c r="AL227" s="47" t="n"/>
      <c r="AM227" s="47" t="n"/>
      <c r="AN227" s="47" t="n"/>
      <c r="AO227" s="47" t="n"/>
      <c r="AP227" s="47" t="n"/>
      <c r="AQ227" s="47" t="n"/>
      <c r="AR227" s="47" t="n"/>
      <c r="AS227" s="47" t="n"/>
      <c r="AT227" s="47" t="n"/>
      <c r="AU227" s="48" t="n"/>
      <c r="AV227" s="48" t="n"/>
      <c r="AW227" s="49">
        <f>IF($A227="","",IF($BW227&lt;&gt;"","FIX",IF($BX227&lt;&gt;"","CHECK","OK")))</f>
        <v/>
      </c>
      <c r="AX227" s="50">
        <f>IF($A227="","",IF($BW227&lt;&gt;"","FIX: "&amp;LEFT($BW227,LEN($BW227)-2)&amp;IF($BX227&lt;&gt;"","  ·  ",""),"")&amp;IF($BX227&lt;&gt;"","CHECK: "&amp;LEFT($BX227,LEN($BX227)-2),""))</f>
        <v/>
      </c>
      <c r="AY227" s="49">
        <f>IF(OR($A227="",$K227=""),"",$K227&amp;"'-"&amp;N($L227)&amp;CHAR(34)&amp;" x "&amp;$M227&amp;"'-"&amp;N($N227)&amp;CHAR(34))</f>
        <v/>
      </c>
      <c r="AZ227" s="49">
        <f>IF(OR($A227="",$K227=""),"",$K227&amp;N($L227)&amp;$M227&amp;N($N227))</f>
        <v/>
      </c>
      <c r="BA227" s="49">
        <f>IF(OR($A227="",$K227=""),"",$K227*12+N($L227))</f>
        <v/>
      </c>
      <c r="BB227" s="49">
        <f>IF(OR($A227="",$M227=""),"",$M227*12+N($N227))</f>
        <v/>
      </c>
      <c r="BC227" s="49">
        <f>IF($A227="","",IF(OR($C227="FRAME ONLY",$S227="BL"),0,IF($O227="Y",2,1)))</f>
        <v/>
      </c>
      <c r="BD227" s="51">
        <f>IF(OR(N($BC227)=0,$BA227=""),"",($BA227-2*EdgeClr-IF($BC227=2,MeetClr,0))/$BC227)</f>
        <v/>
      </c>
      <c r="BE227" s="51">
        <f>IF(OR(N($BC227)=0,$BB227=""),"",$BB227-HeadClr-Undercut)</f>
        <v/>
      </c>
      <c r="BF227" s="51">
        <f>IF($BA227="","",$BA227+2*FaceW+IF(N($Q227)&gt;0,($Q227+FaceW)*IF($R227="LR",2,1),0))</f>
        <v/>
      </c>
      <c r="BG227" s="51">
        <f>IF($BB227="","",$BB227+IF($AB227="Y",4,FaceW)+IF(N($P227)&gt;0,$P227+FaceW,0)+IF(OR($S227="4F",$S227="BL"),FaceW,0))</f>
        <v/>
      </c>
      <c r="BH227" s="51">
        <f>IF($BF227="","",$BF227+2*ROSide)</f>
        <v/>
      </c>
      <c r="BI227" s="51">
        <f>IF($BG227="","",$BG227+ROTop)</f>
        <v/>
      </c>
      <c r="BJ227" s="52">
        <f>IF(OR(N($BC227)=0,$BA227=""),"",$BA227/$BC227-ClearDeduct)</f>
        <v/>
      </c>
      <c r="BK227" s="49">
        <f>IF(OR(N($BC227)=0,$BE227=""),"",IF(OR($AC227="HGC",$AP227="HGC"),"CONT",IF($BE227&lt;=60,2,IF($BE227&lt;=90,3,IF($BE227&lt;=120,4,5)))))</f>
        <v/>
      </c>
      <c r="BL227" s="49">
        <f>IF(N($BC227)=0,"",IF(OR($AL227="",$AL227="FLUSH"),"FLUSH",IFERROR(LEFT($AL227,FIND("-",$AL227)-1),LEFT($AL227,2))))</f>
        <v/>
      </c>
      <c r="BM227" s="49">
        <f>IF($BL227="","",IFERROR(VALUE(MID($AL227,FIND("-",$AL227)+1,FIND(CHAR(34)&amp;"x",$AL227)-FIND("-",$AL227)-1)),0))</f>
        <v/>
      </c>
      <c r="BN227" s="49">
        <f>IF($BL227="","",IFERROR(VALUE(MID($AL227,FIND(CHAR(34)&amp;"x",$AL227)+2,FIND(CHAR(34),$AL227,FIND(CHAR(34)&amp;"x",$AL227)+2)-FIND(CHAR(34)&amp;"x",$AL227)-2)),0))</f>
        <v/>
      </c>
      <c r="BO227" s="53">
        <f>IF(OR($A227="",$H227="",$H227="NO LAB"),0,IFERROR(VALUE(LEFT($H227,FIND(" ",$H227)-1)),0))</f>
        <v/>
      </c>
      <c r="BP227" s="54">
        <f>IF(OR($A227="",$I227="",$I227="NON-RATED",N($J227)=0),"",IFERROR(VLOOKUP($I227&amp;"|"&amp;$J227,IBC,2,FALSE),"?"))</f>
        <v/>
      </c>
      <c r="BQ227" s="50">
        <f>IF(NOT(AND($A227&lt;&gt;"",$C227&lt;&gt;"DOOR ONLY")),"",TRIM(IFERROR(VLOOKUP($U227,CODES,2,FALSE),"")&amp;" "&amp;$AZ227&amp;" "&amp;IFERROR(VLOOKUP($Z227,CODES,2,FALSE),"")&amp;" "&amp;IFERROR(VLOOKUP($X227,CODES,2,FALSE),"")&amp;" "&amp;IFERROR(VLOOKUP($S227,CODES,2,FALSE),"")&amp;IF(N($P227)&gt;0," w/TRANSOM "&amp;$P227&amp;CHAR(34),"")&amp;IF(N($Q227)&gt;0," w/SIDELITE "&amp;$Q227&amp;CHAR(34)&amp;" "&amp;IF($R227="","R",$R227),"")&amp;IF($Y227="","  |  "," | "&amp;IFERROR(VLOOKUP($Y227,CODES,2,FALSE),"")&amp;" | ")&amp;IFERROR(VLOOKUP($AC227,CODES,2,FALSE),"")&amp;" "&amp;IFERROR(VLOOKUP($AD227,CODES,2,FALSE),"")&amp;IF(OR($AE227="",$AE227="-"),""," "&amp;$AE227)&amp;IF(OR($AF227="",$AF227="-"),""," "&amp;$AF227)&amp;IF($AB227="Y"," 4"&amp;CHAR(34)&amp;" HEAD","")&amp;" "&amp;IFERROR(VLOOKUP($H227,CODES,2,FALSE),"")))</f>
        <v/>
      </c>
      <c r="BR227" s="50">
        <f>IF(NOT(AND($A227&lt;&gt;"",N($BC227)&gt;0)),"",TRIM(IFERROR(VLOOKUP($AH227,CODES,2,FALSE),"")&amp;IF($AI227=""," "," "&amp;$AI227&amp;"GA ")&amp;$AZ227&amp;" "&amp;IF($AN227="",IFERROR(VLOOKUP($Z227,CODES,2,FALSE),""),IFERROR(VLOOKUP($AN227,CODES,2,FALSE),""))&amp;IF($BC227=2," PAIR","")&amp;" DOOR | "&amp;IF($AL227="","?",$AL227)&amp;" | "&amp;IF($AP227="",IFERROR(VLOOKUP($AC227,CODES,2,FALSE),""),IFERROR(VLOOKUP($AP227,CODES,2,FALSE),""))&amp;" "&amp;IFERROR(VLOOKUP($AQ227,CODES,2,FALSE),"")&amp;IF(OR($AR227="",$AR227="-"),""," SEAM "&amp;$AR227)&amp;IF($AS227="Y"," ASTRAGAL","")&amp;IF($AJ227=""," "," "&amp;$AJ227)&amp;IF($AK227=""," "," "&amp;$AK227)&amp;IF($AO227="",""," "&amp;$AO227)&amp;IF($AM227=""," "," SERIES "&amp;$AM227)&amp;" "&amp;IFERROR(VLOOKUP($H227,CODES,2,FALSE),"")))</f>
        <v/>
      </c>
      <c r="BS227" s="49">
        <f>IF(BV227="","",IF(COUNTIF($BV$6:BV227,BV227)=1,MAX($BS$5:BS226)+1,INDEX($BS$5:BS226,MATCH(BV227,$BV$5:BV226,0))))</f>
        <v/>
      </c>
      <c r="BT227" s="49">
        <f>IF(NOT(AND($A227&lt;&gt;"",$C227&lt;&gt;"DOOR ONLY")),"",MAX($BT$5:BT226)+1)</f>
        <v/>
      </c>
      <c r="BU227" s="49">
        <f>IF(NOT(AND($A227&lt;&gt;"",N($BC227)&gt;0)),"",MAX($BU$5:BU226)+1)</f>
        <v/>
      </c>
      <c r="BV227" s="49">
        <f>IF(OR($A227="",$BA227="",$BB227=""),"",$AZ227&amp;"|"&amp;$O227&amp;"|"&amp;$AL227&amp;"|"&amp;$S227&amp;"|"&amp;$P227&amp;"|"&amp;$Q227&amp;$R227&amp;"|"&amp;$C227&amp;"|"&amp;$AB227)</f>
        <v/>
      </c>
      <c r="BW227" s="49">
        <f>IF($A227="","",IF($B227="","qty, ","")&amp;IF($C227="","scope, ","")&amp;IF(OR($K227="",$M227=""),"size, ","")&amp;IF(AND($A227&lt;&gt;"",$C227&lt;&gt;"DOOR ONLY"),IF($U227="","jamb depth, ","")&amp;IF($X227="","construction, ","")&amp;IF($Y227="","anchor, ","")&amp;IF($S227="","frame type, ",""),"")&amp;IF(AND(N($BC227)&gt;0,$Z227=""),"hand, ","")&amp;IF(N($BC227)&gt;0,IF($AH227="","door material, ","")&amp;IF($AL227="","face type, ","")&amp;IF($AQ227="","lock prep, ","")&amp;IF(AND($AP227="",$AC227=""),"hinge prep, ",""),"")&amp;IF(AND($BO227&gt;0,$AH227="FRP"),"FRP cannot carry a label, ","")&amp;IF(AND($O227="Y",OR($Z227="L",$Z227="R",$Z227="LR",$Z227="RR")),"pair marked but hand is single, ","")&amp;IF(AND($O227&lt;&gt;"Y",OR($Z227="PR",AND(LEN($Z227)&gt;1,ISNUMBER(SEARCH("-",$Z227))))),"pair hand on a single door, ","")&amp;IF(AND(ISNUMBER($BP227),$BO227&lt;N($BP227)),"wall needs a "&amp;$BP227&amp;" min door, ","")&amp;IF(AND($BO227&gt;=180,AND(OR($BL227="FG",$BL227="HG",$BL227="FNV",$BL227="FV"),N($BM227)*N($BN227)&gt;100)),"180 min lite over 100 sq in, ","")&amp;IF(N($BD227)&gt;48,"leaf wider than 4'-0"&amp;CHAR(34)&amp;", ",""))</f>
        <v/>
      </c>
      <c r="BX227" s="49">
        <f>IF($A227="","",IF(AND($BO227&gt;0,AND($A227&lt;&gt;"",$C227&lt;&gt;"DOOR ONLY"),$X227="KD",$E227="EXTERIOR"),"KD label on an exterior opening, ","")&amp;IF(AND($E227="EXTERIOR",OR(AND(AND($A227&lt;&gt;"",$C227&lt;&gt;"DOOR ONLY"),$W227="CR"),AND(N($BC227)&gt;0,$AH227="CR"))),"exterior in CR steel (G9?), ","")&amp;IF(AND(ISNUMBER($BJ227),N($BJ227)&lt;32),"clear width ~"&amp;TEXT($BJ227,"0.0")&amp;CHAR(34)&amp;" under 32"&amp;CHAR(34)&amp;" (ADA), ","")&amp;IF(AND($BO227=90,AND(OR($BL227="FG",$BL227="HG",$BL227="FNV",$BL227="FV"),N($BM227)*N($BN227)&gt;100)),"90 min lite over 100 sq in (stair/exit), ","")&amp;IF(AND($BO227&gt;0,AND($A227&lt;&gt;"",$C227&lt;&gt;"DOOR ONLY"),OR($AF227="",$AF227="-")),"rated: closer reinf.?, ","")&amp;IF(OR($I227="CORRIDOR",$I227="SMOKE BARRIER"),"S label + smoke gasketing, ","")&amp;IF($BP227="?","wall type/hr not in IBC table, ","")&amp;IF(AND(N($BC227)&gt;0,$AU227=""),"no hardware set, ","")&amp;IF(AND($AU227&lt;&gt;"",ISNA(MATCH($AU227,HWSets,0))),"set "&amp;$AU227&amp;" not on Hardware sheet, ","")&amp;IF(N($BE227)&gt;96,"leaf over 8'-0"&amp;CHAR(34)&amp;" - check listing, ",""))</f>
        <v/>
      </c>
    </row>
    <row r="228" ht="15" customHeight="1">
      <c r="A228" s="44" t="n"/>
      <c r="B228" s="45" t="n"/>
      <c r="C228" s="45" t="n"/>
      <c r="D228" s="45" t="n"/>
      <c r="E228" s="45" t="n"/>
      <c r="F228" s="45" t="n"/>
      <c r="G228" s="45" t="n"/>
      <c r="H228" s="45" t="n"/>
      <c r="I228" s="45" t="n"/>
      <c r="J228" s="45" t="n"/>
      <c r="K228" s="45" t="n"/>
      <c r="L228" s="45" t="n"/>
      <c r="M228" s="45" t="n"/>
      <c r="N228" s="45" t="n"/>
      <c r="O228" s="45" t="n"/>
      <c r="P228" s="45" t="n"/>
      <c r="Q228" s="45" t="n"/>
      <c r="R228" s="45" t="n"/>
      <c r="S228" s="46" t="n"/>
      <c r="T228" s="46" t="n"/>
      <c r="U228" s="46" t="n"/>
      <c r="V228" s="46" t="n"/>
      <c r="W228" s="46" t="n"/>
      <c r="X228" s="46" t="n"/>
      <c r="Y228" s="46" t="n"/>
      <c r="Z228" s="46" t="n"/>
      <c r="AA228" s="46" t="n"/>
      <c r="AB228" s="46" t="n"/>
      <c r="AC228" s="46" t="n"/>
      <c r="AD228" s="46" t="n"/>
      <c r="AE228" s="46" t="n"/>
      <c r="AF228" s="46" t="n"/>
      <c r="AG228" s="46" t="n"/>
      <c r="AH228" s="47" t="n"/>
      <c r="AI228" s="47" t="n"/>
      <c r="AJ228" s="47" t="n"/>
      <c r="AK228" s="47" t="n"/>
      <c r="AL228" s="47" t="n"/>
      <c r="AM228" s="47" t="n"/>
      <c r="AN228" s="47" t="n"/>
      <c r="AO228" s="47" t="n"/>
      <c r="AP228" s="47" t="n"/>
      <c r="AQ228" s="47" t="n"/>
      <c r="AR228" s="47" t="n"/>
      <c r="AS228" s="47" t="n"/>
      <c r="AT228" s="47" t="n"/>
      <c r="AU228" s="48" t="n"/>
      <c r="AV228" s="48" t="n"/>
      <c r="AW228" s="49">
        <f>IF($A228="","",IF($BW228&lt;&gt;"","FIX",IF($BX228&lt;&gt;"","CHECK","OK")))</f>
        <v/>
      </c>
      <c r="AX228" s="50">
        <f>IF($A228="","",IF($BW228&lt;&gt;"","FIX: "&amp;LEFT($BW228,LEN($BW228)-2)&amp;IF($BX228&lt;&gt;"","  ·  ",""),"")&amp;IF($BX228&lt;&gt;"","CHECK: "&amp;LEFT($BX228,LEN($BX228)-2),""))</f>
        <v/>
      </c>
      <c r="AY228" s="49">
        <f>IF(OR($A228="",$K228=""),"",$K228&amp;"'-"&amp;N($L228)&amp;CHAR(34)&amp;" x "&amp;$M228&amp;"'-"&amp;N($N228)&amp;CHAR(34))</f>
        <v/>
      </c>
      <c r="AZ228" s="49">
        <f>IF(OR($A228="",$K228=""),"",$K228&amp;N($L228)&amp;$M228&amp;N($N228))</f>
        <v/>
      </c>
      <c r="BA228" s="49">
        <f>IF(OR($A228="",$K228=""),"",$K228*12+N($L228))</f>
        <v/>
      </c>
      <c r="BB228" s="49">
        <f>IF(OR($A228="",$M228=""),"",$M228*12+N($N228))</f>
        <v/>
      </c>
      <c r="BC228" s="49">
        <f>IF($A228="","",IF(OR($C228="FRAME ONLY",$S228="BL"),0,IF($O228="Y",2,1)))</f>
        <v/>
      </c>
      <c r="BD228" s="51">
        <f>IF(OR(N($BC228)=0,$BA228=""),"",($BA228-2*EdgeClr-IF($BC228=2,MeetClr,0))/$BC228)</f>
        <v/>
      </c>
      <c r="BE228" s="51">
        <f>IF(OR(N($BC228)=0,$BB228=""),"",$BB228-HeadClr-Undercut)</f>
        <v/>
      </c>
      <c r="BF228" s="51">
        <f>IF($BA228="","",$BA228+2*FaceW+IF(N($Q228)&gt;0,($Q228+FaceW)*IF($R228="LR",2,1),0))</f>
        <v/>
      </c>
      <c r="BG228" s="51">
        <f>IF($BB228="","",$BB228+IF($AB228="Y",4,FaceW)+IF(N($P228)&gt;0,$P228+FaceW,0)+IF(OR($S228="4F",$S228="BL"),FaceW,0))</f>
        <v/>
      </c>
      <c r="BH228" s="51">
        <f>IF($BF228="","",$BF228+2*ROSide)</f>
        <v/>
      </c>
      <c r="BI228" s="51">
        <f>IF($BG228="","",$BG228+ROTop)</f>
        <v/>
      </c>
      <c r="BJ228" s="52">
        <f>IF(OR(N($BC228)=0,$BA228=""),"",$BA228/$BC228-ClearDeduct)</f>
        <v/>
      </c>
      <c r="BK228" s="49">
        <f>IF(OR(N($BC228)=0,$BE228=""),"",IF(OR($AC228="HGC",$AP228="HGC"),"CONT",IF($BE228&lt;=60,2,IF($BE228&lt;=90,3,IF($BE228&lt;=120,4,5)))))</f>
        <v/>
      </c>
      <c r="BL228" s="49">
        <f>IF(N($BC228)=0,"",IF(OR($AL228="",$AL228="FLUSH"),"FLUSH",IFERROR(LEFT($AL228,FIND("-",$AL228)-1),LEFT($AL228,2))))</f>
        <v/>
      </c>
      <c r="BM228" s="49">
        <f>IF($BL228="","",IFERROR(VALUE(MID($AL228,FIND("-",$AL228)+1,FIND(CHAR(34)&amp;"x",$AL228)-FIND("-",$AL228)-1)),0))</f>
        <v/>
      </c>
      <c r="BN228" s="49">
        <f>IF($BL228="","",IFERROR(VALUE(MID($AL228,FIND(CHAR(34)&amp;"x",$AL228)+2,FIND(CHAR(34),$AL228,FIND(CHAR(34)&amp;"x",$AL228)+2)-FIND(CHAR(34)&amp;"x",$AL228)-2)),0))</f>
        <v/>
      </c>
      <c r="BO228" s="53">
        <f>IF(OR($A228="",$H228="",$H228="NO LAB"),0,IFERROR(VALUE(LEFT($H228,FIND(" ",$H228)-1)),0))</f>
        <v/>
      </c>
      <c r="BP228" s="54">
        <f>IF(OR($A228="",$I228="",$I228="NON-RATED",N($J228)=0),"",IFERROR(VLOOKUP($I228&amp;"|"&amp;$J228,IBC,2,FALSE),"?"))</f>
        <v/>
      </c>
      <c r="BQ228" s="50">
        <f>IF(NOT(AND($A228&lt;&gt;"",$C228&lt;&gt;"DOOR ONLY")),"",TRIM(IFERROR(VLOOKUP($U228,CODES,2,FALSE),"")&amp;" "&amp;$AZ228&amp;" "&amp;IFERROR(VLOOKUP($Z228,CODES,2,FALSE),"")&amp;" "&amp;IFERROR(VLOOKUP($X228,CODES,2,FALSE),"")&amp;" "&amp;IFERROR(VLOOKUP($S228,CODES,2,FALSE),"")&amp;IF(N($P228)&gt;0," w/TRANSOM "&amp;$P228&amp;CHAR(34),"")&amp;IF(N($Q228)&gt;0," w/SIDELITE "&amp;$Q228&amp;CHAR(34)&amp;" "&amp;IF($R228="","R",$R228),"")&amp;IF($Y228="","  |  "," | "&amp;IFERROR(VLOOKUP($Y228,CODES,2,FALSE),"")&amp;" | ")&amp;IFERROR(VLOOKUP($AC228,CODES,2,FALSE),"")&amp;" "&amp;IFERROR(VLOOKUP($AD228,CODES,2,FALSE),"")&amp;IF(OR($AE228="",$AE228="-"),""," "&amp;$AE228)&amp;IF(OR($AF228="",$AF228="-"),""," "&amp;$AF228)&amp;IF($AB228="Y"," 4"&amp;CHAR(34)&amp;" HEAD","")&amp;" "&amp;IFERROR(VLOOKUP($H228,CODES,2,FALSE),"")))</f>
        <v/>
      </c>
      <c r="BR228" s="50">
        <f>IF(NOT(AND($A228&lt;&gt;"",N($BC228)&gt;0)),"",TRIM(IFERROR(VLOOKUP($AH228,CODES,2,FALSE),"")&amp;IF($AI228=""," "," "&amp;$AI228&amp;"GA ")&amp;$AZ228&amp;" "&amp;IF($AN228="",IFERROR(VLOOKUP($Z228,CODES,2,FALSE),""),IFERROR(VLOOKUP($AN228,CODES,2,FALSE),""))&amp;IF($BC228=2," PAIR","")&amp;" DOOR | "&amp;IF($AL228="","?",$AL228)&amp;" | "&amp;IF($AP228="",IFERROR(VLOOKUP($AC228,CODES,2,FALSE),""),IFERROR(VLOOKUP($AP228,CODES,2,FALSE),""))&amp;" "&amp;IFERROR(VLOOKUP($AQ228,CODES,2,FALSE),"")&amp;IF(OR($AR228="",$AR228="-"),""," SEAM "&amp;$AR228)&amp;IF($AS228="Y"," ASTRAGAL","")&amp;IF($AJ228=""," "," "&amp;$AJ228)&amp;IF($AK228=""," "," "&amp;$AK228)&amp;IF($AO228="",""," "&amp;$AO228)&amp;IF($AM228=""," "," SERIES "&amp;$AM228)&amp;" "&amp;IFERROR(VLOOKUP($H228,CODES,2,FALSE),"")))</f>
        <v/>
      </c>
      <c r="BS228" s="49">
        <f>IF(BV228="","",IF(COUNTIF($BV$6:BV228,BV228)=1,MAX($BS$5:BS227)+1,INDEX($BS$5:BS227,MATCH(BV228,$BV$5:BV227,0))))</f>
        <v/>
      </c>
      <c r="BT228" s="49">
        <f>IF(NOT(AND($A228&lt;&gt;"",$C228&lt;&gt;"DOOR ONLY")),"",MAX($BT$5:BT227)+1)</f>
        <v/>
      </c>
      <c r="BU228" s="49">
        <f>IF(NOT(AND($A228&lt;&gt;"",N($BC228)&gt;0)),"",MAX($BU$5:BU227)+1)</f>
        <v/>
      </c>
      <c r="BV228" s="49">
        <f>IF(OR($A228="",$BA228="",$BB228=""),"",$AZ228&amp;"|"&amp;$O228&amp;"|"&amp;$AL228&amp;"|"&amp;$S228&amp;"|"&amp;$P228&amp;"|"&amp;$Q228&amp;$R228&amp;"|"&amp;$C228&amp;"|"&amp;$AB228)</f>
        <v/>
      </c>
      <c r="BW228" s="49">
        <f>IF($A228="","",IF($B228="","qty, ","")&amp;IF($C228="","scope, ","")&amp;IF(OR($K228="",$M228=""),"size, ","")&amp;IF(AND($A228&lt;&gt;"",$C228&lt;&gt;"DOOR ONLY"),IF($U228="","jamb depth, ","")&amp;IF($X228="","construction, ","")&amp;IF($Y228="","anchor, ","")&amp;IF($S228="","frame type, ",""),"")&amp;IF(AND(N($BC228)&gt;0,$Z228=""),"hand, ","")&amp;IF(N($BC228)&gt;0,IF($AH228="","door material, ","")&amp;IF($AL228="","face type, ","")&amp;IF($AQ228="","lock prep, ","")&amp;IF(AND($AP228="",$AC228=""),"hinge prep, ",""),"")&amp;IF(AND($BO228&gt;0,$AH228="FRP"),"FRP cannot carry a label, ","")&amp;IF(AND($O228="Y",OR($Z228="L",$Z228="R",$Z228="LR",$Z228="RR")),"pair marked but hand is single, ","")&amp;IF(AND($O228&lt;&gt;"Y",OR($Z228="PR",AND(LEN($Z228)&gt;1,ISNUMBER(SEARCH("-",$Z228))))),"pair hand on a single door, ","")&amp;IF(AND(ISNUMBER($BP228),$BO228&lt;N($BP228)),"wall needs a "&amp;$BP228&amp;" min door, ","")&amp;IF(AND($BO228&gt;=180,AND(OR($BL228="FG",$BL228="HG",$BL228="FNV",$BL228="FV"),N($BM228)*N($BN228)&gt;100)),"180 min lite over 100 sq in, ","")&amp;IF(N($BD228)&gt;48,"leaf wider than 4'-0"&amp;CHAR(34)&amp;", ",""))</f>
        <v/>
      </c>
      <c r="BX228" s="49">
        <f>IF($A228="","",IF(AND($BO228&gt;0,AND($A228&lt;&gt;"",$C228&lt;&gt;"DOOR ONLY"),$X228="KD",$E228="EXTERIOR"),"KD label on an exterior opening, ","")&amp;IF(AND($E228="EXTERIOR",OR(AND(AND($A228&lt;&gt;"",$C228&lt;&gt;"DOOR ONLY"),$W228="CR"),AND(N($BC228)&gt;0,$AH228="CR"))),"exterior in CR steel (G9?), ","")&amp;IF(AND(ISNUMBER($BJ228),N($BJ228)&lt;32),"clear width ~"&amp;TEXT($BJ228,"0.0")&amp;CHAR(34)&amp;" under 32"&amp;CHAR(34)&amp;" (ADA), ","")&amp;IF(AND($BO228=90,AND(OR($BL228="FG",$BL228="HG",$BL228="FNV",$BL228="FV"),N($BM228)*N($BN228)&gt;100)),"90 min lite over 100 sq in (stair/exit), ","")&amp;IF(AND($BO228&gt;0,AND($A228&lt;&gt;"",$C228&lt;&gt;"DOOR ONLY"),OR($AF228="",$AF228="-")),"rated: closer reinf.?, ","")&amp;IF(OR($I228="CORRIDOR",$I228="SMOKE BARRIER"),"S label + smoke gasketing, ","")&amp;IF($BP228="?","wall type/hr not in IBC table, ","")&amp;IF(AND(N($BC228)&gt;0,$AU228=""),"no hardware set, ","")&amp;IF(AND($AU228&lt;&gt;"",ISNA(MATCH($AU228,HWSets,0))),"set "&amp;$AU228&amp;" not on Hardware sheet, ","")&amp;IF(N($BE228)&gt;96,"leaf over 8'-0"&amp;CHAR(34)&amp;" - check listing, ",""))</f>
        <v/>
      </c>
    </row>
    <row r="229" ht="15" customHeight="1">
      <c r="A229" s="44" t="n"/>
      <c r="B229" s="45" t="n"/>
      <c r="C229" s="45" t="n"/>
      <c r="D229" s="45" t="n"/>
      <c r="E229" s="45" t="n"/>
      <c r="F229" s="45" t="n"/>
      <c r="G229" s="45" t="n"/>
      <c r="H229" s="45" t="n"/>
      <c r="I229" s="45" t="n"/>
      <c r="J229" s="45" t="n"/>
      <c r="K229" s="45" t="n"/>
      <c r="L229" s="45" t="n"/>
      <c r="M229" s="45" t="n"/>
      <c r="N229" s="45" t="n"/>
      <c r="O229" s="45" t="n"/>
      <c r="P229" s="45" t="n"/>
      <c r="Q229" s="45" t="n"/>
      <c r="R229" s="45" t="n"/>
      <c r="S229" s="46" t="n"/>
      <c r="T229" s="46" t="n"/>
      <c r="U229" s="46" t="n"/>
      <c r="V229" s="46" t="n"/>
      <c r="W229" s="46" t="n"/>
      <c r="X229" s="46" t="n"/>
      <c r="Y229" s="46" t="n"/>
      <c r="Z229" s="46" t="n"/>
      <c r="AA229" s="46" t="n"/>
      <c r="AB229" s="46" t="n"/>
      <c r="AC229" s="46" t="n"/>
      <c r="AD229" s="46" t="n"/>
      <c r="AE229" s="46" t="n"/>
      <c r="AF229" s="46" t="n"/>
      <c r="AG229" s="46" t="n"/>
      <c r="AH229" s="47" t="n"/>
      <c r="AI229" s="47" t="n"/>
      <c r="AJ229" s="47" t="n"/>
      <c r="AK229" s="47" t="n"/>
      <c r="AL229" s="47" t="n"/>
      <c r="AM229" s="47" t="n"/>
      <c r="AN229" s="47" t="n"/>
      <c r="AO229" s="47" t="n"/>
      <c r="AP229" s="47" t="n"/>
      <c r="AQ229" s="47" t="n"/>
      <c r="AR229" s="47" t="n"/>
      <c r="AS229" s="47" t="n"/>
      <c r="AT229" s="47" t="n"/>
      <c r="AU229" s="48" t="n"/>
      <c r="AV229" s="48" t="n"/>
      <c r="AW229" s="49">
        <f>IF($A229="","",IF($BW229&lt;&gt;"","FIX",IF($BX229&lt;&gt;"","CHECK","OK")))</f>
        <v/>
      </c>
      <c r="AX229" s="50">
        <f>IF($A229="","",IF($BW229&lt;&gt;"","FIX: "&amp;LEFT($BW229,LEN($BW229)-2)&amp;IF($BX229&lt;&gt;"","  ·  ",""),"")&amp;IF($BX229&lt;&gt;"","CHECK: "&amp;LEFT($BX229,LEN($BX229)-2),""))</f>
        <v/>
      </c>
      <c r="AY229" s="49">
        <f>IF(OR($A229="",$K229=""),"",$K229&amp;"'-"&amp;N($L229)&amp;CHAR(34)&amp;" x "&amp;$M229&amp;"'-"&amp;N($N229)&amp;CHAR(34))</f>
        <v/>
      </c>
      <c r="AZ229" s="49">
        <f>IF(OR($A229="",$K229=""),"",$K229&amp;N($L229)&amp;$M229&amp;N($N229))</f>
        <v/>
      </c>
      <c r="BA229" s="49">
        <f>IF(OR($A229="",$K229=""),"",$K229*12+N($L229))</f>
        <v/>
      </c>
      <c r="BB229" s="49">
        <f>IF(OR($A229="",$M229=""),"",$M229*12+N($N229))</f>
        <v/>
      </c>
      <c r="BC229" s="49">
        <f>IF($A229="","",IF(OR($C229="FRAME ONLY",$S229="BL"),0,IF($O229="Y",2,1)))</f>
        <v/>
      </c>
      <c r="BD229" s="51">
        <f>IF(OR(N($BC229)=0,$BA229=""),"",($BA229-2*EdgeClr-IF($BC229=2,MeetClr,0))/$BC229)</f>
        <v/>
      </c>
      <c r="BE229" s="51">
        <f>IF(OR(N($BC229)=0,$BB229=""),"",$BB229-HeadClr-Undercut)</f>
        <v/>
      </c>
      <c r="BF229" s="51">
        <f>IF($BA229="","",$BA229+2*FaceW+IF(N($Q229)&gt;0,($Q229+FaceW)*IF($R229="LR",2,1),0))</f>
        <v/>
      </c>
      <c r="BG229" s="51">
        <f>IF($BB229="","",$BB229+IF($AB229="Y",4,FaceW)+IF(N($P229)&gt;0,$P229+FaceW,0)+IF(OR($S229="4F",$S229="BL"),FaceW,0))</f>
        <v/>
      </c>
      <c r="BH229" s="51">
        <f>IF($BF229="","",$BF229+2*ROSide)</f>
        <v/>
      </c>
      <c r="BI229" s="51">
        <f>IF($BG229="","",$BG229+ROTop)</f>
        <v/>
      </c>
      <c r="BJ229" s="52">
        <f>IF(OR(N($BC229)=0,$BA229=""),"",$BA229/$BC229-ClearDeduct)</f>
        <v/>
      </c>
      <c r="BK229" s="49">
        <f>IF(OR(N($BC229)=0,$BE229=""),"",IF(OR($AC229="HGC",$AP229="HGC"),"CONT",IF($BE229&lt;=60,2,IF($BE229&lt;=90,3,IF($BE229&lt;=120,4,5)))))</f>
        <v/>
      </c>
      <c r="BL229" s="49">
        <f>IF(N($BC229)=0,"",IF(OR($AL229="",$AL229="FLUSH"),"FLUSH",IFERROR(LEFT($AL229,FIND("-",$AL229)-1),LEFT($AL229,2))))</f>
        <v/>
      </c>
      <c r="BM229" s="49">
        <f>IF($BL229="","",IFERROR(VALUE(MID($AL229,FIND("-",$AL229)+1,FIND(CHAR(34)&amp;"x",$AL229)-FIND("-",$AL229)-1)),0))</f>
        <v/>
      </c>
      <c r="BN229" s="49">
        <f>IF($BL229="","",IFERROR(VALUE(MID($AL229,FIND(CHAR(34)&amp;"x",$AL229)+2,FIND(CHAR(34),$AL229,FIND(CHAR(34)&amp;"x",$AL229)+2)-FIND(CHAR(34)&amp;"x",$AL229)-2)),0))</f>
        <v/>
      </c>
      <c r="BO229" s="53">
        <f>IF(OR($A229="",$H229="",$H229="NO LAB"),0,IFERROR(VALUE(LEFT($H229,FIND(" ",$H229)-1)),0))</f>
        <v/>
      </c>
      <c r="BP229" s="54">
        <f>IF(OR($A229="",$I229="",$I229="NON-RATED",N($J229)=0),"",IFERROR(VLOOKUP($I229&amp;"|"&amp;$J229,IBC,2,FALSE),"?"))</f>
        <v/>
      </c>
      <c r="BQ229" s="50">
        <f>IF(NOT(AND($A229&lt;&gt;"",$C229&lt;&gt;"DOOR ONLY")),"",TRIM(IFERROR(VLOOKUP($U229,CODES,2,FALSE),"")&amp;" "&amp;$AZ229&amp;" "&amp;IFERROR(VLOOKUP($Z229,CODES,2,FALSE),"")&amp;" "&amp;IFERROR(VLOOKUP($X229,CODES,2,FALSE),"")&amp;" "&amp;IFERROR(VLOOKUP($S229,CODES,2,FALSE),"")&amp;IF(N($P229)&gt;0," w/TRANSOM "&amp;$P229&amp;CHAR(34),"")&amp;IF(N($Q229)&gt;0," w/SIDELITE "&amp;$Q229&amp;CHAR(34)&amp;" "&amp;IF($R229="","R",$R229),"")&amp;IF($Y229="","  |  "," | "&amp;IFERROR(VLOOKUP($Y229,CODES,2,FALSE),"")&amp;" | ")&amp;IFERROR(VLOOKUP($AC229,CODES,2,FALSE),"")&amp;" "&amp;IFERROR(VLOOKUP($AD229,CODES,2,FALSE),"")&amp;IF(OR($AE229="",$AE229="-"),""," "&amp;$AE229)&amp;IF(OR($AF229="",$AF229="-"),""," "&amp;$AF229)&amp;IF($AB229="Y"," 4"&amp;CHAR(34)&amp;" HEAD","")&amp;" "&amp;IFERROR(VLOOKUP($H229,CODES,2,FALSE),"")))</f>
        <v/>
      </c>
      <c r="BR229" s="50">
        <f>IF(NOT(AND($A229&lt;&gt;"",N($BC229)&gt;0)),"",TRIM(IFERROR(VLOOKUP($AH229,CODES,2,FALSE),"")&amp;IF($AI229=""," "," "&amp;$AI229&amp;"GA ")&amp;$AZ229&amp;" "&amp;IF($AN229="",IFERROR(VLOOKUP($Z229,CODES,2,FALSE),""),IFERROR(VLOOKUP($AN229,CODES,2,FALSE),""))&amp;IF($BC229=2," PAIR","")&amp;" DOOR | "&amp;IF($AL229="","?",$AL229)&amp;" | "&amp;IF($AP229="",IFERROR(VLOOKUP($AC229,CODES,2,FALSE),""),IFERROR(VLOOKUP($AP229,CODES,2,FALSE),""))&amp;" "&amp;IFERROR(VLOOKUP($AQ229,CODES,2,FALSE),"")&amp;IF(OR($AR229="",$AR229="-"),""," SEAM "&amp;$AR229)&amp;IF($AS229="Y"," ASTRAGAL","")&amp;IF($AJ229=""," "," "&amp;$AJ229)&amp;IF($AK229=""," "," "&amp;$AK229)&amp;IF($AO229="",""," "&amp;$AO229)&amp;IF($AM229=""," "," SERIES "&amp;$AM229)&amp;" "&amp;IFERROR(VLOOKUP($H229,CODES,2,FALSE),"")))</f>
        <v/>
      </c>
      <c r="BS229" s="49">
        <f>IF(BV229="","",IF(COUNTIF($BV$6:BV229,BV229)=1,MAX($BS$5:BS228)+1,INDEX($BS$5:BS228,MATCH(BV229,$BV$5:BV228,0))))</f>
        <v/>
      </c>
      <c r="BT229" s="49">
        <f>IF(NOT(AND($A229&lt;&gt;"",$C229&lt;&gt;"DOOR ONLY")),"",MAX($BT$5:BT228)+1)</f>
        <v/>
      </c>
      <c r="BU229" s="49">
        <f>IF(NOT(AND($A229&lt;&gt;"",N($BC229)&gt;0)),"",MAX($BU$5:BU228)+1)</f>
        <v/>
      </c>
      <c r="BV229" s="49">
        <f>IF(OR($A229="",$BA229="",$BB229=""),"",$AZ229&amp;"|"&amp;$O229&amp;"|"&amp;$AL229&amp;"|"&amp;$S229&amp;"|"&amp;$P229&amp;"|"&amp;$Q229&amp;$R229&amp;"|"&amp;$C229&amp;"|"&amp;$AB229)</f>
        <v/>
      </c>
      <c r="BW229" s="49">
        <f>IF($A229="","",IF($B229="","qty, ","")&amp;IF($C229="","scope, ","")&amp;IF(OR($K229="",$M229=""),"size, ","")&amp;IF(AND($A229&lt;&gt;"",$C229&lt;&gt;"DOOR ONLY"),IF($U229="","jamb depth, ","")&amp;IF($X229="","construction, ","")&amp;IF($Y229="","anchor, ","")&amp;IF($S229="","frame type, ",""),"")&amp;IF(AND(N($BC229)&gt;0,$Z229=""),"hand, ","")&amp;IF(N($BC229)&gt;0,IF($AH229="","door material, ","")&amp;IF($AL229="","face type, ","")&amp;IF($AQ229="","lock prep, ","")&amp;IF(AND($AP229="",$AC229=""),"hinge prep, ",""),"")&amp;IF(AND($BO229&gt;0,$AH229="FRP"),"FRP cannot carry a label, ","")&amp;IF(AND($O229="Y",OR($Z229="L",$Z229="R",$Z229="LR",$Z229="RR")),"pair marked but hand is single, ","")&amp;IF(AND($O229&lt;&gt;"Y",OR($Z229="PR",AND(LEN($Z229)&gt;1,ISNUMBER(SEARCH("-",$Z229))))),"pair hand on a single door, ","")&amp;IF(AND(ISNUMBER($BP229),$BO229&lt;N($BP229)),"wall needs a "&amp;$BP229&amp;" min door, ","")&amp;IF(AND($BO229&gt;=180,AND(OR($BL229="FG",$BL229="HG",$BL229="FNV",$BL229="FV"),N($BM229)*N($BN229)&gt;100)),"180 min lite over 100 sq in, ","")&amp;IF(N($BD229)&gt;48,"leaf wider than 4'-0"&amp;CHAR(34)&amp;", ",""))</f>
        <v/>
      </c>
      <c r="BX229" s="49">
        <f>IF($A229="","",IF(AND($BO229&gt;0,AND($A229&lt;&gt;"",$C229&lt;&gt;"DOOR ONLY"),$X229="KD",$E229="EXTERIOR"),"KD label on an exterior opening, ","")&amp;IF(AND($E229="EXTERIOR",OR(AND(AND($A229&lt;&gt;"",$C229&lt;&gt;"DOOR ONLY"),$W229="CR"),AND(N($BC229)&gt;0,$AH229="CR"))),"exterior in CR steel (G9?), ","")&amp;IF(AND(ISNUMBER($BJ229),N($BJ229)&lt;32),"clear width ~"&amp;TEXT($BJ229,"0.0")&amp;CHAR(34)&amp;" under 32"&amp;CHAR(34)&amp;" (ADA), ","")&amp;IF(AND($BO229=90,AND(OR($BL229="FG",$BL229="HG",$BL229="FNV",$BL229="FV"),N($BM229)*N($BN229)&gt;100)),"90 min lite over 100 sq in (stair/exit), ","")&amp;IF(AND($BO229&gt;0,AND($A229&lt;&gt;"",$C229&lt;&gt;"DOOR ONLY"),OR($AF229="",$AF229="-")),"rated: closer reinf.?, ","")&amp;IF(OR($I229="CORRIDOR",$I229="SMOKE BARRIER"),"S label + smoke gasketing, ","")&amp;IF($BP229="?","wall type/hr not in IBC table, ","")&amp;IF(AND(N($BC229)&gt;0,$AU229=""),"no hardware set, ","")&amp;IF(AND($AU229&lt;&gt;"",ISNA(MATCH($AU229,HWSets,0))),"set "&amp;$AU229&amp;" not on Hardware sheet, ","")&amp;IF(N($BE229)&gt;96,"leaf over 8'-0"&amp;CHAR(34)&amp;" - check listing, ",""))</f>
        <v/>
      </c>
    </row>
    <row r="230" ht="15" customHeight="1">
      <c r="A230" s="44" t="n"/>
      <c r="B230" s="45" t="n"/>
      <c r="C230" s="45" t="n"/>
      <c r="D230" s="45" t="n"/>
      <c r="E230" s="45" t="n"/>
      <c r="F230" s="45" t="n"/>
      <c r="G230" s="45" t="n"/>
      <c r="H230" s="45" t="n"/>
      <c r="I230" s="45" t="n"/>
      <c r="J230" s="45" t="n"/>
      <c r="K230" s="45" t="n"/>
      <c r="L230" s="45" t="n"/>
      <c r="M230" s="45" t="n"/>
      <c r="N230" s="45" t="n"/>
      <c r="O230" s="45" t="n"/>
      <c r="P230" s="45" t="n"/>
      <c r="Q230" s="45" t="n"/>
      <c r="R230" s="45" t="n"/>
      <c r="S230" s="46" t="n"/>
      <c r="T230" s="46" t="n"/>
      <c r="U230" s="46" t="n"/>
      <c r="V230" s="46" t="n"/>
      <c r="W230" s="46" t="n"/>
      <c r="X230" s="46" t="n"/>
      <c r="Y230" s="46" t="n"/>
      <c r="Z230" s="46" t="n"/>
      <c r="AA230" s="46" t="n"/>
      <c r="AB230" s="46" t="n"/>
      <c r="AC230" s="46" t="n"/>
      <c r="AD230" s="46" t="n"/>
      <c r="AE230" s="46" t="n"/>
      <c r="AF230" s="46" t="n"/>
      <c r="AG230" s="46" t="n"/>
      <c r="AH230" s="47" t="n"/>
      <c r="AI230" s="47" t="n"/>
      <c r="AJ230" s="47" t="n"/>
      <c r="AK230" s="47" t="n"/>
      <c r="AL230" s="47" t="n"/>
      <c r="AM230" s="47" t="n"/>
      <c r="AN230" s="47" t="n"/>
      <c r="AO230" s="47" t="n"/>
      <c r="AP230" s="47" t="n"/>
      <c r="AQ230" s="47" t="n"/>
      <c r="AR230" s="47" t="n"/>
      <c r="AS230" s="47" t="n"/>
      <c r="AT230" s="47" t="n"/>
      <c r="AU230" s="48" t="n"/>
      <c r="AV230" s="48" t="n"/>
      <c r="AW230" s="49">
        <f>IF($A230="","",IF($BW230&lt;&gt;"","FIX",IF($BX230&lt;&gt;"","CHECK","OK")))</f>
        <v/>
      </c>
      <c r="AX230" s="50">
        <f>IF($A230="","",IF($BW230&lt;&gt;"","FIX: "&amp;LEFT($BW230,LEN($BW230)-2)&amp;IF($BX230&lt;&gt;"","  ·  ",""),"")&amp;IF($BX230&lt;&gt;"","CHECK: "&amp;LEFT($BX230,LEN($BX230)-2),""))</f>
        <v/>
      </c>
      <c r="AY230" s="49">
        <f>IF(OR($A230="",$K230=""),"",$K230&amp;"'-"&amp;N($L230)&amp;CHAR(34)&amp;" x "&amp;$M230&amp;"'-"&amp;N($N230)&amp;CHAR(34))</f>
        <v/>
      </c>
      <c r="AZ230" s="49">
        <f>IF(OR($A230="",$K230=""),"",$K230&amp;N($L230)&amp;$M230&amp;N($N230))</f>
        <v/>
      </c>
      <c r="BA230" s="49">
        <f>IF(OR($A230="",$K230=""),"",$K230*12+N($L230))</f>
        <v/>
      </c>
      <c r="BB230" s="49">
        <f>IF(OR($A230="",$M230=""),"",$M230*12+N($N230))</f>
        <v/>
      </c>
      <c r="BC230" s="49">
        <f>IF($A230="","",IF(OR($C230="FRAME ONLY",$S230="BL"),0,IF($O230="Y",2,1)))</f>
        <v/>
      </c>
      <c r="BD230" s="51">
        <f>IF(OR(N($BC230)=0,$BA230=""),"",($BA230-2*EdgeClr-IF($BC230=2,MeetClr,0))/$BC230)</f>
        <v/>
      </c>
      <c r="BE230" s="51">
        <f>IF(OR(N($BC230)=0,$BB230=""),"",$BB230-HeadClr-Undercut)</f>
        <v/>
      </c>
      <c r="BF230" s="51">
        <f>IF($BA230="","",$BA230+2*FaceW+IF(N($Q230)&gt;0,($Q230+FaceW)*IF($R230="LR",2,1),0))</f>
        <v/>
      </c>
      <c r="BG230" s="51">
        <f>IF($BB230="","",$BB230+IF($AB230="Y",4,FaceW)+IF(N($P230)&gt;0,$P230+FaceW,0)+IF(OR($S230="4F",$S230="BL"),FaceW,0))</f>
        <v/>
      </c>
      <c r="BH230" s="51">
        <f>IF($BF230="","",$BF230+2*ROSide)</f>
        <v/>
      </c>
      <c r="BI230" s="51">
        <f>IF($BG230="","",$BG230+ROTop)</f>
        <v/>
      </c>
      <c r="BJ230" s="52">
        <f>IF(OR(N($BC230)=0,$BA230=""),"",$BA230/$BC230-ClearDeduct)</f>
        <v/>
      </c>
      <c r="BK230" s="49">
        <f>IF(OR(N($BC230)=0,$BE230=""),"",IF(OR($AC230="HGC",$AP230="HGC"),"CONT",IF($BE230&lt;=60,2,IF($BE230&lt;=90,3,IF($BE230&lt;=120,4,5)))))</f>
        <v/>
      </c>
      <c r="BL230" s="49">
        <f>IF(N($BC230)=0,"",IF(OR($AL230="",$AL230="FLUSH"),"FLUSH",IFERROR(LEFT($AL230,FIND("-",$AL230)-1),LEFT($AL230,2))))</f>
        <v/>
      </c>
      <c r="BM230" s="49">
        <f>IF($BL230="","",IFERROR(VALUE(MID($AL230,FIND("-",$AL230)+1,FIND(CHAR(34)&amp;"x",$AL230)-FIND("-",$AL230)-1)),0))</f>
        <v/>
      </c>
      <c r="BN230" s="49">
        <f>IF($BL230="","",IFERROR(VALUE(MID($AL230,FIND(CHAR(34)&amp;"x",$AL230)+2,FIND(CHAR(34),$AL230,FIND(CHAR(34)&amp;"x",$AL230)+2)-FIND(CHAR(34)&amp;"x",$AL230)-2)),0))</f>
        <v/>
      </c>
      <c r="BO230" s="53">
        <f>IF(OR($A230="",$H230="",$H230="NO LAB"),0,IFERROR(VALUE(LEFT($H230,FIND(" ",$H230)-1)),0))</f>
        <v/>
      </c>
      <c r="BP230" s="54">
        <f>IF(OR($A230="",$I230="",$I230="NON-RATED",N($J230)=0),"",IFERROR(VLOOKUP($I230&amp;"|"&amp;$J230,IBC,2,FALSE),"?"))</f>
        <v/>
      </c>
      <c r="BQ230" s="50">
        <f>IF(NOT(AND($A230&lt;&gt;"",$C230&lt;&gt;"DOOR ONLY")),"",TRIM(IFERROR(VLOOKUP($U230,CODES,2,FALSE),"")&amp;" "&amp;$AZ230&amp;" "&amp;IFERROR(VLOOKUP($Z230,CODES,2,FALSE),"")&amp;" "&amp;IFERROR(VLOOKUP($X230,CODES,2,FALSE),"")&amp;" "&amp;IFERROR(VLOOKUP($S230,CODES,2,FALSE),"")&amp;IF(N($P230)&gt;0," w/TRANSOM "&amp;$P230&amp;CHAR(34),"")&amp;IF(N($Q230)&gt;0," w/SIDELITE "&amp;$Q230&amp;CHAR(34)&amp;" "&amp;IF($R230="","R",$R230),"")&amp;IF($Y230="","  |  "," | "&amp;IFERROR(VLOOKUP($Y230,CODES,2,FALSE),"")&amp;" | ")&amp;IFERROR(VLOOKUP($AC230,CODES,2,FALSE),"")&amp;" "&amp;IFERROR(VLOOKUP($AD230,CODES,2,FALSE),"")&amp;IF(OR($AE230="",$AE230="-"),""," "&amp;$AE230)&amp;IF(OR($AF230="",$AF230="-"),""," "&amp;$AF230)&amp;IF($AB230="Y"," 4"&amp;CHAR(34)&amp;" HEAD","")&amp;" "&amp;IFERROR(VLOOKUP($H230,CODES,2,FALSE),"")))</f>
        <v/>
      </c>
      <c r="BR230" s="50">
        <f>IF(NOT(AND($A230&lt;&gt;"",N($BC230)&gt;0)),"",TRIM(IFERROR(VLOOKUP($AH230,CODES,2,FALSE),"")&amp;IF($AI230=""," "," "&amp;$AI230&amp;"GA ")&amp;$AZ230&amp;" "&amp;IF($AN230="",IFERROR(VLOOKUP($Z230,CODES,2,FALSE),""),IFERROR(VLOOKUP($AN230,CODES,2,FALSE),""))&amp;IF($BC230=2," PAIR","")&amp;" DOOR | "&amp;IF($AL230="","?",$AL230)&amp;" | "&amp;IF($AP230="",IFERROR(VLOOKUP($AC230,CODES,2,FALSE),""),IFERROR(VLOOKUP($AP230,CODES,2,FALSE),""))&amp;" "&amp;IFERROR(VLOOKUP($AQ230,CODES,2,FALSE),"")&amp;IF(OR($AR230="",$AR230="-"),""," SEAM "&amp;$AR230)&amp;IF($AS230="Y"," ASTRAGAL","")&amp;IF($AJ230=""," "," "&amp;$AJ230)&amp;IF($AK230=""," "," "&amp;$AK230)&amp;IF($AO230="",""," "&amp;$AO230)&amp;IF($AM230=""," "," SERIES "&amp;$AM230)&amp;" "&amp;IFERROR(VLOOKUP($H230,CODES,2,FALSE),"")))</f>
        <v/>
      </c>
      <c r="BS230" s="49">
        <f>IF(BV230="","",IF(COUNTIF($BV$6:BV230,BV230)=1,MAX($BS$5:BS229)+1,INDEX($BS$5:BS229,MATCH(BV230,$BV$5:BV229,0))))</f>
        <v/>
      </c>
      <c r="BT230" s="49">
        <f>IF(NOT(AND($A230&lt;&gt;"",$C230&lt;&gt;"DOOR ONLY")),"",MAX($BT$5:BT229)+1)</f>
        <v/>
      </c>
      <c r="BU230" s="49">
        <f>IF(NOT(AND($A230&lt;&gt;"",N($BC230)&gt;0)),"",MAX($BU$5:BU229)+1)</f>
        <v/>
      </c>
      <c r="BV230" s="49">
        <f>IF(OR($A230="",$BA230="",$BB230=""),"",$AZ230&amp;"|"&amp;$O230&amp;"|"&amp;$AL230&amp;"|"&amp;$S230&amp;"|"&amp;$P230&amp;"|"&amp;$Q230&amp;$R230&amp;"|"&amp;$C230&amp;"|"&amp;$AB230)</f>
        <v/>
      </c>
      <c r="BW230" s="49">
        <f>IF($A230="","",IF($B230="","qty, ","")&amp;IF($C230="","scope, ","")&amp;IF(OR($K230="",$M230=""),"size, ","")&amp;IF(AND($A230&lt;&gt;"",$C230&lt;&gt;"DOOR ONLY"),IF($U230="","jamb depth, ","")&amp;IF($X230="","construction, ","")&amp;IF($Y230="","anchor, ","")&amp;IF($S230="","frame type, ",""),"")&amp;IF(AND(N($BC230)&gt;0,$Z230=""),"hand, ","")&amp;IF(N($BC230)&gt;0,IF($AH230="","door material, ","")&amp;IF($AL230="","face type, ","")&amp;IF($AQ230="","lock prep, ","")&amp;IF(AND($AP230="",$AC230=""),"hinge prep, ",""),"")&amp;IF(AND($BO230&gt;0,$AH230="FRP"),"FRP cannot carry a label, ","")&amp;IF(AND($O230="Y",OR($Z230="L",$Z230="R",$Z230="LR",$Z230="RR")),"pair marked but hand is single, ","")&amp;IF(AND($O230&lt;&gt;"Y",OR($Z230="PR",AND(LEN($Z230)&gt;1,ISNUMBER(SEARCH("-",$Z230))))),"pair hand on a single door, ","")&amp;IF(AND(ISNUMBER($BP230),$BO230&lt;N($BP230)),"wall needs a "&amp;$BP230&amp;" min door, ","")&amp;IF(AND($BO230&gt;=180,AND(OR($BL230="FG",$BL230="HG",$BL230="FNV",$BL230="FV"),N($BM230)*N($BN230)&gt;100)),"180 min lite over 100 sq in, ","")&amp;IF(N($BD230)&gt;48,"leaf wider than 4'-0"&amp;CHAR(34)&amp;", ",""))</f>
        <v/>
      </c>
      <c r="BX230" s="49">
        <f>IF($A230="","",IF(AND($BO230&gt;0,AND($A230&lt;&gt;"",$C230&lt;&gt;"DOOR ONLY"),$X230="KD",$E230="EXTERIOR"),"KD label on an exterior opening, ","")&amp;IF(AND($E230="EXTERIOR",OR(AND(AND($A230&lt;&gt;"",$C230&lt;&gt;"DOOR ONLY"),$W230="CR"),AND(N($BC230)&gt;0,$AH230="CR"))),"exterior in CR steel (G9?), ","")&amp;IF(AND(ISNUMBER($BJ230),N($BJ230)&lt;32),"clear width ~"&amp;TEXT($BJ230,"0.0")&amp;CHAR(34)&amp;" under 32"&amp;CHAR(34)&amp;" (ADA), ","")&amp;IF(AND($BO230=90,AND(OR($BL230="FG",$BL230="HG",$BL230="FNV",$BL230="FV"),N($BM230)*N($BN230)&gt;100)),"90 min lite over 100 sq in (stair/exit), ","")&amp;IF(AND($BO230&gt;0,AND($A230&lt;&gt;"",$C230&lt;&gt;"DOOR ONLY"),OR($AF230="",$AF230="-")),"rated: closer reinf.?, ","")&amp;IF(OR($I230="CORRIDOR",$I230="SMOKE BARRIER"),"S label + smoke gasketing, ","")&amp;IF($BP230="?","wall type/hr not in IBC table, ","")&amp;IF(AND(N($BC230)&gt;0,$AU230=""),"no hardware set, ","")&amp;IF(AND($AU230&lt;&gt;"",ISNA(MATCH($AU230,HWSets,0))),"set "&amp;$AU230&amp;" not on Hardware sheet, ","")&amp;IF(N($BE230)&gt;96,"leaf over 8'-0"&amp;CHAR(34)&amp;" - check listing, ",""))</f>
        <v/>
      </c>
    </row>
    <row r="231" ht="15" customHeight="1">
      <c r="A231" s="44" t="n"/>
      <c r="B231" s="45" t="n"/>
      <c r="C231" s="45" t="n"/>
      <c r="D231" s="45" t="n"/>
      <c r="E231" s="45" t="n"/>
      <c r="F231" s="45" t="n"/>
      <c r="G231" s="45" t="n"/>
      <c r="H231" s="45" t="n"/>
      <c r="I231" s="45" t="n"/>
      <c r="J231" s="45" t="n"/>
      <c r="K231" s="45" t="n"/>
      <c r="L231" s="45" t="n"/>
      <c r="M231" s="45" t="n"/>
      <c r="N231" s="45" t="n"/>
      <c r="O231" s="45" t="n"/>
      <c r="P231" s="45" t="n"/>
      <c r="Q231" s="45" t="n"/>
      <c r="R231" s="45" t="n"/>
      <c r="S231" s="46" t="n"/>
      <c r="T231" s="46" t="n"/>
      <c r="U231" s="46" t="n"/>
      <c r="V231" s="46" t="n"/>
      <c r="W231" s="46" t="n"/>
      <c r="X231" s="46" t="n"/>
      <c r="Y231" s="46" t="n"/>
      <c r="Z231" s="46" t="n"/>
      <c r="AA231" s="46" t="n"/>
      <c r="AB231" s="46" t="n"/>
      <c r="AC231" s="46" t="n"/>
      <c r="AD231" s="46" t="n"/>
      <c r="AE231" s="46" t="n"/>
      <c r="AF231" s="46" t="n"/>
      <c r="AG231" s="46" t="n"/>
      <c r="AH231" s="47" t="n"/>
      <c r="AI231" s="47" t="n"/>
      <c r="AJ231" s="47" t="n"/>
      <c r="AK231" s="47" t="n"/>
      <c r="AL231" s="47" t="n"/>
      <c r="AM231" s="47" t="n"/>
      <c r="AN231" s="47" t="n"/>
      <c r="AO231" s="47" t="n"/>
      <c r="AP231" s="47" t="n"/>
      <c r="AQ231" s="47" t="n"/>
      <c r="AR231" s="47" t="n"/>
      <c r="AS231" s="47" t="n"/>
      <c r="AT231" s="47" t="n"/>
      <c r="AU231" s="48" t="n"/>
      <c r="AV231" s="48" t="n"/>
      <c r="AW231" s="49">
        <f>IF($A231="","",IF($BW231&lt;&gt;"","FIX",IF($BX231&lt;&gt;"","CHECK","OK")))</f>
        <v/>
      </c>
      <c r="AX231" s="50">
        <f>IF($A231="","",IF($BW231&lt;&gt;"","FIX: "&amp;LEFT($BW231,LEN($BW231)-2)&amp;IF($BX231&lt;&gt;"","  ·  ",""),"")&amp;IF($BX231&lt;&gt;"","CHECK: "&amp;LEFT($BX231,LEN($BX231)-2),""))</f>
        <v/>
      </c>
      <c r="AY231" s="49">
        <f>IF(OR($A231="",$K231=""),"",$K231&amp;"'-"&amp;N($L231)&amp;CHAR(34)&amp;" x "&amp;$M231&amp;"'-"&amp;N($N231)&amp;CHAR(34))</f>
        <v/>
      </c>
      <c r="AZ231" s="49">
        <f>IF(OR($A231="",$K231=""),"",$K231&amp;N($L231)&amp;$M231&amp;N($N231))</f>
        <v/>
      </c>
      <c r="BA231" s="49">
        <f>IF(OR($A231="",$K231=""),"",$K231*12+N($L231))</f>
        <v/>
      </c>
      <c r="BB231" s="49">
        <f>IF(OR($A231="",$M231=""),"",$M231*12+N($N231))</f>
        <v/>
      </c>
      <c r="BC231" s="49">
        <f>IF($A231="","",IF(OR($C231="FRAME ONLY",$S231="BL"),0,IF($O231="Y",2,1)))</f>
        <v/>
      </c>
      <c r="BD231" s="51">
        <f>IF(OR(N($BC231)=0,$BA231=""),"",($BA231-2*EdgeClr-IF($BC231=2,MeetClr,0))/$BC231)</f>
        <v/>
      </c>
      <c r="BE231" s="51">
        <f>IF(OR(N($BC231)=0,$BB231=""),"",$BB231-HeadClr-Undercut)</f>
        <v/>
      </c>
      <c r="BF231" s="51">
        <f>IF($BA231="","",$BA231+2*FaceW+IF(N($Q231)&gt;0,($Q231+FaceW)*IF($R231="LR",2,1),0))</f>
        <v/>
      </c>
      <c r="BG231" s="51">
        <f>IF($BB231="","",$BB231+IF($AB231="Y",4,FaceW)+IF(N($P231)&gt;0,$P231+FaceW,0)+IF(OR($S231="4F",$S231="BL"),FaceW,0))</f>
        <v/>
      </c>
      <c r="BH231" s="51">
        <f>IF($BF231="","",$BF231+2*ROSide)</f>
        <v/>
      </c>
      <c r="BI231" s="51">
        <f>IF($BG231="","",$BG231+ROTop)</f>
        <v/>
      </c>
      <c r="BJ231" s="52">
        <f>IF(OR(N($BC231)=0,$BA231=""),"",$BA231/$BC231-ClearDeduct)</f>
        <v/>
      </c>
      <c r="BK231" s="49">
        <f>IF(OR(N($BC231)=0,$BE231=""),"",IF(OR($AC231="HGC",$AP231="HGC"),"CONT",IF($BE231&lt;=60,2,IF($BE231&lt;=90,3,IF($BE231&lt;=120,4,5)))))</f>
        <v/>
      </c>
      <c r="BL231" s="49">
        <f>IF(N($BC231)=0,"",IF(OR($AL231="",$AL231="FLUSH"),"FLUSH",IFERROR(LEFT($AL231,FIND("-",$AL231)-1),LEFT($AL231,2))))</f>
        <v/>
      </c>
      <c r="BM231" s="49">
        <f>IF($BL231="","",IFERROR(VALUE(MID($AL231,FIND("-",$AL231)+1,FIND(CHAR(34)&amp;"x",$AL231)-FIND("-",$AL231)-1)),0))</f>
        <v/>
      </c>
      <c r="BN231" s="49">
        <f>IF($BL231="","",IFERROR(VALUE(MID($AL231,FIND(CHAR(34)&amp;"x",$AL231)+2,FIND(CHAR(34),$AL231,FIND(CHAR(34)&amp;"x",$AL231)+2)-FIND(CHAR(34)&amp;"x",$AL231)-2)),0))</f>
        <v/>
      </c>
      <c r="BO231" s="53">
        <f>IF(OR($A231="",$H231="",$H231="NO LAB"),0,IFERROR(VALUE(LEFT($H231,FIND(" ",$H231)-1)),0))</f>
        <v/>
      </c>
      <c r="BP231" s="54">
        <f>IF(OR($A231="",$I231="",$I231="NON-RATED",N($J231)=0),"",IFERROR(VLOOKUP($I231&amp;"|"&amp;$J231,IBC,2,FALSE),"?"))</f>
        <v/>
      </c>
      <c r="BQ231" s="50">
        <f>IF(NOT(AND($A231&lt;&gt;"",$C231&lt;&gt;"DOOR ONLY")),"",TRIM(IFERROR(VLOOKUP($U231,CODES,2,FALSE),"")&amp;" "&amp;$AZ231&amp;" "&amp;IFERROR(VLOOKUP($Z231,CODES,2,FALSE),"")&amp;" "&amp;IFERROR(VLOOKUP($X231,CODES,2,FALSE),"")&amp;" "&amp;IFERROR(VLOOKUP($S231,CODES,2,FALSE),"")&amp;IF(N($P231)&gt;0," w/TRANSOM "&amp;$P231&amp;CHAR(34),"")&amp;IF(N($Q231)&gt;0," w/SIDELITE "&amp;$Q231&amp;CHAR(34)&amp;" "&amp;IF($R231="","R",$R231),"")&amp;IF($Y231="","  |  "," | "&amp;IFERROR(VLOOKUP($Y231,CODES,2,FALSE),"")&amp;" | ")&amp;IFERROR(VLOOKUP($AC231,CODES,2,FALSE),"")&amp;" "&amp;IFERROR(VLOOKUP($AD231,CODES,2,FALSE),"")&amp;IF(OR($AE231="",$AE231="-"),""," "&amp;$AE231)&amp;IF(OR($AF231="",$AF231="-"),""," "&amp;$AF231)&amp;IF($AB231="Y"," 4"&amp;CHAR(34)&amp;" HEAD","")&amp;" "&amp;IFERROR(VLOOKUP($H231,CODES,2,FALSE),"")))</f>
        <v/>
      </c>
      <c r="BR231" s="50">
        <f>IF(NOT(AND($A231&lt;&gt;"",N($BC231)&gt;0)),"",TRIM(IFERROR(VLOOKUP($AH231,CODES,2,FALSE),"")&amp;IF($AI231=""," "," "&amp;$AI231&amp;"GA ")&amp;$AZ231&amp;" "&amp;IF($AN231="",IFERROR(VLOOKUP($Z231,CODES,2,FALSE),""),IFERROR(VLOOKUP($AN231,CODES,2,FALSE),""))&amp;IF($BC231=2," PAIR","")&amp;" DOOR | "&amp;IF($AL231="","?",$AL231)&amp;" | "&amp;IF($AP231="",IFERROR(VLOOKUP($AC231,CODES,2,FALSE),""),IFERROR(VLOOKUP($AP231,CODES,2,FALSE),""))&amp;" "&amp;IFERROR(VLOOKUP($AQ231,CODES,2,FALSE),"")&amp;IF(OR($AR231="",$AR231="-"),""," SEAM "&amp;$AR231)&amp;IF($AS231="Y"," ASTRAGAL","")&amp;IF($AJ231=""," "," "&amp;$AJ231)&amp;IF($AK231=""," "," "&amp;$AK231)&amp;IF($AO231="",""," "&amp;$AO231)&amp;IF($AM231=""," "," SERIES "&amp;$AM231)&amp;" "&amp;IFERROR(VLOOKUP($H231,CODES,2,FALSE),"")))</f>
        <v/>
      </c>
      <c r="BS231" s="49">
        <f>IF(BV231="","",IF(COUNTIF($BV$6:BV231,BV231)=1,MAX($BS$5:BS230)+1,INDEX($BS$5:BS230,MATCH(BV231,$BV$5:BV230,0))))</f>
        <v/>
      </c>
      <c r="BT231" s="49">
        <f>IF(NOT(AND($A231&lt;&gt;"",$C231&lt;&gt;"DOOR ONLY")),"",MAX($BT$5:BT230)+1)</f>
        <v/>
      </c>
      <c r="BU231" s="49">
        <f>IF(NOT(AND($A231&lt;&gt;"",N($BC231)&gt;0)),"",MAX($BU$5:BU230)+1)</f>
        <v/>
      </c>
      <c r="BV231" s="49">
        <f>IF(OR($A231="",$BA231="",$BB231=""),"",$AZ231&amp;"|"&amp;$O231&amp;"|"&amp;$AL231&amp;"|"&amp;$S231&amp;"|"&amp;$P231&amp;"|"&amp;$Q231&amp;$R231&amp;"|"&amp;$C231&amp;"|"&amp;$AB231)</f>
        <v/>
      </c>
      <c r="BW231" s="49">
        <f>IF($A231="","",IF($B231="","qty, ","")&amp;IF($C231="","scope, ","")&amp;IF(OR($K231="",$M231=""),"size, ","")&amp;IF(AND($A231&lt;&gt;"",$C231&lt;&gt;"DOOR ONLY"),IF($U231="","jamb depth, ","")&amp;IF($X231="","construction, ","")&amp;IF($Y231="","anchor, ","")&amp;IF($S231="","frame type, ",""),"")&amp;IF(AND(N($BC231)&gt;0,$Z231=""),"hand, ","")&amp;IF(N($BC231)&gt;0,IF($AH231="","door material, ","")&amp;IF($AL231="","face type, ","")&amp;IF($AQ231="","lock prep, ","")&amp;IF(AND($AP231="",$AC231=""),"hinge prep, ",""),"")&amp;IF(AND($BO231&gt;0,$AH231="FRP"),"FRP cannot carry a label, ","")&amp;IF(AND($O231="Y",OR($Z231="L",$Z231="R",$Z231="LR",$Z231="RR")),"pair marked but hand is single, ","")&amp;IF(AND($O231&lt;&gt;"Y",OR($Z231="PR",AND(LEN($Z231)&gt;1,ISNUMBER(SEARCH("-",$Z231))))),"pair hand on a single door, ","")&amp;IF(AND(ISNUMBER($BP231),$BO231&lt;N($BP231)),"wall needs a "&amp;$BP231&amp;" min door, ","")&amp;IF(AND($BO231&gt;=180,AND(OR($BL231="FG",$BL231="HG",$BL231="FNV",$BL231="FV"),N($BM231)*N($BN231)&gt;100)),"180 min lite over 100 sq in, ","")&amp;IF(N($BD231)&gt;48,"leaf wider than 4'-0"&amp;CHAR(34)&amp;", ",""))</f>
        <v/>
      </c>
      <c r="BX231" s="49">
        <f>IF($A231="","",IF(AND($BO231&gt;0,AND($A231&lt;&gt;"",$C231&lt;&gt;"DOOR ONLY"),$X231="KD",$E231="EXTERIOR"),"KD label on an exterior opening, ","")&amp;IF(AND($E231="EXTERIOR",OR(AND(AND($A231&lt;&gt;"",$C231&lt;&gt;"DOOR ONLY"),$W231="CR"),AND(N($BC231)&gt;0,$AH231="CR"))),"exterior in CR steel (G9?), ","")&amp;IF(AND(ISNUMBER($BJ231),N($BJ231)&lt;32),"clear width ~"&amp;TEXT($BJ231,"0.0")&amp;CHAR(34)&amp;" under 32"&amp;CHAR(34)&amp;" (ADA), ","")&amp;IF(AND($BO231=90,AND(OR($BL231="FG",$BL231="HG",$BL231="FNV",$BL231="FV"),N($BM231)*N($BN231)&gt;100)),"90 min lite over 100 sq in (stair/exit), ","")&amp;IF(AND($BO231&gt;0,AND($A231&lt;&gt;"",$C231&lt;&gt;"DOOR ONLY"),OR($AF231="",$AF231="-")),"rated: closer reinf.?, ","")&amp;IF(OR($I231="CORRIDOR",$I231="SMOKE BARRIER"),"S label + smoke gasketing, ","")&amp;IF($BP231="?","wall type/hr not in IBC table, ","")&amp;IF(AND(N($BC231)&gt;0,$AU231=""),"no hardware set, ","")&amp;IF(AND($AU231&lt;&gt;"",ISNA(MATCH($AU231,HWSets,0))),"set "&amp;$AU231&amp;" not on Hardware sheet, ","")&amp;IF(N($BE231)&gt;96,"leaf over 8'-0"&amp;CHAR(34)&amp;" - check listing, ",""))</f>
        <v/>
      </c>
    </row>
    <row r="232" ht="15" customHeight="1">
      <c r="A232" s="44" t="n"/>
      <c r="B232" s="45" t="n"/>
      <c r="C232" s="45" t="n"/>
      <c r="D232" s="45" t="n"/>
      <c r="E232" s="45" t="n"/>
      <c r="F232" s="45" t="n"/>
      <c r="G232" s="45" t="n"/>
      <c r="H232" s="45" t="n"/>
      <c r="I232" s="45" t="n"/>
      <c r="J232" s="45" t="n"/>
      <c r="K232" s="45" t="n"/>
      <c r="L232" s="45" t="n"/>
      <c r="M232" s="45" t="n"/>
      <c r="N232" s="45" t="n"/>
      <c r="O232" s="45" t="n"/>
      <c r="P232" s="45" t="n"/>
      <c r="Q232" s="45" t="n"/>
      <c r="R232" s="45" t="n"/>
      <c r="S232" s="46" t="n"/>
      <c r="T232" s="46" t="n"/>
      <c r="U232" s="46" t="n"/>
      <c r="V232" s="46" t="n"/>
      <c r="W232" s="46" t="n"/>
      <c r="X232" s="46" t="n"/>
      <c r="Y232" s="46" t="n"/>
      <c r="Z232" s="46" t="n"/>
      <c r="AA232" s="46" t="n"/>
      <c r="AB232" s="46" t="n"/>
      <c r="AC232" s="46" t="n"/>
      <c r="AD232" s="46" t="n"/>
      <c r="AE232" s="46" t="n"/>
      <c r="AF232" s="46" t="n"/>
      <c r="AG232" s="46" t="n"/>
      <c r="AH232" s="47" t="n"/>
      <c r="AI232" s="47" t="n"/>
      <c r="AJ232" s="47" t="n"/>
      <c r="AK232" s="47" t="n"/>
      <c r="AL232" s="47" t="n"/>
      <c r="AM232" s="47" t="n"/>
      <c r="AN232" s="47" t="n"/>
      <c r="AO232" s="47" t="n"/>
      <c r="AP232" s="47" t="n"/>
      <c r="AQ232" s="47" t="n"/>
      <c r="AR232" s="47" t="n"/>
      <c r="AS232" s="47" t="n"/>
      <c r="AT232" s="47" t="n"/>
      <c r="AU232" s="48" t="n"/>
      <c r="AV232" s="48" t="n"/>
      <c r="AW232" s="49">
        <f>IF($A232="","",IF($BW232&lt;&gt;"","FIX",IF($BX232&lt;&gt;"","CHECK","OK")))</f>
        <v/>
      </c>
      <c r="AX232" s="50">
        <f>IF($A232="","",IF($BW232&lt;&gt;"","FIX: "&amp;LEFT($BW232,LEN($BW232)-2)&amp;IF($BX232&lt;&gt;"","  ·  ",""),"")&amp;IF($BX232&lt;&gt;"","CHECK: "&amp;LEFT($BX232,LEN($BX232)-2),""))</f>
        <v/>
      </c>
      <c r="AY232" s="49">
        <f>IF(OR($A232="",$K232=""),"",$K232&amp;"'-"&amp;N($L232)&amp;CHAR(34)&amp;" x "&amp;$M232&amp;"'-"&amp;N($N232)&amp;CHAR(34))</f>
        <v/>
      </c>
      <c r="AZ232" s="49">
        <f>IF(OR($A232="",$K232=""),"",$K232&amp;N($L232)&amp;$M232&amp;N($N232))</f>
        <v/>
      </c>
      <c r="BA232" s="49">
        <f>IF(OR($A232="",$K232=""),"",$K232*12+N($L232))</f>
        <v/>
      </c>
      <c r="BB232" s="49">
        <f>IF(OR($A232="",$M232=""),"",$M232*12+N($N232))</f>
        <v/>
      </c>
      <c r="BC232" s="49">
        <f>IF($A232="","",IF(OR($C232="FRAME ONLY",$S232="BL"),0,IF($O232="Y",2,1)))</f>
        <v/>
      </c>
      <c r="BD232" s="51">
        <f>IF(OR(N($BC232)=0,$BA232=""),"",($BA232-2*EdgeClr-IF($BC232=2,MeetClr,0))/$BC232)</f>
        <v/>
      </c>
      <c r="BE232" s="51">
        <f>IF(OR(N($BC232)=0,$BB232=""),"",$BB232-HeadClr-Undercut)</f>
        <v/>
      </c>
      <c r="BF232" s="51">
        <f>IF($BA232="","",$BA232+2*FaceW+IF(N($Q232)&gt;0,($Q232+FaceW)*IF($R232="LR",2,1),0))</f>
        <v/>
      </c>
      <c r="BG232" s="51">
        <f>IF($BB232="","",$BB232+IF($AB232="Y",4,FaceW)+IF(N($P232)&gt;0,$P232+FaceW,0)+IF(OR($S232="4F",$S232="BL"),FaceW,0))</f>
        <v/>
      </c>
      <c r="BH232" s="51">
        <f>IF($BF232="","",$BF232+2*ROSide)</f>
        <v/>
      </c>
      <c r="BI232" s="51">
        <f>IF($BG232="","",$BG232+ROTop)</f>
        <v/>
      </c>
      <c r="BJ232" s="52">
        <f>IF(OR(N($BC232)=0,$BA232=""),"",$BA232/$BC232-ClearDeduct)</f>
        <v/>
      </c>
      <c r="BK232" s="49">
        <f>IF(OR(N($BC232)=0,$BE232=""),"",IF(OR($AC232="HGC",$AP232="HGC"),"CONT",IF($BE232&lt;=60,2,IF($BE232&lt;=90,3,IF($BE232&lt;=120,4,5)))))</f>
        <v/>
      </c>
      <c r="BL232" s="49">
        <f>IF(N($BC232)=0,"",IF(OR($AL232="",$AL232="FLUSH"),"FLUSH",IFERROR(LEFT($AL232,FIND("-",$AL232)-1),LEFT($AL232,2))))</f>
        <v/>
      </c>
      <c r="BM232" s="49">
        <f>IF($BL232="","",IFERROR(VALUE(MID($AL232,FIND("-",$AL232)+1,FIND(CHAR(34)&amp;"x",$AL232)-FIND("-",$AL232)-1)),0))</f>
        <v/>
      </c>
      <c r="BN232" s="49">
        <f>IF($BL232="","",IFERROR(VALUE(MID($AL232,FIND(CHAR(34)&amp;"x",$AL232)+2,FIND(CHAR(34),$AL232,FIND(CHAR(34)&amp;"x",$AL232)+2)-FIND(CHAR(34)&amp;"x",$AL232)-2)),0))</f>
        <v/>
      </c>
      <c r="BO232" s="53">
        <f>IF(OR($A232="",$H232="",$H232="NO LAB"),0,IFERROR(VALUE(LEFT($H232,FIND(" ",$H232)-1)),0))</f>
        <v/>
      </c>
      <c r="BP232" s="54">
        <f>IF(OR($A232="",$I232="",$I232="NON-RATED",N($J232)=0),"",IFERROR(VLOOKUP($I232&amp;"|"&amp;$J232,IBC,2,FALSE),"?"))</f>
        <v/>
      </c>
      <c r="BQ232" s="50">
        <f>IF(NOT(AND($A232&lt;&gt;"",$C232&lt;&gt;"DOOR ONLY")),"",TRIM(IFERROR(VLOOKUP($U232,CODES,2,FALSE),"")&amp;" "&amp;$AZ232&amp;" "&amp;IFERROR(VLOOKUP($Z232,CODES,2,FALSE),"")&amp;" "&amp;IFERROR(VLOOKUP($X232,CODES,2,FALSE),"")&amp;" "&amp;IFERROR(VLOOKUP($S232,CODES,2,FALSE),"")&amp;IF(N($P232)&gt;0," w/TRANSOM "&amp;$P232&amp;CHAR(34),"")&amp;IF(N($Q232)&gt;0," w/SIDELITE "&amp;$Q232&amp;CHAR(34)&amp;" "&amp;IF($R232="","R",$R232),"")&amp;IF($Y232="","  |  "," | "&amp;IFERROR(VLOOKUP($Y232,CODES,2,FALSE),"")&amp;" | ")&amp;IFERROR(VLOOKUP($AC232,CODES,2,FALSE),"")&amp;" "&amp;IFERROR(VLOOKUP($AD232,CODES,2,FALSE),"")&amp;IF(OR($AE232="",$AE232="-"),""," "&amp;$AE232)&amp;IF(OR($AF232="",$AF232="-"),""," "&amp;$AF232)&amp;IF($AB232="Y"," 4"&amp;CHAR(34)&amp;" HEAD","")&amp;" "&amp;IFERROR(VLOOKUP($H232,CODES,2,FALSE),"")))</f>
        <v/>
      </c>
      <c r="BR232" s="50">
        <f>IF(NOT(AND($A232&lt;&gt;"",N($BC232)&gt;0)),"",TRIM(IFERROR(VLOOKUP($AH232,CODES,2,FALSE),"")&amp;IF($AI232=""," "," "&amp;$AI232&amp;"GA ")&amp;$AZ232&amp;" "&amp;IF($AN232="",IFERROR(VLOOKUP($Z232,CODES,2,FALSE),""),IFERROR(VLOOKUP($AN232,CODES,2,FALSE),""))&amp;IF($BC232=2," PAIR","")&amp;" DOOR | "&amp;IF($AL232="","?",$AL232)&amp;" | "&amp;IF($AP232="",IFERROR(VLOOKUP($AC232,CODES,2,FALSE),""),IFERROR(VLOOKUP($AP232,CODES,2,FALSE),""))&amp;" "&amp;IFERROR(VLOOKUP($AQ232,CODES,2,FALSE),"")&amp;IF(OR($AR232="",$AR232="-"),""," SEAM "&amp;$AR232)&amp;IF($AS232="Y"," ASTRAGAL","")&amp;IF($AJ232=""," "," "&amp;$AJ232)&amp;IF($AK232=""," "," "&amp;$AK232)&amp;IF($AO232="",""," "&amp;$AO232)&amp;IF($AM232=""," "," SERIES "&amp;$AM232)&amp;" "&amp;IFERROR(VLOOKUP($H232,CODES,2,FALSE),"")))</f>
        <v/>
      </c>
      <c r="BS232" s="49">
        <f>IF(BV232="","",IF(COUNTIF($BV$6:BV232,BV232)=1,MAX($BS$5:BS231)+1,INDEX($BS$5:BS231,MATCH(BV232,$BV$5:BV231,0))))</f>
        <v/>
      </c>
      <c r="BT232" s="49">
        <f>IF(NOT(AND($A232&lt;&gt;"",$C232&lt;&gt;"DOOR ONLY")),"",MAX($BT$5:BT231)+1)</f>
        <v/>
      </c>
      <c r="BU232" s="49">
        <f>IF(NOT(AND($A232&lt;&gt;"",N($BC232)&gt;0)),"",MAX($BU$5:BU231)+1)</f>
        <v/>
      </c>
      <c r="BV232" s="49">
        <f>IF(OR($A232="",$BA232="",$BB232=""),"",$AZ232&amp;"|"&amp;$O232&amp;"|"&amp;$AL232&amp;"|"&amp;$S232&amp;"|"&amp;$P232&amp;"|"&amp;$Q232&amp;$R232&amp;"|"&amp;$C232&amp;"|"&amp;$AB232)</f>
        <v/>
      </c>
      <c r="BW232" s="49">
        <f>IF($A232="","",IF($B232="","qty, ","")&amp;IF($C232="","scope, ","")&amp;IF(OR($K232="",$M232=""),"size, ","")&amp;IF(AND($A232&lt;&gt;"",$C232&lt;&gt;"DOOR ONLY"),IF($U232="","jamb depth, ","")&amp;IF($X232="","construction, ","")&amp;IF($Y232="","anchor, ","")&amp;IF($S232="","frame type, ",""),"")&amp;IF(AND(N($BC232)&gt;0,$Z232=""),"hand, ","")&amp;IF(N($BC232)&gt;0,IF($AH232="","door material, ","")&amp;IF($AL232="","face type, ","")&amp;IF($AQ232="","lock prep, ","")&amp;IF(AND($AP232="",$AC232=""),"hinge prep, ",""),"")&amp;IF(AND($BO232&gt;0,$AH232="FRP"),"FRP cannot carry a label, ","")&amp;IF(AND($O232="Y",OR($Z232="L",$Z232="R",$Z232="LR",$Z232="RR")),"pair marked but hand is single, ","")&amp;IF(AND($O232&lt;&gt;"Y",OR($Z232="PR",AND(LEN($Z232)&gt;1,ISNUMBER(SEARCH("-",$Z232))))),"pair hand on a single door, ","")&amp;IF(AND(ISNUMBER($BP232),$BO232&lt;N($BP232)),"wall needs a "&amp;$BP232&amp;" min door, ","")&amp;IF(AND($BO232&gt;=180,AND(OR($BL232="FG",$BL232="HG",$BL232="FNV",$BL232="FV"),N($BM232)*N($BN232)&gt;100)),"180 min lite over 100 sq in, ","")&amp;IF(N($BD232)&gt;48,"leaf wider than 4'-0"&amp;CHAR(34)&amp;", ",""))</f>
        <v/>
      </c>
      <c r="BX232" s="49">
        <f>IF($A232="","",IF(AND($BO232&gt;0,AND($A232&lt;&gt;"",$C232&lt;&gt;"DOOR ONLY"),$X232="KD",$E232="EXTERIOR"),"KD label on an exterior opening, ","")&amp;IF(AND($E232="EXTERIOR",OR(AND(AND($A232&lt;&gt;"",$C232&lt;&gt;"DOOR ONLY"),$W232="CR"),AND(N($BC232)&gt;0,$AH232="CR"))),"exterior in CR steel (G9?), ","")&amp;IF(AND(ISNUMBER($BJ232),N($BJ232)&lt;32),"clear width ~"&amp;TEXT($BJ232,"0.0")&amp;CHAR(34)&amp;" under 32"&amp;CHAR(34)&amp;" (ADA), ","")&amp;IF(AND($BO232=90,AND(OR($BL232="FG",$BL232="HG",$BL232="FNV",$BL232="FV"),N($BM232)*N($BN232)&gt;100)),"90 min lite over 100 sq in (stair/exit), ","")&amp;IF(AND($BO232&gt;0,AND($A232&lt;&gt;"",$C232&lt;&gt;"DOOR ONLY"),OR($AF232="",$AF232="-")),"rated: closer reinf.?, ","")&amp;IF(OR($I232="CORRIDOR",$I232="SMOKE BARRIER"),"S label + smoke gasketing, ","")&amp;IF($BP232="?","wall type/hr not in IBC table, ","")&amp;IF(AND(N($BC232)&gt;0,$AU232=""),"no hardware set, ","")&amp;IF(AND($AU232&lt;&gt;"",ISNA(MATCH($AU232,HWSets,0))),"set "&amp;$AU232&amp;" not on Hardware sheet, ","")&amp;IF(N($BE232)&gt;96,"leaf over 8'-0"&amp;CHAR(34)&amp;" - check listing, ",""))</f>
        <v/>
      </c>
    </row>
    <row r="233" ht="15" customHeight="1">
      <c r="A233" s="44" t="n"/>
      <c r="B233" s="45" t="n"/>
      <c r="C233" s="45" t="n"/>
      <c r="D233" s="45" t="n"/>
      <c r="E233" s="45" t="n"/>
      <c r="F233" s="45" t="n"/>
      <c r="G233" s="45" t="n"/>
      <c r="H233" s="45" t="n"/>
      <c r="I233" s="45" t="n"/>
      <c r="J233" s="45" t="n"/>
      <c r="K233" s="45" t="n"/>
      <c r="L233" s="45" t="n"/>
      <c r="M233" s="45" t="n"/>
      <c r="N233" s="45" t="n"/>
      <c r="O233" s="45" t="n"/>
      <c r="P233" s="45" t="n"/>
      <c r="Q233" s="45" t="n"/>
      <c r="R233" s="45" t="n"/>
      <c r="S233" s="46" t="n"/>
      <c r="T233" s="46" t="n"/>
      <c r="U233" s="46" t="n"/>
      <c r="V233" s="46" t="n"/>
      <c r="W233" s="46" t="n"/>
      <c r="X233" s="46" t="n"/>
      <c r="Y233" s="46" t="n"/>
      <c r="Z233" s="46" t="n"/>
      <c r="AA233" s="46" t="n"/>
      <c r="AB233" s="46" t="n"/>
      <c r="AC233" s="46" t="n"/>
      <c r="AD233" s="46" t="n"/>
      <c r="AE233" s="46" t="n"/>
      <c r="AF233" s="46" t="n"/>
      <c r="AG233" s="46" t="n"/>
      <c r="AH233" s="47" t="n"/>
      <c r="AI233" s="47" t="n"/>
      <c r="AJ233" s="47" t="n"/>
      <c r="AK233" s="47" t="n"/>
      <c r="AL233" s="47" t="n"/>
      <c r="AM233" s="47" t="n"/>
      <c r="AN233" s="47" t="n"/>
      <c r="AO233" s="47" t="n"/>
      <c r="AP233" s="47" t="n"/>
      <c r="AQ233" s="47" t="n"/>
      <c r="AR233" s="47" t="n"/>
      <c r="AS233" s="47" t="n"/>
      <c r="AT233" s="47" t="n"/>
      <c r="AU233" s="48" t="n"/>
      <c r="AV233" s="48" t="n"/>
      <c r="AW233" s="49">
        <f>IF($A233="","",IF($BW233&lt;&gt;"","FIX",IF($BX233&lt;&gt;"","CHECK","OK")))</f>
        <v/>
      </c>
      <c r="AX233" s="50">
        <f>IF($A233="","",IF($BW233&lt;&gt;"","FIX: "&amp;LEFT($BW233,LEN($BW233)-2)&amp;IF($BX233&lt;&gt;"","  ·  ",""),"")&amp;IF($BX233&lt;&gt;"","CHECK: "&amp;LEFT($BX233,LEN($BX233)-2),""))</f>
        <v/>
      </c>
      <c r="AY233" s="49">
        <f>IF(OR($A233="",$K233=""),"",$K233&amp;"'-"&amp;N($L233)&amp;CHAR(34)&amp;" x "&amp;$M233&amp;"'-"&amp;N($N233)&amp;CHAR(34))</f>
        <v/>
      </c>
      <c r="AZ233" s="49">
        <f>IF(OR($A233="",$K233=""),"",$K233&amp;N($L233)&amp;$M233&amp;N($N233))</f>
        <v/>
      </c>
      <c r="BA233" s="49">
        <f>IF(OR($A233="",$K233=""),"",$K233*12+N($L233))</f>
        <v/>
      </c>
      <c r="BB233" s="49">
        <f>IF(OR($A233="",$M233=""),"",$M233*12+N($N233))</f>
        <v/>
      </c>
      <c r="BC233" s="49">
        <f>IF($A233="","",IF(OR($C233="FRAME ONLY",$S233="BL"),0,IF($O233="Y",2,1)))</f>
        <v/>
      </c>
      <c r="BD233" s="51">
        <f>IF(OR(N($BC233)=0,$BA233=""),"",($BA233-2*EdgeClr-IF($BC233=2,MeetClr,0))/$BC233)</f>
        <v/>
      </c>
      <c r="BE233" s="51">
        <f>IF(OR(N($BC233)=0,$BB233=""),"",$BB233-HeadClr-Undercut)</f>
        <v/>
      </c>
      <c r="BF233" s="51">
        <f>IF($BA233="","",$BA233+2*FaceW+IF(N($Q233)&gt;0,($Q233+FaceW)*IF($R233="LR",2,1),0))</f>
        <v/>
      </c>
      <c r="BG233" s="51">
        <f>IF($BB233="","",$BB233+IF($AB233="Y",4,FaceW)+IF(N($P233)&gt;0,$P233+FaceW,0)+IF(OR($S233="4F",$S233="BL"),FaceW,0))</f>
        <v/>
      </c>
      <c r="BH233" s="51">
        <f>IF($BF233="","",$BF233+2*ROSide)</f>
        <v/>
      </c>
      <c r="BI233" s="51">
        <f>IF($BG233="","",$BG233+ROTop)</f>
        <v/>
      </c>
      <c r="BJ233" s="52">
        <f>IF(OR(N($BC233)=0,$BA233=""),"",$BA233/$BC233-ClearDeduct)</f>
        <v/>
      </c>
      <c r="BK233" s="49">
        <f>IF(OR(N($BC233)=0,$BE233=""),"",IF(OR($AC233="HGC",$AP233="HGC"),"CONT",IF($BE233&lt;=60,2,IF($BE233&lt;=90,3,IF($BE233&lt;=120,4,5)))))</f>
        <v/>
      </c>
      <c r="BL233" s="49">
        <f>IF(N($BC233)=0,"",IF(OR($AL233="",$AL233="FLUSH"),"FLUSH",IFERROR(LEFT($AL233,FIND("-",$AL233)-1),LEFT($AL233,2))))</f>
        <v/>
      </c>
      <c r="BM233" s="49">
        <f>IF($BL233="","",IFERROR(VALUE(MID($AL233,FIND("-",$AL233)+1,FIND(CHAR(34)&amp;"x",$AL233)-FIND("-",$AL233)-1)),0))</f>
        <v/>
      </c>
      <c r="BN233" s="49">
        <f>IF($BL233="","",IFERROR(VALUE(MID($AL233,FIND(CHAR(34)&amp;"x",$AL233)+2,FIND(CHAR(34),$AL233,FIND(CHAR(34)&amp;"x",$AL233)+2)-FIND(CHAR(34)&amp;"x",$AL233)-2)),0))</f>
        <v/>
      </c>
      <c r="BO233" s="53">
        <f>IF(OR($A233="",$H233="",$H233="NO LAB"),0,IFERROR(VALUE(LEFT($H233,FIND(" ",$H233)-1)),0))</f>
        <v/>
      </c>
      <c r="BP233" s="54">
        <f>IF(OR($A233="",$I233="",$I233="NON-RATED",N($J233)=0),"",IFERROR(VLOOKUP($I233&amp;"|"&amp;$J233,IBC,2,FALSE),"?"))</f>
        <v/>
      </c>
      <c r="BQ233" s="50">
        <f>IF(NOT(AND($A233&lt;&gt;"",$C233&lt;&gt;"DOOR ONLY")),"",TRIM(IFERROR(VLOOKUP($U233,CODES,2,FALSE),"")&amp;" "&amp;$AZ233&amp;" "&amp;IFERROR(VLOOKUP($Z233,CODES,2,FALSE),"")&amp;" "&amp;IFERROR(VLOOKUP($X233,CODES,2,FALSE),"")&amp;" "&amp;IFERROR(VLOOKUP($S233,CODES,2,FALSE),"")&amp;IF(N($P233)&gt;0," w/TRANSOM "&amp;$P233&amp;CHAR(34),"")&amp;IF(N($Q233)&gt;0," w/SIDELITE "&amp;$Q233&amp;CHAR(34)&amp;" "&amp;IF($R233="","R",$R233),"")&amp;IF($Y233="","  |  "," | "&amp;IFERROR(VLOOKUP($Y233,CODES,2,FALSE),"")&amp;" | ")&amp;IFERROR(VLOOKUP($AC233,CODES,2,FALSE),"")&amp;" "&amp;IFERROR(VLOOKUP($AD233,CODES,2,FALSE),"")&amp;IF(OR($AE233="",$AE233="-"),""," "&amp;$AE233)&amp;IF(OR($AF233="",$AF233="-"),""," "&amp;$AF233)&amp;IF($AB233="Y"," 4"&amp;CHAR(34)&amp;" HEAD","")&amp;" "&amp;IFERROR(VLOOKUP($H233,CODES,2,FALSE),"")))</f>
        <v/>
      </c>
      <c r="BR233" s="50">
        <f>IF(NOT(AND($A233&lt;&gt;"",N($BC233)&gt;0)),"",TRIM(IFERROR(VLOOKUP($AH233,CODES,2,FALSE),"")&amp;IF($AI233=""," "," "&amp;$AI233&amp;"GA ")&amp;$AZ233&amp;" "&amp;IF($AN233="",IFERROR(VLOOKUP($Z233,CODES,2,FALSE),""),IFERROR(VLOOKUP($AN233,CODES,2,FALSE),""))&amp;IF($BC233=2," PAIR","")&amp;" DOOR | "&amp;IF($AL233="","?",$AL233)&amp;" | "&amp;IF($AP233="",IFERROR(VLOOKUP($AC233,CODES,2,FALSE),""),IFERROR(VLOOKUP($AP233,CODES,2,FALSE),""))&amp;" "&amp;IFERROR(VLOOKUP($AQ233,CODES,2,FALSE),"")&amp;IF(OR($AR233="",$AR233="-"),""," SEAM "&amp;$AR233)&amp;IF($AS233="Y"," ASTRAGAL","")&amp;IF($AJ233=""," "," "&amp;$AJ233)&amp;IF($AK233=""," "," "&amp;$AK233)&amp;IF($AO233="",""," "&amp;$AO233)&amp;IF($AM233=""," "," SERIES "&amp;$AM233)&amp;" "&amp;IFERROR(VLOOKUP($H233,CODES,2,FALSE),"")))</f>
        <v/>
      </c>
      <c r="BS233" s="49">
        <f>IF(BV233="","",IF(COUNTIF($BV$6:BV233,BV233)=1,MAX($BS$5:BS232)+1,INDEX($BS$5:BS232,MATCH(BV233,$BV$5:BV232,0))))</f>
        <v/>
      </c>
      <c r="BT233" s="49">
        <f>IF(NOT(AND($A233&lt;&gt;"",$C233&lt;&gt;"DOOR ONLY")),"",MAX($BT$5:BT232)+1)</f>
        <v/>
      </c>
      <c r="BU233" s="49">
        <f>IF(NOT(AND($A233&lt;&gt;"",N($BC233)&gt;0)),"",MAX($BU$5:BU232)+1)</f>
        <v/>
      </c>
      <c r="BV233" s="49">
        <f>IF(OR($A233="",$BA233="",$BB233=""),"",$AZ233&amp;"|"&amp;$O233&amp;"|"&amp;$AL233&amp;"|"&amp;$S233&amp;"|"&amp;$P233&amp;"|"&amp;$Q233&amp;$R233&amp;"|"&amp;$C233&amp;"|"&amp;$AB233)</f>
        <v/>
      </c>
      <c r="BW233" s="49">
        <f>IF($A233="","",IF($B233="","qty, ","")&amp;IF($C233="","scope, ","")&amp;IF(OR($K233="",$M233=""),"size, ","")&amp;IF(AND($A233&lt;&gt;"",$C233&lt;&gt;"DOOR ONLY"),IF($U233="","jamb depth, ","")&amp;IF($X233="","construction, ","")&amp;IF($Y233="","anchor, ","")&amp;IF($S233="","frame type, ",""),"")&amp;IF(AND(N($BC233)&gt;0,$Z233=""),"hand, ","")&amp;IF(N($BC233)&gt;0,IF($AH233="","door material, ","")&amp;IF($AL233="","face type, ","")&amp;IF($AQ233="","lock prep, ","")&amp;IF(AND($AP233="",$AC233=""),"hinge prep, ",""),"")&amp;IF(AND($BO233&gt;0,$AH233="FRP"),"FRP cannot carry a label, ","")&amp;IF(AND($O233="Y",OR($Z233="L",$Z233="R",$Z233="LR",$Z233="RR")),"pair marked but hand is single, ","")&amp;IF(AND($O233&lt;&gt;"Y",OR($Z233="PR",AND(LEN($Z233)&gt;1,ISNUMBER(SEARCH("-",$Z233))))),"pair hand on a single door, ","")&amp;IF(AND(ISNUMBER($BP233),$BO233&lt;N($BP233)),"wall needs a "&amp;$BP233&amp;" min door, ","")&amp;IF(AND($BO233&gt;=180,AND(OR($BL233="FG",$BL233="HG",$BL233="FNV",$BL233="FV"),N($BM233)*N($BN233)&gt;100)),"180 min lite over 100 sq in, ","")&amp;IF(N($BD233)&gt;48,"leaf wider than 4'-0"&amp;CHAR(34)&amp;", ",""))</f>
        <v/>
      </c>
      <c r="BX233" s="49">
        <f>IF($A233="","",IF(AND($BO233&gt;0,AND($A233&lt;&gt;"",$C233&lt;&gt;"DOOR ONLY"),$X233="KD",$E233="EXTERIOR"),"KD label on an exterior opening, ","")&amp;IF(AND($E233="EXTERIOR",OR(AND(AND($A233&lt;&gt;"",$C233&lt;&gt;"DOOR ONLY"),$W233="CR"),AND(N($BC233)&gt;0,$AH233="CR"))),"exterior in CR steel (G9?), ","")&amp;IF(AND(ISNUMBER($BJ233),N($BJ233)&lt;32),"clear width ~"&amp;TEXT($BJ233,"0.0")&amp;CHAR(34)&amp;" under 32"&amp;CHAR(34)&amp;" (ADA), ","")&amp;IF(AND($BO233=90,AND(OR($BL233="FG",$BL233="HG",$BL233="FNV",$BL233="FV"),N($BM233)*N($BN233)&gt;100)),"90 min lite over 100 sq in (stair/exit), ","")&amp;IF(AND($BO233&gt;0,AND($A233&lt;&gt;"",$C233&lt;&gt;"DOOR ONLY"),OR($AF233="",$AF233="-")),"rated: closer reinf.?, ","")&amp;IF(OR($I233="CORRIDOR",$I233="SMOKE BARRIER"),"S label + smoke gasketing, ","")&amp;IF($BP233="?","wall type/hr not in IBC table, ","")&amp;IF(AND(N($BC233)&gt;0,$AU233=""),"no hardware set, ","")&amp;IF(AND($AU233&lt;&gt;"",ISNA(MATCH($AU233,HWSets,0))),"set "&amp;$AU233&amp;" not on Hardware sheet, ","")&amp;IF(N($BE233)&gt;96,"leaf over 8'-0"&amp;CHAR(34)&amp;" - check listing, ",""))</f>
        <v/>
      </c>
    </row>
    <row r="234" ht="15" customHeight="1">
      <c r="A234" s="44" t="n"/>
      <c r="B234" s="45" t="n"/>
      <c r="C234" s="45" t="n"/>
      <c r="D234" s="45" t="n"/>
      <c r="E234" s="45" t="n"/>
      <c r="F234" s="45" t="n"/>
      <c r="G234" s="45" t="n"/>
      <c r="H234" s="45" t="n"/>
      <c r="I234" s="45" t="n"/>
      <c r="J234" s="45" t="n"/>
      <c r="K234" s="45" t="n"/>
      <c r="L234" s="45" t="n"/>
      <c r="M234" s="45" t="n"/>
      <c r="N234" s="45" t="n"/>
      <c r="O234" s="45" t="n"/>
      <c r="P234" s="45" t="n"/>
      <c r="Q234" s="45" t="n"/>
      <c r="R234" s="45" t="n"/>
      <c r="S234" s="46" t="n"/>
      <c r="T234" s="46" t="n"/>
      <c r="U234" s="46" t="n"/>
      <c r="V234" s="46" t="n"/>
      <c r="W234" s="46" t="n"/>
      <c r="X234" s="46" t="n"/>
      <c r="Y234" s="46" t="n"/>
      <c r="Z234" s="46" t="n"/>
      <c r="AA234" s="46" t="n"/>
      <c r="AB234" s="46" t="n"/>
      <c r="AC234" s="46" t="n"/>
      <c r="AD234" s="46" t="n"/>
      <c r="AE234" s="46" t="n"/>
      <c r="AF234" s="46" t="n"/>
      <c r="AG234" s="46" t="n"/>
      <c r="AH234" s="47" t="n"/>
      <c r="AI234" s="47" t="n"/>
      <c r="AJ234" s="47" t="n"/>
      <c r="AK234" s="47" t="n"/>
      <c r="AL234" s="47" t="n"/>
      <c r="AM234" s="47" t="n"/>
      <c r="AN234" s="47" t="n"/>
      <c r="AO234" s="47" t="n"/>
      <c r="AP234" s="47" t="n"/>
      <c r="AQ234" s="47" t="n"/>
      <c r="AR234" s="47" t="n"/>
      <c r="AS234" s="47" t="n"/>
      <c r="AT234" s="47" t="n"/>
      <c r="AU234" s="48" t="n"/>
      <c r="AV234" s="48" t="n"/>
      <c r="AW234" s="49">
        <f>IF($A234="","",IF($BW234&lt;&gt;"","FIX",IF($BX234&lt;&gt;"","CHECK","OK")))</f>
        <v/>
      </c>
      <c r="AX234" s="50">
        <f>IF($A234="","",IF($BW234&lt;&gt;"","FIX: "&amp;LEFT($BW234,LEN($BW234)-2)&amp;IF($BX234&lt;&gt;"","  ·  ",""),"")&amp;IF($BX234&lt;&gt;"","CHECK: "&amp;LEFT($BX234,LEN($BX234)-2),""))</f>
        <v/>
      </c>
      <c r="AY234" s="49">
        <f>IF(OR($A234="",$K234=""),"",$K234&amp;"'-"&amp;N($L234)&amp;CHAR(34)&amp;" x "&amp;$M234&amp;"'-"&amp;N($N234)&amp;CHAR(34))</f>
        <v/>
      </c>
      <c r="AZ234" s="49">
        <f>IF(OR($A234="",$K234=""),"",$K234&amp;N($L234)&amp;$M234&amp;N($N234))</f>
        <v/>
      </c>
      <c r="BA234" s="49">
        <f>IF(OR($A234="",$K234=""),"",$K234*12+N($L234))</f>
        <v/>
      </c>
      <c r="BB234" s="49">
        <f>IF(OR($A234="",$M234=""),"",$M234*12+N($N234))</f>
        <v/>
      </c>
      <c r="BC234" s="49">
        <f>IF($A234="","",IF(OR($C234="FRAME ONLY",$S234="BL"),0,IF($O234="Y",2,1)))</f>
        <v/>
      </c>
      <c r="BD234" s="51">
        <f>IF(OR(N($BC234)=0,$BA234=""),"",($BA234-2*EdgeClr-IF($BC234=2,MeetClr,0))/$BC234)</f>
        <v/>
      </c>
      <c r="BE234" s="51">
        <f>IF(OR(N($BC234)=0,$BB234=""),"",$BB234-HeadClr-Undercut)</f>
        <v/>
      </c>
      <c r="BF234" s="51">
        <f>IF($BA234="","",$BA234+2*FaceW+IF(N($Q234)&gt;0,($Q234+FaceW)*IF($R234="LR",2,1),0))</f>
        <v/>
      </c>
      <c r="BG234" s="51">
        <f>IF($BB234="","",$BB234+IF($AB234="Y",4,FaceW)+IF(N($P234)&gt;0,$P234+FaceW,0)+IF(OR($S234="4F",$S234="BL"),FaceW,0))</f>
        <v/>
      </c>
      <c r="BH234" s="51">
        <f>IF($BF234="","",$BF234+2*ROSide)</f>
        <v/>
      </c>
      <c r="BI234" s="51">
        <f>IF($BG234="","",$BG234+ROTop)</f>
        <v/>
      </c>
      <c r="BJ234" s="52">
        <f>IF(OR(N($BC234)=0,$BA234=""),"",$BA234/$BC234-ClearDeduct)</f>
        <v/>
      </c>
      <c r="BK234" s="49">
        <f>IF(OR(N($BC234)=0,$BE234=""),"",IF(OR($AC234="HGC",$AP234="HGC"),"CONT",IF($BE234&lt;=60,2,IF($BE234&lt;=90,3,IF($BE234&lt;=120,4,5)))))</f>
        <v/>
      </c>
      <c r="BL234" s="49">
        <f>IF(N($BC234)=0,"",IF(OR($AL234="",$AL234="FLUSH"),"FLUSH",IFERROR(LEFT($AL234,FIND("-",$AL234)-1),LEFT($AL234,2))))</f>
        <v/>
      </c>
      <c r="BM234" s="49">
        <f>IF($BL234="","",IFERROR(VALUE(MID($AL234,FIND("-",$AL234)+1,FIND(CHAR(34)&amp;"x",$AL234)-FIND("-",$AL234)-1)),0))</f>
        <v/>
      </c>
      <c r="BN234" s="49">
        <f>IF($BL234="","",IFERROR(VALUE(MID($AL234,FIND(CHAR(34)&amp;"x",$AL234)+2,FIND(CHAR(34),$AL234,FIND(CHAR(34)&amp;"x",$AL234)+2)-FIND(CHAR(34)&amp;"x",$AL234)-2)),0))</f>
        <v/>
      </c>
      <c r="BO234" s="53">
        <f>IF(OR($A234="",$H234="",$H234="NO LAB"),0,IFERROR(VALUE(LEFT($H234,FIND(" ",$H234)-1)),0))</f>
        <v/>
      </c>
      <c r="BP234" s="54">
        <f>IF(OR($A234="",$I234="",$I234="NON-RATED",N($J234)=0),"",IFERROR(VLOOKUP($I234&amp;"|"&amp;$J234,IBC,2,FALSE),"?"))</f>
        <v/>
      </c>
      <c r="BQ234" s="50">
        <f>IF(NOT(AND($A234&lt;&gt;"",$C234&lt;&gt;"DOOR ONLY")),"",TRIM(IFERROR(VLOOKUP($U234,CODES,2,FALSE),"")&amp;" "&amp;$AZ234&amp;" "&amp;IFERROR(VLOOKUP($Z234,CODES,2,FALSE),"")&amp;" "&amp;IFERROR(VLOOKUP($X234,CODES,2,FALSE),"")&amp;" "&amp;IFERROR(VLOOKUP($S234,CODES,2,FALSE),"")&amp;IF(N($P234)&gt;0," w/TRANSOM "&amp;$P234&amp;CHAR(34),"")&amp;IF(N($Q234)&gt;0," w/SIDELITE "&amp;$Q234&amp;CHAR(34)&amp;" "&amp;IF($R234="","R",$R234),"")&amp;IF($Y234="","  |  "," | "&amp;IFERROR(VLOOKUP($Y234,CODES,2,FALSE),"")&amp;" | ")&amp;IFERROR(VLOOKUP($AC234,CODES,2,FALSE),"")&amp;" "&amp;IFERROR(VLOOKUP($AD234,CODES,2,FALSE),"")&amp;IF(OR($AE234="",$AE234="-"),""," "&amp;$AE234)&amp;IF(OR($AF234="",$AF234="-"),""," "&amp;$AF234)&amp;IF($AB234="Y"," 4"&amp;CHAR(34)&amp;" HEAD","")&amp;" "&amp;IFERROR(VLOOKUP($H234,CODES,2,FALSE),"")))</f>
        <v/>
      </c>
      <c r="BR234" s="50">
        <f>IF(NOT(AND($A234&lt;&gt;"",N($BC234)&gt;0)),"",TRIM(IFERROR(VLOOKUP($AH234,CODES,2,FALSE),"")&amp;IF($AI234=""," "," "&amp;$AI234&amp;"GA ")&amp;$AZ234&amp;" "&amp;IF($AN234="",IFERROR(VLOOKUP($Z234,CODES,2,FALSE),""),IFERROR(VLOOKUP($AN234,CODES,2,FALSE),""))&amp;IF($BC234=2," PAIR","")&amp;" DOOR | "&amp;IF($AL234="","?",$AL234)&amp;" | "&amp;IF($AP234="",IFERROR(VLOOKUP($AC234,CODES,2,FALSE),""),IFERROR(VLOOKUP($AP234,CODES,2,FALSE),""))&amp;" "&amp;IFERROR(VLOOKUP($AQ234,CODES,2,FALSE),"")&amp;IF(OR($AR234="",$AR234="-"),""," SEAM "&amp;$AR234)&amp;IF($AS234="Y"," ASTRAGAL","")&amp;IF($AJ234=""," "," "&amp;$AJ234)&amp;IF($AK234=""," "," "&amp;$AK234)&amp;IF($AO234="",""," "&amp;$AO234)&amp;IF($AM234=""," "," SERIES "&amp;$AM234)&amp;" "&amp;IFERROR(VLOOKUP($H234,CODES,2,FALSE),"")))</f>
        <v/>
      </c>
      <c r="BS234" s="49">
        <f>IF(BV234="","",IF(COUNTIF($BV$6:BV234,BV234)=1,MAX($BS$5:BS233)+1,INDEX($BS$5:BS233,MATCH(BV234,$BV$5:BV233,0))))</f>
        <v/>
      </c>
      <c r="BT234" s="49">
        <f>IF(NOT(AND($A234&lt;&gt;"",$C234&lt;&gt;"DOOR ONLY")),"",MAX($BT$5:BT233)+1)</f>
        <v/>
      </c>
      <c r="BU234" s="49">
        <f>IF(NOT(AND($A234&lt;&gt;"",N($BC234)&gt;0)),"",MAX($BU$5:BU233)+1)</f>
        <v/>
      </c>
      <c r="BV234" s="49">
        <f>IF(OR($A234="",$BA234="",$BB234=""),"",$AZ234&amp;"|"&amp;$O234&amp;"|"&amp;$AL234&amp;"|"&amp;$S234&amp;"|"&amp;$P234&amp;"|"&amp;$Q234&amp;$R234&amp;"|"&amp;$C234&amp;"|"&amp;$AB234)</f>
        <v/>
      </c>
      <c r="BW234" s="49">
        <f>IF($A234="","",IF($B234="","qty, ","")&amp;IF($C234="","scope, ","")&amp;IF(OR($K234="",$M234=""),"size, ","")&amp;IF(AND($A234&lt;&gt;"",$C234&lt;&gt;"DOOR ONLY"),IF($U234="","jamb depth, ","")&amp;IF($X234="","construction, ","")&amp;IF($Y234="","anchor, ","")&amp;IF($S234="","frame type, ",""),"")&amp;IF(AND(N($BC234)&gt;0,$Z234=""),"hand, ","")&amp;IF(N($BC234)&gt;0,IF($AH234="","door material, ","")&amp;IF($AL234="","face type, ","")&amp;IF($AQ234="","lock prep, ","")&amp;IF(AND($AP234="",$AC234=""),"hinge prep, ",""),"")&amp;IF(AND($BO234&gt;0,$AH234="FRP"),"FRP cannot carry a label, ","")&amp;IF(AND($O234="Y",OR($Z234="L",$Z234="R",$Z234="LR",$Z234="RR")),"pair marked but hand is single, ","")&amp;IF(AND($O234&lt;&gt;"Y",OR($Z234="PR",AND(LEN($Z234)&gt;1,ISNUMBER(SEARCH("-",$Z234))))),"pair hand on a single door, ","")&amp;IF(AND(ISNUMBER($BP234),$BO234&lt;N($BP234)),"wall needs a "&amp;$BP234&amp;" min door, ","")&amp;IF(AND($BO234&gt;=180,AND(OR($BL234="FG",$BL234="HG",$BL234="FNV",$BL234="FV"),N($BM234)*N($BN234)&gt;100)),"180 min lite over 100 sq in, ","")&amp;IF(N($BD234)&gt;48,"leaf wider than 4'-0"&amp;CHAR(34)&amp;", ",""))</f>
        <v/>
      </c>
      <c r="BX234" s="49">
        <f>IF($A234="","",IF(AND($BO234&gt;0,AND($A234&lt;&gt;"",$C234&lt;&gt;"DOOR ONLY"),$X234="KD",$E234="EXTERIOR"),"KD label on an exterior opening, ","")&amp;IF(AND($E234="EXTERIOR",OR(AND(AND($A234&lt;&gt;"",$C234&lt;&gt;"DOOR ONLY"),$W234="CR"),AND(N($BC234)&gt;0,$AH234="CR"))),"exterior in CR steel (G9?), ","")&amp;IF(AND(ISNUMBER($BJ234),N($BJ234)&lt;32),"clear width ~"&amp;TEXT($BJ234,"0.0")&amp;CHAR(34)&amp;" under 32"&amp;CHAR(34)&amp;" (ADA), ","")&amp;IF(AND($BO234=90,AND(OR($BL234="FG",$BL234="HG",$BL234="FNV",$BL234="FV"),N($BM234)*N($BN234)&gt;100)),"90 min lite over 100 sq in (stair/exit), ","")&amp;IF(AND($BO234&gt;0,AND($A234&lt;&gt;"",$C234&lt;&gt;"DOOR ONLY"),OR($AF234="",$AF234="-")),"rated: closer reinf.?, ","")&amp;IF(OR($I234="CORRIDOR",$I234="SMOKE BARRIER"),"S label + smoke gasketing, ","")&amp;IF($BP234="?","wall type/hr not in IBC table, ","")&amp;IF(AND(N($BC234)&gt;0,$AU234=""),"no hardware set, ","")&amp;IF(AND($AU234&lt;&gt;"",ISNA(MATCH($AU234,HWSets,0))),"set "&amp;$AU234&amp;" not on Hardware sheet, ","")&amp;IF(N($BE234)&gt;96,"leaf over 8'-0"&amp;CHAR(34)&amp;" - check listing, ",""))</f>
        <v/>
      </c>
    </row>
    <row r="235" ht="15" customHeight="1">
      <c r="A235" s="44" t="n"/>
      <c r="B235" s="45" t="n"/>
      <c r="C235" s="45" t="n"/>
      <c r="D235" s="45" t="n"/>
      <c r="E235" s="45" t="n"/>
      <c r="F235" s="45" t="n"/>
      <c r="G235" s="45" t="n"/>
      <c r="H235" s="45" t="n"/>
      <c r="I235" s="45" t="n"/>
      <c r="J235" s="45" t="n"/>
      <c r="K235" s="45" t="n"/>
      <c r="L235" s="45" t="n"/>
      <c r="M235" s="45" t="n"/>
      <c r="N235" s="45" t="n"/>
      <c r="O235" s="45" t="n"/>
      <c r="P235" s="45" t="n"/>
      <c r="Q235" s="45" t="n"/>
      <c r="R235" s="45" t="n"/>
      <c r="S235" s="46" t="n"/>
      <c r="T235" s="46" t="n"/>
      <c r="U235" s="46" t="n"/>
      <c r="V235" s="46" t="n"/>
      <c r="W235" s="46" t="n"/>
      <c r="X235" s="46" t="n"/>
      <c r="Y235" s="46" t="n"/>
      <c r="Z235" s="46" t="n"/>
      <c r="AA235" s="46" t="n"/>
      <c r="AB235" s="46" t="n"/>
      <c r="AC235" s="46" t="n"/>
      <c r="AD235" s="46" t="n"/>
      <c r="AE235" s="46" t="n"/>
      <c r="AF235" s="46" t="n"/>
      <c r="AG235" s="46" t="n"/>
      <c r="AH235" s="47" t="n"/>
      <c r="AI235" s="47" t="n"/>
      <c r="AJ235" s="47" t="n"/>
      <c r="AK235" s="47" t="n"/>
      <c r="AL235" s="47" t="n"/>
      <c r="AM235" s="47" t="n"/>
      <c r="AN235" s="47" t="n"/>
      <c r="AO235" s="47" t="n"/>
      <c r="AP235" s="47" t="n"/>
      <c r="AQ235" s="47" t="n"/>
      <c r="AR235" s="47" t="n"/>
      <c r="AS235" s="47" t="n"/>
      <c r="AT235" s="47" t="n"/>
      <c r="AU235" s="48" t="n"/>
      <c r="AV235" s="48" t="n"/>
      <c r="AW235" s="49">
        <f>IF($A235="","",IF($BW235&lt;&gt;"","FIX",IF($BX235&lt;&gt;"","CHECK","OK")))</f>
        <v/>
      </c>
      <c r="AX235" s="50">
        <f>IF($A235="","",IF($BW235&lt;&gt;"","FIX: "&amp;LEFT($BW235,LEN($BW235)-2)&amp;IF($BX235&lt;&gt;"","  ·  ",""),"")&amp;IF($BX235&lt;&gt;"","CHECK: "&amp;LEFT($BX235,LEN($BX235)-2),""))</f>
        <v/>
      </c>
      <c r="AY235" s="49">
        <f>IF(OR($A235="",$K235=""),"",$K235&amp;"'-"&amp;N($L235)&amp;CHAR(34)&amp;" x "&amp;$M235&amp;"'-"&amp;N($N235)&amp;CHAR(34))</f>
        <v/>
      </c>
      <c r="AZ235" s="49">
        <f>IF(OR($A235="",$K235=""),"",$K235&amp;N($L235)&amp;$M235&amp;N($N235))</f>
        <v/>
      </c>
      <c r="BA235" s="49">
        <f>IF(OR($A235="",$K235=""),"",$K235*12+N($L235))</f>
        <v/>
      </c>
      <c r="BB235" s="49">
        <f>IF(OR($A235="",$M235=""),"",$M235*12+N($N235))</f>
        <v/>
      </c>
      <c r="BC235" s="49">
        <f>IF($A235="","",IF(OR($C235="FRAME ONLY",$S235="BL"),0,IF($O235="Y",2,1)))</f>
        <v/>
      </c>
      <c r="BD235" s="51">
        <f>IF(OR(N($BC235)=0,$BA235=""),"",($BA235-2*EdgeClr-IF($BC235=2,MeetClr,0))/$BC235)</f>
        <v/>
      </c>
      <c r="BE235" s="51">
        <f>IF(OR(N($BC235)=0,$BB235=""),"",$BB235-HeadClr-Undercut)</f>
        <v/>
      </c>
      <c r="BF235" s="51">
        <f>IF($BA235="","",$BA235+2*FaceW+IF(N($Q235)&gt;0,($Q235+FaceW)*IF($R235="LR",2,1),0))</f>
        <v/>
      </c>
      <c r="BG235" s="51">
        <f>IF($BB235="","",$BB235+IF($AB235="Y",4,FaceW)+IF(N($P235)&gt;0,$P235+FaceW,0)+IF(OR($S235="4F",$S235="BL"),FaceW,0))</f>
        <v/>
      </c>
      <c r="BH235" s="51">
        <f>IF($BF235="","",$BF235+2*ROSide)</f>
        <v/>
      </c>
      <c r="BI235" s="51">
        <f>IF($BG235="","",$BG235+ROTop)</f>
        <v/>
      </c>
      <c r="BJ235" s="52">
        <f>IF(OR(N($BC235)=0,$BA235=""),"",$BA235/$BC235-ClearDeduct)</f>
        <v/>
      </c>
      <c r="BK235" s="49">
        <f>IF(OR(N($BC235)=0,$BE235=""),"",IF(OR($AC235="HGC",$AP235="HGC"),"CONT",IF($BE235&lt;=60,2,IF($BE235&lt;=90,3,IF($BE235&lt;=120,4,5)))))</f>
        <v/>
      </c>
      <c r="BL235" s="49">
        <f>IF(N($BC235)=0,"",IF(OR($AL235="",$AL235="FLUSH"),"FLUSH",IFERROR(LEFT($AL235,FIND("-",$AL235)-1),LEFT($AL235,2))))</f>
        <v/>
      </c>
      <c r="BM235" s="49">
        <f>IF($BL235="","",IFERROR(VALUE(MID($AL235,FIND("-",$AL235)+1,FIND(CHAR(34)&amp;"x",$AL235)-FIND("-",$AL235)-1)),0))</f>
        <v/>
      </c>
      <c r="BN235" s="49">
        <f>IF($BL235="","",IFERROR(VALUE(MID($AL235,FIND(CHAR(34)&amp;"x",$AL235)+2,FIND(CHAR(34),$AL235,FIND(CHAR(34)&amp;"x",$AL235)+2)-FIND(CHAR(34)&amp;"x",$AL235)-2)),0))</f>
        <v/>
      </c>
      <c r="BO235" s="53">
        <f>IF(OR($A235="",$H235="",$H235="NO LAB"),0,IFERROR(VALUE(LEFT($H235,FIND(" ",$H235)-1)),0))</f>
        <v/>
      </c>
      <c r="BP235" s="54">
        <f>IF(OR($A235="",$I235="",$I235="NON-RATED",N($J235)=0),"",IFERROR(VLOOKUP($I235&amp;"|"&amp;$J235,IBC,2,FALSE),"?"))</f>
        <v/>
      </c>
      <c r="BQ235" s="50">
        <f>IF(NOT(AND($A235&lt;&gt;"",$C235&lt;&gt;"DOOR ONLY")),"",TRIM(IFERROR(VLOOKUP($U235,CODES,2,FALSE),"")&amp;" "&amp;$AZ235&amp;" "&amp;IFERROR(VLOOKUP($Z235,CODES,2,FALSE),"")&amp;" "&amp;IFERROR(VLOOKUP($X235,CODES,2,FALSE),"")&amp;" "&amp;IFERROR(VLOOKUP($S235,CODES,2,FALSE),"")&amp;IF(N($P235)&gt;0," w/TRANSOM "&amp;$P235&amp;CHAR(34),"")&amp;IF(N($Q235)&gt;0," w/SIDELITE "&amp;$Q235&amp;CHAR(34)&amp;" "&amp;IF($R235="","R",$R235),"")&amp;IF($Y235="","  |  "," | "&amp;IFERROR(VLOOKUP($Y235,CODES,2,FALSE),"")&amp;" | ")&amp;IFERROR(VLOOKUP($AC235,CODES,2,FALSE),"")&amp;" "&amp;IFERROR(VLOOKUP($AD235,CODES,2,FALSE),"")&amp;IF(OR($AE235="",$AE235="-"),""," "&amp;$AE235)&amp;IF(OR($AF235="",$AF235="-"),""," "&amp;$AF235)&amp;IF($AB235="Y"," 4"&amp;CHAR(34)&amp;" HEAD","")&amp;" "&amp;IFERROR(VLOOKUP($H235,CODES,2,FALSE),"")))</f>
        <v/>
      </c>
      <c r="BR235" s="50">
        <f>IF(NOT(AND($A235&lt;&gt;"",N($BC235)&gt;0)),"",TRIM(IFERROR(VLOOKUP($AH235,CODES,2,FALSE),"")&amp;IF($AI235=""," "," "&amp;$AI235&amp;"GA ")&amp;$AZ235&amp;" "&amp;IF($AN235="",IFERROR(VLOOKUP($Z235,CODES,2,FALSE),""),IFERROR(VLOOKUP($AN235,CODES,2,FALSE),""))&amp;IF($BC235=2," PAIR","")&amp;" DOOR | "&amp;IF($AL235="","?",$AL235)&amp;" | "&amp;IF($AP235="",IFERROR(VLOOKUP($AC235,CODES,2,FALSE),""),IFERROR(VLOOKUP($AP235,CODES,2,FALSE),""))&amp;" "&amp;IFERROR(VLOOKUP($AQ235,CODES,2,FALSE),"")&amp;IF(OR($AR235="",$AR235="-"),""," SEAM "&amp;$AR235)&amp;IF($AS235="Y"," ASTRAGAL","")&amp;IF($AJ235=""," "," "&amp;$AJ235)&amp;IF($AK235=""," "," "&amp;$AK235)&amp;IF($AO235="",""," "&amp;$AO235)&amp;IF($AM235=""," "," SERIES "&amp;$AM235)&amp;" "&amp;IFERROR(VLOOKUP($H235,CODES,2,FALSE),"")))</f>
        <v/>
      </c>
      <c r="BS235" s="49">
        <f>IF(BV235="","",IF(COUNTIF($BV$6:BV235,BV235)=1,MAX($BS$5:BS234)+1,INDEX($BS$5:BS234,MATCH(BV235,$BV$5:BV234,0))))</f>
        <v/>
      </c>
      <c r="BT235" s="49">
        <f>IF(NOT(AND($A235&lt;&gt;"",$C235&lt;&gt;"DOOR ONLY")),"",MAX($BT$5:BT234)+1)</f>
        <v/>
      </c>
      <c r="BU235" s="49">
        <f>IF(NOT(AND($A235&lt;&gt;"",N($BC235)&gt;0)),"",MAX($BU$5:BU234)+1)</f>
        <v/>
      </c>
      <c r="BV235" s="49">
        <f>IF(OR($A235="",$BA235="",$BB235=""),"",$AZ235&amp;"|"&amp;$O235&amp;"|"&amp;$AL235&amp;"|"&amp;$S235&amp;"|"&amp;$P235&amp;"|"&amp;$Q235&amp;$R235&amp;"|"&amp;$C235&amp;"|"&amp;$AB235)</f>
        <v/>
      </c>
      <c r="BW235" s="49">
        <f>IF($A235="","",IF($B235="","qty, ","")&amp;IF($C235="","scope, ","")&amp;IF(OR($K235="",$M235=""),"size, ","")&amp;IF(AND($A235&lt;&gt;"",$C235&lt;&gt;"DOOR ONLY"),IF($U235="","jamb depth, ","")&amp;IF($X235="","construction, ","")&amp;IF($Y235="","anchor, ","")&amp;IF($S235="","frame type, ",""),"")&amp;IF(AND(N($BC235)&gt;0,$Z235=""),"hand, ","")&amp;IF(N($BC235)&gt;0,IF($AH235="","door material, ","")&amp;IF($AL235="","face type, ","")&amp;IF($AQ235="","lock prep, ","")&amp;IF(AND($AP235="",$AC235=""),"hinge prep, ",""),"")&amp;IF(AND($BO235&gt;0,$AH235="FRP"),"FRP cannot carry a label, ","")&amp;IF(AND($O235="Y",OR($Z235="L",$Z235="R",$Z235="LR",$Z235="RR")),"pair marked but hand is single, ","")&amp;IF(AND($O235&lt;&gt;"Y",OR($Z235="PR",AND(LEN($Z235)&gt;1,ISNUMBER(SEARCH("-",$Z235))))),"pair hand on a single door, ","")&amp;IF(AND(ISNUMBER($BP235),$BO235&lt;N($BP235)),"wall needs a "&amp;$BP235&amp;" min door, ","")&amp;IF(AND($BO235&gt;=180,AND(OR($BL235="FG",$BL235="HG",$BL235="FNV",$BL235="FV"),N($BM235)*N($BN235)&gt;100)),"180 min lite over 100 sq in, ","")&amp;IF(N($BD235)&gt;48,"leaf wider than 4'-0"&amp;CHAR(34)&amp;", ",""))</f>
        <v/>
      </c>
      <c r="BX235" s="49">
        <f>IF($A235="","",IF(AND($BO235&gt;0,AND($A235&lt;&gt;"",$C235&lt;&gt;"DOOR ONLY"),$X235="KD",$E235="EXTERIOR"),"KD label on an exterior opening, ","")&amp;IF(AND($E235="EXTERIOR",OR(AND(AND($A235&lt;&gt;"",$C235&lt;&gt;"DOOR ONLY"),$W235="CR"),AND(N($BC235)&gt;0,$AH235="CR"))),"exterior in CR steel (G9?), ","")&amp;IF(AND(ISNUMBER($BJ235),N($BJ235)&lt;32),"clear width ~"&amp;TEXT($BJ235,"0.0")&amp;CHAR(34)&amp;" under 32"&amp;CHAR(34)&amp;" (ADA), ","")&amp;IF(AND($BO235=90,AND(OR($BL235="FG",$BL235="HG",$BL235="FNV",$BL235="FV"),N($BM235)*N($BN235)&gt;100)),"90 min lite over 100 sq in (stair/exit), ","")&amp;IF(AND($BO235&gt;0,AND($A235&lt;&gt;"",$C235&lt;&gt;"DOOR ONLY"),OR($AF235="",$AF235="-")),"rated: closer reinf.?, ","")&amp;IF(OR($I235="CORRIDOR",$I235="SMOKE BARRIER"),"S label + smoke gasketing, ","")&amp;IF($BP235="?","wall type/hr not in IBC table, ","")&amp;IF(AND(N($BC235)&gt;0,$AU235=""),"no hardware set, ","")&amp;IF(AND($AU235&lt;&gt;"",ISNA(MATCH($AU235,HWSets,0))),"set "&amp;$AU235&amp;" not on Hardware sheet, ","")&amp;IF(N($BE235)&gt;96,"leaf over 8'-0"&amp;CHAR(34)&amp;" - check listing, ",""))</f>
        <v/>
      </c>
    </row>
    <row r="236" ht="15" customHeight="1">
      <c r="A236" s="44" t="n"/>
      <c r="B236" s="45" t="n"/>
      <c r="C236" s="45" t="n"/>
      <c r="D236" s="45" t="n"/>
      <c r="E236" s="45" t="n"/>
      <c r="F236" s="45" t="n"/>
      <c r="G236" s="45" t="n"/>
      <c r="H236" s="45" t="n"/>
      <c r="I236" s="45" t="n"/>
      <c r="J236" s="45" t="n"/>
      <c r="K236" s="45" t="n"/>
      <c r="L236" s="45" t="n"/>
      <c r="M236" s="45" t="n"/>
      <c r="N236" s="45" t="n"/>
      <c r="O236" s="45" t="n"/>
      <c r="P236" s="45" t="n"/>
      <c r="Q236" s="45" t="n"/>
      <c r="R236" s="45" t="n"/>
      <c r="S236" s="46" t="n"/>
      <c r="T236" s="46" t="n"/>
      <c r="U236" s="46" t="n"/>
      <c r="V236" s="46" t="n"/>
      <c r="W236" s="46" t="n"/>
      <c r="X236" s="46" t="n"/>
      <c r="Y236" s="46" t="n"/>
      <c r="Z236" s="46" t="n"/>
      <c r="AA236" s="46" t="n"/>
      <c r="AB236" s="46" t="n"/>
      <c r="AC236" s="46" t="n"/>
      <c r="AD236" s="46" t="n"/>
      <c r="AE236" s="46" t="n"/>
      <c r="AF236" s="46" t="n"/>
      <c r="AG236" s="46" t="n"/>
      <c r="AH236" s="47" t="n"/>
      <c r="AI236" s="47" t="n"/>
      <c r="AJ236" s="47" t="n"/>
      <c r="AK236" s="47" t="n"/>
      <c r="AL236" s="47" t="n"/>
      <c r="AM236" s="47" t="n"/>
      <c r="AN236" s="47" t="n"/>
      <c r="AO236" s="47" t="n"/>
      <c r="AP236" s="47" t="n"/>
      <c r="AQ236" s="47" t="n"/>
      <c r="AR236" s="47" t="n"/>
      <c r="AS236" s="47" t="n"/>
      <c r="AT236" s="47" t="n"/>
      <c r="AU236" s="48" t="n"/>
      <c r="AV236" s="48" t="n"/>
      <c r="AW236" s="49">
        <f>IF($A236="","",IF($BW236&lt;&gt;"","FIX",IF($BX236&lt;&gt;"","CHECK","OK")))</f>
        <v/>
      </c>
      <c r="AX236" s="50">
        <f>IF($A236="","",IF($BW236&lt;&gt;"","FIX: "&amp;LEFT($BW236,LEN($BW236)-2)&amp;IF($BX236&lt;&gt;"","  ·  ",""),"")&amp;IF($BX236&lt;&gt;"","CHECK: "&amp;LEFT($BX236,LEN($BX236)-2),""))</f>
        <v/>
      </c>
      <c r="AY236" s="49">
        <f>IF(OR($A236="",$K236=""),"",$K236&amp;"'-"&amp;N($L236)&amp;CHAR(34)&amp;" x "&amp;$M236&amp;"'-"&amp;N($N236)&amp;CHAR(34))</f>
        <v/>
      </c>
      <c r="AZ236" s="49">
        <f>IF(OR($A236="",$K236=""),"",$K236&amp;N($L236)&amp;$M236&amp;N($N236))</f>
        <v/>
      </c>
      <c r="BA236" s="49">
        <f>IF(OR($A236="",$K236=""),"",$K236*12+N($L236))</f>
        <v/>
      </c>
      <c r="BB236" s="49">
        <f>IF(OR($A236="",$M236=""),"",$M236*12+N($N236))</f>
        <v/>
      </c>
      <c r="BC236" s="49">
        <f>IF($A236="","",IF(OR($C236="FRAME ONLY",$S236="BL"),0,IF($O236="Y",2,1)))</f>
        <v/>
      </c>
      <c r="BD236" s="51">
        <f>IF(OR(N($BC236)=0,$BA236=""),"",($BA236-2*EdgeClr-IF($BC236=2,MeetClr,0))/$BC236)</f>
        <v/>
      </c>
      <c r="BE236" s="51">
        <f>IF(OR(N($BC236)=0,$BB236=""),"",$BB236-HeadClr-Undercut)</f>
        <v/>
      </c>
      <c r="BF236" s="51">
        <f>IF($BA236="","",$BA236+2*FaceW+IF(N($Q236)&gt;0,($Q236+FaceW)*IF($R236="LR",2,1),0))</f>
        <v/>
      </c>
      <c r="BG236" s="51">
        <f>IF($BB236="","",$BB236+IF($AB236="Y",4,FaceW)+IF(N($P236)&gt;0,$P236+FaceW,0)+IF(OR($S236="4F",$S236="BL"),FaceW,0))</f>
        <v/>
      </c>
      <c r="BH236" s="51">
        <f>IF($BF236="","",$BF236+2*ROSide)</f>
        <v/>
      </c>
      <c r="BI236" s="51">
        <f>IF($BG236="","",$BG236+ROTop)</f>
        <v/>
      </c>
      <c r="BJ236" s="52">
        <f>IF(OR(N($BC236)=0,$BA236=""),"",$BA236/$BC236-ClearDeduct)</f>
        <v/>
      </c>
      <c r="BK236" s="49">
        <f>IF(OR(N($BC236)=0,$BE236=""),"",IF(OR($AC236="HGC",$AP236="HGC"),"CONT",IF($BE236&lt;=60,2,IF($BE236&lt;=90,3,IF($BE236&lt;=120,4,5)))))</f>
        <v/>
      </c>
      <c r="BL236" s="49">
        <f>IF(N($BC236)=0,"",IF(OR($AL236="",$AL236="FLUSH"),"FLUSH",IFERROR(LEFT($AL236,FIND("-",$AL236)-1),LEFT($AL236,2))))</f>
        <v/>
      </c>
      <c r="BM236" s="49">
        <f>IF($BL236="","",IFERROR(VALUE(MID($AL236,FIND("-",$AL236)+1,FIND(CHAR(34)&amp;"x",$AL236)-FIND("-",$AL236)-1)),0))</f>
        <v/>
      </c>
      <c r="BN236" s="49">
        <f>IF($BL236="","",IFERROR(VALUE(MID($AL236,FIND(CHAR(34)&amp;"x",$AL236)+2,FIND(CHAR(34),$AL236,FIND(CHAR(34)&amp;"x",$AL236)+2)-FIND(CHAR(34)&amp;"x",$AL236)-2)),0))</f>
        <v/>
      </c>
      <c r="BO236" s="53">
        <f>IF(OR($A236="",$H236="",$H236="NO LAB"),0,IFERROR(VALUE(LEFT($H236,FIND(" ",$H236)-1)),0))</f>
        <v/>
      </c>
      <c r="BP236" s="54">
        <f>IF(OR($A236="",$I236="",$I236="NON-RATED",N($J236)=0),"",IFERROR(VLOOKUP($I236&amp;"|"&amp;$J236,IBC,2,FALSE),"?"))</f>
        <v/>
      </c>
      <c r="BQ236" s="50">
        <f>IF(NOT(AND($A236&lt;&gt;"",$C236&lt;&gt;"DOOR ONLY")),"",TRIM(IFERROR(VLOOKUP($U236,CODES,2,FALSE),"")&amp;" "&amp;$AZ236&amp;" "&amp;IFERROR(VLOOKUP($Z236,CODES,2,FALSE),"")&amp;" "&amp;IFERROR(VLOOKUP($X236,CODES,2,FALSE),"")&amp;" "&amp;IFERROR(VLOOKUP($S236,CODES,2,FALSE),"")&amp;IF(N($P236)&gt;0," w/TRANSOM "&amp;$P236&amp;CHAR(34),"")&amp;IF(N($Q236)&gt;0," w/SIDELITE "&amp;$Q236&amp;CHAR(34)&amp;" "&amp;IF($R236="","R",$R236),"")&amp;IF($Y236="","  |  "," | "&amp;IFERROR(VLOOKUP($Y236,CODES,2,FALSE),"")&amp;" | ")&amp;IFERROR(VLOOKUP($AC236,CODES,2,FALSE),"")&amp;" "&amp;IFERROR(VLOOKUP($AD236,CODES,2,FALSE),"")&amp;IF(OR($AE236="",$AE236="-"),""," "&amp;$AE236)&amp;IF(OR($AF236="",$AF236="-"),""," "&amp;$AF236)&amp;IF($AB236="Y"," 4"&amp;CHAR(34)&amp;" HEAD","")&amp;" "&amp;IFERROR(VLOOKUP($H236,CODES,2,FALSE),"")))</f>
        <v/>
      </c>
      <c r="BR236" s="50">
        <f>IF(NOT(AND($A236&lt;&gt;"",N($BC236)&gt;0)),"",TRIM(IFERROR(VLOOKUP($AH236,CODES,2,FALSE),"")&amp;IF($AI236=""," "," "&amp;$AI236&amp;"GA ")&amp;$AZ236&amp;" "&amp;IF($AN236="",IFERROR(VLOOKUP($Z236,CODES,2,FALSE),""),IFERROR(VLOOKUP($AN236,CODES,2,FALSE),""))&amp;IF($BC236=2," PAIR","")&amp;" DOOR | "&amp;IF($AL236="","?",$AL236)&amp;" | "&amp;IF($AP236="",IFERROR(VLOOKUP($AC236,CODES,2,FALSE),""),IFERROR(VLOOKUP($AP236,CODES,2,FALSE),""))&amp;" "&amp;IFERROR(VLOOKUP($AQ236,CODES,2,FALSE),"")&amp;IF(OR($AR236="",$AR236="-"),""," SEAM "&amp;$AR236)&amp;IF($AS236="Y"," ASTRAGAL","")&amp;IF($AJ236=""," "," "&amp;$AJ236)&amp;IF($AK236=""," "," "&amp;$AK236)&amp;IF($AO236="",""," "&amp;$AO236)&amp;IF($AM236=""," "," SERIES "&amp;$AM236)&amp;" "&amp;IFERROR(VLOOKUP($H236,CODES,2,FALSE),"")))</f>
        <v/>
      </c>
      <c r="BS236" s="49">
        <f>IF(BV236="","",IF(COUNTIF($BV$6:BV236,BV236)=1,MAX($BS$5:BS235)+1,INDEX($BS$5:BS235,MATCH(BV236,$BV$5:BV235,0))))</f>
        <v/>
      </c>
      <c r="BT236" s="49">
        <f>IF(NOT(AND($A236&lt;&gt;"",$C236&lt;&gt;"DOOR ONLY")),"",MAX($BT$5:BT235)+1)</f>
        <v/>
      </c>
      <c r="BU236" s="49">
        <f>IF(NOT(AND($A236&lt;&gt;"",N($BC236)&gt;0)),"",MAX($BU$5:BU235)+1)</f>
        <v/>
      </c>
      <c r="BV236" s="49">
        <f>IF(OR($A236="",$BA236="",$BB236=""),"",$AZ236&amp;"|"&amp;$O236&amp;"|"&amp;$AL236&amp;"|"&amp;$S236&amp;"|"&amp;$P236&amp;"|"&amp;$Q236&amp;$R236&amp;"|"&amp;$C236&amp;"|"&amp;$AB236)</f>
        <v/>
      </c>
      <c r="BW236" s="49">
        <f>IF($A236="","",IF($B236="","qty, ","")&amp;IF($C236="","scope, ","")&amp;IF(OR($K236="",$M236=""),"size, ","")&amp;IF(AND($A236&lt;&gt;"",$C236&lt;&gt;"DOOR ONLY"),IF($U236="","jamb depth, ","")&amp;IF($X236="","construction, ","")&amp;IF($Y236="","anchor, ","")&amp;IF($S236="","frame type, ",""),"")&amp;IF(AND(N($BC236)&gt;0,$Z236=""),"hand, ","")&amp;IF(N($BC236)&gt;0,IF($AH236="","door material, ","")&amp;IF($AL236="","face type, ","")&amp;IF($AQ236="","lock prep, ","")&amp;IF(AND($AP236="",$AC236=""),"hinge prep, ",""),"")&amp;IF(AND($BO236&gt;0,$AH236="FRP"),"FRP cannot carry a label, ","")&amp;IF(AND($O236="Y",OR($Z236="L",$Z236="R",$Z236="LR",$Z236="RR")),"pair marked but hand is single, ","")&amp;IF(AND($O236&lt;&gt;"Y",OR($Z236="PR",AND(LEN($Z236)&gt;1,ISNUMBER(SEARCH("-",$Z236))))),"pair hand on a single door, ","")&amp;IF(AND(ISNUMBER($BP236),$BO236&lt;N($BP236)),"wall needs a "&amp;$BP236&amp;" min door, ","")&amp;IF(AND($BO236&gt;=180,AND(OR($BL236="FG",$BL236="HG",$BL236="FNV",$BL236="FV"),N($BM236)*N($BN236)&gt;100)),"180 min lite over 100 sq in, ","")&amp;IF(N($BD236)&gt;48,"leaf wider than 4'-0"&amp;CHAR(34)&amp;", ",""))</f>
        <v/>
      </c>
      <c r="BX236" s="49">
        <f>IF($A236="","",IF(AND($BO236&gt;0,AND($A236&lt;&gt;"",$C236&lt;&gt;"DOOR ONLY"),$X236="KD",$E236="EXTERIOR"),"KD label on an exterior opening, ","")&amp;IF(AND($E236="EXTERIOR",OR(AND(AND($A236&lt;&gt;"",$C236&lt;&gt;"DOOR ONLY"),$W236="CR"),AND(N($BC236)&gt;0,$AH236="CR"))),"exterior in CR steel (G9?), ","")&amp;IF(AND(ISNUMBER($BJ236),N($BJ236)&lt;32),"clear width ~"&amp;TEXT($BJ236,"0.0")&amp;CHAR(34)&amp;" under 32"&amp;CHAR(34)&amp;" (ADA), ","")&amp;IF(AND($BO236=90,AND(OR($BL236="FG",$BL236="HG",$BL236="FNV",$BL236="FV"),N($BM236)*N($BN236)&gt;100)),"90 min lite over 100 sq in (stair/exit), ","")&amp;IF(AND($BO236&gt;0,AND($A236&lt;&gt;"",$C236&lt;&gt;"DOOR ONLY"),OR($AF236="",$AF236="-")),"rated: closer reinf.?, ","")&amp;IF(OR($I236="CORRIDOR",$I236="SMOKE BARRIER"),"S label + smoke gasketing, ","")&amp;IF($BP236="?","wall type/hr not in IBC table, ","")&amp;IF(AND(N($BC236)&gt;0,$AU236=""),"no hardware set, ","")&amp;IF(AND($AU236&lt;&gt;"",ISNA(MATCH($AU236,HWSets,0))),"set "&amp;$AU236&amp;" not on Hardware sheet, ","")&amp;IF(N($BE236)&gt;96,"leaf over 8'-0"&amp;CHAR(34)&amp;" - check listing, ",""))</f>
        <v/>
      </c>
    </row>
    <row r="237" ht="15" customHeight="1">
      <c r="A237" s="44" t="n"/>
      <c r="B237" s="45" t="n"/>
      <c r="C237" s="45" t="n"/>
      <c r="D237" s="45" t="n"/>
      <c r="E237" s="45" t="n"/>
      <c r="F237" s="45" t="n"/>
      <c r="G237" s="45" t="n"/>
      <c r="H237" s="45" t="n"/>
      <c r="I237" s="45" t="n"/>
      <c r="J237" s="45" t="n"/>
      <c r="K237" s="45" t="n"/>
      <c r="L237" s="45" t="n"/>
      <c r="M237" s="45" t="n"/>
      <c r="N237" s="45" t="n"/>
      <c r="O237" s="45" t="n"/>
      <c r="P237" s="45" t="n"/>
      <c r="Q237" s="45" t="n"/>
      <c r="R237" s="45" t="n"/>
      <c r="S237" s="46" t="n"/>
      <c r="T237" s="46" t="n"/>
      <c r="U237" s="46" t="n"/>
      <c r="V237" s="46" t="n"/>
      <c r="W237" s="46" t="n"/>
      <c r="X237" s="46" t="n"/>
      <c r="Y237" s="46" t="n"/>
      <c r="Z237" s="46" t="n"/>
      <c r="AA237" s="46" t="n"/>
      <c r="AB237" s="46" t="n"/>
      <c r="AC237" s="46" t="n"/>
      <c r="AD237" s="46" t="n"/>
      <c r="AE237" s="46" t="n"/>
      <c r="AF237" s="46" t="n"/>
      <c r="AG237" s="46" t="n"/>
      <c r="AH237" s="47" t="n"/>
      <c r="AI237" s="47" t="n"/>
      <c r="AJ237" s="47" t="n"/>
      <c r="AK237" s="47" t="n"/>
      <c r="AL237" s="47" t="n"/>
      <c r="AM237" s="47" t="n"/>
      <c r="AN237" s="47" t="n"/>
      <c r="AO237" s="47" t="n"/>
      <c r="AP237" s="47" t="n"/>
      <c r="AQ237" s="47" t="n"/>
      <c r="AR237" s="47" t="n"/>
      <c r="AS237" s="47" t="n"/>
      <c r="AT237" s="47" t="n"/>
      <c r="AU237" s="48" t="n"/>
      <c r="AV237" s="48" t="n"/>
      <c r="AW237" s="49">
        <f>IF($A237="","",IF($BW237&lt;&gt;"","FIX",IF($BX237&lt;&gt;"","CHECK","OK")))</f>
        <v/>
      </c>
      <c r="AX237" s="50">
        <f>IF($A237="","",IF($BW237&lt;&gt;"","FIX: "&amp;LEFT($BW237,LEN($BW237)-2)&amp;IF($BX237&lt;&gt;"","  ·  ",""),"")&amp;IF($BX237&lt;&gt;"","CHECK: "&amp;LEFT($BX237,LEN($BX237)-2),""))</f>
        <v/>
      </c>
      <c r="AY237" s="49">
        <f>IF(OR($A237="",$K237=""),"",$K237&amp;"'-"&amp;N($L237)&amp;CHAR(34)&amp;" x "&amp;$M237&amp;"'-"&amp;N($N237)&amp;CHAR(34))</f>
        <v/>
      </c>
      <c r="AZ237" s="49">
        <f>IF(OR($A237="",$K237=""),"",$K237&amp;N($L237)&amp;$M237&amp;N($N237))</f>
        <v/>
      </c>
      <c r="BA237" s="49">
        <f>IF(OR($A237="",$K237=""),"",$K237*12+N($L237))</f>
        <v/>
      </c>
      <c r="BB237" s="49">
        <f>IF(OR($A237="",$M237=""),"",$M237*12+N($N237))</f>
        <v/>
      </c>
      <c r="BC237" s="49">
        <f>IF($A237="","",IF(OR($C237="FRAME ONLY",$S237="BL"),0,IF($O237="Y",2,1)))</f>
        <v/>
      </c>
      <c r="BD237" s="51">
        <f>IF(OR(N($BC237)=0,$BA237=""),"",($BA237-2*EdgeClr-IF($BC237=2,MeetClr,0))/$BC237)</f>
        <v/>
      </c>
      <c r="BE237" s="51">
        <f>IF(OR(N($BC237)=0,$BB237=""),"",$BB237-HeadClr-Undercut)</f>
        <v/>
      </c>
      <c r="BF237" s="51">
        <f>IF($BA237="","",$BA237+2*FaceW+IF(N($Q237)&gt;0,($Q237+FaceW)*IF($R237="LR",2,1),0))</f>
        <v/>
      </c>
      <c r="BG237" s="51">
        <f>IF($BB237="","",$BB237+IF($AB237="Y",4,FaceW)+IF(N($P237)&gt;0,$P237+FaceW,0)+IF(OR($S237="4F",$S237="BL"),FaceW,0))</f>
        <v/>
      </c>
      <c r="BH237" s="51">
        <f>IF($BF237="","",$BF237+2*ROSide)</f>
        <v/>
      </c>
      <c r="BI237" s="51">
        <f>IF($BG237="","",$BG237+ROTop)</f>
        <v/>
      </c>
      <c r="BJ237" s="52">
        <f>IF(OR(N($BC237)=0,$BA237=""),"",$BA237/$BC237-ClearDeduct)</f>
        <v/>
      </c>
      <c r="BK237" s="49">
        <f>IF(OR(N($BC237)=0,$BE237=""),"",IF(OR($AC237="HGC",$AP237="HGC"),"CONT",IF($BE237&lt;=60,2,IF($BE237&lt;=90,3,IF($BE237&lt;=120,4,5)))))</f>
        <v/>
      </c>
      <c r="BL237" s="49">
        <f>IF(N($BC237)=0,"",IF(OR($AL237="",$AL237="FLUSH"),"FLUSH",IFERROR(LEFT($AL237,FIND("-",$AL237)-1),LEFT($AL237,2))))</f>
        <v/>
      </c>
      <c r="BM237" s="49">
        <f>IF($BL237="","",IFERROR(VALUE(MID($AL237,FIND("-",$AL237)+1,FIND(CHAR(34)&amp;"x",$AL237)-FIND("-",$AL237)-1)),0))</f>
        <v/>
      </c>
      <c r="BN237" s="49">
        <f>IF($BL237="","",IFERROR(VALUE(MID($AL237,FIND(CHAR(34)&amp;"x",$AL237)+2,FIND(CHAR(34),$AL237,FIND(CHAR(34)&amp;"x",$AL237)+2)-FIND(CHAR(34)&amp;"x",$AL237)-2)),0))</f>
        <v/>
      </c>
      <c r="BO237" s="53">
        <f>IF(OR($A237="",$H237="",$H237="NO LAB"),0,IFERROR(VALUE(LEFT($H237,FIND(" ",$H237)-1)),0))</f>
        <v/>
      </c>
      <c r="BP237" s="54">
        <f>IF(OR($A237="",$I237="",$I237="NON-RATED",N($J237)=0),"",IFERROR(VLOOKUP($I237&amp;"|"&amp;$J237,IBC,2,FALSE),"?"))</f>
        <v/>
      </c>
      <c r="BQ237" s="50">
        <f>IF(NOT(AND($A237&lt;&gt;"",$C237&lt;&gt;"DOOR ONLY")),"",TRIM(IFERROR(VLOOKUP($U237,CODES,2,FALSE),"")&amp;" "&amp;$AZ237&amp;" "&amp;IFERROR(VLOOKUP($Z237,CODES,2,FALSE),"")&amp;" "&amp;IFERROR(VLOOKUP($X237,CODES,2,FALSE),"")&amp;" "&amp;IFERROR(VLOOKUP($S237,CODES,2,FALSE),"")&amp;IF(N($P237)&gt;0," w/TRANSOM "&amp;$P237&amp;CHAR(34),"")&amp;IF(N($Q237)&gt;0," w/SIDELITE "&amp;$Q237&amp;CHAR(34)&amp;" "&amp;IF($R237="","R",$R237),"")&amp;IF($Y237="","  |  "," | "&amp;IFERROR(VLOOKUP($Y237,CODES,2,FALSE),"")&amp;" | ")&amp;IFERROR(VLOOKUP($AC237,CODES,2,FALSE),"")&amp;" "&amp;IFERROR(VLOOKUP($AD237,CODES,2,FALSE),"")&amp;IF(OR($AE237="",$AE237="-"),""," "&amp;$AE237)&amp;IF(OR($AF237="",$AF237="-"),""," "&amp;$AF237)&amp;IF($AB237="Y"," 4"&amp;CHAR(34)&amp;" HEAD","")&amp;" "&amp;IFERROR(VLOOKUP($H237,CODES,2,FALSE),"")))</f>
        <v/>
      </c>
      <c r="BR237" s="50">
        <f>IF(NOT(AND($A237&lt;&gt;"",N($BC237)&gt;0)),"",TRIM(IFERROR(VLOOKUP($AH237,CODES,2,FALSE),"")&amp;IF($AI237=""," "," "&amp;$AI237&amp;"GA ")&amp;$AZ237&amp;" "&amp;IF($AN237="",IFERROR(VLOOKUP($Z237,CODES,2,FALSE),""),IFERROR(VLOOKUP($AN237,CODES,2,FALSE),""))&amp;IF($BC237=2," PAIR","")&amp;" DOOR | "&amp;IF($AL237="","?",$AL237)&amp;" | "&amp;IF($AP237="",IFERROR(VLOOKUP($AC237,CODES,2,FALSE),""),IFERROR(VLOOKUP($AP237,CODES,2,FALSE),""))&amp;" "&amp;IFERROR(VLOOKUP($AQ237,CODES,2,FALSE),"")&amp;IF(OR($AR237="",$AR237="-"),""," SEAM "&amp;$AR237)&amp;IF($AS237="Y"," ASTRAGAL","")&amp;IF($AJ237=""," "," "&amp;$AJ237)&amp;IF($AK237=""," "," "&amp;$AK237)&amp;IF($AO237="",""," "&amp;$AO237)&amp;IF($AM237=""," "," SERIES "&amp;$AM237)&amp;" "&amp;IFERROR(VLOOKUP($H237,CODES,2,FALSE),"")))</f>
        <v/>
      </c>
      <c r="BS237" s="49">
        <f>IF(BV237="","",IF(COUNTIF($BV$6:BV237,BV237)=1,MAX($BS$5:BS236)+1,INDEX($BS$5:BS236,MATCH(BV237,$BV$5:BV236,0))))</f>
        <v/>
      </c>
      <c r="BT237" s="49">
        <f>IF(NOT(AND($A237&lt;&gt;"",$C237&lt;&gt;"DOOR ONLY")),"",MAX($BT$5:BT236)+1)</f>
        <v/>
      </c>
      <c r="BU237" s="49">
        <f>IF(NOT(AND($A237&lt;&gt;"",N($BC237)&gt;0)),"",MAX($BU$5:BU236)+1)</f>
        <v/>
      </c>
      <c r="BV237" s="49">
        <f>IF(OR($A237="",$BA237="",$BB237=""),"",$AZ237&amp;"|"&amp;$O237&amp;"|"&amp;$AL237&amp;"|"&amp;$S237&amp;"|"&amp;$P237&amp;"|"&amp;$Q237&amp;$R237&amp;"|"&amp;$C237&amp;"|"&amp;$AB237)</f>
        <v/>
      </c>
      <c r="BW237" s="49">
        <f>IF($A237="","",IF($B237="","qty, ","")&amp;IF($C237="","scope, ","")&amp;IF(OR($K237="",$M237=""),"size, ","")&amp;IF(AND($A237&lt;&gt;"",$C237&lt;&gt;"DOOR ONLY"),IF($U237="","jamb depth, ","")&amp;IF($X237="","construction, ","")&amp;IF($Y237="","anchor, ","")&amp;IF($S237="","frame type, ",""),"")&amp;IF(AND(N($BC237)&gt;0,$Z237=""),"hand, ","")&amp;IF(N($BC237)&gt;0,IF($AH237="","door material, ","")&amp;IF($AL237="","face type, ","")&amp;IF($AQ237="","lock prep, ","")&amp;IF(AND($AP237="",$AC237=""),"hinge prep, ",""),"")&amp;IF(AND($BO237&gt;0,$AH237="FRP"),"FRP cannot carry a label, ","")&amp;IF(AND($O237="Y",OR($Z237="L",$Z237="R",$Z237="LR",$Z237="RR")),"pair marked but hand is single, ","")&amp;IF(AND($O237&lt;&gt;"Y",OR($Z237="PR",AND(LEN($Z237)&gt;1,ISNUMBER(SEARCH("-",$Z237))))),"pair hand on a single door, ","")&amp;IF(AND(ISNUMBER($BP237),$BO237&lt;N($BP237)),"wall needs a "&amp;$BP237&amp;" min door, ","")&amp;IF(AND($BO237&gt;=180,AND(OR($BL237="FG",$BL237="HG",$BL237="FNV",$BL237="FV"),N($BM237)*N($BN237)&gt;100)),"180 min lite over 100 sq in, ","")&amp;IF(N($BD237)&gt;48,"leaf wider than 4'-0"&amp;CHAR(34)&amp;", ",""))</f>
        <v/>
      </c>
      <c r="BX237" s="49">
        <f>IF($A237="","",IF(AND($BO237&gt;0,AND($A237&lt;&gt;"",$C237&lt;&gt;"DOOR ONLY"),$X237="KD",$E237="EXTERIOR"),"KD label on an exterior opening, ","")&amp;IF(AND($E237="EXTERIOR",OR(AND(AND($A237&lt;&gt;"",$C237&lt;&gt;"DOOR ONLY"),$W237="CR"),AND(N($BC237)&gt;0,$AH237="CR"))),"exterior in CR steel (G9?), ","")&amp;IF(AND(ISNUMBER($BJ237),N($BJ237)&lt;32),"clear width ~"&amp;TEXT($BJ237,"0.0")&amp;CHAR(34)&amp;" under 32"&amp;CHAR(34)&amp;" (ADA), ","")&amp;IF(AND($BO237=90,AND(OR($BL237="FG",$BL237="HG",$BL237="FNV",$BL237="FV"),N($BM237)*N($BN237)&gt;100)),"90 min lite over 100 sq in (stair/exit), ","")&amp;IF(AND($BO237&gt;0,AND($A237&lt;&gt;"",$C237&lt;&gt;"DOOR ONLY"),OR($AF237="",$AF237="-")),"rated: closer reinf.?, ","")&amp;IF(OR($I237="CORRIDOR",$I237="SMOKE BARRIER"),"S label + smoke gasketing, ","")&amp;IF($BP237="?","wall type/hr not in IBC table, ","")&amp;IF(AND(N($BC237)&gt;0,$AU237=""),"no hardware set, ","")&amp;IF(AND($AU237&lt;&gt;"",ISNA(MATCH($AU237,HWSets,0))),"set "&amp;$AU237&amp;" not on Hardware sheet, ","")&amp;IF(N($BE237)&gt;96,"leaf over 8'-0"&amp;CHAR(34)&amp;" - check listing, ",""))</f>
        <v/>
      </c>
    </row>
    <row r="238" ht="15" customHeight="1">
      <c r="A238" s="44" t="n"/>
      <c r="B238" s="45" t="n"/>
      <c r="C238" s="45" t="n"/>
      <c r="D238" s="45" t="n"/>
      <c r="E238" s="45" t="n"/>
      <c r="F238" s="45" t="n"/>
      <c r="G238" s="45" t="n"/>
      <c r="H238" s="45" t="n"/>
      <c r="I238" s="45" t="n"/>
      <c r="J238" s="45" t="n"/>
      <c r="K238" s="45" t="n"/>
      <c r="L238" s="45" t="n"/>
      <c r="M238" s="45" t="n"/>
      <c r="N238" s="45" t="n"/>
      <c r="O238" s="45" t="n"/>
      <c r="P238" s="45" t="n"/>
      <c r="Q238" s="45" t="n"/>
      <c r="R238" s="45" t="n"/>
      <c r="S238" s="46" t="n"/>
      <c r="T238" s="46" t="n"/>
      <c r="U238" s="46" t="n"/>
      <c r="V238" s="46" t="n"/>
      <c r="W238" s="46" t="n"/>
      <c r="X238" s="46" t="n"/>
      <c r="Y238" s="46" t="n"/>
      <c r="Z238" s="46" t="n"/>
      <c r="AA238" s="46" t="n"/>
      <c r="AB238" s="46" t="n"/>
      <c r="AC238" s="46" t="n"/>
      <c r="AD238" s="46" t="n"/>
      <c r="AE238" s="46" t="n"/>
      <c r="AF238" s="46" t="n"/>
      <c r="AG238" s="46" t="n"/>
      <c r="AH238" s="47" t="n"/>
      <c r="AI238" s="47" t="n"/>
      <c r="AJ238" s="47" t="n"/>
      <c r="AK238" s="47" t="n"/>
      <c r="AL238" s="47" t="n"/>
      <c r="AM238" s="47" t="n"/>
      <c r="AN238" s="47" t="n"/>
      <c r="AO238" s="47" t="n"/>
      <c r="AP238" s="47" t="n"/>
      <c r="AQ238" s="47" t="n"/>
      <c r="AR238" s="47" t="n"/>
      <c r="AS238" s="47" t="n"/>
      <c r="AT238" s="47" t="n"/>
      <c r="AU238" s="48" t="n"/>
      <c r="AV238" s="48" t="n"/>
      <c r="AW238" s="49">
        <f>IF($A238="","",IF($BW238&lt;&gt;"","FIX",IF($BX238&lt;&gt;"","CHECK","OK")))</f>
        <v/>
      </c>
      <c r="AX238" s="50">
        <f>IF($A238="","",IF($BW238&lt;&gt;"","FIX: "&amp;LEFT($BW238,LEN($BW238)-2)&amp;IF($BX238&lt;&gt;"","  ·  ",""),"")&amp;IF($BX238&lt;&gt;"","CHECK: "&amp;LEFT($BX238,LEN($BX238)-2),""))</f>
        <v/>
      </c>
      <c r="AY238" s="49">
        <f>IF(OR($A238="",$K238=""),"",$K238&amp;"'-"&amp;N($L238)&amp;CHAR(34)&amp;" x "&amp;$M238&amp;"'-"&amp;N($N238)&amp;CHAR(34))</f>
        <v/>
      </c>
      <c r="AZ238" s="49">
        <f>IF(OR($A238="",$K238=""),"",$K238&amp;N($L238)&amp;$M238&amp;N($N238))</f>
        <v/>
      </c>
      <c r="BA238" s="49">
        <f>IF(OR($A238="",$K238=""),"",$K238*12+N($L238))</f>
        <v/>
      </c>
      <c r="BB238" s="49">
        <f>IF(OR($A238="",$M238=""),"",$M238*12+N($N238))</f>
        <v/>
      </c>
      <c r="BC238" s="49">
        <f>IF($A238="","",IF(OR($C238="FRAME ONLY",$S238="BL"),0,IF($O238="Y",2,1)))</f>
        <v/>
      </c>
      <c r="BD238" s="51">
        <f>IF(OR(N($BC238)=0,$BA238=""),"",($BA238-2*EdgeClr-IF($BC238=2,MeetClr,0))/$BC238)</f>
        <v/>
      </c>
      <c r="BE238" s="51">
        <f>IF(OR(N($BC238)=0,$BB238=""),"",$BB238-HeadClr-Undercut)</f>
        <v/>
      </c>
      <c r="BF238" s="51">
        <f>IF($BA238="","",$BA238+2*FaceW+IF(N($Q238)&gt;0,($Q238+FaceW)*IF($R238="LR",2,1),0))</f>
        <v/>
      </c>
      <c r="BG238" s="51">
        <f>IF($BB238="","",$BB238+IF($AB238="Y",4,FaceW)+IF(N($P238)&gt;0,$P238+FaceW,0)+IF(OR($S238="4F",$S238="BL"),FaceW,0))</f>
        <v/>
      </c>
      <c r="BH238" s="51">
        <f>IF($BF238="","",$BF238+2*ROSide)</f>
        <v/>
      </c>
      <c r="BI238" s="51">
        <f>IF($BG238="","",$BG238+ROTop)</f>
        <v/>
      </c>
      <c r="BJ238" s="52">
        <f>IF(OR(N($BC238)=0,$BA238=""),"",$BA238/$BC238-ClearDeduct)</f>
        <v/>
      </c>
      <c r="BK238" s="49">
        <f>IF(OR(N($BC238)=0,$BE238=""),"",IF(OR($AC238="HGC",$AP238="HGC"),"CONT",IF($BE238&lt;=60,2,IF($BE238&lt;=90,3,IF($BE238&lt;=120,4,5)))))</f>
        <v/>
      </c>
      <c r="BL238" s="49">
        <f>IF(N($BC238)=0,"",IF(OR($AL238="",$AL238="FLUSH"),"FLUSH",IFERROR(LEFT($AL238,FIND("-",$AL238)-1),LEFT($AL238,2))))</f>
        <v/>
      </c>
      <c r="BM238" s="49">
        <f>IF($BL238="","",IFERROR(VALUE(MID($AL238,FIND("-",$AL238)+1,FIND(CHAR(34)&amp;"x",$AL238)-FIND("-",$AL238)-1)),0))</f>
        <v/>
      </c>
      <c r="BN238" s="49">
        <f>IF($BL238="","",IFERROR(VALUE(MID($AL238,FIND(CHAR(34)&amp;"x",$AL238)+2,FIND(CHAR(34),$AL238,FIND(CHAR(34)&amp;"x",$AL238)+2)-FIND(CHAR(34)&amp;"x",$AL238)-2)),0))</f>
        <v/>
      </c>
      <c r="BO238" s="53">
        <f>IF(OR($A238="",$H238="",$H238="NO LAB"),0,IFERROR(VALUE(LEFT($H238,FIND(" ",$H238)-1)),0))</f>
        <v/>
      </c>
      <c r="BP238" s="54">
        <f>IF(OR($A238="",$I238="",$I238="NON-RATED",N($J238)=0),"",IFERROR(VLOOKUP($I238&amp;"|"&amp;$J238,IBC,2,FALSE),"?"))</f>
        <v/>
      </c>
      <c r="BQ238" s="50">
        <f>IF(NOT(AND($A238&lt;&gt;"",$C238&lt;&gt;"DOOR ONLY")),"",TRIM(IFERROR(VLOOKUP($U238,CODES,2,FALSE),"")&amp;" "&amp;$AZ238&amp;" "&amp;IFERROR(VLOOKUP($Z238,CODES,2,FALSE),"")&amp;" "&amp;IFERROR(VLOOKUP($X238,CODES,2,FALSE),"")&amp;" "&amp;IFERROR(VLOOKUP($S238,CODES,2,FALSE),"")&amp;IF(N($P238)&gt;0," w/TRANSOM "&amp;$P238&amp;CHAR(34),"")&amp;IF(N($Q238)&gt;0," w/SIDELITE "&amp;$Q238&amp;CHAR(34)&amp;" "&amp;IF($R238="","R",$R238),"")&amp;IF($Y238="","  |  "," | "&amp;IFERROR(VLOOKUP($Y238,CODES,2,FALSE),"")&amp;" | ")&amp;IFERROR(VLOOKUP($AC238,CODES,2,FALSE),"")&amp;" "&amp;IFERROR(VLOOKUP($AD238,CODES,2,FALSE),"")&amp;IF(OR($AE238="",$AE238="-"),""," "&amp;$AE238)&amp;IF(OR($AF238="",$AF238="-"),""," "&amp;$AF238)&amp;IF($AB238="Y"," 4"&amp;CHAR(34)&amp;" HEAD","")&amp;" "&amp;IFERROR(VLOOKUP($H238,CODES,2,FALSE),"")))</f>
        <v/>
      </c>
      <c r="BR238" s="50">
        <f>IF(NOT(AND($A238&lt;&gt;"",N($BC238)&gt;0)),"",TRIM(IFERROR(VLOOKUP($AH238,CODES,2,FALSE),"")&amp;IF($AI238=""," "," "&amp;$AI238&amp;"GA ")&amp;$AZ238&amp;" "&amp;IF($AN238="",IFERROR(VLOOKUP($Z238,CODES,2,FALSE),""),IFERROR(VLOOKUP($AN238,CODES,2,FALSE),""))&amp;IF($BC238=2," PAIR","")&amp;" DOOR | "&amp;IF($AL238="","?",$AL238)&amp;" | "&amp;IF($AP238="",IFERROR(VLOOKUP($AC238,CODES,2,FALSE),""),IFERROR(VLOOKUP($AP238,CODES,2,FALSE),""))&amp;" "&amp;IFERROR(VLOOKUP($AQ238,CODES,2,FALSE),"")&amp;IF(OR($AR238="",$AR238="-"),""," SEAM "&amp;$AR238)&amp;IF($AS238="Y"," ASTRAGAL","")&amp;IF($AJ238=""," "," "&amp;$AJ238)&amp;IF($AK238=""," "," "&amp;$AK238)&amp;IF($AO238="",""," "&amp;$AO238)&amp;IF($AM238=""," "," SERIES "&amp;$AM238)&amp;" "&amp;IFERROR(VLOOKUP($H238,CODES,2,FALSE),"")))</f>
        <v/>
      </c>
      <c r="BS238" s="49">
        <f>IF(BV238="","",IF(COUNTIF($BV$6:BV238,BV238)=1,MAX($BS$5:BS237)+1,INDEX($BS$5:BS237,MATCH(BV238,$BV$5:BV237,0))))</f>
        <v/>
      </c>
      <c r="BT238" s="49">
        <f>IF(NOT(AND($A238&lt;&gt;"",$C238&lt;&gt;"DOOR ONLY")),"",MAX($BT$5:BT237)+1)</f>
        <v/>
      </c>
      <c r="BU238" s="49">
        <f>IF(NOT(AND($A238&lt;&gt;"",N($BC238)&gt;0)),"",MAX($BU$5:BU237)+1)</f>
        <v/>
      </c>
      <c r="BV238" s="49">
        <f>IF(OR($A238="",$BA238="",$BB238=""),"",$AZ238&amp;"|"&amp;$O238&amp;"|"&amp;$AL238&amp;"|"&amp;$S238&amp;"|"&amp;$P238&amp;"|"&amp;$Q238&amp;$R238&amp;"|"&amp;$C238&amp;"|"&amp;$AB238)</f>
        <v/>
      </c>
      <c r="BW238" s="49">
        <f>IF($A238="","",IF($B238="","qty, ","")&amp;IF($C238="","scope, ","")&amp;IF(OR($K238="",$M238=""),"size, ","")&amp;IF(AND($A238&lt;&gt;"",$C238&lt;&gt;"DOOR ONLY"),IF($U238="","jamb depth, ","")&amp;IF($X238="","construction, ","")&amp;IF($Y238="","anchor, ","")&amp;IF($S238="","frame type, ",""),"")&amp;IF(AND(N($BC238)&gt;0,$Z238=""),"hand, ","")&amp;IF(N($BC238)&gt;0,IF($AH238="","door material, ","")&amp;IF($AL238="","face type, ","")&amp;IF($AQ238="","lock prep, ","")&amp;IF(AND($AP238="",$AC238=""),"hinge prep, ",""),"")&amp;IF(AND($BO238&gt;0,$AH238="FRP"),"FRP cannot carry a label, ","")&amp;IF(AND($O238="Y",OR($Z238="L",$Z238="R",$Z238="LR",$Z238="RR")),"pair marked but hand is single, ","")&amp;IF(AND($O238&lt;&gt;"Y",OR($Z238="PR",AND(LEN($Z238)&gt;1,ISNUMBER(SEARCH("-",$Z238))))),"pair hand on a single door, ","")&amp;IF(AND(ISNUMBER($BP238),$BO238&lt;N($BP238)),"wall needs a "&amp;$BP238&amp;" min door, ","")&amp;IF(AND($BO238&gt;=180,AND(OR($BL238="FG",$BL238="HG",$BL238="FNV",$BL238="FV"),N($BM238)*N($BN238)&gt;100)),"180 min lite over 100 sq in, ","")&amp;IF(N($BD238)&gt;48,"leaf wider than 4'-0"&amp;CHAR(34)&amp;", ",""))</f>
        <v/>
      </c>
      <c r="BX238" s="49">
        <f>IF($A238="","",IF(AND($BO238&gt;0,AND($A238&lt;&gt;"",$C238&lt;&gt;"DOOR ONLY"),$X238="KD",$E238="EXTERIOR"),"KD label on an exterior opening, ","")&amp;IF(AND($E238="EXTERIOR",OR(AND(AND($A238&lt;&gt;"",$C238&lt;&gt;"DOOR ONLY"),$W238="CR"),AND(N($BC238)&gt;0,$AH238="CR"))),"exterior in CR steel (G9?), ","")&amp;IF(AND(ISNUMBER($BJ238),N($BJ238)&lt;32),"clear width ~"&amp;TEXT($BJ238,"0.0")&amp;CHAR(34)&amp;" under 32"&amp;CHAR(34)&amp;" (ADA), ","")&amp;IF(AND($BO238=90,AND(OR($BL238="FG",$BL238="HG",$BL238="FNV",$BL238="FV"),N($BM238)*N($BN238)&gt;100)),"90 min lite over 100 sq in (stair/exit), ","")&amp;IF(AND($BO238&gt;0,AND($A238&lt;&gt;"",$C238&lt;&gt;"DOOR ONLY"),OR($AF238="",$AF238="-")),"rated: closer reinf.?, ","")&amp;IF(OR($I238="CORRIDOR",$I238="SMOKE BARRIER"),"S label + smoke gasketing, ","")&amp;IF($BP238="?","wall type/hr not in IBC table, ","")&amp;IF(AND(N($BC238)&gt;0,$AU238=""),"no hardware set, ","")&amp;IF(AND($AU238&lt;&gt;"",ISNA(MATCH($AU238,HWSets,0))),"set "&amp;$AU238&amp;" not on Hardware sheet, ","")&amp;IF(N($BE238)&gt;96,"leaf over 8'-0"&amp;CHAR(34)&amp;" - check listing, ",""))</f>
        <v/>
      </c>
    </row>
    <row r="239" ht="15" customHeight="1">
      <c r="A239" s="44" t="n"/>
      <c r="B239" s="45" t="n"/>
      <c r="C239" s="45" t="n"/>
      <c r="D239" s="45" t="n"/>
      <c r="E239" s="45" t="n"/>
      <c r="F239" s="45" t="n"/>
      <c r="G239" s="45" t="n"/>
      <c r="H239" s="45" t="n"/>
      <c r="I239" s="45" t="n"/>
      <c r="J239" s="45" t="n"/>
      <c r="K239" s="45" t="n"/>
      <c r="L239" s="45" t="n"/>
      <c r="M239" s="45" t="n"/>
      <c r="N239" s="45" t="n"/>
      <c r="O239" s="45" t="n"/>
      <c r="P239" s="45" t="n"/>
      <c r="Q239" s="45" t="n"/>
      <c r="R239" s="45" t="n"/>
      <c r="S239" s="46" t="n"/>
      <c r="T239" s="46" t="n"/>
      <c r="U239" s="46" t="n"/>
      <c r="V239" s="46" t="n"/>
      <c r="W239" s="46" t="n"/>
      <c r="X239" s="46" t="n"/>
      <c r="Y239" s="46" t="n"/>
      <c r="Z239" s="46" t="n"/>
      <c r="AA239" s="46" t="n"/>
      <c r="AB239" s="46" t="n"/>
      <c r="AC239" s="46" t="n"/>
      <c r="AD239" s="46" t="n"/>
      <c r="AE239" s="46" t="n"/>
      <c r="AF239" s="46" t="n"/>
      <c r="AG239" s="46" t="n"/>
      <c r="AH239" s="47" t="n"/>
      <c r="AI239" s="47" t="n"/>
      <c r="AJ239" s="47" t="n"/>
      <c r="AK239" s="47" t="n"/>
      <c r="AL239" s="47" t="n"/>
      <c r="AM239" s="47" t="n"/>
      <c r="AN239" s="47" t="n"/>
      <c r="AO239" s="47" t="n"/>
      <c r="AP239" s="47" t="n"/>
      <c r="AQ239" s="47" t="n"/>
      <c r="AR239" s="47" t="n"/>
      <c r="AS239" s="47" t="n"/>
      <c r="AT239" s="47" t="n"/>
      <c r="AU239" s="48" t="n"/>
      <c r="AV239" s="48" t="n"/>
      <c r="AW239" s="49">
        <f>IF($A239="","",IF($BW239&lt;&gt;"","FIX",IF($BX239&lt;&gt;"","CHECK","OK")))</f>
        <v/>
      </c>
      <c r="AX239" s="50">
        <f>IF($A239="","",IF($BW239&lt;&gt;"","FIX: "&amp;LEFT($BW239,LEN($BW239)-2)&amp;IF($BX239&lt;&gt;"","  ·  ",""),"")&amp;IF($BX239&lt;&gt;"","CHECK: "&amp;LEFT($BX239,LEN($BX239)-2),""))</f>
        <v/>
      </c>
      <c r="AY239" s="49">
        <f>IF(OR($A239="",$K239=""),"",$K239&amp;"'-"&amp;N($L239)&amp;CHAR(34)&amp;" x "&amp;$M239&amp;"'-"&amp;N($N239)&amp;CHAR(34))</f>
        <v/>
      </c>
      <c r="AZ239" s="49">
        <f>IF(OR($A239="",$K239=""),"",$K239&amp;N($L239)&amp;$M239&amp;N($N239))</f>
        <v/>
      </c>
      <c r="BA239" s="49">
        <f>IF(OR($A239="",$K239=""),"",$K239*12+N($L239))</f>
        <v/>
      </c>
      <c r="BB239" s="49">
        <f>IF(OR($A239="",$M239=""),"",$M239*12+N($N239))</f>
        <v/>
      </c>
      <c r="BC239" s="49">
        <f>IF($A239="","",IF(OR($C239="FRAME ONLY",$S239="BL"),0,IF($O239="Y",2,1)))</f>
        <v/>
      </c>
      <c r="BD239" s="51">
        <f>IF(OR(N($BC239)=0,$BA239=""),"",($BA239-2*EdgeClr-IF($BC239=2,MeetClr,0))/$BC239)</f>
        <v/>
      </c>
      <c r="BE239" s="51">
        <f>IF(OR(N($BC239)=0,$BB239=""),"",$BB239-HeadClr-Undercut)</f>
        <v/>
      </c>
      <c r="BF239" s="51">
        <f>IF($BA239="","",$BA239+2*FaceW+IF(N($Q239)&gt;0,($Q239+FaceW)*IF($R239="LR",2,1),0))</f>
        <v/>
      </c>
      <c r="BG239" s="51">
        <f>IF($BB239="","",$BB239+IF($AB239="Y",4,FaceW)+IF(N($P239)&gt;0,$P239+FaceW,0)+IF(OR($S239="4F",$S239="BL"),FaceW,0))</f>
        <v/>
      </c>
      <c r="BH239" s="51">
        <f>IF($BF239="","",$BF239+2*ROSide)</f>
        <v/>
      </c>
      <c r="BI239" s="51">
        <f>IF($BG239="","",$BG239+ROTop)</f>
        <v/>
      </c>
      <c r="BJ239" s="52">
        <f>IF(OR(N($BC239)=0,$BA239=""),"",$BA239/$BC239-ClearDeduct)</f>
        <v/>
      </c>
      <c r="BK239" s="49">
        <f>IF(OR(N($BC239)=0,$BE239=""),"",IF(OR($AC239="HGC",$AP239="HGC"),"CONT",IF($BE239&lt;=60,2,IF($BE239&lt;=90,3,IF($BE239&lt;=120,4,5)))))</f>
        <v/>
      </c>
      <c r="BL239" s="49">
        <f>IF(N($BC239)=0,"",IF(OR($AL239="",$AL239="FLUSH"),"FLUSH",IFERROR(LEFT($AL239,FIND("-",$AL239)-1),LEFT($AL239,2))))</f>
        <v/>
      </c>
      <c r="BM239" s="49">
        <f>IF($BL239="","",IFERROR(VALUE(MID($AL239,FIND("-",$AL239)+1,FIND(CHAR(34)&amp;"x",$AL239)-FIND("-",$AL239)-1)),0))</f>
        <v/>
      </c>
      <c r="BN239" s="49">
        <f>IF($BL239="","",IFERROR(VALUE(MID($AL239,FIND(CHAR(34)&amp;"x",$AL239)+2,FIND(CHAR(34),$AL239,FIND(CHAR(34)&amp;"x",$AL239)+2)-FIND(CHAR(34)&amp;"x",$AL239)-2)),0))</f>
        <v/>
      </c>
      <c r="BO239" s="53">
        <f>IF(OR($A239="",$H239="",$H239="NO LAB"),0,IFERROR(VALUE(LEFT($H239,FIND(" ",$H239)-1)),0))</f>
        <v/>
      </c>
      <c r="BP239" s="54">
        <f>IF(OR($A239="",$I239="",$I239="NON-RATED",N($J239)=0),"",IFERROR(VLOOKUP($I239&amp;"|"&amp;$J239,IBC,2,FALSE),"?"))</f>
        <v/>
      </c>
      <c r="BQ239" s="50">
        <f>IF(NOT(AND($A239&lt;&gt;"",$C239&lt;&gt;"DOOR ONLY")),"",TRIM(IFERROR(VLOOKUP($U239,CODES,2,FALSE),"")&amp;" "&amp;$AZ239&amp;" "&amp;IFERROR(VLOOKUP($Z239,CODES,2,FALSE),"")&amp;" "&amp;IFERROR(VLOOKUP($X239,CODES,2,FALSE),"")&amp;" "&amp;IFERROR(VLOOKUP($S239,CODES,2,FALSE),"")&amp;IF(N($P239)&gt;0," w/TRANSOM "&amp;$P239&amp;CHAR(34),"")&amp;IF(N($Q239)&gt;0," w/SIDELITE "&amp;$Q239&amp;CHAR(34)&amp;" "&amp;IF($R239="","R",$R239),"")&amp;IF($Y239="","  |  "," | "&amp;IFERROR(VLOOKUP($Y239,CODES,2,FALSE),"")&amp;" | ")&amp;IFERROR(VLOOKUP($AC239,CODES,2,FALSE),"")&amp;" "&amp;IFERROR(VLOOKUP($AD239,CODES,2,FALSE),"")&amp;IF(OR($AE239="",$AE239="-"),""," "&amp;$AE239)&amp;IF(OR($AF239="",$AF239="-"),""," "&amp;$AF239)&amp;IF($AB239="Y"," 4"&amp;CHAR(34)&amp;" HEAD","")&amp;" "&amp;IFERROR(VLOOKUP($H239,CODES,2,FALSE),"")))</f>
        <v/>
      </c>
      <c r="BR239" s="50">
        <f>IF(NOT(AND($A239&lt;&gt;"",N($BC239)&gt;0)),"",TRIM(IFERROR(VLOOKUP($AH239,CODES,2,FALSE),"")&amp;IF($AI239=""," "," "&amp;$AI239&amp;"GA ")&amp;$AZ239&amp;" "&amp;IF($AN239="",IFERROR(VLOOKUP($Z239,CODES,2,FALSE),""),IFERROR(VLOOKUP($AN239,CODES,2,FALSE),""))&amp;IF($BC239=2," PAIR","")&amp;" DOOR | "&amp;IF($AL239="","?",$AL239)&amp;" | "&amp;IF($AP239="",IFERROR(VLOOKUP($AC239,CODES,2,FALSE),""),IFERROR(VLOOKUP($AP239,CODES,2,FALSE),""))&amp;" "&amp;IFERROR(VLOOKUP($AQ239,CODES,2,FALSE),"")&amp;IF(OR($AR239="",$AR239="-"),""," SEAM "&amp;$AR239)&amp;IF($AS239="Y"," ASTRAGAL","")&amp;IF($AJ239=""," "," "&amp;$AJ239)&amp;IF($AK239=""," "," "&amp;$AK239)&amp;IF($AO239="",""," "&amp;$AO239)&amp;IF($AM239=""," "," SERIES "&amp;$AM239)&amp;" "&amp;IFERROR(VLOOKUP($H239,CODES,2,FALSE),"")))</f>
        <v/>
      </c>
      <c r="BS239" s="49">
        <f>IF(BV239="","",IF(COUNTIF($BV$6:BV239,BV239)=1,MAX($BS$5:BS238)+1,INDEX($BS$5:BS238,MATCH(BV239,$BV$5:BV238,0))))</f>
        <v/>
      </c>
      <c r="BT239" s="49">
        <f>IF(NOT(AND($A239&lt;&gt;"",$C239&lt;&gt;"DOOR ONLY")),"",MAX($BT$5:BT238)+1)</f>
        <v/>
      </c>
      <c r="BU239" s="49">
        <f>IF(NOT(AND($A239&lt;&gt;"",N($BC239)&gt;0)),"",MAX($BU$5:BU238)+1)</f>
        <v/>
      </c>
      <c r="BV239" s="49">
        <f>IF(OR($A239="",$BA239="",$BB239=""),"",$AZ239&amp;"|"&amp;$O239&amp;"|"&amp;$AL239&amp;"|"&amp;$S239&amp;"|"&amp;$P239&amp;"|"&amp;$Q239&amp;$R239&amp;"|"&amp;$C239&amp;"|"&amp;$AB239)</f>
        <v/>
      </c>
      <c r="BW239" s="49">
        <f>IF($A239="","",IF($B239="","qty, ","")&amp;IF($C239="","scope, ","")&amp;IF(OR($K239="",$M239=""),"size, ","")&amp;IF(AND($A239&lt;&gt;"",$C239&lt;&gt;"DOOR ONLY"),IF($U239="","jamb depth, ","")&amp;IF($X239="","construction, ","")&amp;IF($Y239="","anchor, ","")&amp;IF($S239="","frame type, ",""),"")&amp;IF(AND(N($BC239)&gt;0,$Z239=""),"hand, ","")&amp;IF(N($BC239)&gt;0,IF($AH239="","door material, ","")&amp;IF($AL239="","face type, ","")&amp;IF($AQ239="","lock prep, ","")&amp;IF(AND($AP239="",$AC239=""),"hinge prep, ",""),"")&amp;IF(AND($BO239&gt;0,$AH239="FRP"),"FRP cannot carry a label, ","")&amp;IF(AND($O239="Y",OR($Z239="L",$Z239="R",$Z239="LR",$Z239="RR")),"pair marked but hand is single, ","")&amp;IF(AND($O239&lt;&gt;"Y",OR($Z239="PR",AND(LEN($Z239)&gt;1,ISNUMBER(SEARCH("-",$Z239))))),"pair hand on a single door, ","")&amp;IF(AND(ISNUMBER($BP239),$BO239&lt;N($BP239)),"wall needs a "&amp;$BP239&amp;" min door, ","")&amp;IF(AND($BO239&gt;=180,AND(OR($BL239="FG",$BL239="HG",$BL239="FNV",$BL239="FV"),N($BM239)*N($BN239)&gt;100)),"180 min lite over 100 sq in, ","")&amp;IF(N($BD239)&gt;48,"leaf wider than 4'-0"&amp;CHAR(34)&amp;", ",""))</f>
        <v/>
      </c>
      <c r="BX239" s="49">
        <f>IF($A239="","",IF(AND($BO239&gt;0,AND($A239&lt;&gt;"",$C239&lt;&gt;"DOOR ONLY"),$X239="KD",$E239="EXTERIOR"),"KD label on an exterior opening, ","")&amp;IF(AND($E239="EXTERIOR",OR(AND(AND($A239&lt;&gt;"",$C239&lt;&gt;"DOOR ONLY"),$W239="CR"),AND(N($BC239)&gt;0,$AH239="CR"))),"exterior in CR steel (G9?), ","")&amp;IF(AND(ISNUMBER($BJ239),N($BJ239)&lt;32),"clear width ~"&amp;TEXT($BJ239,"0.0")&amp;CHAR(34)&amp;" under 32"&amp;CHAR(34)&amp;" (ADA), ","")&amp;IF(AND($BO239=90,AND(OR($BL239="FG",$BL239="HG",$BL239="FNV",$BL239="FV"),N($BM239)*N($BN239)&gt;100)),"90 min lite over 100 sq in (stair/exit), ","")&amp;IF(AND($BO239&gt;0,AND($A239&lt;&gt;"",$C239&lt;&gt;"DOOR ONLY"),OR($AF239="",$AF239="-")),"rated: closer reinf.?, ","")&amp;IF(OR($I239="CORRIDOR",$I239="SMOKE BARRIER"),"S label + smoke gasketing, ","")&amp;IF($BP239="?","wall type/hr not in IBC table, ","")&amp;IF(AND(N($BC239)&gt;0,$AU239=""),"no hardware set, ","")&amp;IF(AND($AU239&lt;&gt;"",ISNA(MATCH($AU239,HWSets,0))),"set "&amp;$AU239&amp;" not on Hardware sheet, ","")&amp;IF(N($BE239)&gt;96,"leaf over 8'-0"&amp;CHAR(34)&amp;" - check listing, ",""))</f>
        <v/>
      </c>
    </row>
    <row r="240" ht="15" customHeight="1">
      <c r="A240" s="44" t="n"/>
      <c r="B240" s="45" t="n"/>
      <c r="C240" s="45" t="n"/>
      <c r="D240" s="45" t="n"/>
      <c r="E240" s="45" t="n"/>
      <c r="F240" s="45" t="n"/>
      <c r="G240" s="45" t="n"/>
      <c r="H240" s="45" t="n"/>
      <c r="I240" s="45" t="n"/>
      <c r="J240" s="45" t="n"/>
      <c r="K240" s="45" t="n"/>
      <c r="L240" s="45" t="n"/>
      <c r="M240" s="45" t="n"/>
      <c r="N240" s="45" t="n"/>
      <c r="O240" s="45" t="n"/>
      <c r="P240" s="45" t="n"/>
      <c r="Q240" s="45" t="n"/>
      <c r="R240" s="45" t="n"/>
      <c r="S240" s="46" t="n"/>
      <c r="T240" s="46" t="n"/>
      <c r="U240" s="46" t="n"/>
      <c r="V240" s="46" t="n"/>
      <c r="W240" s="46" t="n"/>
      <c r="X240" s="46" t="n"/>
      <c r="Y240" s="46" t="n"/>
      <c r="Z240" s="46" t="n"/>
      <c r="AA240" s="46" t="n"/>
      <c r="AB240" s="46" t="n"/>
      <c r="AC240" s="46" t="n"/>
      <c r="AD240" s="46" t="n"/>
      <c r="AE240" s="46" t="n"/>
      <c r="AF240" s="46" t="n"/>
      <c r="AG240" s="46" t="n"/>
      <c r="AH240" s="47" t="n"/>
      <c r="AI240" s="47" t="n"/>
      <c r="AJ240" s="47" t="n"/>
      <c r="AK240" s="47" t="n"/>
      <c r="AL240" s="47" t="n"/>
      <c r="AM240" s="47" t="n"/>
      <c r="AN240" s="47" t="n"/>
      <c r="AO240" s="47" t="n"/>
      <c r="AP240" s="47" t="n"/>
      <c r="AQ240" s="47" t="n"/>
      <c r="AR240" s="47" t="n"/>
      <c r="AS240" s="47" t="n"/>
      <c r="AT240" s="47" t="n"/>
      <c r="AU240" s="48" t="n"/>
      <c r="AV240" s="48" t="n"/>
      <c r="AW240" s="49">
        <f>IF($A240="","",IF($BW240&lt;&gt;"","FIX",IF($BX240&lt;&gt;"","CHECK","OK")))</f>
        <v/>
      </c>
      <c r="AX240" s="50">
        <f>IF($A240="","",IF($BW240&lt;&gt;"","FIX: "&amp;LEFT($BW240,LEN($BW240)-2)&amp;IF($BX240&lt;&gt;"","  ·  ",""),"")&amp;IF($BX240&lt;&gt;"","CHECK: "&amp;LEFT($BX240,LEN($BX240)-2),""))</f>
        <v/>
      </c>
      <c r="AY240" s="49">
        <f>IF(OR($A240="",$K240=""),"",$K240&amp;"'-"&amp;N($L240)&amp;CHAR(34)&amp;" x "&amp;$M240&amp;"'-"&amp;N($N240)&amp;CHAR(34))</f>
        <v/>
      </c>
      <c r="AZ240" s="49">
        <f>IF(OR($A240="",$K240=""),"",$K240&amp;N($L240)&amp;$M240&amp;N($N240))</f>
        <v/>
      </c>
      <c r="BA240" s="49">
        <f>IF(OR($A240="",$K240=""),"",$K240*12+N($L240))</f>
        <v/>
      </c>
      <c r="BB240" s="49">
        <f>IF(OR($A240="",$M240=""),"",$M240*12+N($N240))</f>
        <v/>
      </c>
      <c r="BC240" s="49">
        <f>IF($A240="","",IF(OR($C240="FRAME ONLY",$S240="BL"),0,IF($O240="Y",2,1)))</f>
        <v/>
      </c>
      <c r="BD240" s="51">
        <f>IF(OR(N($BC240)=0,$BA240=""),"",($BA240-2*EdgeClr-IF($BC240=2,MeetClr,0))/$BC240)</f>
        <v/>
      </c>
      <c r="BE240" s="51">
        <f>IF(OR(N($BC240)=0,$BB240=""),"",$BB240-HeadClr-Undercut)</f>
        <v/>
      </c>
      <c r="BF240" s="51">
        <f>IF($BA240="","",$BA240+2*FaceW+IF(N($Q240)&gt;0,($Q240+FaceW)*IF($R240="LR",2,1),0))</f>
        <v/>
      </c>
      <c r="BG240" s="51">
        <f>IF($BB240="","",$BB240+IF($AB240="Y",4,FaceW)+IF(N($P240)&gt;0,$P240+FaceW,0)+IF(OR($S240="4F",$S240="BL"),FaceW,0))</f>
        <v/>
      </c>
      <c r="BH240" s="51">
        <f>IF($BF240="","",$BF240+2*ROSide)</f>
        <v/>
      </c>
      <c r="BI240" s="51">
        <f>IF($BG240="","",$BG240+ROTop)</f>
        <v/>
      </c>
      <c r="BJ240" s="52">
        <f>IF(OR(N($BC240)=0,$BA240=""),"",$BA240/$BC240-ClearDeduct)</f>
        <v/>
      </c>
      <c r="BK240" s="49">
        <f>IF(OR(N($BC240)=0,$BE240=""),"",IF(OR($AC240="HGC",$AP240="HGC"),"CONT",IF($BE240&lt;=60,2,IF($BE240&lt;=90,3,IF($BE240&lt;=120,4,5)))))</f>
        <v/>
      </c>
      <c r="BL240" s="49">
        <f>IF(N($BC240)=0,"",IF(OR($AL240="",$AL240="FLUSH"),"FLUSH",IFERROR(LEFT($AL240,FIND("-",$AL240)-1),LEFT($AL240,2))))</f>
        <v/>
      </c>
      <c r="BM240" s="49">
        <f>IF($BL240="","",IFERROR(VALUE(MID($AL240,FIND("-",$AL240)+1,FIND(CHAR(34)&amp;"x",$AL240)-FIND("-",$AL240)-1)),0))</f>
        <v/>
      </c>
      <c r="BN240" s="49">
        <f>IF($BL240="","",IFERROR(VALUE(MID($AL240,FIND(CHAR(34)&amp;"x",$AL240)+2,FIND(CHAR(34),$AL240,FIND(CHAR(34)&amp;"x",$AL240)+2)-FIND(CHAR(34)&amp;"x",$AL240)-2)),0))</f>
        <v/>
      </c>
      <c r="BO240" s="53">
        <f>IF(OR($A240="",$H240="",$H240="NO LAB"),0,IFERROR(VALUE(LEFT($H240,FIND(" ",$H240)-1)),0))</f>
        <v/>
      </c>
      <c r="BP240" s="54">
        <f>IF(OR($A240="",$I240="",$I240="NON-RATED",N($J240)=0),"",IFERROR(VLOOKUP($I240&amp;"|"&amp;$J240,IBC,2,FALSE),"?"))</f>
        <v/>
      </c>
      <c r="BQ240" s="50">
        <f>IF(NOT(AND($A240&lt;&gt;"",$C240&lt;&gt;"DOOR ONLY")),"",TRIM(IFERROR(VLOOKUP($U240,CODES,2,FALSE),"")&amp;" "&amp;$AZ240&amp;" "&amp;IFERROR(VLOOKUP($Z240,CODES,2,FALSE),"")&amp;" "&amp;IFERROR(VLOOKUP($X240,CODES,2,FALSE),"")&amp;" "&amp;IFERROR(VLOOKUP($S240,CODES,2,FALSE),"")&amp;IF(N($P240)&gt;0," w/TRANSOM "&amp;$P240&amp;CHAR(34),"")&amp;IF(N($Q240)&gt;0," w/SIDELITE "&amp;$Q240&amp;CHAR(34)&amp;" "&amp;IF($R240="","R",$R240),"")&amp;IF($Y240="","  |  "," | "&amp;IFERROR(VLOOKUP($Y240,CODES,2,FALSE),"")&amp;" | ")&amp;IFERROR(VLOOKUP($AC240,CODES,2,FALSE),"")&amp;" "&amp;IFERROR(VLOOKUP($AD240,CODES,2,FALSE),"")&amp;IF(OR($AE240="",$AE240="-"),""," "&amp;$AE240)&amp;IF(OR($AF240="",$AF240="-"),""," "&amp;$AF240)&amp;IF($AB240="Y"," 4"&amp;CHAR(34)&amp;" HEAD","")&amp;" "&amp;IFERROR(VLOOKUP($H240,CODES,2,FALSE),"")))</f>
        <v/>
      </c>
      <c r="BR240" s="50">
        <f>IF(NOT(AND($A240&lt;&gt;"",N($BC240)&gt;0)),"",TRIM(IFERROR(VLOOKUP($AH240,CODES,2,FALSE),"")&amp;IF($AI240=""," "," "&amp;$AI240&amp;"GA ")&amp;$AZ240&amp;" "&amp;IF($AN240="",IFERROR(VLOOKUP($Z240,CODES,2,FALSE),""),IFERROR(VLOOKUP($AN240,CODES,2,FALSE),""))&amp;IF($BC240=2," PAIR","")&amp;" DOOR | "&amp;IF($AL240="","?",$AL240)&amp;" | "&amp;IF($AP240="",IFERROR(VLOOKUP($AC240,CODES,2,FALSE),""),IFERROR(VLOOKUP($AP240,CODES,2,FALSE),""))&amp;" "&amp;IFERROR(VLOOKUP($AQ240,CODES,2,FALSE),"")&amp;IF(OR($AR240="",$AR240="-"),""," SEAM "&amp;$AR240)&amp;IF($AS240="Y"," ASTRAGAL","")&amp;IF($AJ240=""," "," "&amp;$AJ240)&amp;IF($AK240=""," "," "&amp;$AK240)&amp;IF($AO240="",""," "&amp;$AO240)&amp;IF($AM240=""," "," SERIES "&amp;$AM240)&amp;" "&amp;IFERROR(VLOOKUP($H240,CODES,2,FALSE),"")))</f>
        <v/>
      </c>
      <c r="BS240" s="49">
        <f>IF(BV240="","",IF(COUNTIF($BV$6:BV240,BV240)=1,MAX($BS$5:BS239)+1,INDEX($BS$5:BS239,MATCH(BV240,$BV$5:BV239,0))))</f>
        <v/>
      </c>
      <c r="BT240" s="49">
        <f>IF(NOT(AND($A240&lt;&gt;"",$C240&lt;&gt;"DOOR ONLY")),"",MAX($BT$5:BT239)+1)</f>
        <v/>
      </c>
      <c r="BU240" s="49">
        <f>IF(NOT(AND($A240&lt;&gt;"",N($BC240)&gt;0)),"",MAX($BU$5:BU239)+1)</f>
        <v/>
      </c>
      <c r="BV240" s="49">
        <f>IF(OR($A240="",$BA240="",$BB240=""),"",$AZ240&amp;"|"&amp;$O240&amp;"|"&amp;$AL240&amp;"|"&amp;$S240&amp;"|"&amp;$P240&amp;"|"&amp;$Q240&amp;$R240&amp;"|"&amp;$C240&amp;"|"&amp;$AB240)</f>
        <v/>
      </c>
      <c r="BW240" s="49">
        <f>IF($A240="","",IF($B240="","qty, ","")&amp;IF($C240="","scope, ","")&amp;IF(OR($K240="",$M240=""),"size, ","")&amp;IF(AND($A240&lt;&gt;"",$C240&lt;&gt;"DOOR ONLY"),IF($U240="","jamb depth, ","")&amp;IF($X240="","construction, ","")&amp;IF($Y240="","anchor, ","")&amp;IF($S240="","frame type, ",""),"")&amp;IF(AND(N($BC240)&gt;0,$Z240=""),"hand, ","")&amp;IF(N($BC240)&gt;0,IF($AH240="","door material, ","")&amp;IF($AL240="","face type, ","")&amp;IF($AQ240="","lock prep, ","")&amp;IF(AND($AP240="",$AC240=""),"hinge prep, ",""),"")&amp;IF(AND($BO240&gt;0,$AH240="FRP"),"FRP cannot carry a label, ","")&amp;IF(AND($O240="Y",OR($Z240="L",$Z240="R",$Z240="LR",$Z240="RR")),"pair marked but hand is single, ","")&amp;IF(AND($O240&lt;&gt;"Y",OR($Z240="PR",AND(LEN($Z240)&gt;1,ISNUMBER(SEARCH("-",$Z240))))),"pair hand on a single door, ","")&amp;IF(AND(ISNUMBER($BP240),$BO240&lt;N($BP240)),"wall needs a "&amp;$BP240&amp;" min door, ","")&amp;IF(AND($BO240&gt;=180,AND(OR($BL240="FG",$BL240="HG",$BL240="FNV",$BL240="FV"),N($BM240)*N($BN240)&gt;100)),"180 min lite over 100 sq in, ","")&amp;IF(N($BD240)&gt;48,"leaf wider than 4'-0"&amp;CHAR(34)&amp;", ",""))</f>
        <v/>
      </c>
      <c r="BX240" s="49">
        <f>IF($A240="","",IF(AND($BO240&gt;0,AND($A240&lt;&gt;"",$C240&lt;&gt;"DOOR ONLY"),$X240="KD",$E240="EXTERIOR"),"KD label on an exterior opening, ","")&amp;IF(AND($E240="EXTERIOR",OR(AND(AND($A240&lt;&gt;"",$C240&lt;&gt;"DOOR ONLY"),$W240="CR"),AND(N($BC240)&gt;0,$AH240="CR"))),"exterior in CR steel (G9?), ","")&amp;IF(AND(ISNUMBER($BJ240),N($BJ240)&lt;32),"clear width ~"&amp;TEXT($BJ240,"0.0")&amp;CHAR(34)&amp;" under 32"&amp;CHAR(34)&amp;" (ADA), ","")&amp;IF(AND($BO240=90,AND(OR($BL240="FG",$BL240="HG",$BL240="FNV",$BL240="FV"),N($BM240)*N($BN240)&gt;100)),"90 min lite over 100 sq in (stair/exit), ","")&amp;IF(AND($BO240&gt;0,AND($A240&lt;&gt;"",$C240&lt;&gt;"DOOR ONLY"),OR($AF240="",$AF240="-")),"rated: closer reinf.?, ","")&amp;IF(OR($I240="CORRIDOR",$I240="SMOKE BARRIER"),"S label + smoke gasketing, ","")&amp;IF($BP240="?","wall type/hr not in IBC table, ","")&amp;IF(AND(N($BC240)&gt;0,$AU240=""),"no hardware set, ","")&amp;IF(AND($AU240&lt;&gt;"",ISNA(MATCH($AU240,HWSets,0))),"set "&amp;$AU240&amp;" not on Hardware sheet, ","")&amp;IF(N($BE240)&gt;96,"leaf over 8'-0"&amp;CHAR(34)&amp;" - check listing, ",""))</f>
        <v/>
      </c>
    </row>
    <row r="241" ht="15" customHeight="1">
      <c r="A241" s="44" t="n"/>
      <c r="B241" s="45" t="n"/>
      <c r="C241" s="45" t="n"/>
      <c r="D241" s="45" t="n"/>
      <c r="E241" s="45" t="n"/>
      <c r="F241" s="45" t="n"/>
      <c r="G241" s="45" t="n"/>
      <c r="H241" s="45" t="n"/>
      <c r="I241" s="45" t="n"/>
      <c r="J241" s="45" t="n"/>
      <c r="K241" s="45" t="n"/>
      <c r="L241" s="45" t="n"/>
      <c r="M241" s="45" t="n"/>
      <c r="N241" s="45" t="n"/>
      <c r="O241" s="45" t="n"/>
      <c r="P241" s="45" t="n"/>
      <c r="Q241" s="45" t="n"/>
      <c r="R241" s="45" t="n"/>
      <c r="S241" s="46" t="n"/>
      <c r="T241" s="46" t="n"/>
      <c r="U241" s="46" t="n"/>
      <c r="V241" s="46" t="n"/>
      <c r="W241" s="46" t="n"/>
      <c r="X241" s="46" t="n"/>
      <c r="Y241" s="46" t="n"/>
      <c r="Z241" s="46" t="n"/>
      <c r="AA241" s="46" t="n"/>
      <c r="AB241" s="46" t="n"/>
      <c r="AC241" s="46" t="n"/>
      <c r="AD241" s="46" t="n"/>
      <c r="AE241" s="46" t="n"/>
      <c r="AF241" s="46" t="n"/>
      <c r="AG241" s="46" t="n"/>
      <c r="AH241" s="47" t="n"/>
      <c r="AI241" s="47" t="n"/>
      <c r="AJ241" s="47" t="n"/>
      <c r="AK241" s="47" t="n"/>
      <c r="AL241" s="47" t="n"/>
      <c r="AM241" s="47" t="n"/>
      <c r="AN241" s="47" t="n"/>
      <c r="AO241" s="47" t="n"/>
      <c r="AP241" s="47" t="n"/>
      <c r="AQ241" s="47" t="n"/>
      <c r="AR241" s="47" t="n"/>
      <c r="AS241" s="47" t="n"/>
      <c r="AT241" s="47" t="n"/>
      <c r="AU241" s="48" t="n"/>
      <c r="AV241" s="48" t="n"/>
      <c r="AW241" s="49">
        <f>IF($A241="","",IF($BW241&lt;&gt;"","FIX",IF($BX241&lt;&gt;"","CHECK","OK")))</f>
        <v/>
      </c>
      <c r="AX241" s="50">
        <f>IF($A241="","",IF($BW241&lt;&gt;"","FIX: "&amp;LEFT($BW241,LEN($BW241)-2)&amp;IF($BX241&lt;&gt;"","  ·  ",""),"")&amp;IF($BX241&lt;&gt;"","CHECK: "&amp;LEFT($BX241,LEN($BX241)-2),""))</f>
        <v/>
      </c>
      <c r="AY241" s="49">
        <f>IF(OR($A241="",$K241=""),"",$K241&amp;"'-"&amp;N($L241)&amp;CHAR(34)&amp;" x "&amp;$M241&amp;"'-"&amp;N($N241)&amp;CHAR(34))</f>
        <v/>
      </c>
      <c r="AZ241" s="49">
        <f>IF(OR($A241="",$K241=""),"",$K241&amp;N($L241)&amp;$M241&amp;N($N241))</f>
        <v/>
      </c>
      <c r="BA241" s="49">
        <f>IF(OR($A241="",$K241=""),"",$K241*12+N($L241))</f>
        <v/>
      </c>
      <c r="BB241" s="49">
        <f>IF(OR($A241="",$M241=""),"",$M241*12+N($N241))</f>
        <v/>
      </c>
      <c r="BC241" s="49">
        <f>IF($A241="","",IF(OR($C241="FRAME ONLY",$S241="BL"),0,IF($O241="Y",2,1)))</f>
        <v/>
      </c>
      <c r="BD241" s="51">
        <f>IF(OR(N($BC241)=0,$BA241=""),"",($BA241-2*EdgeClr-IF($BC241=2,MeetClr,0))/$BC241)</f>
        <v/>
      </c>
      <c r="BE241" s="51">
        <f>IF(OR(N($BC241)=0,$BB241=""),"",$BB241-HeadClr-Undercut)</f>
        <v/>
      </c>
      <c r="BF241" s="51">
        <f>IF($BA241="","",$BA241+2*FaceW+IF(N($Q241)&gt;0,($Q241+FaceW)*IF($R241="LR",2,1),0))</f>
        <v/>
      </c>
      <c r="BG241" s="51">
        <f>IF($BB241="","",$BB241+IF($AB241="Y",4,FaceW)+IF(N($P241)&gt;0,$P241+FaceW,0)+IF(OR($S241="4F",$S241="BL"),FaceW,0))</f>
        <v/>
      </c>
      <c r="BH241" s="51">
        <f>IF($BF241="","",$BF241+2*ROSide)</f>
        <v/>
      </c>
      <c r="BI241" s="51">
        <f>IF($BG241="","",$BG241+ROTop)</f>
        <v/>
      </c>
      <c r="BJ241" s="52">
        <f>IF(OR(N($BC241)=0,$BA241=""),"",$BA241/$BC241-ClearDeduct)</f>
        <v/>
      </c>
      <c r="BK241" s="49">
        <f>IF(OR(N($BC241)=0,$BE241=""),"",IF(OR($AC241="HGC",$AP241="HGC"),"CONT",IF($BE241&lt;=60,2,IF($BE241&lt;=90,3,IF($BE241&lt;=120,4,5)))))</f>
        <v/>
      </c>
      <c r="BL241" s="49">
        <f>IF(N($BC241)=0,"",IF(OR($AL241="",$AL241="FLUSH"),"FLUSH",IFERROR(LEFT($AL241,FIND("-",$AL241)-1),LEFT($AL241,2))))</f>
        <v/>
      </c>
      <c r="BM241" s="49">
        <f>IF($BL241="","",IFERROR(VALUE(MID($AL241,FIND("-",$AL241)+1,FIND(CHAR(34)&amp;"x",$AL241)-FIND("-",$AL241)-1)),0))</f>
        <v/>
      </c>
      <c r="BN241" s="49">
        <f>IF($BL241="","",IFERROR(VALUE(MID($AL241,FIND(CHAR(34)&amp;"x",$AL241)+2,FIND(CHAR(34),$AL241,FIND(CHAR(34)&amp;"x",$AL241)+2)-FIND(CHAR(34)&amp;"x",$AL241)-2)),0))</f>
        <v/>
      </c>
      <c r="BO241" s="53">
        <f>IF(OR($A241="",$H241="",$H241="NO LAB"),0,IFERROR(VALUE(LEFT($H241,FIND(" ",$H241)-1)),0))</f>
        <v/>
      </c>
      <c r="BP241" s="54">
        <f>IF(OR($A241="",$I241="",$I241="NON-RATED",N($J241)=0),"",IFERROR(VLOOKUP($I241&amp;"|"&amp;$J241,IBC,2,FALSE),"?"))</f>
        <v/>
      </c>
      <c r="BQ241" s="50">
        <f>IF(NOT(AND($A241&lt;&gt;"",$C241&lt;&gt;"DOOR ONLY")),"",TRIM(IFERROR(VLOOKUP($U241,CODES,2,FALSE),"")&amp;" "&amp;$AZ241&amp;" "&amp;IFERROR(VLOOKUP($Z241,CODES,2,FALSE),"")&amp;" "&amp;IFERROR(VLOOKUP($X241,CODES,2,FALSE),"")&amp;" "&amp;IFERROR(VLOOKUP($S241,CODES,2,FALSE),"")&amp;IF(N($P241)&gt;0," w/TRANSOM "&amp;$P241&amp;CHAR(34),"")&amp;IF(N($Q241)&gt;0," w/SIDELITE "&amp;$Q241&amp;CHAR(34)&amp;" "&amp;IF($R241="","R",$R241),"")&amp;IF($Y241="","  |  "," | "&amp;IFERROR(VLOOKUP($Y241,CODES,2,FALSE),"")&amp;" | ")&amp;IFERROR(VLOOKUP($AC241,CODES,2,FALSE),"")&amp;" "&amp;IFERROR(VLOOKUP($AD241,CODES,2,FALSE),"")&amp;IF(OR($AE241="",$AE241="-"),""," "&amp;$AE241)&amp;IF(OR($AF241="",$AF241="-"),""," "&amp;$AF241)&amp;IF($AB241="Y"," 4"&amp;CHAR(34)&amp;" HEAD","")&amp;" "&amp;IFERROR(VLOOKUP($H241,CODES,2,FALSE),"")))</f>
        <v/>
      </c>
      <c r="BR241" s="50">
        <f>IF(NOT(AND($A241&lt;&gt;"",N($BC241)&gt;0)),"",TRIM(IFERROR(VLOOKUP($AH241,CODES,2,FALSE),"")&amp;IF($AI241=""," "," "&amp;$AI241&amp;"GA ")&amp;$AZ241&amp;" "&amp;IF($AN241="",IFERROR(VLOOKUP($Z241,CODES,2,FALSE),""),IFERROR(VLOOKUP($AN241,CODES,2,FALSE),""))&amp;IF($BC241=2," PAIR","")&amp;" DOOR | "&amp;IF($AL241="","?",$AL241)&amp;" | "&amp;IF($AP241="",IFERROR(VLOOKUP($AC241,CODES,2,FALSE),""),IFERROR(VLOOKUP($AP241,CODES,2,FALSE),""))&amp;" "&amp;IFERROR(VLOOKUP($AQ241,CODES,2,FALSE),"")&amp;IF(OR($AR241="",$AR241="-"),""," SEAM "&amp;$AR241)&amp;IF($AS241="Y"," ASTRAGAL","")&amp;IF($AJ241=""," "," "&amp;$AJ241)&amp;IF($AK241=""," "," "&amp;$AK241)&amp;IF($AO241="",""," "&amp;$AO241)&amp;IF($AM241=""," "," SERIES "&amp;$AM241)&amp;" "&amp;IFERROR(VLOOKUP($H241,CODES,2,FALSE),"")))</f>
        <v/>
      </c>
      <c r="BS241" s="49">
        <f>IF(BV241="","",IF(COUNTIF($BV$6:BV241,BV241)=1,MAX($BS$5:BS240)+1,INDEX($BS$5:BS240,MATCH(BV241,$BV$5:BV240,0))))</f>
        <v/>
      </c>
      <c r="BT241" s="49">
        <f>IF(NOT(AND($A241&lt;&gt;"",$C241&lt;&gt;"DOOR ONLY")),"",MAX($BT$5:BT240)+1)</f>
        <v/>
      </c>
      <c r="BU241" s="49">
        <f>IF(NOT(AND($A241&lt;&gt;"",N($BC241)&gt;0)),"",MAX($BU$5:BU240)+1)</f>
        <v/>
      </c>
      <c r="BV241" s="49">
        <f>IF(OR($A241="",$BA241="",$BB241=""),"",$AZ241&amp;"|"&amp;$O241&amp;"|"&amp;$AL241&amp;"|"&amp;$S241&amp;"|"&amp;$P241&amp;"|"&amp;$Q241&amp;$R241&amp;"|"&amp;$C241&amp;"|"&amp;$AB241)</f>
        <v/>
      </c>
      <c r="BW241" s="49">
        <f>IF($A241="","",IF($B241="","qty, ","")&amp;IF($C241="","scope, ","")&amp;IF(OR($K241="",$M241=""),"size, ","")&amp;IF(AND($A241&lt;&gt;"",$C241&lt;&gt;"DOOR ONLY"),IF($U241="","jamb depth, ","")&amp;IF($X241="","construction, ","")&amp;IF($Y241="","anchor, ","")&amp;IF($S241="","frame type, ",""),"")&amp;IF(AND(N($BC241)&gt;0,$Z241=""),"hand, ","")&amp;IF(N($BC241)&gt;0,IF($AH241="","door material, ","")&amp;IF($AL241="","face type, ","")&amp;IF($AQ241="","lock prep, ","")&amp;IF(AND($AP241="",$AC241=""),"hinge prep, ",""),"")&amp;IF(AND($BO241&gt;0,$AH241="FRP"),"FRP cannot carry a label, ","")&amp;IF(AND($O241="Y",OR($Z241="L",$Z241="R",$Z241="LR",$Z241="RR")),"pair marked but hand is single, ","")&amp;IF(AND($O241&lt;&gt;"Y",OR($Z241="PR",AND(LEN($Z241)&gt;1,ISNUMBER(SEARCH("-",$Z241))))),"pair hand on a single door, ","")&amp;IF(AND(ISNUMBER($BP241),$BO241&lt;N($BP241)),"wall needs a "&amp;$BP241&amp;" min door, ","")&amp;IF(AND($BO241&gt;=180,AND(OR($BL241="FG",$BL241="HG",$BL241="FNV",$BL241="FV"),N($BM241)*N($BN241)&gt;100)),"180 min lite over 100 sq in, ","")&amp;IF(N($BD241)&gt;48,"leaf wider than 4'-0"&amp;CHAR(34)&amp;", ",""))</f>
        <v/>
      </c>
      <c r="BX241" s="49">
        <f>IF($A241="","",IF(AND($BO241&gt;0,AND($A241&lt;&gt;"",$C241&lt;&gt;"DOOR ONLY"),$X241="KD",$E241="EXTERIOR"),"KD label on an exterior opening, ","")&amp;IF(AND($E241="EXTERIOR",OR(AND(AND($A241&lt;&gt;"",$C241&lt;&gt;"DOOR ONLY"),$W241="CR"),AND(N($BC241)&gt;0,$AH241="CR"))),"exterior in CR steel (G9?), ","")&amp;IF(AND(ISNUMBER($BJ241),N($BJ241)&lt;32),"clear width ~"&amp;TEXT($BJ241,"0.0")&amp;CHAR(34)&amp;" under 32"&amp;CHAR(34)&amp;" (ADA), ","")&amp;IF(AND($BO241=90,AND(OR($BL241="FG",$BL241="HG",$BL241="FNV",$BL241="FV"),N($BM241)*N($BN241)&gt;100)),"90 min lite over 100 sq in (stair/exit), ","")&amp;IF(AND($BO241&gt;0,AND($A241&lt;&gt;"",$C241&lt;&gt;"DOOR ONLY"),OR($AF241="",$AF241="-")),"rated: closer reinf.?, ","")&amp;IF(OR($I241="CORRIDOR",$I241="SMOKE BARRIER"),"S label + smoke gasketing, ","")&amp;IF($BP241="?","wall type/hr not in IBC table, ","")&amp;IF(AND(N($BC241)&gt;0,$AU241=""),"no hardware set, ","")&amp;IF(AND($AU241&lt;&gt;"",ISNA(MATCH($AU241,HWSets,0))),"set "&amp;$AU241&amp;" not on Hardware sheet, ","")&amp;IF(N($BE241)&gt;96,"leaf over 8'-0"&amp;CHAR(34)&amp;" - check listing, ",""))</f>
        <v/>
      </c>
    </row>
    <row r="242" ht="15" customHeight="1">
      <c r="A242" s="44" t="n"/>
      <c r="B242" s="45" t="n"/>
      <c r="C242" s="45" t="n"/>
      <c r="D242" s="45" t="n"/>
      <c r="E242" s="45" t="n"/>
      <c r="F242" s="45" t="n"/>
      <c r="G242" s="45" t="n"/>
      <c r="H242" s="45" t="n"/>
      <c r="I242" s="45" t="n"/>
      <c r="J242" s="45" t="n"/>
      <c r="K242" s="45" t="n"/>
      <c r="L242" s="45" t="n"/>
      <c r="M242" s="45" t="n"/>
      <c r="N242" s="45" t="n"/>
      <c r="O242" s="45" t="n"/>
      <c r="P242" s="45" t="n"/>
      <c r="Q242" s="45" t="n"/>
      <c r="R242" s="45" t="n"/>
      <c r="S242" s="46" t="n"/>
      <c r="T242" s="46" t="n"/>
      <c r="U242" s="46" t="n"/>
      <c r="V242" s="46" t="n"/>
      <c r="W242" s="46" t="n"/>
      <c r="X242" s="46" t="n"/>
      <c r="Y242" s="46" t="n"/>
      <c r="Z242" s="46" t="n"/>
      <c r="AA242" s="46" t="n"/>
      <c r="AB242" s="46" t="n"/>
      <c r="AC242" s="46" t="n"/>
      <c r="AD242" s="46" t="n"/>
      <c r="AE242" s="46" t="n"/>
      <c r="AF242" s="46" t="n"/>
      <c r="AG242" s="46" t="n"/>
      <c r="AH242" s="47" t="n"/>
      <c r="AI242" s="47" t="n"/>
      <c r="AJ242" s="47" t="n"/>
      <c r="AK242" s="47" t="n"/>
      <c r="AL242" s="47" t="n"/>
      <c r="AM242" s="47" t="n"/>
      <c r="AN242" s="47" t="n"/>
      <c r="AO242" s="47" t="n"/>
      <c r="AP242" s="47" t="n"/>
      <c r="AQ242" s="47" t="n"/>
      <c r="AR242" s="47" t="n"/>
      <c r="AS242" s="47" t="n"/>
      <c r="AT242" s="47" t="n"/>
      <c r="AU242" s="48" t="n"/>
      <c r="AV242" s="48" t="n"/>
      <c r="AW242" s="49">
        <f>IF($A242="","",IF($BW242&lt;&gt;"","FIX",IF($BX242&lt;&gt;"","CHECK","OK")))</f>
        <v/>
      </c>
      <c r="AX242" s="50">
        <f>IF($A242="","",IF($BW242&lt;&gt;"","FIX: "&amp;LEFT($BW242,LEN($BW242)-2)&amp;IF($BX242&lt;&gt;"","  ·  ",""),"")&amp;IF($BX242&lt;&gt;"","CHECK: "&amp;LEFT($BX242,LEN($BX242)-2),""))</f>
        <v/>
      </c>
      <c r="AY242" s="49">
        <f>IF(OR($A242="",$K242=""),"",$K242&amp;"'-"&amp;N($L242)&amp;CHAR(34)&amp;" x "&amp;$M242&amp;"'-"&amp;N($N242)&amp;CHAR(34))</f>
        <v/>
      </c>
      <c r="AZ242" s="49">
        <f>IF(OR($A242="",$K242=""),"",$K242&amp;N($L242)&amp;$M242&amp;N($N242))</f>
        <v/>
      </c>
      <c r="BA242" s="49">
        <f>IF(OR($A242="",$K242=""),"",$K242*12+N($L242))</f>
        <v/>
      </c>
      <c r="BB242" s="49">
        <f>IF(OR($A242="",$M242=""),"",$M242*12+N($N242))</f>
        <v/>
      </c>
      <c r="BC242" s="49">
        <f>IF($A242="","",IF(OR($C242="FRAME ONLY",$S242="BL"),0,IF($O242="Y",2,1)))</f>
        <v/>
      </c>
      <c r="BD242" s="51">
        <f>IF(OR(N($BC242)=0,$BA242=""),"",($BA242-2*EdgeClr-IF($BC242=2,MeetClr,0))/$BC242)</f>
        <v/>
      </c>
      <c r="BE242" s="51">
        <f>IF(OR(N($BC242)=0,$BB242=""),"",$BB242-HeadClr-Undercut)</f>
        <v/>
      </c>
      <c r="BF242" s="51">
        <f>IF($BA242="","",$BA242+2*FaceW+IF(N($Q242)&gt;0,($Q242+FaceW)*IF($R242="LR",2,1),0))</f>
        <v/>
      </c>
      <c r="BG242" s="51">
        <f>IF($BB242="","",$BB242+IF($AB242="Y",4,FaceW)+IF(N($P242)&gt;0,$P242+FaceW,0)+IF(OR($S242="4F",$S242="BL"),FaceW,0))</f>
        <v/>
      </c>
      <c r="BH242" s="51">
        <f>IF($BF242="","",$BF242+2*ROSide)</f>
        <v/>
      </c>
      <c r="BI242" s="51">
        <f>IF($BG242="","",$BG242+ROTop)</f>
        <v/>
      </c>
      <c r="BJ242" s="52">
        <f>IF(OR(N($BC242)=0,$BA242=""),"",$BA242/$BC242-ClearDeduct)</f>
        <v/>
      </c>
      <c r="BK242" s="49">
        <f>IF(OR(N($BC242)=0,$BE242=""),"",IF(OR($AC242="HGC",$AP242="HGC"),"CONT",IF($BE242&lt;=60,2,IF($BE242&lt;=90,3,IF($BE242&lt;=120,4,5)))))</f>
        <v/>
      </c>
      <c r="BL242" s="49">
        <f>IF(N($BC242)=0,"",IF(OR($AL242="",$AL242="FLUSH"),"FLUSH",IFERROR(LEFT($AL242,FIND("-",$AL242)-1),LEFT($AL242,2))))</f>
        <v/>
      </c>
      <c r="BM242" s="49">
        <f>IF($BL242="","",IFERROR(VALUE(MID($AL242,FIND("-",$AL242)+1,FIND(CHAR(34)&amp;"x",$AL242)-FIND("-",$AL242)-1)),0))</f>
        <v/>
      </c>
      <c r="BN242" s="49">
        <f>IF($BL242="","",IFERROR(VALUE(MID($AL242,FIND(CHAR(34)&amp;"x",$AL242)+2,FIND(CHAR(34),$AL242,FIND(CHAR(34)&amp;"x",$AL242)+2)-FIND(CHAR(34)&amp;"x",$AL242)-2)),0))</f>
        <v/>
      </c>
      <c r="BO242" s="53">
        <f>IF(OR($A242="",$H242="",$H242="NO LAB"),0,IFERROR(VALUE(LEFT($H242,FIND(" ",$H242)-1)),0))</f>
        <v/>
      </c>
      <c r="BP242" s="54">
        <f>IF(OR($A242="",$I242="",$I242="NON-RATED",N($J242)=0),"",IFERROR(VLOOKUP($I242&amp;"|"&amp;$J242,IBC,2,FALSE),"?"))</f>
        <v/>
      </c>
      <c r="BQ242" s="50">
        <f>IF(NOT(AND($A242&lt;&gt;"",$C242&lt;&gt;"DOOR ONLY")),"",TRIM(IFERROR(VLOOKUP($U242,CODES,2,FALSE),"")&amp;" "&amp;$AZ242&amp;" "&amp;IFERROR(VLOOKUP($Z242,CODES,2,FALSE),"")&amp;" "&amp;IFERROR(VLOOKUP($X242,CODES,2,FALSE),"")&amp;" "&amp;IFERROR(VLOOKUP($S242,CODES,2,FALSE),"")&amp;IF(N($P242)&gt;0," w/TRANSOM "&amp;$P242&amp;CHAR(34),"")&amp;IF(N($Q242)&gt;0," w/SIDELITE "&amp;$Q242&amp;CHAR(34)&amp;" "&amp;IF($R242="","R",$R242),"")&amp;IF($Y242="","  |  "," | "&amp;IFERROR(VLOOKUP($Y242,CODES,2,FALSE),"")&amp;" | ")&amp;IFERROR(VLOOKUP($AC242,CODES,2,FALSE),"")&amp;" "&amp;IFERROR(VLOOKUP($AD242,CODES,2,FALSE),"")&amp;IF(OR($AE242="",$AE242="-"),""," "&amp;$AE242)&amp;IF(OR($AF242="",$AF242="-"),""," "&amp;$AF242)&amp;IF($AB242="Y"," 4"&amp;CHAR(34)&amp;" HEAD","")&amp;" "&amp;IFERROR(VLOOKUP($H242,CODES,2,FALSE),"")))</f>
        <v/>
      </c>
      <c r="BR242" s="50">
        <f>IF(NOT(AND($A242&lt;&gt;"",N($BC242)&gt;0)),"",TRIM(IFERROR(VLOOKUP($AH242,CODES,2,FALSE),"")&amp;IF($AI242=""," "," "&amp;$AI242&amp;"GA ")&amp;$AZ242&amp;" "&amp;IF($AN242="",IFERROR(VLOOKUP($Z242,CODES,2,FALSE),""),IFERROR(VLOOKUP($AN242,CODES,2,FALSE),""))&amp;IF($BC242=2," PAIR","")&amp;" DOOR | "&amp;IF($AL242="","?",$AL242)&amp;" | "&amp;IF($AP242="",IFERROR(VLOOKUP($AC242,CODES,2,FALSE),""),IFERROR(VLOOKUP($AP242,CODES,2,FALSE),""))&amp;" "&amp;IFERROR(VLOOKUP($AQ242,CODES,2,FALSE),"")&amp;IF(OR($AR242="",$AR242="-"),""," SEAM "&amp;$AR242)&amp;IF($AS242="Y"," ASTRAGAL","")&amp;IF($AJ242=""," "," "&amp;$AJ242)&amp;IF($AK242=""," "," "&amp;$AK242)&amp;IF($AO242="",""," "&amp;$AO242)&amp;IF($AM242=""," "," SERIES "&amp;$AM242)&amp;" "&amp;IFERROR(VLOOKUP($H242,CODES,2,FALSE),"")))</f>
        <v/>
      </c>
      <c r="BS242" s="49">
        <f>IF(BV242="","",IF(COUNTIF($BV$6:BV242,BV242)=1,MAX($BS$5:BS241)+1,INDEX($BS$5:BS241,MATCH(BV242,$BV$5:BV241,0))))</f>
        <v/>
      </c>
      <c r="BT242" s="49">
        <f>IF(NOT(AND($A242&lt;&gt;"",$C242&lt;&gt;"DOOR ONLY")),"",MAX($BT$5:BT241)+1)</f>
        <v/>
      </c>
      <c r="BU242" s="49">
        <f>IF(NOT(AND($A242&lt;&gt;"",N($BC242)&gt;0)),"",MAX($BU$5:BU241)+1)</f>
        <v/>
      </c>
      <c r="BV242" s="49">
        <f>IF(OR($A242="",$BA242="",$BB242=""),"",$AZ242&amp;"|"&amp;$O242&amp;"|"&amp;$AL242&amp;"|"&amp;$S242&amp;"|"&amp;$P242&amp;"|"&amp;$Q242&amp;$R242&amp;"|"&amp;$C242&amp;"|"&amp;$AB242)</f>
        <v/>
      </c>
      <c r="BW242" s="49">
        <f>IF($A242="","",IF($B242="","qty, ","")&amp;IF($C242="","scope, ","")&amp;IF(OR($K242="",$M242=""),"size, ","")&amp;IF(AND($A242&lt;&gt;"",$C242&lt;&gt;"DOOR ONLY"),IF($U242="","jamb depth, ","")&amp;IF($X242="","construction, ","")&amp;IF($Y242="","anchor, ","")&amp;IF($S242="","frame type, ",""),"")&amp;IF(AND(N($BC242)&gt;0,$Z242=""),"hand, ","")&amp;IF(N($BC242)&gt;0,IF($AH242="","door material, ","")&amp;IF($AL242="","face type, ","")&amp;IF($AQ242="","lock prep, ","")&amp;IF(AND($AP242="",$AC242=""),"hinge prep, ",""),"")&amp;IF(AND($BO242&gt;0,$AH242="FRP"),"FRP cannot carry a label, ","")&amp;IF(AND($O242="Y",OR($Z242="L",$Z242="R",$Z242="LR",$Z242="RR")),"pair marked but hand is single, ","")&amp;IF(AND($O242&lt;&gt;"Y",OR($Z242="PR",AND(LEN($Z242)&gt;1,ISNUMBER(SEARCH("-",$Z242))))),"pair hand on a single door, ","")&amp;IF(AND(ISNUMBER($BP242),$BO242&lt;N($BP242)),"wall needs a "&amp;$BP242&amp;" min door, ","")&amp;IF(AND($BO242&gt;=180,AND(OR($BL242="FG",$BL242="HG",$BL242="FNV",$BL242="FV"),N($BM242)*N($BN242)&gt;100)),"180 min lite over 100 sq in, ","")&amp;IF(N($BD242)&gt;48,"leaf wider than 4'-0"&amp;CHAR(34)&amp;", ",""))</f>
        <v/>
      </c>
      <c r="BX242" s="49">
        <f>IF($A242="","",IF(AND($BO242&gt;0,AND($A242&lt;&gt;"",$C242&lt;&gt;"DOOR ONLY"),$X242="KD",$E242="EXTERIOR"),"KD label on an exterior opening, ","")&amp;IF(AND($E242="EXTERIOR",OR(AND(AND($A242&lt;&gt;"",$C242&lt;&gt;"DOOR ONLY"),$W242="CR"),AND(N($BC242)&gt;0,$AH242="CR"))),"exterior in CR steel (G9?), ","")&amp;IF(AND(ISNUMBER($BJ242),N($BJ242)&lt;32),"clear width ~"&amp;TEXT($BJ242,"0.0")&amp;CHAR(34)&amp;" under 32"&amp;CHAR(34)&amp;" (ADA), ","")&amp;IF(AND($BO242=90,AND(OR($BL242="FG",$BL242="HG",$BL242="FNV",$BL242="FV"),N($BM242)*N($BN242)&gt;100)),"90 min lite over 100 sq in (stair/exit), ","")&amp;IF(AND($BO242&gt;0,AND($A242&lt;&gt;"",$C242&lt;&gt;"DOOR ONLY"),OR($AF242="",$AF242="-")),"rated: closer reinf.?, ","")&amp;IF(OR($I242="CORRIDOR",$I242="SMOKE BARRIER"),"S label + smoke gasketing, ","")&amp;IF($BP242="?","wall type/hr not in IBC table, ","")&amp;IF(AND(N($BC242)&gt;0,$AU242=""),"no hardware set, ","")&amp;IF(AND($AU242&lt;&gt;"",ISNA(MATCH($AU242,HWSets,0))),"set "&amp;$AU242&amp;" not on Hardware sheet, ","")&amp;IF(N($BE242)&gt;96,"leaf over 8'-0"&amp;CHAR(34)&amp;" - check listing, ",""))</f>
        <v/>
      </c>
    </row>
    <row r="243" ht="15" customHeight="1">
      <c r="A243" s="44" t="n"/>
      <c r="B243" s="45" t="n"/>
      <c r="C243" s="45" t="n"/>
      <c r="D243" s="45" t="n"/>
      <c r="E243" s="45" t="n"/>
      <c r="F243" s="45" t="n"/>
      <c r="G243" s="45" t="n"/>
      <c r="H243" s="45" t="n"/>
      <c r="I243" s="45" t="n"/>
      <c r="J243" s="45" t="n"/>
      <c r="K243" s="45" t="n"/>
      <c r="L243" s="45" t="n"/>
      <c r="M243" s="45" t="n"/>
      <c r="N243" s="45" t="n"/>
      <c r="O243" s="45" t="n"/>
      <c r="P243" s="45" t="n"/>
      <c r="Q243" s="45" t="n"/>
      <c r="R243" s="45" t="n"/>
      <c r="S243" s="46" t="n"/>
      <c r="T243" s="46" t="n"/>
      <c r="U243" s="46" t="n"/>
      <c r="V243" s="46" t="n"/>
      <c r="W243" s="46" t="n"/>
      <c r="X243" s="46" t="n"/>
      <c r="Y243" s="46" t="n"/>
      <c r="Z243" s="46" t="n"/>
      <c r="AA243" s="46" t="n"/>
      <c r="AB243" s="46" t="n"/>
      <c r="AC243" s="46" t="n"/>
      <c r="AD243" s="46" t="n"/>
      <c r="AE243" s="46" t="n"/>
      <c r="AF243" s="46" t="n"/>
      <c r="AG243" s="46" t="n"/>
      <c r="AH243" s="47" t="n"/>
      <c r="AI243" s="47" t="n"/>
      <c r="AJ243" s="47" t="n"/>
      <c r="AK243" s="47" t="n"/>
      <c r="AL243" s="47" t="n"/>
      <c r="AM243" s="47" t="n"/>
      <c r="AN243" s="47" t="n"/>
      <c r="AO243" s="47" t="n"/>
      <c r="AP243" s="47" t="n"/>
      <c r="AQ243" s="47" t="n"/>
      <c r="AR243" s="47" t="n"/>
      <c r="AS243" s="47" t="n"/>
      <c r="AT243" s="47" t="n"/>
      <c r="AU243" s="48" t="n"/>
      <c r="AV243" s="48" t="n"/>
      <c r="AW243" s="49">
        <f>IF($A243="","",IF($BW243&lt;&gt;"","FIX",IF($BX243&lt;&gt;"","CHECK","OK")))</f>
        <v/>
      </c>
      <c r="AX243" s="50">
        <f>IF($A243="","",IF($BW243&lt;&gt;"","FIX: "&amp;LEFT($BW243,LEN($BW243)-2)&amp;IF($BX243&lt;&gt;"","  ·  ",""),"")&amp;IF($BX243&lt;&gt;"","CHECK: "&amp;LEFT($BX243,LEN($BX243)-2),""))</f>
        <v/>
      </c>
      <c r="AY243" s="49">
        <f>IF(OR($A243="",$K243=""),"",$K243&amp;"'-"&amp;N($L243)&amp;CHAR(34)&amp;" x "&amp;$M243&amp;"'-"&amp;N($N243)&amp;CHAR(34))</f>
        <v/>
      </c>
      <c r="AZ243" s="49">
        <f>IF(OR($A243="",$K243=""),"",$K243&amp;N($L243)&amp;$M243&amp;N($N243))</f>
        <v/>
      </c>
      <c r="BA243" s="49">
        <f>IF(OR($A243="",$K243=""),"",$K243*12+N($L243))</f>
        <v/>
      </c>
      <c r="BB243" s="49">
        <f>IF(OR($A243="",$M243=""),"",$M243*12+N($N243))</f>
        <v/>
      </c>
      <c r="BC243" s="49">
        <f>IF($A243="","",IF(OR($C243="FRAME ONLY",$S243="BL"),0,IF($O243="Y",2,1)))</f>
        <v/>
      </c>
      <c r="BD243" s="51">
        <f>IF(OR(N($BC243)=0,$BA243=""),"",($BA243-2*EdgeClr-IF($BC243=2,MeetClr,0))/$BC243)</f>
        <v/>
      </c>
      <c r="BE243" s="51">
        <f>IF(OR(N($BC243)=0,$BB243=""),"",$BB243-HeadClr-Undercut)</f>
        <v/>
      </c>
      <c r="BF243" s="51">
        <f>IF($BA243="","",$BA243+2*FaceW+IF(N($Q243)&gt;0,($Q243+FaceW)*IF($R243="LR",2,1),0))</f>
        <v/>
      </c>
      <c r="BG243" s="51">
        <f>IF($BB243="","",$BB243+IF($AB243="Y",4,FaceW)+IF(N($P243)&gt;0,$P243+FaceW,0)+IF(OR($S243="4F",$S243="BL"),FaceW,0))</f>
        <v/>
      </c>
      <c r="BH243" s="51">
        <f>IF($BF243="","",$BF243+2*ROSide)</f>
        <v/>
      </c>
      <c r="BI243" s="51">
        <f>IF($BG243="","",$BG243+ROTop)</f>
        <v/>
      </c>
      <c r="BJ243" s="52">
        <f>IF(OR(N($BC243)=0,$BA243=""),"",$BA243/$BC243-ClearDeduct)</f>
        <v/>
      </c>
      <c r="BK243" s="49">
        <f>IF(OR(N($BC243)=0,$BE243=""),"",IF(OR($AC243="HGC",$AP243="HGC"),"CONT",IF($BE243&lt;=60,2,IF($BE243&lt;=90,3,IF($BE243&lt;=120,4,5)))))</f>
        <v/>
      </c>
      <c r="BL243" s="49">
        <f>IF(N($BC243)=0,"",IF(OR($AL243="",$AL243="FLUSH"),"FLUSH",IFERROR(LEFT($AL243,FIND("-",$AL243)-1),LEFT($AL243,2))))</f>
        <v/>
      </c>
      <c r="BM243" s="49">
        <f>IF($BL243="","",IFERROR(VALUE(MID($AL243,FIND("-",$AL243)+1,FIND(CHAR(34)&amp;"x",$AL243)-FIND("-",$AL243)-1)),0))</f>
        <v/>
      </c>
      <c r="BN243" s="49">
        <f>IF($BL243="","",IFERROR(VALUE(MID($AL243,FIND(CHAR(34)&amp;"x",$AL243)+2,FIND(CHAR(34),$AL243,FIND(CHAR(34)&amp;"x",$AL243)+2)-FIND(CHAR(34)&amp;"x",$AL243)-2)),0))</f>
        <v/>
      </c>
      <c r="BO243" s="53">
        <f>IF(OR($A243="",$H243="",$H243="NO LAB"),0,IFERROR(VALUE(LEFT($H243,FIND(" ",$H243)-1)),0))</f>
        <v/>
      </c>
      <c r="BP243" s="54">
        <f>IF(OR($A243="",$I243="",$I243="NON-RATED",N($J243)=0),"",IFERROR(VLOOKUP($I243&amp;"|"&amp;$J243,IBC,2,FALSE),"?"))</f>
        <v/>
      </c>
      <c r="BQ243" s="50">
        <f>IF(NOT(AND($A243&lt;&gt;"",$C243&lt;&gt;"DOOR ONLY")),"",TRIM(IFERROR(VLOOKUP($U243,CODES,2,FALSE),"")&amp;" "&amp;$AZ243&amp;" "&amp;IFERROR(VLOOKUP($Z243,CODES,2,FALSE),"")&amp;" "&amp;IFERROR(VLOOKUP($X243,CODES,2,FALSE),"")&amp;" "&amp;IFERROR(VLOOKUP($S243,CODES,2,FALSE),"")&amp;IF(N($P243)&gt;0," w/TRANSOM "&amp;$P243&amp;CHAR(34),"")&amp;IF(N($Q243)&gt;0," w/SIDELITE "&amp;$Q243&amp;CHAR(34)&amp;" "&amp;IF($R243="","R",$R243),"")&amp;IF($Y243="","  |  "," | "&amp;IFERROR(VLOOKUP($Y243,CODES,2,FALSE),"")&amp;" | ")&amp;IFERROR(VLOOKUP($AC243,CODES,2,FALSE),"")&amp;" "&amp;IFERROR(VLOOKUP($AD243,CODES,2,FALSE),"")&amp;IF(OR($AE243="",$AE243="-"),""," "&amp;$AE243)&amp;IF(OR($AF243="",$AF243="-"),""," "&amp;$AF243)&amp;IF($AB243="Y"," 4"&amp;CHAR(34)&amp;" HEAD","")&amp;" "&amp;IFERROR(VLOOKUP($H243,CODES,2,FALSE),"")))</f>
        <v/>
      </c>
      <c r="BR243" s="50">
        <f>IF(NOT(AND($A243&lt;&gt;"",N($BC243)&gt;0)),"",TRIM(IFERROR(VLOOKUP($AH243,CODES,2,FALSE),"")&amp;IF($AI243=""," "," "&amp;$AI243&amp;"GA ")&amp;$AZ243&amp;" "&amp;IF($AN243="",IFERROR(VLOOKUP($Z243,CODES,2,FALSE),""),IFERROR(VLOOKUP($AN243,CODES,2,FALSE),""))&amp;IF($BC243=2," PAIR","")&amp;" DOOR | "&amp;IF($AL243="","?",$AL243)&amp;" | "&amp;IF($AP243="",IFERROR(VLOOKUP($AC243,CODES,2,FALSE),""),IFERROR(VLOOKUP($AP243,CODES,2,FALSE),""))&amp;" "&amp;IFERROR(VLOOKUP($AQ243,CODES,2,FALSE),"")&amp;IF(OR($AR243="",$AR243="-"),""," SEAM "&amp;$AR243)&amp;IF($AS243="Y"," ASTRAGAL","")&amp;IF($AJ243=""," "," "&amp;$AJ243)&amp;IF($AK243=""," "," "&amp;$AK243)&amp;IF($AO243="",""," "&amp;$AO243)&amp;IF($AM243=""," "," SERIES "&amp;$AM243)&amp;" "&amp;IFERROR(VLOOKUP($H243,CODES,2,FALSE),"")))</f>
        <v/>
      </c>
      <c r="BS243" s="49">
        <f>IF(BV243="","",IF(COUNTIF($BV$6:BV243,BV243)=1,MAX($BS$5:BS242)+1,INDEX($BS$5:BS242,MATCH(BV243,$BV$5:BV242,0))))</f>
        <v/>
      </c>
      <c r="BT243" s="49">
        <f>IF(NOT(AND($A243&lt;&gt;"",$C243&lt;&gt;"DOOR ONLY")),"",MAX($BT$5:BT242)+1)</f>
        <v/>
      </c>
      <c r="BU243" s="49">
        <f>IF(NOT(AND($A243&lt;&gt;"",N($BC243)&gt;0)),"",MAX($BU$5:BU242)+1)</f>
        <v/>
      </c>
      <c r="BV243" s="49">
        <f>IF(OR($A243="",$BA243="",$BB243=""),"",$AZ243&amp;"|"&amp;$O243&amp;"|"&amp;$AL243&amp;"|"&amp;$S243&amp;"|"&amp;$P243&amp;"|"&amp;$Q243&amp;$R243&amp;"|"&amp;$C243&amp;"|"&amp;$AB243)</f>
        <v/>
      </c>
      <c r="BW243" s="49">
        <f>IF($A243="","",IF($B243="","qty, ","")&amp;IF($C243="","scope, ","")&amp;IF(OR($K243="",$M243=""),"size, ","")&amp;IF(AND($A243&lt;&gt;"",$C243&lt;&gt;"DOOR ONLY"),IF($U243="","jamb depth, ","")&amp;IF($X243="","construction, ","")&amp;IF($Y243="","anchor, ","")&amp;IF($S243="","frame type, ",""),"")&amp;IF(AND(N($BC243)&gt;0,$Z243=""),"hand, ","")&amp;IF(N($BC243)&gt;0,IF($AH243="","door material, ","")&amp;IF($AL243="","face type, ","")&amp;IF($AQ243="","lock prep, ","")&amp;IF(AND($AP243="",$AC243=""),"hinge prep, ",""),"")&amp;IF(AND($BO243&gt;0,$AH243="FRP"),"FRP cannot carry a label, ","")&amp;IF(AND($O243="Y",OR($Z243="L",$Z243="R",$Z243="LR",$Z243="RR")),"pair marked but hand is single, ","")&amp;IF(AND($O243&lt;&gt;"Y",OR($Z243="PR",AND(LEN($Z243)&gt;1,ISNUMBER(SEARCH("-",$Z243))))),"pair hand on a single door, ","")&amp;IF(AND(ISNUMBER($BP243),$BO243&lt;N($BP243)),"wall needs a "&amp;$BP243&amp;" min door, ","")&amp;IF(AND($BO243&gt;=180,AND(OR($BL243="FG",$BL243="HG",$BL243="FNV",$BL243="FV"),N($BM243)*N($BN243)&gt;100)),"180 min lite over 100 sq in, ","")&amp;IF(N($BD243)&gt;48,"leaf wider than 4'-0"&amp;CHAR(34)&amp;", ",""))</f>
        <v/>
      </c>
      <c r="BX243" s="49">
        <f>IF($A243="","",IF(AND($BO243&gt;0,AND($A243&lt;&gt;"",$C243&lt;&gt;"DOOR ONLY"),$X243="KD",$E243="EXTERIOR"),"KD label on an exterior opening, ","")&amp;IF(AND($E243="EXTERIOR",OR(AND(AND($A243&lt;&gt;"",$C243&lt;&gt;"DOOR ONLY"),$W243="CR"),AND(N($BC243)&gt;0,$AH243="CR"))),"exterior in CR steel (G9?), ","")&amp;IF(AND(ISNUMBER($BJ243),N($BJ243)&lt;32),"clear width ~"&amp;TEXT($BJ243,"0.0")&amp;CHAR(34)&amp;" under 32"&amp;CHAR(34)&amp;" (ADA), ","")&amp;IF(AND($BO243=90,AND(OR($BL243="FG",$BL243="HG",$BL243="FNV",$BL243="FV"),N($BM243)*N($BN243)&gt;100)),"90 min lite over 100 sq in (stair/exit), ","")&amp;IF(AND($BO243&gt;0,AND($A243&lt;&gt;"",$C243&lt;&gt;"DOOR ONLY"),OR($AF243="",$AF243="-")),"rated: closer reinf.?, ","")&amp;IF(OR($I243="CORRIDOR",$I243="SMOKE BARRIER"),"S label + smoke gasketing, ","")&amp;IF($BP243="?","wall type/hr not in IBC table, ","")&amp;IF(AND(N($BC243)&gt;0,$AU243=""),"no hardware set, ","")&amp;IF(AND($AU243&lt;&gt;"",ISNA(MATCH($AU243,HWSets,0))),"set "&amp;$AU243&amp;" not on Hardware sheet, ","")&amp;IF(N($BE243)&gt;96,"leaf over 8'-0"&amp;CHAR(34)&amp;" - check listing, ",""))</f>
        <v/>
      </c>
    </row>
    <row r="244" ht="15" customHeight="1">
      <c r="A244" s="44" t="n"/>
      <c r="B244" s="45" t="n"/>
      <c r="C244" s="45" t="n"/>
      <c r="D244" s="45" t="n"/>
      <c r="E244" s="45" t="n"/>
      <c r="F244" s="45" t="n"/>
      <c r="G244" s="45" t="n"/>
      <c r="H244" s="45" t="n"/>
      <c r="I244" s="45" t="n"/>
      <c r="J244" s="45" t="n"/>
      <c r="K244" s="45" t="n"/>
      <c r="L244" s="45" t="n"/>
      <c r="M244" s="45" t="n"/>
      <c r="N244" s="45" t="n"/>
      <c r="O244" s="45" t="n"/>
      <c r="P244" s="45" t="n"/>
      <c r="Q244" s="45" t="n"/>
      <c r="R244" s="45" t="n"/>
      <c r="S244" s="46" t="n"/>
      <c r="T244" s="46" t="n"/>
      <c r="U244" s="46" t="n"/>
      <c r="V244" s="46" t="n"/>
      <c r="W244" s="46" t="n"/>
      <c r="X244" s="46" t="n"/>
      <c r="Y244" s="46" t="n"/>
      <c r="Z244" s="46" t="n"/>
      <c r="AA244" s="46" t="n"/>
      <c r="AB244" s="46" t="n"/>
      <c r="AC244" s="46" t="n"/>
      <c r="AD244" s="46" t="n"/>
      <c r="AE244" s="46" t="n"/>
      <c r="AF244" s="46" t="n"/>
      <c r="AG244" s="46" t="n"/>
      <c r="AH244" s="47" t="n"/>
      <c r="AI244" s="47" t="n"/>
      <c r="AJ244" s="47" t="n"/>
      <c r="AK244" s="47" t="n"/>
      <c r="AL244" s="47" t="n"/>
      <c r="AM244" s="47" t="n"/>
      <c r="AN244" s="47" t="n"/>
      <c r="AO244" s="47" t="n"/>
      <c r="AP244" s="47" t="n"/>
      <c r="AQ244" s="47" t="n"/>
      <c r="AR244" s="47" t="n"/>
      <c r="AS244" s="47" t="n"/>
      <c r="AT244" s="47" t="n"/>
      <c r="AU244" s="48" t="n"/>
      <c r="AV244" s="48" t="n"/>
      <c r="AW244" s="49">
        <f>IF($A244="","",IF($BW244&lt;&gt;"","FIX",IF($BX244&lt;&gt;"","CHECK","OK")))</f>
        <v/>
      </c>
      <c r="AX244" s="50">
        <f>IF($A244="","",IF($BW244&lt;&gt;"","FIX: "&amp;LEFT($BW244,LEN($BW244)-2)&amp;IF($BX244&lt;&gt;"","  ·  ",""),"")&amp;IF($BX244&lt;&gt;"","CHECK: "&amp;LEFT($BX244,LEN($BX244)-2),""))</f>
        <v/>
      </c>
      <c r="AY244" s="49">
        <f>IF(OR($A244="",$K244=""),"",$K244&amp;"'-"&amp;N($L244)&amp;CHAR(34)&amp;" x "&amp;$M244&amp;"'-"&amp;N($N244)&amp;CHAR(34))</f>
        <v/>
      </c>
      <c r="AZ244" s="49">
        <f>IF(OR($A244="",$K244=""),"",$K244&amp;N($L244)&amp;$M244&amp;N($N244))</f>
        <v/>
      </c>
      <c r="BA244" s="49">
        <f>IF(OR($A244="",$K244=""),"",$K244*12+N($L244))</f>
        <v/>
      </c>
      <c r="BB244" s="49">
        <f>IF(OR($A244="",$M244=""),"",$M244*12+N($N244))</f>
        <v/>
      </c>
      <c r="BC244" s="49">
        <f>IF($A244="","",IF(OR($C244="FRAME ONLY",$S244="BL"),0,IF($O244="Y",2,1)))</f>
        <v/>
      </c>
      <c r="BD244" s="51">
        <f>IF(OR(N($BC244)=0,$BA244=""),"",($BA244-2*EdgeClr-IF($BC244=2,MeetClr,0))/$BC244)</f>
        <v/>
      </c>
      <c r="BE244" s="51">
        <f>IF(OR(N($BC244)=0,$BB244=""),"",$BB244-HeadClr-Undercut)</f>
        <v/>
      </c>
      <c r="BF244" s="51">
        <f>IF($BA244="","",$BA244+2*FaceW+IF(N($Q244)&gt;0,($Q244+FaceW)*IF($R244="LR",2,1),0))</f>
        <v/>
      </c>
      <c r="BG244" s="51">
        <f>IF($BB244="","",$BB244+IF($AB244="Y",4,FaceW)+IF(N($P244)&gt;0,$P244+FaceW,0)+IF(OR($S244="4F",$S244="BL"),FaceW,0))</f>
        <v/>
      </c>
      <c r="BH244" s="51">
        <f>IF($BF244="","",$BF244+2*ROSide)</f>
        <v/>
      </c>
      <c r="BI244" s="51">
        <f>IF($BG244="","",$BG244+ROTop)</f>
        <v/>
      </c>
      <c r="BJ244" s="52">
        <f>IF(OR(N($BC244)=0,$BA244=""),"",$BA244/$BC244-ClearDeduct)</f>
        <v/>
      </c>
      <c r="BK244" s="49">
        <f>IF(OR(N($BC244)=0,$BE244=""),"",IF(OR($AC244="HGC",$AP244="HGC"),"CONT",IF($BE244&lt;=60,2,IF($BE244&lt;=90,3,IF($BE244&lt;=120,4,5)))))</f>
        <v/>
      </c>
      <c r="BL244" s="49">
        <f>IF(N($BC244)=0,"",IF(OR($AL244="",$AL244="FLUSH"),"FLUSH",IFERROR(LEFT($AL244,FIND("-",$AL244)-1),LEFT($AL244,2))))</f>
        <v/>
      </c>
      <c r="BM244" s="49">
        <f>IF($BL244="","",IFERROR(VALUE(MID($AL244,FIND("-",$AL244)+1,FIND(CHAR(34)&amp;"x",$AL244)-FIND("-",$AL244)-1)),0))</f>
        <v/>
      </c>
      <c r="BN244" s="49">
        <f>IF($BL244="","",IFERROR(VALUE(MID($AL244,FIND(CHAR(34)&amp;"x",$AL244)+2,FIND(CHAR(34),$AL244,FIND(CHAR(34)&amp;"x",$AL244)+2)-FIND(CHAR(34)&amp;"x",$AL244)-2)),0))</f>
        <v/>
      </c>
      <c r="BO244" s="53">
        <f>IF(OR($A244="",$H244="",$H244="NO LAB"),0,IFERROR(VALUE(LEFT($H244,FIND(" ",$H244)-1)),0))</f>
        <v/>
      </c>
      <c r="BP244" s="54">
        <f>IF(OR($A244="",$I244="",$I244="NON-RATED",N($J244)=0),"",IFERROR(VLOOKUP($I244&amp;"|"&amp;$J244,IBC,2,FALSE),"?"))</f>
        <v/>
      </c>
      <c r="BQ244" s="50">
        <f>IF(NOT(AND($A244&lt;&gt;"",$C244&lt;&gt;"DOOR ONLY")),"",TRIM(IFERROR(VLOOKUP($U244,CODES,2,FALSE),"")&amp;" "&amp;$AZ244&amp;" "&amp;IFERROR(VLOOKUP($Z244,CODES,2,FALSE),"")&amp;" "&amp;IFERROR(VLOOKUP($X244,CODES,2,FALSE),"")&amp;" "&amp;IFERROR(VLOOKUP($S244,CODES,2,FALSE),"")&amp;IF(N($P244)&gt;0," w/TRANSOM "&amp;$P244&amp;CHAR(34),"")&amp;IF(N($Q244)&gt;0," w/SIDELITE "&amp;$Q244&amp;CHAR(34)&amp;" "&amp;IF($R244="","R",$R244),"")&amp;IF($Y244="","  |  "," | "&amp;IFERROR(VLOOKUP($Y244,CODES,2,FALSE),"")&amp;" | ")&amp;IFERROR(VLOOKUP($AC244,CODES,2,FALSE),"")&amp;" "&amp;IFERROR(VLOOKUP($AD244,CODES,2,FALSE),"")&amp;IF(OR($AE244="",$AE244="-"),""," "&amp;$AE244)&amp;IF(OR($AF244="",$AF244="-"),""," "&amp;$AF244)&amp;IF($AB244="Y"," 4"&amp;CHAR(34)&amp;" HEAD","")&amp;" "&amp;IFERROR(VLOOKUP($H244,CODES,2,FALSE),"")))</f>
        <v/>
      </c>
      <c r="BR244" s="50">
        <f>IF(NOT(AND($A244&lt;&gt;"",N($BC244)&gt;0)),"",TRIM(IFERROR(VLOOKUP($AH244,CODES,2,FALSE),"")&amp;IF($AI244=""," "," "&amp;$AI244&amp;"GA ")&amp;$AZ244&amp;" "&amp;IF($AN244="",IFERROR(VLOOKUP($Z244,CODES,2,FALSE),""),IFERROR(VLOOKUP($AN244,CODES,2,FALSE),""))&amp;IF($BC244=2," PAIR","")&amp;" DOOR | "&amp;IF($AL244="","?",$AL244)&amp;" | "&amp;IF($AP244="",IFERROR(VLOOKUP($AC244,CODES,2,FALSE),""),IFERROR(VLOOKUP($AP244,CODES,2,FALSE),""))&amp;" "&amp;IFERROR(VLOOKUP($AQ244,CODES,2,FALSE),"")&amp;IF(OR($AR244="",$AR244="-"),""," SEAM "&amp;$AR244)&amp;IF($AS244="Y"," ASTRAGAL","")&amp;IF($AJ244=""," "," "&amp;$AJ244)&amp;IF($AK244=""," "," "&amp;$AK244)&amp;IF($AO244="",""," "&amp;$AO244)&amp;IF($AM244=""," "," SERIES "&amp;$AM244)&amp;" "&amp;IFERROR(VLOOKUP($H244,CODES,2,FALSE),"")))</f>
        <v/>
      </c>
      <c r="BS244" s="49">
        <f>IF(BV244="","",IF(COUNTIF($BV$6:BV244,BV244)=1,MAX($BS$5:BS243)+1,INDEX($BS$5:BS243,MATCH(BV244,$BV$5:BV243,0))))</f>
        <v/>
      </c>
      <c r="BT244" s="49">
        <f>IF(NOT(AND($A244&lt;&gt;"",$C244&lt;&gt;"DOOR ONLY")),"",MAX($BT$5:BT243)+1)</f>
        <v/>
      </c>
      <c r="BU244" s="49">
        <f>IF(NOT(AND($A244&lt;&gt;"",N($BC244)&gt;0)),"",MAX($BU$5:BU243)+1)</f>
        <v/>
      </c>
      <c r="BV244" s="49">
        <f>IF(OR($A244="",$BA244="",$BB244=""),"",$AZ244&amp;"|"&amp;$O244&amp;"|"&amp;$AL244&amp;"|"&amp;$S244&amp;"|"&amp;$P244&amp;"|"&amp;$Q244&amp;$R244&amp;"|"&amp;$C244&amp;"|"&amp;$AB244)</f>
        <v/>
      </c>
      <c r="BW244" s="49">
        <f>IF($A244="","",IF($B244="","qty, ","")&amp;IF($C244="","scope, ","")&amp;IF(OR($K244="",$M244=""),"size, ","")&amp;IF(AND($A244&lt;&gt;"",$C244&lt;&gt;"DOOR ONLY"),IF($U244="","jamb depth, ","")&amp;IF($X244="","construction, ","")&amp;IF($Y244="","anchor, ","")&amp;IF($S244="","frame type, ",""),"")&amp;IF(AND(N($BC244)&gt;0,$Z244=""),"hand, ","")&amp;IF(N($BC244)&gt;0,IF($AH244="","door material, ","")&amp;IF($AL244="","face type, ","")&amp;IF($AQ244="","lock prep, ","")&amp;IF(AND($AP244="",$AC244=""),"hinge prep, ",""),"")&amp;IF(AND($BO244&gt;0,$AH244="FRP"),"FRP cannot carry a label, ","")&amp;IF(AND($O244="Y",OR($Z244="L",$Z244="R",$Z244="LR",$Z244="RR")),"pair marked but hand is single, ","")&amp;IF(AND($O244&lt;&gt;"Y",OR($Z244="PR",AND(LEN($Z244)&gt;1,ISNUMBER(SEARCH("-",$Z244))))),"pair hand on a single door, ","")&amp;IF(AND(ISNUMBER($BP244),$BO244&lt;N($BP244)),"wall needs a "&amp;$BP244&amp;" min door, ","")&amp;IF(AND($BO244&gt;=180,AND(OR($BL244="FG",$BL244="HG",$BL244="FNV",$BL244="FV"),N($BM244)*N($BN244)&gt;100)),"180 min lite over 100 sq in, ","")&amp;IF(N($BD244)&gt;48,"leaf wider than 4'-0"&amp;CHAR(34)&amp;", ",""))</f>
        <v/>
      </c>
      <c r="BX244" s="49">
        <f>IF($A244="","",IF(AND($BO244&gt;0,AND($A244&lt;&gt;"",$C244&lt;&gt;"DOOR ONLY"),$X244="KD",$E244="EXTERIOR"),"KD label on an exterior opening, ","")&amp;IF(AND($E244="EXTERIOR",OR(AND(AND($A244&lt;&gt;"",$C244&lt;&gt;"DOOR ONLY"),$W244="CR"),AND(N($BC244)&gt;0,$AH244="CR"))),"exterior in CR steel (G9?), ","")&amp;IF(AND(ISNUMBER($BJ244),N($BJ244)&lt;32),"clear width ~"&amp;TEXT($BJ244,"0.0")&amp;CHAR(34)&amp;" under 32"&amp;CHAR(34)&amp;" (ADA), ","")&amp;IF(AND($BO244=90,AND(OR($BL244="FG",$BL244="HG",$BL244="FNV",$BL244="FV"),N($BM244)*N($BN244)&gt;100)),"90 min lite over 100 sq in (stair/exit), ","")&amp;IF(AND($BO244&gt;0,AND($A244&lt;&gt;"",$C244&lt;&gt;"DOOR ONLY"),OR($AF244="",$AF244="-")),"rated: closer reinf.?, ","")&amp;IF(OR($I244="CORRIDOR",$I244="SMOKE BARRIER"),"S label + smoke gasketing, ","")&amp;IF($BP244="?","wall type/hr not in IBC table, ","")&amp;IF(AND(N($BC244)&gt;0,$AU244=""),"no hardware set, ","")&amp;IF(AND($AU244&lt;&gt;"",ISNA(MATCH($AU244,HWSets,0))),"set "&amp;$AU244&amp;" not on Hardware sheet, ","")&amp;IF(N($BE244)&gt;96,"leaf over 8'-0"&amp;CHAR(34)&amp;" - check listing, ",""))</f>
        <v/>
      </c>
    </row>
    <row r="245" ht="15" customHeight="1">
      <c r="A245" s="44" t="n"/>
      <c r="B245" s="45" t="n"/>
      <c r="C245" s="45" t="n"/>
      <c r="D245" s="45" t="n"/>
      <c r="E245" s="45" t="n"/>
      <c r="F245" s="45" t="n"/>
      <c r="G245" s="45" t="n"/>
      <c r="H245" s="45" t="n"/>
      <c r="I245" s="45" t="n"/>
      <c r="J245" s="45" t="n"/>
      <c r="K245" s="45" t="n"/>
      <c r="L245" s="45" t="n"/>
      <c r="M245" s="45" t="n"/>
      <c r="N245" s="45" t="n"/>
      <c r="O245" s="45" t="n"/>
      <c r="P245" s="45" t="n"/>
      <c r="Q245" s="45" t="n"/>
      <c r="R245" s="45" t="n"/>
      <c r="S245" s="46" t="n"/>
      <c r="T245" s="46" t="n"/>
      <c r="U245" s="46" t="n"/>
      <c r="V245" s="46" t="n"/>
      <c r="W245" s="46" t="n"/>
      <c r="X245" s="46" t="n"/>
      <c r="Y245" s="46" t="n"/>
      <c r="Z245" s="46" t="n"/>
      <c r="AA245" s="46" t="n"/>
      <c r="AB245" s="46" t="n"/>
      <c r="AC245" s="46" t="n"/>
      <c r="AD245" s="46" t="n"/>
      <c r="AE245" s="46" t="n"/>
      <c r="AF245" s="46" t="n"/>
      <c r="AG245" s="46" t="n"/>
      <c r="AH245" s="47" t="n"/>
      <c r="AI245" s="47" t="n"/>
      <c r="AJ245" s="47" t="n"/>
      <c r="AK245" s="47" t="n"/>
      <c r="AL245" s="47" t="n"/>
      <c r="AM245" s="47" t="n"/>
      <c r="AN245" s="47" t="n"/>
      <c r="AO245" s="47" t="n"/>
      <c r="AP245" s="47" t="n"/>
      <c r="AQ245" s="47" t="n"/>
      <c r="AR245" s="47" t="n"/>
      <c r="AS245" s="47" t="n"/>
      <c r="AT245" s="47" t="n"/>
      <c r="AU245" s="48" t="n"/>
      <c r="AV245" s="48" t="n"/>
      <c r="AW245" s="49">
        <f>IF($A245="","",IF($BW245&lt;&gt;"","FIX",IF($BX245&lt;&gt;"","CHECK","OK")))</f>
        <v/>
      </c>
      <c r="AX245" s="50">
        <f>IF($A245="","",IF($BW245&lt;&gt;"","FIX: "&amp;LEFT($BW245,LEN($BW245)-2)&amp;IF($BX245&lt;&gt;"","  ·  ",""),"")&amp;IF($BX245&lt;&gt;"","CHECK: "&amp;LEFT($BX245,LEN($BX245)-2),""))</f>
        <v/>
      </c>
      <c r="AY245" s="49">
        <f>IF(OR($A245="",$K245=""),"",$K245&amp;"'-"&amp;N($L245)&amp;CHAR(34)&amp;" x "&amp;$M245&amp;"'-"&amp;N($N245)&amp;CHAR(34))</f>
        <v/>
      </c>
      <c r="AZ245" s="49">
        <f>IF(OR($A245="",$K245=""),"",$K245&amp;N($L245)&amp;$M245&amp;N($N245))</f>
        <v/>
      </c>
      <c r="BA245" s="49">
        <f>IF(OR($A245="",$K245=""),"",$K245*12+N($L245))</f>
        <v/>
      </c>
      <c r="BB245" s="49">
        <f>IF(OR($A245="",$M245=""),"",$M245*12+N($N245))</f>
        <v/>
      </c>
      <c r="BC245" s="49">
        <f>IF($A245="","",IF(OR($C245="FRAME ONLY",$S245="BL"),0,IF($O245="Y",2,1)))</f>
        <v/>
      </c>
      <c r="BD245" s="51">
        <f>IF(OR(N($BC245)=0,$BA245=""),"",($BA245-2*EdgeClr-IF($BC245=2,MeetClr,0))/$BC245)</f>
        <v/>
      </c>
      <c r="BE245" s="51">
        <f>IF(OR(N($BC245)=0,$BB245=""),"",$BB245-HeadClr-Undercut)</f>
        <v/>
      </c>
      <c r="BF245" s="51">
        <f>IF($BA245="","",$BA245+2*FaceW+IF(N($Q245)&gt;0,($Q245+FaceW)*IF($R245="LR",2,1),0))</f>
        <v/>
      </c>
      <c r="BG245" s="51">
        <f>IF($BB245="","",$BB245+IF($AB245="Y",4,FaceW)+IF(N($P245)&gt;0,$P245+FaceW,0)+IF(OR($S245="4F",$S245="BL"),FaceW,0))</f>
        <v/>
      </c>
      <c r="BH245" s="51">
        <f>IF($BF245="","",$BF245+2*ROSide)</f>
        <v/>
      </c>
      <c r="BI245" s="51">
        <f>IF($BG245="","",$BG245+ROTop)</f>
        <v/>
      </c>
      <c r="BJ245" s="52">
        <f>IF(OR(N($BC245)=0,$BA245=""),"",$BA245/$BC245-ClearDeduct)</f>
        <v/>
      </c>
      <c r="BK245" s="49">
        <f>IF(OR(N($BC245)=0,$BE245=""),"",IF(OR($AC245="HGC",$AP245="HGC"),"CONT",IF($BE245&lt;=60,2,IF($BE245&lt;=90,3,IF($BE245&lt;=120,4,5)))))</f>
        <v/>
      </c>
      <c r="BL245" s="49">
        <f>IF(N($BC245)=0,"",IF(OR($AL245="",$AL245="FLUSH"),"FLUSH",IFERROR(LEFT($AL245,FIND("-",$AL245)-1),LEFT($AL245,2))))</f>
        <v/>
      </c>
      <c r="BM245" s="49">
        <f>IF($BL245="","",IFERROR(VALUE(MID($AL245,FIND("-",$AL245)+1,FIND(CHAR(34)&amp;"x",$AL245)-FIND("-",$AL245)-1)),0))</f>
        <v/>
      </c>
      <c r="BN245" s="49">
        <f>IF($BL245="","",IFERROR(VALUE(MID($AL245,FIND(CHAR(34)&amp;"x",$AL245)+2,FIND(CHAR(34),$AL245,FIND(CHAR(34)&amp;"x",$AL245)+2)-FIND(CHAR(34)&amp;"x",$AL245)-2)),0))</f>
        <v/>
      </c>
      <c r="BO245" s="53">
        <f>IF(OR($A245="",$H245="",$H245="NO LAB"),0,IFERROR(VALUE(LEFT($H245,FIND(" ",$H245)-1)),0))</f>
        <v/>
      </c>
      <c r="BP245" s="54">
        <f>IF(OR($A245="",$I245="",$I245="NON-RATED",N($J245)=0),"",IFERROR(VLOOKUP($I245&amp;"|"&amp;$J245,IBC,2,FALSE),"?"))</f>
        <v/>
      </c>
      <c r="BQ245" s="50">
        <f>IF(NOT(AND($A245&lt;&gt;"",$C245&lt;&gt;"DOOR ONLY")),"",TRIM(IFERROR(VLOOKUP($U245,CODES,2,FALSE),"")&amp;" "&amp;$AZ245&amp;" "&amp;IFERROR(VLOOKUP($Z245,CODES,2,FALSE),"")&amp;" "&amp;IFERROR(VLOOKUP($X245,CODES,2,FALSE),"")&amp;" "&amp;IFERROR(VLOOKUP($S245,CODES,2,FALSE),"")&amp;IF(N($P245)&gt;0," w/TRANSOM "&amp;$P245&amp;CHAR(34),"")&amp;IF(N($Q245)&gt;0," w/SIDELITE "&amp;$Q245&amp;CHAR(34)&amp;" "&amp;IF($R245="","R",$R245),"")&amp;IF($Y245="","  |  "," | "&amp;IFERROR(VLOOKUP($Y245,CODES,2,FALSE),"")&amp;" | ")&amp;IFERROR(VLOOKUP($AC245,CODES,2,FALSE),"")&amp;" "&amp;IFERROR(VLOOKUP($AD245,CODES,2,FALSE),"")&amp;IF(OR($AE245="",$AE245="-"),""," "&amp;$AE245)&amp;IF(OR($AF245="",$AF245="-"),""," "&amp;$AF245)&amp;IF($AB245="Y"," 4"&amp;CHAR(34)&amp;" HEAD","")&amp;" "&amp;IFERROR(VLOOKUP($H245,CODES,2,FALSE),"")))</f>
        <v/>
      </c>
      <c r="BR245" s="50">
        <f>IF(NOT(AND($A245&lt;&gt;"",N($BC245)&gt;0)),"",TRIM(IFERROR(VLOOKUP($AH245,CODES,2,FALSE),"")&amp;IF($AI245=""," "," "&amp;$AI245&amp;"GA ")&amp;$AZ245&amp;" "&amp;IF($AN245="",IFERROR(VLOOKUP($Z245,CODES,2,FALSE),""),IFERROR(VLOOKUP($AN245,CODES,2,FALSE),""))&amp;IF($BC245=2," PAIR","")&amp;" DOOR | "&amp;IF($AL245="","?",$AL245)&amp;" | "&amp;IF($AP245="",IFERROR(VLOOKUP($AC245,CODES,2,FALSE),""),IFERROR(VLOOKUP($AP245,CODES,2,FALSE),""))&amp;" "&amp;IFERROR(VLOOKUP($AQ245,CODES,2,FALSE),"")&amp;IF(OR($AR245="",$AR245="-"),""," SEAM "&amp;$AR245)&amp;IF($AS245="Y"," ASTRAGAL","")&amp;IF($AJ245=""," "," "&amp;$AJ245)&amp;IF($AK245=""," "," "&amp;$AK245)&amp;IF($AO245="",""," "&amp;$AO245)&amp;IF($AM245=""," "," SERIES "&amp;$AM245)&amp;" "&amp;IFERROR(VLOOKUP($H245,CODES,2,FALSE),"")))</f>
        <v/>
      </c>
      <c r="BS245" s="49">
        <f>IF(BV245="","",IF(COUNTIF($BV$6:BV245,BV245)=1,MAX($BS$5:BS244)+1,INDEX($BS$5:BS244,MATCH(BV245,$BV$5:BV244,0))))</f>
        <v/>
      </c>
      <c r="BT245" s="49">
        <f>IF(NOT(AND($A245&lt;&gt;"",$C245&lt;&gt;"DOOR ONLY")),"",MAX($BT$5:BT244)+1)</f>
        <v/>
      </c>
      <c r="BU245" s="49">
        <f>IF(NOT(AND($A245&lt;&gt;"",N($BC245)&gt;0)),"",MAX($BU$5:BU244)+1)</f>
        <v/>
      </c>
      <c r="BV245" s="49">
        <f>IF(OR($A245="",$BA245="",$BB245=""),"",$AZ245&amp;"|"&amp;$O245&amp;"|"&amp;$AL245&amp;"|"&amp;$S245&amp;"|"&amp;$P245&amp;"|"&amp;$Q245&amp;$R245&amp;"|"&amp;$C245&amp;"|"&amp;$AB245)</f>
        <v/>
      </c>
      <c r="BW245" s="49">
        <f>IF($A245="","",IF($B245="","qty, ","")&amp;IF($C245="","scope, ","")&amp;IF(OR($K245="",$M245=""),"size, ","")&amp;IF(AND($A245&lt;&gt;"",$C245&lt;&gt;"DOOR ONLY"),IF($U245="","jamb depth, ","")&amp;IF($X245="","construction, ","")&amp;IF($Y245="","anchor, ","")&amp;IF($S245="","frame type, ",""),"")&amp;IF(AND(N($BC245)&gt;0,$Z245=""),"hand, ","")&amp;IF(N($BC245)&gt;0,IF($AH245="","door material, ","")&amp;IF($AL245="","face type, ","")&amp;IF($AQ245="","lock prep, ","")&amp;IF(AND($AP245="",$AC245=""),"hinge prep, ",""),"")&amp;IF(AND($BO245&gt;0,$AH245="FRP"),"FRP cannot carry a label, ","")&amp;IF(AND($O245="Y",OR($Z245="L",$Z245="R",$Z245="LR",$Z245="RR")),"pair marked but hand is single, ","")&amp;IF(AND($O245&lt;&gt;"Y",OR($Z245="PR",AND(LEN($Z245)&gt;1,ISNUMBER(SEARCH("-",$Z245))))),"pair hand on a single door, ","")&amp;IF(AND(ISNUMBER($BP245),$BO245&lt;N($BP245)),"wall needs a "&amp;$BP245&amp;" min door, ","")&amp;IF(AND($BO245&gt;=180,AND(OR($BL245="FG",$BL245="HG",$BL245="FNV",$BL245="FV"),N($BM245)*N($BN245)&gt;100)),"180 min lite over 100 sq in, ","")&amp;IF(N($BD245)&gt;48,"leaf wider than 4'-0"&amp;CHAR(34)&amp;", ",""))</f>
        <v/>
      </c>
      <c r="BX245" s="49">
        <f>IF($A245="","",IF(AND($BO245&gt;0,AND($A245&lt;&gt;"",$C245&lt;&gt;"DOOR ONLY"),$X245="KD",$E245="EXTERIOR"),"KD label on an exterior opening, ","")&amp;IF(AND($E245="EXTERIOR",OR(AND(AND($A245&lt;&gt;"",$C245&lt;&gt;"DOOR ONLY"),$W245="CR"),AND(N($BC245)&gt;0,$AH245="CR"))),"exterior in CR steel (G9?), ","")&amp;IF(AND(ISNUMBER($BJ245),N($BJ245)&lt;32),"clear width ~"&amp;TEXT($BJ245,"0.0")&amp;CHAR(34)&amp;" under 32"&amp;CHAR(34)&amp;" (ADA), ","")&amp;IF(AND($BO245=90,AND(OR($BL245="FG",$BL245="HG",$BL245="FNV",$BL245="FV"),N($BM245)*N($BN245)&gt;100)),"90 min lite over 100 sq in (stair/exit), ","")&amp;IF(AND($BO245&gt;0,AND($A245&lt;&gt;"",$C245&lt;&gt;"DOOR ONLY"),OR($AF245="",$AF245="-")),"rated: closer reinf.?, ","")&amp;IF(OR($I245="CORRIDOR",$I245="SMOKE BARRIER"),"S label + smoke gasketing, ","")&amp;IF($BP245="?","wall type/hr not in IBC table, ","")&amp;IF(AND(N($BC245)&gt;0,$AU245=""),"no hardware set, ","")&amp;IF(AND($AU245&lt;&gt;"",ISNA(MATCH($AU245,HWSets,0))),"set "&amp;$AU245&amp;" not on Hardware sheet, ","")&amp;IF(N($BE245)&gt;96,"leaf over 8'-0"&amp;CHAR(34)&amp;" - check listing, ",""))</f>
        <v/>
      </c>
    </row>
    <row r="246" ht="15" customHeight="1">
      <c r="A246" s="44" t="n"/>
      <c r="B246" s="45" t="n"/>
      <c r="C246" s="45" t="n"/>
      <c r="D246" s="45" t="n"/>
      <c r="E246" s="45" t="n"/>
      <c r="F246" s="45" t="n"/>
      <c r="G246" s="45" t="n"/>
      <c r="H246" s="45" t="n"/>
      <c r="I246" s="45" t="n"/>
      <c r="J246" s="45" t="n"/>
      <c r="K246" s="45" t="n"/>
      <c r="L246" s="45" t="n"/>
      <c r="M246" s="45" t="n"/>
      <c r="N246" s="45" t="n"/>
      <c r="O246" s="45" t="n"/>
      <c r="P246" s="45" t="n"/>
      <c r="Q246" s="45" t="n"/>
      <c r="R246" s="45" t="n"/>
      <c r="S246" s="46" t="n"/>
      <c r="T246" s="46" t="n"/>
      <c r="U246" s="46" t="n"/>
      <c r="V246" s="46" t="n"/>
      <c r="W246" s="46" t="n"/>
      <c r="X246" s="46" t="n"/>
      <c r="Y246" s="46" t="n"/>
      <c r="Z246" s="46" t="n"/>
      <c r="AA246" s="46" t="n"/>
      <c r="AB246" s="46" t="n"/>
      <c r="AC246" s="46" t="n"/>
      <c r="AD246" s="46" t="n"/>
      <c r="AE246" s="46" t="n"/>
      <c r="AF246" s="46" t="n"/>
      <c r="AG246" s="46" t="n"/>
      <c r="AH246" s="47" t="n"/>
      <c r="AI246" s="47" t="n"/>
      <c r="AJ246" s="47" t="n"/>
      <c r="AK246" s="47" t="n"/>
      <c r="AL246" s="47" t="n"/>
      <c r="AM246" s="47" t="n"/>
      <c r="AN246" s="47" t="n"/>
      <c r="AO246" s="47" t="n"/>
      <c r="AP246" s="47" t="n"/>
      <c r="AQ246" s="47" t="n"/>
      <c r="AR246" s="47" t="n"/>
      <c r="AS246" s="47" t="n"/>
      <c r="AT246" s="47" t="n"/>
      <c r="AU246" s="48" t="n"/>
      <c r="AV246" s="48" t="n"/>
      <c r="AW246" s="49">
        <f>IF($A246="","",IF($BW246&lt;&gt;"","FIX",IF($BX246&lt;&gt;"","CHECK","OK")))</f>
        <v/>
      </c>
      <c r="AX246" s="50">
        <f>IF($A246="","",IF($BW246&lt;&gt;"","FIX: "&amp;LEFT($BW246,LEN($BW246)-2)&amp;IF($BX246&lt;&gt;"","  ·  ",""),"")&amp;IF($BX246&lt;&gt;"","CHECK: "&amp;LEFT($BX246,LEN($BX246)-2),""))</f>
        <v/>
      </c>
      <c r="AY246" s="49">
        <f>IF(OR($A246="",$K246=""),"",$K246&amp;"'-"&amp;N($L246)&amp;CHAR(34)&amp;" x "&amp;$M246&amp;"'-"&amp;N($N246)&amp;CHAR(34))</f>
        <v/>
      </c>
      <c r="AZ246" s="49">
        <f>IF(OR($A246="",$K246=""),"",$K246&amp;N($L246)&amp;$M246&amp;N($N246))</f>
        <v/>
      </c>
      <c r="BA246" s="49">
        <f>IF(OR($A246="",$K246=""),"",$K246*12+N($L246))</f>
        <v/>
      </c>
      <c r="BB246" s="49">
        <f>IF(OR($A246="",$M246=""),"",$M246*12+N($N246))</f>
        <v/>
      </c>
      <c r="BC246" s="49">
        <f>IF($A246="","",IF(OR($C246="FRAME ONLY",$S246="BL"),0,IF($O246="Y",2,1)))</f>
        <v/>
      </c>
      <c r="BD246" s="51">
        <f>IF(OR(N($BC246)=0,$BA246=""),"",($BA246-2*EdgeClr-IF($BC246=2,MeetClr,0))/$BC246)</f>
        <v/>
      </c>
      <c r="BE246" s="51">
        <f>IF(OR(N($BC246)=0,$BB246=""),"",$BB246-HeadClr-Undercut)</f>
        <v/>
      </c>
      <c r="BF246" s="51">
        <f>IF($BA246="","",$BA246+2*FaceW+IF(N($Q246)&gt;0,($Q246+FaceW)*IF($R246="LR",2,1),0))</f>
        <v/>
      </c>
      <c r="BG246" s="51">
        <f>IF($BB246="","",$BB246+IF($AB246="Y",4,FaceW)+IF(N($P246)&gt;0,$P246+FaceW,0)+IF(OR($S246="4F",$S246="BL"),FaceW,0))</f>
        <v/>
      </c>
      <c r="BH246" s="51">
        <f>IF($BF246="","",$BF246+2*ROSide)</f>
        <v/>
      </c>
      <c r="BI246" s="51">
        <f>IF($BG246="","",$BG246+ROTop)</f>
        <v/>
      </c>
      <c r="BJ246" s="52">
        <f>IF(OR(N($BC246)=0,$BA246=""),"",$BA246/$BC246-ClearDeduct)</f>
        <v/>
      </c>
      <c r="BK246" s="49">
        <f>IF(OR(N($BC246)=0,$BE246=""),"",IF(OR($AC246="HGC",$AP246="HGC"),"CONT",IF($BE246&lt;=60,2,IF($BE246&lt;=90,3,IF($BE246&lt;=120,4,5)))))</f>
        <v/>
      </c>
      <c r="BL246" s="49">
        <f>IF(N($BC246)=0,"",IF(OR($AL246="",$AL246="FLUSH"),"FLUSH",IFERROR(LEFT($AL246,FIND("-",$AL246)-1),LEFT($AL246,2))))</f>
        <v/>
      </c>
      <c r="BM246" s="49">
        <f>IF($BL246="","",IFERROR(VALUE(MID($AL246,FIND("-",$AL246)+1,FIND(CHAR(34)&amp;"x",$AL246)-FIND("-",$AL246)-1)),0))</f>
        <v/>
      </c>
      <c r="BN246" s="49">
        <f>IF($BL246="","",IFERROR(VALUE(MID($AL246,FIND(CHAR(34)&amp;"x",$AL246)+2,FIND(CHAR(34),$AL246,FIND(CHAR(34)&amp;"x",$AL246)+2)-FIND(CHAR(34)&amp;"x",$AL246)-2)),0))</f>
        <v/>
      </c>
      <c r="BO246" s="53">
        <f>IF(OR($A246="",$H246="",$H246="NO LAB"),0,IFERROR(VALUE(LEFT($H246,FIND(" ",$H246)-1)),0))</f>
        <v/>
      </c>
      <c r="BP246" s="54">
        <f>IF(OR($A246="",$I246="",$I246="NON-RATED",N($J246)=0),"",IFERROR(VLOOKUP($I246&amp;"|"&amp;$J246,IBC,2,FALSE),"?"))</f>
        <v/>
      </c>
      <c r="BQ246" s="50">
        <f>IF(NOT(AND($A246&lt;&gt;"",$C246&lt;&gt;"DOOR ONLY")),"",TRIM(IFERROR(VLOOKUP($U246,CODES,2,FALSE),"")&amp;" "&amp;$AZ246&amp;" "&amp;IFERROR(VLOOKUP($Z246,CODES,2,FALSE),"")&amp;" "&amp;IFERROR(VLOOKUP($X246,CODES,2,FALSE),"")&amp;" "&amp;IFERROR(VLOOKUP($S246,CODES,2,FALSE),"")&amp;IF(N($P246)&gt;0," w/TRANSOM "&amp;$P246&amp;CHAR(34),"")&amp;IF(N($Q246)&gt;0," w/SIDELITE "&amp;$Q246&amp;CHAR(34)&amp;" "&amp;IF($R246="","R",$R246),"")&amp;IF($Y246="","  |  "," | "&amp;IFERROR(VLOOKUP($Y246,CODES,2,FALSE),"")&amp;" | ")&amp;IFERROR(VLOOKUP($AC246,CODES,2,FALSE),"")&amp;" "&amp;IFERROR(VLOOKUP($AD246,CODES,2,FALSE),"")&amp;IF(OR($AE246="",$AE246="-"),""," "&amp;$AE246)&amp;IF(OR($AF246="",$AF246="-"),""," "&amp;$AF246)&amp;IF($AB246="Y"," 4"&amp;CHAR(34)&amp;" HEAD","")&amp;" "&amp;IFERROR(VLOOKUP($H246,CODES,2,FALSE),"")))</f>
        <v/>
      </c>
      <c r="BR246" s="50">
        <f>IF(NOT(AND($A246&lt;&gt;"",N($BC246)&gt;0)),"",TRIM(IFERROR(VLOOKUP($AH246,CODES,2,FALSE),"")&amp;IF($AI246=""," "," "&amp;$AI246&amp;"GA ")&amp;$AZ246&amp;" "&amp;IF($AN246="",IFERROR(VLOOKUP($Z246,CODES,2,FALSE),""),IFERROR(VLOOKUP($AN246,CODES,2,FALSE),""))&amp;IF($BC246=2," PAIR","")&amp;" DOOR | "&amp;IF($AL246="","?",$AL246)&amp;" | "&amp;IF($AP246="",IFERROR(VLOOKUP($AC246,CODES,2,FALSE),""),IFERROR(VLOOKUP($AP246,CODES,2,FALSE),""))&amp;" "&amp;IFERROR(VLOOKUP($AQ246,CODES,2,FALSE),"")&amp;IF(OR($AR246="",$AR246="-"),""," SEAM "&amp;$AR246)&amp;IF($AS246="Y"," ASTRAGAL","")&amp;IF($AJ246=""," "," "&amp;$AJ246)&amp;IF($AK246=""," "," "&amp;$AK246)&amp;IF($AO246="",""," "&amp;$AO246)&amp;IF($AM246=""," "," SERIES "&amp;$AM246)&amp;" "&amp;IFERROR(VLOOKUP($H246,CODES,2,FALSE),"")))</f>
        <v/>
      </c>
      <c r="BS246" s="49">
        <f>IF(BV246="","",IF(COUNTIF($BV$6:BV246,BV246)=1,MAX($BS$5:BS245)+1,INDEX($BS$5:BS245,MATCH(BV246,$BV$5:BV245,0))))</f>
        <v/>
      </c>
      <c r="BT246" s="49">
        <f>IF(NOT(AND($A246&lt;&gt;"",$C246&lt;&gt;"DOOR ONLY")),"",MAX($BT$5:BT245)+1)</f>
        <v/>
      </c>
      <c r="BU246" s="49">
        <f>IF(NOT(AND($A246&lt;&gt;"",N($BC246)&gt;0)),"",MAX($BU$5:BU245)+1)</f>
        <v/>
      </c>
      <c r="BV246" s="49">
        <f>IF(OR($A246="",$BA246="",$BB246=""),"",$AZ246&amp;"|"&amp;$O246&amp;"|"&amp;$AL246&amp;"|"&amp;$S246&amp;"|"&amp;$P246&amp;"|"&amp;$Q246&amp;$R246&amp;"|"&amp;$C246&amp;"|"&amp;$AB246)</f>
        <v/>
      </c>
      <c r="BW246" s="49">
        <f>IF($A246="","",IF($B246="","qty, ","")&amp;IF($C246="","scope, ","")&amp;IF(OR($K246="",$M246=""),"size, ","")&amp;IF(AND($A246&lt;&gt;"",$C246&lt;&gt;"DOOR ONLY"),IF($U246="","jamb depth, ","")&amp;IF($X246="","construction, ","")&amp;IF($Y246="","anchor, ","")&amp;IF($S246="","frame type, ",""),"")&amp;IF(AND(N($BC246)&gt;0,$Z246=""),"hand, ","")&amp;IF(N($BC246)&gt;0,IF($AH246="","door material, ","")&amp;IF($AL246="","face type, ","")&amp;IF($AQ246="","lock prep, ","")&amp;IF(AND($AP246="",$AC246=""),"hinge prep, ",""),"")&amp;IF(AND($BO246&gt;0,$AH246="FRP"),"FRP cannot carry a label, ","")&amp;IF(AND($O246="Y",OR($Z246="L",$Z246="R",$Z246="LR",$Z246="RR")),"pair marked but hand is single, ","")&amp;IF(AND($O246&lt;&gt;"Y",OR($Z246="PR",AND(LEN($Z246)&gt;1,ISNUMBER(SEARCH("-",$Z246))))),"pair hand on a single door, ","")&amp;IF(AND(ISNUMBER($BP246),$BO246&lt;N($BP246)),"wall needs a "&amp;$BP246&amp;" min door, ","")&amp;IF(AND($BO246&gt;=180,AND(OR($BL246="FG",$BL246="HG",$BL246="FNV",$BL246="FV"),N($BM246)*N($BN246)&gt;100)),"180 min lite over 100 sq in, ","")&amp;IF(N($BD246)&gt;48,"leaf wider than 4'-0"&amp;CHAR(34)&amp;", ",""))</f>
        <v/>
      </c>
      <c r="BX246" s="49">
        <f>IF($A246="","",IF(AND($BO246&gt;0,AND($A246&lt;&gt;"",$C246&lt;&gt;"DOOR ONLY"),$X246="KD",$E246="EXTERIOR"),"KD label on an exterior opening, ","")&amp;IF(AND($E246="EXTERIOR",OR(AND(AND($A246&lt;&gt;"",$C246&lt;&gt;"DOOR ONLY"),$W246="CR"),AND(N($BC246)&gt;0,$AH246="CR"))),"exterior in CR steel (G9?), ","")&amp;IF(AND(ISNUMBER($BJ246),N($BJ246)&lt;32),"clear width ~"&amp;TEXT($BJ246,"0.0")&amp;CHAR(34)&amp;" under 32"&amp;CHAR(34)&amp;" (ADA), ","")&amp;IF(AND($BO246=90,AND(OR($BL246="FG",$BL246="HG",$BL246="FNV",$BL246="FV"),N($BM246)*N($BN246)&gt;100)),"90 min lite over 100 sq in (stair/exit), ","")&amp;IF(AND($BO246&gt;0,AND($A246&lt;&gt;"",$C246&lt;&gt;"DOOR ONLY"),OR($AF246="",$AF246="-")),"rated: closer reinf.?, ","")&amp;IF(OR($I246="CORRIDOR",$I246="SMOKE BARRIER"),"S label + smoke gasketing, ","")&amp;IF($BP246="?","wall type/hr not in IBC table, ","")&amp;IF(AND(N($BC246)&gt;0,$AU246=""),"no hardware set, ","")&amp;IF(AND($AU246&lt;&gt;"",ISNA(MATCH($AU246,HWSets,0))),"set "&amp;$AU246&amp;" not on Hardware sheet, ","")&amp;IF(N($BE246)&gt;96,"leaf over 8'-0"&amp;CHAR(34)&amp;" - check listing, ",""))</f>
        <v/>
      </c>
    </row>
    <row r="247" ht="15" customHeight="1">
      <c r="A247" s="44" t="n"/>
      <c r="B247" s="45" t="n"/>
      <c r="C247" s="45" t="n"/>
      <c r="D247" s="45" t="n"/>
      <c r="E247" s="45" t="n"/>
      <c r="F247" s="45" t="n"/>
      <c r="G247" s="45" t="n"/>
      <c r="H247" s="45" t="n"/>
      <c r="I247" s="45" t="n"/>
      <c r="J247" s="45" t="n"/>
      <c r="K247" s="45" t="n"/>
      <c r="L247" s="45" t="n"/>
      <c r="M247" s="45" t="n"/>
      <c r="N247" s="45" t="n"/>
      <c r="O247" s="45" t="n"/>
      <c r="P247" s="45" t="n"/>
      <c r="Q247" s="45" t="n"/>
      <c r="R247" s="45" t="n"/>
      <c r="S247" s="46" t="n"/>
      <c r="T247" s="46" t="n"/>
      <c r="U247" s="46" t="n"/>
      <c r="V247" s="46" t="n"/>
      <c r="W247" s="46" t="n"/>
      <c r="X247" s="46" t="n"/>
      <c r="Y247" s="46" t="n"/>
      <c r="Z247" s="46" t="n"/>
      <c r="AA247" s="46" t="n"/>
      <c r="AB247" s="46" t="n"/>
      <c r="AC247" s="46" t="n"/>
      <c r="AD247" s="46" t="n"/>
      <c r="AE247" s="46" t="n"/>
      <c r="AF247" s="46" t="n"/>
      <c r="AG247" s="46" t="n"/>
      <c r="AH247" s="47" t="n"/>
      <c r="AI247" s="47" t="n"/>
      <c r="AJ247" s="47" t="n"/>
      <c r="AK247" s="47" t="n"/>
      <c r="AL247" s="47" t="n"/>
      <c r="AM247" s="47" t="n"/>
      <c r="AN247" s="47" t="n"/>
      <c r="AO247" s="47" t="n"/>
      <c r="AP247" s="47" t="n"/>
      <c r="AQ247" s="47" t="n"/>
      <c r="AR247" s="47" t="n"/>
      <c r="AS247" s="47" t="n"/>
      <c r="AT247" s="47" t="n"/>
      <c r="AU247" s="48" t="n"/>
      <c r="AV247" s="48" t="n"/>
      <c r="AW247" s="49">
        <f>IF($A247="","",IF($BW247&lt;&gt;"","FIX",IF($BX247&lt;&gt;"","CHECK","OK")))</f>
        <v/>
      </c>
      <c r="AX247" s="50">
        <f>IF($A247="","",IF($BW247&lt;&gt;"","FIX: "&amp;LEFT($BW247,LEN($BW247)-2)&amp;IF($BX247&lt;&gt;"","  ·  ",""),"")&amp;IF($BX247&lt;&gt;"","CHECK: "&amp;LEFT($BX247,LEN($BX247)-2),""))</f>
        <v/>
      </c>
      <c r="AY247" s="49">
        <f>IF(OR($A247="",$K247=""),"",$K247&amp;"'-"&amp;N($L247)&amp;CHAR(34)&amp;" x "&amp;$M247&amp;"'-"&amp;N($N247)&amp;CHAR(34))</f>
        <v/>
      </c>
      <c r="AZ247" s="49">
        <f>IF(OR($A247="",$K247=""),"",$K247&amp;N($L247)&amp;$M247&amp;N($N247))</f>
        <v/>
      </c>
      <c r="BA247" s="49">
        <f>IF(OR($A247="",$K247=""),"",$K247*12+N($L247))</f>
        <v/>
      </c>
      <c r="BB247" s="49">
        <f>IF(OR($A247="",$M247=""),"",$M247*12+N($N247))</f>
        <v/>
      </c>
      <c r="BC247" s="49">
        <f>IF($A247="","",IF(OR($C247="FRAME ONLY",$S247="BL"),0,IF($O247="Y",2,1)))</f>
        <v/>
      </c>
      <c r="BD247" s="51">
        <f>IF(OR(N($BC247)=0,$BA247=""),"",($BA247-2*EdgeClr-IF($BC247=2,MeetClr,0))/$BC247)</f>
        <v/>
      </c>
      <c r="BE247" s="51">
        <f>IF(OR(N($BC247)=0,$BB247=""),"",$BB247-HeadClr-Undercut)</f>
        <v/>
      </c>
      <c r="BF247" s="51">
        <f>IF($BA247="","",$BA247+2*FaceW+IF(N($Q247)&gt;0,($Q247+FaceW)*IF($R247="LR",2,1),0))</f>
        <v/>
      </c>
      <c r="BG247" s="51">
        <f>IF($BB247="","",$BB247+IF($AB247="Y",4,FaceW)+IF(N($P247)&gt;0,$P247+FaceW,0)+IF(OR($S247="4F",$S247="BL"),FaceW,0))</f>
        <v/>
      </c>
      <c r="BH247" s="51">
        <f>IF($BF247="","",$BF247+2*ROSide)</f>
        <v/>
      </c>
      <c r="BI247" s="51">
        <f>IF($BG247="","",$BG247+ROTop)</f>
        <v/>
      </c>
      <c r="BJ247" s="52">
        <f>IF(OR(N($BC247)=0,$BA247=""),"",$BA247/$BC247-ClearDeduct)</f>
        <v/>
      </c>
      <c r="BK247" s="49">
        <f>IF(OR(N($BC247)=0,$BE247=""),"",IF(OR($AC247="HGC",$AP247="HGC"),"CONT",IF($BE247&lt;=60,2,IF($BE247&lt;=90,3,IF($BE247&lt;=120,4,5)))))</f>
        <v/>
      </c>
      <c r="BL247" s="49">
        <f>IF(N($BC247)=0,"",IF(OR($AL247="",$AL247="FLUSH"),"FLUSH",IFERROR(LEFT($AL247,FIND("-",$AL247)-1),LEFT($AL247,2))))</f>
        <v/>
      </c>
      <c r="BM247" s="49">
        <f>IF($BL247="","",IFERROR(VALUE(MID($AL247,FIND("-",$AL247)+1,FIND(CHAR(34)&amp;"x",$AL247)-FIND("-",$AL247)-1)),0))</f>
        <v/>
      </c>
      <c r="BN247" s="49">
        <f>IF($BL247="","",IFERROR(VALUE(MID($AL247,FIND(CHAR(34)&amp;"x",$AL247)+2,FIND(CHAR(34),$AL247,FIND(CHAR(34)&amp;"x",$AL247)+2)-FIND(CHAR(34)&amp;"x",$AL247)-2)),0))</f>
        <v/>
      </c>
      <c r="BO247" s="53">
        <f>IF(OR($A247="",$H247="",$H247="NO LAB"),0,IFERROR(VALUE(LEFT($H247,FIND(" ",$H247)-1)),0))</f>
        <v/>
      </c>
      <c r="BP247" s="54">
        <f>IF(OR($A247="",$I247="",$I247="NON-RATED",N($J247)=0),"",IFERROR(VLOOKUP($I247&amp;"|"&amp;$J247,IBC,2,FALSE),"?"))</f>
        <v/>
      </c>
      <c r="BQ247" s="50">
        <f>IF(NOT(AND($A247&lt;&gt;"",$C247&lt;&gt;"DOOR ONLY")),"",TRIM(IFERROR(VLOOKUP($U247,CODES,2,FALSE),"")&amp;" "&amp;$AZ247&amp;" "&amp;IFERROR(VLOOKUP($Z247,CODES,2,FALSE),"")&amp;" "&amp;IFERROR(VLOOKUP($X247,CODES,2,FALSE),"")&amp;" "&amp;IFERROR(VLOOKUP($S247,CODES,2,FALSE),"")&amp;IF(N($P247)&gt;0," w/TRANSOM "&amp;$P247&amp;CHAR(34),"")&amp;IF(N($Q247)&gt;0," w/SIDELITE "&amp;$Q247&amp;CHAR(34)&amp;" "&amp;IF($R247="","R",$R247),"")&amp;IF($Y247="","  |  "," | "&amp;IFERROR(VLOOKUP($Y247,CODES,2,FALSE),"")&amp;" | ")&amp;IFERROR(VLOOKUP($AC247,CODES,2,FALSE),"")&amp;" "&amp;IFERROR(VLOOKUP($AD247,CODES,2,FALSE),"")&amp;IF(OR($AE247="",$AE247="-"),""," "&amp;$AE247)&amp;IF(OR($AF247="",$AF247="-"),""," "&amp;$AF247)&amp;IF($AB247="Y"," 4"&amp;CHAR(34)&amp;" HEAD","")&amp;" "&amp;IFERROR(VLOOKUP($H247,CODES,2,FALSE),"")))</f>
        <v/>
      </c>
      <c r="BR247" s="50">
        <f>IF(NOT(AND($A247&lt;&gt;"",N($BC247)&gt;0)),"",TRIM(IFERROR(VLOOKUP($AH247,CODES,2,FALSE),"")&amp;IF($AI247=""," "," "&amp;$AI247&amp;"GA ")&amp;$AZ247&amp;" "&amp;IF($AN247="",IFERROR(VLOOKUP($Z247,CODES,2,FALSE),""),IFERROR(VLOOKUP($AN247,CODES,2,FALSE),""))&amp;IF($BC247=2," PAIR","")&amp;" DOOR | "&amp;IF($AL247="","?",$AL247)&amp;" | "&amp;IF($AP247="",IFERROR(VLOOKUP($AC247,CODES,2,FALSE),""),IFERROR(VLOOKUP($AP247,CODES,2,FALSE),""))&amp;" "&amp;IFERROR(VLOOKUP($AQ247,CODES,2,FALSE),"")&amp;IF(OR($AR247="",$AR247="-"),""," SEAM "&amp;$AR247)&amp;IF($AS247="Y"," ASTRAGAL","")&amp;IF($AJ247=""," "," "&amp;$AJ247)&amp;IF($AK247=""," "," "&amp;$AK247)&amp;IF($AO247="",""," "&amp;$AO247)&amp;IF($AM247=""," "," SERIES "&amp;$AM247)&amp;" "&amp;IFERROR(VLOOKUP($H247,CODES,2,FALSE),"")))</f>
        <v/>
      </c>
      <c r="BS247" s="49">
        <f>IF(BV247="","",IF(COUNTIF($BV$6:BV247,BV247)=1,MAX($BS$5:BS246)+1,INDEX($BS$5:BS246,MATCH(BV247,$BV$5:BV246,0))))</f>
        <v/>
      </c>
      <c r="BT247" s="49">
        <f>IF(NOT(AND($A247&lt;&gt;"",$C247&lt;&gt;"DOOR ONLY")),"",MAX($BT$5:BT246)+1)</f>
        <v/>
      </c>
      <c r="BU247" s="49">
        <f>IF(NOT(AND($A247&lt;&gt;"",N($BC247)&gt;0)),"",MAX($BU$5:BU246)+1)</f>
        <v/>
      </c>
      <c r="BV247" s="49">
        <f>IF(OR($A247="",$BA247="",$BB247=""),"",$AZ247&amp;"|"&amp;$O247&amp;"|"&amp;$AL247&amp;"|"&amp;$S247&amp;"|"&amp;$P247&amp;"|"&amp;$Q247&amp;$R247&amp;"|"&amp;$C247&amp;"|"&amp;$AB247)</f>
        <v/>
      </c>
      <c r="BW247" s="49">
        <f>IF($A247="","",IF($B247="","qty, ","")&amp;IF($C247="","scope, ","")&amp;IF(OR($K247="",$M247=""),"size, ","")&amp;IF(AND($A247&lt;&gt;"",$C247&lt;&gt;"DOOR ONLY"),IF($U247="","jamb depth, ","")&amp;IF($X247="","construction, ","")&amp;IF($Y247="","anchor, ","")&amp;IF($S247="","frame type, ",""),"")&amp;IF(AND(N($BC247)&gt;0,$Z247=""),"hand, ","")&amp;IF(N($BC247)&gt;0,IF($AH247="","door material, ","")&amp;IF($AL247="","face type, ","")&amp;IF($AQ247="","lock prep, ","")&amp;IF(AND($AP247="",$AC247=""),"hinge prep, ",""),"")&amp;IF(AND($BO247&gt;0,$AH247="FRP"),"FRP cannot carry a label, ","")&amp;IF(AND($O247="Y",OR($Z247="L",$Z247="R",$Z247="LR",$Z247="RR")),"pair marked but hand is single, ","")&amp;IF(AND($O247&lt;&gt;"Y",OR($Z247="PR",AND(LEN($Z247)&gt;1,ISNUMBER(SEARCH("-",$Z247))))),"pair hand on a single door, ","")&amp;IF(AND(ISNUMBER($BP247),$BO247&lt;N($BP247)),"wall needs a "&amp;$BP247&amp;" min door, ","")&amp;IF(AND($BO247&gt;=180,AND(OR($BL247="FG",$BL247="HG",$BL247="FNV",$BL247="FV"),N($BM247)*N($BN247)&gt;100)),"180 min lite over 100 sq in, ","")&amp;IF(N($BD247)&gt;48,"leaf wider than 4'-0"&amp;CHAR(34)&amp;", ",""))</f>
        <v/>
      </c>
      <c r="BX247" s="49">
        <f>IF($A247="","",IF(AND($BO247&gt;0,AND($A247&lt;&gt;"",$C247&lt;&gt;"DOOR ONLY"),$X247="KD",$E247="EXTERIOR"),"KD label on an exterior opening, ","")&amp;IF(AND($E247="EXTERIOR",OR(AND(AND($A247&lt;&gt;"",$C247&lt;&gt;"DOOR ONLY"),$W247="CR"),AND(N($BC247)&gt;0,$AH247="CR"))),"exterior in CR steel (G9?), ","")&amp;IF(AND(ISNUMBER($BJ247),N($BJ247)&lt;32),"clear width ~"&amp;TEXT($BJ247,"0.0")&amp;CHAR(34)&amp;" under 32"&amp;CHAR(34)&amp;" (ADA), ","")&amp;IF(AND($BO247=90,AND(OR($BL247="FG",$BL247="HG",$BL247="FNV",$BL247="FV"),N($BM247)*N($BN247)&gt;100)),"90 min lite over 100 sq in (stair/exit), ","")&amp;IF(AND($BO247&gt;0,AND($A247&lt;&gt;"",$C247&lt;&gt;"DOOR ONLY"),OR($AF247="",$AF247="-")),"rated: closer reinf.?, ","")&amp;IF(OR($I247="CORRIDOR",$I247="SMOKE BARRIER"),"S label + smoke gasketing, ","")&amp;IF($BP247="?","wall type/hr not in IBC table, ","")&amp;IF(AND(N($BC247)&gt;0,$AU247=""),"no hardware set, ","")&amp;IF(AND($AU247&lt;&gt;"",ISNA(MATCH($AU247,HWSets,0))),"set "&amp;$AU247&amp;" not on Hardware sheet, ","")&amp;IF(N($BE247)&gt;96,"leaf over 8'-0"&amp;CHAR(34)&amp;" - check listing, ",""))</f>
        <v/>
      </c>
    </row>
    <row r="248" ht="15" customHeight="1">
      <c r="A248" s="44" t="n"/>
      <c r="B248" s="45" t="n"/>
      <c r="C248" s="45" t="n"/>
      <c r="D248" s="45" t="n"/>
      <c r="E248" s="45" t="n"/>
      <c r="F248" s="45" t="n"/>
      <c r="G248" s="45" t="n"/>
      <c r="H248" s="45" t="n"/>
      <c r="I248" s="45" t="n"/>
      <c r="J248" s="45" t="n"/>
      <c r="K248" s="45" t="n"/>
      <c r="L248" s="45" t="n"/>
      <c r="M248" s="45" t="n"/>
      <c r="N248" s="45" t="n"/>
      <c r="O248" s="45" t="n"/>
      <c r="P248" s="45" t="n"/>
      <c r="Q248" s="45" t="n"/>
      <c r="R248" s="45" t="n"/>
      <c r="S248" s="46" t="n"/>
      <c r="T248" s="46" t="n"/>
      <c r="U248" s="46" t="n"/>
      <c r="V248" s="46" t="n"/>
      <c r="W248" s="46" t="n"/>
      <c r="X248" s="46" t="n"/>
      <c r="Y248" s="46" t="n"/>
      <c r="Z248" s="46" t="n"/>
      <c r="AA248" s="46" t="n"/>
      <c r="AB248" s="46" t="n"/>
      <c r="AC248" s="46" t="n"/>
      <c r="AD248" s="46" t="n"/>
      <c r="AE248" s="46" t="n"/>
      <c r="AF248" s="46" t="n"/>
      <c r="AG248" s="46" t="n"/>
      <c r="AH248" s="47" t="n"/>
      <c r="AI248" s="47" t="n"/>
      <c r="AJ248" s="47" t="n"/>
      <c r="AK248" s="47" t="n"/>
      <c r="AL248" s="47" t="n"/>
      <c r="AM248" s="47" t="n"/>
      <c r="AN248" s="47" t="n"/>
      <c r="AO248" s="47" t="n"/>
      <c r="AP248" s="47" t="n"/>
      <c r="AQ248" s="47" t="n"/>
      <c r="AR248" s="47" t="n"/>
      <c r="AS248" s="47" t="n"/>
      <c r="AT248" s="47" t="n"/>
      <c r="AU248" s="48" t="n"/>
      <c r="AV248" s="48" t="n"/>
      <c r="AW248" s="49">
        <f>IF($A248="","",IF($BW248&lt;&gt;"","FIX",IF($BX248&lt;&gt;"","CHECK","OK")))</f>
        <v/>
      </c>
      <c r="AX248" s="50">
        <f>IF($A248="","",IF($BW248&lt;&gt;"","FIX: "&amp;LEFT($BW248,LEN($BW248)-2)&amp;IF($BX248&lt;&gt;"","  ·  ",""),"")&amp;IF($BX248&lt;&gt;"","CHECK: "&amp;LEFT($BX248,LEN($BX248)-2),""))</f>
        <v/>
      </c>
      <c r="AY248" s="49">
        <f>IF(OR($A248="",$K248=""),"",$K248&amp;"'-"&amp;N($L248)&amp;CHAR(34)&amp;" x "&amp;$M248&amp;"'-"&amp;N($N248)&amp;CHAR(34))</f>
        <v/>
      </c>
      <c r="AZ248" s="49">
        <f>IF(OR($A248="",$K248=""),"",$K248&amp;N($L248)&amp;$M248&amp;N($N248))</f>
        <v/>
      </c>
      <c r="BA248" s="49">
        <f>IF(OR($A248="",$K248=""),"",$K248*12+N($L248))</f>
        <v/>
      </c>
      <c r="BB248" s="49">
        <f>IF(OR($A248="",$M248=""),"",$M248*12+N($N248))</f>
        <v/>
      </c>
      <c r="BC248" s="49">
        <f>IF($A248="","",IF(OR($C248="FRAME ONLY",$S248="BL"),0,IF($O248="Y",2,1)))</f>
        <v/>
      </c>
      <c r="BD248" s="51">
        <f>IF(OR(N($BC248)=0,$BA248=""),"",($BA248-2*EdgeClr-IF($BC248=2,MeetClr,0))/$BC248)</f>
        <v/>
      </c>
      <c r="BE248" s="51">
        <f>IF(OR(N($BC248)=0,$BB248=""),"",$BB248-HeadClr-Undercut)</f>
        <v/>
      </c>
      <c r="BF248" s="51">
        <f>IF($BA248="","",$BA248+2*FaceW+IF(N($Q248)&gt;0,($Q248+FaceW)*IF($R248="LR",2,1),0))</f>
        <v/>
      </c>
      <c r="BG248" s="51">
        <f>IF($BB248="","",$BB248+IF($AB248="Y",4,FaceW)+IF(N($P248)&gt;0,$P248+FaceW,0)+IF(OR($S248="4F",$S248="BL"),FaceW,0))</f>
        <v/>
      </c>
      <c r="BH248" s="51">
        <f>IF($BF248="","",$BF248+2*ROSide)</f>
        <v/>
      </c>
      <c r="BI248" s="51">
        <f>IF($BG248="","",$BG248+ROTop)</f>
        <v/>
      </c>
      <c r="BJ248" s="52">
        <f>IF(OR(N($BC248)=0,$BA248=""),"",$BA248/$BC248-ClearDeduct)</f>
        <v/>
      </c>
      <c r="BK248" s="49">
        <f>IF(OR(N($BC248)=0,$BE248=""),"",IF(OR($AC248="HGC",$AP248="HGC"),"CONT",IF($BE248&lt;=60,2,IF($BE248&lt;=90,3,IF($BE248&lt;=120,4,5)))))</f>
        <v/>
      </c>
      <c r="BL248" s="49">
        <f>IF(N($BC248)=0,"",IF(OR($AL248="",$AL248="FLUSH"),"FLUSH",IFERROR(LEFT($AL248,FIND("-",$AL248)-1),LEFT($AL248,2))))</f>
        <v/>
      </c>
      <c r="BM248" s="49">
        <f>IF($BL248="","",IFERROR(VALUE(MID($AL248,FIND("-",$AL248)+1,FIND(CHAR(34)&amp;"x",$AL248)-FIND("-",$AL248)-1)),0))</f>
        <v/>
      </c>
      <c r="BN248" s="49">
        <f>IF($BL248="","",IFERROR(VALUE(MID($AL248,FIND(CHAR(34)&amp;"x",$AL248)+2,FIND(CHAR(34),$AL248,FIND(CHAR(34)&amp;"x",$AL248)+2)-FIND(CHAR(34)&amp;"x",$AL248)-2)),0))</f>
        <v/>
      </c>
      <c r="BO248" s="53">
        <f>IF(OR($A248="",$H248="",$H248="NO LAB"),0,IFERROR(VALUE(LEFT($H248,FIND(" ",$H248)-1)),0))</f>
        <v/>
      </c>
      <c r="BP248" s="54">
        <f>IF(OR($A248="",$I248="",$I248="NON-RATED",N($J248)=0),"",IFERROR(VLOOKUP($I248&amp;"|"&amp;$J248,IBC,2,FALSE),"?"))</f>
        <v/>
      </c>
      <c r="BQ248" s="50">
        <f>IF(NOT(AND($A248&lt;&gt;"",$C248&lt;&gt;"DOOR ONLY")),"",TRIM(IFERROR(VLOOKUP($U248,CODES,2,FALSE),"")&amp;" "&amp;$AZ248&amp;" "&amp;IFERROR(VLOOKUP($Z248,CODES,2,FALSE),"")&amp;" "&amp;IFERROR(VLOOKUP($X248,CODES,2,FALSE),"")&amp;" "&amp;IFERROR(VLOOKUP($S248,CODES,2,FALSE),"")&amp;IF(N($P248)&gt;0," w/TRANSOM "&amp;$P248&amp;CHAR(34),"")&amp;IF(N($Q248)&gt;0," w/SIDELITE "&amp;$Q248&amp;CHAR(34)&amp;" "&amp;IF($R248="","R",$R248),"")&amp;IF($Y248="","  |  "," | "&amp;IFERROR(VLOOKUP($Y248,CODES,2,FALSE),"")&amp;" | ")&amp;IFERROR(VLOOKUP($AC248,CODES,2,FALSE),"")&amp;" "&amp;IFERROR(VLOOKUP($AD248,CODES,2,FALSE),"")&amp;IF(OR($AE248="",$AE248="-"),""," "&amp;$AE248)&amp;IF(OR($AF248="",$AF248="-"),""," "&amp;$AF248)&amp;IF($AB248="Y"," 4"&amp;CHAR(34)&amp;" HEAD","")&amp;" "&amp;IFERROR(VLOOKUP($H248,CODES,2,FALSE),"")))</f>
        <v/>
      </c>
      <c r="BR248" s="50">
        <f>IF(NOT(AND($A248&lt;&gt;"",N($BC248)&gt;0)),"",TRIM(IFERROR(VLOOKUP($AH248,CODES,2,FALSE),"")&amp;IF($AI248=""," "," "&amp;$AI248&amp;"GA ")&amp;$AZ248&amp;" "&amp;IF($AN248="",IFERROR(VLOOKUP($Z248,CODES,2,FALSE),""),IFERROR(VLOOKUP($AN248,CODES,2,FALSE),""))&amp;IF($BC248=2," PAIR","")&amp;" DOOR | "&amp;IF($AL248="","?",$AL248)&amp;" | "&amp;IF($AP248="",IFERROR(VLOOKUP($AC248,CODES,2,FALSE),""),IFERROR(VLOOKUP($AP248,CODES,2,FALSE),""))&amp;" "&amp;IFERROR(VLOOKUP($AQ248,CODES,2,FALSE),"")&amp;IF(OR($AR248="",$AR248="-"),""," SEAM "&amp;$AR248)&amp;IF($AS248="Y"," ASTRAGAL","")&amp;IF($AJ248=""," "," "&amp;$AJ248)&amp;IF($AK248=""," "," "&amp;$AK248)&amp;IF($AO248="",""," "&amp;$AO248)&amp;IF($AM248=""," "," SERIES "&amp;$AM248)&amp;" "&amp;IFERROR(VLOOKUP($H248,CODES,2,FALSE),"")))</f>
        <v/>
      </c>
      <c r="BS248" s="49">
        <f>IF(BV248="","",IF(COUNTIF($BV$6:BV248,BV248)=1,MAX($BS$5:BS247)+1,INDEX($BS$5:BS247,MATCH(BV248,$BV$5:BV247,0))))</f>
        <v/>
      </c>
      <c r="BT248" s="49">
        <f>IF(NOT(AND($A248&lt;&gt;"",$C248&lt;&gt;"DOOR ONLY")),"",MAX($BT$5:BT247)+1)</f>
        <v/>
      </c>
      <c r="BU248" s="49">
        <f>IF(NOT(AND($A248&lt;&gt;"",N($BC248)&gt;0)),"",MAX($BU$5:BU247)+1)</f>
        <v/>
      </c>
      <c r="BV248" s="49">
        <f>IF(OR($A248="",$BA248="",$BB248=""),"",$AZ248&amp;"|"&amp;$O248&amp;"|"&amp;$AL248&amp;"|"&amp;$S248&amp;"|"&amp;$P248&amp;"|"&amp;$Q248&amp;$R248&amp;"|"&amp;$C248&amp;"|"&amp;$AB248)</f>
        <v/>
      </c>
      <c r="BW248" s="49">
        <f>IF($A248="","",IF($B248="","qty, ","")&amp;IF($C248="","scope, ","")&amp;IF(OR($K248="",$M248=""),"size, ","")&amp;IF(AND($A248&lt;&gt;"",$C248&lt;&gt;"DOOR ONLY"),IF($U248="","jamb depth, ","")&amp;IF($X248="","construction, ","")&amp;IF($Y248="","anchor, ","")&amp;IF($S248="","frame type, ",""),"")&amp;IF(AND(N($BC248)&gt;0,$Z248=""),"hand, ","")&amp;IF(N($BC248)&gt;0,IF($AH248="","door material, ","")&amp;IF($AL248="","face type, ","")&amp;IF($AQ248="","lock prep, ","")&amp;IF(AND($AP248="",$AC248=""),"hinge prep, ",""),"")&amp;IF(AND($BO248&gt;0,$AH248="FRP"),"FRP cannot carry a label, ","")&amp;IF(AND($O248="Y",OR($Z248="L",$Z248="R",$Z248="LR",$Z248="RR")),"pair marked but hand is single, ","")&amp;IF(AND($O248&lt;&gt;"Y",OR($Z248="PR",AND(LEN($Z248)&gt;1,ISNUMBER(SEARCH("-",$Z248))))),"pair hand on a single door, ","")&amp;IF(AND(ISNUMBER($BP248),$BO248&lt;N($BP248)),"wall needs a "&amp;$BP248&amp;" min door, ","")&amp;IF(AND($BO248&gt;=180,AND(OR($BL248="FG",$BL248="HG",$BL248="FNV",$BL248="FV"),N($BM248)*N($BN248)&gt;100)),"180 min lite over 100 sq in, ","")&amp;IF(N($BD248)&gt;48,"leaf wider than 4'-0"&amp;CHAR(34)&amp;", ",""))</f>
        <v/>
      </c>
      <c r="BX248" s="49">
        <f>IF($A248="","",IF(AND($BO248&gt;0,AND($A248&lt;&gt;"",$C248&lt;&gt;"DOOR ONLY"),$X248="KD",$E248="EXTERIOR"),"KD label on an exterior opening, ","")&amp;IF(AND($E248="EXTERIOR",OR(AND(AND($A248&lt;&gt;"",$C248&lt;&gt;"DOOR ONLY"),$W248="CR"),AND(N($BC248)&gt;0,$AH248="CR"))),"exterior in CR steel (G9?), ","")&amp;IF(AND(ISNUMBER($BJ248),N($BJ248)&lt;32),"clear width ~"&amp;TEXT($BJ248,"0.0")&amp;CHAR(34)&amp;" under 32"&amp;CHAR(34)&amp;" (ADA), ","")&amp;IF(AND($BO248=90,AND(OR($BL248="FG",$BL248="HG",$BL248="FNV",$BL248="FV"),N($BM248)*N($BN248)&gt;100)),"90 min lite over 100 sq in (stair/exit), ","")&amp;IF(AND($BO248&gt;0,AND($A248&lt;&gt;"",$C248&lt;&gt;"DOOR ONLY"),OR($AF248="",$AF248="-")),"rated: closer reinf.?, ","")&amp;IF(OR($I248="CORRIDOR",$I248="SMOKE BARRIER"),"S label + smoke gasketing, ","")&amp;IF($BP248="?","wall type/hr not in IBC table, ","")&amp;IF(AND(N($BC248)&gt;0,$AU248=""),"no hardware set, ","")&amp;IF(AND($AU248&lt;&gt;"",ISNA(MATCH($AU248,HWSets,0))),"set "&amp;$AU248&amp;" not on Hardware sheet, ","")&amp;IF(N($BE248)&gt;96,"leaf over 8'-0"&amp;CHAR(34)&amp;" - check listing, ",""))</f>
        <v/>
      </c>
    </row>
    <row r="249" ht="15" customHeight="1">
      <c r="A249" s="44" t="n"/>
      <c r="B249" s="45" t="n"/>
      <c r="C249" s="45" t="n"/>
      <c r="D249" s="45" t="n"/>
      <c r="E249" s="45" t="n"/>
      <c r="F249" s="45" t="n"/>
      <c r="G249" s="45" t="n"/>
      <c r="H249" s="45" t="n"/>
      <c r="I249" s="45" t="n"/>
      <c r="J249" s="45" t="n"/>
      <c r="K249" s="45" t="n"/>
      <c r="L249" s="45" t="n"/>
      <c r="M249" s="45" t="n"/>
      <c r="N249" s="45" t="n"/>
      <c r="O249" s="45" t="n"/>
      <c r="P249" s="45" t="n"/>
      <c r="Q249" s="45" t="n"/>
      <c r="R249" s="45" t="n"/>
      <c r="S249" s="46" t="n"/>
      <c r="T249" s="46" t="n"/>
      <c r="U249" s="46" t="n"/>
      <c r="V249" s="46" t="n"/>
      <c r="W249" s="46" t="n"/>
      <c r="X249" s="46" t="n"/>
      <c r="Y249" s="46" t="n"/>
      <c r="Z249" s="46" t="n"/>
      <c r="AA249" s="46" t="n"/>
      <c r="AB249" s="46" t="n"/>
      <c r="AC249" s="46" t="n"/>
      <c r="AD249" s="46" t="n"/>
      <c r="AE249" s="46" t="n"/>
      <c r="AF249" s="46" t="n"/>
      <c r="AG249" s="46" t="n"/>
      <c r="AH249" s="47" t="n"/>
      <c r="AI249" s="47" t="n"/>
      <c r="AJ249" s="47" t="n"/>
      <c r="AK249" s="47" t="n"/>
      <c r="AL249" s="47" t="n"/>
      <c r="AM249" s="47" t="n"/>
      <c r="AN249" s="47" t="n"/>
      <c r="AO249" s="47" t="n"/>
      <c r="AP249" s="47" t="n"/>
      <c r="AQ249" s="47" t="n"/>
      <c r="AR249" s="47" t="n"/>
      <c r="AS249" s="47" t="n"/>
      <c r="AT249" s="47" t="n"/>
      <c r="AU249" s="48" t="n"/>
      <c r="AV249" s="48" t="n"/>
      <c r="AW249" s="49">
        <f>IF($A249="","",IF($BW249&lt;&gt;"","FIX",IF($BX249&lt;&gt;"","CHECK","OK")))</f>
        <v/>
      </c>
      <c r="AX249" s="50">
        <f>IF($A249="","",IF($BW249&lt;&gt;"","FIX: "&amp;LEFT($BW249,LEN($BW249)-2)&amp;IF($BX249&lt;&gt;"","  ·  ",""),"")&amp;IF($BX249&lt;&gt;"","CHECK: "&amp;LEFT($BX249,LEN($BX249)-2),""))</f>
        <v/>
      </c>
      <c r="AY249" s="49">
        <f>IF(OR($A249="",$K249=""),"",$K249&amp;"'-"&amp;N($L249)&amp;CHAR(34)&amp;" x "&amp;$M249&amp;"'-"&amp;N($N249)&amp;CHAR(34))</f>
        <v/>
      </c>
      <c r="AZ249" s="49">
        <f>IF(OR($A249="",$K249=""),"",$K249&amp;N($L249)&amp;$M249&amp;N($N249))</f>
        <v/>
      </c>
      <c r="BA249" s="49">
        <f>IF(OR($A249="",$K249=""),"",$K249*12+N($L249))</f>
        <v/>
      </c>
      <c r="BB249" s="49">
        <f>IF(OR($A249="",$M249=""),"",$M249*12+N($N249))</f>
        <v/>
      </c>
      <c r="BC249" s="49">
        <f>IF($A249="","",IF(OR($C249="FRAME ONLY",$S249="BL"),0,IF($O249="Y",2,1)))</f>
        <v/>
      </c>
      <c r="BD249" s="51">
        <f>IF(OR(N($BC249)=0,$BA249=""),"",($BA249-2*EdgeClr-IF($BC249=2,MeetClr,0))/$BC249)</f>
        <v/>
      </c>
      <c r="BE249" s="51">
        <f>IF(OR(N($BC249)=0,$BB249=""),"",$BB249-HeadClr-Undercut)</f>
        <v/>
      </c>
      <c r="BF249" s="51">
        <f>IF($BA249="","",$BA249+2*FaceW+IF(N($Q249)&gt;0,($Q249+FaceW)*IF($R249="LR",2,1),0))</f>
        <v/>
      </c>
      <c r="BG249" s="51">
        <f>IF($BB249="","",$BB249+IF($AB249="Y",4,FaceW)+IF(N($P249)&gt;0,$P249+FaceW,0)+IF(OR($S249="4F",$S249="BL"),FaceW,0))</f>
        <v/>
      </c>
      <c r="BH249" s="51">
        <f>IF($BF249="","",$BF249+2*ROSide)</f>
        <v/>
      </c>
      <c r="BI249" s="51">
        <f>IF($BG249="","",$BG249+ROTop)</f>
        <v/>
      </c>
      <c r="BJ249" s="52">
        <f>IF(OR(N($BC249)=0,$BA249=""),"",$BA249/$BC249-ClearDeduct)</f>
        <v/>
      </c>
      <c r="BK249" s="49">
        <f>IF(OR(N($BC249)=0,$BE249=""),"",IF(OR($AC249="HGC",$AP249="HGC"),"CONT",IF($BE249&lt;=60,2,IF($BE249&lt;=90,3,IF($BE249&lt;=120,4,5)))))</f>
        <v/>
      </c>
      <c r="BL249" s="49">
        <f>IF(N($BC249)=0,"",IF(OR($AL249="",$AL249="FLUSH"),"FLUSH",IFERROR(LEFT($AL249,FIND("-",$AL249)-1),LEFT($AL249,2))))</f>
        <v/>
      </c>
      <c r="BM249" s="49">
        <f>IF($BL249="","",IFERROR(VALUE(MID($AL249,FIND("-",$AL249)+1,FIND(CHAR(34)&amp;"x",$AL249)-FIND("-",$AL249)-1)),0))</f>
        <v/>
      </c>
      <c r="BN249" s="49">
        <f>IF($BL249="","",IFERROR(VALUE(MID($AL249,FIND(CHAR(34)&amp;"x",$AL249)+2,FIND(CHAR(34),$AL249,FIND(CHAR(34)&amp;"x",$AL249)+2)-FIND(CHAR(34)&amp;"x",$AL249)-2)),0))</f>
        <v/>
      </c>
      <c r="BO249" s="53">
        <f>IF(OR($A249="",$H249="",$H249="NO LAB"),0,IFERROR(VALUE(LEFT($H249,FIND(" ",$H249)-1)),0))</f>
        <v/>
      </c>
      <c r="BP249" s="54">
        <f>IF(OR($A249="",$I249="",$I249="NON-RATED",N($J249)=0),"",IFERROR(VLOOKUP($I249&amp;"|"&amp;$J249,IBC,2,FALSE),"?"))</f>
        <v/>
      </c>
      <c r="BQ249" s="50">
        <f>IF(NOT(AND($A249&lt;&gt;"",$C249&lt;&gt;"DOOR ONLY")),"",TRIM(IFERROR(VLOOKUP($U249,CODES,2,FALSE),"")&amp;" "&amp;$AZ249&amp;" "&amp;IFERROR(VLOOKUP($Z249,CODES,2,FALSE),"")&amp;" "&amp;IFERROR(VLOOKUP($X249,CODES,2,FALSE),"")&amp;" "&amp;IFERROR(VLOOKUP($S249,CODES,2,FALSE),"")&amp;IF(N($P249)&gt;0," w/TRANSOM "&amp;$P249&amp;CHAR(34),"")&amp;IF(N($Q249)&gt;0," w/SIDELITE "&amp;$Q249&amp;CHAR(34)&amp;" "&amp;IF($R249="","R",$R249),"")&amp;IF($Y249="","  |  "," | "&amp;IFERROR(VLOOKUP($Y249,CODES,2,FALSE),"")&amp;" | ")&amp;IFERROR(VLOOKUP($AC249,CODES,2,FALSE),"")&amp;" "&amp;IFERROR(VLOOKUP($AD249,CODES,2,FALSE),"")&amp;IF(OR($AE249="",$AE249="-"),""," "&amp;$AE249)&amp;IF(OR($AF249="",$AF249="-"),""," "&amp;$AF249)&amp;IF($AB249="Y"," 4"&amp;CHAR(34)&amp;" HEAD","")&amp;" "&amp;IFERROR(VLOOKUP($H249,CODES,2,FALSE),"")))</f>
        <v/>
      </c>
      <c r="BR249" s="50">
        <f>IF(NOT(AND($A249&lt;&gt;"",N($BC249)&gt;0)),"",TRIM(IFERROR(VLOOKUP($AH249,CODES,2,FALSE),"")&amp;IF($AI249=""," "," "&amp;$AI249&amp;"GA ")&amp;$AZ249&amp;" "&amp;IF($AN249="",IFERROR(VLOOKUP($Z249,CODES,2,FALSE),""),IFERROR(VLOOKUP($AN249,CODES,2,FALSE),""))&amp;IF($BC249=2," PAIR","")&amp;" DOOR | "&amp;IF($AL249="","?",$AL249)&amp;" | "&amp;IF($AP249="",IFERROR(VLOOKUP($AC249,CODES,2,FALSE),""),IFERROR(VLOOKUP($AP249,CODES,2,FALSE),""))&amp;" "&amp;IFERROR(VLOOKUP($AQ249,CODES,2,FALSE),"")&amp;IF(OR($AR249="",$AR249="-"),""," SEAM "&amp;$AR249)&amp;IF($AS249="Y"," ASTRAGAL","")&amp;IF($AJ249=""," "," "&amp;$AJ249)&amp;IF($AK249=""," "," "&amp;$AK249)&amp;IF($AO249="",""," "&amp;$AO249)&amp;IF($AM249=""," "," SERIES "&amp;$AM249)&amp;" "&amp;IFERROR(VLOOKUP($H249,CODES,2,FALSE),"")))</f>
        <v/>
      </c>
      <c r="BS249" s="49">
        <f>IF(BV249="","",IF(COUNTIF($BV$6:BV249,BV249)=1,MAX($BS$5:BS248)+1,INDEX($BS$5:BS248,MATCH(BV249,$BV$5:BV248,0))))</f>
        <v/>
      </c>
      <c r="BT249" s="49">
        <f>IF(NOT(AND($A249&lt;&gt;"",$C249&lt;&gt;"DOOR ONLY")),"",MAX($BT$5:BT248)+1)</f>
        <v/>
      </c>
      <c r="BU249" s="49">
        <f>IF(NOT(AND($A249&lt;&gt;"",N($BC249)&gt;0)),"",MAX($BU$5:BU248)+1)</f>
        <v/>
      </c>
      <c r="BV249" s="49">
        <f>IF(OR($A249="",$BA249="",$BB249=""),"",$AZ249&amp;"|"&amp;$O249&amp;"|"&amp;$AL249&amp;"|"&amp;$S249&amp;"|"&amp;$P249&amp;"|"&amp;$Q249&amp;$R249&amp;"|"&amp;$C249&amp;"|"&amp;$AB249)</f>
        <v/>
      </c>
      <c r="BW249" s="49">
        <f>IF($A249="","",IF($B249="","qty, ","")&amp;IF($C249="","scope, ","")&amp;IF(OR($K249="",$M249=""),"size, ","")&amp;IF(AND($A249&lt;&gt;"",$C249&lt;&gt;"DOOR ONLY"),IF($U249="","jamb depth, ","")&amp;IF($X249="","construction, ","")&amp;IF($Y249="","anchor, ","")&amp;IF($S249="","frame type, ",""),"")&amp;IF(AND(N($BC249)&gt;0,$Z249=""),"hand, ","")&amp;IF(N($BC249)&gt;0,IF($AH249="","door material, ","")&amp;IF($AL249="","face type, ","")&amp;IF($AQ249="","lock prep, ","")&amp;IF(AND($AP249="",$AC249=""),"hinge prep, ",""),"")&amp;IF(AND($BO249&gt;0,$AH249="FRP"),"FRP cannot carry a label, ","")&amp;IF(AND($O249="Y",OR($Z249="L",$Z249="R",$Z249="LR",$Z249="RR")),"pair marked but hand is single, ","")&amp;IF(AND($O249&lt;&gt;"Y",OR($Z249="PR",AND(LEN($Z249)&gt;1,ISNUMBER(SEARCH("-",$Z249))))),"pair hand on a single door, ","")&amp;IF(AND(ISNUMBER($BP249),$BO249&lt;N($BP249)),"wall needs a "&amp;$BP249&amp;" min door, ","")&amp;IF(AND($BO249&gt;=180,AND(OR($BL249="FG",$BL249="HG",$BL249="FNV",$BL249="FV"),N($BM249)*N($BN249)&gt;100)),"180 min lite over 100 sq in, ","")&amp;IF(N($BD249)&gt;48,"leaf wider than 4'-0"&amp;CHAR(34)&amp;", ",""))</f>
        <v/>
      </c>
      <c r="BX249" s="49">
        <f>IF($A249="","",IF(AND($BO249&gt;0,AND($A249&lt;&gt;"",$C249&lt;&gt;"DOOR ONLY"),$X249="KD",$E249="EXTERIOR"),"KD label on an exterior opening, ","")&amp;IF(AND($E249="EXTERIOR",OR(AND(AND($A249&lt;&gt;"",$C249&lt;&gt;"DOOR ONLY"),$W249="CR"),AND(N($BC249)&gt;0,$AH249="CR"))),"exterior in CR steel (G9?), ","")&amp;IF(AND(ISNUMBER($BJ249),N($BJ249)&lt;32),"clear width ~"&amp;TEXT($BJ249,"0.0")&amp;CHAR(34)&amp;" under 32"&amp;CHAR(34)&amp;" (ADA), ","")&amp;IF(AND($BO249=90,AND(OR($BL249="FG",$BL249="HG",$BL249="FNV",$BL249="FV"),N($BM249)*N($BN249)&gt;100)),"90 min lite over 100 sq in (stair/exit), ","")&amp;IF(AND($BO249&gt;0,AND($A249&lt;&gt;"",$C249&lt;&gt;"DOOR ONLY"),OR($AF249="",$AF249="-")),"rated: closer reinf.?, ","")&amp;IF(OR($I249="CORRIDOR",$I249="SMOKE BARRIER"),"S label + smoke gasketing, ","")&amp;IF($BP249="?","wall type/hr not in IBC table, ","")&amp;IF(AND(N($BC249)&gt;0,$AU249=""),"no hardware set, ","")&amp;IF(AND($AU249&lt;&gt;"",ISNA(MATCH($AU249,HWSets,0))),"set "&amp;$AU249&amp;" not on Hardware sheet, ","")&amp;IF(N($BE249)&gt;96,"leaf over 8'-0"&amp;CHAR(34)&amp;" - check listing, ",""))</f>
        <v/>
      </c>
    </row>
    <row r="250" ht="15" customHeight="1">
      <c r="A250" s="44" t="n"/>
      <c r="B250" s="45" t="n"/>
      <c r="C250" s="45" t="n"/>
      <c r="D250" s="45" t="n"/>
      <c r="E250" s="45" t="n"/>
      <c r="F250" s="45" t="n"/>
      <c r="G250" s="45" t="n"/>
      <c r="H250" s="45" t="n"/>
      <c r="I250" s="45" t="n"/>
      <c r="J250" s="45" t="n"/>
      <c r="K250" s="45" t="n"/>
      <c r="L250" s="45" t="n"/>
      <c r="M250" s="45" t="n"/>
      <c r="N250" s="45" t="n"/>
      <c r="O250" s="45" t="n"/>
      <c r="P250" s="45" t="n"/>
      <c r="Q250" s="45" t="n"/>
      <c r="R250" s="45" t="n"/>
      <c r="S250" s="46" t="n"/>
      <c r="T250" s="46" t="n"/>
      <c r="U250" s="46" t="n"/>
      <c r="V250" s="46" t="n"/>
      <c r="W250" s="46" t="n"/>
      <c r="X250" s="46" t="n"/>
      <c r="Y250" s="46" t="n"/>
      <c r="Z250" s="46" t="n"/>
      <c r="AA250" s="46" t="n"/>
      <c r="AB250" s="46" t="n"/>
      <c r="AC250" s="46" t="n"/>
      <c r="AD250" s="46" t="n"/>
      <c r="AE250" s="46" t="n"/>
      <c r="AF250" s="46" t="n"/>
      <c r="AG250" s="46" t="n"/>
      <c r="AH250" s="47" t="n"/>
      <c r="AI250" s="47" t="n"/>
      <c r="AJ250" s="47" t="n"/>
      <c r="AK250" s="47" t="n"/>
      <c r="AL250" s="47" t="n"/>
      <c r="AM250" s="47" t="n"/>
      <c r="AN250" s="47" t="n"/>
      <c r="AO250" s="47" t="n"/>
      <c r="AP250" s="47" t="n"/>
      <c r="AQ250" s="47" t="n"/>
      <c r="AR250" s="47" t="n"/>
      <c r="AS250" s="47" t="n"/>
      <c r="AT250" s="47" t="n"/>
      <c r="AU250" s="48" t="n"/>
      <c r="AV250" s="48" t="n"/>
      <c r="AW250" s="49">
        <f>IF($A250="","",IF($BW250&lt;&gt;"","FIX",IF($BX250&lt;&gt;"","CHECK","OK")))</f>
        <v/>
      </c>
      <c r="AX250" s="50">
        <f>IF($A250="","",IF($BW250&lt;&gt;"","FIX: "&amp;LEFT($BW250,LEN($BW250)-2)&amp;IF($BX250&lt;&gt;"","  ·  ",""),"")&amp;IF($BX250&lt;&gt;"","CHECK: "&amp;LEFT($BX250,LEN($BX250)-2),""))</f>
        <v/>
      </c>
      <c r="AY250" s="49">
        <f>IF(OR($A250="",$K250=""),"",$K250&amp;"'-"&amp;N($L250)&amp;CHAR(34)&amp;" x "&amp;$M250&amp;"'-"&amp;N($N250)&amp;CHAR(34))</f>
        <v/>
      </c>
      <c r="AZ250" s="49">
        <f>IF(OR($A250="",$K250=""),"",$K250&amp;N($L250)&amp;$M250&amp;N($N250))</f>
        <v/>
      </c>
      <c r="BA250" s="49">
        <f>IF(OR($A250="",$K250=""),"",$K250*12+N($L250))</f>
        <v/>
      </c>
      <c r="BB250" s="49">
        <f>IF(OR($A250="",$M250=""),"",$M250*12+N($N250))</f>
        <v/>
      </c>
      <c r="BC250" s="49">
        <f>IF($A250="","",IF(OR($C250="FRAME ONLY",$S250="BL"),0,IF($O250="Y",2,1)))</f>
        <v/>
      </c>
      <c r="BD250" s="51">
        <f>IF(OR(N($BC250)=0,$BA250=""),"",($BA250-2*EdgeClr-IF($BC250=2,MeetClr,0))/$BC250)</f>
        <v/>
      </c>
      <c r="BE250" s="51">
        <f>IF(OR(N($BC250)=0,$BB250=""),"",$BB250-HeadClr-Undercut)</f>
        <v/>
      </c>
      <c r="BF250" s="51">
        <f>IF($BA250="","",$BA250+2*FaceW+IF(N($Q250)&gt;0,($Q250+FaceW)*IF($R250="LR",2,1),0))</f>
        <v/>
      </c>
      <c r="BG250" s="51">
        <f>IF($BB250="","",$BB250+IF($AB250="Y",4,FaceW)+IF(N($P250)&gt;0,$P250+FaceW,0)+IF(OR($S250="4F",$S250="BL"),FaceW,0))</f>
        <v/>
      </c>
      <c r="BH250" s="51">
        <f>IF($BF250="","",$BF250+2*ROSide)</f>
        <v/>
      </c>
      <c r="BI250" s="51">
        <f>IF($BG250="","",$BG250+ROTop)</f>
        <v/>
      </c>
      <c r="BJ250" s="52">
        <f>IF(OR(N($BC250)=0,$BA250=""),"",$BA250/$BC250-ClearDeduct)</f>
        <v/>
      </c>
      <c r="BK250" s="49">
        <f>IF(OR(N($BC250)=0,$BE250=""),"",IF(OR($AC250="HGC",$AP250="HGC"),"CONT",IF($BE250&lt;=60,2,IF($BE250&lt;=90,3,IF($BE250&lt;=120,4,5)))))</f>
        <v/>
      </c>
      <c r="BL250" s="49">
        <f>IF(N($BC250)=0,"",IF(OR($AL250="",$AL250="FLUSH"),"FLUSH",IFERROR(LEFT($AL250,FIND("-",$AL250)-1),LEFT($AL250,2))))</f>
        <v/>
      </c>
      <c r="BM250" s="49">
        <f>IF($BL250="","",IFERROR(VALUE(MID($AL250,FIND("-",$AL250)+1,FIND(CHAR(34)&amp;"x",$AL250)-FIND("-",$AL250)-1)),0))</f>
        <v/>
      </c>
      <c r="BN250" s="49">
        <f>IF($BL250="","",IFERROR(VALUE(MID($AL250,FIND(CHAR(34)&amp;"x",$AL250)+2,FIND(CHAR(34),$AL250,FIND(CHAR(34)&amp;"x",$AL250)+2)-FIND(CHAR(34)&amp;"x",$AL250)-2)),0))</f>
        <v/>
      </c>
      <c r="BO250" s="53">
        <f>IF(OR($A250="",$H250="",$H250="NO LAB"),0,IFERROR(VALUE(LEFT($H250,FIND(" ",$H250)-1)),0))</f>
        <v/>
      </c>
      <c r="BP250" s="54">
        <f>IF(OR($A250="",$I250="",$I250="NON-RATED",N($J250)=0),"",IFERROR(VLOOKUP($I250&amp;"|"&amp;$J250,IBC,2,FALSE),"?"))</f>
        <v/>
      </c>
      <c r="BQ250" s="50">
        <f>IF(NOT(AND($A250&lt;&gt;"",$C250&lt;&gt;"DOOR ONLY")),"",TRIM(IFERROR(VLOOKUP($U250,CODES,2,FALSE),"")&amp;" "&amp;$AZ250&amp;" "&amp;IFERROR(VLOOKUP($Z250,CODES,2,FALSE),"")&amp;" "&amp;IFERROR(VLOOKUP($X250,CODES,2,FALSE),"")&amp;" "&amp;IFERROR(VLOOKUP($S250,CODES,2,FALSE),"")&amp;IF(N($P250)&gt;0," w/TRANSOM "&amp;$P250&amp;CHAR(34),"")&amp;IF(N($Q250)&gt;0," w/SIDELITE "&amp;$Q250&amp;CHAR(34)&amp;" "&amp;IF($R250="","R",$R250),"")&amp;IF($Y250="","  |  "," | "&amp;IFERROR(VLOOKUP($Y250,CODES,2,FALSE),"")&amp;" | ")&amp;IFERROR(VLOOKUP($AC250,CODES,2,FALSE),"")&amp;" "&amp;IFERROR(VLOOKUP($AD250,CODES,2,FALSE),"")&amp;IF(OR($AE250="",$AE250="-"),""," "&amp;$AE250)&amp;IF(OR($AF250="",$AF250="-"),""," "&amp;$AF250)&amp;IF($AB250="Y"," 4"&amp;CHAR(34)&amp;" HEAD","")&amp;" "&amp;IFERROR(VLOOKUP($H250,CODES,2,FALSE),"")))</f>
        <v/>
      </c>
      <c r="BR250" s="50">
        <f>IF(NOT(AND($A250&lt;&gt;"",N($BC250)&gt;0)),"",TRIM(IFERROR(VLOOKUP($AH250,CODES,2,FALSE),"")&amp;IF($AI250=""," "," "&amp;$AI250&amp;"GA ")&amp;$AZ250&amp;" "&amp;IF($AN250="",IFERROR(VLOOKUP($Z250,CODES,2,FALSE),""),IFERROR(VLOOKUP($AN250,CODES,2,FALSE),""))&amp;IF($BC250=2," PAIR","")&amp;" DOOR | "&amp;IF($AL250="","?",$AL250)&amp;" | "&amp;IF($AP250="",IFERROR(VLOOKUP($AC250,CODES,2,FALSE),""),IFERROR(VLOOKUP($AP250,CODES,2,FALSE),""))&amp;" "&amp;IFERROR(VLOOKUP($AQ250,CODES,2,FALSE),"")&amp;IF(OR($AR250="",$AR250="-"),""," SEAM "&amp;$AR250)&amp;IF($AS250="Y"," ASTRAGAL","")&amp;IF($AJ250=""," "," "&amp;$AJ250)&amp;IF($AK250=""," "," "&amp;$AK250)&amp;IF($AO250="",""," "&amp;$AO250)&amp;IF($AM250=""," "," SERIES "&amp;$AM250)&amp;" "&amp;IFERROR(VLOOKUP($H250,CODES,2,FALSE),"")))</f>
        <v/>
      </c>
      <c r="BS250" s="49">
        <f>IF(BV250="","",IF(COUNTIF($BV$6:BV250,BV250)=1,MAX($BS$5:BS249)+1,INDEX($BS$5:BS249,MATCH(BV250,$BV$5:BV249,0))))</f>
        <v/>
      </c>
      <c r="BT250" s="49">
        <f>IF(NOT(AND($A250&lt;&gt;"",$C250&lt;&gt;"DOOR ONLY")),"",MAX($BT$5:BT249)+1)</f>
        <v/>
      </c>
      <c r="BU250" s="49">
        <f>IF(NOT(AND($A250&lt;&gt;"",N($BC250)&gt;0)),"",MAX($BU$5:BU249)+1)</f>
        <v/>
      </c>
      <c r="BV250" s="49">
        <f>IF(OR($A250="",$BA250="",$BB250=""),"",$AZ250&amp;"|"&amp;$O250&amp;"|"&amp;$AL250&amp;"|"&amp;$S250&amp;"|"&amp;$P250&amp;"|"&amp;$Q250&amp;$R250&amp;"|"&amp;$C250&amp;"|"&amp;$AB250)</f>
        <v/>
      </c>
      <c r="BW250" s="49">
        <f>IF($A250="","",IF($B250="","qty, ","")&amp;IF($C250="","scope, ","")&amp;IF(OR($K250="",$M250=""),"size, ","")&amp;IF(AND($A250&lt;&gt;"",$C250&lt;&gt;"DOOR ONLY"),IF($U250="","jamb depth, ","")&amp;IF($X250="","construction, ","")&amp;IF($Y250="","anchor, ","")&amp;IF($S250="","frame type, ",""),"")&amp;IF(AND(N($BC250)&gt;0,$Z250=""),"hand, ","")&amp;IF(N($BC250)&gt;0,IF($AH250="","door material, ","")&amp;IF($AL250="","face type, ","")&amp;IF($AQ250="","lock prep, ","")&amp;IF(AND($AP250="",$AC250=""),"hinge prep, ",""),"")&amp;IF(AND($BO250&gt;0,$AH250="FRP"),"FRP cannot carry a label, ","")&amp;IF(AND($O250="Y",OR($Z250="L",$Z250="R",$Z250="LR",$Z250="RR")),"pair marked but hand is single, ","")&amp;IF(AND($O250&lt;&gt;"Y",OR($Z250="PR",AND(LEN($Z250)&gt;1,ISNUMBER(SEARCH("-",$Z250))))),"pair hand on a single door, ","")&amp;IF(AND(ISNUMBER($BP250),$BO250&lt;N($BP250)),"wall needs a "&amp;$BP250&amp;" min door, ","")&amp;IF(AND($BO250&gt;=180,AND(OR($BL250="FG",$BL250="HG",$BL250="FNV",$BL250="FV"),N($BM250)*N($BN250)&gt;100)),"180 min lite over 100 sq in, ","")&amp;IF(N($BD250)&gt;48,"leaf wider than 4'-0"&amp;CHAR(34)&amp;", ",""))</f>
        <v/>
      </c>
      <c r="BX250" s="49">
        <f>IF($A250="","",IF(AND($BO250&gt;0,AND($A250&lt;&gt;"",$C250&lt;&gt;"DOOR ONLY"),$X250="KD",$E250="EXTERIOR"),"KD label on an exterior opening, ","")&amp;IF(AND($E250="EXTERIOR",OR(AND(AND($A250&lt;&gt;"",$C250&lt;&gt;"DOOR ONLY"),$W250="CR"),AND(N($BC250)&gt;0,$AH250="CR"))),"exterior in CR steel (G9?), ","")&amp;IF(AND(ISNUMBER($BJ250),N($BJ250)&lt;32),"clear width ~"&amp;TEXT($BJ250,"0.0")&amp;CHAR(34)&amp;" under 32"&amp;CHAR(34)&amp;" (ADA), ","")&amp;IF(AND($BO250=90,AND(OR($BL250="FG",$BL250="HG",$BL250="FNV",$BL250="FV"),N($BM250)*N($BN250)&gt;100)),"90 min lite over 100 sq in (stair/exit), ","")&amp;IF(AND($BO250&gt;0,AND($A250&lt;&gt;"",$C250&lt;&gt;"DOOR ONLY"),OR($AF250="",$AF250="-")),"rated: closer reinf.?, ","")&amp;IF(OR($I250="CORRIDOR",$I250="SMOKE BARRIER"),"S label + smoke gasketing, ","")&amp;IF($BP250="?","wall type/hr not in IBC table, ","")&amp;IF(AND(N($BC250)&gt;0,$AU250=""),"no hardware set, ","")&amp;IF(AND($AU250&lt;&gt;"",ISNA(MATCH($AU250,HWSets,0))),"set "&amp;$AU250&amp;" not on Hardware sheet, ","")&amp;IF(N($BE250)&gt;96,"leaf over 8'-0"&amp;CHAR(34)&amp;" - check listing, ",""))</f>
        <v/>
      </c>
    </row>
    <row r="251" ht="15" customHeight="1">
      <c r="A251" s="44" t="n"/>
      <c r="B251" s="45" t="n"/>
      <c r="C251" s="45" t="n"/>
      <c r="D251" s="45" t="n"/>
      <c r="E251" s="45" t="n"/>
      <c r="F251" s="45" t="n"/>
      <c r="G251" s="45" t="n"/>
      <c r="H251" s="45" t="n"/>
      <c r="I251" s="45" t="n"/>
      <c r="J251" s="45" t="n"/>
      <c r="K251" s="45" t="n"/>
      <c r="L251" s="45" t="n"/>
      <c r="M251" s="45" t="n"/>
      <c r="N251" s="45" t="n"/>
      <c r="O251" s="45" t="n"/>
      <c r="P251" s="45" t="n"/>
      <c r="Q251" s="45" t="n"/>
      <c r="R251" s="45" t="n"/>
      <c r="S251" s="46" t="n"/>
      <c r="T251" s="46" t="n"/>
      <c r="U251" s="46" t="n"/>
      <c r="V251" s="46" t="n"/>
      <c r="W251" s="46" t="n"/>
      <c r="X251" s="46" t="n"/>
      <c r="Y251" s="46" t="n"/>
      <c r="Z251" s="46" t="n"/>
      <c r="AA251" s="46" t="n"/>
      <c r="AB251" s="46" t="n"/>
      <c r="AC251" s="46" t="n"/>
      <c r="AD251" s="46" t="n"/>
      <c r="AE251" s="46" t="n"/>
      <c r="AF251" s="46" t="n"/>
      <c r="AG251" s="46" t="n"/>
      <c r="AH251" s="47" t="n"/>
      <c r="AI251" s="47" t="n"/>
      <c r="AJ251" s="47" t="n"/>
      <c r="AK251" s="47" t="n"/>
      <c r="AL251" s="47" t="n"/>
      <c r="AM251" s="47" t="n"/>
      <c r="AN251" s="47" t="n"/>
      <c r="AO251" s="47" t="n"/>
      <c r="AP251" s="47" t="n"/>
      <c r="AQ251" s="47" t="n"/>
      <c r="AR251" s="47" t="n"/>
      <c r="AS251" s="47" t="n"/>
      <c r="AT251" s="47" t="n"/>
      <c r="AU251" s="48" t="n"/>
      <c r="AV251" s="48" t="n"/>
      <c r="AW251" s="49">
        <f>IF($A251="","",IF($BW251&lt;&gt;"","FIX",IF($BX251&lt;&gt;"","CHECK","OK")))</f>
        <v/>
      </c>
      <c r="AX251" s="50">
        <f>IF($A251="","",IF($BW251&lt;&gt;"","FIX: "&amp;LEFT($BW251,LEN($BW251)-2)&amp;IF($BX251&lt;&gt;"","  ·  ",""),"")&amp;IF($BX251&lt;&gt;"","CHECK: "&amp;LEFT($BX251,LEN($BX251)-2),""))</f>
        <v/>
      </c>
      <c r="AY251" s="49">
        <f>IF(OR($A251="",$K251=""),"",$K251&amp;"'-"&amp;N($L251)&amp;CHAR(34)&amp;" x "&amp;$M251&amp;"'-"&amp;N($N251)&amp;CHAR(34))</f>
        <v/>
      </c>
      <c r="AZ251" s="49">
        <f>IF(OR($A251="",$K251=""),"",$K251&amp;N($L251)&amp;$M251&amp;N($N251))</f>
        <v/>
      </c>
      <c r="BA251" s="49">
        <f>IF(OR($A251="",$K251=""),"",$K251*12+N($L251))</f>
        <v/>
      </c>
      <c r="BB251" s="49">
        <f>IF(OR($A251="",$M251=""),"",$M251*12+N($N251))</f>
        <v/>
      </c>
      <c r="BC251" s="49">
        <f>IF($A251="","",IF(OR($C251="FRAME ONLY",$S251="BL"),0,IF($O251="Y",2,1)))</f>
        <v/>
      </c>
      <c r="BD251" s="51">
        <f>IF(OR(N($BC251)=0,$BA251=""),"",($BA251-2*EdgeClr-IF($BC251=2,MeetClr,0))/$BC251)</f>
        <v/>
      </c>
      <c r="BE251" s="51">
        <f>IF(OR(N($BC251)=0,$BB251=""),"",$BB251-HeadClr-Undercut)</f>
        <v/>
      </c>
      <c r="BF251" s="51">
        <f>IF($BA251="","",$BA251+2*FaceW+IF(N($Q251)&gt;0,($Q251+FaceW)*IF($R251="LR",2,1),0))</f>
        <v/>
      </c>
      <c r="BG251" s="51">
        <f>IF($BB251="","",$BB251+IF($AB251="Y",4,FaceW)+IF(N($P251)&gt;0,$P251+FaceW,0)+IF(OR($S251="4F",$S251="BL"),FaceW,0))</f>
        <v/>
      </c>
      <c r="BH251" s="51">
        <f>IF($BF251="","",$BF251+2*ROSide)</f>
        <v/>
      </c>
      <c r="BI251" s="51">
        <f>IF($BG251="","",$BG251+ROTop)</f>
        <v/>
      </c>
      <c r="BJ251" s="52">
        <f>IF(OR(N($BC251)=0,$BA251=""),"",$BA251/$BC251-ClearDeduct)</f>
        <v/>
      </c>
      <c r="BK251" s="49">
        <f>IF(OR(N($BC251)=0,$BE251=""),"",IF(OR($AC251="HGC",$AP251="HGC"),"CONT",IF($BE251&lt;=60,2,IF($BE251&lt;=90,3,IF($BE251&lt;=120,4,5)))))</f>
        <v/>
      </c>
      <c r="BL251" s="49">
        <f>IF(N($BC251)=0,"",IF(OR($AL251="",$AL251="FLUSH"),"FLUSH",IFERROR(LEFT($AL251,FIND("-",$AL251)-1),LEFT($AL251,2))))</f>
        <v/>
      </c>
      <c r="BM251" s="49">
        <f>IF($BL251="","",IFERROR(VALUE(MID($AL251,FIND("-",$AL251)+1,FIND(CHAR(34)&amp;"x",$AL251)-FIND("-",$AL251)-1)),0))</f>
        <v/>
      </c>
      <c r="BN251" s="49">
        <f>IF($BL251="","",IFERROR(VALUE(MID($AL251,FIND(CHAR(34)&amp;"x",$AL251)+2,FIND(CHAR(34),$AL251,FIND(CHAR(34)&amp;"x",$AL251)+2)-FIND(CHAR(34)&amp;"x",$AL251)-2)),0))</f>
        <v/>
      </c>
      <c r="BO251" s="53">
        <f>IF(OR($A251="",$H251="",$H251="NO LAB"),0,IFERROR(VALUE(LEFT($H251,FIND(" ",$H251)-1)),0))</f>
        <v/>
      </c>
      <c r="BP251" s="54">
        <f>IF(OR($A251="",$I251="",$I251="NON-RATED",N($J251)=0),"",IFERROR(VLOOKUP($I251&amp;"|"&amp;$J251,IBC,2,FALSE),"?"))</f>
        <v/>
      </c>
      <c r="BQ251" s="50">
        <f>IF(NOT(AND($A251&lt;&gt;"",$C251&lt;&gt;"DOOR ONLY")),"",TRIM(IFERROR(VLOOKUP($U251,CODES,2,FALSE),"")&amp;" "&amp;$AZ251&amp;" "&amp;IFERROR(VLOOKUP($Z251,CODES,2,FALSE),"")&amp;" "&amp;IFERROR(VLOOKUP($X251,CODES,2,FALSE),"")&amp;" "&amp;IFERROR(VLOOKUP($S251,CODES,2,FALSE),"")&amp;IF(N($P251)&gt;0," w/TRANSOM "&amp;$P251&amp;CHAR(34),"")&amp;IF(N($Q251)&gt;0," w/SIDELITE "&amp;$Q251&amp;CHAR(34)&amp;" "&amp;IF($R251="","R",$R251),"")&amp;IF($Y251="","  |  "," | "&amp;IFERROR(VLOOKUP($Y251,CODES,2,FALSE),"")&amp;" | ")&amp;IFERROR(VLOOKUP($AC251,CODES,2,FALSE),"")&amp;" "&amp;IFERROR(VLOOKUP($AD251,CODES,2,FALSE),"")&amp;IF(OR($AE251="",$AE251="-"),""," "&amp;$AE251)&amp;IF(OR($AF251="",$AF251="-"),""," "&amp;$AF251)&amp;IF($AB251="Y"," 4"&amp;CHAR(34)&amp;" HEAD","")&amp;" "&amp;IFERROR(VLOOKUP($H251,CODES,2,FALSE),"")))</f>
        <v/>
      </c>
      <c r="BR251" s="50">
        <f>IF(NOT(AND($A251&lt;&gt;"",N($BC251)&gt;0)),"",TRIM(IFERROR(VLOOKUP($AH251,CODES,2,FALSE),"")&amp;IF($AI251=""," "," "&amp;$AI251&amp;"GA ")&amp;$AZ251&amp;" "&amp;IF($AN251="",IFERROR(VLOOKUP($Z251,CODES,2,FALSE),""),IFERROR(VLOOKUP($AN251,CODES,2,FALSE),""))&amp;IF($BC251=2," PAIR","")&amp;" DOOR | "&amp;IF($AL251="","?",$AL251)&amp;" | "&amp;IF($AP251="",IFERROR(VLOOKUP($AC251,CODES,2,FALSE),""),IFERROR(VLOOKUP($AP251,CODES,2,FALSE),""))&amp;" "&amp;IFERROR(VLOOKUP($AQ251,CODES,2,FALSE),"")&amp;IF(OR($AR251="",$AR251="-"),""," SEAM "&amp;$AR251)&amp;IF($AS251="Y"," ASTRAGAL","")&amp;IF($AJ251=""," "," "&amp;$AJ251)&amp;IF($AK251=""," "," "&amp;$AK251)&amp;IF($AO251="",""," "&amp;$AO251)&amp;IF($AM251=""," "," SERIES "&amp;$AM251)&amp;" "&amp;IFERROR(VLOOKUP($H251,CODES,2,FALSE),"")))</f>
        <v/>
      </c>
      <c r="BS251" s="49">
        <f>IF(BV251="","",IF(COUNTIF($BV$6:BV251,BV251)=1,MAX($BS$5:BS250)+1,INDEX($BS$5:BS250,MATCH(BV251,$BV$5:BV250,0))))</f>
        <v/>
      </c>
      <c r="BT251" s="49">
        <f>IF(NOT(AND($A251&lt;&gt;"",$C251&lt;&gt;"DOOR ONLY")),"",MAX($BT$5:BT250)+1)</f>
        <v/>
      </c>
      <c r="BU251" s="49">
        <f>IF(NOT(AND($A251&lt;&gt;"",N($BC251)&gt;0)),"",MAX($BU$5:BU250)+1)</f>
        <v/>
      </c>
      <c r="BV251" s="49">
        <f>IF(OR($A251="",$BA251="",$BB251=""),"",$AZ251&amp;"|"&amp;$O251&amp;"|"&amp;$AL251&amp;"|"&amp;$S251&amp;"|"&amp;$P251&amp;"|"&amp;$Q251&amp;$R251&amp;"|"&amp;$C251&amp;"|"&amp;$AB251)</f>
        <v/>
      </c>
      <c r="BW251" s="49">
        <f>IF($A251="","",IF($B251="","qty, ","")&amp;IF($C251="","scope, ","")&amp;IF(OR($K251="",$M251=""),"size, ","")&amp;IF(AND($A251&lt;&gt;"",$C251&lt;&gt;"DOOR ONLY"),IF($U251="","jamb depth, ","")&amp;IF($X251="","construction, ","")&amp;IF($Y251="","anchor, ","")&amp;IF($S251="","frame type, ",""),"")&amp;IF(AND(N($BC251)&gt;0,$Z251=""),"hand, ","")&amp;IF(N($BC251)&gt;0,IF($AH251="","door material, ","")&amp;IF($AL251="","face type, ","")&amp;IF($AQ251="","lock prep, ","")&amp;IF(AND($AP251="",$AC251=""),"hinge prep, ",""),"")&amp;IF(AND($BO251&gt;0,$AH251="FRP"),"FRP cannot carry a label, ","")&amp;IF(AND($O251="Y",OR($Z251="L",$Z251="R",$Z251="LR",$Z251="RR")),"pair marked but hand is single, ","")&amp;IF(AND($O251&lt;&gt;"Y",OR($Z251="PR",AND(LEN($Z251)&gt;1,ISNUMBER(SEARCH("-",$Z251))))),"pair hand on a single door, ","")&amp;IF(AND(ISNUMBER($BP251),$BO251&lt;N($BP251)),"wall needs a "&amp;$BP251&amp;" min door, ","")&amp;IF(AND($BO251&gt;=180,AND(OR($BL251="FG",$BL251="HG",$BL251="FNV",$BL251="FV"),N($BM251)*N($BN251)&gt;100)),"180 min lite over 100 sq in, ","")&amp;IF(N($BD251)&gt;48,"leaf wider than 4'-0"&amp;CHAR(34)&amp;", ",""))</f>
        <v/>
      </c>
      <c r="BX251" s="49">
        <f>IF($A251="","",IF(AND($BO251&gt;0,AND($A251&lt;&gt;"",$C251&lt;&gt;"DOOR ONLY"),$X251="KD",$E251="EXTERIOR"),"KD label on an exterior opening, ","")&amp;IF(AND($E251="EXTERIOR",OR(AND(AND($A251&lt;&gt;"",$C251&lt;&gt;"DOOR ONLY"),$W251="CR"),AND(N($BC251)&gt;0,$AH251="CR"))),"exterior in CR steel (G9?), ","")&amp;IF(AND(ISNUMBER($BJ251),N($BJ251)&lt;32),"clear width ~"&amp;TEXT($BJ251,"0.0")&amp;CHAR(34)&amp;" under 32"&amp;CHAR(34)&amp;" (ADA), ","")&amp;IF(AND($BO251=90,AND(OR($BL251="FG",$BL251="HG",$BL251="FNV",$BL251="FV"),N($BM251)*N($BN251)&gt;100)),"90 min lite over 100 sq in (stair/exit), ","")&amp;IF(AND($BO251&gt;0,AND($A251&lt;&gt;"",$C251&lt;&gt;"DOOR ONLY"),OR($AF251="",$AF251="-")),"rated: closer reinf.?, ","")&amp;IF(OR($I251="CORRIDOR",$I251="SMOKE BARRIER"),"S label + smoke gasketing, ","")&amp;IF($BP251="?","wall type/hr not in IBC table, ","")&amp;IF(AND(N($BC251)&gt;0,$AU251=""),"no hardware set, ","")&amp;IF(AND($AU251&lt;&gt;"",ISNA(MATCH($AU251,HWSets,0))),"set "&amp;$AU251&amp;" not on Hardware sheet, ","")&amp;IF(N($BE251)&gt;96,"leaf over 8'-0"&amp;CHAR(34)&amp;" - check listing, ",""))</f>
        <v/>
      </c>
    </row>
    <row r="252" ht="15" customHeight="1">
      <c r="A252" s="44" t="n"/>
      <c r="B252" s="45" t="n"/>
      <c r="C252" s="45" t="n"/>
      <c r="D252" s="45" t="n"/>
      <c r="E252" s="45" t="n"/>
      <c r="F252" s="45" t="n"/>
      <c r="G252" s="45" t="n"/>
      <c r="H252" s="45" t="n"/>
      <c r="I252" s="45" t="n"/>
      <c r="J252" s="45" t="n"/>
      <c r="K252" s="45" t="n"/>
      <c r="L252" s="45" t="n"/>
      <c r="M252" s="45" t="n"/>
      <c r="N252" s="45" t="n"/>
      <c r="O252" s="45" t="n"/>
      <c r="P252" s="45" t="n"/>
      <c r="Q252" s="45" t="n"/>
      <c r="R252" s="45" t="n"/>
      <c r="S252" s="46" t="n"/>
      <c r="T252" s="46" t="n"/>
      <c r="U252" s="46" t="n"/>
      <c r="V252" s="46" t="n"/>
      <c r="W252" s="46" t="n"/>
      <c r="X252" s="46" t="n"/>
      <c r="Y252" s="46" t="n"/>
      <c r="Z252" s="46" t="n"/>
      <c r="AA252" s="46" t="n"/>
      <c r="AB252" s="46" t="n"/>
      <c r="AC252" s="46" t="n"/>
      <c r="AD252" s="46" t="n"/>
      <c r="AE252" s="46" t="n"/>
      <c r="AF252" s="46" t="n"/>
      <c r="AG252" s="46" t="n"/>
      <c r="AH252" s="47" t="n"/>
      <c r="AI252" s="47" t="n"/>
      <c r="AJ252" s="47" t="n"/>
      <c r="AK252" s="47" t="n"/>
      <c r="AL252" s="47" t="n"/>
      <c r="AM252" s="47" t="n"/>
      <c r="AN252" s="47" t="n"/>
      <c r="AO252" s="47" t="n"/>
      <c r="AP252" s="47" t="n"/>
      <c r="AQ252" s="47" t="n"/>
      <c r="AR252" s="47" t="n"/>
      <c r="AS252" s="47" t="n"/>
      <c r="AT252" s="47" t="n"/>
      <c r="AU252" s="48" t="n"/>
      <c r="AV252" s="48" t="n"/>
      <c r="AW252" s="49">
        <f>IF($A252="","",IF($BW252&lt;&gt;"","FIX",IF($BX252&lt;&gt;"","CHECK","OK")))</f>
        <v/>
      </c>
      <c r="AX252" s="50">
        <f>IF($A252="","",IF($BW252&lt;&gt;"","FIX: "&amp;LEFT($BW252,LEN($BW252)-2)&amp;IF($BX252&lt;&gt;"","  ·  ",""),"")&amp;IF($BX252&lt;&gt;"","CHECK: "&amp;LEFT($BX252,LEN($BX252)-2),""))</f>
        <v/>
      </c>
      <c r="AY252" s="49">
        <f>IF(OR($A252="",$K252=""),"",$K252&amp;"'-"&amp;N($L252)&amp;CHAR(34)&amp;" x "&amp;$M252&amp;"'-"&amp;N($N252)&amp;CHAR(34))</f>
        <v/>
      </c>
      <c r="AZ252" s="49">
        <f>IF(OR($A252="",$K252=""),"",$K252&amp;N($L252)&amp;$M252&amp;N($N252))</f>
        <v/>
      </c>
      <c r="BA252" s="49">
        <f>IF(OR($A252="",$K252=""),"",$K252*12+N($L252))</f>
        <v/>
      </c>
      <c r="BB252" s="49">
        <f>IF(OR($A252="",$M252=""),"",$M252*12+N($N252))</f>
        <v/>
      </c>
      <c r="BC252" s="49">
        <f>IF($A252="","",IF(OR($C252="FRAME ONLY",$S252="BL"),0,IF($O252="Y",2,1)))</f>
        <v/>
      </c>
      <c r="BD252" s="51">
        <f>IF(OR(N($BC252)=0,$BA252=""),"",($BA252-2*EdgeClr-IF($BC252=2,MeetClr,0))/$BC252)</f>
        <v/>
      </c>
      <c r="BE252" s="51">
        <f>IF(OR(N($BC252)=0,$BB252=""),"",$BB252-HeadClr-Undercut)</f>
        <v/>
      </c>
      <c r="BF252" s="51">
        <f>IF($BA252="","",$BA252+2*FaceW+IF(N($Q252)&gt;0,($Q252+FaceW)*IF($R252="LR",2,1),0))</f>
        <v/>
      </c>
      <c r="BG252" s="51">
        <f>IF($BB252="","",$BB252+IF($AB252="Y",4,FaceW)+IF(N($P252)&gt;0,$P252+FaceW,0)+IF(OR($S252="4F",$S252="BL"),FaceW,0))</f>
        <v/>
      </c>
      <c r="BH252" s="51">
        <f>IF($BF252="","",$BF252+2*ROSide)</f>
        <v/>
      </c>
      <c r="BI252" s="51">
        <f>IF($BG252="","",$BG252+ROTop)</f>
        <v/>
      </c>
      <c r="BJ252" s="52">
        <f>IF(OR(N($BC252)=0,$BA252=""),"",$BA252/$BC252-ClearDeduct)</f>
        <v/>
      </c>
      <c r="BK252" s="49">
        <f>IF(OR(N($BC252)=0,$BE252=""),"",IF(OR($AC252="HGC",$AP252="HGC"),"CONT",IF($BE252&lt;=60,2,IF($BE252&lt;=90,3,IF($BE252&lt;=120,4,5)))))</f>
        <v/>
      </c>
      <c r="BL252" s="49">
        <f>IF(N($BC252)=0,"",IF(OR($AL252="",$AL252="FLUSH"),"FLUSH",IFERROR(LEFT($AL252,FIND("-",$AL252)-1),LEFT($AL252,2))))</f>
        <v/>
      </c>
      <c r="BM252" s="49">
        <f>IF($BL252="","",IFERROR(VALUE(MID($AL252,FIND("-",$AL252)+1,FIND(CHAR(34)&amp;"x",$AL252)-FIND("-",$AL252)-1)),0))</f>
        <v/>
      </c>
      <c r="BN252" s="49">
        <f>IF($BL252="","",IFERROR(VALUE(MID($AL252,FIND(CHAR(34)&amp;"x",$AL252)+2,FIND(CHAR(34),$AL252,FIND(CHAR(34)&amp;"x",$AL252)+2)-FIND(CHAR(34)&amp;"x",$AL252)-2)),0))</f>
        <v/>
      </c>
      <c r="BO252" s="53">
        <f>IF(OR($A252="",$H252="",$H252="NO LAB"),0,IFERROR(VALUE(LEFT($H252,FIND(" ",$H252)-1)),0))</f>
        <v/>
      </c>
      <c r="BP252" s="54">
        <f>IF(OR($A252="",$I252="",$I252="NON-RATED",N($J252)=0),"",IFERROR(VLOOKUP($I252&amp;"|"&amp;$J252,IBC,2,FALSE),"?"))</f>
        <v/>
      </c>
      <c r="BQ252" s="50">
        <f>IF(NOT(AND($A252&lt;&gt;"",$C252&lt;&gt;"DOOR ONLY")),"",TRIM(IFERROR(VLOOKUP($U252,CODES,2,FALSE),"")&amp;" "&amp;$AZ252&amp;" "&amp;IFERROR(VLOOKUP($Z252,CODES,2,FALSE),"")&amp;" "&amp;IFERROR(VLOOKUP($X252,CODES,2,FALSE),"")&amp;" "&amp;IFERROR(VLOOKUP($S252,CODES,2,FALSE),"")&amp;IF(N($P252)&gt;0," w/TRANSOM "&amp;$P252&amp;CHAR(34),"")&amp;IF(N($Q252)&gt;0," w/SIDELITE "&amp;$Q252&amp;CHAR(34)&amp;" "&amp;IF($R252="","R",$R252),"")&amp;IF($Y252="","  |  "," | "&amp;IFERROR(VLOOKUP($Y252,CODES,2,FALSE),"")&amp;" | ")&amp;IFERROR(VLOOKUP($AC252,CODES,2,FALSE),"")&amp;" "&amp;IFERROR(VLOOKUP($AD252,CODES,2,FALSE),"")&amp;IF(OR($AE252="",$AE252="-"),""," "&amp;$AE252)&amp;IF(OR($AF252="",$AF252="-"),""," "&amp;$AF252)&amp;IF($AB252="Y"," 4"&amp;CHAR(34)&amp;" HEAD","")&amp;" "&amp;IFERROR(VLOOKUP($H252,CODES,2,FALSE),"")))</f>
        <v/>
      </c>
      <c r="BR252" s="50">
        <f>IF(NOT(AND($A252&lt;&gt;"",N($BC252)&gt;0)),"",TRIM(IFERROR(VLOOKUP($AH252,CODES,2,FALSE),"")&amp;IF($AI252=""," "," "&amp;$AI252&amp;"GA ")&amp;$AZ252&amp;" "&amp;IF($AN252="",IFERROR(VLOOKUP($Z252,CODES,2,FALSE),""),IFERROR(VLOOKUP($AN252,CODES,2,FALSE),""))&amp;IF($BC252=2," PAIR","")&amp;" DOOR | "&amp;IF($AL252="","?",$AL252)&amp;" | "&amp;IF($AP252="",IFERROR(VLOOKUP($AC252,CODES,2,FALSE),""),IFERROR(VLOOKUP($AP252,CODES,2,FALSE),""))&amp;" "&amp;IFERROR(VLOOKUP($AQ252,CODES,2,FALSE),"")&amp;IF(OR($AR252="",$AR252="-"),""," SEAM "&amp;$AR252)&amp;IF($AS252="Y"," ASTRAGAL","")&amp;IF($AJ252=""," "," "&amp;$AJ252)&amp;IF($AK252=""," "," "&amp;$AK252)&amp;IF($AO252="",""," "&amp;$AO252)&amp;IF($AM252=""," "," SERIES "&amp;$AM252)&amp;" "&amp;IFERROR(VLOOKUP($H252,CODES,2,FALSE),"")))</f>
        <v/>
      </c>
      <c r="BS252" s="49">
        <f>IF(BV252="","",IF(COUNTIF($BV$6:BV252,BV252)=1,MAX($BS$5:BS251)+1,INDEX($BS$5:BS251,MATCH(BV252,$BV$5:BV251,0))))</f>
        <v/>
      </c>
      <c r="BT252" s="49">
        <f>IF(NOT(AND($A252&lt;&gt;"",$C252&lt;&gt;"DOOR ONLY")),"",MAX($BT$5:BT251)+1)</f>
        <v/>
      </c>
      <c r="BU252" s="49">
        <f>IF(NOT(AND($A252&lt;&gt;"",N($BC252)&gt;0)),"",MAX($BU$5:BU251)+1)</f>
        <v/>
      </c>
      <c r="BV252" s="49">
        <f>IF(OR($A252="",$BA252="",$BB252=""),"",$AZ252&amp;"|"&amp;$O252&amp;"|"&amp;$AL252&amp;"|"&amp;$S252&amp;"|"&amp;$P252&amp;"|"&amp;$Q252&amp;$R252&amp;"|"&amp;$C252&amp;"|"&amp;$AB252)</f>
        <v/>
      </c>
      <c r="BW252" s="49">
        <f>IF($A252="","",IF($B252="","qty, ","")&amp;IF($C252="","scope, ","")&amp;IF(OR($K252="",$M252=""),"size, ","")&amp;IF(AND($A252&lt;&gt;"",$C252&lt;&gt;"DOOR ONLY"),IF($U252="","jamb depth, ","")&amp;IF($X252="","construction, ","")&amp;IF($Y252="","anchor, ","")&amp;IF($S252="","frame type, ",""),"")&amp;IF(AND(N($BC252)&gt;0,$Z252=""),"hand, ","")&amp;IF(N($BC252)&gt;0,IF($AH252="","door material, ","")&amp;IF($AL252="","face type, ","")&amp;IF($AQ252="","lock prep, ","")&amp;IF(AND($AP252="",$AC252=""),"hinge prep, ",""),"")&amp;IF(AND($BO252&gt;0,$AH252="FRP"),"FRP cannot carry a label, ","")&amp;IF(AND($O252="Y",OR($Z252="L",$Z252="R",$Z252="LR",$Z252="RR")),"pair marked but hand is single, ","")&amp;IF(AND($O252&lt;&gt;"Y",OR($Z252="PR",AND(LEN($Z252)&gt;1,ISNUMBER(SEARCH("-",$Z252))))),"pair hand on a single door, ","")&amp;IF(AND(ISNUMBER($BP252),$BO252&lt;N($BP252)),"wall needs a "&amp;$BP252&amp;" min door, ","")&amp;IF(AND($BO252&gt;=180,AND(OR($BL252="FG",$BL252="HG",$BL252="FNV",$BL252="FV"),N($BM252)*N($BN252)&gt;100)),"180 min lite over 100 sq in, ","")&amp;IF(N($BD252)&gt;48,"leaf wider than 4'-0"&amp;CHAR(34)&amp;", ",""))</f>
        <v/>
      </c>
      <c r="BX252" s="49">
        <f>IF($A252="","",IF(AND($BO252&gt;0,AND($A252&lt;&gt;"",$C252&lt;&gt;"DOOR ONLY"),$X252="KD",$E252="EXTERIOR"),"KD label on an exterior opening, ","")&amp;IF(AND($E252="EXTERIOR",OR(AND(AND($A252&lt;&gt;"",$C252&lt;&gt;"DOOR ONLY"),$W252="CR"),AND(N($BC252)&gt;0,$AH252="CR"))),"exterior in CR steel (G9?), ","")&amp;IF(AND(ISNUMBER($BJ252),N($BJ252)&lt;32),"clear width ~"&amp;TEXT($BJ252,"0.0")&amp;CHAR(34)&amp;" under 32"&amp;CHAR(34)&amp;" (ADA), ","")&amp;IF(AND($BO252=90,AND(OR($BL252="FG",$BL252="HG",$BL252="FNV",$BL252="FV"),N($BM252)*N($BN252)&gt;100)),"90 min lite over 100 sq in (stair/exit), ","")&amp;IF(AND($BO252&gt;0,AND($A252&lt;&gt;"",$C252&lt;&gt;"DOOR ONLY"),OR($AF252="",$AF252="-")),"rated: closer reinf.?, ","")&amp;IF(OR($I252="CORRIDOR",$I252="SMOKE BARRIER"),"S label + smoke gasketing, ","")&amp;IF($BP252="?","wall type/hr not in IBC table, ","")&amp;IF(AND(N($BC252)&gt;0,$AU252=""),"no hardware set, ","")&amp;IF(AND($AU252&lt;&gt;"",ISNA(MATCH($AU252,HWSets,0))),"set "&amp;$AU252&amp;" not on Hardware sheet, ","")&amp;IF(N($BE252)&gt;96,"leaf over 8'-0"&amp;CHAR(34)&amp;" - check listing, ",""))</f>
        <v/>
      </c>
    </row>
    <row r="253" ht="15" customHeight="1">
      <c r="A253" s="44" t="n"/>
      <c r="B253" s="45" t="n"/>
      <c r="C253" s="45" t="n"/>
      <c r="D253" s="45" t="n"/>
      <c r="E253" s="45" t="n"/>
      <c r="F253" s="45" t="n"/>
      <c r="G253" s="45" t="n"/>
      <c r="H253" s="45" t="n"/>
      <c r="I253" s="45" t="n"/>
      <c r="J253" s="45" t="n"/>
      <c r="K253" s="45" t="n"/>
      <c r="L253" s="45" t="n"/>
      <c r="M253" s="45" t="n"/>
      <c r="N253" s="45" t="n"/>
      <c r="O253" s="45" t="n"/>
      <c r="P253" s="45" t="n"/>
      <c r="Q253" s="45" t="n"/>
      <c r="R253" s="45" t="n"/>
      <c r="S253" s="46" t="n"/>
      <c r="T253" s="46" t="n"/>
      <c r="U253" s="46" t="n"/>
      <c r="V253" s="46" t="n"/>
      <c r="W253" s="46" t="n"/>
      <c r="X253" s="46" t="n"/>
      <c r="Y253" s="46" t="n"/>
      <c r="Z253" s="46" t="n"/>
      <c r="AA253" s="46" t="n"/>
      <c r="AB253" s="46" t="n"/>
      <c r="AC253" s="46" t="n"/>
      <c r="AD253" s="46" t="n"/>
      <c r="AE253" s="46" t="n"/>
      <c r="AF253" s="46" t="n"/>
      <c r="AG253" s="46" t="n"/>
      <c r="AH253" s="47" t="n"/>
      <c r="AI253" s="47" t="n"/>
      <c r="AJ253" s="47" t="n"/>
      <c r="AK253" s="47" t="n"/>
      <c r="AL253" s="47" t="n"/>
      <c r="AM253" s="47" t="n"/>
      <c r="AN253" s="47" t="n"/>
      <c r="AO253" s="47" t="n"/>
      <c r="AP253" s="47" t="n"/>
      <c r="AQ253" s="47" t="n"/>
      <c r="AR253" s="47" t="n"/>
      <c r="AS253" s="47" t="n"/>
      <c r="AT253" s="47" t="n"/>
      <c r="AU253" s="48" t="n"/>
      <c r="AV253" s="48" t="n"/>
      <c r="AW253" s="49">
        <f>IF($A253="","",IF($BW253&lt;&gt;"","FIX",IF($BX253&lt;&gt;"","CHECK","OK")))</f>
        <v/>
      </c>
      <c r="AX253" s="50">
        <f>IF($A253="","",IF($BW253&lt;&gt;"","FIX: "&amp;LEFT($BW253,LEN($BW253)-2)&amp;IF($BX253&lt;&gt;"","  ·  ",""),"")&amp;IF($BX253&lt;&gt;"","CHECK: "&amp;LEFT($BX253,LEN($BX253)-2),""))</f>
        <v/>
      </c>
      <c r="AY253" s="49">
        <f>IF(OR($A253="",$K253=""),"",$K253&amp;"'-"&amp;N($L253)&amp;CHAR(34)&amp;" x "&amp;$M253&amp;"'-"&amp;N($N253)&amp;CHAR(34))</f>
        <v/>
      </c>
      <c r="AZ253" s="49">
        <f>IF(OR($A253="",$K253=""),"",$K253&amp;N($L253)&amp;$M253&amp;N($N253))</f>
        <v/>
      </c>
      <c r="BA253" s="49">
        <f>IF(OR($A253="",$K253=""),"",$K253*12+N($L253))</f>
        <v/>
      </c>
      <c r="BB253" s="49">
        <f>IF(OR($A253="",$M253=""),"",$M253*12+N($N253))</f>
        <v/>
      </c>
      <c r="BC253" s="49">
        <f>IF($A253="","",IF(OR($C253="FRAME ONLY",$S253="BL"),0,IF($O253="Y",2,1)))</f>
        <v/>
      </c>
      <c r="BD253" s="51">
        <f>IF(OR(N($BC253)=0,$BA253=""),"",($BA253-2*EdgeClr-IF($BC253=2,MeetClr,0))/$BC253)</f>
        <v/>
      </c>
      <c r="BE253" s="51">
        <f>IF(OR(N($BC253)=0,$BB253=""),"",$BB253-HeadClr-Undercut)</f>
        <v/>
      </c>
      <c r="BF253" s="51">
        <f>IF($BA253="","",$BA253+2*FaceW+IF(N($Q253)&gt;0,($Q253+FaceW)*IF($R253="LR",2,1),0))</f>
        <v/>
      </c>
      <c r="BG253" s="51">
        <f>IF($BB253="","",$BB253+IF($AB253="Y",4,FaceW)+IF(N($P253)&gt;0,$P253+FaceW,0)+IF(OR($S253="4F",$S253="BL"),FaceW,0))</f>
        <v/>
      </c>
      <c r="BH253" s="51">
        <f>IF($BF253="","",$BF253+2*ROSide)</f>
        <v/>
      </c>
      <c r="BI253" s="51">
        <f>IF($BG253="","",$BG253+ROTop)</f>
        <v/>
      </c>
      <c r="BJ253" s="52">
        <f>IF(OR(N($BC253)=0,$BA253=""),"",$BA253/$BC253-ClearDeduct)</f>
        <v/>
      </c>
      <c r="BK253" s="49">
        <f>IF(OR(N($BC253)=0,$BE253=""),"",IF(OR($AC253="HGC",$AP253="HGC"),"CONT",IF($BE253&lt;=60,2,IF($BE253&lt;=90,3,IF($BE253&lt;=120,4,5)))))</f>
        <v/>
      </c>
      <c r="BL253" s="49">
        <f>IF(N($BC253)=0,"",IF(OR($AL253="",$AL253="FLUSH"),"FLUSH",IFERROR(LEFT($AL253,FIND("-",$AL253)-1),LEFT($AL253,2))))</f>
        <v/>
      </c>
      <c r="BM253" s="49">
        <f>IF($BL253="","",IFERROR(VALUE(MID($AL253,FIND("-",$AL253)+1,FIND(CHAR(34)&amp;"x",$AL253)-FIND("-",$AL253)-1)),0))</f>
        <v/>
      </c>
      <c r="BN253" s="49">
        <f>IF($BL253="","",IFERROR(VALUE(MID($AL253,FIND(CHAR(34)&amp;"x",$AL253)+2,FIND(CHAR(34),$AL253,FIND(CHAR(34)&amp;"x",$AL253)+2)-FIND(CHAR(34)&amp;"x",$AL253)-2)),0))</f>
        <v/>
      </c>
      <c r="BO253" s="53">
        <f>IF(OR($A253="",$H253="",$H253="NO LAB"),0,IFERROR(VALUE(LEFT($H253,FIND(" ",$H253)-1)),0))</f>
        <v/>
      </c>
      <c r="BP253" s="54">
        <f>IF(OR($A253="",$I253="",$I253="NON-RATED",N($J253)=0),"",IFERROR(VLOOKUP($I253&amp;"|"&amp;$J253,IBC,2,FALSE),"?"))</f>
        <v/>
      </c>
      <c r="BQ253" s="50">
        <f>IF(NOT(AND($A253&lt;&gt;"",$C253&lt;&gt;"DOOR ONLY")),"",TRIM(IFERROR(VLOOKUP($U253,CODES,2,FALSE),"")&amp;" "&amp;$AZ253&amp;" "&amp;IFERROR(VLOOKUP($Z253,CODES,2,FALSE),"")&amp;" "&amp;IFERROR(VLOOKUP($X253,CODES,2,FALSE),"")&amp;" "&amp;IFERROR(VLOOKUP($S253,CODES,2,FALSE),"")&amp;IF(N($P253)&gt;0," w/TRANSOM "&amp;$P253&amp;CHAR(34),"")&amp;IF(N($Q253)&gt;0," w/SIDELITE "&amp;$Q253&amp;CHAR(34)&amp;" "&amp;IF($R253="","R",$R253),"")&amp;IF($Y253="","  |  "," | "&amp;IFERROR(VLOOKUP($Y253,CODES,2,FALSE),"")&amp;" | ")&amp;IFERROR(VLOOKUP($AC253,CODES,2,FALSE),"")&amp;" "&amp;IFERROR(VLOOKUP($AD253,CODES,2,FALSE),"")&amp;IF(OR($AE253="",$AE253="-"),""," "&amp;$AE253)&amp;IF(OR($AF253="",$AF253="-"),""," "&amp;$AF253)&amp;IF($AB253="Y"," 4"&amp;CHAR(34)&amp;" HEAD","")&amp;" "&amp;IFERROR(VLOOKUP($H253,CODES,2,FALSE),"")))</f>
        <v/>
      </c>
      <c r="BR253" s="50">
        <f>IF(NOT(AND($A253&lt;&gt;"",N($BC253)&gt;0)),"",TRIM(IFERROR(VLOOKUP($AH253,CODES,2,FALSE),"")&amp;IF($AI253=""," "," "&amp;$AI253&amp;"GA ")&amp;$AZ253&amp;" "&amp;IF($AN253="",IFERROR(VLOOKUP($Z253,CODES,2,FALSE),""),IFERROR(VLOOKUP($AN253,CODES,2,FALSE),""))&amp;IF($BC253=2," PAIR","")&amp;" DOOR | "&amp;IF($AL253="","?",$AL253)&amp;" | "&amp;IF($AP253="",IFERROR(VLOOKUP($AC253,CODES,2,FALSE),""),IFERROR(VLOOKUP($AP253,CODES,2,FALSE),""))&amp;" "&amp;IFERROR(VLOOKUP($AQ253,CODES,2,FALSE),"")&amp;IF(OR($AR253="",$AR253="-"),""," SEAM "&amp;$AR253)&amp;IF($AS253="Y"," ASTRAGAL","")&amp;IF($AJ253=""," "," "&amp;$AJ253)&amp;IF($AK253=""," "," "&amp;$AK253)&amp;IF($AO253="",""," "&amp;$AO253)&amp;IF($AM253=""," "," SERIES "&amp;$AM253)&amp;" "&amp;IFERROR(VLOOKUP($H253,CODES,2,FALSE),"")))</f>
        <v/>
      </c>
      <c r="BS253" s="49">
        <f>IF(BV253="","",IF(COUNTIF($BV$6:BV253,BV253)=1,MAX($BS$5:BS252)+1,INDEX($BS$5:BS252,MATCH(BV253,$BV$5:BV252,0))))</f>
        <v/>
      </c>
      <c r="BT253" s="49">
        <f>IF(NOT(AND($A253&lt;&gt;"",$C253&lt;&gt;"DOOR ONLY")),"",MAX($BT$5:BT252)+1)</f>
        <v/>
      </c>
      <c r="BU253" s="49">
        <f>IF(NOT(AND($A253&lt;&gt;"",N($BC253)&gt;0)),"",MAX($BU$5:BU252)+1)</f>
        <v/>
      </c>
      <c r="BV253" s="49">
        <f>IF(OR($A253="",$BA253="",$BB253=""),"",$AZ253&amp;"|"&amp;$O253&amp;"|"&amp;$AL253&amp;"|"&amp;$S253&amp;"|"&amp;$P253&amp;"|"&amp;$Q253&amp;$R253&amp;"|"&amp;$C253&amp;"|"&amp;$AB253)</f>
        <v/>
      </c>
      <c r="BW253" s="49">
        <f>IF($A253="","",IF($B253="","qty, ","")&amp;IF($C253="","scope, ","")&amp;IF(OR($K253="",$M253=""),"size, ","")&amp;IF(AND($A253&lt;&gt;"",$C253&lt;&gt;"DOOR ONLY"),IF($U253="","jamb depth, ","")&amp;IF($X253="","construction, ","")&amp;IF($Y253="","anchor, ","")&amp;IF($S253="","frame type, ",""),"")&amp;IF(AND(N($BC253)&gt;0,$Z253=""),"hand, ","")&amp;IF(N($BC253)&gt;0,IF($AH253="","door material, ","")&amp;IF($AL253="","face type, ","")&amp;IF($AQ253="","lock prep, ","")&amp;IF(AND($AP253="",$AC253=""),"hinge prep, ",""),"")&amp;IF(AND($BO253&gt;0,$AH253="FRP"),"FRP cannot carry a label, ","")&amp;IF(AND($O253="Y",OR($Z253="L",$Z253="R",$Z253="LR",$Z253="RR")),"pair marked but hand is single, ","")&amp;IF(AND($O253&lt;&gt;"Y",OR($Z253="PR",AND(LEN($Z253)&gt;1,ISNUMBER(SEARCH("-",$Z253))))),"pair hand on a single door, ","")&amp;IF(AND(ISNUMBER($BP253),$BO253&lt;N($BP253)),"wall needs a "&amp;$BP253&amp;" min door, ","")&amp;IF(AND($BO253&gt;=180,AND(OR($BL253="FG",$BL253="HG",$BL253="FNV",$BL253="FV"),N($BM253)*N($BN253)&gt;100)),"180 min lite over 100 sq in, ","")&amp;IF(N($BD253)&gt;48,"leaf wider than 4'-0"&amp;CHAR(34)&amp;", ",""))</f>
        <v/>
      </c>
      <c r="BX253" s="49">
        <f>IF($A253="","",IF(AND($BO253&gt;0,AND($A253&lt;&gt;"",$C253&lt;&gt;"DOOR ONLY"),$X253="KD",$E253="EXTERIOR"),"KD label on an exterior opening, ","")&amp;IF(AND($E253="EXTERIOR",OR(AND(AND($A253&lt;&gt;"",$C253&lt;&gt;"DOOR ONLY"),$W253="CR"),AND(N($BC253)&gt;0,$AH253="CR"))),"exterior in CR steel (G9?), ","")&amp;IF(AND(ISNUMBER($BJ253),N($BJ253)&lt;32),"clear width ~"&amp;TEXT($BJ253,"0.0")&amp;CHAR(34)&amp;" under 32"&amp;CHAR(34)&amp;" (ADA), ","")&amp;IF(AND($BO253=90,AND(OR($BL253="FG",$BL253="HG",$BL253="FNV",$BL253="FV"),N($BM253)*N($BN253)&gt;100)),"90 min lite over 100 sq in (stair/exit), ","")&amp;IF(AND($BO253&gt;0,AND($A253&lt;&gt;"",$C253&lt;&gt;"DOOR ONLY"),OR($AF253="",$AF253="-")),"rated: closer reinf.?, ","")&amp;IF(OR($I253="CORRIDOR",$I253="SMOKE BARRIER"),"S label + smoke gasketing, ","")&amp;IF($BP253="?","wall type/hr not in IBC table, ","")&amp;IF(AND(N($BC253)&gt;0,$AU253=""),"no hardware set, ","")&amp;IF(AND($AU253&lt;&gt;"",ISNA(MATCH($AU253,HWSets,0))),"set "&amp;$AU253&amp;" not on Hardware sheet, ","")&amp;IF(N($BE253)&gt;96,"leaf over 8'-0"&amp;CHAR(34)&amp;" - check listing, ",""))</f>
        <v/>
      </c>
    </row>
    <row r="254" ht="15" customHeight="1">
      <c r="A254" s="44" t="n"/>
      <c r="B254" s="45" t="n"/>
      <c r="C254" s="45" t="n"/>
      <c r="D254" s="45" t="n"/>
      <c r="E254" s="45" t="n"/>
      <c r="F254" s="45" t="n"/>
      <c r="G254" s="45" t="n"/>
      <c r="H254" s="45" t="n"/>
      <c r="I254" s="45" t="n"/>
      <c r="J254" s="45" t="n"/>
      <c r="K254" s="45" t="n"/>
      <c r="L254" s="45" t="n"/>
      <c r="M254" s="45" t="n"/>
      <c r="N254" s="45" t="n"/>
      <c r="O254" s="45" t="n"/>
      <c r="P254" s="45" t="n"/>
      <c r="Q254" s="45" t="n"/>
      <c r="R254" s="45" t="n"/>
      <c r="S254" s="46" t="n"/>
      <c r="T254" s="46" t="n"/>
      <c r="U254" s="46" t="n"/>
      <c r="V254" s="46" t="n"/>
      <c r="W254" s="46" t="n"/>
      <c r="X254" s="46" t="n"/>
      <c r="Y254" s="46" t="n"/>
      <c r="Z254" s="46" t="n"/>
      <c r="AA254" s="46" t="n"/>
      <c r="AB254" s="46" t="n"/>
      <c r="AC254" s="46" t="n"/>
      <c r="AD254" s="46" t="n"/>
      <c r="AE254" s="46" t="n"/>
      <c r="AF254" s="46" t="n"/>
      <c r="AG254" s="46" t="n"/>
      <c r="AH254" s="47" t="n"/>
      <c r="AI254" s="47" t="n"/>
      <c r="AJ254" s="47" t="n"/>
      <c r="AK254" s="47" t="n"/>
      <c r="AL254" s="47" t="n"/>
      <c r="AM254" s="47" t="n"/>
      <c r="AN254" s="47" t="n"/>
      <c r="AO254" s="47" t="n"/>
      <c r="AP254" s="47" t="n"/>
      <c r="AQ254" s="47" t="n"/>
      <c r="AR254" s="47" t="n"/>
      <c r="AS254" s="47" t="n"/>
      <c r="AT254" s="47" t="n"/>
      <c r="AU254" s="48" t="n"/>
      <c r="AV254" s="48" t="n"/>
      <c r="AW254" s="49">
        <f>IF($A254="","",IF($BW254&lt;&gt;"","FIX",IF($BX254&lt;&gt;"","CHECK","OK")))</f>
        <v/>
      </c>
      <c r="AX254" s="50">
        <f>IF($A254="","",IF($BW254&lt;&gt;"","FIX: "&amp;LEFT($BW254,LEN($BW254)-2)&amp;IF($BX254&lt;&gt;"","  ·  ",""),"")&amp;IF($BX254&lt;&gt;"","CHECK: "&amp;LEFT($BX254,LEN($BX254)-2),""))</f>
        <v/>
      </c>
      <c r="AY254" s="49">
        <f>IF(OR($A254="",$K254=""),"",$K254&amp;"'-"&amp;N($L254)&amp;CHAR(34)&amp;" x "&amp;$M254&amp;"'-"&amp;N($N254)&amp;CHAR(34))</f>
        <v/>
      </c>
      <c r="AZ254" s="49">
        <f>IF(OR($A254="",$K254=""),"",$K254&amp;N($L254)&amp;$M254&amp;N($N254))</f>
        <v/>
      </c>
      <c r="BA254" s="49">
        <f>IF(OR($A254="",$K254=""),"",$K254*12+N($L254))</f>
        <v/>
      </c>
      <c r="BB254" s="49">
        <f>IF(OR($A254="",$M254=""),"",$M254*12+N($N254))</f>
        <v/>
      </c>
      <c r="BC254" s="49">
        <f>IF($A254="","",IF(OR($C254="FRAME ONLY",$S254="BL"),0,IF($O254="Y",2,1)))</f>
        <v/>
      </c>
      <c r="BD254" s="51">
        <f>IF(OR(N($BC254)=0,$BA254=""),"",($BA254-2*EdgeClr-IF($BC254=2,MeetClr,0))/$BC254)</f>
        <v/>
      </c>
      <c r="BE254" s="51">
        <f>IF(OR(N($BC254)=0,$BB254=""),"",$BB254-HeadClr-Undercut)</f>
        <v/>
      </c>
      <c r="BF254" s="51">
        <f>IF($BA254="","",$BA254+2*FaceW+IF(N($Q254)&gt;0,($Q254+FaceW)*IF($R254="LR",2,1),0))</f>
        <v/>
      </c>
      <c r="BG254" s="51">
        <f>IF($BB254="","",$BB254+IF($AB254="Y",4,FaceW)+IF(N($P254)&gt;0,$P254+FaceW,0)+IF(OR($S254="4F",$S254="BL"),FaceW,0))</f>
        <v/>
      </c>
      <c r="BH254" s="51">
        <f>IF($BF254="","",$BF254+2*ROSide)</f>
        <v/>
      </c>
      <c r="BI254" s="51">
        <f>IF($BG254="","",$BG254+ROTop)</f>
        <v/>
      </c>
      <c r="BJ254" s="52">
        <f>IF(OR(N($BC254)=0,$BA254=""),"",$BA254/$BC254-ClearDeduct)</f>
        <v/>
      </c>
      <c r="BK254" s="49">
        <f>IF(OR(N($BC254)=0,$BE254=""),"",IF(OR($AC254="HGC",$AP254="HGC"),"CONT",IF($BE254&lt;=60,2,IF($BE254&lt;=90,3,IF($BE254&lt;=120,4,5)))))</f>
        <v/>
      </c>
      <c r="BL254" s="49">
        <f>IF(N($BC254)=0,"",IF(OR($AL254="",$AL254="FLUSH"),"FLUSH",IFERROR(LEFT($AL254,FIND("-",$AL254)-1),LEFT($AL254,2))))</f>
        <v/>
      </c>
      <c r="BM254" s="49">
        <f>IF($BL254="","",IFERROR(VALUE(MID($AL254,FIND("-",$AL254)+1,FIND(CHAR(34)&amp;"x",$AL254)-FIND("-",$AL254)-1)),0))</f>
        <v/>
      </c>
      <c r="BN254" s="49">
        <f>IF($BL254="","",IFERROR(VALUE(MID($AL254,FIND(CHAR(34)&amp;"x",$AL254)+2,FIND(CHAR(34),$AL254,FIND(CHAR(34)&amp;"x",$AL254)+2)-FIND(CHAR(34)&amp;"x",$AL254)-2)),0))</f>
        <v/>
      </c>
      <c r="BO254" s="53">
        <f>IF(OR($A254="",$H254="",$H254="NO LAB"),0,IFERROR(VALUE(LEFT($H254,FIND(" ",$H254)-1)),0))</f>
        <v/>
      </c>
      <c r="BP254" s="54">
        <f>IF(OR($A254="",$I254="",$I254="NON-RATED",N($J254)=0),"",IFERROR(VLOOKUP($I254&amp;"|"&amp;$J254,IBC,2,FALSE),"?"))</f>
        <v/>
      </c>
      <c r="BQ254" s="50">
        <f>IF(NOT(AND($A254&lt;&gt;"",$C254&lt;&gt;"DOOR ONLY")),"",TRIM(IFERROR(VLOOKUP($U254,CODES,2,FALSE),"")&amp;" "&amp;$AZ254&amp;" "&amp;IFERROR(VLOOKUP($Z254,CODES,2,FALSE),"")&amp;" "&amp;IFERROR(VLOOKUP($X254,CODES,2,FALSE),"")&amp;" "&amp;IFERROR(VLOOKUP($S254,CODES,2,FALSE),"")&amp;IF(N($P254)&gt;0," w/TRANSOM "&amp;$P254&amp;CHAR(34),"")&amp;IF(N($Q254)&gt;0," w/SIDELITE "&amp;$Q254&amp;CHAR(34)&amp;" "&amp;IF($R254="","R",$R254),"")&amp;IF($Y254="","  |  "," | "&amp;IFERROR(VLOOKUP($Y254,CODES,2,FALSE),"")&amp;" | ")&amp;IFERROR(VLOOKUP($AC254,CODES,2,FALSE),"")&amp;" "&amp;IFERROR(VLOOKUP($AD254,CODES,2,FALSE),"")&amp;IF(OR($AE254="",$AE254="-"),""," "&amp;$AE254)&amp;IF(OR($AF254="",$AF254="-"),""," "&amp;$AF254)&amp;IF($AB254="Y"," 4"&amp;CHAR(34)&amp;" HEAD","")&amp;" "&amp;IFERROR(VLOOKUP($H254,CODES,2,FALSE),"")))</f>
        <v/>
      </c>
      <c r="BR254" s="50">
        <f>IF(NOT(AND($A254&lt;&gt;"",N($BC254)&gt;0)),"",TRIM(IFERROR(VLOOKUP($AH254,CODES,2,FALSE),"")&amp;IF($AI254=""," "," "&amp;$AI254&amp;"GA ")&amp;$AZ254&amp;" "&amp;IF($AN254="",IFERROR(VLOOKUP($Z254,CODES,2,FALSE),""),IFERROR(VLOOKUP($AN254,CODES,2,FALSE),""))&amp;IF($BC254=2," PAIR","")&amp;" DOOR | "&amp;IF($AL254="","?",$AL254)&amp;" | "&amp;IF($AP254="",IFERROR(VLOOKUP($AC254,CODES,2,FALSE),""),IFERROR(VLOOKUP($AP254,CODES,2,FALSE),""))&amp;" "&amp;IFERROR(VLOOKUP($AQ254,CODES,2,FALSE),"")&amp;IF(OR($AR254="",$AR254="-"),""," SEAM "&amp;$AR254)&amp;IF($AS254="Y"," ASTRAGAL","")&amp;IF($AJ254=""," "," "&amp;$AJ254)&amp;IF($AK254=""," "," "&amp;$AK254)&amp;IF($AO254="",""," "&amp;$AO254)&amp;IF($AM254=""," "," SERIES "&amp;$AM254)&amp;" "&amp;IFERROR(VLOOKUP($H254,CODES,2,FALSE),"")))</f>
        <v/>
      </c>
      <c r="BS254" s="49">
        <f>IF(BV254="","",IF(COUNTIF($BV$6:BV254,BV254)=1,MAX($BS$5:BS253)+1,INDEX($BS$5:BS253,MATCH(BV254,$BV$5:BV253,0))))</f>
        <v/>
      </c>
      <c r="BT254" s="49">
        <f>IF(NOT(AND($A254&lt;&gt;"",$C254&lt;&gt;"DOOR ONLY")),"",MAX($BT$5:BT253)+1)</f>
        <v/>
      </c>
      <c r="BU254" s="49">
        <f>IF(NOT(AND($A254&lt;&gt;"",N($BC254)&gt;0)),"",MAX($BU$5:BU253)+1)</f>
        <v/>
      </c>
      <c r="BV254" s="49">
        <f>IF(OR($A254="",$BA254="",$BB254=""),"",$AZ254&amp;"|"&amp;$O254&amp;"|"&amp;$AL254&amp;"|"&amp;$S254&amp;"|"&amp;$P254&amp;"|"&amp;$Q254&amp;$R254&amp;"|"&amp;$C254&amp;"|"&amp;$AB254)</f>
        <v/>
      </c>
      <c r="BW254" s="49">
        <f>IF($A254="","",IF($B254="","qty, ","")&amp;IF($C254="","scope, ","")&amp;IF(OR($K254="",$M254=""),"size, ","")&amp;IF(AND($A254&lt;&gt;"",$C254&lt;&gt;"DOOR ONLY"),IF($U254="","jamb depth, ","")&amp;IF($X254="","construction, ","")&amp;IF($Y254="","anchor, ","")&amp;IF($S254="","frame type, ",""),"")&amp;IF(AND(N($BC254)&gt;0,$Z254=""),"hand, ","")&amp;IF(N($BC254)&gt;0,IF($AH254="","door material, ","")&amp;IF($AL254="","face type, ","")&amp;IF($AQ254="","lock prep, ","")&amp;IF(AND($AP254="",$AC254=""),"hinge prep, ",""),"")&amp;IF(AND($BO254&gt;0,$AH254="FRP"),"FRP cannot carry a label, ","")&amp;IF(AND($O254="Y",OR($Z254="L",$Z254="R",$Z254="LR",$Z254="RR")),"pair marked but hand is single, ","")&amp;IF(AND($O254&lt;&gt;"Y",OR($Z254="PR",AND(LEN($Z254)&gt;1,ISNUMBER(SEARCH("-",$Z254))))),"pair hand on a single door, ","")&amp;IF(AND(ISNUMBER($BP254),$BO254&lt;N($BP254)),"wall needs a "&amp;$BP254&amp;" min door, ","")&amp;IF(AND($BO254&gt;=180,AND(OR($BL254="FG",$BL254="HG",$BL254="FNV",$BL254="FV"),N($BM254)*N($BN254)&gt;100)),"180 min lite over 100 sq in, ","")&amp;IF(N($BD254)&gt;48,"leaf wider than 4'-0"&amp;CHAR(34)&amp;", ",""))</f>
        <v/>
      </c>
      <c r="BX254" s="49">
        <f>IF($A254="","",IF(AND($BO254&gt;0,AND($A254&lt;&gt;"",$C254&lt;&gt;"DOOR ONLY"),$X254="KD",$E254="EXTERIOR"),"KD label on an exterior opening, ","")&amp;IF(AND($E254="EXTERIOR",OR(AND(AND($A254&lt;&gt;"",$C254&lt;&gt;"DOOR ONLY"),$W254="CR"),AND(N($BC254)&gt;0,$AH254="CR"))),"exterior in CR steel (G9?), ","")&amp;IF(AND(ISNUMBER($BJ254),N($BJ254)&lt;32),"clear width ~"&amp;TEXT($BJ254,"0.0")&amp;CHAR(34)&amp;" under 32"&amp;CHAR(34)&amp;" (ADA), ","")&amp;IF(AND($BO254=90,AND(OR($BL254="FG",$BL254="HG",$BL254="FNV",$BL254="FV"),N($BM254)*N($BN254)&gt;100)),"90 min lite over 100 sq in (stair/exit), ","")&amp;IF(AND($BO254&gt;0,AND($A254&lt;&gt;"",$C254&lt;&gt;"DOOR ONLY"),OR($AF254="",$AF254="-")),"rated: closer reinf.?, ","")&amp;IF(OR($I254="CORRIDOR",$I254="SMOKE BARRIER"),"S label + smoke gasketing, ","")&amp;IF($BP254="?","wall type/hr not in IBC table, ","")&amp;IF(AND(N($BC254)&gt;0,$AU254=""),"no hardware set, ","")&amp;IF(AND($AU254&lt;&gt;"",ISNA(MATCH($AU254,HWSets,0))),"set "&amp;$AU254&amp;" not on Hardware sheet, ","")&amp;IF(N($BE254)&gt;96,"leaf over 8'-0"&amp;CHAR(34)&amp;" - check listing, ",""))</f>
        <v/>
      </c>
    </row>
    <row r="255" ht="15" customHeight="1">
      <c r="A255" s="44" t="n"/>
      <c r="B255" s="45" t="n"/>
      <c r="C255" s="45" t="n"/>
      <c r="D255" s="45" t="n"/>
      <c r="E255" s="45" t="n"/>
      <c r="F255" s="45" t="n"/>
      <c r="G255" s="45" t="n"/>
      <c r="H255" s="45" t="n"/>
      <c r="I255" s="45" t="n"/>
      <c r="J255" s="45" t="n"/>
      <c r="K255" s="45" t="n"/>
      <c r="L255" s="45" t="n"/>
      <c r="M255" s="45" t="n"/>
      <c r="N255" s="45" t="n"/>
      <c r="O255" s="45" t="n"/>
      <c r="P255" s="45" t="n"/>
      <c r="Q255" s="45" t="n"/>
      <c r="R255" s="45" t="n"/>
      <c r="S255" s="46" t="n"/>
      <c r="T255" s="46" t="n"/>
      <c r="U255" s="46" t="n"/>
      <c r="V255" s="46" t="n"/>
      <c r="W255" s="46" t="n"/>
      <c r="X255" s="46" t="n"/>
      <c r="Y255" s="46" t="n"/>
      <c r="Z255" s="46" t="n"/>
      <c r="AA255" s="46" t="n"/>
      <c r="AB255" s="46" t="n"/>
      <c r="AC255" s="46" t="n"/>
      <c r="AD255" s="46" t="n"/>
      <c r="AE255" s="46" t="n"/>
      <c r="AF255" s="46" t="n"/>
      <c r="AG255" s="46" t="n"/>
      <c r="AH255" s="47" t="n"/>
      <c r="AI255" s="47" t="n"/>
      <c r="AJ255" s="47" t="n"/>
      <c r="AK255" s="47" t="n"/>
      <c r="AL255" s="47" t="n"/>
      <c r="AM255" s="47" t="n"/>
      <c r="AN255" s="47" t="n"/>
      <c r="AO255" s="47" t="n"/>
      <c r="AP255" s="47" t="n"/>
      <c r="AQ255" s="47" t="n"/>
      <c r="AR255" s="47" t="n"/>
      <c r="AS255" s="47" t="n"/>
      <c r="AT255" s="47" t="n"/>
      <c r="AU255" s="48" t="n"/>
      <c r="AV255" s="48" t="n"/>
      <c r="AW255" s="49">
        <f>IF($A255="","",IF($BW255&lt;&gt;"","FIX",IF($BX255&lt;&gt;"","CHECK","OK")))</f>
        <v/>
      </c>
      <c r="AX255" s="50">
        <f>IF($A255="","",IF($BW255&lt;&gt;"","FIX: "&amp;LEFT($BW255,LEN($BW255)-2)&amp;IF($BX255&lt;&gt;"","  ·  ",""),"")&amp;IF($BX255&lt;&gt;"","CHECK: "&amp;LEFT($BX255,LEN($BX255)-2),""))</f>
        <v/>
      </c>
      <c r="AY255" s="49">
        <f>IF(OR($A255="",$K255=""),"",$K255&amp;"'-"&amp;N($L255)&amp;CHAR(34)&amp;" x "&amp;$M255&amp;"'-"&amp;N($N255)&amp;CHAR(34))</f>
        <v/>
      </c>
      <c r="AZ255" s="49">
        <f>IF(OR($A255="",$K255=""),"",$K255&amp;N($L255)&amp;$M255&amp;N($N255))</f>
        <v/>
      </c>
      <c r="BA255" s="49">
        <f>IF(OR($A255="",$K255=""),"",$K255*12+N($L255))</f>
        <v/>
      </c>
      <c r="BB255" s="49">
        <f>IF(OR($A255="",$M255=""),"",$M255*12+N($N255))</f>
        <v/>
      </c>
      <c r="BC255" s="49">
        <f>IF($A255="","",IF(OR($C255="FRAME ONLY",$S255="BL"),0,IF($O255="Y",2,1)))</f>
        <v/>
      </c>
      <c r="BD255" s="51">
        <f>IF(OR(N($BC255)=0,$BA255=""),"",($BA255-2*EdgeClr-IF($BC255=2,MeetClr,0))/$BC255)</f>
        <v/>
      </c>
      <c r="BE255" s="51">
        <f>IF(OR(N($BC255)=0,$BB255=""),"",$BB255-HeadClr-Undercut)</f>
        <v/>
      </c>
      <c r="BF255" s="51">
        <f>IF($BA255="","",$BA255+2*FaceW+IF(N($Q255)&gt;0,($Q255+FaceW)*IF($R255="LR",2,1),0))</f>
        <v/>
      </c>
      <c r="BG255" s="51">
        <f>IF($BB255="","",$BB255+IF($AB255="Y",4,FaceW)+IF(N($P255)&gt;0,$P255+FaceW,0)+IF(OR($S255="4F",$S255="BL"),FaceW,0))</f>
        <v/>
      </c>
      <c r="BH255" s="51">
        <f>IF($BF255="","",$BF255+2*ROSide)</f>
        <v/>
      </c>
      <c r="BI255" s="51">
        <f>IF($BG255="","",$BG255+ROTop)</f>
        <v/>
      </c>
      <c r="BJ255" s="52">
        <f>IF(OR(N($BC255)=0,$BA255=""),"",$BA255/$BC255-ClearDeduct)</f>
        <v/>
      </c>
      <c r="BK255" s="49">
        <f>IF(OR(N($BC255)=0,$BE255=""),"",IF(OR($AC255="HGC",$AP255="HGC"),"CONT",IF($BE255&lt;=60,2,IF($BE255&lt;=90,3,IF($BE255&lt;=120,4,5)))))</f>
        <v/>
      </c>
      <c r="BL255" s="49">
        <f>IF(N($BC255)=0,"",IF(OR($AL255="",$AL255="FLUSH"),"FLUSH",IFERROR(LEFT($AL255,FIND("-",$AL255)-1),LEFT($AL255,2))))</f>
        <v/>
      </c>
      <c r="BM255" s="49">
        <f>IF($BL255="","",IFERROR(VALUE(MID($AL255,FIND("-",$AL255)+1,FIND(CHAR(34)&amp;"x",$AL255)-FIND("-",$AL255)-1)),0))</f>
        <v/>
      </c>
      <c r="BN255" s="49">
        <f>IF($BL255="","",IFERROR(VALUE(MID($AL255,FIND(CHAR(34)&amp;"x",$AL255)+2,FIND(CHAR(34),$AL255,FIND(CHAR(34)&amp;"x",$AL255)+2)-FIND(CHAR(34)&amp;"x",$AL255)-2)),0))</f>
        <v/>
      </c>
      <c r="BO255" s="53">
        <f>IF(OR($A255="",$H255="",$H255="NO LAB"),0,IFERROR(VALUE(LEFT($H255,FIND(" ",$H255)-1)),0))</f>
        <v/>
      </c>
      <c r="BP255" s="54">
        <f>IF(OR($A255="",$I255="",$I255="NON-RATED",N($J255)=0),"",IFERROR(VLOOKUP($I255&amp;"|"&amp;$J255,IBC,2,FALSE),"?"))</f>
        <v/>
      </c>
      <c r="BQ255" s="50">
        <f>IF(NOT(AND($A255&lt;&gt;"",$C255&lt;&gt;"DOOR ONLY")),"",TRIM(IFERROR(VLOOKUP($U255,CODES,2,FALSE),"")&amp;" "&amp;$AZ255&amp;" "&amp;IFERROR(VLOOKUP($Z255,CODES,2,FALSE),"")&amp;" "&amp;IFERROR(VLOOKUP($X255,CODES,2,FALSE),"")&amp;" "&amp;IFERROR(VLOOKUP($S255,CODES,2,FALSE),"")&amp;IF(N($P255)&gt;0," w/TRANSOM "&amp;$P255&amp;CHAR(34),"")&amp;IF(N($Q255)&gt;0," w/SIDELITE "&amp;$Q255&amp;CHAR(34)&amp;" "&amp;IF($R255="","R",$R255),"")&amp;IF($Y255="","  |  "," | "&amp;IFERROR(VLOOKUP($Y255,CODES,2,FALSE),"")&amp;" | ")&amp;IFERROR(VLOOKUP($AC255,CODES,2,FALSE),"")&amp;" "&amp;IFERROR(VLOOKUP($AD255,CODES,2,FALSE),"")&amp;IF(OR($AE255="",$AE255="-"),""," "&amp;$AE255)&amp;IF(OR($AF255="",$AF255="-"),""," "&amp;$AF255)&amp;IF($AB255="Y"," 4"&amp;CHAR(34)&amp;" HEAD","")&amp;" "&amp;IFERROR(VLOOKUP($H255,CODES,2,FALSE),"")))</f>
        <v/>
      </c>
      <c r="BR255" s="50">
        <f>IF(NOT(AND($A255&lt;&gt;"",N($BC255)&gt;0)),"",TRIM(IFERROR(VLOOKUP($AH255,CODES,2,FALSE),"")&amp;IF($AI255=""," "," "&amp;$AI255&amp;"GA ")&amp;$AZ255&amp;" "&amp;IF($AN255="",IFERROR(VLOOKUP($Z255,CODES,2,FALSE),""),IFERROR(VLOOKUP($AN255,CODES,2,FALSE),""))&amp;IF($BC255=2," PAIR","")&amp;" DOOR | "&amp;IF($AL255="","?",$AL255)&amp;" | "&amp;IF($AP255="",IFERROR(VLOOKUP($AC255,CODES,2,FALSE),""),IFERROR(VLOOKUP($AP255,CODES,2,FALSE),""))&amp;" "&amp;IFERROR(VLOOKUP($AQ255,CODES,2,FALSE),"")&amp;IF(OR($AR255="",$AR255="-"),""," SEAM "&amp;$AR255)&amp;IF($AS255="Y"," ASTRAGAL","")&amp;IF($AJ255=""," "," "&amp;$AJ255)&amp;IF($AK255=""," "," "&amp;$AK255)&amp;IF($AO255="",""," "&amp;$AO255)&amp;IF($AM255=""," "," SERIES "&amp;$AM255)&amp;" "&amp;IFERROR(VLOOKUP($H255,CODES,2,FALSE),"")))</f>
        <v/>
      </c>
      <c r="BS255" s="49">
        <f>IF(BV255="","",IF(COUNTIF($BV$6:BV255,BV255)=1,MAX($BS$5:BS254)+1,INDEX($BS$5:BS254,MATCH(BV255,$BV$5:BV254,0))))</f>
        <v/>
      </c>
      <c r="BT255" s="49">
        <f>IF(NOT(AND($A255&lt;&gt;"",$C255&lt;&gt;"DOOR ONLY")),"",MAX($BT$5:BT254)+1)</f>
        <v/>
      </c>
      <c r="BU255" s="49">
        <f>IF(NOT(AND($A255&lt;&gt;"",N($BC255)&gt;0)),"",MAX($BU$5:BU254)+1)</f>
        <v/>
      </c>
      <c r="BV255" s="49">
        <f>IF(OR($A255="",$BA255="",$BB255=""),"",$AZ255&amp;"|"&amp;$O255&amp;"|"&amp;$AL255&amp;"|"&amp;$S255&amp;"|"&amp;$P255&amp;"|"&amp;$Q255&amp;$R255&amp;"|"&amp;$C255&amp;"|"&amp;$AB255)</f>
        <v/>
      </c>
      <c r="BW255" s="49">
        <f>IF($A255="","",IF($B255="","qty, ","")&amp;IF($C255="","scope, ","")&amp;IF(OR($K255="",$M255=""),"size, ","")&amp;IF(AND($A255&lt;&gt;"",$C255&lt;&gt;"DOOR ONLY"),IF($U255="","jamb depth, ","")&amp;IF($X255="","construction, ","")&amp;IF($Y255="","anchor, ","")&amp;IF($S255="","frame type, ",""),"")&amp;IF(AND(N($BC255)&gt;0,$Z255=""),"hand, ","")&amp;IF(N($BC255)&gt;0,IF($AH255="","door material, ","")&amp;IF($AL255="","face type, ","")&amp;IF($AQ255="","lock prep, ","")&amp;IF(AND($AP255="",$AC255=""),"hinge prep, ",""),"")&amp;IF(AND($BO255&gt;0,$AH255="FRP"),"FRP cannot carry a label, ","")&amp;IF(AND($O255="Y",OR($Z255="L",$Z255="R",$Z255="LR",$Z255="RR")),"pair marked but hand is single, ","")&amp;IF(AND($O255&lt;&gt;"Y",OR($Z255="PR",AND(LEN($Z255)&gt;1,ISNUMBER(SEARCH("-",$Z255))))),"pair hand on a single door, ","")&amp;IF(AND(ISNUMBER($BP255),$BO255&lt;N($BP255)),"wall needs a "&amp;$BP255&amp;" min door, ","")&amp;IF(AND($BO255&gt;=180,AND(OR($BL255="FG",$BL255="HG",$BL255="FNV",$BL255="FV"),N($BM255)*N($BN255)&gt;100)),"180 min lite over 100 sq in, ","")&amp;IF(N($BD255)&gt;48,"leaf wider than 4'-0"&amp;CHAR(34)&amp;", ",""))</f>
        <v/>
      </c>
      <c r="BX255" s="49">
        <f>IF($A255="","",IF(AND($BO255&gt;0,AND($A255&lt;&gt;"",$C255&lt;&gt;"DOOR ONLY"),$X255="KD",$E255="EXTERIOR"),"KD label on an exterior opening, ","")&amp;IF(AND($E255="EXTERIOR",OR(AND(AND($A255&lt;&gt;"",$C255&lt;&gt;"DOOR ONLY"),$W255="CR"),AND(N($BC255)&gt;0,$AH255="CR"))),"exterior in CR steel (G9?), ","")&amp;IF(AND(ISNUMBER($BJ255),N($BJ255)&lt;32),"clear width ~"&amp;TEXT($BJ255,"0.0")&amp;CHAR(34)&amp;" under 32"&amp;CHAR(34)&amp;" (ADA), ","")&amp;IF(AND($BO255=90,AND(OR($BL255="FG",$BL255="HG",$BL255="FNV",$BL255="FV"),N($BM255)*N($BN255)&gt;100)),"90 min lite over 100 sq in (stair/exit), ","")&amp;IF(AND($BO255&gt;0,AND($A255&lt;&gt;"",$C255&lt;&gt;"DOOR ONLY"),OR($AF255="",$AF255="-")),"rated: closer reinf.?, ","")&amp;IF(OR($I255="CORRIDOR",$I255="SMOKE BARRIER"),"S label + smoke gasketing, ","")&amp;IF($BP255="?","wall type/hr not in IBC table, ","")&amp;IF(AND(N($BC255)&gt;0,$AU255=""),"no hardware set, ","")&amp;IF(AND($AU255&lt;&gt;"",ISNA(MATCH($AU255,HWSets,0))),"set "&amp;$AU255&amp;" not on Hardware sheet, ","")&amp;IF(N($BE255)&gt;96,"leaf over 8'-0"&amp;CHAR(34)&amp;" - check listing, ",""))</f>
        <v/>
      </c>
    </row>
    <row r="256" ht="15" customHeight="1">
      <c r="A256" s="44" t="n"/>
      <c r="B256" s="45" t="n"/>
      <c r="C256" s="45" t="n"/>
      <c r="D256" s="45" t="n"/>
      <c r="E256" s="45" t="n"/>
      <c r="F256" s="45" t="n"/>
      <c r="G256" s="45" t="n"/>
      <c r="H256" s="45" t="n"/>
      <c r="I256" s="45" t="n"/>
      <c r="J256" s="45" t="n"/>
      <c r="K256" s="45" t="n"/>
      <c r="L256" s="45" t="n"/>
      <c r="M256" s="45" t="n"/>
      <c r="N256" s="45" t="n"/>
      <c r="O256" s="45" t="n"/>
      <c r="P256" s="45" t="n"/>
      <c r="Q256" s="45" t="n"/>
      <c r="R256" s="45" t="n"/>
      <c r="S256" s="46" t="n"/>
      <c r="T256" s="46" t="n"/>
      <c r="U256" s="46" t="n"/>
      <c r="V256" s="46" t="n"/>
      <c r="W256" s="46" t="n"/>
      <c r="X256" s="46" t="n"/>
      <c r="Y256" s="46" t="n"/>
      <c r="Z256" s="46" t="n"/>
      <c r="AA256" s="46" t="n"/>
      <c r="AB256" s="46" t="n"/>
      <c r="AC256" s="46" t="n"/>
      <c r="AD256" s="46" t="n"/>
      <c r="AE256" s="46" t="n"/>
      <c r="AF256" s="46" t="n"/>
      <c r="AG256" s="46" t="n"/>
      <c r="AH256" s="47" t="n"/>
      <c r="AI256" s="47" t="n"/>
      <c r="AJ256" s="47" t="n"/>
      <c r="AK256" s="47" t="n"/>
      <c r="AL256" s="47" t="n"/>
      <c r="AM256" s="47" t="n"/>
      <c r="AN256" s="47" t="n"/>
      <c r="AO256" s="47" t="n"/>
      <c r="AP256" s="47" t="n"/>
      <c r="AQ256" s="47" t="n"/>
      <c r="AR256" s="47" t="n"/>
      <c r="AS256" s="47" t="n"/>
      <c r="AT256" s="47" t="n"/>
      <c r="AU256" s="48" t="n"/>
      <c r="AV256" s="48" t="n"/>
      <c r="AW256" s="49">
        <f>IF($A256="","",IF($BW256&lt;&gt;"","FIX",IF($BX256&lt;&gt;"","CHECK","OK")))</f>
        <v/>
      </c>
      <c r="AX256" s="50">
        <f>IF($A256="","",IF($BW256&lt;&gt;"","FIX: "&amp;LEFT($BW256,LEN($BW256)-2)&amp;IF($BX256&lt;&gt;"","  ·  ",""),"")&amp;IF($BX256&lt;&gt;"","CHECK: "&amp;LEFT($BX256,LEN($BX256)-2),""))</f>
        <v/>
      </c>
      <c r="AY256" s="49">
        <f>IF(OR($A256="",$K256=""),"",$K256&amp;"'-"&amp;N($L256)&amp;CHAR(34)&amp;" x "&amp;$M256&amp;"'-"&amp;N($N256)&amp;CHAR(34))</f>
        <v/>
      </c>
      <c r="AZ256" s="49">
        <f>IF(OR($A256="",$K256=""),"",$K256&amp;N($L256)&amp;$M256&amp;N($N256))</f>
        <v/>
      </c>
      <c r="BA256" s="49">
        <f>IF(OR($A256="",$K256=""),"",$K256*12+N($L256))</f>
        <v/>
      </c>
      <c r="BB256" s="49">
        <f>IF(OR($A256="",$M256=""),"",$M256*12+N($N256))</f>
        <v/>
      </c>
      <c r="BC256" s="49">
        <f>IF($A256="","",IF(OR($C256="FRAME ONLY",$S256="BL"),0,IF($O256="Y",2,1)))</f>
        <v/>
      </c>
      <c r="BD256" s="51">
        <f>IF(OR(N($BC256)=0,$BA256=""),"",($BA256-2*EdgeClr-IF($BC256=2,MeetClr,0))/$BC256)</f>
        <v/>
      </c>
      <c r="BE256" s="51">
        <f>IF(OR(N($BC256)=0,$BB256=""),"",$BB256-HeadClr-Undercut)</f>
        <v/>
      </c>
      <c r="BF256" s="51">
        <f>IF($BA256="","",$BA256+2*FaceW+IF(N($Q256)&gt;0,($Q256+FaceW)*IF($R256="LR",2,1),0))</f>
        <v/>
      </c>
      <c r="BG256" s="51">
        <f>IF($BB256="","",$BB256+IF($AB256="Y",4,FaceW)+IF(N($P256)&gt;0,$P256+FaceW,0)+IF(OR($S256="4F",$S256="BL"),FaceW,0))</f>
        <v/>
      </c>
      <c r="BH256" s="51">
        <f>IF($BF256="","",$BF256+2*ROSide)</f>
        <v/>
      </c>
      <c r="BI256" s="51">
        <f>IF($BG256="","",$BG256+ROTop)</f>
        <v/>
      </c>
      <c r="BJ256" s="52">
        <f>IF(OR(N($BC256)=0,$BA256=""),"",$BA256/$BC256-ClearDeduct)</f>
        <v/>
      </c>
      <c r="BK256" s="49">
        <f>IF(OR(N($BC256)=0,$BE256=""),"",IF(OR($AC256="HGC",$AP256="HGC"),"CONT",IF($BE256&lt;=60,2,IF($BE256&lt;=90,3,IF($BE256&lt;=120,4,5)))))</f>
        <v/>
      </c>
      <c r="BL256" s="49">
        <f>IF(N($BC256)=0,"",IF(OR($AL256="",$AL256="FLUSH"),"FLUSH",IFERROR(LEFT($AL256,FIND("-",$AL256)-1),LEFT($AL256,2))))</f>
        <v/>
      </c>
      <c r="BM256" s="49">
        <f>IF($BL256="","",IFERROR(VALUE(MID($AL256,FIND("-",$AL256)+1,FIND(CHAR(34)&amp;"x",$AL256)-FIND("-",$AL256)-1)),0))</f>
        <v/>
      </c>
      <c r="BN256" s="49">
        <f>IF($BL256="","",IFERROR(VALUE(MID($AL256,FIND(CHAR(34)&amp;"x",$AL256)+2,FIND(CHAR(34),$AL256,FIND(CHAR(34)&amp;"x",$AL256)+2)-FIND(CHAR(34)&amp;"x",$AL256)-2)),0))</f>
        <v/>
      </c>
      <c r="BO256" s="53">
        <f>IF(OR($A256="",$H256="",$H256="NO LAB"),0,IFERROR(VALUE(LEFT($H256,FIND(" ",$H256)-1)),0))</f>
        <v/>
      </c>
      <c r="BP256" s="54">
        <f>IF(OR($A256="",$I256="",$I256="NON-RATED",N($J256)=0),"",IFERROR(VLOOKUP($I256&amp;"|"&amp;$J256,IBC,2,FALSE),"?"))</f>
        <v/>
      </c>
      <c r="BQ256" s="50">
        <f>IF(NOT(AND($A256&lt;&gt;"",$C256&lt;&gt;"DOOR ONLY")),"",TRIM(IFERROR(VLOOKUP($U256,CODES,2,FALSE),"")&amp;" "&amp;$AZ256&amp;" "&amp;IFERROR(VLOOKUP($Z256,CODES,2,FALSE),"")&amp;" "&amp;IFERROR(VLOOKUP($X256,CODES,2,FALSE),"")&amp;" "&amp;IFERROR(VLOOKUP($S256,CODES,2,FALSE),"")&amp;IF(N($P256)&gt;0," w/TRANSOM "&amp;$P256&amp;CHAR(34),"")&amp;IF(N($Q256)&gt;0," w/SIDELITE "&amp;$Q256&amp;CHAR(34)&amp;" "&amp;IF($R256="","R",$R256),"")&amp;IF($Y256="","  |  "," | "&amp;IFERROR(VLOOKUP($Y256,CODES,2,FALSE),"")&amp;" | ")&amp;IFERROR(VLOOKUP($AC256,CODES,2,FALSE),"")&amp;" "&amp;IFERROR(VLOOKUP($AD256,CODES,2,FALSE),"")&amp;IF(OR($AE256="",$AE256="-"),""," "&amp;$AE256)&amp;IF(OR($AF256="",$AF256="-"),""," "&amp;$AF256)&amp;IF($AB256="Y"," 4"&amp;CHAR(34)&amp;" HEAD","")&amp;" "&amp;IFERROR(VLOOKUP($H256,CODES,2,FALSE),"")))</f>
        <v/>
      </c>
      <c r="BR256" s="50">
        <f>IF(NOT(AND($A256&lt;&gt;"",N($BC256)&gt;0)),"",TRIM(IFERROR(VLOOKUP($AH256,CODES,2,FALSE),"")&amp;IF($AI256=""," "," "&amp;$AI256&amp;"GA ")&amp;$AZ256&amp;" "&amp;IF($AN256="",IFERROR(VLOOKUP($Z256,CODES,2,FALSE),""),IFERROR(VLOOKUP($AN256,CODES,2,FALSE),""))&amp;IF($BC256=2," PAIR","")&amp;" DOOR | "&amp;IF($AL256="","?",$AL256)&amp;" | "&amp;IF($AP256="",IFERROR(VLOOKUP($AC256,CODES,2,FALSE),""),IFERROR(VLOOKUP($AP256,CODES,2,FALSE),""))&amp;" "&amp;IFERROR(VLOOKUP($AQ256,CODES,2,FALSE),"")&amp;IF(OR($AR256="",$AR256="-"),""," SEAM "&amp;$AR256)&amp;IF($AS256="Y"," ASTRAGAL","")&amp;IF($AJ256=""," "," "&amp;$AJ256)&amp;IF($AK256=""," "," "&amp;$AK256)&amp;IF($AO256="",""," "&amp;$AO256)&amp;IF($AM256=""," "," SERIES "&amp;$AM256)&amp;" "&amp;IFERROR(VLOOKUP($H256,CODES,2,FALSE),"")))</f>
        <v/>
      </c>
      <c r="BS256" s="49">
        <f>IF(BV256="","",IF(COUNTIF($BV$6:BV256,BV256)=1,MAX($BS$5:BS255)+1,INDEX($BS$5:BS255,MATCH(BV256,$BV$5:BV255,0))))</f>
        <v/>
      </c>
      <c r="BT256" s="49">
        <f>IF(NOT(AND($A256&lt;&gt;"",$C256&lt;&gt;"DOOR ONLY")),"",MAX($BT$5:BT255)+1)</f>
        <v/>
      </c>
      <c r="BU256" s="49">
        <f>IF(NOT(AND($A256&lt;&gt;"",N($BC256)&gt;0)),"",MAX($BU$5:BU255)+1)</f>
        <v/>
      </c>
      <c r="BV256" s="49">
        <f>IF(OR($A256="",$BA256="",$BB256=""),"",$AZ256&amp;"|"&amp;$O256&amp;"|"&amp;$AL256&amp;"|"&amp;$S256&amp;"|"&amp;$P256&amp;"|"&amp;$Q256&amp;$R256&amp;"|"&amp;$C256&amp;"|"&amp;$AB256)</f>
        <v/>
      </c>
      <c r="BW256" s="49">
        <f>IF($A256="","",IF($B256="","qty, ","")&amp;IF($C256="","scope, ","")&amp;IF(OR($K256="",$M256=""),"size, ","")&amp;IF(AND($A256&lt;&gt;"",$C256&lt;&gt;"DOOR ONLY"),IF($U256="","jamb depth, ","")&amp;IF($X256="","construction, ","")&amp;IF($Y256="","anchor, ","")&amp;IF($S256="","frame type, ",""),"")&amp;IF(AND(N($BC256)&gt;0,$Z256=""),"hand, ","")&amp;IF(N($BC256)&gt;0,IF($AH256="","door material, ","")&amp;IF($AL256="","face type, ","")&amp;IF($AQ256="","lock prep, ","")&amp;IF(AND($AP256="",$AC256=""),"hinge prep, ",""),"")&amp;IF(AND($BO256&gt;0,$AH256="FRP"),"FRP cannot carry a label, ","")&amp;IF(AND($O256="Y",OR($Z256="L",$Z256="R",$Z256="LR",$Z256="RR")),"pair marked but hand is single, ","")&amp;IF(AND($O256&lt;&gt;"Y",OR($Z256="PR",AND(LEN($Z256)&gt;1,ISNUMBER(SEARCH("-",$Z256))))),"pair hand on a single door, ","")&amp;IF(AND(ISNUMBER($BP256),$BO256&lt;N($BP256)),"wall needs a "&amp;$BP256&amp;" min door, ","")&amp;IF(AND($BO256&gt;=180,AND(OR($BL256="FG",$BL256="HG",$BL256="FNV",$BL256="FV"),N($BM256)*N($BN256)&gt;100)),"180 min lite over 100 sq in, ","")&amp;IF(N($BD256)&gt;48,"leaf wider than 4'-0"&amp;CHAR(34)&amp;", ",""))</f>
        <v/>
      </c>
      <c r="BX256" s="49">
        <f>IF($A256="","",IF(AND($BO256&gt;0,AND($A256&lt;&gt;"",$C256&lt;&gt;"DOOR ONLY"),$X256="KD",$E256="EXTERIOR"),"KD label on an exterior opening, ","")&amp;IF(AND($E256="EXTERIOR",OR(AND(AND($A256&lt;&gt;"",$C256&lt;&gt;"DOOR ONLY"),$W256="CR"),AND(N($BC256)&gt;0,$AH256="CR"))),"exterior in CR steel (G9?), ","")&amp;IF(AND(ISNUMBER($BJ256),N($BJ256)&lt;32),"clear width ~"&amp;TEXT($BJ256,"0.0")&amp;CHAR(34)&amp;" under 32"&amp;CHAR(34)&amp;" (ADA), ","")&amp;IF(AND($BO256=90,AND(OR($BL256="FG",$BL256="HG",$BL256="FNV",$BL256="FV"),N($BM256)*N($BN256)&gt;100)),"90 min lite over 100 sq in (stair/exit), ","")&amp;IF(AND($BO256&gt;0,AND($A256&lt;&gt;"",$C256&lt;&gt;"DOOR ONLY"),OR($AF256="",$AF256="-")),"rated: closer reinf.?, ","")&amp;IF(OR($I256="CORRIDOR",$I256="SMOKE BARRIER"),"S label + smoke gasketing, ","")&amp;IF($BP256="?","wall type/hr not in IBC table, ","")&amp;IF(AND(N($BC256)&gt;0,$AU256=""),"no hardware set, ","")&amp;IF(AND($AU256&lt;&gt;"",ISNA(MATCH($AU256,HWSets,0))),"set "&amp;$AU256&amp;" not on Hardware sheet, ","")&amp;IF(N($BE256)&gt;96,"leaf over 8'-0"&amp;CHAR(34)&amp;" - check listing, ",""))</f>
        <v/>
      </c>
    </row>
    <row r="257" ht="15" customHeight="1">
      <c r="A257" s="44" t="n"/>
      <c r="B257" s="45" t="n"/>
      <c r="C257" s="45" t="n"/>
      <c r="D257" s="45" t="n"/>
      <c r="E257" s="45" t="n"/>
      <c r="F257" s="45" t="n"/>
      <c r="G257" s="45" t="n"/>
      <c r="H257" s="45" t="n"/>
      <c r="I257" s="45" t="n"/>
      <c r="J257" s="45" t="n"/>
      <c r="K257" s="45" t="n"/>
      <c r="L257" s="45" t="n"/>
      <c r="M257" s="45" t="n"/>
      <c r="N257" s="45" t="n"/>
      <c r="O257" s="45" t="n"/>
      <c r="P257" s="45" t="n"/>
      <c r="Q257" s="45" t="n"/>
      <c r="R257" s="45" t="n"/>
      <c r="S257" s="46" t="n"/>
      <c r="T257" s="46" t="n"/>
      <c r="U257" s="46" t="n"/>
      <c r="V257" s="46" t="n"/>
      <c r="W257" s="46" t="n"/>
      <c r="X257" s="46" t="n"/>
      <c r="Y257" s="46" t="n"/>
      <c r="Z257" s="46" t="n"/>
      <c r="AA257" s="46" t="n"/>
      <c r="AB257" s="46" t="n"/>
      <c r="AC257" s="46" t="n"/>
      <c r="AD257" s="46" t="n"/>
      <c r="AE257" s="46" t="n"/>
      <c r="AF257" s="46" t="n"/>
      <c r="AG257" s="46" t="n"/>
      <c r="AH257" s="47" t="n"/>
      <c r="AI257" s="47" t="n"/>
      <c r="AJ257" s="47" t="n"/>
      <c r="AK257" s="47" t="n"/>
      <c r="AL257" s="47" t="n"/>
      <c r="AM257" s="47" t="n"/>
      <c r="AN257" s="47" t="n"/>
      <c r="AO257" s="47" t="n"/>
      <c r="AP257" s="47" t="n"/>
      <c r="AQ257" s="47" t="n"/>
      <c r="AR257" s="47" t="n"/>
      <c r="AS257" s="47" t="n"/>
      <c r="AT257" s="47" t="n"/>
      <c r="AU257" s="48" t="n"/>
      <c r="AV257" s="48" t="n"/>
      <c r="AW257" s="49">
        <f>IF($A257="","",IF($BW257&lt;&gt;"","FIX",IF($BX257&lt;&gt;"","CHECK","OK")))</f>
        <v/>
      </c>
      <c r="AX257" s="50">
        <f>IF($A257="","",IF($BW257&lt;&gt;"","FIX: "&amp;LEFT($BW257,LEN($BW257)-2)&amp;IF($BX257&lt;&gt;"","  ·  ",""),"")&amp;IF($BX257&lt;&gt;"","CHECK: "&amp;LEFT($BX257,LEN($BX257)-2),""))</f>
        <v/>
      </c>
      <c r="AY257" s="49">
        <f>IF(OR($A257="",$K257=""),"",$K257&amp;"'-"&amp;N($L257)&amp;CHAR(34)&amp;" x "&amp;$M257&amp;"'-"&amp;N($N257)&amp;CHAR(34))</f>
        <v/>
      </c>
      <c r="AZ257" s="49">
        <f>IF(OR($A257="",$K257=""),"",$K257&amp;N($L257)&amp;$M257&amp;N($N257))</f>
        <v/>
      </c>
      <c r="BA257" s="49">
        <f>IF(OR($A257="",$K257=""),"",$K257*12+N($L257))</f>
        <v/>
      </c>
      <c r="BB257" s="49">
        <f>IF(OR($A257="",$M257=""),"",$M257*12+N($N257))</f>
        <v/>
      </c>
      <c r="BC257" s="49">
        <f>IF($A257="","",IF(OR($C257="FRAME ONLY",$S257="BL"),0,IF($O257="Y",2,1)))</f>
        <v/>
      </c>
      <c r="BD257" s="51">
        <f>IF(OR(N($BC257)=0,$BA257=""),"",($BA257-2*EdgeClr-IF($BC257=2,MeetClr,0))/$BC257)</f>
        <v/>
      </c>
      <c r="BE257" s="51">
        <f>IF(OR(N($BC257)=0,$BB257=""),"",$BB257-HeadClr-Undercut)</f>
        <v/>
      </c>
      <c r="BF257" s="51">
        <f>IF($BA257="","",$BA257+2*FaceW+IF(N($Q257)&gt;0,($Q257+FaceW)*IF($R257="LR",2,1),0))</f>
        <v/>
      </c>
      <c r="BG257" s="51">
        <f>IF($BB257="","",$BB257+IF($AB257="Y",4,FaceW)+IF(N($P257)&gt;0,$P257+FaceW,0)+IF(OR($S257="4F",$S257="BL"),FaceW,0))</f>
        <v/>
      </c>
      <c r="BH257" s="51">
        <f>IF($BF257="","",$BF257+2*ROSide)</f>
        <v/>
      </c>
      <c r="BI257" s="51">
        <f>IF($BG257="","",$BG257+ROTop)</f>
        <v/>
      </c>
      <c r="BJ257" s="52">
        <f>IF(OR(N($BC257)=0,$BA257=""),"",$BA257/$BC257-ClearDeduct)</f>
        <v/>
      </c>
      <c r="BK257" s="49">
        <f>IF(OR(N($BC257)=0,$BE257=""),"",IF(OR($AC257="HGC",$AP257="HGC"),"CONT",IF($BE257&lt;=60,2,IF($BE257&lt;=90,3,IF($BE257&lt;=120,4,5)))))</f>
        <v/>
      </c>
      <c r="BL257" s="49">
        <f>IF(N($BC257)=0,"",IF(OR($AL257="",$AL257="FLUSH"),"FLUSH",IFERROR(LEFT($AL257,FIND("-",$AL257)-1),LEFT($AL257,2))))</f>
        <v/>
      </c>
      <c r="BM257" s="49">
        <f>IF($BL257="","",IFERROR(VALUE(MID($AL257,FIND("-",$AL257)+1,FIND(CHAR(34)&amp;"x",$AL257)-FIND("-",$AL257)-1)),0))</f>
        <v/>
      </c>
      <c r="BN257" s="49">
        <f>IF($BL257="","",IFERROR(VALUE(MID($AL257,FIND(CHAR(34)&amp;"x",$AL257)+2,FIND(CHAR(34),$AL257,FIND(CHAR(34)&amp;"x",$AL257)+2)-FIND(CHAR(34)&amp;"x",$AL257)-2)),0))</f>
        <v/>
      </c>
      <c r="BO257" s="53">
        <f>IF(OR($A257="",$H257="",$H257="NO LAB"),0,IFERROR(VALUE(LEFT($H257,FIND(" ",$H257)-1)),0))</f>
        <v/>
      </c>
      <c r="BP257" s="54">
        <f>IF(OR($A257="",$I257="",$I257="NON-RATED",N($J257)=0),"",IFERROR(VLOOKUP($I257&amp;"|"&amp;$J257,IBC,2,FALSE),"?"))</f>
        <v/>
      </c>
      <c r="BQ257" s="50">
        <f>IF(NOT(AND($A257&lt;&gt;"",$C257&lt;&gt;"DOOR ONLY")),"",TRIM(IFERROR(VLOOKUP($U257,CODES,2,FALSE),"")&amp;" "&amp;$AZ257&amp;" "&amp;IFERROR(VLOOKUP($Z257,CODES,2,FALSE),"")&amp;" "&amp;IFERROR(VLOOKUP($X257,CODES,2,FALSE),"")&amp;" "&amp;IFERROR(VLOOKUP($S257,CODES,2,FALSE),"")&amp;IF(N($P257)&gt;0," w/TRANSOM "&amp;$P257&amp;CHAR(34),"")&amp;IF(N($Q257)&gt;0," w/SIDELITE "&amp;$Q257&amp;CHAR(34)&amp;" "&amp;IF($R257="","R",$R257),"")&amp;IF($Y257="","  |  "," | "&amp;IFERROR(VLOOKUP($Y257,CODES,2,FALSE),"")&amp;" | ")&amp;IFERROR(VLOOKUP($AC257,CODES,2,FALSE),"")&amp;" "&amp;IFERROR(VLOOKUP($AD257,CODES,2,FALSE),"")&amp;IF(OR($AE257="",$AE257="-"),""," "&amp;$AE257)&amp;IF(OR($AF257="",$AF257="-"),""," "&amp;$AF257)&amp;IF($AB257="Y"," 4"&amp;CHAR(34)&amp;" HEAD","")&amp;" "&amp;IFERROR(VLOOKUP($H257,CODES,2,FALSE),"")))</f>
        <v/>
      </c>
      <c r="BR257" s="50">
        <f>IF(NOT(AND($A257&lt;&gt;"",N($BC257)&gt;0)),"",TRIM(IFERROR(VLOOKUP($AH257,CODES,2,FALSE),"")&amp;IF($AI257=""," "," "&amp;$AI257&amp;"GA ")&amp;$AZ257&amp;" "&amp;IF($AN257="",IFERROR(VLOOKUP($Z257,CODES,2,FALSE),""),IFERROR(VLOOKUP($AN257,CODES,2,FALSE),""))&amp;IF($BC257=2," PAIR","")&amp;" DOOR | "&amp;IF($AL257="","?",$AL257)&amp;" | "&amp;IF($AP257="",IFERROR(VLOOKUP($AC257,CODES,2,FALSE),""),IFERROR(VLOOKUP($AP257,CODES,2,FALSE),""))&amp;" "&amp;IFERROR(VLOOKUP($AQ257,CODES,2,FALSE),"")&amp;IF(OR($AR257="",$AR257="-"),""," SEAM "&amp;$AR257)&amp;IF($AS257="Y"," ASTRAGAL","")&amp;IF($AJ257=""," "," "&amp;$AJ257)&amp;IF($AK257=""," "," "&amp;$AK257)&amp;IF($AO257="",""," "&amp;$AO257)&amp;IF($AM257=""," "," SERIES "&amp;$AM257)&amp;" "&amp;IFERROR(VLOOKUP($H257,CODES,2,FALSE),"")))</f>
        <v/>
      </c>
      <c r="BS257" s="49">
        <f>IF(BV257="","",IF(COUNTIF($BV$6:BV257,BV257)=1,MAX($BS$5:BS256)+1,INDEX($BS$5:BS256,MATCH(BV257,$BV$5:BV256,0))))</f>
        <v/>
      </c>
      <c r="BT257" s="49">
        <f>IF(NOT(AND($A257&lt;&gt;"",$C257&lt;&gt;"DOOR ONLY")),"",MAX($BT$5:BT256)+1)</f>
        <v/>
      </c>
      <c r="BU257" s="49">
        <f>IF(NOT(AND($A257&lt;&gt;"",N($BC257)&gt;0)),"",MAX($BU$5:BU256)+1)</f>
        <v/>
      </c>
      <c r="BV257" s="49">
        <f>IF(OR($A257="",$BA257="",$BB257=""),"",$AZ257&amp;"|"&amp;$O257&amp;"|"&amp;$AL257&amp;"|"&amp;$S257&amp;"|"&amp;$P257&amp;"|"&amp;$Q257&amp;$R257&amp;"|"&amp;$C257&amp;"|"&amp;$AB257)</f>
        <v/>
      </c>
      <c r="BW257" s="49">
        <f>IF($A257="","",IF($B257="","qty, ","")&amp;IF($C257="","scope, ","")&amp;IF(OR($K257="",$M257=""),"size, ","")&amp;IF(AND($A257&lt;&gt;"",$C257&lt;&gt;"DOOR ONLY"),IF($U257="","jamb depth, ","")&amp;IF($X257="","construction, ","")&amp;IF($Y257="","anchor, ","")&amp;IF($S257="","frame type, ",""),"")&amp;IF(AND(N($BC257)&gt;0,$Z257=""),"hand, ","")&amp;IF(N($BC257)&gt;0,IF($AH257="","door material, ","")&amp;IF($AL257="","face type, ","")&amp;IF($AQ257="","lock prep, ","")&amp;IF(AND($AP257="",$AC257=""),"hinge prep, ",""),"")&amp;IF(AND($BO257&gt;0,$AH257="FRP"),"FRP cannot carry a label, ","")&amp;IF(AND($O257="Y",OR($Z257="L",$Z257="R",$Z257="LR",$Z257="RR")),"pair marked but hand is single, ","")&amp;IF(AND($O257&lt;&gt;"Y",OR($Z257="PR",AND(LEN($Z257)&gt;1,ISNUMBER(SEARCH("-",$Z257))))),"pair hand on a single door, ","")&amp;IF(AND(ISNUMBER($BP257),$BO257&lt;N($BP257)),"wall needs a "&amp;$BP257&amp;" min door, ","")&amp;IF(AND($BO257&gt;=180,AND(OR($BL257="FG",$BL257="HG",$BL257="FNV",$BL257="FV"),N($BM257)*N($BN257)&gt;100)),"180 min lite over 100 sq in, ","")&amp;IF(N($BD257)&gt;48,"leaf wider than 4'-0"&amp;CHAR(34)&amp;", ",""))</f>
        <v/>
      </c>
      <c r="BX257" s="49">
        <f>IF($A257="","",IF(AND($BO257&gt;0,AND($A257&lt;&gt;"",$C257&lt;&gt;"DOOR ONLY"),$X257="KD",$E257="EXTERIOR"),"KD label on an exterior opening, ","")&amp;IF(AND($E257="EXTERIOR",OR(AND(AND($A257&lt;&gt;"",$C257&lt;&gt;"DOOR ONLY"),$W257="CR"),AND(N($BC257)&gt;0,$AH257="CR"))),"exterior in CR steel (G9?), ","")&amp;IF(AND(ISNUMBER($BJ257),N($BJ257)&lt;32),"clear width ~"&amp;TEXT($BJ257,"0.0")&amp;CHAR(34)&amp;" under 32"&amp;CHAR(34)&amp;" (ADA), ","")&amp;IF(AND($BO257=90,AND(OR($BL257="FG",$BL257="HG",$BL257="FNV",$BL257="FV"),N($BM257)*N($BN257)&gt;100)),"90 min lite over 100 sq in (stair/exit), ","")&amp;IF(AND($BO257&gt;0,AND($A257&lt;&gt;"",$C257&lt;&gt;"DOOR ONLY"),OR($AF257="",$AF257="-")),"rated: closer reinf.?, ","")&amp;IF(OR($I257="CORRIDOR",$I257="SMOKE BARRIER"),"S label + smoke gasketing, ","")&amp;IF($BP257="?","wall type/hr not in IBC table, ","")&amp;IF(AND(N($BC257)&gt;0,$AU257=""),"no hardware set, ","")&amp;IF(AND($AU257&lt;&gt;"",ISNA(MATCH($AU257,HWSets,0))),"set "&amp;$AU257&amp;" not on Hardware sheet, ","")&amp;IF(N($BE257)&gt;96,"leaf over 8'-0"&amp;CHAR(34)&amp;" - check listing, ",""))</f>
        <v/>
      </c>
    </row>
    <row r="258" ht="15" customHeight="1">
      <c r="A258" s="44" t="n"/>
      <c r="B258" s="45" t="n"/>
      <c r="C258" s="45" t="n"/>
      <c r="D258" s="45" t="n"/>
      <c r="E258" s="45" t="n"/>
      <c r="F258" s="45" t="n"/>
      <c r="G258" s="45" t="n"/>
      <c r="H258" s="45" t="n"/>
      <c r="I258" s="45" t="n"/>
      <c r="J258" s="45" t="n"/>
      <c r="K258" s="45" t="n"/>
      <c r="L258" s="45" t="n"/>
      <c r="M258" s="45" t="n"/>
      <c r="N258" s="45" t="n"/>
      <c r="O258" s="45" t="n"/>
      <c r="P258" s="45" t="n"/>
      <c r="Q258" s="45" t="n"/>
      <c r="R258" s="45" t="n"/>
      <c r="S258" s="46" t="n"/>
      <c r="T258" s="46" t="n"/>
      <c r="U258" s="46" t="n"/>
      <c r="V258" s="46" t="n"/>
      <c r="W258" s="46" t="n"/>
      <c r="X258" s="46" t="n"/>
      <c r="Y258" s="46" t="n"/>
      <c r="Z258" s="46" t="n"/>
      <c r="AA258" s="46" t="n"/>
      <c r="AB258" s="46" t="n"/>
      <c r="AC258" s="46" t="n"/>
      <c r="AD258" s="46" t="n"/>
      <c r="AE258" s="46" t="n"/>
      <c r="AF258" s="46" t="n"/>
      <c r="AG258" s="46" t="n"/>
      <c r="AH258" s="47" t="n"/>
      <c r="AI258" s="47" t="n"/>
      <c r="AJ258" s="47" t="n"/>
      <c r="AK258" s="47" t="n"/>
      <c r="AL258" s="47" t="n"/>
      <c r="AM258" s="47" t="n"/>
      <c r="AN258" s="47" t="n"/>
      <c r="AO258" s="47" t="n"/>
      <c r="AP258" s="47" t="n"/>
      <c r="AQ258" s="47" t="n"/>
      <c r="AR258" s="47" t="n"/>
      <c r="AS258" s="47" t="n"/>
      <c r="AT258" s="47" t="n"/>
      <c r="AU258" s="48" t="n"/>
      <c r="AV258" s="48" t="n"/>
      <c r="AW258" s="49">
        <f>IF($A258="","",IF($BW258&lt;&gt;"","FIX",IF($BX258&lt;&gt;"","CHECK","OK")))</f>
        <v/>
      </c>
      <c r="AX258" s="50">
        <f>IF($A258="","",IF($BW258&lt;&gt;"","FIX: "&amp;LEFT($BW258,LEN($BW258)-2)&amp;IF($BX258&lt;&gt;"","  ·  ",""),"")&amp;IF($BX258&lt;&gt;"","CHECK: "&amp;LEFT($BX258,LEN($BX258)-2),""))</f>
        <v/>
      </c>
      <c r="AY258" s="49">
        <f>IF(OR($A258="",$K258=""),"",$K258&amp;"'-"&amp;N($L258)&amp;CHAR(34)&amp;" x "&amp;$M258&amp;"'-"&amp;N($N258)&amp;CHAR(34))</f>
        <v/>
      </c>
      <c r="AZ258" s="49">
        <f>IF(OR($A258="",$K258=""),"",$K258&amp;N($L258)&amp;$M258&amp;N($N258))</f>
        <v/>
      </c>
      <c r="BA258" s="49">
        <f>IF(OR($A258="",$K258=""),"",$K258*12+N($L258))</f>
        <v/>
      </c>
      <c r="BB258" s="49">
        <f>IF(OR($A258="",$M258=""),"",$M258*12+N($N258))</f>
        <v/>
      </c>
      <c r="BC258" s="49">
        <f>IF($A258="","",IF(OR($C258="FRAME ONLY",$S258="BL"),0,IF($O258="Y",2,1)))</f>
        <v/>
      </c>
      <c r="BD258" s="51">
        <f>IF(OR(N($BC258)=0,$BA258=""),"",($BA258-2*EdgeClr-IF($BC258=2,MeetClr,0))/$BC258)</f>
        <v/>
      </c>
      <c r="BE258" s="51">
        <f>IF(OR(N($BC258)=0,$BB258=""),"",$BB258-HeadClr-Undercut)</f>
        <v/>
      </c>
      <c r="BF258" s="51">
        <f>IF($BA258="","",$BA258+2*FaceW+IF(N($Q258)&gt;0,($Q258+FaceW)*IF($R258="LR",2,1),0))</f>
        <v/>
      </c>
      <c r="BG258" s="51">
        <f>IF($BB258="","",$BB258+IF($AB258="Y",4,FaceW)+IF(N($P258)&gt;0,$P258+FaceW,0)+IF(OR($S258="4F",$S258="BL"),FaceW,0))</f>
        <v/>
      </c>
      <c r="BH258" s="51">
        <f>IF($BF258="","",$BF258+2*ROSide)</f>
        <v/>
      </c>
      <c r="BI258" s="51">
        <f>IF($BG258="","",$BG258+ROTop)</f>
        <v/>
      </c>
      <c r="BJ258" s="52">
        <f>IF(OR(N($BC258)=0,$BA258=""),"",$BA258/$BC258-ClearDeduct)</f>
        <v/>
      </c>
      <c r="BK258" s="49">
        <f>IF(OR(N($BC258)=0,$BE258=""),"",IF(OR($AC258="HGC",$AP258="HGC"),"CONT",IF($BE258&lt;=60,2,IF($BE258&lt;=90,3,IF($BE258&lt;=120,4,5)))))</f>
        <v/>
      </c>
      <c r="BL258" s="49">
        <f>IF(N($BC258)=0,"",IF(OR($AL258="",$AL258="FLUSH"),"FLUSH",IFERROR(LEFT($AL258,FIND("-",$AL258)-1),LEFT($AL258,2))))</f>
        <v/>
      </c>
      <c r="BM258" s="49">
        <f>IF($BL258="","",IFERROR(VALUE(MID($AL258,FIND("-",$AL258)+1,FIND(CHAR(34)&amp;"x",$AL258)-FIND("-",$AL258)-1)),0))</f>
        <v/>
      </c>
      <c r="BN258" s="49">
        <f>IF($BL258="","",IFERROR(VALUE(MID($AL258,FIND(CHAR(34)&amp;"x",$AL258)+2,FIND(CHAR(34),$AL258,FIND(CHAR(34)&amp;"x",$AL258)+2)-FIND(CHAR(34)&amp;"x",$AL258)-2)),0))</f>
        <v/>
      </c>
      <c r="BO258" s="53">
        <f>IF(OR($A258="",$H258="",$H258="NO LAB"),0,IFERROR(VALUE(LEFT($H258,FIND(" ",$H258)-1)),0))</f>
        <v/>
      </c>
      <c r="BP258" s="54">
        <f>IF(OR($A258="",$I258="",$I258="NON-RATED",N($J258)=0),"",IFERROR(VLOOKUP($I258&amp;"|"&amp;$J258,IBC,2,FALSE),"?"))</f>
        <v/>
      </c>
      <c r="BQ258" s="50">
        <f>IF(NOT(AND($A258&lt;&gt;"",$C258&lt;&gt;"DOOR ONLY")),"",TRIM(IFERROR(VLOOKUP($U258,CODES,2,FALSE),"")&amp;" "&amp;$AZ258&amp;" "&amp;IFERROR(VLOOKUP($Z258,CODES,2,FALSE),"")&amp;" "&amp;IFERROR(VLOOKUP($X258,CODES,2,FALSE),"")&amp;" "&amp;IFERROR(VLOOKUP($S258,CODES,2,FALSE),"")&amp;IF(N($P258)&gt;0," w/TRANSOM "&amp;$P258&amp;CHAR(34),"")&amp;IF(N($Q258)&gt;0," w/SIDELITE "&amp;$Q258&amp;CHAR(34)&amp;" "&amp;IF($R258="","R",$R258),"")&amp;IF($Y258="","  |  "," | "&amp;IFERROR(VLOOKUP($Y258,CODES,2,FALSE),"")&amp;" | ")&amp;IFERROR(VLOOKUP($AC258,CODES,2,FALSE),"")&amp;" "&amp;IFERROR(VLOOKUP($AD258,CODES,2,FALSE),"")&amp;IF(OR($AE258="",$AE258="-"),""," "&amp;$AE258)&amp;IF(OR($AF258="",$AF258="-"),""," "&amp;$AF258)&amp;IF($AB258="Y"," 4"&amp;CHAR(34)&amp;" HEAD","")&amp;" "&amp;IFERROR(VLOOKUP($H258,CODES,2,FALSE),"")))</f>
        <v/>
      </c>
      <c r="BR258" s="50">
        <f>IF(NOT(AND($A258&lt;&gt;"",N($BC258)&gt;0)),"",TRIM(IFERROR(VLOOKUP($AH258,CODES,2,FALSE),"")&amp;IF($AI258=""," "," "&amp;$AI258&amp;"GA ")&amp;$AZ258&amp;" "&amp;IF($AN258="",IFERROR(VLOOKUP($Z258,CODES,2,FALSE),""),IFERROR(VLOOKUP($AN258,CODES,2,FALSE),""))&amp;IF($BC258=2," PAIR","")&amp;" DOOR | "&amp;IF($AL258="","?",$AL258)&amp;" | "&amp;IF($AP258="",IFERROR(VLOOKUP($AC258,CODES,2,FALSE),""),IFERROR(VLOOKUP($AP258,CODES,2,FALSE),""))&amp;" "&amp;IFERROR(VLOOKUP($AQ258,CODES,2,FALSE),"")&amp;IF(OR($AR258="",$AR258="-"),""," SEAM "&amp;$AR258)&amp;IF($AS258="Y"," ASTRAGAL","")&amp;IF($AJ258=""," "," "&amp;$AJ258)&amp;IF($AK258=""," "," "&amp;$AK258)&amp;IF($AO258="",""," "&amp;$AO258)&amp;IF($AM258=""," "," SERIES "&amp;$AM258)&amp;" "&amp;IFERROR(VLOOKUP($H258,CODES,2,FALSE),"")))</f>
        <v/>
      </c>
      <c r="BS258" s="49">
        <f>IF(BV258="","",IF(COUNTIF($BV$6:BV258,BV258)=1,MAX($BS$5:BS257)+1,INDEX($BS$5:BS257,MATCH(BV258,$BV$5:BV257,0))))</f>
        <v/>
      </c>
      <c r="BT258" s="49">
        <f>IF(NOT(AND($A258&lt;&gt;"",$C258&lt;&gt;"DOOR ONLY")),"",MAX($BT$5:BT257)+1)</f>
        <v/>
      </c>
      <c r="BU258" s="49">
        <f>IF(NOT(AND($A258&lt;&gt;"",N($BC258)&gt;0)),"",MAX($BU$5:BU257)+1)</f>
        <v/>
      </c>
      <c r="BV258" s="49">
        <f>IF(OR($A258="",$BA258="",$BB258=""),"",$AZ258&amp;"|"&amp;$O258&amp;"|"&amp;$AL258&amp;"|"&amp;$S258&amp;"|"&amp;$P258&amp;"|"&amp;$Q258&amp;$R258&amp;"|"&amp;$C258&amp;"|"&amp;$AB258)</f>
        <v/>
      </c>
      <c r="BW258" s="49">
        <f>IF($A258="","",IF($B258="","qty, ","")&amp;IF($C258="","scope, ","")&amp;IF(OR($K258="",$M258=""),"size, ","")&amp;IF(AND($A258&lt;&gt;"",$C258&lt;&gt;"DOOR ONLY"),IF($U258="","jamb depth, ","")&amp;IF($X258="","construction, ","")&amp;IF($Y258="","anchor, ","")&amp;IF($S258="","frame type, ",""),"")&amp;IF(AND(N($BC258)&gt;0,$Z258=""),"hand, ","")&amp;IF(N($BC258)&gt;0,IF($AH258="","door material, ","")&amp;IF($AL258="","face type, ","")&amp;IF($AQ258="","lock prep, ","")&amp;IF(AND($AP258="",$AC258=""),"hinge prep, ",""),"")&amp;IF(AND($BO258&gt;0,$AH258="FRP"),"FRP cannot carry a label, ","")&amp;IF(AND($O258="Y",OR($Z258="L",$Z258="R",$Z258="LR",$Z258="RR")),"pair marked but hand is single, ","")&amp;IF(AND($O258&lt;&gt;"Y",OR($Z258="PR",AND(LEN($Z258)&gt;1,ISNUMBER(SEARCH("-",$Z258))))),"pair hand on a single door, ","")&amp;IF(AND(ISNUMBER($BP258),$BO258&lt;N($BP258)),"wall needs a "&amp;$BP258&amp;" min door, ","")&amp;IF(AND($BO258&gt;=180,AND(OR($BL258="FG",$BL258="HG",$BL258="FNV",$BL258="FV"),N($BM258)*N($BN258)&gt;100)),"180 min lite over 100 sq in, ","")&amp;IF(N($BD258)&gt;48,"leaf wider than 4'-0"&amp;CHAR(34)&amp;", ",""))</f>
        <v/>
      </c>
      <c r="BX258" s="49">
        <f>IF($A258="","",IF(AND($BO258&gt;0,AND($A258&lt;&gt;"",$C258&lt;&gt;"DOOR ONLY"),$X258="KD",$E258="EXTERIOR"),"KD label on an exterior opening, ","")&amp;IF(AND($E258="EXTERIOR",OR(AND(AND($A258&lt;&gt;"",$C258&lt;&gt;"DOOR ONLY"),$W258="CR"),AND(N($BC258)&gt;0,$AH258="CR"))),"exterior in CR steel (G9?), ","")&amp;IF(AND(ISNUMBER($BJ258),N($BJ258)&lt;32),"clear width ~"&amp;TEXT($BJ258,"0.0")&amp;CHAR(34)&amp;" under 32"&amp;CHAR(34)&amp;" (ADA), ","")&amp;IF(AND($BO258=90,AND(OR($BL258="FG",$BL258="HG",$BL258="FNV",$BL258="FV"),N($BM258)*N($BN258)&gt;100)),"90 min lite over 100 sq in (stair/exit), ","")&amp;IF(AND($BO258&gt;0,AND($A258&lt;&gt;"",$C258&lt;&gt;"DOOR ONLY"),OR($AF258="",$AF258="-")),"rated: closer reinf.?, ","")&amp;IF(OR($I258="CORRIDOR",$I258="SMOKE BARRIER"),"S label + smoke gasketing, ","")&amp;IF($BP258="?","wall type/hr not in IBC table, ","")&amp;IF(AND(N($BC258)&gt;0,$AU258=""),"no hardware set, ","")&amp;IF(AND($AU258&lt;&gt;"",ISNA(MATCH($AU258,HWSets,0))),"set "&amp;$AU258&amp;" not on Hardware sheet, ","")&amp;IF(N($BE258)&gt;96,"leaf over 8'-0"&amp;CHAR(34)&amp;" - check listing, ",""))</f>
        <v/>
      </c>
    </row>
    <row r="259" ht="15" customHeight="1">
      <c r="A259" s="44" t="n"/>
      <c r="B259" s="45" t="n"/>
      <c r="C259" s="45" t="n"/>
      <c r="D259" s="45" t="n"/>
      <c r="E259" s="45" t="n"/>
      <c r="F259" s="45" t="n"/>
      <c r="G259" s="45" t="n"/>
      <c r="H259" s="45" t="n"/>
      <c r="I259" s="45" t="n"/>
      <c r="J259" s="45" t="n"/>
      <c r="K259" s="45" t="n"/>
      <c r="L259" s="45" t="n"/>
      <c r="M259" s="45" t="n"/>
      <c r="N259" s="45" t="n"/>
      <c r="O259" s="45" t="n"/>
      <c r="P259" s="45" t="n"/>
      <c r="Q259" s="45" t="n"/>
      <c r="R259" s="45" t="n"/>
      <c r="S259" s="46" t="n"/>
      <c r="T259" s="46" t="n"/>
      <c r="U259" s="46" t="n"/>
      <c r="V259" s="46" t="n"/>
      <c r="W259" s="46" t="n"/>
      <c r="X259" s="46" t="n"/>
      <c r="Y259" s="46" t="n"/>
      <c r="Z259" s="46" t="n"/>
      <c r="AA259" s="46" t="n"/>
      <c r="AB259" s="46" t="n"/>
      <c r="AC259" s="46" t="n"/>
      <c r="AD259" s="46" t="n"/>
      <c r="AE259" s="46" t="n"/>
      <c r="AF259" s="46" t="n"/>
      <c r="AG259" s="46" t="n"/>
      <c r="AH259" s="47" t="n"/>
      <c r="AI259" s="47" t="n"/>
      <c r="AJ259" s="47" t="n"/>
      <c r="AK259" s="47" t="n"/>
      <c r="AL259" s="47" t="n"/>
      <c r="AM259" s="47" t="n"/>
      <c r="AN259" s="47" t="n"/>
      <c r="AO259" s="47" t="n"/>
      <c r="AP259" s="47" t="n"/>
      <c r="AQ259" s="47" t="n"/>
      <c r="AR259" s="47" t="n"/>
      <c r="AS259" s="47" t="n"/>
      <c r="AT259" s="47" t="n"/>
      <c r="AU259" s="48" t="n"/>
      <c r="AV259" s="48" t="n"/>
      <c r="AW259" s="49">
        <f>IF($A259="","",IF($BW259&lt;&gt;"","FIX",IF($BX259&lt;&gt;"","CHECK","OK")))</f>
        <v/>
      </c>
      <c r="AX259" s="50">
        <f>IF($A259="","",IF($BW259&lt;&gt;"","FIX: "&amp;LEFT($BW259,LEN($BW259)-2)&amp;IF($BX259&lt;&gt;"","  ·  ",""),"")&amp;IF($BX259&lt;&gt;"","CHECK: "&amp;LEFT($BX259,LEN($BX259)-2),""))</f>
        <v/>
      </c>
      <c r="AY259" s="49">
        <f>IF(OR($A259="",$K259=""),"",$K259&amp;"'-"&amp;N($L259)&amp;CHAR(34)&amp;" x "&amp;$M259&amp;"'-"&amp;N($N259)&amp;CHAR(34))</f>
        <v/>
      </c>
      <c r="AZ259" s="49">
        <f>IF(OR($A259="",$K259=""),"",$K259&amp;N($L259)&amp;$M259&amp;N($N259))</f>
        <v/>
      </c>
      <c r="BA259" s="49">
        <f>IF(OR($A259="",$K259=""),"",$K259*12+N($L259))</f>
        <v/>
      </c>
      <c r="BB259" s="49">
        <f>IF(OR($A259="",$M259=""),"",$M259*12+N($N259))</f>
        <v/>
      </c>
      <c r="BC259" s="49">
        <f>IF($A259="","",IF(OR($C259="FRAME ONLY",$S259="BL"),0,IF($O259="Y",2,1)))</f>
        <v/>
      </c>
      <c r="BD259" s="51">
        <f>IF(OR(N($BC259)=0,$BA259=""),"",($BA259-2*EdgeClr-IF($BC259=2,MeetClr,0))/$BC259)</f>
        <v/>
      </c>
      <c r="BE259" s="51">
        <f>IF(OR(N($BC259)=0,$BB259=""),"",$BB259-HeadClr-Undercut)</f>
        <v/>
      </c>
      <c r="BF259" s="51">
        <f>IF($BA259="","",$BA259+2*FaceW+IF(N($Q259)&gt;0,($Q259+FaceW)*IF($R259="LR",2,1),0))</f>
        <v/>
      </c>
      <c r="BG259" s="51">
        <f>IF($BB259="","",$BB259+IF($AB259="Y",4,FaceW)+IF(N($P259)&gt;0,$P259+FaceW,0)+IF(OR($S259="4F",$S259="BL"),FaceW,0))</f>
        <v/>
      </c>
      <c r="BH259" s="51">
        <f>IF($BF259="","",$BF259+2*ROSide)</f>
        <v/>
      </c>
      <c r="BI259" s="51">
        <f>IF($BG259="","",$BG259+ROTop)</f>
        <v/>
      </c>
      <c r="BJ259" s="52">
        <f>IF(OR(N($BC259)=0,$BA259=""),"",$BA259/$BC259-ClearDeduct)</f>
        <v/>
      </c>
      <c r="BK259" s="49">
        <f>IF(OR(N($BC259)=0,$BE259=""),"",IF(OR($AC259="HGC",$AP259="HGC"),"CONT",IF($BE259&lt;=60,2,IF($BE259&lt;=90,3,IF($BE259&lt;=120,4,5)))))</f>
        <v/>
      </c>
      <c r="BL259" s="49">
        <f>IF(N($BC259)=0,"",IF(OR($AL259="",$AL259="FLUSH"),"FLUSH",IFERROR(LEFT($AL259,FIND("-",$AL259)-1),LEFT($AL259,2))))</f>
        <v/>
      </c>
      <c r="BM259" s="49">
        <f>IF($BL259="","",IFERROR(VALUE(MID($AL259,FIND("-",$AL259)+1,FIND(CHAR(34)&amp;"x",$AL259)-FIND("-",$AL259)-1)),0))</f>
        <v/>
      </c>
      <c r="BN259" s="49">
        <f>IF($BL259="","",IFERROR(VALUE(MID($AL259,FIND(CHAR(34)&amp;"x",$AL259)+2,FIND(CHAR(34),$AL259,FIND(CHAR(34)&amp;"x",$AL259)+2)-FIND(CHAR(34)&amp;"x",$AL259)-2)),0))</f>
        <v/>
      </c>
      <c r="BO259" s="53">
        <f>IF(OR($A259="",$H259="",$H259="NO LAB"),0,IFERROR(VALUE(LEFT($H259,FIND(" ",$H259)-1)),0))</f>
        <v/>
      </c>
      <c r="BP259" s="54">
        <f>IF(OR($A259="",$I259="",$I259="NON-RATED",N($J259)=0),"",IFERROR(VLOOKUP($I259&amp;"|"&amp;$J259,IBC,2,FALSE),"?"))</f>
        <v/>
      </c>
      <c r="BQ259" s="50">
        <f>IF(NOT(AND($A259&lt;&gt;"",$C259&lt;&gt;"DOOR ONLY")),"",TRIM(IFERROR(VLOOKUP($U259,CODES,2,FALSE),"")&amp;" "&amp;$AZ259&amp;" "&amp;IFERROR(VLOOKUP($Z259,CODES,2,FALSE),"")&amp;" "&amp;IFERROR(VLOOKUP($X259,CODES,2,FALSE),"")&amp;" "&amp;IFERROR(VLOOKUP($S259,CODES,2,FALSE),"")&amp;IF(N($P259)&gt;0," w/TRANSOM "&amp;$P259&amp;CHAR(34),"")&amp;IF(N($Q259)&gt;0," w/SIDELITE "&amp;$Q259&amp;CHAR(34)&amp;" "&amp;IF($R259="","R",$R259),"")&amp;IF($Y259="","  |  "," | "&amp;IFERROR(VLOOKUP($Y259,CODES,2,FALSE),"")&amp;" | ")&amp;IFERROR(VLOOKUP($AC259,CODES,2,FALSE),"")&amp;" "&amp;IFERROR(VLOOKUP($AD259,CODES,2,FALSE),"")&amp;IF(OR($AE259="",$AE259="-"),""," "&amp;$AE259)&amp;IF(OR($AF259="",$AF259="-"),""," "&amp;$AF259)&amp;IF($AB259="Y"," 4"&amp;CHAR(34)&amp;" HEAD","")&amp;" "&amp;IFERROR(VLOOKUP($H259,CODES,2,FALSE),"")))</f>
        <v/>
      </c>
      <c r="BR259" s="50">
        <f>IF(NOT(AND($A259&lt;&gt;"",N($BC259)&gt;0)),"",TRIM(IFERROR(VLOOKUP($AH259,CODES,2,FALSE),"")&amp;IF($AI259=""," "," "&amp;$AI259&amp;"GA ")&amp;$AZ259&amp;" "&amp;IF($AN259="",IFERROR(VLOOKUP($Z259,CODES,2,FALSE),""),IFERROR(VLOOKUP($AN259,CODES,2,FALSE),""))&amp;IF($BC259=2," PAIR","")&amp;" DOOR | "&amp;IF($AL259="","?",$AL259)&amp;" | "&amp;IF($AP259="",IFERROR(VLOOKUP($AC259,CODES,2,FALSE),""),IFERROR(VLOOKUP($AP259,CODES,2,FALSE),""))&amp;" "&amp;IFERROR(VLOOKUP($AQ259,CODES,2,FALSE),"")&amp;IF(OR($AR259="",$AR259="-"),""," SEAM "&amp;$AR259)&amp;IF($AS259="Y"," ASTRAGAL","")&amp;IF($AJ259=""," "," "&amp;$AJ259)&amp;IF($AK259=""," "," "&amp;$AK259)&amp;IF($AO259="",""," "&amp;$AO259)&amp;IF($AM259=""," "," SERIES "&amp;$AM259)&amp;" "&amp;IFERROR(VLOOKUP($H259,CODES,2,FALSE),"")))</f>
        <v/>
      </c>
      <c r="BS259" s="49">
        <f>IF(BV259="","",IF(COUNTIF($BV$6:BV259,BV259)=1,MAX($BS$5:BS258)+1,INDEX($BS$5:BS258,MATCH(BV259,$BV$5:BV258,0))))</f>
        <v/>
      </c>
      <c r="BT259" s="49">
        <f>IF(NOT(AND($A259&lt;&gt;"",$C259&lt;&gt;"DOOR ONLY")),"",MAX($BT$5:BT258)+1)</f>
        <v/>
      </c>
      <c r="BU259" s="49">
        <f>IF(NOT(AND($A259&lt;&gt;"",N($BC259)&gt;0)),"",MAX($BU$5:BU258)+1)</f>
        <v/>
      </c>
      <c r="BV259" s="49">
        <f>IF(OR($A259="",$BA259="",$BB259=""),"",$AZ259&amp;"|"&amp;$O259&amp;"|"&amp;$AL259&amp;"|"&amp;$S259&amp;"|"&amp;$P259&amp;"|"&amp;$Q259&amp;$R259&amp;"|"&amp;$C259&amp;"|"&amp;$AB259)</f>
        <v/>
      </c>
      <c r="BW259" s="49">
        <f>IF($A259="","",IF($B259="","qty, ","")&amp;IF($C259="","scope, ","")&amp;IF(OR($K259="",$M259=""),"size, ","")&amp;IF(AND($A259&lt;&gt;"",$C259&lt;&gt;"DOOR ONLY"),IF($U259="","jamb depth, ","")&amp;IF($X259="","construction, ","")&amp;IF($Y259="","anchor, ","")&amp;IF($S259="","frame type, ",""),"")&amp;IF(AND(N($BC259)&gt;0,$Z259=""),"hand, ","")&amp;IF(N($BC259)&gt;0,IF($AH259="","door material, ","")&amp;IF($AL259="","face type, ","")&amp;IF($AQ259="","lock prep, ","")&amp;IF(AND($AP259="",$AC259=""),"hinge prep, ",""),"")&amp;IF(AND($BO259&gt;0,$AH259="FRP"),"FRP cannot carry a label, ","")&amp;IF(AND($O259="Y",OR($Z259="L",$Z259="R",$Z259="LR",$Z259="RR")),"pair marked but hand is single, ","")&amp;IF(AND($O259&lt;&gt;"Y",OR($Z259="PR",AND(LEN($Z259)&gt;1,ISNUMBER(SEARCH("-",$Z259))))),"pair hand on a single door, ","")&amp;IF(AND(ISNUMBER($BP259),$BO259&lt;N($BP259)),"wall needs a "&amp;$BP259&amp;" min door, ","")&amp;IF(AND($BO259&gt;=180,AND(OR($BL259="FG",$BL259="HG",$BL259="FNV",$BL259="FV"),N($BM259)*N($BN259)&gt;100)),"180 min lite over 100 sq in, ","")&amp;IF(N($BD259)&gt;48,"leaf wider than 4'-0"&amp;CHAR(34)&amp;", ",""))</f>
        <v/>
      </c>
      <c r="BX259" s="49">
        <f>IF($A259="","",IF(AND($BO259&gt;0,AND($A259&lt;&gt;"",$C259&lt;&gt;"DOOR ONLY"),$X259="KD",$E259="EXTERIOR"),"KD label on an exterior opening, ","")&amp;IF(AND($E259="EXTERIOR",OR(AND(AND($A259&lt;&gt;"",$C259&lt;&gt;"DOOR ONLY"),$W259="CR"),AND(N($BC259)&gt;0,$AH259="CR"))),"exterior in CR steel (G9?), ","")&amp;IF(AND(ISNUMBER($BJ259),N($BJ259)&lt;32),"clear width ~"&amp;TEXT($BJ259,"0.0")&amp;CHAR(34)&amp;" under 32"&amp;CHAR(34)&amp;" (ADA), ","")&amp;IF(AND($BO259=90,AND(OR($BL259="FG",$BL259="HG",$BL259="FNV",$BL259="FV"),N($BM259)*N($BN259)&gt;100)),"90 min lite over 100 sq in (stair/exit), ","")&amp;IF(AND($BO259&gt;0,AND($A259&lt;&gt;"",$C259&lt;&gt;"DOOR ONLY"),OR($AF259="",$AF259="-")),"rated: closer reinf.?, ","")&amp;IF(OR($I259="CORRIDOR",$I259="SMOKE BARRIER"),"S label + smoke gasketing, ","")&amp;IF($BP259="?","wall type/hr not in IBC table, ","")&amp;IF(AND(N($BC259)&gt;0,$AU259=""),"no hardware set, ","")&amp;IF(AND($AU259&lt;&gt;"",ISNA(MATCH($AU259,HWSets,0))),"set "&amp;$AU259&amp;" not on Hardware sheet, ","")&amp;IF(N($BE259)&gt;96,"leaf over 8'-0"&amp;CHAR(34)&amp;" - check listing, ",""))</f>
        <v/>
      </c>
    </row>
    <row r="260" ht="15" customHeight="1">
      <c r="A260" s="44" t="n"/>
      <c r="B260" s="45" t="n"/>
      <c r="C260" s="45" t="n"/>
      <c r="D260" s="45" t="n"/>
      <c r="E260" s="45" t="n"/>
      <c r="F260" s="45" t="n"/>
      <c r="G260" s="45" t="n"/>
      <c r="H260" s="45" t="n"/>
      <c r="I260" s="45" t="n"/>
      <c r="J260" s="45" t="n"/>
      <c r="K260" s="45" t="n"/>
      <c r="L260" s="45" t="n"/>
      <c r="M260" s="45" t="n"/>
      <c r="N260" s="45" t="n"/>
      <c r="O260" s="45" t="n"/>
      <c r="P260" s="45" t="n"/>
      <c r="Q260" s="45" t="n"/>
      <c r="R260" s="45" t="n"/>
      <c r="S260" s="46" t="n"/>
      <c r="T260" s="46" t="n"/>
      <c r="U260" s="46" t="n"/>
      <c r="V260" s="46" t="n"/>
      <c r="W260" s="46" t="n"/>
      <c r="X260" s="46" t="n"/>
      <c r="Y260" s="46" t="n"/>
      <c r="Z260" s="46" t="n"/>
      <c r="AA260" s="46" t="n"/>
      <c r="AB260" s="46" t="n"/>
      <c r="AC260" s="46" t="n"/>
      <c r="AD260" s="46" t="n"/>
      <c r="AE260" s="46" t="n"/>
      <c r="AF260" s="46" t="n"/>
      <c r="AG260" s="46" t="n"/>
      <c r="AH260" s="47" t="n"/>
      <c r="AI260" s="47" t="n"/>
      <c r="AJ260" s="47" t="n"/>
      <c r="AK260" s="47" t="n"/>
      <c r="AL260" s="47" t="n"/>
      <c r="AM260" s="47" t="n"/>
      <c r="AN260" s="47" t="n"/>
      <c r="AO260" s="47" t="n"/>
      <c r="AP260" s="47" t="n"/>
      <c r="AQ260" s="47" t="n"/>
      <c r="AR260" s="47" t="n"/>
      <c r="AS260" s="47" t="n"/>
      <c r="AT260" s="47" t="n"/>
      <c r="AU260" s="48" t="n"/>
      <c r="AV260" s="48" t="n"/>
      <c r="AW260" s="49">
        <f>IF($A260="","",IF($BW260&lt;&gt;"","FIX",IF($BX260&lt;&gt;"","CHECK","OK")))</f>
        <v/>
      </c>
      <c r="AX260" s="50">
        <f>IF($A260="","",IF($BW260&lt;&gt;"","FIX: "&amp;LEFT($BW260,LEN($BW260)-2)&amp;IF($BX260&lt;&gt;"","  ·  ",""),"")&amp;IF($BX260&lt;&gt;"","CHECK: "&amp;LEFT($BX260,LEN($BX260)-2),""))</f>
        <v/>
      </c>
      <c r="AY260" s="49">
        <f>IF(OR($A260="",$K260=""),"",$K260&amp;"'-"&amp;N($L260)&amp;CHAR(34)&amp;" x "&amp;$M260&amp;"'-"&amp;N($N260)&amp;CHAR(34))</f>
        <v/>
      </c>
      <c r="AZ260" s="49">
        <f>IF(OR($A260="",$K260=""),"",$K260&amp;N($L260)&amp;$M260&amp;N($N260))</f>
        <v/>
      </c>
      <c r="BA260" s="49">
        <f>IF(OR($A260="",$K260=""),"",$K260*12+N($L260))</f>
        <v/>
      </c>
      <c r="BB260" s="49">
        <f>IF(OR($A260="",$M260=""),"",$M260*12+N($N260))</f>
        <v/>
      </c>
      <c r="BC260" s="49">
        <f>IF($A260="","",IF(OR($C260="FRAME ONLY",$S260="BL"),0,IF($O260="Y",2,1)))</f>
        <v/>
      </c>
      <c r="BD260" s="51">
        <f>IF(OR(N($BC260)=0,$BA260=""),"",($BA260-2*EdgeClr-IF($BC260=2,MeetClr,0))/$BC260)</f>
        <v/>
      </c>
      <c r="BE260" s="51">
        <f>IF(OR(N($BC260)=0,$BB260=""),"",$BB260-HeadClr-Undercut)</f>
        <v/>
      </c>
      <c r="BF260" s="51">
        <f>IF($BA260="","",$BA260+2*FaceW+IF(N($Q260)&gt;0,($Q260+FaceW)*IF($R260="LR",2,1),0))</f>
        <v/>
      </c>
      <c r="BG260" s="51">
        <f>IF($BB260="","",$BB260+IF($AB260="Y",4,FaceW)+IF(N($P260)&gt;0,$P260+FaceW,0)+IF(OR($S260="4F",$S260="BL"),FaceW,0))</f>
        <v/>
      </c>
      <c r="BH260" s="51">
        <f>IF($BF260="","",$BF260+2*ROSide)</f>
        <v/>
      </c>
      <c r="BI260" s="51">
        <f>IF($BG260="","",$BG260+ROTop)</f>
        <v/>
      </c>
      <c r="BJ260" s="52">
        <f>IF(OR(N($BC260)=0,$BA260=""),"",$BA260/$BC260-ClearDeduct)</f>
        <v/>
      </c>
      <c r="BK260" s="49">
        <f>IF(OR(N($BC260)=0,$BE260=""),"",IF(OR($AC260="HGC",$AP260="HGC"),"CONT",IF($BE260&lt;=60,2,IF($BE260&lt;=90,3,IF($BE260&lt;=120,4,5)))))</f>
        <v/>
      </c>
      <c r="BL260" s="49">
        <f>IF(N($BC260)=0,"",IF(OR($AL260="",$AL260="FLUSH"),"FLUSH",IFERROR(LEFT($AL260,FIND("-",$AL260)-1),LEFT($AL260,2))))</f>
        <v/>
      </c>
      <c r="BM260" s="49">
        <f>IF($BL260="","",IFERROR(VALUE(MID($AL260,FIND("-",$AL260)+1,FIND(CHAR(34)&amp;"x",$AL260)-FIND("-",$AL260)-1)),0))</f>
        <v/>
      </c>
      <c r="BN260" s="49">
        <f>IF($BL260="","",IFERROR(VALUE(MID($AL260,FIND(CHAR(34)&amp;"x",$AL260)+2,FIND(CHAR(34),$AL260,FIND(CHAR(34)&amp;"x",$AL260)+2)-FIND(CHAR(34)&amp;"x",$AL260)-2)),0))</f>
        <v/>
      </c>
      <c r="BO260" s="53">
        <f>IF(OR($A260="",$H260="",$H260="NO LAB"),0,IFERROR(VALUE(LEFT($H260,FIND(" ",$H260)-1)),0))</f>
        <v/>
      </c>
      <c r="BP260" s="54">
        <f>IF(OR($A260="",$I260="",$I260="NON-RATED",N($J260)=0),"",IFERROR(VLOOKUP($I260&amp;"|"&amp;$J260,IBC,2,FALSE),"?"))</f>
        <v/>
      </c>
      <c r="BQ260" s="50">
        <f>IF(NOT(AND($A260&lt;&gt;"",$C260&lt;&gt;"DOOR ONLY")),"",TRIM(IFERROR(VLOOKUP($U260,CODES,2,FALSE),"")&amp;" "&amp;$AZ260&amp;" "&amp;IFERROR(VLOOKUP($Z260,CODES,2,FALSE),"")&amp;" "&amp;IFERROR(VLOOKUP($X260,CODES,2,FALSE),"")&amp;" "&amp;IFERROR(VLOOKUP($S260,CODES,2,FALSE),"")&amp;IF(N($P260)&gt;0," w/TRANSOM "&amp;$P260&amp;CHAR(34),"")&amp;IF(N($Q260)&gt;0," w/SIDELITE "&amp;$Q260&amp;CHAR(34)&amp;" "&amp;IF($R260="","R",$R260),"")&amp;IF($Y260="","  |  "," | "&amp;IFERROR(VLOOKUP($Y260,CODES,2,FALSE),"")&amp;" | ")&amp;IFERROR(VLOOKUP($AC260,CODES,2,FALSE),"")&amp;" "&amp;IFERROR(VLOOKUP($AD260,CODES,2,FALSE),"")&amp;IF(OR($AE260="",$AE260="-"),""," "&amp;$AE260)&amp;IF(OR($AF260="",$AF260="-"),""," "&amp;$AF260)&amp;IF($AB260="Y"," 4"&amp;CHAR(34)&amp;" HEAD","")&amp;" "&amp;IFERROR(VLOOKUP($H260,CODES,2,FALSE),"")))</f>
        <v/>
      </c>
      <c r="BR260" s="50">
        <f>IF(NOT(AND($A260&lt;&gt;"",N($BC260)&gt;0)),"",TRIM(IFERROR(VLOOKUP($AH260,CODES,2,FALSE),"")&amp;IF($AI260=""," "," "&amp;$AI260&amp;"GA ")&amp;$AZ260&amp;" "&amp;IF($AN260="",IFERROR(VLOOKUP($Z260,CODES,2,FALSE),""),IFERROR(VLOOKUP($AN260,CODES,2,FALSE),""))&amp;IF($BC260=2," PAIR","")&amp;" DOOR | "&amp;IF($AL260="","?",$AL260)&amp;" | "&amp;IF($AP260="",IFERROR(VLOOKUP($AC260,CODES,2,FALSE),""),IFERROR(VLOOKUP($AP260,CODES,2,FALSE),""))&amp;" "&amp;IFERROR(VLOOKUP($AQ260,CODES,2,FALSE),"")&amp;IF(OR($AR260="",$AR260="-"),""," SEAM "&amp;$AR260)&amp;IF($AS260="Y"," ASTRAGAL","")&amp;IF($AJ260=""," "," "&amp;$AJ260)&amp;IF($AK260=""," "," "&amp;$AK260)&amp;IF($AO260="",""," "&amp;$AO260)&amp;IF($AM260=""," "," SERIES "&amp;$AM260)&amp;" "&amp;IFERROR(VLOOKUP($H260,CODES,2,FALSE),"")))</f>
        <v/>
      </c>
      <c r="BS260" s="49">
        <f>IF(BV260="","",IF(COUNTIF($BV$6:BV260,BV260)=1,MAX($BS$5:BS259)+1,INDEX($BS$5:BS259,MATCH(BV260,$BV$5:BV259,0))))</f>
        <v/>
      </c>
      <c r="BT260" s="49">
        <f>IF(NOT(AND($A260&lt;&gt;"",$C260&lt;&gt;"DOOR ONLY")),"",MAX($BT$5:BT259)+1)</f>
        <v/>
      </c>
      <c r="BU260" s="49">
        <f>IF(NOT(AND($A260&lt;&gt;"",N($BC260)&gt;0)),"",MAX($BU$5:BU259)+1)</f>
        <v/>
      </c>
      <c r="BV260" s="49">
        <f>IF(OR($A260="",$BA260="",$BB260=""),"",$AZ260&amp;"|"&amp;$O260&amp;"|"&amp;$AL260&amp;"|"&amp;$S260&amp;"|"&amp;$P260&amp;"|"&amp;$Q260&amp;$R260&amp;"|"&amp;$C260&amp;"|"&amp;$AB260)</f>
        <v/>
      </c>
      <c r="BW260" s="49">
        <f>IF($A260="","",IF($B260="","qty, ","")&amp;IF($C260="","scope, ","")&amp;IF(OR($K260="",$M260=""),"size, ","")&amp;IF(AND($A260&lt;&gt;"",$C260&lt;&gt;"DOOR ONLY"),IF($U260="","jamb depth, ","")&amp;IF($X260="","construction, ","")&amp;IF($Y260="","anchor, ","")&amp;IF($S260="","frame type, ",""),"")&amp;IF(AND(N($BC260)&gt;0,$Z260=""),"hand, ","")&amp;IF(N($BC260)&gt;0,IF($AH260="","door material, ","")&amp;IF($AL260="","face type, ","")&amp;IF($AQ260="","lock prep, ","")&amp;IF(AND($AP260="",$AC260=""),"hinge prep, ",""),"")&amp;IF(AND($BO260&gt;0,$AH260="FRP"),"FRP cannot carry a label, ","")&amp;IF(AND($O260="Y",OR($Z260="L",$Z260="R",$Z260="LR",$Z260="RR")),"pair marked but hand is single, ","")&amp;IF(AND($O260&lt;&gt;"Y",OR($Z260="PR",AND(LEN($Z260)&gt;1,ISNUMBER(SEARCH("-",$Z260))))),"pair hand on a single door, ","")&amp;IF(AND(ISNUMBER($BP260),$BO260&lt;N($BP260)),"wall needs a "&amp;$BP260&amp;" min door, ","")&amp;IF(AND($BO260&gt;=180,AND(OR($BL260="FG",$BL260="HG",$BL260="FNV",$BL260="FV"),N($BM260)*N($BN260)&gt;100)),"180 min lite over 100 sq in, ","")&amp;IF(N($BD260)&gt;48,"leaf wider than 4'-0"&amp;CHAR(34)&amp;", ",""))</f>
        <v/>
      </c>
      <c r="BX260" s="49">
        <f>IF($A260="","",IF(AND($BO260&gt;0,AND($A260&lt;&gt;"",$C260&lt;&gt;"DOOR ONLY"),$X260="KD",$E260="EXTERIOR"),"KD label on an exterior opening, ","")&amp;IF(AND($E260="EXTERIOR",OR(AND(AND($A260&lt;&gt;"",$C260&lt;&gt;"DOOR ONLY"),$W260="CR"),AND(N($BC260)&gt;0,$AH260="CR"))),"exterior in CR steel (G9?), ","")&amp;IF(AND(ISNUMBER($BJ260),N($BJ260)&lt;32),"clear width ~"&amp;TEXT($BJ260,"0.0")&amp;CHAR(34)&amp;" under 32"&amp;CHAR(34)&amp;" (ADA), ","")&amp;IF(AND($BO260=90,AND(OR($BL260="FG",$BL260="HG",$BL260="FNV",$BL260="FV"),N($BM260)*N($BN260)&gt;100)),"90 min lite over 100 sq in (stair/exit), ","")&amp;IF(AND($BO260&gt;0,AND($A260&lt;&gt;"",$C260&lt;&gt;"DOOR ONLY"),OR($AF260="",$AF260="-")),"rated: closer reinf.?, ","")&amp;IF(OR($I260="CORRIDOR",$I260="SMOKE BARRIER"),"S label + smoke gasketing, ","")&amp;IF($BP260="?","wall type/hr not in IBC table, ","")&amp;IF(AND(N($BC260)&gt;0,$AU260=""),"no hardware set, ","")&amp;IF(AND($AU260&lt;&gt;"",ISNA(MATCH($AU260,HWSets,0))),"set "&amp;$AU260&amp;" not on Hardware sheet, ","")&amp;IF(N($BE260)&gt;96,"leaf over 8'-0"&amp;CHAR(34)&amp;" - check listing, ",""))</f>
        <v/>
      </c>
    </row>
    <row r="261" ht="15" customHeight="1">
      <c r="A261" s="44" t="n"/>
      <c r="B261" s="45" t="n"/>
      <c r="C261" s="45" t="n"/>
      <c r="D261" s="45" t="n"/>
      <c r="E261" s="45" t="n"/>
      <c r="F261" s="45" t="n"/>
      <c r="G261" s="45" t="n"/>
      <c r="H261" s="45" t="n"/>
      <c r="I261" s="45" t="n"/>
      <c r="J261" s="45" t="n"/>
      <c r="K261" s="45" t="n"/>
      <c r="L261" s="45" t="n"/>
      <c r="M261" s="45" t="n"/>
      <c r="N261" s="45" t="n"/>
      <c r="O261" s="45" t="n"/>
      <c r="P261" s="45" t="n"/>
      <c r="Q261" s="45" t="n"/>
      <c r="R261" s="45" t="n"/>
      <c r="S261" s="46" t="n"/>
      <c r="T261" s="46" t="n"/>
      <c r="U261" s="46" t="n"/>
      <c r="V261" s="46" t="n"/>
      <c r="W261" s="46" t="n"/>
      <c r="X261" s="46" t="n"/>
      <c r="Y261" s="46" t="n"/>
      <c r="Z261" s="46" t="n"/>
      <c r="AA261" s="46" t="n"/>
      <c r="AB261" s="46" t="n"/>
      <c r="AC261" s="46" t="n"/>
      <c r="AD261" s="46" t="n"/>
      <c r="AE261" s="46" t="n"/>
      <c r="AF261" s="46" t="n"/>
      <c r="AG261" s="46" t="n"/>
      <c r="AH261" s="47" t="n"/>
      <c r="AI261" s="47" t="n"/>
      <c r="AJ261" s="47" t="n"/>
      <c r="AK261" s="47" t="n"/>
      <c r="AL261" s="47" t="n"/>
      <c r="AM261" s="47" t="n"/>
      <c r="AN261" s="47" t="n"/>
      <c r="AO261" s="47" t="n"/>
      <c r="AP261" s="47" t="n"/>
      <c r="AQ261" s="47" t="n"/>
      <c r="AR261" s="47" t="n"/>
      <c r="AS261" s="47" t="n"/>
      <c r="AT261" s="47" t="n"/>
      <c r="AU261" s="48" t="n"/>
      <c r="AV261" s="48" t="n"/>
      <c r="AW261" s="49">
        <f>IF($A261="","",IF($BW261&lt;&gt;"","FIX",IF($BX261&lt;&gt;"","CHECK","OK")))</f>
        <v/>
      </c>
      <c r="AX261" s="50">
        <f>IF($A261="","",IF($BW261&lt;&gt;"","FIX: "&amp;LEFT($BW261,LEN($BW261)-2)&amp;IF($BX261&lt;&gt;"","  ·  ",""),"")&amp;IF($BX261&lt;&gt;"","CHECK: "&amp;LEFT($BX261,LEN($BX261)-2),""))</f>
        <v/>
      </c>
      <c r="AY261" s="49">
        <f>IF(OR($A261="",$K261=""),"",$K261&amp;"'-"&amp;N($L261)&amp;CHAR(34)&amp;" x "&amp;$M261&amp;"'-"&amp;N($N261)&amp;CHAR(34))</f>
        <v/>
      </c>
      <c r="AZ261" s="49">
        <f>IF(OR($A261="",$K261=""),"",$K261&amp;N($L261)&amp;$M261&amp;N($N261))</f>
        <v/>
      </c>
      <c r="BA261" s="49">
        <f>IF(OR($A261="",$K261=""),"",$K261*12+N($L261))</f>
        <v/>
      </c>
      <c r="BB261" s="49">
        <f>IF(OR($A261="",$M261=""),"",$M261*12+N($N261))</f>
        <v/>
      </c>
      <c r="BC261" s="49">
        <f>IF($A261="","",IF(OR($C261="FRAME ONLY",$S261="BL"),0,IF($O261="Y",2,1)))</f>
        <v/>
      </c>
      <c r="BD261" s="51">
        <f>IF(OR(N($BC261)=0,$BA261=""),"",($BA261-2*EdgeClr-IF($BC261=2,MeetClr,0))/$BC261)</f>
        <v/>
      </c>
      <c r="BE261" s="51">
        <f>IF(OR(N($BC261)=0,$BB261=""),"",$BB261-HeadClr-Undercut)</f>
        <v/>
      </c>
      <c r="BF261" s="51">
        <f>IF($BA261="","",$BA261+2*FaceW+IF(N($Q261)&gt;0,($Q261+FaceW)*IF($R261="LR",2,1),0))</f>
        <v/>
      </c>
      <c r="BG261" s="51">
        <f>IF($BB261="","",$BB261+IF($AB261="Y",4,FaceW)+IF(N($P261)&gt;0,$P261+FaceW,0)+IF(OR($S261="4F",$S261="BL"),FaceW,0))</f>
        <v/>
      </c>
      <c r="BH261" s="51">
        <f>IF($BF261="","",$BF261+2*ROSide)</f>
        <v/>
      </c>
      <c r="BI261" s="51">
        <f>IF($BG261="","",$BG261+ROTop)</f>
        <v/>
      </c>
      <c r="BJ261" s="52">
        <f>IF(OR(N($BC261)=0,$BA261=""),"",$BA261/$BC261-ClearDeduct)</f>
        <v/>
      </c>
      <c r="BK261" s="49">
        <f>IF(OR(N($BC261)=0,$BE261=""),"",IF(OR($AC261="HGC",$AP261="HGC"),"CONT",IF($BE261&lt;=60,2,IF($BE261&lt;=90,3,IF($BE261&lt;=120,4,5)))))</f>
        <v/>
      </c>
      <c r="BL261" s="49">
        <f>IF(N($BC261)=0,"",IF(OR($AL261="",$AL261="FLUSH"),"FLUSH",IFERROR(LEFT($AL261,FIND("-",$AL261)-1),LEFT($AL261,2))))</f>
        <v/>
      </c>
      <c r="BM261" s="49">
        <f>IF($BL261="","",IFERROR(VALUE(MID($AL261,FIND("-",$AL261)+1,FIND(CHAR(34)&amp;"x",$AL261)-FIND("-",$AL261)-1)),0))</f>
        <v/>
      </c>
      <c r="BN261" s="49">
        <f>IF($BL261="","",IFERROR(VALUE(MID($AL261,FIND(CHAR(34)&amp;"x",$AL261)+2,FIND(CHAR(34),$AL261,FIND(CHAR(34)&amp;"x",$AL261)+2)-FIND(CHAR(34)&amp;"x",$AL261)-2)),0))</f>
        <v/>
      </c>
      <c r="BO261" s="53">
        <f>IF(OR($A261="",$H261="",$H261="NO LAB"),0,IFERROR(VALUE(LEFT($H261,FIND(" ",$H261)-1)),0))</f>
        <v/>
      </c>
      <c r="BP261" s="54">
        <f>IF(OR($A261="",$I261="",$I261="NON-RATED",N($J261)=0),"",IFERROR(VLOOKUP($I261&amp;"|"&amp;$J261,IBC,2,FALSE),"?"))</f>
        <v/>
      </c>
      <c r="BQ261" s="50">
        <f>IF(NOT(AND($A261&lt;&gt;"",$C261&lt;&gt;"DOOR ONLY")),"",TRIM(IFERROR(VLOOKUP($U261,CODES,2,FALSE),"")&amp;" "&amp;$AZ261&amp;" "&amp;IFERROR(VLOOKUP($Z261,CODES,2,FALSE),"")&amp;" "&amp;IFERROR(VLOOKUP($X261,CODES,2,FALSE),"")&amp;" "&amp;IFERROR(VLOOKUP($S261,CODES,2,FALSE),"")&amp;IF(N($P261)&gt;0," w/TRANSOM "&amp;$P261&amp;CHAR(34),"")&amp;IF(N($Q261)&gt;0," w/SIDELITE "&amp;$Q261&amp;CHAR(34)&amp;" "&amp;IF($R261="","R",$R261),"")&amp;IF($Y261="","  |  "," | "&amp;IFERROR(VLOOKUP($Y261,CODES,2,FALSE),"")&amp;" | ")&amp;IFERROR(VLOOKUP($AC261,CODES,2,FALSE),"")&amp;" "&amp;IFERROR(VLOOKUP($AD261,CODES,2,FALSE),"")&amp;IF(OR($AE261="",$AE261="-"),""," "&amp;$AE261)&amp;IF(OR($AF261="",$AF261="-"),""," "&amp;$AF261)&amp;IF($AB261="Y"," 4"&amp;CHAR(34)&amp;" HEAD","")&amp;" "&amp;IFERROR(VLOOKUP($H261,CODES,2,FALSE),"")))</f>
        <v/>
      </c>
      <c r="BR261" s="50">
        <f>IF(NOT(AND($A261&lt;&gt;"",N($BC261)&gt;0)),"",TRIM(IFERROR(VLOOKUP($AH261,CODES,2,FALSE),"")&amp;IF($AI261=""," "," "&amp;$AI261&amp;"GA ")&amp;$AZ261&amp;" "&amp;IF($AN261="",IFERROR(VLOOKUP($Z261,CODES,2,FALSE),""),IFERROR(VLOOKUP($AN261,CODES,2,FALSE),""))&amp;IF($BC261=2," PAIR","")&amp;" DOOR | "&amp;IF($AL261="","?",$AL261)&amp;" | "&amp;IF($AP261="",IFERROR(VLOOKUP($AC261,CODES,2,FALSE),""),IFERROR(VLOOKUP($AP261,CODES,2,FALSE),""))&amp;" "&amp;IFERROR(VLOOKUP($AQ261,CODES,2,FALSE),"")&amp;IF(OR($AR261="",$AR261="-"),""," SEAM "&amp;$AR261)&amp;IF($AS261="Y"," ASTRAGAL","")&amp;IF($AJ261=""," "," "&amp;$AJ261)&amp;IF($AK261=""," "," "&amp;$AK261)&amp;IF($AO261="",""," "&amp;$AO261)&amp;IF($AM261=""," "," SERIES "&amp;$AM261)&amp;" "&amp;IFERROR(VLOOKUP($H261,CODES,2,FALSE),"")))</f>
        <v/>
      </c>
      <c r="BS261" s="49">
        <f>IF(BV261="","",IF(COUNTIF($BV$6:BV261,BV261)=1,MAX($BS$5:BS260)+1,INDEX($BS$5:BS260,MATCH(BV261,$BV$5:BV260,0))))</f>
        <v/>
      </c>
      <c r="BT261" s="49">
        <f>IF(NOT(AND($A261&lt;&gt;"",$C261&lt;&gt;"DOOR ONLY")),"",MAX($BT$5:BT260)+1)</f>
        <v/>
      </c>
      <c r="BU261" s="49">
        <f>IF(NOT(AND($A261&lt;&gt;"",N($BC261)&gt;0)),"",MAX($BU$5:BU260)+1)</f>
        <v/>
      </c>
      <c r="BV261" s="49">
        <f>IF(OR($A261="",$BA261="",$BB261=""),"",$AZ261&amp;"|"&amp;$O261&amp;"|"&amp;$AL261&amp;"|"&amp;$S261&amp;"|"&amp;$P261&amp;"|"&amp;$Q261&amp;$R261&amp;"|"&amp;$C261&amp;"|"&amp;$AB261)</f>
        <v/>
      </c>
      <c r="BW261" s="49">
        <f>IF($A261="","",IF($B261="","qty, ","")&amp;IF($C261="","scope, ","")&amp;IF(OR($K261="",$M261=""),"size, ","")&amp;IF(AND($A261&lt;&gt;"",$C261&lt;&gt;"DOOR ONLY"),IF($U261="","jamb depth, ","")&amp;IF($X261="","construction, ","")&amp;IF($Y261="","anchor, ","")&amp;IF($S261="","frame type, ",""),"")&amp;IF(AND(N($BC261)&gt;0,$Z261=""),"hand, ","")&amp;IF(N($BC261)&gt;0,IF($AH261="","door material, ","")&amp;IF($AL261="","face type, ","")&amp;IF($AQ261="","lock prep, ","")&amp;IF(AND($AP261="",$AC261=""),"hinge prep, ",""),"")&amp;IF(AND($BO261&gt;0,$AH261="FRP"),"FRP cannot carry a label, ","")&amp;IF(AND($O261="Y",OR($Z261="L",$Z261="R",$Z261="LR",$Z261="RR")),"pair marked but hand is single, ","")&amp;IF(AND($O261&lt;&gt;"Y",OR($Z261="PR",AND(LEN($Z261)&gt;1,ISNUMBER(SEARCH("-",$Z261))))),"pair hand on a single door, ","")&amp;IF(AND(ISNUMBER($BP261),$BO261&lt;N($BP261)),"wall needs a "&amp;$BP261&amp;" min door, ","")&amp;IF(AND($BO261&gt;=180,AND(OR($BL261="FG",$BL261="HG",$BL261="FNV",$BL261="FV"),N($BM261)*N($BN261)&gt;100)),"180 min lite over 100 sq in, ","")&amp;IF(N($BD261)&gt;48,"leaf wider than 4'-0"&amp;CHAR(34)&amp;", ",""))</f>
        <v/>
      </c>
      <c r="BX261" s="49">
        <f>IF($A261="","",IF(AND($BO261&gt;0,AND($A261&lt;&gt;"",$C261&lt;&gt;"DOOR ONLY"),$X261="KD",$E261="EXTERIOR"),"KD label on an exterior opening, ","")&amp;IF(AND($E261="EXTERIOR",OR(AND(AND($A261&lt;&gt;"",$C261&lt;&gt;"DOOR ONLY"),$W261="CR"),AND(N($BC261)&gt;0,$AH261="CR"))),"exterior in CR steel (G9?), ","")&amp;IF(AND(ISNUMBER($BJ261),N($BJ261)&lt;32),"clear width ~"&amp;TEXT($BJ261,"0.0")&amp;CHAR(34)&amp;" under 32"&amp;CHAR(34)&amp;" (ADA), ","")&amp;IF(AND($BO261=90,AND(OR($BL261="FG",$BL261="HG",$BL261="FNV",$BL261="FV"),N($BM261)*N($BN261)&gt;100)),"90 min lite over 100 sq in (stair/exit), ","")&amp;IF(AND($BO261&gt;0,AND($A261&lt;&gt;"",$C261&lt;&gt;"DOOR ONLY"),OR($AF261="",$AF261="-")),"rated: closer reinf.?, ","")&amp;IF(OR($I261="CORRIDOR",$I261="SMOKE BARRIER"),"S label + smoke gasketing, ","")&amp;IF($BP261="?","wall type/hr not in IBC table, ","")&amp;IF(AND(N($BC261)&gt;0,$AU261=""),"no hardware set, ","")&amp;IF(AND($AU261&lt;&gt;"",ISNA(MATCH($AU261,HWSets,0))),"set "&amp;$AU261&amp;" not on Hardware sheet, ","")&amp;IF(N($BE261)&gt;96,"leaf over 8'-0"&amp;CHAR(34)&amp;" - check listing, ",""))</f>
        <v/>
      </c>
    </row>
    <row r="262" ht="15" customHeight="1">
      <c r="A262" s="44" t="n"/>
      <c r="B262" s="45" t="n"/>
      <c r="C262" s="45" t="n"/>
      <c r="D262" s="45" t="n"/>
      <c r="E262" s="45" t="n"/>
      <c r="F262" s="45" t="n"/>
      <c r="G262" s="45" t="n"/>
      <c r="H262" s="45" t="n"/>
      <c r="I262" s="45" t="n"/>
      <c r="J262" s="45" t="n"/>
      <c r="K262" s="45" t="n"/>
      <c r="L262" s="45" t="n"/>
      <c r="M262" s="45" t="n"/>
      <c r="N262" s="45" t="n"/>
      <c r="O262" s="45" t="n"/>
      <c r="P262" s="45" t="n"/>
      <c r="Q262" s="45" t="n"/>
      <c r="R262" s="45" t="n"/>
      <c r="S262" s="46" t="n"/>
      <c r="T262" s="46" t="n"/>
      <c r="U262" s="46" t="n"/>
      <c r="V262" s="46" t="n"/>
      <c r="W262" s="46" t="n"/>
      <c r="X262" s="46" t="n"/>
      <c r="Y262" s="46" t="n"/>
      <c r="Z262" s="46" t="n"/>
      <c r="AA262" s="46" t="n"/>
      <c r="AB262" s="46" t="n"/>
      <c r="AC262" s="46" t="n"/>
      <c r="AD262" s="46" t="n"/>
      <c r="AE262" s="46" t="n"/>
      <c r="AF262" s="46" t="n"/>
      <c r="AG262" s="46" t="n"/>
      <c r="AH262" s="47" t="n"/>
      <c r="AI262" s="47" t="n"/>
      <c r="AJ262" s="47" t="n"/>
      <c r="AK262" s="47" t="n"/>
      <c r="AL262" s="47" t="n"/>
      <c r="AM262" s="47" t="n"/>
      <c r="AN262" s="47" t="n"/>
      <c r="AO262" s="47" t="n"/>
      <c r="AP262" s="47" t="n"/>
      <c r="AQ262" s="47" t="n"/>
      <c r="AR262" s="47" t="n"/>
      <c r="AS262" s="47" t="n"/>
      <c r="AT262" s="47" t="n"/>
      <c r="AU262" s="48" t="n"/>
      <c r="AV262" s="48" t="n"/>
      <c r="AW262" s="49">
        <f>IF($A262="","",IF($BW262&lt;&gt;"","FIX",IF($BX262&lt;&gt;"","CHECK","OK")))</f>
        <v/>
      </c>
      <c r="AX262" s="50">
        <f>IF($A262="","",IF($BW262&lt;&gt;"","FIX: "&amp;LEFT($BW262,LEN($BW262)-2)&amp;IF($BX262&lt;&gt;"","  ·  ",""),"")&amp;IF($BX262&lt;&gt;"","CHECK: "&amp;LEFT($BX262,LEN($BX262)-2),""))</f>
        <v/>
      </c>
      <c r="AY262" s="49">
        <f>IF(OR($A262="",$K262=""),"",$K262&amp;"'-"&amp;N($L262)&amp;CHAR(34)&amp;" x "&amp;$M262&amp;"'-"&amp;N($N262)&amp;CHAR(34))</f>
        <v/>
      </c>
      <c r="AZ262" s="49">
        <f>IF(OR($A262="",$K262=""),"",$K262&amp;N($L262)&amp;$M262&amp;N($N262))</f>
        <v/>
      </c>
      <c r="BA262" s="49">
        <f>IF(OR($A262="",$K262=""),"",$K262*12+N($L262))</f>
        <v/>
      </c>
      <c r="BB262" s="49">
        <f>IF(OR($A262="",$M262=""),"",$M262*12+N($N262))</f>
        <v/>
      </c>
      <c r="BC262" s="49">
        <f>IF($A262="","",IF(OR($C262="FRAME ONLY",$S262="BL"),0,IF($O262="Y",2,1)))</f>
        <v/>
      </c>
      <c r="BD262" s="51">
        <f>IF(OR(N($BC262)=0,$BA262=""),"",($BA262-2*EdgeClr-IF($BC262=2,MeetClr,0))/$BC262)</f>
        <v/>
      </c>
      <c r="BE262" s="51">
        <f>IF(OR(N($BC262)=0,$BB262=""),"",$BB262-HeadClr-Undercut)</f>
        <v/>
      </c>
      <c r="BF262" s="51">
        <f>IF($BA262="","",$BA262+2*FaceW+IF(N($Q262)&gt;0,($Q262+FaceW)*IF($R262="LR",2,1),0))</f>
        <v/>
      </c>
      <c r="BG262" s="51">
        <f>IF($BB262="","",$BB262+IF($AB262="Y",4,FaceW)+IF(N($P262)&gt;0,$P262+FaceW,0)+IF(OR($S262="4F",$S262="BL"),FaceW,0))</f>
        <v/>
      </c>
      <c r="BH262" s="51">
        <f>IF($BF262="","",$BF262+2*ROSide)</f>
        <v/>
      </c>
      <c r="BI262" s="51">
        <f>IF($BG262="","",$BG262+ROTop)</f>
        <v/>
      </c>
      <c r="BJ262" s="52">
        <f>IF(OR(N($BC262)=0,$BA262=""),"",$BA262/$BC262-ClearDeduct)</f>
        <v/>
      </c>
      <c r="BK262" s="49">
        <f>IF(OR(N($BC262)=0,$BE262=""),"",IF(OR($AC262="HGC",$AP262="HGC"),"CONT",IF($BE262&lt;=60,2,IF($BE262&lt;=90,3,IF($BE262&lt;=120,4,5)))))</f>
        <v/>
      </c>
      <c r="BL262" s="49">
        <f>IF(N($BC262)=0,"",IF(OR($AL262="",$AL262="FLUSH"),"FLUSH",IFERROR(LEFT($AL262,FIND("-",$AL262)-1),LEFT($AL262,2))))</f>
        <v/>
      </c>
      <c r="BM262" s="49">
        <f>IF($BL262="","",IFERROR(VALUE(MID($AL262,FIND("-",$AL262)+1,FIND(CHAR(34)&amp;"x",$AL262)-FIND("-",$AL262)-1)),0))</f>
        <v/>
      </c>
      <c r="BN262" s="49">
        <f>IF($BL262="","",IFERROR(VALUE(MID($AL262,FIND(CHAR(34)&amp;"x",$AL262)+2,FIND(CHAR(34),$AL262,FIND(CHAR(34)&amp;"x",$AL262)+2)-FIND(CHAR(34)&amp;"x",$AL262)-2)),0))</f>
        <v/>
      </c>
      <c r="BO262" s="53">
        <f>IF(OR($A262="",$H262="",$H262="NO LAB"),0,IFERROR(VALUE(LEFT($H262,FIND(" ",$H262)-1)),0))</f>
        <v/>
      </c>
      <c r="BP262" s="54">
        <f>IF(OR($A262="",$I262="",$I262="NON-RATED",N($J262)=0),"",IFERROR(VLOOKUP($I262&amp;"|"&amp;$J262,IBC,2,FALSE),"?"))</f>
        <v/>
      </c>
      <c r="BQ262" s="50">
        <f>IF(NOT(AND($A262&lt;&gt;"",$C262&lt;&gt;"DOOR ONLY")),"",TRIM(IFERROR(VLOOKUP($U262,CODES,2,FALSE),"")&amp;" "&amp;$AZ262&amp;" "&amp;IFERROR(VLOOKUP($Z262,CODES,2,FALSE),"")&amp;" "&amp;IFERROR(VLOOKUP($X262,CODES,2,FALSE),"")&amp;" "&amp;IFERROR(VLOOKUP($S262,CODES,2,FALSE),"")&amp;IF(N($P262)&gt;0," w/TRANSOM "&amp;$P262&amp;CHAR(34),"")&amp;IF(N($Q262)&gt;0," w/SIDELITE "&amp;$Q262&amp;CHAR(34)&amp;" "&amp;IF($R262="","R",$R262),"")&amp;IF($Y262="","  |  "," | "&amp;IFERROR(VLOOKUP($Y262,CODES,2,FALSE),"")&amp;" | ")&amp;IFERROR(VLOOKUP($AC262,CODES,2,FALSE),"")&amp;" "&amp;IFERROR(VLOOKUP($AD262,CODES,2,FALSE),"")&amp;IF(OR($AE262="",$AE262="-"),""," "&amp;$AE262)&amp;IF(OR($AF262="",$AF262="-"),""," "&amp;$AF262)&amp;IF($AB262="Y"," 4"&amp;CHAR(34)&amp;" HEAD","")&amp;" "&amp;IFERROR(VLOOKUP($H262,CODES,2,FALSE),"")))</f>
        <v/>
      </c>
      <c r="BR262" s="50">
        <f>IF(NOT(AND($A262&lt;&gt;"",N($BC262)&gt;0)),"",TRIM(IFERROR(VLOOKUP($AH262,CODES,2,FALSE),"")&amp;IF($AI262=""," "," "&amp;$AI262&amp;"GA ")&amp;$AZ262&amp;" "&amp;IF($AN262="",IFERROR(VLOOKUP($Z262,CODES,2,FALSE),""),IFERROR(VLOOKUP($AN262,CODES,2,FALSE),""))&amp;IF($BC262=2," PAIR","")&amp;" DOOR | "&amp;IF($AL262="","?",$AL262)&amp;" | "&amp;IF($AP262="",IFERROR(VLOOKUP($AC262,CODES,2,FALSE),""),IFERROR(VLOOKUP($AP262,CODES,2,FALSE),""))&amp;" "&amp;IFERROR(VLOOKUP($AQ262,CODES,2,FALSE),"")&amp;IF(OR($AR262="",$AR262="-"),""," SEAM "&amp;$AR262)&amp;IF($AS262="Y"," ASTRAGAL","")&amp;IF($AJ262=""," "," "&amp;$AJ262)&amp;IF($AK262=""," "," "&amp;$AK262)&amp;IF($AO262="",""," "&amp;$AO262)&amp;IF($AM262=""," "," SERIES "&amp;$AM262)&amp;" "&amp;IFERROR(VLOOKUP($H262,CODES,2,FALSE),"")))</f>
        <v/>
      </c>
      <c r="BS262" s="49">
        <f>IF(BV262="","",IF(COUNTIF($BV$6:BV262,BV262)=1,MAX($BS$5:BS261)+1,INDEX($BS$5:BS261,MATCH(BV262,$BV$5:BV261,0))))</f>
        <v/>
      </c>
      <c r="BT262" s="49">
        <f>IF(NOT(AND($A262&lt;&gt;"",$C262&lt;&gt;"DOOR ONLY")),"",MAX($BT$5:BT261)+1)</f>
        <v/>
      </c>
      <c r="BU262" s="49">
        <f>IF(NOT(AND($A262&lt;&gt;"",N($BC262)&gt;0)),"",MAX($BU$5:BU261)+1)</f>
        <v/>
      </c>
      <c r="BV262" s="49">
        <f>IF(OR($A262="",$BA262="",$BB262=""),"",$AZ262&amp;"|"&amp;$O262&amp;"|"&amp;$AL262&amp;"|"&amp;$S262&amp;"|"&amp;$P262&amp;"|"&amp;$Q262&amp;$R262&amp;"|"&amp;$C262&amp;"|"&amp;$AB262)</f>
        <v/>
      </c>
      <c r="BW262" s="49">
        <f>IF($A262="","",IF($B262="","qty, ","")&amp;IF($C262="","scope, ","")&amp;IF(OR($K262="",$M262=""),"size, ","")&amp;IF(AND($A262&lt;&gt;"",$C262&lt;&gt;"DOOR ONLY"),IF($U262="","jamb depth, ","")&amp;IF($X262="","construction, ","")&amp;IF($Y262="","anchor, ","")&amp;IF($S262="","frame type, ",""),"")&amp;IF(AND(N($BC262)&gt;0,$Z262=""),"hand, ","")&amp;IF(N($BC262)&gt;0,IF($AH262="","door material, ","")&amp;IF($AL262="","face type, ","")&amp;IF($AQ262="","lock prep, ","")&amp;IF(AND($AP262="",$AC262=""),"hinge prep, ",""),"")&amp;IF(AND($BO262&gt;0,$AH262="FRP"),"FRP cannot carry a label, ","")&amp;IF(AND($O262="Y",OR($Z262="L",$Z262="R",$Z262="LR",$Z262="RR")),"pair marked but hand is single, ","")&amp;IF(AND($O262&lt;&gt;"Y",OR($Z262="PR",AND(LEN($Z262)&gt;1,ISNUMBER(SEARCH("-",$Z262))))),"pair hand on a single door, ","")&amp;IF(AND(ISNUMBER($BP262),$BO262&lt;N($BP262)),"wall needs a "&amp;$BP262&amp;" min door, ","")&amp;IF(AND($BO262&gt;=180,AND(OR($BL262="FG",$BL262="HG",$BL262="FNV",$BL262="FV"),N($BM262)*N($BN262)&gt;100)),"180 min lite over 100 sq in, ","")&amp;IF(N($BD262)&gt;48,"leaf wider than 4'-0"&amp;CHAR(34)&amp;", ",""))</f>
        <v/>
      </c>
      <c r="BX262" s="49">
        <f>IF($A262="","",IF(AND($BO262&gt;0,AND($A262&lt;&gt;"",$C262&lt;&gt;"DOOR ONLY"),$X262="KD",$E262="EXTERIOR"),"KD label on an exterior opening, ","")&amp;IF(AND($E262="EXTERIOR",OR(AND(AND($A262&lt;&gt;"",$C262&lt;&gt;"DOOR ONLY"),$W262="CR"),AND(N($BC262)&gt;0,$AH262="CR"))),"exterior in CR steel (G9?), ","")&amp;IF(AND(ISNUMBER($BJ262),N($BJ262)&lt;32),"clear width ~"&amp;TEXT($BJ262,"0.0")&amp;CHAR(34)&amp;" under 32"&amp;CHAR(34)&amp;" (ADA), ","")&amp;IF(AND($BO262=90,AND(OR($BL262="FG",$BL262="HG",$BL262="FNV",$BL262="FV"),N($BM262)*N($BN262)&gt;100)),"90 min lite over 100 sq in (stair/exit), ","")&amp;IF(AND($BO262&gt;0,AND($A262&lt;&gt;"",$C262&lt;&gt;"DOOR ONLY"),OR($AF262="",$AF262="-")),"rated: closer reinf.?, ","")&amp;IF(OR($I262="CORRIDOR",$I262="SMOKE BARRIER"),"S label + smoke gasketing, ","")&amp;IF($BP262="?","wall type/hr not in IBC table, ","")&amp;IF(AND(N($BC262)&gt;0,$AU262=""),"no hardware set, ","")&amp;IF(AND($AU262&lt;&gt;"",ISNA(MATCH($AU262,HWSets,0))),"set "&amp;$AU262&amp;" not on Hardware sheet, ","")&amp;IF(N($BE262)&gt;96,"leaf over 8'-0"&amp;CHAR(34)&amp;" - check listing, ",""))</f>
        <v/>
      </c>
    </row>
    <row r="263" ht="15" customHeight="1">
      <c r="A263" s="44" t="n"/>
      <c r="B263" s="45" t="n"/>
      <c r="C263" s="45" t="n"/>
      <c r="D263" s="45" t="n"/>
      <c r="E263" s="45" t="n"/>
      <c r="F263" s="45" t="n"/>
      <c r="G263" s="45" t="n"/>
      <c r="H263" s="45" t="n"/>
      <c r="I263" s="45" t="n"/>
      <c r="J263" s="45" t="n"/>
      <c r="K263" s="45" t="n"/>
      <c r="L263" s="45" t="n"/>
      <c r="M263" s="45" t="n"/>
      <c r="N263" s="45" t="n"/>
      <c r="O263" s="45" t="n"/>
      <c r="P263" s="45" t="n"/>
      <c r="Q263" s="45" t="n"/>
      <c r="R263" s="45" t="n"/>
      <c r="S263" s="46" t="n"/>
      <c r="T263" s="46" t="n"/>
      <c r="U263" s="46" t="n"/>
      <c r="V263" s="46" t="n"/>
      <c r="W263" s="46" t="n"/>
      <c r="X263" s="46" t="n"/>
      <c r="Y263" s="46" t="n"/>
      <c r="Z263" s="46" t="n"/>
      <c r="AA263" s="46" t="n"/>
      <c r="AB263" s="46" t="n"/>
      <c r="AC263" s="46" t="n"/>
      <c r="AD263" s="46" t="n"/>
      <c r="AE263" s="46" t="n"/>
      <c r="AF263" s="46" t="n"/>
      <c r="AG263" s="46" t="n"/>
      <c r="AH263" s="47" t="n"/>
      <c r="AI263" s="47" t="n"/>
      <c r="AJ263" s="47" t="n"/>
      <c r="AK263" s="47" t="n"/>
      <c r="AL263" s="47" t="n"/>
      <c r="AM263" s="47" t="n"/>
      <c r="AN263" s="47" t="n"/>
      <c r="AO263" s="47" t="n"/>
      <c r="AP263" s="47" t="n"/>
      <c r="AQ263" s="47" t="n"/>
      <c r="AR263" s="47" t="n"/>
      <c r="AS263" s="47" t="n"/>
      <c r="AT263" s="47" t="n"/>
      <c r="AU263" s="48" t="n"/>
      <c r="AV263" s="48" t="n"/>
      <c r="AW263" s="49">
        <f>IF($A263="","",IF($BW263&lt;&gt;"","FIX",IF($BX263&lt;&gt;"","CHECK","OK")))</f>
        <v/>
      </c>
      <c r="AX263" s="50">
        <f>IF($A263="","",IF($BW263&lt;&gt;"","FIX: "&amp;LEFT($BW263,LEN($BW263)-2)&amp;IF($BX263&lt;&gt;"","  ·  ",""),"")&amp;IF($BX263&lt;&gt;"","CHECK: "&amp;LEFT($BX263,LEN($BX263)-2),""))</f>
        <v/>
      </c>
      <c r="AY263" s="49">
        <f>IF(OR($A263="",$K263=""),"",$K263&amp;"'-"&amp;N($L263)&amp;CHAR(34)&amp;" x "&amp;$M263&amp;"'-"&amp;N($N263)&amp;CHAR(34))</f>
        <v/>
      </c>
      <c r="AZ263" s="49">
        <f>IF(OR($A263="",$K263=""),"",$K263&amp;N($L263)&amp;$M263&amp;N($N263))</f>
        <v/>
      </c>
      <c r="BA263" s="49">
        <f>IF(OR($A263="",$K263=""),"",$K263*12+N($L263))</f>
        <v/>
      </c>
      <c r="BB263" s="49">
        <f>IF(OR($A263="",$M263=""),"",$M263*12+N($N263))</f>
        <v/>
      </c>
      <c r="BC263" s="49">
        <f>IF($A263="","",IF(OR($C263="FRAME ONLY",$S263="BL"),0,IF($O263="Y",2,1)))</f>
        <v/>
      </c>
      <c r="BD263" s="51">
        <f>IF(OR(N($BC263)=0,$BA263=""),"",($BA263-2*EdgeClr-IF($BC263=2,MeetClr,0))/$BC263)</f>
        <v/>
      </c>
      <c r="BE263" s="51">
        <f>IF(OR(N($BC263)=0,$BB263=""),"",$BB263-HeadClr-Undercut)</f>
        <v/>
      </c>
      <c r="BF263" s="51">
        <f>IF($BA263="","",$BA263+2*FaceW+IF(N($Q263)&gt;0,($Q263+FaceW)*IF($R263="LR",2,1),0))</f>
        <v/>
      </c>
      <c r="BG263" s="51">
        <f>IF($BB263="","",$BB263+IF($AB263="Y",4,FaceW)+IF(N($P263)&gt;0,$P263+FaceW,0)+IF(OR($S263="4F",$S263="BL"),FaceW,0))</f>
        <v/>
      </c>
      <c r="BH263" s="51">
        <f>IF($BF263="","",$BF263+2*ROSide)</f>
        <v/>
      </c>
      <c r="BI263" s="51">
        <f>IF($BG263="","",$BG263+ROTop)</f>
        <v/>
      </c>
      <c r="BJ263" s="52">
        <f>IF(OR(N($BC263)=0,$BA263=""),"",$BA263/$BC263-ClearDeduct)</f>
        <v/>
      </c>
      <c r="BK263" s="49">
        <f>IF(OR(N($BC263)=0,$BE263=""),"",IF(OR($AC263="HGC",$AP263="HGC"),"CONT",IF($BE263&lt;=60,2,IF($BE263&lt;=90,3,IF($BE263&lt;=120,4,5)))))</f>
        <v/>
      </c>
      <c r="BL263" s="49">
        <f>IF(N($BC263)=0,"",IF(OR($AL263="",$AL263="FLUSH"),"FLUSH",IFERROR(LEFT($AL263,FIND("-",$AL263)-1),LEFT($AL263,2))))</f>
        <v/>
      </c>
      <c r="BM263" s="49">
        <f>IF($BL263="","",IFERROR(VALUE(MID($AL263,FIND("-",$AL263)+1,FIND(CHAR(34)&amp;"x",$AL263)-FIND("-",$AL263)-1)),0))</f>
        <v/>
      </c>
      <c r="BN263" s="49">
        <f>IF($BL263="","",IFERROR(VALUE(MID($AL263,FIND(CHAR(34)&amp;"x",$AL263)+2,FIND(CHAR(34),$AL263,FIND(CHAR(34)&amp;"x",$AL263)+2)-FIND(CHAR(34)&amp;"x",$AL263)-2)),0))</f>
        <v/>
      </c>
      <c r="BO263" s="53">
        <f>IF(OR($A263="",$H263="",$H263="NO LAB"),0,IFERROR(VALUE(LEFT($H263,FIND(" ",$H263)-1)),0))</f>
        <v/>
      </c>
      <c r="BP263" s="54">
        <f>IF(OR($A263="",$I263="",$I263="NON-RATED",N($J263)=0),"",IFERROR(VLOOKUP($I263&amp;"|"&amp;$J263,IBC,2,FALSE),"?"))</f>
        <v/>
      </c>
      <c r="BQ263" s="50">
        <f>IF(NOT(AND($A263&lt;&gt;"",$C263&lt;&gt;"DOOR ONLY")),"",TRIM(IFERROR(VLOOKUP($U263,CODES,2,FALSE),"")&amp;" "&amp;$AZ263&amp;" "&amp;IFERROR(VLOOKUP($Z263,CODES,2,FALSE),"")&amp;" "&amp;IFERROR(VLOOKUP($X263,CODES,2,FALSE),"")&amp;" "&amp;IFERROR(VLOOKUP($S263,CODES,2,FALSE),"")&amp;IF(N($P263)&gt;0," w/TRANSOM "&amp;$P263&amp;CHAR(34),"")&amp;IF(N($Q263)&gt;0," w/SIDELITE "&amp;$Q263&amp;CHAR(34)&amp;" "&amp;IF($R263="","R",$R263),"")&amp;IF($Y263="","  |  "," | "&amp;IFERROR(VLOOKUP($Y263,CODES,2,FALSE),"")&amp;" | ")&amp;IFERROR(VLOOKUP($AC263,CODES,2,FALSE),"")&amp;" "&amp;IFERROR(VLOOKUP($AD263,CODES,2,FALSE),"")&amp;IF(OR($AE263="",$AE263="-"),""," "&amp;$AE263)&amp;IF(OR($AF263="",$AF263="-"),""," "&amp;$AF263)&amp;IF($AB263="Y"," 4"&amp;CHAR(34)&amp;" HEAD","")&amp;" "&amp;IFERROR(VLOOKUP($H263,CODES,2,FALSE),"")))</f>
        <v/>
      </c>
      <c r="BR263" s="50">
        <f>IF(NOT(AND($A263&lt;&gt;"",N($BC263)&gt;0)),"",TRIM(IFERROR(VLOOKUP($AH263,CODES,2,FALSE),"")&amp;IF($AI263=""," "," "&amp;$AI263&amp;"GA ")&amp;$AZ263&amp;" "&amp;IF($AN263="",IFERROR(VLOOKUP($Z263,CODES,2,FALSE),""),IFERROR(VLOOKUP($AN263,CODES,2,FALSE),""))&amp;IF($BC263=2," PAIR","")&amp;" DOOR | "&amp;IF($AL263="","?",$AL263)&amp;" | "&amp;IF($AP263="",IFERROR(VLOOKUP($AC263,CODES,2,FALSE),""),IFERROR(VLOOKUP($AP263,CODES,2,FALSE),""))&amp;" "&amp;IFERROR(VLOOKUP($AQ263,CODES,2,FALSE),"")&amp;IF(OR($AR263="",$AR263="-"),""," SEAM "&amp;$AR263)&amp;IF($AS263="Y"," ASTRAGAL","")&amp;IF($AJ263=""," "," "&amp;$AJ263)&amp;IF($AK263=""," "," "&amp;$AK263)&amp;IF($AO263="",""," "&amp;$AO263)&amp;IF($AM263=""," "," SERIES "&amp;$AM263)&amp;" "&amp;IFERROR(VLOOKUP($H263,CODES,2,FALSE),"")))</f>
        <v/>
      </c>
      <c r="BS263" s="49">
        <f>IF(BV263="","",IF(COUNTIF($BV$6:BV263,BV263)=1,MAX($BS$5:BS262)+1,INDEX($BS$5:BS262,MATCH(BV263,$BV$5:BV262,0))))</f>
        <v/>
      </c>
      <c r="BT263" s="49">
        <f>IF(NOT(AND($A263&lt;&gt;"",$C263&lt;&gt;"DOOR ONLY")),"",MAX($BT$5:BT262)+1)</f>
        <v/>
      </c>
      <c r="BU263" s="49">
        <f>IF(NOT(AND($A263&lt;&gt;"",N($BC263)&gt;0)),"",MAX($BU$5:BU262)+1)</f>
        <v/>
      </c>
      <c r="BV263" s="49">
        <f>IF(OR($A263="",$BA263="",$BB263=""),"",$AZ263&amp;"|"&amp;$O263&amp;"|"&amp;$AL263&amp;"|"&amp;$S263&amp;"|"&amp;$P263&amp;"|"&amp;$Q263&amp;$R263&amp;"|"&amp;$C263&amp;"|"&amp;$AB263)</f>
        <v/>
      </c>
      <c r="BW263" s="49">
        <f>IF($A263="","",IF($B263="","qty, ","")&amp;IF($C263="","scope, ","")&amp;IF(OR($K263="",$M263=""),"size, ","")&amp;IF(AND($A263&lt;&gt;"",$C263&lt;&gt;"DOOR ONLY"),IF($U263="","jamb depth, ","")&amp;IF($X263="","construction, ","")&amp;IF($Y263="","anchor, ","")&amp;IF($S263="","frame type, ",""),"")&amp;IF(AND(N($BC263)&gt;0,$Z263=""),"hand, ","")&amp;IF(N($BC263)&gt;0,IF($AH263="","door material, ","")&amp;IF($AL263="","face type, ","")&amp;IF($AQ263="","lock prep, ","")&amp;IF(AND($AP263="",$AC263=""),"hinge prep, ",""),"")&amp;IF(AND($BO263&gt;0,$AH263="FRP"),"FRP cannot carry a label, ","")&amp;IF(AND($O263="Y",OR($Z263="L",$Z263="R",$Z263="LR",$Z263="RR")),"pair marked but hand is single, ","")&amp;IF(AND($O263&lt;&gt;"Y",OR($Z263="PR",AND(LEN($Z263)&gt;1,ISNUMBER(SEARCH("-",$Z263))))),"pair hand on a single door, ","")&amp;IF(AND(ISNUMBER($BP263),$BO263&lt;N($BP263)),"wall needs a "&amp;$BP263&amp;" min door, ","")&amp;IF(AND($BO263&gt;=180,AND(OR($BL263="FG",$BL263="HG",$BL263="FNV",$BL263="FV"),N($BM263)*N($BN263)&gt;100)),"180 min lite over 100 sq in, ","")&amp;IF(N($BD263)&gt;48,"leaf wider than 4'-0"&amp;CHAR(34)&amp;", ",""))</f>
        <v/>
      </c>
      <c r="BX263" s="49">
        <f>IF($A263="","",IF(AND($BO263&gt;0,AND($A263&lt;&gt;"",$C263&lt;&gt;"DOOR ONLY"),$X263="KD",$E263="EXTERIOR"),"KD label on an exterior opening, ","")&amp;IF(AND($E263="EXTERIOR",OR(AND(AND($A263&lt;&gt;"",$C263&lt;&gt;"DOOR ONLY"),$W263="CR"),AND(N($BC263)&gt;0,$AH263="CR"))),"exterior in CR steel (G9?), ","")&amp;IF(AND(ISNUMBER($BJ263),N($BJ263)&lt;32),"clear width ~"&amp;TEXT($BJ263,"0.0")&amp;CHAR(34)&amp;" under 32"&amp;CHAR(34)&amp;" (ADA), ","")&amp;IF(AND($BO263=90,AND(OR($BL263="FG",$BL263="HG",$BL263="FNV",$BL263="FV"),N($BM263)*N($BN263)&gt;100)),"90 min lite over 100 sq in (stair/exit), ","")&amp;IF(AND($BO263&gt;0,AND($A263&lt;&gt;"",$C263&lt;&gt;"DOOR ONLY"),OR($AF263="",$AF263="-")),"rated: closer reinf.?, ","")&amp;IF(OR($I263="CORRIDOR",$I263="SMOKE BARRIER"),"S label + smoke gasketing, ","")&amp;IF($BP263="?","wall type/hr not in IBC table, ","")&amp;IF(AND(N($BC263)&gt;0,$AU263=""),"no hardware set, ","")&amp;IF(AND($AU263&lt;&gt;"",ISNA(MATCH($AU263,HWSets,0))),"set "&amp;$AU263&amp;" not on Hardware sheet, ","")&amp;IF(N($BE263)&gt;96,"leaf over 8'-0"&amp;CHAR(34)&amp;" - check listing, ",""))</f>
        <v/>
      </c>
    </row>
    <row r="264" ht="15" customHeight="1">
      <c r="A264" s="44" t="n"/>
      <c r="B264" s="45" t="n"/>
      <c r="C264" s="45" t="n"/>
      <c r="D264" s="45" t="n"/>
      <c r="E264" s="45" t="n"/>
      <c r="F264" s="45" t="n"/>
      <c r="G264" s="45" t="n"/>
      <c r="H264" s="45" t="n"/>
      <c r="I264" s="45" t="n"/>
      <c r="J264" s="45" t="n"/>
      <c r="K264" s="45" t="n"/>
      <c r="L264" s="45" t="n"/>
      <c r="M264" s="45" t="n"/>
      <c r="N264" s="45" t="n"/>
      <c r="O264" s="45" t="n"/>
      <c r="P264" s="45" t="n"/>
      <c r="Q264" s="45" t="n"/>
      <c r="R264" s="45" t="n"/>
      <c r="S264" s="46" t="n"/>
      <c r="T264" s="46" t="n"/>
      <c r="U264" s="46" t="n"/>
      <c r="V264" s="46" t="n"/>
      <c r="W264" s="46" t="n"/>
      <c r="X264" s="46" t="n"/>
      <c r="Y264" s="46" t="n"/>
      <c r="Z264" s="46" t="n"/>
      <c r="AA264" s="46" t="n"/>
      <c r="AB264" s="46" t="n"/>
      <c r="AC264" s="46" t="n"/>
      <c r="AD264" s="46" t="n"/>
      <c r="AE264" s="46" t="n"/>
      <c r="AF264" s="46" t="n"/>
      <c r="AG264" s="46" t="n"/>
      <c r="AH264" s="47" t="n"/>
      <c r="AI264" s="47" t="n"/>
      <c r="AJ264" s="47" t="n"/>
      <c r="AK264" s="47" t="n"/>
      <c r="AL264" s="47" t="n"/>
      <c r="AM264" s="47" t="n"/>
      <c r="AN264" s="47" t="n"/>
      <c r="AO264" s="47" t="n"/>
      <c r="AP264" s="47" t="n"/>
      <c r="AQ264" s="47" t="n"/>
      <c r="AR264" s="47" t="n"/>
      <c r="AS264" s="47" t="n"/>
      <c r="AT264" s="47" t="n"/>
      <c r="AU264" s="48" t="n"/>
      <c r="AV264" s="48" t="n"/>
      <c r="AW264" s="49">
        <f>IF($A264="","",IF($BW264&lt;&gt;"","FIX",IF($BX264&lt;&gt;"","CHECK","OK")))</f>
        <v/>
      </c>
      <c r="AX264" s="50">
        <f>IF($A264="","",IF($BW264&lt;&gt;"","FIX: "&amp;LEFT($BW264,LEN($BW264)-2)&amp;IF($BX264&lt;&gt;"","  ·  ",""),"")&amp;IF($BX264&lt;&gt;"","CHECK: "&amp;LEFT($BX264,LEN($BX264)-2),""))</f>
        <v/>
      </c>
      <c r="AY264" s="49">
        <f>IF(OR($A264="",$K264=""),"",$K264&amp;"'-"&amp;N($L264)&amp;CHAR(34)&amp;" x "&amp;$M264&amp;"'-"&amp;N($N264)&amp;CHAR(34))</f>
        <v/>
      </c>
      <c r="AZ264" s="49">
        <f>IF(OR($A264="",$K264=""),"",$K264&amp;N($L264)&amp;$M264&amp;N($N264))</f>
        <v/>
      </c>
      <c r="BA264" s="49">
        <f>IF(OR($A264="",$K264=""),"",$K264*12+N($L264))</f>
        <v/>
      </c>
      <c r="BB264" s="49">
        <f>IF(OR($A264="",$M264=""),"",$M264*12+N($N264))</f>
        <v/>
      </c>
      <c r="BC264" s="49">
        <f>IF($A264="","",IF(OR($C264="FRAME ONLY",$S264="BL"),0,IF($O264="Y",2,1)))</f>
        <v/>
      </c>
      <c r="BD264" s="51">
        <f>IF(OR(N($BC264)=0,$BA264=""),"",($BA264-2*EdgeClr-IF($BC264=2,MeetClr,0))/$BC264)</f>
        <v/>
      </c>
      <c r="BE264" s="51">
        <f>IF(OR(N($BC264)=0,$BB264=""),"",$BB264-HeadClr-Undercut)</f>
        <v/>
      </c>
      <c r="BF264" s="51">
        <f>IF($BA264="","",$BA264+2*FaceW+IF(N($Q264)&gt;0,($Q264+FaceW)*IF($R264="LR",2,1),0))</f>
        <v/>
      </c>
      <c r="BG264" s="51">
        <f>IF($BB264="","",$BB264+IF($AB264="Y",4,FaceW)+IF(N($P264)&gt;0,$P264+FaceW,0)+IF(OR($S264="4F",$S264="BL"),FaceW,0))</f>
        <v/>
      </c>
      <c r="BH264" s="51">
        <f>IF($BF264="","",$BF264+2*ROSide)</f>
        <v/>
      </c>
      <c r="BI264" s="51">
        <f>IF($BG264="","",$BG264+ROTop)</f>
        <v/>
      </c>
      <c r="BJ264" s="52">
        <f>IF(OR(N($BC264)=0,$BA264=""),"",$BA264/$BC264-ClearDeduct)</f>
        <v/>
      </c>
      <c r="BK264" s="49">
        <f>IF(OR(N($BC264)=0,$BE264=""),"",IF(OR($AC264="HGC",$AP264="HGC"),"CONT",IF($BE264&lt;=60,2,IF($BE264&lt;=90,3,IF($BE264&lt;=120,4,5)))))</f>
        <v/>
      </c>
      <c r="BL264" s="49">
        <f>IF(N($BC264)=0,"",IF(OR($AL264="",$AL264="FLUSH"),"FLUSH",IFERROR(LEFT($AL264,FIND("-",$AL264)-1),LEFT($AL264,2))))</f>
        <v/>
      </c>
      <c r="BM264" s="49">
        <f>IF($BL264="","",IFERROR(VALUE(MID($AL264,FIND("-",$AL264)+1,FIND(CHAR(34)&amp;"x",$AL264)-FIND("-",$AL264)-1)),0))</f>
        <v/>
      </c>
      <c r="BN264" s="49">
        <f>IF($BL264="","",IFERROR(VALUE(MID($AL264,FIND(CHAR(34)&amp;"x",$AL264)+2,FIND(CHAR(34),$AL264,FIND(CHAR(34)&amp;"x",$AL264)+2)-FIND(CHAR(34)&amp;"x",$AL264)-2)),0))</f>
        <v/>
      </c>
      <c r="BO264" s="53">
        <f>IF(OR($A264="",$H264="",$H264="NO LAB"),0,IFERROR(VALUE(LEFT($H264,FIND(" ",$H264)-1)),0))</f>
        <v/>
      </c>
      <c r="BP264" s="54">
        <f>IF(OR($A264="",$I264="",$I264="NON-RATED",N($J264)=0),"",IFERROR(VLOOKUP($I264&amp;"|"&amp;$J264,IBC,2,FALSE),"?"))</f>
        <v/>
      </c>
      <c r="BQ264" s="50">
        <f>IF(NOT(AND($A264&lt;&gt;"",$C264&lt;&gt;"DOOR ONLY")),"",TRIM(IFERROR(VLOOKUP($U264,CODES,2,FALSE),"")&amp;" "&amp;$AZ264&amp;" "&amp;IFERROR(VLOOKUP($Z264,CODES,2,FALSE),"")&amp;" "&amp;IFERROR(VLOOKUP($X264,CODES,2,FALSE),"")&amp;" "&amp;IFERROR(VLOOKUP($S264,CODES,2,FALSE),"")&amp;IF(N($P264)&gt;0," w/TRANSOM "&amp;$P264&amp;CHAR(34),"")&amp;IF(N($Q264)&gt;0," w/SIDELITE "&amp;$Q264&amp;CHAR(34)&amp;" "&amp;IF($R264="","R",$R264),"")&amp;IF($Y264="","  |  "," | "&amp;IFERROR(VLOOKUP($Y264,CODES,2,FALSE),"")&amp;" | ")&amp;IFERROR(VLOOKUP($AC264,CODES,2,FALSE),"")&amp;" "&amp;IFERROR(VLOOKUP($AD264,CODES,2,FALSE),"")&amp;IF(OR($AE264="",$AE264="-"),""," "&amp;$AE264)&amp;IF(OR($AF264="",$AF264="-"),""," "&amp;$AF264)&amp;IF($AB264="Y"," 4"&amp;CHAR(34)&amp;" HEAD","")&amp;" "&amp;IFERROR(VLOOKUP($H264,CODES,2,FALSE),"")))</f>
        <v/>
      </c>
      <c r="BR264" s="50">
        <f>IF(NOT(AND($A264&lt;&gt;"",N($BC264)&gt;0)),"",TRIM(IFERROR(VLOOKUP($AH264,CODES,2,FALSE),"")&amp;IF($AI264=""," "," "&amp;$AI264&amp;"GA ")&amp;$AZ264&amp;" "&amp;IF($AN264="",IFERROR(VLOOKUP($Z264,CODES,2,FALSE),""),IFERROR(VLOOKUP($AN264,CODES,2,FALSE),""))&amp;IF($BC264=2," PAIR","")&amp;" DOOR | "&amp;IF($AL264="","?",$AL264)&amp;" | "&amp;IF($AP264="",IFERROR(VLOOKUP($AC264,CODES,2,FALSE),""),IFERROR(VLOOKUP($AP264,CODES,2,FALSE),""))&amp;" "&amp;IFERROR(VLOOKUP($AQ264,CODES,2,FALSE),"")&amp;IF(OR($AR264="",$AR264="-"),""," SEAM "&amp;$AR264)&amp;IF($AS264="Y"," ASTRAGAL","")&amp;IF($AJ264=""," "," "&amp;$AJ264)&amp;IF($AK264=""," "," "&amp;$AK264)&amp;IF($AO264="",""," "&amp;$AO264)&amp;IF($AM264=""," "," SERIES "&amp;$AM264)&amp;" "&amp;IFERROR(VLOOKUP($H264,CODES,2,FALSE),"")))</f>
        <v/>
      </c>
      <c r="BS264" s="49">
        <f>IF(BV264="","",IF(COUNTIF($BV$6:BV264,BV264)=1,MAX($BS$5:BS263)+1,INDEX($BS$5:BS263,MATCH(BV264,$BV$5:BV263,0))))</f>
        <v/>
      </c>
      <c r="BT264" s="49">
        <f>IF(NOT(AND($A264&lt;&gt;"",$C264&lt;&gt;"DOOR ONLY")),"",MAX($BT$5:BT263)+1)</f>
        <v/>
      </c>
      <c r="BU264" s="49">
        <f>IF(NOT(AND($A264&lt;&gt;"",N($BC264)&gt;0)),"",MAX($BU$5:BU263)+1)</f>
        <v/>
      </c>
      <c r="BV264" s="49">
        <f>IF(OR($A264="",$BA264="",$BB264=""),"",$AZ264&amp;"|"&amp;$O264&amp;"|"&amp;$AL264&amp;"|"&amp;$S264&amp;"|"&amp;$P264&amp;"|"&amp;$Q264&amp;$R264&amp;"|"&amp;$C264&amp;"|"&amp;$AB264)</f>
        <v/>
      </c>
      <c r="BW264" s="49">
        <f>IF($A264="","",IF($B264="","qty, ","")&amp;IF($C264="","scope, ","")&amp;IF(OR($K264="",$M264=""),"size, ","")&amp;IF(AND($A264&lt;&gt;"",$C264&lt;&gt;"DOOR ONLY"),IF($U264="","jamb depth, ","")&amp;IF($X264="","construction, ","")&amp;IF($Y264="","anchor, ","")&amp;IF($S264="","frame type, ",""),"")&amp;IF(AND(N($BC264)&gt;0,$Z264=""),"hand, ","")&amp;IF(N($BC264)&gt;0,IF($AH264="","door material, ","")&amp;IF($AL264="","face type, ","")&amp;IF($AQ264="","lock prep, ","")&amp;IF(AND($AP264="",$AC264=""),"hinge prep, ",""),"")&amp;IF(AND($BO264&gt;0,$AH264="FRP"),"FRP cannot carry a label, ","")&amp;IF(AND($O264="Y",OR($Z264="L",$Z264="R",$Z264="LR",$Z264="RR")),"pair marked but hand is single, ","")&amp;IF(AND($O264&lt;&gt;"Y",OR($Z264="PR",AND(LEN($Z264)&gt;1,ISNUMBER(SEARCH("-",$Z264))))),"pair hand on a single door, ","")&amp;IF(AND(ISNUMBER($BP264),$BO264&lt;N($BP264)),"wall needs a "&amp;$BP264&amp;" min door, ","")&amp;IF(AND($BO264&gt;=180,AND(OR($BL264="FG",$BL264="HG",$BL264="FNV",$BL264="FV"),N($BM264)*N($BN264)&gt;100)),"180 min lite over 100 sq in, ","")&amp;IF(N($BD264)&gt;48,"leaf wider than 4'-0"&amp;CHAR(34)&amp;", ",""))</f>
        <v/>
      </c>
      <c r="BX264" s="49">
        <f>IF($A264="","",IF(AND($BO264&gt;0,AND($A264&lt;&gt;"",$C264&lt;&gt;"DOOR ONLY"),$X264="KD",$E264="EXTERIOR"),"KD label on an exterior opening, ","")&amp;IF(AND($E264="EXTERIOR",OR(AND(AND($A264&lt;&gt;"",$C264&lt;&gt;"DOOR ONLY"),$W264="CR"),AND(N($BC264)&gt;0,$AH264="CR"))),"exterior in CR steel (G9?), ","")&amp;IF(AND(ISNUMBER($BJ264),N($BJ264)&lt;32),"clear width ~"&amp;TEXT($BJ264,"0.0")&amp;CHAR(34)&amp;" under 32"&amp;CHAR(34)&amp;" (ADA), ","")&amp;IF(AND($BO264=90,AND(OR($BL264="FG",$BL264="HG",$BL264="FNV",$BL264="FV"),N($BM264)*N($BN264)&gt;100)),"90 min lite over 100 sq in (stair/exit), ","")&amp;IF(AND($BO264&gt;0,AND($A264&lt;&gt;"",$C264&lt;&gt;"DOOR ONLY"),OR($AF264="",$AF264="-")),"rated: closer reinf.?, ","")&amp;IF(OR($I264="CORRIDOR",$I264="SMOKE BARRIER"),"S label + smoke gasketing, ","")&amp;IF($BP264="?","wall type/hr not in IBC table, ","")&amp;IF(AND(N($BC264)&gt;0,$AU264=""),"no hardware set, ","")&amp;IF(AND($AU264&lt;&gt;"",ISNA(MATCH($AU264,HWSets,0))),"set "&amp;$AU264&amp;" not on Hardware sheet, ","")&amp;IF(N($BE264)&gt;96,"leaf over 8'-0"&amp;CHAR(34)&amp;" - check listing, ",""))</f>
        <v/>
      </c>
    </row>
    <row r="265" ht="15" customHeight="1">
      <c r="A265" s="44" t="n"/>
      <c r="B265" s="45" t="n"/>
      <c r="C265" s="45" t="n"/>
      <c r="D265" s="45" t="n"/>
      <c r="E265" s="45" t="n"/>
      <c r="F265" s="45" t="n"/>
      <c r="G265" s="45" t="n"/>
      <c r="H265" s="45" t="n"/>
      <c r="I265" s="45" t="n"/>
      <c r="J265" s="45" t="n"/>
      <c r="K265" s="45" t="n"/>
      <c r="L265" s="45" t="n"/>
      <c r="M265" s="45" t="n"/>
      <c r="N265" s="45" t="n"/>
      <c r="O265" s="45" t="n"/>
      <c r="P265" s="45" t="n"/>
      <c r="Q265" s="45" t="n"/>
      <c r="R265" s="45" t="n"/>
      <c r="S265" s="46" t="n"/>
      <c r="T265" s="46" t="n"/>
      <c r="U265" s="46" t="n"/>
      <c r="V265" s="46" t="n"/>
      <c r="W265" s="46" t="n"/>
      <c r="X265" s="46" t="n"/>
      <c r="Y265" s="46" t="n"/>
      <c r="Z265" s="46" t="n"/>
      <c r="AA265" s="46" t="n"/>
      <c r="AB265" s="46" t="n"/>
      <c r="AC265" s="46" t="n"/>
      <c r="AD265" s="46" t="n"/>
      <c r="AE265" s="46" t="n"/>
      <c r="AF265" s="46" t="n"/>
      <c r="AG265" s="46" t="n"/>
      <c r="AH265" s="47" t="n"/>
      <c r="AI265" s="47" t="n"/>
      <c r="AJ265" s="47" t="n"/>
      <c r="AK265" s="47" t="n"/>
      <c r="AL265" s="47" t="n"/>
      <c r="AM265" s="47" t="n"/>
      <c r="AN265" s="47" t="n"/>
      <c r="AO265" s="47" t="n"/>
      <c r="AP265" s="47" t="n"/>
      <c r="AQ265" s="47" t="n"/>
      <c r="AR265" s="47" t="n"/>
      <c r="AS265" s="47" t="n"/>
      <c r="AT265" s="47" t="n"/>
      <c r="AU265" s="48" t="n"/>
      <c r="AV265" s="48" t="n"/>
      <c r="AW265" s="49">
        <f>IF($A265="","",IF($BW265&lt;&gt;"","FIX",IF($BX265&lt;&gt;"","CHECK","OK")))</f>
        <v/>
      </c>
      <c r="AX265" s="50">
        <f>IF($A265="","",IF($BW265&lt;&gt;"","FIX: "&amp;LEFT($BW265,LEN($BW265)-2)&amp;IF($BX265&lt;&gt;"","  ·  ",""),"")&amp;IF($BX265&lt;&gt;"","CHECK: "&amp;LEFT($BX265,LEN($BX265)-2),""))</f>
        <v/>
      </c>
      <c r="AY265" s="49">
        <f>IF(OR($A265="",$K265=""),"",$K265&amp;"'-"&amp;N($L265)&amp;CHAR(34)&amp;" x "&amp;$M265&amp;"'-"&amp;N($N265)&amp;CHAR(34))</f>
        <v/>
      </c>
      <c r="AZ265" s="49">
        <f>IF(OR($A265="",$K265=""),"",$K265&amp;N($L265)&amp;$M265&amp;N($N265))</f>
        <v/>
      </c>
      <c r="BA265" s="49">
        <f>IF(OR($A265="",$K265=""),"",$K265*12+N($L265))</f>
        <v/>
      </c>
      <c r="BB265" s="49">
        <f>IF(OR($A265="",$M265=""),"",$M265*12+N($N265))</f>
        <v/>
      </c>
      <c r="BC265" s="49">
        <f>IF($A265="","",IF(OR($C265="FRAME ONLY",$S265="BL"),0,IF($O265="Y",2,1)))</f>
        <v/>
      </c>
      <c r="BD265" s="51">
        <f>IF(OR(N($BC265)=0,$BA265=""),"",($BA265-2*EdgeClr-IF($BC265=2,MeetClr,0))/$BC265)</f>
        <v/>
      </c>
      <c r="BE265" s="51">
        <f>IF(OR(N($BC265)=0,$BB265=""),"",$BB265-HeadClr-Undercut)</f>
        <v/>
      </c>
      <c r="BF265" s="51">
        <f>IF($BA265="","",$BA265+2*FaceW+IF(N($Q265)&gt;0,($Q265+FaceW)*IF($R265="LR",2,1),0))</f>
        <v/>
      </c>
      <c r="BG265" s="51">
        <f>IF($BB265="","",$BB265+IF($AB265="Y",4,FaceW)+IF(N($P265)&gt;0,$P265+FaceW,0)+IF(OR($S265="4F",$S265="BL"),FaceW,0))</f>
        <v/>
      </c>
      <c r="BH265" s="51">
        <f>IF($BF265="","",$BF265+2*ROSide)</f>
        <v/>
      </c>
      <c r="BI265" s="51">
        <f>IF($BG265="","",$BG265+ROTop)</f>
        <v/>
      </c>
      <c r="BJ265" s="52">
        <f>IF(OR(N($BC265)=0,$BA265=""),"",$BA265/$BC265-ClearDeduct)</f>
        <v/>
      </c>
      <c r="BK265" s="49">
        <f>IF(OR(N($BC265)=0,$BE265=""),"",IF(OR($AC265="HGC",$AP265="HGC"),"CONT",IF($BE265&lt;=60,2,IF($BE265&lt;=90,3,IF($BE265&lt;=120,4,5)))))</f>
        <v/>
      </c>
      <c r="BL265" s="49">
        <f>IF(N($BC265)=0,"",IF(OR($AL265="",$AL265="FLUSH"),"FLUSH",IFERROR(LEFT($AL265,FIND("-",$AL265)-1),LEFT($AL265,2))))</f>
        <v/>
      </c>
      <c r="BM265" s="49">
        <f>IF($BL265="","",IFERROR(VALUE(MID($AL265,FIND("-",$AL265)+1,FIND(CHAR(34)&amp;"x",$AL265)-FIND("-",$AL265)-1)),0))</f>
        <v/>
      </c>
      <c r="BN265" s="49">
        <f>IF($BL265="","",IFERROR(VALUE(MID($AL265,FIND(CHAR(34)&amp;"x",$AL265)+2,FIND(CHAR(34),$AL265,FIND(CHAR(34)&amp;"x",$AL265)+2)-FIND(CHAR(34)&amp;"x",$AL265)-2)),0))</f>
        <v/>
      </c>
      <c r="BO265" s="53">
        <f>IF(OR($A265="",$H265="",$H265="NO LAB"),0,IFERROR(VALUE(LEFT($H265,FIND(" ",$H265)-1)),0))</f>
        <v/>
      </c>
      <c r="BP265" s="54">
        <f>IF(OR($A265="",$I265="",$I265="NON-RATED",N($J265)=0),"",IFERROR(VLOOKUP($I265&amp;"|"&amp;$J265,IBC,2,FALSE),"?"))</f>
        <v/>
      </c>
      <c r="BQ265" s="50">
        <f>IF(NOT(AND($A265&lt;&gt;"",$C265&lt;&gt;"DOOR ONLY")),"",TRIM(IFERROR(VLOOKUP($U265,CODES,2,FALSE),"")&amp;" "&amp;$AZ265&amp;" "&amp;IFERROR(VLOOKUP($Z265,CODES,2,FALSE),"")&amp;" "&amp;IFERROR(VLOOKUP($X265,CODES,2,FALSE),"")&amp;" "&amp;IFERROR(VLOOKUP($S265,CODES,2,FALSE),"")&amp;IF(N($P265)&gt;0," w/TRANSOM "&amp;$P265&amp;CHAR(34),"")&amp;IF(N($Q265)&gt;0," w/SIDELITE "&amp;$Q265&amp;CHAR(34)&amp;" "&amp;IF($R265="","R",$R265),"")&amp;IF($Y265="","  |  "," | "&amp;IFERROR(VLOOKUP($Y265,CODES,2,FALSE),"")&amp;" | ")&amp;IFERROR(VLOOKUP($AC265,CODES,2,FALSE),"")&amp;" "&amp;IFERROR(VLOOKUP($AD265,CODES,2,FALSE),"")&amp;IF(OR($AE265="",$AE265="-"),""," "&amp;$AE265)&amp;IF(OR($AF265="",$AF265="-"),""," "&amp;$AF265)&amp;IF($AB265="Y"," 4"&amp;CHAR(34)&amp;" HEAD","")&amp;" "&amp;IFERROR(VLOOKUP($H265,CODES,2,FALSE),"")))</f>
        <v/>
      </c>
      <c r="BR265" s="50">
        <f>IF(NOT(AND($A265&lt;&gt;"",N($BC265)&gt;0)),"",TRIM(IFERROR(VLOOKUP($AH265,CODES,2,FALSE),"")&amp;IF($AI265=""," "," "&amp;$AI265&amp;"GA ")&amp;$AZ265&amp;" "&amp;IF($AN265="",IFERROR(VLOOKUP($Z265,CODES,2,FALSE),""),IFERROR(VLOOKUP($AN265,CODES,2,FALSE),""))&amp;IF($BC265=2," PAIR","")&amp;" DOOR | "&amp;IF($AL265="","?",$AL265)&amp;" | "&amp;IF($AP265="",IFERROR(VLOOKUP($AC265,CODES,2,FALSE),""),IFERROR(VLOOKUP($AP265,CODES,2,FALSE),""))&amp;" "&amp;IFERROR(VLOOKUP($AQ265,CODES,2,FALSE),"")&amp;IF(OR($AR265="",$AR265="-"),""," SEAM "&amp;$AR265)&amp;IF($AS265="Y"," ASTRAGAL","")&amp;IF($AJ265=""," "," "&amp;$AJ265)&amp;IF($AK265=""," "," "&amp;$AK265)&amp;IF($AO265="",""," "&amp;$AO265)&amp;IF($AM265=""," "," SERIES "&amp;$AM265)&amp;" "&amp;IFERROR(VLOOKUP($H265,CODES,2,FALSE),"")))</f>
        <v/>
      </c>
      <c r="BS265" s="49">
        <f>IF(BV265="","",IF(COUNTIF($BV$6:BV265,BV265)=1,MAX($BS$5:BS264)+1,INDEX($BS$5:BS264,MATCH(BV265,$BV$5:BV264,0))))</f>
        <v/>
      </c>
      <c r="BT265" s="49">
        <f>IF(NOT(AND($A265&lt;&gt;"",$C265&lt;&gt;"DOOR ONLY")),"",MAX($BT$5:BT264)+1)</f>
        <v/>
      </c>
      <c r="BU265" s="49">
        <f>IF(NOT(AND($A265&lt;&gt;"",N($BC265)&gt;0)),"",MAX($BU$5:BU264)+1)</f>
        <v/>
      </c>
      <c r="BV265" s="49">
        <f>IF(OR($A265="",$BA265="",$BB265=""),"",$AZ265&amp;"|"&amp;$O265&amp;"|"&amp;$AL265&amp;"|"&amp;$S265&amp;"|"&amp;$P265&amp;"|"&amp;$Q265&amp;$R265&amp;"|"&amp;$C265&amp;"|"&amp;$AB265)</f>
        <v/>
      </c>
      <c r="BW265" s="49">
        <f>IF($A265="","",IF($B265="","qty, ","")&amp;IF($C265="","scope, ","")&amp;IF(OR($K265="",$M265=""),"size, ","")&amp;IF(AND($A265&lt;&gt;"",$C265&lt;&gt;"DOOR ONLY"),IF($U265="","jamb depth, ","")&amp;IF($X265="","construction, ","")&amp;IF($Y265="","anchor, ","")&amp;IF($S265="","frame type, ",""),"")&amp;IF(AND(N($BC265)&gt;0,$Z265=""),"hand, ","")&amp;IF(N($BC265)&gt;0,IF($AH265="","door material, ","")&amp;IF($AL265="","face type, ","")&amp;IF($AQ265="","lock prep, ","")&amp;IF(AND($AP265="",$AC265=""),"hinge prep, ",""),"")&amp;IF(AND($BO265&gt;0,$AH265="FRP"),"FRP cannot carry a label, ","")&amp;IF(AND($O265="Y",OR($Z265="L",$Z265="R",$Z265="LR",$Z265="RR")),"pair marked but hand is single, ","")&amp;IF(AND($O265&lt;&gt;"Y",OR($Z265="PR",AND(LEN($Z265)&gt;1,ISNUMBER(SEARCH("-",$Z265))))),"pair hand on a single door, ","")&amp;IF(AND(ISNUMBER($BP265),$BO265&lt;N($BP265)),"wall needs a "&amp;$BP265&amp;" min door, ","")&amp;IF(AND($BO265&gt;=180,AND(OR($BL265="FG",$BL265="HG",$BL265="FNV",$BL265="FV"),N($BM265)*N($BN265)&gt;100)),"180 min lite over 100 sq in, ","")&amp;IF(N($BD265)&gt;48,"leaf wider than 4'-0"&amp;CHAR(34)&amp;", ",""))</f>
        <v/>
      </c>
      <c r="BX265" s="49">
        <f>IF($A265="","",IF(AND($BO265&gt;0,AND($A265&lt;&gt;"",$C265&lt;&gt;"DOOR ONLY"),$X265="KD",$E265="EXTERIOR"),"KD label on an exterior opening, ","")&amp;IF(AND($E265="EXTERIOR",OR(AND(AND($A265&lt;&gt;"",$C265&lt;&gt;"DOOR ONLY"),$W265="CR"),AND(N($BC265)&gt;0,$AH265="CR"))),"exterior in CR steel (G9?), ","")&amp;IF(AND(ISNUMBER($BJ265),N($BJ265)&lt;32),"clear width ~"&amp;TEXT($BJ265,"0.0")&amp;CHAR(34)&amp;" under 32"&amp;CHAR(34)&amp;" (ADA), ","")&amp;IF(AND($BO265=90,AND(OR($BL265="FG",$BL265="HG",$BL265="FNV",$BL265="FV"),N($BM265)*N($BN265)&gt;100)),"90 min lite over 100 sq in (stair/exit), ","")&amp;IF(AND($BO265&gt;0,AND($A265&lt;&gt;"",$C265&lt;&gt;"DOOR ONLY"),OR($AF265="",$AF265="-")),"rated: closer reinf.?, ","")&amp;IF(OR($I265="CORRIDOR",$I265="SMOKE BARRIER"),"S label + smoke gasketing, ","")&amp;IF($BP265="?","wall type/hr not in IBC table, ","")&amp;IF(AND(N($BC265)&gt;0,$AU265=""),"no hardware set, ","")&amp;IF(AND($AU265&lt;&gt;"",ISNA(MATCH($AU265,HWSets,0))),"set "&amp;$AU265&amp;" not on Hardware sheet, ","")&amp;IF(N($BE265)&gt;96,"leaf over 8'-0"&amp;CHAR(34)&amp;" - check listing, ",""))</f>
        <v/>
      </c>
    </row>
    <row r="266" ht="15" customHeight="1">
      <c r="A266" s="44" t="n"/>
      <c r="B266" s="45" t="n"/>
      <c r="C266" s="45" t="n"/>
      <c r="D266" s="45" t="n"/>
      <c r="E266" s="45" t="n"/>
      <c r="F266" s="45" t="n"/>
      <c r="G266" s="45" t="n"/>
      <c r="H266" s="45" t="n"/>
      <c r="I266" s="45" t="n"/>
      <c r="J266" s="45" t="n"/>
      <c r="K266" s="45" t="n"/>
      <c r="L266" s="45" t="n"/>
      <c r="M266" s="45" t="n"/>
      <c r="N266" s="45" t="n"/>
      <c r="O266" s="45" t="n"/>
      <c r="P266" s="45" t="n"/>
      <c r="Q266" s="45" t="n"/>
      <c r="R266" s="45" t="n"/>
      <c r="S266" s="46" t="n"/>
      <c r="T266" s="46" t="n"/>
      <c r="U266" s="46" t="n"/>
      <c r="V266" s="46" t="n"/>
      <c r="W266" s="46" t="n"/>
      <c r="X266" s="46" t="n"/>
      <c r="Y266" s="46" t="n"/>
      <c r="Z266" s="46" t="n"/>
      <c r="AA266" s="46" t="n"/>
      <c r="AB266" s="46" t="n"/>
      <c r="AC266" s="46" t="n"/>
      <c r="AD266" s="46" t="n"/>
      <c r="AE266" s="46" t="n"/>
      <c r="AF266" s="46" t="n"/>
      <c r="AG266" s="46" t="n"/>
      <c r="AH266" s="47" t="n"/>
      <c r="AI266" s="47" t="n"/>
      <c r="AJ266" s="47" t="n"/>
      <c r="AK266" s="47" t="n"/>
      <c r="AL266" s="47" t="n"/>
      <c r="AM266" s="47" t="n"/>
      <c r="AN266" s="47" t="n"/>
      <c r="AO266" s="47" t="n"/>
      <c r="AP266" s="47" t="n"/>
      <c r="AQ266" s="47" t="n"/>
      <c r="AR266" s="47" t="n"/>
      <c r="AS266" s="47" t="n"/>
      <c r="AT266" s="47" t="n"/>
      <c r="AU266" s="48" t="n"/>
      <c r="AV266" s="48" t="n"/>
      <c r="AW266" s="49">
        <f>IF($A266="","",IF($BW266&lt;&gt;"","FIX",IF($BX266&lt;&gt;"","CHECK","OK")))</f>
        <v/>
      </c>
      <c r="AX266" s="50">
        <f>IF($A266="","",IF($BW266&lt;&gt;"","FIX: "&amp;LEFT($BW266,LEN($BW266)-2)&amp;IF($BX266&lt;&gt;"","  ·  ",""),"")&amp;IF($BX266&lt;&gt;"","CHECK: "&amp;LEFT($BX266,LEN($BX266)-2),""))</f>
        <v/>
      </c>
      <c r="AY266" s="49">
        <f>IF(OR($A266="",$K266=""),"",$K266&amp;"'-"&amp;N($L266)&amp;CHAR(34)&amp;" x "&amp;$M266&amp;"'-"&amp;N($N266)&amp;CHAR(34))</f>
        <v/>
      </c>
      <c r="AZ266" s="49">
        <f>IF(OR($A266="",$K266=""),"",$K266&amp;N($L266)&amp;$M266&amp;N($N266))</f>
        <v/>
      </c>
      <c r="BA266" s="49">
        <f>IF(OR($A266="",$K266=""),"",$K266*12+N($L266))</f>
        <v/>
      </c>
      <c r="BB266" s="49">
        <f>IF(OR($A266="",$M266=""),"",$M266*12+N($N266))</f>
        <v/>
      </c>
      <c r="BC266" s="49">
        <f>IF($A266="","",IF(OR($C266="FRAME ONLY",$S266="BL"),0,IF($O266="Y",2,1)))</f>
        <v/>
      </c>
      <c r="BD266" s="51">
        <f>IF(OR(N($BC266)=0,$BA266=""),"",($BA266-2*EdgeClr-IF($BC266=2,MeetClr,0))/$BC266)</f>
        <v/>
      </c>
      <c r="BE266" s="51">
        <f>IF(OR(N($BC266)=0,$BB266=""),"",$BB266-HeadClr-Undercut)</f>
        <v/>
      </c>
      <c r="BF266" s="51">
        <f>IF($BA266="","",$BA266+2*FaceW+IF(N($Q266)&gt;0,($Q266+FaceW)*IF($R266="LR",2,1),0))</f>
        <v/>
      </c>
      <c r="BG266" s="51">
        <f>IF($BB266="","",$BB266+IF($AB266="Y",4,FaceW)+IF(N($P266)&gt;0,$P266+FaceW,0)+IF(OR($S266="4F",$S266="BL"),FaceW,0))</f>
        <v/>
      </c>
      <c r="BH266" s="51">
        <f>IF($BF266="","",$BF266+2*ROSide)</f>
        <v/>
      </c>
      <c r="BI266" s="51">
        <f>IF($BG266="","",$BG266+ROTop)</f>
        <v/>
      </c>
      <c r="BJ266" s="52">
        <f>IF(OR(N($BC266)=0,$BA266=""),"",$BA266/$BC266-ClearDeduct)</f>
        <v/>
      </c>
      <c r="BK266" s="49">
        <f>IF(OR(N($BC266)=0,$BE266=""),"",IF(OR($AC266="HGC",$AP266="HGC"),"CONT",IF($BE266&lt;=60,2,IF($BE266&lt;=90,3,IF($BE266&lt;=120,4,5)))))</f>
        <v/>
      </c>
      <c r="BL266" s="49">
        <f>IF(N($BC266)=0,"",IF(OR($AL266="",$AL266="FLUSH"),"FLUSH",IFERROR(LEFT($AL266,FIND("-",$AL266)-1),LEFT($AL266,2))))</f>
        <v/>
      </c>
      <c r="BM266" s="49">
        <f>IF($BL266="","",IFERROR(VALUE(MID($AL266,FIND("-",$AL266)+1,FIND(CHAR(34)&amp;"x",$AL266)-FIND("-",$AL266)-1)),0))</f>
        <v/>
      </c>
      <c r="BN266" s="49">
        <f>IF($BL266="","",IFERROR(VALUE(MID($AL266,FIND(CHAR(34)&amp;"x",$AL266)+2,FIND(CHAR(34),$AL266,FIND(CHAR(34)&amp;"x",$AL266)+2)-FIND(CHAR(34)&amp;"x",$AL266)-2)),0))</f>
        <v/>
      </c>
      <c r="BO266" s="53">
        <f>IF(OR($A266="",$H266="",$H266="NO LAB"),0,IFERROR(VALUE(LEFT($H266,FIND(" ",$H266)-1)),0))</f>
        <v/>
      </c>
      <c r="BP266" s="54">
        <f>IF(OR($A266="",$I266="",$I266="NON-RATED",N($J266)=0),"",IFERROR(VLOOKUP($I266&amp;"|"&amp;$J266,IBC,2,FALSE),"?"))</f>
        <v/>
      </c>
      <c r="BQ266" s="50">
        <f>IF(NOT(AND($A266&lt;&gt;"",$C266&lt;&gt;"DOOR ONLY")),"",TRIM(IFERROR(VLOOKUP($U266,CODES,2,FALSE),"")&amp;" "&amp;$AZ266&amp;" "&amp;IFERROR(VLOOKUP($Z266,CODES,2,FALSE),"")&amp;" "&amp;IFERROR(VLOOKUP($X266,CODES,2,FALSE),"")&amp;" "&amp;IFERROR(VLOOKUP($S266,CODES,2,FALSE),"")&amp;IF(N($P266)&gt;0," w/TRANSOM "&amp;$P266&amp;CHAR(34),"")&amp;IF(N($Q266)&gt;0," w/SIDELITE "&amp;$Q266&amp;CHAR(34)&amp;" "&amp;IF($R266="","R",$R266),"")&amp;IF($Y266="","  |  "," | "&amp;IFERROR(VLOOKUP($Y266,CODES,2,FALSE),"")&amp;" | ")&amp;IFERROR(VLOOKUP($AC266,CODES,2,FALSE),"")&amp;" "&amp;IFERROR(VLOOKUP($AD266,CODES,2,FALSE),"")&amp;IF(OR($AE266="",$AE266="-"),""," "&amp;$AE266)&amp;IF(OR($AF266="",$AF266="-"),""," "&amp;$AF266)&amp;IF($AB266="Y"," 4"&amp;CHAR(34)&amp;" HEAD","")&amp;" "&amp;IFERROR(VLOOKUP($H266,CODES,2,FALSE),"")))</f>
        <v/>
      </c>
      <c r="BR266" s="50">
        <f>IF(NOT(AND($A266&lt;&gt;"",N($BC266)&gt;0)),"",TRIM(IFERROR(VLOOKUP($AH266,CODES,2,FALSE),"")&amp;IF($AI266=""," "," "&amp;$AI266&amp;"GA ")&amp;$AZ266&amp;" "&amp;IF($AN266="",IFERROR(VLOOKUP($Z266,CODES,2,FALSE),""),IFERROR(VLOOKUP($AN266,CODES,2,FALSE),""))&amp;IF($BC266=2," PAIR","")&amp;" DOOR | "&amp;IF($AL266="","?",$AL266)&amp;" | "&amp;IF($AP266="",IFERROR(VLOOKUP($AC266,CODES,2,FALSE),""),IFERROR(VLOOKUP($AP266,CODES,2,FALSE),""))&amp;" "&amp;IFERROR(VLOOKUP($AQ266,CODES,2,FALSE),"")&amp;IF(OR($AR266="",$AR266="-"),""," SEAM "&amp;$AR266)&amp;IF($AS266="Y"," ASTRAGAL","")&amp;IF($AJ266=""," "," "&amp;$AJ266)&amp;IF($AK266=""," "," "&amp;$AK266)&amp;IF($AO266="",""," "&amp;$AO266)&amp;IF($AM266=""," "," SERIES "&amp;$AM266)&amp;" "&amp;IFERROR(VLOOKUP($H266,CODES,2,FALSE),"")))</f>
        <v/>
      </c>
      <c r="BS266" s="49">
        <f>IF(BV266="","",IF(COUNTIF($BV$6:BV266,BV266)=1,MAX($BS$5:BS265)+1,INDEX($BS$5:BS265,MATCH(BV266,$BV$5:BV265,0))))</f>
        <v/>
      </c>
      <c r="BT266" s="49">
        <f>IF(NOT(AND($A266&lt;&gt;"",$C266&lt;&gt;"DOOR ONLY")),"",MAX($BT$5:BT265)+1)</f>
        <v/>
      </c>
      <c r="BU266" s="49">
        <f>IF(NOT(AND($A266&lt;&gt;"",N($BC266)&gt;0)),"",MAX($BU$5:BU265)+1)</f>
        <v/>
      </c>
      <c r="BV266" s="49">
        <f>IF(OR($A266="",$BA266="",$BB266=""),"",$AZ266&amp;"|"&amp;$O266&amp;"|"&amp;$AL266&amp;"|"&amp;$S266&amp;"|"&amp;$P266&amp;"|"&amp;$Q266&amp;$R266&amp;"|"&amp;$C266&amp;"|"&amp;$AB266)</f>
        <v/>
      </c>
      <c r="BW266" s="49">
        <f>IF($A266="","",IF($B266="","qty, ","")&amp;IF($C266="","scope, ","")&amp;IF(OR($K266="",$M266=""),"size, ","")&amp;IF(AND($A266&lt;&gt;"",$C266&lt;&gt;"DOOR ONLY"),IF($U266="","jamb depth, ","")&amp;IF($X266="","construction, ","")&amp;IF($Y266="","anchor, ","")&amp;IF($S266="","frame type, ",""),"")&amp;IF(AND(N($BC266)&gt;0,$Z266=""),"hand, ","")&amp;IF(N($BC266)&gt;0,IF($AH266="","door material, ","")&amp;IF($AL266="","face type, ","")&amp;IF($AQ266="","lock prep, ","")&amp;IF(AND($AP266="",$AC266=""),"hinge prep, ",""),"")&amp;IF(AND($BO266&gt;0,$AH266="FRP"),"FRP cannot carry a label, ","")&amp;IF(AND($O266="Y",OR($Z266="L",$Z266="R",$Z266="LR",$Z266="RR")),"pair marked but hand is single, ","")&amp;IF(AND($O266&lt;&gt;"Y",OR($Z266="PR",AND(LEN($Z266)&gt;1,ISNUMBER(SEARCH("-",$Z266))))),"pair hand on a single door, ","")&amp;IF(AND(ISNUMBER($BP266),$BO266&lt;N($BP266)),"wall needs a "&amp;$BP266&amp;" min door, ","")&amp;IF(AND($BO266&gt;=180,AND(OR($BL266="FG",$BL266="HG",$BL266="FNV",$BL266="FV"),N($BM266)*N($BN266)&gt;100)),"180 min lite over 100 sq in, ","")&amp;IF(N($BD266)&gt;48,"leaf wider than 4'-0"&amp;CHAR(34)&amp;", ",""))</f>
        <v/>
      </c>
      <c r="BX266" s="49">
        <f>IF($A266="","",IF(AND($BO266&gt;0,AND($A266&lt;&gt;"",$C266&lt;&gt;"DOOR ONLY"),$X266="KD",$E266="EXTERIOR"),"KD label on an exterior opening, ","")&amp;IF(AND($E266="EXTERIOR",OR(AND(AND($A266&lt;&gt;"",$C266&lt;&gt;"DOOR ONLY"),$W266="CR"),AND(N($BC266)&gt;0,$AH266="CR"))),"exterior in CR steel (G9?), ","")&amp;IF(AND(ISNUMBER($BJ266),N($BJ266)&lt;32),"clear width ~"&amp;TEXT($BJ266,"0.0")&amp;CHAR(34)&amp;" under 32"&amp;CHAR(34)&amp;" (ADA), ","")&amp;IF(AND($BO266=90,AND(OR($BL266="FG",$BL266="HG",$BL266="FNV",$BL266="FV"),N($BM266)*N($BN266)&gt;100)),"90 min lite over 100 sq in (stair/exit), ","")&amp;IF(AND($BO266&gt;0,AND($A266&lt;&gt;"",$C266&lt;&gt;"DOOR ONLY"),OR($AF266="",$AF266="-")),"rated: closer reinf.?, ","")&amp;IF(OR($I266="CORRIDOR",$I266="SMOKE BARRIER"),"S label + smoke gasketing, ","")&amp;IF($BP266="?","wall type/hr not in IBC table, ","")&amp;IF(AND(N($BC266)&gt;0,$AU266=""),"no hardware set, ","")&amp;IF(AND($AU266&lt;&gt;"",ISNA(MATCH($AU266,HWSets,0))),"set "&amp;$AU266&amp;" not on Hardware sheet, ","")&amp;IF(N($BE266)&gt;96,"leaf over 8'-0"&amp;CHAR(34)&amp;" - check listing, ",""))</f>
        <v/>
      </c>
    </row>
    <row r="267" ht="15" customHeight="1">
      <c r="A267" s="44" t="n"/>
      <c r="B267" s="45" t="n"/>
      <c r="C267" s="45" t="n"/>
      <c r="D267" s="45" t="n"/>
      <c r="E267" s="45" t="n"/>
      <c r="F267" s="45" t="n"/>
      <c r="G267" s="45" t="n"/>
      <c r="H267" s="45" t="n"/>
      <c r="I267" s="45" t="n"/>
      <c r="J267" s="45" t="n"/>
      <c r="K267" s="45" t="n"/>
      <c r="L267" s="45" t="n"/>
      <c r="M267" s="45" t="n"/>
      <c r="N267" s="45" t="n"/>
      <c r="O267" s="45" t="n"/>
      <c r="P267" s="45" t="n"/>
      <c r="Q267" s="45" t="n"/>
      <c r="R267" s="45" t="n"/>
      <c r="S267" s="46" t="n"/>
      <c r="T267" s="46" t="n"/>
      <c r="U267" s="46" t="n"/>
      <c r="V267" s="46" t="n"/>
      <c r="W267" s="46" t="n"/>
      <c r="X267" s="46" t="n"/>
      <c r="Y267" s="46" t="n"/>
      <c r="Z267" s="46" t="n"/>
      <c r="AA267" s="46" t="n"/>
      <c r="AB267" s="46" t="n"/>
      <c r="AC267" s="46" t="n"/>
      <c r="AD267" s="46" t="n"/>
      <c r="AE267" s="46" t="n"/>
      <c r="AF267" s="46" t="n"/>
      <c r="AG267" s="46" t="n"/>
      <c r="AH267" s="47" t="n"/>
      <c r="AI267" s="47" t="n"/>
      <c r="AJ267" s="47" t="n"/>
      <c r="AK267" s="47" t="n"/>
      <c r="AL267" s="47" t="n"/>
      <c r="AM267" s="47" t="n"/>
      <c r="AN267" s="47" t="n"/>
      <c r="AO267" s="47" t="n"/>
      <c r="AP267" s="47" t="n"/>
      <c r="AQ267" s="47" t="n"/>
      <c r="AR267" s="47" t="n"/>
      <c r="AS267" s="47" t="n"/>
      <c r="AT267" s="47" t="n"/>
      <c r="AU267" s="48" t="n"/>
      <c r="AV267" s="48" t="n"/>
      <c r="AW267" s="49">
        <f>IF($A267="","",IF($BW267&lt;&gt;"","FIX",IF($BX267&lt;&gt;"","CHECK","OK")))</f>
        <v/>
      </c>
      <c r="AX267" s="50">
        <f>IF($A267="","",IF($BW267&lt;&gt;"","FIX: "&amp;LEFT($BW267,LEN($BW267)-2)&amp;IF($BX267&lt;&gt;"","  ·  ",""),"")&amp;IF($BX267&lt;&gt;"","CHECK: "&amp;LEFT($BX267,LEN($BX267)-2),""))</f>
        <v/>
      </c>
      <c r="AY267" s="49">
        <f>IF(OR($A267="",$K267=""),"",$K267&amp;"'-"&amp;N($L267)&amp;CHAR(34)&amp;" x "&amp;$M267&amp;"'-"&amp;N($N267)&amp;CHAR(34))</f>
        <v/>
      </c>
      <c r="AZ267" s="49">
        <f>IF(OR($A267="",$K267=""),"",$K267&amp;N($L267)&amp;$M267&amp;N($N267))</f>
        <v/>
      </c>
      <c r="BA267" s="49">
        <f>IF(OR($A267="",$K267=""),"",$K267*12+N($L267))</f>
        <v/>
      </c>
      <c r="BB267" s="49">
        <f>IF(OR($A267="",$M267=""),"",$M267*12+N($N267))</f>
        <v/>
      </c>
      <c r="BC267" s="49">
        <f>IF($A267="","",IF(OR($C267="FRAME ONLY",$S267="BL"),0,IF($O267="Y",2,1)))</f>
        <v/>
      </c>
      <c r="BD267" s="51">
        <f>IF(OR(N($BC267)=0,$BA267=""),"",($BA267-2*EdgeClr-IF($BC267=2,MeetClr,0))/$BC267)</f>
        <v/>
      </c>
      <c r="BE267" s="51">
        <f>IF(OR(N($BC267)=0,$BB267=""),"",$BB267-HeadClr-Undercut)</f>
        <v/>
      </c>
      <c r="BF267" s="51">
        <f>IF($BA267="","",$BA267+2*FaceW+IF(N($Q267)&gt;0,($Q267+FaceW)*IF($R267="LR",2,1),0))</f>
        <v/>
      </c>
      <c r="BG267" s="51">
        <f>IF($BB267="","",$BB267+IF($AB267="Y",4,FaceW)+IF(N($P267)&gt;0,$P267+FaceW,0)+IF(OR($S267="4F",$S267="BL"),FaceW,0))</f>
        <v/>
      </c>
      <c r="BH267" s="51">
        <f>IF($BF267="","",$BF267+2*ROSide)</f>
        <v/>
      </c>
      <c r="BI267" s="51">
        <f>IF($BG267="","",$BG267+ROTop)</f>
        <v/>
      </c>
      <c r="BJ267" s="52">
        <f>IF(OR(N($BC267)=0,$BA267=""),"",$BA267/$BC267-ClearDeduct)</f>
        <v/>
      </c>
      <c r="BK267" s="49">
        <f>IF(OR(N($BC267)=0,$BE267=""),"",IF(OR($AC267="HGC",$AP267="HGC"),"CONT",IF($BE267&lt;=60,2,IF($BE267&lt;=90,3,IF($BE267&lt;=120,4,5)))))</f>
        <v/>
      </c>
      <c r="BL267" s="49">
        <f>IF(N($BC267)=0,"",IF(OR($AL267="",$AL267="FLUSH"),"FLUSH",IFERROR(LEFT($AL267,FIND("-",$AL267)-1),LEFT($AL267,2))))</f>
        <v/>
      </c>
      <c r="BM267" s="49">
        <f>IF($BL267="","",IFERROR(VALUE(MID($AL267,FIND("-",$AL267)+1,FIND(CHAR(34)&amp;"x",$AL267)-FIND("-",$AL267)-1)),0))</f>
        <v/>
      </c>
      <c r="BN267" s="49">
        <f>IF($BL267="","",IFERROR(VALUE(MID($AL267,FIND(CHAR(34)&amp;"x",$AL267)+2,FIND(CHAR(34),$AL267,FIND(CHAR(34)&amp;"x",$AL267)+2)-FIND(CHAR(34)&amp;"x",$AL267)-2)),0))</f>
        <v/>
      </c>
      <c r="BO267" s="53">
        <f>IF(OR($A267="",$H267="",$H267="NO LAB"),0,IFERROR(VALUE(LEFT($H267,FIND(" ",$H267)-1)),0))</f>
        <v/>
      </c>
      <c r="BP267" s="54">
        <f>IF(OR($A267="",$I267="",$I267="NON-RATED",N($J267)=0),"",IFERROR(VLOOKUP($I267&amp;"|"&amp;$J267,IBC,2,FALSE),"?"))</f>
        <v/>
      </c>
      <c r="BQ267" s="50">
        <f>IF(NOT(AND($A267&lt;&gt;"",$C267&lt;&gt;"DOOR ONLY")),"",TRIM(IFERROR(VLOOKUP($U267,CODES,2,FALSE),"")&amp;" "&amp;$AZ267&amp;" "&amp;IFERROR(VLOOKUP($Z267,CODES,2,FALSE),"")&amp;" "&amp;IFERROR(VLOOKUP($X267,CODES,2,FALSE),"")&amp;" "&amp;IFERROR(VLOOKUP($S267,CODES,2,FALSE),"")&amp;IF(N($P267)&gt;0," w/TRANSOM "&amp;$P267&amp;CHAR(34),"")&amp;IF(N($Q267)&gt;0," w/SIDELITE "&amp;$Q267&amp;CHAR(34)&amp;" "&amp;IF($R267="","R",$R267),"")&amp;IF($Y267="","  |  "," | "&amp;IFERROR(VLOOKUP($Y267,CODES,2,FALSE),"")&amp;" | ")&amp;IFERROR(VLOOKUP($AC267,CODES,2,FALSE),"")&amp;" "&amp;IFERROR(VLOOKUP($AD267,CODES,2,FALSE),"")&amp;IF(OR($AE267="",$AE267="-"),""," "&amp;$AE267)&amp;IF(OR($AF267="",$AF267="-"),""," "&amp;$AF267)&amp;IF($AB267="Y"," 4"&amp;CHAR(34)&amp;" HEAD","")&amp;" "&amp;IFERROR(VLOOKUP($H267,CODES,2,FALSE),"")))</f>
        <v/>
      </c>
      <c r="BR267" s="50">
        <f>IF(NOT(AND($A267&lt;&gt;"",N($BC267)&gt;0)),"",TRIM(IFERROR(VLOOKUP($AH267,CODES,2,FALSE),"")&amp;IF($AI267=""," "," "&amp;$AI267&amp;"GA ")&amp;$AZ267&amp;" "&amp;IF($AN267="",IFERROR(VLOOKUP($Z267,CODES,2,FALSE),""),IFERROR(VLOOKUP($AN267,CODES,2,FALSE),""))&amp;IF($BC267=2," PAIR","")&amp;" DOOR | "&amp;IF($AL267="","?",$AL267)&amp;" | "&amp;IF($AP267="",IFERROR(VLOOKUP($AC267,CODES,2,FALSE),""),IFERROR(VLOOKUP($AP267,CODES,2,FALSE),""))&amp;" "&amp;IFERROR(VLOOKUP($AQ267,CODES,2,FALSE),"")&amp;IF(OR($AR267="",$AR267="-"),""," SEAM "&amp;$AR267)&amp;IF($AS267="Y"," ASTRAGAL","")&amp;IF($AJ267=""," "," "&amp;$AJ267)&amp;IF($AK267=""," "," "&amp;$AK267)&amp;IF($AO267="",""," "&amp;$AO267)&amp;IF($AM267=""," "," SERIES "&amp;$AM267)&amp;" "&amp;IFERROR(VLOOKUP($H267,CODES,2,FALSE),"")))</f>
        <v/>
      </c>
      <c r="BS267" s="49">
        <f>IF(BV267="","",IF(COUNTIF($BV$6:BV267,BV267)=1,MAX($BS$5:BS266)+1,INDEX($BS$5:BS266,MATCH(BV267,$BV$5:BV266,0))))</f>
        <v/>
      </c>
      <c r="BT267" s="49">
        <f>IF(NOT(AND($A267&lt;&gt;"",$C267&lt;&gt;"DOOR ONLY")),"",MAX($BT$5:BT266)+1)</f>
        <v/>
      </c>
      <c r="BU267" s="49">
        <f>IF(NOT(AND($A267&lt;&gt;"",N($BC267)&gt;0)),"",MAX($BU$5:BU266)+1)</f>
        <v/>
      </c>
      <c r="BV267" s="49">
        <f>IF(OR($A267="",$BA267="",$BB267=""),"",$AZ267&amp;"|"&amp;$O267&amp;"|"&amp;$AL267&amp;"|"&amp;$S267&amp;"|"&amp;$P267&amp;"|"&amp;$Q267&amp;$R267&amp;"|"&amp;$C267&amp;"|"&amp;$AB267)</f>
        <v/>
      </c>
      <c r="BW267" s="49">
        <f>IF($A267="","",IF($B267="","qty, ","")&amp;IF($C267="","scope, ","")&amp;IF(OR($K267="",$M267=""),"size, ","")&amp;IF(AND($A267&lt;&gt;"",$C267&lt;&gt;"DOOR ONLY"),IF($U267="","jamb depth, ","")&amp;IF($X267="","construction, ","")&amp;IF($Y267="","anchor, ","")&amp;IF($S267="","frame type, ",""),"")&amp;IF(AND(N($BC267)&gt;0,$Z267=""),"hand, ","")&amp;IF(N($BC267)&gt;0,IF($AH267="","door material, ","")&amp;IF($AL267="","face type, ","")&amp;IF($AQ267="","lock prep, ","")&amp;IF(AND($AP267="",$AC267=""),"hinge prep, ",""),"")&amp;IF(AND($BO267&gt;0,$AH267="FRP"),"FRP cannot carry a label, ","")&amp;IF(AND($O267="Y",OR($Z267="L",$Z267="R",$Z267="LR",$Z267="RR")),"pair marked but hand is single, ","")&amp;IF(AND($O267&lt;&gt;"Y",OR($Z267="PR",AND(LEN($Z267)&gt;1,ISNUMBER(SEARCH("-",$Z267))))),"pair hand on a single door, ","")&amp;IF(AND(ISNUMBER($BP267),$BO267&lt;N($BP267)),"wall needs a "&amp;$BP267&amp;" min door, ","")&amp;IF(AND($BO267&gt;=180,AND(OR($BL267="FG",$BL267="HG",$BL267="FNV",$BL267="FV"),N($BM267)*N($BN267)&gt;100)),"180 min lite over 100 sq in, ","")&amp;IF(N($BD267)&gt;48,"leaf wider than 4'-0"&amp;CHAR(34)&amp;", ",""))</f>
        <v/>
      </c>
      <c r="BX267" s="49">
        <f>IF($A267="","",IF(AND($BO267&gt;0,AND($A267&lt;&gt;"",$C267&lt;&gt;"DOOR ONLY"),$X267="KD",$E267="EXTERIOR"),"KD label on an exterior opening, ","")&amp;IF(AND($E267="EXTERIOR",OR(AND(AND($A267&lt;&gt;"",$C267&lt;&gt;"DOOR ONLY"),$W267="CR"),AND(N($BC267)&gt;0,$AH267="CR"))),"exterior in CR steel (G9?), ","")&amp;IF(AND(ISNUMBER($BJ267),N($BJ267)&lt;32),"clear width ~"&amp;TEXT($BJ267,"0.0")&amp;CHAR(34)&amp;" under 32"&amp;CHAR(34)&amp;" (ADA), ","")&amp;IF(AND($BO267=90,AND(OR($BL267="FG",$BL267="HG",$BL267="FNV",$BL267="FV"),N($BM267)*N($BN267)&gt;100)),"90 min lite over 100 sq in (stair/exit), ","")&amp;IF(AND($BO267&gt;0,AND($A267&lt;&gt;"",$C267&lt;&gt;"DOOR ONLY"),OR($AF267="",$AF267="-")),"rated: closer reinf.?, ","")&amp;IF(OR($I267="CORRIDOR",$I267="SMOKE BARRIER"),"S label + smoke gasketing, ","")&amp;IF($BP267="?","wall type/hr not in IBC table, ","")&amp;IF(AND(N($BC267)&gt;0,$AU267=""),"no hardware set, ","")&amp;IF(AND($AU267&lt;&gt;"",ISNA(MATCH($AU267,HWSets,0))),"set "&amp;$AU267&amp;" not on Hardware sheet, ","")&amp;IF(N($BE267)&gt;96,"leaf over 8'-0"&amp;CHAR(34)&amp;" - check listing, ",""))</f>
        <v/>
      </c>
    </row>
    <row r="268" ht="15" customHeight="1">
      <c r="A268" s="44" t="n"/>
      <c r="B268" s="45" t="n"/>
      <c r="C268" s="45" t="n"/>
      <c r="D268" s="45" t="n"/>
      <c r="E268" s="45" t="n"/>
      <c r="F268" s="45" t="n"/>
      <c r="G268" s="45" t="n"/>
      <c r="H268" s="45" t="n"/>
      <c r="I268" s="45" t="n"/>
      <c r="J268" s="45" t="n"/>
      <c r="K268" s="45" t="n"/>
      <c r="L268" s="45" t="n"/>
      <c r="M268" s="45" t="n"/>
      <c r="N268" s="45" t="n"/>
      <c r="O268" s="45" t="n"/>
      <c r="P268" s="45" t="n"/>
      <c r="Q268" s="45" t="n"/>
      <c r="R268" s="45" t="n"/>
      <c r="S268" s="46" t="n"/>
      <c r="T268" s="46" t="n"/>
      <c r="U268" s="46" t="n"/>
      <c r="V268" s="46" t="n"/>
      <c r="W268" s="46" t="n"/>
      <c r="X268" s="46" t="n"/>
      <c r="Y268" s="46" t="n"/>
      <c r="Z268" s="46" t="n"/>
      <c r="AA268" s="46" t="n"/>
      <c r="AB268" s="46" t="n"/>
      <c r="AC268" s="46" t="n"/>
      <c r="AD268" s="46" t="n"/>
      <c r="AE268" s="46" t="n"/>
      <c r="AF268" s="46" t="n"/>
      <c r="AG268" s="46" t="n"/>
      <c r="AH268" s="47" t="n"/>
      <c r="AI268" s="47" t="n"/>
      <c r="AJ268" s="47" t="n"/>
      <c r="AK268" s="47" t="n"/>
      <c r="AL268" s="47" t="n"/>
      <c r="AM268" s="47" t="n"/>
      <c r="AN268" s="47" t="n"/>
      <c r="AO268" s="47" t="n"/>
      <c r="AP268" s="47" t="n"/>
      <c r="AQ268" s="47" t="n"/>
      <c r="AR268" s="47" t="n"/>
      <c r="AS268" s="47" t="n"/>
      <c r="AT268" s="47" t="n"/>
      <c r="AU268" s="48" t="n"/>
      <c r="AV268" s="48" t="n"/>
      <c r="AW268" s="49">
        <f>IF($A268="","",IF($BW268&lt;&gt;"","FIX",IF($BX268&lt;&gt;"","CHECK","OK")))</f>
        <v/>
      </c>
      <c r="AX268" s="50">
        <f>IF($A268="","",IF($BW268&lt;&gt;"","FIX: "&amp;LEFT($BW268,LEN($BW268)-2)&amp;IF($BX268&lt;&gt;"","  ·  ",""),"")&amp;IF($BX268&lt;&gt;"","CHECK: "&amp;LEFT($BX268,LEN($BX268)-2),""))</f>
        <v/>
      </c>
      <c r="AY268" s="49">
        <f>IF(OR($A268="",$K268=""),"",$K268&amp;"'-"&amp;N($L268)&amp;CHAR(34)&amp;" x "&amp;$M268&amp;"'-"&amp;N($N268)&amp;CHAR(34))</f>
        <v/>
      </c>
      <c r="AZ268" s="49">
        <f>IF(OR($A268="",$K268=""),"",$K268&amp;N($L268)&amp;$M268&amp;N($N268))</f>
        <v/>
      </c>
      <c r="BA268" s="49">
        <f>IF(OR($A268="",$K268=""),"",$K268*12+N($L268))</f>
        <v/>
      </c>
      <c r="BB268" s="49">
        <f>IF(OR($A268="",$M268=""),"",$M268*12+N($N268))</f>
        <v/>
      </c>
      <c r="BC268" s="49">
        <f>IF($A268="","",IF(OR($C268="FRAME ONLY",$S268="BL"),0,IF($O268="Y",2,1)))</f>
        <v/>
      </c>
      <c r="BD268" s="51">
        <f>IF(OR(N($BC268)=0,$BA268=""),"",($BA268-2*EdgeClr-IF($BC268=2,MeetClr,0))/$BC268)</f>
        <v/>
      </c>
      <c r="BE268" s="51">
        <f>IF(OR(N($BC268)=0,$BB268=""),"",$BB268-HeadClr-Undercut)</f>
        <v/>
      </c>
      <c r="BF268" s="51">
        <f>IF($BA268="","",$BA268+2*FaceW+IF(N($Q268)&gt;0,($Q268+FaceW)*IF($R268="LR",2,1),0))</f>
        <v/>
      </c>
      <c r="BG268" s="51">
        <f>IF($BB268="","",$BB268+IF($AB268="Y",4,FaceW)+IF(N($P268)&gt;0,$P268+FaceW,0)+IF(OR($S268="4F",$S268="BL"),FaceW,0))</f>
        <v/>
      </c>
      <c r="BH268" s="51">
        <f>IF($BF268="","",$BF268+2*ROSide)</f>
        <v/>
      </c>
      <c r="BI268" s="51">
        <f>IF($BG268="","",$BG268+ROTop)</f>
        <v/>
      </c>
      <c r="BJ268" s="52">
        <f>IF(OR(N($BC268)=0,$BA268=""),"",$BA268/$BC268-ClearDeduct)</f>
        <v/>
      </c>
      <c r="BK268" s="49">
        <f>IF(OR(N($BC268)=0,$BE268=""),"",IF(OR($AC268="HGC",$AP268="HGC"),"CONT",IF($BE268&lt;=60,2,IF($BE268&lt;=90,3,IF($BE268&lt;=120,4,5)))))</f>
        <v/>
      </c>
      <c r="BL268" s="49">
        <f>IF(N($BC268)=0,"",IF(OR($AL268="",$AL268="FLUSH"),"FLUSH",IFERROR(LEFT($AL268,FIND("-",$AL268)-1),LEFT($AL268,2))))</f>
        <v/>
      </c>
      <c r="BM268" s="49">
        <f>IF($BL268="","",IFERROR(VALUE(MID($AL268,FIND("-",$AL268)+1,FIND(CHAR(34)&amp;"x",$AL268)-FIND("-",$AL268)-1)),0))</f>
        <v/>
      </c>
      <c r="BN268" s="49">
        <f>IF($BL268="","",IFERROR(VALUE(MID($AL268,FIND(CHAR(34)&amp;"x",$AL268)+2,FIND(CHAR(34),$AL268,FIND(CHAR(34)&amp;"x",$AL268)+2)-FIND(CHAR(34)&amp;"x",$AL268)-2)),0))</f>
        <v/>
      </c>
      <c r="BO268" s="53">
        <f>IF(OR($A268="",$H268="",$H268="NO LAB"),0,IFERROR(VALUE(LEFT($H268,FIND(" ",$H268)-1)),0))</f>
        <v/>
      </c>
      <c r="BP268" s="54">
        <f>IF(OR($A268="",$I268="",$I268="NON-RATED",N($J268)=0),"",IFERROR(VLOOKUP($I268&amp;"|"&amp;$J268,IBC,2,FALSE),"?"))</f>
        <v/>
      </c>
      <c r="BQ268" s="50">
        <f>IF(NOT(AND($A268&lt;&gt;"",$C268&lt;&gt;"DOOR ONLY")),"",TRIM(IFERROR(VLOOKUP($U268,CODES,2,FALSE),"")&amp;" "&amp;$AZ268&amp;" "&amp;IFERROR(VLOOKUP($Z268,CODES,2,FALSE),"")&amp;" "&amp;IFERROR(VLOOKUP($X268,CODES,2,FALSE),"")&amp;" "&amp;IFERROR(VLOOKUP($S268,CODES,2,FALSE),"")&amp;IF(N($P268)&gt;0," w/TRANSOM "&amp;$P268&amp;CHAR(34),"")&amp;IF(N($Q268)&gt;0," w/SIDELITE "&amp;$Q268&amp;CHAR(34)&amp;" "&amp;IF($R268="","R",$R268),"")&amp;IF($Y268="","  |  "," | "&amp;IFERROR(VLOOKUP($Y268,CODES,2,FALSE),"")&amp;" | ")&amp;IFERROR(VLOOKUP($AC268,CODES,2,FALSE),"")&amp;" "&amp;IFERROR(VLOOKUP($AD268,CODES,2,FALSE),"")&amp;IF(OR($AE268="",$AE268="-"),""," "&amp;$AE268)&amp;IF(OR($AF268="",$AF268="-"),""," "&amp;$AF268)&amp;IF($AB268="Y"," 4"&amp;CHAR(34)&amp;" HEAD","")&amp;" "&amp;IFERROR(VLOOKUP($H268,CODES,2,FALSE),"")))</f>
        <v/>
      </c>
      <c r="BR268" s="50">
        <f>IF(NOT(AND($A268&lt;&gt;"",N($BC268)&gt;0)),"",TRIM(IFERROR(VLOOKUP($AH268,CODES,2,FALSE),"")&amp;IF($AI268=""," "," "&amp;$AI268&amp;"GA ")&amp;$AZ268&amp;" "&amp;IF($AN268="",IFERROR(VLOOKUP($Z268,CODES,2,FALSE),""),IFERROR(VLOOKUP($AN268,CODES,2,FALSE),""))&amp;IF($BC268=2," PAIR","")&amp;" DOOR | "&amp;IF($AL268="","?",$AL268)&amp;" | "&amp;IF($AP268="",IFERROR(VLOOKUP($AC268,CODES,2,FALSE),""),IFERROR(VLOOKUP($AP268,CODES,2,FALSE),""))&amp;" "&amp;IFERROR(VLOOKUP($AQ268,CODES,2,FALSE),"")&amp;IF(OR($AR268="",$AR268="-"),""," SEAM "&amp;$AR268)&amp;IF($AS268="Y"," ASTRAGAL","")&amp;IF($AJ268=""," "," "&amp;$AJ268)&amp;IF($AK268=""," "," "&amp;$AK268)&amp;IF($AO268="",""," "&amp;$AO268)&amp;IF($AM268=""," "," SERIES "&amp;$AM268)&amp;" "&amp;IFERROR(VLOOKUP($H268,CODES,2,FALSE),"")))</f>
        <v/>
      </c>
      <c r="BS268" s="49">
        <f>IF(BV268="","",IF(COUNTIF($BV$6:BV268,BV268)=1,MAX($BS$5:BS267)+1,INDEX($BS$5:BS267,MATCH(BV268,$BV$5:BV267,0))))</f>
        <v/>
      </c>
      <c r="BT268" s="49">
        <f>IF(NOT(AND($A268&lt;&gt;"",$C268&lt;&gt;"DOOR ONLY")),"",MAX($BT$5:BT267)+1)</f>
        <v/>
      </c>
      <c r="BU268" s="49">
        <f>IF(NOT(AND($A268&lt;&gt;"",N($BC268)&gt;0)),"",MAX($BU$5:BU267)+1)</f>
        <v/>
      </c>
      <c r="BV268" s="49">
        <f>IF(OR($A268="",$BA268="",$BB268=""),"",$AZ268&amp;"|"&amp;$O268&amp;"|"&amp;$AL268&amp;"|"&amp;$S268&amp;"|"&amp;$P268&amp;"|"&amp;$Q268&amp;$R268&amp;"|"&amp;$C268&amp;"|"&amp;$AB268)</f>
        <v/>
      </c>
      <c r="BW268" s="49">
        <f>IF($A268="","",IF($B268="","qty, ","")&amp;IF($C268="","scope, ","")&amp;IF(OR($K268="",$M268=""),"size, ","")&amp;IF(AND($A268&lt;&gt;"",$C268&lt;&gt;"DOOR ONLY"),IF($U268="","jamb depth, ","")&amp;IF($X268="","construction, ","")&amp;IF($Y268="","anchor, ","")&amp;IF($S268="","frame type, ",""),"")&amp;IF(AND(N($BC268)&gt;0,$Z268=""),"hand, ","")&amp;IF(N($BC268)&gt;0,IF($AH268="","door material, ","")&amp;IF($AL268="","face type, ","")&amp;IF($AQ268="","lock prep, ","")&amp;IF(AND($AP268="",$AC268=""),"hinge prep, ",""),"")&amp;IF(AND($BO268&gt;0,$AH268="FRP"),"FRP cannot carry a label, ","")&amp;IF(AND($O268="Y",OR($Z268="L",$Z268="R",$Z268="LR",$Z268="RR")),"pair marked but hand is single, ","")&amp;IF(AND($O268&lt;&gt;"Y",OR($Z268="PR",AND(LEN($Z268)&gt;1,ISNUMBER(SEARCH("-",$Z268))))),"pair hand on a single door, ","")&amp;IF(AND(ISNUMBER($BP268),$BO268&lt;N($BP268)),"wall needs a "&amp;$BP268&amp;" min door, ","")&amp;IF(AND($BO268&gt;=180,AND(OR($BL268="FG",$BL268="HG",$BL268="FNV",$BL268="FV"),N($BM268)*N($BN268)&gt;100)),"180 min lite over 100 sq in, ","")&amp;IF(N($BD268)&gt;48,"leaf wider than 4'-0"&amp;CHAR(34)&amp;", ",""))</f>
        <v/>
      </c>
      <c r="BX268" s="49">
        <f>IF($A268="","",IF(AND($BO268&gt;0,AND($A268&lt;&gt;"",$C268&lt;&gt;"DOOR ONLY"),$X268="KD",$E268="EXTERIOR"),"KD label on an exterior opening, ","")&amp;IF(AND($E268="EXTERIOR",OR(AND(AND($A268&lt;&gt;"",$C268&lt;&gt;"DOOR ONLY"),$W268="CR"),AND(N($BC268)&gt;0,$AH268="CR"))),"exterior in CR steel (G9?), ","")&amp;IF(AND(ISNUMBER($BJ268),N($BJ268)&lt;32),"clear width ~"&amp;TEXT($BJ268,"0.0")&amp;CHAR(34)&amp;" under 32"&amp;CHAR(34)&amp;" (ADA), ","")&amp;IF(AND($BO268=90,AND(OR($BL268="FG",$BL268="HG",$BL268="FNV",$BL268="FV"),N($BM268)*N($BN268)&gt;100)),"90 min lite over 100 sq in (stair/exit), ","")&amp;IF(AND($BO268&gt;0,AND($A268&lt;&gt;"",$C268&lt;&gt;"DOOR ONLY"),OR($AF268="",$AF268="-")),"rated: closer reinf.?, ","")&amp;IF(OR($I268="CORRIDOR",$I268="SMOKE BARRIER"),"S label + smoke gasketing, ","")&amp;IF($BP268="?","wall type/hr not in IBC table, ","")&amp;IF(AND(N($BC268)&gt;0,$AU268=""),"no hardware set, ","")&amp;IF(AND($AU268&lt;&gt;"",ISNA(MATCH($AU268,HWSets,0))),"set "&amp;$AU268&amp;" not on Hardware sheet, ","")&amp;IF(N($BE268)&gt;96,"leaf over 8'-0"&amp;CHAR(34)&amp;" - check listing, ",""))</f>
        <v/>
      </c>
    </row>
    <row r="269" ht="15" customHeight="1">
      <c r="A269" s="44" t="n"/>
      <c r="B269" s="45" t="n"/>
      <c r="C269" s="45" t="n"/>
      <c r="D269" s="45" t="n"/>
      <c r="E269" s="45" t="n"/>
      <c r="F269" s="45" t="n"/>
      <c r="G269" s="45" t="n"/>
      <c r="H269" s="45" t="n"/>
      <c r="I269" s="45" t="n"/>
      <c r="J269" s="45" t="n"/>
      <c r="K269" s="45" t="n"/>
      <c r="L269" s="45" t="n"/>
      <c r="M269" s="45" t="n"/>
      <c r="N269" s="45" t="n"/>
      <c r="O269" s="45" t="n"/>
      <c r="P269" s="45" t="n"/>
      <c r="Q269" s="45" t="n"/>
      <c r="R269" s="45" t="n"/>
      <c r="S269" s="46" t="n"/>
      <c r="T269" s="46" t="n"/>
      <c r="U269" s="46" t="n"/>
      <c r="V269" s="46" t="n"/>
      <c r="W269" s="46" t="n"/>
      <c r="X269" s="46" t="n"/>
      <c r="Y269" s="46" t="n"/>
      <c r="Z269" s="46" t="n"/>
      <c r="AA269" s="46" t="n"/>
      <c r="AB269" s="46" t="n"/>
      <c r="AC269" s="46" t="n"/>
      <c r="AD269" s="46" t="n"/>
      <c r="AE269" s="46" t="n"/>
      <c r="AF269" s="46" t="n"/>
      <c r="AG269" s="46" t="n"/>
      <c r="AH269" s="47" t="n"/>
      <c r="AI269" s="47" t="n"/>
      <c r="AJ269" s="47" t="n"/>
      <c r="AK269" s="47" t="n"/>
      <c r="AL269" s="47" t="n"/>
      <c r="AM269" s="47" t="n"/>
      <c r="AN269" s="47" t="n"/>
      <c r="AO269" s="47" t="n"/>
      <c r="AP269" s="47" t="n"/>
      <c r="AQ269" s="47" t="n"/>
      <c r="AR269" s="47" t="n"/>
      <c r="AS269" s="47" t="n"/>
      <c r="AT269" s="47" t="n"/>
      <c r="AU269" s="48" t="n"/>
      <c r="AV269" s="48" t="n"/>
      <c r="AW269" s="49">
        <f>IF($A269="","",IF($BW269&lt;&gt;"","FIX",IF($BX269&lt;&gt;"","CHECK","OK")))</f>
        <v/>
      </c>
      <c r="AX269" s="50">
        <f>IF($A269="","",IF($BW269&lt;&gt;"","FIX: "&amp;LEFT($BW269,LEN($BW269)-2)&amp;IF($BX269&lt;&gt;"","  ·  ",""),"")&amp;IF($BX269&lt;&gt;"","CHECK: "&amp;LEFT($BX269,LEN($BX269)-2),""))</f>
        <v/>
      </c>
      <c r="AY269" s="49">
        <f>IF(OR($A269="",$K269=""),"",$K269&amp;"'-"&amp;N($L269)&amp;CHAR(34)&amp;" x "&amp;$M269&amp;"'-"&amp;N($N269)&amp;CHAR(34))</f>
        <v/>
      </c>
      <c r="AZ269" s="49">
        <f>IF(OR($A269="",$K269=""),"",$K269&amp;N($L269)&amp;$M269&amp;N($N269))</f>
        <v/>
      </c>
      <c r="BA269" s="49">
        <f>IF(OR($A269="",$K269=""),"",$K269*12+N($L269))</f>
        <v/>
      </c>
      <c r="BB269" s="49">
        <f>IF(OR($A269="",$M269=""),"",$M269*12+N($N269))</f>
        <v/>
      </c>
      <c r="BC269" s="49">
        <f>IF($A269="","",IF(OR($C269="FRAME ONLY",$S269="BL"),0,IF($O269="Y",2,1)))</f>
        <v/>
      </c>
      <c r="BD269" s="51">
        <f>IF(OR(N($BC269)=0,$BA269=""),"",($BA269-2*EdgeClr-IF($BC269=2,MeetClr,0))/$BC269)</f>
        <v/>
      </c>
      <c r="BE269" s="51">
        <f>IF(OR(N($BC269)=0,$BB269=""),"",$BB269-HeadClr-Undercut)</f>
        <v/>
      </c>
      <c r="BF269" s="51">
        <f>IF($BA269="","",$BA269+2*FaceW+IF(N($Q269)&gt;0,($Q269+FaceW)*IF($R269="LR",2,1),0))</f>
        <v/>
      </c>
      <c r="BG269" s="51">
        <f>IF($BB269="","",$BB269+IF($AB269="Y",4,FaceW)+IF(N($P269)&gt;0,$P269+FaceW,0)+IF(OR($S269="4F",$S269="BL"),FaceW,0))</f>
        <v/>
      </c>
      <c r="BH269" s="51">
        <f>IF($BF269="","",$BF269+2*ROSide)</f>
        <v/>
      </c>
      <c r="BI269" s="51">
        <f>IF($BG269="","",$BG269+ROTop)</f>
        <v/>
      </c>
      <c r="BJ269" s="52">
        <f>IF(OR(N($BC269)=0,$BA269=""),"",$BA269/$BC269-ClearDeduct)</f>
        <v/>
      </c>
      <c r="BK269" s="49">
        <f>IF(OR(N($BC269)=0,$BE269=""),"",IF(OR($AC269="HGC",$AP269="HGC"),"CONT",IF($BE269&lt;=60,2,IF($BE269&lt;=90,3,IF($BE269&lt;=120,4,5)))))</f>
        <v/>
      </c>
      <c r="BL269" s="49">
        <f>IF(N($BC269)=0,"",IF(OR($AL269="",$AL269="FLUSH"),"FLUSH",IFERROR(LEFT($AL269,FIND("-",$AL269)-1),LEFT($AL269,2))))</f>
        <v/>
      </c>
      <c r="BM269" s="49">
        <f>IF($BL269="","",IFERROR(VALUE(MID($AL269,FIND("-",$AL269)+1,FIND(CHAR(34)&amp;"x",$AL269)-FIND("-",$AL269)-1)),0))</f>
        <v/>
      </c>
      <c r="BN269" s="49">
        <f>IF($BL269="","",IFERROR(VALUE(MID($AL269,FIND(CHAR(34)&amp;"x",$AL269)+2,FIND(CHAR(34),$AL269,FIND(CHAR(34)&amp;"x",$AL269)+2)-FIND(CHAR(34)&amp;"x",$AL269)-2)),0))</f>
        <v/>
      </c>
      <c r="BO269" s="53">
        <f>IF(OR($A269="",$H269="",$H269="NO LAB"),0,IFERROR(VALUE(LEFT($H269,FIND(" ",$H269)-1)),0))</f>
        <v/>
      </c>
      <c r="BP269" s="54">
        <f>IF(OR($A269="",$I269="",$I269="NON-RATED",N($J269)=0),"",IFERROR(VLOOKUP($I269&amp;"|"&amp;$J269,IBC,2,FALSE),"?"))</f>
        <v/>
      </c>
      <c r="BQ269" s="50">
        <f>IF(NOT(AND($A269&lt;&gt;"",$C269&lt;&gt;"DOOR ONLY")),"",TRIM(IFERROR(VLOOKUP($U269,CODES,2,FALSE),"")&amp;" "&amp;$AZ269&amp;" "&amp;IFERROR(VLOOKUP($Z269,CODES,2,FALSE),"")&amp;" "&amp;IFERROR(VLOOKUP($X269,CODES,2,FALSE),"")&amp;" "&amp;IFERROR(VLOOKUP($S269,CODES,2,FALSE),"")&amp;IF(N($P269)&gt;0," w/TRANSOM "&amp;$P269&amp;CHAR(34),"")&amp;IF(N($Q269)&gt;0," w/SIDELITE "&amp;$Q269&amp;CHAR(34)&amp;" "&amp;IF($R269="","R",$R269),"")&amp;IF($Y269="","  |  "," | "&amp;IFERROR(VLOOKUP($Y269,CODES,2,FALSE),"")&amp;" | ")&amp;IFERROR(VLOOKUP($AC269,CODES,2,FALSE),"")&amp;" "&amp;IFERROR(VLOOKUP($AD269,CODES,2,FALSE),"")&amp;IF(OR($AE269="",$AE269="-"),""," "&amp;$AE269)&amp;IF(OR($AF269="",$AF269="-"),""," "&amp;$AF269)&amp;IF($AB269="Y"," 4"&amp;CHAR(34)&amp;" HEAD","")&amp;" "&amp;IFERROR(VLOOKUP($H269,CODES,2,FALSE),"")))</f>
        <v/>
      </c>
      <c r="BR269" s="50">
        <f>IF(NOT(AND($A269&lt;&gt;"",N($BC269)&gt;0)),"",TRIM(IFERROR(VLOOKUP($AH269,CODES,2,FALSE),"")&amp;IF($AI269=""," "," "&amp;$AI269&amp;"GA ")&amp;$AZ269&amp;" "&amp;IF($AN269="",IFERROR(VLOOKUP($Z269,CODES,2,FALSE),""),IFERROR(VLOOKUP($AN269,CODES,2,FALSE),""))&amp;IF($BC269=2," PAIR","")&amp;" DOOR | "&amp;IF($AL269="","?",$AL269)&amp;" | "&amp;IF($AP269="",IFERROR(VLOOKUP($AC269,CODES,2,FALSE),""),IFERROR(VLOOKUP($AP269,CODES,2,FALSE),""))&amp;" "&amp;IFERROR(VLOOKUP($AQ269,CODES,2,FALSE),"")&amp;IF(OR($AR269="",$AR269="-"),""," SEAM "&amp;$AR269)&amp;IF($AS269="Y"," ASTRAGAL","")&amp;IF($AJ269=""," "," "&amp;$AJ269)&amp;IF($AK269=""," "," "&amp;$AK269)&amp;IF($AO269="",""," "&amp;$AO269)&amp;IF($AM269=""," "," SERIES "&amp;$AM269)&amp;" "&amp;IFERROR(VLOOKUP($H269,CODES,2,FALSE),"")))</f>
        <v/>
      </c>
      <c r="BS269" s="49">
        <f>IF(BV269="","",IF(COUNTIF($BV$6:BV269,BV269)=1,MAX($BS$5:BS268)+1,INDEX($BS$5:BS268,MATCH(BV269,$BV$5:BV268,0))))</f>
        <v/>
      </c>
      <c r="BT269" s="49">
        <f>IF(NOT(AND($A269&lt;&gt;"",$C269&lt;&gt;"DOOR ONLY")),"",MAX($BT$5:BT268)+1)</f>
        <v/>
      </c>
      <c r="BU269" s="49">
        <f>IF(NOT(AND($A269&lt;&gt;"",N($BC269)&gt;0)),"",MAX($BU$5:BU268)+1)</f>
        <v/>
      </c>
      <c r="BV269" s="49">
        <f>IF(OR($A269="",$BA269="",$BB269=""),"",$AZ269&amp;"|"&amp;$O269&amp;"|"&amp;$AL269&amp;"|"&amp;$S269&amp;"|"&amp;$P269&amp;"|"&amp;$Q269&amp;$R269&amp;"|"&amp;$C269&amp;"|"&amp;$AB269)</f>
        <v/>
      </c>
      <c r="BW269" s="49">
        <f>IF($A269="","",IF($B269="","qty, ","")&amp;IF($C269="","scope, ","")&amp;IF(OR($K269="",$M269=""),"size, ","")&amp;IF(AND($A269&lt;&gt;"",$C269&lt;&gt;"DOOR ONLY"),IF($U269="","jamb depth, ","")&amp;IF($X269="","construction, ","")&amp;IF($Y269="","anchor, ","")&amp;IF($S269="","frame type, ",""),"")&amp;IF(AND(N($BC269)&gt;0,$Z269=""),"hand, ","")&amp;IF(N($BC269)&gt;0,IF($AH269="","door material, ","")&amp;IF($AL269="","face type, ","")&amp;IF($AQ269="","lock prep, ","")&amp;IF(AND($AP269="",$AC269=""),"hinge prep, ",""),"")&amp;IF(AND($BO269&gt;0,$AH269="FRP"),"FRP cannot carry a label, ","")&amp;IF(AND($O269="Y",OR($Z269="L",$Z269="R",$Z269="LR",$Z269="RR")),"pair marked but hand is single, ","")&amp;IF(AND($O269&lt;&gt;"Y",OR($Z269="PR",AND(LEN($Z269)&gt;1,ISNUMBER(SEARCH("-",$Z269))))),"pair hand on a single door, ","")&amp;IF(AND(ISNUMBER($BP269),$BO269&lt;N($BP269)),"wall needs a "&amp;$BP269&amp;" min door, ","")&amp;IF(AND($BO269&gt;=180,AND(OR($BL269="FG",$BL269="HG",$BL269="FNV",$BL269="FV"),N($BM269)*N($BN269)&gt;100)),"180 min lite over 100 sq in, ","")&amp;IF(N($BD269)&gt;48,"leaf wider than 4'-0"&amp;CHAR(34)&amp;", ",""))</f>
        <v/>
      </c>
      <c r="BX269" s="49">
        <f>IF($A269="","",IF(AND($BO269&gt;0,AND($A269&lt;&gt;"",$C269&lt;&gt;"DOOR ONLY"),$X269="KD",$E269="EXTERIOR"),"KD label on an exterior opening, ","")&amp;IF(AND($E269="EXTERIOR",OR(AND(AND($A269&lt;&gt;"",$C269&lt;&gt;"DOOR ONLY"),$W269="CR"),AND(N($BC269)&gt;0,$AH269="CR"))),"exterior in CR steel (G9?), ","")&amp;IF(AND(ISNUMBER($BJ269),N($BJ269)&lt;32),"clear width ~"&amp;TEXT($BJ269,"0.0")&amp;CHAR(34)&amp;" under 32"&amp;CHAR(34)&amp;" (ADA), ","")&amp;IF(AND($BO269=90,AND(OR($BL269="FG",$BL269="HG",$BL269="FNV",$BL269="FV"),N($BM269)*N($BN269)&gt;100)),"90 min lite over 100 sq in (stair/exit), ","")&amp;IF(AND($BO269&gt;0,AND($A269&lt;&gt;"",$C269&lt;&gt;"DOOR ONLY"),OR($AF269="",$AF269="-")),"rated: closer reinf.?, ","")&amp;IF(OR($I269="CORRIDOR",$I269="SMOKE BARRIER"),"S label + smoke gasketing, ","")&amp;IF($BP269="?","wall type/hr not in IBC table, ","")&amp;IF(AND(N($BC269)&gt;0,$AU269=""),"no hardware set, ","")&amp;IF(AND($AU269&lt;&gt;"",ISNA(MATCH($AU269,HWSets,0))),"set "&amp;$AU269&amp;" not on Hardware sheet, ","")&amp;IF(N($BE269)&gt;96,"leaf over 8'-0"&amp;CHAR(34)&amp;" - check listing, ",""))</f>
        <v/>
      </c>
    </row>
    <row r="270" ht="15" customHeight="1">
      <c r="A270" s="44" t="n"/>
      <c r="B270" s="45" t="n"/>
      <c r="C270" s="45" t="n"/>
      <c r="D270" s="45" t="n"/>
      <c r="E270" s="45" t="n"/>
      <c r="F270" s="45" t="n"/>
      <c r="G270" s="45" t="n"/>
      <c r="H270" s="45" t="n"/>
      <c r="I270" s="45" t="n"/>
      <c r="J270" s="45" t="n"/>
      <c r="K270" s="45" t="n"/>
      <c r="L270" s="45" t="n"/>
      <c r="M270" s="45" t="n"/>
      <c r="N270" s="45" t="n"/>
      <c r="O270" s="45" t="n"/>
      <c r="P270" s="45" t="n"/>
      <c r="Q270" s="45" t="n"/>
      <c r="R270" s="45" t="n"/>
      <c r="S270" s="46" t="n"/>
      <c r="T270" s="46" t="n"/>
      <c r="U270" s="46" t="n"/>
      <c r="V270" s="46" t="n"/>
      <c r="W270" s="46" t="n"/>
      <c r="X270" s="46" t="n"/>
      <c r="Y270" s="46" t="n"/>
      <c r="Z270" s="46" t="n"/>
      <c r="AA270" s="46" t="n"/>
      <c r="AB270" s="46" t="n"/>
      <c r="AC270" s="46" t="n"/>
      <c r="AD270" s="46" t="n"/>
      <c r="AE270" s="46" t="n"/>
      <c r="AF270" s="46" t="n"/>
      <c r="AG270" s="46" t="n"/>
      <c r="AH270" s="47" t="n"/>
      <c r="AI270" s="47" t="n"/>
      <c r="AJ270" s="47" t="n"/>
      <c r="AK270" s="47" t="n"/>
      <c r="AL270" s="47" t="n"/>
      <c r="AM270" s="47" t="n"/>
      <c r="AN270" s="47" t="n"/>
      <c r="AO270" s="47" t="n"/>
      <c r="AP270" s="47" t="n"/>
      <c r="AQ270" s="47" t="n"/>
      <c r="AR270" s="47" t="n"/>
      <c r="AS270" s="47" t="n"/>
      <c r="AT270" s="47" t="n"/>
      <c r="AU270" s="48" t="n"/>
      <c r="AV270" s="48" t="n"/>
      <c r="AW270" s="49">
        <f>IF($A270="","",IF($BW270&lt;&gt;"","FIX",IF($BX270&lt;&gt;"","CHECK","OK")))</f>
        <v/>
      </c>
      <c r="AX270" s="50">
        <f>IF($A270="","",IF($BW270&lt;&gt;"","FIX: "&amp;LEFT($BW270,LEN($BW270)-2)&amp;IF($BX270&lt;&gt;"","  ·  ",""),"")&amp;IF($BX270&lt;&gt;"","CHECK: "&amp;LEFT($BX270,LEN($BX270)-2),""))</f>
        <v/>
      </c>
      <c r="AY270" s="49">
        <f>IF(OR($A270="",$K270=""),"",$K270&amp;"'-"&amp;N($L270)&amp;CHAR(34)&amp;" x "&amp;$M270&amp;"'-"&amp;N($N270)&amp;CHAR(34))</f>
        <v/>
      </c>
      <c r="AZ270" s="49">
        <f>IF(OR($A270="",$K270=""),"",$K270&amp;N($L270)&amp;$M270&amp;N($N270))</f>
        <v/>
      </c>
      <c r="BA270" s="49">
        <f>IF(OR($A270="",$K270=""),"",$K270*12+N($L270))</f>
        <v/>
      </c>
      <c r="BB270" s="49">
        <f>IF(OR($A270="",$M270=""),"",$M270*12+N($N270))</f>
        <v/>
      </c>
      <c r="BC270" s="49">
        <f>IF($A270="","",IF(OR($C270="FRAME ONLY",$S270="BL"),0,IF($O270="Y",2,1)))</f>
        <v/>
      </c>
      <c r="BD270" s="51">
        <f>IF(OR(N($BC270)=0,$BA270=""),"",($BA270-2*EdgeClr-IF($BC270=2,MeetClr,0))/$BC270)</f>
        <v/>
      </c>
      <c r="BE270" s="51">
        <f>IF(OR(N($BC270)=0,$BB270=""),"",$BB270-HeadClr-Undercut)</f>
        <v/>
      </c>
      <c r="BF270" s="51">
        <f>IF($BA270="","",$BA270+2*FaceW+IF(N($Q270)&gt;0,($Q270+FaceW)*IF($R270="LR",2,1),0))</f>
        <v/>
      </c>
      <c r="BG270" s="51">
        <f>IF($BB270="","",$BB270+IF($AB270="Y",4,FaceW)+IF(N($P270)&gt;0,$P270+FaceW,0)+IF(OR($S270="4F",$S270="BL"),FaceW,0))</f>
        <v/>
      </c>
      <c r="BH270" s="51">
        <f>IF($BF270="","",$BF270+2*ROSide)</f>
        <v/>
      </c>
      <c r="BI270" s="51">
        <f>IF($BG270="","",$BG270+ROTop)</f>
        <v/>
      </c>
      <c r="BJ270" s="52">
        <f>IF(OR(N($BC270)=0,$BA270=""),"",$BA270/$BC270-ClearDeduct)</f>
        <v/>
      </c>
      <c r="BK270" s="49">
        <f>IF(OR(N($BC270)=0,$BE270=""),"",IF(OR($AC270="HGC",$AP270="HGC"),"CONT",IF($BE270&lt;=60,2,IF($BE270&lt;=90,3,IF($BE270&lt;=120,4,5)))))</f>
        <v/>
      </c>
      <c r="BL270" s="49">
        <f>IF(N($BC270)=0,"",IF(OR($AL270="",$AL270="FLUSH"),"FLUSH",IFERROR(LEFT($AL270,FIND("-",$AL270)-1),LEFT($AL270,2))))</f>
        <v/>
      </c>
      <c r="BM270" s="49">
        <f>IF($BL270="","",IFERROR(VALUE(MID($AL270,FIND("-",$AL270)+1,FIND(CHAR(34)&amp;"x",$AL270)-FIND("-",$AL270)-1)),0))</f>
        <v/>
      </c>
      <c r="BN270" s="49">
        <f>IF($BL270="","",IFERROR(VALUE(MID($AL270,FIND(CHAR(34)&amp;"x",$AL270)+2,FIND(CHAR(34),$AL270,FIND(CHAR(34)&amp;"x",$AL270)+2)-FIND(CHAR(34)&amp;"x",$AL270)-2)),0))</f>
        <v/>
      </c>
      <c r="BO270" s="53">
        <f>IF(OR($A270="",$H270="",$H270="NO LAB"),0,IFERROR(VALUE(LEFT($H270,FIND(" ",$H270)-1)),0))</f>
        <v/>
      </c>
      <c r="BP270" s="54">
        <f>IF(OR($A270="",$I270="",$I270="NON-RATED",N($J270)=0),"",IFERROR(VLOOKUP($I270&amp;"|"&amp;$J270,IBC,2,FALSE),"?"))</f>
        <v/>
      </c>
      <c r="BQ270" s="50">
        <f>IF(NOT(AND($A270&lt;&gt;"",$C270&lt;&gt;"DOOR ONLY")),"",TRIM(IFERROR(VLOOKUP($U270,CODES,2,FALSE),"")&amp;" "&amp;$AZ270&amp;" "&amp;IFERROR(VLOOKUP($Z270,CODES,2,FALSE),"")&amp;" "&amp;IFERROR(VLOOKUP($X270,CODES,2,FALSE),"")&amp;" "&amp;IFERROR(VLOOKUP($S270,CODES,2,FALSE),"")&amp;IF(N($P270)&gt;0," w/TRANSOM "&amp;$P270&amp;CHAR(34),"")&amp;IF(N($Q270)&gt;0," w/SIDELITE "&amp;$Q270&amp;CHAR(34)&amp;" "&amp;IF($R270="","R",$R270),"")&amp;IF($Y270="","  |  "," | "&amp;IFERROR(VLOOKUP($Y270,CODES,2,FALSE),"")&amp;" | ")&amp;IFERROR(VLOOKUP($AC270,CODES,2,FALSE),"")&amp;" "&amp;IFERROR(VLOOKUP($AD270,CODES,2,FALSE),"")&amp;IF(OR($AE270="",$AE270="-"),""," "&amp;$AE270)&amp;IF(OR($AF270="",$AF270="-"),""," "&amp;$AF270)&amp;IF($AB270="Y"," 4"&amp;CHAR(34)&amp;" HEAD","")&amp;" "&amp;IFERROR(VLOOKUP($H270,CODES,2,FALSE),"")))</f>
        <v/>
      </c>
      <c r="BR270" s="50">
        <f>IF(NOT(AND($A270&lt;&gt;"",N($BC270)&gt;0)),"",TRIM(IFERROR(VLOOKUP($AH270,CODES,2,FALSE),"")&amp;IF($AI270=""," "," "&amp;$AI270&amp;"GA ")&amp;$AZ270&amp;" "&amp;IF($AN270="",IFERROR(VLOOKUP($Z270,CODES,2,FALSE),""),IFERROR(VLOOKUP($AN270,CODES,2,FALSE),""))&amp;IF($BC270=2," PAIR","")&amp;" DOOR | "&amp;IF($AL270="","?",$AL270)&amp;" | "&amp;IF($AP270="",IFERROR(VLOOKUP($AC270,CODES,2,FALSE),""),IFERROR(VLOOKUP($AP270,CODES,2,FALSE),""))&amp;" "&amp;IFERROR(VLOOKUP($AQ270,CODES,2,FALSE),"")&amp;IF(OR($AR270="",$AR270="-"),""," SEAM "&amp;$AR270)&amp;IF($AS270="Y"," ASTRAGAL","")&amp;IF($AJ270=""," "," "&amp;$AJ270)&amp;IF($AK270=""," "," "&amp;$AK270)&amp;IF($AO270="",""," "&amp;$AO270)&amp;IF($AM270=""," "," SERIES "&amp;$AM270)&amp;" "&amp;IFERROR(VLOOKUP($H270,CODES,2,FALSE),"")))</f>
        <v/>
      </c>
      <c r="BS270" s="49">
        <f>IF(BV270="","",IF(COUNTIF($BV$6:BV270,BV270)=1,MAX($BS$5:BS269)+1,INDEX($BS$5:BS269,MATCH(BV270,$BV$5:BV269,0))))</f>
        <v/>
      </c>
      <c r="BT270" s="49">
        <f>IF(NOT(AND($A270&lt;&gt;"",$C270&lt;&gt;"DOOR ONLY")),"",MAX($BT$5:BT269)+1)</f>
        <v/>
      </c>
      <c r="BU270" s="49">
        <f>IF(NOT(AND($A270&lt;&gt;"",N($BC270)&gt;0)),"",MAX($BU$5:BU269)+1)</f>
        <v/>
      </c>
      <c r="BV270" s="49">
        <f>IF(OR($A270="",$BA270="",$BB270=""),"",$AZ270&amp;"|"&amp;$O270&amp;"|"&amp;$AL270&amp;"|"&amp;$S270&amp;"|"&amp;$P270&amp;"|"&amp;$Q270&amp;$R270&amp;"|"&amp;$C270&amp;"|"&amp;$AB270)</f>
        <v/>
      </c>
      <c r="BW270" s="49">
        <f>IF($A270="","",IF($B270="","qty, ","")&amp;IF($C270="","scope, ","")&amp;IF(OR($K270="",$M270=""),"size, ","")&amp;IF(AND($A270&lt;&gt;"",$C270&lt;&gt;"DOOR ONLY"),IF($U270="","jamb depth, ","")&amp;IF($X270="","construction, ","")&amp;IF($Y270="","anchor, ","")&amp;IF($S270="","frame type, ",""),"")&amp;IF(AND(N($BC270)&gt;0,$Z270=""),"hand, ","")&amp;IF(N($BC270)&gt;0,IF($AH270="","door material, ","")&amp;IF($AL270="","face type, ","")&amp;IF($AQ270="","lock prep, ","")&amp;IF(AND($AP270="",$AC270=""),"hinge prep, ",""),"")&amp;IF(AND($BO270&gt;0,$AH270="FRP"),"FRP cannot carry a label, ","")&amp;IF(AND($O270="Y",OR($Z270="L",$Z270="R",$Z270="LR",$Z270="RR")),"pair marked but hand is single, ","")&amp;IF(AND($O270&lt;&gt;"Y",OR($Z270="PR",AND(LEN($Z270)&gt;1,ISNUMBER(SEARCH("-",$Z270))))),"pair hand on a single door, ","")&amp;IF(AND(ISNUMBER($BP270),$BO270&lt;N($BP270)),"wall needs a "&amp;$BP270&amp;" min door, ","")&amp;IF(AND($BO270&gt;=180,AND(OR($BL270="FG",$BL270="HG",$BL270="FNV",$BL270="FV"),N($BM270)*N($BN270)&gt;100)),"180 min lite over 100 sq in, ","")&amp;IF(N($BD270)&gt;48,"leaf wider than 4'-0"&amp;CHAR(34)&amp;", ",""))</f>
        <v/>
      </c>
      <c r="BX270" s="49">
        <f>IF($A270="","",IF(AND($BO270&gt;0,AND($A270&lt;&gt;"",$C270&lt;&gt;"DOOR ONLY"),$X270="KD",$E270="EXTERIOR"),"KD label on an exterior opening, ","")&amp;IF(AND($E270="EXTERIOR",OR(AND(AND($A270&lt;&gt;"",$C270&lt;&gt;"DOOR ONLY"),$W270="CR"),AND(N($BC270)&gt;0,$AH270="CR"))),"exterior in CR steel (G9?), ","")&amp;IF(AND(ISNUMBER($BJ270),N($BJ270)&lt;32),"clear width ~"&amp;TEXT($BJ270,"0.0")&amp;CHAR(34)&amp;" under 32"&amp;CHAR(34)&amp;" (ADA), ","")&amp;IF(AND($BO270=90,AND(OR($BL270="FG",$BL270="HG",$BL270="FNV",$BL270="FV"),N($BM270)*N($BN270)&gt;100)),"90 min lite over 100 sq in (stair/exit), ","")&amp;IF(AND($BO270&gt;0,AND($A270&lt;&gt;"",$C270&lt;&gt;"DOOR ONLY"),OR($AF270="",$AF270="-")),"rated: closer reinf.?, ","")&amp;IF(OR($I270="CORRIDOR",$I270="SMOKE BARRIER"),"S label + smoke gasketing, ","")&amp;IF($BP270="?","wall type/hr not in IBC table, ","")&amp;IF(AND(N($BC270)&gt;0,$AU270=""),"no hardware set, ","")&amp;IF(AND($AU270&lt;&gt;"",ISNA(MATCH($AU270,HWSets,0))),"set "&amp;$AU270&amp;" not on Hardware sheet, ","")&amp;IF(N($BE270)&gt;96,"leaf over 8'-0"&amp;CHAR(34)&amp;" - check listing, ",""))</f>
        <v/>
      </c>
    </row>
    <row r="271" ht="15" customHeight="1">
      <c r="A271" s="44" t="n"/>
      <c r="B271" s="45" t="n"/>
      <c r="C271" s="45" t="n"/>
      <c r="D271" s="45" t="n"/>
      <c r="E271" s="45" t="n"/>
      <c r="F271" s="45" t="n"/>
      <c r="G271" s="45" t="n"/>
      <c r="H271" s="45" t="n"/>
      <c r="I271" s="45" t="n"/>
      <c r="J271" s="45" t="n"/>
      <c r="K271" s="45" t="n"/>
      <c r="L271" s="45" t="n"/>
      <c r="M271" s="45" t="n"/>
      <c r="N271" s="45" t="n"/>
      <c r="O271" s="45" t="n"/>
      <c r="P271" s="45" t="n"/>
      <c r="Q271" s="45" t="n"/>
      <c r="R271" s="45" t="n"/>
      <c r="S271" s="46" t="n"/>
      <c r="T271" s="46" t="n"/>
      <c r="U271" s="46" t="n"/>
      <c r="V271" s="46" t="n"/>
      <c r="W271" s="46" t="n"/>
      <c r="X271" s="46" t="n"/>
      <c r="Y271" s="46" t="n"/>
      <c r="Z271" s="46" t="n"/>
      <c r="AA271" s="46" t="n"/>
      <c r="AB271" s="46" t="n"/>
      <c r="AC271" s="46" t="n"/>
      <c r="AD271" s="46" t="n"/>
      <c r="AE271" s="46" t="n"/>
      <c r="AF271" s="46" t="n"/>
      <c r="AG271" s="46" t="n"/>
      <c r="AH271" s="47" t="n"/>
      <c r="AI271" s="47" t="n"/>
      <c r="AJ271" s="47" t="n"/>
      <c r="AK271" s="47" t="n"/>
      <c r="AL271" s="47" t="n"/>
      <c r="AM271" s="47" t="n"/>
      <c r="AN271" s="47" t="n"/>
      <c r="AO271" s="47" t="n"/>
      <c r="AP271" s="47" t="n"/>
      <c r="AQ271" s="47" t="n"/>
      <c r="AR271" s="47" t="n"/>
      <c r="AS271" s="47" t="n"/>
      <c r="AT271" s="47" t="n"/>
      <c r="AU271" s="48" t="n"/>
      <c r="AV271" s="48" t="n"/>
      <c r="AW271" s="49">
        <f>IF($A271="","",IF($BW271&lt;&gt;"","FIX",IF($BX271&lt;&gt;"","CHECK","OK")))</f>
        <v/>
      </c>
      <c r="AX271" s="50">
        <f>IF($A271="","",IF($BW271&lt;&gt;"","FIX: "&amp;LEFT($BW271,LEN($BW271)-2)&amp;IF($BX271&lt;&gt;"","  ·  ",""),"")&amp;IF($BX271&lt;&gt;"","CHECK: "&amp;LEFT($BX271,LEN($BX271)-2),""))</f>
        <v/>
      </c>
      <c r="AY271" s="49">
        <f>IF(OR($A271="",$K271=""),"",$K271&amp;"'-"&amp;N($L271)&amp;CHAR(34)&amp;" x "&amp;$M271&amp;"'-"&amp;N($N271)&amp;CHAR(34))</f>
        <v/>
      </c>
      <c r="AZ271" s="49">
        <f>IF(OR($A271="",$K271=""),"",$K271&amp;N($L271)&amp;$M271&amp;N($N271))</f>
        <v/>
      </c>
      <c r="BA271" s="49">
        <f>IF(OR($A271="",$K271=""),"",$K271*12+N($L271))</f>
        <v/>
      </c>
      <c r="BB271" s="49">
        <f>IF(OR($A271="",$M271=""),"",$M271*12+N($N271))</f>
        <v/>
      </c>
      <c r="BC271" s="49">
        <f>IF($A271="","",IF(OR($C271="FRAME ONLY",$S271="BL"),0,IF($O271="Y",2,1)))</f>
        <v/>
      </c>
      <c r="BD271" s="51">
        <f>IF(OR(N($BC271)=0,$BA271=""),"",($BA271-2*EdgeClr-IF($BC271=2,MeetClr,0))/$BC271)</f>
        <v/>
      </c>
      <c r="BE271" s="51">
        <f>IF(OR(N($BC271)=0,$BB271=""),"",$BB271-HeadClr-Undercut)</f>
        <v/>
      </c>
      <c r="BF271" s="51">
        <f>IF($BA271="","",$BA271+2*FaceW+IF(N($Q271)&gt;0,($Q271+FaceW)*IF($R271="LR",2,1),0))</f>
        <v/>
      </c>
      <c r="BG271" s="51">
        <f>IF($BB271="","",$BB271+IF($AB271="Y",4,FaceW)+IF(N($P271)&gt;0,$P271+FaceW,0)+IF(OR($S271="4F",$S271="BL"),FaceW,0))</f>
        <v/>
      </c>
      <c r="BH271" s="51">
        <f>IF($BF271="","",$BF271+2*ROSide)</f>
        <v/>
      </c>
      <c r="BI271" s="51">
        <f>IF($BG271="","",$BG271+ROTop)</f>
        <v/>
      </c>
      <c r="BJ271" s="52">
        <f>IF(OR(N($BC271)=0,$BA271=""),"",$BA271/$BC271-ClearDeduct)</f>
        <v/>
      </c>
      <c r="BK271" s="49">
        <f>IF(OR(N($BC271)=0,$BE271=""),"",IF(OR($AC271="HGC",$AP271="HGC"),"CONT",IF($BE271&lt;=60,2,IF($BE271&lt;=90,3,IF($BE271&lt;=120,4,5)))))</f>
        <v/>
      </c>
      <c r="BL271" s="49">
        <f>IF(N($BC271)=0,"",IF(OR($AL271="",$AL271="FLUSH"),"FLUSH",IFERROR(LEFT($AL271,FIND("-",$AL271)-1),LEFT($AL271,2))))</f>
        <v/>
      </c>
      <c r="BM271" s="49">
        <f>IF($BL271="","",IFERROR(VALUE(MID($AL271,FIND("-",$AL271)+1,FIND(CHAR(34)&amp;"x",$AL271)-FIND("-",$AL271)-1)),0))</f>
        <v/>
      </c>
      <c r="BN271" s="49">
        <f>IF($BL271="","",IFERROR(VALUE(MID($AL271,FIND(CHAR(34)&amp;"x",$AL271)+2,FIND(CHAR(34),$AL271,FIND(CHAR(34)&amp;"x",$AL271)+2)-FIND(CHAR(34)&amp;"x",$AL271)-2)),0))</f>
        <v/>
      </c>
      <c r="BO271" s="53">
        <f>IF(OR($A271="",$H271="",$H271="NO LAB"),0,IFERROR(VALUE(LEFT($H271,FIND(" ",$H271)-1)),0))</f>
        <v/>
      </c>
      <c r="BP271" s="54">
        <f>IF(OR($A271="",$I271="",$I271="NON-RATED",N($J271)=0),"",IFERROR(VLOOKUP($I271&amp;"|"&amp;$J271,IBC,2,FALSE),"?"))</f>
        <v/>
      </c>
      <c r="BQ271" s="50">
        <f>IF(NOT(AND($A271&lt;&gt;"",$C271&lt;&gt;"DOOR ONLY")),"",TRIM(IFERROR(VLOOKUP($U271,CODES,2,FALSE),"")&amp;" "&amp;$AZ271&amp;" "&amp;IFERROR(VLOOKUP($Z271,CODES,2,FALSE),"")&amp;" "&amp;IFERROR(VLOOKUP($X271,CODES,2,FALSE),"")&amp;" "&amp;IFERROR(VLOOKUP($S271,CODES,2,FALSE),"")&amp;IF(N($P271)&gt;0," w/TRANSOM "&amp;$P271&amp;CHAR(34),"")&amp;IF(N($Q271)&gt;0," w/SIDELITE "&amp;$Q271&amp;CHAR(34)&amp;" "&amp;IF($R271="","R",$R271),"")&amp;IF($Y271="","  |  "," | "&amp;IFERROR(VLOOKUP($Y271,CODES,2,FALSE),"")&amp;" | ")&amp;IFERROR(VLOOKUP($AC271,CODES,2,FALSE),"")&amp;" "&amp;IFERROR(VLOOKUP($AD271,CODES,2,FALSE),"")&amp;IF(OR($AE271="",$AE271="-"),""," "&amp;$AE271)&amp;IF(OR($AF271="",$AF271="-"),""," "&amp;$AF271)&amp;IF($AB271="Y"," 4"&amp;CHAR(34)&amp;" HEAD","")&amp;" "&amp;IFERROR(VLOOKUP($H271,CODES,2,FALSE),"")))</f>
        <v/>
      </c>
      <c r="BR271" s="50">
        <f>IF(NOT(AND($A271&lt;&gt;"",N($BC271)&gt;0)),"",TRIM(IFERROR(VLOOKUP($AH271,CODES,2,FALSE),"")&amp;IF($AI271=""," "," "&amp;$AI271&amp;"GA ")&amp;$AZ271&amp;" "&amp;IF($AN271="",IFERROR(VLOOKUP($Z271,CODES,2,FALSE),""),IFERROR(VLOOKUP($AN271,CODES,2,FALSE),""))&amp;IF($BC271=2," PAIR","")&amp;" DOOR | "&amp;IF($AL271="","?",$AL271)&amp;" | "&amp;IF($AP271="",IFERROR(VLOOKUP($AC271,CODES,2,FALSE),""),IFERROR(VLOOKUP($AP271,CODES,2,FALSE),""))&amp;" "&amp;IFERROR(VLOOKUP($AQ271,CODES,2,FALSE),"")&amp;IF(OR($AR271="",$AR271="-"),""," SEAM "&amp;$AR271)&amp;IF($AS271="Y"," ASTRAGAL","")&amp;IF($AJ271=""," "," "&amp;$AJ271)&amp;IF($AK271=""," "," "&amp;$AK271)&amp;IF($AO271="",""," "&amp;$AO271)&amp;IF($AM271=""," "," SERIES "&amp;$AM271)&amp;" "&amp;IFERROR(VLOOKUP($H271,CODES,2,FALSE),"")))</f>
        <v/>
      </c>
      <c r="BS271" s="49">
        <f>IF(BV271="","",IF(COUNTIF($BV$6:BV271,BV271)=1,MAX($BS$5:BS270)+1,INDEX($BS$5:BS270,MATCH(BV271,$BV$5:BV270,0))))</f>
        <v/>
      </c>
      <c r="BT271" s="49">
        <f>IF(NOT(AND($A271&lt;&gt;"",$C271&lt;&gt;"DOOR ONLY")),"",MAX($BT$5:BT270)+1)</f>
        <v/>
      </c>
      <c r="BU271" s="49">
        <f>IF(NOT(AND($A271&lt;&gt;"",N($BC271)&gt;0)),"",MAX($BU$5:BU270)+1)</f>
        <v/>
      </c>
      <c r="BV271" s="49">
        <f>IF(OR($A271="",$BA271="",$BB271=""),"",$AZ271&amp;"|"&amp;$O271&amp;"|"&amp;$AL271&amp;"|"&amp;$S271&amp;"|"&amp;$P271&amp;"|"&amp;$Q271&amp;$R271&amp;"|"&amp;$C271&amp;"|"&amp;$AB271)</f>
        <v/>
      </c>
      <c r="BW271" s="49">
        <f>IF($A271="","",IF($B271="","qty, ","")&amp;IF($C271="","scope, ","")&amp;IF(OR($K271="",$M271=""),"size, ","")&amp;IF(AND($A271&lt;&gt;"",$C271&lt;&gt;"DOOR ONLY"),IF($U271="","jamb depth, ","")&amp;IF($X271="","construction, ","")&amp;IF($Y271="","anchor, ","")&amp;IF($S271="","frame type, ",""),"")&amp;IF(AND(N($BC271)&gt;0,$Z271=""),"hand, ","")&amp;IF(N($BC271)&gt;0,IF($AH271="","door material, ","")&amp;IF($AL271="","face type, ","")&amp;IF($AQ271="","lock prep, ","")&amp;IF(AND($AP271="",$AC271=""),"hinge prep, ",""),"")&amp;IF(AND($BO271&gt;0,$AH271="FRP"),"FRP cannot carry a label, ","")&amp;IF(AND($O271="Y",OR($Z271="L",$Z271="R",$Z271="LR",$Z271="RR")),"pair marked but hand is single, ","")&amp;IF(AND($O271&lt;&gt;"Y",OR($Z271="PR",AND(LEN($Z271)&gt;1,ISNUMBER(SEARCH("-",$Z271))))),"pair hand on a single door, ","")&amp;IF(AND(ISNUMBER($BP271),$BO271&lt;N($BP271)),"wall needs a "&amp;$BP271&amp;" min door, ","")&amp;IF(AND($BO271&gt;=180,AND(OR($BL271="FG",$BL271="HG",$BL271="FNV",$BL271="FV"),N($BM271)*N($BN271)&gt;100)),"180 min lite over 100 sq in, ","")&amp;IF(N($BD271)&gt;48,"leaf wider than 4'-0"&amp;CHAR(34)&amp;", ",""))</f>
        <v/>
      </c>
      <c r="BX271" s="49">
        <f>IF($A271="","",IF(AND($BO271&gt;0,AND($A271&lt;&gt;"",$C271&lt;&gt;"DOOR ONLY"),$X271="KD",$E271="EXTERIOR"),"KD label on an exterior opening, ","")&amp;IF(AND($E271="EXTERIOR",OR(AND(AND($A271&lt;&gt;"",$C271&lt;&gt;"DOOR ONLY"),$W271="CR"),AND(N($BC271)&gt;0,$AH271="CR"))),"exterior in CR steel (G9?), ","")&amp;IF(AND(ISNUMBER($BJ271),N($BJ271)&lt;32),"clear width ~"&amp;TEXT($BJ271,"0.0")&amp;CHAR(34)&amp;" under 32"&amp;CHAR(34)&amp;" (ADA), ","")&amp;IF(AND($BO271=90,AND(OR($BL271="FG",$BL271="HG",$BL271="FNV",$BL271="FV"),N($BM271)*N($BN271)&gt;100)),"90 min lite over 100 sq in (stair/exit), ","")&amp;IF(AND($BO271&gt;0,AND($A271&lt;&gt;"",$C271&lt;&gt;"DOOR ONLY"),OR($AF271="",$AF271="-")),"rated: closer reinf.?, ","")&amp;IF(OR($I271="CORRIDOR",$I271="SMOKE BARRIER"),"S label + smoke gasketing, ","")&amp;IF($BP271="?","wall type/hr not in IBC table, ","")&amp;IF(AND(N($BC271)&gt;0,$AU271=""),"no hardware set, ","")&amp;IF(AND($AU271&lt;&gt;"",ISNA(MATCH($AU271,HWSets,0))),"set "&amp;$AU271&amp;" not on Hardware sheet, ","")&amp;IF(N($BE271)&gt;96,"leaf over 8'-0"&amp;CHAR(34)&amp;" - check listing, ",""))</f>
        <v/>
      </c>
    </row>
    <row r="272" ht="15" customHeight="1">
      <c r="A272" s="44" t="n"/>
      <c r="B272" s="45" t="n"/>
      <c r="C272" s="45" t="n"/>
      <c r="D272" s="45" t="n"/>
      <c r="E272" s="45" t="n"/>
      <c r="F272" s="45" t="n"/>
      <c r="G272" s="45" t="n"/>
      <c r="H272" s="45" t="n"/>
      <c r="I272" s="45" t="n"/>
      <c r="J272" s="45" t="n"/>
      <c r="K272" s="45" t="n"/>
      <c r="L272" s="45" t="n"/>
      <c r="M272" s="45" t="n"/>
      <c r="N272" s="45" t="n"/>
      <c r="O272" s="45" t="n"/>
      <c r="P272" s="45" t="n"/>
      <c r="Q272" s="45" t="n"/>
      <c r="R272" s="45" t="n"/>
      <c r="S272" s="46" t="n"/>
      <c r="T272" s="46" t="n"/>
      <c r="U272" s="46" t="n"/>
      <c r="V272" s="46" t="n"/>
      <c r="W272" s="46" t="n"/>
      <c r="X272" s="46" t="n"/>
      <c r="Y272" s="46" t="n"/>
      <c r="Z272" s="46" t="n"/>
      <c r="AA272" s="46" t="n"/>
      <c r="AB272" s="46" t="n"/>
      <c r="AC272" s="46" t="n"/>
      <c r="AD272" s="46" t="n"/>
      <c r="AE272" s="46" t="n"/>
      <c r="AF272" s="46" t="n"/>
      <c r="AG272" s="46" t="n"/>
      <c r="AH272" s="47" t="n"/>
      <c r="AI272" s="47" t="n"/>
      <c r="AJ272" s="47" t="n"/>
      <c r="AK272" s="47" t="n"/>
      <c r="AL272" s="47" t="n"/>
      <c r="AM272" s="47" t="n"/>
      <c r="AN272" s="47" t="n"/>
      <c r="AO272" s="47" t="n"/>
      <c r="AP272" s="47" t="n"/>
      <c r="AQ272" s="47" t="n"/>
      <c r="AR272" s="47" t="n"/>
      <c r="AS272" s="47" t="n"/>
      <c r="AT272" s="47" t="n"/>
      <c r="AU272" s="48" t="n"/>
      <c r="AV272" s="48" t="n"/>
      <c r="AW272" s="49">
        <f>IF($A272="","",IF($BW272&lt;&gt;"","FIX",IF($BX272&lt;&gt;"","CHECK","OK")))</f>
        <v/>
      </c>
      <c r="AX272" s="50">
        <f>IF($A272="","",IF($BW272&lt;&gt;"","FIX: "&amp;LEFT($BW272,LEN($BW272)-2)&amp;IF($BX272&lt;&gt;"","  ·  ",""),"")&amp;IF($BX272&lt;&gt;"","CHECK: "&amp;LEFT($BX272,LEN($BX272)-2),""))</f>
        <v/>
      </c>
      <c r="AY272" s="49">
        <f>IF(OR($A272="",$K272=""),"",$K272&amp;"'-"&amp;N($L272)&amp;CHAR(34)&amp;" x "&amp;$M272&amp;"'-"&amp;N($N272)&amp;CHAR(34))</f>
        <v/>
      </c>
      <c r="AZ272" s="49">
        <f>IF(OR($A272="",$K272=""),"",$K272&amp;N($L272)&amp;$M272&amp;N($N272))</f>
        <v/>
      </c>
      <c r="BA272" s="49">
        <f>IF(OR($A272="",$K272=""),"",$K272*12+N($L272))</f>
        <v/>
      </c>
      <c r="BB272" s="49">
        <f>IF(OR($A272="",$M272=""),"",$M272*12+N($N272))</f>
        <v/>
      </c>
      <c r="BC272" s="49">
        <f>IF($A272="","",IF(OR($C272="FRAME ONLY",$S272="BL"),0,IF($O272="Y",2,1)))</f>
        <v/>
      </c>
      <c r="BD272" s="51">
        <f>IF(OR(N($BC272)=0,$BA272=""),"",($BA272-2*EdgeClr-IF($BC272=2,MeetClr,0))/$BC272)</f>
        <v/>
      </c>
      <c r="BE272" s="51">
        <f>IF(OR(N($BC272)=0,$BB272=""),"",$BB272-HeadClr-Undercut)</f>
        <v/>
      </c>
      <c r="BF272" s="51">
        <f>IF($BA272="","",$BA272+2*FaceW+IF(N($Q272)&gt;0,($Q272+FaceW)*IF($R272="LR",2,1),0))</f>
        <v/>
      </c>
      <c r="BG272" s="51">
        <f>IF($BB272="","",$BB272+IF($AB272="Y",4,FaceW)+IF(N($P272)&gt;0,$P272+FaceW,0)+IF(OR($S272="4F",$S272="BL"),FaceW,0))</f>
        <v/>
      </c>
      <c r="BH272" s="51">
        <f>IF($BF272="","",$BF272+2*ROSide)</f>
        <v/>
      </c>
      <c r="BI272" s="51">
        <f>IF($BG272="","",$BG272+ROTop)</f>
        <v/>
      </c>
      <c r="BJ272" s="52">
        <f>IF(OR(N($BC272)=0,$BA272=""),"",$BA272/$BC272-ClearDeduct)</f>
        <v/>
      </c>
      <c r="BK272" s="49">
        <f>IF(OR(N($BC272)=0,$BE272=""),"",IF(OR($AC272="HGC",$AP272="HGC"),"CONT",IF($BE272&lt;=60,2,IF($BE272&lt;=90,3,IF($BE272&lt;=120,4,5)))))</f>
        <v/>
      </c>
      <c r="BL272" s="49">
        <f>IF(N($BC272)=0,"",IF(OR($AL272="",$AL272="FLUSH"),"FLUSH",IFERROR(LEFT($AL272,FIND("-",$AL272)-1),LEFT($AL272,2))))</f>
        <v/>
      </c>
      <c r="BM272" s="49">
        <f>IF($BL272="","",IFERROR(VALUE(MID($AL272,FIND("-",$AL272)+1,FIND(CHAR(34)&amp;"x",$AL272)-FIND("-",$AL272)-1)),0))</f>
        <v/>
      </c>
      <c r="BN272" s="49">
        <f>IF($BL272="","",IFERROR(VALUE(MID($AL272,FIND(CHAR(34)&amp;"x",$AL272)+2,FIND(CHAR(34),$AL272,FIND(CHAR(34)&amp;"x",$AL272)+2)-FIND(CHAR(34)&amp;"x",$AL272)-2)),0))</f>
        <v/>
      </c>
      <c r="BO272" s="53">
        <f>IF(OR($A272="",$H272="",$H272="NO LAB"),0,IFERROR(VALUE(LEFT($H272,FIND(" ",$H272)-1)),0))</f>
        <v/>
      </c>
      <c r="BP272" s="54">
        <f>IF(OR($A272="",$I272="",$I272="NON-RATED",N($J272)=0),"",IFERROR(VLOOKUP($I272&amp;"|"&amp;$J272,IBC,2,FALSE),"?"))</f>
        <v/>
      </c>
      <c r="BQ272" s="50">
        <f>IF(NOT(AND($A272&lt;&gt;"",$C272&lt;&gt;"DOOR ONLY")),"",TRIM(IFERROR(VLOOKUP($U272,CODES,2,FALSE),"")&amp;" "&amp;$AZ272&amp;" "&amp;IFERROR(VLOOKUP($Z272,CODES,2,FALSE),"")&amp;" "&amp;IFERROR(VLOOKUP($X272,CODES,2,FALSE),"")&amp;" "&amp;IFERROR(VLOOKUP($S272,CODES,2,FALSE),"")&amp;IF(N($P272)&gt;0," w/TRANSOM "&amp;$P272&amp;CHAR(34),"")&amp;IF(N($Q272)&gt;0," w/SIDELITE "&amp;$Q272&amp;CHAR(34)&amp;" "&amp;IF($R272="","R",$R272),"")&amp;IF($Y272="","  |  "," | "&amp;IFERROR(VLOOKUP($Y272,CODES,2,FALSE),"")&amp;" | ")&amp;IFERROR(VLOOKUP($AC272,CODES,2,FALSE),"")&amp;" "&amp;IFERROR(VLOOKUP($AD272,CODES,2,FALSE),"")&amp;IF(OR($AE272="",$AE272="-"),""," "&amp;$AE272)&amp;IF(OR($AF272="",$AF272="-"),""," "&amp;$AF272)&amp;IF($AB272="Y"," 4"&amp;CHAR(34)&amp;" HEAD","")&amp;" "&amp;IFERROR(VLOOKUP($H272,CODES,2,FALSE),"")))</f>
        <v/>
      </c>
      <c r="BR272" s="50">
        <f>IF(NOT(AND($A272&lt;&gt;"",N($BC272)&gt;0)),"",TRIM(IFERROR(VLOOKUP($AH272,CODES,2,FALSE),"")&amp;IF($AI272=""," "," "&amp;$AI272&amp;"GA ")&amp;$AZ272&amp;" "&amp;IF($AN272="",IFERROR(VLOOKUP($Z272,CODES,2,FALSE),""),IFERROR(VLOOKUP($AN272,CODES,2,FALSE),""))&amp;IF($BC272=2," PAIR","")&amp;" DOOR | "&amp;IF($AL272="","?",$AL272)&amp;" | "&amp;IF($AP272="",IFERROR(VLOOKUP($AC272,CODES,2,FALSE),""),IFERROR(VLOOKUP($AP272,CODES,2,FALSE),""))&amp;" "&amp;IFERROR(VLOOKUP($AQ272,CODES,2,FALSE),"")&amp;IF(OR($AR272="",$AR272="-"),""," SEAM "&amp;$AR272)&amp;IF($AS272="Y"," ASTRAGAL","")&amp;IF($AJ272=""," "," "&amp;$AJ272)&amp;IF($AK272=""," "," "&amp;$AK272)&amp;IF($AO272="",""," "&amp;$AO272)&amp;IF($AM272=""," "," SERIES "&amp;$AM272)&amp;" "&amp;IFERROR(VLOOKUP($H272,CODES,2,FALSE),"")))</f>
        <v/>
      </c>
      <c r="BS272" s="49">
        <f>IF(BV272="","",IF(COUNTIF($BV$6:BV272,BV272)=1,MAX($BS$5:BS271)+1,INDEX($BS$5:BS271,MATCH(BV272,$BV$5:BV271,0))))</f>
        <v/>
      </c>
      <c r="BT272" s="49">
        <f>IF(NOT(AND($A272&lt;&gt;"",$C272&lt;&gt;"DOOR ONLY")),"",MAX($BT$5:BT271)+1)</f>
        <v/>
      </c>
      <c r="BU272" s="49">
        <f>IF(NOT(AND($A272&lt;&gt;"",N($BC272)&gt;0)),"",MAX($BU$5:BU271)+1)</f>
        <v/>
      </c>
      <c r="BV272" s="49">
        <f>IF(OR($A272="",$BA272="",$BB272=""),"",$AZ272&amp;"|"&amp;$O272&amp;"|"&amp;$AL272&amp;"|"&amp;$S272&amp;"|"&amp;$P272&amp;"|"&amp;$Q272&amp;$R272&amp;"|"&amp;$C272&amp;"|"&amp;$AB272)</f>
        <v/>
      </c>
      <c r="BW272" s="49">
        <f>IF($A272="","",IF($B272="","qty, ","")&amp;IF($C272="","scope, ","")&amp;IF(OR($K272="",$M272=""),"size, ","")&amp;IF(AND($A272&lt;&gt;"",$C272&lt;&gt;"DOOR ONLY"),IF($U272="","jamb depth, ","")&amp;IF($X272="","construction, ","")&amp;IF($Y272="","anchor, ","")&amp;IF($S272="","frame type, ",""),"")&amp;IF(AND(N($BC272)&gt;0,$Z272=""),"hand, ","")&amp;IF(N($BC272)&gt;0,IF($AH272="","door material, ","")&amp;IF($AL272="","face type, ","")&amp;IF($AQ272="","lock prep, ","")&amp;IF(AND($AP272="",$AC272=""),"hinge prep, ",""),"")&amp;IF(AND($BO272&gt;0,$AH272="FRP"),"FRP cannot carry a label, ","")&amp;IF(AND($O272="Y",OR($Z272="L",$Z272="R",$Z272="LR",$Z272="RR")),"pair marked but hand is single, ","")&amp;IF(AND($O272&lt;&gt;"Y",OR($Z272="PR",AND(LEN($Z272)&gt;1,ISNUMBER(SEARCH("-",$Z272))))),"pair hand on a single door, ","")&amp;IF(AND(ISNUMBER($BP272),$BO272&lt;N($BP272)),"wall needs a "&amp;$BP272&amp;" min door, ","")&amp;IF(AND($BO272&gt;=180,AND(OR($BL272="FG",$BL272="HG",$BL272="FNV",$BL272="FV"),N($BM272)*N($BN272)&gt;100)),"180 min lite over 100 sq in, ","")&amp;IF(N($BD272)&gt;48,"leaf wider than 4'-0"&amp;CHAR(34)&amp;", ",""))</f>
        <v/>
      </c>
      <c r="BX272" s="49">
        <f>IF($A272="","",IF(AND($BO272&gt;0,AND($A272&lt;&gt;"",$C272&lt;&gt;"DOOR ONLY"),$X272="KD",$E272="EXTERIOR"),"KD label on an exterior opening, ","")&amp;IF(AND($E272="EXTERIOR",OR(AND(AND($A272&lt;&gt;"",$C272&lt;&gt;"DOOR ONLY"),$W272="CR"),AND(N($BC272)&gt;0,$AH272="CR"))),"exterior in CR steel (G9?), ","")&amp;IF(AND(ISNUMBER($BJ272),N($BJ272)&lt;32),"clear width ~"&amp;TEXT($BJ272,"0.0")&amp;CHAR(34)&amp;" under 32"&amp;CHAR(34)&amp;" (ADA), ","")&amp;IF(AND($BO272=90,AND(OR($BL272="FG",$BL272="HG",$BL272="FNV",$BL272="FV"),N($BM272)*N($BN272)&gt;100)),"90 min lite over 100 sq in (stair/exit), ","")&amp;IF(AND($BO272&gt;0,AND($A272&lt;&gt;"",$C272&lt;&gt;"DOOR ONLY"),OR($AF272="",$AF272="-")),"rated: closer reinf.?, ","")&amp;IF(OR($I272="CORRIDOR",$I272="SMOKE BARRIER"),"S label + smoke gasketing, ","")&amp;IF($BP272="?","wall type/hr not in IBC table, ","")&amp;IF(AND(N($BC272)&gt;0,$AU272=""),"no hardware set, ","")&amp;IF(AND($AU272&lt;&gt;"",ISNA(MATCH($AU272,HWSets,0))),"set "&amp;$AU272&amp;" not on Hardware sheet, ","")&amp;IF(N($BE272)&gt;96,"leaf over 8'-0"&amp;CHAR(34)&amp;" - check listing, ",""))</f>
        <v/>
      </c>
    </row>
    <row r="273" ht="15" customHeight="1">
      <c r="A273" s="44" t="n"/>
      <c r="B273" s="45" t="n"/>
      <c r="C273" s="45" t="n"/>
      <c r="D273" s="45" t="n"/>
      <c r="E273" s="45" t="n"/>
      <c r="F273" s="45" t="n"/>
      <c r="G273" s="45" t="n"/>
      <c r="H273" s="45" t="n"/>
      <c r="I273" s="45" t="n"/>
      <c r="J273" s="45" t="n"/>
      <c r="K273" s="45" t="n"/>
      <c r="L273" s="45" t="n"/>
      <c r="M273" s="45" t="n"/>
      <c r="N273" s="45" t="n"/>
      <c r="O273" s="45" t="n"/>
      <c r="P273" s="45" t="n"/>
      <c r="Q273" s="45" t="n"/>
      <c r="R273" s="45" t="n"/>
      <c r="S273" s="46" t="n"/>
      <c r="T273" s="46" t="n"/>
      <c r="U273" s="46" t="n"/>
      <c r="V273" s="46" t="n"/>
      <c r="W273" s="46" t="n"/>
      <c r="X273" s="46" t="n"/>
      <c r="Y273" s="46" t="n"/>
      <c r="Z273" s="46" t="n"/>
      <c r="AA273" s="46" t="n"/>
      <c r="AB273" s="46" t="n"/>
      <c r="AC273" s="46" t="n"/>
      <c r="AD273" s="46" t="n"/>
      <c r="AE273" s="46" t="n"/>
      <c r="AF273" s="46" t="n"/>
      <c r="AG273" s="46" t="n"/>
      <c r="AH273" s="47" t="n"/>
      <c r="AI273" s="47" t="n"/>
      <c r="AJ273" s="47" t="n"/>
      <c r="AK273" s="47" t="n"/>
      <c r="AL273" s="47" t="n"/>
      <c r="AM273" s="47" t="n"/>
      <c r="AN273" s="47" t="n"/>
      <c r="AO273" s="47" t="n"/>
      <c r="AP273" s="47" t="n"/>
      <c r="AQ273" s="47" t="n"/>
      <c r="AR273" s="47" t="n"/>
      <c r="AS273" s="47" t="n"/>
      <c r="AT273" s="47" t="n"/>
      <c r="AU273" s="48" t="n"/>
      <c r="AV273" s="48" t="n"/>
      <c r="AW273" s="49">
        <f>IF($A273="","",IF($BW273&lt;&gt;"","FIX",IF($BX273&lt;&gt;"","CHECK","OK")))</f>
        <v/>
      </c>
      <c r="AX273" s="50">
        <f>IF($A273="","",IF($BW273&lt;&gt;"","FIX: "&amp;LEFT($BW273,LEN($BW273)-2)&amp;IF($BX273&lt;&gt;"","  ·  ",""),"")&amp;IF($BX273&lt;&gt;"","CHECK: "&amp;LEFT($BX273,LEN($BX273)-2),""))</f>
        <v/>
      </c>
      <c r="AY273" s="49">
        <f>IF(OR($A273="",$K273=""),"",$K273&amp;"'-"&amp;N($L273)&amp;CHAR(34)&amp;" x "&amp;$M273&amp;"'-"&amp;N($N273)&amp;CHAR(34))</f>
        <v/>
      </c>
      <c r="AZ273" s="49">
        <f>IF(OR($A273="",$K273=""),"",$K273&amp;N($L273)&amp;$M273&amp;N($N273))</f>
        <v/>
      </c>
      <c r="BA273" s="49">
        <f>IF(OR($A273="",$K273=""),"",$K273*12+N($L273))</f>
        <v/>
      </c>
      <c r="BB273" s="49">
        <f>IF(OR($A273="",$M273=""),"",$M273*12+N($N273))</f>
        <v/>
      </c>
      <c r="BC273" s="49">
        <f>IF($A273="","",IF(OR($C273="FRAME ONLY",$S273="BL"),0,IF($O273="Y",2,1)))</f>
        <v/>
      </c>
      <c r="BD273" s="51">
        <f>IF(OR(N($BC273)=0,$BA273=""),"",($BA273-2*EdgeClr-IF($BC273=2,MeetClr,0))/$BC273)</f>
        <v/>
      </c>
      <c r="BE273" s="51">
        <f>IF(OR(N($BC273)=0,$BB273=""),"",$BB273-HeadClr-Undercut)</f>
        <v/>
      </c>
      <c r="BF273" s="51">
        <f>IF($BA273="","",$BA273+2*FaceW+IF(N($Q273)&gt;0,($Q273+FaceW)*IF($R273="LR",2,1),0))</f>
        <v/>
      </c>
      <c r="BG273" s="51">
        <f>IF($BB273="","",$BB273+IF($AB273="Y",4,FaceW)+IF(N($P273)&gt;0,$P273+FaceW,0)+IF(OR($S273="4F",$S273="BL"),FaceW,0))</f>
        <v/>
      </c>
      <c r="BH273" s="51">
        <f>IF($BF273="","",$BF273+2*ROSide)</f>
        <v/>
      </c>
      <c r="BI273" s="51">
        <f>IF($BG273="","",$BG273+ROTop)</f>
        <v/>
      </c>
      <c r="BJ273" s="52">
        <f>IF(OR(N($BC273)=0,$BA273=""),"",$BA273/$BC273-ClearDeduct)</f>
        <v/>
      </c>
      <c r="BK273" s="49">
        <f>IF(OR(N($BC273)=0,$BE273=""),"",IF(OR($AC273="HGC",$AP273="HGC"),"CONT",IF($BE273&lt;=60,2,IF($BE273&lt;=90,3,IF($BE273&lt;=120,4,5)))))</f>
        <v/>
      </c>
      <c r="BL273" s="49">
        <f>IF(N($BC273)=0,"",IF(OR($AL273="",$AL273="FLUSH"),"FLUSH",IFERROR(LEFT($AL273,FIND("-",$AL273)-1),LEFT($AL273,2))))</f>
        <v/>
      </c>
      <c r="BM273" s="49">
        <f>IF($BL273="","",IFERROR(VALUE(MID($AL273,FIND("-",$AL273)+1,FIND(CHAR(34)&amp;"x",$AL273)-FIND("-",$AL273)-1)),0))</f>
        <v/>
      </c>
      <c r="BN273" s="49">
        <f>IF($BL273="","",IFERROR(VALUE(MID($AL273,FIND(CHAR(34)&amp;"x",$AL273)+2,FIND(CHAR(34),$AL273,FIND(CHAR(34)&amp;"x",$AL273)+2)-FIND(CHAR(34)&amp;"x",$AL273)-2)),0))</f>
        <v/>
      </c>
      <c r="BO273" s="53">
        <f>IF(OR($A273="",$H273="",$H273="NO LAB"),0,IFERROR(VALUE(LEFT($H273,FIND(" ",$H273)-1)),0))</f>
        <v/>
      </c>
      <c r="BP273" s="54">
        <f>IF(OR($A273="",$I273="",$I273="NON-RATED",N($J273)=0),"",IFERROR(VLOOKUP($I273&amp;"|"&amp;$J273,IBC,2,FALSE),"?"))</f>
        <v/>
      </c>
      <c r="BQ273" s="50">
        <f>IF(NOT(AND($A273&lt;&gt;"",$C273&lt;&gt;"DOOR ONLY")),"",TRIM(IFERROR(VLOOKUP($U273,CODES,2,FALSE),"")&amp;" "&amp;$AZ273&amp;" "&amp;IFERROR(VLOOKUP($Z273,CODES,2,FALSE),"")&amp;" "&amp;IFERROR(VLOOKUP($X273,CODES,2,FALSE),"")&amp;" "&amp;IFERROR(VLOOKUP($S273,CODES,2,FALSE),"")&amp;IF(N($P273)&gt;0," w/TRANSOM "&amp;$P273&amp;CHAR(34),"")&amp;IF(N($Q273)&gt;0," w/SIDELITE "&amp;$Q273&amp;CHAR(34)&amp;" "&amp;IF($R273="","R",$R273),"")&amp;IF($Y273="","  |  "," | "&amp;IFERROR(VLOOKUP($Y273,CODES,2,FALSE),"")&amp;" | ")&amp;IFERROR(VLOOKUP($AC273,CODES,2,FALSE),"")&amp;" "&amp;IFERROR(VLOOKUP($AD273,CODES,2,FALSE),"")&amp;IF(OR($AE273="",$AE273="-"),""," "&amp;$AE273)&amp;IF(OR($AF273="",$AF273="-"),""," "&amp;$AF273)&amp;IF($AB273="Y"," 4"&amp;CHAR(34)&amp;" HEAD","")&amp;" "&amp;IFERROR(VLOOKUP($H273,CODES,2,FALSE),"")))</f>
        <v/>
      </c>
      <c r="BR273" s="50">
        <f>IF(NOT(AND($A273&lt;&gt;"",N($BC273)&gt;0)),"",TRIM(IFERROR(VLOOKUP($AH273,CODES,2,FALSE),"")&amp;IF($AI273=""," "," "&amp;$AI273&amp;"GA ")&amp;$AZ273&amp;" "&amp;IF($AN273="",IFERROR(VLOOKUP($Z273,CODES,2,FALSE),""),IFERROR(VLOOKUP($AN273,CODES,2,FALSE),""))&amp;IF($BC273=2," PAIR","")&amp;" DOOR | "&amp;IF($AL273="","?",$AL273)&amp;" | "&amp;IF($AP273="",IFERROR(VLOOKUP($AC273,CODES,2,FALSE),""),IFERROR(VLOOKUP($AP273,CODES,2,FALSE),""))&amp;" "&amp;IFERROR(VLOOKUP($AQ273,CODES,2,FALSE),"")&amp;IF(OR($AR273="",$AR273="-"),""," SEAM "&amp;$AR273)&amp;IF($AS273="Y"," ASTRAGAL","")&amp;IF($AJ273=""," "," "&amp;$AJ273)&amp;IF($AK273=""," "," "&amp;$AK273)&amp;IF($AO273="",""," "&amp;$AO273)&amp;IF($AM273=""," "," SERIES "&amp;$AM273)&amp;" "&amp;IFERROR(VLOOKUP($H273,CODES,2,FALSE),"")))</f>
        <v/>
      </c>
      <c r="BS273" s="49">
        <f>IF(BV273="","",IF(COUNTIF($BV$6:BV273,BV273)=1,MAX($BS$5:BS272)+1,INDEX($BS$5:BS272,MATCH(BV273,$BV$5:BV272,0))))</f>
        <v/>
      </c>
      <c r="BT273" s="49">
        <f>IF(NOT(AND($A273&lt;&gt;"",$C273&lt;&gt;"DOOR ONLY")),"",MAX($BT$5:BT272)+1)</f>
        <v/>
      </c>
      <c r="BU273" s="49">
        <f>IF(NOT(AND($A273&lt;&gt;"",N($BC273)&gt;0)),"",MAX($BU$5:BU272)+1)</f>
        <v/>
      </c>
      <c r="BV273" s="49">
        <f>IF(OR($A273="",$BA273="",$BB273=""),"",$AZ273&amp;"|"&amp;$O273&amp;"|"&amp;$AL273&amp;"|"&amp;$S273&amp;"|"&amp;$P273&amp;"|"&amp;$Q273&amp;$R273&amp;"|"&amp;$C273&amp;"|"&amp;$AB273)</f>
        <v/>
      </c>
      <c r="BW273" s="49">
        <f>IF($A273="","",IF($B273="","qty, ","")&amp;IF($C273="","scope, ","")&amp;IF(OR($K273="",$M273=""),"size, ","")&amp;IF(AND($A273&lt;&gt;"",$C273&lt;&gt;"DOOR ONLY"),IF($U273="","jamb depth, ","")&amp;IF($X273="","construction, ","")&amp;IF($Y273="","anchor, ","")&amp;IF($S273="","frame type, ",""),"")&amp;IF(AND(N($BC273)&gt;0,$Z273=""),"hand, ","")&amp;IF(N($BC273)&gt;0,IF($AH273="","door material, ","")&amp;IF($AL273="","face type, ","")&amp;IF($AQ273="","lock prep, ","")&amp;IF(AND($AP273="",$AC273=""),"hinge prep, ",""),"")&amp;IF(AND($BO273&gt;0,$AH273="FRP"),"FRP cannot carry a label, ","")&amp;IF(AND($O273="Y",OR($Z273="L",$Z273="R",$Z273="LR",$Z273="RR")),"pair marked but hand is single, ","")&amp;IF(AND($O273&lt;&gt;"Y",OR($Z273="PR",AND(LEN($Z273)&gt;1,ISNUMBER(SEARCH("-",$Z273))))),"pair hand on a single door, ","")&amp;IF(AND(ISNUMBER($BP273),$BO273&lt;N($BP273)),"wall needs a "&amp;$BP273&amp;" min door, ","")&amp;IF(AND($BO273&gt;=180,AND(OR($BL273="FG",$BL273="HG",$BL273="FNV",$BL273="FV"),N($BM273)*N($BN273)&gt;100)),"180 min lite over 100 sq in, ","")&amp;IF(N($BD273)&gt;48,"leaf wider than 4'-0"&amp;CHAR(34)&amp;", ",""))</f>
        <v/>
      </c>
      <c r="BX273" s="49">
        <f>IF($A273="","",IF(AND($BO273&gt;0,AND($A273&lt;&gt;"",$C273&lt;&gt;"DOOR ONLY"),$X273="KD",$E273="EXTERIOR"),"KD label on an exterior opening, ","")&amp;IF(AND($E273="EXTERIOR",OR(AND(AND($A273&lt;&gt;"",$C273&lt;&gt;"DOOR ONLY"),$W273="CR"),AND(N($BC273)&gt;0,$AH273="CR"))),"exterior in CR steel (G9?), ","")&amp;IF(AND(ISNUMBER($BJ273),N($BJ273)&lt;32),"clear width ~"&amp;TEXT($BJ273,"0.0")&amp;CHAR(34)&amp;" under 32"&amp;CHAR(34)&amp;" (ADA), ","")&amp;IF(AND($BO273=90,AND(OR($BL273="FG",$BL273="HG",$BL273="FNV",$BL273="FV"),N($BM273)*N($BN273)&gt;100)),"90 min lite over 100 sq in (stair/exit), ","")&amp;IF(AND($BO273&gt;0,AND($A273&lt;&gt;"",$C273&lt;&gt;"DOOR ONLY"),OR($AF273="",$AF273="-")),"rated: closer reinf.?, ","")&amp;IF(OR($I273="CORRIDOR",$I273="SMOKE BARRIER"),"S label + smoke gasketing, ","")&amp;IF($BP273="?","wall type/hr not in IBC table, ","")&amp;IF(AND(N($BC273)&gt;0,$AU273=""),"no hardware set, ","")&amp;IF(AND($AU273&lt;&gt;"",ISNA(MATCH($AU273,HWSets,0))),"set "&amp;$AU273&amp;" not on Hardware sheet, ","")&amp;IF(N($BE273)&gt;96,"leaf over 8'-0"&amp;CHAR(34)&amp;" - check listing, ",""))</f>
        <v/>
      </c>
    </row>
    <row r="274" ht="15" customHeight="1">
      <c r="A274" s="44" t="n"/>
      <c r="B274" s="45" t="n"/>
      <c r="C274" s="45" t="n"/>
      <c r="D274" s="45" t="n"/>
      <c r="E274" s="45" t="n"/>
      <c r="F274" s="45" t="n"/>
      <c r="G274" s="45" t="n"/>
      <c r="H274" s="45" t="n"/>
      <c r="I274" s="45" t="n"/>
      <c r="J274" s="45" t="n"/>
      <c r="K274" s="45" t="n"/>
      <c r="L274" s="45" t="n"/>
      <c r="M274" s="45" t="n"/>
      <c r="N274" s="45" t="n"/>
      <c r="O274" s="45" t="n"/>
      <c r="P274" s="45" t="n"/>
      <c r="Q274" s="45" t="n"/>
      <c r="R274" s="45" t="n"/>
      <c r="S274" s="46" t="n"/>
      <c r="T274" s="46" t="n"/>
      <c r="U274" s="46" t="n"/>
      <c r="V274" s="46" t="n"/>
      <c r="W274" s="46" t="n"/>
      <c r="X274" s="46" t="n"/>
      <c r="Y274" s="46" t="n"/>
      <c r="Z274" s="46" t="n"/>
      <c r="AA274" s="46" t="n"/>
      <c r="AB274" s="46" t="n"/>
      <c r="AC274" s="46" t="n"/>
      <c r="AD274" s="46" t="n"/>
      <c r="AE274" s="46" t="n"/>
      <c r="AF274" s="46" t="n"/>
      <c r="AG274" s="46" t="n"/>
      <c r="AH274" s="47" t="n"/>
      <c r="AI274" s="47" t="n"/>
      <c r="AJ274" s="47" t="n"/>
      <c r="AK274" s="47" t="n"/>
      <c r="AL274" s="47" t="n"/>
      <c r="AM274" s="47" t="n"/>
      <c r="AN274" s="47" t="n"/>
      <c r="AO274" s="47" t="n"/>
      <c r="AP274" s="47" t="n"/>
      <c r="AQ274" s="47" t="n"/>
      <c r="AR274" s="47" t="n"/>
      <c r="AS274" s="47" t="n"/>
      <c r="AT274" s="47" t="n"/>
      <c r="AU274" s="48" t="n"/>
      <c r="AV274" s="48" t="n"/>
      <c r="AW274" s="49">
        <f>IF($A274="","",IF($BW274&lt;&gt;"","FIX",IF($BX274&lt;&gt;"","CHECK","OK")))</f>
        <v/>
      </c>
      <c r="AX274" s="50">
        <f>IF($A274="","",IF($BW274&lt;&gt;"","FIX: "&amp;LEFT($BW274,LEN($BW274)-2)&amp;IF($BX274&lt;&gt;"","  ·  ",""),"")&amp;IF($BX274&lt;&gt;"","CHECK: "&amp;LEFT($BX274,LEN($BX274)-2),""))</f>
        <v/>
      </c>
      <c r="AY274" s="49">
        <f>IF(OR($A274="",$K274=""),"",$K274&amp;"'-"&amp;N($L274)&amp;CHAR(34)&amp;" x "&amp;$M274&amp;"'-"&amp;N($N274)&amp;CHAR(34))</f>
        <v/>
      </c>
      <c r="AZ274" s="49">
        <f>IF(OR($A274="",$K274=""),"",$K274&amp;N($L274)&amp;$M274&amp;N($N274))</f>
        <v/>
      </c>
      <c r="BA274" s="49">
        <f>IF(OR($A274="",$K274=""),"",$K274*12+N($L274))</f>
        <v/>
      </c>
      <c r="BB274" s="49">
        <f>IF(OR($A274="",$M274=""),"",$M274*12+N($N274))</f>
        <v/>
      </c>
      <c r="BC274" s="49">
        <f>IF($A274="","",IF(OR($C274="FRAME ONLY",$S274="BL"),0,IF($O274="Y",2,1)))</f>
        <v/>
      </c>
      <c r="BD274" s="51">
        <f>IF(OR(N($BC274)=0,$BA274=""),"",($BA274-2*EdgeClr-IF($BC274=2,MeetClr,0))/$BC274)</f>
        <v/>
      </c>
      <c r="BE274" s="51">
        <f>IF(OR(N($BC274)=0,$BB274=""),"",$BB274-HeadClr-Undercut)</f>
        <v/>
      </c>
      <c r="BF274" s="51">
        <f>IF($BA274="","",$BA274+2*FaceW+IF(N($Q274)&gt;0,($Q274+FaceW)*IF($R274="LR",2,1),0))</f>
        <v/>
      </c>
      <c r="BG274" s="51">
        <f>IF($BB274="","",$BB274+IF($AB274="Y",4,FaceW)+IF(N($P274)&gt;0,$P274+FaceW,0)+IF(OR($S274="4F",$S274="BL"),FaceW,0))</f>
        <v/>
      </c>
      <c r="BH274" s="51">
        <f>IF($BF274="","",$BF274+2*ROSide)</f>
        <v/>
      </c>
      <c r="BI274" s="51">
        <f>IF($BG274="","",$BG274+ROTop)</f>
        <v/>
      </c>
      <c r="BJ274" s="52">
        <f>IF(OR(N($BC274)=0,$BA274=""),"",$BA274/$BC274-ClearDeduct)</f>
        <v/>
      </c>
      <c r="BK274" s="49">
        <f>IF(OR(N($BC274)=0,$BE274=""),"",IF(OR($AC274="HGC",$AP274="HGC"),"CONT",IF($BE274&lt;=60,2,IF($BE274&lt;=90,3,IF($BE274&lt;=120,4,5)))))</f>
        <v/>
      </c>
      <c r="BL274" s="49">
        <f>IF(N($BC274)=0,"",IF(OR($AL274="",$AL274="FLUSH"),"FLUSH",IFERROR(LEFT($AL274,FIND("-",$AL274)-1),LEFT($AL274,2))))</f>
        <v/>
      </c>
      <c r="BM274" s="49">
        <f>IF($BL274="","",IFERROR(VALUE(MID($AL274,FIND("-",$AL274)+1,FIND(CHAR(34)&amp;"x",$AL274)-FIND("-",$AL274)-1)),0))</f>
        <v/>
      </c>
      <c r="BN274" s="49">
        <f>IF($BL274="","",IFERROR(VALUE(MID($AL274,FIND(CHAR(34)&amp;"x",$AL274)+2,FIND(CHAR(34),$AL274,FIND(CHAR(34)&amp;"x",$AL274)+2)-FIND(CHAR(34)&amp;"x",$AL274)-2)),0))</f>
        <v/>
      </c>
      <c r="BO274" s="53">
        <f>IF(OR($A274="",$H274="",$H274="NO LAB"),0,IFERROR(VALUE(LEFT($H274,FIND(" ",$H274)-1)),0))</f>
        <v/>
      </c>
      <c r="BP274" s="54">
        <f>IF(OR($A274="",$I274="",$I274="NON-RATED",N($J274)=0),"",IFERROR(VLOOKUP($I274&amp;"|"&amp;$J274,IBC,2,FALSE),"?"))</f>
        <v/>
      </c>
      <c r="BQ274" s="50">
        <f>IF(NOT(AND($A274&lt;&gt;"",$C274&lt;&gt;"DOOR ONLY")),"",TRIM(IFERROR(VLOOKUP($U274,CODES,2,FALSE),"")&amp;" "&amp;$AZ274&amp;" "&amp;IFERROR(VLOOKUP($Z274,CODES,2,FALSE),"")&amp;" "&amp;IFERROR(VLOOKUP($X274,CODES,2,FALSE),"")&amp;" "&amp;IFERROR(VLOOKUP($S274,CODES,2,FALSE),"")&amp;IF(N($P274)&gt;0," w/TRANSOM "&amp;$P274&amp;CHAR(34),"")&amp;IF(N($Q274)&gt;0," w/SIDELITE "&amp;$Q274&amp;CHAR(34)&amp;" "&amp;IF($R274="","R",$R274),"")&amp;IF($Y274="","  |  "," | "&amp;IFERROR(VLOOKUP($Y274,CODES,2,FALSE),"")&amp;" | ")&amp;IFERROR(VLOOKUP($AC274,CODES,2,FALSE),"")&amp;" "&amp;IFERROR(VLOOKUP($AD274,CODES,2,FALSE),"")&amp;IF(OR($AE274="",$AE274="-"),""," "&amp;$AE274)&amp;IF(OR($AF274="",$AF274="-"),""," "&amp;$AF274)&amp;IF($AB274="Y"," 4"&amp;CHAR(34)&amp;" HEAD","")&amp;" "&amp;IFERROR(VLOOKUP($H274,CODES,2,FALSE),"")))</f>
        <v/>
      </c>
      <c r="BR274" s="50">
        <f>IF(NOT(AND($A274&lt;&gt;"",N($BC274)&gt;0)),"",TRIM(IFERROR(VLOOKUP($AH274,CODES,2,FALSE),"")&amp;IF($AI274=""," "," "&amp;$AI274&amp;"GA ")&amp;$AZ274&amp;" "&amp;IF($AN274="",IFERROR(VLOOKUP($Z274,CODES,2,FALSE),""),IFERROR(VLOOKUP($AN274,CODES,2,FALSE),""))&amp;IF($BC274=2," PAIR","")&amp;" DOOR | "&amp;IF($AL274="","?",$AL274)&amp;" | "&amp;IF($AP274="",IFERROR(VLOOKUP($AC274,CODES,2,FALSE),""),IFERROR(VLOOKUP($AP274,CODES,2,FALSE),""))&amp;" "&amp;IFERROR(VLOOKUP($AQ274,CODES,2,FALSE),"")&amp;IF(OR($AR274="",$AR274="-"),""," SEAM "&amp;$AR274)&amp;IF($AS274="Y"," ASTRAGAL","")&amp;IF($AJ274=""," "," "&amp;$AJ274)&amp;IF($AK274=""," "," "&amp;$AK274)&amp;IF($AO274="",""," "&amp;$AO274)&amp;IF($AM274=""," "," SERIES "&amp;$AM274)&amp;" "&amp;IFERROR(VLOOKUP($H274,CODES,2,FALSE),"")))</f>
        <v/>
      </c>
      <c r="BS274" s="49">
        <f>IF(BV274="","",IF(COUNTIF($BV$6:BV274,BV274)=1,MAX($BS$5:BS273)+1,INDEX($BS$5:BS273,MATCH(BV274,$BV$5:BV273,0))))</f>
        <v/>
      </c>
      <c r="BT274" s="49">
        <f>IF(NOT(AND($A274&lt;&gt;"",$C274&lt;&gt;"DOOR ONLY")),"",MAX($BT$5:BT273)+1)</f>
        <v/>
      </c>
      <c r="BU274" s="49">
        <f>IF(NOT(AND($A274&lt;&gt;"",N($BC274)&gt;0)),"",MAX($BU$5:BU273)+1)</f>
        <v/>
      </c>
      <c r="BV274" s="49">
        <f>IF(OR($A274="",$BA274="",$BB274=""),"",$AZ274&amp;"|"&amp;$O274&amp;"|"&amp;$AL274&amp;"|"&amp;$S274&amp;"|"&amp;$P274&amp;"|"&amp;$Q274&amp;$R274&amp;"|"&amp;$C274&amp;"|"&amp;$AB274)</f>
        <v/>
      </c>
      <c r="BW274" s="49">
        <f>IF($A274="","",IF($B274="","qty, ","")&amp;IF($C274="","scope, ","")&amp;IF(OR($K274="",$M274=""),"size, ","")&amp;IF(AND($A274&lt;&gt;"",$C274&lt;&gt;"DOOR ONLY"),IF($U274="","jamb depth, ","")&amp;IF($X274="","construction, ","")&amp;IF($Y274="","anchor, ","")&amp;IF($S274="","frame type, ",""),"")&amp;IF(AND(N($BC274)&gt;0,$Z274=""),"hand, ","")&amp;IF(N($BC274)&gt;0,IF($AH274="","door material, ","")&amp;IF($AL274="","face type, ","")&amp;IF($AQ274="","lock prep, ","")&amp;IF(AND($AP274="",$AC274=""),"hinge prep, ",""),"")&amp;IF(AND($BO274&gt;0,$AH274="FRP"),"FRP cannot carry a label, ","")&amp;IF(AND($O274="Y",OR($Z274="L",$Z274="R",$Z274="LR",$Z274="RR")),"pair marked but hand is single, ","")&amp;IF(AND($O274&lt;&gt;"Y",OR($Z274="PR",AND(LEN($Z274)&gt;1,ISNUMBER(SEARCH("-",$Z274))))),"pair hand on a single door, ","")&amp;IF(AND(ISNUMBER($BP274),$BO274&lt;N($BP274)),"wall needs a "&amp;$BP274&amp;" min door, ","")&amp;IF(AND($BO274&gt;=180,AND(OR($BL274="FG",$BL274="HG",$BL274="FNV",$BL274="FV"),N($BM274)*N($BN274)&gt;100)),"180 min lite over 100 sq in, ","")&amp;IF(N($BD274)&gt;48,"leaf wider than 4'-0"&amp;CHAR(34)&amp;", ",""))</f>
        <v/>
      </c>
      <c r="BX274" s="49">
        <f>IF($A274="","",IF(AND($BO274&gt;0,AND($A274&lt;&gt;"",$C274&lt;&gt;"DOOR ONLY"),$X274="KD",$E274="EXTERIOR"),"KD label on an exterior opening, ","")&amp;IF(AND($E274="EXTERIOR",OR(AND(AND($A274&lt;&gt;"",$C274&lt;&gt;"DOOR ONLY"),$W274="CR"),AND(N($BC274)&gt;0,$AH274="CR"))),"exterior in CR steel (G9?), ","")&amp;IF(AND(ISNUMBER($BJ274),N($BJ274)&lt;32),"clear width ~"&amp;TEXT($BJ274,"0.0")&amp;CHAR(34)&amp;" under 32"&amp;CHAR(34)&amp;" (ADA), ","")&amp;IF(AND($BO274=90,AND(OR($BL274="FG",$BL274="HG",$BL274="FNV",$BL274="FV"),N($BM274)*N($BN274)&gt;100)),"90 min lite over 100 sq in (stair/exit), ","")&amp;IF(AND($BO274&gt;0,AND($A274&lt;&gt;"",$C274&lt;&gt;"DOOR ONLY"),OR($AF274="",$AF274="-")),"rated: closer reinf.?, ","")&amp;IF(OR($I274="CORRIDOR",$I274="SMOKE BARRIER"),"S label + smoke gasketing, ","")&amp;IF($BP274="?","wall type/hr not in IBC table, ","")&amp;IF(AND(N($BC274)&gt;0,$AU274=""),"no hardware set, ","")&amp;IF(AND($AU274&lt;&gt;"",ISNA(MATCH($AU274,HWSets,0))),"set "&amp;$AU274&amp;" not on Hardware sheet, ","")&amp;IF(N($BE274)&gt;96,"leaf over 8'-0"&amp;CHAR(34)&amp;" - check listing, ",""))</f>
        <v/>
      </c>
    </row>
    <row r="275" ht="15" customHeight="1">
      <c r="A275" s="44" t="n"/>
      <c r="B275" s="45" t="n"/>
      <c r="C275" s="45" t="n"/>
      <c r="D275" s="45" t="n"/>
      <c r="E275" s="45" t="n"/>
      <c r="F275" s="45" t="n"/>
      <c r="G275" s="45" t="n"/>
      <c r="H275" s="45" t="n"/>
      <c r="I275" s="45" t="n"/>
      <c r="J275" s="45" t="n"/>
      <c r="K275" s="45" t="n"/>
      <c r="L275" s="45" t="n"/>
      <c r="M275" s="45" t="n"/>
      <c r="N275" s="45" t="n"/>
      <c r="O275" s="45" t="n"/>
      <c r="P275" s="45" t="n"/>
      <c r="Q275" s="45" t="n"/>
      <c r="R275" s="45" t="n"/>
      <c r="S275" s="46" t="n"/>
      <c r="T275" s="46" t="n"/>
      <c r="U275" s="46" t="n"/>
      <c r="V275" s="46" t="n"/>
      <c r="W275" s="46" t="n"/>
      <c r="X275" s="46" t="n"/>
      <c r="Y275" s="46" t="n"/>
      <c r="Z275" s="46" t="n"/>
      <c r="AA275" s="46" t="n"/>
      <c r="AB275" s="46" t="n"/>
      <c r="AC275" s="46" t="n"/>
      <c r="AD275" s="46" t="n"/>
      <c r="AE275" s="46" t="n"/>
      <c r="AF275" s="46" t="n"/>
      <c r="AG275" s="46" t="n"/>
      <c r="AH275" s="47" t="n"/>
      <c r="AI275" s="47" t="n"/>
      <c r="AJ275" s="47" t="n"/>
      <c r="AK275" s="47" t="n"/>
      <c r="AL275" s="47" t="n"/>
      <c r="AM275" s="47" t="n"/>
      <c r="AN275" s="47" t="n"/>
      <c r="AO275" s="47" t="n"/>
      <c r="AP275" s="47" t="n"/>
      <c r="AQ275" s="47" t="n"/>
      <c r="AR275" s="47" t="n"/>
      <c r="AS275" s="47" t="n"/>
      <c r="AT275" s="47" t="n"/>
      <c r="AU275" s="48" t="n"/>
      <c r="AV275" s="48" t="n"/>
      <c r="AW275" s="49">
        <f>IF($A275="","",IF($BW275&lt;&gt;"","FIX",IF($BX275&lt;&gt;"","CHECK","OK")))</f>
        <v/>
      </c>
      <c r="AX275" s="50">
        <f>IF($A275="","",IF($BW275&lt;&gt;"","FIX: "&amp;LEFT($BW275,LEN($BW275)-2)&amp;IF($BX275&lt;&gt;"","  ·  ",""),"")&amp;IF($BX275&lt;&gt;"","CHECK: "&amp;LEFT($BX275,LEN($BX275)-2),""))</f>
        <v/>
      </c>
      <c r="AY275" s="49">
        <f>IF(OR($A275="",$K275=""),"",$K275&amp;"'-"&amp;N($L275)&amp;CHAR(34)&amp;" x "&amp;$M275&amp;"'-"&amp;N($N275)&amp;CHAR(34))</f>
        <v/>
      </c>
      <c r="AZ275" s="49">
        <f>IF(OR($A275="",$K275=""),"",$K275&amp;N($L275)&amp;$M275&amp;N($N275))</f>
        <v/>
      </c>
      <c r="BA275" s="49">
        <f>IF(OR($A275="",$K275=""),"",$K275*12+N($L275))</f>
        <v/>
      </c>
      <c r="BB275" s="49">
        <f>IF(OR($A275="",$M275=""),"",$M275*12+N($N275))</f>
        <v/>
      </c>
      <c r="BC275" s="49">
        <f>IF($A275="","",IF(OR($C275="FRAME ONLY",$S275="BL"),0,IF($O275="Y",2,1)))</f>
        <v/>
      </c>
      <c r="BD275" s="51">
        <f>IF(OR(N($BC275)=0,$BA275=""),"",($BA275-2*EdgeClr-IF($BC275=2,MeetClr,0))/$BC275)</f>
        <v/>
      </c>
      <c r="BE275" s="51">
        <f>IF(OR(N($BC275)=0,$BB275=""),"",$BB275-HeadClr-Undercut)</f>
        <v/>
      </c>
      <c r="BF275" s="51">
        <f>IF($BA275="","",$BA275+2*FaceW+IF(N($Q275)&gt;0,($Q275+FaceW)*IF($R275="LR",2,1),0))</f>
        <v/>
      </c>
      <c r="BG275" s="51">
        <f>IF($BB275="","",$BB275+IF($AB275="Y",4,FaceW)+IF(N($P275)&gt;0,$P275+FaceW,0)+IF(OR($S275="4F",$S275="BL"),FaceW,0))</f>
        <v/>
      </c>
      <c r="BH275" s="51">
        <f>IF($BF275="","",$BF275+2*ROSide)</f>
        <v/>
      </c>
      <c r="BI275" s="51">
        <f>IF($BG275="","",$BG275+ROTop)</f>
        <v/>
      </c>
      <c r="BJ275" s="52">
        <f>IF(OR(N($BC275)=0,$BA275=""),"",$BA275/$BC275-ClearDeduct)</f>
        <v/>
      </c>
      <c r="BK275" s="49">
        <f>IF(OR(N($BC275)=0,$BE275=""),"",IF(OR($AC275="HGC",$AP275="HGC"),"CONT",IF($BE275&lt;=60,2,IF($BE275&lt;=90,3,IF($BE275&lt;=120,4,5)))))</f>
        <v/>
      </c>
      <c r="BL275" s="49">
        <f>IF(N($BC275)=0,"",IF(OR($AL275="",$AL275="FLUSH"),"FLUSH",IFERROR(LEFT($AL275,FIND("-",$AL275)-1),LEFT($AL275,2))))</f>
        <v/>
      </c>
      <c r="BM275" s="49">
        <f>IF($BL275="","",IFERROR(VALUE(MID($AL275,FIND("-",$AL275)+1,FIND(CHAR(34)&amp;"x",$AL275)-FIND("-",$AL275)-1)),0))</f>
        <v/>
      </c>
      <c r="BN275" s="49">
        <f>IF($BL275="","",IFERROR(VALUE(MID($AL275,FIND(CHAR(34)&amp;"x",$AL275)+2,FIND(CHAR(34),$AL275,FIND(CHAR(34)&amp;"x",$AL275)+2)-FIND(CHAR(34)&amp;"x",$AL275)-2)),0))</f>
        <v/>
      </c>
      <c r="BO275" s="53">
        <f>IF(OR($A275="",$H275="",$H275="NO LAB"),0,IFERROR(VALUE(LEFT($H275,FIND(" ",$H275)-1)),0))</f>
        <v/>
      </c>
      <c r="BP275" s="54">
        <f>IF(OR($A275="",$I275="",$I275="NON-RATED",N($J275)=0),"",IFERROR(VLOOKUP($I275&amp;"|"&amp;$J275,IBC,2,FALSE),"?"))</f>
        <v/>
      </c>
      <c r="BQ275" s="50">
        <f>IF(NOT(AND($A275&lt;&gt;"",$C275&lt;&gt;"DOOR ONLY")),"",TRIM(IFERROR(VLOOKUP($U275,CODES,2,FALSE),"")&amp;" "&amp;$AZ275&amp;" "&amp;IFERROR(VLOOKUP($Z275,CODES,2,FALSE),"")&amp;" "&amp;IFERROR(VLOOKUP($X275,CODES,2,FALSE),"")&amp;" "&amp;IFERROR(VLOOKUP($S275,CODES,2,FALSE),"")&amp;IF(N($P275)&gt;0," w/TRANSOM "&amp;$P275&amp;CHAR(34),"")&amp;IF(N($Q275)&gt;0," w/SIDELITE "&amp;$Q275&amp;CHAR(34)&amp;" "&amp;IF($R275="","R",$R275),"")&amp;IF($Y275="","  |  "," | "&amp;IFERROR(VLOOKUP($Y275,CODES,2,FALSE),"")&amp;" | ")&amp;IFERROR(VLOOKUP($AC275,CODES,2,FALSE),"")&amp;" "&amp;IFERROR(VLOOKUP($AD275,CODES,2,FALSE),"")&amp;IF(OR($AE275="",$AE275="-"),""," "&amp;$AE275)&amp;IF(OR($AF275="",$AF275="-"),""," "&amp;$AF275)&amp;IF($AB275="Y"," 4"&amp;CHAR(34)&amp;" HEAD","")&amp;" "&amp;IFERROR(VLOOKUP($H275,CODES,2,FALSE),"")))</f>
        <v/>
      </c>
      <c r="BR275" s="50">
        <f>IF(NOT(AND($A275&lt;&gt;"",N($BC275)&gt;0)),"",TRIM(IFERROR(VLOOKUP($AH275,CODES,2,FALSE),"")&amp;IF($AI275=""," "," "&amp;$AI275&amp;"GA ")&amp;$AZ275&amp;" "&amp;IF($AN275="",IFERROR(VLOOKUP($Z275,CODES,2,FALSE),""),IFERROR(VLOOKUP($AN275,CODES,2,FALSE),""))&amp;IF($BC275=2," PAIR","")&amp;" DOOR | "&amp;IF($AL275="","?",$AL275)&amp;" | "&amp;IF($AP275="",IFERROR(VLOOKUP($AC275,CODES,2,FALSE),""),IFERROR(VLOOKUP($AP275,CODES,2,FALSE),""))&amp;" "&amp;IFERROR(VLOOKUP($AQ275,CODES,2,FALSE),"")&amp;IF(OR($AR275="",$AR275="-"),""," SEAM "&amp;$AR275)&amp;IF($AS275="Y"," ASTRAGAL","")&amp;IF($AJ275=""," "," "&amp;$AJ275)&amp;IF($AK275=""," "," "&amp;$AK275)&amp;IF($AO275="",""," "&amp;$AO275)&amp;IF($AM275=""," "," SERIES "&amp;$AM275)&amp;" "&amp;IFERROR(VLOOKUP($H275,CODES,2,FALSE),"")))</f>
        <v/>
      </c>
      <c r="BS275" s="49">
        <f>IF(BV275="","",IF(COUNTIF($BV$6:BV275,BV275)=1,MAX($BS$5:BS274)+1,INDEX($BS$5:BS274,MATCH(BV275,$BV$5:BV274,0))))</f>
        <v/>
      </c>
      <c r="BT275" s="49">
        <f>IF(NOT(AND($A275&lt;&gt;"",$C275&lt;&gt;"DOOR ONLY")),"",MAX($BT$5:BT274)+1)</f>
        <v/>
      </c>
      <c r="BU275" s="49">
        <f>IF(NOT(AND($A275&lt;&gt;"",N($BC275)&gt;0)),"",MAX($BU$5:BU274)+1)</f>
        <v/>
      </c>
      <c r="BV275" s="49">
        <f>IF(OR($A275="",$BA275="",$BB275=""),"",$AZ275&amp;"|"&amp;$O275&amp;"|"&amp;$AL275&amp;"|"&amp;$S275&amp;"|"&amp;$P275&amp;"|"&amp;$Q275&amp;$R275&amp;"|"&amp;$C275&amp;"|"&amp;$AB275)</f>
        <v/>
      </c>
      <c r="BW275" s="49">
        <f>IF($A275="","",IF($B275="","qty, ","")&amp;IF($C275="","scope, ","")&amp;IF(OR($K275="",$M275=""),"size, ","")&amp;IF(AND($A275&lt;&gt;"",$C275&lt;&gt;"DOOR ONLY"),IF($U275="","jamb depth, ","")&amp;IF($X275="","construction, ","")&amp;IF($Y275="","anchor, ","")&amp;IF($S275="","frame type, ",""),"")&amp;IF(AND(N($BC275)&gt;0,$Z275=""),"hand, ","")&amp;IF(N($BC275)&gt;0,IF($AH275="","door material, ","")&amp;IF($AL275="","face type, ","")&amp;IF($AQ275="","lock prep, ","")&amp;IF(AND($AP275="",$AC275=""),"hinge prep, ",""),"")&amp;IF(AND($BO275&gt;0,$AH275="FRP"),"FRP cannot carry a label, ","")&amp;IF(AND($O275="Y",OR($Z275="L",$Z275="R",$Z275="LR",$Z275="RR")),"pair marked but hand is single, ","")&amp;IF(AND($O275&lt;&gt;"Y",OR($Z275="PR",AND(LEN($Z275)&gt;1,ISNUMBER(SEARCH("-",$Z275))))),"pair hand on a single door, ","")&amp;IF(AND(ISNUMBER($BP275),$BO275&lt;N($BP275)),"wall needs a "&amp;$BP275&amp;" min door, ","")&amp;IF(AND($BO275&gt;=180,AND(OR($BL275="FG",$BL275="HG",$BL275="FNV",$BL275="FV"),N($BM275)*N($BN275)&gt;100)),"180 min lite over 100 sq in, ","")&amp;IF(N($BD275)&gt;48,"leaf wider than 4'-0"&amp;CHAR(34)&amp;", ",""))</f>
        <v/>
      </c>
      <c r="BX275" s="49">
        <f>IF($A275="","",IF(AND($BO275&gt;0,AND($A275&lt;&gt;"",$C275&lt;&gt;"DOOR ONLY"),$X275="KD",$E275="EXTERIOR"),"KD label on an exterior opening, ","")&amp;IF(AND($E275="EXTERIOR",OR(AND(AND($A275&lt;&gt;"",$C275&lt;&gt;"DOOR ONLY"),$W275="CR"),AND(N($BC275)&gt;0,$AH275="CR"))),"exterior in CR steel (G9?), ","")&amp;IF(AND(ISNUMBER($BJ275),N($BJ275)&lt;32),"clear width ~"&amp;TEXT($BJ275,"0.0")&amp;CHAR(34)&amp;" under 32"&amp;CHAR(34)&amp;" (ADA), ","")&amp;IF(AND($BO275=90,AND(OR($BL275="FG",$BL275="HG",$BL275="FNV",$BL275="FV"),N($BM275)*N($BN275)&gt;100)),"90 min lite over 100 sq in (stair/exit), ","")&amp;IF(AND($BO275&gt;0,AND($A275&lt;&gt;"",$C275&lt;&gt;"DOOR ONLY"),OR($AF275="",$AF275="-")),"rated: closer reinf.?, ","")&amp;IF(OR($I275="CORRIDOR",$I275="SMOKE BARRIER"),"S label + smoke gasketing, ","")&amp;IF($BP275="?","wall type/hr not in IBC table, ","")&amp;IF(AND(N($BC275)&gt;0,$AU275=""),"no hardware set, ","")&amp;IF(AND($AU275&lt;&gt;"",ISNA(MATCH($AU275,HWSets,0))),"set "&amp;$AU275&amp;" not on Hardware sheet, ","")&amp;IF(N($BE275)&gt;96,"leaf over 8'-0"&amp;CHAR(34)&amp;" - check listing, ",""))</f>
        <v/>
      </c>
    </row>
    <row r="276" ht="15" customHeight="1">
      <c r="A276" s="44" t="n"/>
      <c r="B276" s="45" t="n"/>
      <c r="C276" s="45" t="n"/>
      <c r="D276" s="45" t="n"/>
      <c r="E276" s="45" t="n"/>
      <c r="F276" s="45" t="n"/>
      <c r="G276" s="45" t="n"/>
      <c r="H276" s="45" t="n"/>
      <c r="I276" s="45" t="n"/>
      <c r="J276" s="45" t="n"/>
      <c r="K276" s="45" t="n"/>
      <c r="L276" s="45" t="n"/>
      <c r="M276" s="45" t="n"/>
      <c r="N276" s="45" t="n"/>
      <c r="O276" s="45" t="n"/>
      <c r="P276" s="45" t="n"/>
      <c r="Q276" s="45" t="n"/>
      <c r="R276" s="45" t="n"/>
      <c r="S276" s="46" t="n"/>
      <c r="T276" s="46" t="n"/>
      <c r="U276" s="46" t="n"/>
      <c r="V276" s="46" t="n"/>
      <c r="W276" s="46" t="n"/>
      <c r="X276" s="46" t="n"/>
      <c r="Y276" s="46" t="n"/>
      <c r="Z276" s="46" t="n"/>
      <c r="AA276" s="46" t="n"/>
      <c r="AB276" s="46" t="n"/>
      <c r="AC276" s="46" t="n"/>
      <c r="AD276" s="46" t="n"/>
      <c r="AE276" s="46" t="n"/>
      <c r="AF276" s="46" t="n"/>
      <c r="AG276" s="46" t="n"/>
      <c r="AH276" s="47" t="n"/>
      <c r="AI276" s="47" t="n"/>
      <c r="AJ276" s="47" t="n"/>
      <c r="AK276" s="47" t="n"/>
      <c r="AL276" s="47" t="n"/>
      <c r="AM276" s="47" t="n"/>
      <c r="AN276" s="47" t="n"/>
      <c r="AO276" s="47" t="n"/>
      <c r="AP276" s="47" t="n"/>
      <c r="AQ276" s="47" t="n"/>
      <c r="AR276" s="47" t="n"/>
      <c r="AS276" s="47" t="n"/>
      <c r="AT276" s="47" t="n"/>
      <c r="AU276" s="48" t="n"/>
      <c r="AV276" s="48" t="n"/>
      <c r="AW276" s="49">
        <f>IF($A276="","",IF($BW276&lt;&gt;"","FIX",IF($BX276&lt;&gt;"","CHECK","OK")))</f>
        <v/>
      </c>
      <c r="AX276" s="50">
        <f>IF($A276="","",IF($BW276&lt;&gt;"","FIX: "&amp;LEFT($BW276,LEN($BW276)-2)&amp;IF($BX276&lt;&gt;"","  ·  ",""),"")&amp;IF($BX276&lt;&gt;"","CHECK: "&amp;LEFT($BX276,LEN($BX276)-2),""))</f>
        <v/>
      </c>
      <c r="AY276" s="49">
        <f>IF(OR($A276="",$K276=""),"",$K276&amp;"'-"&amp;N($L276)&amp;CHAR(34)&amp;" x "&amp;$M276&amp;"'-"&amp;N($N276)&amp;CHAR(34))</f>
        <v/>
      </c>
      <c r="AZ276" s="49">
        <f>IF(OR($A276="",$K276=""),"",$K276&amp;N($L276)&amp;$M276&amp;N($N276))</f>
        <v/>
      </c>
      <c r="BA276" s="49">
        <f>IF(OR($A276="",$K276=""),"",$K276*12+N($L276))</f>
        <v/>
      </c>
      <c r="BB276" s="49">
        <f>IF(OR($A276="",$M276=""),"",$M276*12+N($N276))</f>
        <v/>
      </c>
      <c r="BC276" s="49">
        <f>IF($A276="","",IF(OR($C276="FRAME ONLY",$S276="BL"),0,IF($O276="Y",2,1)))</f>
        <v/>
      </c>
      <c r="BD276" s="51">
        <f>IF(OR(N($BC276)=0,$BA276=""),"",($BA276-2*EdgeClr-IF($BC276=2,MeetClr,0))/$BC276)</f>
        <v/>
      </c>
      <c r="BE276" s="51">
        <f>IF(OR(N($BC276)=0,$BB276=""),"",$BB276-HeadClr-Undercut)</f>
        <v/>
      </c>
      <c r="BF276" s="51">
        <f>IF($BA276="","",$BA276+2*FaceW+IF(N($Q276)&gt;0,($Q276+FaceW)*IF($R276="LR",2,1),0))</f>
        <v/>
      </c>
      <c r="BG276" s="51">
        <f>IF($BB276="","",$BB276+IF($AB276="Y",4,FaceW)+IF(N($P276)&gt;0,$P276+FaceW,0)+IF(OR($S276="4F",$S276="BL"),FaceW,0))</f>
        <v/>
      </c>
      <c r="BH276" s="51">
        <f>IF($BF276="","",$BF276+2*ROSide)</f>
        <v/>
      </c>
      <c r="BI276" s="51">
        <f>IF($BG276="","",$BG276+ROTop)</f>
        <v/>
      </c>
      <c r="BJ276" s="52">
        <f>IF(OR(N($BC276)=0,$BA276=""),"",$BA276/$BC276-ClearDeduct)</f>
        <v/>
      </c>
      <c r="BK276" s="49">
        <f>IF(OR(N($BC276)=0,$BE276=""),"",IF(OR($AC276="HGC",$AP276="HGC"),"CONT",IF($BE276&lt;=60,2,IF($BE276&lt;=90,3,IF($BE276&lt;=120,4,5)))))</f>
        <v/>
      </c>
      <c r="BL276" s="49">
        <f>IF(N($BC276)=0,"",IF(OR($AL276="",$AL276="FLUSH"),"FLUSH",IFERROR(LEFT($AL276,FIND("-",$AL276)-1),LEFT($AL276,2))))</f>
        <v/>
      </c>
      <c r="BM276" s="49">
        <f>IF($BL276="","",IFERROR(VALUE(MID($AL276,FIND("-",$AL276)+1,FIND(CHAR(34)&amp;"x",$AL276)-FIND("-",$AL276)-1)),0))</f>
        <v/>
      </c>
      <c r="BN276" s="49">
        <f>IF($BL276="","",IFERROR(VALUE(MID($AL276,FIND(CHAR(34)&amp;"x",$AL276)+2,FIND(CHAR(34),$AL276,FIND(CHAR(34)&amp;"x",$AL276)+2)-FIND(CHAR(34)&amp;"x",$AL276)-2)),0))</f>
        <v/>
      </c>
      <c r="BO276" s="53">
        <f>IF(OR($A276="",$H276="",$H276="NO LAB"),0,IFERROR(VALUE(LEFT($H276,FIND(" ",$H276)-1)),0))</f>
        <v/>
      </c>
      <c r="BP276" s="54">
        <f>IF(OR($A276="",$I276="",$I276="NON-RATED",N($J276)=0),"",IFERROR(VLOOKUP($I276&amp;"|"&amp;$J276,IBC,2,FALSE),"?"))</f>
        <v/>
      </c>
      <c r="BQ276" s="50">
        <f>IF(NOT(AND($A276&lt;&gt;"",$C276&lt;&gt;"DOOR ONLY")),"",TRIM(IFERROR(VLOOKUP($U276,CODES,2,FALSE),"")&amp;" "&amp;$AZ276&amp;" "&amp;IFERROR(VLOOKUP($Z276,CODES,2,FALSE),"")&amp;" "&amp;IFERROR(VLOOKUP($X276,CODES,2,FALSE),"")&amp;" "&amp;IFERROR(VLOOKUP($S276,CODES,2,FALSE),"")&amp;IF(N($P276)&gt;0," w/TRANSOM "&amp;$P276&amp;CHAR(34),"")&amp;IF(N($Q276)&gt;0," w/SIDELITE "&amp;$Q276&amp;CHAR(34)&amp;" "&amp;IF($R276="","R",$R276),"")&amp;IF($Y276="","  |  "," | "&amp;IFERROR(VLOOKUP($Y276,CODES,2,FALSE),"")&amp;" | ")&amp;IFERROR(VLOOKUP($AC276,CODES,2,FALSE),"")&amp;" "&amp;IFERROR(VLOOKUP($AD276,CODES,2,FALSE),"")&amp;IF(OR($AE276="",$AE276="-"),""," "&amp;$AE276)&amp;IF(OR($AF276="",$AF276="-"),""," "&amp;$AF276)&amp;IF($AB276="Y"," 4"&amp;CHAR(34)&amp;" HEAD","")&amp;" "&amp;IFERROR(VLOOKUP($H276,CODES,2,FALSE),"")))</f>
        <v/>
      </c>
      <c r="BR276" s="50">
        <f>IF(NOT(AND($A276&lt;&gt;"",N($BC276)&gt;0)),"",TRIM(IFERROR(VLOOKUP($AH276,CODES,2,FALSE),"")&amp;IF($AI276=""," "," "&amp;$AI276&amp;"GA ")&amp;$AZ276&amp;" "&amp;IF($AN276="",IFERROR(VLOOKUP($Z276,CODES,2,FALSE),""),IFERROR(VLOOKUP($AN276,CODES,2,FALSE),""))&amp;IF($BC276=2," PAIR","")&amp;" DOOR | "&amp;IF($AL276="","?",$AL276)&amp;" | "&amp;IF($AP276="",IFERROR(VLOOKUP($AC276,CODES,2,FALSE),""),IFERROR(VLOOKUP($AP276,CODES,2,FALSE),""))&amp;" "&amp;IFERROR(VLOOKUP($AQ276,CODES,2,FALSE),"")&amp;IF(OR($AR276="",$AR276="-"),""," SEAM "&amp;$AR276)&amp;IF($AS276="Y"," ASTRAGAL","")&amp;IF($AJ276=""," "," "&amp;$AJ276)&amp;IF($AK276=""," "," "&amp;$AK276)&amp;IF($AO276="",""," "&amp;$AO276)&amp;IF($AM276=""," "," SERIES "&amp;$AM276)&amp;" "&amp;IFERROR(VLOOKUP($H276,CODES,2,FALSE),"")))</f>
        <v/>
      </c>
      <c r="BS276" s="49">
        <f>IF(BV276="","",IF(COUNTIF($BV$6:BV276,BV276)=1,MAX($BS$5:BS275)+1,INDEX($BS$5:BS275,MATCH(BV276,$BV$5:BV275,0))))</f>
        <v/>
      </c>
      <c r="BT276" s="49">
        <f>IF(NOT(AND($A276&lt;&gt;"",$C276&lt;&gt;"DOOR ONLY")),"",MAX($BT$5:BT275)+1)</f>
        <v/>
      </c>
      <c r="BU276" s="49">
        <f>IF(NOT(AND($A276&lt;&gt;"",N($BC276)&gt;0)),"",MAX($BU$5:BU275)+1)</f>
        <v/>
      </c>
      <c r="BV276" s="49">
        <f>IF(OR($A276="",$BA276="",$BB276=""),"",$AZ276&amp;"|"&amp;$O276&amp;"|"&amp;$AL276&amp;"|"&amp;$S276&amp;"|"&amp;$P276&amp;"|"&amp;$Q276&amp;$R276&amp;"|"&amp;$C276&amp;"|"&amp;$AB276)</f>
        <v/>
      </c>
      <c r="BW276" s="49">
        <f>IF($A276="","",IF($B276="","qty, ","")&amp;IF($C276="","scope, ","")&amp;IF(OR($K276="",$M276=""),"size, ","")&amp;IF(AND($A276&lt;&gt;"",$C276&lt;&gt;"DOOR ONLY"),IF($U276="","jamb depth, ","")&amp;IF($X276="","construction, ","")&amp;IF($Y276="","anchor, ","")&amp;IF($S276="","frame type, ",""),"")&amp;IF(AND(N($BC276)&gt;0,$Z276=""),"hand, ","")&amp;IF(N($BC276)&gt;0,IF($AH276="","door material, ","")&amp;IF($AL276="","face type, ","")&amp;IF($AQ276="","lock prep, ","")&amp;IF(AND($AP276="",$AC276=""),"hinge prep, ",""),"")&amp;IF(AND($BO276&gt;0,$AH276="FRP"),"FRP cannot carry a label, ","")&amp;IF(AND($O276="Y",OR($Z276="L",$Z276="R",$Z276="LR",$Z276="RR")),"pair marked but hand is single, ","")&amp;IF(AND($O276&lt;&gt;"Y",OR($Z276="PR",AND(LEN($Z276)&gt;1,ISNUMBER(SEARCH("-",$Z276))))),"pair hand on a single door, ","")&amp;IF(AND(ISNUMBER($BP276),$BO276&lt;N($BP276)),"wall needs a "&amp;$BP276&amp;" min door, ","")&amp;IF(AND($BO276&gt;=180,AND(OR($BL276="FG",$BL276="HG",$BL276="FNV",$BL276="FV"),N($BM276)*N($BN276)&gt;100)),"180 min lite over 100 sq in, ","")&amp;IF(N($BD276)&gt;48,"leaf wider than 4'-0"&amp;CHAR(34)&amp;", ",""))</f>
        <v/>
      </c>
      <c r="BX276" s="49">
        <f>IF($A276="","",IF(AND($BO276&gt;0,AND($A276&lt;&gt;"",$C276&lt;&gt;"DOOR ONLY"),$X276="KD",$E276="EXTERIOR"),"KD label on an exterior opening, ","")&amp;IF(AND($E276="EXTERIOR",OR(AND(AND($A276&lt;&gt;"",$C276&lt;&gt;"DOOR ONLY"),$W276="CR"),AND(N($BC276)&gt;0,$AH276="CR"))),"exterior in CR steel (G9?), ","")&amp;IF(AND(ISNUMBER($BJ276),N($BJ276)&lt;32),"clear width ~"&amp;TEXT($BJ276,"0.0")&amp;CHAR(34)&amp;" under 32"&amp;CHAR(34)&amp;" (ADA), ","")&amp;IF(AND($BO276=90,AND(OR($BL276="FG",$BL276="HG",$BL276="FNV",$BL276="FV"),N($BM276)*N($BN276)&gt;100)),"90 min lite over 100 sq in (stair/exit), ","")&amp;IF(AND($BO276&gt;0,AND($A276&lt;&gt;"",$C276&lt;&gt;"DOOR ONLY"),OR($AF276="",$AF276="-")),"rated: closer reinf.?, ","")&amp;IF(OR($I276="CORRIDOR",$I276="SMOKE BARRIER"),"S label + smoke gasketing, ","")&amp;IF($BP276="?","wall type/hr not in IBC table, ","")&amp;IF(AND(N($BC276)&gt;0,$AU276=""),"no hardware set, ","")&amp;IF(AND($AU276&lt;&gt;"",ISNA(MATCH($AU276,HWSets,0))),"set "&amp;$AU276&amp;" not on Hardware sheet, ","")&amp;IF(N($BE276)&gt;96,"leaf over 8'-0"&amp;CHAR(34)&amp;" - check listing, ",""))</f>
        <v/>
      </c>
    </row>
    <row r="277" ht="15" customHeight="1">
      <c r="A277" s="44" t="n"/>
      <c r="B277" s="45" t="n"/>
      <c r="C277" s="45" t="n"/>
      <c r="D277" s="45" t="n"/>
      <c r="E277" s="45" t="n"/>
      <c r="F277" s="45" t="n"/>
      <c r="G277" s="45" t="n"/>
      <c r="H277" s="45" t="n"/>
      <c r="I277" s="45" t="n"/>
      <c r="J277" s="45" t="n"/>
      <c r="K277" s="45" t="n"/>
      <c r="L277" s="45" t="n"/>
      <c r="M277" s="45" t="n"/>
      <c r="N277" s="45" t="n"/>
      <c r="O277" s="45" t="n"/>
      <c r="P277" s="45" t="n"/>
      <c r="Q277" s="45" t="n"/>
      <c r="R277" s="45" t="n"/>
      <c r="S277" s="46" t="n"/>
      <c r="T277" s="46" t="n"/>
      <c r="U277" s="46" t="n"/>
      <c r="V277" s="46" t="n"/>
      <c r="W277" s="46" t="n"/>
      <c r="X277" s="46" t="n"/>
      <c r="Y277" s="46" t="n"/>
      <c r="Z277" s="46" t="n"/>
      <c r="AA277" s="46" t="n"/>
      <c r="AB277" s="46" t="n"/>
      <c r="AC277" s="46" t="n"/>
      <c r="AD277" s="46" t="n"/>
      <c r="AE277" s="46" t="n"/>
      <c r="AF277" s="46" t="n"/>
      <c r="AG277" s="46" t="n"/>
      <c r="AH277" s="47" t="n"/>
      <c r="AI277" s="47" t="n"/>
      <c r="AJ277" s="47" t="n"/>
      <c r="AK277" s="47" t="n"/>
      <c r="AL277" s="47" t="n"/>
      <c r="AM277" s="47" t="n"/>
      <c r="AN277" s="47" t="n"/>
      <c r="AO277" s="47" t="n"/>
      <c r="AP277" s="47" t="n"/>
      <c r="AQ277" s="47" t="n"/>
      <c r="AR277" s="47" t="n"/>
      <c r="AS277" s="47" t="n"/>
      <c r="AT277" s="47" t="n"/>
      <c r="AU277" s="48" t="n"/>
      <c r="AV277" s="48" t="n"/>
      <c r="AW277" s="49">
        <f>IF($A277="","",IF($BW277&lt;&gt;"","FIX",IF($BX277&lt;&gt;"","CHECK","OK")))</f>
        <v/>
      </c>
      <c r="AX277" s="50">
        <f>IF($A277="","",IF($BW277&lt;&gt;"","FIX: "&amp;LEFT($BW277,LEN($BW277)-2)&amp;IF($BX277&lt;&gt;"","  ·  ",""),"")&amp;IF($BX277&lt;&gt;"","CHECK: "&amp;LEFT($BX277,LEN($BX277)-2),""))</f>
        <v/>
      </c>
      <c r="AY277" s="49">
        <f>IF(OR($A277="",$K277=""),"",$K277&amp;"'-"&amp;N($L277)&amp;CHAR(34)&amp;" x "&amp;$M277&amp;"'-"&amp;N($N277)&amp;CHAR(34))</f>
        <v/>
      </c>
      <c r="AZ277" s="49">
        <f>IF(OR($A277="",$K277=""),"",$K277&amp;N($L277)&amp;$M277&amp;N($N277))</f>
        <v/>
      </c>
      <c r="BA277" s="49">
        <f>IF(OR($A277="",$K277=""),"",$K277*12+N($L277))</f>
        <v/>
      </c>
      <c r="BB277" s="49">
        <f>IF(OR($A277="",$M277=""),"",$M277*12+N($N277))</f>
        <v/>
      </c>
      <c r="BC277" s="49">
        <f>IF($A277="","",IF(OR($C277="FRAME ONLY",$S277="BL"),0,IF($O277="Y",2,1)))</f>
        <v/>
      </c>
      <c r="BD277" s="51">
        <f>IF(OR(N($BC277)=0,$BA277=""),"",($BA277-2*EdgeClr-IF($BC277=2,MeetClr,0))/$BC277)</f>
        <v/>
      </c>
      <c r="BE277" s="51">
        <f>IF(OR(N($BC277)=0,$BB277=""),"",$BB277-HeadClr-Undercut)</f>
        <v/>
      </c>
      <c r="BF277" s="51">
        <f>IF($BA277="","",$BA277+2*FaceW+IF(N($Q277)&gt;0,($Q277+FaceW)*IF($R277="LR",2,1),0))</f>
        <v/>
      </c>
      <c r="BG277" s="51">
        <f>IF($BB277="","",$BB277+IF($AB277="Y",4,FaceW)+IF(N($P277)&gt;0,$P277+FaceW,0)+IF(OR($S277="4F",$S277="BL"),FaceW,0))</f>
        <v/>
      </c>
      <c r="BH277" s="51">
        <f>IF($BF277="","",$BF277+2*ROSide)</f>
        <v/>
      </c>
      <c r="BI277" s="51">
        <f>IF($BG277="","",$BG277+ROTop)</f>
        <v/>
      </c>
      <c r="BJ277" s="52">
        <f>IF(OR(N($BC277)=0,$BA277=""),"",$BA277/$BC277-ClearDeduct)</f>
        <v/>
      </c>
      <c r="BK277" s="49">
        <f>IF(OR(N($BC277)=0,$BE277=""),"",IF(OR($AC277="HGC",$AP277="HGC"),"CONT",IF($BE277&lt;=60,2,IF($BE277&lt;=90,3,IF($BE277&lt;=120,4,5)))))</f>
        <v/>
      </c>
      <c r="BL277" s="49">
        <f>IF(N($BC277)=0,"",IF(OR($AL277="",$AL277="FLUSH"),"FLUSH",IFERROR(LEFT($AL277,FIND("-",$AL277)-1),LEFT($AL277,2))))</f>
        <v/>
      </c>
      <c r="BM277" s="49">
        <f>IF($BL277="","",IFERROR(VALUE(MID($AL277,FIND("-",$AL277)+1,FIND(CHAR(34)&amp;"x",$AL277)-FIND("-",$AL277)-1)),0))</f>
        <v/>
      </c>
      <c r="BN277" s="49">
        <f>IF($BL277="","",IFERROR(VALUE(MID($AL277,FIND(CHAR(34)&amp;"x",$AL277)+2,FIND(CHAR(34),$AL277,FIND(CHAR(34)&amp;"x",$AL277)+2)-FIND(CHAR(34)&amp;"x",$AL277)-2)),0))</f>
        <v/>
      </c>
      <c r="BO277" s="53">
        <f>IF(OR($A277="",$H277="",$H277="NO LAB"),0,IFERROR(VALUE(LEFT($H277,FIND(" ",$H277)-1)),0))</f>
        <v/>
      </c>
      <c r="BP277" s="54">
        <f>IF(OR($A277="",$I277="",$I277="NON-RATED",N($J277)=0),"",IFERROR(VLOOKUP($I277&amp;"|"&amp;$J277,IBC,2,FALSE),"?"))</f>
        <v/>
      </c>
      <c r="BQ277" s="50">
        <f>IF(NOT(AND($A277&lt;&gt;"",$C277&lt;&gt;"DOOR ONLY")),"",TRIM(IFERROR(VLOOKUP($U277,CODES,2,FALSE),"")&amp;" "&amp;$AZ277&amp;" "&amp;IFERROR(VLOOKUP($Z277,CODES,2,FALSE),"")&amp;" "&amp;IFERROR(VLOOKUP($X277,CODES,2,FALSE),"")&amp;" "&amp;IFERROR(VLOOKUP($S277,CODES,2,FALSE),"")&amp;IF(N($P277)&gt;0," w/TRANSOM "&amp;$P277&amp;CHAR(34),"")&amp;IF(N($Q277)&gt;0," w/SIDELITE "&amp;$Q277&amp;CHAR(34)&amp;" "&amp;IF($R277="","R",$R277),"")&amp;IF($Y277="","  |  "," | "&amp;IFERROR(VLOOKUP($Y277,CODES,2,FALSE),"")&amp;" | ")&amp;IFERROR(VLOOKUP($AC277,CODES,2,FALSE),"")&amp;" "&amp;IFERROR(VLOOKUP($AD277,CODES,2,FALSE),"")&amp;IF(OR($AE277="",$AE277="-"),""," "&amp;$AE277)&amp;IF(OR($AF277="",$AF277="-"),""," "&amp;$AF277)&amp;IF($AB277="Y"," 4"&amp;CHAR(34)&amp;" HEAD","")&amp;" "&amp;IFERROR(VLOOKUP($H277,CODES,2,FALSE),"")))</f>
        <v/>
      </c>
      <c r="BR277" s="50">
        <f>IF(NOT(AND($A277&lt;&gt;"",N($BC277)&gt;0)),"",TRIM(IFERROR(VLOOKUP($AH277,CODES,2,FALSE),"")&amp;IF($AI277=""," "," "&amp;$AI277&amp;"GA ")&amp;$AZ277&amp;" "&amp;IF($AN277="",IFERROR(VLOOKUP($Z277,CODES,2,FALSE),""),IFERROR(VLOOKUP($AN277,CODES,2,FALSE),""))&amp;IF($BC277=2," PAIR","")&amp;" DOOR | "&amp;IF($AL277="","?",$AL277)&amp;" | "&amp;IF($AP277="",IFERROR(VLOOKUP($AC277,CODES,2,FALSE),""),IFERROR(VLOOKUP($AP277,CODES,2,FALSE),""))&amp;" "&amp;IFERROR(VLOOKUP($AQ277,CODES,2,FALSE),"")&amp;IF(OR($AR277="",$AR277="-"),""," SEAM "&amp;$AR277)&amp;IF($AS277="Y"," ASTRAGAL","")&amp;IF($AJ277=""," "," "&amp;$AJ277)&amp;IF($AK277=""," "," "&amp;$AK277)&amp;IF($AO277="",""," "&amp;$AO277)&amp;IF($AM277=""," "," SERIES "&amp;$AM277)&amp;" "&amp;IFERROR(VLOOKUP($H277,CODES,2,FALSE),"")))</f>
        <v/>
      </c>
      <c r="BS277" s="49">
        <f>IF(BV277="","",IF(COUNTIF($BV$6:BV277,BV277)=1,MAX($BS$5:BS276)+1,INDEX($BS$5:BS276,MATCH(BV277,$BV$5:BV276,0))))</f>
        <v/>
      </c>
      <c r="BT277" s="49">
        <f>IF(NOT(AND($A277&lt;&gt;"",$C277&lt;&gt;"DOOR ONLY")),"",MAX($BT$5:BT276)+1)</f>
        <v/>
      </c>
      <c r="BU277" s="49">
        <f>IF(NOT(AND($A277&lt;&gt;"",N($BC277)&gt;0)),"",MAX($BU$5:BU276)+1)</f>
        <v/>
      </c>
      <c r="BV277" s="49">
        <f>IF(OR($A277="",$BA277="",$BB277=""),"",$AZ277&amp;"|"&amp;$O277&amp;"|"&amp;$AL277&amp;"|"&amp;$S277&amp;"|"&amp;$P277&amp;"|"&amp;$Q277&amp;$R277&amp;"|"&amp;$C277&amp;"|"&amp;$AB277)</f>
        <v/>
      </c>
      <c r="BW277" s="49">
        <f>IF($A277="","",IF($B277="","qty, ","")&amp;IF($C277="","scope, ","")&amp;IF(OR($K277="",$M277=""),"size, ","")&amp;IF(AND($A277&lt;&gt;"",$C277&lt;&gt;"DOOR ONLY"),IF($U277="","jamb depth, ","")&amp;IF($X277="","construction, ","")&amp;IF($Y277="","anchor, ","")&amp;IF($S277="","frame type, ",""),"")&amp;IF(AND(N($BC277)&gt;0,$Z277=""),"hand, ","")&amp;IF(N($BC277)&gt;0,IF($AH277="","door material, ","")&amp;IF($AL277="","face type, ","")&amp;IF($AQ277="","lock prep, ","")&amp;IF(AND($AP277="",$AC277=""),"hinge prep, ",""),"")&amp;IF(AND($BO277&gt;0,$AH277="FRP"),"FRP cannot carry a label, ","")&amp;IF(AND($O277="Y",OR($Z277="L",$Z277="R",$Z277="LR",$Z277="RR")),"pair marked but hand is single, ","")&amp;IF(AND($O277&lt;&gt;"Y",OR($Z277="PR",AND(LEN($Z277)&gt;1,ISNUMBER(SEARCH("-",$Z277))))),"pair hand on a single door, ","")&amp;IF(AND(ISNUMBER($BP277),$BO277&lt;N($BP277)),"wall needs a "&amp;$BP277&amp;" min door, ","")&amp;IF(AND($BO277&gt;=180,AND(OR($BL277="FG",$BL277="HG",$BL277="FNV",$BL277="FV"),N($BM277)*N($BN277)&gt;100)),"180 min lite over 100 sq in, ","")&amp;IF(N($BD277)&gt;48,"leaf wider than 4'-0"&amp;CHAR(34)&amp;", ",""))</f>
        <v/>
      </c>
      <c r="BX277" s="49">
        <f>IF($A277="","",IF(AND($BO277&gt;0,AND($A277&lt;&gt;"",$C277&lt;&gt;"DOOR ONLY"),$X277="KD",$E277="EXTERIOR"),"KD label on an exterior opening, ","")&amp;IF(AND($E277="EXTERIOR",OR(AND(AND($A277&lt;&gt;"",$C277&lt;&gt;"DOOR ONLY"),$W277="CR"),AND(N($BC277)&gt;0,$AH277="CR"))),"exterior in CR steel (G9?), ","")&amp;IF(AND(ISNUMBER($BJ277),N($BJ277)&lt;32),"clear width ~"&amp;TEXT($BJ277,"0.0")&amp;CHAR(34)&amp;" under 32"&amp;CHAR(34)&amp;" (ADA), ","")&amp;IF(AND($BO277=90,AND(OR($BL277="FG",$BL277="HG",$BL277="FNV",$BL277="FV"),N($BM277)*N($BN277)&gt;100)),"90 min lite over 100 sq in (stair/exit), ","")&amp;IF(AND($BO277&gt;0,AND($A277&lt;&gt;"",$C277&lt;&gt;"DOOR ONLY"),OR($AF277="",$AF277="-")),"rated: closer reinf.?, ","")&amp;IF(OR($I277="CORRIDOR",$I277="SMOKE BARRIER"),"S label + smoke gasketing, ","")&amp;IF($BP277="?","wall type/hr not in IBC table, ","")&amp;IF(AND(N($BC277)&gt;0,$AU277=""),"no hardware set, ","")&amp;IF(AND($AU277&lt;&gt;"",ISNA(MATCH($AU277,HWSets,0))),"set "&amp;$AU277&amp;" not on Hardware sheet, ","")&amp;IF(N($BE277)&gt;96,"leaf over 8'-0"&amp;CHAR(34)&amp;" - check listing, ",""))</f>
        <v/>
      </c>
    </row>
    <row r="278" ht="15" customHeight="1">
      <c r="A278" s="44" t="n"/>
      <c r="B278" s="45" t="n"/>
      <c r="C278" s="45" t="n"/>
      <c r="D278" s="45" t="n"/>
      <c r="E278" s="45" t="n"/>
      <c r="F278" s="45" t="n"/>
      <c r="G278" s="45" t="n"/>
      <c r="H278" s="45" t="n"/>
      <c r="I278" s="45" t="n"/>
      <c r="J278" s="45" t="n"/>
      <c r="K278" s="45" t="n"/>
      <c r="L278" s="45" t="n"/>
      <c r="M278" s="45" t="n"/>
      <c r="N278" s="45" t="n"/>
      <c r="O278" s="45" t="n"/>
      <c r="P278" s="45" t="n"/>
      <c r="Q278" s="45" t="n"/>
      <c r="R278" s="45" t="n"/>
      <c r="S278" s="46" t="n"/>
      <c r="T278" s="46" t="n"/>
      <c r="U278" s="46" t="n"/>
      <c r="V278" s="46" t="n"/>
      <c r="W278" s="46" t="n"/>
      <c r="X278" s="46" t="n"/>
      <c r="Y278" s="46" t="n"/>
      <c r="Z278" s="46" t="n"/>
      <c r="AA278" s="46" t="n"/>
      <c r="AB278" s="46" t="n"/>
      <c r="AC278" s="46" t="n"/>
      <c r="AD278" s="46" t="n"/>
      <c r="AE278" s="46" t="n"/>
      <c r="AF278" s="46" t="n"/>
      <c r="AG278" s="46" t="n"/>
      <c r="AH278" s="47" t="n"/>
      <c r="AI278" s="47" t="n"/>
      <c r="AJ278" s="47" t="n"/>
      <c r="AK278" s="47" t="n"/>
      <c r="AL278" s="47" t="n"/>
      <c r="AM278" s="47" t="n"/>
      <c r="AN278" s="47" t="n"/>
      <c r="AO278" s="47" t="n"/>
      <c r="AP278" s="47" t="n"/>
      <c r="AQ278" s="47" t="n"/>
      <c r="AR278" s="47" t="n"/>
      <c r="AS278" s="47" t="n"/>
      <c r="AT278" s="47" t="n"/>
      <c r="AU278" s="48" t="n"/>
      <c r="AV278" s="48" t="n"/>
      <c r="AW278" s="49">
        <f>IF($A278="","",IF($BW278&lt;&gt;"","FIX",IF($BX278&lt;&gt;"","CHECK","OK")))</f>
        <v/>
      </c>
      <c r="AX278" s="50">
        <f>IF($A278="","",IF($BW278&lt;&gt;"","FIX: "&amp;LEFT($BW278,LEN($BW278)-2)&amp;IF($BX278&lt;&gt;"","  ·  ",""),"")&amp;IF($BX278&lt;&gt;"","CHECK: "&amp;LEFT($BX278,LEN($BX278)-2),""))</f>
        <v/>
      </c>
      <c r="AY278" s="49">
        <f>IF(OR($A278="",$K278=""),"",$K278&amp;"'-"&amp;N($L278)&amp;CHAR(34)&amp;" x "&amp;$M278&amp;"'-"&amp;N($N278)&amp;CHAR(34))</f>
        <v/>
      </c>
      <c r="AZ278" s="49">
        <f>IF(OR($A278="",$K278=""),"",$K278&amp;N($L278)&amp;$M278&amp;N($N278))</f>
        <v/>
      </c>
      <c r="BA278" s="49">
        <f>IF(OR($A278="",$K278=""),"",$K278*12+N($L278))</f>
        <v/>
      </c>
      <c r="BB278" s="49">
        <f>IF(OR($A278="",$M278=""),"",$M278*12+N($N278))</f>
        <v/>
      </c>
      <c r="BC278" s="49">
        <f>IF($A278="","",IF(OR($C278="FRAME ONLY",$S278="BL"),0,IF($O278="Y",2,1)))</f>
        <v/>
      </c>
      <c r="BD278" s="51">
        <f>IF(OR(N($BC278)=0,$BA278=""),"",($BA278-2*EdgeClr-IF($BC278=2,MeetClr,0))/$BC278)</f>
        <v/>
      </c>
      <c r="BE278" s="51">
        <f>IF(OR(N($BC278)=0,$BB278=""),"",$BB278-HeadClr-Undercut)</f>
        <v/>
      </c>
      <c r="BF278" s="51">
        <f>IF($BA278="","",$BA278+2*FaceW+IF(N($Q278)&gt;0,($Q278+FaceW)*IF($R278="LR",2,1),0))</f>
        <v/>
      </c>
      <c r="BG278" s="51">
        <f>IF($BB278="","",$BB278+IF($AB278="Y",4,FaceW)+IF(N($P278)&gt;0,$P278+FaceW,0)+IF(OR($S278="4F",$S278="BL"),FaceW,0))</f>
        <v/>
      </c>
      <c r="BH278" s="51">
        <f>IF($BF278="","",$BF278+2*ROSide)</f>
        <v/>
      </c>
      <c r="BI278" s="51">
        <f>IF($BG278="","",$BG278+ROTop)</f>
        <v/>
      </c>
      <c r="BJ278" s="52">
        <f>IF(OR(N($BC278)=0,$BA278=""),"",$BA278/$BC278-ClearDeduct)</f>
        <v/>
      </c>
      <c r="BK278" s="49">
        <f>IF(OR(N($BC278)=0,$BE278=""),"",IF(OR($AC278="HGC",$AP278="HGC"),"CONT",IF($BE278&lt;=60,2,IF($BE278&lt;=90,3,IF($BE278&lt;=120,4,5)))))</f>
        <v/>
      </c>
      <c r="BL278" s="49">
        <f>IF(N($BC278)=0,"",IF(OR($AL278="",$AL278="FLUSH"),"FLUSH",IFERROR(LEFT($AL278,FIND("-",$AL278)-1),LEFT($AL278,2))))</f>
        <v/>
      </c>
      <c r="BM278" s="49">
        <f>IF($BL278="","",IFERROR(VALUE(MID($AL278,FIND("-",$AL278)+1,FIND(CHAR(34)&amp;"x",$AL278)-FIND("-",$AL278)-1)),0))</f>
        <v/>
      </c>
      <c r="BN278" s="49">
        <f>IF($BL278="","",IFERROR(VALUE(MID($AL278,FIND(CHAR(34)&amp;"x",$AL278)+2,FIND(CHAR(34),$AL278,FIND(CHAR(34)&amp;"x",$AL278)+2)-FIND(CHAR(34)&amp;"x",$AL278)-2)),0))</f>
        <v/>
      </c>
      <c r="BO278" s="53">
        <f>IF(OR($A278="",$H278="",$H278="NO LAB"),0,IFERROR(VALUE(LEFT($H278,FIND(" ",$H278)-1)),0))</f>
        <v/>
      </c>
      <c r="BP278" s="54">
        <f>IF(OR($A278="",$I278="",$I278="NON-RATED",N($J278)=0),"",IFERROR(VLOOKUP($I278&amp;"|"&amp;$J278,IBC,2,FALSE),"?"))</f>
        <v/>
      </c>
      <c r="BQ278" s="50">
        <f>IF(NOT(AND($A278&lt;&gt;"",$C278&lt;&gt;"DOOR ONLY")),"",TRIM(IFERROR(VLOOKUP($U278,CODES,2,FALSE),"")&amp;" "&amp;$AZ278&amp;" "&amp;IFERROR(VLOOKUP($Z278,CODES,2,FALSE),"")&amp;" "&amp;IFERROR(VLOOKUP($X278,CODES,2,FALSE),"")&amp;" "&amp;IFERROR(VLOOKUP($S278,CODES,2,FALSE),"")&amp;IF(N($P278)&gt;0," w/TRANSOM "&amp;$P278&amp;CHAR(34),"")&amp;IF(N($Q278)&gt;0," w/SIDELITE "&amp;$Q278&amp;CHAR(34)&amp;" "&amp;IF($R278="","R",$R278),"")&amp;IF($Y278="","  |  "," | "&amp;IFERROR(VLOOKUP($Y278,CODES,2,FALSE),"")&amp;" | ")&amp;IFERROR(VLOOKUP($AC278,CODES,2,FALSE),"")&amp;" "&amp;IFERROR(VLOOKUP($AD278,CODES,2,FALSE),"")&amp;IF(OR($AE278="",$AE278="-"),""," "&amp;$AE278)&amp;IF(OR($AF278="",$AF278="-"),""," "&amp;$AF278)&amp;IF($AB278="Y"," 4"&amp;CHAR(34)&amp;" HEAD","")&amp;" "&amp;IFERROR(VLOOKUP($H278,CODES,2,FALSE),"")))</f>
        <v/>
      </c>
      <c r="BR278" s="50">
        <f>IF(NOT(AND($A278&lt;&gt;"",N($BC278)&gt;0)),"",TRIM(IFERROR(VLOOKUP($AH278,CODES,2,FALSE),"")&amp;IF($AI278=""," "," "&amp;$AI278&amp;"GA ")&amp;$AZ278&amp;" "&amp;IF($AN278="",IFERROR(VLOOKUP($Z278,CODES,2,FALSE),""),IFERROR(VLOOKUP($AN278,CODES,2,FALSE),""))&amp;IF($BC278=2," PAIR","")&amp;" DOOR | "&amp;IF($AL278="","?",$AL278)&amp;" | "&amp;IF($AP278="",IFERROR(VLOOKUP($AC278,CODES,2,FALSE),""),IFERROR(VLOOKUP($AP278,CODES,2,FALSE),""))&amp;" "&amp;IFERROR(VLOOKUP($AQ278,CODES,2,FALSE),"")&amp;IF(OR($AR278="",$AR278="-"),""," SEAM "&amp;$AR278)&amp;IF($AS278="Y"," ASTRAGAL","")&amp;IF($AJ278=""," "," "&amp;$AJ278)&amp;IF($AK278=""," "," "&amp;$AK278)&amp;IF($AO278="",""," "&amp;$AO278)&amp;IF($AM278=""," "," SERIES "&amp;$AM278)&amp;" "&amp;IFERROR(VLOOKUP($H278,CODES,2,FALSE),"")))</f>
        <v/>
      </c>
      <c r="BS278" s="49">
        <f>IF(BV278="","",IF(COUNTIF($BV$6:BV278,BV278)=1,MAX($BS$5:BS277)+1,INDEX($BS$5:BS277,MATCH(BV278,$BV$5:BV277,0))))</f>
        <v/>
      </c>
      <c r="BT278" s="49">
        <f>IF(NOT(AND($A278&lt;&gt;"",$C278&lt;&gt;"DOOR ONLY")),"",MAX($BT$5:BT277)+1)</f>
        <v/>
      </c>
      <c r="BU278" s="49">
        <f>IF(NOT(AND($A278&lt;&gt;"",N($BC278)&gt;0)),"",MAX($BU$5:BU277)+1)</f>
        <v/>
      </c>
      <c r="BV278" s="49">
        <f>IF(OR($A278="",$BA278="",$BB278=""),"",$AZ278&amp;"|"&amp;$O278&amp;"|"&amp;$AL278&amp;"|"&amp;$S278&amp;"|"&amp;$P278&amp;"|"&amp;$Q278&amp;$R278&amp;"|"&amp;$C278&amp;"|"&amp;$AB278)</f>
        <v/>
      </c>
      <c r="BW278" s="49">
        <f>IF($A278="","",IF($B278="","qty, ","")&amp;IF($C278="","scope, ","")&amp;IF(OR($K278="",$M278=""),"size, ","")&amp;IF(AND($A278&lt;&gt;"",$C278&lt;&gt;"DOOR ONLY"),IF($U278="","jamb depth, ","")&amp;IF($X278="","construction, ","")&amp;IF($Y278="","anchor, ","")&amp;IF($S278="","frame type, ",""),"")&amp;IF(AND(N($BC278)&gt;0,$Z278=""),"hand, ","")&amp;IF(N($BC278)&gt;0,IF($AH278="","door material, ","")&amp;IF($AL278="","face type, ","")&amp;IF($AQ278="","lock prep, ","")&amp;IF(AND($AP278="",$AC278=""),"hinge prep, ",""),"")&amp;IF(AND($BO278&gt;0,$AH278="FRP"),"FRP cannot carry a label, ","")&amp;IF(AND($O278="Y",OR($Z278="L",$Z278="R",$Z278="LR",$Z278="RR")),"pair marked but hand is single, ","")&amp;IF(AND($O278&lt;&gt;"Y",OR($Z278="PR",AND(LEN($Z278)&gt;1,ISNUMBER(SEARCH("-",$Z278))))),"pair hand on a single door, ","")&amp;IF(AND(ISNUMBER($BP278),$BO278&lt;N($BP278)),"wall needs a "&amp;$BP278&amp;" min door, ","")&amp;IF(AND($BO278&gt;=180,AND(OR($BL278="FG",$BL278="HG",$BL278="FNV",$BL278="FV"),N($BM278)*N($BN278)&gt;100)),"180 min lite over 100 sq in, ","")&amp;IF(N($BD278)&gt;48,"leaf wider than 4'-0"&amp;CHAR(34)&amp;", ",""))</f>
        <v/>
      </c>
      <c r="BX278" s="49">
        <f>IF($A278="","",IF(AND($BO278&gt;0,AND($A278&lt;&gt;"",$C278&lt;&gt;"DOOR ONLY"),$X278="KD",$E278="EXTERIOR"),"KD label on an exterior opening, ","")&amp;IF(AND($E278="EXTERIOR",OR(AND(AND($A278&lt;&gt;"",$C278&lt;&gt;"DOOR ONLY"),$W278="CR"),AND(N($BC278)&gt;0,$AH278="CR"))),"exterior in CR steel (G9?), ","")&amp;IF(AND(ISNUMBER($BJ278),N($BJ278)&lt;32),"clear width ~"&amp;TEXT($BJ278,"0.0")&amp;CHAR(34)&amp;" under 32"&amp;CHAR(34)&amp;" (ADA), ","")&amp;IF(AND($BO278=90,AND(OR($BL278="FG",$BL278="HG",$BL278="FNV",$BL278="FV"),N($BM278)*N($BN278)&gt;100)),"90 min lite over 100 sq in (stair/exit), ","")&amp;IF(AND($BO278&gt;0,AND($A278&lt;&gt;"",$C278&lt;&gt;"DOOR ONLY"),OR($AF278="",$AF278="-")),"rated: closer reinf.?, ","")&amp;IF(OR($I278="CORRIDOR",$I278="SMOKE BARRIER"),"S label + smoke gasketing, ","")&amp;IF($BP278="?","wall type/hr not in IBC table, ","")&amp;IF(AND(N($BC278)&gt;0,$AU278=""),"no hardware set, ","")&amp;IF(AND($AU278&lt;&gt;"",ISNA(MATCH($AU278,HWSets,0))),"set "&amp;$AU278&amp;" not on Hardware sheet, ","")&amp;IF(N($BE278)&gt;96,"leaf over 8'-0"&amp;CHAR(34)&amp;" - check listing, ",""))</f>
        <v/>
      </c>
    </row>
    <row r="279" ht="15" customHeight="1">
      <c r="A279" s="44" t="n"/>
      <c r="B279" s="45" t="n"/>
      <c r="C279" s="45" t="n"/>
      <c r="D279" s="45" t="n"/>
      <c r="E279" s="45" t="n"/>
      <c r="F279" s="45" t="n"/>
      <c r="G279" s="45" t="n"/>
      <c r="H279" s="45" t="n"/>
      <c r="I279" s="45" t="n"/>
      <c r="J279" s="45" t="n"/>
      <c r="K279" s="45" t="n"/>
      <c r="L279" s="45" t="n"/>
      <c r="M279" s="45" t="n"/>
      <c r="N279" s="45" t="n"/>
      <c r="O279" s="45" t="n"/>
      <c r="P279" s="45" t="n"/>
      <c r="Q279" s="45" t="n"/>
      <c r="R279" s="45" t="n"/>
      <c r="S279" s="46" t="n"/>
      <c r="T279" s="46" t="n"/>
      <c r="U279" s="46" t="n"/>
      <c r="V279" s="46" t="n"/>
      <c r="W279" s="46" t="n"/>
      <c r="X279" s="46" t="n"/>
      <c r="Y279" s="46" t="n"/>
      <c r="Z279" s="46" t="n"/>
      <c r="AA279" s="46" t="n"/>
      <c r="AB279" s="46" t="n"/>
      <c r="AC279" s="46" t="n"/>
      <c r="AD279" s="46" t="n"/>
      <c r="AE279" s="46" t="n"/>
      <c r="AF279" s="46" t="n"/>
      <c r="AG279" s="46" t="n"/>
      <c r="AH279" s="47" t="n"/>
      <c r="AI279" s="47" t="n"/>
      <c r="AJ279" s="47" t="n"/>
      <c r="AK279" s="47" t="n"/>
      <c r="AL279" s="47" t="n"/>
      <c r="AM279" s="47" t="n"/>
      <c r="AN279" s="47" t="n"/>
      <c r="AO279" s="47" t="n"/>
      <c r="AP279" s="47" t="n"/>
      <c r="AQ279" s="47" t="n"/>
      <c r="AR279" s="47" t="n"/>
      <c r="AS279" s="47" t="n"/>
      <c r="AT279" s="47" t="n"/>
      <c r="AU279" s="48" t="n"/>
      <c r="AV279" s="48" t="n"/>
      <c r="AW279" s="49">
        <f>IF($A279="","",IF($BW279&lt;&gt;"","FIX",IF($BX279&lt;&gt;"","CHECK","OK")))</f>
        <v/>
      </c>
      <c r="AX279" s="50">
        <f>IF($A279="","",IF($BW279&lt;&gt;"","FIX: "&amp;LEFT($BW279,LEN($BW279)-2)&amp;IF($BX279&lt;&gt;"","  ·  ",""),"")&amp;IF($BX279&lt;&gt;"","CHECK: "&amp;LEFT($BX279,LEN($BX279)-2),""))</f>
        <v/>
      </c>
      <c r="AY279" s="49">
        <f>IF(OR($A279="",$K279=""),"",$K279&amp;"'-"&amp;N($L279)&amp;CHAR(34)&amp;" x "&amp;$M279&amp;"'-"&amp;N($N279)&amp;CHAR(34))</f>
        <v/>
      </c>
      <c r="AZ279" s="49">
        <f>IF(OR($A279="",$K279=""),"",$K279&amp;N($L279)&amp;$M279&amp;N($N279))</f>
        <v/>
      </c>
      <c r="BA279" s="49">
        <f>IF(OR($A279="",$K279=""),"",$K279*12+N($L279))</f>
        <v/>
      </c>
      <c r="BB279" s="49">
        <f>IF(OR($A279="",$M279=""),"",$M279*12+N($N279))</f>
        <v/>
      </c>
      <c r="BC279" s="49">
        <f>IF($A279="","",IF(OR($C279="FRAME ONLY",$S279="BL"),0,IF($O279="Y",2,1)))</f>
        <v/>
      </c>
      <c r="BD279" s="51">
        <f>IF(OR(N($BC279)=0,$BA279=""),"",($BA279-2*EdgeClr-IF($BC279=2,MeetClr,0))/$BC279)</f>
        <v/>
      </c>
      <c r="BE279" s="51">
        <f>IF(OR(N($BC279)=0,$BB279=""),"",$BB279-HeadClr-Undercut)</f>
        <v/>
      </c>
      <c r="BF279" s="51">
        <f>IF($BA279="","",$BA279+2*FaceW+IF(N($Q279)&gt;0,($Q279+FaceW)*IF($R279="LR",2,1),0))</f>
        <v/>
      </c>
      <c r="BG279" s="51">
        <f>IF($BB279="","",$BB279+IF($AB279="Y",4,FaceW)+IF(N($P279)&gt;0,$P279+FaceW,0)+IF(OR($S279="4F",$S279="BL"),FaceW,0))</f>
        <v/>
      </c>
      <c r="BH279" s="51">
        <f>IF($BF279="","",$BF279+2*ROSide)</f>
        <v/>
      </c>
      <c r="BI279" s="51">
        <f>IF($BG279="","",$BG279+ROTop)</f>
        <v/>
      </c>
      <c r="BJ279" s="52">
        <f>IF(OR(N($BC279)=0,$BA279=""),"",$BA279/$BC279-ClearDeduct)</f>
        <v/>
      </c>
      <c r="BK279" s="49">
        <f>IF(OR(N($BC279)=0,$BE279=""),"",IF(OR($AC279="HGC",$AP279="HGC"),"CONT",IF($BE279&lt;=60,2,IF($BE279&lt;=90,3,IF($BE279&lt;=120,4,5)))))</f>
        <v/>
      </c>
      <c r="BL279" s="49">
        <f>IF(N($BC279)=0,"",IF(OR($AL279="",$AL279="FLUSH"),"FLUSH",IFERROR(LEFT($AL279,FIND("-",$AL279)-1),LEFT($AL279,2))))</f>
        <v/>
      </c>
      <c r="BM279" s="49">
        <f>IF($BL279="","",IFERROR(VALUE(MID($AL279,FIND("-",$AL279)+1,FIND(CHAR(34)&amp;"x",$AL279)-FIND("-",$AL279)-1)),0))</f>
        <v/>
      </c>
      <c r="BN279" s="49">
        <f>IF($BL279="","",IFERROR(VALUE(MID($AL279,FIND(CHAR(34)&amp;"x",$AL279)+2,FIND(CHAR(34),$AL279,FIND(CHAR(34)&amp;"x",$AL279)+2)-FIND(CHAR(34)&amp;"x",$AL279)-2)),0))</f>
        <v/>
      </c>
      <c r="BO279" s="53">
        <f>IF(OR($A279="",$H279="",$H279="NO LAB"),0,IFERROR(VALUE(LEFT($H279,FIND(" ",$H279)-1)),0))</f>
        <v/>
      </c>
      <c r="BP279" s="54">
        <f>IF(OR($A279="",$I279="",$I279="NON-RATED",N($J279)=0),"",IFERROR(VLOOKUP($I279&amp;"|"&amp;$J279,IBC,2,FALSE),"?"))</f>
        <v/>
      </c>
      <c r="BQ279" s="50">
        <f>IF(NOT(AND($A279&lt;&gt;"",$C279&lt;&gt;"DOOR ONLY")),"",TRIM(IFERROR(VLOOKUP($U279,CODES,2,FALSE),"")&amp;" "&amp;$AZ279&amp;" "&amp;IFERROR(VLOOKUP($Z279,CODES,2,FALSE),"")&amp;" "&amp;IFERROR(VLOOKUP($X279,CODES,2,FALSE),"")&amp;" "&amp;IFERROR(VLOOKUP($S279,CODES,2,FALSE),"")&amp;IF(N($P279)&gt;0," w/TRANSOM "&amp;$P279&amp;CHAR(34),"")&amp;IF(N($Q279)&gt;0," w/SIDELITE "&amp;$Q279&amp;CHAR(34)&amp;" "&amp;IF($R279="","R",$R279),"")&amp;IF($Y279="","  |  "," | "&amp;IFERROR(VLOOKUP($Y279,CODES,2,FALSE),"")&amp;" | ")&amp;IFERROR(VLOOKUP($AC279,CODES,2,FALSE),"")&amp;" "&amp;IFERROR(VLOOKUP($AD279,CODES,2,FALSE),"")&amp;IF(OR($AE279="",$AE279="-"),""," "&amp;$AE279)&amp;IF(OR($AF279="",$AF279="-"),""," "&amp;$AF279)&amp;IF($AB279="Y"," 4"&amp;CHAR(34)&amp;" HEAD","")&amp;" "&amp;IFERROR(VLOOKUP($H279,CODES,2,FALSE),"")))</f>
        <v/>
      </c>
      <c r="BR279" s="50">
        <f>IF(NOT(AND($A279&lt;&gt;"",N($BC279)&gt;0)),"",TRIM(IFERROR(VLOOKUP($AH279,CODES,2,FALSE),"")&amp;IF($AI279=""," "," "&amp;$AI279&amp;"GA ")&amp;$AZ279&amp;" "&amp;IF($AN279="",IFERROR(VLOOKUP($Z279,CODES,2,FALSE),""),IFERROR(VLOOKUP($AN279,CODES,2,FALSE),""))&amp;IF($BC279=2," PAIR","")&amp;" DOOR | "&amp;IF($AL279="","?",$AL279)&amp;" | "&amp;IF($AP279="",IFERROR(VLOOKUP($AC279,CODES,2,FALSE),""),IFERROR(VLOOKUP($AP279,CODES,2,FALSE),""))&amp;" "&amp;IFERROR(VLOOKUP($AQ279,CODES,2,FALSE),"")&amp;IF(OR($AR279="",$AR279="-"),""," SEAM "&amp;$AR279)&amp;IF($AS279="Y"," ASTRAGAL","")&amp;IF($AJ279=""," "," "&amp;$AJ279)&amp;IF($AK279=""," "," "&amp;$AK279)&amp;IF($AO279="",""," "&amp;$AO279)&amp;IF($AM279=""," "," SERIES "&amp;$AM279)&amp;" "&amp;IFERROR(VLOOKUP($H279,CODES,2,FALSE),"")))</f>
        <v/>
      </c>
      <c r="BS279" s="49">
        <f>IF(BV279="","",IF(COUNTIF($BV$6:BV279,BV279)=1,MAX($BS$5:BS278)+1,INDEX($BS$5:BS278,MATCH(BV279,$BV$5:BV278,0))))</f>
        <v/>
      </c>
      <c r="BT279" s="49">
        <f>IF(NOT(AND($A279&lt;&gt;"",$C279&lt;&gt;"DOOR ONLY")),"",MAX($BT$5:BT278)+1)</f>
        <v/>
      </c>
      <c r="BU279" s="49">
        <f>IF(NOT(AND($A279&lt;&gt;"",N($BC279)&gt;0)),"",MAX($BU$5:BU278)+1)</f>
        <v/>
      </c>
      <c r="BV279" s="49">
        <f>IF(OR($A279="",$BA279="",$BB279=""),"",$AZ279&amp;"|"&amp;$O279&amp;"|"&amp;$AL279&amp;"|"&amp;$S279&amp;"|"&amp;$P279&amp;"|"&amp;$Q279&amp;$R279&amp;"|"&amp;$C279&amp;"|"&amp;$AB279)</f>
        <v/>
      </c>
      <c r="BW279" s="49">
        <f>IF($A279="","",IF($B279="","qty, ","")&amp;IF($C279="","scope, ","")&amp;IF(OR($K279="",$M279=""),"size, ","")&amp;IF(AND($A279&lt;&gt;"",$C279&lt;&gt;"DOOR ONLY"),IF($U279="","jamb depth, ","")&amp;IF($X279="","construction, ","")&amp;IF($Y279="","anchor, ","")&amp;IF($S279="","frame type, ",""),"")&amp;IF(AND(N($BC279)&gt;0,$Z279=""),"hand, ","")&amp;IF(N($BC279)&gt;0,IF($AH279="","door material, ","")&amp;IF($AL279="","face type, ","")&amp;IF($AQ279="","lock prep, ","")&amp;IF(AND($AP279="",$AC279=""),"hinge prep, ",""),"")&amp;IF(AND($BO279&gt;0,$AH279="FRP"),"FRP cannot carry a label, ","")&amp;IF(AND($O279="Y",OR($Z279="L",$Z279="R",$Z279="LR",$Z279="RR")),"pair marked but hand is single, ","")&amp;IF(AND($O279&lt;&gt;"Y",OR($Z279="PR",AND(LEN($Z279)&gt;1,ISNUMBER(SEARCH("-",$Z279))))),"pair hand on a single door, ","")&amp;IF(AND(ISNUMBER($BP279),$BO279&lt;N($BP279)),"wall needs a "&amp;$BP279&amp;" min door, ","")&amp;IF(AND($BO279&gt;=180,AND(OR($BL279="FG",$BL279="HG",$BL279="FNV",$BL279="FV"),N($BM279)*N($BN279)&gt;100)),"180 min lite over 100 sq in, ","")&amp;IF(N($BD279)&gt;48,"leaf wider than 4'-0"&amp;CHAR(34)&amp;", ",""))</f>
        <v/>
      </c>
      <c r="BX279" s="49">
        <f>IF($A279="","",IF(AND($BO279&gt;0,AND($A279&lt;&gt;"",$C279&lt;&gt;"DOOR ONLY"),$X279="KD",$E279="EXTERIOR"),"KD label on an exterior opening, ","")&amp;IF(AND($E279="EXTERIOR",OR(AND(AND($A279&lt;&gt;"",$C279&lt;&gt;"DOOR ONLY"),$W279="CR"),AND(N($BC279)&gt;0,$AH279="CR"))),"exterior in CR steel (G9?), ","")&amp;IF(AND(ISNUMBER($BJ279),N($BJ279)&lt;32),"clear width ~"&amp;TEXT($BJ279,"0.0")&amp;CHAR(34)&amp;" under 32"&amp;CHAR(34)&amp;" (ADA), ","")&amp;IF(AND($BO279=90,AND(OR($BL279="FG",$BL279="HG",$BL279="FNV",$BL279="FV"),N($BM279)*N($BN279)&gt;100)),"90 min lite over 100 sq in (stair/exit), ","")&amp;IF(AND($BO279&gt;0,AND($A279&lt;&gt;"",$C279&lt;&gt;"DOOR ONLY"),OR($AF279="",$AF279="-")),"rated: closer reinf.?, ","")&amp;IF(OR($I279="CORRIDOR",$I279="SMOKE BARRIER"),"S label + smoke gasketing, ","")&amp;IF($BP279="?","wall type/hr not in IBC table, ","")&amp;IF(AND(N($BC279)&gt;0,$AU279=""),"no hardware set, ","")&amp;IF(AND($AU279&lt;&gt;"",ISNA(MATCH($AU279,HWSets,0))),"set "&amp;$AU279&amp;" not on Hardware sheet, ","")&amp;IF(N($BE279)&gt;96,"leaf over 8'-0"&amp;CHAR(34)&amp;" - check listing, ",""))</f>
        <v/>
      </c>
    </row>
    <row r="280" ht="15" customHeight="1">
      <c r="A280" s="44" t="n"/>
      <c r="B280" s="45" t="n"/>
      <c r="C280" s="45" t="n"/>
      <c r="D280" s="45" t="n"/>
      <c r="E280" s="45" t="n"/>
      <c r="F280" s="45" t="n"/>
      <c r="G280" s="45" t="n"/>
      <c r="H280" s="45" t="n"/>
      <c r="I280" s="45" t="n"/>
      <c r="J280" s="45" t="n"/>
      <c r="K280" s="45" t="n"/>
      <c r="L280" s="45" t="n"/>
      <c r="M280" s="45" t="n"/>
      <c r="N280" s="45" t="n"/>
      <c r="O280" s="45" t="n"/>
      <c r="P280" s="45" t="n"/>
      <c r="Q280" s="45" t="n"/>
      <c r="R280" s="45" t="n"/>
      <c r="S280" s="46" t="n"/>
      <c r="T280" s="46" t="n"/>
      <c r="U280" s="46" t="n"/>
      <c r="V280" s="46" t="n"/>
      <c r="W280" s="46" t="n"/>
      <c r="X280" s="46" t="n"/>
      <c r="Y280" s="46" t="n"/>
      <c r="Z280" s="46" t="n"/>
      <c r="AA280" s="46" t="n"/>
      <c r="AB280" s="46" t="n"/>
      <c r="AC280" s="46" t="n"/>
      <c r="AD280" s="46" t="n"/>
      <c r="AE280" s="46" t="n"/>
      <c r="AF280" s="46" t="n"/>
      <c r="AG280" s="46" t="n"/>
      <c r="AH280" s="47" t="n"/>
      <c r="AI280" s="47" t="n"/>
      <c r="AJ280" s="47" t="n"/>
      <c r="AK280" s="47" t="n"/>
      <c r="AL280" s="47" t="n"/>
      <c r="AM280" s="47" t="n"/>
      <c r="AN280" s="47" t="n"/>
      <c r="AO280" s="47" t="n"/>
      <c r="AP280" s="47" t="n"/>
      <c r="AQ280" s="47" t="n"/>
      <c r="AR280" s="47" t="n"/>
      <c r="AS280" s="47" t="n"/>
      <c r="AT280" s="47" t="n"/>
      <c r="AU280" s="48" t="n"/>
      <c r="AV280" s="48" t="n"/>
      <c r="AW280" s="49">
        <f>IF($A280="","",IF($BW280&lt;&gt;"","FIX",IF($BX280&lt;&gt;"","CHECK","OK")))</f>
        <v/>
      </c>
      <c r="AX280" s="50">
        <f>IF($A280="","",IF($BW280&lt;&gt;"","FIX: "&amp;LEFT($BW280,LEN($BW280)-2)&amp;IF($BX280&lt;&gt;"","  ·  ",""),"")&amp;IF($BX280&lt;&gt;"","CHECK: "&amp;LEFT($BX280,LEN($BX280)-2),""))</f>
        <v/>
      </c>
      <c r="AY280" s="49">
        <f>IF(OR($A280="",$K280=""),"",$K280&amp;"'-"&amp;N($L280)&amp;CHAR(34)&amp;" x "&amp;$M280&amp;"'-"&amp;N($N280)&amp;CHAR(34))</f>
        <v/>
      </c>
      <c r="AZ280" s="49">
        <f>IF(OR($A280="",$K280=""),"",$K280&amp;N($L280)&amp;$M280&amp;N($N280))</f>
        <v/>
      </c>
      <c r="BA280" s="49">
        <f>IF(OR($A280="",$K280=""),"",$K280*12+N($L280))</f>
        <v/>
      </c>
      <c r="BB280" s="49">
        <f>IF(OR($A280="",$M280=""),"",$M280*12+N($N280))</f>
        <v/>
      </c>
      <c r="BC280" s="49">
        <f>IF($A280="","",IF(OR($C280="FRAME ONLY",$S280="BL"),0,IF($O280="Y",2,1)))</f>
        <v/>
      </c>
      <c r="BD280" s="51">
        <f>IF(OR(N($BC280)=0,$BA280=""),"",($BA280-2*EdgeClr-IF($BC280=2,MeetClr,0))/$BC280)</f>
        <v/>
      </c>
      <c r="BE280" s="51">
        <f>IF(OR(N($BC280)=0,$BB280=""),"",$BB280-HeadClr-Undercut)</f>
        <v/>
      </c>
      <c r="BF280" s="51">
        <f>IF($BA280="","",$BA280+2*FaceW+IF(N($Q280)&gt;0,($Q280+FaceW)*IF($R280="LR",2,1),0))</f>
        <v/>
      </c>
      <c r="BG280" s="51">
        <f>IF($BB280="","",$BB280+IF($AB280="Y",4,FaceW)+IF(N($P280)&gt;0,$P280+FaceW,0)+IF(OR($S280="4F",$S280="BL"),FaceW,0))</f>
        <v/>
      </c>
      <c r="BH280" s="51">
        <f>IF($BF280="","",$BF280+2*ROSide)</f>
        <v/>
      </c>
      <c r="BI280" s="51">
        <f>IF($BG280="","",$BG280+ROTop)</f>
        <v/>
      </c>
      <c r="BJ280" s="52">
        <f>IF(OR(N($BC280)=0,$BA280=""),"",$BA280/$BC280-ClearDeduct)</f>
        <v/>
      </c>
      <c r="BK280" s="49">
        <f>IF(OR(N($BC280)=0,$BE280=""),"",IF(OR($AC280="HGC",$AP280="HGC"),"CONT",IF($BE280&lt;=60,2,IF($BE280&lt;=90,3,IF($BE280&lt;=120,4,5)))))</f>
        <v/>
      </c>
      <c r="BL280" s="49">
        <f>IF(N($BC280)=0,"",IF(OR($AL280="",$AL280="FLUSH"),"FLUSH",IFERROR(LEFT($AL280,FIND("-",$AL280)-1),LEFT($AL280,2))))</f>
        <v/>
      </c>
      <c r="BM280" s="49">
        <f>IF($BL280="","",IFERROR(VALUE(MID($AL280,FIND("-",$AL280)+1,FIND(CHAR(34)&amp;"x",$AL280)-FIND("-",$AL280)-1)),0))</f>
        <v/>
      </c>
      <c r="BN280" s="49">
        <f>IF($BL280="","",IFERROR(VALUE(MID($AL280,FIND(CHAR(34)&amp;"x",$AL280)+2,FIND(CHAR(34),$AL280,FIND(CHAR(34)&amp;"x",$AL280)+2)-FIND(CHAR(34)&amp;"x",$AL280)-2)),0))</f>
        <v/>
      </c>
      <c r="BO280" s="53">
        <f>IF(OR($A280="",$H280="",$H280="NO LAB"),0,IFERROR(VALUE(LEFT($H280,FIND(" ",$H280)-1)),0))</f>
        <v/>
      </c>
      <c r="BP280" s="54">
        <f>IF(OR($A280="",$I280="",$I280="NON-RATED",N($J280)=0),"",IFERROR(VLOOKUP($I280&amp;"|"&amp;$J280,IBC,2,FALSE),"?"))</f>
        <v/>
      </c>
      <c r="BQ280" s="50">
        <f>IF(NOT(AND($A280&lt;&gt;"",$C280&lt;&gt;"DOOR ONLY")),"",TRIM(IFERROR(VLOOKUP($U280,CODES,2,FALSE),"")&amp;" "&amp;$AZ280&amp;" "&amp;IFERROR(VLOOKUP($Z280,CODES,2,FALSE),"")&amp;" "&amp;IFERROR(VLOOKUP($X280,CODES,2,FALSE),"")&amp;" "&amp;IFERROR(VLOOKUP($S280,CODES,2,FALSE),"")&amp;IF(N($P280)&gt;0," w/TRANSOM "&amp;$P280&amp;CHAR(34),"")&amp;IF(N($Q280)&gt;0," w/SIDELITE "&amp;$Q280&amp;CHAR(34)&amp;" "&amp;IF($R280="","R",$R280),"")&amp;IF($Y280="","  |  "," | "&amp;IFERROR(VLOOKUP($Y280,CODES,2,FALSE),"")&amp;" | ")&amp;IFERROR(VLOOKUP($AC280,CODES,2,FALSE),"")&amp;" "&amp;IFERROR(VLOOKUP($AD280,CODES,2,FALSE),"")&amp;IF(OR($AE280="",$AE280="-"),""," "&amp;$AE280)&amp;IF(OR($AF280="",$AF280="-"),""," "&amp;$AF280)&amp;IF($AB280="Y"," 4"&amp;CHAR(34)&amp;" HEAD","")&amp;" "&amp;IFERROR(VLOOKUP($H280,CODES,2,FALSE),"")))</f>
        <v/>
      </c>
      <c r="BR280" s="50">
        <f>IF(NOT(AND($A280&lt;&gt;"",N($BC280)&gt;0)),"",TRIM(IFERROR(VLOOKUP($AH280,CODES,2,FALSE),"")&amp;IF($AI280=""," "," "&amp;$AI280&amp;"GA ")&amp;$AZ280&amp;" "&amp;IF($AN280="",IFERROR(VLOOKUP($Z280,CODES,2,FALSE),""),IFERROR(VLOOKUP($AN280,CODES,2,FALSE),""))&amp;IF($BC280=2," PAIR","")&amp;" DOOR | "&amp;IF($AL280="","?",$AL280)&amp;" | "&amp;IF($AP280="",IFERROR(VLOOKUP($AC280,CODES,2,FALSE),""),IFERROR(VLOOKUP($AP280,CODES,2,FALSE),""))&amp;" "&amp;IFERROR(VLOOKUP($AQ280,CODES,2,FALSE),"")&amp;IF(OR($AR280="",$AR280="-"),""," SEAM "&amp;$AR280)&amp;IF($AS280="Y"," ASTRAGAL","")&amp;IF($AJ280=""," "," "&amp;$AJ280)&amp;IF($AK280=""," "," "&amp;$AK280)&amp;IF($AO280="",""," "&amp;$AO280)&amp;IF($AM280=""," "," SERIES "&amp;$AM280)&amp;" "&amp;IFERROR(VLOOKUP($H280,CODES,2,FALSE),"")))</f>
        <v/>
      </c>
      <c r="BS280" s="49">
        <f>IF(BV280="","",IF(COUNTIF($BV$6:BV280,BV280)=1,MAX($BS$5:BS279)+1,INDEX($BS$5:BS279,MATCH(BV280,$BV$5:BV279,0))))</f>
        <v/>
      </c>
      <c r="BT280" s="49">
        <f>IF(NOT(AND($A280&lt;&gt;"",$C280&lt;&gt;"DOOR ONLY")),"",MAX($BT$5:BT279)+1)</f>
        <v/>
      </c>
      <c r="BU280" s="49">
        <f>IF(NOT(AND($A280&lt;&gt;"",N($BC280)&gt;0)),"",MAX($BU$5:BU279)+1)</f>
        <v/>
      </c>
      <c r="BV280" s="49">
        <f>IF(OR($A280="",$BA280="",$BB280=""),"",$AZ280&amp;"|"&amp;$O280&amp;"|"&amp;$AL280&amp;"|"&amp;$S280&amp;"|"&amp;$P280&amp;"|"&amp;$Q280&amp;$R280&amp;"|"&amp;$C280&amp;"|"&amp;$AB280)</f>
        <v/>
      </c>
      <c r="BW280" s="49">
        <f>IF($A280="","",IF($B280="","qty, ","")&amp;IF($C280="","scope, ","")&amp;IF(OR($K280="",$M280=""),"size, ","")&amp;IF(AND($A280&lt;&gt;"",$C280&lt;&gt;"DOOR ONLY"),IF($U280="","jamb depth, ","")&amp;IF($X280="","construction, ","")&amp;IF($Y280="","anchor, ","")&amp;IF($S280="","frame type, ",""),"")&amp;IF(AND(N($BC280)&gt;0,$Z280=""),"hand, ","")&amp;IF(N($BC280)&gt;0,IF($AH280="","door material, ","")&amp;IF($AL280="","face type, ","")&amp;IF($AQ280="","lock prep, ","")&amp;IF(AND($AP280="",$AC280=""),"hinge prep, ",""),"")&amp;IF(AND($BO280&gt;0,$AH280="FRP"),"FRP cannot carry a label, ","")&amp;IF(AND($O280="Y",OR($Z280="L",$Z280="R",$Z280="LR",$Z280="RR")),"pair marked but hand is single, ","")&amp;IF(AND($O280&lt;&gt;"Y",OR($Z280="PR",AND(LEN($Z280)&gt;1,ISNUMBER(SEARCH("-",$Z280))))),"pair hand on a single door, ","")&amp;IF(AND(ISNUMBER($BP280),$BO280&lt;N($BP280)),"wall needs a "&amp;$BP280&amp;" min door, ","")&amp;IF(AND($BO280&gt;=180,AND(OR($BL280="FG",$BL280="HG",$BL280="FNV",$BL280="FV"),N($BM280)*N($BN280)&gt;100)),"180 min lite over 100 sq in, ","")&amp;IF(N($BD280)&gt;48,"leaf wider than 4'-0"&amp;CHAR(34)&amp;", ",""))</f>
        <v/>
      </c>
      <c r="BX280" s="49">
        <f>IF($A280="","",IF(AND($BO280&gt;0,AND($A280&lt;&gt;"",$C280&lt;&gt;"DOOR ONLY"),$X280="KD",$E280="EXTERIOR"),"KD label on an exterior opening, ","")&amp;IF(AND($E280="EXTERIOR",OR(AND(AND($A280&lt;&gt;"",$C280&lt;&gt;"DOOR ONLY"),$W280="CR"),AND(N($BC280)&gt;0,$AH280="CR"))),"exterior in CR steel (G9?), ","")&amp;IF(AND(ISNUMBER($BJ280),N($BJ280)&lt;32),"clear width ~"&amp;TEXT($BJ280,"0.0")&amp;CHAR(34)&amp;" under 32"&amp;CHAR(34)&amp;" (ADA), ","")&amp;IF(AND($BO280=90,AND(OR($BL280="FG",$BL280="HG",$BL280="FNV",$BL280="FV"),N($BM280)*N($BN280)&gt;100)),"90 min lite over 100 sq in (stair/exit), ","")&amp;IF(AND($BO280&gt;0,AND($A280&lt;&gt;"",$C280&lt;&gt;"DOOR ONLY"),OR($AF280="",$AF280="-")),"rated: closer reinf.?, ","")&amp;IF(OR($I280="CORRIDOR",$I280="SMOKE BARRIER"),"S label + smoke gasketing, ","")&amp;IF($BP280="?","wall type/hr not in IBC table, ","")&amp;IF(AND(N($BC280)&gt;0,$AU280=""),"no hardware set, ","")&amp;IF(AND($AU280&lt;&gt;"",ISNA(MATCH($AU280,HWSets,0))),"set "&amp;$AU280&amp;" not on Hardware sheet, ","")&amp;IF(N($BE280)&gt;96,"leaf over 8'-0"&amp;CHAR(34)&amp;" - check listing, ",""))</f>
        <v/>
      </c>
    </row>
    <row r="281" ht="15" customHeight="1">
      <c r="A281" s="44" t="n"/>
      <c r="B281" s="45" t="n"/>
      <c r="C281" s="45" t="n"/>
      <c r="D281" s="45" t="n"/>
      <c r="E281" s="45" t="n"/>
      <c r="F281" s="45" t="n"/>
      <c r="G281" s="45" t="n"/>
      <c r="H281" s="45" t="n"/>
      <c r="I281" s="45" t="n"/>
      <c r="J281" s="45" t="n"/>
      <c r="K281" s="45" t="n"/>
      <c r="L281" s="45" t="n"/>
      <c r="M281" s="45" t="n"/>
      <c r="N281" s="45" t="n"/>
      <c r="O281" s="45" t="n"/>
      <c r="P281" s="45" t="n"/>
      <c r="Q281" s="45" t="n"/>
      <c r="R281" s="45" t="n"/>
      <c r="S281" s="46" t="n"/>
      <c r="T281" s="46" t="n"/>
      <c r="U281" s="46" t="n"/>
      <c r="V281" s="46" t="n"/>
      <c r="W281" s="46" t="n"/>
      <c r="X281" s="46" t="n"/>
      <c r="Y281" s="46" t="n"/>
      <c r="Z281" s="46" t="n"/>
      <c r="AA281" s="46" t="n"/>
      <c r="AB281" s="46" t="n"/>
      <c r="AC281" s="46" t="n"/>
      <c r="AD281" s="46" t="n"/>
      <c r="AE281" s="46" t="n"/>
      <c r="AF281" s="46" t="n"/>
      <c r="AG281" s="46" t="n"/>
      <c r="AH281" s="47" t="n"/>
      <c r="AI281" s="47" t="n"/>
      <c r="AJ281" s="47" t="n"/>
      <c r="AK281" s="47" t="n"/>
      <c r="AL281" s="47" t="n"/>
      <c r="AM281" s="47" t="n"/>
      <c r="AN281" s="47" t="n"/>
      <c r="AO281" s="47" t="n"/>
      <c r="AP281" s="47" t="n"/>
      <c r="AQ281" s="47" t="n"/>
      <c r="AR281" s="47" t="n"/>
      <c r="AS281" s="47" t="n"/>
      <c r="AT281" s="47" t="n"/>
      <c r="AU281" s="48" t="n"/>
      <c r="AV281" s="48" t="n"/>
      <c r="AW281" s="49">
        <f>IF($A281="","",IF($BW281&lt;&gt;"","FIX",IF($BX281&lt;&gt;"","CHECK","OK")))</f>
        <v/>
      </c>
      <c r="AX281" s="50">
        <f>IF($A281="","",IF($BW281&lt;&gt;"","FIX: "&amp;LEFT($BW281,LEN($BW281)-2)&amp;IF($BX281&lt;&gt;"","  ·  ",""),"")&amp;IF($BX281&lt;&gt;"","CHECK: "&amp;LEFT($BX281,LEN($BX281)-2),""))</f>
        <v/>
      </c>
      <c r="AY281" s="49">
        <f>IF(OR($A281="",$K281=""),"",$K281&amp;"'-"&amp;N($L281)&amp;CHAR(34)&amp;" x "&amp;$M281&amp;"'-"&amp;N($N281)&amp;CHAR(34))</f>
        <v/>
      </c>
      <c r="AZ281" s="49">
        <f>IF(OR($A281="",$K281=""),"",$K281&amp;N($L281)&amp;$M281&amp;N($N281))</f>
        <v/>
      </c>
      <c r="BA281" s="49">
        <f>IF(OR($A281="",$K281=""),"",$K281*12+N($L281))</f>
        <v/>
      </c>
      <c r="BB281" s="49">
        <f>IF(OR($A281="",$M281=""),"",$M281*12+N($N281))</f>
        <v/>
      </c>
      <c r="BC281" s="49">
        <f>IF($A281="","",IF(OR($C281="FRAME ONLY",$S281="BL"),0,IF($O281="Y",2,1)))</f>
        <v/>
      </c>
      <c r="BD281" s="51">
        <f>IF(OR(N($BC281)=0,$BA281=""),"",($BA281-2*EdgeClr-IF($BC281=2,MeetClr,0))/$BC281)</f>
        <v/>
      </c>
      <c r="BE281" s="51">
        <f>IF(OR(N($BC281)=0,$BB281=""),"",$BB281-HeadClr-Undercut)</f>
        <v/>
      </c>
      <c r="BF281" s="51">
        <f>IF($BA281="","",$BA281+2*FaceW+IF(N($Q281)&gt;0,($Q281+FaceW)*IF($R281="LR",2,1),0))</f>
        <v/>
      </c>
      <c r="BG281" s="51">
        <f>IF($BB281="","",$BB281+IF($AB281="Y",4,FaceW)+IF(N($P281)&gt;0,$P281+FaceW,0)+IF(OR($S281="4F",$S281="BL"),FaceW,0))</f>
        <v/>
      </c>
      <c r="BH281" s="51">
        <f>IF($BF281="","",$BF281+2*ROSide)</f>
        <v/>
      </c>
      <c r="BI281" s="51">
        <f>IF($BG281="","",$BG281+ROTop)</f>
        <v/>
      </c>
      <c r="BJ281" s="52">
        <f>IF(OR(N($BC281)=0,$BA281=""),"",$BA281/$BC281-ClearDeduct)</f>
        <v/>
      </c>
      <c r="BK281" s="49">
        <f>IF(OR(N($BC281)=0,$BE281=""),"",IF(OR($AC281="HGC",$AP281="HGC"),"CONT",IF($BE281&lt;=60,2,IF($BE281&lt;=90,3,IF($BE281&lt;=120,4,5)))))</f>
        <v/>
      </c>
      <c r="BL281" s="49">
        <f>IF(N($BC281)=0,"",IF(OR($AL281="",$AL281="FLUSH"),"FLUSH",IFERROR(LEFT($AL281,FIND("-",$AL281)-1),LEFT($AL281,2))))</f>
        <v/>
      </c>
      <c r="BM281" s="49">
        <f>IF($BL281="","",IFERROR(VALUE(MID($AL281,FIND("-",$AL281)+1,FIND(CHAR(34)&amp;"x",$AL281)-FIND("-",$AL281)-1)),0))</f>
        <v/>
      </c>
      <c r="BN281" s="49">
        <f>IF($BL281="","",IFERROR(VALUE(MID($AL281,FIND(CHAR(34)&amp;"x",$AL281)+2,FIND(CHAR(34),$AL281,FIND(CHAR(34)&amp;"x",$AL281)+2)-FIND(CHAR(34)&amp;"x",$AL281)-2)),0))</f>
        <v/>
      </c>
      <c r="BO281" s="53">
        <f>IF(OR($A281="",$H281="",$H281="NO LAB"),0,IFERROR(VALUE(LEFT($H281,FIND(" ",$H281)-1)),0))</f>
        <v/>
      </c>
      <c r="BP281" s="54">
        <f>IF(OR($A281="",$I281="",$I281="NON-RATED",N($J281)=0),"",IFERROR(VLOOKUP($I281&amp;"|"&amp;$J281,IBC,2,FALSE),"?"))</f>
        <v/>
      </c>
      <c r="BQ281" s="50">
        <f>IF(NOT(AND($A281&lt;&gt;"",$C281&lt;&gt;"DOOR ONLY")),"",TRIM(IFERROR(VLOOKUP($U281,CODES,2,FALSE),"")&amp;" "&amp;$AZ281&amp;" "&amp;IFERROR(VLOOKUP($Z281,CODES,2,FALSE),"")&amp;" "&amp;IFERROR(VLOOKUP($X281,CODES,2,FALSE),"")&amp;" "&amp;IFERROR(VLOOKUP($S281,CODES,2,FALSE),"")&amp;IF(N($P281)&gt;0," w/TRANSOM "&amp;$P281&amp;CHAR(34),"")&amp;IF(N($Q281)&gt;0," w/SIDELITE "&amp;$Q281&amp;CHAR(34)&amp;" "&amp;IF($R281="","R",$R281),"")&amp;IF($Y281="","  |  "," | "&amp;IFERROR(VLOOKUP($Y281,CODES,2,FALSE),"")&amp;" | ")&amp;IFERROR(VLOOKUP($AC281,CODES,2,FALSE),"")&amp;" "&amp;IFERROR(VLOOKUP($AD281,CODES,2,FALSE),"")&amp;IF(OR($AE281="",$AE281="-"),""," "&amp;$AE281)&amp;IF(OR($AF281="",$AF281="-"),""," "&amp;$AF281)&amp;IF($AB281="Y"," 4"&amp;CHAR(34)&amp;" HEAD","")&amp;" "&amp;IFERROR(VLOOKUP($H281,CODES,2,FALSE),"")))</f>
        <v/>
      </c>
      <c r="BR281" s="50">
        <f>IF(NOT(AND($A281&lt;&gt;"",N($BC281)&gt;0)),"",TRIM(IFERROR(VLOOKUP($AH281,CODES,2,FALSE),"")&amp;IF($AI281=""," "," "&amp;$AI281&amp;"GA ")&amp;$AZ281&amp;" "&amp;IF($AN281="",IFERROR(VLOOKUP($Z281,CODES,2,FALSE),""),IFERROR(VLOOKUP($AN281,CODES,2,FALSE),""))&amp;IF($BC281=2," PAIR","")&amp;" DOOR | "&amp;IF($AL281="","?",$AL281)&amp;" | "&amp;IF($AP281="",IFERROR(VLOOKUP($AC281,CODES,2,FALSE),""),IFERROR(VLOOKUP($AP281,CODES,2,FALSE),""))&amp;" "&amp;IFERROR(VLOOKUP($AQ281,CODES,2,FALSE),"")&amp;IF(OR($AR281="",$AR281="-"),""," SEAM "&amp;$AR281)&amp;IF($AS281="Y"," ASTRAGAL","")&amp;IF($AJ281=""," "," "&amp;$AJ281)&amp;IF($AK281=""," "," "&amp;$AK281)&amp;IF($AO281="",""," "&amp;$AO281)&amp;IF($AM281=""," "," SERIES "&amp;$AM281)&amp;" "&amp;IFERROR(VLOOKUP($H281,CODES,2,FALSE),"")))</f>
        <v/>
      </c>
      <c r="BS281" s="49">
        <f>IF(BV281="","",IF(COUNTIF($BV$6:BV281,BV281)=1,MAX($BS$5:BS280)+1,INDEX($BS$5:BS280,MATCH(BV281,$BV$5:BV280,0))))</f>
        <v/>
      </c>
      <c r="BT281" s="49">
        <f>IF(NOT(AND($A281&lt;&gt;"",$C281&lt;&gt;"DOOR ONLY")),"",MAX($BT$5:BT280)+1)</f>
        <v/>
      </c>
      <c r="BU281" s="49">
        <f>IF(NOT(AND($A281&lt;&gt;"",N($BC281)&gt;0)),"",MAX($BU$5:BU280)+1)</f>
        <v/>
      </c>
      <c r="BV281" s="49">
        <f>IF(OR($A281="",$BA281="",$BB281=""),"",$AZ281&amp;"|"&amp;$O281&amp;"|"&amp;$AL281&amp;"|"&amp;$S281&amp;"|"&amp;$P281&amp;"|"&amp;$Q281&amp;$R281&amp;"|"&amp;$C281&amp;"|"&amp;$AB281)</f>
        <v/>
      </c>
      <c r="BW281" s="49">
        <f>IF($A281="","",IF($B281="","qty, ","")&amp;IF($C281="","scope, ","")&amp;IF(OR($K281="",$M281=""),"size, ","")&amp;IF(AND($A281&lt;&gt;"",$C281&lt;&gt;"DOOR ONLY"),IF($U281="","jamb depth, ","")&amp;IF($X281="","construction, ","")&amp;IF($Y281="","anchor, ","")&amp;IF($S281="","frame type, ",""),"")&amp;IF(AND(N($BC281)&gt;0,$Z281=""),"hand, ","")&amp;IF(N($BC281)&gt;0,IF($AH281="","door material, ","")&amp;IF($AL281="","face type, ","")&amp;IF($AQ281="","lock prep, ","")&amp;IF(AND($AP281="",$AC281=""),"hinge prep, ",""),"")&amp;IF(AND($BO281&gt;0,$AH281="FRP"),"FRP cannot carry a label, ","")&amp;IF(AND($O281="Y",OR($Z281="L",$Z281="R",$Z281="LR",$Z281="RR")),"pair marked but hand is single, ","")&amp;IF(AND($O281&lt;&gt;"Y",OR($Z281="PR",AND(LEN($Z281)&gt;1,ISNUMBER(SEARCH("-",$Z281))))),"pair hand on a single door, ","")&amp;IF(AND(ISNUMBER($BP281),$BO281&lt;N($BP281)),"wall needs a "&amp;$BP281&amp;" min door, ","")&amp;IF(AND($BO281&gt;=180,AND(OR($BL281="FG",$BL281="HG",$BL281="FNV",$BL281="FV"),N($BM281)*N($BN281)&gt;100)),"180 min lite over 100 sq in, ","")&amp;IF(N($BD281)&gt;48,"leaf wider than 4'-0"&amp;CHAR(34)&amp;", ",""))</f>
        <v/>
      </c>
      <c r="BX281" s="49">
        <f>IF($A281="","",IF(AND($BO281&gt;0,AND($A281&lt;&gt;"",$C281&lt;&gt;"DOOR ONLY"),$X281="KD",$E281="EXTERIOR"),"KD label on an exterior opening, ","")&amp;IF(AND($E281="EXTERIOR",OR(AND(AND($A281&lt;&gt;"",$C281&lt;&gt;"DOOR ONLY"),$W281="CR"),AND(N($BC281)&gt;0,$AH281="CR"))),"exterior in CR steel (G9?), ","")&amp;IF(AND(ISNUMBER($BJ281),N($BJ281)&lt;32),"clear width ~"&amp;TEXT($BJ281,"0.0")&amp;CHAR(34)&amp;" under 32"&amp;CHAR(34)&amp;" (ADA), ","")&amp;IF(AND($BO281=90,AND(OR($BL281="FG",$BL281="HG",$BL281="FNV",$BL281="FV"),N($BM281)*N($BN281)&gt;100)),"90 min lite over 100 sq in (stair/exit), ","")&amp;IF(AND($BO281&gt;0,AND($A281&lt;&gt;"",$C281&lt;&gt;"DOOR ONLY"),OR($AF281="",$AF281="-")),"rated: closer reinf.?, ","")&amp;IF(OR($I281="CORRIDOR",$I281="SMOKE BARRIER"),"S label + smoke gasketing, ","")&amp;IF($BP281="?","wall type/hr not in IBC table, ","")&amp;IF(AND(N($BC281)&gt;0,$AU281=""),"no hardware set, ","")&amp;IF(AND($AU281&lt;&gt;"",ISNA(MATCH($AU281,HWSets,0))),"set "&amp;$AU281&amp;" not on Hardware sheet, ","")&amp;IF(N($BE281)&gt;96,"leaf over 8'-0"&amp;CHAR(34)&amp;" - check listing, ",""))</f>
        <v/>
      </c>
    </row>
    <row r="282" ht="15" customHeight="1">
      <c r="A282" s="44" t="n"/>
      <c r="B282" s="45" t="n"/>
      <c r="C282" s="45" t="n"/>
      <c r="D282" s="45" t="n"/>
      <c r="E282" s="45" t="n"/>
      <c r="F282" s="45" t="n"/>
      <c r="G282" s="45" t="n"/>
      <c r="H282" s="45" t="n"/>
      <c r="I282" s="45" t="n"/>
      <c r="J282" s="45" t="n"/>
      <c r="K282" s="45" t="n"/>
      <c r="L282" s="45" t="n"/>
      <c r="M282" s="45" t="n"/>
      <c r="N282" s="45" t="n"/>
      <c r="O282" s="45" t="n"/>
      <c r="P282" s="45" t="n"/>
      <c r="Q282" s="45" t="n"/>
      <c r="R282" s="45" t="n"/>
      <c r="S282" s="46" t="n"/>
      <c r="T282" s="46" t="n"/>
      <c r="U282" s="46" t="n"/>
      <c r="V282" s="46" t="n"/>
      <c r="W282" s="46" t="n"/>
      <c r="X282" s="46" t="n"/>
      <c r="Y282" s="46" t="n"/>
      <c r="Z282" s="46" t="n"/>
      <c r="AA282" s="46" t="n"/>
      <c r="AB282" s="46" t="n"/>
      <c r="AC282" s="46" t="n"/>
      <c r="AD282" s="46" t="n"/>
      <c r="AE282" s="46" t="n"/>
      <c r="AF282" s="46" t="n"/>
      <c r="AG282" s="46" t="n"/>
      <c r="AH282" s="47" t="n"/>
      <c r="AI282" s="47" t="n"/>
      <c r="AJ282" s="47" t="n"/>
      <c r="AK282" s="47" t="n"/>
      <c r="AL282" s="47" t="n"/>
      <c r="AM282" s="47" t="n"/>
      <c r="AN282" s="47" t="n"/>
      <c r="AO282" s="47" t="n"/>
      <c r="AP282" s="47" t="n"/>
      <c r="AQ282" s="47" t="n"/>
      <c r="AR282" s="47" t="n"/>
      <c r="AS282" s="47" t="n"/>
      <c r="AT282" s="47" t="n"/>
      <c r="AU282" s="48" t="n"/>
      <c r="AV282" s="48" t="n"/>
      <c r="AW282" s="49">
        <f>IF($A282="","",IF($BW282&lt;&gt;"","FIX",IF($BX282&lt;&gt;"","CHECK","OK")))</f>
        <v/>
      </c>
      <c r="AX282" s="50">
        <f>IF($A282="","",IF($BW282&lt;&gt;"","FIX: "&amp;LEFT($BW282,LEN($BW282)-2)&amp;IF($BX282&lt;&gt;"","  ·  ",""),"")&amp;IF($BX282&lt;&gt;"","CHECK: "&amp;LEFT($BX282,LEN($BX282)-2),""))</f>
        <v/>
      </c>
      <c r="AY282" s="49">
        <f>IF(OR($A282="",$K282=""),"",$K282&amp;"'-"&amp;N($L282)&amp;CHAR(34)&amp;" x "&amp;$M282&amp;"'-"&amp;N($N282)&amp;CHAR(34))</f>
        <v/>
      </c>
      <c r="AZ282" s="49">
        <f>IF(OR($A282="",$K282=""),"",$K282&amp;N($L282)&amp;$M282&amp;N($N282))</f>
        <v/>
      </c>
      <c r="BA282" s="49">
        <f>IF(OR($A282="",$K282=""),"",$K282*12+N($L282))</f>
        <v/>
      </c>
      <c r="BB282" s="49">
        <f>IF(OR($A282="",$M282=""),"",$M282*12+N($N282))</f>
        <v/>
      </c>
      <c r="BC282" s="49">
        <f>IF($A282="","",IF(OR($C282="FRAME ONLY",$S282="BL"),0,IF($O282="Y",2,1)))</f>
        <v/>
      </c>
      <c r="BD282" s="51">
        <f>IF(OR(N($BC282)=0,$BA282=""),"",($BA282-2*EdgeClr-IF($BC282=2,MeetClr,0))/$BC282)</f>
        <v/>
      </c>
      <c r="BE282" s="51">
        <f>IF(OR(N($BC282)=0,$BB282=""),"",$BB282-HeadClr-Undercut)</f>
        <v/>
      </c>
      <c r="BF282" s="51">
        <f>IF($BA282="","",$BA282+2*FaceW+IF(N($Q282)&gt;0,($Q282+FaceW)*IF($R282="LR",2,1),0))</f>
        <v/>
      </c>
      <c r="BG282" s="51">
        <f>IF($BB282="","",$BB282+IF($AB282="Y",4,FaceW)+IF(N($P282)&gt;0,$P282+FaceW,0)+IF(OR($S282="4F",$S282="BL"),FaceW,0))</f>
        <v/>
      </c>
      <c r="BH282" s="51">
        <f>IF($BF282="","",$BF282+2*ROSide)</f>
        <v/>
      </c>
      <c r="BI282" s="51">
        <f>IF($BG282="","",$BG282+ROTop)</f>
        <v/>
      </c>
      <c r="BJ282" s="52">
        <f>IF(OR(N($BC282)=0,$BA282=""),"",$BA282/$BC282-ClearDeduct)</f>
        <v/>
      </c>
      <c r="BK282" s="49">
        <f>IF(OR(N($BC282)=0,$BE282=""),"",IF(OR($AC282="HGC",$AP282="HGC"),"CONT",IF($BE282&lt;=60,2,IF($BE282&lt;=90,3,IF($BE282&lt;=120,4,5)))))</f>
        <v/>
      </c>
      <c r="BL282" s="49">
        <f>IF(N($BC282)=0,"",IF(OR($AL282="",$AL282="FLUSH"),"FLUSH",IFERROR(LEFT($AL282,FIND("-",$AL282)-1),LEFT($AL282,2))))</f>
        <v/>
      </c>
      <c r="BM282" s="49">
        <f>IF($BL282="","",IFERROR(VALUE(MID($AL282,FIND("-",$AL282)+1,FIND(CHAR(34)&amp;"x",$AL282)-FIND("-",$AL282)-1)),0))</f>
        <v/>
      </c>
      <c r="BN282" s="49">
        <f>IF($BL282="","",IFERROR(VALUE(MID($AL282,FIND(CHAR(34)&amp;"x",$AL282)+2,FIND(CHAR(34),$AL282,FIND(CHAR(34)&amp;"x",$AL282)+2)-FIND(CHAR(34)&amp;"x",$AL282)-2)),0))</f>
        <v/>
      </c>
      <c r="BO282" s="53">
        <f>IF(OR($A282="",$H282="",$H282="NO LAB"),0,IFERROR(VALUE(LEFT($H282,FIND(" ",$H282)-1)),0))</f>
        <v/>
      </c>
      <c r="BP282" s="54">
        <f>IF(OR($A282="",$I282="",$I282="NON-RATED",N($J282)=0),"",IFERROR(VLOOKUP($I282&amp;"|"&amp;$J282,IBC,2,FALSE),"?"))</f>
        <v/>
      </c>
      <c r="BQ282" s="50">
        <f>IF(NOT(AND($A282&lt;&gt;"",$C282&lt;&gt;"DOOR ONLY")),"",TRIM(IFERROR(VLOOKUP($U282,CODES,2,FALSE),"")&amp;" "&amp;$AZ282&amp;" "&amp;IFERROR(VLOOKUP($Z282,CODES,2,FALSE),"")&amp;" "&amp;IFERROR(VLOOKUP($X282,CODES,2,FALSE),"")&amp;" "&amp;IFERROR(VLOOKUP($S282,CODES,2,FALSE),"")&amp;IF(N($P282)&gt;0," w/TRANSOM "&amp;$P282&amp;CHAR(34),"")&amp;IF(N($Q282)&gt;0," w/SIDELITE "&amp;$Q282&amp;CHAR(34)&amp;" "&amp;IF($R282="","R",$R282),"")&amp;IF($Y282="","  |  "," | "&amp;IFERROR(VLOOKUP($Y282,CODES,2,FALSE),"")&amp;" | ")&amp;IFERROR(VLOOKUP($AC282,CODES,2,FALSE),"")&amp;" "&amp;IFERROR(VLOOKUP($AD282,CODES,2,FALSE),"")&amp;IF(OR($AE282="",$AE282="-"),""," "&amp;$AE282)&amp;IF(OR($AF282="",$AF282="-"),""," "&amp;$AF282)&amp;IF($AB282="Y"," 4"&amp;CHAR(34)&amp;" HEAD","")&amp;" "&amp;IFERROR(VLOOKUP($H282,CODES,2,FALSE),"")))</f>
        <v/>
      </c>
      <c r="BR282" s="50">
        <f>IF(NOT(AND($A282&lt;&gt;"",N($BC282)&gt;0)),"",TRIM(IFERROR(VLOOKUP($AH282,CODES,2,FALSE),"")&amp;IF($AI282=""," "," "&amp;$AI282&amp;"GA ")&amp;$AZ282&amp;" "&amp;IF($AN282="",IFERROR(VLOOKUP($Z282,CODES,2,FALSE),""),IFERROR(VLOOKUP($AN282,CODES,2,FALSE),""))&amp;IF($BC282=2," PAIR","")&amp;" DOOR | "&amp;IF($AL282="","?",$AL282)&amp;" | "&amp;IF($AP282="",IFERROR(VLOOKUP($AC282,CODES,2,FALSE),""),IFERROR(VLOOKUP($AP282,CODES,2,FALSE),""))&amp;" "&amp;IFERROR(VLOOKUP($AQ282,CODES,2,FALSE),"")&amp;IF(OR($AR282="",$AR282="-"),""," SEAM "&amp;$AR282)&amp;IF($AS282="Y"," ASTRAGAL","")&amp;IF($AJ282=""," "," "&amp;$AJ282)&amp;IF($AK282=""," "," "&amp;$AK282)&amp;IF($AO282="",""," "&amp;$AO282)&amp;IF($AM282=""," "," SERIES "&amp;$AM282)&amp;" "&amp;IFERROR(VLOOKUP($H282,CODES,2,FALSE),"")))</f>
        <v/>
      </c>
      <c r="BS282" s="49">
        <f>IF(BV282="","",IF(COUNTIF($BV$6:BV282,BV282)=1,MAX($BS$5:BS281)+1,INDEX($BS$5:BS281,MATCH(BV282,$BV$5:BV281,0))))</f>
        <v/>
      </c>
      <c r="BT282" s="49">
        <f>IF(NOT(AND($A282&lt;&gt;"",$C282&lt;&gt;"DOOR ONLY")),"",MAX($BT$5:BT281)+1)</f>
        <v/>
      </c>
      <c r="BU282" s="49">
        <f>IF(NOT(AND($A282&lt;&gt;"",N($BC282)&gt;0)),"",MAX($BU$5:BU281)+1)</f>
        <v/>
      </c>
      <c r="BV282" s="49">
        <f>IF(OR($A282="",$BA282="",$BB282=""),"",$AZ282&amp;"|"&amp;$O282&amp;"|"&amp;$AL282&amp;"|"&amp;$S282&amp;"|"&amp;$P282&amp;"|"&amp;$Q282&amp;$R282&amp;"|"&amp;$C282&amp;"|"&amp;$AB282)</f>
        <v/>
      </c>
      <c r="BW282" s="49">
        <f>IF($A282="","",IF($B282="","qty, ","")&amp;IF($C282="","scope, ","")&amp;IF(OR($K282="",$M282=""),"size, ","")&amp;IF(AND($A282&lt;&gt;"",$C282&lt;&gt;"DOOR ONLY"),IF($U282="","jamb depth, ","")&amp;IF($X282="","construction, ","")&amp;IF($Y282="","anchor, ","")&amp;IF($S282="","frame type, ",""),"")&amp;IF(AND(N($BC282)&gt;0,$Z282=""),"hand, ","")&amp;IF(N($BC282)&gt;0,IF($AH282="","door material, ","")&amp;IF($AL282="","face type, ","")&amp;IF($AQ282="","lock prep, ","")&amp;IF(AND($AP282="",$AC282=""),"hinge prep, ",""),"")&amp;IF(AND($BO282&gt;0,$AH282="FRP"),"FRP cannot carry a label, ","")&amp;IF(AND($O282="Y",OR($Z282="L",$Z282="R",$Z282="LR",$Z282="RR")),"pair marked but hand is single, ","")&amp;IF(AND($O282&lt;&gt;"Y",OR($Z282="PR",AND(LEN($Z282)&gt;1,ISNUMBER(SEARCH("-",$Z282))))),"pair hand on a single door, ","")&amp;IF(AND(ISNUMBER($BP282),$BO282&lt;N($BP282)),"wall needs a "&amp;$BP282&amp;" min door, ","")&amp;IF(AND($BO282&gt;=180,AND(OR($BL282="FG",$BL282="HG",$BL282="FNV",$BL282="FV"),N($BM282)*N($BN282)&gt;100)),"180 min lite over 100 sq in, ","")&amp;IF(N($BD282)&gt;48,"leaf wider than 4'-0"&amp;CHAR(34)&amp;", ",""))</f>
        <v/>
      </c>
      <c r="BX282" s="49">
        <f>IF($A282="","",IF(AND($BO282&gt;0,AND($A282&lt;&gt;"",$C282&lt;&gt;"DOOR ONLY"),$X282="KD",$E282="EXTERIOR"),"KD label on an exterior opening, ","")&amp;IF(AND($E282="EXTERIOR",OR(AND(AND($A282&lt;&gt;"",$C282&lt;&gt;"DOOR ONLY"),$W282="CR"),AND(N($BC282)&gt;0,$AH282="CR"))),"exterior in CR steel (G9?), ","")&amp;IF(AND(ISNUMBER($BJ282),N($BJ282)&lt;32),"clear width ~"&amp;TEXT($BJ282,"0.0")&amp;CHAR(34)&amp;" under 32"&amp;CHAR(34)&amp;" (ADA), ","")&amp;IF(AND($BO282=90,AND(OR($BL282="FG",$BL282="HG",$BL282="FNV",$BL282="FV"),N($BM282)*N($BN282)&gt;100)),"90 min lite over 100 sq in (stair/exit), ","")&amp;IF(AND($BO282&gt;0,AND($A282&lt;&gt;"",$C282&lt;&gt;"DOOR ONLY"),OR($AF282="",$AF282="-")),"rated: closer reinf.?, ","")&amp;IF(OR($I282="CORRIDOR",$I282="SMOKE BARRIER"),"S label + smoke gasketing, ","")&amp;IF($BP282="?","wall type/hr not in IBC table, ","")&amp;IF(AND(N($BC282)&gt;0,$AU282=""),"no hardware set, ","")&amp;IF(AND($AU282&lt;&gt;"",ISNA(MATCH($AU282,HWSets,0))),"set "&amp;$AU282&amp;" not on Hardware sheet, ","")&amp;IF(N($BE282)&gt;96,"leaf over 8'-0"&amp;CHAR(34)&amp;" - check listing, ",""))</f>
        <v/>
      </c>
    </row>
    <row r="283" ht="15" customHeight="1">
      <c r="A283" s="44" t="n"/>
      <c r="B283" s="45" t="n"/>
      <c r="C283" s="45" t="n"/>
      <c r="D283" s="45" t="n"/>
      <c r="E283" s="45" t="n"/>
      <c r="F283" s="45" t="n"/>
      <c r="G283" s="45" t="n"/>
      <c r="H283" s="45" t="n"/>
      <c r="I283" s="45" t="n"/>
      <c r="J283" s="45" t="n"/>
      <c r="K283" s="45" t="n"/>
      <c r="L283" s="45" t="n"/>
      <c r="M283" s="45" t="n"/>
      <c r="N283" s="45" t="n"/>
      <c r="O283" s="45" t="n"/>
      <c r="P283" s="45" t="n"/>
      <c r="Q283" s="45" t="n"/>
      <c r="R283" s="45" t="n"/>
      <c r="S283" s="46" t="n"/>
      <c r="T283" s="46" t="n"/>
      <c r="U283" s="46" t="n"/>
      <c r="V283" s="46" t="n"/>
      <c r="W283" s="46" t="n"/>
      <c r="X283" s="46" t="n"/>
      <c r="Y283" s="46" t="n"/>
      <c r="Z283" s="46" t="n"/>
      <c r="AA283" s="46" t="n"/>
      <c r="AB283" s="46" t="n"/>
      <c r="AC283" s="46" t="n"/>
      <c r="AD283" s="46" t="n"/>
      <c r="AE283" s="46" t="n"/>
      <c r="AF283" s="46" t="n"/>
      <c r="AG283" s="46" t="n"/>
      <c r="AH283" s="47" t="n"/>
      <c r="AI283" s="47" t="n"/>
      <c r="AJ283" s="47" t="n"/>
      <c r="AK283" s="47" t="n"/>
      <c r="AL283" s="47" t="n"/>
      <c r="AM283" s="47" t="n"/>
      <c r="AN283" s="47" t="n"/>
      <c r="AO283" s="47" t="n"/>
      <c r="AP283" s="47" t="n"/>
      <c r="AQ283" s="47" t="n"/>
      <c r="AR283" s="47" t="n"/>
      <c r="AS283" s="47" t="n"/>
      <c r="AT283" s="47" t="n"/>
      <c r="AU283" s="48" t="n"/>
      <c r="AV283" s="48" t="n"/>
      <c r="AW283" s="49">
        <f>IF($A283="","",IF($BW283&lt;&gt;"","FIX",IF($BX283&lt;&gt;"","CHECK","OK")))</f>
        <v/>
      </c>
      <c r="AX283" s="50">
        <f>IF($A283="","",IF($BW283&lt;&gt;"","FIX: "&amp;LEFT($BW283,LEN($BW283)-2)&amp;IF($BX283&lt;&gt;"","  ·  ",""),"")&amp;IF($BX283&lt;&gt;"","CHECK: "&amp;LEFT($BX283,LEN($BX283)-2),""))</f>
        <v/>
      </c>
      <c r="AY283" s="49">
        <f>IF(OR($A283="",$K283=""),"",$K283&amp;"'-"&amp;N($L283)&amp;CHAR(34)&amp;" x "&amp;$M283&amp;"'-"&amp;N($N283)&amp;CHAR(34))</f>
        <v/>
      </c>
      <c r="AZ283" s="49">
        <f>IF(OR($A283="",$K283=""),"",$K283&amp;N($L283)&amp;$M283&amp;N($N283))</f>
        <v/>
      </c>
      <c r="BA283" s="49">
        <f>IF(OR($A283="",$K283=""),"",$K283*12+N($L283))</f>
        <v/>
      </c>
      <c r="BB283" s="49">
        <f>IF(OR($A283="",$M283=""),"",$M283*12+N($N283))</f>
        <v/>
      </c>
      <c r="BC283" s="49">
        <f>IF($A283="","",IF(OR($C283="FRAME ONLY",$S283="BL"),0,IF($O283="Y",2,1)))</f>
        <v/>
      </c>
      <c r="BD283" s="51">
        <f>IF(OR(N($BC283)=0,$BA283=""),"",($BA283-2*EdgeClr-IF($BC283=2,MeetClr,0))/$BC283)</f>
        <v/>
      </c>
      <c r="BE283" s="51">
        <f>IF(OR(N($BC283)=0,$BB283=""),"",$BB283-HeadClr-Undercut)</f>
        <v/>
      </c>
      <c r="BF283" s="51">
        <f>IF($BA283="","",$BA283+2*FaceW+IF(N($Q283)&gt;0,($Q283+FaceW)*IF($R283="LR",2,1),0))</f>
        <v/>
      </c>
      <c r="BG283" s="51">
        <f>IF($BB283="","",$BB283+IF($AB283="Y",4,FaceW)+IF(N($P283)&gt;0,$P283+FaceW,0)+IF(OR($S283="4F",$S283="BL"),FaceW,0))</f>
        <v/>
      </c>
      <c r="BH283" s="51">
        <f>IF($BF283="","",$BF283+2*ROSide)</f>
        <v/>
      </c>
      <c r="BI283" s="51">
        <f>IF($BG283="","",$BG283+ROTop)</f>
        <v/>
      </c>
      <c r="BJ283" s="52">
        <f>IF(OR(N($BC283)=0,$BA283=""),"",$BA283/$BC283-ClearDeduct)</f>
        <v/>
      </c>
      <c r="BK283" s="49">
        <f>IF(OR(N($BC283)=0,$BE283=""),"",IF(OR($AC283="HGC",$AP283="HGC"),"CONT",IF($BE283&lt;=60,2,IF($BE283&lt;=90,3,IF($BE283&lt;=120,4,5)))))</f>
        <v/>
      </c>
      <c r="BL283" s="49">
        <f>IF(N($BC283)=0,"",IF(OR($AL283="",$AL283="FLUSH"),"FLUSH",IFERROR(LEFT($AL283,FIND("-",$AL283)-1),LEFT($AL283,2))))</f>
        <v/>
      </c>
      <c r="BM283" s="49">
        <f>IF($BL283="","",IFERROR(VALUE(MID($AL283,FIND("-",$AL283)+1,FIND(CHAR(34)&amp;"x",$AL283)-FIND("-",$AL283)-1)),0))</f>
        <v/>
      </c>
      <c r="BN283" s="49">
        <f>IF($BL283="","",IFERROR(VALUE(MID($AL283,FIND(CHAR(34)&amp;"x",$AL283)+2,FIND(CHAR(34),$AL283,FIND(CHAR(34)&amp;"x",$AL283)+2)-FIND(CHAR(34)&amp;"x",$AL283)-2)),0))</f>
        <v/>
      </c>
      <c r="BO283" s="53">
        <f>IF(OR($A283="",$H283="",$H283="NO LAB"),0,IFERROR(VALUE(LEFT($H283,FIND(" ",$H283)-1)),0))</f>
        <v/>
      </c>
      <c r="BP283" s="54">
        <f>IF(OR($A283="",$I283="",$I283="NON-RATED",N($J283)=0),"",IFERROR(VLOOKUP($I283&amp;"|"&amp;$J283,IBC,2,FALSE),"?"))</f>
        <v/>
      </c>
      <c r="BQ283" s="50">
        <f>IF(NOT(AND($A283&lt;&gt;"",$C283&lt;&gt;"DOOR ONLY")),"",TRIM(IFERROR(VLOOKUP($U283,CODES,2,FALSE),"")&amp;" "&amp;$AZ283&amp;" "&amp;IFERROR(VLOOKUP($Z283,CODES,2,FALSE),"")&amp;" "&amp;IFERROR(VLOOKUP($X283,CODES,2,FALSE),"")&amp;" "&amp;IFERROR(VLOOKUP($S283,CODES,2,FALSE),"")&amp;IF(N($P283)&gt;0," w/TRANSOM "&amp;$P283&amp;CHAR(34),"")&amp;IF(N($Q283)&gt;0," w/SIDELITE "&amp;$Q283&amp;CHAR(34)&amp;" "&amp;IF($R283="","R",$R283),"")&amp;IF($Y283="","  |  "," | "&amp;IFERROR(VLOOKUP($Y283,CODES,2,FALSE),"")&amp;" | ")&amp;IFERROR(VLOOKUP($AC283,CODES,2,FALSE),"")&amp;" "&amp;IFERROR(VLOOKUP($AD283,CODES,2,FALSE),"")&amp;IF(OR($AE283="",$AE283="-"),""," "&amp;$AE283)&amp;IF(OR($AF283="",$AF283="-"),""," "&amp;$AF283)&amp;IF($AB283="Y"," 4"&amp;CHAR(34)&amp;" HEAD","")&amp;" "&amp;IFERROR(VLOOKUP($H283,CODES,2,FALSE),"")))</f>
        <v/>
      </c>
      <c r="BR283" s="50">
        <f>IF(NOT(AND($A283&lt;&gt;"",N($BC283)&gt;0)),"",TRIM(IFERROR(VLOOKUP($AH283,CODES,2,FALSE),"")&amp;IF($AI283=""," "," "&amp;$AI283&amp;"GA ")&amp;$AZ283&amp;" "&amp;IF($AN283="",IFERROR(VLOOKUP($Z283,CODES,2,FALSE),""),IFERROR(VLOOKUP($AN283,CODES,2,FALSE),""))&amp;IF($BC283=2," PAIR","")&amp;" DOOR | "&amp;IF($AL283="","?",$AL283)&amp;" | "&amp;IF($AP283="",IFERROR(VLOOKUP($AC283,CODES,2,FALSE),""),IFERROR(VLOOKUP($AP283,CODES,2,FALSE),""))&amp;" "&amp;IFERROR(VLOOKUP($AQ283,CODES,2,FALSE),"")&amp;IF(OR($AR283="",$AR283="-"),""," SEAM "&amp;$AR283)&amp;IF($AS283="Y"," ASTRAGAL","")&amp;IF($AJ283=""," "," "&amp;$AJ283)&amp;IF($AK283=""," "," "&amp;$AK283)&amp;IF($AO283="",""," "&amp;$AO283)&amp;IF($AM283=""," "," SERIES "&amp;$AM283)&amp;" "&amp;IFERROR(VLOOKUP($H283,CODES,2,FALSE),"")))</f>
        <v/>
      </c>
      <c r="BS283" s="49">
        <f>IF(BV283="","",IF(COUNTIF($BV$6:BV283,BV283)=1,MAX($BS$5:BS282)+1,INDEX($BS$5:BS282,MATCH(BV283,$BV$5:BV282,0))))</f>
        <v/>
      </c>
      <c r="BT283" s="49">
        <f>IF(NOT(AND($A283&lt;&gt;"",$C283&lt;&gt;"DOOR ONLY")),"",MAX($BT$5:BT282)+1)</f>
        <v/>
      </c>
      <c r="BU283" s="49">
        <f>IF(NOT(AND($A283&lt;&gt;"",N($BC283)&gt;0)),"",MAX($BU$5:BU282)+1)</f>
        <v/>
      </c>
      <c r="BV283" s="49">
        <f>IF(OR($A283="",$BA283="",$BB283=""),"",$AZ283&amp;"|"&amp;$O283&amp;"|"&amp;$AL283&amp;"|"&amp;$S283&amp;"|"&amp;$P283&amp;"|"&amp;$Q283&amp;$R283&amp;"|"&amp;$C283&amp;"|"&amp;$AB283)</f>
        <v/>
      </c>
      <c r="BW283" s="49">
        <f>IF($A283="","",IF($B283="","qty, ","")&amp;IF($C283="","scope, ","")&amp;IF(OR($K283="",$M283=""),"size, ","")&amp;IF(AND($A283&lt;&gt;"",$C283&lt;&gt;"DOOR ONLY"),IF($U283="","jamb depth, ","")&amp;IF($X283="","construction, ","")&amp;IF($Y283="","anchor, ","")&amp;IF($S283="","frame type, ",""),"")&amp;IF(AND(N($BC283)&gt;0,$Z283=""),"hand, ","")&amp;IF(N($BC283)&gt;0,IF($AH283="","door material, ","")&amp;IF($AL283="","face type, ","")&amp;IF($AQ283="","lock prep, ","")&amp;IF(AND($AP283="",$AC283=""),"hinge prep, ",""),"")&amp;IF(AND($BO283&gt;0,$AH283="FRP"),"FRP cannot carry a label, ","")&amp;IF(AND($O283="Y",OR($Z283="L",$Z283="R",$Z283="LR",$Z283="RR")),"pair marked but hand is single, ","")&amp;IF(AND($O283&lt;&gt;"Y",OR($Z283="PR",AND(LEN($Z283)&gt;1,ISNUMBER(SEARCH("-",$Z283))))),"pair hand on a single door, ","")&amp;IF(AND(ISNUMBER($BP283),$BO283&lt;N($BP283)),"wall needs a "&amp;$BP283&amp;" min door, ","")&amp;IF(AND($BO283&gt;=180,AND(OR($BL283="FG",$BL283="HG",$BL283="FNV",$BL283="FV"),N($BM283)*N($BN283)&gt;100)),"180 min lite over 100 sq in, ","")&amp;IF(N($BD283)&gt;48,"leaf wider than 4'-0"&amp;CHAR(34)&amp;", ",""))</f>
        <v/>
      </c>
      <c r="BX283" s="49">
        <f>IF($A283="","",IF(AND($BO283&gt;0,AND($A283&lt;&gt;"",$C283&lt;&gt;"DOOR ONLY"),$X283="KD",$E283="EXTERIOR"),"KD label on an exterior opening, ","")&amp;IF(AND($E283="EXTERIOR",OR(AND(AND($A283&lt;&gt;"",$C283&lt;&gt;"DOOR ONLY"),$W283="CR"),AND(N($BC283)&gt;0,$AH283="CR"))),"exterior in CR steel (G9?), ","")&amp;IF(AND(ISNUMBER($BJ283),N($BJ283)&lt;32),"clear width ~"&amp;TEXT($BJ283,"0.0")&amp;CHAR(34)&amp;" under 32"&amp;CHAR(34)&amp;" (ADA), ","")&amp;IF(AND($BO283=90,AND(OR($BL283="FG",$BL283="HG",$BL283="FNV",$BL283="FV"),N($BM283)*N($BN283)&gt;100)),"90 min lite over 100 sq in (stair/exit), ","")&amp;IF(AND($BO283&gt;0,AND($A283&lt;&gt;"",$C283&lt;&gt;"DOOR ONLY"),OR($AF283="",$AF283="-")),"rated: closer reinf.?, ","")&amp;IF(OR($I283="CORRIDOR",$I283="SMOKE BARRIER"),"S label + smoke gasketing, ","")&amp;IF($BP283="?","wall type/hr not in IBC table, ","")&amp;IF(AND(N($BC283)&gt;0,$AU283=""),"no hardware set, ","")&amp;IF(AND($AU283&lt;&gt;"",ISNA(MATCH($AU283,HWSets,0))),"set "&amp;$AU283&amp;" not on Hardware sheet, ","")&amp;IF(N($BE283)&gt;96,"leaf over 8'-0"&amp;CHAR(34)&amp;" - check listing, ",""))</f>
        <v/>
      </c>
    </row>
    <row r="284" ht="15" customHeight="1">
      <c r="A284" s="44" t="n"/>
      <c r="B284" s="45" t="n"/>
      <c r="C284" s="45" t="n"/>
      <c r="D284" s="45" t="n"/>
      <c r="E284" s="45" t="n"/>
      <c r="F284" s="45" t="n"/>
      <c r="G284" s="45" t="n"/>
      <c r="H284" s="45" t="n"/>
      <c r="I284" s="45" t="n"/>
      <c r="J284" s="45" t="n"/>
      <c r="K284" s="45" t="n"/>
      <c r="L284" s="45" t="n"/>
      <c r="M284" s="45" t="n"/>
      <c r="N284" s="45" t="n"/>
      <c r="O284" s="45" t="n"/>
      <c r="P284" s="45" t="n"/>
      <c r="Q284" s="45" t="n"/>
      <c r="R284" s="45" t="n"/>
      <c r="S284" s="46" t="n"/>
      <c r="T284" s="46" t="n"/>
      <c r="U284" s="46" t="n"/>
      <c r="V284" s="46" t="n"/>
      <c r="W284" s="46" t="n"/>
      <c r="X284" s="46" t="n"/>
      <c r="Y284" s="46" t="n"/>
      <c r="Z284" s="46" t="n"/>
      <c r="AA284" s="46" t="n"/>
      <c r="AB284" s="46" t="n"/>
      <c r="AC284" s="46" t="n"/>
      <c r="AD284" s="46" t="n"/>
      <c r="AE284" s="46" t="n"/>
      <c r="AF284" s="46" t="n"/>
      <c r="AG284" s="46" t="n"/>
      <c r="AH284" s="47" t="n"/>
      <c r="AI284" s="47" t="n"/>
      <c r="AJ284" s="47" t="n"/>
      <c r="AK284" s="47" t="n"/>
      <c r="AL284" s="47" t="n"/>
      <c r="AM284" s="47" t="n"/>
      <c r="AN284" s="47" t="n"/>
      <c r="AO284" s="47" t="n"/>
      <c r="AP284" s="47" t="n"/>
      <c r="AQ284" s="47" t="n"/>
      <c r="AR284" s="47" t="n"/>
      <c r="AS284" s="47" t="n"/>
      <c r="AT284" s="47" t="n"/>
      <c r="AU284" s="48" t="n"/>
      <c r="AV284" s="48" t="n"/>
      <c r="AW284" s="49">
        <f>IF($A284="","",IF($BW284&lt;&gt;"","FIX",IF($BX284&lt;&gt;"","CHECK","OK")))</f>
        <v/>
      </c>
      <c r="AX284" s="50">
        <f>IF($A284="","",IF($BW284&lt;&gt;"","FIX: "&amp;LEFT($BW284,LEN($BW284)-2)&amp;IF($BX284&lt;&gt;"","  ·  ",""),"")&amp;IF($BX284&lt;&gt;"","CHECK: "&amp;LEFT($BX284,LEN($BX284)-2),""))</f>
        <v/>
      </c>
      <c r="AY284" s="49">
        <f>IF(OR($A284="",$K284=""),"",$K284&amp;"'-"&amp;N($L284)&amp;CHAR(34)&amp;" x "&amp;$M284&amp;"'-"&amp;N($N284)&amp;CHAR(34))</f>
        <v/>
      </c>
      <c r="AZ284" s="49">
        <f>IF(OR($A284="",$K284=""),"",$K284&amp;N($L284)&amp;$M284&amp;N($N284))</f>
        <v/>
      </c>
      <c r="BA284" s="49">
        <f>IF(OR($A284="",$K284=""),"",$K284*12+N($L284))</f>
        <v/>
      </c>
      <c r="BB284" s="49">
        <f>IF(OR($A284="",$M284=""),"",$M284*12+N($N284))</f>
        <v/>
      </c>
      <c r="BC284" s="49">
        <f>IF($A284="","",IF(OR($C284="FRAME ONLY",$S284="BL"),0,IF($O284="Y",2,1)))</f>
        <v/>
      </c>
      <c r="BD284" s="51">
        <f>IF(OR(N($BC284)=0,$BA284=""),"",($BA284-2*EdgeClr-IF($BC284=2,MeetClr,0))/$BC284)</f>
        <v/>
      </c>
      <c r="BE284" s="51">
        <f>IF(OR(N($BC284)=0,$BB284=""),"",$BB284-HeadClr-Undercut)</f>
        <v/>
      </c>
      <c r="BF284" s="51">
        <f>IF($BA284="","",$BA284+2*FaceW+IF(N($Q284)&gt;0,($Q284+FaceW)*IF($R284="LR",2,1),0))</f>
        <v/>
      </c>
      <c r="BG284" s="51">
        <f>IF($BB284="","",$BB284+IF($AB284="Y",4,FaceW)+IF(N($P284)&gt;0,$P284+FaceW,0)+IF(OR($S284="4F",$S284="BL"),FaceW,0))</f>
        <v/>
      </c>
      <c r="BH284" s="51">
        <f>IF($BF284="","",$BF284+2*ROSide)</f>
        <v/>
      </c>
      <c r="BI284" s="51">
        <f>IF($BG284="","",$BG284+ROTop)</f>
        <v/>
      </c>
      <c r="BJ284" s="52">
        <f>IF(OR(N($BC284)=0,$BA284=""),"",$BA284/$BC284-ClearDeduct)</f>
        <v/>
      </c>
      <c r="BK284" s="49">
        <f>IF(OR(N($BC284)=0,$BE284=""),"",IF(OR($AC284="HGC",$AP284="HGC"),"CONT",IF($BE284&lt;=60,2,IF($BE284&lt;=90,3,IF($BE284&lt;=120,4,5)))))</f>
        <v/>
      </c>
      <c r="BL284" s="49">
        <f>IF(N($BC284)=0,"",IF(OR($AL284="",$AL284="FLUSH"),"FLUSH",IFERROR(LEFT($AL284,FIND("-",$AL284)-1),LEFT($AL284,2))))</f>
        <v/>
      </c>
      <c r="BM284" s="49">
        <f>IF($BL284="","",IFERROR(VALUE(MID($AL284,FIND("-",$AL284)+1,FIND(CHAR(34)&amp;"x",$AL284)-FIND("-",$AL284)-1)),0))</f>
        <v/>
      </c>
      <c r="BN284" s="49">
        <f>IF($BL284="","",IFERROR(VALUE(MID($AL284,FIND(CHAR(34)&amp;"x",$AL284)+2,FIND(CHAR(34),$AL284,FIND(CHAR(34)&amp;"x",$AL284)+2)-FIND(CHAR(34)&amp;"x",$AL284)-2)),0))</f>
        <v/>
      </c>
      <c r="BO284" s="53">
        <f>IF(OR($A284="",$H284="",$H284="NO LAB"),0,IFERROR(VALUE(LEFT($H284,FIND(" ",$H284)-1)),0))</f>
        <v/>
      </c>
      <c r="BP284" s="54">
        <f>IF(OR($A284="",$I284="",$I284="NON-RATED",N($J284)=0),"",IFERROR(VLOOKUP($I284&amp;"|"&amp;$J284,IBC,2,FALSE),"?"))</f>
        <v/>
      </c>
      <c r="BQ284" s="50">
        <f>IF(NOT(AND($A284&lt;&gt;"",$C284&lt;&gt;"DOOR ONLY")),"",TRIM(IFERROR(VLOOKUP($U284,CODES,2,FALSE),"")&amp;" "&amp;$AZ284&amp;" "&amp;IFERROR(VLOOKUP($Z284,CODES,2,FALSE),"")&amp;" "&amp;IFERROR(VLOOKUP($X284,CODES,2,FALSE),"")&amp;" "&amp;IFERROR(VLOOKUP($S284,CODES,2,FALSE),"")&amp;IF(N($P284)&gt;0," w/TRANSOM "&amp;$P284&amp;CHAR(34),"")&amp;IF(N($Q284)&gt;0," w/SIDELITE "&amp;$Q284&amp;CHAR(34)&amp;" "&amp;IF($R284="","R",$R284),"")&amp;IF($Y284="","  |  "," | "&amp;IFERROR(VLOOKUP($Y284,CODES,2,FALSE),"")&amp;" | ")&amp;IFERROR(VLOOKUP($AC284,CODES,2,FALSE),"")&amp;" "&amp;IFERROR(VLOOKUP($AD284,CODES,2,FALSE),"")&amp;IF(OR($AE284="",$AE284="-"),""," "&amp;$AE284)&amp;IF(OR($AF284="",$AF284="-"),""," "&amp;$AF284)&amp;IF($AB284="Y"," 4"&amp;CHAR(34)&amp;" HEAD","")&amp;" "&amp;IFERROR(VLOOKUP($H284,CODES,2,FALSE),"")))</f>
        <v/>
      </c>
      <c r="BR284" s="50">
        <f>IF(NOT(AND($A284&lt;&gt;"",N($BC284)&gt;0)),"",TRIM(IFERROR(VLOOKUP($AH284,CODES,2,FALSE),"")&amp;IF($AI284=""," "," "&amp;$AI284&amp;"GA ")&amp;$AZ284&amp;" "&amp;IF($AN284="",IFERROR(VLOOKUP($Z284,CODES,2,FALSE),""),IFERROR(VLOOKUP($AN284,CODES,2,FALSE),""))&amp;IF($BC284=2," PAIR","")&amp;" DOOR | "&amp;IF($AL284="","?",$AL284)&amp;" | "&amp;IF($AP284="",IFERROR(VLOOKUP($AC284,CODES,2,FALSE),""),IFERROR(VLOOKUP($AP284,CODES,2,FALSE),""))&amp;" "&amp;IFERROR(VLOOKUP($AQ284,CODES,2,FALSE),"")&amp;IF(OR($AR284="",$AR284="-"),""," SEAM "&amp;$AR284)&amp;IF($AS284="Y"," ASTRAGAL","")&amp;IF($AJ284=""," "," "&amp;$AJ284)&amp;IF($AK284=""," "," "&amp;$AK284)&amp;IF($AO284="",""," "&amp;$AO284)&amp;IF($AM284=""," "," SERIES "&amp;$AM284)&amp;" "&amp;IFERROR(VLOOKUP($H284,CODES,2,FALSE),"")))</f>
        <v/>
      </c>
      <c r="BS284" s="49">
        <f>IF(BV284="","",IF(COUNTIF($BV$6:BV284,BV284)=1,MAX($BS$5:BS283)+1,INDEX($BS$5:BS283,MATCH(BV284,$BV$5:BV283,0))))</f>
        <v/>
      </c>
      <c r="BT284" s="49">
        <f>IF(NOT(AND($A284&lt;&gt;"",$C284&lt;&gt;"DOOR ONLY")),"",MAX($BT$5:BT283)+1)</f>
        <v/>
      </c>
      <c r="BU284" s="49">
        <f>IF(NOT(AND($A284&lt;&gt;"",N($BC284)&gt;0)),"",MAX($BU$5:BU283)+1)</f>
        <v/>
      </c>
      <c r="BV284" s="49">
        <f>IF(OR($A284="",$BA284="",$BB284=""),"",$AZ284&amp;"|"&amp;$O284&amp;"|"&amp;$AL284&amp;"|"&amp;$S284&amp;"|"&amp;$P284&amp;"|"&amp;$Q284&amp;$R284&amp;"|"&amp;$C284&amp;"|"&amp;$AB284)</f>
        <v/>
      </c>
      <c r="BW284" s="49">
        <f>IF($A284="","",IF($B284="","qty, ","")&amp;IF($C284="","scope, ","")&amp;IF(OR($K284="",$M284=""),"size, ","")&amp;IF(AND($A284&lt;&gt;"",$C284&lt;&gt;"DOOR ONLY"),IF($U284="","jamb depth, ","")&amp;IF($X284="","construction, ","")&amp;IF($Y284="","anchor, ","")&amp;IF($S284="","frame type, ",""),"")&amp;IF(AND(N($BC284)&gt;0,$Z284=""),"hand, ","")&amp;IF(N($BC284)&gt;0,IF($AH284="","door material, ","")&amp;IF($AL284="","face type, ","")&amp;IF($AQ284="","lock prep, ","")&amp;IF(AND($AP284="",$AC284=""),"hinge prep, ",""),"")&amp;IF(AND($BO284&gt;0,$AH284="FRP"),"FRP cannot carry a label, ","")&amp;IF(AND($O284="Y",OR($Z284="L",$Z284="R",$Z284="LR",$Z284="RR")),"pair marked but hand is single, ","")&amp;IF(AND($O284&lt;&gt;"Y",OR($Z284="PR",AND(LEN($Z284)&gt;1,ISNUMBER(SEARCH("-",$Z284))))),"pair hand on a single door, ","")&amp;IF(AND(ISNUMBER($BP284),$BO284&lt;N($BP284)),"wall needs a "&amp;$BP284&amp;" min door, ","")&amp;IF(AND($BO284&gt;=180,AND(OR($BL284="FG",$BL284="HG",$BL284="FNV",$BL284="FV"),N($BM284)*N($BN284)&gt;100)),"180 min lite over 100 sq in, ","")&amp;IF(N($BD284)&gt;48,"leaf wider than 4'-0"&amp;CHAR(34)&amp;", ",""))</f>
        <v/>
      </c>
      <c r="BX284" s="49">
        <f>IF($A284="","",IF(AND($BO284&gt;0,AND($A284&lt;&gt;"",$C284&lt;&gt;"DOOR ONLY"),$X284="KD",$E284="EXTERIOR"),"KD label on an exterior opening, ","")&amp;IF(AND($E284="EXTERIOR",OR(AND(AND($A284&lt;&gt;"",$C284&lt;&gt;"DOOR ONLY"),$W284="CR"),AND(N($BC284)&gt;0,$AH284="CR"))),"exterior in CR steel (G9?), ","")&amp;IF(AND(ISNUMBER($BJ284),N($BJ284)&lt;32),"clear width ~"&amp;TEXT($BJ284,"0.0")&amp;CHAR(34)&amp;" under 32"&amp;CHAR(34)&amp;" (ADA), ","")&amp;IF(AND($BO284=90,AND(OR($BL284="FG",$BL284="HG",$BL284="FNV",$BL284="FV"),N($BM284)*N($BN284)&gt;100)),"90 min lite over 100 sq in (stair/exit), ","")&amp;IF(AND($BO284&gt;0,AND($A284&lt;&gt;"",$C284&lt;&gt;"DOOR ONLY"),OR($AF284="",$AF284="-")),"rated: closer reinf.?, ","")&amp;IF(OR($I284="CORRIDOR",$I284="SMOKE BARRIER"),"S label + smoke gasketing, ","")&amp;IF($BP284="?","wall type/hr not in IBC table, ","")&amp;IF(AND(N($BC284)&gt;0,$AU284=""),"no hardware set, ","")&amp;IF(AND($AU284&lt;&gt;"",ISNA(MATCH($AU284,HWSets,0))),"set "&amp;$AU284&amp;" not on Hardware sheet, ","")&amp;IF(N($BE284)&gt;96,"leaf over 8'-0"&amp;CHAR(34)&amp;" - check listing, ",""))</f>
        <v/>
      </c>
    </row>
    <row r="285" ht="15" customHeight="1">
      <c r="A285" s="44" t="n"/>
      <c r="B285" s="45" t="n"/>
      <c r="C285" s="45" t="n"/>
      <c r="D285" s="45" t="n"/>
      <c r="E285" s="45" t="n"/>
      <c r="F285" s="45" t="n"/>
      <c r="G285" s="45" t="n"/>
      <c r="H285" s="45" t="n"/>
      <c r="I285" s="45" t="n"/>
      <c r="J285" s="45" t="n"/>
      <c r="K285" s="45" t="n"/>
      <c r="L285" s="45" t="n"/>
      <c r="M285" s="45" t="n"/>
      <c r="N285" s="45" t="n"/>
      <c r="O285" s="45" t="n"/>
      <c r="P285" s="45" t="n"/>
      <c r="Q285" s="45" t="n"/>
      <c r="R285" s="45" t="n"/>
      <c r="S285" s="46" t="n"/>
      <c r="T285" s="46" t="n"/>
      <c r="U285" s="46" t="n"/>
      <c r="V285" s="46" t="n"/>
      <c r="W285" s="46" t="n"/>
      <c r="X285" s="46" t="n"/>
      <c r="Y285" s="46" t="n"/>
      <c r="Z285" s="46" t="n"/>
      <c r="AA285" s="46" t="n"/>
      <c r="AB285" s="46" t="n"/>
      <c r="AC285" s="46" t="n"/>
      <c r="AD285" s="46" t="n"/>
      <c r="AE285" s="46" t="n"/>
      <c r="AF285" s="46" t="n"/>
      <c r="AG285" s="46" t="n"/>
      <c r="AH285" s="47" t="n"/>
      <c r="AI285" s="47" t="n"/>
      <c r="AJ285" s="47" t="n"/>
      <c r="AK285" s="47" t="n"/>
      <c r="AL285" s="47" t="n"/>
      <c r="AM285" s="47" t="n"/>
      <c r="AN285" s="47" t="n"/>
      <c r="AO285" s="47" t="n"/>
      <c r="AP285" s="47" t="n"/>
      <c r="AQ285" s="47" t="n"/>
      <c r="AR285" s="47" t="n"/>
      <c r="AS285" s="47" t="n"/>
      <c r="AT285" s="47" t="n"/>
      <c r="AU285" s="48" t="n"/>
      <c r="AV285" s="48" t="n"/>
      <c r="AW285" s="49">
        <f>IF($A285="","",IF($BW285&lt;&gt;"","FIX",IF($BX285&lt;&gt;"","CHECK","OK")))</f>
        <v/>
      </c>
      <c r="AX285" s="50">
        <f>IF($A285="","",IF($BW285&lt;&gt;"","FIX: "&amp;LEFT($BW285,LEN($BW285)-2)&amp;IF($BX285&lt;&gt;"","  ·  ",""),"")&amp;IF($BX285&lt;&gt;"","CHECK: "&amp;LEFT($BX285,LEN($BX285)-2),""))</f>
        <v/>
      </c>
      <c r="AY285" s="49">
        <f>IF(OR($A285="",$K285=""),"",$K285&amp;"'-"&amp;N($L285)&amp;CHAR(34)&amp;" x "&amp;$M285&amp;"'-"&amp;N($N285)&amp;CHAR(34))</f>
        <v/>
      </c>
      <c r="AZ285" s="49">
        <f>IF(OR($A285="",$K285=""),"",$K285&amp;N($L285)&amp;$M285&amp;N($N285))</f>
        <v/>
      </c>
      <c r="BA285" s="49">
        <f>IF(OR($A285="",$K285=""),"",$K285*12+N($L285))</f>
        <v/>
      </c>
      <c r="BB285" s="49">
        <f>IF(OR($A285="",$M285=""),"",$M285*12+N($N285))</f>
        <v/>
      </c>
      <c r="BC285" s="49">
        <f>IF($A285="","",IF(OR($C285="FRAME ONLY",$S285="BL"),0,IF($O285="Y",2,1)))</f>
        <v/>
      </c>
      <c r="BD285" s="51">
        <f>IF(OR(N($BC285)=0,$BA285=""),"",($BA285-2*EdgeClr-IF($BC285=2,MeetClr,0))/$BC285)</f>
        <v/>
      </c>
      <c r="BE285" s="51">
        <f>IF(OR(N($BC285)=0,$BB285=""),"",$BB285-HeadClr-Undercut)</f>
        <v/>
      </c>
      <c r="BF285" s="51">
        <f>IF($BA285="","",$BA285+2*FaceW+IF(N($Q285)&gt;0,($Q285+FaceW)*IF($R285="LR",2,1),0))</f>
        <v/>
      </c>
      <c r="BG285" s="51">
        <f>IF($BB285="","",$BB285+IF($AB285="Y",4,FaceW)+IF(N($P285)&gt;0,$P285+FaceW,0)+IF(OR($S285="4F",$S285="BL"),FaceW,0))</f>
        <v/>
      </c>
      <c r="BH285" s="51">
        <f>IF($BF285="","",$BF285+2*ROSide)</f>
        <v/>
      </c>
      <c r="BI285" s="51">
        <f>IF($BG285="","",$BG285+ROTop)</f>
        <v/>
      </c>
      <c r="BJ285" s="52">
        <f>IF(OR(N($BC285)=0,$BA285=""),"",$BA285/$BC285-ClearDeduct)</f>
        <v/>
      </c>
      <c r="BK285" s="49">
        <f>IF(OR(N($BC285)=0,$BE285=""),"",IF(OR($AC285="HGC",$AP285="HGC"),"CONT",IF($BE285&lt;=60,2,IF($BE285&lt;=90,3,IF($BE285&lt;=120,4,5)))))</f>
        <v/>
      </c>
      <c r="BL285" s="49">
        <f>IF(N($BC285)=0,"",IF(OR($AL285="",$AL285="FLUSH"),"FLUSH",IFERROR(LEFT($AL285,FIND("-",$AL285)-1),LEFT($AL285,2))))</f>
        <v/>
      </c>
      <c r="BM285" s="49">
        <f>IF($BL285="","",IFERROR(VALUE(MID($AL285,FIND("-",$AL285)+1,FIND(CHAR(34)&amp;"x",$AL285)-FIND("-",$AL285)-1)),0))</f>
        <v/>
      </c>
      <c r="BN285" s="49">
        <f>IF($BL285="","",IFERROR(VALUE(MID($AL285,FIND(CHAR(34)&amp;"x",$AL285)+2,FIND(CHAR(34),$AL285,FIND(CHAR(34)&amp;"x",$AL285)+2)-FIND(CHAR(34)&amp;"x",$AL285)-2)),0))</f>
        <v/>
      </c>
      <c r="BO285" s="53">
        <f>IF(OR($A285="",$H285="",$H285="NO LAB"),0,IFERROR(VALUE(LEFT($H285,FIND(" ",$H285)-1)),0))</f>
        <v/>
      </c>
      <c r="BP285" s="54">
        <f>IF(OR($A285="",$I285="",$I285="NON-RATED",N($J285)=0),"",IFERROR(VLOOKUP($I285&amp;"|"&amp;$J285,IBC,2,FALSE),"?"))</f>
        <v/>
      </c>
      <c r="BQ285" s="50">
        <f>IF(NOT(AND($A285&lt;&gt;"",$C285&lt;&gt;"DOOR ONLY")),"",TRIM(IFERROR(VLOOKUP($U285,CODES,2,FALSE),"")&amp;" "&amp;$AZ285&amp;" "&amp;IFERROR(VLOOKUP($Z285,CODES,2,FALSE),"")&amp;" "&amp;IFERROR(VLOOKUP($X285,CODES,2,FALSE),"")&amp;" "&amp;IFERROR(VLOOKUP($S285,CODES,2,FALSE),"")&amp;IF(N($P285)&gt;0," w/TRANSOM "&amp;$P285&amp;CHAR(34),"")&amp;IF(N($Q285)&gt;0," w/SIDELITE "&amp;$Q285&amp;CHAR(34)&amp;" "&amp;IF($R285="","R",$R285),"")&amp;IF($Y285="","  |  "," | "&amp;IFERROR(VLOOKUP($Y285,CODES,2,FALSE),"")&amp;" | ")&amp;IFERROR(VLOOKUP($AC285,CODES,2,FALSE),"")&amp;" "&amp;IFERROR(VLOOKUP($AD285,CODES,2,FALSE),"")&amp;IF(OR($AE285="",$AE285="-"),""," "&amp;$AE285)&amp;IF(OR($AF285="",$AF285="-"),""," "&amp;$AF285)&amp;IF($AB285="Y"," 4"&amp;CHAR(34)&amp;" HEAD","")&amp;" "&amp;IFERROR(VLOOKUP($H285,CODES,2,FALSE),"")))</f>
        <v/>
      </c>
      <c r="BR285" s="50">
        <f>IF(NOT(AND($A285&lt;&gt;"",N($BC285)&gt;0)),"",TRIM(IFERROR(VLOOKUP($AH285,CODES,2,FALSE),"")&amp;IF($AI285=""," "," "&amp;$AI285&amp;"GA ")&amp;$AZ285&amp;" "&amp;IF($AN285="",IFERROR(VLOOKUP($Z285,CODES,2,FALSE),""),IFERROR(VLOOKUP($AN285,CODES,2,FALSE),""))&amp;IF($BC285=2," PAIR","")&amp;" DOOR | "&amp;IF($AL285="","?",$AL285)&amp;" | "&amp;IF($AP285="",IFERROR(VLOOKUP($AC285,CODES,2,FALSE),""),IFERROR(VLOOKUP($AP285,CODES,2,FALSE),""))&amp;" "&amp;IFERROR(VLOOKUP($AQ285,CODES,2,FALSE),"")&amp;IF(OR($AR285="",$AR285="-"),""," SEAM "&amp;$AR285)&amp;IF($AS285="Y"," ASTRAGAL","")&amp;IF($AJ285=""," "," "&amp;$AJ285)&amp;IF($AK285=""," "," "&amp;$AK285)&amp;IF($AO285="",""," "&amp;$AO285)&amp;IF($AM285=""," "," SERIES "&amp;$AM285)&amp;" "&amp;IFERROR(VLOOKUP($H285,CODES,2,FALSE),"")))</f>
        <v/>
      </c>
      <c r="BS285" s="49">
        <f>IF(BV285="","",IF(COUNTIF($BV$6:BV285,BV285)=1,MAX($BS$5:BS284)+1,INDEX($BS$5:BS284,MATCH(BV285,$BV$5:BV284,0))))</f>
        <v/>
      </c>
      <c r="BT285" s="49">
        <f>IF(NOT(AND($A285&lt;&gt;"",$C285&lt;&gt;"DOOR ONLY")),"",MAX($BT$5:BT284)+1)</f>
        <v/>
      </c>
      <c r="BU285" s="49">
        <f>IF(NOT(AND($A285&lt;&gt;"",N($BC285)&gt;0)),"",MAX($BU$5:BU284)+1)</f>
        <v/>
      </c>
      <c r="BV285" s="49">
        <f>IF(OR($A285="",$BA285="",$BB285=""),"",$AZ285&amp;"|"&amp;$O285&amp;"|"&amp;$AL285&amp;"|"&amp;$S285&amp;"|"&amp;$P285&amp;"|"&amp;$Q285&amp;$R285&amp;"|"&amp;$C285&amp;"|"&amp;$AB285)</f>
        <v/>
      </c>
      <c r="BW285" s="49">
        <f>IF($A285="","",IF($B285="","qty, ","")&amp;IF($C285="","scope, ","")&amp;IF(OR($K285="",$M285=""),"size, ","")&amp;IF(AND($A285&lt;&gt;"",$C285&lt;&gt;"DOOR ONLY"),IF($U285="","jamb depth, ","")&amp;IF($X285="","construction, ","")&amp;IF($Y285="","anchor, ","")&amp;IF($S285="","frame type, ",""),"")&amp;IF(AND(N($BC285)&gt;0,$Z285=""),"hand, ","")&amp;IF(N($BC285)&gt;0,IF($AH285="","door material, ","")&amp;IF($AL285="","face type, ","")&amp;IF($AQ285="","lock prep, ","")&amp;IF(AND($AP285="",$AC285=""),"hinge prep, ",""),"")&amp;IF(AND($BO285&gt;0,$AH285="FRP"),"FRP cannot carry a label, ","")&amp;IF(AND($O285="Y",OR($Z285="L",$Z285="R",$Z285="LR",$Z285="RR")),"pair marked but hand is single, ","")&amp;IF(AND($O285&lt;&gt;"Y",OR($Z285="PR",AND(LEN($Z285)&gt;1,ISNUMBER(SEARCH("-",$Z285))))),"pair hand on a single door, ","")&amp;IF(AND(ISNUMBER($BP285),$BO285&lt;N($BP285)),"wall needs a "&amp;$BP285&amp;" min door, ","")&amp;IF(AND($BO285&gt;=180,AND(OR($BL285="FG",$BL285="HG",$BL285="FNV",$BL285="FV"),N($BM285)*N($BN285)&gt;100)),"180 min lite over 100 sq in, ","")&amp;IF(N($BD285)&gt;48,"leaf wider than 4'-0"&amp;CHAR(34)&amp;", ",""))</f>
        <v/>
      </c>
      <c r="BX285" s="49">
        <f>IF($A285="","",IF(AND($BO285&gt;0,AND($A285&lt;&gt;"",$C285&lt;&gt;"DOOR ONLY"),$X285="KD",$E285="EXTERIOR"),"KD label on an exterior opening, ","")&amp;IF(AND($E285="EXTERIOR",OR(AND(AND($A285&lt;&gt;"",$C285&lt;&gt;"DOOR ONLY"),$W285="CR"),AND(N($BC285)&gt;0,$AH285="CR"))),"exterior in CR steel (G9?), ","")&amp;IF(AND(ISNUMBER($BJ285),N($BJ285)&lt;32),"clear width ~"&amp;TEXT($BJ285,"0.0")&amp;CHAR(34)&amp;" under 32"&amp;CHAR(34)&amp;" (ADA), ","")&amp;IF(AND($BO285=90,AND(OR($BL285="FG",$BL285="HG",$BL285="FNV",$BL285="FV"),N($BM285)*N($BN285)&gt;100)),"90 min lite over 100 sq in (stair/exit), ","")&amp;IF(AND($BO285&gt;0,AND($A285&lt;&gt;"",$C285&lt;&gt;"DOOR ONLY"),OR($AF285="",$AF285="-")),"rated: closer reinf.?, ","")&amp;IF(OR($I285="CORRIDOR",$I285="SMOKE BARRIER"),"S label + smoke gasketing, ","")&amp;IF($BP285="?","wall type/hr not in IBC table, ","")&amp;IF(AND(N($BC285)&gt;0,$AU285=""),"no hardware set, ","")&amp;IF(AND($AU285&lt;&gt;"",ISNA(MATCH($AU285,HWSets,0))),"set "&amp;$AU285&amp;" not on Hardware sheet, ","")&amp;IF(N($BE285)&gt;96,"leaf over 8'-0"&amp;CHAR(34)&amp;" - check listing, ",""))</f>
        <v/>
      </c>
    </row>
    <row r="286" ht="15" customHeight="1">
      <c r="A286" s="44" t="n"/>
      <c r="B286" s="45" t="n"/>
      <c r="C286" s="45" t="n"/>
      <c r="D286" s="45" t="n"/>
      <c r="E286" s="45" t="n"/>
      <c r="F286" s="45" t="n"/>
      <c r="G286" s="45" t="n"/>
      <c r="H286" s="45" t="n"/>
      <c r="I286" s="45" t="n"/>
      <c r="J286" s="45" t="n"/>
      <c r="K286" s="45" t="n"/>
      <c r="L286" s="45" t="n"/>
      <c r="M286" s="45" t="n"/>
      <c r="N286" s="45" t="n"/>
      <c r="O286" s="45" t="n"/>
      <c r="P286" s="45" t="n"/>
      <c r="Q286" s="45" t="n"/>
      <c r="R286" s="45" t="n"/>
      <c r="S286" s="46" t="n"/>
      <c r="T286" s="46" t="n"/>
      <c r="U286" s="46" t="n"/>
      <c r="V286" s="46" t="n"/>
      <c r="W286" s="46" t="n"/>
      <c r="X286" s="46" t="n"/>
      <c r="Y286" s="46" t="n"/>
      <c r="Z286" s="46" t="n"/>
      <c r="AA286" s="46" t="n"/>
      <c r="AB286" s="46" t="n"/>
      <c r="AC286" s="46" t="n"/>
      <c r="AD286" s="46" t="n"/>
      <c r="AE286" s="46" t="n"/>
      <c r="AF286" s="46" t="n"/>
      <c r="AG286" s="46" t="n"/>
      <c r="AH286" s="47" t="n"/>
      <c r="AI286" s="47" t="n"/>
      <c r="AJ286" s="47" t="n"/>
      <c r="AK286" s="47" t="n"/>
      <c r="AL286" s="47" t="n"/>
      <c r="AM286" s="47" t="n"/>
      <c r="AN286" s="47" t="n"/>
      <c r="AO286" s="47" t="n"/>
      <c r="AP286" s="47" t="n"/>
      <c r="AQ286" s="47" t="n"/>
      <c r="AR286" s="47" t="n"/>
      <c r="AS286" s="47" t="n"/>
      <c r="AT286" s="47" t="n"/>
      <c r="AU286" s="48" t="n"/>
      <c r="AV286" s="48" t="n"/>
      <c r="AW286" s="49">
        <f>IF($A286="","",IF($BW286&lt;&gt;"","FIX",IF($BX286&lt;&gt;"","CHECK","OK")))</f>
        <v/>
      </c>
      <c r="AX286" s="50">
        <f>IF($A286="","",IF($BW286&lt;&gt;"","FIX: "&amp;LEFT($BW286,LEN($BW286)-2)&amp;IF($BX286&lt;&gt;"","  ·  ",""),"")&amp;IF($BX286&lt;&gt;"","CHECK: "&amp;LEFT($BX286,LEN($BX286)-2),""))</f>
        <v/>
      </c>
      <c r="AY286" s="49">
        <f>IF(OR($A286="",$K286=""),"",$K286&amp;"'-"&amp;N($L286)&amp;CHAR(34)&amp;" x "&amp;$M286&amp;"'-"&amp;N($N286)&amp;CHAR(34))</f>
        <v/>
      </c>
      <c r="AZ286" s="49">
        <f>IF(OR($A286="",$K286=""),"",$K286&amp;N($L286)&amp;$M286&amp;N($N286))</f>
        <v/>
      </c>
      <c r="BA286" s="49">
        <f>IF(OR($A286="",$K286=""),"",$K286*12+N($L286))</f>
        <v/>
      </c>
      <c r="BB286" s="49">
        <f>IF(OR($A286="",$M286=""),"",$M286*12+N($N286))</f>
        <v/>
      </c>
      <c r="BC286" s="49">
        <f>IF($A286="","",IF(OR($C286="FRAME ONLY",$S286="BL"),0,IF($O286="Y",2,1)))</f>
        <v/>
      </c>
      <c r="BD286" s="51">
        <f>IF(OR(N($BC286)=0,$BA286=""),"",($BA286-2*EdgeClr-IF($BC286=2,MeetClr,0))/$BC286)</f>
        <v/>
      </c>
      <c r="BE286" s="51">
        <f>IF(OR(N($BC286)=0,$BB286=""),"",$BB286-HeadClr-Undercut)</f>
        <v/>
      </c>
      <c r="BF286" s="51">
        <f>IF($BA286="","",$BA286+2*FaceW+IF(N($Q286)&gt;0,($Q286+FaceW)*IF($R286="LR",2,1),0))</f>
        <v/>
      </c>
      <c r="BG286" s="51">
        <f>IF($BB286="","",$BB286+IF($AB286="Y",4,FaceW)+IF(N($P286)&gt;0,$P286+FaceW,0)+IF(OR($S286="4F",$S286="BL"),FaceW,0))</f>
        <v/>
      </c>
      <c r="BH286" s="51">
        <f>IF($BF286="","",$BF286+2*ROSide)</f>
        <v/>
      </c>
      <c r="BI286" s="51">
        <f>IF($BG286="","",$BG286+ROTop)</f>
        <v/>
      </c>
      <c r="BJ286" s="52">
        <f>IF(OR(N($BC286)=0,$BA286=""),"",$BA286/$BC286-ClearDeduct)</f>
        <v/>
      </c>
      <c r="BK286" s="49">
        <f>IF(OR(N($BC286)=0,$BE286=""),"",IF(OR($AC286="HGC",$AP286="HGC"),"CONT",IF($BE286&lt;=60,2,IF($BE286&lt;=90,3,IF($BE286&lt;=120,4,5)))))</f>
        <v/>
      </c>
      <c r="BL286" s="49">
        <f>IF(N($BC286)=0,"",IF(OR($AL286="",$AL286="FLUSH"),"FLUSH",IFERROR(LEFT($AL286,FIND("-",$AL286)-1),LEFT($AL286,2))))</f>
        <v/>
      </c>
      <c r="BM286" s="49">
        <f>IF($BL286="","",IFERROR(VALUE(MID($AL286,FIND("-",$AL286)+1,FIND(CHAR(34)&amp;"x",$AL286)-FIND("-",$AL286)-1)),0))</f>
        <v/>
      </c>
      <c r="BN286" s="49">
        <f>IF($BL286="","",IFERROR(VALUE(MID($AL286,FIND(CHAR(34)&amp;"x",$AL286)+2,FIND(CHAR(34),$AL286,FIND(CHAR(34)&amp;"x",$AL286)+2)-FIND(CHAR(34)&amp;"x",$AL286)-2)),0))</f>
        <v/>
      </c>
      <c r="BO286" s="53">
        <f>IF(OR($A286="",$H286="",$H286="NO LAB"),0,IFERROR(VALUE(LEFT($H286,FIND(" ",$H286)-1)),0))</f>
        <v/>
      </c>
      <c r="BP286" s="54">
        <f>IF(OR($A286="",$I286="",$I286="NON-RATED",N($J286)=0),"",IFERROR(VLOOKUP($I286&amp;"|"&amp;$J286,IBC,2,FALSE),"?"))</f>
        <v/>
      </c>
      <c r="BQ286" s="50">
        <f>IF(NOT(AND($A286&lt;&gt;"",$C286&lt;&gt;"DOOR ONLY")),"",TRIM(IFERROR(VLOOKUP($U286,CODES,2,FALSE),"")&amp;" "&amp;$AZ286&amp;" "&amp;IFERROR(VLOOKUP($Z286,CODES,2,FALSE),"")&amp;" "&amp;IFERROR(VLOOKUP($X286,CODES,2,FALSE),"")&amp;" "&amp;IFERROR(VLOOKUP($S286,CODES,2,FALSE),"")&amp;IF(N($P286)&gt;0," w/TRANSOM "&amp;$P286&amp;CHAR(34),"")&amp;IF(N($Q286)&gt;0," w/SIDELITE "&amp;$Q286&amp;CHAR(34)&amp;" "&amp;IF($R286="","R",$R286),"")&amp;IF($Y286="","  |  "," | "&amp;IFERROR(VLOOKUP($Y286,CODES,2,FALSE),"")&amp;" | ")&amp;IFERROR(VLOOKUP($AC286,CODES,2,FALSE),"")&amp;" "&amp;IFERROR(VLOOKUP($AD286,CODES,2,FALSE),"")&amp;IF(OR($AE286="",$AE286="-"),""," "&amp;$AE286)&amp;IF(OR($AF286="",$AF286="-"),""," "&amp;$AF286)&amp;IF($AB286="Y"," 4"&amp;CHAR(34)&amp;" HEAD","")&amp;" "&amp;IFERROR(VLOOKUP($H286,CODES,2,FALSE),"")))</f>
        <v/>
      </c>
      <c r="BR286" s="50">
        <f>IF(NOT(AND($A286&lt;&gt;"",N($BC286)&gt;0)),"",TRIM(IFERROR(VLOOKUP($AH286,CODES,2,FALSE),"")&amp;IF($AI286=""," "," "&amp;$AI286&amp;"GA ")&amp;$AZ286&amp;" "&amp;IF($AN286="",IFERROR(VLOOKUP($Z286,CODES,2,FALSE),""),IFERROR(VLOOKUP($AN286,CODES,2,FALSE),""))&amp;IF($BC286=2," PAIR","")&amp;" DOOR | "&amp;IF($AL286="","?",$AL286)&amp;" | "&amp;IF($AP286="",IFERROR(VLOOKUP($AC286,CODES,2,FALSE),""),IFERROR(VLOOKUP($AP286,CODES,2,FALSE),""))&amp;" "&amp;IFERROR(VLOOKUP($AQ286,CODES,2,FALSE),"")&amp;IF(OR($AR286="",$AR286="-"),""," SEAM "&amp;$AR286)&amp;IF($AS286="Y"," ASTRAGAL","")&amp;IF($AJ286=""," "," "&amp;$AJ286)&amp;IF($AK286=""," "," "&amp;$AK286)&amp;IF($AO286="",""," "&amp;$AO286)&amp;IF($AM286=""," "," SERIES "&amp;$AM286)&amp;" "&amp;IFERROR(VLOOKUP($H286,CODES,2,FALSE),"")))</f>
        <v/>
      </c>
      <c r="BS286" s="49">
        <f>IF(BV286="","",IF(COUNTIF($BV$6:BV286,BV286)=1,MAX($BS$5:BS285)+1,INDEX($BS$5:BS285,MATCH(BV286,$BV$5:BV285,0))))</f>
        <v/>
      </c>
      <c r="BT286" s="49">
        <f>IF(NOT(AND($A286&lt;&gt;"",$C286&lt;&gt;"DOOR ONLY")),"",MAX($BT$5:BT285)+1)</f>
        <v/>
      </c>
      <c r="BU286" s="49">
        <f>IF(NOT(AND($A286&lt;&gt;"",N($BC286)&gt;0)),"",MAX($BU$5:BU285)+1)</f>
        <v/>
      </c>
      <c r="BV286" s="49">
        <f>IF(OR($A286="",$BA286="",$BB286=""),"",$AZ286&amp;"|"&amp;$O286&amp;"|"&amp;$AL286&amp;"|"&amp;$S286&amp;"|"&amp;$P286&amp;"|"&amp;$Q286&amp;$R286&amp;"|"&amp;$C286&amp;"|"&amp;$AB286)</f>
        <v/>
      </c>
      <c r="BW286" s="49">
        <f>IF($A286="","",IF($B286="","qty, ","")&amp;IF($C286="","scope, ","")&amp;IF(OR($K286="",$M286=""),"size, ","")&amp;IF(AND($A286&lt;&gt;"",$C286&lt;&gt;"DOOR ONLY"),IF($U286="","jamb depth, ","")&amp;IF($X286="","construction, ","")&amp;IF($Y286="","anchor, ","")&amp;IF($S286="","frame type, ",""),"")&amp;IF(AND(N($BC286)&gt;0,$Z286=""),"hand, ","")&amp;IF(N($BC286)&gt;0,IF($AH286="","door material, ","")&amp;IF($AL286="","face type, ","")&amp;IF($AQ286="","lock prep, ","")&amp;IF(AND($AP286="",$AC286=""),"hinge prep, ",""),"")&amp;IF(AND($BO286&gt;0,$AH286="FRP"),"FRP cannot carry a label, ","")&amp;IF(AND($O286="Y",OR($Z286="L",$Z286="R",$Z286="LR",$Z286="RR")),"pair marked but hand is single, ","")&amp;IF(AND($O286&lt;&gt;"Y",OR($Z286="PR",AND(LEN($Z286)&gt;1,ISNUMBER(SEARCH("-",$Z286))))),"pair hand on a single door, ","")&amp;IF(AND(ISNUMBER($BP286),$BO286&lt;N($BP286)),"wall needs a "&amp;$BP286&amp;" min door, ","")&amp;IF(AND($BO286&gt;=180,AND(OR($BL286="FG",$BL286="HG",$BL286="FNV",$BL286="FV"),N($BM286)*N($BN286)&gt;100)),"180 min lite over 100 sq in, ","")&amp;IF(N($BD286)&gt;48,"leaf wider than 4'-0"&amp;CHAR(34)&amp;", ",""))</f>
        <v/>
      </c>
      <c r="BX286" s="49">
        <f>IF($A286="","",IF(AND($BO286&gt;0,AND($A286&lt;&gt;"",$C286&lt;&gt;"DOOR ONLY"),$X286="KD",$E286="EXTERIOR"),"KD label on an exterior opening, ","")&amp;IF(AND($E286="EXTERIOR",OR(AND(AND($A286&lt;&gt;"",$C286&lt;&gt;"DOOR ONLY"),$W286="CR"),AND(N($BC286)&gt;0,$AH286="CR"))),"exterior in CR steel (G9?), ","")&amp;IF(AND(ISNUMBER($BJ286),N($BJ286)&lt;32),"clear width ~"&amp;TEXT($BJ286,"0.0")&amp;CHAR(34)&amp;" under 32"&amp;CHAR(34)&amp;" (ADA), ","")&amp;IF(AND($BO286=90,AND(OR($BL286="FG",$BL286="HG",$BL286="FNV",$BL286="FV"),N($BM286)*N($BN286)&gt;100)),"90 min lite over 100 sq in (stair/exit), ","")&amp;IF(AND($BO286&gt;0,AND($A286&lt;&gt;"",$C286&lt;&gt;"DOOR ONLY"),OR($AF286="",$AF286="-")),"rated: closer reinf.?, ","")&amp;IF(OR($I286="CORRIDOR",$I286="SMOKE BARRIER"),"S label + smoke gasketing, ","")&amp;IF($BP286="?","wall type/hr not in IBC table, ","")&amp;IF(AND(N($BC286)&gt;0,$AU286=""),"no hardware set, ","")&amp;IF(AND($AU286&lt;&gt;"",ISNA(MATCH($AU286,HWSets,0))),"set "&amp;$AU286&amp;" not on Hardware sheet, ","")&amp;IF(N($BE286)&gt;96,"leaf over 8'-0"&amp;CHAR(34)&amp;" - check listing, ",""))</f>
        <v/>
      </c>
    </row>
    <row r="287" ht="15" customHeight="1">
      <c r="A287" s="44" t="n"/>
      <c r="B287" s="45" t="n"/>
      <c r="C287" s="45" t="n"/>
      <c r="D287" s="45" t="n"/>
      <c r="E287" s="45" t="n"/>
      <c r="F287" s="45" t="n"/>
      <c r="G287" s="45" t="n"/>
      <c r="H287" s="45" t="n"/>
      <c r="I287" s="45" t="n"/>
      <c r="J287" s="45" t="n"/>
      <c r="K287" s="45" t="n"/>
      <c r="L287" s="45" t="n"/>
      <c r="M287" s="45" t="n"/>
      <c r="N287" s="45" t="n"/>
      <c r="O287" s="45" t="n"/>
      <c r="P287" s="45" t="n"/>
      <c r="Q287" s="45" t="n"/>
      <c r="R287" s="45" t="n"/>
      <c r="S287" s="46" t="n"/>
      <c r="T287" s="46" t="n"/>
      <c r="U287" s="46" t="n"/>
      <c r="V287" s="46" t="n"/>
      <c r="W287" s="46" t="n"/>
      <c r="X287" s="46" t="n"/>
      <c r="Y287" s="46" t="n"/>
      <c r="Z287" s="46" t="n"/>
      <c r="AA287" s="46" t="n"/>
      <c r="AB287" s="46" t="n"/>
      <c r="AC287" s="46" t="n"/>
      <c r="AD287" s="46" t="n"/>
      <c r="AE287" s="46" t="n"/>
      <c r="AF287" s="46" t="n"/>
      <c r="AG287" s="46" t="n"/>
      <c r="AH287" s="47" t="n"/>
      <c r="AI287" s="47" t="n"/>
      <c r="AJ287" s="47" t="n"/>
      <c r="AK287" s="47" t="n"/>
      <c r="AL287" s="47" t="n"/>
      <c r="AM287" s="47" t="n"/>
      <c r="AN287" s="47" t="n"/>
      <c r="AO287" s="47" t="n"/>
      <c r="AP287" s="47" t="n"/>
      <c r="AQ287" s="47" t="n"/>
      <c r="AR287" s="47" t="n"/>
      <c r="AS287" s="47" t="n"/>
      <c r="AT287" s="47" t="n"/>
      <c r="AU287" s="48" t="n"/>
      <c r="AV287" s="48" t="n"/>
      <c r="AW287" s="49">
        <f>IF($A287="","",IF($BW287&lt;&gt;"","FIX",IF($BX287&lt;&gt;"","CHECK","OK")))</f>
        <v/>
      </c>
      <c r="AX287" s="50">
        <f>IF($A287="","",IF($BW287&lt;&gt;"","FIX: "&amp;LEFT($BW287,LEN($BW287)-2)&amp;IF($BX287&lt;&gt;"","  ·  ",""),"")&amp;IF($BX287&lt;&gt;"","CHECK: "&amp;LEFT($BX287,LEN($BX287)-2),""))</f>
        <v/>
      </c>
      <c r="AY287" s="49">
        <f>IF(OR($A287="",$K287=""),"",$K287&amp;"'-"&amp;N($L287)&amp;CHAR(34)&amp;" x "&amp;$M287&amp;"'-"&amp;N($N287)&amp;CHAR(34))</f>
        <v/>
      </c>
      <c r="AZ287" s="49">
        <f>IF(OR($A287="",$K287=""),"",$K287&amp;N($L287)&amp;$M287&amp;N($N287))</f>
        <v/>
      </c>
      <c r="BA287" s="49">
        <f>IF(OR($A287="",$K287=""),"",$K287*12+N($L287))</f>
        <v/>
      </c>
      <c r="BB287" s="49">
        <f>IF(OR($A287="",$M287=""),"",$M287*12+N($N287))</f>
        <v/>
      </c>
      <c r="BC287" s="49">
        <f>IF($A287="","",IF(OR($C287="FRAME ONLY",$S287="BL"),0,IF($O287="Y",2,1)))</f>
        <v/>
      </c>
      <c r="BD287" s="51">
        <f>IF(OR(N($BC287)=0,$BA287=""),"",($BA287-2*EdgeClr-IF($BC287=2,MeetClr,0))/$BC287)</f>
        <v/>
      </c>
      <c r="BE287" s="51">
        <f>IF(OR(N($BC287)=0,$BB287=""),"",$BB287-HeadClr-Undercut)</f>
        <v/>
      </c>
      <c r="BF287" s="51">
        <f>IF($BA287="","",$BA287+2*FaceW+IF(N($Q287)&gt;0,($Q287+FaceW)*IF($R287="LR",2,1),0))</f>
        <v/>
      </c>
      <c r="BG287" s="51">
        <f>IF($BB287="","",$BB287+IF($AB287="Y",4,FaceW)+IF(N($P287)&gt;0,$P287+FaceW,0)+IF(OR($S287="4F",$S287="BL"),FaceW,0))</f>
        <v/>
      </c>
      <c r="BH287" s="51">
        <f>IF($BF287="","",$BF287+2*ROSide)</f>
        <v/>
      </c>
      <c r="BI287" s="51">
        <f>IF($BG287="","",$BG287+ROTop)</f>
        <v/>
      </c>
      <c r="BJ287" s="52">
        <f>IF(OR(N($BC287)=0,$BA287=""),"",$BA287/$BC287-ClearDeduct)</f>
        <v/>
      </c>
      <c r="BK287" s="49">
        <f>IF(OR(N($BC287)=0,$BE287=""),"",IF(OR($AC287="HGC",$AP287="HGC"),"CONT",IF($BE287&lt;=60,2,IF($BE287&lt;=90,3,IF($BE287&lt;=120,4,5)))))</f>
        <v/>
      </c>
      <c r="BL287" s="49">
        <f>IF(N($BC287)=0,"",IF(OR($AL287="",$AL287="FLUSH"),"FLUSH",IFERROR(LEFT($AL287,FIND("-",$AL287)-1),LEFT($AL287,2))))</f>
        <v/>
      </c>
      <c r="BM287" s="49">
        <f>IF($BL287="","",IFERROR(VALUE(MID($AL287,FIND("-",$AL287)+1,FIND(CHAR(34)&amp;"x",$AL287)-FIND("-",$AL287)-1)),0))</f>
        <v/>
      </c>
      <c r="BN287" s="49">
        <f>IF($BL287="","",IFERROR(VALUE(MID($AL287,FIND(CHAR(34)&amp;"x",$AL287)+2,FIND(CHAR(34),$AL287,FIND(CHAR(34)&amp;"x",$AL287)+2)-FIND(CHAR(34)&amp;"x",$AL287)-2)),0))</f>
        <v/>
      </c>
      <c r="BO287" s="53">
        <f>IF(OR($A287="",$H287="",$H287="NO LAB"),0,IFERROR(VALUE(LEFT($H287,FIND(" ",$H287)-1)),0))</f>
        <v/>
      </c>
      <c r="BP287" s="54">
        <f>IF(OR($A287="",$I287="",$I287="NON-RATED",N($J287)=0),"",IFERROR(VLOOKUP($I287&amp;"|"&amp;$J287,IBC,2,FALSE),"?"))</f>
        <v/>
      </c>
      <c r="BQ287" s="50">
        <f>IF(NOT(AND($A287&lt;&gt;"",$C287&lt;&gt;"DOOR ONLY")),"",TRIM(IFERROR(VLOOKUP($U287,CODES,2,FALSE),"")&amp;" "&amp;$AZ287&amp;" "&amp;IFERROR(VLOOKUP($Z287,CODES,2,FALSE),"")&amp;" "&amp;IFERROR(VLOOKUP($X287,CODES,2,FALSE),"")&amp;" "&amp;IFERROR(VLOOKUP($S287,CODES,2,FALSE),"")&amp;IF(N($P287)&gt;0," w/TRANSOM "&amp;$P287&amp;CHAR(34),"")&amp;IF(N($Q287)&gt;0," w/SIDELITE "&amp;$Q287&amp;CHAR(34)&amp;" "&amp;IF($R287="","R",$R287),"")&amp;IF($Y287="","  |  "," | "&amp;IFERROR(VLOOKUP($Y287,CODES,2,FALSE),"")&amp;" | ")&amp;IFERROR(VLOOKUP($AC287,CODES,2,FALSE),"")&amp;" "&amp;IFERROR(VLOOKUP($AD287,CODES,2,FALSE),"")&amp;IF(OR($AE287="",$AE287="-"),""," "&amp;$AE287)&amp;IF(OR($AF287="",$AF287="-"),""," "&amp;$AF287)&amp;IF($AB287="Y"," 4"&amp;CHAR(34)&amp;" HEAD","")&amp;" "&amp;IFERROR(VLOOKUP($H287,CODES,2,FALSE),"")))</f>
        <v/>
      </c>
      <c r="BR287" s="50">
        <f>IF(NOT(AND($A287&lt;&gt;"",N($BC287)&gt;0)),"",TRIM(IFERROR(VLOOKUP($AH287,CODES,2,FALSE),"")&amp;IF($AI287=""," "," "&amp;$AI287&amp;"GA ")&amp;$AZ287&amp;" "&amp;IF($AN287="",IFERROR(VLOOKUP($Z287,CODES,2,FALSE),""),IFERROR(VLOOKUP($AN287,CODES,2,FALSE),""))&amp;IF($BC287=2," PAIR","")&amp;" DOOR | "&amp;IF($AL287="","?",$AL287)&amp;" | "&amp;IF($AP287="",IFERROR(VLOOKUP($AC287,CODES,2,FALSE),""),IFERROR(VLOOKUP($AP287,CODES,2,FALSE),""))&amp;" "&amp;IFERROR(VLOOKUP($AQ287,CODES,2,FALSE),"")&amp;IF(OR($AR287="",$AR287="-"),""," SEAM "&amp;$AR287)&amp;IF($AS287="Y"," ASTRAGAL","")&amp;IF($AJ287=""," "," "&amp;$AJ287)&amp;IF($AK287=""," "," "&amp;$AK287)&amp;IF($AO287="",""," "&amp;$AO287)&amp;IF($AM287=""," "," SERIES "&amp;$AM287)&amp;" "&amp;IFERROR(VLOOKUP($H287,CODES,2,FALSE),"")))</f>
        <v/>
      </c>
      <c r="BS287" s="49">
        <f>IF(BV287="","",IF(COUNTIF($BV$6:BV287,BV287)=1,MAX($BS$5:BS286)+1,INDEX($BS$5:BS286,MATCH(BV287,$BV$5:BV286,0))))</f>
        <v/>
      </c>
      <c r="BT287" s="49">
        <f>IF(NOT(AND($A287&lt;&gt;"",$C287&lt;&gt;"DOOR ONLY")),"",MAX($BT$5:BT286)+1)</f>
        <v/>
      </c>
      <c r="BU287" s="49">
        <f>IF(NOT(AND($A287&lt;&gt;"",N($BC287)&gt;0)),"",MAX($BU$5:BU286)+1)</f>
        <v/>
      </c>
      <c r="BV287" s="49">
        <f>IF(OR($A287="",$BA287="",$BB287=""),"",$AZ287&amp;"|"&amp;$O287&amp;"|"&amp;$AL287&amp;"|"&amp;$S287&amp;"|"&amp;$P287&amp;"|"&amp;$Q287&amp;$R287&amp;"|"&amp;$C287&amp;"|"&amp;$AB287)</f>
        <v/>
      </c>
      <c r="BW287" s="49">
        <f>IF($A287="","",IF($B287="","qty, ","")&amp;IF($C287="","scope, ","")&amp;IF(OR($K287="",$M287=""),"size, ","")&amp;IF(AND($A287&lt;&gt;"",$C287&lt;&gt;"DOOR ONLY"),IF($U287="","jamb depth, ","")&amp;IF($X287="","construction, ","")&amp;IF($Y287="","anchor, ","")&amp;IF($S287="","frame type, ",""),"")&amp;IF(AND(N($BC287)&gt;0,$Z287=""),"hand, ","")&amp;IF(N($BC287)&gt;0,IF($AH287="","door material, ","")&amp;IF($AL287="","face type, ","")&amp;IF($AQ287="","lock prep, ","")&amp;IF(AND($AP287="",$AC287=""),"hinge prep, ",""),"")&amp;IF(AND($BO287&gt;0,$AH287="FRP"),"FRP cannot carry a label, ","")&amp;IF(AND($O287="Y",OR($Z287="L",$Z287="R",$Z287="LR",$Z287="RR")),"pair marked but hand is single, ","")&amp;IF(AND($O287&lt;&gt;"Y",OR($Z287="PR",AND(LEN($Z287)&gt;1,ISNUMBER(SEARCH("-",$Z287))))),"pair hand on a single door, ","")&amp;IF(AND(ISNUMBER($BP287),$BO287&lt;N($BP287)),"wall needs a "&amp;$BP287&amp;" min door, ","")&amp;IF(AND($BO287&gt;=180,AND(OR($BL287="FG",$BL287="HG",$BL287="FNV",$BL287="FV"),N($BM287)*N($BN287)&gt;100)),"180 min lite over 100 sq in, ","")&amp;IF(N($BD287)&gt;48,"leaf wider than 4'-0"&amp;CHAR(34)&amp;", ",""))</f>
        <v/>
      </c>
      <c r="BX287" s="49">
        <f>IF($A287="","",IF(AND($BO287&gt;0,AND($A287&lt;&gt;"",$C287&lt;&gt;"DOOR ONLY"),$X287="KD",$E287="EXTERIOR"),"KD label on an exterior opening, ","")&amp;IF(AND($E287="EXTERIOR",OR(AND(AND($A287&lt;&gt;"",$C287&lt;&gt;"DOOR ONLY"),$W287="CR"),AND(N($BC287)&gt;0,$AH287="CR"))),"exterior in CR steel (G9?), ","")&amp;IF(AND(ISNUMBER($BJ287),N($BJ287)&lt;32),"clear width ~"&amp;TEXT($BJ287,"0.0")&amp;CHAR(34)&amp;" under 32"&amp;CHAR(34)&amp;" (ADA), ","")&amp;IF(AND($BO287=90,AND(OR($BL287="FG",$BL287="HG",$BL287="FNV",$BL287="FV"),N($BM287)*N($BN287)&gt;100)),"90 min lite over 100 sq in (stair/exit), ","")&amp;IF(AND($BO287&gt;0,AND($A287&lt;&gt;"",$C287&lt;&gt;"DOOR ONLY"),OR($AF287="",$AF287="-")),"rated: closer reinf.?, ","")&amp;IF(OR($I287="CORRIDOR",$I287="SMOKE BARRIER"),"S label + smoke gasketing, ","")&amp;IF($BP287="?","wall type/hr not in IBC table, ","")&amp;IF(AND(N($BC287)&gt;0,$AU287=""),"no hardware set, ","")&amp;IF(AND($AU287&lt;&gt;"",ISNA(MATCH($AU287,HWSets,0))),"set "&amp;$AU287&amp;" not on Hardware sheet, ","")&amp;IF(N($BE287)&gt;96,"leaf over 8'-0"&amp;CHAR(34)&amp;" - check listing, ",""))</f>
        <v/>
      </c>
    </row>
    <row r="288" ht="15" customHeight="1">
      <c r="A288" s="44" t="n"/>
      <c r="B288" s="45" t="n"/>
      <c r="C288" s="45" t="n"/>
      <c r="D288" s="45" t="n"/>
      <c r="E288" s="45" t="n"/>
      <c r="F288" s="45" t="n"/>
      <c r="G288" s="45" t="n"/>
      <c r="H288" s="45" t="n"/>
      <c r="I288" s="45" t="n"/>
      <c r="J288" s="45" t="n"/>
      <c r="K288" s="45" t="n"/>
      <c r="L288" s="45" t="n"/>
      <c r="M288" s="45" t="n"/>
      <c r="N288" s="45" t="n"/>
      <c r="O288" s="45" t="n"/>
      <c r="P288" s="45" t="n"/>
      <c r="Q288" s="45" t="n"/>
      <c r="R288" s="45" t="n"/>
      <c r="S288" s="46" t="n"/>
      <c r="T288" s="46" t="n"/>
      <c r="U288" s="46" t="n"/>
      <c r="V288" s="46" t="n"/>
      <c r="W288" s="46" t="n"/>
      <c r="X288" s="46" t="n"/>
      <c r="Y288" s="46" t="n"/>
      <c r="Z288" s="46" t="n"/>
      <c r="AA288" s="46" t="n"/>
      <c r="AB288" s="46" t="n"/>
      <c r="AC288" s="46" t="n"/>
      <c r="AD288" s="46" t="n"/>
      <c r="AE288" s="46" t="n"/>
      <c r="AF288" s="46" t="n"/>
      <c r="AG288" s="46" t="n"/>
      <c r="AH288" s="47" t="n"/>
      <c r="AI288" s="47" t="n"/>
      <c r="AJ288" s="47" t="n"/>
      <c r="AK288" s="47" t="n"/>
      <c r="AL288" s="47" t="n"/>
      <c r="AM288" s="47" t="n"/>
      <c r="AN288" s="47" t="n"/>
      <c r="AO288" s="47" t="n"/>
      <c r="AP288" s="47" t="n"/>
      <c r="AQ288" s="47" t="n"/>
      <c r="AR288" s="47" t="n"/>
      <c r="AS288" s="47" t="n"/>
      <c r="AT288" s="47" t="n"/>
      <c r="AU288" s="48" t="n"/>
      <c r="AV288" s="48" t="n"/>
      <c r="AW288" s="49">
        <f>IF($A288="","",IF($BW288&lt;&gt;"","FIX",IF($BX288&lt;&gt;"","CHECK","OK")))</f>
        <v/>
      </c>
      <c r="AX288" s="50">
        <f>IF($A288="","",IF($BW288&lt;&gt;"","FIX: "&amp;LEFT($BW288,LEN($BW288)-2)&amp;IF($BX288&lt;&gt;"","  ·  ",""),"")&amp;IF($BX288&lt;&gt;"","CHECK: "&amp;LEFT($BX288,LEN($BX288)-2),""))</f>
        <v/>
      </c>
      <c r="AY288" s="49">
        <f>IF(OR($A288="",$K288=""),"",$K288&amp;"'-"&amp;N($L288)&amp;CHAR(34)&amp;" x "&amp;$M288&amp;"'-"&amp;N($N288)&amp;CHAR(34))</f>
        <v/>
      </c>
      <c r="AZ288" s="49">
        <f>IF(OR($A288="",$K288=""),"",$K288&amp;N($L288)&amp;$M288&amp;N($N288))</f>
        <v/>
      </c>
      <c r="BA288" s="49">
        <f>IF(OR($A288="",$K288=""),"",$K288*12+N($L288))</f>
        <v/>
      </c>
      <c r="BB288" s="49">
        <f>IF(OR($A288="",$M288=""),"",$M288*12+N($N288))</f>
        <v/>
      </c>
      <c r="BC288" s="49">
        <f>IF($A288="","",IF(OR($C288="FRAME ONLY",$S288="BL"),0,IF($O288="Y",2,1)))</f>
        <v/>
      </c>
      <c r="BD288" s="51">
        <f>IF(OR(N($BC288)=0,$BA288=""),"",($BA288-2*EdgeClr-IF($BC288=2,MeetClr,0))/$BC288)</f>
        <v/>
      </c>
      <c r="BE288" s="51">
        <f>IF(OR(N($BC288)=0,$BB288=""),"",$BB288-HeadClr-Undercut)</f>
        <v/>
      </c>
      <c r="BF288" s="51">
        <f>IF($BA288="","",$BA288+2*FaceW+IF(N($Q288)&gt;0,($Q288+FaceW)*IF($R288="LR",2,1),0))</f>
        <v/>
      </c>
      <c r="BG288" s="51">
        <f>IF($BB288="","",$BB288+IF($AB288="Y",4,FaceW)+IF(N($P288)&gt;0,$P288+FaceW,0)+IF(OR($S288="4F",$S288="BL"),FaceW,0))</f>
        <v/>
      </c>
      <c r="BH288" s="51">
        <f>IF($BF288="","",$BF288+2*ROSide)</f>
        <v/>
      </c>
      <c r="BI288" s="51">
        <f>IF($BG288="","",$BG288+ROTop)</f>
        <v/>
      </c>
      <c r="BJ288" s="52">
        <f>IF(OR(N($BC288)=0,$BA288=""),"",$BA288/$BC288-ClearDeduct)</f>
        <v/>
      </c>
      <c r="BK288" s="49">
        <f>IF(OR(N($BC288)=0,$BE288=""),"",IF(OR($AC288="HGC",$AP288="HGC"),"CONT",IF($BE288&lt;=60,2,IF($BE288&lt;=90,3,IF($BE288&lt;=120,4,5)))))</f>
        <v/>
      </c>
      <c r="BL288" s="49">
        <f>IF(N($BC288)=0,"",IF(OR($AL288="",$AL288="FLUSH"),"FLUSH",IFERROR(LEFT($AL288,FIND("-",$AL288)-1),LEFT($AL288,2))))</f>
        <v/>
      </c>
      <c r="BM288" s="49">
        <f>IF($BL288="","",IFERROR(VALUE(MID($AL288,FIND("-",$AL288)+1,FIND(CHAR(34)&amp;"x",$AL288)-FIND("-",$AL288)-1)),0))</f>
        <v/>
      </c>
      <c r="BN288" s="49">
        <f>IF($BL288="","",IFERROR(VALUE(MID($AL288,FIND(CHAR(34)&amp;"x",$AL288)+2,FIND(CHAR(34),$AL288,FIND(CHAR(34)&amp;"x",$AL288)+2)-FIND(CHAR(34)&amp;"x",$AL288)-2)),0))</f>
        <v/>
      </c>
      <c r="BO288" s="53">
        <f>IF(OR($A288="",$H288="",$H288="NO LAB"),0,IFERROR(VALUE(LEFT($H288,FIND(" ",$H288)-1)),0))</f>
        <v/>
      </c>
      <c r="BP288" s="54">
        <f>IF(OR($A288="",$I288="",$I288="NON-RATED",N($J288)=0),"",IFERROR(VLOOKUP($I288&amp;"|"&amp;$J288,IBC,2,FALSE),"?"))</f>
        <v/>
      </c>
      <c r="BQ288" s="50">
        <f>IF(NOT(AND($A288&lt;&gt;"",$C288&lt;&gt;"DOOR ONLY")),"",TRIM(IFERROR(VLOOKUP($U288,CODES,2,FALSE),"")&amp;" "&amp;$AZ288&amp;" "&amp;IFERROR(VLOOKUP($Z288,CODES,2,FALSE),"")&amp;" "&amp;IFERROR(VLOOKUP($X288,CODES,2,FALSE),"")&amp;" "&amp;IFERROR(VLOOKUP($S288,CODES,2,FALSE),"")&amp;IF(N($P288)&gt;0," w/TRANSOM "&amp;$P288&amp;CHAR(34),"")&amp;IF(N($Q288)&gt;0," w/SIDELITE "&amp;$Q288&amp;CHAR(34)&amp;" "&amp;IF($R288="","R",$R288),"")&amp;IF($Y288="","  |  "," | "&amp;IFERROR(VLOOKUP($Y288,CODES,2,FALSE),"")&amp;" | ")&amp;IFERROR(VLOOKUP($AC288,CODES,2,FALSE),"")&amp;" "&amp;IFERROR(VLOOKUP($AD288,CODES,2,FALSE),"")&amp;IF(OR($AE288="",$AE288="-"),""," "&amp;$AE288)&amp;IF(OR($AF288="",$AF288="-"),""," "&amp;$AF288)&amp;IF($AB288="Y"," 4"&amp;CHAR(34)&amp;" HEAD","")&amp;" "&amp;IFERROR(VLOOKUP($H288,CODES,2,FALSE),"")))</f>
        <v/>
      </c>
      <c r="BR288" s="50">
        <f>IF(NOT(AND($A288&lt;&gt;"",N($BC288)&gt;0)),"",TRIM(IFERROR(VLOOKUP($AH288,CODES,2,FALSE),"")&amp;IF($AI288=""," "," "&amp;$AI288&amp;"GA ")&amp;$AZ288&amp;" "&amp;IF($AN288="",IFERROR(VLOOKUP($Z288,CODES,2,FALSE),""),IFERROR(VLOOKUP($AN288,CODES,2,FALSE),""))&amp;IF($BC288=2," PAIR","")&amp;" DOOR | "&amp;IF($AL288="","?",$AL288)&amp;" | "&amp;IF($AP288="",IFERROR(VLOOKUP($AC288,CODES,2,FALSE),""),IFERROR(VLOOKUP($AP288,CODES,2,FALSE),""))&amp;" "&amp;IFERROR(VLOOKUP($AQ288,CODES,2,FALSE),"")&amp;IF(OR($AR288="",$AR288="-"),""," SEAM "&amp;$AR288)&amp;IF($AS288="Y"," ASTRAGAL","")&amp;IF($AJ288=""," "," "&amp;$AJ288)&amp;IF($AK288=""," "," "&amp;$AK288)&amp;IF($AO288="",""," "&amp;$AO288)&amp;IF($AM288=""," "," SERIES "&amp;$AM288)&amp;" "&amp;IFERROR(VLOOKUP($H288,CODES,2,FALSE),"")))</f>
        <v/>
      </c>
      <c r="BS288" s="49">
        <f>IF(BV288="","",IF(COUNTIF($BV$6:BV288,BV288)=1,MAX($BS$5:BS287)+1,INDEX($BS$5:BS287,MATCH(BV288,$BV$5:BV287,0))))</f>
        <v/>
      </c>
      <c r="BT288" s="49">
        <f>IF(NOT(AND($A288&lt;&gt;"",$C288&lt;&gt;"DOOR ONLY")),"",MAX($BT$5:BT287)+1)</f>
        <v/>
      </c>
      <c r="BU288" s="49">
        <f>IF(NOT(AND($A288&lt;&gt;"",N($BC288)&gt;0)),"",MAX($BU$5:BU287)+1)</f>
        <v/>
      </c>
      <c r="BV288" s="49">
        <f>IF(OR($A288="",$BA288="",$BB288=""),"",$AZ288&amp;"|"&amp;$O288&amp;"|"&amp;$AL288&amp;"|"&amp;$S288&amp;"|"&amp;$P288&amp;"|"&amp;$Q288&amp;$R288&amp;"|"&amp;$C288&amp;"|"&amp;$AB288)</f>
        <v/>
      </c>
      <c r="BW288" s="49">
        <f>IF($A288="","",IF($B288="","qty, ","")&amp;IF($C288="","scope, ","")&amp;IF(OR($K288="",$M288=""),"size, ","")&amp;IF(AND($A288&lt;&gt;"",$C288&lt;&gt;"DOOR ONLY"),IF($U288="","jamb depth, ","")&amp;IF($X288="","construction, ","")&amp;IF($Y288="","anchor, ","")&amp;IF($S288="","frame type, ",""),"")&amp;IF(AND(N($BC288)&gt;0,$Z288=""),"hand, ","")&amp;IF(N($BC288)&gt;0,IF($AH288="","door material, ","")&amp;IF($AL288="","face type, ","")&amp;IF($AQ288="","lock prep, ","")&amp;IF(AND($AP288="",$AC288=""),"hinge prep, ",""),"")&amp;IF(AND($BO288&gt;0,$AH288="FRP"),"FRP cannot carry a label, ","")&amp;IF(AND($O288="Y",OR($Z288="L",$Z288="R",$Z288="LR",$Z288="RR")),"pair marked but hand is single, ","")&amp;IF(AND($O288&lt;&gt;"Y",OR($Z288="PR",AND(LEN($Z288)&gt;1,ISNUMBER(SEARCH("-",$Z288))))),"pair hand on a single door, ","")&amp;IF(AND(ISNUMBER($BP288),$BO288&lt;N($BP288)),"wall needs a "&amp;$BP288&amp;" min door, ","")&amp;IF(AND($BO288&gt;=180,AND(OR($BL288="FG",$BL288="HG",$BL288="FNV",$BL288="FV"),N($BM288)*N($BN288)&gt;100)),"180 min lite over 100 sq in, ","")&amp;IF(N($BD288)&gt;48,"leaf wider than 4'-0"&amp;CHAR(34)&amp;", ",""))</f>
        <v/>
      </c>
      <c r="BX288" s="49">
        <f>IF($A288="","",IF(AND($BO288&gt;0,AND($A288&lt;&gt;"",$C288&lt;&gt;"DOOR ONLY"),$X288="KD",$E288="EXTERIOR"),"KD label on an exterior opening, ","")&amp;IF(AND($E288="EXTERIOR",OR(AND(AND($A288&lt;&gt;"",$C288&lt;&gt;"DOOR ONLY"),$W288="CR"),AND(N($BC288)&gt;0,$AH288="CR"))),"exterior in CR steel (G9?), ","")&amp;IF(AND(ISNUMBER($BJ288),N($BJ288)&lt;32),"clear width ~"&amp;TEXT($BJ288,"0.0")&amp;CHAR(34)&amp;" under 32"&amp;CHAR(34)&amp;" (ADA), ","")&amp;IF(AND($BO288=90,AND(OR($BL288="FG",$BL288="HG",$BL288="FNV",$BL288="FV"),N($BM288)*N($BN288)&gt;100)),"90 min lite over 100 sq in (stair/exit), ","")&amp;IF(AND($BO288&gt;0,AND($A288&lt;&gt;"",$C288&lt;&gt;"DOOR ONLY"),OR($AF288="",$AF288="-")),"rated: closer reinf.?, ","")&amp;IF(OR($I288="CORRIDOR",$I288="SMOKE BARRIER"),"S label + smoke gasketing, ","")&amp;IF($BP288="?","wall type/hr not in IBC table, ","")&amp;IF(AND(N($BC288)&gt;0,$AU288=""),"no hardware set, ","")&amp;IF(AND($AU288&lt;&gt;"",ISNA(MATCH($AU288,HWSets,0))),"set "&amp;$AU288&amp;" not on Hardware sheet, ","")&amp;IF(N($BE288)&gt;96,"leaf over 8'-0"&amp;CHAR(34)&amp;" - check listing, ",""))</f>
        <v/>
      </c>
    </row>
    <row r="289" ht="15" customHeight="1">
      <c r="A289" s="44" t="n"/>
      <c r="B289" s="45" t="n"/>
      <c r="C289" s="45" t="n"/>
      <c r="D289" s="45" t="n"/>
      <c r="E289" s="45" t="n"/>
      <c r="F289" s="45" t="n"/>
      <c r="G289" s="45" t="n"/>
      <c r="H289" s="45" t="n"/>
      <c r="I289" s="45" t="n"/>
      <c r="J289" s="45" t="n"/>
      <c r="K289" s="45" t="n"/>
      <c r="L289" s="45" t="n"/>
      <c r="M289" s="45" t="n"/>
      <c r="N289" s="45" t="n"/>
      <c r="O289" s="45" t="n"/>
      <c r="P289" s="45" t="n"/>
      <c r="Q289" s="45" t="n"/>
      <c r="R289" s="45" t="n"/>
      <c r="S289" s="46" t="n"/>
      <c r="T289" s="46" t="n"/>
      <c r="U289" s="46" t="n"/>
      <c r="V289" s="46" t="n"/>
      <c r="W289" s="46" t="n"/>
      <c r="X289" s="46" t="n"/>
      <c r="Y289" s="46" t="n"/>
      <c r="Z289" s="46" t="n"/>
      <c r="AA289" s="46" t="n"/>
      <c r="AB289" s="46" t="n"/>
      <c r="AC289" s="46" t="n"/>
      <c r="AD289" s="46" t="n"/>
      <c r="AE289" s="46" t="n"/>
      <c r="AF289" s="46" t="n"/>
      <c r="AG289" s="46" t="n"/>
      <c r="AH289" s="47" t="n"/>
      <c r="AI289" s="47" t="n"/>
      <c r="AJ289" s="47" t="n"/>
      <c r="AK289" s="47" t="n"/>
      <c r="AL289" s="47" t="n"/>
      <c r="AM289" s="47" t="n"/>
      <c r="AN289" s="47" t="n"/>
      <c r="AO289" s="47" t="n"/>
      <c r="AP289" s="47" t="n"/>
      <c r="AQ289" s="47" t="n"/>
      <c r="AR289" s="47" t="n"/>
      <c r="AS289" s="47" t="n"/>
      <c r="AT289" s="47" t="n"/>
      <c r="AU289" s="48" t="n"/>
      <c r="AV289" s="48" t="n"/>
      <c r="AW289" s="49">
        <f>IF($A289="","",IF($BW289&lt;&gt;"","FIX",IF($BX289&lt;&gt;"","CHECK","OK")))</f>
        <v/>
      </c>
      <c r="AX289" s="50">
        <f>IF($A289="","",IF($BW289&lt;&gt;"","FIX: "&amp;LEFT($BW289,LEN($BW289)-2)&amp;IF($BX289&lt;&gt;"","  ·  ",""),"")&amp;IF($BX289&lt;&gt;"","CHECK: "&amp;LEFT($BX289,LEN($BX289)-2),""))</f>
        <v/>
      </c>
      <c r="AY289" s="49">
        <f>IF(OR($A289="",$K289=""),"",$K289&amp;"'-"&amp;N($L289)&amp;CHAR(34)&amp;" x "&amp;$M289&amp;"'-"&amp;N($N289)&amp;CHAR(34))</f>
        <v/>
      </c>
      <c r="AZ289" s="49">
        <f>IF(OR($A289="",$K289=""),"",$K289&amp;N($L289)&amp;$M289&amp;N($N289))</f>
        <v/>
      </c>
      <c r="BA289" s="49">
        <f>IF(OR($A289="",$K289=""),"",$K289*12+N($L289))</f>
        <v/>
      </c>
      <c r="BB289" s="49">
        <f>IF(OR($A289="",$M289=""),"",$M289*12+N($N289))</f>
        <v/>
      </c>
      <c r="BC289" s="49">
        <f>IF($A289="","",IF(OR($C289="FRAME ONLY",$S289="BL"),0,IF($O289="Y",2,1)))</f>
        <v/>
      </c>
      <c r="BD289" s="51">
        <f>IF(OR(N($BC289)=0,$BA289=""),"",($BA289-2*EdgeClr-IF($BC289=2,MeetClr,0))/$BC289)</f>
        <v/>
      </c>
      <c r="BE289" s="51">
        <f>IF(OR(N($BC289)=0,$BB289=""),"",$BB289-HeadClr-Undercut)</f>
        <v/>
      </c>
      <c r="BF289" s="51">
        <f>IF($BA289="","",$BA289+2*FaceW+IF(N($Q289)&gt;0,($Q289+FaceW)*IF($R289="LR",2,1),0))</f>
        <v/>
      </c>
      <c r="BG289" s="51">
        <f>IF($BB289="","",$BB289+IF($AB289="Y",4,FaceW)+IF(N($P289)&gt;0,$P289+FaceW,0)+IF(OR($S289="4F",$S289="BL"),FaceW,0))</f>
        <v/>
      </c>
      <c r="BH289" s="51">
        <f>IF($BF289="","",$BF289+2*ROSide)</f>
        <v/>
      </c>
      <c r="BI289" s="51">
        <f>IF($BG289="","",$BG289+ROTop)</f>
        <v/>
      </c>
      <c r="BJ289" s="52">
        <f>IF(OR(N($BC289)=0,$BA289=""),"",$BA289/$BC289-ClearDeduct)</f>
        <v/>
      </c>
      <c r="BK289" s="49">
        <f>IF(OR(N($BC289)=0,$BE289=""),"",IF(OR($AC289="HGC",$AP289="HGC"),"CONT",IF($BE289&lt;=60,2,IF($BE289&lt;=90,3,IF($BE289&lt;=120,4,5)))))</f>
        <v/>
      </c>
      <c r="BL289" s="49">
        <f>IF(N($BC289)=0,"",IF(OR($AL289="",$AL289="FLUSH"),"FLUSH",IFERROR(LEFT($AL289,FIND("-",$AL289)-1),LEFT($AL289,2))))</f>
        <v/>
      </c>
      <c r="BM289" s="49">
        <f>IF($BL289="","",IFERROR(VALUE(MID($AL289,FIND("-",$AL289)+1,FIND(CHAR(34)&amp;"x",$AL289)-FIND("-",$AL289)-1)),0))</f>
        <v/>
      </c>
      <c r="BN289" s="49">
        <f>IF($BL289="","",IFERROR(VALUE(MID($AL289,FIND(CHAR(34)&amp;"x",$AL289)+2,FIND(CHAR(34),$AL289,FIND(CHAR(34)&amp;"x",$AL289)+2)-FIND(CHAR(34)&amp;"x",$AL289)-2)),0))</f>
        <v/>
      </c>
      <c r="BO289" s="53">
        <f>IF(OR($A289="",$H289="",$H289="NO LAB"),0,IFERROR(VALUE(LEFT($H289,FIND(" ",$H289)-1)),0))</f>
        <v/>
      </c>
      <c r="BP289" s="54">
        <f>IF(OR($A289="",$I289="",$I289="NON-RATED",N($J289)=0),"",IFERROR(VLOOKUP($I289&amp;"|"&amp;$J289,IBC,2,FALSE),"?"))</f>
        <v/>
      </c>
      <c r="BQ289" s="50">
        <f>IF(NOT(AND($A289&lt;&gt;"",$C289&lt;&gt;"DOOR ONLY")),"",TRIM(IFERROR(VLOOKUP($U289,CODES,2,FALSE),"")&amp;" "&amp;$AZ289&amp;" "&amp;IFERROR(VLOOKUP($Z289,CODES,2,FALSE),"")&amp;" "&amp;IFERROR(VLOOKUP($X289,CODES,2,FALSE),"")&amp;" "&amp;IFERROR(VLOOKUP($S289,CODES,2,FALSE),"")&amp;IF(N($P289)&gt;0," w/TRANSOM "&amp;$P289&amp;CHAR(34),"")&amp;IF(N($Q289)&gt;0," w/SIDELITE "&amp;$Q289&amp;CHAR(34)&amp;" "&amp;IF($R289="","R",$R289),"")&amp;IF($Y289="","  |  "," | "&amp;IFERROR(VLOOKUP($Y289,CODES,2,FALSE),"")&amp;" | ")&amp;IFERROR(VLOOKUP($AC289,CODES,2,FALSE),"")&amp;" "&amp;IFERROR(VLOOKUP($AD289,CODES,2,FALSE),"")&amp;IF(OR($AE289="",$AE289="-"),""," "&amp;$AE289)&amp;IF(OR($AF289="",$AF289="-"),""," "&amp;$AF289)&amp;IF($AB289="Y"," 4"&amp;CHAR(34)&amp;" HEAD","")&amp;" "&amp;IFERROR(VLOOKUP($H289,CODES,2,FALSE),"")))</f>
        <v/>
      </c>
      <c r="BR289" s="50">
        <f>IF(NOT(AND($A289&lt;&gt;"",N($BC289)&gt;0)),"",TRIM(IFERROR(VLOOKUP($AH289,CODES,2,FALSE),"")&amp;IF($AI289=""," "," "&amp;$AI289&amp;"GA ")&amp;$AZ289&amp;" "&amp;IF($AN289="",IFERROR(VLOOKUP($Z289,CODES,2,FALSE),""),IFERROR(VLOOKUP($AN289,CODES,2,FALSE),""))&amp;IF($BC289=2," PAIR","")&amp;" DOOR | "&amp;IF($AL289="","?",$AL289)&amp;" | "&amp;IF($AP289="",IFERROR(VLOOKUP($AC289,CODES,2,FALSE),""),IFERROR(VLOOKUP($AP289,CODES,2,FALSE),""))&amp;" "&amp;IFERROR(VLOOKUP($AQ289,CODES,2,FALSE),"")&amp;IF(OR($AR289="",$AR289="-"),""," SEAM "&amp;$AR289)&amp;IF($AS289="Y"," ASTRAGAL","")&amp;IF($AJ289=""," "," "&amp;$AJ289)&amp;IF($AK289=""," "," "&amp;$AK289)&amp;IF($AO289="",""," "&amp;$AO289)&amp;IF($AM289=""," "," SERIES "&amp;$AM289)&amp;" "&amp;IFERROR(VLOOKUP($H289,CODES,2,FALSE),"")))</f>
        <v/>
      </c>
      <c r="BS289" s="49">
        <f>IF(BV289="","",IF(COUNTIF($BV$6:BV289,BV289)=1,MAX($BS$5:BS288)+1,INDEX($BS$5:BS288,MATCH(BV289,$BV$5:BV288,0))))</f>
        <v/>
      </c>
      <c r="BT289" s="49">
        <f>IF(NOT(AND($A289&lt;&gt;"",$C289&lt;&gt;"DOOR ONLY")),"",MAX($BT$5:BT288)+1)</f>
        <v/>
      </c>
      <c r="BU289" s="49">
        <f>IF(NOT(AND($A289&lt;&gt;"",N($BC289)&gt;0)),"",MAX($BU$5:BU288)+1)</f>
        <v/>
      </c>
      <c r="BV289" s="49">
        <f>IF(OR($A289="",$BA289="",$BB289=""),"",$AZ289&amp;"|"&amp;$O289&amp;"|"&amp;$AL289&amp;"|"&amp;$S289&amp;"|"&amp;$P289&amp;"|"&amp;$Q289&amp;$R289&amp;"|"&amp;$C289&amp;"|"&amp;$AB289)</f>
        <v/>
      </c>
      <c r="BW289" s="49">
        <f>IF($A289="","",IF($B289="","qty, ","")&amp;IF($C289="","scope, ","")&amp;IF(OR($K289="",$M289=""),"size, ","")&amp;IF(AND($A289&lt;&gt;"",$C289&lt;&gt;"DOOR ONLY"),IF($U289="","jamb depth, ","")&amp;IF($X289="","construction, ","")&amp;IF($Y289="","anchor, ","")&amp;IF($S289="","frame type, ",""),"")&amp;IF(AND(N($BC289)&gt;0,$Z289=""),"hand, ","")&amp;IF(N($BC289)&gt;0,IF($AH289="","door material, ","")&amp;IF($AL289="","face type, ","")&amp;IF($AQ289="","lock prep, ","")&amp;IF(AND($AP289="",$AC289=""),"hinge prep, ",""),"")&amp;IF(AND($BO289&gt;0,$AH289="FRP"),"FRP cannot carry a label, ","")&amp;IF(AND($O289="Y",OR($Z289="L",$Z289="R",$Z289="LR",$Z289="RR")),"pair marked but hand is single, ","")&amp;IF(AND($O289&lt;&gt;"Y",OR($Z289="PR",AND(LEN($Z289)&gt;1,ISNUMBER(SEARCH("-",$Z289))))),"pair hand on a single door, ","")&amp;IF(AND(ISNUMBER($BP289),$BO289&lt;N($BP289)),"wall needs a "&amp;$BP289&amp;" min door, ","")&amp;IF(AND($BO289&gt;=180,AND(OR($BL289="FG",$BL289="HG",$BL289="FNV",$BL289="FV"),N($BM289)*N($BN289)&gt;100)),"180 min lite over 100 sq in, ","")&amp;IF(N($BD289)&gt;48,"leaf wider than 4'-0"&amp;CHAR(34)&amp;", ",""))</f>
        <v/>
      </c>
      <c r="BX289" s="49">
        <f>IF($A289="","",IF(AND($BO289&gt;0,AND($A289&lt;&gt;"",$C289&lt;&gt;"DOOR ONLY"),$X289="KD",$E289="EXTERIOR"),"KD label on an exterior opening, ","")&amp;IF(AND($E289="EXTERIOR",OR(AND(AND($A289&lt;&gt;"",$C289&lt;&gt;"DOOR ONLY"),$W289="CR"),AND(N($BC289)&gt;0,$AH289="CR"))),"exterior in CR steel (G9?), ","")&amp;IF(AND(ISNUMBER($BJ289),N($BJ289)&lt;32),"clear width ~"&amp;TEXT($BJ289,"0.0")&amp;CHAR(34)&amp;" under 32"&amp;CHAR(34)&amp;" (ADA), ","")&amp;IF(AND($BO289=90,AND(OR($BL289="FG",$BL289="HG",$BL289="FNV",$BL289="FV"),N($BM289)*N($BN289)&gt;100)),"90 min lite over 100 sq in (stair/exit), ","")&amp;IF(AND($BO289&gt;0,AND($A289&lt;&gt;"",$C289&lt;&gt;"DOOR ONLY"),OR($AF289="",$AF289="-")),"rated: closer reinf.?, ","")&amp;IF(OR($I289="CORRIDOR",$I289="SMOKE BARRIER"),"S label + smoke gasketing, ","")&amp;IF($BP289="?","wall type/hr not in IBC table, ","")&amp;IF(AND(N($BC289)&gt;0,$AU289=""),"no hardware set, ","")&amp;IF(AND($AU289&lt;&gt;"",ISNA(MATCH($AU289,HWSets,0))),"set "&amp;$AU289&amp;" not on Hardware sheet, ","")&amp;IF(N($BE289)&gt;96,"leaf over 8'-0"&amp;CHAR(34)&amp;" - check listing, ",""))</f>
        <v/>
      </c>
    </row>
    <row r="290" ht="15" customHeight="1">
      <c r="A290" s="44" t="n"/>
      <c r="B290" s="45" t="n"/>
      <c r="C290" s="45" t="n"/>
      <c r="D290" s="45" t="n"/>
      <c r="E290" s="45" t="n"/>
      <c r="F290" s="45" t="n"/>
      <c r="G290" s="45" t="n"/>
      <c r="H290" s="45" t="n"/>
      <c r="I290" s="45" t="n"/>
      <c r="J290" s="45" t="n"/>
      <c r="K290" s="45" t="n"/>
      <c r="L290" s="45" t="n"/>
      <c r="M290" s="45" t="n"/>
      <c r="N290" s="45" t="n"/>
      <c r="O290" s="45" t="n"/>
      <c r="P290" s="45" t="n"/>
      <c r="Q290" s="45" t="n"/>
      <c r="R290" s="45" t="n"/>
      <c r="S290" s="46" t="n"/>
      <c r="T290" s="46" t="n"/>
      <c r="U290" s="46" t="n"/>
      <c r="V290" s="46" t="n"/>
      <c r="W290" s="46" t="n"/>
      <c r="X290" s="46" t="n"/>
      <c r="Y290" s="46" t="n"/>
      <c r="Z290" s="46" t="n"/>
      <c r="AA290" s="46" t="n"/>
      <c r="AB290" s="46" t="n"/>
      <c r="AC290" s="46" t="n"/>
      <c r="AD290" s="46" t="n"/>
      <c r="AE290" s="46" t="n"/>
      <c r="AF290" s="46" t="n"/>
      <c r="AG290" s="46" t="n"/>
      <c r="AH290" s="47" t="n"/>
      <c r="AI290" s="47" t="n"/>
      <c r="AJ290" s="47" t="n"/>
      <c r="AK290" s="47" t="n"/>
      <c r="AL290" s="47" t="n"/>
      <c r="AM290" s="47" t="n"/>
      <c r="AN290" s="47" t="n"/>
      <c r="AO290" s="47" t="n"/>
      <c r="AP290" s="47" t="n"/>
      <c r="AQ290" s="47" t="n"/>
      <c r="AR290" s="47" t="n"/>
      <c r="AS290" s="47" t="n"/>
      <c r="AT290" s="47" t="n"/>
      <c r="AU290" s="48" t="n"/>
      <c r="AV290" s="48" t="n"/>
      <c r="AW290" s="49">
        <f>IF($A290="","",IF($BW290&lt;&gt;"","FIX",IF($BX290&lt;&gt;"","CHECK","OK")))</f>
        <v/>
      </c>
      <c r="AX290" s="50">
        <f>IF($A290="","",IF($BW290&lt;&gt;"","FIX: "&amp;LEFT($BW290,LEN($BW290)-2)&amp;IF($BX290&lt;&gt;"","  ·  ",""),"")&amp;IF($BX290&lt;&gt;"","CHECK: "&amp;LEFT($BX290,LEN($BX290)-2),""))</f>
        <v/>
      </c>
      <c r="AY290" s="49">
        <f>IF(OR($A290="",$K290=""),"",$K290&amp;"'-"&amp;N($L290)&amp;CHAR(34)&amp;" x "&amp;$M290&amp;"'-"&amp;N($N290)&amp;CHAR(34))</f>
        <v/>
      </c>
      <c r="AZ290" s="49">
        <f>IF(OR($A290="",$K290=""),"",$K290&amp;N($L290)&amp;$M290&amp;N($N290))</f>
        <v/>
      </c>
      <c r="BA290" s="49">
        <f>IF(OR($A290="",$K290=""),"",$K290*12+N($L290))</f>
        <v/>
      </c>
      <c r="BB290" s="49">
        <f>IF(OR($A290="",$M290=""),"",$M290*12+N($N290))</f>
        <v/>
      </c>
      <c r="BC290" s="49">
        <f>IF($A290="","",IF(OR($C290="FRAME ONLY",$S290="BL"),0,IF($O290="Y",2,1)))</f>
        <v/>
      </c>
      <c r="BD290" s="51">
        <f>IF(OR(N($BC290)=0,$BA290=""),"",($BA290-2*EdgeClr-IF($BC290=2,MeetClr,0))/$BC290)</f>
        <v/>
      </c>
      <c r="BE290" s="51">
        <f>IF(OR(N($BC290)=0,$BB290=""),"",$BB290-HeadClr-Undercut)</f>
        <v/>
      </c>
      <c r="BF290" s="51">
        <f>IF($BA290="","",$BA290+2*FaceW+IF(N($Q290)&gt;0,($Q290+FaceW)*IF($R290="LR",2,1),0))</f>
        <v/>
      </c>
      <c r="BG290" s="51">
        <f>IF($BB290="","",$BB290+IF($AB290="Y",4,FaceW)+IF(N($P290)&gt;0,$P290+FaceW,0)+IF(OR($S290="4F",$S290="BL"),FaceW,0))</f>
        <v/>
      </c>
      <c r="BH290" s="51">
        <f>IF($BF290="","",$BF290+2*ROSide)</f>
        <v/>
      </c>
      <c r="BI290" s="51">
        <f>IF($BG290="","",$BG290+ROTop)</f>
        <v/>
      </c>
      <c r="BJ290" s="52">
        <f>IF(OR(N($BC290)=0,$BA290=""),"",$BA290/$BC290-ClearDeduct)</f>
        <v/>
      </c>
      <c r="BK290" s="49">
        <f>IF(OR(N($BC290)=0,$BE290=""),"",IF(OR($AC290="HGC",$AP290="HGC"),"CONT",IF($BE290&lt;=60,2,IF($BE290&lt;=90,3,IF($BE290&lt;=120,4,5)))))</f>
        <v/>
      </c>
      <c r="BL290" s="49">
        <f>IF(N($BC290)=0,"",IF(OR($AL290="",$AL290="FLUSH"),"FLUSH",IFERROR(LEFT($AL290,FIND("-",$AL290)-1),LEFT($AL290,2))))</f>
        <v/>
      </c>
      <c r="BM290" s="49">
        <f>IF($BL290="","",IFERROR(VALUE(MID($AL290,FIND("-",$AL290)+1,FIND(CHAR(34)&amp;"x",$AL290)-FIND("-",$AL290)-1)),0))</f>
        <v/>
      </c>
      <c r="BN290" s="49">
        <f>IF($BL290="","",IFERROR(VALUE(MID($AL290,FIND(CHAR(34)&amp;"x",$AL290)+2,FIND(CHAR(34),$AL290,FIND(CHAR(34)&amp;"x",$AL290)+2)-FIND(CHAR(34)&amp;"x",$AL290)-2)),0))</f>
        <v/>
      </c>
      <c r="BO290" s="53">
        <f>IF(OR($A290="",$H290="",$H290="NO LAB"),0,IFERROR(VALUE(LEFT($H290,FIND(" ",$H290)-1)),0))</f>
        <v/>
      </c>
      <c r="BP290" s="54">
        <f>IF(OR($A290="",$I290="",$I290="NON-RATED",N($J290)=0),"",IFERROR(VLOOKUP($I290&amp;"|"&amp;$J290,IBC,2,FALSE),"?"))</f>
        <v/>
      </c>
      <c r="BQ290" s="50">
        <f>IF(NOT(AND($A290&lt;&gt;"",$C290&lt;&gt;"DOOR ONLY")),"",TRIM(IFERROR(VLOOKUP($U290,CODES,2,FALSE),"")&amp;" "&amp;$AZ290&amp;" "&amp;IFERROR(VLOOKUP($Z290,CODES,2,FALSE),"")&amp;" "&amp;IFERROR(VLOOKUP($X290,CODES,2,FALSE),"")&amp;" "&amp;IFERROR(VLOOKUP($S290,CODES,2,FALSE),"")&amp;IF(N($P290)&gt;0," w/TRANSOM "&amp;$P290&amp;CHAR(34),"")&amp;IF(N($Q290)&gt;0," w/SIDELITE "&amp;$Q290&amp;CHAR(34)&amp;" "&amp;IF($R290="","R",$R290),"")&amp;IF($Y290="","  |  "," | "&amp;IFERROR(VLOOKUP($Y290,CODES,2,FALSE),"")&amp;" | ")&amp;IFERROR(VLOOKUP($AC290,CODES,2,FALSE),"")&amp;" "&amp;IFERROR(VLOOKUP($AD290,CODES,2,FALSE),"")&amp;IF(OR($AE290="",$AE290="-"),""," "&amp;$AE290)&amp;IF(OR($AF290="",$AF290="-"),""," "&amp;$AF290)&amp;IF($AB290="Y"," 4"&amp;CHAR(34)&amp;" HEAD","")&amp;" "&amp;IFERROR(VLOOKUP($H290,CODES,2,FALSE),"")))</f>
        <v/>
      </c>
      <c r="BR290" s="50">
        <f>IF(NOT(AND($A290&lt;&gt;"",N($BC290)&gt;0)),"",TRIM(IFERROR(VLOOKUP($AH290,CODES,2,FALSE),"")&amp;IF($AI290=""," "," "&amp;$AI290&amp;"GA ")&amp;$AZ290&amp;" "&amp;IF($AN290="",IFERROR(VLOOKUP($Z290,CODES,2,FALSE),""),IFERROR(VLOOKUP($AN290,CODES,2,FALSE),""))&amp;IF($BC290=2," PAIR","")&amp;" DOOR | "&amp;IF($AL290="","?",$AL290)&amp;" | "&amp;IF($AP290="",IFERROR(VLOOKUP($AC290,CODES,2,FALSE),""),IFERROR(VLOOKUP($AP290,CODES,2,FALSE),""))&amp;" "&amp;IFERROR(VLOOKUP($AQ290,CODES,2,FALSE),"")&amp;IF(OR($AR290="",$AR290="-"),""," SEAM "&amp;$AR290)&amp;IF($AS290="Y"," ASTRAGAL","")&amp;IF($AJ290=""," "," "&amp;$AJ290)&amp;IF($AK290=""," "," "&amp;$AK290)&amp;IF($AO290="",""," "&amp;$AO290)&amp;IF($AM290=""," "," SERIES "&amp;$AM290)&amp;" "&amp;IFERROR(VLOOKUP($H290,CODES,2,FALSE),"")))</f>
        <v/>
      </c>
      <c r="BS290" s="49">
        <f>IF(BV290="","",IF(COUNTIF($BV$6:BV290,BV290)=1,MAX($BS$5:BS289)+1,INDEX($BS$5:BS289,MATCH(BV290,$BV$5:BV289,0))))</f>
        <v/>
      </c>
      <c r="BT290" s="49">
        <f>IF(NOT(AND($A290&lt;&gt;"",$C290&lt;&gt;"DOOR ONLY")),"",MAX($BT$5:BT289)+1)</f>
        <v/>
      </c>
      <c r="BU290" s="49">
        <f>IF(NOT(AND($A290&lt;&gt;"",N($BC290)&gt;0)),"",MAX($BU$5:BU289)+1)</f>
        <v/>
      </c>
      <c r="BV290" s="49">
        <f>IF(OR($A290="",$BA290="",$BB290=""),"",$AZ290&amp;"|"&amp;$O290&amp;"|"&amp;$AL290&amp;"|"&amp;$S290&amp;"|"&amp;$P290&amp;"|"&amp;$Q290&amp;$R290&amp;"|"&amp;$C290&amp;"|"&amp;$AB290)</f>
        <v/>
      </c>
      <c r="BW290" s="49">
        <f>IF($A290="","",IF($B290="","qty, ","")&amp;IF($C290="","scope, ","")&amp;IF(OR($K290="",$M290=""),"size, ","")&amp;IF(AND($A290&lt;&gt;"",$C290&lt;&gt;"DOOR ONLY"),IF($U290="","jamb depth, ","")&amp;IF($X290="","construction, ","")&amp;IF($Y290="","anchor, ","")&amp;IF($S290="","frame type, ",""),"")&amp;IF(AND(N($BC290)&gt;0,$Z290=""),"hand, ","")&amp;IF(N($BC290)&gt;0,IF($AH290="","door material, ","")&amp;IF($AL290="","face type, ","")&amp;IF($AQ290="","lock prep, ","")&amp;IF(AND($AP290="",$AC290=""),"hinge prep, ",""),"")&amp;IF(AND($BO290&gt;0,$AH290="FRP"),"FRP cannot carry a label, ","")&amp;IF(AND($O290="Y",OR($Z290="L",$Z290="R",$Z290="LR",$Z290="RR")),"pair marked but hand is single, ","")&amp;IF(AND($O290&lt;&gt;"Y",OR($Z290="PR",AND(LEN($Z290)&gt;1,ISNUMBER(SEARCH("-",$Z290))))),"pair hand on a single door, ","")&amp;IF(AND(ISNUMBER($BP290),$BO290&lt;N($BP290)),"wall needs a "&amp;$BP290&amp;" min door, ","")&amp;IF(AND($BO290&gt;=180,AND(OR($BL290="FG",$BL290="HG",$BL290="FNV",$BL290="FV"),N($BM290)*N($BN290)&gt;100)),"180 min lite over 100 sq in, ","")&amp;IF(N($BD290)&gt;48,"leaf wider than 4'-0"&amp;CHAR(34)&amp;", ",""))</f>
        <v/>
      </c>
      <c r="BX290" s="49">
        <f>IF($A290="","",IF(AND($BO290&gt;0,AND($A290&lt;&gt;"",$C290&lt;&gt;"DOOR ONLY"),$X290="KD",$E290="EXTERIOR"),"KD label on an exterior opening, ","")&amp;IF(AND($E290="EXTERIOR",OR(AND(AND($A290&lt;&gt;"",$C290&lt;&gt;"DOOR ONLY"),$W290="CR"),AND(N($BC290)&gt;0,$AH290="CR"))),"exterior in CR steel (G9?), ","")&amp;IF(AND(ISNUMBER($BJ290),N($BJ290)&lt;32),"clear width ~"&amp;TEXT($BJ290,"0.0")&amp;CHAR(34)&amp;" under 32"&amp;CHAR(34)&amp;" (ADA), ","")&amp;IF(AND($BO290=90,AND(OR($BL290="FG",$BL290="HG",$BL290="FNV",$BL290="FV"),N($BM290)*N($BN290)&gt;100)),"90 min lite over 100 sq in (stair/exit), ","")&amp;IF(AND($BO290&gt;0,AND($A290&lt;&gt;"",$C290&lt;&gt;"DOOR ONLY"),OR($AF290="",$AF290="-")),"rated: closer reinf.?, ","")&amp;IF(OR($I290="CORRIDOR",$I290="SMOKE BARRIER"),"S label + smoke gasketing, ","")&amp;IF($BP290="?","wall type/hr not in IBC table, ","")&amp;IF(AND(N($BC290)&gt;0,$AU290=""),"no hardware set, ","")&amp;IF(AND($AU290&lt;&gt;"",ISNA(MATCH($AU290,HWSets,0))),"set "&amp;$AU290&amp;" not on Hardware sheet, ","")&amp;IF(N($BE290)&gt;96,"leaf over 8'-0"&amp;CHAR(34)&amp;" - check listing, ",""))</f>
        <v/>
      </c>
    </row>
    <row r="291" ht="15" customHeight="1">
      <c r="A291" s="44" t="n"/>
      <c r="B291" s="45" t="n"/>
      <c r="C291" s="45" t="n"/>
      <c r="D291" s="45" t="n"/>
      <c r="E291" s="45" t="n"/>
      <c r="F291" s="45" t="n"/>
      <c r="G291" s="45" t="n"/>
      <c r="H291" s="45" t="n"/>
      <c r="I291" s="45" t="n"/>
      <c r="J291" s="45" t="n"/>
      <c r="K291" s="45" t="n"/>
      <c r="L291" s="45" t="n"/>
      <c r="M291" s="45" t="n"/>
      <c r="N291" s="45" t="n"/>
      <c r="O291" s="45" t="n"/>
      <c r="P291" s="45" t="n"/>
      <c r="Q291" s="45" t="n"/>
      <c r="R291" s="45" t="n"/>
      <c r="S291" s="46" t="n"/>
      <c r="T291" s="46" t="n"/>
      <c r="U291" s="46" t="n"/>
      <c r="V291" s="46" t="n"/>
      <c r="W291" s="46" t="n"/>
      <c r="X291" s="46" t="n"/>
      <c r="Y291" s="46" t="n"/>
      <c r="Z291" s="46" t="n"/>
      <c r="AA291" s="46" t="n"/>
      <c r="AB291" s="46" t="n"/>
      <c r="AC291" s="46" t="n"/>
      <c r="AD291" s="46" t="n"/>
      <c r="AE291" s="46" t="n"/>
      <c r="AF291" s="46" t="n"/>
      <c r="AG291" s="46" t="n"/>
      <c r="AH291" s="47" t="n"/>
      <c r="AI291" s="47" t="n"/>
      <c r="AJ291" s="47" t="n"/>
      <c r="AK291" s="47" t="n"/>
      <c r="AL291" s="47" t="n"/>
      <c r="AM291" s="47" t="n"/>
      <c r="AN291" s="47" t="n"/>
      <c r="AO291" s="47" t="n"/>
      <c r="AP291" s="47" t="n"/>
      <c r="AQ291" s="47" t="n"/>
      <c r="AR291" s="47" t="n"/>
      <c r="AS291" s="47" t="n"/>
      <c r="AT291" s="47" t="n"/>
      <c r="AU291" s="48" t="n"/>
      <c r="AV291" s="48" t="n"/>
      <c r="AW291" s="49">
        <f>IF($A291="","",IF($BW291&lt;&gt;"","FIX",IF($BX291&lt;&gt;"","CHECK","OK")))</f>
        <v/>
      </c>
      <c r="AX291" s="50">
        <f>IF($A291="","",IF($BW291&lt;&gt;"","FIX: "&amp;LEFT($BW291,LEN($BW291)-2)&amp;IF($BX291&lt;&gt;"","  ·  ",""),"")&amp;IF($BX291&lt;&gt;"","CHECK: "&amp;LEFT($BX291,LEN($BX291)-2),""))</f>
        <v/>
      </c>
      <c r="AY291" s="49">
        <f>IF(OR($A291="",$K291=""),"",$K291&amp;"'-"&amp;N($L291)&amp;CHAR(34)&amp;" x "&amp;$M291&amp;"'-"&amp;N($N291)&amp;CHAR(34))</f>
        <v/>
      </c>
      <c r="AZ291" s="49">
        <f>IF(OR($A291="",$K291=""),"",$K291&amp;N($L291)&amp;$M291&amp;N($N291))</f>
        <v/>
      </c>
      <c r="BA291" s="49">
        <f>IF(OR($A291="",$K291=""),"",$K291*12+N($L291))</f>
        <v/>
      </c>
      <c r="BB291" s="49">
        <f>IF(OR($A291="",$M291=""),"",$M291*12+N($N291))</f>
        <v/>
      </c>
      <c r="BC291" s="49">
        <f>IF($A291="","",IF(OR($C291="FRAME ONLY",$S291="BL"),0,IF($O291="Y",2,1)))</f>
        <v/>
      </c>
      <c r="BD291" s="51">
        <f>IF(OR(N($BC291)=0,$BA291=""),"",($BA291-2*EdgeClr-IF($BC291=2,MeetClr,0))/$BC291)</f>
        <v/>
      </c>
      <c r="BE291" s="51">
        <f>IF(OR(N($BC291)=0,$BB291=""),"",$BB291-HeadClr-Undercut)</f>
        <v/>
      </c>
      <c r="BF291" s="51">
        <f>IF($BA291="","",$BA291+2*FaceW+IF(N($Q291)&gt;0,($Q291+FaceW)*IF($R291="LR",2,1),0))</f>
        <v/>
      </c>
      <c r="BG291" s="51">
        <f>IF($BB291="","",$BB291+IF($AB291="Y",4,FaceW)+IF(N($P291)&gt;0,$P291+FaceW,0)+IF(OR($S291="4F",$S291="BL"),FaceW,0))</f>
        <v/>
      </c>
      <c r="BH291" s="51">
        <f>IF($BF291="","",$BF291+2*ROSide)</f>
        <v/>
      </c>
      <c r="BI291" s="51">
        <f>IF($BG291="","",$BG291+ROTop)</f>
        <v/>
      </c>
      <c r="BJ291" s="52">
        <f>IF(OR(N($BC291)=0,$BA291=""),"",$BA291/$BC291-ClearDeduct)</f>
        <v/>
      </c>
      <c r="BK291" s="49">
        <f>IF(OR(N($BC291)=0,$BE291=""),"",IF(OR($AC291="HGC",$AP291="HGC"),"CONT",IF($BE291&lt;=60,2,IF($BE291&lt;=90,3,IF($BE291&lt;=120,4,5)))))</f>
        <v/>
      </c>
      <c r="BL291" s="49">
        <f>IF(N($BC291)=0,"",IF(OR($AL291="",$AL291="FLUSH"),"FLUSH",IFERROR(LEFT($AL291,FIND("-",$AL291)-1),LEFT($AL291,2))))</f>
        <v/>
      </c>
      <c r="BM291" s="49">
        <f>IF($BL291="","",IFERROR(VALUE(MID($AL291,FIND("-",$AL291)+1,FIND(CHAR(34)&amp;"x",$AL291)-FIND("-",$AL291)-1)),0))</f>
        <v/>
      </c>
      <c r="BN291" s="49">
        <f>IF($BL291="","",IFERROR(VALUE(MID($AL291,FIND(CHAR(34)&amp;"x",$AL291)+2,FIND(CHAR(34),$AL291,FIND(CHAR(34)&amp;"x",$AL291)+2)-FIND(CHAR(34)&amp;"x",$AL291)-2)),0))</f>
        <v/>
      </c>
      <c r="BO291" s="53">
        <f>IF(OR($A291="",$H291="",$H291="NO LAB"),0,IFERROR(VALUE(LEFT($H291,FIND(" ",$H291)-1)),0))</f>
        <v/>
      </c>
      <c r="BP291" s="54">
        <f>IF(OR($A291="",$I291="",$I291="NON-RATED",N($J291)=0),"",IFERROR(VLOOKUP($I291&amp;"|"&amp;$J291,IBC,2,FALSE),"?"))</f>
        <v/>
      </c>
      <c r="BQ291" s="50">
        <f>IF(NOT(AND($A291&lt;&gt;"",$C291&lt;&gt;"DOOR ONLY")),"",TRIM(IFERROR(VLOOKUP($U291,CODES,2,FALSE),"")&amp;" "&amp;$AZ291&amp;" "&amp;IFERROR(VLOOKUP($Z291,CODES,2,FALSE),"")&amp;" "&amp;IFERROR(VLOOKUP($X291,CODES,2,FALSE),"")&amp;" "&amp;IFERROR(VLOOKUP($S291,CODES,2,FALSE),"")&amp;IF(N($P291)&gt;0," w/TRANSOM "&amp;$P291&amp;CHAR(34),"")&amp;IF(N($Q291)&gt;0," w/SIDELITE "&amp;$Q291&amp;CHAR(34)&amp;" "&amp;IF($R291="","R",$R291),"")&amp;IF($Y291="","  |  "," | "&amp;IFERROR(VLOOKUP($Y291,CODES,2,FALSE),"")&amp;" | ")&amp;IFERROR(VLOOKUP($AC291,CODES,2,FALSE),"")&amp;" "&amp;IFERROR(VLOOKUP($AD291,CODES,2,FALSE),"")&amp;IF(OR($AE291="",$AE291="-"),""," "&amp;$AE291)&amp;IF(OR($AF291="",$AF291="-"),""," "&amp;$AF291)&amp;IF($AB291="Y"," 4"&amp;CHAR(34)&amp;" HEAD","")&amp;" "&amp;IFERROR(VLOOKUP($H291,CODES,2,FALSE),"")))</f>
        <v/>
      </c>
      <c r="BR291" s="50">
        <f>IF(NOT(AND($A291&lt;&gt;"",N($BC291)&gt;0)),"",TRIM(IFERROR(VLOOKUP($AH291,CODES,2,FALSE),"")&amp;IF($AI291=""," "," "&amp;$AI291&amp;"GA ")&amp;$AZ291&amp;" "&amp;IF($AN291="",IFERROR(VLOOKUP($Z291,CODES,2,FALSE),""),IFERROR(VLOOKUP($AN291,CODES,2,FALSE),""))&amp;IF($BC291=2," PAIR","")&amp;" DOOR | "&amp;IF($AL291="","?",$AL291)&amp;" | "&amp;IF($AP291="",IFERROR(VLOOKUP($AC291,CODES,2,FALSE),""),IFERROR(VLOOKUP($AP291,CODES,2,FALSE),""))&amp;" "&amp;IFERROR(VLOOKUP($AQ291,CODES,2,FALSE),"")&amp;IF(OR($AR291="",$AR291="-"),""," SEAM "&amp;$AR291)&amp;IF($AS291="Y"," ASTRAGAL","")&amp;IF($AJ291=""," "," "&amp;$AJ291)&amp;IF($AK291=""," "," "&amp;$AK291)&amp;IF($AO291="",""," "&amp;$AO291)&amp;IF($AM291=""," "," SERIES "&amp;$AM291)&amp;" "&amp;IFERROR(VLOOKUP($H291,CODES,2,FALSE),"")))</f>
        <v/>
      </c>
      <c r="BS291" s="49">
        <f>IF(BV291="","",IF(COUNTIF($BV$6:BV291,BV291)=1,MAX($BS$5:BS290)+1,INDEX($BS$5:BS290,MATCH(BV291,$BV$5:BV290,0))))</f>
        <v/>
      </c>
      <c r="BT291" s="49">
        <f>IF(NOT(AND($A291&lt;&gt;"",$C291&lt;&gt;"DOOR ONLY")),"",MAX($BT$5:BT290)+1)</f>
        <v/>
      </c>
      <c r="BU291" s="49">
        <f>IF(NOT(AND($A291&lt;&gt;"",N($BC291)&gt;0)),"",MAX($BU$5:BU290)+1)</f>
        <v/>
      </c>
      <c r="BV291" s="49">
        <f>IF(OR($A291="",$BA291="",$BB291=""),"",$AZ291&amp;"|"&amp;$O291&amp;"|"&amp;$AL291&amp;"|"&amp;$S291&amp;"|"&amp;$P291&amp;"|"&amp;$Q291&amp;$R291&amp;"|"&amp;$C291&amp;"|"&amp;$AB291)</f>
        <v/>
      </c>
      <c r="BW291" s="49">
        <f>IF($A291="","",IF($B291="","qty, ","")&amp;IF($C291="","scope, ","")&amp;IF(OR($K291="",$M291=""),"size, ","")&amp;IF(AND($A291&lt;&gt;"",$C291&lt;&gt;"DOOR ONLY"),IF($U291="","jamb depth, ","")&amp;IF($X291="","construction, ","")&amp;IF($Y291="","anchor, ","")&amp;IF($S291="","frame type, ",""),"")&amp;IF(AND(N($BC291)&gt;0,$Z291=""),"hand, ","")&amp;IF(N($BC291)&gt;0,IF($AH291="","door material, ","")&amp;IF($AL291="","face type, ","")&amp;IF($AQ291="","lock prep, ","")&amp;IF(AND($AP291="",$AC291=""),"hinge prep, ",""),"")&amp;IF(AND($BO291&gt;0,$AH291="FRP"),"FRP cannot carry a label, ","")&amp;IF(AND($O291="Y",OR($Z291="L",$Z291="R",$Z291="LR",$Z291="RR")),"pair marked but hand is single, ","")&amp;IF(AND($O291&lt;&gt;"Y",OR($Z291="PR",AND(LEN($Z291)&gt;1,ISNUMBER(SEARCH("-",$Z291))))),"pair hand on a single door, ","")&amp;IF(AND(ISNUMBER($BP291),$BO291&lt;N($BP291)),"wall needs a "&amp;$BP291&amp;" min door, ","")&amp;IF(AND($BO291&gt;=180,AND(OR($BL291="FG",$BL291="HG",$BL291="FNV",$BL291="FV"),N($BM291)*N($BN291)&gt;100)),"180 min lite over 100 sq in, ","")&amp;IF(N($BD291)&gt;48,"leaf wider than 4'-0"&amp;CHAR(34)&amp;", ",""))</f>
        <v/>
      </c>
      <c r="BX291" s="49">
        <f>IF($A291="","",IF(AND($BO291&gt;0,AND($A291&lt;&gt;"",$C291&lt;&gt;"DOOR ONLY"),$X291="KD",$E291="EXTERIOR"),"KD label on an exterior opening, ","")&amp;IF(AND($E291="EXTERIOR",OR(AND(AND($A291&lt;&gt;"",$C291&lt;&gt;"DOOR ONLY"),$W291="CR"),AND(N($BC291)&gt;0,$AH291="CR"))),"exterior in CR steel (G9?), ","")&amp;IF(AND(ISNUMBER($BJ291),N($BJ291)&lt;32),"clear width ~"&amp;TEXT($BJ291,"0.0")&amp;CHAR(34)&amp;" under 32"&amp;CHAR(34)&amp;" (ADA), ","")&amp;IF(AND($BO291=90,AND(OR($BL291="FG",$BL291="HG",$BL291="FNV",$BL291="FV"),N($BM291)*N($BN291)&gt;100)),"90 min lite over 100 sq in (stair/exit), ","")&amp;IF(AND($BO291&gt;0,AND($A291&lt;&gt;"",$C291&lt;&gt;"DOOR ONLY"),OR($AF291="",$AF291="-")),"rated: closer reinf.?, ","")&amp;IF(OR($I291="CORRIDOR",$I291="SMOKE BARRIER"),"S label + smoke gasketing, ","")&amp;IF($BP291="?","wall type/hr not in IBC table, ","")&amp;IF(AND(N($BC291)&gt;0,$AU291=""),"no hardware set, ","")&amp;IF(AND($AU291&lt;&gt;"",ISNA(MATCH($AU291,HWSets,0))),"set "&amp;$AU291&amp;" not on Hardware sheet, ","")&amp;IF(N($BE291)&gt;96,"leaf over 8'-0"&amp;CHAR(34)&amp;" - check listing, ",""))</f>
        <v/>
      </c>
    </row>
    <row r="292" ht="15" customHeight="1">
      <c r="A292" s="44" t="n"/>
      <c r="B292" s="45" t="n"/>
      <c r="C292" s="45" t="n"/>
      <c r="D292" s="45" t="n"/>
      <c r="E292" s="45" t="n"/>
      <c r="F292" s="45" t="n"/>
      <c r="G292" s="45" t="n"/>
      <c r="H292" s="45" t="n"/>
      <c r="I292" s="45" t="n"/>
      <c r="J292" s="45" t="n"/>
      <c r="K292" s="45" t="n"/>
      <c r="L292" s="45" t="n"/>
      <c r="M292" s="45" t="n"/>
      <c r="N292" s="45" t="n"/>
      <c r="O292" s="45" t="n"/>
      <c r="P292" s="45" t="n"/>
      <c r="Q292" s="45" t="n"/>
      <c r="R292" s="45" t="n"/>
      <c r="S292" s="46" t="n"/>
      <c r="T292" s="46" t="n"/>
      <c r="U292" s="46" t="n"/>
      <c r="V292" s="46" t="n"/>
      <c r="W292" s="46" t="n"/>
      <c r="X292" s="46" t="n"/>
      <c r="Y292" s="46" t="n"/>
      <c r="Z292" s="46" t="n"/>
      <c r="AA292" s="46" t="n"/>
      <c r="AB292" s="46" t="n"/>
      <c r="AC292" s="46" t="n"/>
      <c r="AD292" s="46" t="n"/>
      <c r="AE292" s="46" t="n"/>
      <c r="AF292" s="46" t="n"/>
      <c r="AG292" s="46" t="n"/>
      <c r="AH292" s="47" t="n"/>
      <c r="AI292" s="47" t="n"/>
      <c r="AJ292" s="47" t="n"/>
      <c r="AK292" s="47" t="n"/>
      <c r="AL292" s="47" t="n"/>
      <c r="AM292" s="47" t="n"/>
      <c r="AN292" s="47" t="n"/>
      <c r="AO292" s="47" t="n"/>
      <c r="AP292" s="47" t="n"/>
      <c r="AQ292" s="47" t="n"/>
      <c r="AR292" s="47" t="n"/>
      <c r="AS292" s="47" t="n"/>
      <c r="AT292" s="47" t="n"/>
      <c r="AU292" s="48" t="n"/>
      <c r="AV292" s="48" t="n"/>
      <c r="AW292" s="49">
        <f>IF($A292="","",IF($BW292&lt;&gt;"","FIX",IF($BX292&lt;&gt;"","CHECK","OK")))</f>
        <v/>
      </c>
      <c r="AX292" s="50">
        <f>IF($A292="","",IF($BW292&lt;&gt;"","FIX: "&amp;LEFT($BW292,LEN($BW292)-2)&amp;IF($BX292&lt;&gt;"","  ·  ",""),"")&amp;IF($BX292&lt;&gt;"","CHECK: "&amp;LEFT($BX292,LEN($BX292)-2),""))</f>
        <v/>
      </c>
      <c r="AY292" s="49">
        <f>IF(OR($A292="",$K292=""),"",$K292&amp;"'-"&amp;N($L292)&amp;CHAR(34)&amp;" x "&amp;$M292&amp;"'-"&amp;N($N292)&amp;CHAR(34))</f>
        <v/>
      </c>
      <c r="AZ292" s="49">
        <f>IF(OR($A292="",$K292=""),"",$K292&amp;N($L292)&amp;$M292&amp;N($N292))</f>
        <v/>
      </c>
      <c r="BA292" s="49">
        <f>IF(OR($A292="",$K292=""),"",$K292*12+N($L292))</f>
        <v/>
      </c>
      <c r="BB292" s="49">
        <f>IF(OR($A292="",$M292=""),"",$M292*12+N($N292))</f>
        <v/>
      </c>
      <c r="BC292" s="49">
        <f>IF($A292="","",IF(OR($C292="FRAME ONLY",$S292="BL"),0,IF($O292="Y",2,1)))</f>
        <v/>
      </c>
      <c r="BD292" s="51">
        <f>IF(OR(N($BC292)=0,$BA292=""),"",($BA292-2*EdgeClr-IF($BC292=2,MeetClr,0))/$BC292)</f>
        <v/>
      </c>
      <c r="BE292" s="51">
        <f>IF(OR(N($BC292)=0,$BB292=""),"",$BB292-HeadClr-Undercut)</f>
        <v/>
      </c>
      <c r="BF292" s="51">
        <f>IF($BA292="","",$BA292+2*FaceW+IF(N($Q292)&gt;0,($Q292+FaceW)*IF($R292="LR",2,1),0))</f>
        <v/>
      </c>
      <c r="BG292" s="51">
        <f>IF($BB292="","",$BB292+IF($AB292="Y",4,FaceW)+IF(N($P292)&gt;0,$P292+FaceW,0)+IF(OR($S292="4F",$S292="BL"),FaceW,0))</f>
        <v/>
      </c>
      <c r="BH292" s="51">
        <f>IF($BF292="","",$BF292+2*ROSide)</f>
        <v/>
      </c>
      <c r="BI292" s="51">
        <f>IF($BG292="","",$BG292+ROTop)</f>
        <v/>
      </c>
      <c r="BJ292" s="52">
        <f>IF(OR(N($BC292)=0,$BA292=""),"",$BA292/$BC292-ClearDeduct)</f>
        <v/>
      </c>
      <c r="BK292" s="49">
        <f>IF(OR(N($BC292)=0,$BE292=""),"",IF(OR($AC292="HGC",$AP292="HGC"),"CONT",IF($BE292&lt;=60,2,IF($BE292&lt;=90,3,IF($BE292&lt;=120,4,5)))))</f>
        <v/>
      </c>
      <c r="BL292" s="49">
        <f>IF(N($BC292)=0,"",IF(OR($AL292="",$AL292="FLUSH"),"FLUSH",IFERROR(LEFT($AL292,FIND("-",$AL292)-1),LEFT($AL292,2))))</f>
        <v/>
      </c>
      <c r="BM292" s="49">
        <f>IF($BL292="","",IFERROR(VALUE(MID($AL292,FIND("-",$AL292)+1,FIND(CHAR(34)&amp;"x",$AL292)-FIND("-",$AL292)-1)),0))</f>
        <v/>
      </c>
      <c r="BN292" s="49">
        <f>IF($BL292="","",IFERROR(VALUE(MID($AL292,FIND(CHAR(34)&amp;"x",$AL292)+2,FIND(CHAR(34),$AL292,FIND(CHAR(34)&amp;"x",$AL292)+2)-FIND(CHAR(34)&amp;"x",$AL292)-2)),0))</f>
        <v/>
      </c>
      <c r="BO292" s="53">
        <f>IF(OR($A292="",$H292="",$H292="NO LAB"),0,IFERROR(VALUE(LEFT($H292,FIND(" ",$H292)-1)),0))</f>
        <v/>
      </c>
      <c r="BP292" s="54">
        <f>IF(OR($A292="",$I292="",$I292="NON-RATED",N($J292)=0),"",IFERROR(VLOOKUP($I292&amp;"|"&amp;$J292,IBC,2,FALSE),"?"))</f>
        <v/>
      </c>
      <c r="BQ292" s="50">
        <f>IF(NOT(AND($A292&lt;&gt;"",$C292&lt;&gt;"DOOR ONLY")),"",TRIM(IFERROR(VLOOKUP($U292,CODES,2,FALSE),"")&amp;" "&amp;$AZ292&amp;" "&amp;IFERROR(VLOOKUP($Z292,CODES,2,FALSE),"")&amp;" "&amp;IFERROR(VLOOKUP($X292,CODES,2,FALSE),"")&amp;" "&amp;IFERROR(VLOOKUP($S292,CODES,2,FALSE),"")&amp;IF(N($P292)&gt;0," w/TRANSOM "&amp;$P292&amp;CHAR(34),"")&amp;IF(N($Q292)&gt;0," w/SIDELITE "&amp;$Q292&amp;CHAR(34)&amp;" "&amp;IF($R292="","R",$R292),"")&amp;IF($Y292="","  |  "," | "&amp;IFERROR(VLOOKUP($Y292,CODES,2,FALSE),"")&amp;" | ")&amp;IFERROR(VLOOKUP($AC292,CODES,2,FALSE),"")&amp;" "&amp;IFERROR(VLOOKUP($AD292,CODES,2,FALSE),"")&amp;IF(OR($AE292="",$AE292="-"),""," "&amp;$AE292)&amp;IF(OR($AF292="",$AF292="-"),""," "&amp;$AF292)&amp;IF($AB292="Y"," 4"&amp;CHAR(34)&amp;" HEAD","")&amp;" "&amp;IFERROR(VLOOKUP($H292,CODES,2,FALSE),"")))</f>
        <v/>
      </c>
      <c r="BR292" s="50">
        <f>IF(NOT(AND($A292&lt;&gt;"",N($BC292)&gt;0)),"",TRIM(IFERROR(VLOOKUP($AH292,CODES,2,FALSE),"")&amp;IF($AI292=""," "," "&amp;$AI292&amp;"GA ")&amp;$AZ292&amp;" "&amp;IF($AN292="",IFERROR(VLOOKUP($Z292,CODES,2,FALSE),""),IFERROR(VLOOKUP($AN292,CODES,2,FALSE),""))&amp;IF($BC292=2," PAIR","")&amp;" DOOR | "&amp;IF($AL292="","?",$AL292)&amp;" | "&amp;IF($AP292="",IFERROR(VLOOKUP($AC292,CODES,2,FALSE),""),IFERROR(VLOOKUP($AP292,CODES,2,FALSE),""))&amp;" "&amp;IFERROR(VLOOKUP($AQ292,CODES,2,FALSE),"")&amp;IF(OR($AR292="",$AR292="-"),""," SEAM "&amp;$AR292)&amp;IF($AS292="Y"," ASTRAGAL","")&amp;IF($AJ292=""," "," "&amp;$AJ292)&amp;IF($AK292=""," "," "&amp;$AK292)&amp;IF($AO292="",""," "&amp;$AO292)&amp;IF($AM292=""," "," SERIES "&amp;$AM292)&amp;" "&amp;IFERROR(VLOOKUP($H292,CODES,2,FALSE),"")))</f>
        <v/>
      </c>
      <c r="BS292" s="49">
        <f>IF(BV292="","",IF(COUNTIF($BV$6:BV292,BV292)=1,MAX($BS$5:BS291)+1,INDEX($BS$5:BS291,MATCH(BV292,$BV$5:BV291,0))))</f>
        <v/>
      </c>
      <c r="BT292" s="49">
        <f>IF(NOT(AND($A292&lt;&gt;"",$C292&lt;&gt;"DOOR ONLY")),"",MAX($BT$5:BT291)+1)</f>
        <v/>
      </c>
      <c r="BU292" s="49">
        <f>IF(NOT(AND($A292&lt;&gt;"",N($BC292)&gt;0)),"",MAX($BU$5:BU291)+1)</f>
        <v/>
      </c>
      <c r="BV292" s="49">
        <f>IF(OR($A292="",$BA292="",$BB292=""),"",$AZ292&amp;"|"&amp;$O292&amp;"|"&amp;$AL292&amp;"|"&amp;$S292&amp;"|"&amp;$P292&amp;"|"&amp;$Q292&amp;$R292&amp;"|"&amp;$C292&amp;"|"&amp;$AB292)</f>
        <v/>
      </c>
      <c r="BW292" s="49">
        <f>IF($A292="","",IF($B292="","qty, ","")&amp;IF($C292="","scope, ","")&amp;IF(OR($K292="",$M292=""),"size, ","")&amp;IF(AND($A292&lt;&gt;"",$C292&lt;&gt;"DOOR ONLY"),IF($U292="","jamb depth, ","")&amp;IF($X292="","construction, ","")&amp;IF($Y292="","anchor, ","")&amp;IF($S292="","frame type, ",""),"")&amp;IF(AND(N($BC292)&gt;0,$Z292=""),"hand, ","")&amp;IF(N($BC292)&gt;0,IF($AH292="","door material, ","")&amp;IF($AL292="","face type, ","")&amp;IF($AQ292="","lock prep, ","")&amp;IF(AND($AP292="",$AC292=""),"hinge prep, ",""),"")&amp;IF(AND($BO292&gt;0,$AH292="FRP"),"FRP cannot carry a label, ","")&amp;IF(AND($O292="Y",OR($Z292="L",$Z292="R",$Z292="LR",$Z292="RR")),"pair marked but hand is single, ","")&amp;IF(AND($O292&lt;&gt;"Y",OR($Z292="PR",AND(LEN($Z292)&gt;1,ISNUMBER(SEARCH("-",$Z292))))),"pair hand on a single door, ","")&amp;IF(AND(ISNUMBER($BP292),$BO292&lt;N($BP292)),"wall needs a "&amp;$BP292&amp;" min door, ","")&amp;IF(AND($BO292&gt;=180,AND(OR($BL292="FG",$BL292="HG",$BL292="FNV",$BL292="FV"),N($BM292)*N($BN292)&gt;100)),"180 min lite over 100 sq in, ","")&amp;IF(N($BD292)&gt;48,"leaf wider than 4'-0"&amp;CHAR(34)&amp;", ",""))</f>
        <v/>
      </c>
      <c r="BX292" s="49">
        <f>IF($A292="","",IF(AND($BO292&gt;0,AND($A292&lt;&gt;"",$C292&lt;&gt;"DOOR ONLY"),$X292="KD",$E292="EXTERIOR"),"KD label on an exterior opening, ","")&amp;IF(AND($E292="EXTERIOR",OR(AND(AND($A292&lt;&gt;"",$C292&lt;&gt;"DOOR ONLY"),$W292="CR"),AND(N($BC292)&gt;0,$AH292="CR"))),"exterior in CR steel (G9?), ","")&amp;IF(AND(ISNUMBER($BJ292),N($BJ292)&lt;32),"clear width ~"&amp;TEXT($BJ292,"0.0")&amp;CHAR(34)&amp;" under 32"&amp;CHAR(34)&amp;" (ADA), ","")&amp;IF(AND($BO292=90,AND(OR($BL292="FG",$BL292="HG",$BL292="FNV",$BL292="FV"),N($BM292)*N($BN292)&gt;100)),"90 min lite over 100 sq in (stair/exit), ","")&amp;IF(AND($BO292&gt;0,AND($A292&lt;&gt;"",$C292&lt;&gt;"DOOR ONLY"),OR($AF292="",$AF292="-")),"rated: closer reinf.?, ","")&amp;IF(OR($I292="CORRIDOR",$I292="SMOKE BARRIER"),"S label + smoke gasketing, ","")&amp;IF($BP292="?","wall type/hr not in IBC table, ","")&amp;IF(AND(N($BC292)&gt;0,$AU292=""),"no hardware set, ","")&amp;IF(AND($AU292&lt;&gt;"",ISNA(MATCH($AU292,HWSets,0))),"set "&amp;$AU292&amp;" not on Hardware sheet, ","")&amp;IF(N($BE292)&gt;96,"leaf over 8'-0"&amp;CHAR(34)&amp;" - check listing, ",""))</f>
        <v/>
      </c>
    </row>
    <row r="293" ht="15" customHeight="1">
      <c r="A293" s="44" t="n"/>
      <c r="B293" s="45" t="n"/>
      <c r="C293" s="45" t="n"/>
      <c r="D293" s="45" t="n"/>
      <c r="E293" s="45" t="n"/>
      <c r="F293" s="45" t="n"/>
      <c r="G293" s="45" t="n"/>
      <c r="H293" s="45" t="n"/>
      <c r="I293" s="45" t="n"/>
      <c r="J293" s="45" t="n"/>
      <c r="K293" s="45" t="n"/>
      <c r="L293" s="45" t="n"/>
      <c r="M293" s="45" t="n"/>
      <c r="N293" s="45" t="n"/>
      <c r="O293" s="45" t="n"/>
      <c r="P293" s="45" t="n"/>
      <c r="Q293" s="45" t="n"/>
      <c r="R293" s="45" t="n"/>
      <c r="S293" s="46" t="n"/>
      <c r="T293" s="46" t="n"/>
      <c r="U293" s="46" t="n"/>
      <c r="V293" s="46" t="n"/>
      <c r="W293" s="46" t="n"/>
      <c r="X293" s="46" t="n"/>
      <c r="Y293" s="46" t="n"/>
      <c r="Z293" s="46" t="n"/>
      <c r="AA293" s="46" t="n"/>
      <c r="AB293" s="46" t="n"/>
      <c r="AC293" s="46" t="n"/>
      <c r="AD293" s="46" t="n"/>
      <c r="AE293" s="46" t="n"/>
      <c r="AF293" s="46" t="n"/>
      <c r="AG293" s="46" t="n"/>
      <c r="AH293" s="47" t="n"/>
      <c r="AI293" s="47" t="n"/>
      <c r="AJ293" s="47" t="n"/>
      <c r="AK293" s="47" t="n"/>
      <c r="AL293" s="47" t="n"/>
      <c r="AM293" s="47" t="n"/>
      <c r="AN293" s="47" t="n"/>
      <c r="AO293" s="47" t="n"/>
      <c r="AP293" s="47" t="n"/>
      <c r="AQ293" s="47" t="n"/>
      <c r="AR293" s="47" t="n"/>
      <c r="AS293" s="47" t="n"/>
      <c r="AT293" s="47" t="n"/>
      <c r="AU293" s="48" t="n"/>
      <c r="AV293" s="48" t="n"/>
      <c r="AW293" s="49">
        <f>IF($A293="","",IF($BW293&lt;&gt;"","FIX",IF($BX293&lt;&gt;"","CHECK","OK")))</f>
        <v/>
      </c>
      <c r="AX293" s="50">
        <f>IF($A293="","",IF($BW293&lt;&gt;"","FIX: "&amp;LEFT($BW293,LEN($BW293)-2)&amp;IF($BX293&lt;&gt;"","  ·  ",""),"")&amp;IF($BX293&lt;&gt;"","CHECK: "&amp;LEFT($BX293,LEN($BX293)-2),""))</f>
        <v/>
      </c>
      <c r="AY293" s="49">
        <f>IF(OR($A293="",$K293=""),"",$K293&amp;"'-"&amp;N($L293)&amp;CHAR(34)&amp;" x "&amp;$M293&amp;"'-"&amp;N($N293)&amp;CHAR(34))</f>
        <v/>
      </c>
      <c r="AZ293" s="49">
        <f>IF(OR($A293="",$K293=""),"",$K293&amp;N($L293)&amp;$M293&amp;N($N293))</f>
        <v/>
      </c>
      <c r="BA293" s="49">
        <f>IF(OR($A293="",$K293=""),"",$K293*12+N($L293))</f>
        <v/>
      </c>
      <c r="BB293" s="49">
        <f>IF(OR($A293="",$M293=""),"",$M293*12+N($N293))</f>
        <v/>
      </c>
      <c r="BC293" s="49">
        <f>IF($A293="","",IF(OR($C293="FRAME ONLY",$S293="BL"),0,IF($O293="Y",2,1)))</f>
        <v/>
      </c>
      <c r="BD293" s="51">
        <f>IF(OR(N($BC293)=0,$BA293=""),"",($BA293-2*EdgeClr-IF($BC293=2,MeetClr,0))/$BC293)</f>
        <v/>
      </c>
      <c r="BE293" s="51">
        <f>IF(OR(N($BC293)=0,$BB293=""),"",$BB293-HeadClr-Undercut)</f>
        <v/>
      </c>
      <c r="BF293" s="51">
        <f>IF($BA293="","",$BA293+2*FaceW+IF(N($Q293)&gt;0,($Q293+FaceW)*IF($R293="LR",2,1),0))</f>
        <v/>
      </c>
      <c r="BG293" s="51">
        <f>IF($BB293="","",$BB293+IF($AB293="Y",4,FaceW)+IF(N($P293)&gt;0,$P293+FaceW,0)+IF(OR($S293="4F",$S293="BL"),FaceW,0))</f>
        <v/>
      </c>
      <c r="BH293" s="51">
        <f>IF($BF293="","",$BF293+2*ROSide)</f>
        <v/>
      </c>
      <c r="BI293" s="51">
        <f>IF($BG293="","",$BG293+ROTop)</f>
        <v/>
      </c>
      <c r="BJ293" s="52">
        <f>IF(OR(N($BC293)=0,$BA293=""),"",$BA293/$BC293-ClearDeduct)</f>
        <v/>
      </c>
      <c r="BK293" s="49">
        <f>IF(OR(N($BC293)=0,$BE293=""),"",IF(OR($AC293="HGC",$AP293="HGC"),"CONT",IF($BE293&lt;=60,2,IF($BE293&lt;=90,3,IF($BE293&lt;=120,4,5)))))</f>
        <v/>
      </c>
      <c r="BL293" s="49">
        <f>IF(N($BC293)=0,"",IF(OR($AL293="",$AL293="FLUSH"),"FLUSH",IFERROR(LEFT($AL293,FIND("-",$AL293)-1),LEFT($AL293,2))))</f>
        <v/>
      </c>
      <c r="BM293" s="49">
        <f>IF($BL293="","",IFERROR(VALUE(MID($AL293,FIND("-",$AL293)+1,FIND(CHAR(34)&amp;"x",$AL293)-FIND("-",$AL293)-1)),0))</f>
        <v/>
      </c>
      <c r="BN293" s="49">
        <f>IF($BL293="","",IFERROR(VALUE(MID($AL293,FIND(CHAR(34)&amp;"x",$AL293)+2,FIND(CHAR(34),$AL293,FIND(CHAR(34)&amp;"x",$AL293)+2)-FIND(CHAR(34)&amp;"x",$AL293)-2)),0))</f>
        <v/>
      </c>
      <c r="BO293" s="53">
        <f>IF(OR($A293="",$H293="",$H293="NO LAB"),0,IFERROR(VALUE(LEFT($H293,FIND(" ",$H293)-1)),0))</f>
        <v/>
      </c>
      <c r="BP293" s="54">
        <f>IF(OR($A293="",$I293="",$I293="NON-RATED",N($J293)=0),"",IFERROR(VLOOKUP($I293&amp;"|"&amp;$J293,IBC,2,FALSE),"?"))</f>
        <v/>
      </c>
      <c r="BQ293" s="50">
        <f>IF(NOT(AND($A293&lt;&gt;"",$C293&lt;&gt;"DOOR ONLY")),"",TRIM(IFERROR(VLOOKUP($U293,CODES,2,FALSE),"")&amp;" "&amp;$AZ293&amp;" "&amp;IFERROR(VLOOKUP($Z293,CODES,2,FALSE),"")&amp;" "&amp;IFERROR(VLOOKUP($X293,CODES,2,FALSE),"")&amp;" "&amp;IFERROR(VLOOKUP($S293,CODES,2,FALSE),"")&amp;IF(N($P293)&gt;0," w/TRANSOM "&amp;$P293&amp;CHAR(34),"")&amp;IF(N($Q293)&gt;0," w/SIDELITE "&amp;$Q293&amp;CHAR(34)&amp;" "&amp;IF($R293="","R",$R293),"")&amp;IF($Y293="","  |  "," | "&amp;IFERROR(VLOOKUP($Y293,CODES,2,FALSE),"")&amp;" | ")&amp;IFERROR(VLOOKUP($AC293,CODES,2,FALSE),"")&amp;" "&amp;IFERROR(VLOOKUP($AD293,CODES,2,FALSE),"")&amp;IF(OR($AE293="",$AE293="-"),""," "&amp;$AE293)&amp;IF(OR($AF293="",$AF293="-"),""," "&amp;$AF293)&amp;IF($AB293="Y"," 4"&amp;CHAR(34)&amp;" HEAD","")&amp;" "&amp;IFERROR(VLOOKUP($H293,CODES,2,FALSE),"")))</f>
        <v/>
      </c>
      <c r="BR293" s="50">
        <f>IF(NOT(AND($A293&lt;&gt;"",N($BC293)&gt;0)),"",TRIM(IFERROR(VLOOKUP($AH293,CODES,2,FALSE),"")&amp;IF($AI293=""," "," "&amp;$AI293&amp;"GA ")&amp;$AZ293&amp;" "&amp;IF($AN293="",IFERROR(VLOOKUP($Z293,CODES,2,FALSE),""),IFERROR(VLOOKUP($AN293,CODES,2,FALSE),""))&amp;IF($BC293=2," PAIR","")&amp;" DOOR | "&amp;IF($AL293="","?",$AL293)&amp;" | "&amp;IF($AP293="",IFERROR(VLOOKUP($AC293,CODES,2,FALSE),""),IFERROR(VLOOKUP($AP293,CODES,2,FALSE),""))&amp;" "&amp;IFERROR(VLOOKUP($AQ293,CODES,2,FALSE),"")&amp;IF(OR($AR293="",$AR293="-"),""," SEAM "&amp;$AR293)&amp;IF($AS293="Y"," ASTRAGAL","")&amp;IF($AJ293=""," "," "&amp;$AJ293)&amp;IF($AK293=""," "," "&amp;$AK293)&amp;IF($AO293="",""," "&amp;$AO293)&amp;IF($AM293=""," "," SERIES "&amp;$AM293)&amp;" "&amp;IFERROR(VLOOKUP($H293,CODES,2,FALSE),"")))</f>
        <v/>
      </c>
      <c r="BS293" s="49">
        <f>IF(BV293="","",IF(COUNTIF($BV$6:BV293,BV293)=1,MAX($BS$5:BS292)+1,INDEX($BS$5:BS292,MATCH(BV293,$BV$5:BV292,0))))</f>
        <v/>
      </c>
      <c r="BT293" s="49">
        <f>IF(NOT(AND($A293&lt;&gt;"",$C293&lt;&gt;"DOOR ONLY")),"",MAX($BT$5:BT292)+1)</f>
        <v/>
      </c>
      <c r="BU293" s="49">
        <f>IF(NOT(AND($A293&lt;&gt;"",N($BC293)&gt;0)),"",MAX($BU$5:BU292)+1)</f>
        <v/>
      </c>
      <c r="BV293" s="49">
        <f>IF(OR($A293="",$BA293="",$BB293=""),"",$AZ293&amp;"|"&amp;$O293&amp;"|"&amp;$AL293&amp;"|"&amp;$S293&amp;"|"&amp;$P293&amp;"|"&amp;$Q293&amp;$R293&amp;"|"&amp;$C293&amp;"|"&amp;$AB293)</f>
        <v/>
      </c>
      <c r="BW293" s="49">
        <f>IF($A293="","",IF($B293="","qty, ","")&amp;IF($C293="","scope, ","")&amp;IF(OR($K293="",$M293=""),"size, ","")&amp;IF(AND($A293&lt;&gt;"",$C293&lt;&gt;"DOOR ONLY"),IF($U293="","jamb depth, ","")&amp;IF($X293="","construction, ","")&amp;IF($Y293="","anchor, ","")&amp;IF($S293="","frame type, ",""),"")&amp;IF(AND(N($BC293)&gt;0,$Z293=""),"hand, ","")&amp;IF(N($BC293)&gt;0,IF($AH293="","door material, ","")&amp;IF($AL293="","face type, ","")&amp;IF($AQ293="","lock prep, ","")&amp;IF(AND($AP293="",$AC293=""),"hinge prep, ",""),"")&amp;IF(AND($BO293&gt;0,$AH293="FRP"),"FRP cannot carry a label, ","")&amp;IF(AND($O293="Y",OR($Z293="L",$Z293="R",$Z293="LR",$Z293="RR")),"pair marked but hand is single, ","")&amp;IF(AND($O293&lt;&gt;"Y",OR($Z293="PR",AND(LEN($Z293)&gt;1,ISNUMBER(SEARCH("-",$Z293))))),"pair hand on a single door, ","")&amp;IF(AND(ISNUMBER($BP293),$BO293&lt;N($BP293)),"wall needs a "&amp;$BP293&amp;" min door, ","")&amp;IF(AND($BO293&gt;=180,AND(OR($BL293="FG",$BL293="HG",$BL293="FNV",$BL293="FV"),N($BM293)*N($BN293)&gt;100)),"180 min lite over 100 sq in, ","")&amp;IF(N($BD293)&gt;48,"leaf wider than 4'-0"&amp;CHAR(34)&amp;", ",""))</f>
        <v/>
      </c>
      <c r="BX293" s="49">
        <f>IF($A293="","",IF(AND($BO293&gt;0,AND($A293&lt;&gt;"",$C293&lt;&gt;"DOOR ONLY"),$X293="KD",$E293="EXTERIOR"),"KD label on an exterior opening, ","")&amp;IF(AND($E293="EXTERIOR",OR(AND(AND($A293&lt;&gt;"",$C293&lt;&gt;"DOOR ONLY"),$W293="CR"),AND(N($BC293)&gt;0,$AH293="CR"))),"exterior in CR steel (G9?), ","")&amp;IF(AND(ISNUMBER($BJ293),N($BJ293)&lt;32),"clear width ~"&amp;TEXT($BJ293,"0.0")&amp;CHAR(34)&amp;" under 32"&amp;CHAR(34)&amp;" (ADA), ","")&amp;IF(AND($BO293=90,AND(OR($BL293="FG",$BL293="HG",$BL293="FNV",$BL293="FV"),N($BM293)*N($BN293)&gt;100)),"90 min lite over 100 sq in (stair/exit), ","")&amp;IF(AND($BO293&gt;0,AND($A293&lt;&gt;"",$C293&lt;&gt;"DOOR ONLY"),OR($AF293="",$AF293="-")),"rated: closer reinf.?, ","")&amp;IF(OR($I293="CORRIDOR",$I293="SMOKE BARRIER"),"S label + smoke gasketing, ","")&amp;IF($BP293="?","wall type/hr not in IBC table, ","")&amp;IF(AND(N($BC293)&gt;0,$AU293=""),"no hardware set, ","")&amp;IF(AND($AU293&lt;&gt;"",ISNA(MATCH($AU293,HWSets,0))),"set "&amp;$AU293&amp;" not on Hardware sheet, ","")&amp;IF(N($BE293)&gt;96,"leaf over 8'-0"&amp;CHAR(34)&amp;" - check listing, ",""))</f>
        <v/>
      </c>
    </row>
    <row r="294" ht="15" customHeight="1">
      <c r="A294" s="44" t="n"/>
      <c r="B294" s="45" t="n"/>
      <c r="C294" s="45" t="n"/>
      <c r="D294" s="45" t="n"/>
      <c r="E294" s="45" t="n"/>
      <c r="F294" s="45" t="n"/>
      <c r="G294" s="45" t="n"/>
      <c r="H294" s="45" t="n"/>
      <c r="I294" s="45" t="n"/>
      <c r="J294" s="45" t="n"/>
      <c r="K294" s="45" t="n"/>
      <c r="L294" s="45" t="n"/>
      <c r="M294" s="45" t="n"/>
      <c r="N294" s="45" t="n"/>
      <c r="O294" s="45" t="n"/>
      <c r="P294" s="45" t="n"/>
      <c r="Q294" s="45" t="n"/>
      <c r="R294" s="45" t="n"/>
      <c r="S294" s="46" t="n"/>
      <c r="T294" s="46" t="n"/>
      <c r="U294" s="46" t="n"/>
      <c r="V294" s="46" t="n"/>
      <c r="W294" s="46" t="n"/>
      <c r="X294" s="46" t="n"/>
      <c r="Y294" s="46" t="n"/>
      <c r="Z294" s="46" t="n"/>
      <c r="AA294" s="46" t="n"/>
      <c r="AB294" s="46" t="n"/>
      <c r="AC294" s="46" t="n"/>
      <c r="AD294" s="46" t="n"/>
      <c r="AE294" s="46" t="n"/>
      <c r="AF294" s="46" t="n"/>
      <c r="AG294" s="46" t="n"/>
      <c r="AH294" s="47" t="n"/>
      <c r="AI294" s="47" t="n"/>
      <c r="AJ294" s="47" t="n"/>
      <c r="AK294" s="47" t="n"/>
      <c r="AL294" s="47" t="n"/>
      <c r="AM294" s="47" t="n"/>
      <c r="AN294" s="47" t="n"/>
      <c r="AO294" s="47" t="n"/>
      <c r="AP294" s="47" t="n"/>
      <c r="AQ294" s="47" t="n"/>
      <c r="AR294" s="47" t="n"/>
      <c r="AS294" s="47" t="n"/>
      <c r="AT294" s="47" t="n"/>
      <c r="AU294" s="48" t="n"/>
      <c r="AV294" s="48" t="n"/>
      <c r="AW294" s="49">
        <f>IF($A294="","",IF($BW294&lt;&gt;"","FIX",IF($BX294&lt;&gt;"","CHECK","OK")))</f>
        <v/>
      </c>
      <c r="AX294" s="50">
        <f>IF($A294="","",IF($BW294&lt;&gt;"","FIX: "&amp;LEFT($BW294,LEN($BW294)-2)&amp;IF($BX294&lt;&gt;"","  ·  ",""),"")&amp;IF($BX294&lt;&gt;"","CHECK: "&amp;LEFT($BX294,LEN($BX294)-2),""))</f>
        <v/>
      </c>
      <c r="AY294" s="49">
        <f>IF(OR($A294="",$K294=""),"",$K294&amp;"'-"&amp;N($L294)&amp;CHAR(34)&amp;" x "&amp;$M294&amp;"'-"&amp;N($N294)&amp;CHAR(34))</f>
        <v/>
      </c>
      <c r="AZ294" s="49">
        <f>IF(OR($A294="",$K294=""),"",$K294&amp;N($L294)&amp;$M294&amp;N($N294))</f>
        <v/>
      </c>
      <c r="BA294" s="49">
        <f>IF(OR($A294="",$K294=""),"",$K294*12+N($L294))</f>
        <v/>
      </c>
      <c r="BB294" s="49">
        <f>IF(OR($A294="",$M294=""),"",$M294*12+N($N294))</f>
        <v/>
      </c>
      <c r="BC294" s="49">
        <f>IF($A294="","",IF(OR($C294="FRAME ONLY",$S294="BL"),0,IF($O294="Y",2,1)))</f>
        <v/>
      </c>
      <c r="BD294" s="51">
        <f>IF(OR(N($BC294)=0,$BA294=""),"",($BA294-2*EdgeClr-IF($BC294=2,MeetClr,0))/$BC294)</f>
        <v/>
      </c>
      <c r="BE294" s="51">
        <f>IF(OR(N($BC294)=0,$BB294=""),"",$BB294-HeadClr-Undercut)</f>
        <v/>
      </c>
      <c r="BF294" s="51">
        <f>IF($BA294="","",$BA294+2*FaceW+IF(N($Q294)&gt;0,($Q294+FaceW)*IF($R294="LR",2,1),0))</f>
        <v/>
      </c>
      <c r="BG294" s="51">
        <f>IF($BB294="","",$BB294+IF($AB294="Y",4,FaceW)+IF(N($P294)&gt;0,$P294+FaceW,0)+IF(OR($S294="4F",$S294="BL"),FaceW,0))</f>
        <v/>
      </c>
      <c r="BH294" s="51">
        <f>IF($BF294="","",$BF294+2*ROSide)</f>
        <v/>
      </c>
      <c r="BI294" s="51">
        <f>IF($BG294="","",$BG294+ROTop)</f>
        <v/>
      </c>
      <c r="BJ294" s="52">
        <f>IF(OR(N($BC294)=0,$BA294=""),"",$BA294/$BC294-ClearDeduct)</f>
        <v/>
      </c>
      <c r="BK294" s="49">
        <f>IF(OR(N($BC294)=0,$BE294=""),"",IF(OR($AC294="HGC",$AP294="HGC"),"CONT",IF($BE294&lt;=60,2,IF($BE294&lt;=90,3,IF($BE294&lt;=120,4,5)))))</f>
        <v/>
      </c>
      <c r="BL294" s="49">
        <f>IF(N($BC294)=0,"",IF(OR($AL294="",$AL294="FLUSH"),"FLUSH",IFERROR(LEFT($AL294,FIND("-",$AL294)-1),LEFT($AL294,2))))</f>
        <v/>
      </c>
      <c r="BM294" s="49">
        <f>IF($BL294="","",IFERROR(VALUE(MID($AL294,FIND("-",$AL294)+1,FIND(CHAR(34)&amp;"x",$AL294)-FIND("-",$AL294)-1)),0))</f>
        <v/>
      </c>
      <c r="BN294" s="49">
        <f>IF($BL294="","",IFERROR(VALUE(MID($AL294,FIND(CHAR(34)&amp;"x",$AL294)+2,FIND(CHAR(34),$AL294,FIND(CHAR(34)&amp;"x",$AL294)+2)-FIND(CHAR(34)&amp;"x",$AL294)-2)),0))</f>
        <v/>
      </c>
      <c r="BO294" s="53">
        <f>IF(OR($A294="",$H294="",$H294="NO LAB"),0,IFERROR(VALUE(LEFT($H294,FIND(" ",$H294)-1)),0))</f>
        <v/>
      </c>
      <c r="BP294" s="54">
        <f>IF(OR($A294="",$I294="",$I294="NON-RATED",N($J294)=0),"",IFERROR(VLOOKUP($I294&amp;"|"&amp;$J294,IBC,2,FALSE),"?"))</f>
        <v/>
      </c>
      <c r="BQ294" s="50">
        <f>IF(NOT(AND($A294&lt;&gt;"",$C294&lt;&gt;"DOOR ONLY")),"",TRIM(IFERROR(VLOOKUP($U294,CODES,2,FALSE),"")&amp;" "&amp;$AZ294&amp;" "&amp;IFERROR(VLOOKUP($Z294,CODES,2,FALSE),"")&amp;" "&amp;IFERROR(VLOOKUP($X294,CODES,2,FALSE),"")&amp;" "&amp;IFERROR(VLOOKUP($S294,CODES,2,FALSE),"")&amp;IF(N($P294)&gt;0," w/TRANSOM "&amp;$P294&amp;CHAR(34),"")&amp;IF(N($Q294)&gt;0," w/SIDELITE "&amp;$Q294&amp;CHAR(34)&amp;" "&amp;IF($R294="","R",$R294),"")&amp;IF($Y294="","  |  "," | "&amp;IFERROR(VLOOKUP($Y294,CODES,2,FALSE),"")&amp;" | ")&amp;IFERROR(VLOOKUP($AC294,CODES,2,FALSE),"")&amp;" "&amp;IFERROR(VLOOKUP($AD294,CODES,2,FALSE),"")&amp;IF(OR($AE294="",$AE294="-"),""," "&amp;$AE294)&amp;IF(OR($AF294="",$AF294="-"),""," "&amp;$AF294)&amp;IF($AB294="Y"," 4"&amp;CHAR(34)&amp;" HEAD","")&amp;" "&amp;IFERROR(VLOOKUP($H294,CODES,2,FALSE),"")))</f>
        <v/>
      </c>
      <c r="BR294" s="50">
        <f>IF(NOT(AND($A294&lt;&gt;"",N($BC294)&gt;0)),"",TRIM(IFERROR(VLOOKUP($AH294,CODES,2,FALSE),"")&amp;IF($AI294=""," "," "&amp;$AI294&amp;"GA ")&amp;$AZ294&amp;" "&amp;IF($AN294="",IFERROR(VLOOKUP($Z294,CODES,2,FALSE),""),IFERROR(VLOOKUP($AN294,CODES,2,FALSE),""))&amp;IF($BC294=2," PAIR","")&amp;" DOOR | "&amp;IF($AL294="","?",$AL294)&amp;" | "&amp;IF($AP294="",IFERROR(VLOOKUP($AC294,CODES,2,FALSE),""),IFERROR(VLOOKUP($AP294,CODES,2,FALSE),""))&amp;" "&amp;IFERROR(VLOOKUP($AQ294,CODES,2,FALSE),"")&amp;IF(OR($AR294="",$AR294="-"),""," SEAM "&amp;$AR294)&amp;IF($AS294="Y"," ASTRAGAL","")&amp;IF($AJ294=""," "," "&amp;$AJ294)&amp;IF($AK294=""," "," "&amp;$AK294)&amp;IF($AO294="",""," "&amp;$AO294)&amp;IF($AM294=""," "," SERIES "&amp;$AM294)&amp;" "&amp;IFERROR(VLOOKUP($H294,CODES,2,FALSE),"")))</f>
        <v/>
      </c>
      <c r="BS294" s="49">
        <f>IF(BV294="","",IF(COUNTIF($BV$6:BV294,BV294)=1,MAX($BS$5:BS293)+1,INDEX($BS$5:BS293,MATCH(BV294,$BV$5:BV293,0))))</f>
        <v/>
      </c>
      <c r="BT294" s="49">
        <f>IF(NOT(AND($A294&lt;&gt;"",$C294&lt;&gt;"DOOR ONLY")),"",MAX($BT$5:BT293)+1)</f>
        <v/>
      </c>
      <c r="BU294" s="49">
        <f>IF(NOT(AND($A294&lt;&gt;"",N($BC294)&gt;0)),"",MAX($BU$5:BU293)+1)</f>
        <v/>
      </c>
      <c r="BV294" s="49">
        <f>IF(OR($A294="",$BA294="",$BB294=""),"",$AZ294&amp;"|"&amp;$O294&amp;"|"&amp;$AL294&amp;"|"&amp;$S294&amp;"|"&amp;$P294&amp;"|"&amp;$Q294&amp;$R294&amp;"|"&amp;$C294&amp;"|"&amp;$AB294)</f>
        <v/>
      </c>
      <c r="BW294" s="49">
        <f>IF($A294="","",IF($B294="","qty, ","")&amp;IF($C294="","scope, ","")&amp;IF(OR($K294="",$M294=""),"size, ","")&amp;IF(AND($A294&lt;&gt;"",$C294&lt;&gt;"DOOR ONLY"),IF($U294="","jamb depth, ","")&amp;IF($X294="","construction, ","")&amp;IF($Y294="","anchor, ","")&amp;IF($S294="","frame type, ",""),"")&amp;IF(AND(N($BC294)&gt;0,$Z294=""),"hand, ","")&amp;IF(N($BC294)&gt;0,IF($AH294="","door material, ","")&amp;IF($AL294="","face type, ","")&amp;IF($AQ294="","lock prep, ","")&amp;IF(AND($AP294="",$AC294=""),"hinge prep, ",""),"")&amp;IF(AND($BO294&gt;0,$AH294="FRP"),"FRP cannot carry a label, ","")&amp;IF(AND($O294="Y",OR($Z294="L",$Z294="R",$Z294="LR",$Z294="RR")),"pair marked but hand is single, ","")&amp;IF(AND($O294&lt;&gt;"Y",OR($Z294="PR",AND(LEN($Z294)&gt;1,ISNUMBER(SEARCH("-",$Z294))))),"pair hand on a single door, ","")&amp;IF(AND(ISNUMBER($BP294),$BO294&lt;N($BP294)),"wall needs a "&amp;$BP294&amp;" min door, ","")&amp;IF(AND($BO294&gt;=180,AND(OR($BL294="FG",$BL294="HG",$BL294="FNV",$BL294="FV"),N($BM294)*N($BN294)&gt;100)),"180 min lite over 100 sq in, ","")&amp;IF(N($BD294)&gt;48,"leaf wider than 4'-0"&amp;CHAR(34)&amp;", ",""))</f>
        <v/>
      </c>
      <c r="BX294" s="49">
        <f>IF($A294="","",IF(AND($BO294&gt;0,AND($A294&lt;&gt;"",$C294&lt;&gt;"DOOR ONLY"),$X294="KD",$E294="EXTERIOR"),"KD label on an exterior opening, ","")&amp;IF(AND($E294="EXTERIOR",OR(AND(AND($A294&lt;&gt;"",$C294&lt;&gt;"DOOR ONLY"),$W294="CR"),AND(N($BC294)&gt;0,$AH294="CR"))),"exterior in CR steel (G9?), ","")&amp;IF(AND(ISNUMBER($BJ294),N($BJ294)&lt;32),"clear width ~"&amp;TEXT($BJ294,"0.0")&amp;CHAR(34)&amp;" under 32"&amp;CHAR(34)&amp;" (ADA), ","")&amp;IF(AND($BO294=90,AND(OR($BL294="FG",$BL294="HG",$BL294="FNV",$BL294="FV"),N($BM294)*N($BN294)&gt;100)),"90 min lite over 100 sq in (stair/exit), ","")&amp;IF(AND($BO294&gt;0,AND($A294&lt;&gt;"",$C294&lt;&gt;"DOOR ONLY"),OR($AF294="",$AF294="-")),"rated: closer reinf.?, ","")&amp;IF(OR($I294="CORRIDOR",$I294="SMOKE BARRIER"),"S label + smoke gasketing, ","")&amp;IF($BP294="?","wall type/hr not in IBC table, ","")&amp;IF(AND(N($BC294)&gt;0,$AU294=""),"no hardware set, ","")&amp;IF(AND($AU294&lt;&gt;"",ISNA(MATCH($AU294,HWSets,0))),"set "&amp;$AU294&amp;" not on Hardware sheet, ","")&amp;IF(N($BE294)&gt;96,"leaf over 8'-0"&amp;CHAR(34)&amp;" - check listing, ",""))</f>
        <v/>
      </c>
    </row>
    <row r="295" ht="15" customHeight="1">
      <c r="A295" s="44" t="n"/>
      <c r="B295" s="45" t="n"/>
      <c r="C295" s="45" t="n"/>
      <c r="D295" s="45" t="n"/>
      <c r="E295" s="45" t="n"/>
      <c r="F295" s="45" t="n"/>
      <c r="G295" s="45" t="n"/>
      <c r="H295" s="45" t="n"/>
      <c r="I295" s="45" t="n"/>
      <c r="J295" s="45" t="n"/>
      <c r="K295" s="45" t="n"/>
      <c r="L295" s="45" t="n"/>
      <c r="M295" s="45" t="n"/>
      <c r="N295" s="45" t="n"/>
      <c r="O295" s="45" t="n"/>
      <c r="P295" s="45" t="n"/>
      <c r="Q295" s="45" t="n"/>
      <c r="R295" s="45" t="n"/>
      <c r="S295" s="46" t="n"/>
      <c r="T295" s="46" t="n"/>
      <c r="U295" s="46" t="n"/>
      <c r="V295" s="46" t="n"/>
      <c r="W295" s="46" t="n"/>
      <c r="X295" s="46" t="n"/>
      <c r="Y295" s="46" t="n"/>
      <c r="Z295" s="46" t="n"/>
      <c r="AA295" s="46" t="n"/>
      <c r="AB295" s="46" t="n"/>
      <c r="AC295" s="46" t="n"/>
      <c r="AD295" s="46" t="n"/>
      <c r="AE295" s="46" t="n"/>
      <c r="AF295" s="46" t="n"/>
      <c r="AG295" s="46" t="n"/>
      <c r="AH295" s="47" t="n"/>
      <c r="AI295" s="47" t="n"/>
      <c r="AJ295" s="47" t="n"/>
      <c r="AK295" s="47" t="n"/>
      <c r="AL295" s="47" t="n"/>
      <c r="AM295" s="47" t="n"/>
      <c r="AN295" s="47" t="n"/>
      <c r="AO295" s="47" t="n"/>
      <c r="AP295" s="47" t="n"/>
      <c r="AQ295" s="47" t="n"/>
      <c r="AR295" s="47" t="n"/>
      <c r="AS295" s="47" t="n"/>
      <c r="AT295" s="47" t="n"/>
      <c r="AU295" s="48" t="n"/>
      <c r="AV295" s="48" t="n"/>
      <c r="AW295" s="49">
        <f>IF($A295="","",IF($BW295&lt;&gt;"","FIX",IF($BX295&lt;&gt;"","CHECK","OK")))</f>
        <v/>
      </c>
      <c r="AX295" s="50">
        <f>IF($A295="","",IF($BW295&lt;&gt;"","FIX: "&amp;LEFT($BW295,LEN($BW295)-2)&amp;IF($BX295&lt;&gt;"","  ·  ",""),"")&amp;IF($BX295&lt;&gt;"","CHECK: "&amp;LEFT($BX295,LEN($BX295)-2),""))</f>
        <v/>
      </c>
      <c r="AY295" s="49">
        <f>IF(OR($A295="",$K295=""),"",$K295&amp;"'-"&amp;N($L295)&amp;CHAR(34)&amp;" x "&amp;$M295&amp;"'-"&amp;N($N295)&amp;CHAR(34))</f>
        <v/>
      </c>
      <c r="AZ295" s="49">
        <f>IF(OR($A295="",$K295=""),"",$K295&amp;N($L295)&amp;$M295&amp;N($N295))</f>
        <v/>
      </c>
      <c r="BA295" s="49">
        <f>IF(OR($A295="",$K295=""),"",$K295*12+N($L295))</f>
        <v/>
      </c>
      <c r="BB295" s="49">
        <f>IF(OR($A295="",$M295=""),"",$M295*12+N($N295))</f>
        <v/>
      </c>
      <c r="BC295" s="49">
        <f>IF($A295="","",IF(OR($C295="FRAME ONLY",$S295="BL"),0,IF($O295="Y",2,1)))</f>
        <v/>
      </c>
      <c r="BD295" s="51">
        <f>IF(OR(N($BC295)=0,$BA295=""),"",($BA295-2*EdgeClr-IF($BC295=2,MeetClr,0))/$BC295)</f>
        <v/>
      </c>
      <c r="BE295" s="51">
        <f>IF(OR(N($BC295)=0,$BB295=""),"",$BB295-HeadClr-Undercut)</f>
        <v/>
      </c>
      <c r="BF295" s="51">
        <f>IF($BA295="","",$BA295+2*FaceW+IF(N($Q295)&gt;0,($Q295+FaceW)*IF($R295="LR",2,1),0))</f>
        <v/>
      </c>
      <c r="BG295" s="51">
        <f>IF($BB295="","",$BB295+IF($AB295="Y",4,FaceW)+IF(N($P295)&gt;0,$P295+FaceW,0)+IF(OR($S295="4F",$S295="BL"),FaceW,0))</f>
        <v/>
      </c>
      <c r="BH295" s="51">
        <f>IF($BF295="","",$BF295+2*ROSide)</f>
        <v/>
      </c>
      <c r="BI295" s="51">
        <f>IF($BG295="","",$BG295+ROTop)</f>
        <v/>
      </c>
      <c r="BJ295" s="52">
        <f>IF(OR(N($BC295)=0,$BA295=""),"",$BA295/$BC295-ClearDeduct)</f>
        <v/>
      </c>
      <c r="BK295" s="49">
        <f>IF(OR(N($BC295)=0,$BE295=""),"",IF(OR($AC295="HGC",$AP295="HGC"),"CONT",IF($BE295&lt;=60,2,IF($BE295&lt;=90,3,IF($BE295&lt;=120,4,5)))))</f>
        <v/>
      </c>
      <c r="BL295" s="49">
        <f>IF(N($BC295)=0,"",IF(OR($AL295="",$AL295="FLUSH"),"FLUSH",IFERROR(LEFT($AL295,FIND("-",$AL295)-1),LEFT($AL295,2))))</f>
        <v/>
      </c>
      <c r="BM295" s="49">
        <f>IF($BL295="","",IFERROR(VALUE(MID($AL295,FIND("-",$AL295)+1,FIND(CHAR(34)&amp;"x",$AL295)-FIND("-",$AL295)-1)),0))</f>
        <v/>
      </c>
      <c r="BN295" s="49">
        <f>IF($BL295="","",IFERROR(VALUE(MID($AL295,FIND(CHAR(34)&amp;"x",$AL295)+2,FIND(CHAR(34),$AL295,FIND(CHAR(34)&amp;"x",$AL295)+2)-FIND(CHAR(34)&amp;"x",$AL295)-2)),0))</f>
        <v/>
      </c>
      <c r="BO295" s="53">
        <f>IF(OR($A295="",$H295="",$H295="NO LAB"),0,IFERROR(VALUE(LEFT($H295,FIND(" ",$H295)-1)),0))</f>
        <v/>
      </c>
      <c r="BP295" s="54">
        <f>IF(OR($A295="",$I295="",$I295="NON-RATED",N($J295)=0),"",IFERROR(VLOOKUP($I295&amp;"|"&amp;$J295,IBC,2,FALSE),"?"))</f>
        <v/>
      </c>
      <c r="BQ295" s="50">
        <f>IF(NOT(AND($A295&lt;&gt;"",$C295&lt;&gt;"DOOR ONLY")),"",TRIM(IFERROR(VLOOKUP($U295,CODES,2,FALSE),"")&amp;" "&amp;$AZ295&amp;" "&amp;IFERROR(VLOOKUP($Z295,CODES,2,FALSE),"")&amp;" "&amp;IFERROR(VLOOKUP($X295,CODES,2,FALSE),"")&amp;" "&amp;IFERROR(VLOOKUP($S295,CODES,2,FALSE),"")&amp;IF(N($P295)&gt;0," w/TRANSOM "&amp;$P295&amp;CHAR(34),"")&amp;IF(N($Q295)&gt;0," w/SIDELITE "&amp;$Q295&amp;CHAR(34)&amp;" "&amp;IF($R295="","R",$R295),"")&amp;IF($Y295="","  |  "," | "&amp;IFERROR(VLOOKUP($Y295,CODES,2,FALSE),"")&amp;" | ")&amp;IFERROR(VLOOKUP($AC295,CODES,2,FALSE),"")&amp;" "&amp;IFERROR(VLOOKUP($AD295,CODES,2,FALSE),"")&amp;IF(OR($AE295="",$AE295="-"),""," "&amp;$AE295)&amp;IF(OR($AF295="",$AF295="-"),""," "&amp;$AF295)&amp;IF($AB295="Y"," 4"&amp;CHAR(34)&amp;" HEAD","")&amp;" "&amp;IFERROR(VLOOKUP($H295,CODES,2,FALSE),"")))</f>
        <v/>
      </c>
      <c r="BR295" s="50">
        <f>IF(NOT(AND($A295&lt;&gt;"",N($BC295)&gt;0)),"",TRIM(IFERROR(VLOOKUP($AH295,CODES,2,FALSE),"")&amp;IF($AI295=""," "," "&amp;$AI295&amp;"GA ")&amp;$AZ295&amp;" "&amp;IF($AN295="",IFERROR(VLOOKUP($Z295,CODES,2,FALSE),""),IFERROR(VLOOKUP($AN295,CODES,2,FALSE),""))&amp;IF($BC295=2," PAIR","")&amp;" DOOR | "&amp;IF($AL295="","?",$AL295)&amp;" | "&amp;IF($AP295="",IFERROR(VLOOKUP($AC295,CODES,2,FALSE),""),IFERROR(VLOOKUP($AP295,CODES,2,FALSE),""))&amp;" "&amp;IFERROR(VLOOKUP($AQ295,CODES,2,FALSE),"")&amp;IF(OR($AR295="",$AR295="-"),""," SEAM "&amp;$AR295)&amp;IF($AS295="Y"," ASTRAGAL","")&amp;IF($AJ295=""," "," "&amp;$AJ295)&amp;IF($AK295=""," "," "&amp;$AK295)&amp;IF($AO295="",""," "&amp;$AO295)&amp;IF($AM295=""," "," SERIES "&amp;$AM295)&amp;" "&amp;IFERROR(VLOOKUP($H295,CODES,2,FALSE),"")))</f>
        <v/>
      </c>
      <c r="BS295" s="49">
        <f>IF(BV295="","",IF(COUNTIF($BV$6:BV295,BV295)=1,MAX($BS$5:BS294)+1,INDEX($BS$5:BS294,MATCH(BV295,$BV$5:BV294,0))))</f>
        <v/>
      </c>
      <c r="BT295" s="49">
        <f>IF(NOT(AND($A295&lt;&gt;"",$C295&lt;&gt;"DOOR ONLY")),"",MAX($BT$5:BT294)+1)</f>
        <v/>
      </c>
      <c r="BU295" s="49">
        <f>IF(NOT(AND($A295&lt;&gt;"",N($BC295)&gt;0)),"",MAX($BU$5:BU294)+1)</f>
        <v/>
      </c>
      <c r="BV295" s="49">
        <f>IF(OR($A295="",$BA295="",$BB295=""),"",$AZ295&amp;"|"&amp;$O295&amp;"|"&amp;$AL295&amp;"|"&amp;$S295&amp;"|"&amp;$P295&amp;"|"&amp;$Q295&amp;$R295&amp;"|"&amp;$C295&amp;"|"&amp;$AB295)</f>
        <v/>
      </c>
      <c r="BW295" s="49">
        <f>IF($A295="","",IF($B295="","qty, ","")&amp;IF($C295="","scope, ","")&amp;IF(OR($K295="",$M295=""),"size, ","")&amp;IF(AND($A295&lt;&gt;"",$C295&lt;&gt;"DOOR ONLY"),IF($U295="","jamb depth, ","")&amp;IF($X295="","construction, ","")&amp;IF($Y295="","anchor, ","")&amp;IF($S295="","frame type, ",""),"")&amp;IF(AND(N($BC295)&gt;0,$Z295=""),"hand, ","")&amp;IF(N($BC295)&gt;0,IF($AH295="","door material, ","")&amp;IF($AL295="","face type, ","")&amp;IF($AQ295="","lock prep, ","")&amp;IF(AND($AP295="",$AC295=""),"hinge prep, ",""),"")&amp;IF(AND($BO295&gt;0,$AH295="FRP"),"FRP cannot carry a label, ","")&amp;IF(AND($O295="Y",OR($Z295="L",$Z295="R",$Z295="LR",$Z295="RR")),"pair marked but hand is single, ","")&amp;IF(AND($O295&lt;&gt;"Y",OR($Z295="PR",AND(LEN($Z295)&gt;1,ISNUMBER(SEARCH("-",$Z295))))),"pair hand on a single door, ","")&amp;IF(AND(ISNUMBER($BP295),$BO295&lt;N($BP295)),"wall needs a "&amp;$BP295&amp;" min door, ","")&amp;IF(AND($BO295&gt;=180,AND(OR($BL295="FG",$BL295="HG",$BL295="FNV",$BL295="FV"),N($BM295)*N($BN295)&gt;100)),"180 min lite over 100 sq in, ","")&amp;IF(N($BD295)&gt;48,"leaf wider than 4'-0"&amp;CHAR(34)&amp;", ",""))</f>
        <v/>
      </c>
      <c r="BX295" s="49">
        <f>IF($A295="","",IF(AND($BO295&gt;0,AND($A295&lt;&gt;"",$C295&lt;&gt;"DOOR ONLY"),$X295="KD",$E295="EXTERIOR"),"KD label on an exterior opening, ","")&amp;IF(AND($E295="EXTERIOR",OR(AND(AND($A295&lt;&gt;"",$C295&lt;&gt;"DOOR ONLY"),$W295="CR"),AND(N($BC295)&gt;0,$AH295="CR"))),"exterior in CR steel (G9?), ","")&amp;IF(AND(ISNUMBER($BJ295),N($BJ295)&lt;32),"clear width ~"&amp;TEXT($BJ295,"0.0")&amp;CHAR(34)&amp;" under 32"&amp;CHAR(34)&amp;" (ADA), ","")&amp;IF(AND($BO295=90,AND(OR($BL295="FG",$BL295="HG",$BL295="FNV",$BL295="FV"),N($BM295)*N($BN295)&gt;100)),"90 min lite over 100 sq in (stair/exit), ","")&amp;IF(AND($BO295&gt;0,AND($A295&lt;&gt;"",$C295&lt;&gt;"DOOR ONLY"),OR($AF295="",$AF295="-")),"rated: closer reinf.?, ","")&amp;IF(OR($I295="CORRIDOR",$I295="SMOKE BARRIER"),"S label + smoke gasketing, ","")&amp;IF($BP295="?","wall type/hr not in IBC table, ","")&amp;IF(AND(N($BC295)&gt;0,$AU295=""),"no hardware set, ","")&amp;IF(AND($AU295&lt;&gt;"",ISNA(MATCH($AU295,HWSets,0))),"set "&amp;$AU295&amp;" not on Hardware sheet, ","")&amp;IF(N($BE295)&gt;96,"leaf over 8'-0"&amp;CHAR(34)&amp;" - check listing, ",""))</f>
        <v/>
      </c>
    </row>
    <row r="296" ht="15" customHeight="1">
      <c r="A296" s="44" t="n"/>
      <c r="B296" s="45" t="n"/>
      <c r="C296" s="45" t="n"/>
      <c r="D296" s="45" t="n"/>
      <c r="E296" s="45" t="n"/>
      <c r="F296" s="45" t="n"/>
      <c r="G296" s="45" t="n"/>
      <c r="H296" s="45" t="n"/>
      <c r="I296" s="45" t="n"/>
      <c r="J296" s="45" t="n"/>
      <c r="K296" s="45" t="n"/>
      <c r="L296" s="45" t="n"/>
      <c r="M296" s="45" t="n"/>
      <c r="N296" s="45" t="n"/>
      <c r="O296" s="45" t="n"/>
      <c r="P296" s="45" t="n"/>
      <c r="Q296" s="45" t="n"/>
      <c r="R296" s="45" t="n"/>
      <c r="S296" s="46" t="n"/>
      <c r="T296" s="46" t="n"/>
      <c r="U296" s="46" t="n"/>
      <c r="V296" s="46" t="n"/>
      <c r="W296" s="46" t="n"/>
      <c r="X296" s="46" t="n"/>
      <c r="Y296" s="46" t="n"/>
      <c r="Z296" s="46" t="n"/>
      <c r="AA296" s="46" t="n"/>
      <c r="AB296" s="46" t="n"/>
      <c r="AC296" s="46" t="n"/>
      <c r="AD296" s="46" t="n"/>
      <c r="AE296" s="46" t="n"/>
      <c r="AF296" s="46" t="n"/>
      <c r="AG296" s="46" t="n"/>
      <c r="AH296" s="47" t="n"/>
      <c r="AI296" s="47" t="n"/>
      <c r="AJ296" s="47" t="n"/>
      <c r="AK296" s="47" t="n"/>
      <c r="AL296" s="47" t="n"/>
      <c r="AM296" s="47" t="n"/>
      <c r="AN296" s="47" t="n"/>
      <c r="AO296" s="47" t="n"/>
      <c r="AP296" s="47" t="n"/>
      <c r="AQ296" s="47" t="n"/>
      <c r="AR296" s="47" t="n"/>
      <c r="AS296" s="47" t="n"/>
      <c r="AT296" s="47" t="n"/>
      <c r="AU296" s="48" t="n"/>
      <c r="AV296" s="48" t="n"/>
      <c r="AW296" s="49">
        <f>IF($A296="","",IF($BW296&lt;&gt;"","FIX",IF($BX296&lt;&gt;"","CHECK","OK")))</f>
        <v/>
      </c>
      <c r="AX296" s="50">
        <f>IF($A296="","",IF($BW296&lt;&gt;"","FIX: "&amp;LEFT($BW296,LEN($BW296)-2)&amp;IF($BX296&lt;&gt;"","  ·  ",""),"")&amp;IF($BX296&lt;&gt;"","CHECK: "&amp;LEFT($BX296,LEN($BX296)-2),""))</f>
        <v/>
      </c>
      <c r="AY296" s="49">
        <f>IF(OR($A296="",$K296=""),"",$K296&amp;"'-"&amp;N($L296)&amp;CHAR(34)&amp;" x "&amp;$M296&amp;"'-"&amp;N($N296)&amp;CHAR(34))</f>
        <v/>
      </c>
      <c r="AZ296" s="49">
        <f>IF(OR($A296="",$K296=""),"",$K296&amp;N($L296)&amp;$M296&amp;N($N296))</f>
        <v/>
      </c>
      <c r="BA296" s="49">
        <f>IF(OR($A296="",$K296=""),"",$K296*12+N($L296))</f>
        <v/>
      </c>
      <c r="BB296" s="49">
        <f>IF(OR($A296="",$M296=""),"",$M296*12+N($N296))</f>
        <v/>
      </c>
      <c r="BC296" s="49">
        <f>IF($A296="","",IF(OR($C296="FRAME ONLY",$S296="BL"),0,IF($O296="Y",2,1)))</f>
        <v/>
      </c>
      <c r="BD296" s="51">
        <f>IF(OR(N($BC296)=0,$BA296=""),"",($BA296-2*EdgeClr-IF($BC296=2,MeetClr,0))/$BC296)</f>
        <v/>
      </c>
      <c r="BE296" s="51">
        <f>IF(OR(N($BC296)=0,$BB296=""),"",$BB296-HeadClr-Undercut)</f>
        <v/>
      </c>
      <c r="BF296" s="51">
        <f>IF($BA296="","",$BA296+2*FaceW+IF(N($Q296)&gt;0,($Q296+FaceW)*IF($R296="LR",2,1),0))</f>
        <v/>
      </c>
      <c r="BG296" s="51">
        <f>IF($BB296="","",$BB296+IF($AB296="Y",4,FaceW)+IF(N($P296)&gt;0,$P296+FaceW,0)+IF(OR($S296="4F",$S296="BL"),FaceW,0))</f>
        <v/>
      </c>
      <c r="BH296" s="51">
        <f>IF($BF296="","",$BF296+2*ROSide)</f>
        <v/>
      </c>
      <c r="BI296" s="51">
        <f>IF($BG296="","",$BG296+ROTop)</f>
        <v/>
      </c>
      <c r="BJ296" s="52">
        <f>IF(OR(N($BC296)=0,$BA296=""),"",$BA296/$BC296-ClearDeduct)</f>
        <v/>
      </c>
      <c r="BK296" s="49">
        <f>IF(OR(N($BC296)=0,$BE296=""),"",IF(OR($AC296="HGC",$AP296="HGC"),"CONT",IF($BE296&lt;=60,2,IF($BE296&lt;=90,3,IF($BE296&lt;=120,4,5)))))</f>
        <v/>
      </c>
      <c r="BL296" s="49">
        <f>IF(N($BC296)=0,"",IF(OR($AL296="",$AL296="FLUSH"),"FLUSH",IFERROR(LEFT($AL296,FIND("-",$AL296)-1),LEFT($AL296,2))))</f>
        <v/>
      </c>
      <c r="BM296" s="49">
        <f>IF($BL296="","",IFERROR(VALUE(MID($AL296,FIND("-",$AL296)+1,FIND(CHAR(34)&amp;"x",$AL296)-FIND("-",$AL296)-1)),0))</f>
        <v/>
      </c>
      <c r="BN296" s="49">
        <f>IF($BL296="","",IFERROR(VALUE(MID($AL296,FIND(CHAR(34)&amp;"x",$AL296)+2,FIND(CHAR(34),$AL296,FIND(CHAR(34)&amp;"x",$AL296)+2)-FIND(CHAR(34)&amp;"x",$AL296)-2)),0))</f>
        <v/>
      </c>
      <c r="BO296" s="53">
        <f>IF(OR($A296="",$H296="",$H296="NO LAB"),0,IFERROR(VALUE(LEFT($H296,FIND(" ",$H296)-1)),0))</f>
        <v/>
      </c>
      <c r="BP296" s="54">
        <f>IF(OR($A296="",$I296="",$I296="NON-RATED",N($J296)=0),"",IFERROR(VLOOKUP($I296&amp;"|"&amp;$J296,IBC,2,FALSE),"?"))</f>
        <v/>
      </c>
      <c r="BQ296" s="50">
        <f>IF(NOT(AND($A296&lt;&gt;"",$C296&lt;&gt;"DOOR ONLY")),"",TRIM(IFERROR(VLOOKUP($U296,CODES,2,FALSE),"")&amp;" "&amp;$AZ296&amp;" "&amp;IFERROR(VLOOKUP($Z296,CODES,2,FALSE),"")&amp;" "&amp;IFERROR(VLOOKUP($X296,CODES,2,FALSE),"")&amp;" "&amp;IFERROR(VLOOKUP($S296,CODES,2,FALSE),"")&amp;IF(N($P296)&gt;0," w/TRANSOM "&amp;$P296&amp;CHAR(34),"")&amp;IF(N($Q296)&gt;0," w/SIDELITE "&amp;$Q296&amp;CHAR(34)&amp;" "&amp;IF($R296="","R",$R296),"")&amp;IF($Y296="","  |  "," | "&amp;IFERROR(VLOOKUP($Y296,CODES,2,FALSE),"")&amp;" | ")&amp;IFERROR(VLOOKUP($AC296,CODES,2,FALSE),"")&amp;" "&amp;IFERROR(VLOOKUP($AD296,CODES,2,FALSE),"")&amp;IF(OR($AE296="",$AE296="-"),""," "&amp;$AE296)&amp;IF(OR($AF296="",$AF296="-"),""," "&amp;$AF296)&amp;IF($AB296="Y"," 4"&amp;CHAR(34)&amp;" HEAD","")&amp;" "&amp;IFERROR(VLOOKUP($H296,CODES,2,FALSE),"")))</f>
        <v/>
      </c>
      <c r="BR296" s="50">
        <f>IF(NOT(AND($A296&lt;&gt;"",N($BC296)&gt;0)),"",TRIM(IFERROR(VLOOKUP($AH296,CODES,2,FALSE),"")&amp;IF($AI296=""," "," "&amp;$AI296&amp;"GA ")&amp;$AZ296&amp;" "&amp;IF($AN296="",IFERROR(VLOOKUP($Z296,CODES,2,FALSE),""),IFERROR(VLOOKUP($AN296,CODES,2,FALSE),""))&amp;IF($BC296=2," PAIR","")&amp;" DOOR | "&amp;IF($AL296="","?",$AL296)&amp;" | "&amp;IF($AP296="",IFERROR(VLOOKUP($AC296,CODES,2,FALSE),""),IFERROR(VLOOKUP($AP296,CODES,2,FALSE),""))&amp;" "&amp;IFERROR(VLOOKUP($AQ296,CODES,2,FALSE),"")&amp;IF(OR($AR296="",$AR296="-"),""," SEAM "&amp;$AR296)&amp;IF($AS296="Y"," ASTRAGAL","")&amp;IF($AJ296=""," "," "&amp;$AJ296)&amp;IF($AK296=""," "," "&amp;$AK296)&amp;IF($AO296="",""," "&amp;$AO296)&amp;IF($AM296=""," "," SERIES "&amp;$AM296)&amp;" "&amp;IFERROR(VLOOKUP($H296,CODES,2,FALSE),"")))</f>
        <v/>
      </c>
      <c r="BS296" s="49">
        <f>IF(BV296="","",IF(COUNTIF($BV$6:BV296,BV296)=1,MAX($BS$5:BS295)+1,INDEX($BS$5:BS295,MATCH(BV296,$BV$5:BV295,0))))</f>
        <v/>
      </c>
      <c r="BT296" s="49">
        <f>IF(NOT(AND($A296&lt;&gt;"",$C296&lt;&gt;"DOOR ONLY")),"",MAX($BT$5:BT295)+1)</f>
        <v/>
      </c>
      <c r="BU296" s="49">
        <f>IF(NOT(AND($A296&lt;&gt;"",N($BC296)&gt;0)),"",MAX($BU$5:BU295)+1)</f>
        <v/>
      </c>
      <c r="BV296" s="49">
        <f>IF(OR($A296="",$BA296="",$BB296=""),"",$AZ296&amp;"|"&amp;$O296&amp;"|"&amp;$AL296&amp;"|"&amp;$S296&amp;"|"&amp;$P296&amp;"|"&amp;$Q296&amp;$R296&amp;"|"&amp;$C296&amp;"|"&amp;$AB296)</f>
        <v/>
      </c>
      <c r="BW296" s="49">
        <f>IF($A296="","",IF($B296="","qty, ","")&amp;IF($C296="","scope, ","")&amp;IF(OR($K296="",$M296=""),"size, ","")&amp;IF(AND($A296&lt;&gt;"",$C296&lt;&gt;"DOOR ONLY"),IF($U296="","jamb depth, ","")&amp;IF($X296="","construction, ","")&amp;IF($Y296="","anchor, ","")&amp;IF($S296="","frame type, ",""),"")&amp;IF(AND(N($BC296)&gt;0,$Z296=""),"hand, ","")&amp;IF(N($BC296)&gt;0,IF($AH296="","door material, ","")&amp;IF($AL296="","face type, ","")&amp;IF($AQ296="","lock prep, ","")&amp;IF(AND($AP296="",$AC296=""),"hinge prep, ",""),"")&amp;IF(AND($BO296&gt;0,$AH296="FRP"),"FRP cannot carry a label, ","")&amp;IF(AND($O296="Y",OR($Z296="L",$Z296="R",$Z296="LR",$Z296="RR")),"pair marked but hand is single, ","")&amp;IF(AND($O296&lt;&gt;"Y",OR($Z296="PR",AND(LEN($Z296)&gt;1,ISNUMBER(SEARCH("-",$Z296))))),"pair hand on a single door, ","")&amp;IF(AND(ISNUMBER($BP296),$BO296&lt;N($BP296)),"wall needs a "&amp;$BP296&amp;" min door, ","")&amp;IF(AND($BO296&gt;=180,AND(OR($BL296="FG",$BL296="HG",$BL296="FNV",$BL296="FV"),N($BM296)*N($BN296)&gt;100)),"180 min lite over 100 sq in, ","")&amp;IF(N($BD296)&gt;48,"leaf wider than 4'-0"&amp;CHAR(34)&amp;", ",""))</f>
        <v/>
      </c>
      <c r="BX296" s="49">
        <f>IF($A296="","",IF(AND($BO296&gt;0,AND($A296&lt;&gt;"",$C296&lt;&gt;"DOOR ONLY"),$X296="KD",$E296="EXTERIOR"),"KD label on an exterior opening, ","")&amp;IF(AND($E296="EXTERIOR",OR(AND(AND($A296&lt;&gt;"",$C296&lt;&gt;"DOOR ONLY"),$W296="CR"),AND(N($BC296)&gt;0,$AH296="CR"))),"exterior in CR steel (G9?), ","")&amp;IF(AND(ISNUMBER($BJ296),N($BJ296)&lt;32),"clear width ~"&amp;TEXT($BJ296,"0.0")&amp;CHAR(34)&amp;" under 32"&amp;CHAR(34)&amp;" (ADA), ","")&amp;IF(AND($BO296=90,AND(OR($BL296="FG",$BL296="HG",$BL296="FNV",$BL296="FV"),N($BM296)*N($BN296)&gt;100)),"90 min lite over 100 sq in (stair/exit), ","")&amp;IF(AND($BO296&gt;0,AND($A296&lt;&gt;"",$C296&lt;&gt;"DOOR ONLY"),OR($AF296="",$AF296="-")),"rated: closer reinf.?, ","")&amp;IF(OR($I296="CORRIDOR",$I296="SMOKE BARRIER"),"S label + smoke gasketing, ","")&amp;IF($BP296="?","wall type/hr not in IBC table, ","")&amp;IF(AND(N($BC296)&gt;0,$AU296=""),"no hardware set, ","")&amp;IF(AND($AU296&lt;&gt;"",ISNA(MATCH($AU296,HWSets,0))),"set "&amp;$AU296&amp;" not on Hardware sheet, ","")&amp;IF(N($BE296)&gt;96,"leaf over 8'-0"&amp;CHAR(34)&amp;" - check listing, ",""))</f>
        <v/>
      </c>
    </row>
    <row r="297" ht="15" customHeight="1">
      <c r="A297" s="44" t="n"/>
      <c r="B297" s="45" t="n"/>
      <c r="C297" s="45" t="n"/>
      <c r="D297" s="45" t="n"/>
      <c r="E297" s="45" t="n"/>
      <c r="F297" s="45" t="n"/>
      <c r="G297" s="45" t="n"/>
      <c r="H297" s="45" t="n"/>
      <c r="I297" s="45" t="n"/>
      <c r="J297" s="45" t="n"/>
      <c r="K297" s="45" t="n"/>
      <c r="L297" s="45" t="n"/>
      <c r="M297" s="45" t="n"/>
      <c r="N297" s="45" t="n"/>
      <c r="O297" s="45" t="n"/>
      <c r="P297" s="45" t="n"/>
      <c r="Q297" s="45" t="n"/>
      <c r="R297" s="45" t="n"/>
      <c r="S297" s="46" t="n"/>
      <c r="T297" s="46" t="n"/>
      <c r="U297" s="46" t="n"/>
      <c r="V297" s="46" t="n"/>
      <c r="W297" s="46" t="n"/>
      <c r="X297" s="46" t="n"/>
      <c r="Y297" s="46" t="n"/>
      <c r="Z297" s="46" t="n"/>
      <c r="AA297" s="46" t="n"/>
      <c r="AB297" s="46" t="n"/>
      <c r="AC297" s="46" t="n"/>
      <c r="AD297" s="46" t="n"/>
      <c r="AE297" s="46" t="n"/>
      <c r="AF297" s="46" t="n"/>
      <c r="AG297" s="46" t="n"/>
      <c r="AH297" s="47" t="n"/>
      <c r="AI297" s="47" t="n"/>
      <c r="AJ297" s="47" t="n"/>
      <c r="AK297" s="47" t="n"/>
      <c r="AL297" s="47" t="n"/>
      <c r="AM297" s="47" t="n"/>
      <c r="AN297" s="47" t="n"/>
      <c r="AO297" s="47" t="n"/>
      <c r="AP297" s="47" t="n"/>
      <c r="AQ297" s="47" t="n"/>
      <c r="AR297" s="47" t="n"/>
      <c r="AS297" s="47" t="n"/>
      <c r="AT297" s="47" t="n"/>
      <c r="AU297" s="48" t="n"/>
      <c r="AV297" s="48" t="n"/>
      <c r="AW297" s="49">
        <f>IF($A297="","",IF($BW297&lt;&gt;"","FIX",IF($BX297&lt;&gt;"","CHECK","OK")))</f>
        <v/>
      </c>
      <c r="AX297" s="50">
        <f>IF($A297="","",IF($BW297&lt;&gt;"","FIX: "&amp;LEFT($BW297,LEN($BW297)-2)&amp;IF($BX297&lt;&gt;"","  ·  ",""),"")&amp;IF($BX297&lt;&gt;"","CHECK: "&amp;LEFT($BX297,LEN($BX297)-2),""))</f>
        <v/>
      </c>
      <c r="AY297" s="49">
        <f>IF(OR($A297="",$K297=""),"",$K297&amp;"'-"&amp;N($L297)&amp;CHAR(34)&amp;" x "&amp;$M297&amp;"'-"&amp;N($N297)&amp;CHAR(34))</f>
        <v/>
      </c>
      <c r="AZ297" s="49">
        <f>IF(OR($A297="",$K297=""),"",$K297&amp;N($L297)&amp;$M297&amp;N($N297))</f>
        <v/>
      </c>
      <c r="BA297" s="49">
        <f>IF(OR($A297="",$K297=""),"",$K297*12+N($L297))</f>
        <v/>
      </c>
      <c r="BB297" s="49">
        <f>IF(OR($A297="",$M297=""),"",$M297*12+N($N297))</f>
        <v/>
      </c>
      <c r="BC297" s="49">
        <f>IF($A297="","",IF(OR($C297="FRAME ONLY",$S297="BL"),0,IF($O297="Y",2,1)))</f>
        <v/>
      </c>
      <c r="BD297" s="51">
        <f>IF(OR(N($BC297)=0,$BA297=""),"",($BA297-2*EdgeClr-IF($BC297=2,MeetClr,0))/$BC297)</f>
        <v/>
      </c>
      <c r="BE297" s="51">
        <f>IF(OR(N($BC297)=0,$BB297=""),"",$BB297-HeadClr-Undercut)</f>
        <v/>
      </c>
      <c r="BF297" s="51">
        <f>IF($BA297="","",$BA297+2*FaceW+IF(N($Q297)&gt;0,($Q297+FaceW)*IF($R297="LR",2,1),0))</f>
        <v/>
      </c>
      <c r="BG297" s="51">
        <f>IF($BB297="","",$BB297+IF($AB297="Y",4,FaceW)+IF(N($P297)&gt;0,$P297+FaceW,0)+IF(OR($S297="4F",$S297="BL"),FaceW,0))</f>
        <v/>
      </c>
      <c r="BH297" s="51">
        <f>IF($BF297="","",$BF297+2*ROSide)</f>
        <v/>
      </c>
      <c r="BI297" s="51">
        <f>IF($BG297="","",$BG297+ROTop)</f>
        <v/>
      </c>
      <c r="BJ297" s="52">
        <f>IF(OR(N($BC297)=0,$BA297=""),"",$BA297/$BC297-ClearDeduct)</f>
        <v/>
      </c>
      <c r="BK297" s="49">
        <f>IF(OR(N($BC297)=0,$BE297=""),"",IF(OR($AC297="HGC",$AP297="HGC"),"CONT",IF($BE297&lt;=60,2,IF($BE297&lt;=90,3,IF($BE297&lt;=120,4,5)))))</f>
        <v/>
      </c>
      <c r="BL297" s="49">
        <f>IF(N($BC297)=0,"",IF(OR($AL297="",$AL297="FLUSH"),"FLUSH",IFERROR(LEFT($AL297,FIND("-",$AL297)-1),LEFT($AL297,2))))</f>
        <v/>
      </c>
      <c r="BM297" s="49">
        <f>IF($BL297="","",IFERROR(VALUE(MID($AL297,FIND("-",$AL297)+1,FIND(CHAR(34)&amp;"x",$AL297)-FIND("-",$AL297)-1)),0))</f>
        <v/>
      </c>
      <c r="BN297" s="49">
        <f>IF($BL297="","",IFERROR(VALUE(MID($AL297,FIND(CHAR(34)&amp;"x",$AL297)+2,FIND(CHAR(34),$AL297,FIND(CHAR(34)&amp;"x",$AL297)+2)-FIND(CHAR(34)&amp;"x",$AL297)-2)),0))</f>
        <v/>
      </c>
      <c r="BO297" s="53">
        <f>IF(OR($A297="",$H297="",$H297="NO LAB"),0,IFERROR(VALUE(LEFT($H297,FIND(" ",$H297)-1)),0))</f>
        <v/>
      </c>
      <c r="BP297" s="54">
        <f>IF(OR($A297="",$I297="",$I297="NON-RATED",N($J297)=0),"",IFERROR(VLOOKUP($I297&amp;"|"&amp;$J297,IBC,2,FALSE),"?"))</f>
        <v/>
      </c>
      <c r="BQ297" s="50">
        <f>IF(NOT(AND($A297&lt;&gt;"",$C297&lt;&gt;"DOOR ONLY")),"",TRIM(IFERROR(VLOOKUP($U297,CODES,2,FALSE),"")&amp;" "&amp;$AZ297&amp;" "&amp;IFERROR(VLOOKUP($Z297,CODES,2,FALSE),"")&amp;" "&amp;IFERROR(VLOOKUP($X297,CODES,2,FALSE),"")&amp;" "&amp;IFERROR(VLOOKUP($S297,CODES,2,FALSE),"")&amp;IF(N($P297)&gt;0," w/TRANSOM "&amp;$P297&amp;CHAR(34),"")&amp;IF(N($Q297)&gt;0," w/SIDELITE "&amp;$Q297&amp;CHAR(34)&amp;" "&amp;IF($R297="","R",$R297),"")&amp;IF($Y297="","  |  "," | "&amp;IFERROR(VLOOKUP($Y297,CODES,2,FALSE),"")&amp;" | ")&amp;IFERROR(VLOOKUP($AC297,CODES,2,FALSE),"")&amp;" "&amp;IFERROR(VLOOKUP($AD297,CODES,2,FALSE),"")&amp;IF(OR($AE297="",$AE297="-"),""," "&amp;$AE297)&amp;IF(OR($AF297="",$AF297="-"),""," "&amp;$AF297)&amp;IF($AB297="Y"," 4"&amp;CHAR(34)&amp;" HEAD","")&amp;" "&amp;IFERROR(VLOOKUP($H297,CODES,2,FALSE),"")))</f>
        <v/>
      </c>
      <c r="BR297" s="50">
        <f>IF(NOT(AND($A297&lt;&gt;"",N($BC297)&gt;0)),"",TRIM(IFERROR(VLOOKUP($AH297,CODES,2,FALSE),"")&amp;IF($AI297=""," "," "&amp;$AI297&amp;"GA ")&amp;$AZ297&amp;" "&amp;IF($AN297="",IFERROR(VLOOKUP($Z297,CODES,2,FALSE),""),IFERROR(VLOOKUP($AN297,CODES,2,FALSE),""))&amp;IF($BC297=2," PAIR","")&amp;" DOOR | "&amp;IF($AL297="","?",$AL297)&amp;" | "&amp;IF($AP297="",IFERROR(VLOOKUP($AC297,CODES,2,FALSE),""),IFERROR(VLOOKUP($AP297,CODES,2,FALSE),""))&amp;" "&amp;IFERROR(VLOOKUP($AQ297,CODES,2,FALSE),"")&amp;IF(OR($AR297="",$AR297="-"),""," SEAM "&amp;$AR297)&amp;IF($AS297="Y"," ASTRAGAL","")&amp;IF($AJ297=""," "," "&amp;$AJ297)&amp;IF($AK297=""," "," "&amp;$AK297)&amp;IF($AO297="",""," "&amp;$AO297)&amp;IF($AM297=""," "," SERIES "&amp;$AM297)&amp;" "&amp;IFERROR(VLOOKUP($H297,CODES,2,FALSE),"")))</f>
        <v/>
      </c>
      <c r="BS297" s="49">
        <f>IF(BV297="","",IF(COUNTIF($BV$6:BV297,BV297)=1,MAX($BS$5:BS296)+1,INDEX($BS$5:BS296,MATCH(BV297,$BV$5:BV296,0))))</f>
        <v/>
      </c>
      <c r="BT297" s="49">
        <f>IF(NOT(AND($A297&lt;&gt;"",$C297&lt;&gt;"DOOR ONLY")),"",MAX($BT$5:BT296)+1)</f>
        <v/>
      </c>
      <c r="BU297" s="49">
        <f>IF(NOT(AND($A297&lt;&gt;"",N($BC297)&gt;0)),"",MAX($BU$5:BU296)+1)</f>
        <v/>
      </c>
      <c r="BV297" s="49">
        <f>IF(OR($A297="",$BA297="",$BB297=""),"",$AZ297&amp;"|"&amp;$O297&amp;"|"&amp;$AL297&amp;"|"&amp;$S297&amp;"|"&amp;$P297&amp;"|"&amp;$Q297&amp;$R297&amp;"|"&amp;$C297&amp;"|"&amp;$AB297)</f>
        <v/>
      </c>
      <c r="BW297" s="49">
        <f>IF($A297="","",IF($B297="","qty, ","")&amp;IF($C297="","scope, ","")&amp;IF(OR($K297="",$M297=""),"size, ","")&amp;IF(AND($A297&lt;&gt;"",$C297&lt;&gt;"DOOR ONLY"),IF($U297="","jamb depth, ","")&amp;IF($X297="","construction, ","")&amp;IF($Y297="","anchor, ","")&amp;IF($S297="","frame type, ",""),"")&amp;IF(AND(N($BC297)&gt;0,$Z297=""),"hand, ","")&amp;IF(N($BC297)&gt;0,IF($AH297="","door material, ","")&amp;IF($AL297="","face type, ","")&amp;IF($AQ297="","lock prep, ","")&amp;IF(AND($AP297="",$AC297=""),"hinge prep, ",""),"")&amp;IF(AND($BO297&gt;0,$AH297="FRP"),"FRP cannot carry a label, ","")&amp;IF(AND($O297="Y",OR($Z297="L",$Z297="R",$Z297="LR",$Z297="RR")),"pair marked but hand is single, ","")&amp;IF(AND($O297&lt;&gt;"Y",OR($Z297="PR",AND(LEN($Z297)&gt;1,ISNUMBER(SEARCH("-",$Z297))))),"pair hand on a single door, ","")&amp;IF(AND(ISNUMBER($BP297),$BO297&lt;N($BP297)),"wall needs a "&amp;$BP297&amp;" min door, ","")&amp;IF(AND($BO297&gt;=180,AND(OR($BL297="FG",$BL297="HG",$BL297="FNV",$BL297="FV"),N($BM297)*N($BN297)&gt;100)),"180 min lite over 100 sq in, ","")&amp;IF(N($BD297)&gt;48,"leaf wider than 4'-0"&amp;CHAR(34)&amp;", ",""))</f>
        <v/>
      </c>
      <c r="BX297" s="49">
        <f>IF($A297="","",IF(AND($BO297&gt;0,AND($A297&lt;&gt;"",$C297&lt;&gt;"DOOR ONLY"),$X297="KD",$E297="EXTERIOR"),"KD label on an exterior opening, ","")&amp;IF(AND($E297="EXTERIOR",OR(AND(AND($A297&lt;&gt;"",$C297&lt;&gt;"DOOR ONLY"),$W297="CR"),AND(N($BC297)&gt;0,$AH297="CR"))),"exterior in CR steel (G9?), ","")&amp;IF(AND(ISNUMBER($BJ297),N($BJ297)&lt;32),"clear width ~"&amp;TEXT($BJ297,"0.0")&amp;CHAR(34)&amp;" under 32"&amp;CHAR(34)&amp;" (ADA), ","")&amp;IF(AND($BO297=90,AND(OR($BL297="FG",$BL297="HG",$BL297="FNV",$BL297="FV"),N($BM297)*N($BN297)&gt;100)),"90 min lite over 100 sq in (stair/exit), ","")&amp;IF(AND($BO297&gt;0,AND($A297&lt;&gt;"",$C297&lt;&gt;"DOOR ONLY"),OR($AF297="",$AF297="-")),"rated: closer reinf.?, ","")&amp;IF(OR($I297="CORRIDOR",$I297="SMOKE BARRIER"),"S label + smoke gasketing, ","")&amp;IF($BP297="?","wall type/hr not in IBC table, ","")&amp;IF(AND(N($BC297)&gt;0,$AU297=""),"no hardware set, ","")&amp;IF(AND($AU297&lt;&gt;"",ISNA(MATCH($AU297,HWSets,0))),"set "&amp;$AU297&amp;" not on Hardware sheet, ","")&amp;IF(N($BE297)&gt;96,"leaf over 8'-0"&amp;CHAR(34)&amp;" - check listing, ",""))</f>
        <v/>
      </c>
    </row>
    <row r="298" ht="15" customHeight="1">
      <c r="A298" s="44" t="n"/>
      <c r="B298" s="45" t="n"/>
      <c r="C298" s="45" t="n"/>
      <c r="D298" s="45" t="n"/>
      <c r="E298" s="45" t="n"/>
      <c r="F298" s="45" t="n"/>
      <c r="G298" s="45" t="n"/>
      <c r="H298" s="45" t="n"/>
      <c r="I298" s="45" t="n"/>
      <c r="J298" s="45" t="n"/>
      <c r="K298" s="45" t="n"/>
      <c r="L298" s="45" t="n"/>
      <c r="M298" s="45" t="n"/>
      <c r="N298" s="45" t="n"/>
      <c r="O298" s="45" t="n"/>
      <c r="P298" s="45" t="n"/>
      <c r="Q298" s="45" t="n"/>
      <c r="R298" s="45" t="n"/>
      <c r="S298" s="46" t="n"/>
      <c r="T298" s="46" t="n"/>
      <c r="U298" s="46" t="n"/>
      <c r="V298" s="46" t="n"/>
      <c r="W298" s="46" t="n"/>
      <c r="X298" s="46" t="n"/>
      <c r="Y298" s="46" t="n"/>
      <c r="Z298" s="46" t="n"/>
      <c r="AA298" s="46" t="n"/>
      <c r="AB298" s="46" t="n"/>
      <c r="AC298" s="46" t="n"/>
      <c r="AD298" s="46" t="n"/>
      <c r="AE298" s="46" t="n"/>
      <c r="AF298" s="46" t="n"/>
      <c r="AG298" s="46" t="n"/>
      <c r="AH298" s="47" t="n"/>
      <c r="AI298" s="47" t="n"/>
      <c r="AJ298" s="47" t="n"/>
      <c r="AK298" s="47" t="n"/>
      <c r="AL298" s="47" t="n"/>
      <c r="AM298" s="47" t="n"/>
      <c r="AN298" s="47" t="n"/>
      <c r="AO298" s="47" t="n"/>
      <c r="AP298" s="47" t="n"/>
      <c r="AQ298" s="47" t="n"/>
      <c r="AR298" s="47" t="n"/>
      <c r="AS298" s="47" t="n"/>
      <c r="AT298" s="47" t="n"/>
      <c r="AU298" s="48" t="n"/>
      <c r="AV298" s="48" t="n"/>
      <c r="AW298" s="49">
        <f>IF($A298="","",IF($BW298&lt;&gt;"","FIX",IF($BX298&lt;&gt;"","CHECK","OK")))</f>
        <v/>
      </c>
      <c r="AX298" s="50">
        <f>IF($A298="","",IF($BW298&lt;&gt;"","FIX: "&amp;LEFT($BW298,LEN($BW298)-2)&amp;IF($BX298&lt;&gt;"","  ·  ",""),"")&amp;IF($BX298&lt;&gt;"","CHECK: "&amp;LEFT($BX298,LEN($BX298)-2),""))</f>
        <v/>
      </c>
      <c r="AY298" s="49">
        <f>IF(OR($A298="",$K298=""),"",$K298&amp;"'-"&amp;N($L298)&amp;CHAR(34)&amp;" x "&amp;$M298&amp;"'-"&amp;N($N298)&amp;CHAR(34))</f>
        <v/>
      </c>
      <c r="AZ298" s="49">
        <f>IF(OR($A298="",$K298=""),"",$K298&amp;N($L298)&amp;$M298&amp;N($N298))</f>
        <v/>
      </c>
      <c r="BA298" s="49">
        <f>IF(OR($A298="",$K298=""),"",$K298*12+N($L298))</f>
        <v/>
      </c>
      <c r="BB298" s="49">
        <f>IF(OR($A298="",$M298=""),"",$M298*12+N($N298))</f>
        <v/>
      </c>
      <c r="BC298" s="49">
        <f>IF($A298="","",IF(OR($C298="FRAME ONLY",$S298="BL"),0,IF($O298="Y",2,1)))</f>
        <v/>
      </c>
      <c r="BD298" s="51">
        <f>IF(OR(N($BC298)=0,$BA298=""),"",($BA298-2*EdgeClr-IF($BC298=2,MeetClr,0))/$BC298)</f>
        <v/>
      </c>
      <c r="BE298" s="51">
        <f>IF(OR(N($BC298)=0,$BB298=""),"",$BB298-HeadClr-Undercut)</f>
        <v/>
      </c>
      <c r="BF298" s="51">
        <f>IF($BA298="","",$BA298+2*FaceW+IF(N($Q298)&gt;0,($Q298+FaceW)*IF($R298="LR",2,1),0))</f>
        <v/>
      </c>
      <c r="BG298" s="51">
        <f>IF($BB298="","",$BB298+IF($AB298="Y",4,FaceW)+IF(N($P298)&gt;0,$P298+FaceW,0)+IF(OR($S298="4F",$S298="BL"),FaceW,0))</f>
        <v/>
      </c>
      <c r="BH298" s="51">
        <f>IF($BF298="","",$BF298+2*ROSide)</f>
        <v/>
      </c>
      <c r="BI298" s="51">
        <f>IF($BG298="","",$BG298+ROTop)</f>
        <v/>
      </c>
      <c r="BJ298" s="52">
        <f>IF(OR(N($BC298)=0,$BA298=""),"",$BA298/$BC298-ClearDeduct)</f>
        <v/>
      </c>
      <c r="BK298" s="49">
        <f>IF(OR(N($BC298)=0,$BE298=""),"",IF(OR($AC298="HGC",$AP298="HGC"),"CONT",IF($BE298&lt;=60,2,IF($BE298&lt;=90,3,IF($BE298&lt;=120,4,5)))))</f>
        <v/>
      </c>
      <c r="BL298" s="49">
        <f>IF(N($BC298)=0,"",IF(OR($AL298="",$AL298="FLUSH"),"FLUSH",IFERROR(LEFT($AL298,FIND("-",$AL298)-1),LEFT($AL298,2))))</f>
        <v/>
      </c>
      <c r="BM298" s="49">
        <f>IF($BL298="","",IFERROR(VALUE(MID($AL298,FIND("-",$AL298)+1,FIND(CHAR(34)&amp;"x",$AL298)-FIND("-",$AL298)-1)),0))</f>
        <v/>
      </c>
      <c r="BN298" s="49">
        <f>IF($BL298="","",IFERROR(VALUE(MID($AL298,FIND(CHAR(34)&amp;"x",$AL298)+2,FIND(CHAR(34),$AL298,FIND(CHAR(34)&amp;"x",$AL298)+2)-FIND(CHAR(34)&amp;"x",$AL298)-2)),0))</f>
        <v/>
      </c>
      <c r="BO298" s="53">
        <f>IF(OR($A298="",$H298="",$H298="NO LAB"),0,IFERROR(VALUE(LEFT($H298,FIND(" ",$H298)-1)),0))</f>
        <v/>
      </c>
      <c r="BP298" s="54">
        <f>IF(OR($A298="",$I298="",$I298="NON-RATED",N($J298)=0),"",IFERROR(VLOOKUP($I298&amp;"|"&amp;$J298,IBC,2,FALSE),"?"))</f>
        <v/>
      </c>
      <c r="BQ298" s="50">
        <f>IF(NOT(AND($A298&lt;&gt;"",$C298&lt;&gt;"DOOR ONLY")),"",TRIM(IFERROR(VLOOKUP($U298,CODES,2,FALSE),"")&amp;" "&amp;$AZ298&amp;" "&amp;IFERROR(VLOOKUP($Z298,CODES,2,FALSE),"")&amp;" "&amp;IFERROR(VLOOKUP($X298,CODES,2,FALSE),"")&amp;" "&amp;IFERROR(VLOOKUP($S298,CODES,2,FALSE),"")&amp;IF(N($P298)&gt;0," w/TRANSOM "&amp;$P298&amp;CHAR(34),"")&amp;IF(N($Q298)&gt;0," w/SIDELITE "&amp;$Q298&amp;CHAR(34)&amp;" "&amp;IF($R298="","R",$R298),"")&amp;IF($Y298="","  |  "," | "&amp;IFERROR(VLOOKUP($Y298,CODES,2,FALSE),"")&amp;" | ")&amp;IFERROR(VLOOKUP($AC298,CODES,2,FALSE),"")&amp;" "&amp;IFERROR(VLOOKUP($AD298,CODES,2,FALSE),"")&amp;IF(OR($AE298="",$AE298="-"),""," "&amp;$AE298)&amp;IF(OR($AF298="",$AF298="-"),""," "&amp;$AF298)&amp;IF($AB298="Y"," 4"&amp;CHAR(34)&amp;" HEAD","")&amp;" "&amp;IFERROR(VLOOKUP($H298,CODES,2,FALSE),"")))</f>
        <v/>
      </c>
      <c r="BR298" s="50">
        <f>IF(NOT(AND($A298&lt;&gt;"",N($BC298)&gt;0)),"",TRIM(IFERROR(VLOOKUP($AH298,CODES,2,FALSE),"")&amp;IF($AI298=""," "," "&amp;$AI298&amp;"GA ")&amp;$AZ298&amp;" "&amp;IF($AN298="",IFERROR(VLOOKUP($Z298,CODES,2,FALSE),""),IFERROR(VLOOKUP($AN298,CODES,2,FALSE),""))&amp;IF($BC298=2," PAIR","")&amp;" DOOR | "&amp;IF($AL298="","?",$AL298)&amp;" | "&amp;IF($AP298="",IFERROR(VLOOKUP($AC298,CODES,2,FALSE),""),IFERROR(VLOOKUP($AP298,CODES,2,FALSE),""))&amp;" "&amp;IFERROR(VLOOKUP($AQ298,CODES,2,FALSE),"")&amp;IF(OR($AR298="",$AR298="-"),""," SEAM "&amp;$AR298)&amp;IF($AS298="Y"," ASTRAGAL","")&amp;IF($AJ298=""," "," "&amp;$AJ298)&amp;IF($AK298=""," "," "&amp;$AK298)&amp;IF($AO298="",""," "&amp;$AO298)&amp;IF($AM298=""," "," SERIES "&amp;$AM298)&amp;" "&amp;IFERROR(VLOOKUP($H298,CODES,2,FALSE),"")))</f>
        <v/>
      </c>
      <c r="BS298" s="49">
        <f>IF(BV298="","",IF(COUNTIF($BV$6:BV298,BV298)=1,MAX($BS$5:BS297)+1,INDEX($BS$5:BS297,MATCH(BV298,$BV$5:BV297,0))))</f>
        <v/>
      </c>
      <c r="BT298" s="49">
        <f>IF(NOT(AND($A298&lt;&gt;"",$C298&lt;&gt;"DOOR ONLY")),"",MAX($BT$5:BT297)+1)</f>
        <v/>
      </c>
      <c r="BU298" s="49">
        <f>IF(NOT(AND($A298&lt;&gt;"",N($BC298)&gt;0)),"",MAX($BU$5:BU297)+1)</f>
        <v/>
      </c>
      <c r="BV298" s="49">
        <f>IF(OR($A298="",$BA298="",$BB298=""),"",$AZ298&amp;"|"&amp;$O298&amp;"|"&amp;$AL298&amp;"|"&amp;$S298&amp;"|"&amp;$P298&amp;"|"&amp;$Q298&amp;$R298&amp;"|"&amp;$C298&amp;"|"&amp;$AB298)</f>
        <v/>
      </c>
      <c r="BW298" s="49">
        <f>IF($A298="","",IF($B298="","qty, ","")&amp;IF($C298="","scope, ","")&amp;IF(OR($K298="",$M298=""),"size, ","")&amp;IF(AND($A298&lt;&gt;"",$C298&lt;&gt;"DOOR ONLY"),IF($U298="","jamb depth, ","")&amp;IF($X298="","construction, ","")&amp;IF($Y298="","anchor, ","")&amp;IF($S298="","frame type, ",""),"")&amp;IF(AND(N($BC298)&gt;0,$Z298=""),"hand, ","")&amp;IF(N($BC298)&gt;0,IF($AH298="","door material, ","")&amp;IF($AL298="","face type, ","")&amp;IF($AQ298="","lock prep, ","")&amp;IF(AND($AP298="",$AC298=""),"hinge prep, ",""),"")&amp;IF(AND($BO298&gt;0,$AH298="FRP"),"FRP cannot carry a label, ","")&amp;IF(AND($O298="Y",OR($Z298="L",$Z298="R",$Z298="LR",$Z298="RR")),"pair marked but hand is single, ","")&amp;IF(AND($O298&lt;&gt;"Y",OR($Z298="PR",AND(LEN($Z298)&gt;1,ISNUMBER(SEARCH("-",$Z298))))),"pair hand on a single door, ","")&amp;IF(AND(ISNUMBER($BP298),$BO298&lt;N($BP298)),"wall needs a "&amp;$BP298&amp;" min door, ","")&amp;IF(AND($BO298&gt;=180,AND(OR($BL298="FG",$BL298="HG",$BL298="FNV",$BL298="FV"),N($BM298)*N($BN298)&gt;100)),"180 min lite over 100 sq in, ","")&amp;IF(N($BD298)&gt;48,"leaf wider than 4'-0"&amp;CHAR(34)&amp;", ",""))</f>
        <v/>
      </c>
      <c r="BX298" s="49">
        <f>IF($A298="","",IF(AND($BO298&gt;0,AND($A298&lt;&gt;"",$C298&lt;&gt;"DOOR ONLY"),$X298="KD",$E298="EXTERIOR"),"KD label on an exterior opening, ","")&amp;IF(AND($E298="EXTERIOR",OR(AND(AND($A298&lt;&gt;"",$C298&lt;&gt;"DOOR ONLY"),$W298="CR"),AND(N($BC298)&gt;0,$AH298="CR"))),"exterior in CR steel (G9?), ","")&amp;IF(AND(ISNUMBER($BJ298),N($BJ298)&lt;32),"clear width ~"&amp;TEXT($BJ298,"0.0")&amp;CHAR(34)&amp;" under 32"&amp;CHAR(34)&amp;" (ADA), ","")&amp;IF(AND($BO298=90,AND(OR($BL298="FG",$BL298="HG",$BL298="FNV",$BL298="FV"),N($BM298)*N($BN298)&gt;100)),"90 min lite over 100 sq in (stair/exit), ","")&amp;IF(AND($BO298&gt;0,AND($A298&lt;&gt;"",$C298&lt;&gt;"DOOR ONLY"),OR($AF298="",$AF298="-")),"rated: closer reinf.?, ","")&amp;IF(OR($I298="CORRIDOR",$I298="SMOKE BARRIER"),"S label + smoke gasketing, ","")&amp;IF($BP298="?","wall type/hr not in IBC table, ","")&amp;IF(AND(N($BC298)&gt;0,$AU298=""),"no hardware set, ","")&amp;IF(AND($AU298&lt;&gt;"",ISNA(MATCH($AU298,HWSets,0))),"set "&amp;$AU298&amp;" not on Hardware sheet, ","")&amp;IF(N($BE298)&gt;96,"leaf over 8'-0"&amp;CHAR(34)&amp;" - check listing, ",""))</f>
        <v/>
      </c>
    </row>
    <row r="299" ht="15" customHeight="1">
      <c r="A299" s="44" t="n"/>
      <c r="B299" s="45" t="n"/>
      <c r="C299" s="45" t="n"/>
      <c r="D299" s="45" t="n"/>
      <c r="E299" s="45" t="n"/>
      <c r="F299" s="45" t="n"/>
      <c r="G299" s="45" t="n"/>
      <c r="H299" s="45" t="n"/>
      <c r="I299" s="45" t="n"/>
      <c r="J299" s="45" t="n"/>
      <c r="K299" s="45" t="n"/>
      <c r="L299" s="45" t="n"/>
      <c r="M299" s="45" t="n"/>
      <c r="N299" s="45" t="n"/>
      <c r="O299" s="45" t="n"/>
      <c r="P299" s="45" t="n"/>
      <c r="Q299" s="45" t="n"/>
      <c r="R299" s="45" t="n"/>
      <c r="S299" s="46" t="n"/>
      <c r="T299" s="46" t="n"/>
      <c r="U299" s="46" t="n"/>
      <c r="V299" s="46" t="n"/>
      <c r="W299" s="46" t="n"/>
      <c r="X299" s="46" t="n"/>
      <c r="Y299" s="46" t="n"/>
      <c r="Z299" s="46" t="n"/>
      <c r="AA299" s="46" t="n"/>
      <c r="AB299" s="46" t="n"/>
      <c r="AC299" s="46" t="n"/>
      <c r="AD299" s="46" t="n"/>
      <c r="AE299" s="46" t="n"/>
      <c r="AF299" s="46" t="n"/>
      <c r="AG299" s="46" t="n"/>
      <c r="AH299" s="47" t="n"/>
      <c r="AI299" s="47" t="n"/>
      <c r="AJ299" s="47" t="n"/>
      <c r="AK299" s="47" t="n"/>
      <c r="AL299" s="47" t="n"/>
      <c r="AM299" s="47" t="n"/>
      <c r="AN299" s="47" t="n"/>
      <c r="AO299" s="47" t="n"/>
      <c r="AP299" s="47" t="n"/>
      <c r="AQ299" s="47" t="n"/>
      <c r="AR299" s="47" t="n"/>
      <c r="AS299" s="47" t="n"/>
      <c r="AT299" s="47" t="n"/>
      <c r="AU299" s="48" t="n"/>
      <c r="AV299" s="48" t="n"/>
      <c r="AW299" s="49">
        <f>IF($A299="","",IF($BW299&lt;&gt;"","FIX",IF($BX299&lt;&gt;"","CHECK","OK")))</f>
        <v/>
      </c>
      <c r="AX299" s="50">
        <f>IF($A299="","",IF($BW299&lt;&gt;"","FIX: "&amp;LEFT($BW299,LEN($BW299)-2)&amp;IF($BX299&lt;&gt;"","  ·  ",""),"")&amp;IF($BX299&lt;&gt;"","CHECK: "&amp;LEFT($BX299,LEN($BX299)-2),""))</f>
        <v/>
      </c>
      <c r="AY299" s="49">
        <f>IF(OR($A299="",$K299=""),"",$K299&amp;"'-"&amp;N($L299)&amp;CHAR(34)&amp;" x "&amp;$M299&amp;"'-"&amp;N($N299)&amp;CHAR(34))</f>
        <v/>
      </c>
      <c r="AZ299" s="49">
        <f>IF(OR($A299="",$K299=""),"",$K299&amp;N($L299)&amp;$M299&amp;N($N299))</f>
        <v/>
      </c>
      <c r="BA299" s="49">
        <f>IF(OR($A299="",$K299=""),"",$K299*12+N($L299))</f>
        <v/>
      </c>
      <c r="BB299" s="49">
        <f>IF(OR($A299="",$M299=""),"",$M299*12+N($N299))</f>
        <v/>
      </c>
      <c r="BC299" s="49">
        <f>IF($A299="","",IF(OR($C299="FRAME ONLY",$S299="BL"),0,IF($O299="Y",2,1)))</f>
        <v/>
      </c>
      <c r="BD299" s="51">
        <f>IF(OR(N($BC299)=0,$BA299=""),"",($BA299-2*EdgeClr-IF($BC299=2,MeetClr,0))/$BC299)</f>
        <v/>
      </c>
      <c r="BE299" s="51">
        <f>IF(OR(N($BC299)=0,$BB299=""),"",$BB299-HeadClr-Undercut)</f>
        <v/>
      </c>
      <c r="BF299" s="51">
        <f>IF($BA299="","",$BA299+2*FaceW+IF(N($Q299)&gt;0,($Q299+FaceW)*IF($R299="LR",2,1),0))</f>
        <v/>
      </c>
      <c r="BG299" s="51">
        <f>IF($BB299="","",$BB299+IF($AB299="Y",4,FaceW)+IF(N($P299)&gt;0,$P299+FaceW,0)+IF(OR($S299="4F",$S299="BL"),FaceW,0))</f>
        <v/>
      </c>
      <c r="BH299" s="51">
        <f>IF($BF299="","",$BF299+2*ROSide)</f>
        <v/>
      </c>
      <c r="BI299" s="51">
        <f>IF($BG299="","",$BG299+ROTop)</f>
        <v/>
      </c>
      <c r="BJ299" s="52">
        <f>IF(OR(N($BC299)=0,$BA299=""),"",$BA299/$BC299-ClearDeduct)</f>
        <v/>
      </c>
      <c r="BK299" s="49">
        <f>IF(OR(N($BC299)=0,$BE299=""),"",IF(OR($AC299="HGC",$AP299="HGC"),"CONT",IF($BE299&lt;=60,2,IF($BE299&lt;=90,3,IF($BE299&lt;=120,4,5)))))</f>
        <v/>
      </c>
      <c r="BL299" s="49">
        <f>IF(N($BC299)=0,"",IF(OR($AL299="",$AL299="FLUSH"),"FLUSH",IFERROR(LEFT($AL299,FIND("-",$AL299)-1),LEFT($AL299,2))))</f>
        <v/>
      </c>
      <c r="BM299" s="49">
        <f>IF($BL299="","",IFERROR(VALUE(MID($AL299,FIND("-",$AL299)+1,FIND(CHAR(34)&amp;"x",$AL299)-FIND("-",$AL299)-1)),0))</f>
        <v/>
      </c>
      <c r="BN299" s="49">
        <f>IF($BL299="","",IFERROR(VALUE(MID($AL299,FIND(CHAR(34)&amp;"x",$AL299)+2,FIND(CHAR(34),$AL299,FIND(CHAR(34)&amp;"x",$AL299)+2)-FIND(CHAR(34)&amp;"x",$AL299)-2)),0))</f>
        <v/>
      </c>
      <c r="BO299" s="53">
        <f>IF(OR($A299="",$H299="",$H299="NO LAB"),0,IFERROR(VALUE(LEFT($H299,FIND(" ",$H299)-1)),0))</f>
        <v/>
      </c>
      <c r="BP299" s="54">
        <f>IF(OR($A299="",$I299="",$I299="NON-RATED",N($J299)=0),"",IFERROR(VLOOKUP($I299&amp;"|"&amp;$J299,IBC,2,FALSE),"?"))</f>
        <v/>
      </c>
      <c r="BQ299" s="50">
        <f>IF(NOT(AND($A299&lt;&gt;"",$C299&lt;&gt;"DOOR ONLY")),"",TRIM(IFERROR(VLOOKUP($U299,CODES,2,FALSE),"")&amp;" "&amp;$AZ299&amp;" "&amp;IFERROR(VLOOKUP($Z299,CODES,2,FALSE),"")&amp;" "&amp;IFERROR(VLOOKUP($X299,CODES,2,FALSE),"")&amp;" "&amp;IFERROR(VLOOKUP($S299,CODES,2,FALSE),"")&amp;IF(N($P299)&gt;0," w/TRANSOM "&amp;$P299&amp;CHAR(34),"")&amp;IF(N($Q299)&gt;0," w/SIDELITE "&amp;$Q299&amp;CHAR(34)&amp;" "&amp;IF($R299="","R",$R299),"")&amp;IF($Y299="","  |  "," | "&amp;IFERROR(VLOOKUP($Y299,CODES,2,FALSE),"")&amp;" | ")&amp;IFERROR(VLOOKUP($AC299,CODES,2,FALSE),"")&amp;" "&amp;IFERROR(VLOOKUP($AD299,CODES,2,FALSE),"")&amp;IF(OR($AE299="",$AE299="-"),""," "&amp;$AE299)&amp;IF(OR($AF299="",$AF299="-"),""," "&amp;$AF299)&amp;IF($AB299="Y"," 4"&amp;CHAR(34)&amp;" HEAD","")&amp;" "&amp;IFERROR(VLOOKUP($H299,CODES,2,FALSE),"")))</f>
        <v/>
      </c>
      <c r="BR299" s="50">
        <f>IF(NOT(AND($A299&lt;&gt;"",N($BC299)&gt;0)),"",TRIM(IFERROR(VLOOKUP($AH299,CODES,2,FALSE),"")&amp;IF($AI299=""," "," "&amp;$AI299&amp;"GA ")&amp;$AZ299&amp;" "&amp;IF($AN299="",IFERROR(VLOOKUP($Z299,CODES,2,FALSE),""),IFERROR(VLOOKUP($AN299,CODES,2,FALSE),""))&amp;IF($BC299=2," PAIR","")&amp;" DOOR | "&amp;IF($AL299="","?",$AL299)&amp;" | "&amp;IF($AP299="",IFERROR(VLOOKUP($AC299,CODES,2,FALSE),""),IFERROR(VLOOKUP($AP299,CODES,2,FALSE),""))&amp;" "&amp;IFERROR(VLOOKUP($AQ299,CODES,2,FALSE),"")&amp;IF(OR($AR299="",$AR299="-"),""," SEAM "&amp;$AR299)&amp;IF($AS299="Y"," ASTRAGAL","")&amp;IF($AJ299=""," "," "&amp;$AJ299)&amp;IF($AK299=""," "," "&amp;$AK299)&amp;IF($AO299="",""," "&amp;$AO299)&amp;IF($AM299=""," "," SERIES "&amp;$AM299)&amp;" "&amp;IFERROR(VLOOKUP($H299,CODES,2,FALSE),"")))</f>
        <v/>
      </c>
      <c r="BS299" s="49">
        <f>IF(BV299="","",IF(COUNTIF($BV$6:BV299,BV299)=1,MAX($BS$5:BS298)+1,INDEX($BS$5:BS298,MATCH(BV299,$BV$5:BV298,0))))</f>
        <v/>
      </c>
      <c r="BT299" s="49">
        <f>IF(NOT(AND($A299&lt;&gt;"",$C299&lt;&gt;"DOOR ONLY")),"",MAX($BT$5:BT298)+1)</f>
        <v/>
      </c>
      <c r="BU299" s="49">
        <f>IF(NOT(AND($A299&lt;&gt;"",N($BC299)&gt;0)),"",MAX($BU$5:BU298)+1)</f>
        <v/>
      </c>
      <c r="BV299" s="49">
        <f>IF(OR($A299="",$BA299="",$BB299=""),"",$AZ299&amp;"|"&amp;$O299&amp;"|"&amp;$AL299&amp;"|"&amp;$S299&amp;"|"&amp;$P299&amp;"|"&amp;$Q299&amp;$R299&amp;"|"&amp;$C299&amp;"|"&amp;$AB299)</f>
        <v/>
      </c>
      <c r="BW299" s="49">
        <f>IF($A299="","",IF($B299="","qty, ","")&amp;IF($C299="","scope, ","")&amp;IF(OR($K299="",$M299=""),"size, ","")&amp;IF(AND($A299&lt;&gt;"",$C299&lt;&gt;"DOOR ONLY"),IF($U299="","jamb depth, ","")&amp;IF($X299="","construction, ","")&amp;IF($Y299="","anchor, ","")&amp;IF($S299="","frame type, ",""),"")&amp;IF(AND(N($BC299)&gt;0,$Z299=""),"hand, ","")&amp;IF(N($BC299)&gt;0,IF($AH299="","door material, ","")&amp;IF($AL299="","face type, ","")&amp;IF($AQ299="","lock prep, ","")&amp;IF(AND($AP299="",$AC299=""),"hinge prep, ",""),"")&amp;IF(AND($BO299&gt;0,$AH299="FRP"),"FRP cannot carry a label, ","")&amp;IF(AND($O299="Y",OR($Z299="L",$Z299="R",$Z299="LR",$Z299="RR")),"pair marked but hand is single, ","")&amp;IF(AND($O299&lt;&gt;"Y",OR($Z299="PR",AND(LEN($Z299)&gt;1,ISNUMBER(SEARCH("-",$Z299))))),"pair hand on a single door, ","")&amp;IF(AND(ISNUMBER($BP299),$BO299&lt;N($BP299)),"wall needs a "&amp;$BP299&amp;" min door, ","")&amp;IF(AND($BO299&gt;=180,AND(OR($BL299="FG",$BL299="HG",$BL299="FNV",$BL299="FV"),N($BM299)*N($BN299)&gt;100)),"180 min lite over 100 sq in, ","")&amp;IF(N($BD299)&gt;48,"leaf wider than 4'-0"&amp;CHAR(34)&amp;", ",""))</f>
        <v/>
      </c>
      <c r="BX299" s="49">
        <f>IF($A299="","",IF(AND($BO299&gt;0,AND($A299&lt;&gt;"",$C299&lt;&gt;"DOOR ONLY"),$X299="KD",$E299="EXTERIOR"),"KD label on an exterior opening, ","")&amp;IF(AND($E299="EXTERIOR",OR(AND(AND($A299&lt;&gt;"",$C299&lt;&gt;"DOOR ONLY"),$W299="CR"),AND(N($BC299)&gt;0,$AH299="CR"))),"exterior in CR steel (G9?), ","")&amp;IF(AND(ISNUMBER($BJ299),N($BJ299)&lt;32),"clear width ~"&amp;TEXT($BJ299,"0.0")&amp;CHAR(34)&amp;" under 32"&amp;CHAR(34)&amp;" (ADA), ","")&amp;IF(AND($BO299=90,AND(OR($BL299="FG",$BL299="HG",$BL299="FNV",$BL299="FV"),N($BM299)*N($BN299)&gt;100)),"90 min lite over 100 sq in (stair/exit), ","")&amp;IF(AND($BO299&gt;0,AND($A299&lt;&gt;"",$C299&lt;&gt;"DOOR ONLY"),OR($AF299="",$AF299="-")),"rated: closer reinf.?, ","")&amp;IF(OR($I299="CORRIDOR",$I299="SMOKE BARRIER"),"S label + smoke gasketing, ","")&amp;IF($BP299="?","wall type/hr not in IBC table, ","")&amp;IF(AND(N($BC299)&gt;0,$AU299=""),"no hardware set, ","")&amp;IF(AND($AU299&lt;&gt;"",ISNA(MATCH($AU299,HWSets,0))),"set "&amp;$AU299&amp;" not on Hardware sheet, ","")&amp;IF(N($BE299)&gt;96,"leaf over 8'-0"&amp;CHAR(34)&amp;" - check listing, ",""))</f>
        <v/>
      </c>
    </row>
    <row r="300" ht="15" customHeight="1">
      <c r="A300" s="44" t="n"/>
      <c r="B300" s="45" t="n"/>
      <c r="C300" s="45" t="n"/>
      <c r="D300" s="45" t="n"/>
      <c r="E300" s="45" t="n"/>
      <c r="F300" s="45" t="n"/>
      <c r="G300" s="45" t="n"/>
      <c r="H300" s="45" t="n"/>
      <c r="I300" s="45" t="n"/>
      <c r="J300" s="45" t="n"/>
      <c r="K300" s="45" t="n"/>
      <c r="L300" s="45" t="n"/>
      <c r="M300" s="45" t="n"/>
      <c r="N300" s="45" t="n"/>
      <c r="O300" s="45" t="n"/>
      <c r="P300" s="45" t="n"/>
      <c r="Q300" s="45" t="n"/>
      <c r="R300" s="45" t="n"/>
      <c r="S300" s="46" t="n"/>
      <c r="T300" s="46" t="n"/>
      <c r="U300" s="46" t="n"/>
      <c r="V300" s="46" t="n"/>
      <c r="W300" s="46" t="n"/>
      <c r="X300" s="46" t="n"/>
      <c r="Y300" s="46" t="n"/>
      <c r="Z300" s="46" t="n"/>
      <c r="AA300" s="46" t="n"/>
      <c r="AB300" s="46" t="n"/>
      <c r="AC300" s="46" t="n"/>
      <c r="AD300" s="46" t="n"/>
      <c r="AE300" s="46" t="n"/>
      <c r="AF300" s="46" t="n"/>
      <c r="AG300" s="46" t="n"/>
      <c r="AH300" s="47" t="n"/>
      <c r="AI300" s="47" t="n"/>
      <c r="AJ300" s="47" t="n"/>
      <c r="AK300" s="47" t="n"/>
      <c r="AL300" s="47" t="n"/>
      <c r="AM300" s="47" t="n"/>
      <c r="AN300" s="47" t="n"/>
      <c r="AO300" s="47" t="n"/>
      <c r="AP300" s="47" t="n"/>
      <c r="AQ300" s="47" t="n"/>
      <c r="AR300" s="47" t="n"/>
      <c r="AS300" s="47" t="n"/>
      <c r="AT300" s="47" t="n"/>
      <c r="AU300" s="48" t="n"/>
      <c r="AV300" s="48" t="n"/>
      <c r="AW300" s="49">
        <f>IF($A300="","",IF($BW300&lt;&gt;"","FIX",IF($BX300&lt;&gt;"","CHECK","OK")))</f>
        <v/>
      </c>
      <c r="AX300" s="50">
        <f>IF($A300="","",IF($BW300&lt;&gt;"","FIX: "&amp;LEFT($BW300,LEN($BW300)-2)&amp;IF($BX300&lt;&gt;"","  ·  ",""),"")&amp;IF($BX300&lt;&gt;"","CHECK: "&amp;LEFT($BX300,LEN($BX300)-2),""))</f>
        <v/>
      </c>
      <c r="AY300" s="49">
        <f>IF(OR($A300="",$K300=""),"",$K300&amp;"'-"&amp;N($L300)&amp;CHAR(34)&amp;" x "&amp;$M300&amp;"'-"&amp;N($N300)&amp;CHAR(34))</f>
        <v/>
      </c>
      <c r="AZ300" s="49">
        <f>IF(OR($A300="",$K300=""),"",$K300&amp;N($L300)&amp;$M300&amp;N($N300))</f>
        <v/>
      </c>
      <c r="BA300" s="49">
        <f>IF(OR($A300="",$K300=""),"",$K300*12+N($L300))</f>
        <v/>
      </c>
      <c r="BB300" s="49">
        <f>IF(OR($A300="",$M300=""),"",$M300*12+N($N300))</f>
        <v/>
      </c>
      <c r="BC300" s="49">
        <f>IF($A300="","",IF(OR($C300="FRAME ONLY",$S300="BL"),0,IF($O300="Y",2,1)))</f>
        <v/>
      </c>
      <c r="BD300" s="51">
        <f>IF(OR(N($BC300)=0,$BA300=""),"",($BA300-2*EdgeClr-IF($BC300=2,MeetClr,0))/$BC300)</f>
        <v/>
      </c>
      <c r="BE300" s="51">
        <f>IF(OR(N($BC300)=0,$BB300=""),"",$BB300-HeadClr-Undercut)</f>
        <v/>
      </c>
      <c r="BF300" s="51">
        <f>IF($BA300="","",$BA300+2*FaceW+IF(N($Q300)&gt;0,($Q300+FaceW)*IF($R300="LR",2,1),0))</f>
        <v/>
      </c>
      <c r="BG300" s="51">
        <f>IF($BB300="","",$BB300+IF($AB300="Y",4,FaceW)+IF(N($P300)&gt;0,$P300+FaceW,0)+IF(OR($S300="4F",$S300="BL"),FaceW,0))</f>
        <v/>
      </c>
      <c r="BH300" s="51">
        <f>IF($BF300="","",$BF300+2*ROSide)</f>
        <v/>
      </c>
      <c r="BI300" s="51">
        <f>IF($BG300="","",$BG300+ROTop)</f>
        <v/>
      </c>
      <c r="BJ300" s="52">
        <f>IF(OR(N($BC300)=0,$BA300=""),"",$BA300/$BC300-ClearDeduct)</f>
        <v/>
      </c>
      <c r="BK300" s="49">
        <f>IF(OR(N($BC300)=0,$BE300=""),"",IF(OR($AC300="HGC",$AP300="HGC"),"CONT",IF($BE300&lt;=60,2,IF($BE300&lt;=90,3,IF($BE300&lt;=120,4,5)))))</f>
        <v/>
      </c>
      <c r="BL300" s="49">
        <f>IF(N($BC300)=0,"",IF(OR($AL300="",$AL300="FLUSH"),"FLUSH",IFERROR(LEFT($AL300,FIND("-",$AL300)-1),LEFT($AL300,2))))</f>
        <v/>
      </c>
      <c r="BM300" s="49">
        <f>IF($BL300="","",IFERROR(VALUE(MID($AL300,FIND("-",$AL300)+1,FIND(CHAR(34)&amp;"x",$AL300)-FIND("-",$AL300)-1)),0))</f>
        <v/>
      </c>
      <c r="BN300" s="49">
        <f>IF($BL300="","",IFERROR(VALUE(MID($AL300,FIND(CHAR(34)&amp;"x",$AL300)+2,FIND(CHAR(34),$AL300,FIND(CHAR(34)&amp;"x",$AL300)+2)-FIND(CHAR(34)&amp;"x",$AL300)-2)),0))</f>
        <v/>
      </c>
      <c r="BO300" s="53">
        <f>IF(OR($A300="",$H300="",$H300="NO LAB"),0,IFERROR(VALUE(LEFT($H300,FIND(" ",$H300)-1)),0))</f>
        <v/>
      </c>
      <c r="BP300" s="54">
        <f>IF(OR($A300="",$I300="",$I300="NON-RATED",N($J300)=0),"",IFERROR(VLOOKUP($I300&amp;"|"&amp;$J300,IBC,2,FALSE),"?"))</f>
        <v/>
      </c>
      <c r="BQ300" s="50">
        <f>IF(NOT(AND($A300&lt;&gt;"",$C300&lt;&gt;"DOOR ONLY")),"",TRIM(IFERROR(VLOOKUP($U300,CODES,2,FALSE),"")&amp;" "&amp;$AZ300&amp;" "&amp;IFERROR(VLOOKUP($Z300,CODES,2,FALSE),"")&amp;" "&amp;IFERROR(VLOOKUP($X300,CODES,2,FALSE),"")&amp;" "&amp;IFERROR(VLOOKUP($S300,CODES,2,FALSE),"")&amp;IF(N($P300)&gt;0," w/TRANSOM "&amp;$P300&amp;CHAR(34),"")&amp;IF(N($Q300)&gt;0," w/SIDELITE "&amp;$Q300&amp;CHAR(34)&amp;" "&amp;IF($R300="","R",$R300),"")&amp;IF($Y300="","  |  "," | "&amp;IFERROR(VLOOKUP($Y300,CODES,2,FALSE),"")&amp;" | ")&amp;IFERROR(VLOOKUP($AC300,CODES,2,FALSE),"")&amp;" "&amp;IFERROR(VLOOKUP($AD300,CODES,2,FALSE),"")&amp;IF(OR($AE300="",$AE300="-"),""," "&amp;$AE300)&amp;IF(OR($AF300="",$AF300="-"),""," "&amp;$AF300)&amp;IF($AB300="Y"," 4"&amp;CHAR(34)&amp;" HEAD","")&amp;" "&amp;IFERROR(VLOOKUP($H300,CODES,2,FALSE),"")))</f>
        <v/>
      </c>
      <c r="BR300" s="50">
        <f>IF(NOT(AND($A300&lt;&gt;"",N($BC300)&gt;0)),"",TRIM(IFERROR(VLOOKUP($AH300,CODES,2,FALSE),"")&amp;IF($AI300=""," "," "&amp;$AI300&amp;"GA ")&amp;$AZ300&amp;" "&amp;IF($AN300="",IFERROR(VLOOKUP($Z300,CODES,2,FALSE),""),IFERROR(VLOOKUP($AN300,CODES,2,FALSE),""))&amp;IF($BC300=2," PAIR","")&amp;" DOOR | "&amp;IF($AL300="","?",$AL300)&amp;" | "&amp;IF($AP300="",IFERROR(VLOOKUP($AC300,CODES,2,FALSE),""),IFERROR(VLOOKUP($AP300,CODES,2,FALSE),""))&amp;" "&amp;IFERROR(VLOOKUP($AQ300,CODES,2,FALSE),"")&amp;IF(OR($AR300="",$AR300="-"),""," SEAM "&amp;$AR300)&amp;IF($AS300="Y"," ASTRAGAL","")&amp;IF($AJ300=""," "," "&amp;$AJ300)&amp;IF($AK300=""," "," "&amp;$AK300)&amp;IF($AO300="",""," "&amp;$AO300)&amp;IF($AM300=""," "," SERIES "&amp;$AM300)&amp;" "&amp;IFERROR(VLOOKUP($H300,CODES,2,FALSE),"")))</f>
        <v/>
      </c>
      <c r="BS300" s="49">
        <f>IF(BV300="","",IF(COUNTIF($BV$6:BV300,BV300)=1,MAX($BS$5:BS299)+1,INDEX($BS$5:BS299,MATCH(BV300,$BV$5:BV299,0))))</f>
        <v/>
      </c>
      <c r="BT300" s="49">
        <f>IF(NOT(AND($A300&lt;&gt;"",$C300&lt;&gt;"DOOR ONLY")),"",MAX($BT$5:BT299)+1)</f>
        <v/>
      </c>
      <c r="BU300" s="49">
        <f>IF(NOT(AND($A300&lt;&gt;"",N($BC300)&gt;0)),"",MAX($BU$5:BU299)+1)</f>
        <v/>
      </c>
      <c r="BV300" s="49">
        <f>IF(OR($A300="",$BA300="",$BB300=""),"",$AZ300&amp;"|"&amp;$O300&amp;"|"&amp;$AL300&amp;"|"&amp;$S300&amp;"|"&amp;$P300&amp;"|"&amp;$Q300&amp;$R300&amp;"|"&amp;$C300&amp;"|"&amp;$AB300)</f>
        <v/>
      </c>
      <c r="BW300" s="49">
        <f>IF($A300="","",IF($B300="","qty, ","")&amp;IF($C300="","scope, ","")&amp;IF(OR($K300="",$M300=""),"size, ","")&amp;IF(AND($A300&lt;&gt;"",$C300&lt;&gt;"DOOR ONLY"),IF($U300="","jamb depth, ","")&amp;IF($X300="","construction, ","")&amp;IF($Y300="","anchor, ","")&amp;IF($S300="","frame type, ",""),"")&amp;IF(AND(N($BC300)&gt;0,$Z300=""),"hand, ","")&amp;IF(N($BC300)&gt;0,IF($AH300="","door material, ","")&amp;IF($AL300="","face type, ","")&amp;IF($AQ300="","lock prep, ","")&amp;IF(AND($AP300="",$AC300=""),"hinge prep, ",""),"")&amp;IF(AND($BO300&gt;0,$AH300="FRP"),"FRP cannot carry a label, ","")&amp;IF(AND($O300="Y",OR($Z300="L",$Z300="R",$Z300="LR",$Z300="RR")),"pair marked but hand is single, ","")&amp;IF(AND($O300&lt;&gt;"Y",OR($Z300="PR",AND(LEN($Z300)&gt;1,ISNUMBER(SEARCH("-",$Z300))))),"pair hand on a single door, ","")&amp;IF(AND(ISNUMBER($BP300),$BO300&lt;N($BP300)),"wall needs a "&amp;$BP300&amp;" min door, ","")&amp;IF(AND($BO300&gt;=180,AND(OR($BL300="FG",$BL300="HG",$BL300="FNV",$BL300="FV"),N($BM300)*N($BN300)&gt;100)),"180 min lite over 100 sq in, ","")&amp;IF(N($BD300)&gt;48,"leaf wider than 4'-0"&amp;CHAR(34)&amp;", ",""))</f>
        <v/>
      </c>
      <c r="BX300" s="49">
        <f>IF($A300="","",IF(AND($BO300&gt;0,AND($A300&lt;&gt;"",$C300&lt;&gt;"DOOR ONLY"),$X300="KD",$E300="EXTERIOR"),"KD label on an exterior opening, ","")&amp;IF(AND($E300="EXTERIOR",OR(AND(AND($A300&lt;&gt;"",$C300&lt;&gt;"DOOR ONLY"),$W300="CR"),AND(N($BC300)&gt;0,$AH300="CR"))),"exterior in CR steel (G9?), ","")&amp;IF(AND(ISNUMBER($BJ300),N($BJ300)&lt;32),"clear width ~"&amp;TEXT($BJ300,"0.0")&amp;CHAR(34)&amp;" under 32"&amp;CHAR(34)&amp;" (ADA), ","")&amp;IF(AND($BO300=90,AND(OR($BL300="FG",$BL300="HG",$BL300="FNV",$BL300="FV"),N($BM300)*N($BN300)&gt;100)),"90 min lite over 100 sq in (stair/exit), ","")&amp;IF(AND($BO300&gt;0,AND($A300&lt;&gt;"",$C300&lt;&gt;"DOOR ONLY"),OR($AF300="",$AF300="-")),"rated: closer reinf.?, ","")&amp;IF(OR($I300="CORRIDOR",$I300="SMOKE BARRIER"),"S label + smoke gasketing, ","")&amp;IF($BP300="?","wall type/hr not in IBC table, ","")&amp;IF(AND(N($BC300)&gt;0,$AU300=""),"no hardware set, ","")&amp;IF(AND($AU300&lt;&gt;"",ISNA(MATCH($AU300,HWSets,0))),"set "&amp;$AU300&amp;" not on Hardware sheet, ","")&amp;IF(N($BE300)&gt;96,"leaf over 8'-0"&amp;CHAR(34)&amp;" - check listing, ",""))</f>
        <v/>
      </c>
    </row>
    <row r="301" ht="15" customHeight="1">
      <c r="A301" s="44" t="n"/>
      <c r="B301" s="45" t="n"/>
      <c r="C301" s="45" t="n"/>
      <c r="D301" s="45" t="n"/>
      <c r="E301" s="45" t="n"/>
      <c r="F301" s="45" t="n"/>
      <c r="G301" s="45" t="n"/>
      <c r="H301" s="45" t="n"/>
      <c r="I301" s="45" t="n"/>
      <c r="J301" s="45" t="n"/>
      <c r="K301" s="45" t="n"/>
      <c r="L301" s="45" t="n"/>
      <c r="M301" s="45" t="n"/>
      <c r="N301" s="45" t="n"/>
      <c r="O301" s="45" t="n"/>
      <c r="P301" s="45" t="n"/>
      <c r="Q301" s="45" t="n"/>
      <c r="R301" s="45" t="n"/>
      <c r="S301" s="46" t="n"/>
      <c r="T301" s="46" t="n"/>
      <c r="U301" s="46" t="n"/>
      <c r="V301" s="46" t="n"/>
      <c r="W301" s="46" t="n"/>
      <c r="X301" s="46" t="n"/>
      <c r="Y301" s="46" t="n"/>
      <c r="Z301" s="46" t="n"/>
      <c r="AA301" s="46" t="n"/>
      <c r="AB301" s="46" t="n"/>
      <c r="AC301" s="46" t="n"/>
      <c r="AD301" s="46" t="n"/>
      <c r="AE301" s="46" t="n"/>
      <c r="AF301" s="46" t="n"/>
      <c r="AG301" s="46" t="n"/>
      <c r="AH301" s="47" t="n"/>
      <c r="AI301" s="47" t="n"/>
      <c r="AJ301" s="47" t="n"/>
      <c r="AK301" s="47" t="n"/>
      <c r="AL301" s="47" t="n"/>
      <c r="AM301" s="47" t="n"/>
      <c r="AN301" s="47" t="n"/>
      <c r="AO301" s="47" t="n"/>
      <c r="AP301" s="47" t="n"/>
      <c r="AQ301" s="47" t="n"/>
      <c r="AR301" s="47" t="n"/>
      <c r="AS301" s="47" t="n"/>
      <c r="AT301" s="47" t="n"/>
      <c r="AU301" s="48" t="n"/>
      <c r="AV301" s="48" t="n"/>
      <c r="AW301" s="49">
        <f>IF($A301="","",IF($BW301&lt;&gt;"","FIX",IF($BX301&lt;&gt;"","CHECK","OK")))</f>
        <v/>
      </c>
      <c r="AX301" s="50">
        <f>IF($A301="","",IF($BW301&lt;&gt;"","FIX: "&amp;LEFT($BW301,LEN($BW301)-2)&amp;IF($BX301&lt;&gt;"","  ·  ",""),"")&amp;IF($BX301&lt;&gt;"","CHECK: "&amp;LEFT($BX301,LEN($BX301)-2),""))</f>
        <v/>
      </c>
      <c r="AY301" s="49">
        <f>IF(OR($A301="",$K301=""),"",$K301&amp;"'-"&amp;N($L301)&amp;CHAR(34)&amp;" x "&amp;$M301&amp;"'-"&amp;N($N301)&amp;CHAR(34))</f>
        <v/>
      </c>
      <c r="AZ301" s="49">
        <f>IF(OR($A301="",$K301=""),"",$K301&amp;N($L301)&amp;$M301&amp;N($N301))</f>
        <v/>
      </c>
      <c r="BA301" s="49">
        <f>IF(OR($A301="",$K301=""),"",$K301*12+N($L301))</f>
        <v/>
      </c>
      <c r="BB301" s="49">
        <f>IF(OR($A301="",$M301=""),"",$M301*12+N($N301))</f>
        <v/>
      </c>
      <c r="BC301" s="49">
        <f>IF($A301="","",IF(OR($C301="FRAME ONLY",$S301="BL"),0,IF($O301="Y",2,1)))</f>
        <v/>
      </c>
      <c r="BD301" s="51">
        <f>IF(OR(N($BC301)=0,$BA301=""),"",($BA301-2*EdgeClr-IF($BC301=2,MeetClr,0))/$BC301)</f>
        <v/>
      </c>
      <c r="BE301" s="51">
        <f>IF(OR(N($BC301)=0,$BB301=""),"",$BB301-HeadClr-Undercut)</f>
        <v/>
      </c>
      <c r="BF301" s="51">
        <f>IF($BA301="","",$BA301+2*FaceW+IF(N($Q301)&gt;0,($Q301+FaceW)*IF($R301="LR",2,1),0))</f>
        <v/>
      </c>
      <c r="BG301" s="51">
        <f>IF($BB301="","",$BB301+IF($AB301="Y",4,FaceW)+IF(N($P301)&gt;0,$P301+FaceW,0)+IF(OR($S301="4F",$S301="BL"),FaceW,0))</f>
        <v/>
      </c>
      <c r="BH301" s="51">
        <f>IF($BF301="","",$BF301+2*ROSide)</f>
        <v/>
      </c>
      <c r="BI301" s="51">
        <f>IF($BG301="","",$BG301+ROTop)</f>
        <v/>
      </c>
      <c r="BJ301" s="52">
        <f>IF(OR(N($BC301)=0,$BA301=""),"",$BA301/$BC301-ClearDeduct)</f>
        <v/>
      </c>
      <c r="BK301" s="49">
        <f>IF(OR(N($BC301)=0,$BE301=""),"",IF(OR($AC301="HGC",$AP301="HGC"),"CONT",IF($BE301&lt;=60,2,IF($BE301&lt;=90,3,IF($BE301&lt;=120,4,5)))))</f>
        <v/>
      </c>
      <c r="BL301" s="49">
        <f>IF(N($BC301)=0,"",IF(OR($AL301="",$AL301="FLUSH"),"FLUSH",IFERROR(LEFT($AL301,FIND("-",$AL301)-1),LEFT($AL301,2))))</f>
        <v/>
      </c>
      <c r="BM301" s="49">
        <f>IF($BL301="","",IFERROR(VALUE(MID($AL301,FIND("-",$AL301)+1,FIND(CHAR(34)&amp;"x",$AL301)-FIND("-",$AL301)-1)),0))</f>
        <v/>
      </c>
      <c r="BN301" s="49">
        <f>IF($BL301="","",IFERROR(VALUE(MID($AL301,FIND(CHAR(34)&amp;"x",$AL301)+2,FIND(CHAR(34),$AL301,FIND(CHAR(34)&amp;"x",$AL301)+2)-FIND(CHAR(34)&amp;"x",$AL301)-2)),0))</f>
        <v/>
      </c>
      <c r="BO301" s="53">
        <f>IF(OR($A301="",$H301="",$H301="NO LAB"),0,IFERROR(VALUE(LEFT($H301,FIND(" ",$H301)-1)),0))</f>
        <v/>
      </c>
      <c r="BP301" s="54">
        <f>IF(OR($A301="",$I301="",$I301="NON-RATED",N($J301)=0),"",IFERROR(VLOOKUP($I301&amp;"|"&amp;$J301,IBC,2,FALSE),"?"))</f>
        <v/>
      </c>
      <c r="BQ301" s="50">
        <f>IF(NOT(AND($A301&lt;&gt;"",$C301&lt;&gt;"DOOR ONLY")),"",TRIM(IFERROR(VLOOKUP($U301,CODES,2,FALSE),"")&amp;" "&amp;$AZ301&amp;" "&amp;IFERROR(VLOOKUP($Z301,CODES,2,FALSE),"")&amp;" "&amp;IFERROR(VLOOKUP($X301,CODES,2,FALSE),"")&amp;" "&amp;IFERROR(VLOOKUP($S301,CODES,2,FALSE),"")&amp;IF(N($P301)&gt;0," w/TRANSOM "&amp;$P301&amp;CHAR(34),"")&amp;IF(N($Q301)&gt;0," w/SIDELITE "&amp;$Q301&amp;CHAR(34)&amp;" "&amp;IF($R301="","R",$R301),"")&amp;IF($Y301="","  |  "," | "&amp;IFERROR(VLOOKUP($Y301,CODES,2,FALSE),"")&amp;" | ")&amp;IFERROR(VLOOKUP($AC301,CODES,2,FALSE),"")&amp;" "&amp;IFERROR(VLOOKUP($AD301,CODES,2,FALSE),"")&amp;IF(OR($AE301="",$AE301="-"),""," "&amp;$AE301)&amp;IF(OR($AF301="",$AF301="-"),""," "&amp;$AF301)&amp;IF($AB301="Y"," 4"&amp;CHAR(34)&amp;" HEAD","")&amp;" "&amp;IFERROR(VLOOKUP($H301,CODES,2,FALSE),"")))</f>
        <v/>
      </c>
      <c r="BR301" s="50">
        <f>IF(NOT(AND($A301&lt;&gt;"",N($BC301)&gt;0)),"",TRIM(IFERROR(VLOOKUP($AH301,CODES,2,FALSE),"")&amp;IF($AI301=""," "," "&amp;$AI301&amp;"GA ")&amp;$AZ301&amp;" "&amp;IF($AN301="",IFERROR(VLOOKUP($Z301,CODES,2,FALSE),""),IFERROR(VLOOKUP($AN301,CODES,2,FALSE),""))&amp;IF($BC301=2," PAIR","")&amp;" DOOR | "&amp;IF($AL301="","?",$AL301)&amp;" | "&amp;IF($AP301="",IFERROR(VLOOKUP($AC301,CODES,2,FALSE),""),IFERROR(VLOOKUP($AP301,CODES,2,FALSE),""))&amp;" "&amp;IFERROR(VLOOKUP($AQ301,CODES,2,FALSE),"")&amp;IF(OR($AR301="",$AR301="-"),""," SEAM "&amp;$AR301)&amp;IF($AS301="Y"," ASTRAGAL","")&amp;IF($AJ301=""," "," "&amp;$AJ301)&amp;IF($AK301=""," "," "&amp;$AK301)&amp;IF($AO301="",""," "&amp;$AO301)&amp;IF($AM301=""," "," SERIES "&amp;$AM301)&amp;" "&amp;IFERROR(VLOOKUP($H301,CODES,2,FALSE),"")))</f>
        <v/>
      </c>
      <c r="BS301" s="49">
        <f>IF(BV301="","",IF(COUNTIF($BV$6:BV301,BV301)=1,MAX($BS$5:BS300)+1,INDEX($BS$5:BS300,MATCH(BV301,$BV$5:BV300,0))))</f>
        <v/>
      </c>
      <c r="BT301" s="49">
        <f>IF(NOT(AND($A301&lt;&gt;"",$C301&lt;&gt;"DOOR ONLY")),"",MAX($BT$5:BT300)+1)</f>
        <v/>
      </c>
      <c r="BU301" s="49">
        <f>IF(NOT(AND($A301&lt;&gt;"",N($BC301)&gt;0)),"",MAX($BU$5:BU300)+1)</f>
        <v/>
      </c>
      <c r="BV301" s="49">
        <f>IF(OR($A301="",$BA301="",$BB301=""),"",$AZ301&amp;"|"&amp;$O301&amp;"|"&amp;$AL301&amp;"|"&amp;$S301&amp;"|"&amp;$P301&amp;"|"&amp;$Q301&amp;$R301&amp;"|"&amp;$C301&amp;"|"&amp;$AB301)</f>
        <v/>
      </c>
      <c r="BW301" s="49">
        <f>IF($A301="","",IF($B301="","qty, ","")&amp;IF($C301="","scope, ","")&amp;IF(OR($K301="",$M301=""),"size, ","")&amp;IF(AND($A301&lt;&gt;"",$C301&lt;&gt;"DOOR ONLY"),IF($U301="","jamb depth, ","")&amp;IF($X301="","construction, ","")&amp;IF($Y301="","anchor, ","")&amp;IF($S301="","frame type, ",""),"")&amp;IF(AND(N($BC301)&gt;0,$Z301=""),"hand, ","")&amp;IF(N($BC301)&gt;0,IF($AH301="","door material, ","")&amp;IF($AL301="","face type, ","")&amp;IF($AQ301="","lock prep, ","")&amp;IF(AND($AP301="",$AC301=""),"hinge prep, ",""),"")&amp;IF(AND($BO301&gt;0,$AH301="FRP"),"FRP cannot carry a label, ","")&amp;IF(AND($O301="Y",OR($Z301="L",$Z301="R",$Z301="LR",$Z301="RR")),"pair marked but hand is single, ","")&amp;IF(AND($O301&lt;&gt;"Y",OR($Z301="PR",AND(LEN($Z301)&gt;1,ISNUMBER(SEARCH("-",$Z301))))),"pair hand on a single door, ","")&amp;IF(AND(ISNUMBER($BP301),$BO301&lt;N($BP301)),"wall needs a "&amp;$BP301&amp;" min door, ","")&amp;IF(AND($BO301&gt;=180,AND(OR($BL301="FG",$BL301="HG",$BL301="FNV",$BL301="FV"),N($BM301)*N($BN301)&gt;100)),"180 min lite over 100 sq in, ","")&amp;IF(N($BD301)&gt;48,"leaf wider than 4'-0"&amp;CHAR(34)&amp;", ",""))</f>
        <v/>
      </c>
      <c r="BX301" s="49">
        <f>IF($A301="","",IF(AND($BO301&gt;0,AND($A301&lt;&gt;"",$C301&lt;&gt;"DOOR ONLY"),$X301="KD",$E301="EXTERIOR"),"KD label on an exterior opening, ","")&amp;IF(AND($E301="EXTERIOR",OR(AND(AND($A301&lt;&gt;"",$C301&lt;&gt;"DOOR ONLY"),$W301="CR"),AND(N($BC301)&gt;0,$AH301="CR"))),"exterior in CR steel (G9?), ","")&amp;IF(AND(ISNUMBER($BJ301),N($BJ301)&lt;32),"clear width ~"&amp;TEXT($BJ301,"0.0")&amp;CHAR(34)&amp;" under 32"&amp;CHAR(34)&amp;" (ADA), ","")&amp;IF(AND($BO301=90,AND(OR($BL301="FG",$BL301="HG",$BL301="FNV",$BL301="FV"),N($BM301)*N($BN301)&gt;100)),"90 min lite over 100 sq in (stair/exit), ","")&amp;IF(AND($BO301&gt;0,AND($A301&lt;&gt;"",$C301&lt;&gt;"DOOR ONLY"),OR($AF301="",$AF301="-")),"rated: closer reinf.?, ","")&amp;IF(OR($I301="CORRIDOR",$I301="SMOKE BARRIER"),"S label + smoke gasketing, ","")&amp;IF($BP301="?","wall type/hr not in IBC table, ","")&amp;IF(AND(N($BC301)&gt;0,$AU301=""),"no hardware set, ","")&amp;IF(AND($AU301&lt;&gt;"",ISNA(MATCH($AU301,HWSets,0))),"set "&amp;$AU301&amp;" not on Hardware sheet, ","")&amp;IF(N($BE301)&gt;96,"leaf over 8'-0"&amp;CHAR(34)&amp;" - check listing, ",""))</f>
        <v/>
      </c>
    </row>
    <row r="302" ht="15" customHeight="1">
      <c r="A302" s="44" t="n"/>
      <c r="B302" s="45" t="n"/>
      <c r="C302" s="45" t="n"/>
      <c r="D302" s="45" t="n"/>
      <c r="E302" s="45" t="n"/>
      <c r="F302" s="45" t="n"/>
      <c r="G302" s="45" t="n"/>
      <c r="H302" s="45" t="n"/>
      <c r="I302" s="45" t="n"/>
      <c r="J302" s="45" t="n"/>
      <c r="K302" s="45" t="n"/>
      <c r="L302" s="45" t="n"/>
      <c r="M302" s="45" t="n"/>
      <c r="N302" s="45" t="n"/>
      <c r="O302" s="45" t="n"/>
      <c r="P302" s="45" t="n"/>
      <c r="Q302" s="45" t="n"/>
      <c r="R302" s="45" t="n"/>
      <c r="S302" s="46" t="n"/>
      <c r="T302" s="46" t="n"/>
      <c r="U302" s="46" t="n"/>
      <c r="V302" s="46" t="n"/>
      <c r="W302" s="46" t="n"/>
      <c r="X302" s="46" t="n"/>
      <c r="Y302" s="46" t="n"/>
      <c r="Z302" s="46" t="n"/>
      <c r="AA302" s="46" t="n"/>
      <c r="AB302" s="46" t="n"/>
      <c r="AC302" s="46" t="n"/>
      <c r="AD302" s="46" t="n"/>
      <c r="AE302" s="46" t="n"/>
      <c r="AF302" s="46" t="n"/>
      <c r="AG302" s="46" t="n"/>
      <c r="AH302" s="47" t="n"/>
      <c r="AI302" s="47" t="n"/>
      <c r="AJ302" s="47" t="n"/>
      <c r="AK302" s="47" t="n"/>
      <c r="AL302" s="47" t="n"/>
      <c r="AM302" s="47" t="n"/>
      <c r="AN302" s="47" t="n"/>
      <c r="AO302" s="47" t="n"/>
      <c r="AP302" s="47" t="n"/>
      <c r="AQ302" s="47" t="n"/>
      <c r="AR302" s="47" t="n"/>
      <c r="AS302" s="47" t="n"/>
      <c r="AT302" s="47" t="n"/>
      <c r="AU302" s="48" t="n"/>
      <c r="AV302" s="48" t="n"/>
      <c r="AW302" s="49">
        <f>IF($A302="","",IF($BW302&lt;&gt;"","FIX",IF($BX302&lt;&gt;"","CHECK","OK")))</f>
        <v/>
      </c>
      <c r="AX302" s="50">
        <f>IF($A302="","",IF($BW302&lt;&gt;"","FIX: "&amp;LEFT($BW302,LEN($BW302)-2)&amp;IF($BX302&lt;&gt;"","  ·  ",""),"")&amp;IF($BX302&lt;&gt;"","CHECK: "&amp;LEFT($BX302,LEN($BX302)-2),""))</f>
        <v/>
      </c>
      <c r="AY302" s="49">
        <f>IF(OR($A302="",$K302=""),"",$K302&amp;"'-"&amp;N($L302)&amp;CHAR(34)&amp;" x "&amp;$M302&amp;"'-"&amp;N($N302)&amp;CHAR(34))</f>
        <v/>
      </c>
      <c r="AZ302" s="49">
        <f>IF(OR($A302="",$K302=""),"",$K302&amp;N($L302)&amp;$M302&amp;N($N302))</f>
        <v/>
      </c>
      <c r="BA302" s="49">
        <f>IF(OR($A302="",$K302=""),"",$K302*12+N($L302))</f>
        <v/>
      </c>
      <c r="BB302" s="49">
        <f>IF(OR($A302="",$M302=""),"",$M302*12+N($N302))</f>
        <v/>
      </c>
      <c r="BC302" s="49">
        <f>IF($A302="","",IF(OR($C302="FRAME ONLY",$S302="BL"),0,IF($O302="Y",2,1)))</f>
        <v/>
      </c>
      <c r="BD302" s="51">
        <f>IF(OR(N($BC302)=0,$BA302=""),"",($BA302-2*EdgeClr-IF($BC302=2,MeetClr,0))/$BC302)</f>
        <v/>
      </c>
      <c r="BE302" s="51">
        <f>IF(OR(N($BC302)=0,$BB302=""),"",$BB302-HeadClr-Undercut)</f>
        <v/>
      </c>
      <c r="BF302" s="51">
        <f>IF($BA302="","",$BA302+2*FaceW+IF(N($Q302)&gt;0,($Q302+FaceW)*IF($R302="LR",2,1),0))</f>
        <v/>
      </c>
      <c r="BG302" s="51">
        <f>IF($BB302="","",$BB302+IF($AB302="Y",4,FaceW)+IF(N($P302)&gt;0,$P302+FaceW,0)+IF(OR($S302="4F",$S302="BL"),FaceW,0))</f>
        <v/>
      </c>
      <c r="BH302" s="51">
        <f>IF($BF302="","",$BF302+2*ROSide)</f>
        <v/>
      </c>
      <c r="BI302" s="51">
        <f>IF($BG302="","",$BG302+ROTop)</f>
        <v/>
      </c>
      <c r="BJ302" s="52">
        <f>IF(OR(N($BC302)=0,$BA302=""),"",$BA302/$BC302-ClearDeduct)</f>
        <v/>
      </c>
      <c r="BK302" s="49">
        <f>IF(OR(N($BC302)=0,$BE302=""),"",IF(OR($AC302="HGC",$AP302="HGC"),"CONT",IF($BE302&lt;=60,2,IF($BE302&lt;=90,3,IF($BE302&lt;=120,4,5)))))</f>
        <v/>
      </c>
      <c r="BL302" s="49">
        <f>IF(N($BC302)=0,"",IF(OR($AL302="",$AL302="FLUSH"),"FLUSH",IFERROR(LEFT($AL302,FIND("-",$AL302)-1),LEFT($AL302,2))))</f>
        <v/>
      </c>
      <c r="BM302" s="49">
        <f>IF($BL302="","",IFERROR(VALUE(MID($AL302,FIND("-",$AL302)+1,FIND(CHAR(34)&amp;"x",$AL302)-FIND("-",$AL302)-1)),0))</f>
        <v/>
      </c>
      <c r="BN302" s="49">
        <f>IF($BL302="","",IFERROR(VALUE(MID($AL302,FIND(CHAR(34)&amp;"x",$AL302)+2,FIND(CHAR(34),$AL302,FIND(CHAR(34)&amp;"x",$AL302)+2)-FIND(CHAR(34)&amp;"x",$AL302)-2)),0))</f>
        <v/>
      </c>
      <c r="BO302" s="53">
        <f>IF(OR($A302="",$H302="",$H302="NO LAB"),0,IFERROR(VALUE(LEFT($H302,FIND(" ",$H302)-1)),0))</f>
        <v/>
      </c>
      <c r="BP302" s="54">
        <f>IF(OR($A302="",$I302="",$I302="NON-RATED",N($J302)=0),"",IFERROR(VLOOKUP($I302&amp;"|"&amp;$J302,IBC,2,FALSE),"?"))</f>
        <v/>
      </c>
      <c r="BQ302" s="50">
        <f>IF(NOT(AND($A302&lt;&gt;"",$C302&lt;&gt;"DOOR ONLY")),"",TRIM(IFERROR(VLOOKUP($U302,CODES,2,FALSE),"")&amp;" "&amp;$AZ302&amp;" "&amp;IFERROR(VLOOKUP($Z302,CODES,2,FALSE),"")&amp;" "&amp;IFERROR(VLOOKUP($X302,CODES,2,FALSE),"")&amp;" "&amp;IFERROR(VLOOKUP($S302,CODES,2,FALSE),"")&amp;IF(N($P302)&gt;0," w/TRANSOM "&amp;$P302&amp;CHAR(34),"")&amp;IF(N($Q302)&gt;0," w/SIDELITE "&amp;$Q302&amp;CHAR(34)&amp;" "&amp;IF($R302="","R",$R302),"")&amp;IF($Y302="","  |  "," | "&amp;IFERROR(VLOOKUP($Y302,CODES,2,FALSE),"")&amp;" | ")&amp;IFERROR(VLOOKUP($AC302,CODES,2,FALSE),"")&amp;" "&amp;IFERROR(VLOOKUP($AD302,CODES,2,FALSE),"")&amp;IF(OR($AE302="",$AE302="-"),""," "&amp;$AE302)&amp;IF(OR($AF302="",$AF302="-"),""," "&amp;$AF302)&amp;IF($AB302="Y"," 4"&amp;CHAR(34)&amp;" HEAD","")&amp;" "&amp;IFERROR(VLOOKUP($H302,CODES,2,FALSE),"")))</f>
        <v/>
      </c>
      <c r="BR302" s="50">
        <f>IF(NOT(AND($A302&lt;&gt;"",N($BC302)&gt;0)),"",TRIM(IFERROR(VLOOKUP($AH302,CODES,2,FALSE),"")&amp;IF($AI302=""," "," "&amp;$AI302&amp;"GA ")&amp;$AZ302&amp;" "&amp;IF($AN302="",IFERROR(VLOOKUP($Z302,CODES,2,FALSE),""),IFERROR(VLOOKUP($AN302,CODES,2,FALSE),""))&amp;IF($BC302=2," PAIR","")&amp;" DOOR | "&amp;IF($AL302="","?",$AL302)&amp;" | "&amp;IF($AP302="",IFERROR(VLOOKUP($AC302,CODES,2,FALSE),""),IFERROR(VLOOKUP($AP302,CODES,2,FALSE),""))&amp;" "&amp;IFERROR(VLOOKUP($AQ302,CODES,2,FALSE),"")&amp;IF(OR($AR302="",$AR302="-"),""," SEAM "&amp;$AR302)&amp;IF($AS302="Y"," ASTRAGAL","")&amp;IF($AJ302=""," "," "&amp;$AJ302)&amp;IF($AK302=""," "," "&amp;$AK302)&amp;IF($AO302="",""," "&amp;$AO302)&amp;IF($AM302=""," "," SERIES "&amp;$AM302)&amp;" "&amp;IFERROR(VLOOKUP($H302,CODES,2,FALSE),"")))</f>
        <v/>
      </c>
      <c r="BS302" s="49">
        <f>IF(BV302="","",IF(COUNTIF($BV$6:BV302,BV302)=1,MAX($BS$5:BS301)+1,INDEX($BS$5:BS301,MATCH(BV302,$BV$5:BV301,0))))</f>
        <v/>
      </c>
      <c r="BT302" s="49">
        <f>IF(NOT(AND($A302&lt;&gt;"",$C302&lt;&gt;"DOOR ONLY")),"",MAX($BT$5:BT301)+1)</f>
        <v/>
      </c>
      <c r="BU302" s="49">
        <f>IF(NOT(AND($A302&lt;&gt;"",N($BC302)&gt;0)),"",MAX($BU$5:BU301)+1)</f>
        <v/>
      </c>
      <c r="BV302" s="49">
        <f>IF(OR($A302="",$BA302="",$BB302=""),"",$AZ302&amp;"|"&amp;$O302&amp;"|"&amp;$AL302&amp;"|"&amp;$S302&amp;"|"&amp;$P302&amp;"|"&amp;$Q302&amp;$R302&amp;"|"&amp;$C302&amp;"|"&amp;$AB302)</f>
        <v/>
      </c>
      <c r="BW302" s="49">
        <f>IF($A302="","",IF($B302="","qty, ","")&amp;IF($C302="","scope, ","")&amp;IF(OR($K302="",$M302=""),"size, ","")&amp;IF(AND($A302&lt;&gt;"",$C302&lt;&gt;"DOOR ONLY"),IF($U302="","jamb depth, ","")&amp;IF($X302="","construction, ","")&amp;IF($Y302="","anchor, ","")&amp;IF($S302="","frame type, ",""),"")&amp;IF(AND(N($BC302)&gt;0,$Z302=""),"hand, ","")&amp;IF(N($BC302)&gt;0,IF($AH302="","door material, ","")&amp;IF($AL302="","face type, ","")&amp;IF($AQ302="","lock prep, ","")&amp;IF(AND($AP302="",$AC302=""),"hinge prep, ",""),"")&amp;IF(AND($BO302&gt;0,$AH302="FRP"),"FRP cannot carry a label, ","")&amp;IF(AND($O302="Y",OR($Z302="L",$Z302="R",$Z302="LR",$Z302="RR")),"pair marked but hand is single, ","")&amp;IF(AND($O302&lt;&gt;"Y",OR($Z302="PR",AND(LEN($Z302)&gt;1,ISNUMBER(SEARCH("-",$Z302))))),"pair hand on a single door, ","")&amp;IF(AND(ISNUMBER($BP302),$BO302&lt;N($BP302)),"wall needs a "&amp;$BP302&amp;" min door, ","")&amp;IF(AND($BO302&gt;=180,AND(OR($BL302="FG",$BL302="HG",$BL302="FNV",$BL302="FV"),N($BM302)*N($BN302)&gt;100)),"180 min lite over 100 sq in, ","")&amp;IF(N($BD302)&gt;48,"leaf wider than 4'-0"&amp;CHAR(34)&amp;", ",""))</f>
        <v/>
      </c>
      <c r="BX302" s="49">
        <f>IF($A302="","",IF(AND($BO302&gt;0,AND($A302&lt;&gt;"",$C302&lt;&gt;"DOOR ONLY"),$X302="KD",$E302="EXTERIOR"),"KD label on an exterior opening, ","")&amp;IF(AND($E302="EXTERIOR",OR(AND(AND($A302&lt;&gt;"",$C302&lt;&gt;"DOOR ONLY"),$W302="CR"),AND(N($BC302)&gt;0,$AH302="CR"))),"exterior in CR steel (G9?), ","")&amp;IF(AND(ISNUMBER($BJ302),N($BJ302)&lt;32),"clear width ~"&amp;TEXT($BJ302,"0.0")&amp;CHAR(34)&amp;" under 32"&amp;CHAR(34)&amp;" (ADA), ","")&amp;IF(AND($BO302=90,AND(OR($BL302="FG",$BL302="HG",$BL302="FNV",$BL302="FV"),N($BM302)*N($BN302)&gt;100)),"90 min lite over 100 sq in (stair/exit), ","")&amp;IF(AND($BO302&gt;0,AND($A302&lt;&gt;"",$C302&lt;&gt;"DOOR ONLY"),OR($AF302="",$AF302="-")),"rated: closer reinf.?, ","")&amp;IF(OR($I302="CORRIDOR",$I302="SMOKE BARRIER"),"S label + smoke gasketing, ","")&amp;IF($BP302="?","wall type/hr not in IBC table, ","")&amp;IF(AND(N($BC302)&gt;0,$AU302=""),"no hardware set, ","")&amp;IF(AND($AU302&lt;&gt;"",ISNA(MATCH($AU302,HWSets,0))),"set "&amp;$AU302&amp;" not on Hardware sheet, ","")&amp;IF(N($BE302)&gt;96,"leaf over 8'-0"&amp;CHAR(34)&amp;" - check listing, ",""))</f>
        <v/>
      </c>
    </row>
    <row r="303" ht="15" customHeight="1">
      <c r="A303" s="44" t="n"/>
      <c r="B303" s="45" t="n"/>
      <c r="C303" s="45" t="n"/>
      <c r="D303" s="45" t="n"/>
      <c r="E303" s="45" t="n"/>
      <c r="F303" s="45" t="n"/>
      <c r="G303" s="45" t="n"/>
      <c r="H303" s="45" t="n"/>
      <c r="I303" s="45" t="n"/>
      <c r="J303" s="45" t="n"/>
      <c r="K303" s="45" t="n"/>
      <c r="L303" s="45" t="n"/>
      <c r="M303" s="45" t="n"/>
      <c r="N303" s="45" t="n"/>
      <c r="O303" s="45" t="n"/>
      <c r="P303" s="45" t="n"/>
      <c r="Q303" s="45" t="n"/>
      <c r="R303" s="45" t="n"/>
      <c r="S303" s="46" t="n"/>
      <c r="T303" s="46" t="n"/>
      <c r="U303" s="46" t="n"/>
      <c r="V303" s="46" t="n"/>
      <c r="W303" s="46" t="n"/>
      <c r="X303" s="46" t="n"/>
      <c r="Y303" s="46" t="n"/>
      <c r="Z303" s="46" t="n"/>
      <c r="AA303" s="46" t="n"/>
      <c r="AB303" s="46" t="n"/>
      <c r="AC303" s="46" t="n"/>
      <c r="AD303" s="46" t="n"/>
      <c r="AE303" s="46" t="n"/>
      <c r="AF303" s="46" t="n"/>
      <c r="AG303" s="46" t="n"/>
      <c r="AH303" s="47" t="n"/>
      <c r="AI303" s="47" t="n"/>
      <c r="AJ303" s="47" t="n"/>
      <c r="AK303" s="47" t="n"/>
      <c r="AL303" s="47" t="n"/>
      <c r="AM303" s="47" t="n"/>
      <c r="AN303" s="47" t="n"/>
      <c r="AO303" s="47" t="n"/>
      <c r="AP303" s="47" t="n"/>
      <c r="AQ303" s="47" t="n"/>
      <c r="AR303" s="47" t="n"/>
      <c r="AS303" s="47" t="n"/>
      <c r="AT303" s="47" t="n"/>
      <c r="AU303" s="48" t="n"/>
      <c r="AV303" s="48" t="n"/>
      <c r="AW303" s="49">
        <f>IF($A303="","",IF($BW303&lt;&gt;"","FIX",IF($BX303&lt;&gt;"","CHECK","OK")))</f>
        <v/>
      </c>
      <c r="AX303" s="50">
        <f>IF($A303="","",IF($BW303&lt;&gt;"","FIX: "&amp;LEFT($BW303,LEN($BW303)-2)&amp;IF($BX303&lt;&gt;"","  ·  ",""),"")&amp;IF($BX303&lt;&gt;"","CHECK: "&amp;LEFT($BX303,LEN($BX303)-2),""))</f>
        <v/>
      </c>
      <c r="AY303" s="49">
        <f>IF(OR($A303="",$K303=""),"",$K303&amp;"'-"&amp;N($L303)&amp;CHAR(34)&amp;" x "&amp;$M303&amp;"'-"&amp;N($N303)&amp;CHAR(34))</f>
        <v/>
      </c>
      <c r="AZ303" s="49">
        <f>IF(OR($A303="",$K303=""),"",$K303&amp;N($L303)&amp;$M303&amp;N($N303))</f>
        <v/>
      </c>
      <c r="BA303" s="49">
        <f>IF(OR($A303="",$K303=""),"",$K303*12+N($L303))</f>
        <v/>
      </c>
      <c r="BB303" s="49">
        <f>IF(OR($A303="",$M303=""),"",$M303*12+N($N303))</f>
        <v/>
      </c>
      <c r="BC303" s="49">
        <f>IF($A303="","",IF(OR($C303="FRAME ONLY",$S303="BL"),0,IF($O303="Y",2,1)))</f>
        <v/>
      </c>
      <c r="BD303" s="51">
        <f>IF(OR(N($BC303)=0,$BA303=""),"",($BA303-2*EdgeClr-IF($BC303=2,MeetClr,0))/$BC303)</f>
        <v/>
      </c>
      <c r="BE303" s="51">
        <f>IF(OR(N($BC303)=0,$BB303=""),"",$BB303-HeadClr-Undercut)</f>
        <v/>
      </c>
      <c r="BF303" s="51">
        <f>IF($BA303="","",$BA303+2*FaceW+IF(N($Q303)&gt;0,($Q303+FaceW)*IF($R303="LR",2,1),0))</f>
        <v/>
      </c>
      <c r="BG303" s="51">
        <f>IF($BB303="","",$BB303+IF($AB303="Y",4,FaceW)+IF(N($P303)&gt;0,$P303+FaceW,0)+IF(OR($S303="4F",$S303="BL"),FaceW,0))</f>
        <v/>
      </c>
      <c r="BH303" s="51">
        <f>IF($BF303="","",$BF303+2*ROSide)</f>
        <v/>
      </c>
      <c r="BI303" s="51">
        <f>IF($BG303="","",$BG303+ROTop)</f>
        <v/>
      </c>
      <c r="BJ303" s="52">
        <f>IF(OR(N($BC303)=0,$BA303=""),"",$BA303/$BC303-ClearDeduct)</f>
        <v/>
      </c>
      <c r="BK303" s="49">
        <f>IF(OR(N($BC303)=0,$BE303=""),"",IF(OR($AC303="HGC",$AP303="HGC"),"CONT",IF($BE303&lt;=60,2,IF($BE303&lt;=90,3,IF($BE303&lt;=120,4,5)))))</f>
        <v/>
      </c>
      <c r="BL303" s="49">
        <f>IF(N($BC303)=0,"",IF(OR($AL303="",$AL303="FLUSH"),"FLUSH",IFERROR(LEFT($AL303,FIND("-",$AL303)-1),LEFT($AL303,2))))</f>
        <v/>
      </c>
      <c r="BM303" s="49">
        <f>IF($BL303="","",IFERROR(VALUE(MID($AL303,FIND("-",$AL303)+1,FIND(CHAR(34)&amp;"x",$AL303)-FIND("-",$AL303)-1)),0))</f>
        <v/>
      </c>
      <c r="BN303" s="49">
        <f>IF($BL303="","",IFERROR(VALUE(MID($AL303,FIND(CHAR(34)&amp;"x",$AL303)+2,FIND(CHAR(34),$AL303,FIND(CHAR(34)&amp;"x",$AL303)+2)-FIND(CHAR(34)&amp;"x",$AL303)-2)),0))</f>
        <v/>
      </c>
      <c r="BO303" s="53">
        <f>IF(OR($A303="",$H303="",$H303="NO LAB"),0,IFERROR(VALUE(LEFT($H303,FIND(" ",$H303)-1)),0))</f>
        <v/>
      </c>
      <c r="BP303" s="54">
        <f>IF(OR($A303="",$I303="",$I303="NON-RATED",N($J303)=0),"",IFERROR(VLOOKUP($I303&amp;"|"&amp;$J303,IBC,2,FALSE),"?"))</f>
        <v/>
      </c>
      <c r="BQ303" s="50">
        <f>IF(NOT(AND($A303&lt;&gt;"",$C303&lt;&gt;"DOOR ONLY")),"",TRIM(IFERROR(VLOOKUP($U303,CODES,2,FALSE),"")&amp;" "&amp;$AZ303&amp;" "&amp;IFERROR(VLOOKUP($Z303,CODES,2,FALSE),"")&amp;" "&amp;IFERROR(VLOOKUP($X303,CODES,2,FALSE),"")&amp;" "&amp;IFERROR(VLOOKUP($S303,CODES,2,FALSE),"")&amp;IF(N($P303)&gt;0," w/TRANSOM "&amp;$P303&amp;CHAR(34),"")&amp;IF(N($Q303)&gt;0," w/SIDELITE "&amp;$Q303&amp;CHAR(34)&amp;" "&amp;IF($R303="","R",$R303),"")&amp;IF($Y303="","  |  "," | "&amp;IFERROR(VLOOKUP($Y303,CODES,2,FALSE),"")&amp;" | ")&amp;IFERROR(VLOOKUP($AC303,CODES,2,FALSE),"")&amp;" "&amp;IFERROR(VLOOKUP($AD303,CODES,2,FALSE),"")&amp;IF(OR($AE303="",$AE303="-"),""," "&amp;$AE303)&amp;IF(OR($AF303="",$AF303="-"),""," "&amp;$AF303)&amp;IF($AB303="Y"," 4"&amp;CHAR(34)&amp;" HEAD","")&amp;" "&amp;IFERROR(VLOOKUP($H303,CODES,2,FALSE),"")))</f>
        <v/>
      </c>
      <c r="BR303" s="50">
        <f>IF(NOT(AND($A303&lt;&gt;"",N($BC303)&gt;0)),"",TRIM(IFERROR(VLOOKUP($AH303,CODES,2,FALSE),"")&amp;IF($AI303=""," "," "&amp;$AI303&amp;"GA ")&amp;$AZ303&amp;" "&amp;IF($AN303="",IFERROR(VLOOKUP($Z303,CODES,2,FALSE),""),IFERROR(VLOOKUP($AN303,CODES,2,FALSE),""))&amp;IF($BC303=2," PAIR","")&amp;" DOOR | "&amp;IF($AL303="","?",$AL303)&amp;" | "&amp;IF($AP303="",IFERROR(VLOOKUP($AC303,CODES,2,FALSE),""),IFERROR(VLOOKUP($AP303,CODES,2,FALSE),""))&amp;" "&amp;IFERROR(VLOOKUP($AQ303,CODES,2,FALSE),"")&amp;IF(OR($AR303="",$AR303="-"),""," SEAM "&amp;$AR303)&amp;IF($AS303="Y"," ASTRAGAL","")&amp;IF($AJ303=""," "," "&amp;$AJ303)&amp;IF($AK303=""," "," "&amp;$AK303)&amp;IF($AO303="",""," "&amp;$AO303)&amp;IF($AM303=""," "," SERIES "&amp;$AM303)&amp;" "&amp;IFERROR(VLOOKUP($H303,CODES,2,FALSE),"")))</f>
        <v/>
      </c>
      <c r="BS303" s="49">
        <f>IF(BV303="","",IF(COUNTIF($BV$6:BV303,BV303)=1,MAX($BS$5:BS302)+1,INDEX($BS$5:BS302,MATCH(BV303,$BV$5:BV302,0))))</f>
        <v/>
      </c>
      <c r="BT303" s="49">
        <f>IF(NOT(AND($A303&lt;&gt;"",$C303&lt;&gt;"DOOR ONLY")),"",MAX($BT$5:BT302)+1)</f>
        <v/>
      </c>
      <c r="BU303" s="49">
        <f>IF(NOT(AND($A303&lt;&gt;"",N($BC303)&gt;0)),"",MAX($BU$5:BU302)+1)</f>
        <v/>
      </c>
      <c r="BV303" s="49">
        <f>IF(OR($A303="",$BA303="",$BB303=""),"",$AZ303&amp;"|"&amp;$O303&amp;"|"&amp;$AL303&amp;"|"&amp;$S303&amp;"|"&amp;$P303&amp;"|"&amp;$Q303&amp;$R303&amp;"|"&amp;$C303&amp;"|"&amp;$AB303)</f>
        <v/>
      </c>
      <c r="BW303" s="49">
        <f>IF($A303="","",IF($B303="","qty, ","")&amp;IF($C303="","scope, ","")&amp;IF(OR($K303="",$M303=""),"size, ","")&amp;IF(AND($A303&lt;&gt;"",$C303&lt;&gt;"DOOR ONLY"),IF($U303="","jamb depth, ","")&amp;IF($X303="","construction, ","")&amp;IF($Y303="","anchor, ","")&amp;IF($S303="","frame type, ",""),"")&amp;IF(AND(N($BC303)&gt;0,$Z303=""),"hand, ","")&amp;IF(N($BC303)&gt;0,IF($AH303="","door material, ","")&amp;IF($AL303="","face type, ","")&amp;IF($AQ303="","lock prep, ","")&amp;IF(AND($AP303="",$AC303=""),"hinge prep, ",""),"")&amp;IF(AND($BO303&gt;0,$AH303="FRP"),"FRP cannot carry a label, ","")&amp;IF(AND($O303="Y",OR($Z303="L",$Z303="R",$Z303="LR",$Z303="RR")),"pair marked but hand is single, ","")&amp;IF(AND($O303&lt;&gt;"Y",OR($Z303="PR",AND(LEN($Z303)&gt;1,ISNUMBER(SEARCH("-",$Z303))))),"pair hand on a single door, ","")&amp;IF(AND(ISNUMBER($BP303),$BO303&lt;N($BP303)),"wall needs a "&amp;$BP303&amp;" min door, ","")&amp;IF(AND($BO303&gt;=180,AND(OR($BL303="FG",$BL303="HG",$BL303="FNV",$BL303="FV"),N($BM303)*N($BN303)&gt;100)),"180 min lite over 100 sq in, ","")&amp;IF(N($BD303)&gt;48,"leaf wider than 4'-0"&amp;CHAR(34)&amp;", ",""))</f>
        <v/>
      </c>
      <c r="BX303" s="49">
        <f>IF($A303="","",IF(AND($BO303&gt;0,AND($A303&lt;&gt;"",$C303&lt;&gt;"DOOR ONLY"),$X303="KD",$E303="EXTERIOR"),"KD label on an exterior opening, ","")&amp;IF(AND($E303="EXTERIOR",OR(AND(AND($A303&lt;&gt;"",$C303&lt;&gt;"DOOR ONLY"),$W303="CR"),AND(N($BC303)&gt;0,$AH303="CR"))),"exterior in CR steel (G9?), ","")&amp;IF(AND(ISNUMBER($BJ303),N($BJ303)&lt;32),"clear width ~"&amp;TEXT($BJ303,"0.0")&amp;CHAR(34)&amp;" under 32"&amp;CHAR(34)&amp;" (ADA), ","")&amp;IF(AND($BO303=90,AND(OR($BL303="FG",$BL303="HG",$BL303="FNV",$BL303="FV"),N($BM303)*N($BN303)&gt;100)),"90 min lite over 100 sq in (stair/exit), ","")&amp;IF(AND($BO303&gt;0,AND($A303&lt;&gt;"",$C303&lt;&gt;"DOOR ONLY"),OR($AF303="",$AF303="-")),"rated: closer reinf.?, ","")&amp;IF(OR($I303="CORRIDOR",$I303="SMOKE BARRIER"),"S label + smoke gasketing, ","")&amp;IF($BP303="?","wall type/hr not in IBC table, ","")&amp;IF(AND(N($BC303)&gt;0,$AU303=""),"no hardware set, ","")&amp;IF(AND($AU303&lt;&gt;"",ISNA(MATCH($AU303,HWSets,0))),"set "&amp;$AU303&amp;" not on Hardware sheet, ","")&amp;IF(N($BE303)&gt;96,"leaf over 8'-0"&amp;CHAR(34)&amp;" - check listing, ",""))</f>
        <v/>
      </c>
    </row>
    <row r="304" ht="15" customHeight="1">
      <c r="A304" s="44" t="n"/>
      <c r="B304" s="45" t="n"/>
      <c r="C304" s="45" t="n"/>
      <c r="D304" s="45" t="n"/>
      <c r="E304" s="45" t="n"/>
      <c r="F304" s="45" t="n"/>
      <c r="G304" s="45" t="n"/>
      <c r="H304" s="45" t="n"/>
      <c r="I304" s="45" t="n"/>
      <c r="J304" s="45" t="n"/>
      <c r="K304" s="45" t="n"/>
      <c r="L304" s="45" t="n"/>
      <c r="M304" s="45" t="n"/>
      <c r="N304" s="45" t="n"/>
      <c r="O304" s="45" t="n"/>
      <c r="P304" s="45" t="n"/>
      <c r="Q304" s="45" t="n"/>
      <c r="R304" s="45" t="n"/>
      <c r="S304" s="46" t="n"/>
      <c r="T304" s="46" t="n"/>
      <c r="U304" s="46" t="n"/>
      <c r="V304" s="46" t="n"/>
      <c r="W304" s="46" t="n"/>
      <c r="X304" s="46" t="n"/>
      <c r="Y304" s="46" t="n"/>
      <c r="Z304" s="46" t="n"/>
      <c r="AA304" s="46" t="n"/>
      <c r="AB304" s="46" t="n"/>
      <c r="AC304" s="46" t="n"/>
      <c r="AD304" s="46" t="n"/>
      <c r="AE304" s="46" t="n"/>
      <c r="AF304" s="46" t="n"/>
      <c r="AG304" s="46" t="n"/>
      <c r="AH304" s="47" t="n"/>
      <c r="AI304" s="47" t="n"/>
      <c r="AJ304" s="47" t="n"/>
      <c r="AK304" s="47" t="n"/>
      <c r="AL304" s="47" t="n"/>
      <c r="AM304" s="47" t="n"/>
      <c r="AN304" s="47" t="n"/>
      <c r="AO304" s="47" t="n"/>
      <c r="AP304" s="47" t="n"/>
      <c r="AQ304" s="47" t="n"/>
      <c r="AR304" s="47" t="n"/>
      <c r="AS304" s="47" t="n"/>
      <c r="AT304" s="47" t="n"/>
      <c r="AU304" s="48" t="n"/>
      <c r="AV304" s="48" t="n"/>
      <c r="AW304" s="49">
        <f>IF($A304="","",IF($BW304&lt;&gt;"","FIX",IF($BX304&lt;&gt;"","CHECK","OK")))</f>
        <v/>
      </c>
      <c r="AX304" s="50">
        <f>IF($A304="","",IF($BW304&lt;&gt;"","FIX: "&amp;LEFT($BW304,LEN($BW304)-2)&amp;IF($BX304&lt;&gt;"","  ·  ",""),"")&amp;IF($BX304&lt;&gt;"","CHECK: "&amp;LEFT($BX304,LEN($BX304)-2),""))</f>
        <v/>
      </c>
      <c r="AY304" s="49">
        <f>IF(OR($A304="",$K304=""),"",$K304&amp;"'-"&amp;N($L304)&amp;CHAR(34)&amp;" x "&amp;$M304&amp;"'-"&amp;N($N304)&amp;CHAR(34))</f>
        <v/>
      </c>
      <c r="AZ304" s="49">
        <f>IF(OR($A304="",$K304=""),"",$K304&amp;N($L304)&amp;$M304&amp;N($N304))</f>
        <v/>
      </c>
      <c r="BA304" s="49">
        <f>IF(OR($A304="",$K304=""),"",$K304*12+N($L304))</f>
        <v/>
      </c>
      <c r="BB304" s="49">
        <f>IF(OR($A304="",$M304=""),"",$M304*12+N($N304))</f>
        <v/>
      </c>
      <c r="BC304" s="49">
        <f>IF($A304="","",IF(OR($C304="FRAME ONLY",$S304="BL"),0,IF($O304="Y",2,1)))</f>
        <v/>
      </c>
      <c r="BD304" s="51">
        <f>IF(OR(N($BC304)=0,$BA304=""),"",($BA304-2*EdgeClr-IF($BC304=2,MeetClr,0))/$BC304)</f>
        <v/>
      </c>
      <c r="BE304" s="51">
        <f>IF(OR(N($BC304)=0,$BB304=""),"",$BB304-HeadClr-Undercut)</f>
        <v/>
      </c>
      <c r="BF304" s="51">
        <f>IF($BA304="","",$BA304+2*FaceW+IF(N($Q304)&gt;0,($Q304+FaceW)*IF($R304="LR",2,1),0))</f>
        <v/>
      </c>
      <c r="BG304" s="51">
        <f>IF($BB304="","",$BB304+IF($AB304="Y",4,FaceW)+IF(N($P304)&gt;0,$P304+FaceW,0)+IF(OR($S304="4F",$S304="BL"),FaceW,0))</f>
        <v/>
      </c>
      <c r="BH304" s="51">
        <f>IF($BF304="","",$BF304+2*ROSide)</f>
        <v/>
      </c>
      <c r="BI304" s="51">
        <f>IF($BG304="","",$BG304+ROTop)</f>
        <v/>
      </c>
      <c r="BJ304" s="52">
        <f>IF(OR(N($BC304)=0,$BA304=""),"",$BA304/$BC304-ClearDeduct)</f>
        <v/>
      </c>
      <c r="BK304" s="49">
        <f>IF(OR(N($BC304)=0,$BE304=""),"",IF(OR($AC304="HGC",$AP304="HGC"),"CONT",IF($BE304&lt;=60,2,IF($BE304&lt;=90,3,IF($BE304&lt;=120,4,5)))))</f>
        <v/>
      </c>
      <c r="BL304" s="49">
        <f>IF(N($BC304)=0,"",IF(OR($AL304="",$AL304="FLUSH"),"FLUSH",IFERROR(LEFT($AL304,FIND("-",$AL304)-1),LEFT($AL304,2))))</f>
        <v/>
      </c>
      <c r="BM304" s="49">
        <f>IF($BL304="","",IFERROR(VALUE(MID($AL304,FIND("-",$AL304)+1,FIND(CHAR(34)&amp;"x",$AL304)-FIND("-",$AL304)-1)),0))</f>
        <v/>
      </c>
      <c r="BN304" s="49">
        <f>IF($BL304="","",IFERROR(VALUE(MID($AL304,FIND(CHAR(34)&amp;"x",$AL304)+2,FIND(CHAR(34),$AL304,FIND(CHAR(34)&amp;"x",$AL304)+2)-FIND(CHAR(34)&amp;"x",$AL304)-2)),0))</f>
        <v/>
      </c>
      <c r="BO304" s="53">
        <f>IF(OR($A304="",$H304="",$H304="NO LAB"),0,IFERROR(VALUE(LEFT($H304,FIND(" ",$H304)-1)),0))</f>
        <v/>
      </c>
      <c r="BP304" s="54">
        <f>IF(OR($A304="",$I304="",$I304="NON-RATED",N($J304)=0),"",IFERROR(VLOOKUP($I304&amp;"|"&amp;$J304,IBC,2,FALSE),"?"))</f>
        <v/>
      </c>
      <c r="BQ304" s="50">
        <f>IF(NOT(AND($A304&lt;&gt;"",$C304&lt;&gt;"DOOR ONLY")),"",TRIM(IFERROR(VLOOKUP($U304,CODES,2,FALSE),"")&amp;" "&amp;$AZ304&amp;" "&amp;IFERROR(VLOOKUP($Z304,CODES,2,FALSE),"")&amp;" "&amp;IFERROR(VLOOKUP($X304,CODES,2,FALSE),"")&amp;" "&amp;IFERROR(VLOOKUP($S304,CODES,2,FALSE),"")&amp;IF(N($P304)&gt;0," w/TRANSOM "&amp;$P304&amp;CHAR(34),"")&amp;IF(N($Q304)&gt;0," w/SIDELITE "&amp;$Q304&amp;CHAR(34)&amp;" "&amp;IF($R304="","R",$R304),"")&amp;IF($Y304="","  |  "," | "&amp;IFERROR(VLOOKUP($Y304,CODES,2,FALSE),"")&amp;" | ")&amp;IFERROR(VLOOKUP($AC304,CODES,2,FALSE),"")&amp;" "&amp;IFERROR(VLOOKUP($AD304,CODES,2,FALSE),"")&amp;IF(OR($AE304="",$AE304="-"),""," "&amp;$AE304)&amp;IF(OR($AF304="",$AF304="-"),""," "&amp;$AF304)&amp;IF($AB304="Y"," 4"&amp;CHAR(34)&amp;" HEAD","")&amp;" "&amp;IFERROR(VLOOKUP($H304,CODES,2,FALSE),"")))</f>
        <v/>
      </c>
      <c r="BR304" s="50">
        <f>IF(NOT(AND($A304&lt;&gt;"",N($BC304)&gt;0)),"",TRIM(IFERROR(VLOOKUP($AH304,CODES,2,FALSE),"")&amp;IF($AI304=""," "," "&amp;$AI304&amp;"GA ")&amp;$AZ304&amp;" "&amp;IF($AN304="",IFERROR(VLOOKUP($Z304,CODES,2,FALSE),""),IFERROR(VLOOKUP($AN304,CODES,2,FALSE),""))&amp;IF($BC304=2," PAIR","")&amp;" DOOR | "&amp;IF($AL304="","?",$AL304)&amp;" | "&amp;IF($AP304="",IFERROR(VLOOKUP($AC304,CODES,2,FALSE),""),IFERROR(VLOOKUP($AP304,CODES,2,FALSE),""))&amp;" "&amp;IFERROR(VLOOKUP($AQ304,CODES,2,FALSE),"")&amp;IF(OR($AR304="",$AR304="-"),""," SEAM "&amp;$AR304)&amp;IF($AS304="Y"," ASTRAGAL","")&amp;IF($AJ304=""," "," "&amp;$AJ304)&amp;IF($AK304=""," "," "&amp;$AK304)&amp;IF($AO304="",""," "&amp;$AO304)&amp;IF($AM304=""," "," SERIES "&amp;$AM304)&amp;" "&amp;IFERROR(VLOOKUP($H304,CODES,2,FALSE),"")))</f>
        <v/>
      </c>
      <c r="BS304" s="49">
        <f>IF(BV304="","",IF(COUNTIF($BV$6:BV304,BV304)=1,MAX($BS$5:BS303)+1,INDEX($BS$5:BS303,MATCH(BV304,$BV$5:BV303,0))))</f>
        <v/>
      </c>
      <c r="BT304" s="49">
        <f>IF(NOT(AND($A304&lt;&gt;"",$C304&lt;&gt;"DOOR ONLY")),"",MAX($BT$5:BT303)+1)</f>
        <v/>
      </c>
      <c r="BU304" s="49">
        <f>IF(NOT(AND($A304&lt;&gt;"",N($BC304)&gt;0)),"",MAX($BU$5:BU303)+1)</f>
        <v/>
      </c>
      <c r="BV304" s="49">
        <f>IF(OR($A304="",$BA304="",$BB304=""),"",$AZ304&amp;"|"&amp;$O304&amp;"|"&amp;$AL304&amp;"|"&amp;$S304&amp;"|"&amp;$P304&amp;"|"&amp;$Q304&amp;$R304&amp;"|"&amp;$C304&amp;"|"&amp;$AB304)</f>
        <v/>
      </c>
      <c r="BW304" s="49">
        <f>IF($A304="","",IF($B304="","qty, ","")&amp;IF($C304="","scope, ","")&amp;IF(OR($K304="",$M304=""),"size, ","")&amp;IF(AND($A304&lt;&gt;"",$C304&lt;&gt;"DOOR ONLY"),IF($U304="","jamb depth, ","")&amp;IF($X304="","construction, ","")&amp;IF($Y304="","anchor, ","")&amp;IF($S304="","frame type, ",""),"")&amp;IF(AND(N($BC304)&gt;0,$Z304=""),"hand, ","")&amp;IF(N($BC304)&gt;0,IF($AH304="","door material, ","")&amp;IF($AL304="","face type, ","")&amp;IF($AQ304="","lock prep, ","")&amp;IF(AND($AP304="",$AC304=""),"hinge prep, ",""),"")&amp;IF(AND($BO304&gt;0,$AH304="FRP"),"FRP cannot carry a label, ","")&amp;IF(AND($O304="Y",OR($Z304="L",$Z304="R",$Z304="LR",$Z304="RR")),"pair marked but hand is single, ","")&amp;IF(AND($O304&lt;&gt;"Y",OR($Z304="PR",AND(LEN($Z304)&gt;1,ISNUMBER(SEARCH("-",$Z304))))),"pair hand on a single door, ","")&amp;IF(AND(ISNUMBER($BP304),$BO304&lt;N($BP304)),"wall needs a "&amp;$BP304&amp;" min door, ","")&amp;IF(AND($BO304&gt;=180,AND(OR($BL304="FG",$BL304="HG",$BL304="FNV",$BL304="FV"),N($BM304)*N($BN304)&gt;100)),"180 min lite over 100 sq in, ","")&amp;IF(N($BD304)&gt;48,"leaf wider than 4'-0"&amp;CHAR(34)&amp;", ",""))</f>
        <v/>
      </c>
      <c r="BX304" s="49">
        <f>IF($A304="","",IF(AND($BO304&gt;0,AND($A304&lt;&gt;"",$C304&lt;&gt;"DOOR ONLY"),$X304="KD",$E304="EXTERIOR"),"KD label on an exterior opening, ","")&amp;IF(AND($E304="EXTERIOR",OR(AND(AND($A304&lt;&gt;"",$C304&lt;&gt;"DOOR ONLY"),$W304="CR"),AND(N($BC304)&gt;0,$AH304="CR"))),"exterior in CR steel (G9?), ","")&amp;IF(AND(ISNUMBER($BJ304),N($BJ304)&lt;32),"clear width ~"&amp;TEXT($BJ304,"0.0")&amp;CHAR(34)&amp;" under 32"&amp;CHAR(34)&amp;" (ADA), ","")&amp;IF(AND($BO304=90,AND(OR($BL304="FG",$BL304="HG",$BL304="FNV",$BL304="FV"),N($BM304)*N($BN304)&gt;100)),"90 min lite over 100 sq in (stair/exit), ","")&amp;IF(AND($BO304&gt;0,AND($A304&lt;&gt;"",$C304&lt;&gt;"DOOR ONLY"),OR($AF304="",$AF304="-")),"rated: closer reinf.?, ","")&amp;IF(OR($I304="CORRIDOR",$I304="SMOKE BARRIER"),"S label + smoke gasketing, ","")&amp;IF($BP304="?","wall type/hr not in IBC table, ","")&amp;IF(AND(N($BC304)&gt;0,$AU304=""),"no hardware set, ","")&amp;IF(AND($AU304&lt;&gt;"",ISNA(MATCH($AU304,HWSets,0))),"set "&amp;$AU304&amp;" not on Hardware sheet, ","")&amp;IF(N($BE304)&gt;96,"leaf over 8'-0"&amp;CHAR(34)&amp;" - check listing, ",""))</f>
        <v/>
      </c>
    </row>
    <row r="305" ht="15" customHeight="1">
      <c r="A305" s="44" t="n"/>
      <c r="B305" s="45" t="n"/>
      <c r="C305" s="45" t="n"/>
      <c r="D305" s="45" t="n"/>
      <c r="E305" s="45" t="n"/>
      <c r="F305" s="45" t="n"/>
      <c r="G305" s="45" t="n"/>
      <c r="H305" s="45" t="n"/>
      <c r="I305" s="45" t="n"/>
      <c r="J305" s="45" t="n"/>
      <c r="K305" s="45" t="n"/>
      <c r="L305" s="45" t="n"/>
      <c r="M305" s="45" t="n"/>
      <c r="N305" s="45" t="n"/>
      <c r="O305" s="45" t="n"/>
      <c r="P305" s="45" t="n"/>
      <c r="Q305" s="45" t="n"/>
      <c r="R305" s="45" t="n"/>
      <c r="S305" s="46" t="n"/>
      <c r="T305" s="46" t="n"/>
      <c r="U305" s="46" t="n"/>
      <c r="V305" s="46" t="n"/>
      <c r="W305" s="46" t="n"/>
      <c r="X305" s="46" t="n"/>
      <c r="Y305" s="46" t="n"/>
      <c r="Z305" s="46" t="n"/>
      <c r="AA305" s="46" t="n"/>
      <c r="AB305" s="46" t="n"/>
      <c r="AC305" s="46" t="n"/>
      <c r="AD305" s="46" t="n"/>
      <c r="AE305" s="46" t="n"/>
      <c r="AF305" s="46" t="n"/>
      <c r="AG305" s="46" t="n"/>
      <c r="AH305" s="47" t="n"/>
      <c r="AI305" s="47" t="n"/>
      <c r="AJ305" s="47" t="n"/>
      <c r="AK305" s="47" t="n"/>
      <c r="AL305" s="47" t="n"/>
      <c r="AM305" s="47" t="n"/>
      <c r="AN305" s="47" t="n"/>
      <c r="AO305" s="47" t="n"/>
      <c r="AP305" s="47" t="n"/>
      <c r="AQ305" s="47" t="n"/>
      <c r="AR305" s="47" t="n"/>
      <c r="AS305" s="47" t="n"/>
      <c r="AT305" s="47" t="n"/>
      <c r="AU305" s="48" t="n"/>
      <c r="AV305" s="48" t="n"/>
      <c r="AW305" s="49">
        <f>IF($A305="","",IF($BW305&lt;&gt;"","FIX",IF($BX305&lt;&gt;"","CHECK","OK")))</f>
        <v/>
      </c>
      <c r="AX305" s="50">
        <f>IF($A305="","",IF($BW305&lt;&gt;"","FIX: "&amp;LEFT($BW305,LEN($BW305)-2)&amp;IF($BX305&lt;&gt;"","  ·  ",""),"")&amp;IF($BX305&lt;&gt;"","CHECK: "&amp;LEFT($BX305,LEN($BX305)-2),""))</f>
        <v/>
      </c>
      <c r="AY305" s="49">
        <f>IF(OR($A305="",$K305=""),"",$K305&amp;"'-"&amp;N($L305)&amp;CHAR(34)&amp;" x "&amp;$M305&amp;"'-"&amp;N($N305)&amp;CHAR(34))</f>
        <v/>
      </c>
      <c r="AZ305" s="49">
        <f>IF(OR($A305="",$K305=""),"",$K305&amp;N($L305)&amp;$M305&amp;N($N305))</f>
        <v/>
      </c>
      <c r="BA305" s="49">
        <f>IF(OR($A305="",$K305=""),"",$K305*12+N($L305))</f>
        <v/>
      </c>
      <c r="BB305" s="49">
        <f>IF(OR($A305="",$M305=""),"",$M305*12+N($N305))</f>
        <v/>
      </c>
      <c r="BC305" s="49">
        <f>IF($A305="","",IF(OR($C305="FRAME ONLY",$S305="BL"),0,IF($O305="Y",2,1)))</f>
        <v/>
      </c>
      <c r="BD305" s="51">
        <f>IF(OR(N($BC305)=0,$BA305=""),"",($BA305-2*EdgeClr-IF($BC305=2,MeetClr,0))/$BC305)</f>
        <v/>
      </c>
      <c r="BE305" s="51">
        <f>IF(OR(N($BC305)=0,$BB305=""),"",$BB305-HeadClr-Undercut)</f>
        <v/>
      </c>
      <c r="BF305" s="51">
        <f>IF($BA305="","",$BA305+2*FaceW+IF(N($Q305)&gt;0,($Q305+FaceW)*IF($R305="LR",2,1),0))</f>
        <v/>
      </c>
      <c r="BG305" s="51">
        <f>IF($BB305="","",$BB305+IF($AB305="Y",4,FaceW)+IF(N($P305)&gt;0,$P305+FaceW,0)+IF(OR($S305="4F",$S305="BL"),FaceW,0))</f>
        <v/>
      </c>
      <c r="BH305" s="51">
        <f>IF($BF305="","",$BF305+2*ROSide)</f>
        <v/>
      </c>
      <c r="BI305" s="51">
        <f>IF($BG305="","",$BG305+ROTop)</f>
        <v/>
      </c>
      <c r="BJ305" s="52">
        <f>IF(OR(N($BC305)=0,$BA305=""),"",$BA305/$BC305-ClearDeduct)</f>
        <v/>
      </c>
      <c r="BK305" s="49">
        <f>IF(OR(N($BC305)=0,$BE305=""),"",IF(OR($AC305="HGC",$AP305="HGC"),"CONT",IF($BE305&lt;=60,2,IF($BE305&lt;=90,3,IF($BE305&lt;=120,4,5)))))</f>
        <v/>
      </c>
      <c r="BL305" s="49">
        <f>IF(N($BC305)=0,"",IF(OR($AL305="",$AL305="FLUSH"),"FLUSH",IFERROR(LEFT($AL305,FIND("-",$AL305)-1),LEFT($AL305,2))))</f>
        <v/>
      </c>
      <c r="BM305" s="49">
        <f>IF($BL305="","",IFERROR(VALUE(MID($AL305,FIND("-",$AL305)+1,FIND(CHAR(34)&amp;"x",$AL305)-FIND("-",$AL305)-1)),0))</f>
        <v/>
      </c>
      <c r="BN305" s="49">
        <f>IF($BL305="","",IFERROR(VALUE(MID($AL305,FIND(CHAR(34)&amp;"x",$AL305)+2,FIND(CHAR(34),$AL305,FIND(CHAR(34)&amp;"x",$AL305)+2)-FIND(CHAR(34)&amp;"x",$AL305)-2)),0))</f>
        <v/>
      </c>
      <c r="BO305" s="53">
        <f>IF(OR($A305="",$H305="",$H305="NO LAB"),0,IFERROR(VALUE(LEFT($H305,FIND(" ",$H305)-1)),0))</f>
        <v/>
      </c>
      <c r="BP305" s="54">
        <f>IF(OR($A305="",$I305="",$I305="NON-RATED",N($J305)=0),"",IFERROR(VLOOKUP($I305&amp;"|"&amp;$J305,IBC,2,FALSE),"?"))</f>
        <v/>
      </c>
      <c r="BQ305" s="50">
        <f>IF(NOT(AND($A305&lt;&gt;"",$C305&lt;&gt;"DOOR ONLY")),"",TRIM(IFERROR(VLOOKUP($U305,CODES,2,FALSE),"")&amp;" "&amp;$AZ305&amp;" "&amp;IFERROR(VLOOKUP($Z305,CODES,2,FALSE),"")&amp;" "&amp;IFERROR(VLOOKUP($X305,CODES,2,FALSE),"")&amp;" "&amp;IFERROR(VLOOKUP($S305,CODES,2,FALSE),"")&amp;IF(N($P305)&gt;0," w/TRANSOM "&amp;$P305&amp;CHAR(34),"")&amp;IF(N($Q305)&gt;0," w/SIDELITE "&amp;$Q305&amp;CHAR(34)&amp;" "&amp;IF($R305="","R",$R305),"")&amp;IF($Y305="","  |  "," | "&amp;IFERROR(VLOOKUP($Y305,CODES,2,FALSE),"")&amp;" | ")&amp;IFERROR(VLOOKUP($AC305,CODES,2,FALSE),"")&amp;" "&amp;IFERROR(VLOOKUP($AD305,CODES,2,FALSE),"")&amp;IF(OR($AE305="",$AE305="-"),""," "&amp;$AE305)&amp;IF(OR($AF305="",$AF305="-"),""," "&amp;$AF305)&amp;IF($AB305="Y"," 4"&amp;CHAR(34)&amp;" HEAD","")&amp;" "&amp;IFERROR(VLOOKUP($H305,CODES,2,FALSE),"")))</f>
        <v/>
      </c>
      <c r="BR305" s="50">
        <f>IF(NOT(AND($A305&lt;&gt;"",N($BC305)&gt;0)),"",TRIM(IFERROR(VLOOKUP($AH305,CODES,2,FALSE),"")&amp;IF($AI305=""," "," "&amp;$AI305&amp;"GA ")&amp;$AZ305&amp;" "&amp;IF($AN305="",IFERROR(VLOOKUP($Z305,CODES,2,FALSE),""),IFERROR(VLOOKUP($AN305,CODES,2,FALSE),""))&amp;IF($BC305=2," PAIR","")&amp;" DOOR | "&amp;IF($AL305="","?",$AL305)&amp;" | "&amp;IF($AP305="",IFERROR(VLOOKUP($AC305,CODES,2,FALSE),""),IFERROR(VLOOKUP($AP305,CODES,2,FALSE),""))&amp;" "&amp;IFERROR(VLOOKUP($AQ305,CODES,2,FALSE),"")&amp;IF(OR($AR305="",$AR305="-"),""," SEAM "&amp;$AR305)&amp;IF($AS305="Y"," ASTRAGAL","")&amp;IF($AJ305=""," "," "&amp;$AJ305)&amp;IF($AK305=""," "," "&amp;$AK305)&amp;IF($AO305="",""," "&amp;$AO305)&amp;IF($AM305=""," "," SERIES "&amp;$AM305)&amp;" "&amp;IFERROR(VLOOKUP($H305,CODES,2,FALSE),"")))</f>
        <v/>
      </c>
      <c r="BS305" s="49">
        <f>IF(BV305="","",IF(COUNTIF($BV$6:BV305,BV305)=1,MAX($BS$5:BS304)+1,INDEX($BS$5:BS304,MATCH(BV305,$BV$5:BV304,0))))</f>
        <v/>
      </c>
      <c r="BT305" s="49">
        <f>IF(NOT(AND($A305&lt;&gt;"",$C305&lt;&gt;"DOOR ONLY")),"",MAX($BT$5:BT304)+1)</f>
        <v/>
      </c>
      <c r="BU305" s="49">
        <f>IF(NOT(AND($A305&lt;&gt;"",N($BC305)&gt;0)),"",MAX($BU$5:BU304)+1)</f>
        <v/>
      </c>
      <c r="BV305" s="49">
        <f>IF(OR($A305="",$BA305="",$BB305=""),"",$AZ305&amp;"|"&amp;$O305&amp;"|"&amp;$AL305&amp;"|"&amp;$S305&amp;"|"&amp;$P305&amp;"|"&amp;$Q305&amp;$R305&amp;"|"&amp;$C305&amp;"|"&amp;$AB305)</f>
        <v/>
      </c>
      <c r="BW305" s="49">
        <f>IF($A305="","",IF($B305="","qty, ","")&amp;IF($C305="","scope, ","")&amp;IF(OR($K305="",$M305=""),"size, ","")&amp;IF(AND($A305&lt;&gt;"",$C305&lt;&gt;"DOOR ONLY"),IF($U305="","jamb depth, ","")&amp;IF($X305="","construction, ","")&amp;IF($Y305="","anchor, ","")&amp;IF($S305="","frame type, ",""),"")&amp;IF(AND(N($BC305)&gt;0,$Z305=""),"hand, ","")&amp;IF(N($BC305)&gt;0,IF($AH305="","door material, ","")&amp;IF($AL305="","face type, ","")&amp;IF($AQ305="","lock prep, ","")&amp;IF(AND($AP305="",$AC305=""),"hinge prep, ",""),"")&amp;IF(AND($BO305&gt;0,$AH305="FRP"),"FRP cannot carry a label, ","")&amp;IF(AND($O305="Y",OR($Z305="L",$Z305="R",$Z305="LR",$Z305="RR")),"pair marked but hand is single, ","")&amp;IF(AND($O305&lt;&gt;"Y",OR($Z305="PR",AND(LEN($Z305)&gt;1,ISNUMBER(SEARCH("-",$Z305))))),"pair hand on a single door, ","")&amp;IF(AND(ISNUMBER($BP305),$BO305&lt;N($BP305)),"wall needs a "&amp;$BP305&amp;" min door, ","")&amp;IF(AND($BO305&gt;=180,AND(OR($BL305="FG",$BL305="HG",$BL305="FNV",$BL305="FV"),N($BM305)*N($BN305)&gt;100)),"180 min lite over 100 sq in, ","")&amp;IF(N($BD305)&gt;48,"leaf wider than 4'-0"&amp;CHAR(34)&amp;", ",""))</f>
        <v/>
      </c>
      <c r="BX305" s="49">
        <f>IF($A305="","",IF(AND($BO305&gt;0,AND($A305&lt;&gt;"",$C305&lt;&gt;"DOOR ONLY"),$X305="KD",$E305="EXTERIOR"),"KD label on an exterior opening, ","")&amp;IF(AND($E305="EXTERIOR",OR(AND(AND($A305&lt;&gt;"",$C305&lt;&gt;"DOOR ONLY"),$W305="CR"),AND(N($BC305)&gt;0,$AH305="CR"))),"exterior in CR steel (G9?), ","")&amp;IF(AND(ISNUMBER($BJ305),N($BJ305)&lt;32),"clear width ~"&amp;TEXT($BJ305,"0.0")&amp;CHAR(34)&amp;" under 32"&amp;CHAR(34)&amp;" (ADA), ","")&amp;IF(AND($BO305=90,AND(OR($BL305="FG",$BL305="HG",$BL305="FNV",$BL305="FV"),N($BM305)*N($BN305)&gt;100)),"90 min lite over 100 sq in (stair/exit), ","")&amp;IF(AND($BO305&gt;0,AND($A305&lt;&gt;"",$C305&lt;&gt;"DOOR ONLY"),OR($AF305="",$AF305="-")),"rated: closer reinf.?, ","")&amp;IF(OR($I305="CORRIDOR",$I305="SMOKE BARRIER"),"S label + smoke gasketing, ","")&amp;IF($BP305="?","wall type/hr not in IBC table, ","")&amp;IF(AND(N($BC305)&gt;0,$AU305=""),"no hardware set, ","")&amp;IF(AND($AU305&lt;&gt;"",ISNA(MATCH($AU305,HWSets,0))),"set "&amp;$AU305&amp;" not on Hardware sheet, ","")&amp;IF(N($BE305)&gt;96,"leaf over 8'-0"&amp;CHAR(34)&amp;" - check listing, ",""))</f>
        <v/>
      </c>
    </row>
    <row r="306" ht="15" customHeight="1">
      <c r="A306" s="44" t="n"/>
      <c r="B306" s="45" t="n"/>
      <c r="C306" s="45" t="n"/>
      <c r="D306" s="45" t="n"/>
      <c r="E306" s="45" t="n"/>
      <c r="F306" s="45" t="n"/>
      <c r="G306" s="45" t="n"/>
      <c r="H306" s="45" t="n"/>
      <c r="I306" s="45" t="n"/>
      <c r="J306" s="45" t="n"/>
      <c r="K306" s="45" t="n"/>
      <c r="L306" s="45" t="n"/>
      <c r="M306" s="45" t="n"/>
      <c r="N306" s="45" t="n"/>
      <c r="O306" s="45" t="n"/>
      <c r="P306" s="45" t="n"/>
      <c r="Q306" s="45" t="n"/>
      <c r="R306" s="45" t="n"/>
      <c r="S306" s="46" t="n"/>
      <c r="T306" s="46" t="n"/>
      <c r="U306" s="46" t="n"/>
      <c r="V306" s="46" t="n"/>
      <c r="W306" s="46" t="n"/>
      <c r="X306" s="46" t="n"/>
      <c r="Y306" s="46" t="n"/>
      <c r="Z306" s="46" t="n"/>
      <c r="AA306" s="46" t="n"/>
      <c r="AB306" s="46" t="n"/>
      <c r="AC306" s="46" t="n"/>
      <c r="AD306" s="46" t="n"/>
      <c r="AE306" s="46" t="n"/>
      <c r="AF306" s="46" t="n"/>
      <c r="AG306" s="46" t="n"/>
      <c r="AH306" s="47" t="n"/>
      <c r="AI306" s="47" t="n"/>
      <c r="AJ306" s="47" t="n"/>
      <c r="AK306" s="47" t="n"/>
      <c r="AL306" s="47" t="n"/>
      <c r="AM306" s="47" t="n"/>
      <c r="AN306" s="47" t="n"/>
      <c r="AO306" s="47" t="n"/>
      <c r="AP306" s="47" t="n"/>
      <c r="AQ306" s="47" t="n"/>
      <c r="AR306" s="47" t="n"/>
      <c r="AS306" s="47" t="n"/>
      <c r="AT306" s="47" t="n"/>
      <c r="AU306" s="48" t="n"/>
      <c r="AV306" s="48" t="n"/>
      <c r="AW306" s="49">
        <f>IF($A306="","",IF($BW306&lt;&gt;"","FIX",IF($BX306&lt;&gt;"","CHECK","OK")))</f>
        <v/>
      </c>
      <c r="AX306" s="50">
        <f>IF($A306="","",IF($BW306&lt;&gt;"","FIX: "&amp;LEFT($BW306,LEN($BW306)-2)&amp;IF($BX306&lt;&gt;"","  ·  ",""),"")&amp;IF($BX306&lt;&gt;"","CHECK: "&amp;LEFT($BX306,LEN($BX306)-2),""))</f>
        <v/>
      </c>
      <c r="AY306" s="49">
        <f>IF(OR($A306="",$K306=""),"",$K306&amp;"'-"&amp;N($L306)&amp;CHAR(34)&amp;" x "&amp;$M306&amp;"'-"&amp;N($N306)&amp;CHAR(34))</f>
        <v/>
      </c>
      <c r="AZ306" s="49">
        <f>IF(OR($A306="",$K306=""),"",$K306&amp;N($L306)&amp;$M306&amp;N($N306))</f>
        <v/>
      </c>
      <c r="BA306" s="49">
        <f>IF(OR($A306="",$K306=""),"",$K306*12+N($L306))</f>
        <v/>
      </c>
      <c r="BB306" s="49">
        <f>IF(OR($A306="",$M306=""),"",$M306*12+N($N306))</f>
        <v/>
      </c>
      <c r="BC306" s="49">
        <f>IF($A306="","",IF(OR($C306="FRAME ONLY",$S306="BL"),0,IF($O306="Y",2,1)))</f>
        <v/>
      </c>
      <c r="BD306" s="51">
        <f>IF(OR(N($BC306)=0,$BA306=""),"",($BA306-2*EdgeClr-IF($BC306=2,MeetClr,0))/$BC306)</f>
        <v/>
      </c>
      <c r="BE306" s="51">
        <f>IF(OR(N($BC306)=0,$BB306=""),"",$BB306-HeadClr-Undercut)</f>
        <v/>
      </c>
      <c r="BF306" s="51">
        <f>IF($BA306="","",$BA306+2*FaceW+IF(N($Q306)&gt;0,($Q306+FaceW)*IF($R306="LR",2,1),0))</f>
        <v/>
      </c>
      <c r="BG306" s="51">
        <f>IF($BB306="","",$BB306+IF($AB306="Y",4,FaceW)+IF(N($P306)&gt;0,$P306+FaceW,0)+IF(OR($S306="4F",$S306="BL"),FaceW,0))</f>
        <v/>
      </c>
      <c r="BH306" s="51">
        <f>IF($BF306="","",$BF306+2*ROSide)</f>
        <v/>
      </c>
      <c r="BI306" s="51">
        <f>IF($BG306="","",$BG306+ROTop)</f>
        <v/>
      </c>
      <c r="BJ306" s="52">
        <f>IF(OR(N($BC306)=0,$BA306=""),"",$BA306/$BC306-ClearDeduct)</f>
        <v/>
      </c>
      <c r="BK306" s="49">
        <f>IF(OR(N($BC306)=0,$BE306=""),"",IF(OR($AC306="HGC",$AP306="HGC"),"CONT",IF($BE306&lt;=60,2,IF($BE306&lt;=90,3,IF($BE306&lt;=120,4,5)))))</f>
        <v/>
      </c>
      <c r="BL306" s="49">
        <f>IF(N($BC306)=0,"",IF(OR($AL306="",$AL306="FLUSH"),"FLUSH",IFERROR(LEFT($AL306,FIND("-",$AL306)-1),LEFT($AL306,2))))</f>
        <v/>
      </c>
      <c r="BM306" s="49">
        <f>IF($BL306="","",IFERROR(VALUE(MID($AL306,FIND("-",$AL306)+1,FIND(CHAR(34)&amp;"x",$AL306)-FIND("-",$AL306)-1)),0))</f>
        <v/>
      </c>
      <c r="BN306" s="49">
        <f>IF($BL306="","",IFERROR(VALUE(MID($AL306,FIND(CHAR(34)&amp;"x",$AL306)+2,FIND(CHAR(34),$AL306,FIND(CHAR(34)&amp;"x",$AL306)+2)-FIND(CHAR(34)&amp;"x",$AL306)-2)),0))</f>
        <v/>
      </c>
      <c r="BO306" s="53">
        <f>IF(OR($A306="",$H306="",$H306="NO LAB"),0,IFERROR(VALUE(LEFT($H306,FIND(" ",$H306)-1)),0))</f>
        <v/>
      </c>
      <c r="BP306" s="54">
        <f>IF(OR($A306="",$I306="",$I306="NON-RATED",N($J306)=0),"",IFERROR(VLOOKUP($I306&amp;"|"&amp;$J306,IBC,2,FALSE),"?"))</f>
        <v/>
      </c>
      <c r="BQ306" s="50">
        <f>IF(NOT(AND($A306&lt;&gt;"",$C306&lt;&gt;"DOOR ONLY")),"",TRIM(IFERROR(VLOOKUP($U306,CODES,2,FALSE),"")&amp;" "&amp;$AZ306&amp;" "&amp;IFERROR(VLOOKUP($Z306,CODES,2,FALSE),"")&amp;" "&amp;IFERROR(VLOOKUP($X306,CODES,2,FALSE),"")&amp;" "&amp;IFERROR(VLOOKUP($S306,CODES,2,FALSE),"")&amp;IF(N($P306)&gt;0," w/TRANSOM "&amp;$P306&amp;CHAR(34),"")&amp;IF(N($Q306)&gt;0," w/SIDELITE "&amp;$Q306&amp;CHAR(34)&amp;" "&amp;IF($R306="","R",$R306),"")&amp;IF($Y306="","  |  "," | "&amp;IFERROR(VLOOKUP($Y306,CODES,2,FALSE),"")&amp;" | ")&amp;IFERROR(VLOOKUP($AC306,CODES,2,FALSE),"")&amp;" "&amp;IFERROR(VLOOKUP($AD306,CODES,2,FALSE),"")&amp;IF(OR($AE306="",$AE306="-"),""," "&amp;$AE306)&amp;IF(OR($AF306="",$AF306="-"),""," "&amp;$AF306)&amp;IF($AB306="Y"," 4"&amp;CHAR(34)&amp;" HEAD","")&amp;" "&amp;IFERROR(VLOOKUP($H306,CODES,2,FALSE),"")))</f>
        <v/>
      </c>
      <c r="BR306" s="50">
        <f>IF(NOT(AND($A306&lt;&gt;"",N($BC306)&gt;0)),"",TRIM(IFERROR(VLOOKUP($AH306,CODES,2,FALSE),"")&amp;IF($AI306=""," "," "&amp;$AI306&amp;"GA ")&amp;$AZ306&amp;" "&amp;IF($AN306="",IFERROR(VLOOKUP($Z306,CODES,2,FALSE),""),IFERROR(VLOOKUP($AN306,CODES,2,FALSE),""))&amp;IF($BC306=2," PAIR","")&amp;" DOOR | "&amp;IF($AL306="","?",$AL306)&amp;" | "&amp;IF($AP306="",IFERROR(VLOOKUP($AC306,CODES,2,FALSE),""),IFERROR(VLOOKUP($AP306,CODES,2,FALSE),""))&amp;" "&amp;IFERROR(VLOOKUP($AQ306,CODES,2,FALSE),"")&amp;IF(OR($AR306="",$AR306="-"),""," SEAM "&amp;$AR306)&amp;IF($AS306="Y"," ASTRAGAL","")&amp;IF($AJ306=""," "," "&amp;$AJ306)&amp;IF($AK306=""," "," "&amp;$AK306)&amp;IF($AO306="",""," "&amp;$AO306)&amp;IF($AM306=""," "," SERIES "&amp;$AM306)&amp;" "&amp;IFERROR(VLOOKUP($H306,CODES,2,FALSE),"")))</f>
        <v/>
      </c>
      <c r="BS306" s="49">
        <f>IF(BV306="","",IF(COUNTIF($BV$6:BV306,BV306)=1,MAX($BS$5:BS305)+1,INDEX($BS$5:BS305,MATCH(BV306,$BV$5:BV305,0))))</f>
        <v/>
      </c>
      <c r="BT306" s="49">
        <f>IF(NOT(AND($A306&lt;&gt;"",$C306&lt;&gt;"DOOR ONLY")),"",MAX($BT$5:BT305)+1)</f>
        <v/>
      </c>
      <c r="BU306" s="49">
        <f>IF(NOT(AND($A306&lt;&gt;"",N($BC306)&gt;0)),"",MAX($BU$5:BU305)+1)</f>
        <v/>
      </c>
      <c r="BV306" s="49">
        <f>IF(OR($A306="",$BA306="",$BB306=""),"",$AZ306&amp;"|"&amp;$O306&amp;"|"&amp;$AL306&amp;"|"&amp;$S306&amp;"|"&amp;$P306&amp;"|"&amp;$Q306&amp;$R306&amp;"|"&amp;$C306&amp;"|"&amp;$AB306)</f>
        <v/>
      </c>
      <c r="BW306" s="49">
        <f>IF($A306="","",IF($B306="","qty, ","")&amp;IF($C306="","scope, ","")&amp;IF(OR($K306="",$M306=""),"size, ","")&amp;IF(AND($A306&lt;&gt;"",$C306&lt;&gt;"DOOR ONLY"),IF($U306="","jamb depth, ","")&amp;IF($X306="","construction, ","")&amp;IF($Y306="","anchor, ","")&amp;IF($S306="","frame type, ",""),"")&amp;IF(AND(N($BC306)&gt;0,$Z306=""),"hand, ","")&amp;IF(N($BC306)&gt;0,IF($AH306="","door material, ","")&amp;IF($AL306="","face type, ","")&amp;IF($AQ306="","lock prep, ","")&amp;IF(AND($AP306="",$AC306=""),"hinge prep, ",""),"")&amp;IF(AND($BO306&gt;0,$AH306="FRP"),"FRP cannot carry a label, ","")&amp;IF(AND($O306="Y",OR($Z306="L",$Z306="R",$Z306="LR",$Z306="RR")),"pair marked but hand is single, ","")&amp;IF(AND($O306&lt;&gt;"Y",OR($Z306="PR",AND(LEN($Z306)&gt;1,ISNUMBER(SEARCH("-",$Z306))))),"pair hand on a single door, ","")&amp;IF(AND(ISNUMBER($BP306),$BO306&lt;N($BP306)),"wall needs a "&amp;$BP306&amp;" min door, ","")&amp;IF(AND($BO306&gt;=180,AND(OR($BL306="FG",$BL306="HG",$BL306="FNV",$BL306="FV"),N($BM306)*N($BN306)&gt;100)),"180 min lite over 100 sq in, ","")&amp;IF(N($BD306)&gt;48,"leaf wider than 4'-0"&amp;CHAR(34)&amp;", ",""))</f>
        <v/>
      </c>
      <c r="BX306" s="49">
        <f>IF($A306="","",IF(AND($BO306&gt;0,AND($A306&lt;&gt;"",$C306&lt;&gt;"DOOR ONLY"),$X306="KD",$E306="EXTERIOR"),"KD label on an exterior opening, ","")&amp;IF(AND($E306="EXTERIOR",OR(AND(AND($A306&lt;&gt;"",$C306&lt;&gt;"DOOR ONLY"),$W306="CR"),AND(N($BC306)&gt;0,$AH306="CR"))),"exterior in CR steel (G9?), ","")&amp;IF(AND(ISNUMBER($BJ306),N($BJ306)&lt;32),"clear width ~"&amp;TEXT($BJ306,"0.0")&amp;CHAR(34)&amp;" under 32"&amp;CHAR(34)&amp;" (ADA), ","")&amp;IF(AND($BO306=90,AND(OR($BL306="FG",$BL306="HG",$BL306="FNV",$BL306="FV"),N($BM306)*N($BN306)&gt;100)),"90 min lite over 100 sq in (stair/exit), ","")&amp;IF(AND($BO306&gt;0,AND($A306&lt;&gt;"",$C306&lt;&gt;"DOOR ONLY"),OR($AF306="",$AF306="-")),"rated: closer reinf.?, ","")&amp;IF(OR($I306="CORRIDOR",$I306="SMOKE BARRIER"),"S label + smoke gasketing, ","")&amp;IF($BP306="?","wall type/hr not in IBC table, ","")&amp;IF(AND(N($BC306)&gt;0,$AU306=""),"no hardware set, ","")&amp;IF(AND($AU306&lt;&gt;"",ISNA(MATCH($AU306,HWSets,0))),"set "&amp;$AU306&amp;" not on Hardware sheet, ","")&amp;IF(N($BE306)&gt;96,"leaf over 8'-0"&amp;CHAR(34)&amp;" - check listing, ",""))</f>
        <v/>
      </c>
    </row>
    <row r="307" ht="15" customHeight="1">
      <c r="A307" s="44" t="n"/>
      <c r="B307" s="45" t="n"/>
      <c r="C307" s="45" t="n"/>
      <c r="D307" s="45" t="n"/>
      <c r="E307" s="45" t="n"/>
      <c r="F307" s="45" t="n"/>
      <c r="G307" s="45" t="n"/>
      <c r="H307" s="45" t="n"/>
      <c r="I307" s="45" t="n"/>
      <c r="J307" s="45" t="n"/>
      <c r="K307" s="45" t="n"/>
      <c r="L307" s="45" t="n"/>
      <c r="M307" s="45" t="n"/>
      <c r="N307" s="45" t="n"/>
      <c r="O307" s="45" t="n"/>
      <c r="P307" s="45" t="n"/>
      <c r="Q307" s="45" t="n"/>
      <c r="R307" s="45" t="n"/>
      <c r="S307" s="46" t="n"/>
      <c r="T307" s="46" t="n"/>
      <c r="U307" s="46" t="n"/>
      <c r="V307" s="46" t="n"/>
      <c r="W307" s="46" t="n"/>
      <c r="X307" s="46" t="n"/>
      <c r="Y307" s="46" t="n"/>
      <c r="Z307" s="46" t="n"/>
      <c r="AA307" s="46" t="n"/>
      <c r="AB307" s="46" t="n"/>
      <c r="AC307" s="46" t="n"/>
      <c r="AD307" s="46" t="n"/>
      <c r="AE307" s="46" t="n"/>
      <c r="AF307" s="46" t="n"/>
      <c r="AG307" s="46" t="n"/>
      <c r="AH307" s="47" t="n"/>
      <c r="AI307" s="47" t="n"/>
      <c r="AJ307" s="47" t="n"/>
      <c r="AK307" s="47" t="n"/>
      <c r="AL307" s="47" t="n"/>
      <c r="AM307" s="47" t="n"/>
      <c r="AN307" s="47" t="n"/>
      <c r="AO307" s="47" t="n"/>
      <c r="AP307" s="47" t="n"/>
      <c r="AQ307" s="47" t="n"/>
      <c r="AR307" s="47" t="n"/>
      <c r="AS307" s="47" t="n"/>
      <c r="AT307" s="47" t="n"/>
      <c r="AU307" s="48" t="n"/>
      <c r="AV307" s="48" t="n"/>
      <c r="AW307" s="49">
        <f>IF($A307="","",IF($BW307&lt;&gt;"","FIX",IF($BX307&lt;&gt;"","CHECK","OK")))</f>
        <v/>
      </c>
      <c r="AX307" s="50">
        <f>IF($A307="","",IF($BW307&lt;&gt;"","FIX: "&amp;LEFT($BW307,LEN($BW307)-2)&amp;IF($BX307&lt;&gt;"","  ·  ",""),"")&amp;IF($BX307&lt;&gt;"","CHECK: "&amp;LEFT($BX307,LEN($BX307)-2),""))</f>
        <v/>
      </c>
      <c r="AY307" s="49">
        <f>IF(OR($A307="",$K307=""),"",$K307&amp;"'-"&amp;N($L307)&amp;CHAR(34)&amp;" x "&amp;$M307&amp;"'-"&amp;N($N307)&amp;CHAR(34))</f>
        <v/>
      </c>
      <c r="AZ307" s="49">
        <f>IF(OR($A307="",$K307=""),"",$K307&amp;N($L307)&amp;$M307&amp;N($N307))</f>
        <v/>
      </c>
      <c r="BA307" s="49">
        <f>IF(OR($A307="",$K307=""),"",$K307*12+N($L307))</f>
        <v/>
      </c>
      <c r="BB307" s="49">
        <f>IF(OR($A307="",$M307=""),"",$M307*12+N($N307))</f>
        <v/>
      </c>
      <c r="BC307" s="49">
        <f>IF($A307="","",IF(OR($C307="FRAME ONLY",$S307="BL"),0,IF($O307="Y",2,1)))</f>
        <v/>
      </c>
      <c r="BD307" s="51">
        <f>IF(OR(N($BC307)=0,$BA307=""),"",($BA307-2*EdgeClr-IF($BC307=2,MeetClr,0))/$BC307)</f>
        <v/>
      </c>
      <c r="BE307" s="51">
        <f>IF(OR(N($BC307)=0,$BB307=""),"",$BB307-HeadClr-Undercut)</f>
        <v/>
      </c>
      <c r="BF307" s="51">
        <f>IF($BA307="","",$BA307+2*FaceW+IF(N($Q307)&gt;0,($Q307+FaceW)*IF($R307="LR",2,1),0))</f>
        <v/>
      </c>
      <c r="BG307" s="51">
        <f>IF($BB307="","",$BB307+IF($AB307="Y",4,FaceW)+IF(N($P307)&gt;0,$P307+FaceW,0)+IF(OR($S307="4F",$S307="BL"),FaceW,0))</f>
        <v/>
      </c>
      <c r="BH307" s="51">
        <f>IF($BF307="","",$BF307+2*ROSide)</f>
        <v/>
      </c>
      <c r="BI307" s="51">
        <f>IF($BG307="","",$BG307+ROTop)</f>
        <v/>
      </c>
      <c r="BJ307" s="52">
        <f>IF(OR(N($BC307)=0,$BA307=""),"",$BA307/$BC307-ClearDeduct)</f>
        <v/>
      </c>
      <c r="BK307" s="49">
        <f>IF(OR(N($BC307)=0,$BE307=""),"",IF(OR($AC307="HGC",$AP307="HGC"),"CONT",IF($BE307&lt;=60,2,IF($BE307&lt;=90,3,IF($BE307&lt;=120,4,5)))))</f>
        <v/>
      </c>
      <c r="BL307" s="49">
        <f>IF(N($BC307)=0,"",IF(OR($AL307="",$AL307="FLUSH"),"FLUSH",IFERROR(LEFT($AL307,FIND("-",$AL307)-1),LEFT($AL307,2))))</f>
        <v/>
      </c>
      <c r="BM307" s="49">
        <f>IF($BL307="","",IFERROR(VALUE(MID($AL307,FIND("-",$AL307)+1,FIND(CHAR(34)&amp;"x",$AL307)-FIND("-",$AL307)-1)),0))</f>
        <v/>
      </c>
      <c r="BN307" s="49">
        <f>IF($BL307="","",IFERROR(VALUE(MID($AL307,FIND(CHAR(34)&amp;"x",$AL307)+2,FIND(CHAR(34),$AL307,FIND(CHAR(34)&amp;"x",$AL307)+2)-FIND(CHAR(34)&amp;"x",$AL307)-2)),0))</f>
        <v/>
      </c>
      <c r="BO307" s="53">
        <f>IF(OR($A307="",$H307="",$H307="NO LAB"),0,IFERROR(VALUE(LEFT($H307,FIND(" ",$H307)-1)),0))</f>
        <v/>
      </c>
      <c r="BP307" s="54">
        <f>IF(OR($A307="",$I307="",$I307="NON-RATED",N($J307)=0),"",IFERROR(VLOOKUP($I307&amp;"|"&amp;$J307,IBC,2,FALSE),"?"))</f>
        <v/>
      </c>
      <c r="BQ307" s="50">
        <f>IF(NOT(AND($A307&lt;&gt;"",$C307&lt;&gt;"DOOR ONLY")),"",TRIM(IFERROR(VLOOKUP($U307,CODES,2,FALSE),"")&amp;" "&amp;$AZ307&amp;" "&amp;IFERROR(VLOOKUP($Z307,CODES,2,FALSE),"")&amp;" "&amp;IFERROR(VLOOKUP($X307,CODES,2,FALSE),"")&amp;" "&amp;IFERROR(VLOOKUP($S307,CODES,2,FALSE),"")&amp;IF(N($P307)&gt;0," w/TRANSOM "&amp;$P307&amp;CHAR(34),"")&amp;IF(N($Q307)&gt;0," w/SIDELITE "&amp;$Q307&amp;CHAR(34)&amp;" "&amp;IF($R307="","R",$R307),"")&amp;IF($Y307="","  |  "," | "&amp;IFERROR(VLOOKUP($Y307,CODES,2,FALSE),"")&amp;" | ")&amp;IFERROR(VLOOKUP($AC307,CODES,2,FALSE),"")&amp;" "&amp;IFERROR(VLOOKUP($AD307,CODES,2,FALSE),"")&amp;IF(OR($AE307="",$AE307="-"),""," "&amp;$AE307)&amp;IF(OR($AF307="",$AF307="-"),""," "&amp;$AF307)&amp;IF($AB307="Y"," 4"&amp;CHAR(34)&amp;" HEAD","")&amp;" "&amp;IFERROR(VLOOKUP($H307,CODES,2,FALSE),"")))</f>
        <v/>
      </c>
      <c r="BR307" s="50">
        <f>IF(NOT(AND($A307&lt;&gt;"",N($BC307)&gt;0)),"",TRIM(IFERROR(VLOOKUP($AH307,CODES,2,FALSE),"")&amp;IF($AI307=""," "," "&amp;$AI307&amp;"GA ")&amp;$AZ307&amp;" "&amp;IF($AN307="",IFERROR(VLOOKUP($Z307,CODES,2,FALSE),""),IFERROR(VLOOKUP($AN307,CODES,2,FALSE),""))&amp;IF($BC307=2," PAIR","")&amp;" DOOR | "&amp;IF($AL307="","?",$AL307)&amp;" | "&amp;IF($AP307="",IFERROR(VLOOKUP($AC307,CODES,2,FALSE),""),IFERROR(VLOOKUP($AP307,CODES,2,FALSE),""))&amp;" "&amp;IFERROR(VLOOKUP($AQ307,CODES,2,FALSE),"")&amp;IF(OR($AR307="",$AR307="-"),""," SEAM "&amp;$AR307)&amp;IF($AS307="Y"," ASTRAGAL","")&amp;IF($AJ307=""," "," "&amp;$AJ307)&amp;IF($AK307=""," "," "&amp;$AK307)&amp;IF($AO307="",""," "&amp;$AO307)&amp;IF($AM307=""," "," SERIES "&amp;$AM307)&amp;" "&amp;IFERROR(VLOOKUP($H307,CODES,2,FALSE),"")))</f>
        <v/>
      </c>
      <c r="BS307" s="49">
        <f>IF(BV307="","",IF(COUNTIF($BV$6:BV307,BV307)=1,MAX($BS$5:BS306)+1,INDEX($BS$5:BS306,MATCH(BV307,$BV$5:BV306,0))))</f>
        <v/>
      </c>
      <c r="BT307" s="49">
        <f>IF(NOT(AND($A307&lt;&gt;"",$C307&lt;&gt;"DOOR ONLY")),"",MAX($BT$5:BT306)+1)</f>
        <v/>
      </c>
      <c r="BU307" s="49">
        <f>IF(NOT(AND($A307&lt;&gt;"",N($BC307)&gt;0)),"",MAX($BU$5:BU306)+1)</f>
        <v/>
      </c>
      <c r="BV307" s="49">
        <f>IF(OR($A307="",$BA307="",$BB307=""),"",$AZ307&amp;"|"&amp;$O307&amp;"|"&amp;$AL307&amp;"|"&amp;$S307&amp;"|"&amp;$P307&amp;"|"&amp;$Q307&amp;$R307&amp;"|"&amp;$C307&amp;"|"&amp;$AB307)</f>
        <v/>
      </c>
      <c r="BW307" s="49">
        <f>IF($A307="","",IF($B307="","qty, ","")&amp;IF($C307="","scope, ","")&amp;IF(OR($K307="",$M307=""),"size, ","")&amp;IF(AND($A307&lt;&gt;"",$C307&lt;&gt;"DOOR ONLY"),IF($U307="","jamb depth, ","")&amp;IF($X307="","construction, ","")&amp;IF($Y307="","anchor, ","")&amp;IF($S307="","frame type, ",""),"")&amp;IF(AND(N($BC307)&gt;0,$Z307=""),"hand, ","")&amp;IF(N($BC307)&gt;0,IF($AH307="","door material, ","")&amp;IF($AL307="","face type, ","")&amp;IF($AQ307="","lock prep, ","")&amp;IF(AND($AP307="",$AC307=""),"hinge prep, ",""),"")&amp;IF(AND($BO307&gt;0,$AH307="FRP"),"FRP cannot carry a label, ","")&amp;IF(AND($O307="Y",OR($Z307="L",$Z307="R",$Z307="LR",$Z307="RR")),"pair marked but hand is single, ","")&amp;IF(AND($O307&lt;&gt;"Y",OR($Z307="PR",AND(LEN($Z307)&gt;1,ISNUMBER(SEARCH("-",$Z307))))),"pair hand on a single door, ","")&amp;IF(AND(ISNUMBER($BP307),$BO307&lt;N($BP307)),"wall needs a "&amp;$BP307&amp;" min door, ","")&amp;IF(AND($BO307&gt;=180,AND(OR($BL307="FG",$BL307="HG",$BL307="FNV",$BL307="FV"),N($BM307)*N($BN307)&gt;100)),"180 min lite over 100 sq in, ","")&amp;IF(N($BD307)&gt;48,"leaf wider than 4'-0"&amp;CHAR(34)&amp;", ",""))</f>
        <v/>
      </c>
      <c r="BX307" s="49">
        <f>IF($A307="","",IF(AND($BO307&gt;0,AND($A307&lt;&gt;"",$C307&lt;&gt;"DOOR ONLY"),$X307="KD",$E307="EXTERIOR"),"KD label on an exterior opening, ","")&amp;IF(AND($E307="EXTERIOR",OR(AND(AND($A307&lt;&gt;"",$C307&lt;&gt;"DOOR ONLY"),$W307="CR"),AND(N($BC307)&gt;0,$AH307="CR"))),"exterior in CR steel (G9?), ","")&amp;IF(AND(ISNUMBER($BJ307),N($BJ307)&lt;32),"clear width ~"&amp;TEXT($BJ307,"0.0")&amp;CHAR(34)&amp;" under 32"&amp;CHAR(34)&amp;" (ADA), ","")&amp;IF(AND($BO307=90,AND(OR($BL307="FG",$BL307="HG",$BL307="FNV",$BL307="FV"),N($BM307)*N($BN307)&gt;100)),"90 min lite over 100 sq in (stair/exit), ","")&amp;IF(AND($BO307&gt;0,AND($A307&lt;&gt;"",$C307&lt;&gt;"DOOR ONLY"),OR($AF307="",$AF307="-")),"rated: closer reinf.?, ","")&amp;IF(OR($I307="CORRIDOR",$I307="SMOKE BARRIER"),"S label + smoke gasketing, ","")&amp;IF($BP307="?","wall type/hr not in IBC table, ","")&amp;IF(AND(N($BC307)&gt;0,$AU307=""),"no hardware set, ","")&amp;IF(AND($AU307&lt;&gt;"",ISNA(MATCH($AU307,HWSets,0))),"set "&amp;$AU307&amp;" not on Hardware sheet, ","")&amp;IF(N($BE307)&gt;96,"leaf over 8'-0"&amp;CHAR(34)&amp;" - check listing, ",""))</f>
        <v/>
      </c>
    </row>
    <row r="308" ht="15" customHeight="1">
      <c r="A308" s="44" t="n"/>
      <c r="B308" s="45" t="n"/>
      <c r="C308" s="45" t="n"/>
      <c r="D308" s="45" t="n"/>
      <c r="E308" s="45" t="n"/>
      <c r="F308" s="45" t="n"/>
      <c r="G308" s="45" t="n"/>
      <c r="H308" s="45" t="n"/>
      <c r="I308" s="45" t="n"/>
      <c r="J308" s="45" t="n"/>
      <c r="K308" s="45" t="n"/>
      <c r="L308" s="45" t="n"/>
      <c r="M308" s="45" t="n"/>
      <c r="N308" s="45" t="n"/>
      <c r="O308" s="45" t="n"/>
      <c r="P308" s="45" t="n"/>
      <c r="Q308" s="45" t="n"/>
      <c r="R308" s="45" t="n"/>
      <c r="S308" s="46" t="n"/>
      <c r="T308" s="46" t="n"/>
      <c r="U308" s="46" t="n"/>
      <c r="V308" s="46" t="n"/>
      <c r="W308" s="46" t="n"/>
      <c r="X308" s="46" t="n"/>
      <c r="Y308" s="46" t="n"/>
      <c r="Z308" s="46" t="n"/>
      <c r="AA308" s="46" t="n"/>
      <c r="AB308" s="46" t="n"/>
      <c r="AC308" s="46" t="n"/>
      <c r="AD308" s="46" t="n"/>
      <c r="AE308" s="46" t="n"/>
      <c r="AF308" s="46" t="n"/>
      <c r="AG308" s="46" t="n"/>
      <c r="AH308" s="47" t="n"/>
      <c r="AI308" s="47" t="n"/>
      <c r="AJ308" s="47" t="n"/>
      <c r="AK308" s="47" t="n"/>
      <c r="AL308" s="47" t="n"/>
      <c r="AM308" s="47" t="n"/>
      <c r="AN308" s="47" t="n"/>
      <c r="AO308" s="47" t="n"/>
      <c r="AP308" s="47" t="n"/>
      <c r="AQ308" s="47" t="n"/>
      <c r="AR308" s="47" t="n"/>
      <c r="AS308" s="47" t="n"/>
      <c r="AT308" s="47" t="n"/>
      <c r="AU308" s="48" t="n"/>
      <c r="AV308" s="48" t="n"/>
      <c r="AW308" s="49">
        <f>IF($A308="","",IF($BW308&lt;&gt;"","FIX",IF($BX308&lt;&gt;"","CHECK","OK")))</f>
        <v/>
      </c>
      <c r="AX308" s="50">
        <f>IF($A308="","",IF($BW308&lt;&gt;"","FIX: "&amp;LEFT($BW308,LEN($BW308)-2)&amp;IF($BX308&lt;&gt;"","  ·  ",""),"")&amp;IF($BX308&lt;&gt;"","CHECK: "&amp;LEFT($BX308,LEN($BX308)-2),""))</f>
        <v/>
      </c>
      <c r="AY308" s="49">
        <f>IF(OR($A308="",$K308=""),"",$K308&amp;"'-"&amp;N($L308)&amp;CHAR(34)&amp;" x "&amp;$M308&amp;"'-"&amp;N($N308)&amp;CHAR(34))</f>
        <v/>
      </c>
      <c r="AZ308" s="49">
        <f>IF(OR($A308="",$K308=""),"",$K308&amp;N($L308)&amp;$M308&amp;N($N308))</f>
        <v/>
      </c>
      <c r="BA308" s="49">
        <f>IF(OR($A308="",$K308=""),"",$K308*12+N($L308))</f>
        <v/>
      </c>
      <c r="BB308" s="49">
        <f>IF(OR($A308="",$M308=""),"",$M308*12+N($N308))</f>
        <v/>
      </c>
      <c r="BC308" s="49">
        <f>IF($A308="","",IF(OR($C308="FRAME ONLY",$S308="BL"),0,IF($O308="Y",2,1)))</f>
        <v/>
      </c>
      <c r="BD308" s="51">
        <f>IF(OR(N($BC308)=0,$BA308=""),"",($BA308-2*EdgeClr-IF($BC308=2,MeetClr,0))/$BC308)</f>
        <v/>
      </c>
      <c r="BE308" s="51">
        <f>IF(OR(N($BC308)=0,$BB308=""),"",$BB308-HeadClr-Undercut)</f>
        <v/>
      </c>
      <c r="BF308" s="51">
        <f>IF($BA308="","",$BA308+2*FaceW+IF(N($Q308)&gt;0,($Q308+FaceW)*IF($R308="LR",2,1),0))</f>
        <v/>
      </c>
      <c r="BG308" s="51">
        <f>IF($BB308="","",$BB308+IF($AB308="Y",4,FaceW)+IF(N($P308)&gt;0,$P308+FaceW,0)+IF(OR($S308="4F",$S308="BL"),FaceW,0))</f>
        <v/>
      </c>
      <c r="BH308" s="51">
        <f>IF($BF308="","",$BF308+2*ROSide)</f>
        <v/>
      </c>
      <c r="BI308" s="51">
        <f>IF($BG308="","",$BG308+ROTop)</f>
        <v/>
      </c>
      <c r="BJ308" s="52">
        <f>IF(OR(N($BC308)=0,$BA308=""),"",$BA308/$BC308-ClearDeduct)</f>
        <v/>
      </c>
      <c r="BK308" s="49">
        <f>IF(OR(N($BC308)=0,$BE308=""),"",IF(OR($AC308="HGC",$AP308="HGC"),"CONT",IF($BE308&lt;=60,2,IF($BE308&lt;=90,3,IF($BE308&lt;=120,4,5)))))</f>
        <v/>
      </c>
      <c r="BL308" s="49">
        <f>IF(N($BC308)=0,"",IF(OR($AL308="",$AL308="FLUSH"),"FLUSH",IFERROR(LEFT($AL308,FIND("-",$AL308)-1),LEFT($AL308,2))))</f>
        <v/>
      </c>
      <c r="BM308" s="49">
        <f>IF($BL308="","",IFERROR(VALUE(MID($AL308,FIND("-",$AL308)+1,FIND(CHAR(34)&amp;"x",$AL308)-FIND("-",$AL308)-1)),0))</f>
        <v/>
      </c>
      <c r="BN308" s="49">
        <f>IF($BL308="","",IFERROR(VALUE(MID($AL308,FIND(CHAR(34)&amp;"x",$AL308)+2,FIND(CHAR(34),$AL308,FIND(CHAR(34)&amp;"x",$AL308)+2)-FIND(CHAR(34)&amp;"x",$AL308)-2)),0))</f>
        <v/>
      </c>
      <c r="BO308" s="53">
        <f>IF(OR($A308="",$H308="",$H308="NO LAB"),0,IFERROR(VALUE(LEFT($H308,FIND(" ",$H308)-1)),0))</f>
        <v/>
      </c>
      <c r="BP308" s="54">
        <f>IF(OR($A308="",$I308="",$I308="NON-RATED",N($J308)=0),"",IFERROR(VLOOKUP($I308&amp;"|"&amp;$J308,IBC,2,FALSE),"?"))</f>
        <v/>
      </c>
      <c r="BQ308" s="50">
        <f>IF(NOT(AND($A308&lt;&gt;"",$C308&lt;&gt;"DOOR ONLY")),"",TRIM(IFERROR(VLOOKUP($U308,CODES,2,FALSE),"")&amp;" "&amp;$AZ308&amp;" "&amp;IFERROR(VLOOKUP($Z308,CODES,2,FALSE),"")&amp;" "&amp;IFERROR(VLOOKUP($X308,CODES,2,FALSE),"")&amp;" "&amp;IFERROR(VLOOKUP($S308,CODES,2,FALSE),"")&amp;IF(N($P308)&gt;0," w/TRANSOM "&amp;$P308&amp;CHAR(34),"")&amp;IF(N($Q308)&gt;0," w/SIDELITE "&amp;$Q308&amp;CHAR(34)&amp;" "&amp;IF($R308="","R",$R308),"")&amp;IF($Y308="","  |  "," | "&amp;IFERROR(VLOOKUP($Y308,CODES,2,FALSE),"")&amp;" | ")&amp;IFERROR(VLOOKUP($AC308,CODES,2,FALSE),"")&amp;" "&amp;IFERROR(VLOOKUP($AD308,CODES,2,FALSE),"")&amp;IF(OR($AE308="",$AE308="-"),""," "&amp;$AE308)&amp;IF(OR($AF308="",$AF308="-"),""," "&amp;$AF308)&amp;IF($AB308="Y"," 4"&amp;CHAR(34)&amp;" HEAD","")&amp;" "&amp;IFERROR(VLOOKUP($H308,CODES,2,FALSE),"")))</f>
        <v/>
      </c>
      <c r="BR308" s="50">
        <f>IF(NOT(AND($A308&lt;&gt;"",N($BC308)&gt;0)),"",TRIM(IFERROR(VLOOKUP($AH308,CODES,2,FALSE),"")&amp;IF($AI308=""," "," "&amp;$AI308&amp;"GA ")&amp;$AZ308&amp;" "&amp;IF($AN308="",IFERROR(VLOOKUP($Z308,CODES,2,FALSE),""),IFERROR(VLOOKUP($AN308,CODES,2,FALSE),""))&amp;IF($BC308=2," PAIR","")&amp;" DOOR | "&amp;IF($AL308="","?",$AL308)&amp;" | "&amp;IF($AP308="",IFERROR(VLOOKUP($AC308,CODES,2,FALSE),""),IFERROR(VLOOKUP($AP308,CODES,2,FALSE),""))&amp;" "&amp;IFERROR(VLOOKUP($AQ308,CODES,2,FALSE),"")&amp;IF(OR($AR308="",$AR308="-"),""," SEAM "&amp;$AR308)&amp;IF($AS308="Y"," ASTRAGAL","")&amp;IF($AJ308=""," "," "&amp;$AJ308)&amp;IF($AK308=""," "," "&amp;$AK308)&amp;IF($AO308="",""," "&amp;$AO308)&amp;IF($AM308=""," "," SERIES "&amp;$AM308)&amp;" "&amp;IFERROR(VLOOKUP($H308,CODES,2,FALSE),"")))</f>
        <v/>
      </c>
      <c r="BS308" s="49">
        <f>IF(BV308="","",IF(COUNTIF($BV$6:BV308,BV308)=1,MAX($BS$5:BS307)+1,INDEX($BS$5:BS307,MATCH(BV308,$BV$5:BV307,0))))</f>
        <v/>
      </c>
      <c r="BT308" s="49">
        <f>IF(NOT(AND($A308&lt;&gt;"",$C308&lt;&gt;"DOOR ONLY")),"",MAX($BT$5:BT307)+1)</f>
        <v/>
      </c>
      <c r="BU308" s="49">
        <f>IF(NOT(AND($A308&lt;&gt;"",N($BC308)&gt;0)),"",MAX($BU$5:BU307)+1)</f>
        <v/>
      </c>
      <c r="BV308" s="49">
        <f>IF(OR($A308="",$BA308="",$BB308=""),"",$AZ308&amp;"|"&amp;$O308&amp;"|"&amp;$AL308&amp;"|"&amp;$S308&amp;"|"&amp;$P308&amp;"|"&amp;$Q308&amp;$R308&amp;"|"&amp;$C308&amp;"|"&amp;$AB308)</f>
        <v/>
      </c>
      <c r="BW308" s="49">
        <f>IF($A308="","",IF($B308="","qty, ","")&amp;IF($C308="","scope, ","")&amp;IF(OR($K308="",$M308=""),"size, ","")&amp;IF(AND($A308&lt;&gt;"",$C308&lt;&gt;"DOOR ONLY"),IF($U308="","jamb depth, ","")&amp;IF($X308="","construction, ","")&amp;IF($Y308="","anchor, ","")&amp;IF($S308="","frame type, ",""),"")&amp;IF(AND(N($BC308)&gt;0,$Z308=""),"hand, ","")&amp;IF(N($BC308)&gt;0,IF($AH308="","door material, ","")&amp;IF($AL308="","face type, ","")&amp;IF($AQ308="","lock prep, ","")&amp;IF(AND($AP308="",$AC308=""),"hinge prep, ",""),"")&amp;IF(AND($BO308&gt;0,$AH308="FRP"),"FRP cannot carry a label, ","")&amp;IF(AND($O308="Y",OR($Z308="L",$Z308="R",$Z308="LR",$Z308="RR")),"pair marked but hand is single, ","")&amp;IF(AND($O308&lt;&gt;"Y",OR($Z308="PR",AND(LEN($Z308)&gt;1,ISNUMBER(SEARCH("-",$Z308))))),"pair hand on a single door, ","")&amp;IF(AND(ISNUMBER($BP308),$BO308&lt;N($BP308)),"wall needs a "&amp;$BP308&amp;" min door, ","")&amp;IF(AND($BO308&gt;=180,AND(OR($BL308="FG",$BL308="HG",$BL308="FNV",$BL308="FV"),N($BM308)*N($BN308)&gt;100)),"180 min lite over 100 sq in, ","")&amp;IF(N($BD308)&gt;48,"leaf wider than 4'-0"&amp;CHAR(34)&amp;", ",""))</f>
        <v/>
      </c>
      <c r="BX308" s="49">
        <f>IF($A308="","",IF(AND($BO308&gt;0,AND($A308&lt;&gt;"",$C308&lt;&gt;"DOOR ONLY"),$X308="KD",$E308="EXTERIOR"),"KD label on an exterior opening, ","")&amp;IF(AND($E308="EXTERIOR",OR(AND(AND($A308&lt;&gt;"",$C308&lt;&gt;"DOOR ONLY"),$W308="CR"),AND(N($BC308)&gt;0,$AH308="CR"))),"exterior in CR steel (G9?), ","")&amp;IF(AND(ISNUMBER($BJ308),N($BJ308)&lt;32),"clear width ~"&amp;TEXT($BJ308,"0.0")&amp;CHAR(34)&amp;" under 32"&amp;CHAR(34)&amp;" (ADA), ","")&amp;IF(AND($BO308=90,AND(OR($BL308="FG",$BL308="HG",$BL308="FNV",$BL308="FV"),N($BM308)*N($BN308)&gt;100)),"90 min lite over 100 sq in (stair/exit), ","")&amp;IF(AND($BO308&gt;0,AND($A308&lt;&gt;"",$C308&lt;&gt;"DOOR ONLY"),OR($AF308="",$AF308="-")),"rated: closer reinf.?, ","")&amp;IF(OR($I308="CORRIDOR",$I308="SMOKE BARRIER"),"S label + smoke gasketing, ","")&amp;IF($BP308="?","wall type/hr not in IBC table, ","")&amp;IF(AND(N($BC308)&gt;0,$AU308=""),"no hardware set, ","")&amp;IF(AND($AU308&lt;&gt;"",ISNA(MATCH($AU308,HWSets,0))),"set "&amp;$AU308&amp;" not on Hardware sheet, ","")&amp;IF(N($BE308)&gt;96,"leaf over 8'-0"&amp;CHAR(34)&amp;" - check listing, ",""))</f>
        <v/>
      </c>
    </row>
    <row r="309" ht="15" customHeight="1">
      <c r="A309" s="44" t="n"/>
      <c r="B309" s="45" t="n"/>
      <c r="C309" s="45" t="n"/>
      <c r="D309" s="45" t="n"/>
      <c r="E309" s="45" t="n"/>
      <c r="F309" s="45" t="n"/>
      <c r="G309" s="45" t="n"/>
      <c r="H309" s="45" t="n"/>
      <c r="I309" s="45" t="n"/>
      <c r="J309" s="45" t="n"/>
      <c r="K309" s="45" t="n"/>
      <c r="L309" s="45" t="n"/>
      <c r="M309" s="45" t="n"/>
      <c r="N309" s="45" t="n"/>
      <c r="O309" s="45" t="n"/>
      <c r="P309" s="45" t="n"/>
      <c r="Q309" s="45" t="n"/>
      <c r="R309" s="45" t="n"/>
      <c r="S309" s="46" t="n"/>
      <c r="T309" s="46" t="n"/>
      <c r="U309" s="46" t="n"/>
      <c r="V309" s="46" t="n"/>
      <c r="W309" s="46" t="n"/>
      <c r="X309" s="46" t="n"/>
      <c r="Y309" s="46" t="n"/>
      <c r="Z309" s="46" t="n"/>
      <c r="AA309" s="46" t="n"/>
      <c r="AB309" s="46" t="n"/>
      <c r="AC309" s="46" t="n"/>
      <c r="AD309" s="46" t="n"/>
      <c r="AE309" s="46" t="n"/>
      <c r="AF309" s="46" t="n"/>
      <c r="AG309" s="46" t="n"/>
      <c r="AH309" s="47" t="n"/>
      <c r="AI309" s="47" t="n"/>
      <c r="AJ309" s="47" t="n"/>
      <c r="AK309" s="47" t="n"/>
      <c r="AL309" s="47" t="n"/>
      <c r="AM309" s="47" t="n"/>
      <c r="AN309" s="47" t="n"/>
      <c r="AO309" s="47" t="n"/>
      <c r="AP309" s="47" t="n"/>
      <c r="AQ309" s="47" t="n"/>
      <c r="AR309" s="47" t="n"/>
      <c r="AS309" s="47" t="n"/>
      <c r="AT309" s="47" t="n"/>
      <c r="AU309" s="48" t="n"/>
      <c r="AV309" s="48" t="n"/>
      <c r="AW309" s="49">
        <f>IF($A309="","",IF($BW309&lt;&gt;"","FIX",IF($BX309&lt;&gt;"","CHECK","OK")))</f>
        <v/>
      </c>
      <c r="AX309" s="50">
        <f>IF($A309="","",IF($BW309&lt;&gt;"","FIX: "&amp;LEFT($BW309,LEN($BW309)-2)&amp;IF($BX309&lt;&gt;"","  ·  ",""),"")&amp;IF($BX309&lt;&gt;"","CHECK: "&amp;LEFT($BX309,LEN($BX309)-2),""))</f>
        <v/>
      </c>
      <c r="AY309" s="49">
        <f>IF(OR($A309="",$K309=""),"",$K309&amp;"'-"&amp;N($L309)&amp;CHAR(34)&amp;" x "&amp;$M309&amp;"'-"&amp;N($N309)&amp;CHAR(34))</f>
        <v/>
      </c>
      <c r="AZ309" s="49">
        <f>IF(OR($A309="",$K309=""),"",$K309&amp;N($L309)&amp;$M309&amp;N($N309))</f>
        <v/>
      </c>
      <c r="BA309" s="49">
        <f>IF(OR($A309="",$K309=""),"",$K309*12+N($L309))</f>
        <v/>
      </c>
      <c r="BB309" s="49">
        <f>IF(OR($A309="",$M309=""),"",$M309*12+N($N309))</f>
        <v/>
      </c>
      <c r="BC309" s="49">
        <f>IF($A309="","",IF(OR($C309="FRAME ONLY",$S309="BL"),0,IF($O309="Y",2,1)))</f>
        <v/>
      </c>
      <c r="BD309" s="51">
        <f>IF(OR(N($BC309)=0,$BA309=""),"",($BA309-2*EdgeClr-IF($BC309=2,MeetClr,0))/$BC309)</f>
        <v/>
      </c>
      <c r="BE309" s="51">
        <f>IF(OR(N($BC309)=0,$BB309=""),"",$BB309-HeadClr-Undercut)</f>
        <v/>
      </c>
      <c r="BF309" s="51">
        <f>IF($BA309="","",$BA309+2*FaceW+IF(N($Q309)&gt;0,($Q309+FaceW)*IF($R309="LR",2,1),0))</f>
        <v/>
      </c>
      <c r="BG309" s="51">
        <f>IF($BB309="","",$BB309+IF($AB309="Y",4,FaceW)+IF(N($P309)&gt;0,$P309+FaceW,0)+IF(OR($S309="4F",$S309="BL"),FaceW,0))</f>
        <v/>
      </c>
      <c r="BH309" s="51">
        <f>IF($BF309="","",$BF309+2*ROSide)</f>
        <v/>
      </c>
      <c r="BI309" s="51">
        <f>IF($BG309="","",$BG309+ROTop)</f>
        <v/>
      </c>
      <c r="BJ309" s="52">
        <f>IF(OR(N($BC309)=0,$BA309=""),"",$BA309/$BC309-ClearDeduct)</f>
        <v/>
      </c>
      <c r="BK309" s="49">
        <f>IF(OR(N($BC309)=0,$BE309=""),"",IF(OR($AC309="HGC",$AP309="HGC"),"CONT",IF($BE309&lt;=60,2,IF($BE309&lt;=90,3,IF($BE309&lt;=120,4,5)))))</f>
        <v/>
      </c>
      <c r="BL309" s="49">
        <f>IF(N($BC309)=0,"",IF(OR($AL309="",$AL309="FLUSH"),"FLUSH",IFERROR(LEFT($AL309,FIND("-",$AL309)-1),LEFT($AL309,2))))</f>
        <v/>
      </c>
      <c r="BM309" s="49">
        <f>IF($BL309="","",IFERROR(VALUE(MID($AL309,FIND("-",$AL309)+1,FIND(CHAR(34)&amp;"x",$AL309)-FIND("-",$AL309)-1)),0))</f>
        <v/>
      </c>
      <c r="BN309" s="49">
        <f>IF($BL309="","",IFERROR(VALUE(MID($AL309,FIND(CHAR(34)&amp;"x",$AL309)+2,FIND(CHAR(34),$AL309,FIND(CHAR(34)&amp;"x",$AL309)+2)-FIND(CHAR(34)&amp;"x",$AL309)-2)),0))</f>
        <v/>
      </c>
      <c r="BO309" s="53">
        <f>IF(OR($A309="",$H309="",$H309="NO LAB"),0,IFERROR(VALUE(LEFT($H309,FIND(" ",$H309)-1)),0))</f>
        <v/>
      </c>
      <c r="BP309" s="54">
        <f>IF(OR($A309="",$I309="",$I309="NON-RATED",N($J309)=0),"",IFERROR(VLOOKUP($I309&amp;"|"&amp;$J309,IBC,2,FALSE),"?"))</f>
        <v/>
      </c>
      <c r="BQ309" s="50">
        <f>IF(NOT(AND($A309&lt;&gt;"",$C309&lt;&gt;"DOOR ONLY")),"",TRIM(IFERROR(VLOOKUP($U309,CODES,2,FALSE),"")&amp;" "&amp;$AZ309&amp;" "&amp;IFERROR(VLOOKUP($Z309,CODES,2,FALSE),"")&amp;" "&amp;IFERROR(VLOOKUP($X309,CODES,2,FALSE),"")&amp;" "&amp;IFERROR(VLOOKUP($S309,CODES,2,FALSE),"")&amp;IF(N($P309)&gt;0," w/TRANSOM "&amp;$P309&amp;CHAR(34),"")&amp;IF(N($Q309)&gt;0," w/SIDELITE "&amp;$Q309&amp;CHAR(34)&amp;" "&amp;IF($R309="","R",$R309),"")&amp;IF($Y309="","  |  "," | "&amp;IFERROR(VLOOKUP($Y309,CODES,2,FALSE),"")&amp;" | ")&amp;IFERROR(VLOOKUP($AC309,CODES,2,FALSE),"")&amp;" "&amp;IFERROR(VLOOKUP($AD309,CODES,2,FALSE),"")&amp;IF(OR($AE309="",$AE309="-"),""," "&amp;$AE309)&amp;IF(OR($AF309="",$AF309="-"),""," "&amp;$AF309)&amp;IF($AB309="Y"," 4"&amp;CHAR(34)&amp;" HEAD","")&amp;" "&amp;IFERROR(VLOOKUP($H309,CODES,2,FALSE),"")))</f>
        <v/>
      </c>
      <c r="BR309" s="50">
        <f>IF(NOT(AND($A309&lt;&gt;"",N($BC309)&gt;0)),"",TRIM(IFERROR(VLOOKUP($AH309,CODES,2,FALSE),"")&amp;IF($AI309=""," "," "&amp;$AI309&amp;"GA ")&amp;$AZ309&amp;" "&amp;IF($AN309="",IFERROR(VLOOKUP($Z309,CODES,2,FALSE),""),IFERROR(VLOOKUP($AN309,CODES,2,FALSE),""))&amp;IF($BC309=2," PAIR","")&amp;" DOOR | "&amp;IF($AL309="","?",$AL309)&amp;" | "&amp;IF($AP309="",IFERROR(VLOOKUP($AC309,CODES,2,FALSE),""),IFERROR(VLOOKUP($AP309,CODES,2,FALSE),""))&amp;" "&amp;IFERROR(VLOOKUP($AQ309,CODES,2,FALSE),"")&amp;IF(OR($AR309="",$AR309="-"),""," SEAM "&amp;$AR309)&amp;IF($AS309="Y"," ASTRAGAL","")&amp;IF($AJ309=""," "," "&amp;$AJ309)&amp;IF($AK309=""," "," "&amp;$AK309)&amp;IF($AO309="",""," "&amp;$AO309)&amp;IF($AM309=""," "," SERIES "&amp;$AM309)&amp;" "&amp;IFERROR(VLOOKUP($H309,CODES,2,FALSE),"")))</f>
        <v/>
      </c>
      <c r="BS309" s="49">
        <f>IF(BV309="","",IF(COUNTIF($BV$6:BV309,BV309)=1,MAX($BS$5:BS308)+1,INDEX($BS$5:BS308,MATCH(BV309,$BV$5:BV308,0))))</f>
        <v/>
      </c>
      <c r="BT309" s="49">
        <f>IF(NOT(AND($A309&lt;&gt;"",$C309&lt;&gt;"DOOR ONLY")),"",MAX($BT$5:BT308)+1)</f>
        <v/>
      </c>
      <c r="BU309" s="49">
        <f>IF(NOT(AND($A309&lt;&gt;"",N($BC309)&gt;0)),"",MAX($BU$5:BU308)+1)</f>
        <v/>
      </c>
      <c r="BV309" s="49">
        <f>IF(OR($A309="",$BA309="",$BB309=""),"",$AZ309&amp;"|"&amp;$O309&amp;"|"&amp;$AL309&amp;"|"&amp;$S309&amp;"|"&amp;$P309&amp;"|"&amp;$Q309&amp;$R309&amp;"|"&amp;$C309&amp;"|"&amp;$AB309)</f>
        <v/>
      </c>
      <c r="BW309" s="49">
        <f>IF($A309="","",IF($B309="","qty, ","")&amp;IF($C309="","scope, ","")&amp;IF(OR($K309="",$M309=""),"size, ","")&amp;IF(AND($A309&lt;&gt;"",$C309&lt;&gt;"DOOR ONLY"),IF($U309="","jamb depth, ","")&amp;IF($X309="","construction, ","")&amp;IF($Y309="","anchor, ","")&amp;IF($S309="","frame type, ",""),"")&amp;IF(AND(N($BC309)&gt;0,$Z309=""),"hand, ","")&amp;IF(N($BC309)&gt;0,IF($AH309="","door material, ","")&amp;IF($AL309="","face type, ","")&amp;IF($AQ309="","lock prep, ","")&amp;IF(AND($AP309="",$AC309=""),"hinge prep, ",""),"")&amp;IF(AND($BO309&gt;0,$AH309="FRP"),"FRP cannot carry a label, ","")&amp;IF(AND($O309="Y",OR($Z309="L",$Z309="R",$Z309="LR",$Z309="RR")),"pair marked but hand is single, ","")&amp;IF(AND($O309&lt;&gt;"Y",OR($Z309="PR",AND(LEN($Z309)&gt;1,ISNUMBER(SEARCH("-",$Z309))))),"pair hand on a single door, ","")&amp;IF(AND(ISNUMBER($BP309),$BO309&lt;N($BP309)),"wall needs a "&amp;$BP309&amp;" min door, ","")&amp;IF(AND($BO309&gt;=180,AND(OR($BL309="FG",$BL309="HG",$BL309="FNV",$BL309="FV"),N($BM309)*N($BN309)&gt;100)),"180 min lite over 100 sq in, ","")&amp;IF(N($BD309)&gt;48,"leaf wider than 4'-0"&amp;CHAR(34)&amp;", ",""))</f>
        <v/>
      </c>
      <c r="BX309" s="49">
        <f>IF($A309="","",IF(AND($BO309&gt;0,AND($A309&lt;&gt;"",$C309&lt;&gt;"DOOR ONLY"),$X309="KD",$E309="EXTERIOR"),"KD label on an exterior opening, ","")&amp;IF(AND($E309="EXTERIOR",OR(AND(AND($A309&lt;&gt;"",$C309&lt;&gt;"DOOR ONLY"),$W309="CR"),AND(N($BC309)&gt;0,$AH309="CR"))),"exterior in CR steel (G9?), ","")&amp;IF(AND(ISNUMBER($BJ309),N($BJ309)&lt;32),"clear width ~"&amp;TEXT($BJ309,"0.0")&amp;CHAR(34)&amp;" under 32"&amp;CHAR(34)&amp;" (ADA), ","")&amp;IF(AND($BO309=90,AND(OR($BL309="FG",$BL309="HG",$BL309="FNV",$BL309="FV"),N($BM309)*N($BN309)&gt;100)),"90 min lite over 100 sq in (stair/exit), ","")&amp;IF(AND($BO309&gt;0,AND($A309&lt;&gt;"",$C309&lt;&gt;"DOOR ONLY"),OR($AF309="",$AF309="-")),"rated: closer reinf.?, ","")&amp;IF(OR($I309="CORRIDOR",$I309="SMOKE BARRIER"),"S label + smoke gasketing, ","")&amp;IF($BP309="?","wall type/hr not in IBC table, ","")&amp;IF(AND(N($BC309)&gt;0,$AU309=""),"no hardware set, ","")&amp;IF(AND($AU309&lt;&gt;"",ISNA(MATCH($AU309,HWSets,0))),"set "&amp;$AU309&amp;" not on Hardware sheet, ","")&amp;IF(N($BE309)&gt;96,"leaf over 8'-0"&amp;CHAR(34)&amp;" - check listing, ",""))</f>
        <v/>
      </c>
    </row>
    <row r="310" ht="15" customHeight="1">
      <c r="A310" s="44" t="n"/>
      <c r="B310" s="45" t="n"/>
      <c r="C310" s="45" t="n"/>
      <c r="D310" s="45" t="n"/>
      <c r="E310" s="45" t="n"/>
      <c r="F310" s="45" t="n"/>
      <c r="G310" s="45" t="n"/>
      <c r="H310" s="45" t="n"/>
      <c r="I310" s="45" t="n"/>
      <c r="J310" s="45" t="n"/>
      <c r="K310" s="45" t="n"/>
      <c r="L310" s="45" t="n"/>
      <c r="M310" s="45" t="n"/>
      <c r="N310" s="45" t="n"/>
      <c r="O310" s="45" t="n"/>
      <c r="P310" s="45" t="n"/>
      <c r="Q310" s="45" t="n"/>
      <c r="R310" s="45" t="n"/>
      <c r="S310" s="46" t="n"/>
      <c r="T310" s="46" t="n"/>
      <c r="U310" s="46" t="n"/>
      <c r="V310" s="46" t="n"/>
      <c r="W310" s="46" t="n"/>
      <c r="X310" s="46" t="n"/>
      <c r="Y310" s="46" t="n"/>
      <c r="Z310" s="46" t="n"/>
      <c r="AA310" s="46" t="n"/>
      <c r="AB310" s="46" t="n"/>
      <c r="AC310" s="46" t="n"/>
      <c r="AD310" s="46" t="n"/>
      <c r="AE310" s="46" t="n"/>
      <c r="AF310" s="46" t="n"/>
      <c r="AG310" s="46" t="n"/>
      <c r="AH310" s="47" t="n"/>
      <c r="AI310" s="47" t="n"/>
      <c r="AJ310" s="47" t="n"/>
      <c r="AK310" s="47" t="n"/>
      <c r="AL310" s="47" t="n"/>
      <c r="AM310" s="47" t="n"/>
      <c r="AN310" s="47" t="n"/>
      <c r="AO310" s="47" t="n"/>
      <c r="AP310" s="47" t="n"/>
      <c r="AQ310" s="47" t="n"/>
      <c r="AR310" s="47" t="n"/>
      <c r="AS310" s="47" t="n"/>
      <c r="AT310" s="47" t="n"/>
      <c r="AU310" s="48" t="n"/>
      <c r="AV310" s="48" t="n"/>
      <c r="AW310" s="49">
        <f>IF($A310="","",IF($BW310&lt;&gt;"","FIX",IF($BX310&lt;&gt;"","CHECK","OK")))</f>
        <v/>
      </c>
      <c r="AX310" s="50">
        <f>IF($A310="","",IF($BW310&lt;&gt;"","FIX: "&amp;LEFT($BW310,LEN($BW310)-2)&amp;IF($BX310&lt;&gt;"","  ·  ",""),"")&amp;IF($BX310&lt;&gt;"","CHECK: "&amp;LEFT($BX310,LEN($BX310)-2),""))</f>
        <v/>
      </c>
      <c r="AY310" s="49">
        <f>IF(OR($A310="",$K310=""),"",$K310&amp;"'-"&amp;N($L310)&amp;CHAR(34)&amp;" x "&amp;$M310&amp;"'-"&amp;N($N310)&amp;CHAR(34))</f>
        <v/>
      </c>
      <c r="AZ310" s="49">
        <f>IF(OR($A310="",$K310=""),"",$K310&amp;N($L310)&amp;$M310&amp;N($N310))</f>
        <v/>
      </c>
      <c r="BA310" s="49">
        <f>IF(OR($A310="",$K310=""),"",$K310*12+N($L310))</f>
        <v/>
      </c>
      <c r="BB310" s="49">
        <f>IF(OR($A310="",$M310=""),"",$M310*12+N($N310))</f>
        <v/>
      </c>
      <c r="BC310" s="49">
        <f>IF($A310="","",IF(OR($C310="FRAME ONLY",$S310="BL"),0,IF($O310="Y",2,1)))</f>
        <v/>
      </c>
      <c r="BD310" s="51">
        <f>IF(OR(N($BC310)=0,$BA310=""),"",($BA310-2*EdgeClr-IF($BC310=2,MeetClr,0))/$BC310)</f>
        <v/>
      </c>
      <c r="BE310" s="51">
        <f>IF(OR(N($BC310)=0,$BB310=""),"",$BB310-HeadClr-Undercut)</f>
        <v/>
      </c>
      <c r="BF310" s="51">
        <f>IF($BA310="","",$BA310+2*FaceW+IF(N($Q310)&gt;0,($Q310+FaceW)*IF($R310="LR",2,1),0))</f>
        <v/>
      </c>
      <c r="BG310" s="51">
        <f>IF($BB310="","",$BB310+IF($AB310="Y",4,FaceW)+IF(N($P310)&gt;0,$P310+FaceW,0)+IF(OR($S310="4F",$S310="BL"),FaceW,0))</f>
        <v/>
      </c>
      <c r="BH310" s="51">
        <f>IF($BF310="","",$BF310+2*ROSide)</f>
        <v/>
      </c>
      <c r="BI310" s="51">
        <f>IF($BG310="","",$BG310+ROTop)</f>
        <v/>
      </c>
      <c r="BJ310" s="52">
        <f>IF(OR(N($BC310)=0,$BA310=""),"",$BA310/$BC310-ClearDeduct)</f>
        <v/>
      </c>
      <c r="BK310" s="49">
        <f>IF(OR(N($BC310)=0,$BE310=""),"",IF(OR($AC310="HGC",$AP310="HGC"),"CONT",IF($BE310&lt;=60,2,IF($BE310&lt;=90,3,IF($BE310&lt;=120,4,5)))))</f>
        <v/>
      </c>
      <c r="BL310" s="49">
        <f>IF(N($BC310)=0,"",IF(OR($AL310="",$AL310="FLUSH"),"FLUSH",IFERROR(LEFT($AL310,FIND("-",$AL310)-1),LEFT($AL310,2))))</f>
        <v/>
      </c>
      <c r="BM310" s="49">
        <f>IF($BL310="","",IFERROR(VALUE(MID($AL310,FIND("-",$AL310)+1,FIND(CHAR(34)&amp;"x",$AL310)-FIND("-",$AL310)-1)),0))</f>
        <v/>
      </c>
      <c r="BN310" s="49">
        <f>IF($BL310="","",IFERROR(VALUE(MID($AL310,FIND(CHAR(34)&amp;"x",$AL310)+2,FIND(CHAR(34),$AL310,FIND(CHAR(34)&amp;"x",$AL310)+2)-FIND(CHAR(34)&amp;"x",$AL310)-2)),0))</f>
        <v/>
      </c>
      <c r="BO310" s="53">
        <f>IF(OR($A310="",$H310="",$H310="NO LAB"),0,IFERROR(VALUE(LEFT($H310,FIND(" ",$H310)-1)),0))</f>
        <v/>
      </c>
      <c r="BP310" s="54">
        <f>IF(OR($A310="",$I310="",$I310="NON-RATED",N($J310)=0),"",IFERROR(VLOOKUP($I310&amp;"|"&amp;$J310,IBC,2,FALSE),"?"))</f>
        <v/>
      </c>
      <c r="BQ310" s="50">
        <f>IF(NOT(AND($A310&lt;&gt;"",$C310&lt;&gt;"DOOR ONLY")),"",TRIM(IFERROR(VLOOKUP($U310,CODES,2,FALSE),"")&amp;" "&amp;$AZ310&amp;" "&amp;IFERROR(VLOOKUP($Z310,CODES,2,FALSE),"")&amp;" "&amp;IFERROR(VLOOKUP($X310,CODES,2,FALSE),"")&amp;" "&amp;IFERROR(VLOOKUP($S310,CODES,2,FALSE),"")&amp;IF(N($P310)&gt;0," w/TRANSOM "&amp;$P310&amp;CHAR(34),"")&amp;IF(N($Q310)&gt;0," w/SIDELITE "&amp;$Q310&amp;CHAR(34)&amp;" "&amp;IF($R310="","R",$R310),"")&amp;IF($Y310="","  |  "," | "&amp;IFERROR(VLOOKUP($Y310,CODES,2,FALSE),"")&amp;" | ")&amp;IFERROR(VLOOKUP($AC310,CODES,2,FALSE),"")&amp;" "&amp;IFERROR(VLOOKUP($AD310,CODES,2,FALSE),"")&amp;IF(OR($AE310="",$AE310="-"),""," "&amp;$AE310)&amp;IF(OR($AF310="",$AF310="-"),""," "&amp;$AF310)&amp;IF($AB310="Y"," 4"&amp;CHAR(34)&amp;" HEAD","")&amp;" "&amp;IFERROR(VLOOKUP($H310,CODES,2,FALSE),"")))</f>
        <v/>
      </c>
      <c r="BR310" s="50">
        <f>IF(NOT(AND($A310&lt;&gt;"",N($BC310)&gt;0)),"",TRIM(IFERROR(VLOOKUP($AH310,CODES,2,FALSE),"")&amp;IF($AI310=""," "," "&amp;$AI310&amp;"GA ")&amp;$AZ310&amp;" "&amp;IF($AN310="",IFERROR(VLOOKUP($Z310,CODES,2,FALSE),""),IFERROR(VLOOKUP($AN310,CODES,2,FALSE),""))&amp;IF($BC310=2," PAIR","")&amp;" DOOR | "&amp;IF($AL310="","?",$AL310)&amp;" | "&amp;IF($AP310="",IFERROR(VLOOKUP($AC310,CODES,2,FALSE),""),IFERROR(VLOOKUP($AP310,CODES,2,FALSE),""))&amp;" "&amp;IFERROR(VLOOKUP($AQ310,CODES,2,FALSE),"")&amp;IF(OR($AR310="",$AR310="-"),""," SEAM "&amp;$AR310)&amp;IF($AS310="Y"," ASTRAGAL","")&amp;IF($AJ310=""," "," "&amp;$AJ310)&amp;IF($AK310=""," "," "&amp;$AK310)&amp;IF($AO310="",""," "&amp;$AO310)&amp;IF($AM310=""," "," SERIES "&amp;$AM310)&amp;" "&amp;IFERROR(VLOOKUP($H310,CODES,2,FALSE),"")))</f>
        <v/>
      </c>
      <c r="BS310" s="49">
        <f>IF(BV310="","",IF(COUNTIF($BV$6:BV310,BV310)=1,MAX($BS$5:BS309)+1,INDEX($BS$5:BS309,MATCH(BV310,$BV$5:BV309,0))))</f>
        <v/>
      </c>
      <c r="BT310" s="49">
        <f>IF(NOT(AND($A310&lt;&gt;"",$C310&lt;&gt;"DOOR ONLY")),"",MAX($BT$5:BT309)+1)</f>
        <v/>
      </c>
      <c r="BU310" s="49">
        <f>IF(NOT(AND($A310&lt;&gt;"",N($BC310)&gt;0)),"",MAX($BU$5:BU309)+1)</f>
        <v/>
      </c>
      <c r="BV310" s="49">
        <f>IF(OR($A310="",$BA310="",$BB310=""),"",$AZ310&amp;"|"&amp;$O310&amp;"|"&amp;$AL310&amp;"|"&amp;$S310&amp;"|"&amp;$P310&amp;"|"&amp;$Q310&amp;$R310&amp;"|"&amp;$C310&amp;"|"&amp;$AB310)</f>
        <v/>
      </c>
      <c r="BW310" s="49">
        <f>IF($A310="","",IF($B310="","qty, ","")&amp;IF($C310="","scope, ","")&amp;IF(OR($K310="",$M310=""),"size, ","")&amp;IF(AND($A310&lt;&gt;"",$C310&lt;&gt;"DOOR ONLY"),IF($U310="","jamb depth, ","")&amp;IF($X310="","construction, ","")&amp;IF($Y310="","anchor, ","")&amp;IF($S310="","frame type, ",""),"")&amp;IF(AND(N($BC310)&gt;0,$Z310=""),"hand, ","")&amp;IF(N($BC310)&gt;0,IF($AH310="","door material, ","")&amp;IF($AL310="","face type, ","")&amp;IF($AQ310="","lock prep, ","")&amp;IF(AND($AP310="",$AC310=""),"hinge prep, ",""),"")&amp;IF(AND($BO310&gt;0,$AH310="FRP"),"FRP cannot carry a label, ","")&amp;IF(AND($O310="Y",OR($Z310="L",$Z310="R",$Z310="LR",$Z310="RR")),"pair marked but hand is single, ","")&amp;IF(AND($O310&lt;&gt;"Y",OR($Z310="PR",AND(LEN($Z310)&gt;1,ISNUMBER(SEARCH("-",$Z310))))),"pair hand on a single door, ","")&amp;IF(AND(ISNUMBER($BP310),$BO310&lt;N($BP310)),"wall needs a "&amp;$BP310&amp;" min door, ","")&amp;IF(AND($BO310&gt;=180,AND(OR($BL310="FG",$BL310="HG",$BL310="FNV",$BL310="FV"),N($BM310)*N($BN310)&gt;100)),"180 min lite over 100 sq in, ","")&amp;IF(N($BD310)&gt;48,"leaf wider than 4'-0"&amp;CHAR(34)&amp;", ",""))</f>
        <v/>
      </c>
      <c r="BX310" s="49">
        <f>IF($A310="","",IF(AND($BO310&gt;0,AND($A310&lt;&gt;"",$C310&lt;&gt;"DOOR ONLY"),$X310="KD",$E310="EXTERIOR"),"KD label on an exterior opening, ","")&amp;IF(AND($E310="EXTERIOR",OR(AND(AND($A310&lt;&gt;"",$C310&lt;&gt;"DOOR ONLY"),$W310="CR"),AND(N($BC310)&gt;0,$AH310="CR"))),"exterior in CR steel (G9?), ","")&amp;IF(AND(ISNUMBER($BJ310),N($BJ310)&lt;32),"clear width ~"&amp;TEXT($BJ310,"0.0")&amp;CHAR(34)&amp;" under 32"&amp;CHAR(34)&amp;" (ADA), ","")&amp;IF(AND($BO310=90,AND(OR($BL310="FG",$BL310="HG",$BL310="FNV",$BL310="FV"),N($BM310)*N($BN310)&gt;100)),"90 min lite over 100 sq in (stair/exit), ","")&amp;IF(AND($BO310&gt;0,AND($A310&lt;&gt;"",$C310&lt;&gt;"DOOR ONLY"),OR($AF310="",$AF310="-")),"rated: closer reinf.?, ","")&amp;IF(OR($I310="CORRIDOR",$I310="SMOKE BARRIER"),"S label + smoke gasketing, ","")&amp;IF($BP310="?","wall type/hr not in IBC table, ","")&amp;IF(AND(N($BC310)&gt;0,$AU310=""),"no hardware set, ","")&amp;IF(AND($AU310&lt;&gt;"",ISNA(MATCH($AU310,HWSets,0))),"set "&amp;$AU310&amp;" not on Hardware sheet, ","")&amp;IF(N($BE310)&gt;96,"leaf over 8'-0"&amp;CHAR(34)&amp;" - check listing, ",""))</f>
        <v/>
      </c>
    </row>
    <row r="311" ht="15" customHeight="1">
      <c r="A311" s="44" t="n"/>
      <c r="B311" s="45" t="n"/>
      <c r="C311" s="45" t="n"/>
      <c r="D311" s="45" t="n"/>
      <c r="E311" s="45" t="n"/>
      <c r="F311" s="45" t="n"/>
      <c r="G311" s="45" t="n"/>
      <c r="H311" s="45" t="n"/>
      <c r="I311" s="45" t="n"/>
      <c r="J311" s="45" t="n"/>
      <c r="K311" s="45" t="n"/>
      <c r="L311" s="45" t="n"/>
      <c r="M311" s="45" t="n"/>
      <c r="N311" s="45" t="n"/>
      <c r="O311" s="45" t="n"/>
      <c r="P311" s="45" t="n"/>
      <c r="Q311" s="45" t="n"/>
      <c r="R311" s="45" t="n"/>
      <c r="S311" s="46" t="n"/>
      <c r="T311" s="46" t="n"/>
      <c r="U311" s="46" t="n"/>
      <c r="V311" s="46" t="n"/>
      <c r="W311" s="46" t="n"/>
      <c r="X311" s="46" t="n"/>
      <c r="Y311" s="46" t="n"/>
      <c r="Z311" s="46" t="n"/>
      <c r="AA311" s="46" t="n"/>
      <c r="AB311" s="46" t="n"/>
      <c r="AC311" s="46" t="n"/>
      <c r="AD311" s="46" t="n"/>
      <c r="AE311" s="46" t="n"/>
      <c r="AF311" s="46" t="n"/>
      <c r="AG311" s="46" t="n"/>
      <c r="AH311" s="47" t="n"/>
      <c r="AI311" s="47" t="n"/>
      <c r="AJ311" s="47" t="n"/>
      <c r="AK311" s="47" t="n"/>
      <c r="AL311" s="47" t="n"/>
      <c r="AM311" s="47" t="n"/>
      <c r="AN311" s="47" t="n"/>
      <c r="AO311" s="47" t="n"/>
      <c r="AP311" s="47" t="n"/>
      <c r="AQ311" s="47" t="n"/>
      <c r="AR311" s="47" t="n"/>
      <c r="AS311" s="47" t="n"/>
      <c r="AT311" s="47" t="n"/>
      <c r="AU311" s="48" t="n"/>
      <c r="AV311" s="48" t="n"/>
      <c r="AW311" s="49">
        <f>IF($A311="","",IF($BW311&lt;&gt;"","FIX",IF($BX311&lt;&gt;"","CHECK","OK")))</f>
        <v/>
      </c>
      <c r="AX311" s="50">
        <f>IF($A311="","",IF($BW311&lt;&gt;"","FIX: "&amp;LEFT($BW311,LEN($BW311)-2)&amp;IF($BX311&lt;&gt;"","  ·  ",""),"")&amp;IF($BX311&lt;&gt;"","CHECK: "&amp;LEFT($BX311,LEN($BX311)-2),""))</f>
        <v/>
      </c>
      <c r="AY311" s="49">
        <f>IF(OR($A311="",$K311=""),"",$K311&amp;"'-"&amp;N($L311)&amp;CHAR(34)&amp;" x "&amp;$M311&amp;"'-"&amp;N($N311)&amp;CHAR(34))</f>
        <v/>
      </c>
      <c r="AZ311" s="49">
        <f>IF(OR($A311="",$K311=""),"",$K311&amp;N($L311)&amp;$M311&amp;N($N311))</f>
        <v/>
      </c>
      <c r="BA311" s="49">
        <f>IF(OR($A311="",$K311=""),"",$K311*12+N($L311))</f>
        <v/>
      </c>
      <c r="BB311" s="49">
        <f>IF(OR($A311="",$M311=""),"",$M311*12+N($N311))</f>
        <v/>
      </c>
      <c r="BC311" s="49">
        <f>IF($A311="","",IF(OR($C311="FRAME ONLY",$S311="BL"),0,IF($O311="Y",2,1)))</f>
        <v/>
      </c>
      <c r="BD311" s="51">
        <f>IF(OR(N($BC311)=0,$BA311=""),"",($BA311-2*EdgeClr-IF($BC311=2,MeetClr,0))/$BC311)</f>
        <v/>
      </c>
      <c r="BE311" s="51">
        <f>IF(OR(N($BC311)=0,$BB311=""),"",$BB311-HeadClr-Undercut)</f>
        <v/>
      </c>
      <c r="BF311" s="51">
        <f>IF($BA311="","",$BA311+2*FaceW+IF(N($Q311)&gt;0,($Q311+FaceW)*IF($R311="LR",2,1),0))</f>
        <v/>
      </c>
      <c r="BG311" s="51">
        <f>IF($BB311="","",$BB311+IF($AB311="Y",4,FaceW)+IF(N($P311)&gt;0,$P311+FaceW,0)+IF(OR($S311="4F",$S311="BL"),FaceW,0))</f>
        <v/>
      </c>
      <c r="BH311" s="51">
        <f>IF($BF311="","",$BF311+2*ROSide)</f>
        <v/>
      </c>
      <c r="BI311" s="51">
        <f>IF($BG311="","",$BG311+ROTop)</f>
        <v/>
      </c>
      <c r="BJ311" s="52">
        <f>IF(OR(N($BC311)=0,$BA311=""),"",$BA311/$BC311-ClearDeduct)</f>
        <v/>
      </c>
      <c r="BK311" s="49">
        <f>IF(OR(N($BC311)=0,$BE311=""),"",IF(OR($AC311="HGC",$AP311="HGC"),"CONT",IF($BE311&lt;=60,2,IF($BE311&lt;=90,3,IF($BE311&lt;=120,4,5)))))</f>
        <v/>
      </c>
      <c r="BL311" s="49">
        <f>IF(N($BC311)=0,"",IF(OR($AL311="",$AL311="FLUSH"),"FLUSH",IFERROR(LEFT($AL311,FIND("-",$AL311)-1),LEFT($AL311,2))))</f>
        <v/>
      </c>
      <c r="BM311" s="49">
        <f>IF($BL311="","",IFERROR(VALUE(MID($AL311,FIND("-",$AL311)+1,FIND(CHAR(34)&amp;"x",$AL311)-FIND("-",$AL311)-1)),0))</f>
        <v/>
      </c>
      <c r="BN311" s="49">
        <f>IF($BL311="","",IFERROR(VALUE(MID($AL311,FIND(CHAR(34)&amp;"x",$AL311)+2,FIND(CHAR(34),$AL311,FIND(CHAR(34)&amp;"x",$AL311)+2)-FIND(CHAR(34)&amp;"x",$AL311)-2)),0))</f>
        <v/>
      </c>
      <c r="BO311" s="53">
        <f>IF(OR($A311="",$H311="",$H311="NO LAB"),0,IFERROR(VALUE(LEFT($H311,FIND(" ",$H311)-1)),0))</f>
        <v/>
      </c>
      <c r="BP311" s="54">
        <f>IF(OR($A311="",$I311="",$I311="NON-RATED",N($J311)=0),"",IFERROR(VLOOKUP($I311&amp;"|"&amp;$J311,IBC,2,FALSE),"?"))</f>
        <v/>
      </c>
      <c r="BQ311" s="50">
        <f>IF(NOT(AND($A311&lt;&gt;"",$C311&lt;&gt;"DOOR ONLY")),"",TRIM(IFERROR(VLOOKUP($U311,CODES,2,FALSE),"")&amp;" "&amp;$AZ311&amp;" "&amp;IFERROR(VLOOKUP($Z311,CODES,2,FALSE),"")&amp;" "&amp;IFERROR(VLOOKUP($X311,CODES,2,FALSE),"")&amp;" "&amp;IFERROR(VLOOKUP($S311,CODES,2,FALSE),"")&amp;IF(N($P311)&gt;0," w/TRANSOM "&amp;$P311&amp;CHAR(34),"")&amp;IF(N($Q311)&gt;0," w/SIDELITE "&amp;$Q311&amp;CHAR(34)&amp;" "&amp;IF($R311="","R",$R311),"")&amp;IF($Y311="","  |  "," | "&amp;IFERROR(VLOOKUP($Y311,CODES,2,FALSE),"")&amp;" | ")&amp;IFERROR(VLOOKUP($AC311,CODES,2,FALSE),"")&amp;" "&amp;IFERROR(VLOOKUP($AD311,CODES,2,FALSE),"")&amp;IF(OR($AE311="",$AE311="-"),""," "&amp;$AE311)&amp;IF(OR($AF311="",$AF311="-"),""," "&amp;$AF311)&amp;IF($AB311="Y"," 4"&amp;CHAR(34)&amp;" HEAD","")&amp;" "&amp;IFERROR(VLOOKUP($H311,CODES,2,FALSE),"")))</f>
        <v/>
      </c>
      <c r="BR311" s="50">
        <f>IF(NOT(AND($A311&lt;&gt;"",N($BC311)&gt;0)),"",TRIM(IFERROR(VLOOKUP($AH311,CODES,2,FALSE),"")&amp;IF($AI311=""," "," "&amp;$AI311&amp;"GA ")&amp;$AZ311&amp;" "&amp;IF($AN311="",IFERROR(VLOOKUP($Z311,CODES,2,FALSE),""),IFERROR(VLOOKUP($AN311,CODES,2,FALSE),""))&amp;IF($BC311=2," PAIR","")&amp;" DOOR | "&amp;IF($AL311="","?",$AL311)&amp;" | "&amp;IF($AP311="",IFERROR(VLOOKUP($AC311,CODES,2,FALSE),""),IFERROR(VLOOKUP($AP311,CODES,2,FALSE),""))&amp;" "&amp;IFERROR(VLOOKUP($AQ311,CODES,2,FALSE),"")&amp;IF(OR($AR311="",$AR311="-"),""," SEAM "&amp;$AR311)&amp;IF($AS311="Y"," ASTRAGAL","")&amp;IF($AJ311=""," "," "&amp;$AJ311)&amp;IF($AK311=""," "," "&amp;$AK311)&amp;IF($AO311="",""," "&amp;$AO311)&amp;IF($AM311=""," "," SERIES "&amp;$AM311)&amp;" "&amp;IFERROR(VLOOKUP($H311,CODES,2,FALSE),"")))</f>
        <v/>
      </c>
      <c r="BS311" s="49">
        <f>IF(BV311="","",IF(COUNTIF($BV$6:BV311,BV311)=1,MAX($BS$5:BS310)+1,INDEX($BS$5:BS310,MATCH(BV311,$BV$5:BV310,0))))</f>
        <v/>
      </c>
      <c r="BT311" s="49">
        <f>IF(NOT(AND($A311&lt;&gt;"",$C311&lt;&gt;"DOOR ONLY")),"",MAX($BT$5:BT310)+1)</f>
        <v/>
      </c>
      <c r="BU311" s="49">
        <f>IF(NOT(AND($A311&lt;&gt;"",N($BC311)&gt;0)),"",MAX($BU$5:BU310)+1)</f>
        <v/>
      </c>
      <c r="BV311" s="49">
        <f>IF(OR($A311="",$BA311="",$BB311=""),"",$AZ311&amp;"|"&amp;$O311&amp;"|"&amp;$AL311&amp;"|"&amp;$S311&amp;"|"&amp;$P311&amp;"|"&amp;$Q311&amp;$R311&amp;"|"&amp;$C311&amp;"|"&amp;$AB311)</f>
        <v/>
      </c>
      <c r="BW311" s="49">
        <f>IF($A311="","",IF($B311="","qty, ","")&amp;IF($C311="","scope, ","")&amp;IF(OR($K311="",$M311=""),"size, ","")&amp;IF(AND($A311&lt;&gt;"",$C311&lt;&gt;"DOOR ONLY"),IF($U311="","jamb depth, ","")&amp;IF($X311="","construction, ","")&amp;IF($Y311="","anchor, ","")&amp;IF($S311="","frame type, ",""),"")&amp;IF(AND(N($BC311)&gt;0,$Z311=""),"hand, ","")&amp;IF(N($BC311)&gt;0,IF($AH311="","door material, ","")&amp;IF($AL311="","face type, ","")&amp;IF($AQ311="","lock prep, ","")&amp;IF(AND($AP311="",$AC311=""),"hinge prep, ",""),"")&amp;IF(AND($BO311&gt;0,$AH311="FRP"),"FRP cannot carry a label, ","")&amp;IF(AND($O311="Y",OR($Z311="L",$Z311="R",$Z311="LR",$Z311="RR")),"pair marked but hand is single, ","")&amp;IF(AND($O311&lt;&gt;"Y",OR($Z311="PR",AND(LEN($Z311)&gt;1,ISNUMBER(SEARCH("-",$Z311))))),"pair hand on a single door, ","")&amp;IF(AND(ISNUMBER($BP311),$BO311&lt;N($BP311)),"wall needs a "&amp;$BP311&amp;" min door, ","")&amp;IF(AND($BO311&gt;=180,AND(OR($BL311="FG",$BL311="HG",$BL311="FNV",$BL311="FV"),N($BM311)*N($BN311)&gt;100)),"180 min lite over 100 sq in, ","")&amp;IF(N($BD311)&gt;48,"leaf wider than 4'-0"&amp;CHAR(34)&amp;", ",""))</f>
        <v/>
      </c>
      <c r="BX311" s="49">
        <f>IF($A311="","",IF(AND($BO311&gt;0,AND($A311&lt;&gt;"",$C311&lt;&gt;"DOOR ONLY"),$X311="KD",$E311="EXTERIOR"),"KD label on an exterior opening, ","")&amp;IF(AND($E311="EXTERIOR",OR(AND(AND($A311&lt;&gt;"",$C311&lt;&gt;"DOOR ONLY"),$W311="CR"),AND(N($BC311)&gt;0,$AH311="CR"))),"exterior in CR steel (G9?), ","")&amp;IF(AND(ISNUMBER($BJ311),N($BJ311)&lt;32),"clear width ~"&amp;TEXT($BJ311,"0.0")&amp;CHAR(34)&amp;" under 32"&amp;CHAR(34)&amp;" (ADA), ","")&amp;IF(AND($BO311=90,AND(OR($BL311="FG",$BL311="HG",$BL311="FNV",$BL311="FV"),N($BM311)*N($BN311)&gt;100)),"90 min lite over 100 sq in (stair/exit), ","")&amp;IF(AND($BO311&gt;0,AND($A311&lt;&gt;"",$C311&lt;&gt;"DOOR ONLY"),OR($AF311="",$AF311="-")),"rated: closer reinf.?, ","")&amp;IF(OR($I311="CORRIDOR",$I311="SMOKE BARRIER"),"S label + smoke gasketing, ","")&amp;IF($BP311="?","wall type/hr not in IBC table, ","")&amp;IF(AND(N($BC311)&gt;0,$AU311=""),"no hardware set, ","")&amp;IF(AND($AU311&lt;&gt;"",ISNA(MATCH($AU311,HWSets,0))),"set "&amp;$AU311&amp;" not on Hardware sheet, ","")&amp;IF(N($BE311)&gt;96,"leaf over 8'-0"&amp;CHAR(34)&amp;" - check listing, ",""))</f>
        <v/>
      </c>
    </row>
    <row r="312" ht="15" customHeight="1">
      <c r="A312" s="44" t="n"/>
      <c r="B312" s="45" t="n"/>
      <c r="C312" s="45" t="n"/>
      <c r="D312" s="45" t="n"/>
      <c r="E312" s="45" t="n"/>
      <c r="F312" s="45" t="n"/>
      <c r="G312" s="45" t="n"/>
      <c r="H312" s="45" t="n"/>
      <c r="I312" s="45" t="n"/>
      <c r="J312" s="45" t="n"/>
      <c r="K312" s="45" t="n"/>
      <c r="L312" s="45" t="n"/>
      <c r="M312" s="45" t="n"/>
      <c r="N312" s="45" t="n"/>
      <c r="O312" s="45" t="n"/>
      <c r="P312" s="45" t="n"/>
      <c r="Q312" s="45" t="n"/>
      <c r="R312" s="45" t="n"/>
      <c r="S312" s="46" t="n"/>
      <c r="T312" s="46" t="n"/>
      <c r="U312" s="46" t="n"/>
      <c r="V312" s="46" t="n"/>
      <c r="W312" s="46" t="n"/>
      <c r="X312" s="46" t="n"/>
      <c r="Y312" s="46" t="n"/>
      <c r="Z312" s="46" t="n"/>
      <c r="AA312" s="46" t="n"/>
      <c r="AB312" s="46" t="n"/>
      <c r="AC312" s="46" t="n"/>
      <c r="AD312" s="46" t="n"/>
      <c r="AE312" s="46" t="n"/>
      <c r="AF312" s="46" t="n"/>
      <c r="AG312" s="46" t="n"/>
      <c r="AH312" s="47" t="n"/>
      <c r="AI312" s="47" t="n"/>
      <c r="AJ312" s="47" t="n"/>
      <c r="AK312" s="47" t="n"/>
      <c r="AL312" s="47" t="n"/>
      <c r="AM312" s="47" t="n"/>
      <c r="AN312" s="47" t="n"/>
      <c r="AO312" s="47" t="n"/>
      <c r="AP312" s="47" t="n"/>
      <c r="AQ312" s="47" t="n"/>
      <c r="AR312" s="47" t="n"/>
      <c r="AS312" s="47" t="n"/>
      <c r="AT312" s="47" t="n"/>
      <c r="AU312" s="48" t="n"/>
      <c r="AV312" s="48" t="n"/>
      <c r="AW312" s="49">
        <f>IF($A312="","",IF($BW312&lt;&gt;"","FIX",IF($BX312&lt;&gt;"","CHECK","OK")))</f>
        <v/>
      </c>
      <c r="AX312" s="50">
        <f>IF($A312="","",IF($BW312&lt;&gt;"","FIX: "&amp;LEFT($BW312,LEN($BW312)-2)&amp;IF($BX312&lt;&gt;"","  ·  ",""),"")&amp;IF($BX312&lt;&gt;"","CHECK: "&amp;LEFT($BX312,LEN($BX312)-2),""))</f>
        <v/>
      </c>
      <c r="AY312" s="49">
        <f>IF(OR($A312="",$K312=""),"",$K312&amp;"'-"&amp;N($L312)&amp;CHAR(34)&amp;" x "&amp;$M312&amp;"'-"&amp;N($N312)&amp;CHAR(34))</f>
        <v/>
      </c>
      <c r="AZ312" s="49">
        <f>IF(OR($A312="",$K312=""),"",$K312&amp;N($L312)&amp;$M312&amp;N($N312))</f>
        <v/>
      </c>
      <c r="BA312" s="49">
        <f>IF(OR($A312="",$K312=""),"",$K312*12+N($L312))</f>
        <v/>
      </c>
      <c r="BB312" s="49">
        <f>IF(OR($A312="",$M312=""),"",$M312*12+N($N312))</f>
        <v/>
      </c>
      <c r="BC312" s="49">
        <f>IF($A312="","",IF(OR($C312="FRAME ONLY",$S312="BL"),0,IF($O312="Y",2,1)))</f>
        <v/>
      </c>
      <c r="BD312" s="51">
        <f>IF(OR(N($BC312)=0,$BA312=""),"",($BA312-2*EdgeClr-IF($BC312=2,MeetClr,0))/$BC312)</f>
        <v/>
      </c>
      <c r="BE312" s="51">
        <f>IF(OR(N($BC312)=0,$BB312=""),"",$BB312-HeadClr-Undercut)</f>
        <v/>
      </c>
      <c r="BF312" s="51">
        <f>IF($BA312="","",$BA312+2*FaceW+IF(N($Q312)&gt;0,($Q312+FaceW)*IF($R312="LR",2,1),0))</f>
        <v/>
      </c>
      <c r="BG312" s="51">
        <f>IF($BB312="","",$BB312+IF($AB312="Y",4,FaceW)+IF(N($P312)&gt;0,$P312+FaceW,0)+IF(OR($S312="4F",$S312="BL"),FaceW,0))</f>
        <v/>
      </c>
      <c r="BH312" s="51">
        <f>IF($BF312="","",$BF312+2*ROSide)</f>
        <v/>
      </c>
      <c r="BI312" s="51">
        <f>IF($BG312="","",$BG312+ROTop)</f>
        <v/>
      </c>
      <c r="BJ312" s="52">
        <f>IF(OR(N($BC312)=0,$BA312=""),"",$BA312/$BC312-ClearDeduct)</f>
        <v/>
      </c>
      <c r="BK312" s="49">
        <f>IF(OR(N($BC312)=0,$BE312=""),"",IF(OR($AC312="HGC",$AP312="HGC"),"CONT",IF($BE312&lt;=60,2,IF($BE312&lt;=90,3,IF($BE312&lt;=120,4,5)))))</f>
        <v/>
      </c>
      <c r="BL312" s="49">
        <f>IF(N($BC312)=0,"",IF(OR($AL312="",$AL312="FLUSH"),"FLUSH",IFERROR(LEFT($AL312,FIND("-",$AL312)-1),LEFT($AL312,2))))</f>
        <v/>
      </c>
      <c r="BM312" s="49">
        <f>IF($BL312="","",IFERROR(VALUE(MID($AL312,FIND("-",$AL312)+1,FIND(CHAR(34)&amp;"x",$AL312)-FIND("-",$AL312)-1)),0))</f>
        <v/>
      </c>
      <c r="BN312" s="49">
        <f>IF($BL312="","",IFERROR(VALUE(MID($AL312,FIND(CHAR(34)&amp;"x",$AL312)+2,FIND(CHAR(34),$AL312,FIND(CHAR(34)&amp;"x",$AL312)+2)-FIND(CHAR(34)&amp;"x",$AL312)-2)),0))</f>
        <v/>
      </c>
      <c r="BO312" s="53">
        <f>IF(OR($A312="",$H312="",$H312="NO LAB"),0,IFERROR(VALUE(LEFT($H312,FIND(" ",$H312)-1)),0))</f>
        <v/>
      </c>
      <c r="BP312" s="54">
        <f>IF(OR($A312="",$I312="",$I312="NON-RATED",N($J312)=0),"",IFERROR(VLOOKUP($I312&amp;"|"&amp;$J312,IBC,2,FALSE),"?"))</f>
        <v/>
      </c>
      <c r="BQ312" s="50">
        <f>IF(NOT(AND($A312&lt;&gt;"",$C312&lt;&gt;"DOOR ONLY")),"",TRIM(IFERROR(VLOOKUP($U312,CODES,2,FALSE),"")&amp;" "&amp;$AZ312&amp;" "&amp;IFERROR(VLOOKUP($Z312,CODES,2,FALSE),"")&amp;" "&amp;IFERROR(VLOOKUP($X312,CODES,2,FALSE),"")&amp;" "&amp;IFERROR(VLOOKUP($S312,CODES,2,FALSE),"")&amp;IF(N($P312)&gt;0," w/TRANSOM "&amp;$P312&amp;CHAR(34),"")&amp;IF(N($Q312)&gt;0," w/SIDELITE "&amp;$Q312&amp;CHAR(34)&amp;" "&amp;IF($R312="","R",$R312),"")&amp;IF($Y312="","  |  "," | "&amp;IFERROR(VLOOKUP($Y312,CODES,2,FALSE),"")&amp;" | ")&amp;IFERROR(VLOOKUP($AC312,CODES,2,FALSE),"")&amp;" "&amp;IFERROR(VLOOKUP($AD312,CODES,2,FALSE),"")&amp;IF(OR($AE312="",$AE312="-"),""," "&amp;$AE312)&amp;IF(OR($AF312="",$AF312="-"),""," "&amp;$AF312)&amp;IF($AB312="Y"," 4"&amp;CHAR(34)&amp;" HEAD","")&amp;" "&amp;IFERROR(VLOOKUP($H312,CODES,2,FALSE),"")))</f>
        <v/>
      </c>
      <c r="BR312" s="50">
        <f>IF(NOT(AND($A312&lt;&gt;"",N($BC312)&gt;0)),"",TRIM(IFERROR(VLOOKUP($AH312,CODES,2,FALSE),"")&amp;IF($AI312=""," "," "&amp;$AI312&amp;"GA ")&amp;$AZ312&amp;" "&amp;IF($AN312="",IFERROR(VLOOKUP($Z312,CODES,2,FALSE),""),IFERROR(VLOOKUP($AN312,CODES,2,FALSE),""))&amp;IF($BC312=2," PAIR","")&amp;" DOOR | "&amp;IF($AL312="","?",$AL312)&amp;" | "&amp;IF($AP312="",IFERROR(VLOOKUP($AC312,CODES,2,FALSE),""),IFERROR(VLOOKUP($AP312,CODES,2,FALSE),""))&amp;" "&amp;IFERROR(VLOOKUP($AQ312,CODES,2,FALSE),"")&amp;IF(OR($AR312="",$AR312="-"),""," SEAM "&amp;$AR312)&amp;IF($AS312="Y"," ASTRAGAL","")&amp;IF($AJ312=""," "," "&amp;$AJ312)&amp;IF($AK312=""," "," "&amp;$AK312)&amp;IF($AO312="",""," "&amp;$AO312)&amp;IF($AM312=""," "," SERIES "&amp;$AM312)&amp;" "&amp;IFERROR(VLOOKUP($H312,CODES,2,FALSE),"")))</f>
        <v/>
      </c>
      <c r="BS312" s="49">
        <f>IF(BV312="","",IF(COUNTIF($BV$6:BV312,BV312)=1,MAX($BS$5:BS311)+1,INDEX($BS$5:BS311,MATCH(BV312,$BV$5:BV311,0))))</f>
        <v/>
      </c>
      <c r="BT312" s="49">
        <f>IF(NOT(AND($A312&lt;&gt;"",$C312&lt;&gt;"DOOR ONLY")),"",MAX($BT$5:BT311)+1)</f>
        <v/>
      </c>
      <c r="BU312" s="49">
        <f>IF(NOT(AND($A312&lt;&gt;"",N($BC312)&gt;0)),"",MAX($BU$5:BU311)+1)</f>
        <v/>
      </c>
      <c r="BV312" s="49">
        <f>IF(OR($A312="",$BA312="",$BB312=""),"",$AZ312&amp;"|"&amp;$O312&amp;"|"&amp;$AL312&amp;"|"&amp;$S312&amp;"|"&amp;$P312&amp;"|"&amp;$Q312&amp;$R312&amp;"|"&amp;$C312&amp;"|"&amp;$AB312)</f>
        <v/>
      </c>
      <c r="BW312" s="49">
        <f>IF($A312="","",IF($B312="","qty, ","")&amp;IF($C312="","scope, ","")&amp;IF(OR($K312="",$M312=""),"size, ","")&amp;IF(AND($A312&lt;&gt;"",$C312&lt;&gt;"DOOR ONLY"),IF($U312="","jamb depth, ","")&amp;IF($X312="","construction, ","")&amp;IF($Y312="","anchor, ","")&amp;IF($S312="","frame type, ",""),"")&amp;IF(AND(N($BC312)&gt;0,$Z312=""),"hand, ","")&amp;IF(N($BC312)&gt;0,IF($AH312="","door material, ","")&amp;IF($AL312="","face type, ","")&amp;IF($AQ312="","lock prep, ","")&amp;IF(AND($AP312="",$AC312=""),"hinge prep, ",""),"")&amp;IF(AND($BO312&gt;0,$AH312="FRP"),"FRP cannot carry a label, ","")&amp;IF(AND($O312="Y",OR($Z312="L",$Z312="R",$Z312="LR",$Z312="RR")),"pair marked but hand is single, ","")&amp;IF(AND($O312&lt;&gt;"Y",OR($Z312="PR",AND(LEN($Z312)&gt;1,ISNUMBER(SEARCH("-",$Z312))))),"pair hand on a single door, ","")&amp;IF(AND(ISNUMBER($BP312),$BO312&lt;N($BP312)),"wall needs a "&amp;$BP312&amp;" min door, ","")&amp;IF(AND($BO312&gt;=180,AND(OR($BL312="FG",$BL312="HG",$BL312="FNV",$BL312="FV"),N($BM312)*N($BN312)&gt;100)),"180 min lite over 100 sq in, ","")&amp;IF(N($BD312)&gt;48,"leaf wider than 4'-0"&amp;CHAR(34)&amp;", ",""))</f>
        <v/>
      </c>
      <c r="BX312" s="49">
        <f>IF($A312="","",IF(AND($BO312&gt;0,AND($A312&lt;&gt;"",$C312&lt;&gt;"DOOR ONLY"),$X312="KD",$E312="EXTERIOR"),"KD label on an exterior opening, ","")&amp;IF(AND($E312="EXTERIOR",OR(AND(AND($A312&lt;&gt;"",$C312&lt;&gt;"DOOR ONLY"),$W312="CR"),AND(N($BC312)&gt;0,$AH312="CR"))),"exterior in CR steel (G9?), ","")&amp;IF(AND(ISNUMBER($BJ312),N($BJ312)&lt;32),"clear width ~"&amp;TEXT($BJ312,"0.0")&amp;CHAR(34)&amp;" under 32"&amp;CHAR(34)&amp;" (ADA), ","")&amp;IF(AND($BO312=90,AND(OR($BL312="FG",$BL312="HG",$BL312="FNV",$BL312="FV"),N($BM312)*N($BN312)&gt;100)),"90 min lite over 100 sq in (stair/exit), ","")&amp;IF(AND($BO312&gt;0,AND($A312&lt;&gt;"",$C312&lt;&gt;"DOOR ONLY"),OR($AF312="",$AF312="-")),"rated: closer reinf.?, ","")&amp;IF(OR($I312="CORRIDOR",$I312="SMOKE BARRIER"),"S label + smoke gasketing, ","")&amp;IF($BP312="?","wall type/hr not in IBC table, ","")&amp;IF(AND(N($BC312)&gt;0,$AU312=""),"no hardware set, ","")&amp;IF(AND($AU312&lt;&gt;"",ISNA(MATCH($AU312,HWSets,0))),"set "&amp;$AU312&amp;" not on Hardware sheet, ","")&amp;IF(N($BE312)&gt;96,"leaf over 8'-0"&amp;CHAR(34)&amp;" - check listing, ",""))</f>
        <v/>
      </c>
    </row>
    <row r="313" ht="15" customHeight="1">
      <c r="A313" s="44" t="n"/>
      <c r="B313" s="45" t="n"/>
      <c r="C313" s="45" t="n"/>
      <c r="D313" s="45" t="n"/>
      <c r="E313" s="45" t="n"/>
      <c r="F313" s="45" t="n"/>
      <c r="G313" s="45" t="n"/>
      <c r="H313" s="45" t="n"/>
      <c r="I313" s="45" t="n"/>
      <c r="J313" s="45" t="n"/>
      <c r="K313" s="45" t="n"/>
      <c r="L313" s="45" t="n"/>
      <c r="M313" s="45" t="n"/>
      <c r="N313" s="45" t="n"/>
      <c r="O313" s="45" t="n"/>
      <c r="P313" s="45" t="n"/>
      <c r="Q313" s="45" t="n"/>
      <c r="R313" s="45" t="n"/>
      <c r="S313" s="46" t="n"/>
      <c r="T313" s="46" t="n"/>
      <c r="U313" s="46" t="n"/>
      <c r="V313" s="46" t="n"/>
      <c r="W313" s="46" t="n"/>
      <c r="X313" s="46" t="n"/>
      <c r="Y313" s="46" t="n"/>
      <c r="Z313" s="46" t="n"/>
      <c r="AA313" s="46" t="n"/>
      <c r="AB313" s="46" t="n"/>
      <c r="AC313" s="46" t="n"/>
      <c r="AD313" s="46" t="n"/>
      <c r="AE313" s="46" t="n"/>
      <c r="AF313" s="46" t="n"/>
      <c r="AG313" s="46" t="n"/>
      <c r="AH313" s="47" t="n"/>
      <c r="AI313" s="47" t="n"/>
      <c r="AJ313" s="47" t="n"/>
      <c r="AK313" s="47" t="n"/>
      <c r="AL313" s="47" t="n"/>
      <c r="AM313" s="47" t="n"/>
      <c r="AN313" s="47" t="n"/>
      <c r="AO313" s="47" t="n"/>
      <c r="AP313" s="47" t="n"/>
      <c r="AQ313" s="47" t="n"/>
      <c r="AR313" s="47" t="n"/>
      <c r="AS313" s="47" t="n"/>
      <c r="AT313" s="47" t="n"/>
      <c r="AU313" s="48" t="n"/>
      <c r="AV313" s="48" t="n"/>
      <c r="AW313" s="49">
        <f>IF($A313="","",IF($BW313&lt;&gt;"","FIX",IF($BX313&lt;&gt;"","CHECK","OK")))</f>
        <v/>
      </c>
      <c r="AX313" s="50">
        <f>IF($A313="","",IF($BW313&lt;&gt;"","FIX: "&amp;LEFT($BW313,LEN($BW313)-2)&amp;IF($BX313&lt;&gt;"","  ·  ",""),"")&amp;IF($BX313&lt;&gt;"","CHECK: "&amp;LEFT($BX313,LEN($BX313)-2),""))</f>
        <v/>
      </c>
      <c r="AY313" s="49">
        <f>IF(OR($A313="",$K313=""),"",$K313&amp;"'-"&amp;N($L313)&amp;CHAR(34)&amp;" x "&amp;$M313&amp;"'-"&amp;N($N313)&amp;CHAR(34))</f>
        <v/>
      </c>
      <c r="AZ313" s="49">
        <f>IF(OR($A313="",$K313=""),"",$K313&amp;N($L313)&amp;$M313&amp;N($N313))</f>
        <v/>
      </c>
      <c r="BA313" s="49">
        <f>IF(OR($A313="",$K313=""),"",$K313*12+N($L313))</f>
        <v/>
      </c>
      <c r="BB313" s="49">
        <f>IF(OR($A313="",$M313=""),"",$M313*12+N($N313))</f>
        <v/>
      </c>
      <c r="BC313" s="49">
        <f>IF($A313="","",IF(OR($C313="FRAME ONLY",$S313="BL"),0,IF($O313="Y",2,1)))</f>
        <v/>
      </c>
      <c r="BD313" s="51">
        <f>IF(OR(N($BC313)=0,$BA313=""),"",($BA313-2*EdgeClr-IF($BC313=2,MeetClr,0))/$BC313)</f>
        <v/>
      </c>
      <c r="BE313" s="51">
        <f>IF(OR(N($BC313)=0,$BB313=""),"",$BB313-HeadClr-Undercut)</f>
        <v/>
      </c>
      <c r="BF313" s="51">
        <f>IF($BA313="","",$BA313+2*FaceW+IF(N($Q313)&gt;0,($Q313+FaceW)*IF($R313="LR",2,1),0))</f>
        <v/>
      </c>
      <c r="BG313" s="51">
        <f>IF($BB313="","",$BB313+IF($AB313="Y",4,FaceW)+IF(N($P313)&gt;0,$P313+FaceW,0)+IF(OR($S313="4F",$S313="BL"),FaceW,0))</f>
        <v/>
      </c>
      <c r="BH313" s="51">
        <f>IF($BF313="","",$BF313+2*ROSide)</f>
        <v/>
      </c>
      <c r="BI313" s="51">
        <f>IF($BG313="","",$BG313+ROTop)</f>
        <v/>
      </c>
      <c r="BJ313" s="52">
        <f>IF(OR(N($BC313)=0,$BA313=""),"",$BA313/$BC313-ClearDeduct)</f>
        <v/>
      </c>
      <c r="BK313" s="49">
        <f>IF(OR(N($BC313)=0,$BE313=""),"",IF(OR($AC313="HGC",$AP313="HGC"),"CONT",IF($BE313&lt;=60,2,IF($BE313&lt;=90,3,IF($BE313&lt;=120,4,5)))))</f>
        <v/>
      </c>
      <c r="BL313" s="49">
        <f>IF(N($BC313)=0,"",IF(OR($AL313="",$AL313="FLUSH"),"FLUSH",IFERROR(LEFT($AL313,FIND("-",$AL313)-1),LEFT($AL313,2))))</f>
        <v/>
      </c>
      <c r="BM313" s="49">
        <f>IF($BL313="","",IFERROR(VALUE(MID($AL313,FIND("-",$AL313)+1,FIND(CHAR(34)&amp;"x",$AL313)-FIND("-",$AL313)-1)),0))</f>
        <v/>
      </c>
      <c r="BN313" s="49">
        <f>IF($BL313="","",IFERROR(VALUE(MID($AL313,FIND(CHAR(34)&amp;"x",$AL313)+2,FIND(CHAR(34),$AL313,FIND(CHAR(34)&amp;"x",$AL313)+2)-FIND(CHAR(34)&amp;"x",$AL313)-2)),0))</f>
        <v/>
      </c>
      <c r="BO313" s="53">
        <f>IF(OR($A313="",$H313="",$H313="NO LAB"),0,IFERROR(VALUE(LEFT($H313,FIND(" ",$H313)-1)),0))</f>
        <v/>
      </c>
      <c r="BP313" s="54">
        <f>IF(OR($A313="",$I313="",$I313="NON-RATED",N($J313)=0),"",IFERROR(VLOOKUP($I313&amp;"|"&amp;$J313,IBC,2,FALSE),"?"))</f>
        <v/>
      </c>
      <c r="BQ313" s="50">
        <f>IF(NOT(AND($A313&lt;&gt;"",$C313&lt;&gt;"DOOR ONLY")),"",TRIM(IFERROR(VLOOKUP($U313,CODES,2,FALSE),"")&amp;" "&amp;$AZ313&amp;" "&amp;IFERROR(VLOOKUP($Z313,CODES,2,FALSE),"")&amp;" "&amp;IFERROR(VLOOKUP($X313,CODES,2,FALSE),"")&amp;" "&amp;IFERROR(VLOOKUP($S313,CODES,2,FALSE),"")&amp;IF(N($P313)&gt;0," w/TRANSOM "&amp;$P313&amp;CHAR(34),"")&amp;IF(N($Q313)&gt;0," w/SIDELITE "&amp;$Q313&amp;CHAR(34)&amp;" "&amp;IF($R313="","R",$R313),"")&amp;IF($Y313="","  |  "," | "&amp;IFERROR(VLOOKUP($Y313,CODES,2,FALSE),"")&amp;" | ")&amp;IFERROR(VLOOKUP($AC313,CODES,2,FALSE),"")&amp;" "&amp;IFERROR(VLOOKUP($AD313,CODES,2,FALSE),"")&amp;IF(OR($AE313="",$AE313="-"),""," "&amp;$AE313)&amp;IF(OR($AF313="",$AF313="-"),""," "&amp;$AF313)&amp;IF($AB313="Y"," 4"&amp;CHAR(34)&amp;" HEAD","")&amp;" "&amp;IFERROR(VLOOKUP($H313,CODES,2,FALSE),"")))</f>
        <v/>
      </c>
      <c r="BR313" s="50">
        <f>IF(NOT(AND($A313&lt;&gt;"",N($BC313)&gt;0)),"",TRIM(IFERROR(VLOOKUP($AH313,CODES,2,FALSE),"")&amp;IF($AI313=""," "," "&amp;$AI313&amp;"GA ")&amp;$AZ313&amp;" "&amp;IF($AN313="",IFERROR(VLOOKUP($Z313,CODES,2,FALSE),""),IFERROR(VLOOKUP($AN313,CODES,2,FALSE),""))&amp;IF($BC313=2," PAIR","")&amp;" DOOR | "&amp;IF($AL313="","?",$AL313)&amp;" | "&amp;IF($AP313="",IFERROR(VLOOKUP($AC313,CODES,2,FALSE),""),IFERROR(VLOOKUP($AP313,CODES,2,FALSE),""))&amp;" "&amp;IFERROR(VLOOKUP($AQ313,CODES,2,FALSE),"")&amp;IF(OR($AR313="",$AR313="-"),""," SEAM "&amp;$AR313)&amp;IF($AS313="Y"," ASTRAGAL","")&amp;IF($AJ313=""," "," "&amp;$AJ313)&amp;IF($AK313=""," "," "&amp;$AK313)&amp;IF($AO313="",""," "&amp;$AO313)&amp;IF($AM313=""," "," SERIES "&amp;$AM313)&amp;" "&amp;IFERROR(VLOOKUP($H313,CODES,2,FALSE),"")))</f>
        <v/>
      </c>
      <c r="BS313" s="49">
        <f>IF(BV313="","",IF(COUNTIF($BV$6:BV313,BV313)=1,MAX($BS$5:BS312)+1,INDEX($BS$5:BS312,MATCH(BV313,$BV$5:BV312,0))))</f>
        <v/>
      </c>
      <c r="BT313" s="49">
        <f>IF(NOT(AND($A313&lt;&gt;"",$C313&lt;&gt;"DOOR ONLY")),"",MAX($BT$5:BT312)+1)</f>
        <v/>
      </c>
      <c r="BU313" s="49">
        <f>IF(NOT(AND($A313&lt;&gt;"",N($BC313)&gt;0)),"",MAX($BU$5:BU312)+1)</f>
        <v/>
      </c>
      <c r="BV313" s="49">
        <f>IF(OR($A313="",$BA313="",$BB313=""),"",$AZ313&amp;"|"&amp;$O313&amp;"|"&amp;$AL313&amp;"|"&amp;$S313&amp;"|"&amp;$P313&amp;"|"&amp;$Q313&amp;$R313&amp;"|"&amp;$C313&amp;"|"&amp;$AB313)</f>
        <v/>
      </c>
      <c r="BW313" s="49">
        <f>IF($A313="","",IF($B313="","qty, ","")&amp;IF($C313="","scope, ","")&amp;IF(OR($K313="",$M313=""),"size, ","")&amp;IF(AND($A313&lt;&gt;"",$C313&lt;&gt;"DOOR ONLY"),IF($U313="","jamb depth, ","")&amp;IF($X313="","construction, ","")&amp;IF($Y313="","anchor, ","")&amp;IF($S313="","frame type, ",""),"")&amp;IF(AND(N($BC313)&gt;0,$Z313=""),"hand, ","")&amp;IF(N($BC313)&gt;0,IF($AH313="","door material, ","")&amp;IF($AL313="","face type, ","")&amp;IF($AQ313="","lock prep, ","")&amp;IF(AND($AP313="",$AC313=""),"hinge prep, ",""),"")&amp;IF(AND($BO313&gt;0,$AH313="FRP"),"FRP cannot carry a label, ","")&amp;IF(AND($O313="Y",OR($Z313="L",$Z313="R",$Z313="LR",$Z313="RR")),"pair marked but hand is single, ","")&amp;IF(AND($O313&lt;&gt;"Y",OR($Z313="PR",AND(LEN($Z313)&gt;1,ISNUMBER(SEARCH("-",$Z313))))),"pair hand on a single door, ","")&amp;IF(AND(ISNUMBER($BP313),$BO313&lt;N($BP313)),"wall needs a "&amp;$BP313&amp;" min door, ","")&amp;IF(AND($BO313&gt;=180,AND(OR($BL313="FG",$BL313="HG",$BL313="FNV",$BL313="FV"),N($BM313)*N($BN313)&gt;100)),"180 min lite over 100 sq in, ","")&amp;IF(N($BD313)&gt;48,"leaf wider than 4'-0"&amp;CHAR(34)&amp;", ",""))</f>
        <v/>
      </c>
      <c r="BX313" s="49">
        <f>IF($A313="","",IF(AND($BO313&gt;0,AND($A313&lt;&gt;"",$C313&lt;&gt;"DOOR ONLY"),$X313="KD",$E313="EXTERIOR"),"KD label on an exterior opening, ","")&amp;IF(AND($E313="EXTERIOR",OR(AND(AND($A313&lt;&gt;"",$C313&lt;&gt;"DOOR ONLY"),$W313="CR"),AND(N($BC313)&gt;0,$AH313="CR"))),"exterior in CR steel (G9?), ","")&amp;IF(AND(ISNUMBER($BJ313),N($BJ313)&lt;32),"clear width ~"&amp;TEXT($BJ313,"0.0")&amp;CHAR(34)&amp;" under 32"&amp;CHAR(34)&amp;" (ADA), ","")&amp;IF(AND($BO313=90,AND(OR($BL313="FG",$BL313="HG",$BL313="FNV",$BL313="FV"),N($BM313)*N($BN313)&gt;100)),"90 min lite over 100 sq in (stair/exit), ","")&amp;IF(AND($BO313&gt;0,AND($A313&lt;&gt;"",$C313&lt;&gt;"DOOR ONLY"),OR($AF313="",$AF313="-")),"rated: closer reinf.?, ","")&amp;IF(OR($I313="CORRIDOR",$I313="SMOKE BARRIER"),"S label + smoke gasketing, ","")&amp;IF($BP313="?","wall type/hr not in IBC table, ","")&amp;IF(AND(N($BC313)&gt;0,$AU313=""),"no hardware set, ","")&amp;IF(AND($AU313&lt;&gt;"",ISNA(MATCH($AU313,HWSets,0))),"set "&amp;$AU313&amp;" not on Hardware sheet, ","")&amp;IF(N($BE313)&gt;96,"leaf over 8'-0"&amp;CHAR(34)&amp;" - check listing, ",""))</f>
        <v/>
      </c>
    </row>
    <row r="314" ht="15" customHeight="1">
      <c r="A314" s="44" t="n"/>
      <c r="B314" s="45" t="n"/>
      <c r="C314" s="45" t="n"/>
      <c r="D314" s="45" t="n"/>
      <c r="E314" s="45" t="n"/>
      <c r="F314" s="45" t="n"/>
      <c r="G314" s="45" t="n"/>
      <c r="H314" s="45" t="n"/>
      <c r="I314" s="45" t="n"/>
      <c r="J314" s="45" t="n"/>
      <c r="K314" s="45" t="n"/>
      <c r="L314" s="45" t="n"/>
      <c r="M314" s="45" t="n"/>
      <c r="N314" s="45" t="n"/>
      <c r="O314" s="45" t="n"/>
      <c r="P314" s="45" t="n"/>
      <c r="Q314" s="45" t="n"/>
      <c r="R314" s="45" t="n"/>
      <c r="S314" s="46" t="n"/>
      <c r="T314" s="46" t="n"/>
      <c r="U314" s="46" t="n"/>
      <c r="V314" s="46" t="n"/>
      <c r="W314" s="46" t="n"/>
      <c r="X314" s="46" t="n"/>
      <c r="Y314" s="46" t="n"/>
      <c r="Z314" s="46" t="n"/>
      <c r="AA314" s="46" t="n"/>
      <c r="AB314" s="46" t="n"/>
      <c r="AC314" s="46" t="n"/>
      <c r="AD314" s="46" t="n"/>
      <c r="AE314" s="46" t="n"/>
      <c r="AF314" s="46" t="n"/>
      <c r="AG314" s="46" t="n"/>
      <c r="AH314" s="47" t="n"/>
      <c r="AI314" s="47" t="n"/>
      <c r="AJ314" s="47" t="n"/>
      <c r="AK314" s="47" t="n"/>
      <c r="AL314" s="47" t="n"/>
      <c r="AM314" s="47" t="n"/>
      <c r="AN314" s="47" t="n"/>
      <c r="AO314" s="47" t="n"/>
      <c r="AP314" s="47" t="n"/>
      <c r="AQ314" s="47" t="n"/>
      <c r="AR314" s="47" t="n"/>
      <c r="AS314" s="47" t="n"/>
      <c r="AT314" s="47" t="n"/>
      <c r="AU314" s="48" t="n"/>
      <c r="AV314" s="48" t="n"/>
      <c r="AW314" s="49">
        <f>IF($A314="","",IF($BW314&lt;&gt;"","FIX",IF($BX314&lt;&gt;"","CHECK","OK")))</f>
        <v/>
      </c>
      <c r="AX314" s="50">
        <f>IF($A314="","",IF($BW314&lt;&gt;"","FIX: "&amp;LEFT($BW314,LEN($BW314)-2)&amp;IF($BX314&lt;&gt;"","  ·  ",""),"")&amp;IF($BX314&lt;&gt;"","CHECK: "&amp;LEFT($BX314,LEN($BX314)-2),""))</f>
        <v/>
      </c>
      <c r="AY314" s="49">
        <f>IF(OR($A314="",$K314=""),"",$K314&amp;"'-"&amp;N($L314)&amp;CHAR(34)&amp;" x "&amp;$M314&amp;"'-"&amp;N($N314)&amp;CHAR(34))</f>
        <v/>
      </c>
      <c r="AZ314" s="49">
        <f>IF(OR($A314="",$K314=""),"",$K314&amp;N($L314)&amp;$M314&amp;N($N314))</f>
        <v/>
      </c>
      <c r="BA314" s="49">
        <f>IF(OR($A314="",$K314=""),"",$K314*12+N($L314))</f>
        <v/>
      </c>
      <c r="BB314" s="49">
        <f>IF(OR($A314="",$M314=""),"",$M314*12+N($N314))</f>
        <v/>
      </c>
      <c r="BC314" s="49">
        <f>IF($A314="","",IF(OR($C314="FRAME ONLY",$S314="BL"),0,IF($O314="Y",2,1)))</f>
        <v/>
      </c>
      <c r="BD314" s="51">
        <f>IF(OR(N($BC314)=0,$BA314=""),"",($BA314-2*EdgeClr-IF($BC314=2,MeetClr,0))/$BC314)</f>
        <v/>
      </c>
      <c r="BE314" s="51">
        <f>IF(OR(N($BC314)=0,$BB314=""),"",$BB314-HeadClr-Undercut)</f>
        <v/>
      </c>
      <c r="BF314" s="51">
        <f>IF($BA314="","",$BA314+2*FaceW+IF(N($Q314)&gt;0,($Q314+FaceW)*IF($R314="LR",2,1),0))</f>
        <v/>
      </c>
      <c r="BG314" s="51">
        <f>IF($BB314="","",$BB314+IF($AB314="Y",4,FaceW)+IF(N($P314)&gt;0,$P314+FaceW,0)+IF(OR($S314="4F",$S314="BL"),FaceW,0))</f>
        <v/>
      </c>
      <c r="BH314" s="51">
        <f>IF($BF314="","",$BF314+2*ROSide)</f>
        <v/>
      </c>
      <c r="BI314" s="51">
        <f>IF($BG314="","",$BG314+ROTop)</f>
        <v/>
      </c>
      <c r="BJ314" s="52">
        <f>IF(OR(N($BC314)=0,$BA314=""),"",$BA314/$BC314-ClearDeduct)</f>
        <v/>
      </c>
      <c r="BK314" s="49">
        <f>IF(OR(N($BC314)=0,$BE314=""),"",IF(OR($AC314="HGC",$AP314="HGC"),"CONT",IF($BE314&lt;=60,2,IF($BE314&lt;=90,3,IF($BE314&lt;=120,4,5)))))</f>
        <v/>
      </c>
      <c r="BL314" s="49">
        <f>IF(N($BC314)=0,"",IF(OR($AL314="",$AL314="FLUSH"),"FLUSH",IFERROR(LEFT($AL314,FIND("-",$AL314)-1),LEFT($AL314,2))))</f>
        <v/>
      </c>
      <c r="BM314" s="49">
        <f>IF($BL314="","",IFERROR(VALUE(MID($AL314,FIND("-",$AL314)+1,FIND(CHAR(34)&amp;"x",$AL314)-FIND("-",$AL314)-1)),0))</f>
        <v/>
      </c>
      <c r="BN314" s="49">
        <f>IF($BL314="","",IFERROR(VALUE(MID($AL314,FIND(CHAR(34)&amp;"x",$AL314)+2,FIND(CHAR(34),$AL314,FIND(CHAR(34)&amp;"x",$AL314)+2)-FIND(CHAR(34)&amp;"x",$AL314)-2)),0))</f>
        <v/>
      </c>
      <c r="BO314" s="53">
        <f>IF(OR($A314="",$H314="",$H314="NO LAB"),0,IFERROR(VALUE(LEFT($H314,FIND(" ",$H314)-1)),0))</f>
        <v/>
      </c>
      <c r="BP314" s="54">
        <f>IF(OR($A314="",$I314="",$I314="NON-RATED",N($J314)=0),"",IFERROR(VLOOKUP($I314&amp;"|"&amp;$J314,IBC,2,FALSE),"?"))</f>
        <v/>
      </c>
      <c r="BQ314" s="50">
        <f>IF(NOT(AND($A314&lt;&gt;"",$C314&lt;&gt;"DOOR ONLY")),"",TRIM(IFERROR(VLOOKUP($U314,CODES,2,FALSE),"")&amp;" "&amp;$AZ314&amp;" "&amp;IFERROR(VLOOKUP($Z314,CODES,2,FALSE),"")&amp;" "&amp;IFERROR(VLOOKUP($X314,CODES,2,FALSE),"")&amp;" "&amp;IFERROR(VLOOKUP($S314,CODES,2,FALSE),"")&amp;IF(N($P314)&gt;0," w/TRANSOM "&amp;$P314&amp;CHAR(34),"")&amp;IF(N($Q314)&gt;0," w/SIDELITE "&amp;$Q314&amp;CHAR(34)&amp;" "&amp;IF($R314="","R",$R314),"")&amp;IF($Y314="","  |  "," | "&amp;IFERROR(VLOOKUP($Y314,CODES,2,FALSE),"")&amp;" | ")&amp;IFERROR(VLOOKUP($AC314,CODES,2,FALSE),"")&amp;" "&amp;IFERROR(VLOOKUP($AD314,CODES,2,FALSE),"")&amp;IF(OR($AE314="",$AE314="-"),""," "&amp;$AE314)&amp;IF(OR($AF314="",$AF314="-"),""," "&amp;$AF314)&amp;IF($AB314="Y"," 4"&amp;CHAR(34)&amp;" HEAD","")&amp;" "&amp;IFERROR(VLOOKUP($H314,CODES,2,FALSE),"")))</f>
        <v/>
      </c>
      <c r="BR314" s="50">
        <f>IF(NOT(AND($A314&lt;&gt;"",N($BC314)&gt;0)),"",TRIM(IFERROR(VLOOKUP($AH314,CODES,2,FALSE),"")&amp;IF($AI314=""," "," "&amp;$AI314&amp;"GA ")&amp;$AZ314&amp;" "&amp;IF($AN314="",IFERROR(VLOOKUP($Z314,CODES,2,FALSE),""),IFERROR(VLOOKUP($AN314,CODES,2,FALSE),""))&amp;IF($BC314=2," PAIR","")&amp;" DOOR | "&amp;IF($AL314="","?",$AL314)&amp;" | "&amp;IF($AP314="",IFERROR(VLOOKUP($AC314,CODES,2,FALSE),""),IFERROR(VLOOKUP($AP314,CODES,2,FALSE),""))&amp;" "&amp;IFERROR(VLOOKUP($AQ314,CODES,2,FALSE),"")&amp;IF(OR($AR314="",$AR314="-"),""," SEAM "&amp;$AR314)&amp;IF($AS314="Y"," ASTRAGAL","")&amp;IF($AJ314=""," "," "&amp;$AJ314)&amp;IF($AK314=""," "," "&amp;$AK314)&amp;IF($AO314="",""," "&amp;$AO314)&amp;IF($AM314=""," "," SERIES "&amp;$AM314)&amp;" "&amp;IFERROR(VLOOKUP($H314,CODES,2,FALSE),"")))</f>
        <v/>
      </c>
      <c r="BS314" s="49">
        <f>IF(BV314="","",IF(COUNTIF($BV$6:BV314,BV314)=1,MAX($BS$5:BS313)+1,INDEX($BS$5:BS313,MATCH(BV314,$BV$5:BV313,0))))</f>
        <v/>
      </c>
      <c r="BT314" s="49">
        <f>IF(NOT(AND($A314&lt;&gt;"",$C314&lt;&gt;"DOOR ONLY")),"",MAX($BT$5:BT313)+1)</f>
        <v/>
      </c>
      <c r="BU314" s="49">
        <f>IF(NOT(AND($A314&lt;&gt;"",N($BC314)&gt;0)),"",MAX($BU$5:BU313)+1)</f>
        <v/>
      </c>
      <c r="BV314" s="49">
        <f>IF(OR($A314="",$BA314="",$BB314=""),"",$AZ314&amp;"|"&amp;$O314&amp;"|"&amp;$AL314&amp;"|"&amp;$S314&amp;"|"&amp;$P314&amp;"|"&amp;$Q314&amp;$R314&amp;"|"&amp;$C314&amp;"|"&amp;$AB314)</f>
        <v/>
      </c>
      <c r="BW314" s="49">
        <f>IF($A314="","",IF($B314="","qty, ","")&amp;IF($C314="","scope, ","")&amp;IF(OR($K314="",$M314=""),"size, ","")&amp;IF(AND($A314&lt;&gt;"",$C314&lt;&gt;"DOOR ONLY"),IF($U314="","jamb depth, ","")&amp;IF($X314="","construction, ","")&amp;IF($Y314="","anchor, ","")&amp;IF($S314="","frame type, ",""),"")&amp;IF(AND(N($BC314)&gt;0,$Z314=""),"hand, ","")&amp;IF(N($BC314)&gt;0,IF($AH314="","door material, ","")&amp;IF($AL314="","face type, ","")&amp;IF($AQ314="","lock prep, ","")&amp;IF(AND($AP314="",$AC314=""),"hinge prep, ",""),"")&amp;IF(AND($BO314&gt;0,$AH314="FRP"),"FRP cannot carry a label, ","")&amp;IF(AND($O314="Y",OR($Z314="L",$Z314="R",$Z314="LR",$Z314="RR")),"pair marked but hand is single, ","")&amp;IF(AND($O314&lt;&gt;"Y",OR($Z314="PR",AND(LEN($Z314)&gt;1,ISNUMBER(SEARCH("-",$Z314))))),"pair hand on a single door, ","")&amp;IF(AND(ISNUMBER($BP314),$BO314&lt;N($BP314)),"wall needs a "&amp;$BP314&amp;" min door, ","")&amp;IF(AND($BO314&gt;=180,AND(OR($BL314="FG",$BL314="HG",$BL314="FNV",$BL314="FV"),N($BM314)*N($BN314)&gt;100)),"180 min lite over 100 sq in, ","")&amp;IF(N($BD314)&gt;48,"leaf wider than 4'-0"&amp;CHAR(34)&amp;", ",""))</f>
        <v/>
      </c>
      <c r="BX314" s="49">
        <f>IF($A314="","",IF(AND($BO314&gt;0,AND($A314&lt;&gt;"",$C314&lt;&gt;"DOOR ONLY"),$X314="KD",$E314="EXTERIOR"),"KD label on an exterior opening, ","")&amp;IF(AND($E314="EXTERIOR",OR(AND(AND($A314&lt;&gt;"",$C314&lt;&gt;"DOOR ONLY"),$W314="CR"),AND(N($BC314)&gt;0,$AH314="CR"))),"exterior in CR steel (G9?), ","")&amp;IF(AND(ISNUMBER($BJ314),N($BJ314)&lt;32),"clear width ~"&amp;TEXT($BJ314,"0.0")&amp;CHAR(34)&amp;" under 32"&amp;CHAR(34)&amp;" (ADA), ","")&amp;IF(AND($BO314=90,AND(OR($BL314="FG",$BL314="HG",$BL314="FNV",$BL314="FV"),N($BM314)*N($BN314)&gt;100)),"90 min lite over 100 sq in (stair/exit), ","")&amp;IF(AND($BO314&gt;0,AND($A314&lt;&gt;"",$C314&lt;&gt;"DOOR ONLY"),OR($AF314="",$AF314="-")),"rated: closer reinf.?, ","")&amp;IF(OR($I314="CORRIDOR",$I314="SMOKE BARRIER"),"S label + smoke gasketing, ","")&amp;IF($BP314="?","wall type/hr not in IBC table, ","")&amp;IF(AND(N($BC314)&gt;0,$AU314=""),"no hardware set, ","")&amp;IF(AND($AU314&lt;&gt;"",ISNA(MATCH($AU314,HWSets,0))),"set "&amp;$AU314&amp;" not on Hardware sheet, ","")&amp;IF(N($BE314)&gt;96,"leaf over 8'-0"&amp;CHAR(34)&amp;" - check listing, ",""))</f>
        <v/>
      </c>
    </row>
    <row r="315" ht="15" customHeight="1">
      <c r="A315" s="44" t="n"/>
      <c r="B315" s="45" t="n"/>
      <c r="C315" s="45" t="n"/>
      <c r="D315" s="45" t="n"/>
      <c r="E315" s="45" t="n"/>
      <c r="F315" s="45" t="n"/>
      <c r="G315" s="45" t="n"/>
      <c r="H315" s="45" t="n"/>
      <c r="I315" s="45" t="n"/>
      <c r="J315" s="45" t="n"/>
      <c r="K315" s="45" t="n"/>
      <c r="L315" s="45" t="n"/>
      <c r="M315" s="45" t="n"/>
      <c r="N315" s="45" t="n"/>
      <c r="O315" s="45" t="n"/>
      <c r="P315" s="45" t="n"/>
      <c r="Q315" s="45" t="n"/>
      <c r="R315" s="45" t="n"/>
      <c r="S315" s="46" t="n"/>
      <c r="T315" s="46" t="n"/>
      <c r="U315" s="46" t="n"/>
      <c r="V315" s="46" t="n"/>
      <c r="W315" s="46" t="n"/>
      <c r="X315" s="46" t="n"/>
      <c r="Y315" s="46" t="n"/>
      <c r="Z315" s="46" t="n"/>
      <c r="AA315" s="46" t="n"/>
      <c r="AB315" s="46" t="n"/>
      <c r="AC315" s="46" t="n"/>
      <c r="AD315" s="46" t="n"/>
      <c r="AE315" s="46" t="n"/>
      <c r="AF315" s="46" t="n"/>
      <c r="AG315" s="46" t="n"/>
      <c r="AH315" s="47" t="n"/>
      <c r="AI315" s="47" t="n"/>
      <c r="AJ315" s="47" t="n"/>
      <c r="AK315" s="47" t="n"/>
      <c r="AL315" s="47" t="n"/>
      <c r="AM315" s="47" t="n"/>
      <c r="AN315" s="47" t="n"/>
      <c r="AO315" s="47" t="n"/>
      <c r="AP315" s="47" t="n"/>
      <c r="AQ315" s="47" t="n"/>
      <c r="AR315" s="47" t="n"/>
      <c r="AS315" s="47" t="n"/>
      <c r="AT315" s="47" t="n"/>
      <c r="AU315" s="48" t="n"/>
      <c r="AV315" s="48" t="n"/>
      <c r="AW315" s="49">
        <f>IF($A315="","",IF($BW315&lt;&gt;"","FIX",IF($BX315&lt;&gt;"","CHECK","OK")))</f>
        <v/>
      </c>
      <c r="AX315" s="50">
        <f>IF($A315="","",IF($BW315&lt;&gt;"","FIX: "&amp;LEFT($BW315,LEN($BW315)-2)&amp;IF($BX315&lt;&gt;"","  ·  ",""),"")&amp;IF($BX315&lt;&gt;"","CHECK: "&amp;LEFT($BX315,LEN($BX315)-2),""))</f>
        <v/>
      </c>
      <c r="AY315" s="49">
        <f>IF(OR($A315="",$K315=""),"",$K315&amp;"'-"&amp;N($L315)&amp;CHAR(34)&amp;" x "&amp;$M315&amp;"'-"&amp;N($N315)&amp;CHAR(34))</f>
        <v/>
      </c>
      <c r="AZ315" s="49">
        <f>IF(OR($A315="",$K315=""),"",$K315&amp;N($L315)&amp;$M315&amp;N($N315))</f>
        <v/>
      </c>
      <c r="BA315" s="49">
        <f>IF(OR($A315="",$K315=""),"",$K315*12+N($L315))</f>
        <v/>
      </c>
      <c r="BB315" s="49">
        <f>IF(OR($A315="",$M315=""),"",$M315*12+N($N315))</f>
        <v/>
      </c>
      <c r="BC315" s="49">
        <f>IF($A315="","",IF(OR($C315="FRAME ONLY",$S315="BL"),0,IF($O315="Y",2,1)))</f>
        <v/>
      </c>
      <c r="BD315" s="51">
        <f>IF(OR(N($BC315)=0,$BA315=""),"",($BA315-2*EdgeClr-IF($BC315=2,MeetClr,0))/$BC315)</f>
        <v/>
      </c>
      <c r="BE315" s="51">
        <f>IF(OR(N($BC315)=0,$BB315=""),"",$BB315-HeadClr-Undercut)</f>
        <v/>
      </c>
      <c r="BF315" s="51">
        <f>IF($BA315="","",$BA315+2*FaceW+IF(N($Q315)&gt;0,($Q315+FaceW)*IF($R315="LR",2,1),0))</f>
        <v/>
      </c>
      <c r="BG315" s="51">
        <f>IF($BB315="","",$BB315+IF($AB315="Y",4,FaceW)+IF(N($P315)&gt;0,$P315+FaceW,0)+IF(OR($S315="4F",$S315="BL"),FaceW,0))</f>
        <v/>
      </c>
      <c r="BH315" s="51">
        <f>IF($BF315="","",$BF315+2*ROSide)</f>
        <v/>
      </c>
      <c r="BI315" s="51">
        <f>IF($BG315="","",$BG315+ROTop)</f>
        <v/>
      </c>
      <c r="BJ315" s="52">
        <f>IF(OR(N($BC315)=0,$BA315=""),"",$BA315/$BC315-ClearDeduct)</f>
        <v/>
      </c>
      <c r="BK315" s="49">
        <f>IF(OR(N($BC315)=0,$BE315=""),"",IF(OR($AC315="HGC",$AP315="HGC"),"CONT",IF($BE315&lt;=60,2,IF($BE315&lt;=90,3,IF($BE315&lt;=120,4,5)))))</f>
        <v/>
      </c>
      <c r="BL315" s="49">
        <f>IF(N($BC315)=0,"",IF(OR($AL315="",$AL315="FLUSH"),"FLUSH",IFERROR(LEFT($AL315,FIND("-",$AL315)-1),LEFT($AL315,2))))</f>
        <v/>
      </c>
      <c r="BM315" s="49">
        <f>IF($BL315="","",IFERROR(VALUE(MID($AL315,FIND("-",$AL315)+1,FIND(CHAR(34)&amp;"x",$AL315)-FIND("-",$AL315)-1)),0))</f>
        <v/>
      </c>
      <c r="BN315" s="49">
        <f>IF($BL315="","",IFERROR(VALUE(MID($AL315,FIND(CHAR(34)&amp;"x",$AL315)+2,FIND(CHAR(34),$AL315,FIND(CHAR(34)&amp;"x",$AL315)+2)-FIND(CHAR(34)&amp;"x",$AL315)-2)),0))</f>
        <v/>
      </c>
      <c r="BO315" s="53">
        <f>IF(OR($A315="",$H315="",$H315="NO LAB"),0,IFERROR(VALUE(LEFT($H315,FIND(" ",$H315)-1)),0))</f>
        <v/>
      </c>
      <c r="BP315" s="54">
        <f>IF(OR($A315="",$I315="",$I315="NON-RATED",N($J315)=0),"",IFERROR(VLOOKUP($I315&amp;"|"&amp;$J315,IBC,2,FALSE),"?"))</f>
        <v/>
      </c>
      <c r="BQ315" s="50">
        <f>IF(NOT(AND($A315&lt;&gt;"",$C315&lt;&gt;"DOOR ONLY")),"",TRIM(IFERROR(VLOOKUP($U315,CODES,2,FALSE),"")&amp;" "&amp;$AZ315&amp;" "&amp;IFERROR(VLOOKUP($Z315,CODES,2,FALSE),"")&amp;" "&amp;IFERROR(VLOOKUP($X315,CODES,2,FALSE),"")&amp;" "&amp;IFERROR(VLOOKUP($S315,CODES,2,FALSE),"")&amp;IF(N($P315)&gt;0," w/TRANSOM "&amp;$P315&amp;CHAR(34),"")&amp;IF(N($Q315)&gt;0," w/SIDELITE "&amp;$Q315&amp;CHAR(34)&amp;" "&amp;IF($R315="","R",$R315),"")&amp;IF($Y315="","  |  "," | "&amp;IFERROR(VLOOKUP($Y315,CODES,2,FALSE),"")&amp;" | ")&amp;IFERROR(VLOOKUP($AC315,CODES,2,FALSE),"")&amp;" "&amp;IFERROR(VLOOKUP($AD315,CODES,2,FALSE),"")&amp;IF(OR($AE315="",$AE315="-"),""," "&amp;$AE315)&amp;IF(OR($AF315="",$AF315="-"),""," "&amp;$AF315)&amp;IF($AB315="Y"," 4"&amp;CHAR(34)&amp;" HEAD","")&amp;" "&amp;IFERROR(VLOOKUP($H315,CODES,2,FALSE),"")))</f>
        <v/>
      </c>
      <c r="BR315" s="50">
        <f>IF(NOT(AND($A315&lt;&gt;"",N($BC315)&gt;0)),"",TRIM(IFERROR(VLOOKUP($AH315,CODES,2,FALSE),"")&amp;IF($AI315=""," "," "&amp;$AI315&amp;"GA ")&amp;$AZ315&amp;" "&amp;IF($AN315="",IFERROR(VLOOKUP($Z315,CODES,2,FALSE),""),IFERROR(VLOOKUP($AN315,CODES,2,FALSE),""))&amp;IF($BC315=2," PAIR","")&amp;" DOOR | "&amp;IF($AL315="","?",$AL315)&amp;" | "&amp;IF($AP315="",IFERROR(VLOOKUP($AC315,CODES,2,FALSE),""),IFERROR(VLOOKUP($AP315,CODES,2,FALSE),""))&amp;" "&amp;IFERROR(VLOOKUP($AQ315,CODES,2,FALSE),"")&amp;IF(OR($AR315="",$AR315="-"),""," SEAM "&amp;$AR315)&amp;IF($AS315="Y"," ASTRAGAL","")&amp;IF($AJ315=""," "," "&amp;$AJ315)&amp;IF($AK315=""," "," "&amp;$AK315)&amp;IF($AO315="",""," "&amp;$AO315)&amp;IF($AM315=""," "," SERIES "&amp;$AM315)&amp;" "&amp;IFERROR(VLOOKUP($H315,CODES,2,FALSE),"")))</f>
        <v/>
      </c>
      <c r="BS315" s="49">
        <f>IF(BV315="","",IF(COUNTIF($BV$6:BV315,BV315)=1,MAX($BS$5:BS314)+1,INDEX($BS$5:BS314,MATCH(BV315,$BV$5:BV314,0))))</f>
        <v/>
      </c>
      <c r="BT315" s="49">
        <f>IF(NOT(AND($A315&lt;&gt;"",$C315&lt;&gt;"DOOR ONLY")),"",MAX($BT$5:BT314)+1)</f>
        <v/>
      </c>
      <c r="BU315" s="49">
        <f>IF(NOT(AND($A315&lt;&gt;"",N($BC315)&gt;0)),"",MAX($BU$5:BU314)+1)</f>
        <v/>
      </c>
      <c r="BV315" s="49">
        <f>IF(OR($A315="",$BA315="",$BB315=""),"",$AZ315&amp;"|"&amp;$O315&amp;"|"&amp;$AL315&amp;"|"&amp;$S315&amp;"|"&amp;$P315&amp;"|"&amp;$Q315&amp;$R315&amp;"|"&amp;$C315&amp;"|"&amp;$AB315)</f>
        <v/>
      </c>
      <c r="BW315" s="49">
        <f>IF($A315="","",IF($B315="","qty, ","")&amp;IF($C315="","scope, ","")&amp;IF(OR($K315="",$M315=""),"size, ","")&amp;IF(AND($A315&lt;&gt;"",$C315&lt;&gt;"DOOR ONLY"),IF($U315="","jamb depth, ","")&amp;IF($X315="","construction, ","")&amp;IF($Y315="","anchor, ","")&amp;IF($S315="","frame type, ",""),"")&amp;IF(AND(N($BC315)&gt;0,$Z315=""),"hand, ","")&amp;IF(N($BC315)&gt;0,IF($AH315="","door material, ","")&amp;IF($AL315="","face type, ","")&amp;IF($AQ315="","lock prep, ","")&amp;IF(AND($AP315="",$AC315=""),"hinge prep, ",""),"")&amp;IF(AND($BO315&gt;0,$AH315="FRP"),"FRP cannot carry a label, ","")&amp;IF(AND($O315="Y",OR($Z315="L",$Z315="R",$Z315="LR",$Z315="RR")),"pair marked but hand is single, ","")&amp;IF(AND($O315&lt;&gt;"Y",OR($Z315="PR",AND(LEN($Z315)&gt;1,ISNUMBER(SEARCH("-",$Z315))))),"pair hand on a single door, ","")&amp;IF(AND(ISNUMBER($BP315),$BO315&lt;N($BP315)),"wall needs a "&amp;$BP315&amp;" min door, ","")&amp;IF(AND($BO315&gt;=180,AND(OR($BL315="FG",$BL315="HG",$BL315="FNV",$BL315="FV"),N($BM315)*N($BN315)&gt;100)),"180 min lite over 100 sq in, ","")&amp;IF(N($BD315)&gt;48,"leaf wider than 4'-0"&amp;CHAR(34)&amp;", ",""))</f>
        <v/>
      </c>
      <c r="BX315" s="49">
        <f>IF($A315="","",IF(AND($BO315&gt;0,AND($A315&lt;&gt;"",$C315&lt;&gt;"DOOR ONLY"),$X315="KD",$E315="EXTERIOR"),"KD label on an exterior opening, ","")&amp;IF(AND($E315="EXTERIOR",OR(AND(AND($A315&lt;&gt;"",$C315&lt;&gt;"DOOR ONLY"),$W315="CR"),AND(N($BC315)&gt;0,$AH315="CR"))),"exterior in CR steel (G9?), ","")&amp;IF(AND(ISNUMBER($BJ315),N($BJ315)&lt;32),"clear width ~"&amp;TEXT($BJ315,"0.0")&amp;CHAR(34)&amp;" under 32"&amp;CHAR(34)&amp;" (ADA), ","")&amp;IF(AND($BO315=90,AND(OR($BL315="FG",$BL315="HG",$BL315="FNV",$BL315="FV"),N($BM315)*N($BN315)&gt;100)),"90 min lite over 100 sq in (stair/exit), ","")&amp;IF(AND($BO315&gt;0,AND($A315&lt;&gt;"",$C315&lt;&gt;"DOOR ONLY"),OR($AF315="",$AF315="-")),"rated: closer reinf.?, ","")&amp;IF(OR($I315="CORRIDOR",$I315="SMOKE BARRIER"),"S label + smoke gasketing, ","")&amp;IF($BP315="?","wall type/hr not in IBC table, ","")&amp;IF(AND(N($BC315)&gt;0,$AU315=""),"no hardware set, ","")&amp;IF(AND($AU315&lt;&gt;"",ISNA(MATCH($AU315,HWSets,0))),"set "&amp;$AU315&amp;" not on Hardware sheet, ","")&amp;IF(N($BE315)&gt;96,"leaf over 8'-0"&amp;CHAR(34)&amp;" - check listing, ",""))</f>
        <v/>
      </c>
    </row>
    <row r="316" ht="15" customHeight="1">
      <c r="A316" s="44" t="n"/>
      <c r="B316" s="45" t="n"/>
      <c r="C316" s="45" t="n"/>
      <c r="D316" s="45" t="n"/>
      <c r="E316" s="45" t="n"/>
      <c r="F316" s="45" t="n"/>
      <c r="G316" s="45" t="n"/>
      <c r="H316" s="45" t="n"/>
      <c r="I316" s="45" t="n"/>
      <c r="J316" s="45" t="n"/>
      <c r="K316" s="45" t="n"/>
      <c r="L316" s="45" t="n"/>
      <c r="M316" s="45" t="n"/>
      <c r="N316" s="45" t="n"/>
      <c r="O316" s="45" t="n"/>
      <c r="P316" s="45" t="n"/>
      <c r="Q316" s="45" t="n"/>
      <c r="R316" s="45" t="n"/>
      <c r="S316" s="46" t="n"/>
      <c r="T316" s="46" t="n"/>
      <c r="U316" s="46" t="n"/>
      <c r="V316" s="46" t="n"/>
      <c r="W316" s="46" t="n"/>
      <c r="X316" s="46" t="n"/>
      <c r="Y316" s="46" t="n"/>
      <c r="Z316" s="46" t="n"/>
      <c r="AA316" s="46" t="n"/>
      <c r="AB316" s="46" t="n"/>
      <c r="AC316" s="46" t="n"/>
      <c r="AD316" s="46" t="n"/>
      <c r="AE316" s="46" t="n"/>
      <c r="AF316" s="46" t="n"/>
      <c r="AG316" s="46" t="n"/>
      <c r="AH316" s="47" t="n"/>
      <c r="AI316" s="47" t="n"/>
      <c r="AJ316" s="47" t="n"/>
      <c r="AK316" s="47" t="n"/>
      <c r="AL316" s="47" t="n"/>
      <c r="AM316" s="47" t="n"/>
      <c r="AN316" s="47" t="n"/>
      <c r="AO316" s="47" t="n"/>
      <c r="AP316" s="47" t="n"/>
      <c r="AQ316" s="47" t="n"/>
      <c r="AR316" s="47" t="n"/>
      <c r="AS316" s="47" t="n"/>
      <c r="AT316" s="47" t="n"/>
      <c r="AU316" s="48" t="n"/>
      <c r="AV316" s="48" t="n"/>
      <c r="AW316" s="49">
        <f>IF($A316="","",IF($BW316&lt;&gt;"","FIX",IF($BX316&lt;&gt;"","CHECK","OK")))</f>
        <v/>
      </c>
      <c r="AX316" s="50">
        <f>IF($A316="","",IF($BW316&lt;&gt;"","FIX: "&amp;LEFT($BW316,LEN($BW316)-2)&amp;IF($BX316&lt;&gt;"","  ·  ",""),"")&amp;IF($BX316&lt;&gt;"","CHECK: "&amp;LEFT($BX316,LEN($BX316)-2),""))</f>
        <v/>
      </c>
      <c r="AY316" s="49">
        <f>IF(OR($A316="",$K316=""),"",$K316&amp;"'-"&amp;N($L316)&amp;CHAR(34)&amp;" x "&amp;$M316&amp;"'-"&amp;N($N316)&amp;CHAR(34))</f>
        <v/>
      </c>
      <c r="AZ316" s="49">
        <f>IF(OR($A316="",$K316=""),"",$K316&amp;N($L316)&amp;$M316&amp;N($N316))</f>
        <v/>
      </c>
      <c r="BA316" s="49">
        <f>IF(OR($A316="",$K316=""),"",$K316*12+N($L316))</f>
        <v/>
      </c>
      <c r="BB316" s="49">
        <f>IF(OR($A316="",$M316=""),"",$M316*12+N($N316))</f>
        <v/>
      </c>
      <c r="BC316" s="49">
        <f>IF($A316="","",IF(OR($C316="FRAME ONLY",$S316="BL"),0,IF($O316="Y",2,1)))</f>
        <v/>
      </c>
      <c r="BD316" s="51">
        <f>IF(OR(N($BC316)=0,$BA316=""),"",($BA316-2*EdgeClr-IF($BC316=2,MeetClr,0))/$BC316)</f>
        <v/>
      </c>
      <c r="BE316" s="51">
        <f>IF(OR(N($BC316)=0,$BB316=""),"",$BB316-HeadClr-Undercut)</f>
        <v/>
      </c>
      <c r="BF316" s="51">
        <f>IF($BA316="","",$BA316+2*FaceW+IF(N($Q316)&gt;0,($Q316+FaceW)*IF($R316="LR",2,1),0))</f>
        <v/>
      </c>
      <c r="BG316" s="51">
        <f>IF($BB316="","",$BB316+IF($AB316="Y",4,FaceW)+IF(N($P316)&gt;0,$P316+FaceW,0)+IF(OR($S316="4F",$S316="BL"),FaceW,0))</f>
        <v/>
      </c>
      <c r="BH316" s="51">
        <f>IF($BF316="","",$BF316+2*ROSide)</f>
        <v/>
      </c>
      <c r="BI316" s="51">
        <f>IF($BG316="","",$BG316+ROTop)</f>
        <v/>
      </c>
      <c r="BJ316" s="52">
        <f>IF(OR(N($BC316)=0,$BA316=""),"",$BA316/$BC316-ClearDeduct)</f>
        <v/>
      </c>
      <c r="BK316" s="49">
        <f>IF(OR(N($BC316)=0,$BE316=""),"",IF(OR($AC316="HGC",$AP316="HGC"),"CONT",IF($BE316&lt;=60,2,IF($BE316&lt;=90,3,IF($BE316&lt;=120,4,5)))))</f>
        <v/>
      </c>
      <c r="BL316" s="49">
        <f>IF(N($BC316)=0,"",IF(OR($AL316="",$AL316="FLUSH"),"FLUSH",IFERROR(LEFT($AL316,FIND("-",$AL316)-1),LEFT($AL316,2))))</f>
        <v/>
      </c>
      <c r="BM316" s="49">
        <f>IF($BL316="","",IFERROR(VALUE(MID($AL316,FIND("-",$AL316)+1,FIND(CHAR(34)&amp;"x",$AL316)-FIND("-",$AL316)-1)),0))</f>
        <v/>
      </c>
      <c r="BN316" s="49">
        <f>IF($BL316="","",IFERROR(VALUE(MID($AL316,FIND(CHAR(34)&amp;"x",$AL316)+2,FIND(CHAR(34),$AL316,FIND(CHAR(34)&amp;"x",$AL316)+2)-FIND(CHAR(34)&amp;"x",$AL316)-2)),0))</f>
        <v/>
      </c>
      <c r="BO316" s="53">
        <f>IF(OR($A316="",$H316="",$H316="NO LAB"),0,IFERROR(VALUE(LEFT($H316,FIND(" ",$H316)-1)),0))</f>
        <v/>
      </c>
      <c r="BP316" s="54">
        <f>IF(OR($A316="",$I316="",$I316="NON-RATED",N($J316)=0),"",IFERROR(VLOOKUP($I316&amp;"|"&amp;$J316,IBC,2,FALSE),"?"))</f>
        <v/>
      </c>
      <c r="BQ316" s="50">
        <f>IF(NOT(AND($A316&lt;&gt;"",$C316&lt;&gt;"DOOR ONLY")),"",TRIM(IFERROR(VLOOKUP($U316,CODES,2,FALSE),"")&amp;" "&amp;$AZ316&amp;" "&amp;IFERROR(VLOOKUP($Z316,CODES,2,FALSE),"")&amp;" "&amp;IFERROR(VLOOKUP($X316,CODES,2,FALSE),"")&amp;" "&amp;IFERROR(VLOOKUP($S316,CODES,2,FALSE),"")&amp;IF(N($P316)&gt;0," w/TRANSOM "&amp;$P316&amp;CHAR(34),"")&amp;IF(N($Q316)&gt;0," w/SIDELITE "&amp;$Q316&amp;CHAR(34)&amp;" "&amp;IF($R316="","R",$R316),"")&amp;IF($Y316="","  |  "," | "&amp;IFERROR(VLOOKUP($Y316,CODES,2,FALSE),"")&amp;" | ")&amp;IFERROR(VLOOKUP($AC316,CODES,2,FALSE),"")&amp;" "&amp;IFERROR(VLOOKUP($AD316,CODES,2,FALSE),"")&amp;IF(OR($AE316="",$AE316="-"),""," "&amp;$AE316)&amp;IF(OR($AF316="",$AF316="-"),""," "&amp;$AF316)&amp;IF($AB316="Y"," 4"&amp;CHAR(34)&amp;" HEAD","")&amp;" "&amp;IFERROR(VLOOKUP($H316,CODES,2,FALSE),"")))</f>
        <v/>
      </c>
      <c r="BR316" s="50">
        <f>IF(NOT(AND($A316&lt;&gt;"",N($BC316)&gt;0)),"",TRIM(IFERROR(VLOOKUP($AH316,CODES,2,FALSE),"")&amp;IF($AI316=""," "," "&amp;$AI316&amp;"GA ")&amp;$AZ316&amp;" "&amp;IF($AN316="",IFERROR(VLOOKUP($Z316,CODES,2,FALSE),""),IFERROR(VLOOKUP($AN316,CODES,2,FALSE),""))&amp;IF($BC316=2," PAIR","")&amp;" DOOR | "&amp;IF($AL316="","?",$AL316)&amp;" | "&amp;IF($AP316="",IFERROR(VLOOKUP($AC316,CODES,2,FALSE),""),IFERROR(VLOOKUP($AP316,CODES,2,FALSE),""))&amp;" "&amp;IFERROR(VLOOKUP($AQ316,CODES,2,FALSE),"")&amp;IF(OR($AR316="",$AR316="-"),""," SEAM "&amp;$AR316)&amp;IF($AS316="Y"," ASTRAGAL","")&amp;IF($AJ316=""," "," "&amp;$AJ316)&amp;IF($AK316=""," "," "&amp;$AK316)&amp;IF($AO316="",""," "&amp;$AO316)&amp;IF($AM316=""," "," SERIES "&amp;$AM316)&amp;" "&amp;IFERROR(VLOOKUP($H316,CODES,2,FALSE),"")))</f>
        <v/>
      </c>
      <c r="BS316" s="49">
        <f>IF(BV316="","",IF(COUNTIF($BV$6:BV316,BV316)=1,MAX($BS$5:BS315)+1,INDEX($BS$5:BS315,MATCH(BV316,$BV$5:BV315,0))))</f>
        <v/>
      </c>
      <c r="BT316" s="49">
        <f>IF(NOT(AND($A316&lt;&gt;"",$C316&lt;&gt;"DOOR ONLY")),"",MAX($BT$5:BT315)+1)</f>
        <v/>
      </c>
      <c r="BU316" s="49">
        <f>IF(NOT(AND($A316&lt;&gt;"",N($BC316)&gt;0)),"",MAX($BU$5:BU315)+1)</f>
        <v/>
      </c>
      <c r="BV316" s="49">
        <f>IF(OR($A316="",$BA316="",$BB316=""),"",$AZ316&amp;"|"&amp;$O316&amp;"|"&amp;$AL316&amp;"|"&amp;$S316&amp;"|"&amp;$P316&amp;"|"&amp;$Q316&amp;$R316&amp;"|"&amp;$C316&amp;"|"&amp;$AB316)</f>
        <v/>
      </c>
      <c r="BW316" s="49">
        <f>IF($A316="","",IF($B316="","qty, ","")&amp;IF($C316="","scope, ","")&amp;IF(OR($K316="",$M316=""),"size, ","")&amp;IF(AND($A316&lt;&gt;"",$C316&lt;&gt;"DOOR ONLY"),IF($U316="","jamb depth, ","")&amp;IF($X316="","construction, ","")&amp;IF($Y316="","anchor, ","")&amp;IF($S316="","frame type, ",""),"")&amp;IF(AND(N($BC316)&gt;0,$Z316=""),"hand, ","")&amp;IF(N($BC316)&gt;0,IF($AH316="","door material, ","")&amp;IF($AL316="","face type, ","")&amp;IF($AQ316="","lock prep, ","")&amp;IF(AND($AP316="",$AC316=""),"hinge prep, ",""),"")&amp;IF(AND($BO316&gt;0,$AH316="FRP"),"FRP cannot carry a label, ","")&amp;IF(AND($O316="Y",OR($Z316="L",$Z316="R",$Z316="LR",$Z316="RR")),"pair marked but hand is single, ","")&amp;IF(AND($O316&lt;&gt;"Y",OR($Z316="PR",AND(LEN($Z316)&gt;1,ISNUMBER(SEARCH("-",$Z316))))),"pair hand on a single door, ","")&amp;IF(AND(ISNUMBER($BP316),$BO316&lt;N($BP316)),"wall needs a "&amp;$BP316&amp;" min door, ","")&amp;IF(AND($BO316&gt;=180,AND(OR($BL316="FG",$BL316="HG",$BL316="FNV",$BL316="FV"),N($BM316)*N($BN316)&gt;100)),"180 min lite over 100 sq in, ","")&amp;IF(N($BD316)&gt;48,"leaf wider than 4'-0"&amp;CHAR(34)&amp;", ",""))</f>
        <v/>
      </c>
      <c r="BX316" s="49">
        <f>IF($A316="","",IF(AND($BO316&gt;0,AND($A316&lt;&gt;"",$C316&lt;&gt;"DOOR ONLY"),$X316="KD",$E316="EXTERIOR"),"KD label on an exterior opening, ","")&amp;IF(AND($E316="EXTERIOR",OR(AND(AND($A316&lt;&gt;"",$C316&lt;&gt;"DOOR ONLY"),$W316="CR"),AND(N($BC316)&gt;0,$AH316="CR"))),"exterior in CR steel (G9?), ","")&amp;IF(AND(ISNUMBER($BJ316),N($BJ316)&lt;32),"clear width ~"&amp;TEXT($BJ316,"0.0")&amp;CHAR(34)&amp;" under 32"&amp;CHAR(34)&amp;" (ADA), ","")&amp;IF(AND($BO316=90,AND(OR($BL316="FG",$BL316="HG",$BL316="FNV",$BL316="FV"),N($BM316)*N($BN316)&gt;100)),"90 min lite over 100 sq in (stair/exit), ","")&amp;IF(AND($BO316&gt;0,AND($A316&lt;&gt;"",$C316&lt;&gt;"DOOR ONLY"),OR($AF316="",$AF316="-")),"rated: closer reinf.?, ","")&amp;IF(OR($I316="CORRIDOR",$I316="SMOKE BARRIER"),"S label + smoke gasketing, ","")&amp;IF($BP316="?","wall type/hr not in IBC table, ","")&amp;IF(AND(N($BC316)&gt;0,$AU316=""),"no hardware set, ","")&amp;IF(AND($AU316&lt;&gt;"",ISNA(MATCH($AU316,HWSets,0))),"set "&amp;$AU316&amp;" not on Hardware sheet, ","")&amp;IF(N($BE316)&gt;96,"leaf over 8'-0"&amp;CHAR(34)&amp;" - check listing, ",""))</f>
        <v/>
      </c>
    </row>
    <row r="317" ht="15" customHeight="1">
      <c r="A317" s="44" t="n"/>
      <c r="B317" s="45" t="n"/>
      <c r="C317" s="45" t="n"/>
      <c r="D317" s="45" t="n"/>
      <c r="E317" s="45" t="n"/>
      <c r="F317" s="45" t="n"/>
      <c r="G317" s="45" t="n"/>
      <c r="H317" s="45" t="n"/>
      <c r="I317" s="45" t="n"/>
      <c r="J317" s="45" t="n"/>
      <c r="K317" s="45" t="n"/>
      <c r="L317" s="45" t="n"/>
      <c r="M317" s="45" t="n"/>
      <c r="N317" s="45" t="n"/>
      <c r="O317" s="45" t="n"/>
      <c r="P317" s="45" t="n"/>
      <c r="Q317" s="45" t="n"/>
      <c r="R317" s="45" t="n"/>
      <c r="S317" s="46" t="n"/>
      <c r="T317" s="46" t="n"/>
      <c r="U317" s="46" t="n"/>
      <c r="V317" s="46" t="n"/>
      <c r="W317" s="46" t="n"/>
      <c r="X317" s="46" t="n"/>
      <c r="Y317" s="46" t="n"/>
      <c r="Z317" s="46" t="n"/>
      <c r="AA317" s="46" t="n"/>
      <c r="AB317" s="46" t="n"/>
      <c r="AC317" s="46" t="n"/>
      <c r="AD317" s="46" t="n"/>
      <c r="AE317" s="46" t="n"/>
      <c r="AF317" s="46" t="n"/>
      <c r="AG317" s="46" t="n"/>
      <c r="AH317" s="47" t="n"/>
      <c r="AI317" s="47" t="n"/>
      <c r="AJ317" s="47" t="n"/>
      <c r="AK317" s="47" t="n"/>
      <c r="AL317" s="47" t="n"/>
      <c r="AM317" s="47" t="n"/>
      <c r="AN317" s="47" t="n"/>
      <c r="AO317" s="47" t="n"/>
      <c r="AP317" s="47" t="n"/>
      <c r="AQ317" s="47" t="n"/>
      <c r="AR317" s="47" t="n"/>
      <c r="AS317" s="47" t="n"/>
      <c r="AT317" s="47" t="n"/>
      <c r="AU317" s="48" t="n"/>
      <c r="AV317" s="48" t="n"/>
      <c r="AW317" s="49">
        <f>IF($A317="","",IF($BW317&lt;&gt;"","FIX",IF($BX317&lt;&gt;"","CHECK","OK")))</f>
        <v/>
      </c>
      <c r="AX317" s="50">
        <f>IF($A317="","",IF($BW317&lt;&gt;"","FIX: "&amp;LEFT($BW317,LEN($BW317)-2)&amp;IF($BX317&lt;&gt;"","  ·  ",""),"")&amp;IF($BX317&lt;&gt;"","CHECK: "&amp;LEFT($BX317,LEN($BX317)-2),""))</f>
        <v/>
      </c>
      <c r="AY317" s="49">
        <f>IF(OR($A317="",$K317=""),"",$K317&amp;"'-"&amp;N($L317)&amp;CHAR(34)&amp;" x "&amp;$M317&amp;"'-"&amp;N($N317)&amp;CHAR(34))</f>
        <v/>
      </c>
      <c r="AZ317" s="49">
        <f>IF(OR($A317="",$K317=""),"",$K317&amp;N($L317)&amp;$M317&amp;N($N317))</f>
        <v/>
      </c>
      <c r="BA317" s="49">
        <f>IF(OR($A317="",$K317=""),"",$K317*12+N($L317))</f>
        <v/>
      </c>
      <c r="BB317" s="49">
        <f>IF(OR($A317="",$M317=""),"",$M317*12+N($N317))</f>
        <v/>
      </c>
      <c r="BC317" s="49">
        <f>IF($A317="","",IF(OR($C317="FRAME ONLY",$S317="BL"),0,IF($O317="Y",2,1)))</f>
        <v/>
      </c>
      <c r="BD317" s="51">
        <f>IF(OR(N($BC317)=0,$BA317=""),"",($BA317-2*EdgeClr-IF($BC317=2,MeetClr,0))/$BC317)</f>
        <v/>
      </c>
      <c r="BE317" s="51">
        <f>IF(OR(N($BC317)=0,$BB317=""),"",$BB317-HeadClr-Undercut)</f>
        <v/>
      </c>
      <c r="BF317" s="51">
        <f>IF($BA317="","",$BA317+2*FaceW+IF(N($Q317)&gt;0,($Q317+FaceW)*IF($R317="LR",2,1),0))</f>
        <v/>
      </c>
      <c r="BG317" s="51">
        <f>IF($BB317="","",$BB317+IF($AB317="Y",4,FaceW)+IF(N($P317)&gt;0,$P317+FaceW,0)+IF(OR($S317="4F",$S317="BL"),FaceW,0))</f>
        <v/>
      </c>
      <c r="BH317" s="51">
        <f>IF($BF317="","",$BF317+2*ROSide)</f>
        <v/>
      </c>
      <c r="BI317" s="51">
        <f>IF($BG317="","",$BG317+ROTop)</f>
        <v/>
      </c>
      <c r="BJ317" s="52">
        <f>IF(OR(N($BC317)=0,$BA317=""),"",$BA317/$BC317-ClearDeduct)</f>
        <v/>
      </c>
      <c r="BK317" s="49">
        <f>IF(OR(N($BC317)=0,$BE317=""),"",IF(OR($AC317="HGC",$AP317="HGC"),"CONT",IF($BE317&lt;=60,2,IF($BE317&lt;=90,3,IF($BE317&lt;=120,4,5)))))</f>
        <v/>
      </c>
      <c r="BL317" s="49">
        <f>IF(N($BC317)=0,"",IF(OR($AL317="",$AL317="FLUSH"),"FLUSH",IFERROR(LEFT($AL317,FIND("-",$AL317)-1),LEFT($AL317,2))))</f>
        <v/>
      </c>
      <c r="BM317" s="49">
        <f>IF($BL317="","",IFERROR(VALUE(MID($AL317,FIND("-",$AL317)+1,FIND(CHAR(34)&amp;"x",$AL317)-FIND("-",$AL317)-1)),0))</f>
        <v/>
      </c>
      <c r="BN317" s="49">
        <f>IF($BL317="","",IFERROR(VALUE(MID($AL317,FIND(CHAR(34)&amp;"x",$AL317)+2,FIND(CHAR(34),$AL317,FIND(CHAR(34)&amp;"x",$AL317)+2)-FIND(CHAR(34)&amp;"x",$AL317)-2)),0))</f>
        <v/>
      </c>
      <c r="BO317" s="53">
        <f>IF(OR($A317="",$H317="",$H317="NO LAB"),0,IFERROR(VALUE(LEFT($H317,FIND(" ",$H317)-1)),0))</f>
        <v/>
      </c>
      <c r="BP317" s="54">
        <f>IF(OR($A317="",$I317="",$I317="NON-RATED",N($J317)=0),"",IFERROR(VLOOKUP($I317&amp;"|"&amp;$J317,IBC,2,FALSE),"?"))</f>
        <v/>
      </c>
      <c r="BQ317" s="50">
        <f>IF(NOT(AND($A317&lt;&gt;"",$C317&lt;&gt;"DOOR ONLY")),"",TRIM(IFERROR(VLOOKUP($U317,CODES,2,FALSE),"")&amp;" "&amp;$AZ317&amp;" "&amp;IFERROR(VLOOKUP($Z317,CODES,2,FALSE),"")&amp;" "&amp;IFERROR(VLOOKUP($X317,CODES,2,FALSE),"")&amp;" "&amp;IFERROR(VLOOKUP($S317,CODES,2,FALSE),"")&amp;IF(N($P317)&gt;0," w/TRANSOM "&amp;$P317&amp;CHAR(34),"")&amp;IF(N($Q317)&gt;0," w/SIDELITE "&amp;$Q317&amp;CHAR(34)&amp;" "&amp;IF($R317="","R",$R317),"")&amp;IF($Y317="","  |  "," | "&amp;IFERROR(VLOOKUP($Y317,CODES,2,FALSE),"")&amp;" | ")&amp;IFERROR(VLOOKUP($AC317,CODES,2,FALSE),"")&amp;" "&amp;IFERROR(VLOOKUP($AD317,CODES,2,FALSE),"")&amp;IF(OR($AE317="",$AE317="-"),""," "&amp;$AE317)&amp;IF(OR($AF317="",$AF317="-"),""," "&amp;$AF317)&amp;IF($AB317="Y"," 4"&amp;CHAR(34)&amp;" HEAD","")&amp;" "&amp;IFERROR(VLOOKUP($H317,CODES,2,FALSE),"")))</f>
        <v/>
      </c>
      <c r="BR317" s="50">
        <f>IF(NOT(AND($A317&lt;&gt;"",N($BC317)&gt;0)),"",TRIM(IFERROR(VLOOKUP($AH317,CODES,2,FALSE),"")&amp;IF($AI317=""," "," "&amp;$AI317&amp;"GA ")&amp;$AZ317&amp;" "&amp;IF($AN317="",IFERROR(VLOOKUP($Z317,CODES,2,FALSE),""),IFERROR(VLOOKUP($AN317,CODES,2,FALSE),""))&amp;IF($BC317=2," PAIR","")&amp;" DOOR | "&amp;IF($AL317="","?",$AL317)&amp;" | "&amp;IF($AP317="",IFERROR(VLOOKUP($AC317,CODES,2,FALSE),""),IFERROR(VLOOKUP($AP317,CODES,2,FALSE),""))&amp;" "&amp;IFERROR(VLOOKUP($AQ317,CODES,2,FALSE),"")&amp;IF(OR($AR317="",$AR317="-"),""," SEAM "&amp;$AR317)&amp;IF($AS317="Y"," ASTRAGAL","")&amp;IF($AJ317=""," "," "&amp;$AJ317)&amp;IF($AK317=""," "," "&amp;$AK317)&amp;IF($AO317="",""," "&amp;$AO317)&amp;IF($AM317=""," "," SERIES "&amp;$AM317)&amp;" "&amp;IFERROR(VLOOKUP($H317,CODES,2,FALSE),"")))</f>
        <v/>
      </c>
      <c r="BS317" s="49">
        <f>IF(BV317="","",IF(COUNTIF($BV$6:BV317,BV317)=1,MAX($BS$5:BS316)+1,INDEX($BS$5:BS316,MATCH(BV317,$BV$5:BV316,0))))</f>
        <v/>
      </c>
      <c r="BT317" s="49">
        <f>IF(NOT(AND($A317&lt;&gt;"",$C317&lt;&gt;"DOOR ONLY")),"",MAX($BT$5:BT316)+1)</f>
        <v/>
      </c>
      <c r="BU317" s="49">
        <f>IF(NOT(AND($A317&lt;&gt;"",N($BC317)&gt;0)),"",MAX($BU$5:BU316)+1)</f>
        <v/>
      </c>
      <c r="BV317" s="49">
        <f>IF(OR($A317="",$BA317="",$BB317=""),"",$AZ317&amp;"|"&amp;$O317&amp;"|"&amp;$AL317&amp;"|"&amp;$S317&amp;"|"&amp;$P317&amp;"|"&amp;$Q317&amp;$R317&amp;"|"&amp;$C317&amp;"|"&amp;$AB317)</f>
        <v/>
      </c>
      <c r="BW317" s="49">
        <f>IF($A317="","",IF($B317="","qty, ","")&amp;IF($C317="","scope, ","")&amp;IF(OR($K317="",$M317=""),"size, ","")&amp;IF(AND($A317&lt;&gt;"",$C317&lt;&gt;"DOOR ONLY"),IF($U317="","jamb depth, ","")&amp;IF($X317="","construction, ","")&amp;IF($Y317="","anchor, ","")&amp;IF($S317="","frame type, ",""),"")&amp;IF(AND(N($BC317)&gt;0,$Z317=""),"hand, ","")&amp;IF(N($BC317)&gt;0,IF($AH317="","door material, ","")&amp;IF($AL317="","face type, ","")&amp;IF($AQ317="","lock prep, ","")&amp;IF(AND($AP317="",$AC317=""),"hinge prep, ",""),"")&amp;IF(AND($BO317&gt;0,$AH317="FRP"),"FRP cannot carry a label, ","")&amp;IF(AND($O317="Y",OR($Z317="L",$Z317="R",$Z317="LR",$Z317="RR")),"pair marked but hand is single, ","")&amp;IF(AND($O317&lt;&gt;"Y",OR($Z317="PR",AND(LEN($Z317)&gt;1,ISNUMBER(SEARCH("-",$Z317))))),"pair hand on a single door, ","")&amp;IF(AND(ISNUMBER($BP317),$BO317&lt;N($BP317)),"wall needs a "&amp;$BP317&amp;" min door, ","")&amp;IF(AND($BO317&gt;=180,AND(OR($BL317="FG",$BL317="HG",$BL317="FNV",$BL317="FV"),N($BM317)*N($BN317)&gt;100)),"180 min lite over 100 sq in, ","")&amp;IF(N($BD317)&gt;48,"leaf wider than 4'-0"&amp;CHAR(34)&amp;", ",""))</f>
        <v/>
      </c>
      <c r="BX317" s="49">
        <f>IF($A317="","",IF(AND($BO317&gt;0,AND($A317&lt;&gt;"",$C317&lt;&gt;"DOOR ONLY"),$X317="KD",$E317="EXTERIOR"),"KD label on an exterior opening, ","")&amp;IF(AND($E317="EXTERIOR",OR(AND(AND($A317&lt;&gt;"",$C317&lt;&gt;"DOOR ONLY"),$W317="CR"),AND(N($BC317)&gt;0,$AH317="CR"))),"exterior in CR steel (G9?), ","")&amp;IF(AND(ISNUMBER($BJ317),N($BJ317)&lt;32),"clear width ~"&amp;TEXT($BJ317,"0.0")&amp;CHAR(34)&amp;" under 32"&amp;CHAR(34)&amp;" (ADA), ","")&amp;IF(AND($BO317=90,AND(OR($BL317="FG",$BL317="HG",$BL317="FNV",$BL317="FV"),N($BM317)*N($BN317)&gt;100)),"90 min lite over 100 sq in (stair/exit), ","")&amp;IF(AND($BO317&gt;0,AND($A317&lt;&gt;"",$C317&lt;&gt;"DOOR ONLY"),OR($AF317="",$AF317="-")),"rated: closer reinf.?, ","")&amp;IF(OR($I317="CORRIDOR",$I317="SMOKE BARRIER"),"S label + smoke gasketing, ","")&amp;IF($BP317="?","wall type/hr not in IBC table, ","")&amp;IF(AND(N($BC317)&gt;0,$AU317=""),"no hardware set, ","")&amp;IF(AND($AU317&lt;&gt;"",ISNA(MATCH($AU317,HWSets,0))),"set "&amp;$AU317&amp;" not on Hardware sheet, ","")&amp;IF(N($BE317)&gt;96,"leaf over 8'-0"&amp;CHAR(34)&amp;" - check listing, ",""))</f>
        <v/>
      </c>
    </row>
    <row r="318" ht="15" customHeight="1">
      <c r="A318" s="44" t="n"/>
      <c r="B318" s="45" t="n"/>
      <c r="C318" s="45" t="n"/>
      <c r="D318" s="45" t="n"/>
      <c r="E318" s="45" t="n"/>
      <c r="F318" s="45" t="n"/>
      <c r="G318" s="45" t="n"/>
      <c r="H318" s="45" t="n"/>
      <c r="I318" s="45" t="n"/>
      <c r="J318" s="45" t="n"/>
      <c r="K318" s="45" t="n"/>
      <c r="L318" s="45" t="n"/>
      <c r="M318" s="45" t="n"/>
      <c r="N318" s="45" t="n"/>
      <c r="O318" s="45" t="n"/>
      <c r="P318" s="45" t="n"/>
      <c r="Q318" s="45" t="n"/>
      <c r="R318" s="45" t="n"/>
      <c r="S318" s="46" t="n"/>
      <c r="T318" s="46" t="n"/>
      <c r="U318" s="46" t="n"/>
      <c r="V318" s="46" t="n"/>
      <c r="W318" s="46" t="n"/>
      <c r="X318" s="46" t="n"/>
      <c r="Y318" s="46" t="n"/>
      <c r="Z318" s="46" t="n"/>
      <c r="AA318" s="46" t="n"/>
      <c r="AB318" s="46" t="n"/>
      <c r="AC318" s="46" t="n"/>
      <c r="AD318" s="46" t="n"/>
      <c r="AE318" s="46" t="n"/>
      <c r="AF318" s="46" t="n"/>
      <c r="AG318" s="46" t="n"/>
      <c r="AH318" s="47" t="n"/>
      <c r="AI318" s="47" t="n"/>
      <c r="AJ318" s="47" t="n"/>
      <c r="AK318" s="47" t="n"/>
      <c r="AL318" s="47" t="n"/>
      <c r="AM318" s="47" t="n"/>
      <c r="AN318" s="47" t="n"/>
      <c r="AO318" s="47" t="n"/>
      <c r="AP318" s="47" t="n"/>
      <c r="AQ318" s="47" t="n"/>
      <c r="AR318" s="47" t="n"/>
      <c r="AS318" s="47" t="n"/>
      <c r="AT318" s="47" t="n"/>
      <c r="AU318" s="48" t="n"/>
      <c r="AV318" s="48" t="n"/>
      <c r="AW318" s="49">
        <f>IF($A318="","",IF($BW318&lt;&gt;"","FIX",IF($BX318&lt;&gt;"","CHECK","OK")))</f>
        <v/>
      </c>
      <c r="AX318" s="50">
        <f>IF($A318="","",IF($BW318&lt;&gt;"","FIX: "&amp;LEFT($BW318,LEN($BW318)-2)&amp;IF($BX318&lt;&gt;"","  ·  ",""),"")&amp;IF($BX318&lt;&gt;"","CHECK: "&amp;LEFT($BX318,LEN($BX318)-2),""))</f>
        <v/>
      </c>
      <c r="AY318" s="49">
        <f>IF(OR($A318="",$K318=""),"",$K318&amp;"'-"&amp;N($L318)&amp;CHAR(34)&amp;" x "&amp;$M318&amp;"'-"&amp;N($N318)&amp;CHAR(34))</f>
        <v/>
      </c>
      <c r="AZ318" s="49">
        <f>IF(OR($A318="",$K318=""),"",$K318&amp;N($L318)&amp;$M318&amp;N($N318))</f>
        <v/>
      </c>
      <c r="BA318" s="49">
        <f>IF(OR($A318="",$K318=""),"",$K318*12+N($L318))</f>
        <v/>
      </c>
      <c r="BB318" s="49">
        <f>IF(OR($A318="",$M318=""),"",$M318*12+N($N318))</f>
        <v/>
      </c>
      <c r="BC318" s="49">
        <f>IF($A318="","",IF(OR($C318="FRAME ONLY",$S318="BL"),0,IF($O318="Y",2,1)))</f>
        <v/>
      </c>
      <c r="BD318" s="51">
        <f>IF(OR(N($BC318)=0,$BA318=""),"",($BA318-2*EdgeClr-IF($BC318=2,MeetClr,0))/$BC318)</f>
        <v/>
      </c>
      <c r="BE318" s="51">
        <f>IF(OR(N($BC318)=0,$BB318=""),"",$BB318-HeadClr-Undercut)</f>
        <v/>
      </c>
      <c r="BF318" s="51">
        <f>IF($BA318="","",$BA318+2*FaceW+IF(N($Q318)&gt;0,($Q318+FaceW)*IF($R318="LR",2,1),0))</f>
        <v/>
      </c>
      <c r="BG318" s="51">
        <f>IF($BB318="","",$BB318+IF($AB318="Y",4,FaceW)+IF(N($P318)&gt;0,$P318+FaceW,0)+IF(OR($S318="4F",$S318="BL"),FaceW,0))</f>
        <v/>
      </c>
      <c r="BH318" s="51">
        <f>IF($BF318="","",$BF318+2*ROSide)</f>
        <v/>
      </c>
      <c r="BI318" s="51">
        <f>IF($BG318="","",$BG318+ROTop)</f>
        <v/>
      </c>
      <c r="BJ318" s="52">
        <f>IF(OR(N($BC318)=0,$BA318=""),"",$BA318/$BC318-ClearDeduct)</f>
        <v/>
      </c>
      <c r="BK318" s="49">
        <f>IF(OR(N($BC318)=0,$BE318=""),"",IF(OR($AC318="HGC",$AP318="HGC"),"CONT",IF($BE318&lt;=60,2,IF($BE318&lt;=90,3,IF($BE318&lt;=120,4,5)))))</f>
        <v/>
      </c>
      <c r="BL318" s="49">
        <f>IF(N($BC318)=0,"",IF(OR($AL318="",$AL318="FLUSH"),"FLUSH",IFERROR(LEFT($AL318,FIND("-",$AL318)-1),LEFT($AL318,2))))</f>
        <v/>
      </c>
      <c r="BM318" s="49">
        <f>IF($BL318="","",IFERROR(VALUE(MID($AL318,FIND("-",$AL318)+1,FIND(CHAR(34)&amp;"x",$AL318)-FIND("-",$AL318)-1)),0))</f>
        <v/>
      </c>
      <c r="BN318" s="49">
        <f>IF($BL318="","",IFERROR(VALUE(MID($AL318,FIND(CHAR(34)&amp;"x",$AL318)+2,FIND(CHAR(34),$AL318,FIND(CHAR(34)&amp;"x",$AL318)+2)-FIND(CHAR(34)&amp;"x",$AL318)-2)),0))</f>
        <v/>
      </c>
      <c r="BO318" s="53">
        <f>IF(OR($A318="",$H318="",$H318="NO LAB"),0,IFERROR(VALUE(LEFT($H318,FIND(" ",$H318)-1)),0))</f>
        <v/>
      </c>
      <c r="BP318" s="54">
        <f>IF(OR($A318="",$I318="",$I318="NON-RATED",N($J318)=0),"",IFERROR(VLOOKUP($I318&amp;"|"&amp;$J318,IBC,2,FALSE),"?"))</f>
        <v/>
      </c>
      <c r="BQ318" s="50">
        <f>IF(NOT(AND($A318&lt;&gt;"",$C318&lt;&gt;"DOOR ONLY")),"",TRIM(IFERROR(VLOOKUP($U318,CODES,2,FALSE),"")&amp;" "&amp;$AZ318&amp;" "&amp;IFERROR(VLOOKUP($Z318,CODES,2,FALSE),"")&amp;" "&amp;IFERROR(VLOOKUP($X318,CODES,2,FALSE),"")&amp;" "&amp;IFERROR(VLOOKUP($S318,CODES,2,FALSE),"")&amp;IF(N($P318)&gt;0," w/TRANSOM "&amp;$P318&amp;CHAR(34),"")&amp;IF(N($Q318)&gt;0," w/SIDELITE "&amp;$Q318&amp;CHAR(34)&amp;" "&amp;IF($R318="","R",$R318),"")&amp;IF($Y318="","  |  "," | "&amp;IFERROR(VLOOKUP($Y318,CODES,2,FALSE),"")&amp;" | ")&amp;IFERROR(VLOOKUP($AC318,CODES,2,FALSE),"")&amp;" "&amp;IFERROR(VLOOKUP($AD318,CODES,2,FALSE),"")&amp;IF(OR($AE318="",$AE318="-"),""," "&amp;$AE318)&amp;IF(OR($AF318="",$AF318="-"),""," "&amp;$AF318)&amp;IF($AB318="Y"," 4"&amp;CHAR(34)&amp;" HEAD","")&amp;" "&amp;IFERROR(VLOOKUP($H318,CODES,2,FALSE),"")))</f>
        <v/>
      </c>
      <c r="BR318" s="50">
        <f>IF(NOT(AND($A318&lt;&gt;"",N($BC318)&gt;0)),"",TRIM(IFERROR(VLOOKUP($AH318,CODES,2,FALSE),"")&amp;IF($AI318=""," "," "&amp;$AI318&amp;"GA ")&amp;$AZ318&amp;" "&amp;IF($AN318="",IFERROR(VLOOKUP($Z318,CODES,2,FALSE),""),IFERROR(VLOOKUP($AN318,CODES,2,FALSE),""))&amp;IF($BC318=2," PAIR","")&amp;" DOOR | "&amp;IF($AL318="","?",$AL318)&amp;" | "&amp;IF($AP318="",IFERROR(VLOOKUP($AC318,CODES,2,FALSE),""),IFERROR(VLOOKUP($AP318,CODES,2,FALSE),""))&amp;" "&amp;IFERROR(VLOOKUP($AQ318,CODES,2,FALSE),"")&amp;IF(OR($AR318="",$AR318="-"),""," SEAM "&amp;$AR318)&amp;IF($AS318="Y"," ASTRAGAL","")&amp;IF($AJ318=""," "," "&amp;$AJ318)&amp;IF($AK318=""," "," "&amp;$AK318)&amp;IF($AO318="",""," "&amp;$AO318)&amp;IF($AM318=""," "," SERIES "&amp;$AM318)&amp;" "&amp;IFERROR(VLOOKUP($H318,CODES,2,FALSE),"")))</f>
        <v/>
      </c>
      <c r="BS318" s="49">
        <f>IF(BV318="","",IF(COUNTIF($BV$6:BV318,BV318)=1,MAX($BS$5:BS317)+1,INDEX($BS$5:BS317,MATCH(BV318,$BV$5:BV317,0))))</f>
        <v/>
      </c>
      <c r="BT318" s="49">
        <f>IF(NOT(AND($A318&lt;&gt;"",$C318&lt;&gt;"DOOR ONLY")),"",MAX($BT$5:BT317)+1)</f>
        <v/>
      </c>
      <c r="BU318" s="49">
        <f>IF(NOT(AND($A318&lt;&gt;"",N($BC318)&gt;0)),"",MAX($BU$5:BU317)+1)</f>
        <v/>
      </c>
      <c r="BV318" s="49">
        <f>IF(OR($A318="",$BA318="",$BB318=""),"",$AZ318&amp;"|"&amp;$O318&amp;"|"&amp;$AL318&amp;"|"&amp;$S318&amp;"|"&amp;$P318&amp;"|"&amp;$Q318&amp;$R318&amp;"|"&amp;$C318&amp;"|"&amp;$AB318)</f>
        <v/>
      </c>
      <c r="BW318" s="49">
        <f>IF($A318="","",IF($B318="","qty, ","")&amp;IF($C318="","scope, ","")&amp;IF(OR($K318="",$M318=""),"size, ","")&amp;IF(AND($A318&lt;&gt;"",$C318&lt;&gt;"DOOR ONLY"),IF($U318="","jamb depth, ","")&amp;IF($X318="","construction, ","")&amp;IF($Y318="","anchor, ","")&amp;IF($S318="","frame type, ",""),"")&amp;IF(AND(N($BC318)&gt;0,$Z318=""),"hand, ","")&amp;IF(N($BC318)&gt;0,IF($AH318="","door material, ","")&amp;IF($AL318="","face type, ","")&amp;IF($AQ318="","lock prep, ","")&amp;IF(AND($AP318="",$AC318=""),"hinge prep, ",""),"")&amp;IF(AND($BO318&gt;0,$AH318="FRP"),"FRP cannot carry a label, ","")&amp;IF(AND($O318="Y",OR($Z318="L",$Z318="R",$Z318="LR",$Z318="RR")),"pair marked but hand is single, ","")&amp;IF(AND($O318&lt;&gt;"Y",OR($Z318="PR",AND(LEN($Z318)&gt;1,ISNUMBER(SEARCH("-",$Z318))))),"pair hand on a single door, ","")&amp;IF(AND(ISNUMBER($BP318),$BO318&lt;N($BP318)),"wall needs a "&amp;$BP318&amp;" min door, ","")&amp;IF(AND($BO318&gt;=180,AND(OR($BL318="FG",$BL318="HG",$BL318="FNV",$BL318="FV"),N($BM318)*N($BN318)&gt;100)),"180 min lite over 100 sq in, ","")&amp;IF(N($BD318)&gt;48,"leaf wider than 4'-0"&amp;CHAR(34)&amp;", ",""))</f>
        <v/>
      </c>
      <c r="BX318" s="49">
        <f>IF($A318="","",IF(AND($BO318&gt;0,AND($A318&lt;&gt;"",$C318&lt;&gt;"DOOR ONLY"),$X318="KD",$E318="EXTERIOR"),"KD label on an exterior opening, ","")&amp;IF(AND($E318="EXTERIOR",OR(AND(AND($A318&lt;&gt;"",$C318&lt;&gt;"DOOR ONLY"),$W318="CR"),AND(N($BC318)&gt;0,$AH318="CR"))),"exterior in CR steel (G9?), ","")&amp;IF(AND(ISNUMBER($BJ318),N($BJ318)&lt;32),"clear width ~"&amp;TEXT($BJ318,"0.0")&amp;CHAR(34)&amp;" under 32"&amp;CHAR(34)&amp;" (ADA), ","")&amp;IF(AND($BO318=90,AND(OR($BL318="FG",$BL318="HG",$BL318="FNV",$BL318="FV"),N($BM318)*N($BN318)&gt;100)),"90 min lite over 100 sq in (stair/exit), ","")&amp;IF(AND($BO318&gt;0,AND($A318&lt;&gt;"",$C318&lt;&gt;"DOOR ONLY"),OR($AF318="",$AF318="-")),"rated: closer reinf.?, ","")&amp;IF(OR($I318="CORRIDOR",$I318="SMOKE BARRIER"),"S label + smoke gasketing, ","")&amp;IF($BP318="?","wall type/hr not in IBC table, ","")&amp;IF(AND(N($BC318)&gt;0,$AU318=""),"no hardware set, ","")&amp;IF(AND($AU318&lt;&gt;"",ISNA(MATCH($AU318,HWSets,0))),"set "&amp;$AU318&amp;" not on Hardware sheet, ","")&amp;IF(N($BE318)&gt;96,"leaf over 8'-0"&amp;CHAR(34)&amp;" - check listing, ",""))</f>
        <v/>
      </c>
    </row>
    <row r="319" ht="15" customHeight="1">
      <c r="A319" s="44" t="n"/>
      <c r="B319" s="45" t="n"/>
      <c r="C319" s="45" t="n"/>
      <c r="D319" s="45" t="n"/>
      <c r="E319" s="45" t="n"/>
      <c r="F319" s="45" t="n"/>
      <c r="G319" s="45" t="n"/>
      <c r="H319" s="45" t="n"/>
      <c r="I319" s="45" t="n"/>
      <c r="J319" s="45" t="n"/>
      <c r="K319" s="45" t="n"/>
      <c r="L319" s="45" t="n"/>
      <c r="M319" s="45" t="n"/>
      <c r="N319" s="45" t="n"/>
      <c r="O319" s="45" t="n"/>
      <c r="P319" s="45" t="n"/>
      <c r="Q319" s="45" t="n"/>
      <c r="R319" s="45" t="n"/>
      <c r="S319" s="46" t="n"/>
      <c r="T319" s="46" t="n"/>
      <c r="U319" s="46" t="n"/>
      <c r="V319" s="46" t="n"/>
      <c r="W319" s="46" t="n"/>
      <c r="X319" s="46" t="n"/>
      <c r="Y319" s="46" t="n"/>
      <c r="Z319" s="46" t="n"/>
      <c r="AA319" s="46" t="n"/>
      <c r="AB319" s="46" t="n"/>
      <c r="AC319" s="46" t="n"/>
      <c r="AD319" s="46" t="n"/>
      <c r="AE319" s="46" t="n"/>
      <c r="AF319" s="46" t="n"/>
      <c r="AG319" s="46" t="n"/>
      <c r="AH319" s="47" t="n"/>
      <c r="AI319" s="47" t="n"/>
      <c r="AJ319" s="47" t="n"/>
      <c r="AK319" s="47" t="n"/>
      <c r="AL319" s="47" t="n"/>
      <c r="AM319" s="47" t="n"/>
      <c r="AN319" s="47" t="n"/>
      <c r="AO319" s="47" t="n"/>
      <c r="AP319" s="47" t="n"/>
      <c r="AQ319" s="47" t="n"/>
      <c r="AR319" s="47" t="n"/>
      <c r="AS319" s="47" t="n"/>
      <c r="AT319" s="47" t="n"/>
      <c r="AU319" s="48" t="n"/>
      <c r="AV319" s="48" t="n"/>
      <c r="AW319" s="49">
        <f>IF($A319="","",IF($BW319&lt;&gt;"","FIX",IF($BX319&lt;&gt;"","CHECK","OK")))</f>
        <v/>
      </c>
      <c r="AX319" s="50">
        <f>IF($A319="","",IF($BW319&lt;&gt;"","FIX: "&amp;LEFT($BW319,LEN($BW319)-2)&amp;IF($BX319&lt;&gt;"","  ·  ",""),"")&amp;IF($BX319&lt;&gt;"","CHECK: "&amp;LEFT($BX319,LEN($BX319)-2),""))</f>
        <v/>
      </c>
      <c r="AY319" s="49">
        <f>IF(OR($A319="",$K319=""),"",$K319&amp;"'-"&amp;N($L319)&amp;CHAR(34)&amp;" x "&amp;$M319&amp;"'-"&amp;N($N319)&amp;CHAR(34))</f>
        <v/>
      </c>
      <c r="AZ319" s="49">
        <f>IF(OR($A319="",$K319=""),"",$K319&amp;N($L319)&amp;$M319&amp;N($N319))</f>
        <v/>
      </c>
      <c r="BA319" s="49">
        <f>IF(OR($A319="",$K319=""),"",$K319*12+N($L319))</f>
        <v/>
      </c>
      <c r="BB319" s="49">
        <f>IF(OR($A319="",$M319=""),"",$M319*12+N($N319))</f>
        <v/>
      </c>
      <c r="BC319" s="49">
        <f>IF($A319="","",IF(OR($C319="FRAME ONLY",$S319="BL"),0,IF($O319="Y",2,1)))</f>
        <v/>
      </c>
      <c r="BD319" s="51">
        <f>IF(OR(N($BC319)=0,$BA319=""),"",($BA319-2*EdgeClr-IF($BC319=2,MeetClr,0))/$BC319)</f>
        <v/>
      </c>
      <c r="BE319" s="51">
        <f>IF(OR(N($BC319)=0,$BB319=""),"",$BB319-HeadClr-Undercut)</f>
        <v/>
      </c>
      <c r="BF319" s="51">
        <f>IF($BA319="","",$BA319+2*FaceW+IF(N($Q319)&gt;0,($Q319+FaceW)*IF($R319="LR",2,1),0))</f>
        <v/>
      </c>
      <c r="BG319" s="51">
        <f>IF($BB319="","",$BB319+IF($AB319="Y",4,FaceW)+IF(N($P319)&gt;0,$P319+FaceW,0)+IF(OR($S319="4F",$S319="BL"),FaceW,0))</f>
        <v/>
      </c>
      <c r="BH319" s="51">
        <f>IF($BF319="","",$BF319+2*ROSide)</f>
        <v/>
      </c>
      <c r="BI319" s="51">
        <f>IF($BG319="","",$BG319+ROTop)</f>
        <v/>
      </c>
      <c r="BJ319" s="52">
        <f>IF(OR(N($BC319)=0,$BA319=""),"",$BA319/$BC319-ClearDeduct)</f>
        <v/>
      </c>
      <c r="BK319" s="49">
        <f>IF(OR(N($BC319)=0,$BE319=""),"",IF(OR($AC319="HGC",$AP319="HGC"),"CONT",IF($BE319&lt;=60,2,IF($BE319&lt;=90,3,IF($BE319&lt;=120,4,5)))))</f>
        <v/>
      </c>
      <c r="BL319" s="49">
        <f>IF(N($BC319)=0,"",IF(OR($AL319="",$AL319="FLUSH"),"FLUSH",IFERROR(LEFT($AL319,FIND("-",$AL319)-1),LEFT($AL319,2))))</f>
        <v/>
      </c>
      <c r="BM319" s="49">
        <f>IF($BL319="","",IFERROR(VALUE(MID($AL319,FIND("-",$AL319)+1,FIND(CHAR(34)&amp;"x",$AL319)-FIND("-",$AL319)-1)),0))</f>
        <v/>
      </c>
      <c r="BN319" s="49">
        <f>IF($BL319="","",IFERROR(VALUE(MID($AL319,FIND(CHAR(34)&amp;"x",$AL319)+2,FIND(CHAR(34),$AL319,FIND(CHAR(34)&amp;"x",$AL319)+2)-FIND(CHAR(34)&amp;"x",$AL319)-2)),0))</f>
        <v/>
      </c>
      <c r="BO319" s="53">
        <f>IF(OR($A319="",$H319="",$H319="NO LAB"),0,IFERROR(VALUE(LEFT($H319,FIND(" ",$H319)-1)),0))</f>
        <v/>
      </c>
      <c r="BP319" s="54">
        <f>IF(OR($A319="",$I319="",$I319="NON-RATED",N($J319)=0),"",IFERROR(VLOOKUP($I319&amp;"|"&amp;$J319,IBC,2,FALSE),"?"))</f>
        <v/>
      </c>
      <c r="BQ319" s="50">
        <f>IF(NOT(AND($A319&lt;&gt;"",$C319&lt;&gt;"DOOR ONLY")),"",TRIM(IFERROR(VLOOKUP($U319,CODES,2,FALSE),"")&amp;" "&amp;$AZ319&amp;" "&amp;IFERROR(VLOOKUP($Z319,CODES,2,FALSE),"")&amp;" "&amp;IFERROR(VLOOKUP($X319,CODES,2,FALSE),"")&amp;" "&amp;IFERROR(VLOOKUP($S319,CODES,2,FALSE),"")&amp;IF(N($P319)&gt;0," w/TRANSOM "&amp;$P319&amp;CHAR(34),"")&amp;IF(N($Q319)&gt;0," w/SIDELITE "&amp;$Q319&amp;CHAR(34)&amp;" "&amp;IF($R319="","R",$R319),"")&amp;IF($Y319="","  |  "," | "&amp;IFERROR(VLOOKUP($Y319,CODES,2,FALSE),"")&amp;" | ")&amp;IFERROR(VLOOKUP($AC319,CODES,2,FALSE),"")&amp;" "&amp;IFERROR(VLOOKUP($AD319,CODES,2,FALSE),"")&amp;IF(OR($AE319="",$AE319="-"),""," "&amp;$AE319)&amp;IF(OR($AF319="",$AF319="-"),""," "&amp;$AF319)&amp;IF($AB319="Y"," 4"&amp;CHAR(34)&amp;" HEAD","")&amp;" "&amp;IFERROR(VLOOKUP($H319,CODES,2,FALSE),"")))</f>
        <v/>
      </c>
      <c r="BR319" s="50">
        <f>IF(NOT(AND($A319&lt;&gt;"",N($BC319)&gt;0)),"",TRIM(IFERROR(VLOOKUP($AH319,CODES,2,FALSE),"")&amp;IF($AI319=""," "," "&amp;$AI319&amp;"GA ")&amp;$AZ319&amp;" "&amp;IF($AN319="",IFERROR(VLOOKUP($Z319,CODES,2,FALSE),""),IFERROR(VLOOKUP($AN319,CODES,2,FALSE),""))&amp;IF($BC319=2," PAIR","")&amp;" DOOR | "&amp;IF($AL319="","?",$AL319)&amp;" | "&amp;IF($AP319="",IFERROR(VLOOKUP($AC319,CODES,2,FALSE),""),IFERROR(VLOOKUP($AP319,CODES,2,FALSE),""))&amp;" "&amp;IFERROR(VLOOKUP($AQ319,CODES,2,FALSE),"")&amp;IF(OR($AR319="",$AR319="-"),""," SEAM "&amp;$AR319)&amp;IF($AS319="Y"," ASTRAGAL","")&amp;IF($AJ319=""," "," "&amp;$AJ319)&amp;IF($AK319=""," "," "&amp;$AK319)&amp;IF($AO319="",""," "&amp;$AO319)&amp;IF($AM319=""," "," SERIES "&amp;$AM319)&amp;" "&amp;IFERROR(VLOOKUP($H319,CODES,2,FALSE),"")))</f>
        <v/>
      </c>
      <c r="BS319" s="49">
        <f>IF(BV319="","",IF(COUNTIF($BV$6:BV319,BV319)=1,MAX($BS$5:BS318)+1,INDEX($BS$5:BS318,MATCH(BV319,$BV$5:BV318,0))))</f>
        <v/>
      </c>
      <c r="BT319" s="49">
        <f>IF(NOT(AND($A319&lt;&gt;"",$C319&lt;&gt;"DOOR ONLY")),"",MAX($BT$5:BT318)+1)</f>
        <v/>
      </c>
      <c r="BU319" s="49">
        <f>IF(NOT(AND($A319&lt;&gt;"",N($BC319)&gt;0)),"",MAX($BU$5:BU318)+1)</f>
        <v/>
      </c>
      <c r="BV319" s="49">
        <f>IF(OR($A319="",$BA319="",$BB319=""),"",$AZ319&amp;"|"&amp;$O319&amp;"|"&amp;$AL319&amp;"|"&amp;$S319&amp;"|"&amp;$P319&amp;"|"&amp;$Q319&amp;$R319&amp;"|"&amp;$C319&amp;"|"&amp;$AB319)</f>
        <v/>
      </c>
      <c r="BW319" s="49">
        <f>IF($A319="","",IF($B319="","qty, ","")&amp;IF($C319="","scope, ","")&amp;IF(OR($K319="",$M319=""),"size, ","")&amp;IF(AND($A319&lt;&gt;"",$C319&lt;&gt;"DOOR ONLY"),IF($U319="","jamb depth, ","")&amp;IF($X319="","construction, ","")&amp;IF($Y319="","anchor, ","")&amp;IF($S319="","frame type, ",""),"")&amp;IF(AND(N($BC319)&gt;0,$Z319=""),"hand, ","")&amp;IF(N($BC319)&gt;0,IF($AH319="","door material, ","")&amp;IF($AL319="","face type, ","")&amp;IF($AQ319="","lock prep, ","")&amp;IF(AND($AP319="",$AC319=""),"hinge prep, ",""),"")&amp;IF(AND($BO319&gt;0,$AH319="FRP"),"FRP cannot carry a label, ","")&amp;IF(AND($O319="Y",OR($Z319="L",$Z319="R",$Z319="LR",$Z319="RR")),"pair marked but hand is single, ","")&amp;IF(AND($O319&lt;&gt;"Y",OR($Z319="PR",AND(LEN($Z319)&gt;1,ISNUMBER(SEARCH("-",$Z319))))),"pair hand on a single door, ","")&amp;IF(AND(ISNUMBER($BP319),$BO319&lt;N($BP319)),"wall needs a "&amp;$BP319&amp;" min door, ","")&amp;IF(AND($BO319&gt;=180,AND(OR($BL319="FG",$BL319="HG",$BL319="FNV",$BL319="FV"),N($BM319)*N($BN319)&gt;100)),"180 min lite over 100 sq in, ","")&amp;IF(N($BD319)&gt;48,"leaf wider than 4'-0"&amp;CHAR(34)&amp;", ",""))</f>
        <v/>
      </c>
      <c r="BX319" s="49">
        <f>IF($A319="","",IF(AND($BO319&gt;0,AND($A319&lt;&gt;"",$C319&lt;&gt;"DOOR ONLY"),$X319="KD",$E319="EXTERIOR"),"KD label on an exterior opening, ","")&amp;IF(AND($E319="EXTERIOR",OR(AND(AND($A319&lt;&gt;"",$C319&lt;&gt;"DOOR ONLY"),$W319="CR"),AND(N($BC319)&gt;0,$AH319="CR"))),"exterior in CR steel (G9?), ","")&amp;IF(AND(ISNUMBER($BJ319),N($BJ319)&lt;32),"clear width ~"&amp;TEXT($BJ319,"0.0")&amp;CHAR(34)&amp;" under 32"&amp;CHAR(34)&amp;" (ADA), ","")&amp;IF(AND($BO319=90,AND(OR($BL319="FG",$BL319="HG",$BL319="FNV",$BL319="FV"),N($BM319)*N($BN319)&gt;100)),"90 min lite over 100 sq in (stair/exit), ","")&amp;IF(AND($BO319&gt;0,AND($A319&lt;&gt;"",$C319&lt;&gt;"DOOR ONLY"),OR($AF319="",$AF319="-")),"rated: closer reinf.?, ","")&amp;IF(OR($I319="CORRIDOR",$I319="SMOKE BARRIER"),"S label + smoke gasketing, ","")&amp;IF($BP319="?","wall type/hr not in IBC table, ","")&amp;IF(AND(N($BC319)&gt;0,$AU319=""),"no hardware set, ","")&amp;IF(AND($AU319&lt;&gt;"",ISNA(MATCH($AU319,HWSets,0))),"set "&amp;$AU319&amp;" not on Hardware sheet, ","")&amp;IF(N($BE319)&gt;96,"leaf over 8'-0"&amp;CHAR(34)&amp;" - check listing, ",""))</f>
        <v/>
      </c>
    </row>
    <row r="320" ht="15" customHeight="1">
      <c r="A320" s="44" t="n"/>
      <c r="B320" s="45" t="n"/>
      <c r="C320" s="45" t="n"/>
      <c r="D320" s="45" t="n"/>
      <c r="E320" s="45" t="n"/>
      <c r="F320" s="45" t="n"/>
      <c r="G320" s="45" t="n"/>
      <c r="H320" s="45" t="n"/>
      <c r="I320" s="45" t="n"/>
      <c r="J320" s="45" t="n"/>
      <c r="K320" s="45" t="n"/>
      <c r="L320" s="45" t="n"/>
      <c r="M320" s="45" t="n"/>
      <c r="N320" s="45" t="n"/>
      <c r="O320" s="45" t="n"/>
      <c r="P320" s="45" t="n"/>
      <c r="Q320" s="45" t="n"/>
      <c r="R320" s="45" t="n"/>
      <c r="S320" s="46" t="n"/>
      <c r="T320" s="46" t="n"/>
      <c r="U320" s="46" t="n"/>
      <c r="V320" s="46" t="n"/>
      <c r="W320" s="46" t="n"/>
      <c r="X320" s="46" t="n"/>
      <c r="Y320" s="46" t="n"/>
      <c r="Z320" s="46" t="n"/>
      <c r="AA320" s="46" t="n"/>
      <c r="AB320" s="46" t="n"/>
      <c r="AC320" s="46" t="n"/>
      <c r="AD320" s="46" t="n"/>
      <c r="AE320" s="46" t="n"/>
      <c r="AF320" s="46" t="n"/>
      <c r="AG320" s="46" t="n"/>
      <c r="AH320" s="47" t="n"/>
      <c r="AI320" s="47" t="n"/>
      <c r="AJ320" s="47" t="n"/>
      <c r="AK320" s="47" t="n"/>
      <c r="AL320" s="47" t="n"/>
      <c r="AM320" s="47" t="n"/>
      <c r="AN320" s="47" t="n"/>
      <c r="AO320" s="47" t="n"/>
      <c r="AP320" s="47" t="n"/>
      <c r="AQ320" s="47" t="n"/>
      <c r="AR320" s="47" t="n"/>
      <c r="AS320" s="47" t="n"/>
      <c r="AT320" s="47" t="n"/>
      <c r="AU320" s="48" t="n"/>
      <c r="AV320" s="48" t="n"/>
      <c r="AW320" s="49">
        <f>IF($A320="","",IF($BW320&lt;&gt;"","FIX",IF($BX320&lt;&gt;"","CHECK","OK")))</f>
        <v/>
      </c>
      <c r="AX320" s="50">
        <f>IF($A320="","",IF($BW320&lt;&gt;"","FIX: "&amp;LEFT($BW320,LEN($BW320)-2)&amp;IF($BX320&lt;&gt;"","  ·  ",""),"")&amp;IF($BX320&lt;&gt;"","CHECK: "&amp;LEFT($BX320,LEN($BX320)-2),""))</f>
        <v/>
      </c>
      <c r="AY320" s="49">
        <f>IF(OR($A320="",$K320=""),"",$K320&amp;"'-"&amp;N($L320)&amp;CHAR(34)&amp;" x "&amp;$M320&amp;"'-"&amp;N($N320)&amp;CHAR(34))</f>
        <v/>
      </c>
      <c r="AZ320" s="49">
        <f>IF(OR($A320="",$K320=""),"",$K320&amp;N($L320)&amp;$M320&amp;N($N320))</f>
        <v/>
      </c>
      <c r="BA320" s="49">
        <f>IF(OR($A320="",$K320=""),"",$K320*12+N($L320))</f>
        <v/>
      </c>
      <c r="BB320" s="49">
        <f>IF(OR($A320="",$M320=""),"",$M320*12+N($N320))</f>
        <v/>
      </c>
      <c r="BC320" s="49">
        <f>IF($A320="","",IF(OR($C320="FRAME ONLY",$S320="BL"),0,IF($O320="Y",2,1)))</f>
        <v/>
      </c>
      <c r="BD320" s="51">
        <f>IF(OR(N($BC320)=0,$BA320=""),"",($BA320-2*EdgeClr-IF($BC320=2,MeetClr,0))/$BC320)</f>
        <v/>
      </c>
      <c r="BE320" s="51">
        <f>IF(OR(N($BC320)=0,$BB320=""),"",$BB320-HeadClr-Undercut)</f>
        <v/>
      </c>
      <c r="BF320" s="51">
        <f>IF($BA320="","",$BA320+2*FaceW+IF(N($Q320)&gt;0,($Q320+FaceW)*IF($R320="LR",2,1),0))</f>
        <v/>
      </c>
      <c r="BG320" s="51">
        <f>IF($BB320="","",$BB320+IF($AB320="Y",4,FaceW)+IF(N($P320)&gt;0,$P320+FaceW,0)+IF(OR($S320="4F",$S320="BL"),FaceW,0))</f>
        <v/>
      </c>
      <c r="BH320" s="51">
        <f>IF($BF320="","",$BF320+2*ROSide)</f>
        <v/>
      </c>
      <c r="BI320" s="51">
        <f>IF($BG320="","",$BG320+ROTop)</f>
        <v/>
      </c>
      <c r="BJ320" s="52">
        <f>IF(OR(N($BC320)=0,$BA320=""),"",$BA320/$BC320-ClearDeduct)</f>
        <v/>
      </c>
      <c r="BK320" s="49">
        <f>IF(OR(N($BC320)=0,$BE320=""),"",IF(OR($AC320="HGC",$AP320="HGC"),"CONT",IF($BE320&lt;=60,2,IF($BE320&lt;=90,3,IF($BE320&lt;=120,4,5)))))</f>
        <v/>
      </c>
      <c r="BL320" s="49">
        <f>IF(N($BC320)=0,"",IF(OR($AL320="",$AL320="FLUSH"),"FLUSH",IFERROR(LEFT($AL320,FIND("-",$AL320)-1),LEFT($AL320,2))))</f>
        <v/>
      </c>
      <c r="BM320" s="49">
        <f>IF($BL320="","",IFERROR(VALUE(MID($AL320,FIND("-",$AL320)+1,FIND(CHAR(34)&amp;"x",$AL320)-FIND("-",$AL320)-1)),0))</f>
        <v/>
      </c>
      <c r="BN320" s="49">
        <f>IF($BL320="","",IFERROR(VALUE(MID($AL320,FIND(CHAR(34)&amp;"x",$AL320)+2,FIND(CHAR(34),$AL320,FIND(CHAR(34)&amp;"x",$AL320)+2)-FIND(CHAR(34)&amp;"x",$AL320)-2)),0))</f>
        <v/>
      </c>
      <c r="BO320" s="53">
        <f>IF(OR($A320="",$H320="",$H320="NO LAB"),0,IFERROR(VALUE(LEFT($H320,FIND(" ",$H320)-1)),0))</f>
        <v/>
      </c>
      <c r="BP320" s="54">
        <f>IF(OR($A320="",$I320="",$I320="NON-RATED",N($J320)=0),"",IFERROR(VLOOKUP($I320&amp;"|"&amp;$J320,IBC,2,FALSE),"?"))</f>
        <v/>
      </c>
      <c r="BQ320" s="50">
        <f>IF(NOT(AND($A320&lt;&gt;"",$C320&lt;&gt;"DOOR ONLY")),"",TRIM(IFERROR(VLOOKUP($U320,CODES,2,FALSE),"")&amp;" "&amp;$AZ320&amp;" "&amp;IFERROR(VLOOKUP($Z320,CODES,2,FALSE),"")&amp;" "&amp;IFERROR(VLOOKUP($X320,CODES,2,FALSE),"")&amp;" "&amp;IFERROR(VLOOKUP($S320,CODES,2,FALSE),"")&amp;IF(N($P320)&gt;0," w/TRANSOM "&amp;$P320&amp;CHAR(34),"")&amp;IF(N($Q320)&gt;0," w/SIDELITE "&amp;$Q320&amp;CHAR(34)&amp;" "&amp;IF($R320="","R",$R320),"")&amp;IF($Y320="","  |  "," | "&amp;IFERROR(VLOOKUP($Y320,CODES,2,FALSE),"")&amp;" | ")&amp;IFERROR(VLOOKUP($AC320,CODES,2,FALSE),"")&amp;" "&amp;IFERROR(VLOOKUP($AD320,CODES,2,FALSE),"")&amp;IF(OR($AE320="",$AE320="-"),""," "&amp;$AE320)&amp;IF(OR($AF320="",$AF320="-"),""," "&amp;$AF320)&amp;IF($AB320="Y"," 4"&amp;CHAR(34)&amp;" HEAD","")&amp;" "&amp;IFERROR(VLOOKUP($H320,CODES,2,FALSE),"")))</f>
        <v/>
      </c>
      <c r="BR320" s="50">
        <f>IF(NOT(AND($A320&lt;&gt;"",N($BC320)&gt;0)),"",TRIM(IFERROR(VLOOKUP($AH320,CODES,2,FALSE),"")&amp;IF($AI320=""," "," "&amp;$AI320&amp;"GA ")&amp;$AZ320&amp;" "&amp;IF($AN320="",IFERROR(VLOOKUP($Z320,CODES,2,FALSE),""),IFERROR(VLOOKUP($AN320,CODES,2,FALSE),""))&amp;IF($BC320=2," PAIR","")&amp;" DOOR | "&amp;IF($AL320="","?",$AL320)&amp;" | "&amp;IF($AP320="",IFERROR(VLOOKUP($AC320,CODES,2,FALSE),""),IFERROR(VLOOKUP($AP320,CODES,2,FALSE),""))&amp;" "&amp;IFERROR(VLOOKUP($AQ320,CODES,2,FALSE),"")&amp;IF(OR($AR320="",$AR320="-"),""," SEAM "&amp;$AR320)&amp;IF($AS320="Y"," ASTRAGAL","")&amp;IF($AJ320=""," "," "&amp;$AJ320)&amp;IF($AK320=""," "," "&amp;$AK320)&amp;IF($AO320="",""," "&amp;$AO320)&amp;IF($AM320=""," "," SERIES "&amp;$AM320)&amp;" "&amp;IFERROR(VLOOKUP($H320,CODES,2,FALSE),"")))</f>
        <v/>
      </c>
      <c r="BS320" s="49">
        <f>IF(BV320="","",IF(COUNTIF($BV$6:BV320,BV320)=1,MAX($BS$5:BS319)+1,INDEX($BS$5:BS319,MATCH(BV320,$BV$5:BV319,0))))</f>
        <v/>
      </c>
      <c r="BT320" s="49">
        <f>IF(NOT(AND($A320&lt;&gt;"",$C320&lt;&gt;"DOOR ONLY")),"",MAX($BT$5:BT319)+1)</f>
        <v/>
      </c>
      <c r="BU320" s="49">
        <f>IF(NOT(AND($A320&lt;&gt;"",N($BC320)&gt;0)),"",MAX($BU$5:BU319)+1)</f>
        <v/>
      </c>
      <c r="BV320" s="49">
        <f>IF(OR($A320="",$BA320="",$BB320=""),"",$AZ320&amp;"|"&amp;$O320&amp;"|"&amp;$AL320&amp;"|"&amp;$S320&amp;"|"&amp;$P320&amp;"|"&amp;$Q320&amp;$R320&amp;"|"&amp;$C320&amp;"|"&amp;$AB320)</f>
        <v/>
      </c>
      <c r="BW320" s="49">
        <f>IF($A320="","",IF($B320="","qty, ","")&amp;IF($C320="","scope, ","")&amp;IF(OR($K320="",$M320=""),"size, ","")&amp;IF(AND($A320&lt;&gt;"",$C320&lt;&gt;"DOOR ONLY"),IF($U320="","jamb depth, ","")&amp;IF($X320="","construction, ","")&amp;IF($Y320="","anchor, ","")&amp;IF($S320="","frame type, ",""),"")&amp;IF(AND(N($BC320)&gt;0,$Z320=""),"hand, ","")&amp;IF(N($BC320)&gt;0,IF($AH320="","door material, ","")&amp;IF($AL320="","face type, ","")&amp;IF($AQ320="","lock prep, ","")&amp;IF(AND($AP320="",$AC320=""),"hinge prep, ",""),"")&amp;IF(AND($BO320&gt;0,$AH320="FRP"),"FRP cannot carry a label, ","")&amp;IF(AND($O320="Y",OR($Z320="L",$Z320="R",$Z320="LR",$Z320="RR")),"pair marked but hand is single, ","")&amp;IF(AND($O320&lt;&gt;"Y",OR($Z320="PR",AND(LEN($Z320)&gt;1,ISNUMBER(SEARCH("-",$Z320))))),"pair hand on a single door, ","")&amp;IF(AND(ISNUMBER($BP320),$BO320&lt;N($BP320)),"wall needs a "&amp;$BP320&amp;" min door, ","")&amp;IF(AND($BO320&gt;=180,AND(OR($BL320="FG",$BL320="HG",$BL320="FNV",$BL320="FV"),N($BM320)*N($BN320)&gt;100)),"180 min lite over 100 sq in, ","")&amp;IF(N($BD320)&gt;48,"leaf wider than 4'-0"&amp;CHAR(34)&amp;", ",""))</f>
        <v/>
      </c>
      <c r="BX320" s="49">
        <f>IF($A320="","",IF(AND($BO320&gt;0,AND($A320&lt;&gt;"",$C320&lt;&gt;"DOOR ONLY"),$X320="KD",$E320="EXTERIOR"),"KD label on an exterior opening, ","")&amp;IF(AND($E320="EXTERIOR",OR(AND(AND($A320&lt;&gt;"",$C320&lt;&gt;"DOOR ONLY"),$W320="CR"),AND(N($BC320)&gt;0,$AH320="CR"))),"exterior in CR steel (G9?), ","")&amp;IF(AND(ISNUMBER($BJ320),N($BJ320)&lt;32),"clear width ~"&amp;TEXT($BJ320,"0.0")&amp;CHAR(34)&amp;" under 32"&amp;CHAR(34)&amp;" (ADA), ","")&amp;IF(AND($BO320=90,AND(OR($BL320="FG",$BL320="HG",$BL320="FNV",$BL320="FV"),N($BM320)*N($BN320)&gt;100)),"90 min lite over 100 sq in (stair/exit), ","")&amp;IF(AND($BO320&gt;0,AND($A320&lt;&gt;"",$C320&lt;&gt;"DOOR ONLY"),OR($AF320="",$AF320="-")),"rated: closer reinf.?, ","")&amp;IF(OR($I320="CORRIDOR",$I320="SMOKE BARRIER"),"S label + smoke gasketing, ","")&amp;IF($BP320="?","wall type/hr not in IBC table, ","")&amp;IF(AND(N($BC320)&gt;0,$AU320=""),"no hardware set, ","")&amp;IF(AND($AU320&lt;&gt;"",ISNA(MATCH($AU320,HWSets,0))),"set "&amp;$AU320&amp;" not on Hardware sheet, ","")&amp;IF(N($BE320)&gt;96,"leaf over 8'-0"&amp;CHAR(34)&amp;" - check listing, ",""))</f>
        <v/>
      </c>
    </row>
    <row r="321" ht="15" customHeight="1">
      <c r="A321" s="44" t="n"/>
      <c r="B321" s="45" t="n"/>
      <c r="C321" s="45" t="n"/>
      <c r="D321" s="45" t="n"/>
      <c r="E321" s="45" t="n"/>
      <c r="F321" s="45" t="n"/>
      <c r="G321" s="45" t="n"/>
      <c r="H321" s="45" t="n"/>
      <c r="I321" s="45" t="n"/>
      <c r="J321" s="45" t="n"/>
      <c r="K321" s="45" t="n"/>
      <c r="L321" s="45" t="n"/>
      <c r="M321" s="45" t="n"/>
      <c r="N321" s="45" t="n"/>
      <c r="O321" s="45" t="n"/>
      <c r="P321" s="45" t="n"/>
      <c r="Q321" s="45" t="n"/>
      <c r="R321" s="45" t="n"/>
      <c r="S321" s="46" t="n"/>
      <c r="T321" s="46" t="n"/>
      <c r="U321" s="46" t="n"/>
      <c r="V321" s="46" t="n"/>
      <c r="W321" s="46" t="n"/>
      <c r="X321" s="46" t="n"/>
      <c r="Y321" s="46" t="n"/>
      <c r="Z321" s="46" t="n"/>
      <c r="AA321" s="46" t="n"/>
      <c r="AB321" s="46" t="n"/>
      <c r="AC321" s="46" t="n"/>
      <c r="AD321" s="46" t="n"/>
      <c r="AE321" s="46" t="n"/>
      <c r="AF321" s="46" t="n"/>
      <c r="AG321" s="46" t="n"/>
      <c r="AH321" s="47" t="n"/>
      <c r="AI321" s="47" t="n"/>
      <c r="AJ321" s="47" t="n"/>
      <c r="AK321" s="47" t="n"/>
      <c r="AL321" s="47" t="n"/>
      <c r="AM321" s="47" t="n"/>
      <c r="AN321" s="47" t="n"/>
      <c r="AO321" s="47" t="n"/>
      <c r="AP321" s="47" t="n"/>
      <c r="AQ321" s="47" t="n"/>
      <c r="AR321" s="47" t="n"/>
      <c r="AS321" s="47" t="n"/>
      <c r="AT321" s="47" t="n"/>
      <c r="AU321" s="48" t="n"/>
      <c r="AV321" s="48" t="n"/>
      <c r="AW321" s="49">
        <f>IF($A321="","",IF($BW321&lt;&gt;"","FIX",IF($BX321&lt;&gt;"","CHECK","OK")))</f>
        <v/>
      </c>
      <c r="AX321" s="50">
        <f>IF($A321="","",IF($BW321&lt;&gt;"","FIX: "&amp;LEFT($BW321,LEN($BW321)-2)&amp;IF($BX321&lt;&gt;"","  ·  ",""),"")&amp;IF($BX321&lt;&gt;"","CHECK: "&amp;LEFT($BX321,LEN($BX321)-2),""))</f>
        <v/>
      </c>
      <c r="AY321" s="49">
        <f>IF(OR($A321="",$K321=""),"",$K321&amp;"'-"&amp;N($L321)&amp;CHAR(34)&amp;" x "&amp;$M321&amp;"'-"&amp;N($N321)&amp;CHAR(34))</f>
        <v/>
      </c>
      <c r="AZ321" s="49">
        <f>IF(OR($A321="",$K321=""),"",$K321&amp;N($L321)&amp;$M321&amp;N($N321))</f>
        <v/>
      </c>
      <c r="BA321" s="49">
        <f>IF(OR($A321="",$K321=""),"",$K321*12+N($L321))</f>
        <v/>
      </c>
      <c r="BB321" s="49">
        <f>IF(OR($A321="",$M321=""),"",$M321*12+N($N321))</f>
        <v/>
      </c>
      <c r="BC321" s="49">
        <f>IF($A321="","",IF(OR($C321="FRAME ONLY",$S321="BL"),0,IF($O321="Y",2,1)))</f>
        <v/>
      </c>
      <c r="BD321" s="51">
        <f>IF(OR(N($BC321)=0,$BA321=""),"",($BA321-2*EdgeClr-IF($BC321=2,MeetClr,0))/$BC321)</f>
        <v/>
      </c>
      <c r="BE321" s="51">
        <f>IF(OR(N($BC321)=0,$BB321=""),"",$BB321-HeadClr-Undercut)</f>
        <v/>
      </c>
      <c r="BF321" s="51">
        <f>IF($BA321="","",$BA321+2*FaceW+IF(N($Q321)&gt;0,($Q321+FaceW)*IF($R321="LR",2,1),0))</f>
        <v/>
      </c>
      <c r="BG321" s="51">
        <f>IF($BB321="","",$BB321+IF($AB321="Y",4,FaceW)+IF(N($P321)&gt;0,$P321+FaceW,0)+IF(OR($S321="4F",$S321="BL"),FaceW,0))</f>
        <v/>
      </c>
      <c r="BH321" s="51">
        <f>IF($BF321="","",$BF321+2*ROSide)</f>
        <v/>
      </c>
      <c r="BI321" s="51">
        <f>IF($BG321="","",$BG321+ROTop)</f>
        <v/>
      </c>
      <c r="BJ321" s="52">
        <f>IF(OR(N($BC321)=0,$BA321=""),"",$BA321/$BC321-ClearDeduct)</f>
        <v/>
      </c>
      <c r="BK321" s="49">
        <f>IF(OR(N($BC321)=0,$BE321=""),"",IF(OR($AC321="HGC",$AP321="HGC"),"CONT",IF($BE321&lt;=60,2,IF($BE321&lt;=90,3,IF($BE321&lt;=120,4,5)))))</f>
        <v/>
      </c>
      <c r="BL321" s="49">
        <f>IF(N($BC321)=0,"",IF(OR($AL321="",$AL321="FLUSH"),"FLUSH",IFERROR(LEFT($AL321,FIND("-",$AL321)-1),LEFT($AL321,2))))</f>
        <v/>
      </c>
      <c r="BM321" s="49">
        <f>IF($BL321="","",IFERROR(VALUE(MID($AL321,FIND("-",$AL321)+1,FIND(CHAR(34)&amp;"x",$AL321)-FIND("-",$AL321)-1)),0))</f>
        <v/>
      </c>
      <c r="BN321" s="49">
        <f>IF($BL321="","",IFERROR(VALUE(MID($AL321,FIND(CHAR(34)&amp;"x",$AL321)+2,FIND(CHAR(34),$AL321,FIND(CHAR(34)&amp;"x",$AL321)+2)-FIND(CHAR(34)&amp;"x",$AL321)-2)),0))</f>
        <v/>
      </c>
      <c r="BO321" s="53">
        <f>IF(OR($A321="",$H321="",$H321="NO LAB"),0,IFERROR(VALUE(LEFT($H321,FIND(" ",$H321)-1)),0))</f>
        <v/>
      </c>
      <c r="BP321" s="54">
        <f>IF(OR($A321="",$I321="",$I321="NON-RATED",N($J321)=0),"",IFERROR(VLOOKUP($I321&amp;"|"&amp;$J321,IBC,2,FALSE),"?"))</f>
        <v/>
      </c>
      <c r="BQ321" s="50">
        <f>IF(NOT(AND($A321&lt;&gt;"",$C321&lt;&gt;"DOOR ONLY")),"",TRIM(IFERROR(VLOOKUP($U321,CODES,2,FALSE),"")&amp;" "&amp;$AZ321&amp;" "&amp;IFERROR(VLOOKUP($Z321,CODES,2,FALSE),"")&amp;" "&amp;IFERROR(VLOOKUP($X321,CODES,2,FALSE),"")&amp;" "&amp;IFERROR(VLOOKUP($S321,CODES,2,FALSE),"")&amp;IF(N($P321)&gt;0," w/TRANSOM "&amp;$P321&amp;CHAR(34),"")&amp;IF(N($Q321)&gt;0," w/SIDELITE "&amp;$Q321&amp;CHAR(34)&amp;" "&amp;IF($R321="","R",$R321),"")&amp;IF($Y321="","  |  "," | "&amp;IFERROR(VLOOKUP($Y321,CODES,2,FALSE),"")&amp;" | ")&amp;IFERROR(VLOOKUP($AC321,CODES,2,FALSE),"")&amp;" "&amp;IFERROR(VLOOKUP($AD321,CODES,2,FALSE),"")&amp;IF(OR($AE321="",$AE321="-"),""," "&amp;$AE321)&amp;IF(OR($AF321="",$AF321="-"),""," "&amp;$AF321)&amp;IF($AB321="Y"," 4"&amp;CHAR(34)&amp;" HEAD","")&amp;" "&amp;IFERROR(VLOOKUP($H321,CODES,2,FALSE),"")))</f>
        <v/>
      </c>
      <c r="BR321" s="50">
        <f>IF(NOT(AND($A321&lt;&gt;"",N($BC321)&gt;0)),"",TRIM(IFERROR(VLOOKUP($AH321,CODES,2,FALSE),"")&amp;IF($AI321=""," "," "&amp;$AI321&amp;"GA ")&amp;$AZ321&amp;" "&amp;IF($AN321="",IFERROR(VLOOKUP($Z321,CODES,2,FALSE),""),IFERROR(VLOOKUP($AN321,CODES,2,FALSE),""))&amp;IF($BC321=2," PAIR","")&amp;" DOOR | "&amp;IF($AL321="","?",$AL321)&amp;" | "&amp;IF($AP321="",IFERROR(VLOOKUP($AC321,CODES,2,FALSE),""),IFERROR(VLOOKUP($AP321,CODES,2,FALSE),""))&amp;" "&amp;IFERROR(VLOOKUP($AQ321,CODES,2,FALSE),"")&amp;IF(OR($AR321="",$AR321="-"),""," SEAM "&amp;$AR321)&amp;IF($AS321="Y"," ASTRAGAL","")&amp;IF($AJ321=""," "," "&amp;$AJ321)&amp;IF($AK321=""," "," "&amp;$AK321)&amp;IF($AO321="",""," "&amp;$AO321)&amp;IF($AM321=""," "," SERIES "&amp;$AM321)&amp;" "&amp;IFERROR(VLOOKUP($H321,CODES,2,FALSE),"")))</f>
        <v/>
      </c>
      <c r="BS321" s="49">
        <f>IF(BV321="","",IF(COUNTIF($BV$6:BV321,BV321)=1,MAX($BS$5:BS320)+1,INDEX($BS$5:BS320,MATCH(BV321,$BV$5:BV320,0))))</f>
        <v/>
      </c>
      <c r="BT321" s="49">
        <f>IF(NOT(AND($A321&lt;&gt;"",$C321&lt;&gt;"DOOR ONLY")),"",MAX($BT$5:BT320)+1)</f>
        <v/>
      </c>
      <c r="BU321" s="49">
        <f>IF(NOT(AND($A321&lt;&gt;"",N($BC321)&gt;0)),"",MAX($BU$5:BU320)+1)</f>
        <v/>
      </c>
      <c r="BV321" s="49">
        <f>IF(OR($A321="",$BA321="",$BB321=""),"",$AZ321&amp;"|"&amp;$O321&amp;"|"&amp;$AL321&amp;"|"&amp;$S321&amp;"|"&amp;$P321&amp;"|"&amp;$Q321&amp;$R321&amp;"|"&amp;$C321&amp;"|"&amp;$AB321)</f>
        <v/>
      </c>
      <c r="BW321" s="49">
        <f>IF($A321="","",IF($B321="","qty, ","")&amp;IF($C321="","scope, ","")&amp;IF(OR($K321="",$M321=""),"size, ","")&amp;IF(AND($A321&lt;&gt;"",$C321&lt;&gt;"DOOR ONLY"),IF($U321="","jamb depth, ","")&amp;IF($X321="","construction, ","")&amp;IF($Y321="","anchor, ","")&amp;IF($S321="","frame type, ",""),"")&amp;IF(AND(N($BC321)&gt;0,$Z321=""),"hand, ","")&amp;IF(N($BC321)&gt;0,IF($AH321="","door material, ","")&amp;IF($AL321="","face type, ","")&amp;IF($AQ321="","lock prep, ","")&amp;IF(AND($AP321="",$AC321=""),"hinge prep, ",""),"")&amp;IF(AND($BO321&gt;0,$AH321="FRP"),"FRP cannot carry a label, ","")&amp;IF(AND($O321="Y",OR($Z321="L",$Z321="R",$Z321="LR",$Z321="RR")),"pair marked but hand is single, ","")&amp;IF(AND($O321&lt;&gt;"Y",OR($Z321="PR",AND(LEN($Z321)&gt;1,ISNUMBER(SEARCH("-",$Z321))))),"pair hand on a single door, ","")&amp;IF(AND(ISNUMBER($BP321),$BO321&lt;N($BP321)),"wall needs a "&amp;$BP321&amp;" min door, ","")&amp;IF(AND($BO321&gt;=180,AND(OR($BL321="FG",$BL321="HG",$BL321="FNV",$BL321="FV"),N($BM321)*N($BN321)&gt;100)),"180 min lite over 100 sq in, ","")&amp;IF(N($BD321)&gt;48,"leaf wider than 4'-0"&amp;CHAR(34)&amp;", ",""))</f>
        <v/>
      </c>
      <c r="BX321" s="49">
        <f>IF($A321="","",IF(AND($BO321&gt;0,AND($A321&lt;&gt;"",$C321&lt;&gt;"DOOR ONLY"),$X321="KD",$E321="EXTERIOR"),"KD label on an exterior opening, ","")&amp;IF(AND($E321="EXTERIOR",OR(AND(AND($A321&lt;&gt;"",$C321&lt;&gt;"DOOR ONLY"),$W321="CR"),AND(N($BC321)&gt;0,$AH321="CR"))),"exterior in CR steel (G9?), ","")&amp;IF(AND(ISNUMBER($BJ321),N($BJ321)&lt;32),"clear width ~"&amp;TEXT($BJ321,"0.0")&amp;CHAR(34)&amp;" under 32"&amp;CHAR(34)&amp;" (ADA), ","")&amp;IF(AND($BO321=90,AND(OR($BL321="FG",$BL321="HG",$BL321="FNV",$BL321="FV"),N($BM321)*N($BN321)&gt;100)),"90 min lite over 100 sq in (stair/exit), ","")&amp;IF(AND($BO321&gt;0,AND($A321&lt;&gt;"",$C321&lt;&gt;"DOOR ONLY"),OR($AF321="",$AF321="-")),"rated: closer reinf.?, ","")&amp;IF(OR($I321="CORRIDOR",$I321="SMOKE BARRIER"),"S label + smoke gasketing, ","")&amp;IF($BP321="?","wall type/hr not in IBC table, ","")&amp;IF(AND(N($BC321)&gt;0,$AU321=""),"no hardware set, ","")&amp;IF(AND($AU321&lt;&gt;"",ISNA(MATCH($AU321,HWSets,0))),"set "&amp;$AU321&amp;" not on Hardware sheet, ","")&amp;IF(N($BE321)&gt;96,"leaf over 8'-0"&amp;CHAR(34)&amp;" - check listing, ",""))</f>
        <v/>
      </c>
    </row>
    <row r="322" ht="15" customHeight="1">
      <c r="A322" s="44" t="n"/>
      <c r="B322" s="45" t="n"/>
      <c r="C322" s="45" t="n"/>
      <c r="D322" s="45" t="n"/>
      <c r="E322" s="45" t="n"/>
      <c r="F322" s="45" t="n"/>
      <c r="G322" s="45" t="n"/>
      <c r="H322" s="45" t="n"/>
      <c r="I322" s="45" t="n"/>
      <c r="J322" s="45" t="n"/>
      <c r="K322" s="45" t="n"/>
      <c r="L322" s="45" t="n"/>
      <c r="M322" s="45" t="n"/>
      <c r="N322" s="45" t="n"/>
      <c r="O322" s="45" t="n"/>
      <c r="P322" s="45" t="n"/>
      <c r="Q322" s="45" t="n"/>
      <c r="R322" s="45" t="n"/>
      <c r="S322" s="46" t="n"/>
      <c r="T322" s="46" t="n"/>
      <c r="U322" s="46" t="n"/>
      <c r="V322" s="46" t="n"/>
      <c r="W322" s="46" t="n"/>
      <c r="X322" s="46" t="n"/>
      <c r="Y322" s="46" t="n"/>
      <c r="Z322" s="46" t="n"/>
      <c r="AA322" s="46" t="n"/>
      <c r="AB322" s="46" t="n"/>
      <c r="AC322" s="46" t="n"/>
      <c r="AD322" s="46" t="n"/>
      <c r="AE322" s="46" t="n"/>
      <c r="AF322" s="46" t="n"/>
      <c r="AG322" s="46" t="n"/>
      <c r="AH322" s="47" t="n"/>
      <c r="AI322" s="47" t="n"/>
      <c r="AJ322" s="47" t="n"/>
      <c r="AK322" s="47" t="n"/>
      <c r="AL322" s="47" t="n"/>
      <c r="AM322" s="47" t="n"/>
      <c r="AN322" s="47" t="n"/>
      <c r="AO322" s="47" t="n"/>
      <c r="AP322" s="47" t="n"/>
      <c r="AQ322" s="47" t="n"/>
      <c r="AR322" s="47" t="n"/>
      <c r="AS322" s="47" t="n"/>
      <c r="AT322" s="47" t="n"/>
      <c r="AU322" s="48" t="n"/>
      <c r="AV322" s="48" t="n"/>
      <c r="AW322" s="49">
        <f>IF($A322="","",IF($BW322&lt;&gt;"","FIX",IF($BX322&lt;&gt;"","CHECK","OK")))</f>
        <v/>
      </c>
      <c r="AX322" s="50">
        <f>IF($A322="","",IF($BW322&lt;&gt;"","FIX: "&amp;LEFT($BW322,LEN($BW322)-2)&amp;IF($BX322&lt;&gt;"","  ·  ",""),"")&amp;IF($BX322&lt;&gt;"","CHECK: "&amp;LEFT($BX322,LEN($BX322)-2),""))</f>
        <v/>
      </c>
      <c r="AY322" s="49">
        <f>IF(OR($A322="",$K322=""),"",$K322&amp;"'-"&amp;N($L322)&amp;CHAR(34)&amp;" x "&amp;$M322&amp;"'-"&amp;N($N322)&amp;CHAR(34))</f>
        <v/>
      </c>
      <c r="AZ322" s="49">
        <f>IF(OR($A322="",$K322=""),"",$K322&amp;N($L322)&amp;$M322&amp;N($N322))</f>
        <v/>
      </c>
      <c r="BA322" s="49">
        <f>IF(OR($A322="",$K322=""),"",$K322*12+N($L322))</f>
        <v/>
      </c>
      <c r="BB322" s="49">
        <f>IF(OR($A322="",$M322=""),"",$M322*12+N($N322))</f>
        <v/>
      </c>
      <c r="BC322" s="49">
        <f>IF($A322="","",IF(OR($C322="FRAME ONLY",$S322="BL"),0,IF($O322="Y",2,1)))</f>
        <v/>
      </c>
      <c r="BD322" s="51">
        <f>IF(OR(N($BC322)=0,$BA322=""),"",($BA322-2*EdgeClr-IF($BC322=2,MeetClr,0))/$BC322)</f>
        <v/>
      </c>
      <c r="BE322" s="51">
        <f>IF(OR(N($BC322)=0,$BB322=""),"",$BB322-HeadClr-Undercut)</f>
        <v/>
      </c>
      <c r="BF322" s="51">
        <f>IF($BA322="","",$BA322+2*FaceW+IF(N($Q322)&gt;0,($Q322+FaceW)*IF($R322="LR",2,1),0))</f>
        <v/>
      </c>
      <c r="BG322" s="51">
        <f>IF($BB322="","",$BB322+IF($AB322="Y",4,FaceW)+IF(N($P322)&gt;0,$P322+FaceW,0)+IF(OR($S322="4F",$S322="BL"),FaceW,0))</f>
        <v/>
      </c>
      <c r="BH322" s="51">
        <f>IF($BF322="","",$BF322+2*ROSide)</f>
        <v/>
      </c>
      <c r="BI322" s="51">
        <f>IF($BG322="","",$BG322+ROTop)</f>
        <v/>
      </c>
      <c r="BJ322" s="52">
        <f>IF(OR(N($BC322)=0,$BA322=""),"",$BA322/$BC322-ClearDeduct)</f>
        <v/>
      </c>
      <c r="BK322" s="49">
        <f>IF(OR(N($BC322)=0,$BE322=""),"",IF(OR($AC322="HGC",$AP322="HGC"),"CONT",IF($BE322&lt;=60,2,IF($BE322&lt;=90,3,IF($BE322&lt;=120,4,5)))))</f>
        <v/>
      </c>
      <c r="BL322" s="49">
        <f>IF(N($BC322)=0,"",IF(OR($AL322="",$AL322="FLUSH"),"FLUSH",IFERROR(LEFT($AL322,FIND("-",$AL322)-1),LEFT($AL322,2))))</f>
        <v/>
      </c>
      <c r="BM322" s="49">
        <f>IF($BL322="","",IFERROR(VALUE(MID($AL322,FIND("-",$AL322)+1,FIND(CHAR(34)&amp;"x",$AL322)-FIND("-",$AL322)-1)),0))</f>
        <v/>
      </c>
      <c r="BN322" s="49">
        <f>IF($BL322="","",IFERROR(VALUE(MID($AL322,FIND(CHAR(34)&amp;"x",$AL322)+2,FIND(CHAR(34),$AL322,FIND(CHAR(34)&amp;"x",$AL322)+2)-FIND(CHAR(34)&amp;"x",$AL322)-2)),0))</f>
        <v/>
      </c>
      <c r="BO322" s="53">
        <f>IF(OR($A322="",$H322="",$H322="NO LAB"),0,IFERROR(VALUE(LEFT($H322,FIND(" ",$H322)-1)),0))</f>
        <v/>
      </c>
      <c r="BP322" s="54">
        <f>IF(OR($A322="",$I322="",$I322="NON-RATED",N($J322)=0),"",IFERROR(VLOOKUP($I322&amp;"|"&amp;$J322,IBC,2,FALSE),"?"))</f>
        <v/>
      </c>
      <c r="BQ322" s="50">
        <f>IF(NOT(AND($A322&lt;&gt;"",$C322&lt;&gt;"DOOR ONLY")),"",TRIM(IFERROR(VLOOKUP($U322,CODES,2,FALSE),"")&amp;" "&amp;$AZ322&amp;" "&amp;IFERROR(VLOOKUP($Z322,CODES,2,FALSE),"")&amp;" "&amp;IFERROR(VLOOKUP($X322,CODES,2,FALSE),"")&amp;" "&amp;IFERROR(VLOOKUP($S322,CODES,2,FALSE),"")&amp;IF(N($P322)&gt;0," w/TRANSOM "&amp;$P322&amp;CHAR(34),"")&amp;IF(N($Q322)&gt;0," w/SIDELITE "&amp;$Q322&amp;CHAR(34)&amp;" "&amp;IF($R322="","R",$R322),"")&amp;IF($Y322="","  |  "," | "&amp;IFERROR(VLOOKUP($Y322,CODES,2,FALSE),"")&amp;" | ")&amp;IFERROR(VLOOKUP($AC322,CODES,2,FALSE),"")&amp;" "&amp;IFERROR(VLOOKUP($AD322,CODES,2,FALSE),"")&amp;IF(OR($AE322="",$AE322="-"),""," "&amp;$AE322)&amp;IF(OR($AF322="",$AF322="-"),""," "&amp;$AF322)&amp;IF($AB322="Y"," 4"&amp;CHAR(34)&amp;" HEAD","")&amp;" "&amp;IFERROR(VLOOKUP($H322,CODES,2,FALSE),"")))</f>
        <v/>
      </c>
      <c r="BR322" s="50">
        <f>IF(NOT(AND($A322&lt;&gt;"",N($BC322)&gt;0)),"",TRIM(IFERROR(VLOOKUP($AH322,CODES,2,FALSE),"")&amp;IF($AI322=""," "," "&amp;$AI322&amp;"GA ")&amp;$AZ322&amp;" "&amp;IF($AN322="",IFERROR(VLOOKUP($Z322,CODES,2,FALSE),""),IFERROR(VLOOKUP($AN322,CODES,2,FALSE),""))&amp;IF($BC322=2," PAIR","")&amp;" DOOR | "&amp;IF($AL322="","?",$AL322)&amp;" | "&amp;IF($AP322="",IFERROR(VLOOKUP($AC322,CODES,2,FALSE),""),IFERROR(VLOOKUP($AP322,CODES,2,FALSE),""))&amp;" "&amp;IFERROR(VLOOKUP($AQ322,CODES,2,FALSE),"")&amp;IF(OR($AR322="",$AR322="-"),""," SEAM "&amp;$AR322)&amp;IF($AS322="Y"," ASTRAGAL","")&amp;IF($AJ322=""," "," "&amp;$AJ322)&amp;IF($AK322=""," "," "&amp;$AK322)&amp;IF($AO322="",""," "&amp;$AO322)&amp;IF($AM322=""," "," SERIES "&amp;$AM322)&amp;" "&amp;IFERROR(VLOOKUP($H322,CODES,2,FALSE),"")))</f>
        <v/>
      </c>
      <c r="BS322" s="49">
        <f>IF(BV322="","",IF(COUNTIF($BV$6:BV322,BV322)=1,MAX($BS$5:BS321)+1,INDEX($BS$5:BS321,MATCH(BV322,$BV$5:BV321,0))))</f>
        <v/>
      </c>
      <c r="BT322" s="49">
        <f>IF(NOT(AND($A322&lt;&gt;"",$C322&lt;&gt;"DOOR ONLY")),"",MAX($BT$5:BT321)+1)</f>
        <v/>
      </c>
      <c r="BU322" s="49">
        <f>IF(NOT(AND($A322&lt;&gt;"",N($BC322)&gt;0)),"",MAX($BU$5:BU321)+1)</f>
        <v/>
      </c>
      <c r="BV322" s="49">
        <f>IF(OR($A322="",$BA322="",$BB322=""),"",$AZ322&amp;"|"&amp;$O322&amp;"|"&amp;$AL322&amp;"|"&amp;$S322&amp;"|"&amp;$P322&amp;"|"&amp;$Q322&amp;$R322&amp;"|"&amp;$C322&amp;"|"&amp;$AB322)</f>
        <v/>
      </c>
      <c r="BW322" s="49">
        <f>IF($A322="","",IF($B322="","qty, ","")&amp;IF($C322="","scope, ","")&amp;IF(OR($K322="",$M322=""),"size, ","")&amp;IF(AND($A322&lt;&gt;"",$C322&lt;&gt;"DOOR ONLY"),IF($U322="","jamb depth, ","")&amp;IF($X322="","construction, ","")&amp;IF($Y322="","anchor, ","")&amp;IF($S322="","frame type, ",""),"")&amp;IF(AND(N($BC322)&gt;0,$Z322=""),"hand, ","")&amp;IF(N($BC322)&gt;0,IF($AH322="","door material, ","")&amp;IF($AL322="","face type, ","")&amp;IF($AQ322="","lock prep, ","")&amp;IF(AND($AP322="",$AC322=""),"hinge prep, ",""),"")&amp;IF(AND($BO322&gt;0,$AH322="FRP"),"FRP cannot carry a label, ","")&amp;IF(AND($O322="Y",OR($Z322="L",$Z322="R",$Z322="LR",$Z322="RR")),"pair marked but hand is single, ","")&amp;IF(AND($O322&lt;&gt;"Y",OR($Z322="PR",AND(LEN($Z322)&gt;1,ISNUMBER(SEARCH("-",$Z322))))),"pair hand on a single door, ","")&amp;IF(AND(ISNUMBER($BP322),$BO322&lt;N($BP322)),"wall needs a "&amp;$BP322&amp;" min door, ","")&amp;IF(AND($BO322&gt;=180,AND(OR($BL322="FG",$BL322="HG",$BL322="FNV",$BL322="FV"),N($BM322)*N($BN322)&gt;100)),"180 min lite over 100 sq in, ","")&amp;IF(N($BD322)&gt;48,"leaf wider than 4'-0"&amp;CHAR(34)&amp;", ",""))</f>
        <v/>
      </c>
      <c r="BX322" s="49">
        <f>IF($A322="","",IF(AND($BO322&gt;0,AND($A322&lt;&gt;"",$C322&lt;&gt;"DOOR ONLY"),$X322="KD",$E322="EXTERIOR"),"KD label on an exterior opening, ","")&amp;IF(AND($E322="EXTERIOR",OR(AND(AND($A322&lt;&gt;"",$C322&lt;&gt;"DOOR ONLY"),$W322="CR"),AND(N($BC322)&gt;0,$AH322="CR"))),"exterior in CR steel (G9?), ","")&amp;IF(AND(ISNUMBER($BJ322),N($BJ322)&lt;32),"clear width ~"&amp;TEXT($BJ322,"0.0")&amp;CHAR(34)&amp;" under 32"&amp;CHAR(34)&amp;" (ADA), ","")&amp;IF(AND($BO322=90,AND(OR($BL322="FG",$BL322="HG",$BL322="FNV",$BL322="FV"),N($BM322)*N($BN322)&gt;100)),"90 min lite over 100 sq in (stair/exit), ","")&amp;IF(AND($BO322&gt;0,AND($A322&lt;&gt;"",$C322&lt;&gt;"DOOR ONLY"),OR($AF322="",$AF322="-")),"rated: closer reinf.?, ","")&amp;IF(OR($I322="CORRIDOR",$I322="SMOKE BARRIER"),"S label + smoke gasketing, ","")&amp;IF($BP322="?","wall type/hr not in IBC table, ","")&amp;IF(AND(N($BC322)&gt;0,$AU322=""),"no hardware set, ","")&amp;IF(AND($AU322&lt;&gt;"",ISNA(MATCH($AU322,HWSets,0))),"set "&amp;$AU322&amp;" not on Hardware sheet, ","")&amp;IF(N($BE322)&gt;96,"leaf over 8'-0"&amp;CHAR(34)&amp;" - check listing, ",""))</f>
        <v/>
      </c>
    </row>
    <row r="323" ht="15" customHeight="1">
      <c r="A323" s="44" t="n"/>
      <c r="B323" s="45" t="n"/>
      <c r="C323" s="45" t="n"/>
      <c r="D323" s="45" t="n"/>
      <c r="E323" s="45" t="n"/>
      <c r="F323" s="45" t="n"/>
      <c r="G323" s="45" t="n"/>
      <c r="H323" s="45" t="n"/>
      <c r="I323" s="45" t="n"/>
      <c r="J323" s="45" t="n"/>
      <c r="K323" s="45" t="n"/>
      <c r="L323" s="45" t="n"/>
      <c r="M323" s="45" t="n"/>
      <c r="N323" s="45" t="n"/>
      <c r="O323" s="45" t="n"/>
      <c r="P323" s="45" t="n"/>
      <c r="Q323" s="45" t="n"/>
      <c r="R323" s="45" t="n"/>
      <c r="S323" s="46" t="n"/>
      <c r="T323" s="46" t="n"/>
      <c r="U323" s="46" t="n"/>
      <c r="V323" s="46" t="n"/>
      <c r="W323" s="46" t="n"/>
      <c r="X323" s="46" t="n"/>
      <c r="Y323" s="46" t="n"/>
      <c r="Z323" s="46" t="n"/>
      <c r="AA323" s="46" t="n"/>
      <c r="AB323" s="46" t="n"/>
      <c r="AC323" s="46" t="n"/>
      <c r="AD323" s="46" t="n"/>
      <c r="AE323" s="46" t="n"/>
      <c r="AF323" s="46" t="n"/>
      <c r="AG323" s="46" t="n"/>
      <c r="AH323" s="47" t="n"/>
      <c r="AI323" s="47" t="n"/>
      <c r="AJ323" s="47" t="n"/>
      <c r="AK323" s="47" t="n"/>
      <c r="AL323" s="47" t="n"/>
      <c r="AM323" s="47" t="n"/>
      <c r="AN323" s="47" t="n"/>
      <c r="AO323" s="47" t="n"/>
      <c r="AP323" s="47" t="n"/>
      <c r="AQ323" s="47" t="n"/>
      <c r="AR323" s="47" t="n"/>
      <c r="AS323" s="47" t="n"/>
      <c r="AT323" s="47" t="n"/>
      <c r="AU323" s="48" t="n"/>
      <c r="AV323" s="48" t="n"/>
      <c r="AW323" s="49">
        <f>IF($A323="","",IF($BW323&lt;&gt;"","FIX",IF($BX323&lt;&gt;"","CHECK","OK")))</f>
        <v/>
      </c>
      <c r="AX323" s="50">
        <f>IF($A323="","",IF($BW323&lt;&gt;"","FIX: "&amp;LEFT($BW323,LEN($BW323)-2)&amp;IF($BX323&lt;&gt;"","  ·  ",""),"")&amp;IF($BX323&lt;&gt;"","CHECK: "&amp;LEFT($BX323,LEN($BX323)-2),""))</f>
        <v/>
      </c>
      <c r="AY323" s="49">
        <f>IF(OR($A323="",$K323=""),"",$K323&amp;"'-"&amp;N($L323)&amp;CHAR(34)&amp;" x "&amp;$M323&amp;"'-"&amp;N($N323)&amp;CHAR(34))</f>
        <v/>
      </c>
      <c r="AZ323" s="49">
        <f>IF(OR($A323="",$K323=""),"",$K323&amp;N($L323)&amp;$M323&amp;N($N323))</f>
        <v/>
      </c>
      <c r="BA323" s="49">
        <f>IF(OR($A323="",$K323=""),"",$K323*12+N($L323))</f>
        <v/>
      </c>
      <c r="BB323" s="49">
        <f>IF(OR($A323="",$M323=""),"",$M323*12+N($N323))</f>
        <v/>
      </c>
      <c r="BC323" s="49">
        <f>IF($A323="","",IF(OR($C323="FRAME ONLY",$S323="BL"),0,IF($O323="Y",2,1)))</f>
        <v/>
      </c>
      <c r="BD323" s="51">
        <f>IF(OR(N($BC323)=0,$BA323=""),"",($BA323-2*EdgeClr-IF($BC323=2,MeetClr,0))/$BC323)</f>
        <v/>
      </c>
      <c r="BE323" s="51">
        <f>IF(OR(N($BC323)=0,$BB323=""),"",$BB323-HeadClr-Undercut)</f>
        <v/>
      </c>
      <c r="BF323" s="51">
        <f>IF($BA323="","",$BA323+2*FaceW+IF(N($Q323)&gt;0,($Q323+FaceW)*IF($R323="LR",2,1),0))</f>
        <v/>
      </c>
      <c r="BG323" s="51">
        <f>IF($BB323="","",$BB323+IF($AB323="Y",4,FaceW)+IF(N($P323)&gt;0,$P323+FaceW,0)+IF(OR($S323="4F",$S323="BL"),FaceW,0))</f>
        <v/>
      </c>
      <c r="BH323" s="51">
        <f>IF($BF323="","",$BF323+2*ROSide)</f>
        <v/>
      </c>
      <c r="BI323" s="51">
        <f>IF($BG323="","",$BG323+ROTop)</f>
        <v/>
      </c>
      <c r="BJ323" s="52">
        <f>IF(OR(N($BC323)=0,$BA323=""),"",$BA323/$BC323-ClearDeduct)</f>
        <v/>
      </c>
      <c r="BK323" s="49">
        <f>IF(OR(N($BC323)=0,$BE323=""),"",IF(OR($AC323="HGC",$AP323="HGC"),"CONT",IF($BE323&lt;=60,2,IF($BE323&lt;=90,3,IF($BE323&lt;=120,4,5)))))</f>
        <v/>
      </c>
      <c r="BL323" s="49">
        <f>IF(N($BC323)=0,"",IF(OR($AL323="",$AL323="FLUSH"),"FLUSH",IFERROR(LEFT($AL323,FIND("-",$AL323)-1),LEFT($AL323,2))))</f>
        <v/>
      </c>
      <c r="BM323" s="49">
        <f>IF($BL323="","",IFERROR(VALUE(MID($AL323,FIND("-",$AL323)+1,FIND(CHAR(34)&amp;"x",$AL323)-FIND("-",$AL323)-1)),0))</f>
        <v/>
      </c>
      <c r="BN323" s="49">
        <f>IF($BL323="","",IFERROR(VALUE(MID($AL323,FIND(CHAR(34)&amp;"x",$AL323)+2,FIND(CHAR(34),$AL323,FIND(CHAR(34)&amp;"x",$AL323)+2)-FIND(CHAR(34)&amp;"x",$AL323)-2)),0))</f>
        <v/>
      </c>
      <c r="BO323" s="53">
        <f>IF(OR($A323="",$H323="",$H323="NO LAB"),0,IFERROR(VALUE(LEFT($H323,FIND(" ",$H323)-1)),0))</f>
        <v/>
      </c>
      <c r="BP323" s="54">
        <f>IF(OR($A323="",$I323="",$I323="NON-RATED",N($J323)=0),"",IFERROR(VLOOKUP($I323&amp;"|"&amp;$J323,IBC,2,FALSE),"?"))</f>
        <v/>
      </c>
      <c r="BQ323" s="50">
        <f>IF(NOT(AND($A323&lt;&gt;"",$C323&lt;&gt;"DOOR ONLY")),"",TRIM(IFERROR(VLOOKUP($U323,CODES,2,FALSE),"")&amp;" "&amp;$AZ323&amp;" "&amp;IFERROR(VLOOKUP($Z323,CODES,2,FALSE),"")&amp;" "&amp;IFERROR(VLOOKUP($X323,CODES,2,FALSE),"")&amp;" "&amp;IFERROR(VLOOKUP($S323,CODES,2,FALSE),"")&amp;IF(N($P323)&gt;0," w/TRANSOM "&amp;$P323&amp;CHAR(34),"")&amp;IF(N($Q323)&gt;0," w/SIDELITE "&amp;$Q323&amp;CHAR(34)&amp;" "&amp;IF($R323="","R",$R323),"")&amp;IF($Y323="","  |  "," | "&amp;IFERROR(VLOOKUP($Y323,CODES,2,FALSE),"")&amp;" | ")&amp;IFERROR(VLOOKUP($AC323,CODES,2,FALSE),"")&amp;" "&amp;IFERROR(VLOOKUP($AD323,CODES,2,FALSE),"")&amp;IF(OR($AE323="",$AE323="-"),""," "&amp;$AE323)&amp;IF(OR($AF323="",$AF323="-"),""," "&amp;$AF323)&amp;IF($AB323="Y"," 4"&amp;CHAR(34)&amp;" HEAD","")&amp;" "&amp;IFERROR(VLOOKUP($H323,CODES,2,FALSE),"")))</f>
        <v/>
      </c>
      <c r="BR323" s="50">
        <f>IF(NOT(AND($A323&lt;&gt;"",N($BC323)&gt;0)),"",TRIM(IFERROR(VLOOKUP($AH323,CODES,2,FALSE),"")&amp;IF($AI323=""," "," "&amp;$AI323&amp;"GA ")&amp;$AZ323&amp;" "&amp;IF($AN323="",IFERROR(VLOOKUP($Z323,CODES,2,FALSE),""),IFERROR(VLOOKUP($AN323,CODES,2,FALSE),""))&amp;IF($BC323=2," PAIR","")&amp;" DOOR | "&amp;IF($AL323="","?",$AL323)&amp;" | "&amp;IF($AP323="",IFERROR(VLOOKUP($AC323,CODES,2,FALSE),""),IFERROR(VLOOKUP($AP323,CODES,2,FALSE),""))&amp;" "&amp;IFERROR(VLOOKUP($AQ323,CODES,2,FALSE),"")&amp;IF(OR($AR323="",$AR323="-"),""," SEAM "&amp;$AR323)&amp;IF($AS323="Y"," ASTRAGAL","")&amp;IF($AJ323=""," "," "&amp;$AJ323)&amp;IF($AK323=""," "," "&amp;$AK323)&amp;IF($AO323="",""," "&amp;$AO323)&amp;IF($AM323=""," "," SERIES "&amp;$AM323)&amp;" "&amp;IFERROR(VLOOKUP($H323,CODES,2,FALSE),"")))</f>
        <v/>
      </c>
      <c r="BS323" s="49">
        <f>IF(BV323="","",IF(COUNTIF($BV$6:BV323,BV323)=1,MAX($BS$5:BS322)+1,INDEX($BS$5:BS322,MATCH(BV323,$BV$5:BV322,0))))</f>
        <v/>
      </c>
      <c r="BT323" s="49">
        <f>IF(NOT(AND($A323&lt;&gt;"",$C323&lt;&gt;"DOOR ONLY")),"",MAX($BT$5:BT322)+1)</f>
        <v/>
      </c>
      <c r="BU323" s="49">
        <f>IF(NOT(AND($A323&lt;&gt;"",N($BC323)&gt;0)),"",MAX($BU$5:BU322)+1)</f>
        <v/>
      </c>
      <c r="BV323" s="49">
        <f>IF(OR($A323="",$BA323="",$BB323=""),"",$AZ323&amp;"|"&amp;$O323&amp;"|"&amp;$AL323&amp;"|"&amp;$S323&amp;"|"&amp;$P323&amp;"|"&amp;$Q323&amp;$R323&amp;"|"&amp;$C323&amp;"|"&amp;$AB323)</f>
        <v/>
      </c>
      <c r="BW323" s="49">
        <f>IF($A323="","",IF($B323="","qty, ","")&amp;IF($C323="","scope, ","")&amp;IF(OR($K323="",$M323=""),"size, ","")&amp;IF(AND($A323&lt;&gt;"",$C323&lt;&gt;"DOOR ONLY"),IF($U323="","jamb depth, ","")&amp;IF($X323="","construction, ","")&amp;IF($Y323="","anchor, ","")&amp;IF($S323="","frame type, ",""),"")&amp;IF(AND(N($BC323)&gt;0,$Z323=""),"hand, ","")&amp;IF(N($BC323)&gt;0,IF($AH323="","door material, ","")&amp;IF($AL323="","face type, ","")&amp;IF($AQ323="","lock prep, ","")&amp;IF(AND($AP323="",$AC323=""),"hinge prep, ",""),"")&amp;IF(AND($BO323&gt;0,$AH323="FRP"),"FRP cannot carry a label, ","")&amp;IF(AND($O323="Y",OR($Z323="L",$Z323="R",$Z323="LR",$Z323="RR")),"pair marked but hand is single, ","")&amp;IF(AND($O323&lt;&gt;"Y",OR($Z323="PR",AND(LEN($Z323)&gt;1,ISNUMBER(SEARCH("-",$Z323))))),"pair hand on a single door, ","")&amp;IF(AND(ISNUMBER($BP323),$BO323&lt;N($BP323)),"wall needs a "&amp;$BP323&amp;" min door, ","")&amp;IF(AND($BO323&gt;=180,AND(OR($BL323="FG",$BL323="HG",$BL323="FNV",$BL323="FV"),N($BM323)*N($BN323)&gt;100)),"180 min lite over 100 sq in, ","")&amp;IF(N($BD323)&gt;48,"leaf wider than 4'-0"&amp;CHAR(34)&amp;", ",""))</f>
        <v/>
      </c>
      <c r="BX323" s="49">
        <f>IF($A323="","",IF(AND($BO323&gt;0,AND($A323&lt;&gt;"",$C323&lt;&gt;"DOOR ONLY"),$X323="KD",$E323="EXTERIOR"),"KD label on an exterior opening, ","")&amp;IF(AND($E323="EXTERIOR",OR(AND(AND($A323&lt;&gt;"",$C323&lt;&gt;"DOOR ONLY"),$W323="CR"),AND(N($BC323)&gt;0,$AH323="CR"))),"exterior in CR steel (G9?), ","")&amp;IF(AND(ISNUMBER($BJ323),N($BJ323)&lt;32),"clear width ~"&amp;TEXT($BJ323,"0.0")&amp;CHAR(34)&amp;" under 32"&amp;CHAR(34)&amp;" (ADA), ","")&amp;IF(AND($BO323=90,AND(OR($BL323="FG",$BL323="HG",$BL323="FNV",$BL323="FV"),N($BM323)*N($BN323)&gt;100)),"90 min lite over 100 sq in (stair/exit), ","")&amp;IF(AND($BO323&gt;0,AND($A323&lt;&gt;"",$C323&lt;&gt;"DOOR ONLY"),OR($AF323="",$AF323="-")),"rated: closer reinf.?, ","")&amp;IF(OR($I323="CORRIDOR",$I323="SMOKE BARRIER"),"S label + smoke gasketing, ","")&amp;IF($BP323="?","wall type/hr not in IBC table, ","")&amp;IF(AND(N($BC323)&gt;0,$AU323=""),"no hardware set, ","")&amp;IF(AND($AU323&lt;&gt;"",ISNA(MATCH($AU323,HWSets,0))),"set "&amp;$AU323&amp;" not on Hardware sheet, ","")&amp;IF(N($BE323)&gt;96,"leaf over 8'-0"&amp;CHAR(34)&amp;" - check listing, ",""))</f>
        <v/>
      </c>
    </row>
    <row r="324" ht="15" customHeight="1">
      <c r="A324" s="44" t="n"/>
      <c r="B324" s="45" t="n"/>
      <c r="C324" s="45" t="n"/>
      <c r="D324" s="45" t="n"/>
      <c r="E324" s="45" t="n"/>
      <c r="F324" s="45" t="n"/>
      <c r="G324" s="45" t="n"/>
      <c r="H324" s="45" t="n"/>
      <c r="I324" s="45" t="n"/>
      <c r="J324" s="45" t="n"/>
      <c r="K324" s="45" t="n"/>
      <c r="L324" s="45" t="n"/>
      <c r="M324" s="45" t="n"/>
      <c r="N324" s="45" t="n"/>
      <c r="O324" s="45" t="n"/>
      <c r="P324" s="45" t="n"/>
      <c r="Q324" s="45" t="n"/>
      <c r="R324" s="45" t="n"/>
      <c r="S324" s="46" t="n"/>
      <c r="T324" s="46" t="n"/>
      <c r="U324" s="46" t="n"/>
      <c r="V324" s="46" t="n"/>
      <c r="W324" s="46" t="n"/>
      <c r="X324" s="46" t="n"/>
      <c r="Y324" s="46" t="n"/>
      <c r="Z324" s="46" t="n"/>
      <c r="AA324" s="46" t="n"/>
      <c r="AB324" s="46" t="n"/>
      <c r="AC324" s="46" t="n"/>
      <c r="AD324" s="46" t="n"/>
      <c r="AE324" s="46" t="n"/>
      <c r="AF324" s="46" t="n"/>
      <c r="AG324" s="46" t="n"/>
      <c r="AH324" s="47" t="n"/>
      <c r="AI324" s="47" t="n"/>
      <c r="AJ324" s="47" t="n"/>
      <c r="AK324" s="47" t="n"/>
      <c r="AL324" s="47" t="n"/>
      <c r="AM324" s="47" t="n"/>
      <c r="AN324" s="47" t="n"/>
      <c r="AO324" s="47" t="n"/>
      <c r="AP324" s="47" t="n"/>
      <c r="AQ324" s="47" t="n"/>
      <c r="AR324" s="47" t="n"/>
      <c r="AS324" s="47" t="n"/>
      <c r="AT324" s="47" t="n"/>
      <c r="AU324" s="48" t="n"/>
      <c r="AV324" s="48" t="n"/>
      <c r="AW324" s="49">
        <f>IF($A324="","",IF($BW324&lt;&gt;"","FIX",IF($BX324&lt;&gt;"","CHECK","OK")))</f>
        <v/>
      </c>
      <c r="AX324" s="50">
        <f>IF($A324="","",IF($BW324&lt;&gt;"","FIX: "&amp;LEFT($BW324,LEN($BW324)-2)&amp;IF($BX324&lt;&gt;"","  ·  ",""),"")&amp;IF($BX324&lt;&gt;"","CHECK: "&amp;LEFT($BX324,LEN($BX324)-2),""))</f>
        <v/>
      </c>
      <c r="AY324" s="49">
        <f>IF(OR($A324="",$K324=""),"",$K324&amp;"'-"&amp;N($L324)&amp;CHAR(34)&amp;" x "&amp;$M324&amp;"'-"&amp;N($N324)&amp;CHAR(34))</f>
        <v/>
      </c>
      <c r="AZ324" s="49">
        <f>IF(OR($A324="",$K324=""),"",$K324&amp;N($L324)&amp;$M324&amp;N($N324))</f>
        <v/>
      </c>
      <c r="BA324" s="49">
        <f>IF(OR($A324="",$K324=""),"",$K324*12+N($L324))</f>
        <v/>
      </c>
      <c r="BB324" s="49">
        <f>IF(OR($A324="",$M324=""),"",$M324*12+N($N324))</f>
        <v/>
      </c>
      <c r="BC324" s="49">
        <f>IF($A324="","",IF(OR($C324="FRAME ONLY",$S324="BL"),0,IF($O324="Y",2,1)))</f>
        <v/>
      </c>
      <c r="BD324" s="51">
        <f>IF(OR(N($BC324)=0,$BA324=""),"",($BA324-2*EdgeClr-IF($BC324=2,MeetClr,0))/$BC324)</f>
        <v/>
      </c>
      <c r="BE324" s="51">
        <f>IF(OR(N($BC324)=0,$BB324=""),"",$BB324-HeadClr-Undercut)</f>
        <v/>
      </c>
      <c r="BF324" s="51">
        <f>IF($BA324="","",$BA324+2*FaceW+IF(N($Q324)&gt;0,($Q324+FaceW)*IF($R324="LR",2,1),0))</f>
        <v/>
      </c>
      <c r="BG324" s="51">
        <f>IF($BB324="","",$BB324+IF($AB324="Y",4,FaceW)+IF(N($P324)&gt;0,$P324+FaceW,0)+IF(OR($S324="4F",$S324="BL"),FaceW,0))</f>
        <v/>
      </c>
      <c r="BH324" s="51">
        <f>IF($BF324="","",$BF324+2*ROSide)</f>
        <v/>
      </c>
      <c r="BI324" s="51">
        <f>IF($BG324="","",$BG324+ROTop)</f>
        <v/>
      </c>
      <c r="BJ324" s="52">
        <f>IF(OR(N($BC324)=0,$BA324=""),"",$BA324/$BC324-ClearDeduct)</f>
        <v/>
      </c>
      <c r="BK324" s="49">
        <f>IF(OR(N($BC324)=0,$BE324=""),"",IF(OR($AC324="HGC",$AP324="HGC"),"CONT",IF($BE324&lt;=60,2,IF($BE324&lt;=90,3,IF($BE324&lt;=120,4,5)))))</f>
        <v/>
      </c>
      <c r="BL324" s="49">
        <f>IF(N($BC324)=0,"",IF(OR($AL324="",$AL324="FLUSH"),"FLUSH",IFERROR(LEFT($AL324,FIND("-",$AL324)-1),LEFT($AL324,2))))</f>
        <v/>
      </c>
      <c r="BM324" s="49">
        <f>IF($BL324="","",IFERROR(VALUE(MID($AL324,FIND("-",$AL324)+1,FIND(CHAR(34)&amp;"x",$AL324)-FIND("-",$AL324)-1)),0))</f>
        <v/>
      </c>
      <c r="BN324" s="49">
        <f>IF($BL324="","",IFERROR(VALUE(MID($AL324,FIND(CHAR(34)&amp;"x",$AL324)+2,FIND(CHAR(34),$AL324,FIND(CHAR(34)&amp;"x",$AL324)+2)-FIND(CHAR(34)&amp;"x",$AL324)-2)),0))</f>
        <v/>
      </c>
      <c r="BO324" s="53">
        <f>IF(OR($A324="",$H324="",$H324="NO LAB"),0,IFERROR(VALUE(LEFT($H324,FIND(" ",$H324)-1)),0))</f>
        <v/>
      </c>
      <c r="BP324" s="54">
        <f>IF(OR($A324="",$I324="",$I324="NON-RATED",N($J324)=0),"",IFERROR(VLOOKUP($I324&amp;"|"&amp;$J324,IBC,2,FALSE),"?"))</f>
        <v/>
      </c>
      <c r="BQ324" s="50">
        <f>IF(NOT(AND($A324&lt;&gt;"",$C324&lt;&gt;"DOOR ONLY")),"",TRIM(IFERROR(VLOOKUP($U324,CODES,2,FALSE),"")&amp;" "&amp;$AZ324&amp;" "&amp;IFERROR(VLOOKUP($Z324,CODES,2,FALSE),"")&amp;" "&amp;IFERROR(VLOOKUP($X324,CODES,2,FALSE),"")&amp;" "&amp;IFERROR(VLOOKUP($S324,CODES,2,FALSE),"")&amp;IF(N($P324)&gt;0," w/TRANSOM "&amp;$P324&amp;CHAR(34),"")&amp;IF(N($Q324)&gt;0," w/SIDELITE "&amp;$Q324&amp;CHAR(34)&amp;" "&amp;IF($R324="","R",$R324),"")&amp;IF($Y324="","  |  "," | "&amp;IFERROR(VLOOKUP($Y324,CODES,2,FALSE),"")&amp;" | ")&amp;IFERROR(VLOOKUP($AC324,CODES,2,FALSE),"")&amp;" "&amp;IFERROR(VLOOKUP($AD324,CODES,2,FALSE),"")&amp;IF(OR($AE324="",$AE324="-"),""," "&amp;$AE324)&amp;IF(OR($AF324="",$AF324="-"),""," "&amp;$AF324)&amp;IF($AB324="Y"," 4"&amp;CHAR(34)&amp;" HEAD","")&amp;" "&amp;IFERROR(VLOOKUP($H324,CODES,2,FALSE),"")))</f>
        <v/>
      </c>
      <c r="BR324" s="50">
        <f>IF(NOT(AND($A324&lt;&gt;"",N($BC324)&gt;0)),"",TRIM(IFERROR(VLOOKUP($AH324,CODES,2,FALSE),"")&amp;IF($AI324=""," "," "&amp;$AI324&amp;"GA ")&amp;$AZ324&amp;" "&amp;IF($AN324="",IFERROR(VLOOKUP($Z324,CODES,2,FALSE),""),IFERROR(VLOOKUP($AN324,CODES,2,FALSE),""))&amp;IF($BC324=2," PAIR","")&amp;" DOOR | "&amp;IF($AL324="","?",$AL324)&amp;" | "&amp;IF($AP324="",IFERROR(VLOOKUP($AC324,CODES,2,FALSE),""),IFERROR(VLOOKUP($AP324,CODES,2,FALSE),""))&amp;" "&amp;IFERROR(VLOOKUP($AQ324,CODES,2,FALSE),"")&amp;IF(OR($AR324="",$AR324="-"),""," SEAM "&amp;$AR324)&amp;IF($AS324="Y"," ASTRAGAL","")&amp;IF($AJ324=""," "," "&amp;$AJ324)&amp;IF($AK324=""," "," "&amp;$AK324)&amp;IF($AO324="",""," "&amp;$AO324)&amp;IF($AM324=""," "," SERIES "&amp;$AM324)&amp;" "&amp;IFERROR(VLOOKUP($H324,CODES,2,FALSE),"")))</f>
        <v/>
      </c>
      <c r="BS324" s="49">
        <f>IF(BV324="","",IF(COUNTIF($BV$6:BV324,BV324)=1,MAX($BS$5:BS323)+1,INDEX($BS$5:BS323,MATCH(BV324,$BV$5:BV323,0))))</f>
        <v/>
      </c>
      <c r="BT324" s="49">
        <f>IF(NOT(AND($A324&lt;&gt;"",$C324&lt;&gt;"DOOR ONLY")),"",MAX($BT$5:BT323)+1)</f>
        <v/>
      </c>
      <c r="BU324" s="49">
        <f>IF(NOT(AND($A324&lt;&gt;"",N($BC324)&gt;0)),"",MAX($BU$5:BU323)+1)</f>
        <v/>
      </c>
      <c r="BV324" s="49">
        <f>IF(OR($A324="",$BA324="",$BB324=""),"",$AZ324&amp;"|"&amp;$O324&amp;"|"&amp;$AL324&amp;"|"&amp;$S324&amp;"|"&amp;$P324&amp;"|"&amp;$Q324&amp;$R324&amp;"|"&amp;$C324&amp;"|"&amp;$AB324)</f>
        <v/>
      </c>
      <c r="BW324" s="49">
        <f>IF($A324="","",IF($B324="","qty, ","")&amp;IF($C324="","scope, ","")&amp;IF(OR($K324="",$M324=""),"size, ","")&amp;IF(AND($A324&lt;&gt;"",$C324&lt;&gt;"DOOR ONLY"),IF($U324="","jamb depth, ","")&amp;IF($X324="","construction, ","")&amp;IF($Y324="","anchor, ","")&amp;IF($S324="","frame type, ",""),"")&amp;IF(AND(N($BC324)&gt;0,$Z324=""),"hand, ","")&amp;IF(N($BC324)&gt;0,IF($AH324="","door material, ","")&amp;IF($AL324="","face type, ","")&amp;IF($AQ324="","lock prep, ","")&amp;IF(AND($AP324="",$AC324=""),"hinge prep, ",""),"")&amp;IF(AND($BO324&gt;0,$AH324="FRP"),"FRP cannot carry a label, ","")&amp;IF(AND($O324="Y",OR($Z324="L",$Z324="R",$Z324="LR",$Z324="RR")),"pair marked but hand is single, ","")&amp;IF(AND($O324&lt;&gt;"Y",OR($Z324="PR",AND(LEN($Z324)&gt;1,ISNUMBER(SEARCH("-",$Z324))))),"pair hand on a single door, ","")&amp;IF(AND(ISNUMBER($BP324),$BO324&lt;N($BP324)),"wall needs a "&amp;$BP324&amp;" min door, ","")&amp;IF(AND($BO324&gt;=180,AND(OR($BL324="FG",$BL324="HG",$BL324="FNV",$BL324="FV"),N($BM324)*N($BN324)&gt;100)),"180 min lite over 100 sq in, ","")&amp;IF(N($BD324)&gt;48,"leaf wider than 4'-0"&amp;CHAR(34)&amp;", ",""))</f>
        <v/>
      </c>
      <c r="BX324" s="49">
        <f>IF($A324="","",IF(AND($BO324&gt;0,AND($A324&lt;&gt;"",$C324&lt;&gt;"DOOR ONLY"),$X324="KD",$E324="EXTERIOR"),"KD label on an exterior opening, ","")&amp;IF(AND($E324="EXTERIOR",OR(AND(AND($A324&lt;&gt;"",$C324&lt;&gt;"DOOR ONLY"),$W324="CR"),AND(N($BC324)&gt;0,$AH324="CR"))),"exterior in CR steel (G9?), ","")&amp;IF(AND(ISNUMBER($BJ324),N($BJ324)&lt;32),"clear width ~"&amp;TEXT($BJ324,"0.0")&amp;CHAR(34)&amp;" under 32"&amp;CHAR(34)&amp;" (ADA), ","")&amp;IF(AND($BO324=90,AND(OR($BL324="FG",$BL324="HG",$BL324="FNV",$BL324="FV"),N($BM324)*N($BN324)&gt;100)),"90 min lite over 100 sq in (stair/exit), ","")&amp;IF(AND($BO324&gt;0,AND($A324&lt;&gt;"",$C324&lt;&gt;"DOOR ONLY"),OR($AF324="",$AF324="-")),"rated: closer reinf.?, ","")&amp;IF(OR($I324="CORRIDOR",$I324="SMOKE BARRIER"),"S label + smoke gasketing, ","")&amp;IF($BP324="?","wall type/hr not in IBC table, ","")&amp;IF(AND(N($BC324)&gt;0,$AU324=""),"no hardware set, ","")&amp;IF(AND($AU324&lt;&gt;"",ISNA(MATCH($AU324,HWSets,0))),"set "&amp;$AU324&amp;" not on Hardware sheet, ","")&amp;IF(N($BE324)&gt;96,"leaf over 8'-0"&amp;CHAR(34)&amp;" - check listing, ",""))</f>
        <v/>
      </c>
    </row>
    <row r="325" ht="15" customHeight="1">
      <c r="A325" s="44" t="n"/>
      <c r="B325" s="45" t="n"/>
      <c r="C325" s="45" t="n"/>
      <c r="D325" s="45" t="n"/>
      <c r="E325" s="45" t="n"/>
      <c r="F325" s="45" t="n"/>
      <c r="G325" s="45" t="n"/>
      <c r="H325" s="45" t="n"/>
      <c r="I325" s="45" t="n"/>
      <c r="J325" s="45" t="n"/>
      <c r="K325" s="45" t="n"/>
      <c r="L325" s="45" t="n"/>
      <c r="M325" s="45" t="n"/>
      <c r="N325" s="45" t="n"/>
      <c r="O325" s="45" t="n"/>
      <c r="P325" s="45" t="n"/>
      <c r="Q325" s="45" t="n"/>
      <c r="R325" s="45" t="n"/>
      <c r="S325" s="46" t="n"/>
      <c r="T325" s="46" t="n"/>
      <c r="U325" s="46" t="n"/>
      <c r="V325" s="46" t="n"/>
      <c r="W325" s="46" t="n"/>
      <c r="X325" s="46" t="n"/>
      <c r="Y325" s="46" t="n"/>
      <c r="Z325" s="46" t="n"/>
      <c r="AA325" s="46" t="n"/>
      <c r="AB325" s="46" t="n"/>
      <c r="AC325" s="46" t="n"/>
      <c r="AD325" s="46" t="n"/>
      <c r="AE325" s="46" t="n"/>
      <c r="AF325" s="46" t="n"/>
      <c r="AG325" s="46" t="n"/>
      <c r="AH325" s="47" t="n"/>
      <c r="AI325" s="47" t="n"/>
      <c r="AJ325" s="47" t="n"/>
      <c r="AK325" s="47" t="n"/>
      <c r="AL325" s="47" t="n"/>
      <c r="AM325" s="47" t="n"/>
      <c r="AN325" s="47" t="n"/>
      <c r="AO325" s="47" t="n"/>
      <c r="AP325" s="47" t="n"/>
      <c r="AQ325" s="47" t="n"/>
      <c r="AR325" s="47" t="n"/>
      <c r="AS325" s="47" t="n"/>
      <c r="AT325" s="47" t="n"/>
      <c r="AU325" s="48" t="n"/>
      <c r="AV325" s="48" t="n"/>
      <c r="AW325" s="49">
        <f>IF($A325="","",IF($BW325&lt;&gt;"","FIX",IF($BX325&lt;&gt;"","CHECK","OK")))</f>
        <v/>
      </c>
      <c r="AX325" s="50">
        <f>IF($A325="","",IF($BW325&lt;&gt;"","FIX: "&amp;LEFT($BW325,LEN($BW325)-2)&amp;IF($BX325&lt;&gt;"","  ·  ",""),"")&amp;IF($BX325&lt;&gt;"","CHECK: "&amp;LEFT($BX325,LEN($BX325)-2),""))</f>
        <v/>
      </c>
      <c r="AY325" s="49">
        <f>IF(OR($A325="",$K325=""),"",$K325&amp;"'-"&amp;N($L325)&amp;CHAR(34)&amp;" x "&amp;$M325&amp;"'-"&amp;N($N325)&amp;CHAR(34))</f>
        <v/>
      </c>
      <c r="AZ325" s="49">
        <f>IF(OR($A325="",$K325=""),"",$K325&amp;N($L325)&amp;$M325&amp;N($N325))</f>
        <v/>
      </c>
      <c r="BA325" s="49">
        <f>IF(OR($A325="",$K325=""),"",$K325*12+N($L325))</f>
        <v/>
      </c>
      <c r="BB325" s="49">
        <f>IF(OR($A325="",$M325=""),"",$M325*12+N($N325))</f>
        <v/>
      </c>
      <c r="BC325" s="49">
        <f>IF($A325="","",IF(OR($C325="FRAME ONLY",$S325="BL"),0,IF($O325="Y",2,1)))</f>
        <v/>
      </c>
      <c r="BD325" s="51">
        <f>IF(OR(N($BC325)=0,$BA325=""),"",($BA325-2*EdgeClr-IF($BC325=2,MeetClr,0))/$BC325)</f>
        <v/>
      </c>
      <c r="BE325" s="51">
        <f>IF(OR(N($BC325)=0,$BB325=""),"",$BB325-HeadClr-Undercut)</f>
        <v/>
      </c>
      <c r="BF325" s="51">
        <f>IF($BA325="","",$BA325+2*FaceW+IF(N($Q325)&gt;0,($Q325+FaceW)*IF($R325="LR",2,1),0))</f>
        <v/>
      </c>
      <c r="BG325" s="51">
        <f>IF($BB325="","",$BB325+IF($AB325="Y",4,FaceW)+IF(N($P325)&gt;0,$P325+FaceW,0)+IF(OR($S325="4F",$S325="BL"),FaceW,0))</f>
        <v/>
      </c>
      <c r="BH325" s="51">
        <f>IF($BF325="","",$BF325+2*ROSide)</f>
        <v/>
      </c>
      <c r="BI325" s="51">
        <f>IF($BG325="","",$BG325+ROTop)</f>
        <v/>
      </c>
      <c r="BJ325" s="52">
        <f>IF(OR(N($BC325)=0,$BA325=""),"",$BA325/$BC325-ClearDeduct)</f>
        <v/>
      </c>
      <c r="BK325" s="49">
        <f>IF(OR(N($BC325)=0,$BE325=""),"",IF(OR($AC325="HGC",$AP325="HGC"),"CONT",IF($BE325&lt;=60,2,IF($BE325&lt;=90,3,IF($BE325&lt;=120,4,5)))))</f>
        <v/>
      </c>
      <c r="BL325" s="49">
        <f>IF(N($BC325)=0,"",IF(OR($AL325="",$AL325="FLUSH"),"FLUSH",IFERROR(LEFT($AL325,FIND("-",$AL325)-1),LEFT($AL325,2))))</f>
        <v/>
      </c>
      <c r="BM325" s="49">
        <f>IF($BL325="","",IFERROR(VALUE(MID($AL325,FIND("-",$AL325)+1,FIND(CHAR(34)&amp;"x",$AL325)-FIND("-",$AL325)-1)),0))</f>
        <v/>
      </c>
      <c r="BN325" s="49">
        <f>IF($BL325="","",IFERROR(VALUE(MID($AL325,FIND(CHAR(34)&amp;"x",$AL325)+2,FIND(CHAR(34),$AL325,FIND(CHAR(34)&amp;"x",$AL325)+2)-FIND(CHAR(34)&amp;"x",$AL325)-2)),0))</f>
        <v/>
      </c>
      <c r="BO325" s="53">
        <f>IF(OR($A325="",$H325="",$H325="NO LAB"),0,IFERROR(VALUE(LEFT($H325,FIND(" ",$H325)-1)),0))</f>
        <v/>
      </c>
      <c r="BP325" s="54">
        <f>IF(OR($A325="",$I325="",$I325="NON-RATED",N($J325)=0),"",IFERROR(VLOOKUP($I325&amp;"|"&amp;$J325,IBC,2,FALSE),"?"))</f>
        <v/>
      </c>
      <c r="BQ325" s="50">
        <f>IF(NOT(AND($A325&lt;&gt;"",$C325&lt;&gt;"DOOR ONLY")),"",TRIM(IFERROR(VLOOKUP($U325,CODES,2,FALSE),"")&amp;" "&amp;$AZ325&amp;" "&amp;IFERROR(VLOOKUP($Z325,CODES,2,FALSE),"")&amp;" "&amp;IFERROR(VLOOKUP($X325,CODES,2,FALSE),"")&amp;" "&amp;IFERROR(VLOOKUP($S325,CODES,2,FALSE),"")&amp;IF(N($P325)&gt;0," w/TRANSOM "&amp;$P325&amp;CHAR(34),"")&amp;IF(N($Q325)&gt;0," w/SIDELITE "&amp;$Q325&amp;CHAR(34)&amp;" "&amp;IF($R325="","R",$R325),"")&amp;IF($Y325="","  |  "," | "&amp;IFERROR(VLOOKUP($Y325,CODES,2,FALSE),"")&amp;" | ")&amp;IFERROR(VLOOKUP($AC325,CODES,2,FALSE),"")&amp;" "&amp;IFERROR(VLOOKUP($AD325,CODES,2,FALSE),"")&amp;IF(OR($AE325="",$AE325="-"),""," "&amp;$AE325)&amp;IF(OR($AF325="",$AF325="-"),""," "&amp;$AF325)&amp;IF($AB325="Y"," 4"&amp;CHAR(34)&amp;" HEAD","")&amp;" "&amp;IFERROR(VLOOKUP($H325,CODES,2,FALSE),"")))</f>
        <v/>
      </c>
      <c r="BR325" s="50">
        <f>IF(NOT(AND($A325&lt;&gt;"",N($BC325)&gt;0)),"",TRIM(IFERROR(VLOOKUP($AH325,CODES,2,FALSE),"")&amp;IF($AI325=""," "," "&amp;$AI325&amp;"GA ")&amp;$AZ325&amp;" "&amp;IF($AN325="",IFERROR(VLOOKUP($Z325,CODES,2,FALSE),""),IFERROR(VLOOKUP($AN325,CODES,2,FALSE),""))&amp;IF($BC325=2," PAIR","")&amp;" DOOR | "&amp;IF($AL325="","?",$AL325)&amp;" | "&amp;IF($AP325="",IFERROR(VLOOKUP($AC325,CODES,2,FALSE),""),IFERROR(VLOOKUP($AP325,CODES,2,FALSE),""))&amp;" "&amp;IFERROR(VLOOKUP($AQ325,CODES,2,FALSE),"")&amp;IF(OR($AR325="",$AR325="-"),""," SEAM "&amp;$AR325)&amp;IF($AS325="Y"," ASTRAGAL","")&amp;IF($AJ325=""," "," "&amp;$AJ325)&amp;IF($AK325=""," "," "&amp;$AK325)&amp;IF($AO325="",""," "&amp;$AO325)&amp;IF($AM325=""," "," SERIES "&amp;$AM325)&amp;" "&amp;IFERROR(VLOOKUP($H325,CODES,2,FALSE),"")))</f>
        <v/>
      </c>
      <c r="BS325" s="49">
        <f>IF(BV325="","",IF(COUNTIF($BV$6:BV325,BV325)=1,MAX($BS$5:BS324)+1,INDEX($BS$5:BS324,MATCH(BV325,$BV$5:BV324,0))))</f>
        <v/>
      </c>
      <c r="BT325" s="49">
        <f>IF(NOT(AND($A325&lt;&gt;"",$C325&lt;&gt;"DOOR ONLY")),"",MAX($BT$5:BT324)+1)</f>
        <v/>
      </c>
      <c r="BU325" s="49">
        <f>IF(NOT(AND($A325&lt;&gt;"",N($BC325)&gt;0)),"",MAX($BU$5:BU324)+1)</f>
        <v/>
      </c>
      <c r="BV325" s="49">
        <f>IF(OR($A325="",$BA325="",$BB325=""),"",$AZ325&amp;"|"&amp;$O325&amp;"|"&amp;$AL325&amp;"|"&amp;$S325&amp;"|"&amp;$P325&amp;"|"&amp;$Q325&amp;$R325&amp;"|"&amp;$C325&amp;"|"&amp;$AB325)</f>
        <v/>
      </c>
      <c r="BW325" s="49">
        <f>IF($A325="","",IF($B325="","qty, ","")&amp;IF($C325="","scope, ","")&amp;IF(OR($K325="",$M325=""),"size, ","")&amp;IF(AND($A325&lt;&gt;"",$C325&lt;&gt;"DOOR ONLY"),IF($U325="","jamb depth, ","")&amp;IF($X325="","construction, ","")&amp;IF($Y325="","anchor, ","")&amp;IF($S325="","frame type, ",""),"")&amp;IF(AND(N($BC325)&gt;0,$Z325=""),"hand, ","")&amp;IF(N($BC325)&gt;0,IF($AH325="","door material, ","")&amp;IF($AL325="","face type, ","")&amp;IF($AQ325="","lock prep, ","")&amp;IF(AND($AP325="",$AC325=""),"hinge prep, ",""),"")&amp;IF(AND($BO325&gt;0,$AH325="FRP"),"FRP cannot carry a label, ","")&amp;IF(AND($O325="Y",OR($Z325="L",$Z325="R",$Z325="LR",$Z325="RR")),"pair marked but hand is single, ","")&amp;IF(AND($O325&lt;&gt;"Y",OR($Z325="PR",AND(LEN($Z325)&gt;1,ISNUMBER(SEARCH("-",$Z325))))),"pair hand on a single door, ","")&amp;IF(AND(ISNUMBER($BP325),$BO325&lt;N($BP325)),"wall needs a "&amp;$BP325&amp;" min door, ","")&amp;IF(AND($BO325&gt;=180,AND(OR($BL325="FG",$BL325="HG",$BL325="FNV",$BL325="FV"),N($BM325)*N($BN325)&gt;100)),"180 min lite over 100 sq in, ","")&amp;IF(N($BD325)&gt;48,"leaf wider than 4'-0"&amp;CHAR(34)&amp;", ",""))</f>
        <v/>
      </c>
      <c r="BX325" s="49">
        <f>IF($A325="","",IF(AND($BO325&gt;0,AND($A325&lt;&gt;"",$C325&lt;&gt;"DOOR ONLY"),$X325="KD",$E325="EXTERIOR"),"KD label on an exterior opening, ","")&amp;IF(AND($E325="EXTERIOR",OR(AND(AND($A325&lt;&gt;"",$C325&lt;&gt;"DOOR ONLY"),$W325="CR"),AND(N($BC325)&gt;0,$AH325="CR"))),"exterior in CR steel (G9?), ","")&amp;IF(AND(ISNUMBER($BJ325),N($BJ325)&lt;32),"clear width ~"&amp;TEXT($BJ325,"0.0")&amp;CHAR(34)&amp;" under 32"&amp;CHAR(34)&amp;" (ADA), ","")&amp;IF(AND($BO325=90,AND(OR($BL325="FG",$BL325="HG",$BL325="FNV",$BL325="FV"),N($BM325)*N($BN325)&gt;100)),"90 min lite over 100 sq in (stair/exit), ","")&amp;IF(AND($BO325&gt;0,AND($A325&lt;&gt;"",$C325&lt;&gt;"DOOR ONLY"),OR($AF325="",$AF325="-")),"rated: closer reinf.?, ","")&amp;IF(OR($I325="CORRIDOR",$I325="SMOKE BARRIER"),"S label + smoke gasketing, ","")&amp;IF($BP325="?","wall type/hr not in IBC table, ","")&amp;IF(AND(N($BC325)&gt;0,$AU325=""),"no hardware set, ","")&amp;IF(AND($AU325&lt;&gt;"",ISNA(MATCH($AU325,HWSets,0))),"set "&amp;$AU325&amp;" not on Hardware sheet, ","")&amp;IF(N($BE325)&gt;96,"leaf over 8'-0"&amp;CHAR(34)&amp;" - check listing, ",""))</f>
        <v/>
      </c>
    </row>
    <row r="326" ht="15" customHeight="1">
      <c r="A326" s="44" t="n"/>
      <c r="B326" s="45" t="n"/>
      <c r="C326" s="45" t="n"/>
      <c r="D326" s="45" t="n"/>
      <c r="E326" s="45" t="n"/>
      <c r="F326" s="45" t="n"/>
      <c r="G326" s="45" t="n"/>
      <c r="H326" s="45" t="n"/>
      <c r="I326" s="45" t="n"/>
      <c r="J326" s="45" t="n"/>
      <c r="K326" s="45" t="n"/>
      <c r="L326" s="45" t="n"/>
      <c r="M326" s="45" t="n"/>
      <c r="N326" s="45" t="n"/>
      <c r="O326" s="45" t="n"/>
      <c r="P326" s="45" t="n"/>
      <c r="Q326" s="45" t="n"/>
      <c r="R326" s="45" t="n"/>
      <c r="S326" s="46" t="n"/>
      <c r="T326" s="46" t="n"/>
      <c r="U326" s="46" t="n"/>
      <c r="V326" s="46" t="n"/>
      <c r="W326" s="46" t="n"/>
      <c r="X326" s="46" t="n"/>
      <c r="Y326" s="46" t="n"/>
      <c r="Z326" s="46" t="n"/>
      <c r="AA326" s="46" t="n"/>
      <c r="AB326" s="46" t="n"/>
      <c r="AC326" s="46" t="n"/>
      <c r="AD326" s="46" t="n"/>
      <c r="AE326" s="46" t="n"/>
      <c r="AF326" s="46" t="n"/>
      <c r="AG326" s="46" t="n"/>
      <c r="AH326" s="47" t="n"/>
      <c r="AI326" s="47" t="n"/>
      <c r="AJ326" s="47" t="n"/>
      <c r="AK326" s="47" t="n"/>
      <c r="AL326" s="47" t="n"/>
      <c r="AM326" s="47" t="n"/>
      <c r="AN326" s="47" t="n"/>
      <c r="AO326" s="47" t="n"/>
      <c r="AP326" s="47" t="n"/>
      <c r="AQ326" s="47" t="n"/>
      <c r="AR326" s="47" t="n"/>
      <c r="AS326" s="47" t="n"/>
      <c r="AT326" s="47" t="n"/>
      <c r="AU326" s="48" t="n"/>
      <c r="AV326" s="48" t="n"/>
      <c r="AW326" s="49">
        <f>IF($A326="","",IF($BW326&lt;&gt;"","FIX",IF($BX326&lt;&gt;"","CHECK","OK")))</f>
        <v/>
      </c>
      <c r="AX326" s="50">
        <f>IF($A326="","",IF($BW326&lt;&gt;"","FIX: "&amp;LEFT($BW326,LEN($BW326)-2)&amp;IF($BX326&lt;&gt;"","  ·  ",""),"")&amp;IF($BX326&lt;&gt;"","CHECK: "&amp;LEFT($BX326,LEN($BX326)-2),""))</f>
        <v/>
      </c>
      <c r="AY326" s="49">
        <f>IF(OR($A326="",$K326=""),"",$K326&amp;"'-"&amp;N($L326)&amp;CHAR(34)&amp;" x "&amp;$M326&amp;"'-"&amp;N($N326)&amp;CHAR(34))</f>
        <v/>
      </c>
      <c r="AZ326" s="49">
        <f>IF(OR($A326="",$K326=""),"",$K326&amp;N($L326)&amp;$M326&amp;N($N326))</f>
        <v/>
      </c>
      <c r="BA326" s="49">
        <f>IF(OR($A326="",$K326=""),"",$K326*12+N($L326))</f>
        <v/>
      </c>
      <c r="BB326" s="49">
        <f>IF(OR($A326="",$M326=""),"",$M326*12+N($N326))</f>
        <v/>
      </c>
      <c r="BC326" s="49">
        <f>IF($A326="","",IF(OR($C326="FRAME ONLY",$S326="BL"),0,IF($O326="Y",2,1)))</f>
        <v/>
      </c>
      <c r="BD326" s="51">
        <f>IF(OR(N($BC326)=0,$BA326=""),"",($BA326-2*EdgeClr-IF($BC326=2,MeetClr,0))/$BC326)</f>
        <v/>
      </c>
      <c r="BE326" s="51">
        <f>IF(OR(N($BC326)=0,$BB326=""),"",$BB326-HeadClr-Undercut)</f>
        <v/>
      </c>
      <c r="BF326" s="51">
        <f>IF($BA326="","",$BA326+2*FaceW+IF(N($Q326)&gt;0,($Q326+FaceW)*IF($R326="LR",2,1),0))</f>
        <v/>
      </c>
      <c r="BG326" s="51">
        <f>IF($BB326="","",$BB326+IF($AB326="Y",4,FaceW)+IF(N($P326)&gt;0,$P326+FaceW,0)+IF(OR($S326="4F",$S326="BL"),FaceW,0))</f>
        <v/>
      </c>
      <c r="BH326" s="51">
        <f>IF($BF326="","",$BF326+2*ROSide)</f>
        <v/>
      </c>
      <c r="BI326" s="51">
        <f>IF($BG326="","",$BG326+ROTop)</f>
        <v/>
      </c>
      <c r="BJ326" s="52">
        <f>IF(OR(N($BC326)=0,$BA326=""),"",$BA326/$BC326-ClearDeduct)</f>
        <v/>
      </c>
      <c r="BK326" s="49">
        <f>IF(OR(N($BC326)=0,$BE326=""),"",IF(OR($AC326="HGC",$AP326="HGC"),"CONT",IF($BE326&lt;=60,2,IF($BE326&lt;=90,3,IF($BE326&lt;=120,4,5)))))</f>
        <v/>
      </c>
      <c r="BL326" s="49">
        <f>IF(N($BC326)=0,"",IF(OR($AL326="",$AL326="FLUSH"),"FLUSH",IFERROR(LEFT($AL326,FIND("-",$AL326)-1),LEFT($AL326,2))))</f>
        <v/>
      </c>
      <c r="BM326" s="49">
        <f>IF($BL326="","",IFERROR(VALUE(MID($AL326,FIND("-",$AL326)+1,FIND(CHAR(34)&amp;"x",$AL326)-FIND("-",$AL326)-1)),0))</f>
        <v/>
      </c>
      <c r="BN326" s="49">
        <f>IF($BL326="","",IFERROR(VALUE(MID($AL326,FIND(CHAR(34)&amp;"x",$AL326)+2,FIND(CHAR(34),$AL326,FIND(CHAR(34)&amp;"x",$AL326)+2)-FIND(CHAR(34)&amp;"x",$AL326)-2)),0))</f>
        <v/>
      </c>
      <c r="BO326" s="53">
        <f>IF(OR($A326="",$H326="",$H326="NO LAB"),0,IFERROR(VALUE(LEFT($H326,FIND(" ",$H326)-1)),0))</f>
        <v/>
      </c>
      <c r="BP326" s="54">
        <f>IF(OR($A326="",$I326="",$I326="NON-RATED",N($J326)=0),"",IFERROR(VLOOKUP($I326&amp;"|"&amp;$J326,IBC,2,FALSE),"?"))</f>
        <v/>
      </c>
      <c r="BQ326" s="50">
        <f>IF(NOT(AND($A326&lt;&gt;"",$C326&lt;&gt;"DOOR ONLY")),"",TRIM(IFERROR(VLOOKUP($U326,CODES,2,FALSE),"")&amp;" "&amp;$AZ326&amp;" "&amp;IFERROR(VLOOKUP($Z326,CODES,2,FALSE),"")&amp;" "&amp;IFERROR(VLOOKUP($X326,CODES,2,FALSE),"")&amp;" "&amp;IFERROR(VLOOKUP($S326,CODES,2,FALSE),"")&amp;IF(N($P326)&gt;0," w/TRANSOM "&amp;$P326&amp;CHAR(34),"")&amp;IF(N($Q326)&gt;0," w/SIDELITE "&amp;$Q326&amp;CHAR(34)&amp;" "&amp;IF($R326="","R",$R326),"")&amp;IF($Y326="","  |  "," | "&amp;IFERROR(VLOOKUP($Y326,CODES,2,FALSE),"")&amp;" | ")&amp;IFERROR(VLOOKUP($AC326,CODES,2,FALSE),"")&amp;" "&amp;IFERROR(VLOOKUP($AD326,CODES,2,FALSE),"")&amp;IF(OR($AE326="",$AE326="-"),""," "&amp;$AE326)&amp;IF(OR($AF326="",$AF326="-"),""," "&amp;$AF326)&amp;IF($AB326="Y"," 4"&amp;CHAR(34)&amp;" HEAD","")&amp;" "&amp;IFERROR(VLOOKUP($H326,CODES,2,FALSE),"")))</f>
        <v/>
      </c>
      <c r="BR326" s="50">
        <f>IF(NOT(AND($A326&lt;&gt;"",N($BC326)&gt;0)),"",TRIM(IFERROR(VLOOKUP($AH326,CODES,2,FALSE),"")&amp;IF($AI326=""," "," "&amp;$AI326&amp;"GA ")&amp;$AZ326&amp;" "&amp;IF($AN326="",IFERROR(VLOOKUP($Z326,CODES,2,FALSE),""),IFERROR(VLOOKUP($AN326,CODES,2,FALSE),""))&amp;IF($BC326=2," PAIR","")&amp;" DOOR | "&amp;IF($AL326="","?",$AL326)&amp;" | "&amp;IF($AP326="",IFERROR(VLOOKUP($AC326,CODES,2,FALSE),""),IFERROR(VLOOKUP($AP326,CODES,2,FALSE),""))&amp;" "&amp;IFERROR(VLOOKUP($AQ326,CODES,2,FALSE),"")&amp;IF(OR($AR326="",$AR326="-"),""," SEAM "&amp;$AR326)&amp;IF($AS326="Y"," ASTRAGAL","")&amp;IF($AJ326=""," "," "&amp;$AJ326)&amp;IF($AK326=""," "," "&amp;$AK326)&amp;IF($AO326="",""," "&amp;$AO326)&amp;IF($AM326=""," "," SERIES "&amp;$AM326)&amp;" "&amp;IFERROR(VLOOKUP($H326,CODES,2,FALSE),"")))</f>
        <v/>
      </c>
      <c r="BS326" s="49">
        <f>IF(BV326="","",IF(COUNTIF($BV$6:BV326,BV326)=1,MAX($BS$5:BS325)+1,INDEX($BS$5:BS325,MATCH(BV326,$BV$5:BV325,0))))</f>
        <v/>
      </c>
      <c r="BT326" s="49">
        <f>IF(NOT(AND($A326&lt;&gt;"",$C326&lt;&gt;"DOOR ONLY")),"",MAX($BT$5:BT325)+1)</f>
        <v/>
      </c>
      <c r="BU326" s="49">
        <f>IF(NOT(AND($A326&lt;&gt;"",N($BC326)&gt;0)),"",MAX($BU$5:BU325)+1)</f>
        <v/>
      </c>
      <c r="BV326" s="49">
        <f>IF(OR($A326="",$BA326="",$BB326=""),"",$AZ326&amp;"|"&amp;$O326&amp;"|"&amp;$AL326&amp;"|"&amp;$S326&amp;"|"&amp;$P326&amp;"|"&amp;$Q326&amp;$R326&amp;"|"&amp;$C326&amp;"|"&amp;$AB326)</f>
        <v/>
      </c>
      <c r="BW326" s="49">
        <f>IF($A326="","",IF($B326="","qty, ","")&amp;IF($C326="","scope, ","")&amp;IF(OR($K326="",$M326=""),"size, ","")&amp;IF(AND($A326&lt;&gt;"",$C326&lt;&gt;"DOOR ONLY"),IF($U326="","jamb depth, ","")&amp;IF($X326="","construction, ","")&amp;IF($Y326="","anchor, ","")&amp;IF($S326="","frame type, ",""),"")&amp;IF(AND(N($BC326)&gt;0,$Z326=""),"hand, ","")&amp;IF(N($BC326)&gt;0,IF($AH326="","door material, ","")&amp;IF($AL326="","face type, ","")&amp;IF($AQ326="","lock prep, ","")&amp;IF(AND($AP326="",$AC326=""),"hinge prep, ",""),"")&amp;IF(AND($BO326&gt;0,$AH326="FRP"),"FRP cannot carry a label, ","")&amp;IF(AND($O326="Y",OR($Z326="L",$Z326="R",$Z326="LR",$Z326="RR")),"pair marked but hand is single, ","")&amp;IF(AND($O326&lt;&gt;"Y",OR($Z326="PR",AND(LEN($Z326)&gt;1,ISNUMBER(SEARCH("-",$Z326))))),"pair hand on a single door, ","")&amp;IF(AND(ISNUMBER($BP326),$BO326&lt;N($BP326)),"wall needs a "&amp;$BP326&amp;" min door, ","")&amp;IF(AND($BO326&gt;=180,AND(OR($BL326="FG",$BL326="HG",$BL326="FNV",$BL326="FV"),N($BM326)*N($BN326)&gt;100)),"180 min lite over 100 sq in, ","")&amp;IF(N($BD326)&gt;48,"leaf wider than 4'-0"&amp;CHAR(34)&amp;", ",""))</f>
        <v/>
      </c>
      <c r="BX326" s="49">
        <f>IF($A326="","",IF(AND($BO326&gt;0,AND($A326&lt;&gt;"",$C326&lt;&gt;"DOOR ONLY"),$X326="KD",$E326="EXTERIOR"),"KD label on an exterior opening, ","")&amp;IF(AND($E326="EXTERIOR",OR(AND(AND($A326&lt;&gt;"",$C326&lt;&gt;"DOOR ONLY"),$W326="CR"),AND(N($BC326)&gt;0,$AH326="CR"))),"exterior in CR steel (G9?), ","")&amp;IF(AND(ISNUMBER($BJ326),N($BJ326)&lt;32),"clear width ~"&amp;TEXT($BJ326,"0.0")&amp;CHAR(34)&amp;" under 32"&amp;CHAR(34)&amp;" (ADA), ","")&amp;IF(AND($BO326=90,AND(OR($BL326="FG",$BL326="HG",$BL326="FNV",$BL326="FV"),N($BM326)*N($BN326)&gt;100)),"90 min lite over 100 sq in (stair/exit), ","")&amp;IF(AND($BO326&gt;0,AND($A326&lt;&gt;"",$C326&lt;&gt;"DOOR ONLY"),OR($AF326="",$AF326="-")),"rated: closer reinf.?, ","")&amp;IF(OR($I326="CORRIDOR",$I326="SMOKE BARRIER"),"S label + smoke gasketing, ","")&amp;IF($BP326="?","wall type/hr not in IBC table, ","")&amp;IF(AND(N($BC326)&gt;0,$AU326=""),"no hardware set, ","")&amp;IF(AND($AU326&lt;&gt;"",ISNA(MATCH($AU326,HWSets,0))),"set "&amp;$AU326&amp;" not on Hardware sheet, ","")&amp;IF(N($BE326)&gt;96,"leaf over 8'-0"&amp;CHAR(34)&amp;" - check listing, ",""))</f>
        <v/>
      </c>
    </row>
    <row r="327" ht="15" customHeight="1">
      <c r="A327" s="44" t="n"/>
      <c r="B327" s="45" t="n"/>
      <c r="C327" s="45" t="n"/>
      <c r="D327" s="45" t="n"/>
      <c r="E327" s="45" t="n"/>
      <c r="F327" s="45" t="n"/>
      <c r="G327" s="45" t="n"/>
      <c r="H327" s="45" t="n"/>
      <c r="I327" s="45" t="n"/>
      <c r="J327" s="45" t="n"/>
      <c r="K327" s="45" t="n"/>
      <c r="L327" s="45" t="n"/>
      <c r="M327" s="45" t="n"/>
      <c r="N327" s="45" t="n"/>
      <c r="O327" s="45" t="n"/>
      <c r="P327" s="45" t="n"/>
      <c r="Q327" s="45" t="n"/>
      <c r="R327" s="45" t="n"/>
      <c r="S327" s="46" t="n"/>
      <c r="T327" s="46" t="n"/>
      <c r="U327" s="46" t="n"/>
      <c r="V327" s="46" t="n"/>
      <c r="W327" s="46" t="n"/>
      <c r="X327" s="46" t="n"/>
      <c r="Y327" s="46" t="n"/>
      <c r="Z327" s="46" t="n"/>
      <c r="AA327" s="46" t="n"/>
      <c r="AB327" s="46" t="n"/>
      <c r="AC327" s="46" t="n"/>
      <c r="AD327" s="46" t="n"/>
      <c r="AE327" s="46" t="n"/>
      <c r="AF327" s="46" t="n"/>
      <c r="AG327" s="46" t="n"/>
      <c r="AH327" s="47" t="n"/>
      <c r="AI327" s="47" t="n"/>
      <c r="AJ327" s="47" t="n"/>
      <c r="AK327" s="47" t="n"/>
      <c r="AL327" s="47" t="n"/>
      <c r="AM327" s="47" t="n"/>
      <c r="AN327" s="47" t="n"/>
      <c r="AO327" s="47" t="n"/>
      <c r="AP327" s="47" t="n"/>
      <c r="AQ327" s="47" t="n"/>
      <c r="AR327" s="47" t="n"/>
      <c r="AS327" s="47" t="n"/>
      <c r="AT327" s="47" t="n"/>
      <c r="AU327" s="48" t="n"/>
      <c r="AV327" s="48" t="n"/>
      <c r="AW327" s="49">
        <f>IF($A327="","",IF($BW327&lt;&gt;"","FIX",IF($BX327&lt;&gt;"","CHECK","OK")))</f>
        <v/>
      </c>
      <c r="AX327" s="50">
        <f>IF($A327="","",IF($BW327&lt;&gt;"","FIX: "&amp;LEFT($BW327,LEN($BW327)-2)&amp;IF($BX327&lt;&gt;"","  ·  ",""),"")&amp;IF($BX327&lt;&gt;"","CHECK: "&amp;LEFT($BX327,LEN($BX327)-2),""))</f>
        <v/>
      </c>
      <c r="AY327" s="49">
        <f>IF(OR($A327="",$K327=""),"",$K327&amp;"'-"&amp;N($L327)&amp;CHAR(34)&amp;" x "&amp;$M327&amp;"'-"&amp;N($N327)&amp;CHAR(34))</f>
        <v/>
      </c>
      <c r="AZ327" s="49">
        <f>IF(OR($A327="",$K327=""),"",$K327&amp;N($L327)&amp;$M327&amp;N($N327))</f>
        <v/>
      </c>
      <c r="BA327" s="49">
        <f>IF(OR($A327="",$K327=""),"",$K327*12+N($L327))</f>
        <v/>
      </c>
      <c r="BB327" s="49">
        <f>IF(OR($A327="",$M327=""),"",$M327*12+N($N327))</f>
        <v/>
      </c>
      <c r="BC327" s="49">
        <f>IF($A327="","",IF(OR($C327="FRAME ONLY",$S327="BL"),0,IF($O327="Y",2,1)))</f>
        <v/>
      </c>
      <c r="BD327" s="51">
        <f>IF(OR(N($BC327)=0,$BA327=""),"",($BA327-2*EdgeClr-IF($BC327=2,MeetClr,0))/$BC327)</f>
        <v/>
      </c>
      <c r="BE327" s="51">
        <f>IF(OR(N($BC327)=0,$BB327=""),"",$BB327-HeadClr-Undercut)</f>
        <v/>
      </c>
      <c r="BF327" s="51">
        <f>IF($BA327="","",$BA327+2*FaceW+IF(N($Q327)&gt;0,($Q327+FaceW)*IF($R327="LR",2,1),0))</f>
        <v/>
      </c>
      <c r="BG327" s="51">
        <f>IF($BB327="","",$BB327+IF($AB327="Y",4,FaceW)+IF(N($P327)&gt;0,$P327+FaceW,0)+IF(OR($S327="4F",$S327="BL"),FaceW,0))</f>
        <v/>
      </c>
      <c r="BH327" s="51">
        <f>IF($BF327="","",$BF327+2*ROSide)</f>
        <v/>
      </c>
      <c r="BI327" s="51">
        <f>IF($BG327="","",$BG327+ROTop)</f>
        <v/>
      </c>
      <c r="BJ327" s="52">
        <f>IF(OR(N($BC327)=0,$BA327=""),"",$BA327/$BC327-ClearDeduct)</f>
        <v/>
      </c>
      <c r="BK327" s="49">
        <f>IF(OR(N($BC327)=0,$BE327=""),"",IF(OR($AC327="HGC",$AP327="HGC"),"CONT",IF($BE327&lt;=60,2,IF($BE327&lt;=90,3,IF($BE327&lt;=120,4,5)))))</f>
        <v/>
      </c>
      <c r="BL327" s="49">
        <f>IF(N($BC327)=0,"",IF(OR($AL327="",$AL327="FLUSH"),"FLUSH",IFERROR(LEFT($AL327,FIND("-",$AL327)-1),LEFT($AL327,2))))</f>
        <v/>
      </c>
      <c r="BM327" s="49">
        <f>IF($BL327="","",IFERROR(VALUE(MID($AL327,FIND("-",$AL327)+1,FIND(CHAR(34)&amp;"x",$AL327)-FIND("-",$AL327)-1)),0))</f>
        <v/>
      </c>
      <c r="BN327" s="49">
        <f>IF($BL327="","",IFERROR(VALUE(MID($AL327,FIND(CHAR(34)&amp;"x",$AL327)+2,FIND(CHAR(34),$AL327,FIND(CHAR(34)&amp;"x",$AL327)+2)-FIND(CHAR(34)&amp;"x",$AL327)-2)),0))</f>
        <v/>
      </c>
      <c r="BO327" s="53">
        <f>IF(OR($A327="",$H327="",$H327="NO LAB"),0,IFERROR(VALUE(LEFT($H327,FIND(" ",$H327)-1)),0))</f>
        <v/>
      </c>
      <c r="BP327" s="54">
        <f>IF(OR($A327="",$I327="",$I327="NON-RATED",N($J327)=0),"",IFERROR(VLOOKUP($I327&amp;"|"&amp;$J327,IBC,2,FALSE),"?"))</f>
        <v/>
      </c>
      <c r="BQ327" s="50">
        <f>IF(NOT(AND($A327&lt;&gt;"",$C327&lt;&gt;"DOOR ONLY")),"",TRIM(IFERROR(VLOOKUP($U327,CODES,2,FALSE),"")&amp;" "&amp;$AZ327&amp;" "&amp;IFERROR(VLOOKUP($Z327,CODES,2,FALSE),"")&amp;" "&amp;IFERROR(VLOOKUP($X327,CODES,2,FALSE),"")&amp;" "&amp;IFERROR(VLOOKUP($S327,CODES,2,FALSE),"")&amp;IF(N($P327)&gt;0," w/TRANSOM "&amp;$P327&amp;CHAR(34),"")&amp;IF(N($Q327)&gt;0," w/SIDELITE "&amp;$Q327&amp;CHAR(34)&amp;" "&amp;IF($R327="","R",$R327),"")&amp;IF($Y327="","  |  "," | "&amp;IFERROR(VLOOKUP($Y327,CODES,2,FALSE),"")&amp;" | ")&amp;IFERROR(VLOOKUP($AC327,CODES,2,FALSE),"")&amp;" "&amp;IFERROR(VLOOKUP($AD327,CODES,2,FALSE),"")&amp;IF(OR($AE327="",$AE327="-"),""," "&amp;$AE327)&amp;IF(OR($AF327="",$AF327="-"),""," "&amp;$AF327)&amp;IF($AB327="Y"," 4"&amp;CHAR(34)&amp;" HEAD","")&amp;" "&amp;IFERROR(VLOOKUP($H327,CODES,2,FALSE),"")))</f>
        <v/>
      </c>
      <c r="BR327" s="50">
        <f>IF(NOT(AND($A327&lt;&gt;"",N($BC327)&gt;0)),"",TRIM(IFERROR(VLOOKUP($AH327,CODES,2,FALSE),"")&amp;IF($AI327=""," "," "&amp;$AI327&amp;"GA ")&amp;$AZ327&amp;" "&amp;IF($AN327="",IFERROR(VLOOKUP($Z327,CODES,2,FALSE),""),IFERROR(VLOOKUP($AN327,CODES,2,FALSE),""))&amp;IF($BC327=2," PAIR","")&amp;" DOOR | "&amp;IF($AL327="","?",$AL327)&amp;" | "&amp;IF($AP327="",IFERROR(VLOOKUP($AC327,CODES,2,FALSE),""),IFERROR(VLOOKUP($AP327,CODES,2,FALSE),""))&amp;" "&amp;IFERROR(VLOOKUP($AQ327,CODES,2,FALSE),"")&amp;IF(OR($AR327="",$AR327="-"),""," SEAM "&amp;$AR327)&amp;IF($AS327="Y"," ASTRAGAL","")&amp;IF($AJ327=""," "," "&amp;$AJ327)&amp;IF($AK327=""," "," "&amp;$AK327)&amp;IF($AO327="",""," "&amp;$AO327)&amp;IF($AM327=""," "," SERIES "&amp;$AM327)&amp;" "&amp;IFERROR(VLOOKUP($H327,CODES,2,FALSE),"")))</f>
        <v/>
      </c>
      <c r="BS327" s="49">
        <f>IF(BV327="","",IF(COUNTIF($BV$6:BV327,BV327)=1,MAX($BS$5:BS326)+1,INDEX($BS$5:BS326,MATCH(BV327,$BV$5:BV326,0))))</f>
        <v/>
      </c>
      <c r="BT327" s="49">
        <f>IF(NOT(AND($A327&lt;&gt;"",$C327&lt;&gt;"DOOR ONLY")),"",MAX($BT$5:BT326)+1)</f>
        <v/>
      </c>
      <c r="BU327" s="49">
        <f>IF(NOT(AND($A327&lt;&gt;"",N($BC327)&gt;0)),"",MAX($BU$5:BU326)+1)</f>
        <v/>
      </c>
      <c r="BV327" s="49">
        <f>IF(OR($A327="",$BA327="",$BB327=""),"",$AZ327&amp;"|"&amp;$O327&amp;"|"&amp;$AL327&amp;"|"&amp;$S327&amp;"|"&amp;$P327&amp;"|"&amp;$Q327&amp;$R327&amp;"|"&amp;$C327&amp;"|"&amp;$AB327)</f>
        <v/>
      </c>
      <c r="BW327" s="49">
        <f>IF($A327="","",IF($B327="","qty, ","")&amp;IF($C327="","scope, ","")&amp;IF(OR($K327="",$M327=""),"size, ","")&amp;IF(AND($A327&lt;&gt;"",$C327&lt;&gt;"DOOR ONLY"),IF($U327="","jamb depth, ","")&amp;IF($X327="","construction, ","")&amp;IF($Y327="","anchor, ","")&amp;IF($S327="","frame type, ",""),"")&amp;IF(AND(N($BC327)&gt;0,$Z327=""),"hand, ","")&amp;IF(N($BC327)&gt;0,IF($AH327="","door material, ","")&amp;IF($AL327="","face type, ","")&amp;IF($AQ327="","lock prep, ","")&amp;IF(AND($AP327="",$AC327=""),"hinge prep, ",""),"")&amp;IF(AND($BO327&gt;0,$AH327="FRP"),"FRP cannot carry a label, ","")&amp;IF(AND($O327="Y",OR($Z327="L",$Z327="R",$Z327="LR",$Z327="RR")),"pair marked but hand is single, ","")&amp;IF(AND($O327&lt;&gt;"Y",OR($Z327="PR",AND(LEN($Z327)&gt;1,ISNUMBER(SEARCH("-",$Z327))))),"pair hand on a single door, ","")&amp;IF(AND(ISNUMBER($BP327),$BO327&lt;N($BP327)),"wall needs a "&amp;$BP327&amp;" min door, ","")&amp;IF(AND($BO327&gt;=180,AND(OR($BL327="FG",$BL327="HG",$BL327="FNV",$BL327="FV"),N($BM327)*N($BN327)&gt;100)),"180 min lite over 100 sq in, ","")&amp;IF(N($BD327)&gt;48,"leaf wider than 4'-0"&amp;CHAR(34)&amp;", ",""))</f>
        <v/>
      </c>
      <c r="BX327" s="49">
        <f>IF($A327="","",IF(AND($BO327&gt;0,AND($A327&lt;&gt;"",$C327&lt;&gt;"DOOR ONLY"),$X327="KD",$E327="EXTERIOR"),"KD label on an exterior opening, ","")&amp;IF(AND($E327="EXTERIOR",OR(AND(AND($A327&lt;&gt;"",$C327&lt;&gt;"DOOR ONLY"),$W327="CR"),AND(N($BC327)&gt;0,$AH327="CR"))),"exterior in CR steel (G9?), ","")&amp;IF(AND(ISNUMBER($BJ327),N($BJ327)&lt;32),"clear width ~"&amp;TEXT($BJ327,"0.0")&amp;CHAR(34)&amp;" under 32"&amp;CHAR(34)&amp;" (ADA), ","")&amp;IF(AND($BO327=90,AND(OR($BL327="FG",$BL327="HG",$BL327="FNV",$BL327="FV"),N($BM327)*N($BN327)&gt;100)),"90 min lite over 100 sq in (stair/exit), ","")&amp;IF(AND($BO327&gt;0,AND($A327&lt;&gt;"",$C327&lt;&gt;"DOOR ONLY"),OR($AF327="",$AF327="-")),"rated: closer reinf.?, ","")&amp;IF(OR($I327="CORRIDOR",$I327="SMOKE BARRIER"),"S label + smoke gasketing, ","")&amp;IF($BP327="?","wall type/hr not in IBC table, ","")&amp;IF(AND(N($BC327)&gt;0,$AU327=""),"no hardware set, ","")&amp;IF(AND($AU327&lt;&gt;"",ISNA(MATCH($AU327,HWSets,0))),"set "&amp;$AU327&amp;" not on Hardware sheet, ","")&amp;IF(N($BE327)&gt;96,"leaf over 8'-0"&amp;CHAR(34)&amp;" - check listing, ",""))</f>
        <v/>
      </c>
    </row>
    <row r="328" ht="15" customHeight="1">
      <c r="A328" s="44" t="n"/>
      <c r="B328" s="45" t="n"/>
      <c r="C328" s="45" t="n"/>
      <c r="D328" s="45" t="n"/>
      <c r="E328" s="45" t="n"/>
      <c r="F328" s="45" t="n"/>
      <c r="G328" s="45" t="n"/>
      <c r="H328" s="45" t="n"/>
      <c r="I328" s="45" t="n"/>
      <c r="J328" s="45" t="n"/>
      <c r="K328" s="45" t="n"/>
      <c r="L328" s="45" t="n"/>
      <c r="M328" s="45" t="n"/>
      <c r="N328" s="45" t="n"/>
      <c r="O328" s="45" t="n"/>
      <c r="P328" s="45" t="n"/>
      <c r="Q328" s="45" t="n"/>
      <c r="R328" s="45" t="n"/>
      <c r="S328" s="46" t="n"/>
      <c r="T328" s="46" t="n"/>
      <c r="U328" s="46" t="n"/>
      <c r="V328" s="46" t="n"/>
      <c r="W328" s="46" t="n"/>
      <c r="X328" s="46" t="n"/>
      <c r="Y328" s="46" t="n"/>
      <c r="Z328" s="46" t="n"/>
      <c r="AA328" s="46" t="n"/>
      <c r="AB328" s="46" t="n"/>
      <c r="AC328" s="46" t="n"/>
      <c r="AD328" s="46" t="n"/>
      <c r="AE328" s="46" t="n"/>
      <c r="AF328" s="46" t="n"/>
      <c r="AG328" s="46" t="n"/>
      <c r="AH328" s="47" t="n"/>
      <c r="AI328" s="47" t="n"/>
      <c r="AJ328" s="47" t="n"/>
      <c r="AK328" s="47" t="n"/>
      <c r="AL328" s="47" t="n"/>
      <c r="AM328" s="47" t="n"/>
      <c r="AN328" s="47" t="n"/>
      <c r="AO328" s="47" t="n"/>
      <c r="AP328" s="47" t="n"/>
      <c r="AQ328" s="47" t="n"/>
      <c r="AR328" s="47" t="n"/>
      <c r="AS328" s="47" t="n"/>
      <c r="AT328" s="47" t="n"/>
      <c r="AU328" s="48" t="n"/>
      <c r="AV328" s="48" t="n"/>
      <c r="AW328" s="49">
        <f>IF($A328="","",IF($BW328&lt;&gt;"","FIX",IF($BX328&lt;&gt;"","CHECK","OK")))</f>
        <v/>
      </c>
      <c r="AX328" s="50">
        <f>IF($A328="","",IF($BW328&lt;&gt;"","FIX: "&amp;LEFT($BW328,LEN($BW328)-2)&amp;IF($BX328&lt;&gt;"","  ·  ",""),"")&amp;IF($BX328&lt;&gt;"","CHECK: "&amp;LEFT($BX328,LEN($BX328)-2),""))</f>
        <v/>
      </c>
      <c r="AY328" s="49">
        <f>IF(OR($A328="",$K328=""),"",$K328&amp;"'-"&amp;N($L328)&amp;CHAR(34)&amp;" x "&amp;$M328&amp;"'-"&amp;N($N328)&amp;CHAR(34))</f>
        <v/>
      </c>
      <c r="AZ328" s="49">
        <f>IF(OR($A328="",$K328=""),"",$K328&amp;N($L328)&amp;$M328&amp;N($N328))</f>
        <v/>
      </c>
      <c r="BA328" s="49">
        <f>IF(OR($A328="",$K328=""),"",$K328*12+N($L328))</f>
        <v/>
      </c>
      <c r="BB328" s="49">
        <f>IF(OR($A328="",$M328=""),"",$M328*12+N($N328))</f>
        <v/>
      </c>
      <c r="BC328" s="49">
        <f>IF($A328="","",IF(OR($C328="FRAME ONLY",$S328="BL"),0,IF($O328="Y",2,1)))</f>
        <v/>
      </c>
      <c r="BD328" s="51">
        <f>IF(OR(N($BC328)=0,$BA328=""),"",($BA328-2*EdgeClr-IF($BC328=2,MeetClr,0))/$BC328)</f>
        <v/>
      </c>
      <c r="BE328" s="51">
        <f>IF(OR(N($BC328)=0,$BB328=""),"",$BB328-HeadClr-Undercut)</f>
        <v/>
      </c>
      <c r="BF328" s="51">
        <f>IF($BA328="","",$BA328+2*FaceW+IF(N($Q328)&gt;0,($Q328+FaceW)*IF($R328="LR",2,1),0))</f>
        <v/>
      </c>
      <c r="BG328" s="51">
        <f>IF($BB328="","",$BB328+IF($AB328="Y",4,FaceW)+IF(N($P328)&gt;0,$P328+FaceW,0)+IF(OR($S328="4F",$S328="BL"),FaceW,0))</f>
        <v/>
      </c>
      <c r="BH328" s="51">
        <f>IF($BF328="","",$BF328+2*ROSide)</f>
        <v/>
      </c>
      <c r="BI328" s="51">
        <f>IF($BG328="","",$BG328+ROTop)</f>
        <v/>
      </c>
      <c r="BJ328" s="52">
        <f>IF(OR(N($BC328)=0,$BA328=""),"",$BA328/$BC328-ClearDeduct)</f>
        <v/>
      </c>
      <c r="BK328" s="49">
        <f>IF(OR(N($BC328)=0,$BE328=""),"",IF(OR($AC328="HGC",$AP328="HGC"),"CONT",IF($BE328&lt;=60,2,IF($BE328&lt;=90,3,IF($BE328&lt;=120,4,5)))))</f>
        <v/>
      </c>
      <c r="BL328" s="49">
        <f>IF(N($BC328)=0,"",IF(OR($AL328="",$AL328="FLUSH"),"FLUSH",IFERROR(LEFT($AL328,FIND("-",$AL328)-1),LEFT($AL328,2))))</f>
        <v/>
      </c>
      <c r="BM328" s="49">
        <f>IF($BL328="","",IFERROR(VALUE(MID($AL328,FIND("-",$AL328)+1,FIND(CHAR(34)&amp;"x",$AL328)-FIND("-",$AL328)-1)),0))</f>
        <v/>
      </c>
      <c r="BN328" s="49">
        <f>IF($BL328="","",IFERROR(VALUE(MID($AL328,FIND(CHAR(34)&amp;"x",$AL328)+2,FIND(CHAR(34),$AL328,FIND(CHAR(34)&amp;"x",$AL328)+2)-FIND(CHAR(34)&amp;"x",$AL328)-2)),0))</f>
        <v/>
      </c>
      <c r="BO328" s="53">
        <f>IF(OR($A328="",$H328="",$H328="NO LAB"),0,IFERROR(VALUE(LEFT($H328,FIND(" ",$H328)-1)),0))</f>
        <v/>
      </c>
      <c r="BP328" s="54">
        <f>IF(OR($A328="",$I328="",$I328="NON-RATED",N($J328)=0),"",IFERROR(VLOOKUP($I328&amp;"|"&amp;$J328,IBC,2,FALSE),"?"))</f>
        <v/>
      </c>
      <c r="BQ328" s="50">
        <f>IF(NOT(AND($A328&lt;&gt;"",$C328&lt;&gt;"DOOR ONLY")),"",TRIM(IFERROR(VLOOKUP($U328,CODES,2,FALSE),"")&amp;" "&amp;$AZ328&amp;" "&amp;IFERROR(VLOOKUP($Z328,CODES,2,FALSE),"")&amp;" "&amp;IFERROR(VLOOKUP($X328,CODES,2,FALSE),"")&amp;" "&amp;IFERROR(VLOOKUP($S328,CODES,2,FALSE),"")&amp;IF(N($P328)&gt;0," w/TRANSOM "&amp;$P328&amp;CHAR(34),"")&amp;IF(N($Q328)&gt;0," w/SIDELITE "&amp;$Q328&amp;CHAR(34)&amp;" "&amp;IF($R328="","R",$R328),"")&amp;IF($Y328="","  |  "," | "&amp;IFERROR(VLOOKUP($Y328,CODES,2,FALSE),"")&amp;" | ")&amp;IFERROR(VLOOKUP($AC328,CODES,2,FALSE),"")&amp;" "&amp;IFERROR(VLOOKUP($AD328,CODES,2,FALSE),"")&amp;IF(OR($AE328="",$AE328="-"),""," "&amp;$AE328)&amp;IF(OR($AF328="",$AF328="-"),""," "&amp;$AF328)&amp;IF($AB328="Y"," 4"&amp;CHAR(34)&amp;" HEAD","")&amp;" "&amp;IFERROR(VLOOKUP($H328,CODES,2,FALSE),"")))</f>
        <v/>
      </c>
      <c r="BR328" s="50">
        <f>IF(NOT(AND($A328&lt;&gt;"",N($BC328)&gt;0)),"",TRIM(IFERROR(VLOOKUP($AH328,CODES,2,FALSE),"")&amp;IF($AI328=""," "," "&amp;$AI328&amp;"GA ")&amp;$AZ328&amp;" "&amp;IF($AN328="",IFERROR(VLOOKUP($Z328,CODES,2,FALSE),""),IFERROR(VLOOKUP($AN328,CODES,2,FALSE),""))&amp;IF($BC328=2," PAIR","")&amp;" DOOR | "&amp;IF($AL328="","?",$AL328)&amp;" | "&amp;IF($AP328="",IFERROR(VLOOKUP($AC328,CODES,2,FALSE),""),IFERROR(VLOOKUP($AP328,CODES,2,FALSE),""))&amp;" "&amp;IFERROR(VLOOKUP($AQ328,CODES,2,FALSE),"")&amp;IF(OR($AR328="",$AR328="-"),""," SEAM "&amp;$AR328)&amp;IF($AS328="Y"," ASTRAGAL","")&amp;IF($AJ328=""," "," "&amp;$AJ328)&amp;IF($AK328=""," "," "&amp;$AK328)&amp;IF($AO328="",""," "&amp;$AO328)&amp;IF($AM328=""," "," SERIES "&amp;$AM328)&amp;" "&amp;IFERROR(VLOOKUP($H328,CODES,2,FALSE),"")))</f>
        <v/>
      </c>
      <c r="BS328" s="49">
        <f>IF(BV328="","",IF(COUNTIF($BV$6:BV328,BV328)=1,MAX($BS$5:BS327)+1,INDEX($BS$5:BS327,MATCH(BV328,$BV$5:BV327,0))))</f>
        <v/>
      </c>
      <c r="BT328" s="49">
        <f>IF(NOT(AND($A328&lt;&gt;"",$C328&lt;&gt;"DOOR ONLY")),"",MAX($BT$5:BT327)+1)</f>
        <v/>
      </c>
      <c r="BU328" s="49">
        <f>IF(NOT(AND($A328&lt;&gt;"",N($BC328)&gt;0)),"",MAX($BU$5:BU327)+1)</f>
        <v/>
      </c>
      <c r="BV328" s="49">
        <f>IF(OR($A328="",$BA328="",$BB328=""),"",$AZ328&amp;"|"&amp;$O328&amp;"|"&amp;$AL328&amp;"|"&amp;$S328&amp;"|"&amp;$P328&amp;"|"&amp;$Q328&amp;$R328&amp;"|"&amp;$C328&amp;"|"&amp;$AB328)</f>
        <v/>
      </c>
      <c r="BW328" s="49">
        <f>IF($A328="","",IF($B328="","qty, ","")&amp;IF($C328="","scope, ","")&amp;IF(OR($K328="",$M328=""),"size, ","")&amp;IF(AND($A328&lt;&gt;"",$C328&lt;&gt;"DOOR ONLY"),IF($U328="","jamb depth, ","")&amp;IF($X328="","construction, ","")&amp;IF($Y328="","anchor, ","")&amp;IF($S328="","frame type, ",""),"")&amp;IF(AND(N($BC328)&gt;0,$Z328=""),"hand, ","")&amp;IF(N($BC328)&gt;0,IF($AH328="","door material, ","")&amp;IF($AL328="","face type, ","")&amp;IF($AQ328="","lock prep, ","")&amp;IF(AND($AP328="",$AC328=""),"hinge prep, ",""),"")&amp;IF(AND($BO328&gt;0,$AH328="FRP"),"FRP cannot carry a label, ","")&amp;IF(AND($O328="Y",OR($Z328="L",$Z328="R",$Z328="LR",$Z328="RR")),"pair marked but hand is single, ","")&amp;IF(AND($O328&lt;&gt;"Y",OR($Z328="PR",AND(LEN($Z328)&gt;1,ISNUMBER(SEARCH("-",$Z328))))),"pair hand on a single door, ","")&amp;IF(AND(ISNUMBER($BP328),$BO328&lt;N($BP328)),"wall needs a "&amp;$BP328&amp;" min door, ","")&amp;IF(AND($BO328&gt;=180,AND(OR($BL328="FG",$BL328="HG",$BL328="FNV",$BL328="FV"),N($BM328)*N($BN328)&gt;100)),"180 min lite over 100 sq in, ","")&amp;IF(N($BD328)&gt;48,"leaf wider than 4'-0"&amp;CHAR(34)&amp;", ",""))</f>
        <v/>
      </c>
      <c r="BX328" s="49">
        <f>IF($A328="","",IF(AND($BO328&gt;0,AND($A328&lt;&gt;"",$C328&lt;&gt;"DOOR ONLY"),$X328="KD",$E328="EXTERIOR"),"KD label on an exterior opening, ","")&amp;IF(AND($E328="EXTERIOR",OR(AND(AND($A328&lt;&gt;"",$C328&lt;&gt;"DOOR ONLY"),$W328="CR"),AND(N($BC328)&gt;0,$AH328="CR"))),"exterior in CR steel (G9?), ","")&amp;IF(AND(ISNUMBER($BJ328),N($BJ328)&lt;32),"clear width ~"&amp;TEXT($BJ328,"0.0")&amp;CHAR(34)&amp;" under 32"&amp;CHAR(34)&amp;" (ADA), ","")&amp;IF(AND($BO328=90,AND(OR($BL328="FG",$BL328="HG",$BL328="FNV",$BL328="FV"),N($BM328)*N($BN328)&gt;100)),"90 min lite over 100 sq in (stair/exit), ","")&amp;IF(AND($BO328&gt;0,AND($A328&lt;&gt;"",$C328&lt;&gt;"DOOR ONLY"),OR($AF328="",$AF328="-")),"rated: closer reinf.?, ","")&amp;IF(OR($I328="CORRIDOR",$I328="SMOKE BARRIER"),"S label + smoke gasketing, ","")&amp;IF($BP328="?","wall type/hr not in IBC table, ","")&amp;IF(AND(N($BC328)&gt;0,$AU328=""),"no hardware set, ","")&amp;IF(AND($AU328&lt;&gt;"",ISNA(MATCH($AU328,HWSets,0))),"set "&amp;$AU328&amp;" not on Hardware sheet, ","")&amp;IF(N($BE328)&gt;96,"leaf over 8'-0"&amp;CHAR(34)&amp;" - check listing, ",""))</f>
        <v/>
      </c>
    </row>
    <row r="329" ht="15" customHeight="1">
      <c r="A329" s="44" t="n"/>
      <c r="B329" s="45" t="n"/>
      <c r="C329" s="45" t="n"/>
      <c r="D329" s="45" t="n"/>
      <c r="E329" s="45" t="n"/>
      <c r="F329" s="45" t="n"/>
      <c r="G329" s="45" t="n"/>
      <c r="H329" s="45" t="n"/>
      <c r="I329" s="45" t="n"/>
      <c r="J329" s="45" t="n"/>
      <c r="K329" s="45" t="n"/>
      <c r="L329" s="45" t="n"/>
      <c r="M329" s="45" t="n"/>
      <c r="N329" s="45" t="n"/>
      <c r="O329" s="45" t="n"/>
      <c r="P329" s="45" t="n"/>
      <c r="Q329" s="45" t="n"/>
      <c r="R329" s="45" t="n"/>
      <c r="S329" s="46" t="n"/>
      <c r="T329" s="46" t="n"/>
      <c r="U329" s="46" t="n"/>
      <c r="V329" s="46" t="n"/>
      <c r="W329" s="46" t="n"/>
      <c r="X329" s="46" t="n"/>
      <c r="Y329" s="46" t="n"/>
      <c r="Z329" s="46" t="n"/>
      <c r="AA329" s="46" t="n"/>
      <c r="AB329" s="46" t="n"/>
      <c r="AC329" s="46" t="n"/>
      <c r="AD329" s="46" t="n"/>
      <c r="AE329" s="46" t="n"/>
      <c r="AF329" s="46" t="n"/>
      <c r="AG329" s="46" t="n"/>
      <c r="AH329" s="47" t="n"/>
      <c r="AI329" s="47" t="n"/>
      <c r="AJ329" s="47" t="n"/>
      <c r="AK329" s="47" t="n"/>
      <c r="AL329" s="47" t="n"/>
      <c r="AM329" s="47" t="n"/>
      <c r="AN329" s="47" t="n"/>
      <c r="AO329" s="47" t="n"/>
      <c r="AP329" s="47" t="n"/>
      <c r="AQ329" s="47" t="n"/>
      <c r="AR329" s="47" t="n"/>
      <c r="AS329" s="47" t="n"/>
      <c r="AT329" s="47" t="n"/>
      <c r="AU329" s="48" t="n"/>
      <c r="AV329" s="48" t="n"/>
      <c r="AW329" s="49">
        <f>IF($A329="","",IF($BW329&lt;&gt;"","FIX",IF($BX329&lt;&gt;"","CHECK","OK")))</f>
        <v/>
      </c>
      <c r="AX329" s="50">
        <f>IF($A329="","",IF($BW329&lt;&gt;"","FIX: "&amp;LEFT($BW329,LEN($BW329)-2)&amp;IF($BX329&lt;&gt;"","  ·  ",""),"")&amp;IF($BX329&lt;&gt;"","CHECK: "&amp;LEFT($BX329,LEN($BX329)-2),""))</f>
        <v/>
      </c>
      <c r="AY329" s="49">
        <f>IF(OR($A329="",$K329=""),"",$K329&amp;"'-"&amp;N($L329)&amp;CHAR(34)&amp;" x "&amp;$M329&amp;"'-"&amp;N($N329)&amp;CHAR(34))</f>
        <v/>
      </c>
      <c r="AZ329" s="49">
        <f>IF(OR($A329="",$K329=""),"",$K329&amp;N($L329)&amp;$M329&amp;N($N329))</f>
        <v/>
      </c>
      <c r="BA329" s="49">
        <f>IF(OR($A329="",$K329=""),"",$K329*12+N($L329))</f>
        <v/>
      </c>
      <c r="BB329" s="49">
        <f>IF(OR($A329="",$M329=""),"",$M329*12+N($N329))</f>
        <v/>
      </c>
      <c r="BC329" s="49">
        <f>IF($A329="","",IF(OR($C329="FRAME ONLY",$S329="BL"),0,IF($O329="Y",2,1)))</f>
        <v/>
      </c>
      <c r="BD329" s="51">
        <f>IF(OR(N($BC329)=0,$BA329=""),"",($BA329-2*EdgeClr-IF($BC329=2,MeetClr,0))/$BC329)</f>
        <v/>
      </c>
      <c r="BE329" s="51">
        <f>IF(OR(N($BC329)=0,$BB329=""),"",$BB329-HeadClr-Undercut)</f>
        <v/>
      </c>
      <c r="BF329" s="51">
        <f>IF($BA329="","",$BA329+2*FaceW+IF(N($Q329)&gt;0,($Q329+FaceW)*IF($R329="LR",2,1),0))</f>
        <v/>
      </c>
      <c r="BG329" s="51">
        <f>IF($BB329="","",$BB329+IF($AB329="Y",4,FaceW)+IF(N($P329)&gt;0,$P329+FaceW,0)+IF(OR($S329="4F",$S329="BL"),FaceW,0))</f>
        <v/>
      </c>
      <c r="BH329" s="51">
        <f>IF($BF329="","",$BF329+2*ROSide)</f>
        <v/>
      </c>
      <c r="BI329" s="51">
        <f>IF($BG329="","",$BG329+ROTop)</f>
        <v/>
      </c>
      <c r="BJ329" s="52">
        <f>IF(OR(N($BC329)=0,$BA329=""),"",$BA329/$BC329-ClearDeduct)</f>
        <v/>
      </c>
      <c r="BK329" s="49">
        <f>IF(OR(N($BC329)=0,$BE329=""),"",IF(OR($AC329="HGC",$AP329="HGC"),"CONT",IF($BE329&lt;=60,2,IF($BE329&lt;=90,3,IF($BE329&lt;=120,4,5)))))</f>
        <v/>
      </c>
      <c r="BL329" s="49">
        <f>IF(N($BC329)=0,"",IF(OR($AL329="",$AL329="FLUSH"),"FLUSH",IFERROR(LEFT($AL329,FIND("-",$AL329)-1),LEFT($AL329,2))))</f>
        <v/>
      </c>
      <c r="BM329" s="49">
        <f>IF($BL329="","",IFERROR(VALUE(MID($AL329,FIND("-",$AL329)+1,FIND(CHAR(34)&amp;"x",$AL329)-FIND("-",$AL329)-1)),0))</f>
        <v/>
      </c>
      <c r="BN329" s="49">
        <f>IF($BL329="","",IFERROR(VALUE(MID($AL329,FIND(CHAR(34)&amp;"x",$AL329)+2,FIND(CHAR(34),$AL329,FIND(CHAR(34)&amp;"x",$AL329)+2)-FIND(CHAR(34)&amp;"x",$AL329)-2)),0))</f>
        <v/>
      </c>
      <c r="BO329" s="53">
        <f>IF(OR($A329="",$H329="",$H329="NO LAB"),0,IFERROR(VALUE(LEFT($H329,FIND(" ",$H329)-1)),0))</f>
        <v/>
      </c>
      <c r="BP329" s="54">
        <f>IF(OR($A329="",$I329="",$I329="NON-RATED",N($J329)=0),"",IFERROR(VLOOKUP($I329&amp;"|"&amp;$J329,IBC,2,FALSE),"?"))</f>
        <v/>
      </c>
      <c r="BQ329" s="50">
        <f>IF(NOT(AND($A329&lt;&gt;"",$C329&lt;&gt;"DOOR ONLY")),"",TRIM(IFERROR(VLOOKUP($U329,CODES,2,FALSE),"")&amp;" "&amp;$AZ329&amp;" "&amp;IFERROR(VLOOKUP($Z329,CODES,2,FALSE),"")&amp;" "&amp;IFERROR(VLOOKUP($X329,CODES,2,FALSE),"")&amp;" "&amp;IFERROR(VLOOKUP($S329,CODES,2,FALSE),"")&amp;IF(N($P329)&gt;0," w/TRANSOM "&amp;$P329&amp;CHAR(34),"")&amp;IF(N($Q329)&gt;0," w/SIDELITE "&amp;$Q329&amp;CHAR(34)&amp;" "&amp;IF($R329="","R",$R329),"")&amp;IF($Y329="","  |  "," | "&amp;IFERROR(VLOOKUP($Y329,CODES,2,FALSE),"")&amp;" | ")&amp;IFERROR(VLOOKUP($AC329,CODES,2,FALSE),"")&amp;" "&amp;IFERROR(VLOOKUP($AD329,CODES,2,FALSE),"")&amp;IF(OR($AE329="",$AE329="-"),""," "&amp;$AE329)&amp;IF(OR($AF329="",$AF329="-"),""," "&amp;$AF329)&amp;IF($AB329="Y"," 4"&amp;CHAR(34)&amp;" HEAD","")&amp;" "&amp;IFERROR(VLOOKUP($H329,CODES,2,FALSE),"")))</f>
        <v/>
      </c>
      <c r="BR329" s="50">
        <f>IF(NOT(AND($A329&lt;&gt;"",N($BC329)&gt;0)),"",TRIM(IFERROR(VLOOKUP($AH329,CODES,2,FALSE),"")&amp;IF($AI329=""," "," "&amp;$AI329&amp;"GA ")&amp;$AZ329&amp;" "&amp;IF($AN329="",IFERROR(VLOOKUP($Z329,CODES,2,FALSE),""),IFERROR(VLOOKUP($AN329,CODES,2,FALSE),""))&amp;IF($BC329=2," PAIR","")&amp;" DOOR | "&amp;IF($AL329="","?",$AL329)&amp;" | "&amp;IF($AP329="",IFERROR(VLOOKUP($AC329,CODES,2,FALSE),""),IFERROR(VLOOKUP($AP329,CODES,2,FALSE),""))&amp;" "&amp;IFERROR(VLOOKUP($AQ329,CODES,2,FALSE),"")&amp;IF(OR($AR329="",$AR329="-"),""," SEAM "&amp;$AR329)&amp;IF($AS329="Y"," ASTRAGAL","")&amp;IF($AJ329=""," "," "&amp;$AJ329)&amp;IF($AK329=""," "," "&amp;$AK329)&amp;IF($AO329="",""," "&amp;$AO329)&amp;IF($AM329=""," "," SERIES "&amp;$AM329)&amp;" "&amp;IFERROR(VLOOKUP($H329,CODES,2,FALSE),"")))</f>
        <v/>
      </c>
      <c r="BS329" s="49">
        <f>IF(BV329="","",IF(COUNTIF($BV$6:BV329,BV329)=1,MAX($BS$5:BS328)+1,INDEX($BS$5:BS328,MATCH(BV329,$BV$5:BV328,0))))</f>
        <v/>
      </c>
      <c r="BT329" s="49">
        <f>IF(NOT(AND($A329&lt;&gt;"",$C329&lt;&gt;"DOOR ONLY")),"",MAX($BT$5:BT328)+1)</f>
        <v/>
      </c>
      <c r="BU329" s="49">
        <f>IF(NOT(AND($A329&lt;&gt;"",N($BC329)&gt;0)),"",MAX($BU$5:BU328)+1)</f>
        <v/>
      </c>
      <c r="BV329" s="49">
        <f>IF(OR($A329="",$BA329="",$BB329=""),"",$AZ329&amp;"|"&amp;$O329&amp;"|"&amp;$AL329&amp;"|"&amp;$S329&amp;"|"&amp;$P329&amp;"|"&amp;$Q329&amp;$R329&amp;"|"&amp;$C329&amp;"|"&amp;$AB329)</f>
        <v/>
      </c>
      <c r="BW329" s="49">
        <f>IF($A329="","",IF($B329="","qty, ","")&amp;IF($C329="","scope, ","")&amp;IF(OR($K329="",$M329=""),"size, ","")&amp;IF(AND($A329&lt;&gt;"",$C329&lt;&gt;"DOOR ONLY"),IF($U329="","jamb depth, ","")&amp;IF($X329="","construction, ","")&amp;IF($Y329="","anchor, ","")&amp;IF($S329="","frame type, ",""),"")&amp;IF(AND(N($BC329)&gt;0,$Z329=""),"hand, ","")&amp;IF(N($BC329)&gt;0,IF($AH329="","door material, ","")&amp;IF($AL329="","face type, ","")&amp;IF($AQ329="","lock prep, ","")&amp;IF(AND($AP329="",$AC329=""),"hinge prep, ",""),"")&amp;IF(AND($BO329&gt;0,$AH329="FRP"),"FRP cannot carry a label, ","")&amp;IF(AND($O329="Y",OR($Z329="L",$Z329="R",$Z329="LR",$Z329="RR")),"pair marked but hand is single, ","")&amp;IF(AND($O329&lt;&gt;"Y",OR($Z329="PR",AND(LEN($Z329)&gt;1,ISNUMBER(SEARCH("-",$Z329))))),"pair hand on a single door, ","")&amp;IF(AND(ISNUMBER($BP329),$BO329&lt;N($BP329)),"wall needs a "&amp;$BP329&amp;" min door, ","")&amp;IF(AND($BO329&gt;=180,AND(OR($BL329="FG",$BL329="HG",$BL329="FNV",$BL329="FV"),N($BM329)*N($BN329)&gt;100)),"180 min lite over 100 sq in, ","")&amp;IF(N($BD329)&gt;48,"leaf wider than 4'-0"&amp;CHAR(34)&amp;", ",""))</f>
        <v/>
      </c>
      <c r="BX329" s="49">
        <f>IF($A329="","",IF(AND($BO329&gt;0,AND($A329&lt;&gt;"",$C329&lt;&gt;"DOOR ONLY"),$X329="KD",$E329="EXTERIOR"),"KD label on an exterior opening, ","")&amp;IF(AND($E329="EXTERIOR",OR(AND(AND($A329&lt;&gt;"",$C329&lt;&gt;"DOOR ONLY"),$W329="CR"),AND(N($BC329)&gt;0,$AH329="CR"))),"exterior in CR steel (G9?), ","")&amp;IF(AND(ISNUMBER($BJ329),N($BJ329)&lt;32),"clear width ~"&amp;TEXT($BJ329,"0.0")&amp;CHAR(34)&amp;" under 32"&amp;CHAR(34)&amp;" (ADA), ","")&amp;IF(AND($BO329=90,AND(OR($BL329="FG",$BL329="HG",$BL329="FNV",$BL329="FV"),N($BM329)*N($BN329)&gt;100)),"90 min lite over 100 sq in (stair/exit), ","")&amp;IF(AND($BO329&gt;0,AND($A329&lt;&gt;"",$C329&lt;&gt;"DOOR ONLY"),OR($AF329="",$AF329="-")),"rated: closer reinf.?, ","")&amp;IF(OR($I329="CORRIDOR",$I329="SMOKE BARRIER"),"S label + smoke gasketing, ","")&amp;IF($BP329="?","wall type/hr not in IBC table, ","")&amp;IF(AND(N($BC329)&gt;0,$AU329=""),"no hardware set, ","")&amp;IF(AND($AU329&lt;&gt;"",ISNA(MATCH($AU329,HWSets,0))),"set "&amp;$AU329&amp;" not on Hardware sheet, ","")&amp;IF(N($BE329)&gt;96,"leaf over 8'-0"&amp;CHAR(34)&amp;" - check listing, ",""))</f>
        <v/>
      </c>
    </row>
    <row r="330" ht="15" customHeight="1">
      <c r="A330" s="44" t="n"/>
      <c r="B330" s="45" t="n"/>
      <c r="C330" s="45" t="n"/>
      <c r="D330" s="45" t="n"/>
      <c r="E330" s="45" t="n"/>
      <c r="F330" s="45" t="n"/>
      <c r="G330" s="45" t="n"/>
      <c r="H330" s="45" t="n"/>
      <c r="I330" s="45" t="n"/>
      <c r="J330" s="45" t="n"/>
      <c r="K330" s="45" t="n"/>
      <c r="L330" s="45" t="n"/>
      <c r="M330" s="45" t="n"/>
      <c r="N330" s="45" t="n"/>
      <c r="O330" s="45" t="n"/>
      <c r="P330" s="45" t="n"/>
      <c r="Q330" s="45" t="n"/>
      <c r="R330" s="45" t="n"/>
      <c r="S330" s="46" t="n"/>
      <c r="T330" s="46" t="n"/>
      <c r="U330" s="46" t="n"/>
      <c r="V330" s="46" t="n"/>
      <c r="W330" s="46" t="n"/>
      <c r="X330" s="46" t="n"/>
      <c r="Y330" s="46" t="n"/>
      <c r="Z330" s="46" t="n"/>
      <c r="AA330" s="46" t="n"/>
      <c r="AB330" s="46" t="n"/>
      <c r="AC330" s="46" t="n"/>
      <c r="AD330" s="46" t="n"/>
      <c r="AE330" s="46" t="n"/>
      <c r="AF330" s="46" t="n"/>
      <c r="AG330" s="46" t="n"/>
      <c r="AH330" s="47" t="n"/>
      <c r="AI330" s="47" t="n"/>
      <c r="AJ330" s="47" t="n"/>
      <c r="AK330" s="47" t="n"/>
      <c r="AL330" s="47" t="n"/>
      <c r="AM330" s="47" t="n"/>
      <c r="AN330" s="47" t="n"/>
      <c r="AO330" s="47" t="n"/>
      <c r="AP330" s="47" t="n"/>
      <c r="AQ330" s="47" t="n"/>
      <c r="AR330" s="47" t="n"/>
      <c r="AS330" s="47" t="n"/>
      <c r="AT330" s="47" t="n"/>
      <c r="AU330" s="48" t="n"/>
      <c r="AV330" s="48" t="n"/>
      <c r="AW330" s="49">
        <f>IF($A330="","",IF($BW330&lt;&gt;"","FIX",IF($BX330&lt;&gt;"","CHECK","OK")))</f>
        <v/>
      </c>
      <c r="AX330" s="50">
        <f>IF($A330="","",IF($BW330&lt;&gt;"","FIX: "&amp;LEFT($BW330,LEN($BW330)-2)&amp;IF($BX330&lt;&gt;"","  ·  ",""),"")&amp;IF($BX330&lt;&gt;"","CHECK: "&amp;LEFT($BX330,LEN($BX330)-2),""))</f>
        <v/>
      </c>
      <c r="AY330" s="49">
        <f>IF(OR($A330="",$K330=""),"",$K330&amp;"'-"&amp;N($L330)&amp;CHAR(34)&amp;" x "&amp;$M330&amp;"'-"&amp;N($N330)&amp;CHAR(34))</f>
        <v/>
      </c>
      <c r="AZ330" s="49">
        <f>IF(OR($A330="",$K330=""),"",$K330&amp;N($L330)&amp;$M330&amp;N($N330))</f>
        <v/>
      </c>
      <c r="BA330" s="49">
        <f>IF(OR($A330="",$K330=""),"",$K330*12+N($L330))</f>
        <v/>
      </c>
      <c r="BB330" s="49">
        <f>IF(OR($A330="",$M330=""),"",$M330*12+N($N330))</f>
        <v/>
      </c>
      <c r="BC330" s="49">
        <f>IF($A330="","",IF(OR($C330="FRAME ONLY",$S330="BL"),0,IF($O330="Y",2,1)))</f>
        <v/>
      </c>
      <c r="BD330" s="51">
        <f>IF(OR(N($BC330)=0,$BA330=""),"",($BA330-2*EdgeClr-IF($BC330=2,MeetClr,0))/$BC330)</f>
        <v/>
      </c>
      <c r="BE330" s="51">
        <f>IF(OR(N($BC330)=0,$BB330=""),"",$BB330-HeadClr-Undercut)</f>
        <v/>
      </c>
      <c r="BF330" s="51">
        <f>IF($BA330="","",$BA330+2*FaceW+IF(N($Q330)&gt;0,($Q330+FaceW)*IF($R330="LR",2,1),0))</f>
        <v/>
      </c>
      <c r="BG330" s="51">
        <f>IF($BB330="","",$BB330+IF($AB330="Y",4,FaceW)+IF(N($P330)&gt;0,$P330+FaceW,0)+IF(OR($S330="4F",$S330="BL"),FaceW,0))</f>
        <v/>
      </c>
      <c r="BH330" s="51">
        <f>IF($BF330="","",$BF330+2*ROSide)</f>
        <v/>
      </c>
      <c r="BI330" s="51">
        <f>IF($BG330="","",$BG330+ROTop)</f>
        <v/>
      </c>
      <c r="BJ330" s="52">
        <f>IF(OR(N($BC330)=0,$BA330=""),"",$BA330/$BC330-ClearDeduct)</f>
        <v/>
      </c>
      <c r="BK330" s="49">
        <f>IF(OR(N($BC330)=0,$BE330=""),"",IF(OR($AC330="HGC",$AP330="HGC"),"CONT",IF($BE330&lt;=60,2,IF($BE330&lt;=90,3,IF($BE330&lt;=120,4,5)))))</f>
        <v/>
      </c>
      <c r="BL330" s="49">
        <f>IF(N($BC330)=0,"",IF(OR($AL330="",$AL330="FLUSH"),"FLUSH",IFERROR(LEFT($AL330,FIND("-",$AL330)-1),LEFT($AL330,2))))</f>
        <v/>
      </c>
      <c r="BM330" s="49">
        <f>IF($BL330="","",IFERROR(VALUE(MID($AL330,FIND("-",$AL330)+1,FIND(CHAR(34)&amp;"x",$AL330)-FIND("-",$AL330)-1)),0))</f>
        <v/>
      </c>
      <c r="BN330" s="49">
        <f>IF($BL330="","",IFERROR(VALUE(MID($AL330,FIND(CHAR(34)&amp;"x",$AL330)+2,FIND(CHAR(34),$AL330,FIND(CHAR(34)&amp;"x",$AL330)+2)-FIND(CHAR(34)&amp;"x",$AL330)-2)),0))</f>
        <v/>
      </c>
      <c r="BO330" s="53">
        <f>IF(OR($A330="",$H330="",$H330="NO LAB"),0,IFERROR(VALUE(LEFT($H330,FIND(" ",$H330)-1)),0))</f>
        <v/>
      </c>
      <c r="BP330" s="54">
        <f>IF(OR($A330="",$I330="",$I330="NON-RATED",N($J330)=0),"",IFERROR(VLOOKUP($I330&amp;"|"&amp;$J330,IBC,2,FALSE),"?"))</f>
        <v/>
      </c>
      <c r="BQ330" s="50">
        <f>IF(NOT(AND($A330&lt;&gt;"",$C330&lt;&gt;"DOOR ONLY")),"",TRIM(IFERROR(VLOOKUP($U330,CODES,2,FALSE),"")&amp;" "&amp;$AZ330&amp;" "&amp;IFERROR(VLOOKUP($Z330,CODES,2,FALSE),"")&amp;" "&amp;IFERROR(VLOOKUP($X330,CODES,2,FALSE),"")&amp;" "&amp;IFERROR(VLOOKUP($S330,CODES,2,FALSE),"")&amp;IF(N($P330)&gt;0," w/TRANSOM "&amp;$P330&amp;CHAR(34),"")&amp;IF(N($Q330)&gt;0," w/SIDELITE "&amp;$Q330&amp;CHAR(34)&amp;" "&amp;IF($R330="","R",$R330),"")&amp;IF($Y330="","  |  "," | "&amp;IFERROR(VLOOKUP($Y330,CODES,2,FALSE),"")&amp;" | ")&amp;IFERROR(VLOOKUP($AC330,CODES,2,FALSE),"")&amp;" "&amp;IFERROR(VLOOKUP($AD330,CODES,2,FALSE),"")&amp;IF(OR($AE330="",$AE330="-"),""," "&amp;$AE330)&amp;IF(OR($AF330="",$AF330="-"),""," "&amp;$AF330)&amp;IF($AB330="Y"," 4"&amp;CHAR(34)&amp;" HEAD","")&amp;" "&amp;IFERROR(VLOOKUP($H330,CODES,2,FALSE),"")))</f>
        <v/>
      </c>
      <c r="BR330" s="50">
        <f>IF(NOT(AND($A330&lt;&gt;"",N($BC330)&gt;0)),"",TRIM(IFERROR(VLOOKUP($AH330,CODES,2,FALSE),"")&amp;IF($AI330=""," "," "&amp;$AI330&amp;"GA ")&amp;$AZ330&amp;" "&amp;IF($AN330="",IFERROR(VLOOKUP($Z330,CODES,2,FALSE),""),IFERROR(VLOOKUP($AN330,CODES,2,FALSE),""))&amp;IF($BC330=2," PAIR","")&amp;" DOOR | "&amp;IF($AL330="","?",$AL330)&amp;" | "&amp;IF($AP330="",IFERROR(VLOOKUP($AC330,CODES,2,FALSE),""),IFERROR(VLOOKUP($AP330,CODES,2,FALSE),""))&amp;" "&amp;IFERROR(VLOOKUP($AQ330,CODES,2,FALSE),"")&amp;IF(OR($AR330="",$AR330="-"),""," SEAM "&amp;$AR330)&amp;IF($AS330="Y"," ASTRAGAL","")&amp;IF($AJ330=""," "," "&amp;$AJ330)&amp;IF($AK330=""," "," "&amp;$AK330)&amp;IF($AO330="",""," "&amp;$AO330)&amp;IF($AM330=""," "," SERIES "&amp;$AM330)&amp;" "&amp;IFERROR(VLOOKUP($H330,CODES,2,FALSE),"")))</f>
        <v/>
      </c>
      <c r="BS330" s="49">
        <f>IF(BV330="","",IF(COUNTIF($BV$6:BV330,BV330)=1,MAX($BS$5:BS329)+1,INDEX($BS$5:BS329,MATCH(BV330,$BV$5:BV329,0))))</f>
        <v/>
      </c>
      <c r="BT330" s="49">
        <f>IF(NOT(AND($A330&lt;&gt;"",$C330&lt;&gt;"DOOR ONLY")),"",MAX($BT$5:BT329)+1)</f>
        <v/>
      </c>
      <c r="BU330" s="49">
        <f>IF(NOT(AND($A330&lt;&gt;"",N($BC330)&gt;0)),"",MAX($BU$5:BU329)+1)</f>
        <v/>
      </c>
      <c r="BV330" s="49">
        <f>IF(OR($A330="",$BA330="",$BB330=""),"",$AZ330&amp;"|"&amp;$O330&amp;"|"&amp;$AL330&amp;"|"&amp;$S330&amp;"|"&amp;$P330&amp;"|"&amp;$Q330&amp;$R330&amp;"|"&amp;$C330&amp;"|"&amp;$AB330)</f>
        <v/>
      </c>
      <c r="BW330" s="49">
        <f>IF($A330="","",IF($B330="","qty, ","")&amp;IF($C330="","scope, ","")&amp;IF(OR($K330="",$M330=""),"size, ","")&amp;IF(AND($A330&lt;&gt;"",$C330&lt;&gt;"DOOR ONLY"),IF($U330="","jamb depth, ","")&amp;IF($X330="","construction, ","")&amp;IF($Y330="","anchor, ","")&amp;IF($S330="","frame type, ",""),"")&amp;IF(AND(N($BC330)&gt;0,$Z330=""),"hand, ","")&amp;IF(N($BC330)&gt;0,IF($AH330="","door material, ","")&amp;IF($AL330="","face type, ","")&amp;IF($AQ330="","lock prep, ","")&amp;IF(AND($AP330="",$AC330=""),"hinge prep, ",""),"")&amp;IF(AND($BO330&gt;0,$AH330="FRP"),"FRP cannot carry a label, ","")&amp;IF(AND($O330="Y",OR($Z330="L",$Z330="R",$Z330="LR",$Z330="RR")),"pair marked but hand is single, ","")&amp;IF(AND($O330&lt;&gt;"Y",OR($Z330="PR",AND(LEN($Z330)&gt;1,ISNUMBER(SEARCH("-",$Z330))))),"pair hand on a single door, ","")&amp;IF(AND(ISNUMBER($BP330),$BO330&lt;N($BP330)),"wall needs a "&amp;$BP330&amp;" min door, ","")&amp;IF(AND($BO330&gt;=180,AND(OR($BL330="FG",$BL330="HG",$BL330="FNV",$BL330="FV"),N($BM330)*N($BN330)&gt;100)),"180 min lite over 100 sq in, ","")&amp;IF(N($BD330)&gt;48,"leaf wider than 4'-0"&amp;CHAR(34)&amp;", ",""))</f>
        <v/>
      </c>
      <c r="BX330" s="49">
        <f>IF($A330="","",IF(AND($BO330&gt;0,AND($A330&lt;&gt;"",$C330&lt;&gt;"DOOR ONLY"),$X330="KD",$E330="EXTERIOR"),"KD label on an exterior opening, ","")&amp;IF(AND($E330="EXTERIOR",OR(AND(AND($A330&lt;&gt;"",$C330&lt;&gt;"DOOR ONLY"),$W330="CR"),AND(N($BC330)&gt;0,$AH330="CR"))),"exterior in CR steel (G9?), ","")&amp;IF(AND(ISNUMBER($BJ330),N($BJ330)&lt;32),"clear width ~"&amp;TEXT($BJ330,"0.0")&amp;CHAR(34)&amp;" under 32"&amp;CHAR(34)&amp;" (ADA), ","")&amp;IF(AND($BO330=90,AND(OR($BL330="FG",$BL330="HG",$BL330="FNV",$BL330="FV"),N($BM330)*N($BN330)&gt;100)),"90 min lite over 100 sq in (stair/exit), ","")&amp;IF(AND($BO330&gt;0,AND($A330&lt;&gt;"",$C330&lt;&gt;"DOOR ONLY"),OR($AF330="",$AF330="-")),"rated: closer reinf.?, ","")&amp;IF(OR($I330="CORRIDOR",$I330="SMOKE BARRIER"),"S label + smoke gasketing, ","")&amp;IF($BP330="?","wall type/hr not in IBC table, ","")&amp;IF(AND(N($BC330)&gt;0,$AU330=""),"no hardware set, ","")&amp;IF(AND($AU330&lt;&gt;"",ISNA(MATCH($AU330,HWSets,0))),"set "&amp;$AU330&amp;" not on Hardware sheet, ","")&amp;IF(N($BE330)&gt;96,"leaf over 8'-0"&amp;CHAR(34)&amp;" - check listing, ",""))</f>
        <v/>
      </c>
    </row>
    <row r="331" ht="15" customHeight="1">
      <c r="A331" s="44" t="n"/>
      <c r="B331" s="45" t="n"/>
      <c r="C331" s="45" t="n"/>
      <c r="D331" s="45" t="n"/>
      <c r="E331" s="45" t="n"/>
      <c r="F331" s="45" t="n"/>
      <c r="G331" s="45" t="n"/>
      <c r="H331" s="45" t="n"/>
      <c r="I331" s="45" t="n"/>
      <c r="J331" s="45" t="n"/>
      <c r="K331" s="45" t="n"/>
      <c r="L331" s="45" t="n"/>
      <c r="M331" s="45" t="n"/>
      <c r="N331" s="45" t="n"/>
      <c r="O331" s="45" t="n"/>
      <c r="P331" s="45" t="n"/>
      <c r="Q331" s="45" t="n"/>
      <c r="R331" s="45" t="n"/>
      <c r="S331" s="46" t="n"/>
      <c r="T331" s="46" t="n"/>
      <c r="U331" s="46" t="n"/>
      <c r="V331" s="46" t="n"/>
      <c r="W331" s="46" t="n"/>
      <c r="X331" s="46" t="n"/>
      <c r="Y331" s="46" t="n"/>
      <c r="Z331" s="46" t="n"/>
      <c r="AA331" s="46" t="n"/>
      <c r="AB331" s="46" t="n"/>
      <c r="AC331" s="46" t="n"/>
      <c r="AD331" s="46" t="n"/>
      <c r="AE331" s="46" t="n"/>
      <c r="AF331" s="46" t="n"/>
      <c r="AG331" s="46" t="n"/>
      <c r="AH331" s="47" t="n"/>
      <c r="AI331" s="47" t="n"/>
      <c r="AJ331" s="47" t="n"/>
      <c r="AK331" s="47" t="n"/>
      <c r="AL331" s="47" t="n"/>
      <c r="AM331" s="47" t="n"/>
      <c r="AN331" s="47" t="n"/>
      <c r="AO331" s="47" t="n"/>
      <c r="AP331" s="47" t="n"/>
      <c r="AQ331" s="47" t="n"/>
      <c r="AR331" s="47" t="n"/>
      <c r="AS331" s="47" t="n"/>
      <c r="AT331" s="47" t="n"/>
      <c r="AU331" s="48" t="n"/>
      <c r="AV331" s="48" t="n"/>
      <c r="AW331" s="49">
        <f>IF($A331="","",IF($BW331&lt;&gt;"","FIX",IF($BX331&lt;&gt;"","CHECK","OK")))</f>
        <v/>
      </c>
      <c r="AX331" s="50">
        <f>IF($A331="","",IF($BW331&lt;&gt;"","FIX: "&amp;LEFT($BW331,LEN($BW331)-2)&amp;IF($BX331&lt;&gt;"","  ·  ",""),"")&amp;IF($BX331&lt;&gt;"","CHECK: "&amp;LEFT($BX331,LEN($BX331)-2),""))</f>
        <v/>
      </c>
      <c r="AY331" s="49">
        <f>IF(OR($A331="",$K331=""),"",$K331&amp;"'-"&amp;N($L331)&amp;CHAR(34)&amp;" x "&amp;$M331&amp;"'-"&amp;N($N331)&amp;CHAR(34))</f>
        <v/>
      </c>
      <c r="AZ331" s="49">
        <f>IF(OR($A331="",$K331=""),"",$K331&amp;N($L331)&amp;$M331&amp;N($N331))</f>
        <v/>
      </c>
      <c r="BA331" s="49">
        <f>IF(OR($A331="",$K331=""),"",$K331*12+N($L331))</f>
        <v/>
      </c>
      <c r="BB331" s="49">
        <f>IF(OR($A331="",$M331=""),"",$M331*12+N($N331))</f>
        <v/>
      </c>
      <c r="BC331" s="49">
        <f>IF($A331="","",IF(OR($C331="FRAME ONLY",$S331="BL"),0,IF($O331="Y",2,1)))</f>
        <v/>
      </c>
      <c r="BD331" s="51">
        <f>IF(OR(N($BC331)=0,$BA331=""),"",($BA331-2*EdgeClr-IF($BC331=2,MeetClr,0))/$BC331)</f>
        <v/>
      </c>
      <c r="BE331" s="51">
        <f>IF(OR(N($BC331)=0,$BB331=""),"",$BB331-HeadClr-Undercut)</f>
        <v/>
      </c>
      <c r="BF331" s="51">
        <f>IF($BA331="","",$BA331+2*FaceW+IF(N($Q331)&gt;0,($Q331+FaceW)*IF($R331="LR",2,1),0))</f>
        <v/>
      </c>
      <c r="BG331" s="51">
        <f>IF($BB331="","",$BB331+IF($AB331="Y",4,FaceW)+IF(N($P331)&gt;0,$P331+FaceW,0)+IF(OR($S331="4F",$S331="BL"),FaceW,0))</f>
        <v/>
      </c>
      <c r="BH331" s="51">
        <f>IF($BF331="","",$BF331+2*ROSide)</f>
        <v/>
      </c>
      <c r="BI331" s="51">
        <f>IF($BG331="","",$BG331+ROTop)</f>
        <v/>
      </c>
      <c r="BJ331" s="52">
        <f>IF(OR(N($BC331)=0,$BA331=""),"",$BA331/$BC331-ClearDeduct)</f>
        <v/>
      </c>
      <c r="BK331" s="49">
        <f>IF(OR(N($BC331)=0,$BE331=""),"",IF(OR($AC331="HGC",$AP331="HGC"),"CONT",IF($BE331&lt;=60,2,IF($BE331&lt;=90,3,IF($BE331&lt;=120,4,5)))))</f>
        <v/>
      </c>
      <c r="BL331" s="49">
        <f>IF(N($BC331)=0,"",IF(OR($AL331="",$AL331="FLUSH"),"FLUSH",IFERROR(LEFT($AL331,FIND("-",$AL331)-1),LEFT($AL331,2))))</f>
        <v/>
      </c>
      <c r="BM331" s="49">
        <f>IF($BL331="","",IFERROR(VALUE(MID($AL331,FIND("-",$AL331)+1,FIND(CHAR(34)&amp;"x",$AL331)-FIND("-",$AL331)-1)),0))</f>
        <v/>
      </c>
      <c r="BN331" s="49">
        <f>IF($BL331="","",IFERROR(VALUE(MID($AL331,FIND(CHAR(34)&amp;"x",$AL331)+2,FIND(CHAR(34),$AL331,FIND(CHAR(34)&amp;"x",$AL331)+2)-FIND(CHAR(34)&amp;"x",$AL331)-2)),0))</f>
        <v/>
      </c>
      <c r="BO331" s="53">
        <f>IF(OR($A331="",$H331="",$H331="NO LAB"),0,IFERROR(VALUE(LEFT($H331,FIND(" ",$H331)-1)),0))</f>
        <v/>
      </c>
      <c r="BP331" s="54">
        <f>IF(OR($A331="",$I331="",$I331="NON-RATED",N($J331)=0),"",IFERROR(VLOOKUP($I331&amp;"|"&amp;$J331,IBC,2,FALSE),"?"))</f>
        <v/>
      </c>
      <c r="BQ331" s="50">
        <f>IF(NOT(AND($A331&lt;&gt;"",$C331&lt;&gt;"DOOR ONLY")),"",TRIM(IFERROR(VLOOKUP($U331,CODES,2,FALSE),"")&amp;" "&amp;$AZ331&amp;" "&amp;IFERROR(VLOOKUP($Z331,CODES,2,FALSE),"")&amp;" "&amp;IFERROR(VLOOKUP($X331,CODES,2,FALSE),"")&amp;" "&amp;IFERROR(VLOOKUP($S331,CODES,2,FALSE),"")&amp;IF(N($P331)&gt;0," w/TRANSOM "&amp;$P331&amp;CHAR(34),"")&amp;IF(N($Q331)&gt;0," w/SIDELITE "&amp;$Q331&amp;CHAR(34)&amp;" "&amp;IF($R331="","R",$R331),"")&amp;IF($Y331="","  |  "," | "&amp;IFERROR(VLOOKUP($Y331,CODES,2,FALSE),"")&amp;" | ")&amp;IFERROR(VLOOKUP($AC331,CODES,2,FALSE),"")&amp;" "&amp;IFERROR(VLOOKUP($AD331,CODES,2,FALSE),"")&amp;IF(OR($AE331="",$AE331="-"),""," "&amp;$AE331)&amp;IF(OR($AF331="",$AF331="-"),""," "&amp;$AF331)&amp;IF($AB331="Y"," 4"&amp;CHAR(34)&amp;" HEAD","")&amp;" "&amp;IFERROR(VLOOKUP($H331,CODES,2,FALSE),"")))</f>
        <v/>
      </c>
      <c r="BR331" s="50">
        <f>IF(NOT(AND($A331&lt;&gt;"",N($BC331)&gt;0)),"",TRIM(IFERROR(VLOOKUP($AH331,CODES,2,FALSE),"")&amp;IF($AI331=""," "," "&amp;$AI331&amp;"GA ")&amp;$AZ331&amp;" "&amp;IF($AN331="",IFERROR(VLOOKUP($Z331,CODES,2,FALSE),""),IFERROR(VLOOKUP($AN331,CODES,2,FALSE),""))&amp;IF($BC331=2," PAIR","")&amp;" DOOR | "&amp;IF($AL331="","?",$AL331)&amp;" | "&amp;IF($AP331="",IFERROR(VLOOKUP($AC331,CODES,2,FALSE),""),IFERROR(VLOOKUP($AP331,CODES,2,FALSE),""))&amp;" "&amp;IFERROR(VLOOKUP($AQ331,CODES,2,FALSE),"")&amp;IF(OR($AR331="",$AR331="-"),""," SEAM "&amp;$AR331)&amp;IF($AS331="Y"," ASTRAGAL","")&amp;IF($AJ331=""," "," "&amp;$AJ331)&amp;IF($AK331=""," "," "&amp;$AK331)&amp;IF($AO331="",""," "&amp;$AO331)&amp;IF($AM331=""," "," SERIES "&amp;$AM331)&amp;" "&amp;IFERROR(VLOOKUP($H331,CODES,2,FALSE),"")))</f>
        <v/>
      </c>
      <c r="BS331" s="49">
        <f>IF(BV331="","",IF(COUNTIF($BV$6:BV331,BV331)=1,MAX($BS$5:BS330)+1,INDEX($BS$5:BS330,MATCH(BV331,$BV$5:BV330,0))))</f>
        <v/>
      </c>
      <c r="BT331" s="49">
        <f>IF(NOT(AND($A331&lt;&gt;"",$C331&lt;&gt;"DOOR ONLY")),"",MAX($BT$5:BT330)+1)</f>
        <v/>
      </c>
      <c r="BU331" s="49">
        <f>IF(NOT(AND($A331&lt;&gt;"",N($BC331)&gt;0)),"",MAX($BU$5:BU330)+1)</f>
        <v/>
      </c>
      <c r="BV331" s="49">
        <f>IF(OR($A331="",$BA331="",$BB331=""),"",$AZ331&amp;"|"&amp;$O331&amp;"|"&amp;$AL331&amp;"|"&amp;$S331&amp;"|"&amp;$P331&amp;"|"&amp;$Q331&amp;$R331&amp;"|"&amp;$C331&amp;"|"&amp;$AB331)</f>
        <v/>
      </c>
      <c r="BW331" s="49">
        <f>IF($A331="","",IF($B331="","qty, ","")&amp;IF($C331="","scope, ","")&amp;IF(OR($K331="",$M331=""),"size, ","")&amp;IF(AND($A331&lt;&gt;"",$C331&lt;&gt;"DOOR ONLY"),IF($U331="","jamb depth, ","")&amp;IF($X331="","construction, ","")&amp;IF($Y331="","anchor, ","")&amp;IF($S331="","frame type, ",""),"")&amp;IF(AND(N($BC331)&gt;0,$Z331=""),"hand, ","")&amp;IF(N($BC331)&gt;0,IF($AH331="","door material, ","")&amp;IF($AL331="","face type, ","")&amp;IF($AQ331="","lock prep, ","")&amp;IF(AND($AP331="",$AC331=""),"hinge prep, ",""),"")&amp;IF(AND($BO331&gt;0,$AH331="FRP"),"FRP cannot carry a label, ","")&amp;IF(AND($O331="Y",OR($Z331="L",$Z331="R",$Z331="LR",$Z331="RR")),"pair marked but hand is single, ","")&amp;IF(AND($O331&lt;&gt;"Y",OR($Z331="PR",AND(LEN($Z331)&gt;1,ISNUMBER(SEARCH("-",$Z331))))),"pair hand on a single door, ","")&amp;IF(AND(ISNUMBER($BP331),$BO331&lt;N($BP331)),"wall needs a "&amp;$BP331&amp;" min door, ","")&amp;IF(AND($BO331&gt;=180,AND(OR($BL331="FG",$BL331="HG",$BL331="FNV",$BL331="FV"),N($BM331)*N($BN331)&gt;100)),"180 min lite over 100 sq in, ","")&amp;IF(N($BD331)&gt;48,"leaf wider than 4'-0"&amp;CHAR(34)&amp;", ",""))</f>
        <v/>
      </c>
      <c r="BX331" s="49">
        <f>IF($A331="","",IF(AND($BO331&gt;0,AND($A331&lt;&gt;"",$C331&lt;&gt;"DOOR ONLY"),$X331="KD",$E331="EXTERIOR"),"KD label on an exterior opening, ","")&amp;IF(AND($E331="EXTERIOR",OR(AND(AND($A331&lt;&gt;"",$C331&lt;&gt;"DOOR ONLY"),$W331="CR"),AND(N($BC331)&gt;0,$AH331="CR"))),"exterior in CR steel (G9?), ","")&amp;IF(AND(ISNUMBER($BJ331),N($BJ331)&lt;32),"clear width ~"&amp;TEXT($BJ331,"0.0")&amp;CHAR(34)&amp;" under 32"&amp;CHAR(34)&amp;" (ADA), ","")&amp;IF(AND($BO331=90,AND(OR($BL331="FG",$BL331="HG",$BL331="FNV",$BL331="FV"),N($BM331)*N($BN331)&gt;100)),"90 min lite over 100 sq in (stair/exit), ","")&amp;IF(AND($BO331&gt;0,AND($A331&lt;&gt;"",$C331&lt;&gt;"DOOR ONLY"),OR($AF331="",$AF331="-")),"rated: closer reinf.?, ","")&amp;IF(OR($I331="CORRIDOR",$I331="SMOKE BARRIER"),"S label + smoke gasketing, ","")&amp;IF($BP331="?","wall type/hr not in IBC table, ","")&amp;IF(AND(N($BC331)&gt;0,$AU331=""),"no hardware set, ","")&amp;IF(AND($AU331&lt;&gt;"",ISNA(MATCH($AU331,HWSets,0))),"set "&amp;$AU331&amp;" not on Hardware sheet, ","")&amp;IF(N($BE331)&gt;96,"leaf over 8'-0"&amp;CHAR(34)&amp;" - check listing, ",""))</f>
        <v/>
      </c>
    </row>
    <row r="332" ht="15" customHeight="1">
      <c r="A332" s="44" t="n"/>
      <c r="B332" s="45" t="n"/>
      <c r="C332" s="45" t="n"/>
      <c r="D332" s="45" t="n"/>
      <c r="E332" s="45" t="n"/>
      <c r="F332" s="45" t="n"/>
      <c r="G332" s="45" t="n"/>
      <c r="H332" s="45" t="n"/>
      <c r="I332" s="45" t="n"/>
      <c r="J332" s="45" t="n"/>
      <c r="K332" s="45" t="n"/>
      <c r="L332" s="45" t="n"/>
      <c r="M332" s="45" t="n"/>
      <c r="N332" s="45" t="n"/>
      <c r="O332" s="45" t="n"/>
      <c r="P332" s="45" t="n"/>
      <c r="Q332" s="45" t="n"/>
      <c r="R332" s="45" t="n"/>
      <c r="S332" s="46" t="n"/>
      <c r="T332" s="46" t="n"/>
      <c r="U332" s="46" t="n"/>
      <c r="V332" s="46" t="n"/>
      <c r="W332" s="46" t="n"/>
      <c r="X332" s="46" t="n"/>
      <c r="Y332" s="46" t="n"/>
      <c r="Z332" s="46" t="n"/>
      <c r="AA332" s="46" t="n"/>
      <c r="AB332" s="46" t="n"/>
      <c r="AC332" s="46" t="n"/>
      <c r="AD332" s="46" t="n"/>
      <c r="AE332" s="46" t="n"/>
      <c r="AF332" s="46" t="n"/>
      <c r="AG332" s="46" t="n"/>
      <c r="AH332" s="47" t="n"/>
      <c r="AI332" s="47" t="n"/>
      <c r="AJ332" s="47" t="n"/>
      <c r="AK332" s="47" t="n"/>
      <c r="AL332" s="47" t="n"/>
      <c r="AM332" s="47" t="n"/>
      <c r="AN332" s="47" t="n"/>
      <c r="AO332" s="47" t="n"/>
      <c r="AP332" s="47" t="n"/>
      <c r="AQ332" s="47" t="n"/>
      <c r="AR332" s="47" t="n"/>
      <c r="AS332" s="47" t="n"/>
      <c r="AT332" s="47" t="n"/>
      <c r="AU332" s="48" t="n"/>
      <c r="AV332" s="48" t="n"/>
      <c r="AW332" s="49">
        <f>IF($A332="","",IF($BW332&lt;&gt;"","FIX",IF($BX332&lt;&gt;"","CHECK","OK")))</f>
        <v/>
      </c>
      <c r="AX332" s="50">
        <f>IF($A332="","",IF($BW332&lt;&gt;"","FIX: "&amp;LEFT($BW332,LEN($BW332)-2)&amp;IF($BX332&lt;&gt;"","  ·  ",""),"")&amp;IF($BX332&lt;&gt;"","CHECK: "&amp;LEFT($BX332,LEN($BX332)-2),""))</f>
        <v/>
      </c>
      <c r="AY332" s="49">
        <f>IF(OR($A332="",$K332=""),"",$K332&amp;"'-"&amp;N($L332)&amp;CHAR(34)&amp;" x "&amp;$M332&amp;"'-"&amp;N($N332)&amp;CHAR(34))</f>
        <v/>
      </c>
      <c r="AZ332" s="49">
        <f>IF(OR($A332="",$K332=""),"",$K332&amp;N($L332)&amp;$M332&amp;N($N332))</f>
        <v/>
      </c>
      <c r="BA332" s="49">
        <f>IF(OR($A332="",$K332=""),"",$K332*12+N($L332))</f>
        <v/>
      </c>
      <c r="BB332" s="49">
        <f>IF(OR($A332="",$M332=""),"",$M332*12+N($N332))</f>
        <v/>
      </c>
      <c r="BC332" s="49">
        <f>IF($A332="","",IF(OR($C332="FRAME ONLY",$S332="BL"),0,IF($O332="Y",2,1)))</f>
        <v/>
      </c>
      <c r="BD332" s="51">
        <f>IF(OR(N($BC332)=0,$BA332=""),"",($BA332-2*EdgeClr-IF($BC332=2,MeetClr,0))/$BC332)</f>
        <v/>
      </c>
      <c r="BE332" s="51">
        <f>IF(OR(N($BC332)=0,$BB332=""),"",$BB332-HeadClr-Undercut)</f>
        <v/>
      </c>
      <c r="BF332" s="51">
        <f>IF($BA332="","",$BA332+2*FaceW+IF(N($Q332)&gt;0,($Q332+FaceW)*IF($R332="LR",2,1),0))</f>
        <v/>
      </c>
      <c r="BG332" s="51">
        <f>IF($BB332="","",$BB332+IF($AB332="Y",4,FaceW)+IF(N($P332)&gt;0,$P332+FaceW,0)+IF(OR($S332="4F",$S332="BL"),FaceW,0))</f>
        <v/>
      </c>
      <c r="BH332" s="51">
        <f>IF($BF332="","",$BF332+2*ROSide)</f>
        <v/>
      </c>
      <c r="BI332" s="51">
        <f>IF($BG332="","",$BG332+ROTop)</f>
        <v/>
      </c>
      <c r="BJ332" s="52">
        <f>IF(OR(N($BC332)=0,$BA332=""),"",$BA332/$BC332-ClearDeduct)</f>
        <v/>
      </c>
      <c r="BK332" s="49">
        <f>IF(OR(N($BC332)=0,$BE332=""),"",IF(OR($AC332="HGC",$AP332="HGC"),"CONT",IF($BE332&lt;=60,2,IF($BE332&lt;=90,3,IF($BE332&lt;=120,4,5)))))</f>
        <v/>
      </c>
      <c r="BL332" s="49">
        <f>IF(N($BC332)=0,"",IF(OR($AL332="",$AL332="FLUSH"),"FLUSH",IFERROR(LEFT($AL332,FIND("-",$AL332)-1),LEFT($AL332,2))))</f>
        <v/>
      </c>
      <c r="BM332" s="49">
        <f>IF($BL332="","",IFERROR(VALUE(MID($AL332,FIND("-",$AL332)+1,FIND(CHAR(34)&amp;"x",$AL332)-FIND("-",$AL332)-1)),0))</f>
        <v/>
      </c>
      <c r="BN332" s="49">
        <f>IF($BL332="","",IFERROR(VALUE(MID($AL332,FIND(CHAR(34)&amp;"x",$AL332)+2,FIND(CHAR(34),$AL332,FIND(CHAR(34)&amp;"x",$AL332)+2)-FIND(CHAR(34)&amp;"x",$AL332)-2)),0))</f>
        <v/>
      </c>
      <c r="BO332" s="53">
        <f>IF(OR($A332="",$H332="",$H332="NO LAB"),0,IFERROR(VALUE(LEFT($H332,FIND(" ",$H332)-1)),0))</f>
        <v/>
      </c>
      <c r="BP332" s="54">
        <f>IF(OR($A332="",$I332="",$I332="NON-RATED",N($J332)=0),"",IFERROR(VLOOKUP($I332&amp;"|"&amp;$J332,IBC,2,FALSE),"?"))</f>
        <v/>
      </c>
      <c r="BQ332" s="50">
        <f>IF(NOT(AND($A332&lt;&gt;"",$C332&lt;&gt;"DOOR ONLY")),"",TRIM(IFERROR(VLOOKUP($U332,CODES,2,FALSE),"")&amp;" "&amp;$AZ332&amp;" "&amp;IFERROR(VLOOKUP($Z332,CODES,2,FALSE),"")&amp;" "&amp;IFERROR(VLOOKUP($X332,CODES,2,FALSE),"")&amp;" "&amp;IFERROR(VLOOKUP($S332,CODES,2,FALSE),"")&amp;IF(N($P332)&gt;0," w/TRANSOM "&amp;$P332&amp;CHAR(34),"")&amp;IF(N($Q332)&gt;0," w/SIDELITE "&amp;$Q332&amp;CHAR(34)&amp;" "&amp;IF($R332="","R",$R332),"")&amp;IF($Y332="","  |  "," | "&amp;IFERROR(VLOOKUP($Y332,CODES,2,FALSE),"")&amp;" | ")&amp;IFERROR(VLOOKUP($AC332,CODES,2,FALSE),"")&amp;" "&amp;IFERROR(VLOOKUP($AD332,CODES,2,FALSE),"")&amp;IF(OR($AE332="",$AE332="-"),""," "&amp;$AE332)&amp;IF(OR($AF332="",$AF332="-"),""," "&amp;$AF332)&amp;IF($AB332="Y"," 4"&amp;CHAR(34)&amp;" HEAD","")&amp;" "&amp;IFERROR(VLOOKUP($H332,CODES,2,FALSE),"")))</f>
        <v/>
      </c>
      <c r="BR332" s="50">
        <f>IF(NOT(AND($A332&lt;&gt;"",N($BC332)&gt;0)),"",TRIM(IFERROR(VLOOKUP($AH332,CODES,2,FALSE),"")&amp;IF($AI332=""," "," "&amp;$AI332&amp;"GA ")&amp;$AZ332&amp;" "&amp;IF($AN332="",IFERROR(VLOOKUP($Z332,CODES,2,FALSE),""),IFERROR(VLOOKUP($AN332,CODES,2,FALSE),""))&amp;IF($BC332=2," PAIR","")&amp;" DOOR | "&amp;IF($AL332="","?",$AL332)&amp;" | "&amp;IF($AP332="",IFERROR(VLOOKUP($AC332,CODES,2,FALSE),""),IFERROR(VLOOKUP($AP332,CODES,2,FALSE),""))&amp;" "&amp;IFERROR(VLOOKUP($AQ332,CODES,2,FALSE),"")&amp;IF(OR($AR332="",$AR332="-"),""," SEAM "&amp;$AR332)&amp;IF($AS332="Y"," ASTRAGAL","")&amp;IF($AJ332=""," "," "&amp;$AJ332)&amp;IF($AK332=""," "," "&amp;$AK332)&amp;IF($AO332="",""," "&amp;$AO332)&amp;IF($AM332=""," "," SERIES "&amp;$AM332)&amp;" "&amp;IFERROR(VLOOKUP($H332,CODES,2,FALSE),"")))</f>
        <v/>
      </c>
      <c r="BS332" s="49">
        <f>IF(BV332="","",IF(COUNTIF($BV$6:BV332,BV332)=1,MAX($BS$5:BS331)+1,INDEX($BS$5:BS331,MATCH(BV332,$BV$5:BV331,0))))</f>
        <v/>
      </c>
      <c r="BT332" s="49">
        <f>IF(NOT(AND($A332&lt;&gt;"",$C332&lt;&gt;"DOOR ONLY")),"",MAX($BT$5:BT331)+1)</f>
        <v/>
      </c>
      <c r="BU332" s="49">
        <f>IF(NOT(AND($A332&lt;&gt;"",N($BC332)&gt;0)),"",MAX($BU$5:BU331)+1)</f>
        <v/>
      </c>
      <c r="BV332" s="49">
        <f>IF(OR($A332="",$BA332="",$BB332=""),"",$AZ332&amp;"|"&amp;$O332&amp;"|"&amp;$AL332&amp;"|"&amp;$S332&amp;"|"&amp;$P332&amp;"|"&amp;$Q332&amp;$R332&amp;"|"&amp;$C332&amp;"|"&amp;$AB332)</f>
        <v/>
      </c>
      <c r="BW332" s="49">
        <f>IF($A332="","",IF($B332="","qty, ","")&amp;IF($C332="","scope, ","")&amp;IF(OR($K332="",$M332=""),"size, ","")&amp;IF(AND($A332&lt;&gt;"",$C332&lt;&gt;"DOOR ONLY"),IF($U332="","jamb depth, ","")&amp;IF($X332="","construction, ","")&amp;IF($Y332="","anchor, ","")&amp;IF($S332="","frame type, ",""),"")&amp;IF(AND(N($BC332)&gt;0,$Z332=""),"hand, ","")&amp;IF(N($BC332)&gt;0,IF($AH332="","door material, ","")&amp;IF($AL332="","face type, ","")&amp;IF($AQ332="","lock prep, ","")&amp;IF(AND($AP332="",$AC332=""),"hinge prep, ",""),"")&amp;IF(AND($BO332&gt;0,$AH332="FRP"),"FRP cannot carry a label, ","")&amp;IF(AND($O332="Y",OR($Z332="L",$Z332="R",$Z332="LR",$Z332="RR")),"pair marked but hand is single, ","")&amp;IF(AND($O332&lt;&gt;"Y",OR($Z332="PR",AND(LEN($Z332)&gt;1,ISNUMBER(SEARCH("-",$Z332))))),"pair hand on a single door, ","")&amp;IF(AND(ISNUMBER($BP332),$BO332&lt;N($BP332)),"wall needs a "&amp;$BP332&amp;" min door, ","")&amp;IF(AND($BO332&gt;=180,AND(OR($BL332="FG",$BL332="HG",$BL332="FNV",$BL332="FV"),N($BM332)*N($BN332)&gt;100)),"180 min lite over 100 sq in, ","")&amp;IF(N($BD332)&gt;48,"leaf wider than 4'-0"&amp;CHAR(34)&amp;", ",""))</f>
        <v/>
      </c>
      <c r="BX332" s="49">
        <f>IF($A332="","",IF(AND($BO332&gt;0,AND($A332&lt;&gt;"",$C332&lt;&gt;"DOOR ONLY"),$X332="KD",$E332="EXTERIOR"),"KD label on an exterior opening, ","")&amp;IF(AND($E332="EXTERIOR",OR(AND(AND($A332&lt;&gt;"",$C332&lt;&gt;"DOOR ONLY"),$W332="CR"),AND(N($BC332)&gt;0,$AH332="CR"))),"exterior in CR steel (G9?), ","")&amp;IF(AND(ISNUMBER($BJ332),N($BJ332)&lt;32),"clear width ~"&amp;TEXT($BJ332,"0.0")&amp;CHAR(34)&amp;" under 32"&amp;CHAR(34)&amp;" (ADA), ","")&amp;IF(AND($BO332=90,AND(OR($BL332="FG",$BL332="HG",$BL332="FNV",$BL332="FV"),N($BM332)*N($BN332)&gt;100)),"90 min lite over 100 sq in (stair/exit), ","")&amp;IF(AND($BO332&gt;0,AND($A332&lt;&gt;"",$C332&lt;&gt;"DOOR ONLY"),OR($AF332="",$AF332="-")),"rated: closer reinf.?, ","")&amp;IF(OR($I332="CORRIDOR",$I332="SMOKE BARRIER"),"S label + smoke gasketing, ","")&amp;IF($BP332="?","wall type/hr not in IBC table, ","")&amp;IF(AND(N($BC332)&gt;0,$AU332=""),"no hardware set, ","")&amp;IF(AND($AU332&lt;&gt;"",ISNA(MATCH($AU332,HWSets,0))),"set "&amp;$AU332&amp;" not on Hardware sheet, ","")&amp;IF(N($BE332)&gt;96,"leaf over 8'-0"&amp;CHAR(34)&amp;" - check listing, ",""))</f>
        <v/>
      </c>
    </row>
    <row r="333" ht="15" customHeight="1">
      <c r="A333" s="44" t="n"/>
      <c r="B333" s="45" t="n"/>
      <c r="C333" s="45" t="n"/>
      <c r="D333" s="45" t="n"/>
      <c r="E333" s="45" t="n"/>
      <c r="F333" s="45" t="n"/>
      <c r="G333" s="45" t="n"/>
      <c r="H333" s="45" t="n"/>
      <c r="I333" s="45" t="n"/>
      <c r="J333" s="45" t="n"/>
      <c r="K333" s="45" t="n"/>
      <c r="L333" s="45" t="n"/>
      <c r="M333" s="45" t="n"/>
      <c r="N333" s="45" t="n"/>
      <c r="O333" s="45" t="n"/>
      <c r="P333" s="45" t="n"/>
      <c r="Q333" s="45" t="n"/>
      <c r="R333" s="45" t="n"/>
      <c r="S333" s="46" t="n"/>
      <c r="T333" s="46" t="n"/>
      <c r="U333" s="46" t="n"/>
      <c r="V333" s="46" t="n"/>
      <c r="W333" s="46" t="n"/>
      <c r="X333" s="46" t="n"/>
      <c r="Y333" s="46" t="n"/>
      <c r="Z333" s="46" t="n"/>
      <c r="AA333" s="46" t="n"/>
      <c r="AB333" s="46" t="n"/>
      <c r="AC333" s="46" t="n"/>
      <c r="AD333" s="46" t="n"/>
      <c r="AE333" s="46" t="n"/>
      <c r="AF333" s="46" t="n"/>
      <c r="AG333" s="46" t="n"/>
      <c r="AH333" s="47" t="n"/>
      <c r="AI333" s="47" t="n"/>
      <c r="AJ333" s="47" t="n"/>
      <c r="AK333" s="47" t="n"/>
      <c r="AL333" s="47" t="n"/>
      <c r="AM333" s="47" t="n"/>
      <c r="AN333" s="47" t="n"/>
      <c r="AO333" s="47" t="n"/>
      <c r="AP333" s="47" t="n"/>
      <c r="AQ333" s="47" t="n"/>
      <c r="AR333" s="47" t="n"/>
      <c r="AS333" s="47" t="n"/>
      <c r="AT333" s="47" t="n"/>
      <c r="AU333" s="48" t="n"/>
      <c r="AV333" s="48" t="n"/>
      <c r="AW333" s="49">
        <f>IF($A333="","",IF($BW333&lt;&gt;"","FIX",IF($BX333&lt;&gt;"","CHECK","OK")))</f>
        <v/>
      </c>
      <c r="AX333" s="50">
        <f>IF($A333="","",IF($BW333&lt;&gt;"","FIX: "&amp;LEFT($BW333,LEN($BW333)-2)&amp;IF($BX333&lt;&gt;"","  ·  ",""),"")&amp;IF($BX333&lt;&gt;"","CHECK: "&amp;LEFT($BX333,LEN($BX333)-2),""))</f>
        <v/>
      </c>
      <c r="AY333" s="49">
        <f>IF(OR($A333="",$K333=""),"",$K333&amp;"'-"&amp;N($L333)&amp;CHAR(34)&amp;" x "&amp;$M333&amp;"'-"&amp;N($N333)&amp;CHAR(34))</f>
        <v/>
      </c>
      <c r="AZ333" s="49">
        <f>IF(OR($A333="",$K333=""),"",$K333&amp;N($L333)&amp;$M333&amp;N($N333))</f>
        <v/>
      </c>
      <c r="BA333" s="49">
        <f>IF(OR($A333="",$K333=""),"",$K333*12+N($L333))</f>
        <v/>
      </c>
      <c r="BB333" s="49">
        <f>IF(OR($A333="",$M333=""),"",$M333*12+N($N333))</f>
        <v/>
      </c>
      <c r="BC333" s="49">
        <f>IF($A333="","",IF(OR($C333="FRAME ONLY",$S333="BL"),0,IF($O333="Y",2,1)))</f>
        <v/>
      </c>
      <c r="BD333" s="51">
        <f>IF(OR(N($BC333)=0,$BA333=""),"",($BA333-2*EdgeClr-IF($BC333=2,MeetClr,0))/$BC333)</f>
        <v/>
      </c>
      <c r="BE333" s="51">
        <f>IF(OR(N($BC333)=0,$BB333=""),"",$BB333-HeadClr-Undercut)</f>
        <v/>
      </c>
      <c r="BF333" s="51">
        <f>IF($BA333="","",$BA333+2*FaceW+IF(N($Q333)&gt;0,($Q333+FaceW)*IF($R333="LR",2,1),0))</f>
        <v/>
      </c>
      <c r="BG333" s="51">
        <f>IF($BB333="","",$BB333+IF($AB333="Y",4,FaceW)+IF(N($P333)&gt;0,$P333+FaceW,0)+IF(OR($S333="4F",$S333="BL"),FaceW,0))</f>
        <v/>
      </c>
      <c r="BH333" s="51">
        <f>IF($BF333="","",$BF333+2*ROSide)</f>
        <v/>
      </c>
      <c r="BI333" s="51">
        <f>IF($BG333="","",$BG333+ROTop)</f>
        <v/>
      </c>
      <c r="BJ333" s="52">
        <f>IF(OR(N($BC333)=0,$BA333=""),"",$BA333/$BC333-ClearDeduct)</f>
        <v/>
      </c>
      <c r="BK333" s="49">
        <f>IF(OR(N($BC333)=0,$BE333=""),"",IF(OR($AC333="HGC",$AP333="HGC"),"CONT",IF($BE333&lt;=60,2,IF($BE333&lt;=90,3,IF($BE333&lt;=120,4,5)))))</f>
        <v/>
      </c>
      <c r="BL333" s="49">
        <f>IF(N($BC333)=0,"",IF(OR($AL333="",$AL333="FLUSH"),"FLUSH",IFERROR(LEFT($AL333,FIND("-",$AL333)-1),LEFT($AL333,2))))</f>
        <v/>
      </c>
      <c r="BM333" s="49">
        <f>IF($BL333="","",IFERROR(VALUE(MID($AL333,FIND("-",$AL333)+1,FIND(CHAR(34)&amp;"x",$AL333)-FIND("-",$AL333)-1)),0))</f>
        <v/>
      </c>
      <c r="BN333" s="49">
        <f>IF($BL333="","",IFERROR(VALUE(MID($AL333,FIND(CHAR(34)&amp;"x",$AL333)+2,FIND(CHAR(34),$AL333,FIND(CHAR(34)&amp;"x",$AL333)+2)-FIND(CHAR(34)&amp;"x",$AL333)-2)),0))</f>
        <v/>
      </c>
      <c r="BO333" s="53">
        <f>IF(OR($A333="",$H333="",$H333="NO LAB"),0,IFERROR(VALUE(LEFT($H333,FIND(" ",$H333)-1)),0))</f>
        <v/>
      </c>
      <c r="BP333" s="54">
        <f>IF(OR($A333="",$I333="",$I333="NON-RATED",N($J333)=0),"",IFERROR(VLOOKUP($I333&amp;"|"&amp;$J333,IBC,2,FALSE),"?"))</f>
        <v/>
      </c>
      <c r="BQ333" s="50">
        <f>IF(NOT(AND($A333&lt;&gt;"",$C333&lt;&gt;"DOOR ONLY")),"",TRIM(IFERROR(VLOOKUP($U333,CODES,2,FALSE),"")&amp;" "&amp;$AZ333&amp;" "&amp;IFERROR(VLOOKUP($Z333,CODES,2,FALSE),"")&amp;" "&amp;IFERROR(VLOOKUP($X333,CODES,2,FALSE),"")&amp;" "&amp;IFERROR(VLOOKUP($S333,CODES,2,FALSE),"")&amp;IF(N($P333)&gt;0," w/TRANSOM "&amp;$P333&amp;CHAR(34),"")&amp;IF(N($Q333)&gt;0," w/SIDELITE "&amp;$Q333&amp;CHAR(34)&amp;" "&amp;IF($R333="","R",$R333),"")&amp;IF($Y333="","  |  "," | "&amp;IFERROR(VLOOKUP($Y333,CODES,2,FALSE),"")&amp;" | ")&amp;IFERROR(VLOOKUP($AC333,CODES,2,FALSE),"")&amp;" "&amp;IFERROR(VLOOKUP($AD333,CODES,2,FALSE),"")&amp;IF(OR($AE333="",$AE333="-"),""," "&amp;$AE333)&amp;IF(OR($AF333="",$AF333="-"),""," "&amp;$AF333)&amp;IF($AB333="Y"," 4"&amp;CHAR(34)&amp;" HEAD","")&amp;" "&amp;IFERROR(VLOOKUP($H333,CODES,2,FALSE),"")))</f>
        <v/>
      </c>
      <c r="BR333" s="50">
        <f>IF(NOT(AND($A333&lt;&gt;"",N($BC333)&gt;0)),"",TRIM(IFERROR(VLOOKUP($AH333,CODES,2,FALSE),"")&amp;IF($AI333=""," "," "&amp;$AI333&amp;"GA ")&amp;$AZ333&amp;" "&amp;IF($AN333="",IFERROR(VLOOKUP($Z333,CODES,2,FALSE),""),IFERROR(VLOOKUP($AN333,CODES,2,FALSE),""))&amp;IF($BC333=2," PAIR","")&amp;" DOOR | "&amp;IF($AL333="","?",$AL333)&amp;" | "&amp;IF($AP333="",IFERROR(VLOOKUP($AC333,CODES,2,FALSE),""),IFERROR(VLOOKUP($AP333,CODES,2,FALSE),""))&amp;" "&amp;IFERROR(VLOOKUP($AQ333,CODES,2,FALSE),"")&amp;IF(OR($AR333="",$AR333="-"),""," SEAM "&amp;$AR333)&amp;IF($AS333="Y"," ASTRAGAL","")&amp;IF($AJ333=""," "," "&amp;$AJ333)&amp;IF($AK333=""," "," "&amp;$AK333)&amp;IF($AO333="",""," "&amp;$AO333)&amp;IF($AM333=""," "," SERIES "&amp;$AM333)&amp;" "&amp;IFERROR(VLOOKUP($H333,CODES,2,FALSE),"")))</f>
        <v/>
      </c>
      <c r="BS333" s="49">
        <f>IF(BV333="","",IF(COUNTIF($BV$6:BV333,BV333)=1,MAX($BS$5:BS332)+1,INDEX($BS$5:BS332,MATCH(BV333,$BV$5:BV332,0))))</f>
        <v/>
      </c>
      <c r="BT333" s="49">
        <f>IF(NOT(AND($A333&lt;&gt;"",$C333&lt;&gt;"DOOR ONLY")),"",MAX($BT$5:BT332)+1)</f>
        <v/>
      </c>
      <c r="BU333" s="49">
        <f>IF(NOT(AND($A333&lt;&gt;"",N($BC333)&gt;0)),"",MAX($BU$5:BU332)+1)</f>
        <v/>
      </c>
      <c r="BV333" s="49">
        <f>IF(OR($A333="",$BA333="",$BB333=""),"",$AZ333&amp;"|"&amp;$O333&amp;"|"&amp;$AL333&amp;"|"&amp;$S333&amp;"|"&amp;$P333&amp;"|"&amp;$Q333&amp;$R333&amp;"|"&amp;$C333&amp;"|"&amp;$AB333)</f>
        <v/>
      </c>
      <c r="BW333" s="49">
        <f>IF($A333="","",IF($B333="","qty, ","")&amp;IF($C333="","scope, ","")&amp;IF(OR($K333="",$M333=""),"size, ","")&amp;IF(AND($A333&lt;&gt;"",$C333&lt;&gt;"DOOR ONLY"),IF($U333="","jamb depth, ","")&amp;IF($X333="","construction, ","")&amp;IF($Y333="","anchor, ","")&amp;IF($S333="","frame type, ",""),"")&amp;IF(AND(N($BC333)&gt;0,$Z333=""),"hand, ","")&amp;IF(N($BC333)&gt;0,IF($AH333="","door material, ","")&amp;IF($AL333="","face type, ","")&amp;IF($AQ333="","lock prep, ","")&amp;IF(AND($AP333="",$AC333=""),"hinge prep, ",""),"")&amp;IF(AND($BO333&gt;0,$AH333="FRP"),"FRP cannot carry a label, ","")&amp;IF(AND($O333="Y",OR($Z333="L",$Z333="R",$Z333="LR",$Z333="RR")),"pair marked but hand is single, ","")&amp;IF(AND($O333&lt;&gt;"Y",OR($Z333="PR",AND(LEN($Z333)&gt;1,ISNUMBER(SEARCH("-",$Z333))))),"pair hand on a single door, ","")&amp;IF(AND(ISNUMBER($BP333),$BO333&lt;N($BP333)),"wall needs a "&amp;$BP333&amp;" min door, ","")&amp;IF(AND($BO333&gt;=180,AND(OR($BL333="FG",$BL333="HG",$BL333="FNV",$BL333="FV"),N($BM333)*N($BN333)&gt;100)),"180 min lite over 100 sq in, ","")&amp;IF(N($BD333)&gt;48,"leaf wider than 4'-0"&amp;CHAR(34)&amp;", ",""))</f>
        <v/>
      </c>
      <c r="BX333" s="49">
        <f>IF($A333="","",IF(AND($BO333&gt;0,AND($A333&lt;&gt;"",$C333&lt;&gt;"DOOR ONLY"),$X333="KD",$E333="EXTERIOR"),"KD label on an exterior opening, ","")&amp;IF(AND($E333="EXTERIOR",OR(AND(AND($A333&lt;&gt;"",$C333&lt;&gt;"DOOR ONLY"),$W333="CR"),AND(N($BC333)&gt;0,$AH333="CR"))),"exterior in CR steel (G9?), ","")&amp;IF(AND(ISNUMBER($BJ333),N($BJ333)&lt;32),"clear width ~"&amp;TEXT($BJ333,"0.0")&amp;CHAR(34)&amp;" under 32"&amp;CHAR(34)&amp;" (ADA), ","")&amp;IF(AND($BO333=90,AND(OR($BL333="FG",$BL333="HG",$BL333="FNV",$BL333="FV"),N($BM333)*N($BN333)&gt;100)),"90 min lite over 100 sq in (stair/exit), ","")&amp;IF(AND($BO333&gt;0,AND($A333&lt;&gt;"",$C333&lt;&gt;"DOOR ONLY"),OR($AF333="",$AF333="-")),"rated: closer reinf.?, ","")&amp;IF(OR($I333="CORRIDOR",$I333="SMOKE BARRIER"),"S label + smoke gasketing, ","")&amp;IF($BP333="?","wall type/hr not in IBC table, ","")&amp;IF(AND(N($BC333)&gt;0,$AU333=""),"no hardware set, ","")&amp;IF(AND($AU333&lt;&gt;"",ISNA(MATCH($AU333,HWSets,0))),"set "&amp;$AU333&amp;" not on Hardware sheet, ","")&amp;IF(N($BE333)&gt;96,"leaf over 8'-0"&amp;CHAR(34)&amp;" - check listing, ",""))</f>
        <v/>
      </c>
    </row>
    <row r="334" ht="15" customHeight="1">
      <c r="A334" s="44" t="n"/>
      <c r="B334" s="45" t="n"/>
      <c r="C334" s="45" t="n"/>
      <c r="D334" s="45" t="n"/>
      <c r="E334" s="45" t="n"/>
      <c r="F334" s="45" t="n"/>
      <c r="G334" s="45" t="n"/>
      <c r="H334" s="45" t="n"/>
      <c r="I334" s="45" t="n"/>
      <c r="J334" s="45" t="n"/>
      <c r="K334" s="45" t="n"/>
      <c r="L334" s="45" t="n"/>
      <c r="M334" s="45" t="n"/>
      <c r="N334" s="45" t="n"/>
      <c r="O334" s="45" t="n"/>
      <c r="P334" s="45" t="n"/>
      <c r="Q334" s="45" t="n"/>
      <c r="R334" s="45" t="n"/>
      <c r="S334" s="46" t="n"/>
      <c r="T334" s="46" t="n"/>
      <c r="U334" s="46" t="n"/>
      <c r="V334" s="46" t="n"/>
      <c r="W334" s="46" t="n"/>
      <c r="X334" s="46" t="n"/>
      <c r="Y334" s="46" t="n"/>
      <c r="Z334" s="46" t="n"/>
      <c r="AA334" s="46" t="n"/>
      <c r="AB334" s="46" t="n"/>
      <c r="AC334" s="46" t="n"/>
      <c r="AD334" s="46" t="n"/>
      <c r="AE334" s="46" t="n"/>
      <c r="AF334" s="46" t="n"/>
      <c r="AG334" s="46" t="n"/>
      <c r="AH334" s="47" t="n"/>
      <c r="AI334" s="47" t="n"/>
      <c r="AJ334" s="47" t="n"/>
      <c r="AK334" s="47" t="n"/>
      <c r="AL334" s="47" t="n"/>
      <c r="AM334" s="47" t="n"/>
      <c r="AN334" s="47" t="n"/>
      <c r="AO334" s="47" t="n"/>
      <c r="AP334" s="47" t="n"/>
      <c r="AQ334" s="47" t="n"/>
      <c r="AR334" s="47" t="n"/>
      <c r="AS334" s="47" t="n"/>
      <c r="AT334" s="47" t="n"/>
      <c r="AU334" s="48" t="n"/>
      <c r="AV334" s="48" t="n"/>
      <c r="AW334" s="49">
        <f>IF($A334="","",IF($BW334&lt;&gt;"","FIX",IF($BX334&lt;&gt;"","CHECK","OK")))</f>
        <v/>
      </c>
      <c r="AX334" s="50">
        <f>IF($A334="","",IF($BW334&lt;&gt;"","FIX: "&amp;LEFT($BW334,LEN($BW334)-2)&amp;IF($BX334&lt;&gt;"","  ·  ",""),"")&amp;IF($BX334&lt;&gt;"","CHECK: "&amp;LEFT($BX334,LEN($BX334)-2),""))</f>
        <v/>
      </c>
      <c r="AY334" s="49">
        <f>IF(OR($A334="",$K334=""),"",$K334&amp;"'-"&amp;N($L334)&amp;CHAR(34)&amp;" x "&amp;$M334&amp;"'-"&amp;N($N334)&amp;CHAR(34))</f>
        <v/>
      </c>
      <c r="AZ334" s="49">
        <f>IF(OR($A334="",$K334=""),"",$K334&amp;N($L334)&amp;$M334&amp;N($N334))</f>
        <v/>
      </c>
      <c r="BA334" s="49">
        <f>IF(OR($A334="",$K334=""),"",$K334*12+N($L334))</f>
        <v/>
      </c>
      <c r="BB334" s="49">
        <f>IF(OR($A334="",$M334=""),"",$M334*12+N($N334))</f>
        <v/>
      </c>
      <c r="BC334" s="49">
        <f>IF($A334="","",IF(OR($C334="FRAME ONLY",$S334="BL"),0,IF($O334="Y",2,1)))</f>
        <v/>
      </c>
      <c r="BD334" s="51">
        <f>IF(OR(N($BC334)=0,$BA334=""),"",($BA334-2*EdgeClr-IF($BC334=2,MeetClr,0))/$BC334)</f>
        <v/>
      </c>
      <c r="BE334" s="51">
        <f>IF(OR(N($BC334)=0,$BB334=""),"",$BB334-HeadClr-Undercut)</f>
        <v/>
      </c>
      <c r="BF334" s="51">
        <f>IF($BA334="","",$BA334+2*FaceW+IF(N($Q334)&gt;0,($Q334+FaceW)*IF($R334="LR",2,1),0))</f>
        <v/>
      </c>
      <c r="BG334" s="51">
        <f>IF($BB334="","",$BB334+IF($AB334="Y",4,FaceW)+IF(N($P334)&gt;0,$P334+FaceW,0)+IF(OR($S334="4F",$S334="BL"),FaceW,0))</f>
        <v/>
      </c>
      <c r="BH334" s="51">
        <f>IF($BF334="","",$BF334+2*ROSide)</f>
        <v/>
      </c>
      <c r="BI334" s="51">
        <f>IF($BG334="","",$BG334+ROTop)</f>
        <v/>
      </c>
      <c r="BJ334" s="52">
        <f>IF(OR(N($BC334)=0,$BA334=""),"",$BA334/$BC334-ClearDeduct)</f>
        <v/>
      </c>
      <c r="BK334" s="49">
        <f>IF(OR(N($BC334)=0,$BE334=""),"",IF(OR($AC334="HGC",$AP334="HGC"),"CONT",IF($BE334&lt;=60,2,IF($BE334&lt;=90,3,IF($BE334&lt;=120,4,5)))))</f>
        <v/>
      </c>
      <c r="BL334" s="49">
        <f>IF(N($BC334)=0,"",IF(OR($AL334="",$AL334="FLUSH"),"FLUSH",IFERROR(LEFT($AL334,FIND("-",$AL334)-1),LEFT($AL334,2))))</f>
        <v/>
      </c>
      <c r="BM334" s="49">
        <f>IF($BL334="","",IFERROR(VALUE(MID($AL334,FIND("-",$AL334)+1,FIND(CHAR(34)&amp;"x",$AL334)-FIND("-",$AL334)-1)),0))</f>
        <v/>
      </c>
      <c r="BN334" s="49">
        <f>IF($BL334="","",IFERROR(VALUE(MID($AL334,FIND(CHAR(34)&amp;"x",$AL334)+2,FIND(CHAR(34),$AL334,FIND(CHAR(34)&amp;"x",$AL334)+2)-FIND(CHAR(34)&amp;"x",$AL334)-2)),0))</f>
        <v/>
      </c>
      <c r="BO334" s="53">
        <f>IF(OR($A334="",$H334="",$H334="NO LAB"),0,IFERROR(VALUE(LEFT($H334,FIND(" ",$H334)-1)),0))</f>
        <v/>
      </c>
      <c r="BP334" s="54">
        <f>IF(OR($A334="",$I334="",$I334="NON-RATED",N($J334)=0),"",IFERROR(VLOOKUP($I334&amp;"|"&amp;$J334,IBC,2,FALSE),"?"))</f>
        <v/>
      </c>
      <c r="BQ334" s="50">
        <f>IF(NOT(AND($A334&lt;&gt;"",$C334&lt;&gt;"DOOR ONLY")),"",TRIM(IFERROR(VLOOKUP($U334,CODES,2,FALSE),"")&amp;" "&amp;$AZ334&amp;" "&amp;IFERROR(VLOOKUP($Z334,CODES,2,FALSE),"")&amp;" "&amp;IFERROR(VLOOKUP($X334,CODES,2,FALSE),"")&amp;" "&amp;IFERROR(VLOOKUP($S334,CODES,2,FALSE),"")&amp;IF(N($P334)&gt;0," w/TRANSOM "&amp;$P334&amp;CHAR(34),"")&amp;IF(N($Q334)&gt;0," w/SIDELITE "&amp;$Q334&amp;CHAR(34)&amp;" "&amp;IF($R334="","R",$R334),"")&amp;IF($Y334="","  |  "," | "&amp;IFERROR(VLOOKUP($Y334,CODES,2,FALSE),"")&amp;" | ")&amp;IFERROR(VLOOKUP($AC334,CODES,2,FALSE),"")&amp;" "&amp;IFERROR(VLOOKUP($AD334,CODES,2,FALSE),"")&amp;IF(OR($AE334="",$AE334="-"),""," "&amp;$AE334)&amp;IF(OR($AF334="",$AF334="-"),""," "&amp;$AF334)&amp;IF($AB334="Y"," 4"&amp;CHAR(34)&amp;" HEAD","")&amp;" "&amp;IFERROR(VLOOKUP($H334,CODES,2,FALSE),"")))</f>
        <v/>
      </c>
      <c r="BR334" s="50">
        <f>IF(NOT(AND($A334&lt;&gt;"",N($BC334)&gt;0)),"",TRIM(IFERROR(VLOOKUP($AH334,CODES,2,FALSE),"")&amp;IF($AI334=""," "," "&amp;$AI334&amp;"GA ")&amp;$AZ334&amp;" "&amp;IF($AN334="",IFERROR(VLOOKUP($Z334,CODES,2,FALSE),""),IFERROR(VLOOKUP($AN334,CODES,2,FALSE),""))&amp;IF($BC334=2," PAIR","")&amp;" DOOR | "&amp;IF($AL334="","?",$AL334)&amp;" | "&amp;IF($AP334="",IFERROR(VLOOKUP($AC334,CODES,2,FALSE),""),IFERROR(VLOOKUP($AP334,CODES,2,FALSE),""))&amp;" "&amp;IFERROR(VLOOKUP($AQ334,CODES,2,FALSE),"")&amp;IF(OR($AR334="",$AR334="-"),""," SEAM "&amp;$AR334)&amp;IF($AS334="Y"," ASTRAGAL","")&amp;IF($AJ334=""," "," "&amp;$AJ334)&amp;IF($AK334=""," "," "&amp;$AK334)&amp;IF($AO334="",""," "&amp;$AO334)&amp;IF($AM334=""," "," SERIES "&amp;$AM334)&amp;" "&amp;IFERROR(VLOOKUP($H334,CODES,2,FALSE),"")))</f>
        <v/>
      </c>
      <c r="BS334" s="49">
        <f>IF(BV334="","",IF(COUNTIF($BV$6:BV334,BV334)=1,MAX($BS$5:BS333)+1,INDEX($BS$5:BS333,MATCH(BV334,$BV$5:BV333,0))))</f>
        <v/>
      </c>
      <c r="BT334" s="49">
        <f>IF(NOT(AND($A334&lt;&gt;"",$C334&lt;&gt;"DOOR ONLY")),"",MAX($BT$5:BT333)+1)</f>
        <v/>
      </c>
      <c r="BU334" s="49">
        <f>IF(NOT(AND($A334&lt;&gt;"",N($BC334)&gt;0)),"",MAX($BU$5:BU333)+1)</f>
        <v/>
      </c>
      <c r="BV334" s="49">
        <f>IF(OR($A334="",$BA334="",$BB334=""),"",$AZ334&amp;"|"&amp;$O334&amp;"|"&amp;$AL334&amp;"|"&amp;$S334&amp;"|"&amp;$P334&amp;"|"&amp;$Q334&amp;$R334&amp;"|"&amp;$C334&amp;"|"&amp;$AB334)</f>
        <v/>
      </c>
      <c r="BW334" s="49">
        <f>IF($A334="","",IF($B334="","qty, ","")&amp;IF($C334="","scope, ","")&amp;IF(OR($K334="",$M334=""),"size, ","")&amp;IF(AND($A334&lt;&gt;"",$C334&lt;&gt;"DOOR ONLY"),IF($U334="","jamb depth, ","")&amp;IF($X334="","construction, ","")&amp;IF($Y334="","anchor, ","")&amp;IF($S334="","frame type, ",""),"")&amp;IF(AND(N($BC334)&gt;0,$Z334=""),"hand, ","")&amp;IF(N($BC334)&gt;0,IF($AH334="","door material, ","")&amp;IF($AL334="","face type, ","")&amp;IF($AQ334="","lock prep, ","")&amp;IF(AND($AP334="",$AC334=""),"hinge prep, ",""),"")&amp;IF(AND($BO334&gt;0,$AH334="FRP"),"FRP cannot carry a label, ","")&amp;IF(AND($O334="Y",OR($Z334="L",$Z334="R",$Z334="LR",$Z334="RR")),"pair marked but hand is single, ","")&amp;IF(AND($O334&lt;&gt;"Y",OR($Z334="PR",AND(LEN($Z334)&gt;1,ISNUMBER(SEARCH("-",$Z334))))),"pair hand on a single door, ","")&amp;IF(AND(ISNUMBER($BP334),$BO334&lt;N($BP334)),"wall needs a "&amp;$BP334&amp;" min door, ","")&amp;IF(AND($BO334&gt;=180,AND(OR($BL334="FG",$BL334="HG",$BL334="FNV",$BL334="FV"),N($BM334)*N($BN334)&gt;100)),"180 min lite over 100 sq in, ","")&amp;IF(N($BD334)&gt;48,"leaf wider than 4'-0"&amp;CHAR(34)&amp;", ",""))</f>
        <v/>
      </c>
      <c r="BX334" s="49">
        <f>IF($A334="","",IF(AND($BO334&gt;0,AND($A334&lt;&gt;"",$C334&lt;&gt;"DOOR ONLY"),$X334="KD",$E334="EXTERIOR"),"KD label on an exterior opening, ","")&amp;IF(AND($E334="EXTERIOR",OR(AND(AND($A334&lt;&gt;"",$C334&lt;&gt;"DOOR ONLY"),$W334="CR"),AND(N($BC334)&gt;0,$AH334="CR"))),"exterior in CR steel (G9?), ","")&amp;IF(AND(ISNUMBER($BJ334),N($BJ334)&lt;32),"clear width ~"&amp;TEXT($BJ334,"0.0")&amp;CHAR(34)&amp;" under 32"&amp;CHAR(34)&amp;" (ADA), ","")&amp;IF(AND($BO334=90,AND(OR($BL334="FG",$BL334="HG",$BL334="FNV",$BL334="FV"),N($BM334)*N($BN334)&gt;100)),"90 min lite over 100 sq in (stair/exit), ","")&amp;IF(AND($BO334&gt;0,AND($A334&lt;&gt;"",$C334&lt;&gt;"DOOR ONLY"),OR($AF334="",$AF334="-")),"rated: closer reinf.?, ","")&amp;IF(OR($I334="CORRIDOR",$I334="SMOKE BARRIER"),"S label + smoke gasketing, ","")&amp;IF($BP334="?","wall type/hr not in IBC table, ","")&amp;IF(AND(N($BC334)&gt;0,$AU334=""),"no hardware set, ","")&amp;IF(AND($AU334&lt;&gt;"",ISNA(MATCH($AU334,HWSets,0))),"set "&amp;$AU334&amp;" not on Hardware sheet, ","")&amp;IF(N($BE334)&gt;96,"leaf over 8'-0"&amp;CHAR(34)&amp;" - check listing, ",""))</f>
        <v/>
      </c>
    </row>
    <row r="335" ht="15" customHeight="1">
      <c r="A335" s="44" t="n"/>
      <c r="B335" s="45" t="n"/>
      <c r="C335" s="45" t="n"/>
      <c r="D335" s="45" t="n"/>
      <c r="E335" s="45" t="n"/>
      <c r="F335" s="45" t="n"/>
      <c r="G335" s="45" t="n"/>
      <c r="H335" s="45" t="n"/>
      <c r="I335" s="45" t="n"/>
      <c r="J335" s="45" t="n"/>
      <c r="K335" s="45" t="n"/>
      <c r="L335" s="45" t="n"/>
      <c r="M335" s="45" t="n"/>
      <c r="N335" s="45" t="n"/>
      <c r="O335" s="45" t="n"/>
      <c r="P335" s="45" t="n"/>
      <c r="Q335" s="45" t="n"/>
      <c r="R335" s="45" t="n"/>
      <c r="S335" s="46" t="n"/>
      <c r="T335" s="46" t="n"/>
      <c r="U335" s="46" t="n"/>
      <c r="V335" s="46" t="n"/>
      <c r="W335" s="46" t="n"/>
      <c r="X335" s="46" t="n"/>
      <c r="Y335" s="46" t="n"/>
      <c r="Z335" s="46" t="n"/>
      <c r="AA335" s="46" t="n"/>
      <c r="AB335" s="46" t="n"/>
      <c r="AC335" s="46" t="n"/>
      <c r="AD335" s="46" t="n"/>
      <c r="AE335" s="46" t="n"/>
      <c r="AF335" s="46" t="n"/>
      <c r="AG335" s="46" t="n"/>
      <c r="AH335" s="47" t="n"/>
      <c r="AI335" s="47" t="n"/>
      <c r="AJ335" s="47" t="n"/>
      <c r="AK335" s="47" t="n"/>
      <c r="AL335" s="47" t="n"/>
      <c r="AM335" s="47" t="n"/>
      <c r="AN335" s="47" t="n"/>
      <c r="AO335" s="47" t="n"/>
      <c r="AP335" s="47" t="n"/>
      <c r="AQ335" s="47" t="n"/>
      <c r="AR335" s="47" t="n"/>
      <c r="AS335" s="47" t="n"/>
      <c r="AT335" s="47" t="n"/>
      <c r="AU335" s="48" t="n"/>
      <c r="AV335" s="48" t="n"/>
      <c r="AW335" s="49">
        <f>IF($A335="","",IF($BW335&lt;&gt;"","FIX",IF($BX335&lt;&gt;"","CHECK","OK")))</f>
        <v/>
      </c>
      <c r="AX335" s="50">
        <f>IF($A335="","",IF($BW335&lt;&gt;"","FIX: "&amp;LEFT($BW335,LEN($BW335)-2)&amp;IF($BX335&lt;&gt;"","  ·  ",""),"")&amp;IF($BX335&lt;&gt;"","CHECK: "&amp;LEFT($BX335,LEN($BX335)-2),""))</f>
        <v/>
      </c>
      <c r="AY335" s="49">
        <f>IF(OR($A335="",$K335=""),"",$K335&amp;"'-"&amp;N($L335)&amp;CHAR(34)&amp;" x "&amp;$M335&amp;"'-"&amp;N($N335)&amp;CHAR(34))</f>
        <v/>
      </c>
      <c r="AZ335" s="49">
        <f>IF(OR($A335="",$K335=""),"",$K335&amp;N($L335)&amp;$M335&amp;N($N335))</f>
        <v/>
      </c>
      <c r="BA335" s="49">
        <f>IF(OR($A335="",$K335=""),"",$K335*12+N($L335))</f>
        <v/>
      </c>
      <c r="BB335" s="49">
        <f>IF(OR($A335="",$M335=""),"",$M335*12+N($N335))</f>
        <v/>
      </c>
      <c r="BC335" s="49">
        <f>IF($A335="","",IF(OR($C335="FRAME ONLY",$S335="BL"),0,IF($O335="Y",2,1)))</f>
        <v/>
      </c>
      <c r="BD335" s="51">
        <f>IF(OR(N($BC335)=0,$BA335=""),"",($BA335-2*EdgeClr-IF($BC335=2,MeetClr,0))/$BC335)</f>
        <v/>
      </c>
      <c r="BE335" s="51">
        <f>IF(OR(N($BC335)=0,$BB335=""),"",$BB335-HeadClr-Undercut)</f>
        <v/>
      </c>
      <c r="BF335" s="51">
        <f>IF($BA335="","",$BA335+2*FaceW+IF(N($Q335)&gt;0,($Q335+FaceW)*IF($R335="LR",2,1),0))</f>
        <v/>
      </c>
      <c r="BG335" s="51">
        <f>IF($BB335="","",$BB335+IF($AB335="Y",4,FaceW)+IF(N($P335)&gt;0,$P335+FaceW,0)+IF(OR($S335="4F",$S335="BL"),FaceW,0))</f>
        <v/>
      </c>
      <c r="BH335" s="51">
        <f>IF($BF335="","",$BF335+2*ROSide)</f>
        <v/>
      </c>
      <c r="BI335" s="51">
        <f>IF($BG335="","",$BG335+ROTop)</f>
        <v/>
      </c>
      <c r="BJ335" s="52">
        <f>IF(OR(N($BC335)=0,$BA335=""),"",$BA335/$BC335-ClearDeduct)</f>
        <v/>
      </c>
      <c r="BK335" s="49">
        <f>IF(OR(N($BC335)=0,$BE335=""),"",IF(OR($AC335="HGC",$AP335="HGC"),"CONT",IF($BE335&lt;=60,2,IF($BE335&lt;=90,3,IF($BE335&lt;=120,4,5)))))</f>
        <v/>
      </c>
      <c r="BL335" s="49">
        <f>IF(N($BC335)=0,"",IF(OR($AL335="",$AL335="FLUSH"),"FLUSH",IFERROR(LEFT($AL335,FIND("-",$AL335)-1),LEFT($AL335,2))))</f>
        <v/>
      </c>
      <c r="BM335" s="49">
        <f>IF($BL335="","",IFERROR(VALUE(MID($AL335,FIND("-",$AL335)+1,FIND(CHAR(34)&amp;"x",$AL335)-FIND("-",$AL335)-1)),0))</f>
        <v/>
      </c>
      <c r="BN335" s="49">
        <f>IF($BL335="","",IFERROR(VALUE(MID($AL335,FIND(CHAR(34)&amp;"x",$AL335)+2,FIND(CHAR(34),$AL335,FIND(CHAR(34)&amp;"x",$AL335)+2)-FIND(CHAR(34)&amp;"x",$AL335)-2)),0))</f>
        <v/>
      </c>
      <c r="BO335" s="53">
        <f>IF(OR($A335="",$H335="",$H335="NO LAB"),0,IFERROR(VALUE(LEFT($H335,FIND(" ",$H335)-1)),0))</f>
        <v/>
      </c>
      <c r="BP335" s="54">
        <f>IF(OR($A335="",$I335="",$I335="NON-RATED",N($J335)=0),"",IFERROR(VLOOKUP($I335&amp;"|"&amp;$J335,IBC,2,FALSE),"?"))</f>
        <v/>
      </c>
      <c r="BQ335" s="50">
        <f>IF(NOT(AND($A335&lt;&gt;"",$C335&lt;&gt;"DOOR ONLY")),"",TRIM(IFERROR(VLOOKUP($U335,CODES,2,FALSE),"")&amp;" "&amp;$AZ335&amp;" "&amp;IFERROR(VLOOKUP($Z335,CODES,2,FALSE),"")&amp;" "&amp;IFERROR(VLOOKUP($X335,CODES,2,FALSE),"")&amp;" "&amp;IFERROR(VLOOKUP($S335,CODES,2,FALSE),"")&amp;IF(N($P335)&gt;0," w/TRANSOM "&amp;$P335&amp;CHAR(34),"")&amp;IF(N($Q335)&gt;0," w/SIDELITE "&amp;$Q335&amp;CHAR(34)&amp;" "&amp;IF($R335="","R",$R335),"")&amp;IF($Y335="","  |  "," | "&amp;IFERROR(VLOOKUP($Y335,CODES,2,FALSE),"")&amp;" | ")&amp;IFERROR(VLOOKUP($AC335,CODES,2,FALSE),"")&amp;" "&amp;IFERROR(VLOOKUP($AD335,CODES,2,FALSE),"")&amp;IF(OR($AE335="",$AE335="-"),""," "&amp;$AE335)&amp;IF(OR($AF335="",$AF335="-"),""," "&amp;$AF335)&amp;IF($AB335="Y"," 4"&amp;CHAR(34)&amp;" HEAD","")&amp;" "&amp;IFERROR(VLOOKUP($H335,CODES,2,FALSE),"")))</f>
        <v/>
      </c>
      <c r="BR335" s="50">
        <f>IF(NOT(AND($A335&lt;&gt;"",N($BC335)&gt;0)),"",TRIM(IFERROR(VLOOKUP($AH335,CODES,2,FALSE),"")&amp;IF($AI335=""," "," "&amp;$AI335&amp;"GA ")&amp;$AZ335&amp;" "&amp;IF($AN335="",IFERROR(VLOOKUP($Z335,CODES,2,FALSE),""),IFERROR(VLOOKUP($AN335,CODES,2,FALSE),""))&amp;IF($BC335=2," PAIR","")&amp;" DOOR | "&amp;IF($AL335="","?",$AL335)&amp;" | "&amp;IF($AP335="",IFERROR(VLOOKUP($AC335,CODES,2,FALSE),""),IFERROR(VLOOKUP($AP335,CODES,2,FALSE),""))&amp;" "&amp;IFERROR(VLOOKUP($AQ335,CODES,2,FALSE),"")&amp;IF(OR($AR335="",$AR335="-"),""," SEAM "&amp;$AR335)&amp;IF($AS335="Y"," ASTRAGAL","")&amp;IF($AJ335=""," "," "&amp;$AJ335)&amp;IF($AK335=""," "," "&amp;$AK335)&amp;IF($AO335="",""," "&amp;$AO335)&amp;IF($AM335=""," "," SERIES "&amp;$AM335)&amp;" "&amp;IFERROR(VLOOKUP($H335,CODES,2,FALSE),"")))</f>
        <v/>
      </c>
      <c r="BS335" s="49">
        <f>IF(BV335="","",IF(COUNTIF($BV$6:BV335,BV335)=1,MAX($BS$5:BS334)+1,INDEX($BS$5:BS334,MATCH(BV335,$BV$5:BV334,0))))</f>
        <v/>
      </c>
      <c r="BT335" s="49">
        <f>IF(NOT(AND($A335&lt;&gt;"",$C335&lt;&gt;"DOOR ONLY")),"",MAX($BT$5:BT334)+1)</f>
        <v/>
      </c>
      <c r="BU335" s="49">
        <f>IF(NOT(AND($A335&lt;&gt;"",N($BC335)&gt;0)),"",MAX($BU$5:BU334)+1)</f>
        <v/>
      </c>
      <c r="BV335" s="49">
        <f>IF(OR($A335="",$BA335="",$BB335=""),"",$AZ335&amp;"|"&amp;$O335&amp;"|"&amp;$AL335&amp;"|"&amp;$S335&amp;"|"&amp;$P335&amp;"|"&amp;$Q335&amp;$R335&amp;"|"&amp;$C335&amp;"|"&amp;$AB335)</f>
        <v/>
      </c>
      <c r="BW335" s="49">
        <f>IF($A335="","",IF($B335="","qty, ","")&amp;IF($C335="","scope, ","")&amp;IF(OR($K335="",$M335=""),"size, ","")&amp;IF(AND($A335&lt;&gt;"",$C335&lt;&gt;"DOOR ONLY"),IF($U335="","jamb depth, ","")&amp;IF($X335="","construction, ","")&amp;IF($Y335="","anchor, ","")&amp;IF($S335="","frame type, ",""),"")&amp;IF(AND(N($BC335)&gt;0,$Z335=""),"hand, ","")&amp;IF(N($BC335)&gt;0,IF($AH335="","door material, ","")&amp;IF($AL335="","face type, ","")&amp;IF($AQ335="","lock prep, ","")&amp;IF(AND($AP335="",$AC335=""),"hinge prep, ",""),"")&amp;IF(AND($BO335&gt;0,$AH335="FRP"),"FRP cannot carry a label, ","")&amp;IF(AND($O335="Y",OR($Z335="L",$Z335="R",$Z335="LR",$Z335="RR")),"pair marked but hand is single, ","")&amp;IF(AND($O335&lt;&gt;"Y",OR($Z335="PR",AND(LEN($Z335)&gt;1,ISNUMBER(SEARCH("-",$Z335))))),"pair hand on a single door, ","")&amp;IF(AND(ISNUMBER($BP335),$BO335&lt;N($BP335)),"wall needs a "&amp;$BP335&amp;" min door, ","")&amp;IF(AND($BO335&gt;=180,AND(OR($BL335="FG",$BL335="HG",$BL335="FNV",$BL335="FV"),N($BM335)*N($BN335)&gt;100)),"180 min lite over 100 sq in, ","")&amp;IF(N($BD335)&gt;48,"leaf wider than 4'-0"&amp;CHAR(34)&amp;", ",""))</f>
        <v/>
      </c>
      <c r="BX335" s="49">
        <f>IF($A335="","",IF(AND($BO335&gt;0,AND($A335&lt;&gt;"",$C335&lt;&gt;"DOOR ONLY"),$X335="KD",$E335="EXTERIOR"),"KD label on an exterior opening, ","")&amp;IF(AND($E335="EXTERIOR",OR(AND(AND($A335&lt;&gt;"",$C335&lt;&gt;"DOOR ONLY"),$W335="CR"),AND(N($BC335)&gt;0,$AH335="CR"))),"exterior in CR steel (G9?), ","")&amp;IF(AND(ISNUMBER($BJ335),N($BJ335)&lt;32),"clear width ~"&amp;TEXT($BJ335,"0.0")&amp;CHAR(34)&amp;" under 32"&amp;CHAR(34)&amp;" (ADA), ","")&amp;IF(AND($BO335=90,AND(OR($BL335="FG",$BL335="HG",$BL335="FNV",$BL335="FV"),N($BM335)*N($BN335)&gt;100)),"90 min lite over 100 sq in (stair/exit), ","")&amp;IF(AND($BO335&gt;0,AND($A335&lt;&gt;"",$C335&lt;&gt;"DOOR ONLY"),OR($AF335="",$AF335="-")),"rated: closer reinf.?, ","")&amp;IF(OR($I335="CORRIDOR",$I335="SMOKE BARRIER"),"S label + smoke gasketing, ","")&amp;IF($BP335="?","wall type/hr not in IBC table, ","")&amp;IF(AND(N($BC335)&gt;0,$AU335=""),"no hardware set, ","")&amp;IF(AND($AU335&lt;&gt;"",ISNA(MATCH($AU335,HWSets,0))),"set "&amp;$AU335&amp;" not on Hardware sheet, ","")&amp;IF(N($BE335)&gt;96,"leaf over 8'-0"&amp;CHAR(34)&amp;" - check listing, ",""))</f>
        <v/>
      </c>
    </row>
    <row r="336" ht="15" customHeight="1">
      <c r="A336" s="44" t="n"/>
      <c r="B336" s="45" t="n"/>
      <c r="C336" s="45" t="n"/>
      <c r="D336" s="45" t="n"/>
      <c r="E336" s="45" t="n"/>
      <c r="F336" s="45" t="n"/>
      <c r="G336" s="45" t="n"/>
      <c r="H336" s="45" t="n"/>
      <c r="I336" s="45" t="n"/>
      <c r="J336" s="45" t="n"/>
      <c r="K336" s="45" t="n"/>
      <c r="L336" s="45" t="n"/>
      <c r="M336" s="45" t="n"/>
      <c r="N336" s="45" t="n"/>
      <c r="O336" s="45" t="n"/>
      <c r="P336" s="45" t="n"/>
      <c r="Q336" s="45" t="n"/>
      <c r="R336" s="45" t="n"/>
      <c r="S336" s="46" t="n"/>
      <c r="T336" s="46" t="n"/>
      <c r="U336" s="46" t="n"/>
      <c r="V336" s="46" t="n"/>
      <c r="W336" s="46" t="n"/>
      <c r="X336" s="46" t="n"/>
      <c r="Y336" s="46" t="n"/>
      <c r="Z336" s="46" t="n"/>
      <c r="AA336" s="46" t="n"/>
      <c r="AB336" s="46" t="n"/>
      <c r="AC336" s="46" t="n"/>
      <c r="AD336" s="46" t="n"/>
      <c r="AE336" s="46" t="n"/>
      <c r="AF336" s="46" t="n"/>
      <c r="AG336" s="46" t="n"/>
      <c r="AH336" s="47" t="n"/>
      <c r="AI336" s="47" t="n"/>
      <c r="AJ336" s="47" t="n"/>
      <c r="AK336" s="47" t="n"/>
      <c r="AL336" s="47" t="n"/>
      <c r="AM336" s="47" t="n"/>
      <c r="AN336" s="47" t="n"/>
      <c r="AO336" s="47" t="n"/>
      <c r="AP336" s="47" t="n"/>
      <c r="AQ336" s="47" t="n"/>
      <c r="AR336" s="47" t="n"/>
      <c r="AS336" s="47" t="n"/>
      <c r="AT336" s="47" t="n"/>
      <c r="AU336" s="48" t="n"/>
      <c r="AV336" s="48" t="n"/>
      <c r="AW336" s="49">
        <f>IF($A336="","",IF($BW336&lt;&gt;"","FIX",IF($BX336&lt;&gt;"","CHECK","OK")))</f>
        <v/>
      </c>
      <c r="AX336" s="50">
        <f>IF($A336="","",IF($BW336&lt;&gt;"","FIX: "&amp;LEFT($BW336,LEN($BW336)-2)&amp;IF($BX336&lt;&gt;"","  ·  ",""),"")&amp;IF($BX336&lt;&gt;"","CHECK: "&amp;LEFT($BX336,LEN($BX336)-2),""))</f>
        <v/>
      </c>
      <c r="AY336" s="49">
        <f>IF(OR($A336="",$K336=""),"",$K336&amp;"'-"&amp;N($L336)&amp;CHAR(34)&amp;" x "&amp;$M336&amp;"'-"&amp;N($N336)&amp;CHAR(34))</f>
        <v/>
      </c>
      <c r="AZ336" s="49">
        <f>IF(OR($A336="",$K336=""),"",$K336&amp;N($L336)&amp;$M336&amp;N($N336))</f>
        <v/>
      </c>
      <c r="BA336" s="49">
        <f>IF(OR($A336="",$K336=""),"",$K336*12+N($L336))</f>
        <v/>
      </c>
      <c r="BB336" s="49">
        <f>IF(OR($A336="",$M336=""),"",$M336*12+N($N336))</f>
        <v/>
      </c>
      <c r="BC336" s="49">
        <f>IF($A336="","",IF(OR($C336="FRAME ONLY",$S336="BL"),0,IF($O336="Y",2,1)))</f>
        <v/>
      </c>
      <c r="BD336" s="51">
        <f>IF(OR(N($BC336)=0,$BA336=""),"",($BA336-2*EdgeClr-IF($BC336=2,MeetClr,0))/$BC336)</f>
        <v/>
      </c>
      <c r="BE336" s="51">
        <f>IF(OR(N($BC336)=0,$BB336=""),"",$BB336-HeadClr-Undercut)</f>
        <v/>
      </c>
      <c r="BF336" s="51">
        <f>IF($BA336="","",$BA336+2*FaceW+IF(N($Q336)&gt;0,($Q336+FaceW)*IF($R336="LR",2,1),0))</f>
        <v/>
      </c>
      <c r="BG336" s="51">
        <f>IF($BB336="","",$BB336+IF($AB336="Y",4,FaceW)+IF(N($P336)&gt;0,$P336+FaceW,0)+IF(OR($S336="4F",$S336="BL"),FaceW,0))</f>
        <v/>
      </c>
      <c r="BH336" s="51">
        <f>IF($BF336="","",$BF336+2*ROSide)</f>
        <v/>
      </c>
      <c r="BI336" s="51">
        <f>IF($BG336="","",$BG336+ROTop)</f>
        <v/>
      </c>
      <c r="BJ336" s="52">
        <f>IF(OR(N($BC336)=0,$BA336=""),"",$BA336/$BC336-ClearDeduct)</f>
        <v/>
      </c>
      <c r="BK336" s="49">
        <f>IF(OR(N($BC336)=0,$BE336=""),"",IF(OR($AC336="HGC",$AP336="HGC"),"CONT",IF($BE336&lt;=60,2,IF($BE336&lt;=90,3,IF($BE336&lt;=120,4,5)))))</f>
        <v/>
      </c>
      <c r="BL336" s="49">
        <f>IF(N($BC336)=0,"",IF(OR($AL336="",$AL336="FLUSH"),"FLUSH",IFERROR(LEFT($AL336,FIND("-",$AL336)-1),LEFT($AL336,2))))</f>
        <v/>
      </c>
      <c r="BM336" s="49">
        <f>IF($BL336="","",IFERROR(VALUE(MID($AL336,FIND("-",$AL336)+1,FIND(CHAR(34)&amp;"x",$AL336)-FIND("-",$AL336)-1)),0))</f>
        <v/>
      </c>
      <c r="BN336" s="49">
        <f>IF($BL336="","",IFERROR(VALUE(MID($AL336,FIND(CHAR(34)&amp;"x",$AL336)+2,FIND(CHAR(34),$AL336,FIND(CHAR(34)&amp;"x",$AL336)+2)-FIND(CHAR(34)&amp;"x",$AL336)-2)),0))</f>
        <v/>
      </c>
      <c r="BO336" s="53">
        <f>IF(OR($A336="",$H336="",$H336="NO LAB"),0,IFERROR(VALUE(LEFT($H336,FIND(" ",$H336)-1)),0))</f>
        <v/>
      </c>
      <c r="BP336" s="54">
        <f>IF(OR($A336="",$I336="",$I336="NON-RATED",N($J336)=0),"",IFERROR(VLOOKUP($I336&amp;"|"&amp;$J336,IBC,2,FALSE),"?"))</f>
        <v/>
      </c>
      <c r="BQ336" s="50">
        <f>IF(NOT(AND($A336&lt;&gt;"",$C336&lt;&gt;"DOOR ONLY")),"",TRIM(IFERROR(VLOOKUP($U336,CODES,2,FALSE),"")&amp;" "&amp;$AZ336&amp;" "&amp;IFERROR(VLOOKUP($Z336,CODES,2,FALSE),"")&amp;" "&amp;IFERROR(VLOOKUP($X336,CODES,2,FALSE),"")&amp;" "&amp;IFERROR(VLOOKUP($S336,CODES,2,FALSE),"")&amp;IF(N($P336)&gt;0," w/TRANSOM "&amp;$P336&amp;CHAR(34),"")&amp;IF(N($Q336)&gt;0," w/SIDELITE "&amp;$Q336&amp;CHAR(34)&amp;" "&amp;IF($R336="","R",$R336),"")&amp;IF($Y336="","  |  "," | "&amp;IFERROR(VLOOKUP($Y336,CODES,2,FALSE),"")&amp;" | ")&amp;IFERROR(VLOOKUP($AC336,CODES,2,FALSE),"")&amp;" "&amp;IFERROR(VLOOKUP($AD336,CODES,2,FALSE),"")&amp;IF(OR($AE336="",$AE336="-"),""," "&amp;$AE336)&amp;IF(OR($AF336="",$AF336="-"),""," "&amp;$AF336)&amp;IF($AB336="Y"," 4"&amp;CHAR(34)&amp;" HEAD","")&amp;" "&amp;IFERROR(VLOOKUP($H336,CODES,2,FALSE),"")))</f>
        <v/>
      </c>
      <c r="BR336" s="50">
        <f>IF(NOT(AND($A336&lt;&gt;"",N($BC336)&gt;0)),"",TRIM(IFERROR(VLOOKUP($AH336,CODES,2,FALSE),"")&amp;IF($AI336=""," "," "&amp;$AI336&amp;"GA ")&amp;$AZ336&amp;" "&amp;IF($AN336="",IFERROR(VLOOKUP($Z336,CODES,2,FALSE),""),IFERROR(VLOOKUP($AN336,CODES,2,FALSE),""))&amp;IF($BC336=2," PAIR","")&amp;" DOOR | "&amp;IF($AL336="","?",$AL336)&amp;" | "&amp;IF($AP336="",IFERROR(VLOOKUP($AC336,CODES,2,FALSE),""),IFERROR(VLOOKUP($AP336,CODES,2,FALSE),""))&amp;" "&amp;IFERROR(VLOOKUP($AQ336,CODES,2,FALSE),"")&amp;IF(OR($AR336="",$AR336="-"),""," SEAM "&amp;$AR336)&amp;IF($AS336="Y"," ASTRAGAL","")&amp;IF($AJ336=""," "," "&amp;$AJ336)&amp;IF($AK336=""," "," "&amp;$AK336)&amp;IF($AO336="",""," "&amp;$AO336)&amp;IF($AM336=""," "," SERIES "&amp;$AM336)&amp;" "&amp;IFERROR(VLOOKUP($H336,CODES,2,FALSE),"")))</f>
        <v/>
      </c>
      <c r="BS336" s="49">
        <f>IF(BV336="","",IF(COUNTIF($BV$6:BV336,BV336)=1,MAX($BS$5:BS335)+1,INDEX($BS$5:BS335,MATCH(BV336,$BV$5:BV335,0))))</f>
        <v/>
      </c>
      <c r="BT336" s="49">
        <f>IF(NOT(AND($A336&lt;&gt;"",$C336&lt;&gt;"DOOR ONLY")),"",MAX($BT$5:BT335)+1)</f>
        <v/>
      </c>
      <c r="BU336" s="49">
        <f>IF(NOT(AND($A336&lt;&gt;"",N($BC336)&gt;0)),"",MAX($BU$5:BU335)+1)</f>
        <v/>
      </c>
      <c r="BV336" s="49">
        <f>IF(OR($A336="",$BA336="",$BB336=""),"",$AZ336&amp;"|"&amp;$O336&amp;"|"&amp;$AL336&amp;"|"&amp;$S336&amp;"|"&amp;$P336&amp;"|"&amp;$Q336&amp;$R336&amp;"|"&amp;$C336&amp;"|"&amp;$AB336)</f>
        <v/>
      </c>
      <c r="BW336" s="49">
        <f>IF($A336="","",IF($B336="","qty, ","")&amp;IF($C336="","scope, ","")&amp;IF(OR($K336="",$M336=""),"size, ","")&amp;IF(AND($A336&lt;&gt;"",$C336&lt;&gt;"DOOR ONLY"),IF($U336="","jamb depth, ","")&amp;IF($X336="","construction, ","")&amp;IF($Y336="","anchor, ","")&amp;IF($S336="","frame type, ",""),"")&amp;IF(AND(N($BC336)&gt;0,$Z336=""),"hand, ","")&amp;IF(N($BC336)&gt;0,IF($AH336="","door material, ","")&amp;IF($AL336="","face type, ","")&amp;IF($AQ336="","lock prep, ","")&amp;IF(AND($AP336="",$AC336=""),"hinge prep, ",""),"")&amp;IF(AND($BO336&gt;0,$AH336="FRP"),"FRP cannot carry a label, ","")&amp;IF(AND($O336="Y",OR($Z336="L",$Z336="R",$Z336="LR",$Z336="RR")),"pair marked but hand is single, ","")&amp;IF(AND($O336&lt;&gt;"Y",OR($Z336="PR",AND(LEN($Z336)&gt;1,ISNUMBER(SEARCH("-",$Z336))))),"pair hand on a single door, ","")&amp;IF(AND(ISNUMBER($BP336),$BO336&lt;N($BP336)),"wall needs a "&amp;$BP336&amp;" min door, ","")&amp;IF(AND($BO336&gt;=180,AND(OR($BL336="FG",$BL336="HG",$BL336="FNV",$BL336="FV"),N($BM336)*N($BN336)&gt;100)),"180 min lite over 100 sq in, ","")&amp;IF(N($BD336)&gt;48,"leaf wider than 4'-0"&amp;CHAR(34)&amp;", ",""))</f>
        <v/>
      </c>
      <c r="BX336" s="49">
        <f>IF($A336="","",IF(AND($BO336&gt;0,AND($A336&lt;&gt;"",$C336&lt;&gt;"DOOR ONLY"),$X336="KD",$E336="EXTERIOR"),"KD label on an exterior opening, ","")&amp;IF(AND($E336="EXTERIOR",OR(AND(AND($A336&lt;&gt;"",$C336&lt;&gt;"DOOR ONLY"),$W336="CR"),AND(N($BC336)&gt;0,$AH336="CR"))),"exterior in CR steel (G9?), ","")&amp;IF(AND(ISNUMBER($BJ336),N($BJ336)&lt;32),"clear width ~"&amp;TEXT($BJ336,"0.0")&amp;CHAR(34)&amp;" under 32"&amp;CHAR(34)&amp;" (ADA), ","")&amp;IF(AND($BO336=90,AND(OR($BL336="FG",$BL336="HG",$BL336="FNV",$BL336="FV"),N($BM336)*N($BN336)&gt;100)),"90 min lite over 100 sq in (stair/exit), ","")&amp;IF(AND($BO336&gt;0,AND($A336&lt;&gt;"",$C336&lt;&gt;"DOOR ONLY"),OR($AF336="",$AF336="-")),"rated: closer reinf.?, ","")&amp;IF(OR($I336="CORRIDOR",$I336="SMOKE BARRIER"),"S label + smoke gasketing, ","")&amp;IF($BP336="?","wall type/hr not in IBC table, ","")&amp;IF(AND(N($BC336)&gt;0,$AU336=""),"no hardware set, ","")&amp;IF(AND($AU336&lt;&gt;"",ISNA(MATCH($AU336,HWSets,0))),"set "&amp;$AU336&amp;" not on Hardware sheet, ","")&amp;IF(N($BE336)&gt;96,"leaf over 8'-0"&amp;CHAR(34)&amp;" - check listing, ",""))</f>
        <v/>
      </c>
    </row>
    <row r="337" ht="15" customHeight="1">
      <c r="A337" s="44" t="n"/>
      <c r="B337" s="45" t="n"/>
      <c r="C337" s="45" t="n"/>
      <c r="D337" s="45" t="n"/>
      <c r="E337" s="45" t="n"/>
      <c r="F337" s="45" t="n"/>
      <c r="G337" s="45" t="n"/>
      <c r="H337" s="45" t="n"/>
      <c r="I337" s="45" t="n"/>
      <c r="J337" s="45" t="n"/>
      <c r="K337" s="45" t="n"/>
      <c r="L337" s="45" t="n"/>
      <c r="M337" s="45" t="n"/>
      <c r="N337" s="45" t="n"/>
      <c r="O337" s="45" t="n"/>
      <c r="P337" s="45" t="n"/>
      <c r="Q337" s="45" t="n"/>
      <c r="R337" s="45" t="n"/>
      <c r="S337" s="46" t="n"/>
      <c r="T337" s="46" t="n"/>
      <c r="U337" s="46" t="n"/>
      <c r="V337" s="46" t="n"/>
      <c r="W337" s="46" t="n"/>
      <c r="X337" s="46" t="n"/>
      <c r="Y337" s="46" t="n"/>
      <c r="Z337" s="46" t="n"/>
      <c r="AA337" s="46" t="n"/>
      <c r="AB337" s="46" t="n"/>
      <c r="AC337" s="46" t="n"/>
      <c r="AD337" s="46" t="n"/>
      <c r="AE337" s="46" t="n"/>
      <c r="AF337" s="46" t="n"/>
      <c r="AG337" s="46" t="n"/>
      <c r="AH337" s="47" t="n"/>
      <c r="AI337" s="47" t="n"/>
      <c r="AJ337" s="47" t="n"/>
      <c r="AK337" s="47" t="n"/>
      <c r="AL337" s="47" t="n"/>
      <c r="AM337" s="47" t="n"/>
      <c r="AN337" s="47" t="n"/>
      <c r="AO337" s="47" t="n"/>
      <c r="AP337" s="47" t="n"/>
      <c r="AQ337" s="47" t="n"/>
      <c r="AR337" s="47" t="n"/>
      <c r="AS337" s="47" t="n"/>
      <c r="AT337" s="47" t="n"/>
      <c r="AU337" s="48" t="n"/>
      <c r="AV337" s="48" t="n"/>
      <c r="AW337" s="49">
        <f>IF($A337="","",IF($BW337&lt;&gt;"","FIX",IF($BX337&lt;&gt;"","CHECK","OK")))</f>
        <v/>
      </c>
      <c r="AX337" s="50">
        <f>IF($A337="","",IF($BW337&lt;&gt;"","FIX: "&amp;LEFT($BW337,LEN($BW337)-2)&amp;IF($BX337&lt;&gt;"","  ·  ",""),"")&amp;IF($BX337&lt;&gt;"","CHECK: "&amp;LEFT($BX337,LEN($BX337)-2),""))</f>
        <v/>
      </c>
      <c r="AY337" s="49">
        <f>IF(OR($A337="",$K337=""),"",$K337&amp;"'-"&amp;N($L337)&amp;CHAR(34)&amp;" x "&amp;$M337&amp;"'-"&amp;N($N337)&amp;CHAR(34))</f>
        <v/>
      </c>
      <c r="AZ337" s="49">
        <f>IF(OR($A337="",$K337=""),"",$K337&amp;N($L337)&amp;$M337&amp;N($N337))</f>
        <v/>
      </c>
      <c r="BA337" s="49">
        <f>IF(OR($A337="",$K337=""),"",$K337*12+N($L337))</f>
        <v/>
      </c>
      <c r="BB337" s="49">
        <f>IF(OR($A337="",$M337=""),"",$M337*12+N($N337))</f>
        <v/>
      </c>
      <c r="BC337" s="49">
        <f>IF($A337="","",IF(OR($C337="FRAME ONLY",$S337="BL"),0,IF($O337="Y",2,1)))</f>
        <v/>
      </c>
      <c r="BD337" s="51">
        <f>IF(OR(N($BC337)=0,$BA337=""),"",($BA337-2*EdgeClr-IF($BC337=2,MeetClr,0))/$BC337)</f>
        <v/>
      </c>
      <c r="BE337" s="51">
        <f>IF(OR(N($BC337)=0,$BB337=""),"",$BB337-HeadClr-Undercut)</f>
        <v/>
      </c>
      <c r="BF337" s="51">
        <f>IF($BA337="","",$BA337+2*FaceW+IF(N($Q337)&gt;0,($Q337+FaceW)*IF($R337="LR",2,1),0))</f>
        <v/>
      </c>
      <c r="BG337" s="51">
        <f>IF($BB337="","",$BB337+IF($AB337="Y",4,FaceW)+IF(N($P337)&gt;0,$P337+FaceW,0)+IF(OR($S337="4F",$S337="BL"),FaceW,0))</f>
        <v/>
      </c>
      <c r="BH337" s="51">
        <f>IF($BF337="","",$BF337+2*ROSide)</f>
        <v/>
      </c>
      <c r="BI337" s="51">
        <f>IF($BG337="","",$BG337+ROTop)</f>
        <v/>
      </c>
      <c r="BJ337" s="52">
        <f>IF(OR(N($BC337)=0,$BA337=""),"",$BA337/$BC337-ClearDeduct)</f>
        <v/>
      </c>
      <c r="BK337" s="49">
        <f>IF(OR(N($BC337)=0,$BE337=""),"",IF(OR($AC337="HGC",$AP337="HGC"),"CONT",IF($BE337&lt;=60,2,IF($BE337&lt;=90,3,IF($BE337&lt;=120,4,5)))))</f>
        <v/>
      </c>
      <c r="BL337" s="49">
        <f>IF(N($BC337)=0,"",IF(OR($AL337="",$AL337="FLUSH"),"FLUSH",IFERROR(LEFT($AL337,FIND("-",$AL337)-1),LEFT($AL337,2))))</f>
        <v/>
      </c>
      <c r="BM337" s="49">
        <f>IF($BL337="","",IFERROR(VALUE(MID($AL337,FIND("-",$AL337)+1,FIND(CHAR(34)&amp;"x",$AL337)-FIND("-",$AL337)-1)),0))</f>
        <v/>
      </c>
      <c r="BN337" s="49">
        <f>IF($BL337="","",IFERROR(VALUE(MID($AL337,FIND(CHAR(34)&amp;"x",$AL337)+2,FIND(CHAR(34),$AL337,FIND(CHAR(34)&amp;"x",$AL337)+2)-FIND(CHAR(34)&amp;"x",$AL337)-2)),0))</f>
        <v/>
      </c>
      <c r="BO337" s="53">
        <f>IF(OR($A337="",$H337="",$H337="NO LAB"),0,IFERROR(VALUE(LEFT($H337,FIND(" ",$H337)-1)),0))</f>
        <v/>
      </c>
      <c r="BP337" s="54">
        <f>IF(OR($A337="",$I337="",$I337="NON-RATED",N($J337)=0),"",IFERROR(VLOOKUP($I337&amp;"|"&amp;$J337,IBC,2,FALSE),"?"))</f>
        <v/>
      </c>
      <c r="BQ337" s="50">
        <f>IF(NOT(AND($A337&lt;&gt;"",$C337&lt;&gt;"DOOR ONLY")),"",TRIM(IFERROR(VLOOKUP($U337,CODES,2,FALSE),"")&amp;" "&amp;$AZ337&amp;" "&amp;IFERROR(VLOOKUP($Z337,CODES,2,FALSE),"")&amp;" "&amp;IFERROR(VLOOKUP($X337,CODES,2,FALSE),"")&amp;" "&amp;IFERROR(VLOOKUP($S337,CODES,2,FALSE),"")&amp;IF(N($P337)&gt;0," w/TRANSOM "&amp;$P337&amp;CHAR(34),"")&amp;IF(N($Q337)&gt;0," w/SIDELITE "&amp;$Q337&amp;CHAR(34)&amp;" "&amp;IF($R337="","R",$R337),"")&amp;IF($Y337="","  |  "," | "&amp;IFERROR(VLOOKUP($Y337,CODES,2,FALSE),"")&amp;" | ")&amp;IFERROR(VLOOKUP($AC337,CODES,2,FALSE),"")&amp;" "&amp;IFERROR(VLOOKUP($AD337,CODES,2,FALSE),"")&amp;IF(OR($AE337="",$AE337="-"),""," "&amp;$AE337)&amp;IF(OR($AF337="",$AF337="-"),""," "&amp;$AF337)&amp;IF($AB337="Y"," 4"&amp;CHAR(34)&amp;" HEAD","")&amp;" "&amp;IFERROR(VLOOKUP($H337,CODES,2,FALSE),"")))</f>
        <v/>
      </c>
      <c r="BR337" s="50">
        <f>IF(NOT(AND($A337&lt;&gt;"",N($BC337)&gt;0)),"",TRIM(IFERROR(VLOOKUP($AH337,CODES,2,FALSE),"")&amp;IF($AI337=""," "," "&amp;$AI337&amp;"GA ")&amp;$AZ337&amp;" "&amp;IF($AN337="",IFERROR(VLOOKUP($Z337,CODES,2,FALSE),""),IFERROR(VLOOKUP($AN337,CODES,2,FALSE),""))&amp;IF($BC337=2," PAIR","")&amp;" DOOR | "&amp;IF($AL337="","?",$AL337)&amp;" | "&amp;IF($AP337="",IFERROR(VLOOKUP($AC337,CODES,2,FALSE),""),IFERROR(VLOOKUP($AP337,CODES,2,FALSE),""))&amp;" "&amp;IFERROR(VLOOKUP($AQ337,CODES,2,FALSE),"")&amp;IF(OR($AR337="",$AR337="-"),""," SEAM "&amp;$AR337)&amp;IF($AS337="Y"," ASTRAGAL","")&amp;IF($AJ337=""," "," "&amp;$AJ337)&amp;IF($AK337=""," "," "&amp;$AK337)&amp;IF($AO337="",""," "&amp;$AO337)&amp;IF($AM337=""," "," SERIES "&amp;$AM337)&amp;" "&amp;IFERROR(VLOOKUP($H337,CODES,2,FALSE),"")))</f>
        <v/>
      </c>
      <c r="BS337" s="49">
        <f>IF(BV337="","",IF(COUNTIF($BV$6:BV337,BV337)=1,MAX($BS$5:BS336)+1,INDEX($BS$5:BS336,MATCH(BV337,$BV$5:BV336,0))))</f>
        <v/>
      </c>
      <c r="BT337" s="49">
        <f>IF(NOT(AND($A337&lt;&gt;"",$C337&lt;&gt;"DOOR ONLY")),"",MAX($BT$5:BT336)+1)</f>
        <v/>
      </c>
      <c r="BU337" s="49">
        <f>IF(NOT(AND($A337&lt;&gt;"",N($BC337)&gt;0)),"",MAX($BU$5:BU336)+1)</f>
        <v/>
      </c>
      <c r="BV337" s="49">
        <f>IF(OR($A337="",$BA337="",$BB337=""),"",$AZ337&amp;"|"&amp;$O337&amp;"|"&amp;$AL337&amp;"|"&amp;$S337&amp;"|"&amp;$P337&amp;"|"&amp;$Q337&amp;$R337&amp;"|"&amp;$C337&amp;"|"&amp;$AB337)</f>
        <v/>
      </c>
      <c r="BW337" s="49">
        <f>IF($A337="","",IF($B337="","qty, ","")&amp;IF($C337="","scope, ","")&amp;IF(OR($K337="",$M337=""),"size, ","")&amp;IF(AND($A337&lt;&gt;"",$C337&lt;&gt;"DOOR ONLY"),IF($U337="","jamb depth, ","")&amp;IF($X337="","construction, ","")&amp;IF($Y337="","anchor, ","")&amp;IF($S337="","frame type, ",""),"")&amp;IF(AND(N($BC337)&gt;0,$Z337=""),"hand, ","")&amp;IF(N($BC337)&gt;0,IF($AH337="","door material, ","")&amp;IF($AL337="","face type, ","")&amp;IF($AQ337="","lock prep, ","")&amp;IF(AND($AP337="",$AC337=""),"hinge prep, ",""),"")&amp;IF(AND($BO337&gt;0,$AH337="FRP"),"FRP cannot carry a label, ","")&amp;IF(AND($O337="Y",OR($Z337="L",$Z337="R",$Z337="LR",$Z337="RR")),"pair marked but hand is single, ","")&amp;IF(AND($O337&lt;&gt;"Y",OR($Z337="PR",AND(LEN($Z337)&gt;1,ISNUMBER(SEARCH("-",$Z337))))),"pair hand on a single door, ","")&amp;IF(AND(ISNUMBER($BP337),$BO337&lt;N($BP337)),"wall needs a "&amp;$BP337&amp;" min door, ","")&amp;IF(AND($BO337&gt;=180,AND(OR($BL337="FG",$BL337="HG",$BL337="FNV",$BL337="FV"),N($BM337)*N($BN337)&gt;100)),"180 min lite over 100 sq in, ","")&amp;IF(N($BD337)&gt;48,"leaf wider than 4'-0"&amp;CHAR(34)&amp;", ",""))</f>
        <v/>
      </c>
      <c r="BX337" s="49">
        <f>IF($A337="","",IF(AND($BO337&gt;0,AND($A337&lt;&gt;"",$C337&lt;&gt;"DOOR ONLY"),$X337="KD",$E337="EXTERIOR"),"KD label on an exterior opening, ","")&amp;IF(AND($E337="EXTERIOR",OR(AND(AND($A337&lt;&gt;"",$C337&lt;&gt;"DOOR ONLY"),$W337="CR"),AND(N($BC337)&gt;0,$AH337="CR"))),"exterior in CR steel (G9?), ","")&amp;IF(AND(ISNUMBER($BJ337),N($BJ337)&lt;32),"clear width ~"&amp;TEXT($BJ337,"0.0")&amp;CHAR(34)&amp;" under 32"&amp;CHAR(34)&amp;" (ADA), ","")&amp;IF(AND($BO337=90,AND(OR($BL337="FG",$BL337="HG",$BL337="FNV",$BL337="FV"),N($BM337)*N($BN337)&gt;100)),"90 min lite over 100 sq in (stair/exit), ","")&amp;IF(AND($BO337&gt;0,AND($A337&lt;&gt;"",$C337&lt;&gt;"DOOR ONLY"),OR($AF337="",$AF337="-")),"rated: closer reinf.?, ","")&amp;IF(OR($I337="CORRIDOR",$I337="SMOKE BARRIER"),"S label + smoke gasketing, ","")&amp;IF($BP337="?","wall type/hr not in IBC table, ","")&amp;IF(AND(N($BC337)&gt;0,$AU337=""),"no hardware set, ","")&amp;IF(AND($AU337&lt;&gt;"",ISNA(MATCH($AU337,HWSets,0))),"set "&amp;$AU337&amp;" not on Hardware sheet, ","")&amp;IF(N($BE337)&gt;96,"leaf over 8'-0"&amp;CHAR(34)&amp;" - check listing, ",""))</f>
        <v/>
      </c>
    </row>
    <row r="338" ht="15" customHeight="1">
      <c r="A338" s="44" t="n"/>
      <c r="B338" s="45" t="n"/>
      <c r="C338" s="45" t="n"/>
      <c r="D338" s="45" t="n"/>
      <c r="E338" s="45" t="n"/>
      <c r="F338" s="45" t="n"/>
      <c r="G338" s="45" t="n"/>
      <c r="H338" s="45" t="n"/>
      <c r="I338" s="45" t="n"/>
      <c r="J338" s="45" t="n"/>
      <c r="K338" s="45" t="n"/>
      <c r="L338" s="45" t="n"/>
      <c r="M338" s="45" t="n"/>
      <c r="N338" s="45" t="n"/>
      <c r="O338" s="45" t="n"/>
      <c r="P338" s="45" t="n"/>
      <c r="Q338" s="45" t="n"/>
      <c r="R338" s="45" t="n"/>
      <c r="S338" s="46" t="n"/>
      <c r="T338" s="46" t="n"/>
      <c r="U338" s="46" t="n"/>
      <c r="V338" s="46" t="n"/>
      <c r="W338" s="46" t="n"/>
      <c r="X338" s="46" t="n"/>
      <c r="Y338" s="46" t="n"/>
      <c r="Z338" s="46" t="n"/>
      <c r="AA338" s="46" t="n"/>
      <c r="AB338" s="46" t="n"/>
      <c r="AC338" s="46" t="n"/>
      <c r="AD338" s="46" t="n"/>
      <c r="AE338" s="46" t="n"/>
      <c r="AF338" s="46" t="n"/>
      <c r="AG338" s="46" t="n"/>
      <c r="AH338" s="47" t="n"/>
      <c r="AI338" s="47" t="n"/>
      <c r="AJ338" s="47" t="n"/>
      <c r="AK338" s="47" t="n"/>
      <c r="AL338" s="47" t="n"/>
      <c r="AM338" s="47" t="n"/>
      <c r="AN338" s="47" t="n"/>
      <c r="AO338" s="47" t="n"/>
      <c r="AP338" s="47" t="n"/>
      <c r="AQ338" s="47" t="n"/>
      <c r="AR338" s="47" t="n"/>
      <c r="AS338" s="47" t="n"/>
      <c r="AT338" s="47" t="n"/>
      <c r="AU338" s="48" t="n"/>
      <c r="AV338" s="48" t="n"/>
      <c r="AW338" s="49">
        <f>IF($A338="","",IF($BW338&lt;&gt;"","FIX",IF($BX338&lt;&gt;"","CHECK","OK")))</f>
        <v/>
      </c>
      <c r="AX338" s="50">
        <f>IF($A338="","",IF($BW338&lt;&gt;"","FIX: "&amp;LEFT($BW338,LEN($BW338)-2)&amp;IF($BX338&lt;&gt;"","  ·  ",""),"")&amp;IF($BX338&lt;&gt;"","CHECK: "&amp;LEFT($BX338,LEN($BX338)-2),""))</f>
        <v/>
      </c>
      <c r="AY338" s="49">
        <f>IF(OR($A338="",$K338=""),"",$K338&amp;"'-"&amp;N($L338)&amp;CHAR(34)&amp;" x "&amp;$M338&amp;"'-"&amp;N($N338)&amp;CHAR(34))</f>
        <v/>
      </c>
      <c r="AZ338" s="49">
        <f>IF(OR($A338="",$K338=""),"",$K338&amp;N($L338)&amp;$M338&amp;N($N338))</f>
        <v/>
      </c>
      <c r="BA338" s="49">
        <f>IF(OR($A338="",$K338=""),"",$K338*12+N($L338))</f>
        <v/>
      </c>
      <c r="BB338" s="49">
        <f>IF(OR($A338="",$M338=""),"",$M338*12+N($N338))</f>
        <v/>
      </c>
      <c r="BC338" s="49">
        <f>IF($A338="","",IF(OR($C338="FRAME ONLY",$S338="BL"),0,IF($O338="Y",2,1)))</f>
        <v/>
      </c>
      <c r="BD338" s="51">
        <f>IF(OR(N($BC338)=0,$BA338=""),"",($BA338-2*EdgeClr-IF($BC338=2,MeetClr,0))/$BC338)</f>
        <v/>
      </c>
      <c r="BE338" s="51">
        <f>IF(OR(N($BC338)=0,$BB338=""),"",$BB338-HeadClr-Undercut)</f>
        <v/>
      </c>
      <c r="BF338" s="51">
        <f>IF($BA338="","",$BA338+2*FaceW+IF(N($Q338)&gt;0,($Q338+FaceW)*IF($R338="LR",2,1),0))</f>
        <v/>
      </c>
      <c r="BG338" s="51">
        <f>IF($BB338="","",$BB338+IF($AB338="Y",4,FaceW)+IF(N($P338)&gt;0,$P338+FaceW,0)+IF(OR($S338="4F",$S338="BL"),FaceW,0))</f>
        <v/>
      </c>
      <c r="BH338" s="51">
        <f>IF($BF338="","",$BF338+2*ROSide)</f>
        <v/>
      </c>
      <c r="BI338" s="51">
        <f>IF($BG338="","",$BG338+ROTop)</f>
        <v/>
      </c>
      <c r="BJ338" s="52">
        <f>IF(OR(N($BC338)=0,$BA338=""),"",$BA338/$BC338-ClearDeduct)</f>
        <v/>
      </c>
      <c r="BK338" s="49">
        <f>IF(OR(N($BC338)=0,$BE338=""),"",IF(OR($AC338="HGC",$AP338="HGC"),"CONT",IF($BE338&lt;=60,2,IF($BE338&lt;=90,3,IF($BE338&lt;=120,4,5)))))</f>
        <v/>
      </c>
      <c r="BL338" s="49">
        <f>IF(N($BC338)=0,"",IF(OR($AL338="",$AL338="FLUSH"),"FLUSH",IFERROR(LEFT($AL338,FIND("-",$AL338)-1),LEFT($AL338,2))))</f>
        <v/>
      </c>
      <c r="BM338" s="49">
        <f>IF($BL338="","",IFERROR(VALUE(MID($AL338,FIND("-",$AL338)+1,FIND(CHAR(34)&amp;"x",$AL338)-FIND("-",$AL338)-1)),0))</f>
        <v/>
      </c>
      <c r="BN338" s="49">
        <f>IF($BL338="","",IFERROR(VALUE(MID($AL338,FIND(CHAR(34)&amp;"x",$AL338)+2,FIND(CHAR(34),$AL338,FIND(CHAR(34)&amp;"x",$AL338)+2)-FIND(CHAR(34)&amp;"x",$AL338)-2)),0))</f>
        <v/>
      </c>
      <c r="BO338" s="53">
        <f>IF(OR($A338="",$H338="",$H338="NO LAB"),0,IFERROR(VALUE(LEFT($H338,FIND(" ",$H338)-1)),0))</f>
        <v/>
      </c>
      <c r="BP338" s="54">
        <f>IF(OR($A338="",$I338="",$I338="NON-RATED",N($J338)=0),"",IFERROR(VLOOKUP($I338&amp;"|"&amp;$J338,IBC,2,FALSE),"?"))</f>
        <v/>
      </c>
      <c r="BQ338" s="50">
        <f>IF(NOT(AND($A338&lt;&gt;"",$C338&lt;&gt;"DOOR ONLY")),"",TRIM(IFERROR(VLOOKUP($U338,CODES,2,FALSE),"")&amp;" "&amp;$AZ338&amp;" "&amp;IFERROR(VLOOKUP($Z338,CODES,2,FALSE),"")&amp;" "&amp;IFERROR(VLOOKUP($X338,CODES,2,FALSE),"")&amp;" "&amp;IFERROR(VLOOKUP($S338,CODES,2,FALSE),"")&amp;IF(N($P338)&gt;0," w/TRANSOM "&amp;$P338&amp;CHAR(34),"")&amp;IF(N($Q338)&gt;0," w/SIDELITE "&amp;$Q338&amp;CHAR(34)&amp;" "&amp;IF($R338="","R",$R338),"")&amp;IF($Y338="","  |  "," | "&amp;IFERROR(VLOOKUP($Y338,CODES,2,FALSE),"")&amp;" | ")&amp;IFERROR(VLOOKUP($AC338,CODES,2,FALSE),"")&amp;" "&amp;IFERROR(VLOOKUP($AD338,CODES,2,FALSE),"")&amp;IF(OR($AE338="",$AE338="-"),""," "&amp;$AE338)&amp;IF(OR($AF338="",$AF338="-"),""," "&amp;$AF338)&amp;IF($AB338="Y"," 4"&amp;CHAR(34)&amp;" HEAD","")&amp;" "&amp;IFERROR(VLOOKUP($H338,CODES,2,FALSE),"")))</f>
        <v/>
      </c>
      <c r="BR338" s="50">
        <f>IF(NOT(AND($A338&lt;&gt;"",N($BC338)&gt;0)),"",TRIM(IFERROR(VLOOKUP($AH338,CODES,2,FALSE),"")&amp;IF($AI338=""," "," "&amp;$AI338&amp;"GA ")&amp;$AZ338&amp;" "&amp;IF($AN338="",IFERROR(VLOOKUP($Z338,CODES,2,FALSE),""),IFERROR(VLOOKUP($AN338,CODES,2,FALSE),""))&amp;IF($BC338=2," PAIR","")&amp;" DOOR | "&amp;IF($AL338="","?",$AL338)&amp;" | "&amp;IF($AP338="",IFERROR(VLOOKUP($AC338,CODES,2,FALSE),""),IFERROR(VLOOKUP($AP338,CODES,2,FALSE),""))&amp;" "&amp;IFERROR(VLOOKUP($AQ338,CODES,2,FALSE),"")&amp;IF(OR($AR338="",$AR338="-"),""," SEAM "&amp;$AR338)&amp;IF($AS338="Y"," ASTRAGAL","")&amp;IF($AJ338=""," "," "&amp;$AJ338)&amp;IF($AK338=""," "," "&amp;$AK338)&amp;IF($AO338="",""," "&amp;$AO338)&amp;IF($AM338=""," "," SERIES "&amp;$AM338)&amp;" "&amp;IFERROR(VLOOKUP($H338,CODES,2,FALSE),"")))</f>
        <v/>
      </c>
      <c r="BS338" s="49">
        <f>IF(BV338="","",IF(COUNTIF($BV$6:BV338,BV338)=1,MAX($BS$5:BS337)+1,INDEX($BS$5:BS337,MATCH(BV338,$BV$5:BV337,0))))</f>
        <v/>
      </c>
      <c r="BT338" s="49">
        <f>IF(NOT(AND($A338&lt;&gt;"",$C338&lt;&gt;"DOOR ONLY")),"",MAX($BT$5:BT337)+1)</f>
        <v/>
      </c>
      <c r="BU338" s="49">
        <f>IF(NOT(AND($A338&lt;&gt;"",N($BC338)&gt;0)),"",MAX($BU$5:BU337)+1)</f>
        <v/>
      </c>
      <c r="BV338" s="49">
        <f>IF(OR($A338="",$BA338="",$BB338=""),"",$AZ338&amp;"|"&amp;$O338&amp;"|"&amp;$AL338&amp;"|"&amp;$S338&amp;"|"&amp;$P338&amp;"|"&amp;$Q338&amp;$R338&amp;"|"&amp;$C338&amp;"|"&amp;$AB338)</f>
        <v/>
      </c>
      <c r="BW338" s="49">
        <f>IF($A338="","",IF($B338="","qty, ","")&amp;IF($C338="","scope, ","")&amp;IF(OR($K338="",$M338=""),"size, ","")&amp;IF(AND($A338&lt;&gt;"",$C338&lt;&gt;"DOOR ONLY"),IF($U338="","jamb depth, ","")&amp;IF($X338="","construction, ","")&amp;IF($Y338="","anchor, ","")&amp;IF($S338="","frame type, ",""),"")&amp;IF(AND(N($BC338)&gt;0,$Z338=""),"hand, ","")&amp;IF(N($BC338)&gt;0,IF($AH338="","door material, ","")&amp;IF($AL338="","face type, ","")&amp;IF($AQ338="","lock prep, ","")&amp;IF(AND($AP338="",$AC338=""),"hinge prep, ",""),"")&amp;IF(AND($BO338&gt;0,$AH338="FRP"),"FRP cannot carry a label, ","")&amp;IF(AND($O338="Y",OR($Z338="L",$Z338="R",$Z338="LR",$Z338="RR")),"pair marked but hand is single, ","")&amp;IF(AND($O338&lt;&gt;"Y",OR($Z338="PR",AND(LEN($Z338)&gt;1,ISNUMBER(SEARCH("-",$Z338))))),"pair hand on a single door, ","")&amp;IF(AND(ISNUMBER($BP338),$BO338&lt;N($BP338)),"wall needs a "&amp;$BP338&amp;" min door, ","")&amp;IF(AND($BO338&gt;=180,AND(OR($BL338="FG",$BL338="HG",$BL338="FNV",$BL338="FV"),N($BM338)*N($BN338)&gt;100)),"180 min lite over 100 sq in, ","")&amp;IF(N($BD338)&gt;48,"leaf wider than 4'-0"&amp;CHAR(34)&amp;", ",""))</f>
        <v/>
      </c>
      <c r="BX338" s="49">
        <f>IF($A338="","",IF(AND($BO338&gt;0,AND($A338&lt;&gt;"",$C338&lt;&gt;"DOOR ONLY"),$X338="KD",$E338="EXTERIOR"),"KD label on an exterior opening, ","")&amp;IF(AND($E338="EXTERIOR",OR(AND(AND($A338&lt;&gt;"",$C338&lt;&gt;"DOOR ONLY"),$W338="CR"),AND(N($BC338)&gt;0,$AH338="CR"))),"exterior in CR steel (G9?), ","")&amp;IF(AND(ISNUMBER($BJ338),N($BJ338)&lt;32),"clear width ~"&amp;TEXT($BJ338,"0.0")&amp;CHAR(34)&amp;" under 32"&amp;CHAR(34)&amp;" (ADA), ","")&amp;IF(AND($BO338=90,AND(OR($BL338="FG",$BL338="HG",$BL338="FNV",$BL338="FV"),N($BM338)*N($BN338)&gt;100)),"90 min lite over 100 sq in (stair/exit), ","")&amp;IF(AND($BO338&gt;0,AND($A338&lt;&gt;"",$C338&lt;&gt;"DOOR ONLY"),OR($AF338="",$AF338="-")),"rated: closer reinf.?, ","")&amp;IF(OR($I338="CORRIDOR",$I338="SMOKE BARRIER"),"S label + smoke gasketing, ","")&amp;IF($BP338="?","wall type/hr not in IBC table, ","")&amp;IF(AND(N($BC338)&gt;0,$AU338=""),"no hardware set, ","")&amp;IF(AND($AU338&lt;&gt;"",ISNA(MATCH($AU338,HWSets,0))),"set "&amp;$AU338&amp;" not on Hardware sheet, ","")&amp;IF(N($BE338)&gt;96,"leaf over 8'-0"&amp;CHAR(34)&amp;" - check listing, ",""))</f>
        <v/>
      </c>
    </row>
    <row r="339" ht="15" customHeight="1">
      <c r="A339" s="44" t="n"/>
      <c r="B339" s="45" t="n"/>
      <c r="C339" s="45" t="n"/>
      <c r="D339" s="45" t="n"/>
      <c r="E339" s="45" t="n"/>
      <c r="F339" s="45" t="n"/>
      <c r="G339" s="45" t="n"/>
      <c r="H339" s="45" t="n"/>
      <c r="I339" s="45" t="n"/>
      <c r="J339" s="45" t="n"/>
      <c r="K339" s="45" t="n"/>
      <c r="L339" s="45" t="n"/>
      <c r="M339" s="45" t="n"/>
      <c r="N339" s="45" t="n"/>
      <c r="O339" s="45" t="n"/>
      <c r="P339" s="45" t="n"/>
      <c r="Q339" s="45" t="n"/>
      <c r="R339" s="45" t="n"/>
      <c r="S339" s="46" t="n"/>
      <c r="T339" s="46" t="n"/>
      <c r="U339" s="46" t="n"/>
      <c r="V339" s="46" t="n"/>
      <c r="W339" s="46" t="n"/>
      <c r="X339" s="46" t="n"/>
      <c r="Y339" s="46" t="n"/>
      <c r="Z339" s="46" t="n"/>
      <c r="AA339" s="46" t="n"/>
      <c r="AB339" s="46" t="n"/>
      <c r="AC339" s="46" t="n"/>
      <c r="AD339" s="46" t="n"/>
      <c r="AE339" s="46" t="n"/>
      <c r="AF339" s="46" t="n"/>
      <c r="AG339" s="46" t="n"/>
      <c r="AH339" s="47" t="n"/>
      <c r="AI339" s="47" t="n"/>
      <c r="AJ339" s="47" t="n"/>
      <c r="AK339" s="47" t="n"/>
      <c r="AL339" s="47" t="n"/>
      <c r="AM339" s="47" t="n"/>
      <c r="AN339" s="47" t="n"/>
      <c r="AO339" s="47" t="n"/>
      <c r="AP339" s="47" t="n"/>
      <c r="AQ339" s="47" t="n"/>
      <c r="AR339" s="47" t="n"/>
      <c r="AS339" s="47" t="n"/>
      <c r="AT339" s="47" t="n"/>
      <c r="AU339" s="48" t="n"/>
      <c r="AV339" s="48" t="n"/>
      <c r="AW339" s="49">
        <f>IF($A339="","",IF($BW339&lt;&gt;"","FIX",IF($BX339&lt;&gt;"","CHECK","OK")))</f>
        <v/>
      </c>
      <c r="AX339" s="50">
        <f>IF($A339="","",IF($BW339&lt;&gt;"","FIX: "&amp;LEFT($BW339,LEN($BW339)-2)&amp;IF($BX339&lt;&gt;"","  ·  ",""),"")&amp;IF($BX339&lt;&gt;"","CHECK: "&amp;LEFT($BX339,LEN($BX339)-2),""))</f>
        <v/>
      </c>
      <c r="AY339" s="49">
        <f>IF(OR($A339="",$K339=""),"",$K339&amp;"'-"&amp;N($L339)&amp;CHAR(34)&amp;" x "&amp;$M339&amp;"'-"&amp;N($N339)&amp;CHAR(34))</f>
        <v/>
      </c>
      <c r="AZ339" s="49">
        <f>IF(OR($A339="",$K339=""),"",$K339&amp;N($L339)&amp;$M339&amp;N($N339))</f>
        <v/>
      </c>
      <c r="BA339" s="49">
        <f>IF(OR($A339="",$K339=""),"",$K339*12+N($L339))</f>
        <v/>
      </c>
      <c r="BB339" s="49">
        <f>IF(OR($A339="",$M339=""),"",$M339*12+N($N339))</f>
        <v/>
      </c>
      <c r="BC339" s="49">
        <f>IF($A339="","",IF(OR($C339="FRAME ONLY",$S339="BL"),0,IF($O339="Y",2,1)))</f>
        <v/>
      </c>
      <c r="BD339" s="51">
        <f>IF(OR(N($BC339)=0,$BA339=""),"",($BA339-2*EdgeClr-IF($BC339=2,MeetClr,0))/$BC339)</f>
        <v/>
      </c>
      <c r="BE339" s="51">
        <f>IF(OR(N($BC339)=0,$BB339=""),"",$BB339-HeadClr-Undercut)</f>
        <v/>
      </c>
      <c r="BF339" s="51">
        <f>IF($BA339="","",$BA339+2*FaceW+IF(N($Q339)&gt;0,($Q339+FaceW)*IF($R339="LR",2,1),0))</f>
        <v/>
      </c>
      <c r="BG339" s="51">
        <f>IF($BB339="","",$BB339+IF($AB339="Y",4,FaceW)+IF(N($P339)&gt;0,$P339+FaceW,0)+IF(OR($S339="4F",$S339="BL"),FaceW,0))</f>
        <v/>
      </c>
      <c r="BH339" s="51">
        <f>IF($BF339="","",$BF339+2*ROSide)</f>
        <v/>
      </c>
      <c r="BI339" s="51">
        <f>IF($BG339="","",$BG339+ROTop)</f>
        <v/>
      </c>
      <c r="BJ339" s="52">
        <f>IF(OR(N($BC339)=0,$BA339=""),"",$BA339/$BC339-ClearDeduct)</f>
        <v/>
      </c>
      <c r="BK339" s="49">
        <f>IF(OR(N($BC339)=0,$BE339=""),"",IF(OR($AC339="HGC",$AP339="HGC"),"CONT",IF($BE339&lt;=60,2,IF($BE339&lt;=90,3,IF($BE339&lt;=120,4,5)))))</f>
        <v/>
      </c>
      <c r="BL339" s="49">
        <f>IF(N($BC339)=0,"",IF(OR($AL339="",$AL339="FLUSH"),"FLUSH",IFERROR(LEFT($AL339,FIND("-",$AL339)-1),LEFT($AL339,2))))</f>
        <v/>
      </c>
      <c r="BM339" s="49">
        <f>IF($BL339="","",IFERROR(VALUE(MID($AL339,FIND("-",$AL339)+1,FIND(CHAR(34)&amp;"x",$AL339)-FIND("-",$AL339)-1)),0))</f>
        <v/>
      </c>
      <c r="BN339" s="49">
        <f>IF($BL339="","",IFERROR(VALUE(MID($AL339,FIND(CHAR(34)&amp;"x",$AL339)+2,FIND(CHAR(34),$AL339,FIND(CHAR(34)&amp;"x",$AL339)+2)-FIND(CHAR(34)&amp;"x",$AL339)-2)),0))</f>
        <v/>
      </c>
      <c r="BO339" s="53">
        <f>IF(OR($A339="",$H339="",$H339="NO LAB"),0,IFERROR(VALUE(LEFT($H339,FIND(" ",$H339)-1)),0))</f>
        <v/>
      </c>
      <c r="BP339" s="54">
        <f>IF(OR($A339="",$I339="",$I339="NON-RATED",N($J339)=0),"",IFERROR(VLOOKUP($I339&amp;"|"&amp;$J339,IBC,2,FALSE),"?"))</f>
        <v/>
      </c>
      <c r="BQ339" s="50">
        <f>IF(NOT(AND($A339&lt;&gt;"",$C339&lt;&gt;"DOOR ONLY")),"",TRIM(IFERROR(VLOOKUP($U339,CODES,2,FALSE),"")&amp;" "&amp;$AZ339&amp;" "&amp;IFERROR(VLOOKUP($Z339,CODES,2,FALSE),"")&amp;" "&amp;IFERROR(VLOOKUP($X339,CODES,2,FALSE),"")&amp;" "&amp;IFERROR(VLOOKUP($S339,CODES,2,FALSE),"")&amp;IF(N($P339)&gt;0," w/TRANSOM "&amp;$P339&amp;CHAR(34),"")&amp;IF(N($Q339)&gt;0," w/SIDELITE "&amp;$Q339&amp;CHAR(34)&amp;" "&amp;IF($R339="","R",$R339),"")&amp;IF($Y339="","  |  "," | "&amp;IFERROR(VLOOKUP($Y339,CODES,2,FALSE),"")&amp;" | ")&amp;IFERROR(VLOOKUP($AC339,CODES,2,FALSE),"")&amp;" "&amp;IFERROR(VLOOKUP($AD339,CODES,2,FALSE),"")&amp;IF(OR($AE339="",$AE339="-"),""," "&amp;$AE339)&amp;IF(OR($AF339="",$AF339="-"),""," "&amp;$AF339)&amp;IF($AB339="Y"," 4"&amp;CHAR(34)&amp;" HEAD","")&amp;" "&amp;IFERROR(VLOOKUP($H339,CODES,2,FALSE),"")))</f>
        <v/>
      </c>
      <c r="BR339" s="50">
        <f>IF(NOT(AND($A339&lt;&gt;"",N($BC339)&gt;0)),"",TRIM(IFERROR(VLOOKUP($AH339,CODES,2,FALSE),"")&amp;IF($AI339=""," "," "&amp;$AI339&amp;"GA ")&amp;$AZ339&amp;" "&amp;IF($AN339="",IFERROR(VLOOKUP($Z339,CODES,2,FALSE),""),IFERROR(VLOOKUP($AN339,CODES,2,FALSE),""))&amp;IF($BC339=2," PAIR","")&amp;" DOOR | "&amp;IF($AL339="","?",$AL339)&amp;" | "&amp;IF($AP339="",IFERROR(VLOOKUP($AC339,CODES,2,FALSE),""),IFERROR(VLOOKUP($AP339,CODES,2,FALSE),""))&amp;" "&amp;IFERROR(VLOOKUP($AQ339,CODES,2,FALSE),"")&amp;IF(OR($AR339="",$AR339="-"),""," SEAM "&amp;$AR339)&amp;IF($AS339="Y"," ASTRAGAL","")&amp;IF($AJ339=""," "," "&amp;$AJ339)&amp;IF($AK339=""," "," "&amp;$AK339)&amp;IF($AO339="",""," "&amp;$AO339)&amp;IF($AM339=""," "," SERIES "&amp;$AM339)&amp;" "&amp;IFERROR(VLOOKUP($H339,CODES,2,FALSE),"")))</f>
        <v/>
      </c>
      <c r="BS339" s="49">
        <f>IF(BV339="","",IF(COUNTIF($BV$6:BV339,BV339)=1,MAX($BS$5:BS338)+1,INDEX($BS$5:BS338,MATCH(BV339,$BV$5:BV338,0))))</f>
        <v/>
      </c>
      <c r="BT339" s="49">
        <f>IF(NOT(AND($A339&lt;&gt;"",$C339&lt;&gt;"DOOR ONLY")),"",MAX($BT$5:BT338)+1)</f>
        <v/>
      </c>
      <c r="BU339" s="49">
        <f>IF(NOT(AND($A339&lt;&gt;"",N($BC339)&gt;0)),"",MAX($BU$5:BU338)+1)</f>
        <v/>
      </c>
      <c r="BV339" s="49">
        <f>IF(OR($A339="",$BA339="",$BB339=""),"",$AZ339&amp;"|"&amp;$O339&amp;"|"&amp;$AL339&amp;"|"&amp;$S339&amp;"|"&amp;$P339&amp;"|"&amp;$Q339&amp;$R339&amp;"|"&amp;$C339&amp;"|"&amp;$AB339)</f>
        <v/>
      </c>
      <c r="BW339" s="49">
        <f>IF($A339="","",IF($B339="","qty, ","")&amp;IF($C339="","scope, ","")&amp;IF(OR($K339="",$M339=""),"size, ","")&amp;IF(AND($A339&lt;&gt;"",$C339&lt;&gt;"DOOR ONLY"),IF($U339="","jamb depth, ","")&amp;IF($X339="","construction, ","")&amp;IF($Y339="","anchor, ","")&amp;IF($S339="","frame type, ",""),"")&amp;IF(AND(N($BC339)&gt;0,$Z339=""),"hand, ","")&amp;IF(N($BC339)&gt;0,IF($AH339="","door material, ","")&amp;IF($AL339="","face type, ","")&amp;IF($AQ339="","lock prep, ","")&amp;IF(AND($AP339="",$AC339=""),"hinge prep, ",""),"")&amp;IF(AND($BO339&gt;0,$AH339="FRP"),"FRP cannot carry a label, ","")&amp;IF(AND($O339="Y",OR($Z339="L",$Z339="R",$Z339="LR",$Z339="RR")),"pair marked but hand is single, ","")&amp;IF(AND($O339&lt;&gt;"Y",OR($Z339="PR",AND(LEN($Z339)&gt;1,ISNUMBER(SEARCH("-",$Z339))))),"pair hand on a single door, ","")&amp;IF(AND(ISNUMBER($BP339),$BO339&lt;N($BP339)),"wall needs a "&amp;$BP339&amp;" min door, ","")&amp;IF(AND($BO339&gt;=180,AND(OR($BL339="FG",$BL339="HG",$BL339="FNV",$BL339="FV"),N($BM339)*N($BN339)&gt;100)),"180 min lite over 100 sq in, ","")&amp;IF(N($BD339)&gt;48,"leaf wider than 4'-0"&amp;CHAR(34)&amp;", ",""))</f>
        <v/>
      </c>
      <c r="BX339" s="49">
        <f>IF($A339="","",IF(AND($BO339&gt;0,AND($A339&lt;&gt;"",$C339&lt;&gt;"DOOR ONLY"),$X339="KD",$E339="EXTERIOR"),"KD label on an exterior opening, ","")&amp;IF(AND($E339="EXTERIOR",OR(AND(AND($A339&lt;&gt;"",$C339&lt;&gt;"DOOR ONLY"),$W339="CR"),AND(N($BC339)&gt;0,$AH339="CR"))),"exterior in CR steel (G9?), ","")&amp;IF(AND(ISNUMBER($BJ339),N($BJ339)&lt;32),"clear width ~"&amp;TEXT($BJ339,"0.0")&amp;CHAR(34)&amp;" under 32"&amp;CHAR(34)&amp;" (ADA), ","")&amp;IF(AND($BO339=90,AND(OR($BL339="FG",$BL339="HG",$BL339="FNV",$BL339="FV"),N($BM339)*N($BN339)&gt;100)),"90 min lite over 100 sq in (stair/exit), ","")&amp;IF(AND($BO339&gt;0,AND($A339&lt;&gt;"",$C339&lt;&gt;"DOOR ONLY"),OR($AF339="",$AF339="-")),"rated: closer reinf.?, ","")&amp;IF(OR($I339="CORRIDOR",$I339="SMOKE BARRIER"),"S label + smoke gasketing, ","")&amp;IF($BP339="?","wall type/hr not in IBC table, ","")&amp;IF(AND(N($BC339)&gt;0,$AU339=""),"no hardware set, ","")&amp;IF(AND($AU339&lt;&gt;"",ISNA(MATCH($AU339,HWSets,0))),"set "&amp;$AU339&amp;" not on Hardware sheet, ","")&amp;IF(N($BE339)&gt;96,"leaf over 8'-0"&amp;CHAR(34)&amp;" - check listing, ",""))</f>
        <v/>
      </c>
    </row>
    <row r="340" ht="15" customHeight="1">
      <c r="A340" s="44" t="n"/>
      <c r="B340" s="45" t="n"/>
      <c r="C340" s="45" t="n"/>
      <c r="D340" s="45" t="n"/>
      <c r="E340" s="45" t="n"/>
      <c r="F340" s="45" t="n"/>
      <c r="G340" s="45" t="n"/>
      <c r="H340" s="45" t="n"/>
      <c r="I340" s="45" t="n"/>
      <c r="J340" s="45" t="n"/>
      <c r="K340" s="45" t="n"/>
      <c r="L340" s="45" t="n"/>
      <c r="M340" s="45" t="n"/>
      <c r="N340" s="45" t="n"/>
      <c r="O340" s="45" t="n"/>
      <c r="P340" s="45" t="n"/>
      <c r="Q340" s="45" t="n"/>
      <c r="R340" s="45" t="n"/>
      <c r="S340" s="46" t="n"/>
      <c r="T340" s="46" t="n"/>
      <c r="U340" s="46" t="n"/>
      <c r="V340" s="46" t="n"/>
      <c r="W340" s="46" t="n"/>
      <c r="X340" s="46" t="n"/>
      <c r="Y340" s="46" t="n"/>
      <c r="Z340" s="46" t="n"/>
      <c r="AA340" s="46" t="n"/>
      <c r="AB340" s="46" t="n"/>
      <c r="AC340" s="46" t="n"/>
      <c r="AD340" s="46" t="n"/>
      <c r="AE340" s="46" t="n"/>
      <c r="AF340" s="46" t="n"/>
      <c r="AG340" s="46" t="n"/>
      <c r="AH340" s="47" t="n"/>
      <c r="AI340" s="47" t="n"/>
      <c r="AJ340" s="47" t="n"/>
      <c r="AK340" s="47" t="n"/>
      <c r="AL340" s="47" t="n"/>
      <c r="AM340" s="47" t="n"/>
      <c r="AN340" s="47" t="n"/>
      <c r="AO340" s="47" t="n"/>
      <c r="AP340" s="47" t="n"/>
      <c r="AQ340" s="47" t="n"/>
      <c r="AR340" s="47" t="n"/>
      <c r="AS340" s="47" t="n"/>
      <c r="AT340" s="47" t="n"/>
      <c r="AU340" s="48" t="n"/>
      <c r="AV340" s="48" t="n"/>
      <c r="AW340" s="49">
        <f>IF($A340="","",IF($BW340&lt;&gt;"","FIX",IF($BX340&lt;&gt;"","CHECK","OK")))</f>
        <v/>
      </c>
      <c r="AX340" s="50">
        <f>IF($A340="","",IF($BW340&lt;&gt;"","FIX: "&amp;LEFT($BW340,LEN($BW340)-2)&amp;IF($BX340&lt;&gt;"","  ·  ",""),"")&amp;IF($BX340&lt;&gt;"","CHECK: "&amp;LEFT($BX340,LEN($BX340)-2),""))</f>
        <v/>
      </c>
      <c r="AY340" s="49">
        <f>IF(OR($A340="",$K340=""),"",$K340&amp;"'-"&amp;N($L340)&amp;CHAR(34)&amp;" x "&amp;$M340&amp;"'-"&amp;N($N340)&amp;CHAR(34))</f>
        <v/>
      </c>
      <c r="AZ340" s="49">
        <f>IF(OR($A340="",$K340=""),"",$K340&amp;N($L340)&amp;$M340&amp;N($N340))</f>
        <v/>
      </c>
      <c r="BA340" s="49">
        <f>IF(OR($A340="",$K340=""),"",$K340*12+N($L340))</f>
        <v/>
      </c>
      <c r="BB340" s="49">
        <f>IF(OR($A340="",$M340=""),"",$M340*12+N($N340))</f>
        <v/>
      </c>
      <c r="BC340" s="49">
        <f>IF($A340="","",IF(OR($C340="FRAME ONLY",$S340="BL"),0,IF($O340="Y",2,1)))</f>
        <v/>
      </c>
      <c r="BD340" s="51">
        <f>IF(OR(N($BC340)=0,$BA340=""),"",($BA340-2*EdgeClr-IF($BC340=2,MeetClr,0))/$BC340)</f>
        <v/>
      </c>
      <c r="BE340" s="51">
        <f>IF(OR(N($BC340)=0,$BB340=""),"",$BB340-HeadClr-Undercut)</f>
        <v/>
      </c>
      <c r="BF340" s="51">
        <f>IF($BA340="","",$BA340+2*FaceW+IF(N($Q340)&gt;0,($Q340+FaceW)*IF($R340="LR",2,1),0))</f>
        <v/>
      </c>
      <c r="BG340" s="51">
        <f>IF($BB340="","",$BB340+IF($AB340="Y",4,FaceW)+IF(N($P340)&gt;0,$P340+FaceW,0)+IF(OR($S340="4F",$S340="BL"),FaceW,0))</f>
        <v/>
      </c>
      <c r="BH340" s="51">
        <f>IF($BF340="","",$BF340+2*ROSide)</f>
        <v/>
      </c>
      <c r="BI340" s="51">
        <f>IF($BG340="","",$BG340+ROTop)</f>
        <v/>
      </c>
      <c r="BJ340" s="52">
        <f>IF(OR(N($BC340)=0,$BA340=""),"",$BA340/$BC340-ClearDeduct)</f>
        <v/>
      </c>
      <c r="BK340" s="49">
        <f>IF(OR(N($BC340)=0,$BE340=""),"",IF(OR($AC340="HGC",$AP340="HGC"),"CONT",IF($BE340&lt;=60,2,IF($BE340&lt;=90,3,IF($BE340&lt;=120,4,5)))))</f>
        <v/>
      </c>
      <c r="BL340" s="49">
        <f>IF(N($BC340)=0,"",IF(OR($AL340="",$AL340="FLUSH"),"FLUSH",IFERROR(LEFT($AL340,FIND("-",$AL340)-1),LEFT($AL340,2))))</f>
        <v/>
      </c>
      <c r="BM340" s="49">
        <f>IF($BL340="","",IFERROR(VALUE(MID($AL340,FIND("-",$AL340)+1,FIND(CHAR(34)&amp;"x",$AL340)-FIND("-",$AL340)-1)),0))</f>
        <v/>
      </c>
      <c r="BN340" s="49">
        <f>IF($BL340="","",IFERROR(VALUE(MID($AL340,FIND(CHAR(34)&amp;"x",$AL340)+2,FIND(CHAR(34),$AL340,FIND(CHAR(34)&amp;"x",$AL340)+2)-FIND(CHAR(34)&amp;"x",$AL340)-2)),0))</f>
        <v/>
      </c>
      <c r="BO340" s="53">
        <f>IF(OR($A340="",$H340="",$H340="NO LAB"),0,IFERROR(VALUE(LEFT($H340,FIND(" ",$H340)-1)),0))</f>
        <v/>
      </c>
      <c r="BP340" s="54">
        <f>IF(OR($A340="",$I340="",$I340="NON-RATED",N($J340)=0),"",IFERROR(VLOOKUP($I340&amp;"|"&amp;$J340,IBC,2,FALSE),"?"))</f>
        <v/>
      </c>
      <c r="BQ340" s="50">
        <f>IF(NOT(AND($A340&lt;&gt;"",$C340&lt;&gt;"DOOR ONLY")),"",TRIM(IFERROR(VLOOKUP($U340,CODES,2,FALSE),"")&amp;" "&amp;$AZ340&amp;" "&amp;IFERROR(VLOOKUP($Z340,CODES,2,FALSE),"")&amp;" "&amp;IFERROR(VLOOKUP($X340,CODES,2,FALSE),"")&amp;" "&amp;IFERROR(VLOOKUP($S340,CODES,2,FALSE),"")&amp;IF(N($P340)&gt;0," w/TRANSOM "&amp;$P340&amp;CHAR(34),"")&amp;IF(N($Q340)&gt;0," w/SIDELITE "&amp;$Q340&amp;CHAR(34)&amp;" "&amp;IF($R340="","R",$R340),"")&amp;IF($Y340="","  |  "," | "&amp;IFERROR(VLOOKUP($Y340,CODES,2,FALSE),"")&amp;" | ")&amp;IFERROR(VLOOKUP($AC340,CODES,2,FALSE),"")&amp;" "&amp;IFERROR(VLOOKUP($AD340,CODES,2,FALSE),"")&amp;IF(OR($AE340="",$AE340="-"),""," "&amp;$AE340)&amp;IF(OR($AF340="",$AF340="-"),""," "&amp;$AF340)&amp;IF($AB340="Y"," 4"&amp;CHAR(34)&amp;" HEAD","")&amp;" "&amp;IFERROR(VLOOKUP($H340,CODES,2,FALSE),"")))</f>
        <v/>
      </c>
      <c r="BR340" s="50">
        <f>IF(NOT(AND($A340&lt;&gt;"",N($BC340)&gt;0)),"",TRIM(IFERROR(VLOOKUP($AH340,CODES,2,FALSE),"")&amp;IF($AI340=""," "," "&amp;$AI340&amp;"GA ")&amp;$AZ340&amp;" "&amp;IF($AN340="",IFERROR(VLOOKUP($Z340,CODES,2,FALSE),""),IFERROR(VLOOKUP($AN340,CODES,2,FALSE),""))&amp;IF($BC340=2," PAIR","")&amp;" DOOR | "&amp;IF($AL340="","?",$AL340)&amp;" | "&amp;IF($AP340="",IFERROR(VLOOKUP($AC340,CODES,2,FALSE),""),IFERROR(VLOOKUP($AP340,CODES,2,FALSE),""))&amp;" "&amp;IFERROR(VLOOKUP($AQ340,CODES,2,FALSE),"")&amp;IF(OR($AR340="",$AR340="-"),""," SEAM "&amp;$AR340)&amp;IF($AS340="Y"," ASTRAGAL","")&amp;IF($AJ340=""," "," "&amp;$AJ340)&amp;IF($AK340=""," "," "&amp;$AK340)&amp;IF($AO340="",""," "&amp;$AO340)&amp;IF($AM340=""," "," SERIES "&amp;$AM340)&amp;" "&amp;IFERROR(VLOOKUP($H340,CODES,2,FALSE),"")))</f>
        <v/>
      </c>
      <c r="BS340" s="49">
        <f>IF(BV340="","",IF(COUNTIF($BV$6:BV340,BV340)=1,MAX($BS$5:BS339)+1,INDEX($BS$5:BS339,MATCH(BV340,$BV$5:BV339,0))))</f>
        <v/>
      </c>
      <c r="BT340" s="49">
        <f>IF(NOT(AND($A340&lt;&gt;"",$C340&lt;&gt;"DOOR ONLY")),"",MAX($BT$5:BT339)+1)</f>
        <v/>
      </c>
      <c r="BU340" s="49">
        <f>IF(NOT(AND($A340&lt;&gt;"",N($BC340)&gt;0)),"",MAX($BU$5:BU339)+1)</f>
        <v/>
      </c>
      <c r="BV340" s="49">
        <f>IF(OR($A340="",$BA340="",$BB340=""),"",$AZ340&amp;"|"&amp;$O340&amp;"|"&amp;$AL340&amp;"|"&amp;$S340&amp;"|"&amp;$P340&amp;"|"&amp;$Q340&amp;$R340&amp;"|"&amp;$C340&amp;"|"&amp;$AB340)</f>
        <v/>
      </c>
      <c r="BW340" s="49">
        <f>IF($A340="","",IF($B340="","qty, ","")&amp;IF($C340="","scope, ","")&amp;IF(OR($K340="",$M340=""),"size, ","")&amp;IF(AND($A340&lt;&gt;"",$C340&lt;&gt;"DOOR ONLY"),IF($U340="","jamb depth, ","")&amp;IF($X340="","construction, ","")&amp;IF($Y340="","anchor, ","")&amp;IF($S340="","frame type, ",""),"")&amp;IF(AND(N($BC340)&gt;0,$Z340=""),"hand, ","")&amp;IF(N($BC340)&gt;0,IF($AH340="","door material, ","")&amp;IF($AL340="","face type, ","")&amp;IF($AQ340="","lock prep, ","")&amp;IF(AND($AP340="",$AC340=""),"hinge prep, ",""),"")&amp;IF(AND($BO340&gt;0,$AH340="FRP"),"FRP cannot carry a label, ","")&amp;IF(AND($O340="Y",OR($Z340="L",$Z340="R",$Z340="LR",$Z340="RR")),"pair marked but hand is single, ","")&amp;IF(AND($O340&lt;&gt;"Y",OR($Z340="PR",AND(LEN($Z340)&gt;1,ISNUMBER(SEARCH("-",$Z340))))),"pair hand on a single door, ","")&amp;IF(AND(ISNUMBER($BP340),$BO340&lt;N($BP340)),"wall needs a "&amp;$BP340&amp;" min door, ","")&amp;IF(AND($BO340&gt;=180,AND(OR($BL340="FG",$BL340="HG",$BL340="FNV",$BL340="FV"),N($BM340)*N($BN340)&gt;100)),"180 min lite over 100 sq in, ","")&amp;IF(N($BD340)&gt;48,"leaf wider than 4'-0"&amp;CHAR(34)&amp;", ",""))</f>
        <v/>
      </c>
      <c r="BX340" s="49">
        <f>IF($A340="","",IF(AND($BO340&gt;0,AND($A340&lt;&gt;"",$C340&lt;&gt;"DOOR ONLY"),$X340="KD",$E340="EXTERIOR"),"KD label on an exterior opening, ","")&amp;IF(AND($E340="EXTERIOR",OR(AND(AND($A340&lt;&gt;"",$C340&lt;&gt;"DOOR ONLY"),$W340="CR"),AND(N($BC340)&gt;0,$AH340="CR"))),"exterior in CR steel (G9?), ","")&amp;IF(AND(ISNUMBER($BJ340),N($BJ340)&lt;32),"clear width ~"&amp;TEXT($BJ340,"0.0")&amp;CHAR(34)&amp;" under 32"&amp;CHAR(34)&amp;" (ADA), ","")&amp;IF(AND($BO340=90,AND(OR($BL340="FG",$BL340="HG",$BL340="FNV",$BL340="FV"),N($BM340)*N($BN340)&gt;100)),"90 min lite over 100 sq in (stair/exit), ","")&amp;IF(AND($BO340&gt;0,AND($A340&lt;&gt;"",$C340&lt;&gt;"DOOR ONLY"),OR($AF340="",$AF340="-")),"rated: closer reinf.?, ","")&amp;IF(OR($I340="CORRIDOR",$I340="SMOKE BARRIER"),"S label + smoke gasketing, ","")&amp;IF($BP340="?","wall type/hr not in IBC table, ","")&amp;IF(AND(N($BC340)&gt;0,$AU340=""),"no hardware set, ","")&amp;IF(AND($AU340&lt;&gt;"",ISNA(MATCH($AU340,HWSets,0))),"set "&amp;$AU340&amp;" not on Hardware sheet, ","")&amp;IF(N($BE340)&gt;96,"leaf over 8'-0"&amp;CHAR(34)&amp;" - check listing, ",""))</f>
        <v/>
      </c>
    </row>
    <row r="341" ht="15" customHeight="1">
      <c r="A341" s="44" t="n"/>
      <c r="B341" s="45" t="n"/>
      <c r="C341" s="45" t="n"/>
      <c r="D341" s="45" t="n"/>
      <c r="E341" s="45" t="n"/>
      <c r="F341" s="45" t="n"/>
      <c r="G341" s="45" t="n"/>
      <c r="H341" s="45" t="n"/>
      <c r="I341" s="45" t="n"/>
      <c r="J341" s="45" t="n"/>
      <c r="K341" s="45" t="n"/>
      <c r="L341" s="45" t="n"/>
      <c r="M341" s="45" t="n"/>
      <c r="N341" s="45" t="n"/>
      <c r="O341" s="45" t="n"/>
      <c r="P341" s="45" t="n"/>
      <c r="Q341" s="45" t="n"/>
      <c r="R341" s="45" t="n"/>
      <c r="S341" s="46" t="n"/>
      <c r="T341" s="46" t="n"/>
      <c r="U341" s="46" t="n"/>
      <c r="V341" s="46" t="n"/>
      <c r="W341" s="46" t="n"/>
      <c r="X341" s="46" t="n"/>
      <c r="Y341" s="46" t="n"/>
      <c r="Z341" s="46" t="n"/>
      <c r="AA341" s="46" t="n"/>
      <c r="AB341" s="46" t="n"/>
      <c r="AC341" s="46" t="n"/>
      <c r="AD341" s="46" t="n"/>
      <c r="AE341" s="46" t="n"/>
      <c r="AF341" s="46" t="n"/>
      <c r="AG341" s="46" t="n"/>
      <c r="AH341" s="47" t="n"/>
      <c r="AI341" s="47" t="n"/>
      <c r="AJ341" s="47" t="n"/>
      <c r="AK341" s="47" t="n"/>
      <c r="AL341" s="47" t="n"/>
      <c r="AM341" s="47" t="n"/>
      <c r="AN341" s="47" t="n"/>
      <c r="AO341" s="47" t="n"/>
      <c r="AP341" s="47" t="n"/>
      <c r="AQ341" s="47" t="n"/>
      <c r="AR341" s="47" t="n"/>
      <c r="AS341" s="47" t="n"/>
      <c r="AT341" s="47" t="n"/>
      <c r="AU341" s="48" t="n"/>
      <c r="AV341" s="48" t="n"/>
      <c r="AW341" s="49">
        <f>IF($A341="","",IF($BW341&lt;&gt;"","FIX",IF($BX341&lt;&gt;"","CHECK","OK")))</f>
        <v/>
      </c>
      <c r="AX341" s="50">
        <f>IF($A341="","",IF($BW341&lt;&gt;"","FIX: "&amp;LEFT($BW341,LEN($BW341)-2)&amp;IF($BX341&lt;&gt;"","  ·  ",""),"")&amp;IF($BX341&lt;&gt;"","CHECK: "&amp;LEFT($BX341,LEN($BX341)-2),""))</f>
        <v/>
      </c>
      <c r="AY341" s="49">
        <f>IF(OR($A341="",$K341=""),"",$K341&amp;"'-"&amp;N($L341)&amp;CHAR(34)&amp;" x "&amp;$M341&amp;"'-"&amp;N($N341)&amp;CHAR(34))</f>
        <v/>
      </c>
      <c r="AZ341" s="49">
        <f>IF(OR($A341="",$K341=""),"",$K341&amp;N($L341)&amp;$M341&amp;N($N341))</f>
        <v/>
      </c>
      <c r="BA341" s="49">
        <f>IF(OR($A341="",$K341=""),"",$K341*12+N($L341))</f>
        <v/>
      </c>
      <c r="BB341" s="49">
        <f>IF(OR($A341="",$M341=""),"",$M341*12+N($N341))</f>
        <v/>
      </c>
      <c r="BC341" s="49">
        <f>IF($A341="","",IF(OR($C341="FRAME ONLY",$S341="BL"),0,IF($O341="Y",2,1)))</f>
        <v/>
      </c>
      <c r="BD341" s="51">
        <f>IF(OR(N($BC341)=0,$BA341=""),"",($BA341-2*EdgeClr-IF($BC341=2,MeetClr,0))/$BC341)</f>
        <v/>
      </c>
      <c r="BE341" s="51">
        <f>IF(OR(N($BC341)=0,$BB341=""),"",$BB341-HeadClr-Undercut)</f>
        <v/>
      </c>
      <c r="BF341" s="51">
        <f>IF($BA341="","",$BA341+2*FaceW+IF(N($Q341)&gt;0,($Q341+FaceW)*IF($R341="LR",2,1),0))</f>
        <v/>
      </c>
      <c r="BG341" s="51">
        <f>IF($BB341="","",$BB341+IF($AB341="Y",4,FaceW)+IF(N($P341)&gt;0,$P341+FaceW,0)+IF(OR($S341="4F",$S341="BL"),FaceW,0))</f>
        <v/>
      </c>
      <c r="BH341" s="51">
        <f>IF($BF341="","",$BF341+2*ROSide)</f>
        <v/>
      </c>
      <c r="BI341" s="51">
        <f>IF($BG341="","",$BG341+ROTop)</f>
        <v/>
      </c>
      <c r="BJ341" s="52">
        <f>IF(OR(N($BC341)=0,$BA341=""),"",$BA341/$BC341-ClearDeduct)</f>
        <v/>
      </c>
      <c r="BK341" s="49">
        <f>IF(OR(N($BC341)=0,$BE341=""),"",IF(OR($AC341="HGC",$AP341="HGC"),"CONT",IF($BE341&lt;=60,2,IF($BE341&lt;=90,3,IF($BE341&lt;=120,4,5)))))</f>
        <v/>
      </c>
      <c r="BL341" s="49">
        <f>IF(N($BC341)=0,"",IF(OR($AL341="",$AL341="FLUSH"),"FLUSH",IFERROR(LEFT($AL341,FIND("-",$AL341)-1),LEFT($AL341,2))))</f>
        <v/>
      </c>
      <c r="BM341" s="49">
        <f>IF($BL341="","",IFERROR(VALUE(MID($AL341,FIND("-",$AL341)+1,FIND(CHAR(34)&amp;"x",$AL341)-FIND("-",$AL341)-1)),0))</f>
        <v/>
      </c>
      <c r="BN341" s="49">
        <f>IF($BL341="","",IFERROR(VALUE(MID($AL341,FIND(CHAR(34)&amp;"x",$AL341)+2,FIND(CHAR(34),$AL341,FIND(CHAR(34)&amp;"x",$AL341)+2)-FIND(CHAR(34)&amp;"x",$AL341)-2)),0))</f>
        <v/>
      </c>
      <c r="BO341" s="53">
        <f>IF(OR($A341="",$H341="",$H341="NO LAB"),0,IFERROR(VALUE(LEFT($H341,FIND(" ",$H341)-1)),0))</f>
        <v/>
      </c>
      <c r="BP341" s="54">
        <f>IF(OR($A341="",$I341="",$I341="NON-RATED",N($J341)=0),"",IFERROR(VLOOKUP($I341&amp;"|"&amp;$J341,IBC,2,FALSE),"?"))</f>
        <v/>
      </c>
      <c r="BQ341" s="50">
        <f>IF(NOT(AND($A341&lt;&gt;"",$C341&lt;&gt;"DOOR ONLY")),"",TRIM(IFERROR(VLOOKUP($U341,CODES,2,FALSE),"")&amp;" "&amp;$AZ341&amp;" "&amp;IFERROR(VLOOKUP($Z341,CODES,2,FALSE),"")&amp;" "&amp;IFERROR(VLOOKUP($X341,CODES,2,FALSE),"")&amp;" "&amp;IFERROR(VLOOKUP($S341,CODES,2,FALSE),"")&amp;IF(N($P341)&gt;0," w/TRANSOM "&amp;$P341&amp;CHAR(34),"")&amp;IF(N($Q341)&gt;0," w/SIDELITE "&amp;$Q341&amp;CHAR(34)&amp;" "&amp;IF($R341="","R",$R341),"")&amp;IF($Y341="","  |  "," | "&amp;IFERROR(VLOOKUP($Y341,CODES,2,FALSE),"")&amp;" | ")&amp;IFERROR(VLOOKUP($AC341,CODES,2,FALSE),"")&amp;" "&amp;IFERROR(VLOOKUP($AD341,CODES,2,FALSE),"")&amp;IF(OR($AE341="",$AE341="-"),""," "&amp;$AE341)&amp;IF(OR($AF341="",$AF341="-"),""," "&amp;$AF341)&amp;IF($AB341="Y"," 4"&amp;CHAR(34)&amp;" HEAD","")&amp;" "&amp;IFERROR(VLOOKUP($H341,CODES,2,FALSE),"")))</f>
        <v/>
      </c>
      <c r="BR341" s="50">
        <f>IF(NOT(AND($A341&lt;&gt;"",N($BC341)&gt;0)),"",TRIM(IFERROR(VLOOKUP($AH341,CODES,2,FALSE),"")&amp;IF($AI341=""," "," "&amp;$AI341&amp;"GA ")&amp;$AZ341&amp;" "&amp;IF($AN341="",IFERROR(VLOOKUP($Z341,CODES,2,FALSE),""),IFERROR(VLOOKUP($AN341,CODES,2,FALSE),""))&amp;IF($BC341=2," PAIR","")&amp;" DOOR | "&amp;IF($AL341="","?",$AL341)&amp;" | "&amp;IF($AP341="",IFERROR(VLOOKUP($AC341,CODES,2,FALSE),""),IFERROR(VLOOKUP($AP341,CODES,2,FALSE),""))&amp;" "&amp;IFERROR(VLOOKUP($AQ341,CODES,2,FALSE),"")&amp;IF(OR($AR341="",$AR341="-"),""," SEAM "&amp;$AR341)&amp;IF($AS341="Y"," ASTRAGAL","")&amp;IF($AJ341=""," "," "&amp;$AJ341)&amp;IF($AK341=""," "," "&amp;$AK341)&amp;IF($AO341="",""," "&amp;$AO341)&amp;IF($AM341=""," "," SERIES "&amp;$AM341)&amp;" "&amp;IFERROR(VLOOKUP($H341,CODES,2,FALSE),"")))</f>
        <v/>
      </c>
      <c r="BS341" s="49">
        <f>IF(BV341="","",IF(COUNTIF($BV$6:BV341,BV341)=1,MAX($BS$5:BS340)+1,INDEX($BS$5:BS340,MATCH(BV341,$BV$5:BV340,0))))</f>
        <v/>
      </c>
      <c r="BT341" s="49">
        <f>IF(NOT(AND($A341&lt;&gt;"",$C341&lt;&gt;"DOOR ONLY")),"",MAX($BT$5:BT340)+1)</f>
        <v/>
      </c>
      <c r="BU341" s="49">
        <f>IF(NOT(AND($A341&lt;&gt;"",N($BC341)&gt;0)),"",MAX($BU$5:BU340)+1)</f>
        <v/>
      </c>
      <c r="BV341" s="49">
        <f>IF(OR($A341="",$BA341="",$BB341=""),"",$AZ341&amp;"|"&amp;$O341&amp;"|"&amp;$AL341&amp;"|"&amp;$S341&amp;"|"&amp;$P341&amp;"|"&amp;$Q341&amp;$R341&amp;"|"&amp;$C341&amp;"|"&amp;$AB341)</f>
        <v/>
      </c>
      <c r="BW341" s="49">
        <f>IF($A341="","",IF($B341="","qty, ","")&amp;IF($C341="","scope, ","")&amp;IF(OR($K341="",$M341=""),"size, ","")&amp;IF(AND($A341&lt;&gt;"",$C341&lt;&gt;"DOOR ONLY"),IF($U341="","jamb depth, ","")&amp;IF($X341="","construction, ","")&amp;IF($Y341="","anchor, ","")&amp;IF($S341="","frame type, ",""),"")&amp;IF(AND(N($BC341)&gt;0,$Z341=""),"hand, ","")&amp;IF(N($BC341)&gt;0,IF($AH341="","door material, ","")&amp;IF($AL341="","face type, ","")&amp;IF($AQ341="","lock prep, ","")&amp;IF(AND($AP341="",$AC341=""),"hinge prep, ",""),"")&amp;IF(AND($BO341&gt;0,$AH341="FRP"),"FRP cannot carry a label, ","")&amp;IF(AND($O341="Y",OR($Z341="L",$Z341="R",$Z341="LR",$Z341="RR")),"pair marked but hand is single, ","")&amp;IF(AND($O341&lt;&gt;"Y",OR($Z341="PR",AND(LEN($Z341)&gt;1,ISNUMBER(SEARCH("-",$Z341))))),"pair hand on a single door, ","")&amp;IF(AND(ISNUMBER($BP341),$BO341&lt;N($BP341)),"wall needs a "&amp;$BP341&amp;" min door, ","")&amp;IF(AND($BO341&gt;=180,AND(OR($BL341="FG",$BL341="HG",$BL341="FNV",$BL341="FV"),N($BM341)*N($BN341)&gt;100)),"180 min lite over 100 sq in, ","")&amp;IF(N($BD341)&gt;48,"leaf wider than 4'-0"&amp;CHAR(34)&amp;", ",""))</f>
        <v/>
      </c>
      <c r="BX341" s="49">
        <f>IF($A341="","",IF(AND($BO341&gt;0,AND($A341&lt;&gt;"",$C341&lt;&gt;"DOOR ONLY"),$X341="KD",$E341="EXTERIOR"),"KD label on an exterior opening, ","")&amp;IF(AND($E341="EXTERIOR",OR(AND(AND($A341&lt;&gt;"",$C341&lt;&gt;"DOOR ONLY"),$W341="CR"),AND(N($BC341)&gt;0,$AH341="CR"))),"exterior in CR steel (G9?), ","")&amp;IF(AND(ISNUMBER($BJ341),N($BJ341)&lt;32),"clear width ~"&amp;TEXT($BJ341,"0.0")&amp;CHAR(34)&amp;" under 32"&amp;CHAR(34)&amp;" (ADA), ","")&amp;IF(AND($BO341=90,AND(OR($BL341="FG",$BL341="HG",$BL341="FNV",$BL341="FV"),N($BM341)*N($BN341)&gt;100)),"90 min lite over 100 sq in (stair/exit), ","")&amp;IF(AND($BO341&gt;0,AND($A341&lt;&gt;"",$C341&lt;&gt;"DOOR ONLY"),OR($AF341="",$AF341="-")),"rated: closer reinf.?, ","")&amp;IF(OR($I341="CORRIDOR",$I341="SMOKE BARRIER"),"S label + smoke gasketing, ","")&amp;IF($BP341="?","wall type/hr not in IBC table, ","")&amp;IF(AND(N($BC341)&gt;0,$AU341=""),"no hardware set, ","")&amp;IF(AND($AU341&lt;&gt;"",ISNA(MATCH($AU341,HWSets,0))),"set "&amp;$AU341&amp;" not on Hardware sheet, ","")&amp;IF(N($BE341)&gt;96,"leaf over 8'-0"&amp;CHAR(34)&amp;" - check listing, ",""))</f>
        <v/>
      </c>
    </row>
    <row r="342" ht="15" customHeight="1">
      <c r="A342" s="44" t="n"/>
      <c r="B342" s="45" t="n"/>
      <c r="C342" s="45" t="n"/>
      <c r="D342" s="45" t="n"/>
      <c r="E342" s="45" t="n"/>
      <c r="F342" s="45" t="n"/>
      <c r="G342" s="45" t="n"/>
      <c r="H342" s="45" t="n"/>
      <c r="I342" s="45" t="n"/>
      <c r="J342" s="45" t="n"/>
      <c r="K342" s="45" t="n"/>
      <c r="L342" s="45" t="n"/>
      <c r="M342" s="45" t="n"/>
      <c r="N342" s="45" t="n"/>
      <c r="O342" s="45" t="n"/>
      <c r="P342" s="45" t="n"/>
      <c r="Q342" s="45" t="n"/>
      <c r="R342" s="45" t="n"/>
      <c r="S342" s="46" t="n"/>
      <c r="T342" s="46" t="n"/>
      <c r="U342" s="46" t="n"/>
      <c r="V342" s="46" t="n"/>
      <c r="W342" s="46" t="n"/>
      <c r="X342" s="46" t="n"/>
      <c r="Y342" s="46" t="n"/>
      <c r="Z342" s="46" t="n"/>
      <c r="AA342" s="46" t="n"/>
      <c r="AB342" s="46" t="n"/>
      <c r="AC342" s="46" t="n"/>
      <c r="AD342" s="46" t="n"/>
      <c r="AE342" s="46" t="n"/>
      <c r="AF342" s="46" t="n"/>
      <c r="AG342" s="46" t="n"/>
      <c r="AH342" s="47" t="n"/>
      <c r="AI342" s="47" t="n"/>
      <c r="AJ342" s="47" t="n"/>
      <c r="AK342" s="47" t="n"/>
      <c r="AL342" s="47" t="n"/>
      <c r="AM342" s="47" t="n"/>
      <c r="AN342" s="47" t="n"/>
      <c r="AO342" s="47" t="n"/>
      <c r="AP342" s="47" t="n"/>
      <c r="AQ342" s="47" t="n"/>
      <c r="AR342" s="47" t="n"/>
      <c r="AS342" s="47" t="n"/>
      <c r="AT342" s="47" t="n"/>
      <c r="AU342" s="48" t="n"/>
      <c r="AV342" s="48" t="n"/>
      <c r="AW342" s="49">
        <f>IF($A342="","",IF($BW342&lt;&gt;"","FIX",IF($BX342&lt;&gt;"","CHECK","OK")))</f>
        <v/>
      </c>
      <c r="AX342" s="50">
        <f>IF($A342="","",IF($BW342&lt;&gt;"","FIX: "&amp;LEFT($BW342,LEN($BW342)-2)&amp;IF($BX342&lt;&gt;"","  ·  ",""),"")&amp;IF($BX342&lt;&gt;"","CHECK: "&amp;LEFT($BX342,LEN($BX342)-2),""))</f>
        <v/>
      </c>
      <c r="AY342" s="49">
        <f>IF(OR($A342="",$K342=""),"",$K342&amp;"'-"&amp;N($L342)&amp;CHAR(34)&amp;" x "&amp;$M342&amp;"'-"&amp;N($N342)&amp;CHAR(34))</f>
        <v/>
      </c>
      <c r="AZ342" s="49">
        <f>IF(OR($A342="",$K342=""),"",$K342&amp;N($L342)&amp;$M342&amp;N($N342))</f>
        <v/>
      </c>
      <c r="BA342" s="49">
        <f>IF(OR($A342="",$K342=""),"",$K342*12+N($L342))</f>
        <v/>
      </c>
      <c r="BB342" s="49">
        <f>IF(OR($A342="",$M342=""),"",$M342*12+N($N342))</f>
        <v/>
      </c>
      <c r="BC342" s="49">
        <f>IF($A342="","",IF(OR($C342="FRAME ONLY",$S342="BL"),0,IF($O342="Y",2,1)))</f>
        <v/>
      </c>
      <c r="BD342" s="51">
        <f>IF(OR(N($BC342)=0,$BA342=""),"",($BA342-2*EdgeClr-IF($BC342=2,MeetClr,0))/$BC342)</f>
        <v/>
      </c>
      <c r="BE342" s="51">
        <f>IF(OR(N($BC342)=0,$BB342=""),"",$BB342-HeadClr-Undercut)</f>
        <v/>
      </c>
      <c r="BF342" s="51">
        <f>IF($BA342="","",$BA342+2*FaceW+IF(N($Q342)&gt;0,($Q342+FaceW)*IF($R342="LR",2,1),0))</f>
        <v/>
      </c>
      <c r="BG342" s="51">
        <f>IF($BB342="","",$BB342+IF($AB342="Y",4,FaceW)+IF(N($P342)&gt;0,$P342+FaceW,0)+IF(OR($S342="4F",$S342="BL"),FaceW,0))</f>
        <v/>
      </c>
      <c r="BH342" s="51">
        <f>IF($BF342="","",$BF342+2*ROSide)</f>
        <v/>
      </c>
      <c r="BI342" s="51">
        <f>IF($BG342="","",$BG342+ROTop)</f>
        <v/>
      </c>
      <c r="BJ342" s="52">
        <f>IF(OR(N($BC342)=0,$BA342=""),"",$BA342/$BC342-ClearDeduct)</f>
        <v/>
      </c>
      <c r="BK342" s="49">
        <f>IF(OR(N($BC342)=0,$BE342=""),"",IF(OR($AC342="HGC",$AP342="HGC"),"CONT",IF($BE342&lt;=60,2,IF($BE342&lt;=90,3,IF($BE342&lt;=120,4,5)))))</f>
        <v/>
      </c>
      <c r="BL342" s="49">
        <f>IF(N($BC342)=0,"",IF(OR($AL342="",$AL342="FLUSH"),"FLUSH",IFERROR(LEFT($AL342,FIND("-",$AL342)-1),LEFT($AL342,2))))</f>
        <v/>
      </c>
      <c r="BM342" s="49">
        <f>IF($BL342="","",IFERROR(VALUE(MID($AL342,FIND("-",$AL342)+1,FIND(CHAR(34)&amp;"x",$AL342)-FIND("-",$AL342)-1)),0))</f>
        <v/>
      </c>
      <c r="BN342" s="49">
        <f>IF($BL342="","",IFERROR(VALUE(MID($AL342,FIND(CHAR(34)&amp;"x",$AL342)+2,FIND(CHAR(34),$AL342,FIND(CHAR(34)&amp;"x",$AL342)+2)-FIND(CHAR(34)&amp;"x",$AL342)-2)),0))</f>
        <v/>
      </c>
      <c r="BO342" s="53">
        <f>IF(OR($A342="",$H342="",$H342="NO LAB"),0,IFERROR(VALUE(LEFT($H342,FIND(" ",$H342)-1)),0))</f>
        <v/>
      </c>
      <c r="BP342" s="54">
        <f>IF(OR($A342="",$I342="",$I342="NON-RATED",N($J342)=0),"",IFERROR(VLOOKUP($I342&amp;"|"&amp;$J342,IBC,2,FALSE),"?"))</f>
        <v/>
      </c>
      <c r="BQ342" s="50">
        <f>IF(NOT(AND($A342&lt;&gt;"",$C342&lt;&gt;"DOOR ONLY")),"",TRIM(IFERROR(VLOOKUP($U342,CODES,2,FALSE),"")&amp;" "&amp;$AZ342&amp;" "&amp;IFERROR(VLOOKUP($Z342,CODES,2,FALSE),"")&amp;" "&amp;IFERROR(VLOOKUP($X342,CODES,2,FALSE),"")&amp;" "&amp;IFERROR(VLOOKUP($S342,CODES,2,FALSE),"")&amp;IF(N($P342)&gt;0," w/TRANSOM "&amp;$P342&amp;CHAR(34),"")&amp;IF(N($Q342)&gt;0," w/SIDELITE "&amp;$Q342&amp;CHAR(34)&amp;" "&amp;IF($R342="","R",$R342),"")&amp;IF($Y342="","  |  "," | "&amp;IFERROR(VLOOKUP($Y342,CODES,2,FALSE),"")&amp;" | ")&amp;IFERROR(VLOOKUP($AC342,CODES,2,FALSE),"")&amp;" "&amp;IFERROR(VLOOKUP($AD342,CODES,2,FALSE),"")&amp;IF(OR($AE342="",$AE342="-"),""," "&amp;$AE342)&amp;IF(OR($AF342="",$AF342="-"),""," "&amp;$AF342)&amp;IF($AB342="Y"," 4"&amp;CHAR(34)&amp;" HEAD","")&amp;" "&amp;IFERROR(VLOOKUP($H342,CODES,2,FALSE),"")))</f>
        <v/>
      </c>
      <c r="BR342" s="50">
        <f>IF(NOT(AND($A342&lt;&gt;"",N($BC342)&gt;0)),"",TRIM(IFERROR(VLOOKUP($AH342,CODES,2,FALSE),"")&amp;IF($AI342=""," "," "&amp;$AI342&amp;"GA ")&amp;$AZ342&amp;" "&amp;IF($AN342="",IFERROR(VLOOKUP($Z342,CODES,2,FALSE),""),IFERROR(VLOOKUP($AN342,CODES,2,FALSE),""))&amp;IF($BC342=2," PAIR","")&amp;" DOOR | "&amp;IF($AL342="","?",$AL342)&amp;" | "&amp;IF($AP342="",IFERROR(VLOOKUP($AC342,CODES,2,FALSE),""),IFERROR(VLOOKUP($AP342,CODES,2,FALSE),""))&amp;" "&amp;IFERROR(VLOOKUP($AQ342,CODES,2,FALSE),"")&amp;IF(OR($AR342="",$AR342="-"),""," SEAM "&amp;$AR342)&amp;IF($AS342="Y"," ASTRAGAL","")&amp;IF($AJ342=""," "," "&amp;$AJ342)&amp;IF($AK342=""," "," "&amp;$AK342)&amp;IF($AO342="",""," "&amp;$AO342)&amp;IF($AM342=""," "," SERIES "&amp;$AM342)&amp;" "&amp;IFERROR(VLOOKUP($H342,CODES,2,FALSE),"")))</f>
        <v/>
      </c>
      <c r="BS342" s="49">
        <f>IF(BV342="","",IF(COUNTIF($BV$6:BV342,BV342)=1,MAX($BS$5:BS341)+1,INDEX($BS$5:BS341,MATCH(BV342,$BV$5:BV341,0))))</f>
        <v/>
      </c>
      <c r="BT342" s="49">
        <f>IF(NOT(AND($A342&lt;&gt;"",$C342&lt;&gt;"DOOR ONLY")),"",MAX($BT$5:BT341)+1)</f>
        <v/>
      </c>
      <c r="BU342" s="49">
        <f>IF(NOT(AND($A342&lt;&gt;"",N($BC342)&gt;0)),"",MAX($BU$5:BU341)+1)</f>
        <v/>
      </c>
      <c r="BV342" s="49">
        <f>IF(OR($A342="",$BA342="",$BB342=""),"",$AZ342&amp;"|"&amp;$O342&amp;"|"&amp;$AL342&amp;"|"&amp;$S342&amp;"|"&amp;$P342&amp;"|"&amp;$Q342&amp;$R342&amp;"|"&amp;$C342&amp;"|"&amp;$AB342)</f>
        <v/>
      </c>
      <c r="BW342" s="49">
        <f>IF($A342="","",IF($B342="","qty, ","")&amp;IF($C342="","scope, ","")&amp;IF(OR($K342="",$M342=""),"size, ","")&amp;IF(AND($A342&lt;&gt;"",$C342&lt;&gt;"DOOR ONLY"),IF($U342="","jamb depth, ","")&amp;IF($X342="","construction, ","")&amp;IF($Y342="","anchor, ","")&amp;IF($S342="","frame type, ",""),"")&amp;IF(AND(N($BC342)&gt;0,$Z342=""),"hand, ","")&amp;IF(N($BC342)&gt;0,IF($AH342="","door material, ","")&amp;IF($AL342="","face type, ","")&amp;IF($AQ342="","lock prep, ","")&amp;IF(AND($AP342="",$AC342=""),"hinge prep, ",""),"")&amp;IF(AND($BO342&gt;0,$AH342="FRP"),"FRP cannot carry a label, ","")&amp;IF(AND($O342="Y",OR($Z342="L",$Z342="R",$Z342="LR",$Z342="RR")),"pair marked but hand is single, ","")&amp;IF(AND($O342&lt;&gt;"Y",OR($Z342="PR",AND(LEN($Z342)&gt;1,ISNUMBER(SEARCH("-",$Z342))))),"pair hand on a single door, ","")&amp;IF(AND(ISNUMBER($BP342),$BO342&lt;N($BP342)),"wall needs a "&amp;$BP342&amp;" min door, ","")&amp;IF(AND($BO342&gt;=180,AND(OR($BL342="FG",$BL342="HG",$BL342="FNV",$BL342="FV"),N($BM342)*N($BN342)&gt;100)),"180 min lite over 100 sq in, ","")&amp;IF(N($BD342)&gt;48,"leaf wider than 4'-0"&amp;CHAR(34)&amp;", ",""))</f>
        <v/>
      </c>
      <c r="BX342" s="49">
        <f>IF($A342="","",IF(AND($BO342&gt;0,AND($A342&lt;&gt;"",$C342&lt;&gt;"DOOR ONLY"),$X342="KD",$E342="EXTERIOR"),"KD label on an exterior opening, ","")&amp;IF(AND($E342="EXTERIOR",OR(AND(AND($A342&lt;&gt;"",$C342&lt;&gt;"DOOR ONLY"),$W342="CR"),AND(N($BC342)&gt;0,$AH342="CR"))),"exterior in CR steel (G9?), ","")&amp;IF(AND(ISNUMBER($BJ342),N($BJ342)&lt;32),"clear width ~"&amp;TEXT($BJ342,"0.0")&amp;CHAR(34)&amp;" under 32"&amp;CHAR(34)&amp;" (ADA), ","")&amp;IF(AND($BO342=90,AND(OR($BL342="FG",$BL342="HG",$BL342="FNV",$BL342="FV"),N($BM342)*N($BN342)&gt;100)),"90 min lite over 100 sq in (stair/exit), ","")&amp;IF(AND($BO342&gt;0,AND($A342&lt;&gt;"",$C342&lt;&gt;"DOOR ONLY"),OR($AF342="",$AF342="-")),"rated: closer reinf.?, ","")&amp;IF(OR($I342="CORRIDOR",$I342="SMOKE BARRIER"),"S label + smoke gasketing, ","")&amp;IF($BP342="?","wall type/hr not in IBC table, ","")&amp;IF(AND(N($BC342)&gt;0,$AU342=""),"no hardware set, ","")&amp;IF(AND($AU342&lt;&gt;"",ISNA(MATCH($AU342,HWSets,0))),"set "&amp;$AU342&amp;" not on Hardware sheet, ","")&amp;IF(N($BE342)&gt;96,"leaf over 8'-0"&amp;CHAR(34)&amp;" - check listing, ",""))</f>
        <v/>
      </c>
    </row>
    <row r="343" ht="15" customHeight="1">
      <c r="A343" s="44" t="n"/>
      <c r="B343" s="45" t="n"/>
      <c r="C343" s="45" t="n"/>
      <c r="D343" s="45" t="n"/>
      <c r="E343" s="45" t="n"/>
      <c r="F343" s="45" t="n"/>
      <c r="G343" s="45" t="n"/>
      <c r="H343" s="45" t="n"/>
      <c r="I343" s="45" t="n"/>
      <c r="J343" s="45" t="n"/>
      <c r="K343" s="45" t="n"/>
      <c r="L343" s="45" t="n"/>
      <c r="M343" s="45" t="n"/>
      <c r="N343" s="45" t="n"/>
      <c r="O343" s="45" t="n"/>
      <c r="P343" s="45" t="n"/>
      <c r="Q343" s="45" t="n"/>
      <c r="R343" s="45" t="n"/>
      <c r="S343" s="46" t="n"/>
      <c r="T343" s="46" t="n"/>
      <c r="U343" s="46" t="n"/>
      <c r="V343" s="46" t="n"/>
      <c r="W343" s="46" t="n"/>
      <c r="X343" s="46" t="n"/>
      <c r="Y343" s="46" t="n"/>
      <c r="Z343" s="46" t="n"/>
      <c r="AA343" s="46" t="n"/>
      <c r="AB343" s="46" t="n"/>
      <c r="AC343" s="46" t="n"/>
      <c r="AD343" s="46" t="n"/>
      <c r="AE343" s="46" t="n"/>
      <c r="AF343" s="46" t="n"/>
      <c r="AG343" s="46" t="n"/>
      <c r="AH343" s="47" t="n"/>
      <c r="AI343" s="47" t="n"/>
      <c r="AJ343" s="47" t="n"/>
      <c r="AK343" s="47" t="n"/>
      <c r="AL343" s="47" t="n"/>
      <c r="AM343" s="47" t="n"/>
      <c r="AN343" s="47" t="n"/>
      <c r="AO343" s="47" t="n"/>
      <c r="AP343" s="47" t="n"/>
      <c r="AQ343" s="47" t="n"/>
      <c r="AR343" s="47" t="n"/>
      <c r="AS343" s="47" t="n"/>
      <c r="AT343" s="47" t="n"/>
      <c r="AU343" s="48" t="n"/>
      <c r="AV343" s="48" t="n"/>
      <c r="AW343" s="49">
        <f>IF($A343="","",IF($BW343&lt;&gt;"","FIX",IF($BX343&lt;&gt;"","CHECK","OK")))</f>
        <v/>
      </c>
      <c r="AX343" s="50">
        <f>IF($A343="","",IF($BW343&lt;&gt;"","FIX: "&amp;LEFT($BW343,LEN($BW343)-2)&amp;IF($BX343&lt;&gt;"","  ·  ",""),"")&amp;IF($BX343&lt;&gt;"","CHECK: "&amp;LEFT($BX343,LEN($BX343)-2),""))</f>
        <v/>
      </c>
      <c r="AY343" s="49">
        <f>IF(OR($A343="",$K343=""),"",$K343&amp;"'-"&amp;N($L343)&amp;CHAR(34)&amp;" x "&amp;$M343&amp;"'-"&amp;N($N343)&amp;CHAR(34))</f>
        <v/>
      </c>
      <c r="AZ343" s="49">
        <f>IF(OR($A343="",$K343=""),"",$K343&amp;N($L343)&amp;$M343&amp;N($N343))</f>
        <v/>
      </c>
      <c r="BA343" s="49">
        <f>IF(OR($A343="",$K343=""),"",$K343*12+N($L343))</f>
        <v/>
      </c>
      <c r="BB343" s="49">
        <f>IF(OR($A343="",$M343=""),"",$M343*12+N($N343))</f>
        <v/>
      </c>
      <c r="BC343" s="49">
        <f>IF($A343="","",IF(OR($C343="FRAME ONLY",$S343="BL"),0,IF($O343="Y",2,1)))</f>
        <v/>
      </c>
      <c r="BD343" s="51">
        <f>IF(OR(N($BC343)=0,$BA343=""),"",($BA343-2*EdgeClr-IF($BC343=2,MeetClr,0))/$BC343)</f>
        <v/>
      </c>
      <c r="BE343" s="51">
        <f>IF(OR(N($BC343)=0,$BB343=""),"",$BB343-HeadClr-Undercut)</f>
        <v/>
      </c>
      <c r="BF343" s="51">
        <f>IF($BA343="","",$BA343+2*FaceW+IF(N($Q343)&gt;0,($Q343+FaceW)*IF($R343="LR",2,1),0))</f>
        <v/>
      </c>
      <c r="BG343" s="51">
        <f>IF($BB343="","",$BB343+IF($AB343="Y",4,FaceW)+IF(N($P343)&gt;0,$P343+FaceW,0)+IF(OR($S343="4F",$S343="BL"),FaceW,0))</f>
        <v/>
      </c>
      <c r="BH343" s="51">
        <f>IF($BF343="","",$BF343+2*ROSide)</f>
        <v/>
      </c>
      <c r="BI343" s="51">
        <f>IF($BG343="","",$BG343+ROTop)</f>
        <v/>
      </c>
      <c r="BJ343" s="52">
        <f>IF(OR(N($BC343)=0,$BA343=""),"",$BA343/$BC343-ClearDeduct)</f>
        <v/>
      </c>
      <c r="BK343" s="49">
        <f>IF(OR(N($BC343)=0,$BE343=""),"",IF(OR($AC343="HGC",$AP343="HGC"),"CONT",IF($BE343&lt;=60,2,IF($BE343&lt;=90,3,IF($BE343&lt;=120,4,5)))))</f>
        <v/>
      </c>
      <c r="BL343" s="49">
        <f>IF(N($BC343)=0,"",IF(OR($AL343="",$AL343="FLUSH"),"FLUSH",IFERROR(LEFT($AL343,FIND("-",$AL343)-1),LEFT($AL343,2))))</f>
        <v/>
      </c>
      <c r="BM343" s="49">
        <f>IF($BL343="","",IFERROR(VALUE(MID($AL343,FIND("-",$AL343)+1,FIND(CHAR(34)&amp;"x",$AL343)-FIND("-",$AL343)-1)),0))</f>
        <v/>
      </c>
      <c r="BN343" s="49">
        <f>IF($BL343="","",IFERROR(VALUE(MID($AL343,FIND(CHAR(34)&amp;"x",$AL343)+2,FIND(CHAR(34),$AL343,FIND(CHAR(34)&amp;"x",$AL343)+2)-FIND(CHAR(34)&amp;"x",$AL343)-2)),0))</f>
        <v/>
      </c>
      <c r="BO343" s="53">
        <f>IF(OR($A343="",$H343="",$H343="NO LAB"),0,IFERROR(VALUE(LEFT($H343,FIND(" ",$H343)-1)),0))</f>
        <v/>
      </c>
      <c r="BP343" s="54">
        <f>IF(OR($A343="",$I343="",$I343="NON-RATED",N($J343)=0),"",IFERROR(VLOOKUP($I343&amp;"|"&amp;$J343,IBC,2,FALSE),"?"))</f>
        <v/>
      </c>
      <c r="BQ343" s="50">
        <f>IF(NOT(AND($A343&lt;&gt;"",$C343&lt;&gt;"DOOR ONLY")),"",TRIM(IFERROR(VLOOKUP($U343,CODES,2,FALSE),"")&amp;" "&amp;$AZ343&amp;" "&amp;IFERROR(VLOOKUP($Z343,CODES,2,FALSE),"")&amp;" "&amp;IFERROR(VLOOKUP($X343,CODES,2,FALSE),"")&amp;" "&amp;IFERROR(VLOOKUP($S343,CODES,2,FALSE),"")&amp;IF(N($P343)&gt;0," w/TRANSOM "&amp;$P343&amp;CHAR(34),"")&amp;IF(N($Q343)&gt;0," w/SIDELITE "&amp;$Q343&amp;CHAR(34)&amp;" "&amp;IF($R343="","R",$R343),"")&amp;IF($Y343="","  |  "," | "&amp;IFERROR(VLOOKUP($Y343,CODES,2,FALSE),"")&amp;" | ")&amp;IFERROR(VLOOKUP($AC343,CODES,2,FALSE),"")&amp;" "&amp;IFERROR(VLOOKUP($AD343,CODES,2,FALSE),"")&amp;IF(OR($AE343="",$AE343="-"),""," "&amp;$AE343)&amp;IF(OR($AF343="",$AF343="-"),""," "&amp;$AF343)&amp;IF($AB343="Y"," 4"&amp;CHAR(34)&amp;" HEAD","")&amp;" "&amp;IFERROR(VLOOKUP($H343,CODES,2,FALSE),"")))</f>
        <v/>
      </c>
      <c r="BR343" s="50">
        <f>IF(NOT(AND($A343&lt;&gt;"",N($BC343)&gt;0)),"",TRIM(IFERROR(VLOOKUP($AH343,CODES,2,FALSE),"")&amp;IF($AI343=""," "," "&amp;$AI343&amp;"GA ")&amp;$AZ343&amp;" "&amp;IF($AN343="",IFERROR(VLOOKUP($Z343,CODES,2,FALSE),""),IFERROR(VLOOKUP($AN343,CODES,2,FALSE),""))&amp;IF($BC343=2," PAIR","")&amp;" DOOR | "&amp;IF($AL343="","?",$AL343)&amp;" | "&amp;IF($AP343="",IFERROR(VLOOKUP($AC343,CODES,2,FALSE),""),IFERROR(VLOOKUP($AP343,CODES,2,FALSE),""))&amp;" "&amp;IFERROR(VLOOKUP($AQ343,CODES,2,FALSE),"")&amp;IF(OR($AR343="",$AR343="-"),""," SEAM "&amp;$AR343)&amp;IF($AS343="Y"," ASTRAGAL","")&amp;IF($AJ343=""," "," "&amp;$AJ343)&amp;IF($AK343=""," "," "&amp;$AK343)&amp;IF($AO343="",""," "&amp;$AO343)&amp;IF($AM343=""," "," SERIES "&amp;$AM343)&amp;" "&amp;IFERROR(VLOOKUP($H343,CODES,2,FALSE),"")))</f>
        <v/>
      </c>
      <c r="BS343" s="49">
        <f>IF(BV343="","",IF(COUNTIF($BV$6:BV343,BV343)=1,MAX($BS$5:BS342)+1,INDEX($BS$5:BS342,MATCH(BV343,$BV$5:BV342,0))))</f>
        <v/>
      </c>
      <c r="BT343" s="49">
        <f>IF(NOT(AND($A343&lt;&gt;"",$C343&lt;&gt;"DOOR ONLY")),"",MAX($BT$5:BT342)+1)</f>
        <v/>
      </c>
      <c r="BU343" s="49">
        <f>IF(NOT(AND($A343&lt;&gt;"",N($BC343)&gt;0)),"",MAX($BU$5:BU342)+1)</f>
        <v/>
      </c>
      <c r="BV343" s="49">
        <f>IF(OR($A343="",$BA343="",$BB343=""),"",$AZ343&amp;"|"&amp;$O343&amp;"|"&amp;$AL343&amp;"|"&amp;$S343&amp;"|"&amp;$P343&amp;"|"&amp;$Q343&amp;$R343&amp;"|"&amp;$C343&amp;"|"&amp;$AB343)</f>
        <v/>
      </c>
      <c r="BW343" s="49">
        <f>IF($A343="","",IF($B343="","qty, ","")&amp;IF($C343="","scope, ","")&amp;IF(OR($K343="",$M343=""),"size, ","")&amp;IF(AND($A343&lt;&gt;"",$C343&lt;&gt;"DOOR ONLY"),IF($U343="","jamb depth, ","")&amp;IF($X343="","construction, ","")&amp;IF($Y343="","anchor, ","")&amp;IF($S343="","frame type, ",""),"")&amp;IF(AND(N($BC343)&gt;0,$Z343=""),"hand, ","")&amp;IF(N($BC343)&gt;0,IF($AH343="","door material, ","")&amp;IF($AL343="","face type, ","")&amp;IF($AQ343="","lock prep, ","")&amp;IF(AND($AP343="",$AC343=""),"hinge prep, ",""),"")&amp;IF(AND($BO343&gt;0,$AH343="FRP"),"FRP cannot carry a label, ","")&amp;IF(AND($O343="Y",OR($Z343="L",$Z343="R",$Z343="LR",$Z343="RR")),"pair marked but hand is single, ","")&amp;IF(AND($O343&lt;&gt;"Y",OR($Z343="PR",AND(LEN($Z343)&gt;1,ISNUMBER(SEARCH("-",$Z343))))),"pair hand on a single door, ","")&amp;IF(AND(ISNUMBER($BP343),$BO343&lt;N($BP343)),"wall needs a "&amp;$BP343&amp;" min door, ","")&amp;IF(AND($BO343&gt;=180,AND(OR($BL343="FG",$BL343="HG",$BL343="FNV",$BL343="FV"),N($BM343)*N($BN343)&gt;100)),"180 min lite over 100 sq in, ","")&amp;IF(N($BD343)&gt;48,"leaf wider than 4'-0"&amp;CHAR(34)&amp;", ",""))</f>
        <v/>
      </c>
      <c r="BX343" s="49">
        <f>IF($A343="","",IF(AND($BO343&gt;0,AND($A343&lt;&gt;"",$C343&lt;&gt;"DOOR ONLY"),$X343="KD",$E343="EXTERIOR"),"KD label on an exterior opening, ","")&amp;IF(AND($E343="EXTERIOR",OR(AND(AND($A343&lt;&gt;"",$C343&lt;&gt;"DOOR ONLY"),$W343="CR"),AND(N($BC343)&gt;0,$AH343="CR"))),"exterior in CR steel (G9?), ","")&amp;IF(AND(ISNUMBER($BJ343),N($BJ343)&lt;32),"clear width ~"&amp;TEXT($BJ343,"0.0")&amp;CHAR(34)&amp;" under 32"&amp;CHAR(34)&amp;" (ADA), ","")&amp;IF(AND($BO343=90,AND(OR($BL343="FG",$BL343="HG",$BL343="FNV",$BL343="FV"),N($BM343)*N($BN343)&gt;100)),"90 min lite over 100 sq in (stair/exit), ","")&amp;IF(AND($BO343&gt;0,AND($A343&lt;&gt;"",$C343&lt;&gt;"DOOR ONLY"),OR($AF343="",$AF343="-")),"rated: closer reinf.?, ","")&amp;IF(OR($I343="CORRIDOR",$I343="SMOKE BARRIER"),"S label + smoke gasketing, ","")&amp;IF($BP343="?","wall type/hr not in IBC table, ","")&amp;IF(AND(N($BC343)&gt;0,$AU343=""),"no hardware set, ","")&amp;IF(AND($AU343&lt;&gt;"",ISNA(MATCH($AU343,HWSets,0))),"set "&amp;$AU343&amp;" not on Hardware sheet, ","")&amp;IF(N($BE343)&gt;96,"leaf over 8'-0"&amp;CHAR(34)&amp;" - check listing, ",""))</f>
        <v/>
      </c>
    </row>
    <row r="344" ht="15" customHeight="1">
      <c r="A344" s="44" t="n"/>
      <c r="B344" s="45" t="n"/>
      <c r="C344" s="45" t="n"/>
      <c r="D344" s="45" t="n"/>
      <c r="E344" s="45" t="n"/>
      <c r="F344" s="45" t="n"/>
      <c r="G344" s="45" t="n"/>
      <c r="H344" s="45" t="n"/>
      <c r="I344" s="45" t="n"/>
      <c r="J344" s="45" t="n"/>
      <c r="K344" s="45" t="n"/>
      <c r="L344" s="45" t="n"/>
      <c r="M344" s="45" t="n"/>
      <c r="N344" s="45" t="n"/>
      <c r="O344" s="45" t="n"/>
      <c r="P344" s="45" t="n"/>
      <c r="Q344" s="45" t="n"/>
      <c r="R344" s="45" t="n"/>
      <c r="S344" s="46" t="n"/>
      <c r="T344" s="46" t="n"/>
      <c r="U344" s="46" t="n"/>
      <c r="V344" s="46" t="n"/>
      <c r="W344" s="46" t="n"/>
      <c r="X344" s="46" t="n"/>
      <c r="Y344" s="46" t="n"/>
      <c r="Z344" s="46" t="n"/>
      <c r="AA344" s="46" t="n"/>
      <c r="AB344" s="46" t="n"/>
      <c r="AC344" s="46" t="n"/>
      <c r="AD344" s="46" t="n"/>
      <c r="AE344" s="46" t="n"/>
      <c r="AF344" s="46" t="n"/>
      <c r="AG344" s="46" t="n"/>
      <c r="AH344" s="47" t="n"/>
      <c r="AI344" s="47" t="n"/>
      <c r="AJ344" s="47" t="n"/>
      <c r="AK344" s="47" t="n"/>
      <c r="AL344" s="47" t="n"/>
      <c r="AM344" s="47" t="n"/>
      <c r="AN344" s="47" t="n"/>
      <c r="AO344" s="47" t="n"/>
      <c r="AP344" s="47" t="n"/>
      <c r="AQ344" s="47" t="n"/>
      <c r="AR344" s="47" t="n"/>
      <c r="AS344" s="47" t="n"/>
      <c r="AT344" s="47" t="n"/>
      <c r="AU344" s="48" t="n"/>
      <c r="AV344" s="48" t="n"/>
      <c r="AW344" s="49">
        <f>IF($A344="","",IF($BW344&lt;&gt;"","FIX",IF($BX344&lt;&gt;"","CHECK","OK")))</f>
        <v/>
      </c>
      <c r="AX344" s="50">
        <f>IF($A344="","",IF($BW344&lt;&gt;"","FIX: "&amp;LEFT($BW344,LEN($BW344)-2)&amp;IF($BX344&lt;&gt;"","  ·  ",""),"")&amp;IF($BX344&lt;&gt;"","CHECK: "&amp;LEFT($BX344,LEN($BX344)-2),""))</f>
        <v/>
      </c>
      <c r="AY344" s="49">
        <f>IF(OR($A344="",$K344=""),"",$K344&amp;"'-"&amp;N($L344)&amp;CHAR(34)&amp;" x "&amp;$M344&amp;"'-"&amp;N($N344)&amp;CHAR(34))</f>
        <v/>
      </c>
      <c r="AZ344" s="49">
        <f>IF(OR($A344="",$K344=""),"",$K344&amp;N($L344)&amp;$M344&amp;N($N344))</f>
        <v/>
      </c>
      <c r="BA344" s="49">
        <f>IF(OR($A344="",$K344=""),"",$K344*12+N($L344))</f>
        <v/>
      </c>
      <c r="BB344" s="49">
        <f>IF(OR($A344="",$M344=""),"",$M344*12+N($N344))</f>
        <v/>
      </c>
      <c r="BC344" s="49">
        <f>IF($A344="","",IF(OR($C344="FRAME ONLY",$S344="BL"),0,IF($O344="Y",2,1)))</f>
        <v/>
      </c>
      <c r="BD344" s="51">
        <f>IF(OR(N($BC344)=0,$BA344=""),"",($BA344-2*EdgeClr-IF($BC344=2,MeetClr,0))/$BC344)</f>
        <v/>
      </c>
      <c r="BE344" s="51">
        <f>IF(OR(N($BC344)=0,$BB344=""),"",$BB344-HeadClr-Undercut)</f>
        <v/>
      </c>
      <c r="BF344" s="51">
        <f>IF($BA344="","",$BA344+2*FaceW+IF(N($Q344)&gt;0,($Q344+FaceW)*IF($R344="LR",2,1),0))</f>
        <v/>
      </c>
      <c r="BG344" s="51">
        <f>IF($BB344="","",$BB344+IF($AB344="Y",4,FaceW)+IF(N($P344)&gt;0,$P344+FaceW,0)+IF(OR($S344="4F",$S344="BL"),FaceW,0))</f>
        <v/>
      </c>
      <c r="BH344" s="51">
        <f>IF($BF344="","",$BF344+2*ROSide)</f>
        <v/>
      </c>
      <c r="BI344" s="51">
        <f>IF($BG344="","",$BG344+ROTop)</f>
        <v/>
      </c>
      <c r="BJ344" s="52">
        <f>IF(OR(N($BC344)=0,$BA344=""),"",$BA344/$BC344-ClearDeduct)</f>
        <v/>
      </c>
      <c r="BK344" s="49">
        <f>IF(OR(N($BC344)=0,$BE344=""),"",IF(OR($AC344="HGC",$AP344="HGC"),"CONT",IF($BE344&lt;=60,2,IF($BE344&lt;=90,3,IF($BE344&lt;=120,4,5)))))</f>
        <v/>
      </c>
      <c r="BL344" s="49">
        <f>IF(N($BC344)=0,"",IF(OR($AL344="",$AL344="FLUSH"),"FLUSH",IFERROR(LEFT($AL344,FIND("-",$AL344)-1),LEFT($AL344,2))))</f>
        <v/>
      </c>
      <c r="BM344" s="49">
        <f>IF($BL344="","",IFERROR(VALUE(MID($AL344,FIND("-",$AL344)+1,FIND(CHAR(34)&amp;"x",$AL344)-FIND("-",$AL344)-1)),0))</f>
        <v/>
      </c>
      <c r="BN344" s="49">
        <f>IF($BL344="","",IFERROR(VALUE(MID($AL344,FIND(CHAR(34)&amp;"x",$AL344)+2,FIND(CHAR(34),$AL344,FIND(CHAR(34)&amp;"x",$AL344)+2)-FIND(CHAR(34)&amp;"x",$AL344)-2)),0))</f>
        <v/>
      </c>
      <c r="BO344" s="53">
        <f>IF(OR($A344="",$H344="",$H344="NO LAB"),0,IFERROR(VALUE(LEFT($H344,FIND(" ",$H344)-1)),0))</f>
        <v/>
      </c>
      <c r="BP344" s="54">
        <f>IF(OR($A344="",$I344="",$I344="NON-RATED",N($J344)=0),"",IFERROR(VLOOKUP($I344&amp;"|"&amp;$J344,IBC,2,FALSE),"?"))</f>
        <v/>
      </c>
      <c r="BQ344" s="50">
        <f>IF(NOT(AND($A344&lt;&gt;"",$C344&lt;&gt;"DOOR ONLY")),"",TRIM(IFERROR(VLOOKUP($U344,CODES,2,FALSE),"")&amp;" "&amp;$AZ344&amp;" "&amp;IFERROR(VLOOKUP($Z344,CODES,2,FALSE),"")&amp;" "&amp;IFERROR(VLOOKUP($X344,CODES,2,FALSE),"")&amp;" "&amp;IFERROR(VLOOKUP($S344,CODES,2,FALSE),"")&amp;IF(N($P344)&gt;0," w/TRANSOM "&amp;$P344&amp;CHAR(34),"")&amp;IF(N($Q344)&gt;0," w/SIDELITE "&amp;$Q344&amp;CHAR(34)&amp;" "&amp;IF($R344="","R",$R344),"")&amp;IF($Y344="","  |  "," | "&amp;IFERROR(VLOOKUP($Y344,CODES,2,FALSE),"")&amp;" | ")&amp;IFERROR(VLOOKUP($AC344,CODES,2,FALSE),"")&amp;" "&amp;IFERROR(VLOOKUP($AD344,CODES,2,FALSE),"")&amp;IF(OR($AE344="",$AE344="-"),""," "&amp;$AE344)&amp;IF(OR($AF344="",$AF344="-"),""," "&amp;$AF344)&amp;IF($AB344="Y"," 4"&amp;CHAR(34)&amp;" HEAD","")&amp;" "&amp;IFERROR(VLOOKUP($H344,CODES,2,FALSE),"")))</f>
        <v/>
      </c>
      <c r="BR344" s="50">
        <f>IF(NOT(AND($A344&lt;&gt;"",N($BC344)&gt;0)),"",TRIM(IFERROR(VLOOKUP($AH344,CODES,2,FALSE),"")&amp;IF($AI344=""," "," "&amp;$AI344&amp;"GA ")&amp;$AZ344&amp;" "&amp;IF($AN344="",IFERROR(VLOOKUP($Z344,CODES,2,FALSE),""),IFERROR(VLOOKUP($AN344,CODES,2,FALSE),""))&amp;IF($BC344=2," PAIR","")&amp;" DOOR | "&amp;IF($AL344="","?",$AL344)&amp;" | "&amp;IF($AP344="",IFERROR(VLOOKUP($AC344,CODES,2,FALSE),""),IFERROR(VLOOKUP($AP344,CODES,2,FALSE),""))&amp;" "&amp;IFERROR(VLOOKUP($AQ344,CODES,2,FALSE),"")&amp;IF(OR($AR344="",$AR344="-"),""," SEAM "&amp;$AR344)&amp;IF($AS344="Y"," ASTRAGAL","")&amp;IF($AJ344=""," "," "&amp;$AJ344)&amp;IF($AK344=""," "," "&amp;$AK344)&amp;IF($AO344="",""," "&amp;$AO344)&amp;IF($AM344=""," "," SERIES "&amp;$AM344)&amp;" "&amp;IFERROR(VLOOKUP($H344,CODES,2,FALSE),"")))</f>
        <v/>
      </c>
      <c r="BS344" s="49">
        <f>IF(BV344="","",IF(COUNTIF($BV$6:BV344,BV344)=1,MAX($BS$5:BS343)+1,INDEX($BS$5:BS343,MATCH(BV344,$BV$5:BV343,0))))</f>
        <v/>
      </c>
      <c r="BT344" s="49">
        <f>IF(NOT(AND($A344&lt;&gt;"",$C344&lt;&gt;"DOOR ONLY")),"",MAX($BT$5:BT343)+1)</f>
        <v/>
      </c>
      <c r="BU344" s="49">
        <f>IF(NOT(AND($A344&lt;&gt;"",N($BC344)&gt;0)),"",MAX($BU$5:BU343)+1)</f>
        <v/>
      </c>
      <c r="BV344" s="49">
        <f>IF(OR($A344="",$BA344="",$BB344=""),"",$AZ344&amp;"|"&amp;$O344&amp;"|"&amp;$AL344&amp;"|"&amp;$S344&amp;"|"&amp;$P344&amp;"|"&amp;$Q344&amp;$R344&amp;"|"&amp;$C344&amp;"|"&amp;$AB344)</f>
        <v/>
      </c>
      <c r="BW344" s="49">
        <f>IF($A344="","",IF($B344="","qty, ","")&amp;IF($C344="","scope, ","")&amp;IF(OR($K344="",$M344=""),"size, ","")&amp;IF(AND($A344&lt;&gt;"",$C344&lt;&gt;"DOOR ONLY"),IF($U344="","jamb depth, ","")&amp;IF($X344="","construction, ","")&amp;IF($Y344="","anchor, ","")&amp;IF($S344="","frame type, ",""),"")&amp;IF(AND(N($BC344)&gt;0,$Z344=""),"hand, ","")&amp;IF(N($BC344)&gt;0,IF($AH344="","door material, ","")&amp;IF($AL344="","face type, ","")&amp;IF($AQ344="","lock prep, ","")&amp;IF(AND($AP344="",$AC344=""),"hinge prep, ",""),"")&amp;IF(AND($BO344&gt;0,$AH344="FRP"),"FRP cannot carry a label, ","")&amp;IF(AND($O344="Y",OR($Z344="L",$Z344="R",$Z344="LR",$Z344="RR")),"pair marked but hand is single, ","")&amp;IF(AND($O344&lt;&gt;"Y",OR($Z344="PR",AND(LEN($Z344)&gt;1,ISNUMBER(SEARCH("-",$Z344))))),"pair hand on a single door, ","")&amp;IF(AND(ISNUMBER($BP344),$BO344&lt;N($BP344)),"wall needs a "&amp;$BP344&amp;" min door, ","")&amp;IF(AND($BO344&gt;=180,AND(OR($BL344="FG",$BL344="HG",$BL344="FNV",$BL344="FV"),N($BM344)*N($BN344)&gt;100)),"180 min lite over 100 sq in, ","")&amp;IF(N($BD344)&gt;48,"leaf wider than 4'-0"&amp;CHAR(34)&amp;", ",""))</f>
        <v/>
      </c>
      <c r="BX344" s="49">
        <f>IF($A344="","",IF(AND($BO344&gt;0,AND($A344&lt;&gt;"",$C344&lt;&gt;"DOOR ONLY"),$X344="KD",$E344="EXTERIOR"),"KD label on an exterior opening, ","")&amp;IF(AND($E344="EXTERIOR",OR(AND(AND($A344&lt;&gt;"",$C344&lt;&gt;"DOOR ONLY"),$W344="CR"),AND(N($BC344)&gt;0,$AH344="CR"))),"exterior in CR steel (G9?), ","")&amp;IF(AND(ISNUMBER($BJ344),N($BJ344)&lt;32),"clear width ~"&amp;TEXT($BJ344,"0.0")&amp;CHAR(34)&amp;" under 32"&amp;CHAR(34)&amp;" (ADA), ","")&amp;IF(AND($BO344=90,AND(OR($BL344="FG",$BL344="HG",$BL344="FNV",$BL344="FV"),N($BM344)*N($BN344)&gt;100)),"90 min lite over 100 sq in (stair/exit), ","")&amp;IF(AND($BO344&gt;0,AND($A344&lt;&gt;"",$C344&lt;&gt;"DOOR ONLY"),OR($AF344="",$AF344="-")),"rated: closer reinf.?, ","")&amp;IF(OR($I344="CORRIDOR",$I344="SMOKE BARRIER"),"S label + smoke gasketing, ","")&amp;IF($BP344="?","wall type/hr not in IBC table, ","")&amp;IF(AND(N($BC344)&gt;0,$AU344=""),"no hardware set, ","")&amp;IF(AND($AU344&lt;&gt;"",ISNA(MATCH($AU344,HWSets,0))),"set "&amp;$AU344&amp;" not on Hardware sheet, ","")&amp;IF(N($BE344)&gt;96,"leaf over 8'-0"&amp;CHAR(34)&amp;" - check listing, ",""))</f>
        <v/>
      </c>
    </row>
    <row r="345" ht="15" customHeight="1">
      <c r="A345" s="44" t="n"/>
      <c r="B345" s="45" t="n"/>
      <c r="C345" s="45" t="n"/>
      <c r="D345" s="45" t="n"/>
      <c r="E345" s="45" t="n"/>
      <c r="F345" s="45" t="n"/>
      <c r="G345" s="45" t="n"/>
      <c r="H345" s="45" t="n"/>
      <c r="I345" s="45" t="n"/>
      <c r="J345" s="45" t="n"/>
      <c r="K345" s="45" t="n"/>
      <c r="L345" s="45" t="n"/>
      <c r="M345" s="45" t="n"/>
      <c r="N345" s="45" t="n"/>
      <c r="O345" s="45" t="n"/>
      <c r="P345" s="45" t="n"/>
      <c r="Q345" s="45" t="n"/>
      <c r="R345" s="45" t="n"/>
      <c r="S345" s="46" t="n"/>
      <c r="T345" s="46" t="n"/>
      <c r="U345" s="46" t="n"/>
      <c r="V345" s="46" t="n"/>
      <c r="W345" s="46" t="n"/>
      <c r="X345" s="46" t="n"/>
      <c r="Y345" s="46" t="n"/>
      <c r="Z345" s="46" t="n"/>
      <c r="AA345" s="46" t="n"/>
      <c r="AB345" s="46" t="n"/>
      <c r="AC345" s="46" t="n"/>
      <c r="AD345" s="46" t="n"/>
      <c r="AE345" s="46" t="n"/>
      <c r="AF345" s="46" t="n"/>
      <c r="AG345" s="46" t="n"/>
      <c r="AH345" s="47" t="n"/>
      <c r="AI345" s="47" t="n"/>
      <c r="AJ345" s="47" t="n"/>
      <c r="AK345" s="47" t="n"/>
      <c r="AL345" s="47" t="n"/>
      <c r="AM345" s="47" t="n"/>
      <c r="AN345" s="47" t="n"/>
      <c r="AO345" s="47" t="n"/>
      <c r="AP345" s="47" t="n"/>
      <c r="AQ345" s="47" t="n"/>
      <c r="AR345" s="47" t="n"/>
      <c r="AS345" s="47" t="n"/>
      <c r="AT345" s="47" t="n"/>
      <c r="AU345" s="48" t="n"/>
      <c r="AV345" s="48" t="n"/>
      <c r="AW345" s="49">
        <f>IF($A345="","",IF($BW345&lt;&gt;"","FIX",IF($BX345&lt;&gt;"","CHECK","OK")))</f>
        <v/>
      </c>
      <c r="AX345" s="50">
        <f>IF($A345="","",IF($BW345&lt;&gt;"","FIX: "&amp;LEFT($BW345,LEN($BW345)-2)&amp;IF($BX345&lt;&gt;"","  ·  ",""),"")&amp;IF($BX345&lt;&gt;"","CHECK: "&amp;LEFT($BX345,LEN($BX345)-2),""))</f>
        <v/>
      </c>
      <c r="AY345" s="49">
        <f>IF(OR($A345="",$K345=""),"",$K345&amp;"'-"&amp;N($L345)&amp;CHAR(34)&amp;" x "&amp;$M345&amp;"'-"&amp;N($N345)&amp;CHAR(34))</f>
        <v/>
      </c>
      <c r="AZ345" s="49">
        <f>IF(OR($A345="",$K345=""),"",$K345&amp;N($L345)&amp;$M345&amp;N($N345))</f>
        <v/>
      </c>
      <c r="BA345" s="49">
        <f>IF(OR($A345="",$K345=""),"",$K345*12+N($L345))</f>
        <v/>
      </c>
      <c r="BB345" s="49">
        <f>IF(OR($A345="",$M345=""),"",$M345*12+N($N345))</f>
        <v/>
      </c>
      <c r="BC345" s="49">
        <f>IF($A345="","",IF(OR($C345="FRAME ONLY",$S345="BL"),0,IF($O345="Y",2,1)))</f>
        <v/>
      </c>
      <c r="BD345" s="51">
        <f>IF(OR(N($BC345)=0,$BA345=""),"",($BA345-2*EdgeClr-IF($BC345=2,MeetClr,0))/$BC345)</f>
        <v/>
      </c>
      <c r="BE345" s="51">
        <f>IF(OR(N($BC345)=0,$BB345=""),"",$BB345-HeadClr-Undercut)</f>
        <v/>
      </c>
      <c r="BF345" s="51">
        <f>IF($BA345="","",$BA345+2*FaceW+IF(N($Q345)&gt;0,($Q345+FaceW)*IF($R345="LR",2,1),0))</f>
        <v/>
      </c>
      <c r="BG345" s="51">
        <f>IF($BB345="","",$BB345+IF($AB345="Y",4,FaceW)+IF(N($P345)&gt;0,$P345+FaceW,0)+IF(OR($S345="4F",$S345="BL"),FaceW,0))</f>
        <v/>
      </c>
      <c r="BH345" s="51">
        <f>IF($BF345="","",$BF345+2*ROSide)</f>
        <v/>
      </c>
      <c r="BI345" s="51">
        <f>IF($BG345="","",$BG345+ROTop)</f>
        <v/>
      </c>
      <c r="BJ345" s="52">
        <f>IF(OR(N($BC345)=0,$BA345=""),"",$BA345/$BC345-ClearDeduct)</f>
        <v/>
      </c>
      <c r="BK345" s="49">
        <f>IF(OR(N($BC345)=0,$BE345=""),"",IF(OR($AC345="HGC",$AP345="HGC"),"CONT",IF($BE345&lt;=60,2,IF($BE345&lt;=90,3,IF($BE345&lt;=120,4,5)))))</f>
        <v/>
      </c>
      <c r="BL345" s="49">
        <f>IF(N($BC345)=0,"",IF(OR($AL345="",$AL345="FLUSH"),"FLUSH",IFERROR(LEFT($AL345,FIND("-",$AL345)-1),LEFT($AL345,2))))</f>
        <v/>
      </c>
      <c r="BM345" s="49">
        <f>IF($BL345="","",IFERROR(VALUE(MID($AL345,FIND("-",$AL345)+1,FIND(CHAR(34)&amp;"x",$AL345)-FIND("-",$AL345)-1)),0))</f>
        <v/>
      </c>
      <c r="BN345" s="49">
        <f>IF($BL345="","",IFERROR(VALUE(MID($AL345,FIND(CHAR(34)&amp;"x",$AL345)+2,FIND(CHAR(34),$AL345,FIND(CHAR(34)&amp;"x",$AL345)+2)-FIND(CHAR(34)&amp;"x",$AL345)-2)),0))</f>
        <v/>
      </c>
      <c r="BO345" s="53">
        <f>IF(OR($A345="",$H345="",$H345="NO LAB"),0,IFERROR(VALUE(LEFT($H345,FIND(" ",$H345)-1)),0))</f>
        <v/>
      </c>
      <c r="BP345" s="54">
        <f>IF(OR($A345="",$I345="",$I345="NON-RATED",N($J345)=0),"",IFERROR(VLOOKUP($I345&amp;"|"&amp;$J345,IBC,2,FALSE),"?"))</f>
        <v/>
      </c>
      <c r="BQ345" s="50">
        <f>IF(NOT(AND($A345&lt;&gt;"",$C345&lt;&gt;"DOOR ONLY")),"",TRIM(IFERROR(VLOOKUP($U345,CODES,2,FALSE),"")&amp;" "&amp;$AZ345&amp;" "&amp;IFERROR(VLOOKUP($Z345,CODES,2,FALSE),"")&amp;" "&amp;IFERROR(VLOOKUP($X345,CODES,2,FALSE),"")&amp;" "&amp;IFERROR(VLOOKUP($S345,CODES,2,FALSE),"")&amp;IF(N($P345)&gt;0," w/TRANSOM "&amp;$P345&amp;CHAR(34),"")&amp;IF(N($Q345)&gt;0," w/SIDELITE "&amp;$Q345&amp;CHAR(34)&amp;" "&amp;IF($R345="","R",$R345),"")&amp;IF($Y345="","  |  "," | "&amp;IFERROR(VLOOKUP($Y345,CODES,2,FALSE),"")&amp;" | ")&amp;IFERROR(VLOOKUP($AC345,CODES,2,FALSE),"")&amp;" "&amp;IFERROR(VLOOKUP($AD345,CODES,2,FALSE),"")&amp;IF(OR($AE345="",$AE345="-"),""," "&amp;$AE345)&amp;IF(OR($AF345="",$AF345="-"),""," "&amp;$AF345)&amp;IF($AB345="Y"," 4"&amp;CHAR(34)&amp;" HEAD","")&amp;" "&amp;IFERROR(VLOOKUP($H345,CODES,2,FALSE),"")))</f>
        <v/>
      </c>
      <c r="BR345" s="50">
        <f>IF(NOT(AND($A345&lt;&gt;"",N($BC345)&gt;0)),"",TRIM(IFERROR(VLOOKUP($AH345,CODES,2,FALSE),"")&amp;IF($AI345=""," "," "&amp;$AI345&amp;"GA ")&amp;$AZ345&amp;" "&amp;IF($AN345="",IFERROR(VLOOKUP($Z345,CODES,2,FALSE),""),IFERROR(VLOOKUP($AN345,CODES,2,FALSE),""))&amp;IF($BC345=2," PAIR","")&amp;" DOOR | "&amp;IF($AL345="","?",$AL345)&amp;" | "&amp;IF($AP345="",IFERROR(VLOOKUP($AC345,CODES,2,FALSE),""),IFERROR(VLOOKUP($AP345,CODES,2,FALSE),""))&amp;" "&amp;IFERROR(VLOOKUP($AQ345,CODES,2,FALSE),"")&amp;IF(OR($AR345="",$AR345="-"),""," SEAM "&amp;$AR345)&amp;IF($AS345="Y"," ASTRAGAL","")&amp;IF($AJ345=""," "," "&amp;$AJ345)&amp;IF($AK345=""," "," "&amp;$AK345)&amp;IF($AO345="",""," "&amp;$AO345)&amp;IF($AM345=""," "," SERIES "&amp;$AM345)&amp;" "&amp;IFERROR(VLOOKUP($H345,CODES,2,FALSE),"")))</f>
        <v/>
      </c>
      <c r="BS345" s="49">
        <f>IF(BV345="","",IF(COUNTIF($BV$6:BV345,BV345)=1,MAX($BS$5:BS344)+1,INDEX($BS$5:BS344,MATCH(BV345,$BV$5:BV344,0))))</f>
        <v/>
      </c>
      <c r="BT345" s="49">
        <f>IF(NOT(AND($A345&lt;&gt;"",$C345&lt;&gt;"DOOR ONLY")),"",MAX($BT$5:BT344)+1)</f>
        <v/>
      </c>
      <c r="BU345" s="49">
        <f>IF(NOT(AND($A345&lt;&gt;"",N($BC345)&gt;0)),"",MAX($BU$5:BU344)+1)</f>
        <v/>
      </c>
      <c r="BV345" s="49">
        <f>IF(OR($A345="",$BA345="",$BB345=""),"",$AZ345&amp;"|"&amp;$O345&amp;"|"&amp;$AL345&amp;"|"&amp;$S345&amp;"|"&amp;$P345&amp;"|"&amp;$Q345&amp;$R345&amp;"|"&amp;$C345&amp;"|"&amp;$AB345)</f>
        <v/>
      </c>
      <c r="BW345" s="49">
        <f>IF($A345="","",IF($B345="","qty, ","")&amp;IF($C345="","scope, ","")&amp;IF(OR($K345="",$M345=""),"size, ","")&amp;IF(AND($A345&lt;&gt;"",$C345&lt;&gt;"DOOR ONLY"),IF($U345="","jamb depth, ","")&amp;IF($X345="","construction, ","")&amp;IF($Y345="","anchor, ","")&amp;IF($S345="","frame type, ",""),"")&amp;IF(AND(N($BC345)&gt;0,$Z345=""),"hand, ","")&amp;IF(N($BC345)&gt;0,IF($AH345="","door material, ","")&amp;IF($AL345="","face type, ","")&amp;IF($AQ345="","lock prep, ","")&amp;IF(AND($AP345="",$AC345=""),"hinge prep, ",""),"")&amp;IF(AND($BO345&gt;0,$AH345="FRP"),"FRP cannot carry a label, ","")&amp;IF(AND($O345="Y",OR($Z345="L",$Z345="R",$Z345="LR",$Z345="RR")),"pair marked but hand is single, ","")&amp;IF(AND($O345&lt;&gt;"Y",OR($Z345="PR",AND(LEN($Z345)&gt;1,ISNUMBER(SEARCH("-",$Z345))))),"pair hand on a single door, ","")&amp;IF(AND(ISNUMBER($BP345),$BO345&lt;N($BP345)),"wall needs a "&amp;$BP345&amp;" min door, ","")&amp;IF(AND($BO345&gt;=180,AND(OR($BL345="FG",$BL345="HG",$BL345="FNV",$BL345="FV"),N($BM345)*N($BN345)&gt;100)),"180 min lite over 100 sq in, ","")&amp;IF(N($BD345)&gt;48,"leaf wider than 4'-0"&amp;CHAR(34)&amp;", ",""))</f>
        <v/>
      </c>
      <c r="BX345" s="49">
        <f>IF($A345="","",IF(AND($BO345&gt;0,AND($A345&lt;&gt;"",$C345&lt;&gt;"DOOR ONLY"),$X345="KD",$E345="EXTERIOR"),"KD label on an exterior opening, ","")&amp;IF(AND($E345="EXTERIOR",OR(AND(AND($A345&lt;&gt;"",$C345&lt;&gt;"DOOR ONLY"),$W345="CR"),AND(N($BC345)&gt;0,$AH345="CR"))),"exterior in CR steel (G9?), ","")&amp;IF(AND(ISNUMBER($BJ345),N($BJ345)&lt;32),"clear width ~"&amp;TEXT($BJ345,"0.0")&amp;CHAR(34)&amp;" under 32"&amp;CHAR(34)&amp;" (ADA), ","")&amp;IF(AND($BO345=90,AND(OR($BL345="FG",$BL345="HG",$BL345="FNV",$BL345="FV"),N($BM345)*N($BN345)&gt;100)),"90 min lite over 100 sq in (stair/exit), ","")&amp;IF(AND($BO345&gt;0,AND($A345&lt;&gt;"",$C345&lt;&gt;"DOOR ONLY"),OR($AF345="",$AF345="-")),"rated: closer reinf.?, ","")&amp;IF(OR($I345="CORRIDOR",$I345="SMOKE BARRIER"),"S label + smoke gasketing, ","")&amp;IF($BP345="?","wall type/hr not in IBC table, ","")&amp;IF(AND(N($BC345)&gt;0,$AU345=""),"no hardware set, ","")&amp;IF(AND($AU345&lt;&gt;"",ISNA(MATCH($AU345,HWSets,0))),"set "&amp;$AU345&amp;" not on Hardware sheet, ","")&amp;IF(N($BE345)&gt;96,"leaf over 8'-0"&amp;CHAR(34)&amp;" - check listing, ",""))</f>
        <v/>
      </c>
    </row>
    <row r="346" ht="15" customHeight="1">
      <c r="A346" s="44" t="n"/>
      <c r="B346" s="45" t="n"/>
      <c r="C346" s="45" t="n"/>
      <c r="D346" s="45" t="n"/>
      <c r="E346" s="45" t="n"/>
      <c r="F346" s="45" t="n"/>
      <c r="G346" s="45" t="n"/>
      <c r="H346" s="45" t="n"/>
      <c r="I346" s="45" t="n"/>
      <c r="J346" s="45" t="n"/>
      <c r="K346" s="45" t="n"/>
      <c r="L346" s="45" t="n"/>
      <c r="M346" s="45" t="n"/>
      <c r="N346" s="45" t="n"/>
      <c r="O346" s="45" t="n"/>
      <c r="P346" s="45" t="n"/>
      <c r="Q346" s="45" t="n"/>
      <c r="R346" s="45" t="n"/>
      <c r="S346" s="46" t="n"/>
      <c r="T346" s="46" t="n"/>
      <c r="U346" s="46" t="n"/>
      <c r="V346" s="46" t="n"/>
      <c r="W346" s="46" t="n"/>
      <c r="X346" s="46" t="n"/>
      <c r="Y346" s="46" t="n"/>
      <c r="Z346" s="46" t="n"/>
      <c r="AA346" s="46" t="n"/>
      <c r="AB346" s="46" t="n"/>
      <c r="AC346" s="46" t="n"/>
      <c r="AD346" s="46" t="n"/>
      <c r="AE346" s="46" t="n"/>
      <c r="AF346" s="46" t="n"/>
      <c r="AG346" s="46" t="n"/>
      <c r="AH346" s="47" t="n"/>
      <c r="AI346" s="47" t="n"/>
      <c r="AJ346" s="47" t="n"/>
      <c r="AK346" s="47" t="n"/>
      <c r="AL346" s="47" t="n"/>
      <c r="AM346" s="47" t="n"/>
      <c r="AN346" s="47" t="n"/>
      <c r="AO346" s="47" t="n"/>
      <c r="AP346" s="47" t="n"/>
      <c r="AQ346" s="47" t="n"/>
      <c r="AR346" s="47" t="n"/>
      <c r="AS346" s="47" t="n"/>
      <c r="AT346" s="47" t="n"/>
      <c r="AU346" s="48" t="n"/>
      <c r="AV346" s="48" t="n"/>
      <c r="AW346" s="49">
        <f>IF($A346="","",IF($BW346&lt;&gt;"","FIX",IF($BX346&lt;&gt;"","CHECK","OK")))</f>
        <v/>
      </c>
      <c r="AX346" s="50">
        <f>IF($A346="","",IF($BW346&lt;&gt;"","FIX: "&amp;LEFT($BW346,LEN($BW346)-2)&amp;IF($BX346&lt;&gt;"","  ·  ",""),"")&amp;IF($BX346&lt;&gt;"","CHECK: "&amp;LEFT($BX346,LEN($BX346)-2),""))</f>
        <v/>
      </c>
      <c r="AY346" s="49">
        <f>IF(OR($A346="",$K346=""),"",$K346&amp;"'-"&amp;N($L346)&amp;CHAR(34)&amp;" x "&amp;$M346&amp;"'-"&amp;N($N346)&amp;CHAR(34))</f>
        <v/>
      </c>
      <c r="AZ346" s="49">
        <f>IF(OR($A346="",$K346=""),"",$K346&amp;N($L346)&amp;$M346&amp;N($N346))</f>
        <v/>
      </c>
      <c r="BA346" s="49">
        <f>IF(OR($A346="",$K346=""),"",$K346*12+N($L346))</f>
        <v/>
      </c>
      <c r="BB346" s="49">
        <f>IF(OR($A346="",$M346=""),"",$M346*12+N($N346))</f>
        <v/>
      </c>
      <c r="BC346" s="49">
        <f>IF($A346="","",IF(OR($C346="FRAME ONLY",$S346="BL"),0,IF($O346="Y",2,1)))</f>
        <v/>
      </c>
      <c r="BD346" s="51">
        <f>IF(OR(N($BC346)=0,$BA346=""),"",($BA346-2*EdgeClr-IF($BC346=2,MeetClr,0))/$BC346)</f>
        <v/>
      </c>
      <c r="BE346" s="51">
        <f>IF(OR(N($BC346)=0,$BB346=""),"",$BB346-HeadClr-Undercut)</f>
        <v/>
      </c>
      <c r="BF346" s="51">
        <f>IF($BA346="","",$BA346+2*FaceW+IF(N($Q346)&gt;0,($Q346+FaceW)*IF($R346="LR",2,1),0))</f>
        <v/>
      </c>
      <c r="BG346" s="51">
        <f>IF($BB346="","",$BB346+IF($AB346="Y",4,FaceW)+IF(N($P346)&gt;0,$P346+FaceW,0)+IF(OR($S346="4F",$S346="BL"),FaceW,0))</f>
        <v/>
      </c>
      <c r="BH346" s="51">
        <f>IF($BF346="","",$BF346+2*ROSide)</f>
        <v/>
      </c>
      <c r="BI346" s="51">
        <f>IF($BG346="","",$BG346+ROTop)</f>
        <v/>
      </c>
      <c r="BJ346" s="52">
        <f>IF(OR(N($BC346)=0,$BA346=""),"",$BA346/$BC346-ClearDeduct)</f>
        <v/>
      </c>
      <c r="BK346" s="49">
        <f>IF(OR(N($BC346)=0,$BE346=""),"",IF(OR($AC346="HGC",$AP346="HGC"),"CONT",IF($BE346&lt;=60,2,IF($BE346&lt;=90,3,IF($BE346&lt;=120,4,5)))))</f>
        <v/>
      </c>
      <c r="BL346" s="49">
        <f>IF(N($BC346)=0,"",IF(OR($AL346="",$AL346="FLUSH"),"FLUSH",IFERROR(LEFT($AL346,FIND("-",$AL346)-1),LEFT($AL346,2))))</f>
        <v/>
      </c>
      <c r="BM346" s="49">
        <f>IF($BL346="","",IFERROR(VALUE(MID($AL346,FIND("-",$AL346)+1,FIND(CHAR(34)&amp;"x",$AL346)-FIND("-",$AL346)-1)),0))</f>
        <v/>
      </c>
      <c r="BN346" s="49">
        <f>IF($BL346="","",IFERROR(VALUE(MID($AL346,FIND(CHAR(34)&amp;"x",$AL346)+2,FIND(CHAR(34),$AL346,FIND(CHAR(34)&amp;"x",$AL346)+2)-FIND(CHAR(34)&amp;"x",$AL346)-2)),0))</f>
        <v/>
      </c>
      <c r="BO346" s="53">
        <f>IF(OR($A346="",$H346="",$H346="NO LAB"),0,IFERROR(VALUE(LEFT($H346,FIND(" ",$H346)-1)),0))</f>
        <v/>
      </c>
      <c r="BP346" s="54">
        <f>IF(OR($A346="",$I346="",$I346="NON-RATED",N($J346)=0),"",IFERROR(VLOOKUP($I346&amp;"|"&amp;$J346,IBC,2,FALSE),"?"))</f>
        <v/>
      </c>
      <c r="BQ346" s="50">
        <f>IF(NOT(AND($A346&lt;&gt;"",$C346&lt;&gt;"DOOR ONLY")),"",TRIM(IFERROR(VLOOKUP($U346,CODES,2,FALSE),"")&amp;" "&amp;$AZ346&amp;" "&amp;IFERROR(VLOOKUP($Z346,CODES,2,FALSE),"")&amp;" "&amp;IFERROR(VLOOKUP($X346,CODES,2,FALSE),"")&amp;" "&amp;IFERROR(VLOOKUP($S346,CODES,2,FALSE),"")&amp;IF(N($P346)&gt;0," w/TRANSOM "&amp;$P346&amp;CHAR(34),"")&amp;IF(N($Q346)&gt;0," w/SIDELITE "&amp;$Q346&amp;CHAR(34)&amp;" "&amp;IF($R346="","R",$R346),"")&amp;IF($Y346="","  |  "," | "&amp;IFERROR(VLOOKUP($Y346,CODES,2,FALSE),"")&amp;" | ")&amp;IFERROR(VLOOKUP($AC346,CODES,2,FALSE),"")&amp;" "&amp;IFERROR(VLOOKUP($AD346,CODES,2,FALSE),"")&amp;IF(OR($AE346="",$AE346="-"),""," "&amp;$AE346)&amp;IF(OR($AF346="",$AF346="-"),""," "&amp;$AF346)&amp;IF($AB346="Y"," 4"&amp;CHAR(34)&amp;" HEAD","")&amp;" "&amp;IFERROR(VLOOKUP($H346,CODES,2,FALSE),"")))</f>
        <v/>
      </c>
      <c r="BR346" s="50">
        <f>IF(NOT(AND($A346&lt;&gt;"",N($BC346)&gt;0)),"",TRIM(IFERROR(VLOOKUP($AH346,CODES,2,FALSE),"")&amp;IF($AI346=""," "," "&amp;$AI346&amp;"GA ")&amp;$AZ346&amp;" "&amp;IF($AN346="",IFERROR(VLOOKUP($Z346,CODES,2,FALSE),""),IFERROR(VLOOKUP($AN346,CODES,2,FALSE),""))&amp;IF($BC346=2," PAIR","")&amp;" DOOR | "&amp;IF($AL346="","?",$AL346)&amp;" | "&amp;IF($AP346="",IFERROR(VLOOKUP($AC346,CODES,2,FALSE),""),IFERROR(VLOOKUP($AP346,CODES,2,FALSE),""))&amp;" "&amp;IFERROR(VLOOKUP($AQ346,CODES,2,FALSE),"")&amp;IF(OR($AR346="",$AR346="-"),""," SEAM "&amp;$AR346)&amp;IF($AS346="Y"," ASTRAGAL","")&amp;IF($AJ346=""," "," "&amp;$AJ346)&amp;IF($AK346=""," "," "&amp;$AK346)&amp;IF($AO346="",""," "&amp;$AO346)&amp;IF($AM346=""," "," SERIES "&amp;$AM346)&amp;" "&amp;IFERROR(VLOOKUP($H346,CODES,2,FALSE),"")))</f>
        <v/>
      </c>
      <c r="BS346" s="49">
        <f>IF(BV346="","",IF(COUNTIF($BV$6:BV346,BV346)=1,MAX($BS$5:BS345)+1,INDEX($BS$5:BS345,MATCH(BV346,$BV$5:BV345,0))))</f>
        <v/>
      </c>
      <c r="BT346" s="49">
        <f>IF(NOT(AND($A346&lt;&gt;"",$C346&lt;&gt;"DOOR ONLY")),"",MAX($BT$5:BT345)+1)</f>
        <v/>
      </c>
      <c r="BU346" s="49">
        <f>IF(NOT(AND($A346&lt;&gt;"",N($BC346)&gt;0)),"",MAX($BU$5:BU345)+1)</f>
        <v/>
      </c>
      <c r="BV346" s="49">
        <f>IF(OR($A346="",$BA346="",$BB346=""),"",$AZ346&amp;"|"&amp;$O346&amp;"|"&amp;$AL346&amp;"|"&amp;$S346&amp;"|"&amp;$P346&amp;"|"&amp;$Q346&amp;$R346&amp;"|"&amp;$C346&amp;"|"&amp;$AB346)</f>
        <v/>
      </c>
      <c r="BW346" s="49">
        <f>IF($A346="","",IF($B346="","qty, ","")&amp;IF($C346="","scope, ","")&amp;IF(OR($K346="",$M346=""),"size, ","")&amp;IF(AND($A346&lt;&gt;"",$C346&lt;&gt;"DOOR ONLY"),IF($U346="","jamb depth, ","")&amp;IF($X346="","construction, ","")&amp;IF($Y346="","anchor, ","")&amp;IF($S346="","frame type, ",""),"")&amp;IF(AND(N($BC346)&gt;0,$Z346=""),"hand, ","")&amp;IF(N($BC346)&gt;0,IF($AH346="","door material, ","")&amp;IF($AL346="","face type, ","")&amp;IF($AQ346="","lock prep, ","")&amp;IF(AND($AP346="",$AC346=""),"hinge prep, ",""),"")&amp;IF(AND($BO346&gt;0,$AH346="FRP"),"FRP cannot carry a label, ","")&amp;IF(AND($O346="Y",OR($Z346="L",$Z346="R",$Z346="LR",$Z346="RR")),"pair marked but hand is single, ","")&amp;IF(AND($O346&lt;&gt;"Y",OR($Z346="PR",AND(LEN($Z346)&gt;1,ISNUMBER(SEARCH("-",$Z346))))),"pair hand on a single door, ","")&amp;IF(AND(ISNUMBER($BP346),$BO346&lt;N($BP346)),"wall needs a "&amp;$BP346&amp;" min door, ","")&amp;IF(AND($BO346&gt;=180,AND(OR($BL346="FG",$BL346="HG",$BL346="FNV",$BL346="FV"),N($BM346)*N($BN346)&gt;100)),"180 min lite over 100 sq in, ","")&amp;IF(N($BD346)&gt;48,"leaf wider than 4'-0"&amp;CHAR(34)&amp;", ",""))</f>
        <v/>
      </c>
      <c r="BX346" s="49">
        <f>IF($A346="","",IF(AND($BO346&gt;0,AND($A346&lt;&gt;"",$C346&lt;&gt;"DOOR ONLY"),$X346="KD",$E346="EXTERIOR"),"KD label on an exterior opening, ","")&amp;IF(AND($E346="EXTERIOR",OR(AND(AND($A346&lt;&gt;"",$C346&lt;&gt;"DOOR ONLY"),$W346="CR"),AND(N($BC346)&gt;0,$AH346="CR"))),"exterior in CR steel (G9?), ","")&amp;IF(AND(ISNUMBER($BJ346),N($BJ346)&lt;32),"clear width ~"&amp;TEXT($BJ346,"0.0")&amp;CHAR(34)&amp;" under 32"&amp;CHAR(34)&amp;" (ADA), ","")&amp;IF(AND($BO346=90,AND(OR($BL346="FG",$BL346="HG",$BL346="FNV",$BL346="FV"),N($BM346)*N($BN346)&gt;100)),"90 min lite over 100 sq in (stair/exit), ","")&amp;IF(AND($BO346&gt;0,AND($A346&lt;&gt;"",$C346&lt;&gt;"DOOR ONLY"),OR($AF346="",$AF346="-")),"rated: closer reinf.?, ","")&amp;IF(OR($I346="CORRIDOR",$I346="SMOKE BARRIER"),"S label + smoke gasketing, ","")&amp;IF($BP346="?","wall type/hr not in IBC table, ","")&amp;IF(AND(N($BC346)&gt;0,$AU346=""),"no hardware set, ","")&amp;IF(AND($AU346&lt;&gt;"",ISNA(MATCH($AU346,HWSets,0))),"set "&amp;$AU346&amp;" not on Hardware sheet, ","")&amp;IF(N($BE346)&gt;96,"leaf over 8'-0"&amp;CHAR(34)&amp;" - check listing, ",""))</f>
        <v/>
      </c>
    </row>
    <row r="347" ht="15" customHeight="1">
      <c r="A347" s="44" t="n"/>
      <c r="B347" s="45" t="n"/>
      <c r="C347" s="45" t="n"/>
      <c r="D347" s="45" t="n"/>
      <c r="E347" s="45" t="n"/>
      <c r="F347" s="45" t="n"/>
      <c r="G347" s="45" t="n"/>
      <c r="H347" s="45" t="n"/>
      <c r="I347" s="45" t="n"/>
      <c r="J347" s="45" t="n"/>
      <c r="K347" s="45" t="n"/>
      <c r="L347" s="45" t="n"/>
      <c r="M347" s="45" t="n"/>
      <c r="N347" s="45" t="n"/>
      <c r="O347" s="45" t="n"/>
      <c r="P347" s="45" t="n"/>
      <c r="Q347" s="45" t="n"/>
      <c r="R347" s="45" t="n"/>
      <c r="S347" s="46" t="n"/>
      <c r="T347" s="46" t="n"/>
      <c r="U347" s="46" t="n"/>
      <c r="V347" s="46" t="n"/>
      <c r="W347" s="46" t="n"/>
      <c r="X347" s="46" t="n"/>
      <c r="Y347" s="46" t="n"/>
      <c r="Z347" s="46" t="n"/>
      <c r="AA347" s="46" t="n"/>
      <c r="AB347" s="46" t="n"/>
      <c r="AC347" s="46" t="n"/>
      <c r="AD347" s="46" t="n"/>
      <c r="AE347" s="46" t="n"/>
      <c r="AF347" s="46" t="n"/>
      <c r="AG347" s="46" t="n"/>
      <c r="AH347" s="47" t="n"/>
      <c r="AI347" s="47" t="n"/>
      <c r="AJ347" s="47" t="n"/>
      <c r="AK347" s="47" t="n"/>
      <c r="AL347" s="47" t="n"/>
      <c r="AM347" s="47" t="n"/>
      <c r="AN347" s="47" t="n"/>
      <c r="AO347" s="47" t="n"/>
      <c r="AP347" s="47" t="n"/>
      <c r="AQ347" s="47" t="n"/>
      <c r="AR347" s="47" t="n"/>
      <c r="AS347" s="47" t="n"/>
      <c r="AT347" s="47" t="n"/>
      <c r="AU347" s="48" t="n"/>
      <c r="AV347" s="48" t="n"/>
      <c r="AW347" s="49">
        <f>IF($A347="","",IF($BW347&lt;&gt;"","FIX",IF($BX347&lt;&gt;"","CHECK","OK")))</f>
        <v/>
      </c>
      <c r="AX347" s="50">
        <f>IF($A347="","",IF($BW347&lt;&gt;"","FIX: "&amp;LEFT($BW347,LEN($BW347)-2)&amp;IF($BX347&lt;&gt;"","  ·  ",""),"")&amp;IF($BX347&lt;&gt;"","CHECK: "&amp;LEFT($BX347,LEN($BX347)-2),""))</f>
        <v/>
      </c>
      <c r="AY347" s="49">
        <f>IF(OR($A347="",$K347=""),"",$K347&amp;"'-"&amp;N($L347)&amp;CHAR(34)&amp;" x "&amp;$M347&amp;"'-"&amp;N($N347)&amp;CHAR(34))</f>
        <v/>
      </c>
      <c r="AZ347" s="49">
        <f>IF(OR($A347="",$K347=""),"",$K347&amp;N($L347)&amp;$M347&amp;N($N347))</f>
        <v/>
      </c>
      <c r="BA347" s="49">
        <f>IF(OR($A347="",$K347=""),"",$K347*12+N($L347))</f>
        <v/>
      </c>
      <c r="BB347" s="49">
        <f>IF(OR($A347="",$M347=""),"",$M347*12+N($N347))</f>
        <v/>
      </c>
      <c r="BC347" s="49">
        <f>IF($A347="","",IF(OR($C347="FRAME ONLY",$S347="BL"),0,IF($O347="Y",2,1)))</f>
        <v/>
      </c>
      <c r="BD347" s="51">
        <f>IF(OR(N($BC347)=0,$BA347=""),"",($BA347-2*EdgeClr-IF($BC347=2,MeetClr,0))/$BC347)</f>
        <v/>
      </c>
      <c r="BE347" s="51">
        <f>IF(OR(N($BC347)=0,$BB347=""),"",$BB347-HeadClr-Undercut)</f>
        <v/>
      </c>
      <c r="BF347" s="51">
        <f>IF($BA347="","",$BA347+2*FaceW+IF(N($Q347)&gt;0,($Q347+FaceW)*IF($R347="LR",2,1),0))</f>
        <v/>
      </c>
      <c r="BG347" s="51">
        <f>IF($BB347="","",$BB347+IF($AB347="Y",4,FaceW)+IF(N($P347)&gt;0,$P347+FaceW,0)+IF(OR($S347="4F",$S347="BL"),FaceW,0))</f>
        <v/>
      </c>
      <c r="BH347" s="51">
        <f>IF($BF347="","",$BF347+2*ROSide)</f>
        <v/>
      </c>
      <c r="BI347" s="51">
        <f>IF($BG347="","",$BG347+ROTop)</f>
        <v/>
      </c>
      <c r="BJ347" s="52">
        <f>IF(OR(N($BC347)=0,$BA347=""),"",$BA347/$BC347-ClearDeduct)</f>
        <v/>
      </c>
      <c r="BK347" s="49">
        <f>IF(OR(N($BC347)=0,$BE347=""),"",IF(OR($AC347="HGC",$AP347="HGC"),"CONT",IF($BE347&lt;=60,2,IF($BE347&lt;=90,3,IF($BE347&lt;=120,4,5)))))</f>
        <v/>
      </c>
      <c r="BL347" s="49">
        <f>IF(N($BC347)=0,"",IF(OR($AL347="",$AL347="FLUSH"),"FLUSH",IFERROR(LEFT($AL347,FIND("-",$AL347)-1),LEFT($AL347,2))))</f>
        <v/>
      </c>
      <c r="BM347" s="49">
        <f>IF($BL347="","",IFERROR(VALUE(MID($AL347,FIND("-",$AL347)+1,FIND(CHAR(34)&amp;"x",$AL347)-FIND("-",$AL347)-1)),0))</f>
        <v/>
      </c>
      <c r="BN347" s="49">
        <f>IF($BL347="","",IFERROR(VALUE(MID($AL347,FIND(CHAR(34)&amp;"x",$AL347)+2,FIND(CHAR(34),$AL347,FIND(CHAR(34)&amp;"x",$AL347)+2)-FIND(CHAR(34)&amp;"x",$AL347)-2)),0))</f>
        <v/>
      </c>
      <c r="BO347" s="53">
        <f>IF(OR($A347="",$H347="",$H347="NO LAB"),0,IFERROR(VALUE(LEFT($H347,FIND(" ",$H347)-1)),0))</f>
        <v/>
      </c>
      <c r="BP347" s="54">
        <f>IF(OR($A347="",$I347="",$I347="NON-RATED",N($J347)=0),"",IFERROR(VLOOKUP($I347&amp;"|"&amp;$J347,IBC,2,FALSE),"?"))</f>
        <v/>
      </c>
      <c r="BQ347" s="50">
        <f>IF(NOT(AND($A347&lt;&gt;"",$C347&lt;&gt;"DOOR ONLY")),"",TRIM(IFERROR(VLOOKUP($U347,CODES,2,FALSE),"")&amp;" "&amp;$AZ347&amp;" "&amp;IFERROR(VLOOKUP($Z347,CODES,2,FALSE),"")&amp;" "&amp;IFERROR(VLOOKUP($X347,CODES,2,FALSE),"")&amp;" "&amp;IFERROR(VLOOKUP($S347,CODES,2,FALSE),"")&amp;IF(N($P347)&gt;0," w/TRANSOM "&amp;$P347&amp;CHAR(34),"")&amp;IF(N($Q347)&gt;0," w/SIDELITE "&amp;$Q347&amp;CHAR(34)&amp;" "&amp;IF($R347="","R",$R347),"")&amp;IF($Y347="","  |  "," | "&amp;IFERROR(VLOOKUP($Y347,CODES,2,FALSE),"")&amp;" | ")&amp;IFERROR(VLOOKUP($AC347,CODES,2,FALSE),"")&amp;" "&amp;IFERROR(VLOOKUP($AD347,CODES,2,FALSE),"")&amp;IF(OR($AE347="",$AE347="-"),""," "&amp;$AE347)&amp;IF(OR($AF347="",$AF347="-"),""," "&amp;$AF347)&amp;IF($AB347="Y"," 4"&amp;CHAR(34)&amp;" HEAD","")&amp;" "&amp;IFERROR(VLOOKUP($H347,CODES,2,FALSE),"")))</f>
        <v/>
      </c>
      <c r="BR347" s="50">
        <f>IF(NOT(AND($A347&lt;&gt;"",N($BC347)&gt;0)),"",TRIM(IFERROR(VLOOKUP($AH347,CODES,2,FALSE),"")&amp;IF($AI347=""," "," "&amp;$AI347&amp;"GA ")&amp;$AZ347&amp;" "&amp;IF($AN347="",IFERROR(VLOOKUP($Z347,CODES,2,FALSE),""),IFERROR(VLOOKUP($AN347,CODES,2,FALSE),""))&amp;IF($BC347=2," PAIR","")&amp;" DOOR | "&amp;IF($AL347="","?",$AL347)&amp;" | "&amp;IF($AP347="",IFERROR(VLOOKUP($AC347,CODES,2,FALSE),""),IFERROR(VLOOKUP($AP347,CODES,2,FALSE),""))&amp;" "&amp;IFERROR(VLOOKUP($AQ347,CODES,2,FALSE),"")&amp;IF(OR($AR347="",$AR347="-"),""," SEAM "&amp;$AR347)&amp;IF($AS347="Y"," ASTRAGAL","")&amp;IF($AJ347=""," "," "&amp;$AJ347)&amp;IF($AK347=""," "," "&amp;$AK347)&amp;IF($AO347="",""," "&amp;$AO347)&amp;IF($AM347=""," "," SERIES "&amp;$AM347)&amp;" "&amp;IFERROR(VLOOKUP($H347,CODES,2,FALSE),"")))</f>
        <v/>
      </c>
      <c r="BS347" s="49">
        <f>IF(BV347="","",IF(COUNTIF($BV$6:BV347,BV347)=1,MAX($BS$5:BS346)+1,INDEX($BS$5:BS346,MATCH(BV347,$BV$5:BV346,0))))</f>
        <v/>
      </c>
      <c r="BT347" s="49">
        <f>IF(NOT(AND($A347&lt;&gt;"",$C347&lt;&gt;"DOOR ONLY")),"",MAX($BT$5:BT346)+1)</f>
        <v/>
      </c>
      <c r="BU347" s="49">
        <f>IF(NOT(AND($A347&lt;&gt;"",N($BC347)&gt;0)),"",MAX($BU$5:BU346)+1)</f>
        <v/>
      </c>
      <c r="BV347" s="49">
        <f>IF(OR($A347="",$BA347="",$BB347=""),"",$AZ347&amp;"|"&amp;$O347&amp;"|"&amp;$AL347&amp;"|"&amp;$S347&amp;"|"&amp;$P347&amp;"|"&amp;$Q347&amp;$R347&amp;"|"&amp;$C347&amp;"|"&amp;$AB347)</f>
        <v/>
      </c>
      <c r="BW347" s="49">
        <f>IF($A347="","",IF($B347="","qty, ","")&amp;IF($C347="","scope, ","")&amp;IF(OR($K347="",$M347=""),"size, ","")&amp;IF(AND($A347&lt;&gt;"",$C347&lt;&gt;"DOOR ONLY"),IF($U347="","jamb depth, ","")&amp;IF($X347="","construction, ","")&amp;IF($Y347="","anchor, ","")&amp;IF($S347="","frame type, ",""),"")&amp;IF(AND(N($BC347)&gt;0,$Z347=""),"hand, ","")&amp;IF(N($BC347)&gt;0,IF($AH347="","door material, ","")&amp;IF($AL347="","face type, ","")&amp;IF($AQ347="","lock prep, ","")&amp;IF(AND($AP347="",$AC347=""),"hinge prep, ",""),"")&amp;IF(AND($BO347&gt;0,$AH347="FRP"),"FRP cannot carry a label, ","")&amp;IF(AND($O347="Y",OR($Z347="L",$Z347="R",$Z347="LR",$Z347="RR")),"pair marked but hand is single, ","")&amp;IF(AND($O347&lt;&gt;"Y",OR($Z347="PR",AND(LEN($Z347)&gt;1,ISNUMBER(SEARCH("-",$Z347))))),"pair hand on a single door, ","")&amp;IF(AND(ISNUMBER($BP347),$BO347&lt;N($BP347)),"wall needs a "&amp;$BP347&amp;" min door, ","")&amp;IF(AND($BO347&gt;=180,AND(OR($BL347="FG",$BL347="HG",$BL347="FNV",$BL347="FV"),N($BM347)*N($BN347)&gt;100)),"180 min lite over 100 sq in, ","")&amp;IF(N($BD347)&gt;48,"leaf wider than 4'-0"&amp;CHAR(34)&amp;", ",""))</f>
        <v/>
      </c>
      <c r="BX347" s="49">
        <f>IF($A347="","",IF(AND($BO347&gt;0,AND($A347&lt;&gt;"",$C347&lt;&gt;"DOOR ONLY"),$X347="KD",$E347="EXTERIOR"),"KD label on an exterior opening, ","")&amp;IF(AND($E347="EXTERIOR",OR(AND(AND($A347&lt;&gt;"",$C347&lt;&gt;"DOOR ONLY"),$W347="CR"),AND(N($BC347)&gt;0,$AH347="CR"))),"exterior in CR steel (G9?), ","")&amp;IF(AND(ISNUMBER($BJ347),N($BJ347)&lt;32),"clear width ~"&amp;TEXT($BJ347,"0.0")&amp;CHAR(34)&amp;" under 32"&amp;CHAR(34)&amp;" (ADA), ","")&amp;IF(AND($BO347=90,AND(OR($BL347="FG",$BL347="HG",$BL347="FNV",$BL347="FV"),N($BM347)*N($BN347)&gt;100)),"90 min lite over 100 sq in (stair/exit), ","")&amp;IF(AND($BO347&gt;0,AND($A347&lt;&gt;"",$C347&lt;&gt;"DOOR ONLY"),OR($AF347="",$AF347="-")),"rated: closer reinf.?, ","")&amp;IF(OR($I347="CORRIDOR",$I347="SMOKE BARRIER"),"S label + smoke gasketing, ","")&amp;IF($BP347="?","wall type/hr not in IBC table, ","")&amp;IF(AND(N($BC347)&gt;0,$AU347=""),"no hardware set, ","")&amp;IF(AND($AU347&lt;&gt;"",ISNA(MATCH($AU347,HWSets,0))),"set "&amp;$AU347&amp;" not on Hardware sheet, ","")&amp;IF(N($BE347)&gt;96,"leaf over 8'-0"&amp;CHAR(34)&amp;" - check listing, ",""))</f>
        <v/>
      </c>
    </row>
    <row r="348" ht="15" customHeight="1">
      <c r="A348" s="44" t="n"/>
      <c r="B348" s="45" t="n"/>
      <c r="C348" s="45" t="n"/>
      <c r="D348" s="45" t="n"/>
      <c r="E348" s="45" t="n"/>
      <c r="F348" s="45" t="n"/>
      <c r="G348" s="45" t="n"/>
      <c r="H348" s="45" t="n"/>
      <c r="I348" s="45" t="n"/>
      <c r="J348" s="45" t="n"/>
      <c r="K348" s="45" t="n"/>
      <c r="L348" s="45" t="n"/>
      <c r="M348" s="45" t="n"/>
      <c r="N348" s="45" t="n"/>
      <c r="O348" s="45" t="n"/>
      <c r="P348" s="45" t="n"/>
      <c r="Q348" s="45" t="n"/>
      <c r="R348" s="45" t="n"/>
      <c r="S348" s="46" t="n"/>
      <c r="T348" s="46" t="n"/>
      <c r="U348" s="46" t="n"/>
      <c r="V348" s="46" t="n"/>
      <c r="W348" s="46" t="n"/>
      <c r="X348" s="46" t="n"/>
      <c r="Y348" s="46" t="n"/>
      <c r="Z348" s="46" t="n"/>
      <c r="AA348" s="46" t="n"/>
      <c r="AB348" s="46" t="n"/>
      <c r="AC348" s="46" t="n"/>
      <c r="AD348" s="46" t="n"/>
      <c r="AE348" s="46" t="n"/>
      <c r="AF348" s="46" t="n"/>
      <c r="AG348" s="46" t="n"/>
      <c r="AH348" s="47" t="n"/>
      <c r="AI348" s="47" t="n"/>
      <c r="AJ348" s="47" t="n"/>
      <c r="AK348" s="47" t="n"/>
      <c r="AL348" s="47" t="n"/>
      <c r="AM348" s="47" t="n"/>
      <c r="AN348" s="47" t="n"/>
      <c r="AO348" s="47" t="n"/>
      <c r="AP348" s="47" t="n"/>
      <c r="AQ348" s="47" t="n"/>
      <c r="AR348" s="47" t="n"/>
      <c r="AS348" s="47" t="n"/>
      <c r="AT348" s="47" t="n"/>
      <c r="AU348" s="48" t="n"/>
      <c r="AV348" s="48" t="n"/>
      <c r="AW348" s="49">
        <f>IF($A348="","",IF($BW348&lt;&gt;"","FIX",IF($BX348&lt;&gt;"","CHECK","OK")))</f>
        <v/>
      </c>
      <c r="AX348" s="50">
        <f>IF($A348="","",IF($BW348&lt;&gt;"","FIX: "&amp;LEFT($BW348,LEN($BW348)-2)&amp;IF($BX348&lt;&gt;"","  ·  ",""),"")&amp;IF($BX348&lt;&gt;"","CHECK: "&amp;LEFT($BX348,LEN($BX348)-2),""))</f>
        <v/>
      </c>
      <c r="AY348" s="49">
        <f>IF(OR($A348="",$K348=""),"",$K348&amp;"'-"&amp;N($L348)&amp;CHAR(34)&amp;" x "&amp;$M348&amp;"'-"&amp;N($N348)&amp;CHAR(34))</f>
        <v/>
      </c>
      <c r="AZ348" s="49">
        <f>IF(OR($A348="",$K348=""),"",$K348&amp;N($L348)&amp;$M348&amp;N($N348))</f>
        <v/>
      </c>
      <c r="BA348" s="49">
        <f>IF(OR($A348="",$K348=""),"",$K348*12+N($L348))</f>
        <v/>
      </c>
      <c r="BB348" s="49">
        <f>IF(OR($A348="",$M348=""),"",$M348*12+N($N348))</f>
        <v/>
      </c>
      <c r="BC348" s="49">
        <f>IF($A348="","",IF(OR($C348="FRAME ONLY",$S348="BL"),0,IF($O348="Y",2,1)))</f>
        <v/>
      </c>
      <c r="BD348" s="51">
        <f>IF(OR(N($BC348)=0,$BA348=""),"",($BA348-2*EdgeClr-IF($BC348=2,MeetClr,0))/$BC348)</f>
        <v/>
      </c>
      <c r="BE348" s="51">
        <f>IF(OR(N($BC348)=0,$BB348=""),"",$BB348-HeadClr-Undercut)</f>
        <v/>
      </c>
      <c r="BF348" s="51">
        <f>IF($BA348="","",$BA348+2*FaceW+IF(N($Q348)&gt;0,($Q348+FaceW)*IF($R348="LR",2,1),0))</f>
        <v/>
      </c>
      <c r="BG348" s="51">
        <f>IF($BB348="","",$BB348+IF($AB348="Y",4,FaceW)+IF(N($P348)&gt;0,$P348+FaceW,0)+IF(OR($S348="4F",$S348="BL"),FaceW,0))</f>
        <v/>
      </c>
      <c r="BH348" s="51">
        <f>IF($BF348="","",$BF348+2*ROSide)</f>
        <v/>
      </c>
      <c r="BI348" s="51">
        <f>IF($BG348="","",$BG348+ROTop)</f>
        <v/>
      </c>
      <c r="BJ348" s="52">
        <f>IF(OR(N($BC348)=0,$BA348=""),"",$BA348/$BC348-ClearDeduct)</f>
        <v/>
      </c>
      <c r="BK348" s="49">
        <f>IF(OR(N($BC348)=0,$BE348=""),"",IF(OR($AC348="HGC",$AP348="HGC"),"CONT",IF($BE348&lt;=60,2,IF($BE348&lt;=90,3,IF($BE348&lt;=120,4,5)))))</f>
        <v/>
      </c>
      <c r="BL348" s="49">
        <f>IF(N($BC348)=0,"",IF(OR($AL348="",$AL348="FLUSH"),"FLUSH",IFERROR(LEFT($AL348,FIND("-",$AL348)-1),LEFT($AL348,2))))</f>
        <v/>
      </c>
      <c r="BM348" s="49">
        <f>IF($BL348="","",IFERROR(VALUE(MID($AL348,FIND("-",$AL348)+1,FIND(CHAR(34)&amp;"x",$AL348)-FIND("-",$AL348)-1)),0))</f>
        <v/>
      </c>
      <c r="BN348" s="49">
        <f>IF($BL348="","",IFERROR(VALUE(MID($AL348,FIND(CHAR(34)&amp;"x",$AL348)+2,FIND(CHAR(34),$AL348,FIND(CHAR(34)&amp;"x",$AL348)+2)-FIND(CHAR(34)&amp;"x",$AL348)-2)),0))</f>
        <v/>
      </c>
      <c r="BO348" s="53">
        <f>IF(OR($A348="",$H348="",$H348="NO LAB"),0,IFERROR(VALUE(LEFT($H348,FIND(" ",$H348)-1)),0))</f>
        <v/>
      </c>
      <c r="BP348" s="54">
        <f>IF(OR($A348="",$I348="",$I348="NON-RATED",N($J348)=0),"",IFERROR(VLOOKUP($I348&amp;"|"&amp;$J348,IBC,2,FALSE),"?"))</f>
        <v/>
      </c>
      <c r="BQ348" s="50">
        <f>IF(NOT(AND($A348&lt;&gt;"",$C348&lt;&gt;"DOOR ONLY")),"",TRIM(IFERROR(VLOOKUP($U348,CODES,2,FALSE),"")&amp;" "&amp;$AZ348&amp;" "&amp;IFERROR(VLOOKUP($Z348,CODES,2,FALSE),"")&amp;" "&amp;IFERROR(VLOOKUP($X348,CODES,2,FALSE),"")&amp;" "&amp;IFERROR(VLOOKUP($S348,CODES,2,FALSE),"")&amp;IF(N($P348)&gt;0," w/TRANSOM "&amp;$P348&amp;CHAR(34),"")&amp;IF(N($Q348)&gt;0," w/SIDELITE "&amp;$Q348&amp;CHAR(34)&amp;" "&amp;IF($R348="","R",$R348),"")&amp;IF($Y348="","  |  "," | "&amp;IFERROR(VLOOKUP($Y348,CODES,2,FALSE),"")&amp;" | ")&amp;IFERROR(VLOOKUP($AC348,CODES,2,FALSE),"")&amp;" "&amp;IFERROR(VLOOKUP($AD348,CODES,2,FALSE),"")&amp;IF(OR($AE348="",$AE348="-"),""," "&amp;$AE348)&amp;IF(OR($AF348="",$AF348="-"),""," "&amp;$AF348)&amp;IF($AB348="Y"," 4"&amp;CHAR(34)&amp;" HEAD","")&amp;" "&amp;IFERROR(VLOOKUP($H348,CODES,2,FALSE),"")))</f>
        <v/>
      </c>
      <c r="BR348" s="50">
        <f>IF(NOT(AND($A348&lt;&gt;"",N($BC348)&gt;0)),"",TRIM(IFERROR(VLOOKUP($AH348,CODES,2,FALSE),"")&amp;IF($AI348=""," "," "&amp;$AI348&amp;"GA ")&amp;$AZ348&amp;" "&amp;IF($AN348="",IFERROR(VLOOKUP($Z348,CODES,2,FALSE),""),IFERROR(VLOOKUP($AN348,CODES,2,FALSE),""))&amp;IF($BC348=2," PAIR","")&amp;" DOOR | "&amp;IF($AL348="","?",$AL348)&amp;" | "&amp;IF($AP348="",IFERROR(VLOOKUP($AC348,CODES,2,FALSE),""),IFERROR(VLOOKUP($AP348,CODES,2,FALSE),""))&amp;" "&amp;IFERROR(VLOOKUP($AQ348,CODES,2,FALSE),"")&amp;IF(OR($AR348="",$AR348="-"),""," SEAM "&amp;$AR348)&amp;IF($AS348="Y"," ASTRAGAL","")&amp;IF($AJ348=""," "," "&amp;$AJ348)&amp;IF($AK348=""," "," "&amp;$AK348)&amp;IF($AO348="",""," "&amp;$AO348)&amp;IF($AM348=""," "," SERIES "&amp;$AM348)&amp;" "&amp;IFERROR(VLOOKUP($H348,CODES,2,FALSE),"")))</f>
        <v/>
      </c>
      <c r="BS348" s="49">
        <f>IF(BV348="","",IF(COUNTIF($BV$6:BV348,BV348)=1,MAX($BS$5:BS347)+1,INDEX($BS$5:BS347,MATCH(BV348,$BV$5:BV347,0))))</f>
        <v/>
      </c>
      <c r="BT348" s="49">
        <f>IF(NOT(AND($A348&lt;&gt;"",$C348&lt;&gt;"DOOR ONLY")),"",MAX($BT$5:BT347)+1)</f>
        <v/>
      </c>
      <c r="BU348" s="49">
        <f>IF(NOT(AND($A348&lt;&gt;"",N($BC348)&gt;0)),"",MAX($BU$5:BU347)+1)</f>
        <v/>
      </c>
      <c r="BV348" s="49">
        <f>IF(OR($A348="",$BA348="",$BB348=""),"",$AZ348&amp;"|"&amp;$O348&amp;"|"&amp;$AL348&amp;"|"&amp;$S348&amp;"|"&amp;$P348&amp;"|"&amp;$Q348&amp;$R348&amp;"|"&amp;$C348&amp;"|"&amp;$AB348)</f>
        <v/>
      </c>
      <c r="BW348" s="49">
        <f>IF($A348="","",IF($B348="","qty, ","")&amp;IF($C348="","scope, ","")&amp;IF(OR($K348="",$M348=""),"size, ","")&amp;IF(AND($A348&lt;&gt;"",$C348&lt;&gt;"DOOR ONLY"),IF($U348="","jamb depth, ","")&amp;IF($X348="","construction, ","")&amp;IF($Y348="","anchor, ","")&amp;IF($S348="","frame type, ",""),"")&amp;IF(AND(N($BC348)&gt;0,$Z348=""),"hand, ","")&amp;IF(N($BC348)&gt;0,IF($AH348="","door material, ","")&amp;IF($AL348="","face type, ","")&amp;IF($AQ348="","lock prep, ","")&amp;IF(AND($AP348="",$AC348=""),"hinge prep, ",""),"")&amp;IF(AND($BO348&gt;0,$AH348="FRP"),"FRP cannot carry a label, ","")&amp;IF(AND($O348="Y",OR($Z348="L",$Z348="R",$Z348="LR",$Z348="RR")),"pair marked but hand is single, ","")&amp;IF(AND($O348&lt;&gt;"Y",OR($Z348="PR",AND(LEN($Z348)&gt;1,ISNUMBER(SEARCH("-",$Z348))))),"pair hand on a single door, ","")&amp;IF(AND(ISNUMBER($BP348),$BO348&lt;N($BP348)),"wall needs a "&amp;$BP348&amp;" min door, ","")&amp;IF(AND($BO348&gt;=180,AND(OR($BL348="FG",$BL348="HG",$BL348="FNV",$BL348="FV"),N($BM348)*N($BN348)&gt;100)),"180 min lite over 100 sq in, ","")&amp;IF(N($BD348)&gt;48,"leaf wider than 4'-0"&amp;CHAR(34)&amp;", ",""))</f>
        <v/>
      </c>
      <c r="BX348" s="49">
        <f>IF($A348="","",IF(AND($BO348&gt;0,AND($A348&lt;&gt;"",$C348&lt;&gt;"DOOR ONLY"),$X348="KD",$E348="EXTERIOR"),"KD label on an exterior opening, ","")&amp;IF(AND($E348="EXTERIOR",OR(AND(AND($A348&lt;&gt;"",$C348&lt;&gt;"DOOR ONLY"),$W348="CR"),AND(N($BC348)&gt;0,$AH348="CR"))),"exterior in CR steel (G9?), ","")&amp;IF(AND(ISNUMBER($BJ348),N($BJ348)&lt;32),"clear width ~"&amp;TEXT($BJ348,"0.0")&amp;CHAR(34)&amp;" under 32"&amp;CHAR(34)&amp;" (ADA), ","")&amp;IF(AND($BO348=90,AND(OR($BL348="FG",$BL348="HG",$BL348="FNV",$BL348="FV"),N($BM348)*N($BN348)&gt;100)),"90 min lite over 100 sq in (stair/exit), ","")&amp;IF(AND($BO348&gt;0,AND($A348&lt;&gt;"",$C348&lt;&gt;"DOOR ONLY"),OR($AF348="",$AF348="-")),"rated: closer reinf.?, ","")&amp;IF(OR($I348="CORRIDOR",$I348="SMOKE BARRIER"),"S label + smoke gasketing, ","")&amp;IF($BP348="?","wall type/hr not in IBC table, ","")&amp;IF(AND(N($BC348)&gt;0,$AU348=""),"no hardware set, ","")&amp;IF(AND($AU348&lt;&gt;"",ISNA(MATCH($AU348,HWSets,0))),"set "&amp;$AU348&amp;" not on Hardware sheet, ","")&amp;IF(N($BE348)&gt;96,"leaf over 8'-0"&amp;CHAR(34)&amp;" - check listing, ",""))</f>
        <v/>
      </c>
    </row>
    <row r="349" ht="15" customHeight="1">
      <c r="A349" s="44" t="n"/>
      <c r="B349" s="45" t="n"/>
      <c r="C349" s="45" t="n"/>
      <c r="D349" s="45" t="n"/>
      <c r="E349" s="45" t="n"/>
      <c r="F349" s="45" t="n"/>
      <c r="G349" s="45" t="n"/>
      <c r="H349" s="45" t="n"/>
      <c r="I349" s="45" t="n"/>
      <c r="J349" s="45" t="n"/>
      <c r="K349" s="45" t="n"/>
      <c r="L349" s="45" t="n"/>
      <c r="M349" s="45" t="n"/>
      <c r="N349" s="45" t="n"/>
      <c r="O349" s="45" t="n"/>
      <c r="P349" s="45" t="n"/>
      <c r="Q349" s="45" t="n"/>
      <c r="R349" s="45" t="n"/>
      <c r="S349" s="46" t="n"/>
      <c r="T349" s="46" t="n"/>
      <c r="U349" s="46" t="n"/>
      <c r="V349" s="46" t="n"/>
      <c r="W349" s="46" t="n"/>
      <c r="X349" s="46" t="n"/>
      <c r="Y349" s="46" t="n"/>
      <c r="Z349" s="46" t="n"/>
      <c r="AA349" s="46" t="n"/>
      <c r="AB349" s="46" t="n"/>
      <c r="AC349" s="46" t="n"/>
      <c r="AD349" s="46" t="n"/>
      <c r="AE349" s="46" t="n"/>
      <c r="AF349" s="46" t="n"/>
      <c r="AG349" s="46" t="n"/>
      <c r="AH349" s="47" t="n"/>
      <c r="AI349" s="47" t="n"/>
      <c r="AJ349" s="47" t="n"/>
      <c r="AK349" s="47" t="n"/>
      <c r="AL349" s="47" t="n"/>
      <c r="AM349" s="47" t="n"/>
      <c r="AN349" s="47" t="n"/>
      <c r="AO349" s="47" t="n"/>
      <c r="AP349" s="47" t="n"/>
      <c r="AQ349" s="47" t="n"/>
      <c r="AR349" s="47" t="n"/>
      <c r="AS349" s="47" t="n"/>
      <c r="AT349" s="47" t="n"/>
      <c r="AU349" s="48" t="n"/>
      <c r="AV349" s="48" t="n"/>
      <c r="AW349" s="49">
        <f>IF($A349="","",IF($BW349&lt;&gt;"","FIX",IF($BX349&lt;&gt;"","CHECK","OK")))</f>
        <v/>
      </c>
      <c r="AX349" s="50">
        <f>IF($A349="","",IF($BW349&lt;&gt;"","FIX: "&amp;LEFT($BW349,LEN($BW349)-2)&amp;IF($BX349&lt;&gt;"","  ·  ",""),"")&amp;IF($BX349&lt;&gt;"","CHECK: "&amp;LEFT($BX349,LEN($BX349)-2),""))</f>
        <v/>
      </c>
      <c r="AY349" s="49">
        <f>IF(OR($A349="",$K349=""),"",$K349&amp;"'-"&amp;N($L349)&amp;CHAR(34)&amp;" x "&amp;$M349&amp;"'-"&amp;N($N349)&amp;CHAR(34))</f>
        <v/>
      </c>
      <c r="AZ349" s="49">
        <f>IF(OR($A349="",$K349=""),"",$K349&amp;N($L349)&amp;$M349&amp;N($N349))</f>
        <v/>
      </c>
      <c r="BA349" s="49">
        <f>IF(OR($A349="",$K349=""),"",$K349*12+N($L349))</f>
        <v/>
      </c>
      <c r="BB349" s="49">
        <f>IF(OR($A349="",$M349=""),"",$M349*12+N($N349))</f>
        <v/>
      </c>
      <c r="BC349" s="49">
        <f>IF($A349="","",IF(OR($C349="FRAME ONLY",$S349="BL"),0,IF($O349="Y",2,1)))</f>
        <v/>
      </c>
      <c r="BD349" s="51">
        <f>IF(OR(N($BC349)=0,$BA349=""),"",($BA349-2*EdgeClr-IF($BC349=2,MeetClr,0))/$BC349)</f>
        <v/>
      </c>
      <c r="BE349" s="51">
        <f>IF(OR(N($BC349)=0,$BB349=""),"",$BB349-HeadClr-Undercut)</f>
        <v/>
      </c>
      <c r="BF349" s="51">
        <f>IF($BA349="","",$BA349+2*FaceW+IF(N($Q349)&gt;0,($Q349+FaceW)*IF($R349="LR",2,1),0))</f>
        <v/>
      </c>
      <c r="BG349" s="51">
        <f>IF($BB349="","",$BB349+IF($AB349="Y",4,FaceW)+IF(N($P349)&gt;0,$P349+FaceW,0)+IF(OR($S349="4F",$S349="BL"),FaceW,0))</f>
        <v/>
      </c>
      <c r="BH349" s="51">
        <f>IF($BF349="","",$BF349+2*ROSide)</f>
        <v/>
      </c>
      <c r="BI349" s="51">
        <f>IF($BG349="","",$BG349+ROTop)</f>
        <v/>
      </c>
      <c r="BJ349" s="52">
        <f>IF(OR(N($BC349)=0,$BA349=""),"",$BA349/$BC349-ClearDeduct)</f>
        <v/>
      </c>
      <c r="BK349" s="49">
        <f>IF(OR(N($BC349)=0,$BE349=""),"",IF(OR($AC349="HGC",$AP349="HGC"),"CONT",IF($BE349&lt;=60,2,IF($BE349&lt;=90,3,IF($BE349&lt;=120,4,5)))))</f>
        <v/>
      </c>
      <c r="BL349" s="49">
        <f>IF(N($BC349)=0,"",IF(OR($AL349="",$AL349="FLUSH"),"FLUSH",IFERROR(LEFT($AL349,FIND("-",$AL349)-1),LEFT($AL349,2))))</f>
        <v/>
      </c>
      <c r="BM349" s="49">
        <f>IF($BL349="","",IFERROR(VALUE(MID($AL349,FIND("-",$AL349)+1,FIND(CHAR(34)&amp;"x",$AL349)-FIND("-",$AL349)-1)),0))</f>
        <v/>
      </c>
      <c r="BN349" s="49">
        <f>IF($BL349="","",IFERROR(VALUE(MID($AL349,FIND(CHAR(34)&amp;"x",$AL349)+2,FIND(CHAR(34),$AL349,FIND(CHAR(34)&amp;"x",$AL349)+2)-FIND(CHAR(34)&amp;"x",$AL349)-2)),0))</f>
        <v/>
      </c>
      <c r="BO349" s="53">
        <f>IF(OR($A349="",$H349="",$H349="NO LAB"),0,IFERROR(VALUE(LEFT($H349,FIND(" ",$H349)-1)),0))</f>
        <v/>
      </c>
      <c r="BP349" s="54">
        <f>IF(OR($A349="",$I349="",$I349="NON-RATED",N($J349)=0),"",IFERROR(VLOOKUP($I349&amp;"|"&amp;$J349,IBC,2,FALSE),"?"))</f>
        <v/>
      </c>
      <c r="BQ349" s="50">
        <f>IF(NOT(AND($A349&lt;&gt;"",$C349&lt;&gt;"DOOR ONLY")),"",TRIM(IFERROR(VLOOKUP($U349,CODES,2,FALSE),"")&amp;" "&amp;$AZ349&amp;" "&amp;IFERROR(VLOOKUP($Z349,CODES,2,FALSE),"")&amp;" "&amp;IFERROR(VLOOKUP($X349,CODES,2,FALSE),"")&amp;" "&amp;IFERROR(VLOOKUP($S349,CODES,2,FALSE),"")&amp;IF(N($P349)&gt;0," w/TRANSOM "&amp;$P349&amp;CHAR(34),"")&amp;IF(N($Q349)&gt;0," w/SIDELITE "&amp;$Q349&amp;CHAR(34)&amp;" "&amp;IF($R349="","R",$R349),"")&amp;IF($Y349="","  |  "," | "&amp;IFERROR(VLOOKUP($Y349,CODES,2,FALSE),"")&amp;" | ")&amp;IFERROR(VLOOKUP($AC349,CODES,2,FALSE),"")&amp;" "&amp;IFERROR(VLOOKUP($AD349,CODES,2,FALSE),"")&amp;IF(OR($AE349="",$AE349="-"),""," "&amp;$AE349)&amp;IF(OR($AF349="",$AF349="-"),""," "&amp;$AF349)&amp;IF($AB349="Y"," 4"&amp;CHAR(34)&amp;" HEAD","")&amp;" "&amp;IFERROR(VLOOKUP($H349,CODES,2,FALSE),"")))</f>
        <v/>
      </c>
      <c r="BR349" s="50">
        <f>IF(NOT(AND($A349&lt;&gt;"",N($BC349)&gt;0)),"",TRIM(IFERROR(VLOOKUP($AH349,CODES,2,FALSE),"")&amp;IF($AI349=""," "," "&amp;$AI349&amp;"GA ")&amp;$AZ349&amp;" "&amp;IF($AN349="",IFERROR(VLOOKUP($Z349,CODES,2,FALSE),""),IFERROR(VLOOKUP($AN349,CODES,2,FALSE),""))&amp;IF($BC349=2," PAIR","")&amp;" DOOR | "&amp;IF($AL349="","?",$AL349)&amp;" | "&amp;IF($AP349="",IFERROR(VLOOKUP($AC349,CODES,2,FALSE),""),IFERROR(VLOOKUP($AP349,CODES,2,FALSE),""))&amp;" "&amp;IFERROR(VLOOKUP($AQ349,CODES,2,FALSE),"")&amp;IF(OR($AR349="",$AR349="-"),""," SEAM "&amp;$AR349)&amp;IF($AS349="Y"," ASTRAGAL","")&amp;IF($AJ349=""," "," "&amp;$AJ349)&amp;IF($AK349=""," "," "&amp;$AK349)&amp;IF($AO349="",""," "&amp;$AO349)&amp;IF($AM349=""," "," SERIES "&amp;$AM349)&amp;" "&amp;IFERROR(VLOOKUP($H349,CODES,2,FALSE),"")))</f>
        <v/>
      </c>
      <c r="BS349" s="49">
        <f>IF(BV349="","",IF(COUNTIF($BV$6:BV349,BV349)=1,MAX($BS$5:BS348)+1,INDEX($BS$5:BS348,MATCH(BV349,$BV$5:BV348,0))))</f>
        <v/>
      </c>
      <c r="BT349" s="49">
        <f>IF(NOT(AND($A349&lt;&gt;"",$C349&lt;&gt;"DOOR ONLY")),"",MAX($BT$5:BT348)+1)</f>
        <v/>
      </c>
      <c r="BU349" s="49">
        <f>IF(NOT(AND($A349&lt;&gt;"",N($BC349)&gt;0)),"",MAX($BU$5:BU348)+1)</f>
        <v/>
      </c>
      <c r="BV349" s="49">
        <f>IF(OR($A349="",$BA349="",$BB349=""),"",$AZ349&amp;"|"&amp;$O349&amp;"|"&amp;$AL349&amp;"|"&amp;$S349&amp;"|"&amp;$P349&amp;"|"&amp;$Q349&amp;$R349&amp;"|"&amp;$C349&amp;"|"&amp;$AB349)</f>
        <v/>
      </c>
      <c r="BW349" s="49">
        <f>IF($A349="","",IF($B349="","qty, ","")&amp;IF($C349="","scope, ","")&amp;IF(OR($K349="",$M349=""),"size, ","")&amp;IF(AND($A349&lt;&gt;"",$C349&lt;&gt;"DOOR ONLY"),IF($U349="","jamb depth, ","")&amp;IF($X349="","construction, ","")&amp;IF($Y349="","anchor, ","")&amp;IF($S349="","frame type, ",""),"")&amp;IF(AND(N($BC349)&gt;0,$Z349=""),"hand, ","")&amp;IF(N($BC349)&gt;0,IF($AH349="","door material, ","")&amp;IF($AL349="","face type, ","")&amp;IF($AQ349="","lock prep, ","")&amp;IF(AND($AP349="",$AC349=""),"hinge prep, ",""),"")&amp;IF(AND($BO349&gt;0,$AH349="FRP"),"FRP cannot carry a label, ","")&amp;IF(AND($O349="Y",OR($Z349="L",$Z349="R",$Z349="LR",$Z349="RR")),"pair marked but hand is single, ","")&amp;IF(AND($O349&lt;&gt;"Y",OR($Z349="PR",AND(LEN($Z349)&gt;1,ISNUMBER(SEARCH("-",$Z349))))),"pair hand on a single door, ","")&amp;IF(AND(ISNUMBER($BP349),$BO349&lt;N($BP349)),"wall needs a "&amp;$BP349&amp;" min door, ","")&amp;IF(AND($BO349&gt;=180,AND(OR($BL349="FG",$BL349="HG",$BL349="FNV",$BL349="FV"),N($BM349)*N($BN349)&gt;100)),"180 min lite over 100 sq in, ","")&amp;IF(N($BD349)&gt;48,"leaf wider than 4'-0"&amp;CHAR(34)&amp;", ",""))</f>
        <v/>
      </c>
      <c r="BX349" s="49">
        <f>IF($A349="","",IF(AND($BO349&gt;0,AND($A349&lt;&gt;"",$C349&lt;&gt;"DOOR ONLY"),$X349="KD",$E349="EXTERIOR"),"KD label on an exterior opening, ","")&amp;IF(AND($E349="EXTERIOR",OR(AND(AND($A349&lt;&gt;"",$C349&lt;&gt;"DOOR ONLY"),$W349="CR"),AND(N($BC349)&gt;0,$AH349="CR"))),"exterior in CR steel (G9?), ","")&amp;IF(AND(ISNUMBER($BJ349),N($BJ349)&lt;32),"clear width ~"&amp;TEXT($BJ349,"0.0")&amp;CHAR(34)&amp;" under 32"&amp;CHAR(34)&amp;" (ADA), ","")&amp;IF(AND($BO349=90,AND(OR($BL349="FG",$BL349="HG",$BL349="FNV",$BL349="FV"),N($BM349)*N($BN349)&gt;100)),"90 min lite over 100 sq in (stair/exit), ","")&amp;IF(AND($BO349&gt;0,AND($A349&lt;&gt;"",$C349&lt;&gt;"DOOR ONLY"),OR($AF349="",$AF349="-")),"rated: closer reinf.?, ","")&amp;IF(OR($I349="CORRIDOR",$I349="SMOKE BARRIER"),"S label + smoke gasketing, ","")&amp;IF($BP349="?","wall type/hr not in IBC table, ","")&amp;IF(AND(N($BC349)&gt;0,$AU349=""),"no hardware set, ","")&amp;IF(AND($AU349&lt;&gt;"",ISNA(MATCH($AU349,HWSets,0))),"set "&amp;$AU349&amp;" not on Hardware sheet, ","")&amp;IF(N($BE349)&gt;96,"leaf over 8'-0"&amp;CHAR(34)&amp;" - check listing, ",""))</f>
        <v/>
      </c>
    </row>
    <row r="350" ht="15" customHeight="1">
      <c r="A350" s="44" t="n"/>
      <c r="B350" s="45" t="n"/>
      <c r="C350" s="45" t="n"/>
      <c r="D350" s="45" t="n"/>
      <c r="E350" s="45" t="n"/>
      <c r="F350" s="45" t="n"/>
      <c r="G350" s="45" t="n"/>
      <c r="H350" s="45" t="n"/>
      <c r="I350" s="45" t="n"/>
      <c r="J350" s="45" t="n"/>
      <c r="K350" s="45" t="n"/>
      <c r="L350" s="45" t="n"/>
      <c r="M350" s="45" t="n"/>
      <c r="N350" s="45" t="n"/>
      <c r="O350" s="45" t="n"/>
      <c r="P350" s="45" t="n"/>
      <c r="Q350" s="45" t="n"/>
      <c r="R350" s="45" t="n"/>
      <c r="S350" s="46" t="n"/>
      <c r="T350" s="46" t="n"/>
      <c r="U350" s="46" t="n"/>
      <c r="V350" s="46" t="n"/>
      <c r="W350" s="46" t="n"/>
      <c r="X350" s="46" t="n"/>
      <c r="Y350" s="46" t="n"/>
      <c r="Z350" s="46" t="n"/>
      <c r="AA350" s="46" t="n"/>
      <c r="AB350" s="46" t="n"/>
      <c r="AC350" s="46" t="n"/>
      <c r="AD350" s="46" t="n"/>
      <c r="AE350" s="46" t="n"/>
      <c r="AF350" s="46" t="n"/>
      <c r="AG350" s="46" t="n"/>
      <c r="AH350" s="47" t="n"/>
      <c r="AI350" s="47" t="n"/>
      <c r="AJ350" s="47" t="n"/>
      <c r="AK350" s="47" t="n"/>
      <c r="AL350" s="47" t="n"/>
      <c r="AM350" s="47" t="n"/>
      <c r="AN350" s="47" t="n"/>
      <c r="AO350" s="47" t="n"/>
      <c r="AP350" s="47" t="n"/>
      <c r="AQ350" s="47" t="n"/>
      <c r="AR350" s="47" t="n"/>
      <c r="AS350" s="47" t="n"/>
      <c r="AT350" s="47" t="n"/>
      <c r="AU350" s="48" t="n"/>
      <c r="AV350" s="48" t="n"/>
      <c r="AW350" s="49">
        <f>IF($A350="","",IF($BW350&lt;&gt;"","FIX",IF($BX350&lt;&gt;"","CHECK","OK")))</f>
        <v/>
      </c>
      <c r="AX350" s="50">
        <f>IF($A350="","",IF($BW350&lt;&gt;"","FIX: "&amp;LEFT($BW350,LEN($BW350)-2)&amp;IF($BX350&lt;&gt;"","  ·  ",""),"")&amp;IF($BX350&lt;&gt;"","CHECK: "&amp;LEFT($BX350,LEN($BX350)-2),""))</f>
        <v/>
      </c>
      <c r="AY350" s="49">
        <f>IF(OR($A350="",$K350=""),"",$K350&amp;"'-"&amp;N($L350)&amp;CHAR(34)&amp;" x "&amp;$M350&amp;"'-"&amp;N($N350)&amp;CHAR(34))</f>
        <v/>
      </c>
      <c r="AZ350" s="49">
        <f>IF(OR($A350="",$K350=""),"",$K350&amp;N($L350)&amp;$M350&amp;N($N350))</f>
        <v/>
      </c>
      <c r="BA350" s="49">
        <f>IF(OR($A350="",$K350=""),"",$K350*12+N($L350))</f>
        <v/>
      </c>
      <c r="BB350" s="49">
        <f>IF(OR($A350="",$M350=""),"",$M350*12+N($N350))</f>
        <v/>
      </c>
      <c r="BC350" s="49">
        <f>IF($A350="","",IF(OR($C350="FRAME ONLY",$S350="BL"),0,IF($O350="Y",2,1)))</f>
        <v/>
      </c>
      <c r="BD350" s="51">
        <f>IF(OR(N($BC350)=0,$BA350=""),"",($BA350-2*EdgeClr-IF($BC350=2,MeetClr,0))/$BC350)</f>
        <v/>
      </c>
      <c r="BE350" s="51">
        <f>IF(OR(N($BC350)=0,$BB350=""),"",$BB350-HeadClr-Undercut)</f>
        <v/>
      </c>
      <c r="BF350" s="51">
        <f>IF($BA350="","",$BA350+2*FaceW+IF(N($Q350)&gt;0,($Q350+FaceW)*IF($R350="LR",2,1),0))</f>
        <v/>
      </c>
      <c r="BG350" s="51">
        <f>IF($BB350="","",$BB350+IF($AB350="Y",4,FaceW)+IF(N($P350)&gt;0,$P350+FaceW,0)+IF(OR($S350="4F",$S350="BL"),FaceW,0))</f>
        <v/>
      </c>
      <c r="BH350" s="51">
        <f>IF($BF350="","",$BF350+2*ROSide)</f>
        <v/>
      </c>
      <c r="BI350" s="51">
        <f>IF($BG350="","",$BG350+ROTop)</f>
        <v/>
      </c>
      <c r="BJ350" s="52">
        <f>IF(OR(N($BC350)=0,$BA350=""),"",$BA350/$BC350-ClearDeduct)</f>
        <v/>
      </c>
      <c r="BK350" s="49">
        <f>IF(OR(N($BC350)=0,$BE350=""),"",IF(OR($AC350="HGC",$AP350="HGC"),"CONT",IF($BE350&lt;=60,2,IF($BE350&lt;=90,3,IF($BE350&lt;=120,4,5)))))</f>
        <v/>
      </c>
      <c r="BL350" s="49">
        <f>IF(N($BC350)=0,"",IF(OR($AL350="",$AL350="FLUSH"),"FLUSH",IFERROR(LEFT($AL350,FIND("-",$AL350)-1),LEFT($AL350,2))))</f>
        <v/>
      </c>
      <c r="BM350" s="49">
        <f>IF($BL350="","",IFERROR(VALUE(MID($AL350,FIND("-",$AL350)+1,FIND(CHAR(34)&amp;"x",$AL350)-FIND("-",$AL350)-1)),0))</f>
        <v/>
      </c>
      <c r="BN350" s="49">
        <f>IF($BL350="","",IFERROR(VALUE(MID($AL350,FIND(CHAR(34)&amp;"x",$AL350)+2,FIND(CHAR(34),$AL350,FIND(CHAR(34)&amp;"x",$AL350)+2)-FIND(CHAR(34)&amp;"x",$AL350)-2)),0))</f>
        <v/>
      </c>
      <c r="BO350" s="53">
        <f>IF(OR($A350="",$H350="",$H350="NO LAB"),0,IFERROR(VALUE(LEFT($H350,FIND(" ",$H350)-1)),0))</f>
        <v/>
      </c>
      <c r="BP350" s="54">
        <f>IF(OR($A350="",$I350="",$I350="NON-RATED",N($J350)=0),"",IFERROR(VLOOKUP($I350&amp;"|"&amp;$J350,IBC,2,FALSE),"?"))</f>
        <v/>
      </c>
      <c r="BQ350" s="50">
        <f>IF(NOT(AND($A350&lt;&gt;"",$C350&lt;&gt;"DOOR ONLY")),"",TRIM(IFERROR(VLOOKUP($U350,CODES,2,FALSE),"")&amp;" "&amp;$AZ350&amp;" "&amp;IFERROR(VLOOKUP($Z350,CODES,2,FALSE),"")&amp;" "&amp;IFERROR(VLOOKUP($X350,CODES,2,FALSE),"")&amp;" "&amp;IFERROR(VLOOKUP($S350,CODES,2,FALSE),"")&amp;IF(N($P350)&gt;0," w/TRANSOM "&amp;$P350&amp;CHAR(34),"")&amp;IF(N($Q350)&gt;0," w/SIDELITE "&amp;$Q350&amp;CHAR(34)&amp;" "&amp;IF($R350="","R",$R350),"")&amp;IF($Y350="","  |  "," | "&amp;IFERROR(VLOOKUP($Y350,CODES,2,FALSE),"")&amp;" | ")&amp;IFERROR(VLOOKUP($AC350,CODES,2,FALSE),"")&amp;" "&amp;IFERROR(VLOOKUP($AD350,CODES,2,FALSE),"")&amp;IF(OR($AE350="",$AE350="-"),""," "&amp;$AE350)&amp;IF(OR($AF350="",$AF350="-"),""," "&amp;$AF350)&amp;IF($AB350="Y"," 4"&amp;CHAR(34)&amp;" HEAD","")&amp;" "&amp;IFERROR(VLOOKUP($H350,CODES,2,FALSE),"")))</f>
        <v/>
      </c>
      <c r="BR350" s="50">
        <f>IF(NOT(AND($A350&lt;&gt;"",N($BC350)&gt;0)),"",TRIM(IFERROR(VLOOKUP($AH350,CODES,2,FALSE),"")&amp;IF($AI350=""," "," "&amp;$AI350&amp;"GA ")&amp;$AZ350&amp;" "&amp;IF($AN350="",IFERROR(VLOOKUP($Z350,CODES,2,FALSE),""),IFERROR(VLOOKUP($AN350,CODES,2,FALSE),""))&amp;IF($BC350=2," PAIR","")&amp;" DOOR | "&amp;IF($AL350="","?",$AL350)&amp;" | "&amp;IF($AP350="",IFERROR(VLOOKUP($AC350,CODES,2,FALSE),""),IFERROR(VLOOKUP($AP350,CODES,2,FALSE),""))&amp;" "&amp;IFERROR(VLOOKUP($AQ350,CODES,2,FALSE),"")&amp;IF(OR($AR350="",$AR350="-"),""," SEAM "&amp;$AR350)&amp;IF($AS350="Y"," ASTRAGAL","")&amp;IF($AJ350=""," "," "&amp;$AJ350)&amp;IF($AK350=""," "," "&amp;$AK350)&amp;IF($AO350="",""," "&amp;$AO350)&amp;IF($AM350=""," "," SERIES "&amp;$AM350)&amp;" "&amp;IFERROR(VLOOKUP($H350,CODES,2,FALSE),"")))</f>
        <v/>
      </c>
      <c r="BS350" s="49">
        <f>IF(BV350="","",IF(COUNTIF($BV$6:BV350,BV350)=1,MAX($BS$5:BS349)+1,INDEX($BS$5:BS349,MATCH(BV350,$BV$5:BV349,0))))</f>
        <v/>
      </c>
      <c r="BT350" s="49">
        <f>IF(NOT(AND($A350&lt;&gt;"",$C350&lt;&gt;"DOOR ONLY")),"",MAX($BT$5:BT349)+1)</f>
        <v/>
      </c>
      <c r="BU350" s="49">
        <f>IF(NOT(AND($A350&lt;&gt;"",N($BC350)&gt;0)),"",MAX($BU$5:BU349)+1)</f>
        <v/>
      </c>
      <c r="BV350" s="49">
        <f>IF(OR($A350="",$BA350="",$BB350=""),"",$AZ350&amp;"|"&amp;$O350&amp;"|"&amp;$AL350&amp;"|"&amp;$S350&amp;"|"&amp;$P350&amp;"|"&amp;$Q350&amp;$R350&amp;"|"&amp;$C350&amp;"|"&amp;$AB350)</f>
        <v/>
      </c>
      <c r="BW350" s="49">
        <f>IF($A350="","",IF($B350="","qty, ","")&amp;IF($C350="","scope, ","")&amp;IF(OR($K350="",$M350=""),"size, ","")&amp;IF(AND($A350&lt;&gt;"",$C350&lt;&gt;"DOOR ONLY"),IF($U350="","jamb depth, ","")&amp;IF($X350="","construction, ","")&amp;IF($Y350="","anchor, ","")&amp;IF($S350="","frame type, ",""),"")&amp;IF(AND(N($BC350)&gt;0,$Z350=""),"hand, ","")&amp;IF(N($BC350)&gt;0,IF($AH350="","door material, ","")&amp;IF($AL350="","face type, ","")&amp;IF($AQ350="","lock prep, ","")&amp;IF(AND($AP350="",$AC350=""),"hinge prep, ",""),"")&amp;IF(AND($BO350&gt;0,$AH350="FRP"),"FRP cannot carry a label, ","")&amp;IF(AND($O350="Y",OR($Z350="L",$Z350="R",$Z350="LR",$Z350="RR")),"pair marked but hand is single, ","")&amp;IF(AND($O350&lt;&gt;"Y",OR($Z350="PR",AND(LEN($Z350)&gt;1,ISNUMBER(SEARCH("-",$Z350))))),"pair hand on a single door, ","")&amp;IF(AND(ISNUMBER($BP350),$BO350&lt;N($BP350)),"wall needs a "&amp;$BP350&amp;" min door, ","")&amp;IF(AND($BO350&gt;=180,AND(OR($BL350="FG",$BL350="HG",$BL350="FNV",$BL350="FV"),N($BM350)*N($BN350)&gt;100)),"180 min lite over 100 sq in, ","")&amp;IF(N($BD350)&gt;48,"leaf wider than 4'-0"&amp;CHAR(34)&amp;", ",""))</f>
        <v/>
      </c>
      <c r="BX350" s="49">
        <f>IF($A350="","",IF(AND($BO350&gt;0,AND($A350&lt;&gt;"",$C350&lt;&gt;"DOOR ONLY"),$X350="KD",$E350="EXTERIOR"),"KD label on an exterior opening, ","")&amp;IF(AND($E350="EXTERIOR",OR(AND(AND($A350&lt;&gt;"",$C350&lt;&gt;"DOOR ONLY"),$W350="CR"),AND(N($BC350)&gt;0,$AH350="CR"))),"exterior in CR steel (G9?), ","")&amp;IF(AND(ISNUMBER($BJ350),N($BJ350)&lt;32),"clear width ~"&amp;TEXT($BJ350,"0.0")&amp;CHAR(34)&amp;" under 32"&amp;CHAR(34)&amp;" (ADA), ","")&amp;IF(AND($BO350=90,AND(OR($BL350="FG",$BL350="HG",$BL350="FNV",$BL350="FV"),N($BM350)*N($BN350)&gt;100)),"90 min lite over 100 sq in (stair/exit), ","")&amp;IF(AND($BO350&gt;0,AND($A350&lt;&gt;"",$C350&lt;&gt;"DOOR ONLY"),OR($AF350="",$AF350="-")),"rated: closer reinf.?, ","")&amp;IF(OR($I350="CORRIDOR",$I350="SMOKE BARRIER"),"S label + smoke gasketing, ","")&amp;IF($BP350="?","wall type/hr not in IBC table, ","")&amp;IF(AND(N($BC350)&gt;0,$AU350=""),"no hardware set, ","")&amp;IF(AND($AU350&lt;&gt;"",ISNA(MATCH($AU350,HWSets,0))),"set "&amp;$AU350&amp;" not on Hardware sheet, ","")&amp;IF(N($BE350)&gt;96,"leaf over 8'-0"&amp;CHAR(34)&amp;" - check listing, ",""))</f>
        <v/>
      </c>
    </row>
    <row r="351" ht="15" customHeight="1">
      <c r="A351" s="44" t="n"/>
      <c r="B351" s="45" t="n"/>
      <c r="C351" s="45" t="n"/>
      <c r="D351" s="45" t="n"/>
      <c r="E351" s="45" t="n"/>
      <c r="F351" s="45" t="n"/>
      <c r="G351" s="45" t="n"/>
      <c r="H351" s="45" t="n"/>
      <c r="I351" s="45" t="n"/>
      <c r="J351" s="45" t="n"/>
      <c r="K351" s="45" t="n"/>
      <c r="L351" s="45" t="n"/>
      <c r="M351" s="45" t="n"/>
      <c r="N351" s="45" t="n"/>
      <c r="O351" s="45" t="n"/>
      <c r="P351" s="45" t="n"/>
      <c r="Q351" s="45" t="n"/>
      <c r="R351" s="45" t="n"/>
      <c r="S351" s="46" t="n"/>
      <c r="T351" s="46" t="n"/>
      <c r="U351" s="46" t="n"/>
      <c r="V351" s="46" t="n"/>
      <c r="W351" s="46" t="n"/>
      <c r="X351" s="46" t="n"/>
      <c r="Y351" s="46" t="n"/>
      <c r="Z351" s="46" t="n"/>
      <c r="AA351" s="46" t="n"/>
      <c r="AB351" s="46" t="n"/>
      <c r="AC351" s="46" t="n"/>
      <c r="AD351" s="46" t="n"/>
      <c r="AE351" s="46" t="n"/>
      <c r="AF351" s="46" t="n"/>
      <c r="AG351" s="46" t="n"/>
      <c r="AH351" s="47" t="n"/>
      <c r="AI351" s="47" t="n"/>
      <c r="AJ351" s="47" t="n"/>
      <c r="AK351" s="47" t="n"/>
      <c r="AL351" s="47" t="n"/>
      <c r="AM351" s="47" t="n"/>
      <c r="AN351" s="47" t="n"/>
      <c r="AO351" s="47" t="n"/>
      <c r="AP351" s="47" t="n"/>
      <c r="AQ351" s="47" t="n"/>
      <c r="AR351" s="47" t="n"/>
      <c r="AS351" s="47" t="n"/>
      <c r="AT351" s="47" t="n"/>
      <c r="AU351" s="48" t="n"/>
      <c r="AV351" s="48" t="n"/>
      <c r="AW351" s="49">
        <f>IF($A351="","",IF($BW351&lt;&gt;"","FIX",IF($BX351&lt;&gt;"","CHECK","OK")))</f>
        <v/>
      </c>
      <c r="AX351" s="50">
        <f>IF($A351="","",IF($BW351&lt;&gt;"","FIX: "&amp;LEFT($BW351,LEN($BW351)-2)&amp;IF($BX351&lt;&gt;"","  ·  ",""),"")&amp;IF($BX351&lt;&gt;"","CHECK: "&amp;LEFT($BX351,LEN($BX351)-2),""))</f>
        <v/>
      </c>
      <c r="AY351" s="49">
        <f>IF(OR($A351="",$K351=""),"",$K351&amp;"'-"&amp;N($L351)&amp;CHAR(34)&amp;" x "&amp;$M351&amp;"'-"&amp;N($N351)&amp;CHAR(34))</f>
        <v/>
      </c>
      <c r="AZ351" s="49">
        <f>IF(OR($A351="",$K351=""),"",$K351&amp;N($L351)&amp;$M351&amp;N($N351))</f>
        <v/>
      </c>
      <c r="BA351" s="49">
        <f>IF(OR($A351="",$K351=""),"",$K351*12+N($L351))</f>
        <v/>
      </c>
      <c r="BB351" s="49">
        <f>IF(OR($A351="",$M351=""),"",$M351*12+N($N351))</f>
        <v/>
      </c>
      <c r="BC351" s="49">
        <f>IF($A351="","",IF(OR($C351="FRAME ONLY",$S351="BL"),0,IF($O351="Y",2,1)))</f>
        <v/>
      </c>
      <c r="BD351" s="51">
        <f>IF(OR(N($BC351)=0,$BA351=""),"",($BA351-2*EdgeClr-IF($BC351=2,MeetClr,0))/$BC351)</f>
        <v/>
      </c>
      <c r="BE351" s="51">
        <f>IF(OR(N($BC351)=0,$BB351=""),"",$BB351-HeadClr-Undercut)</f>
        <v/>
      </c>
      <c r="BF351" s="51">
        <f>IF($BA351="","",$BA351+2*FaceW+IF(N($Q351)&gt;0,($Q351+FaceW)*IF($R351="LR",2,1),0))</f>
        <v/>
      </c>
      <c r="BG351" s="51">
        <f>IF($BB351="","",$BB351+IF($AB351="Y",4,FaceW)+IF(N($P351)&gt;0,$P351+FaceW,0)+IF(OR($S351="4F",$S351="BL"),FaceW,0))</f>
        <v/>
      </c>
      <c r="BH351" s="51">
        <f>IF($BF351="","",$BF351+2*ROSide)</f>
        <v/>
      </c>
      <c r="BI351" s="51">
        <f>IF($BG351="","",$BG351+ROTop)</f>
        <v/>
      </c>
      <c r="BJ351" s="52">
        <f>IF(OR(N($BC351)=0,$BA351=""),"",$BA351/$BC351-ClearDeduct)</f>
        <v/>
      </c>
      <c r="BK351" s="49">
        <f>IF(OR(N($BC351)=0,$BE351=""),"",IF(OR($AC351="HGC",$AP351="HGC"),"CONT",IF($BE351&lt;=60,2,IF($BE351&lt;=90,3,IF($BE351&lt;=120,4,5)))))</f>
        <v/>
      </c>
      <c r="BL351" s="49">
        <f>IF(N($BC351)=0,"",IF(OR($AL351="",$AL351="FLUSH"),"FLUSH",IFERROR(LEFT($AL351,FIND("-",$AL351)-1),LEFT($AL351,2))))</f>
        <v/>
      </c>
      <c r="BM351" s="49">
        <f>IF($BL351="","",IFERROR(VALUE(MID($AL351,FIND("-",$AL351)+1,FIND(CHAR(34)&amp;"x",$AL351)-FIND("-",$AL351)-1)),0))</f>
        <v/>
      </c>
      <c r="BN351" s="49">
        <f>IF($BL351="","",IFERROR(VALUE(MID($AL351,FIND(CHAR(34)&amp;"x",$AL351)+2,FIND(CHAR(34),$AL351,FIND(CHAR(34)&amp;"x",$AL351)+2)-FIND(CHAR(34)&amp;"x",$AL351)-2)),0))</f>
        <v/>
      </c>
      <c r="BO351" s="53">
        <f>IF(OR($A351="",$H351="",$H351="NO LAB"),0,IFERROR(VALUE(LEFT($H351,FIND(" ",$H351)-1)),0))</f>
        <v/>
      </c>
      <c r="BP351" s="54">
        <f>IF(OR($A351="",$I351="",$I351="NON-RATED",N($J351)=0),"",IFERROR(VLOOKUP($I351&amp;"|"&amp;$J351,IBC,2,FALSE),"?"))</f>
        <v/>
      </c>
      <c r="BQ351" s="50">
        <f>IF(NOT(AND($A351&lt;&gt;"",$C351&lt;&gt;"DOOR ONLY")),"",TRIM(IFERROR(VLOOKUP($U351,CODES,2,FALSE),"")&amp;" "&amp;$AZ351&amp;" "&amp;IFERROR(VLOOKUP($Z351,CODES,2,FALSE),"")&amp;" "&amp;IFERROR(VLOOKUP($X351,CODES,2,FALSE),"")&amp;" "&amp;IFERROR(VLOOKUP($S351,CODES,2,FALSE),"")&amp;IF(N($P351)&gt;0," w/TRANSOM "&amp;$P351&amp;CHAR(34),"")&amp;IF(N($Q351)&gt;0," w/SIDELITE "&amp;$Q351&amp;CHAR(34)&amp;" "&amp;IF($R351="","R",$R351),"")&amp;IF($Y351="","  |  "," | "&amp;IFERROR(VLOOKUP($Y351,CODES,2,FALSE),"")&amp;" | ")&amp;IFERROR(VLOOKUP($AC351,CODES,2,FALSE),"")&amp;" "&amp;IFERROR(VLOOKUP($AD351,CODES,2,FALSE),"")&amp;IF(OR($AE351="",$AE351="-"),""," "&amp;$AE351)&amp;IF(OR($AF351="",$AF351="-"),""," "&amp;$AF351)&amp;IF($AB351="Y"," 4"&amp;CHAR(34)&amp;" HEAD","")&amp;" "&amp;IFERROR(VLOOKUP($H351,CODES,2,FALSE),"")))</f>
        <v/>
      </c>
      <c r="BR351" s="50">
        <f>IF(NOT(AND($A351&lt;&gt;"",N($BC351)&gt;0)),"",TRIM(IFERROR(VLOOKUP($AH351,CODES,2,FALSE),"")&amp;IF($AI351=""," "," "&amp;$AI351&amp;"GA ")&amp;$AZ351&amp;" "&amp;IF($AN351="",IFERROR(VLOOKUP($Z351,CODES,2,FALSE),""),IFERROR(VLOOKUP($AN351,CODES,2,FALSE),""))&amp;IF($BC351=2," PAIR","")&amp;" DOOR | "&amp;IF($AL351="","?",$AL351)&amp;" | "&amp;IF($AP351="",IFERROR(VLOOKUP($AC351,CODES,2,FALSE),""),IFERROR(VLOOKUP($AP351,CODES,2,FALSE),""))&amp;" "&amp;IFERROR(VLOOKUP($AQ351,CODES,2,FALSE),"")&amp;IF(OR($AR351="",$AR351="-"),""," SEAM "&amp;$AR351)&amp;IF($AS351="Y"," ASTRAGAL","")&amp;IF($AJ351=""," "," "&amp;$AJ351)&amp;IF($AK351=""," "," "&amp;$AK351)&amp;IF($AO351="",""," "&amp;$AO351)&amp;IF($AM351=""," "," SERIES "&amp;$AM351)&amp;" "&amp;IFERROR(VLOOKUP($H351,CODES,2,FALSE),"")))</f>
        <v/>
      </c>
      <c r="BS351" s="49">
        <f>IF(BV351="","",IF(COUNTIF($BV$6:BV351,BV351)=1,MAX($BS$5:BS350)+1,INDEX($BS$5:BS350,MATCH(BV351,$BV$5:BV350,0))))</f>
        <v/>
      </c>
      <c r="BT351" s="49">
        <f>IF(NOT(AND($A351&lt;&gt;"",$C351&lt;&gt;"DOOR ONLY")),"",MAX($BT$5:BT350)+1)</f>
        <v/>
      </c>
      <c r="BU351" s="49">
        <f>IF(NOT(AND($A351&lt;&gt;"",N($BC351)&gt;0)),"",MAX($BU$5:BU350)+1)</f>
        <v/>
      </c>
      <c r="BV351" s="49">
        <f>IF(OR($A351="",$BA351="",$BB351=""),"",$AZ351&amp;"|"&amp;$O351&amp;"|"&amp;$AL351&amp;"|"&amp;$S351&amp;"|"&amp;$P351&amp;"|"&amp;$Q351&amp;$R351&amp;"|"&amp;$C351&amp;"|"&amp;$AB351)</f>
        <v/>
      </c>
      <c r="BW351" s="49">
        <f>IF($A351="","",IF($B351="","qty, ","")&amp;IF($C351="","scope, ","")&amp;IF(OR($K351="",$M351=""),"size, ","")&amp;IF(AND($A351&lt;&gt;"",$C351&lt;&gt;"DOOR ONLY"),IF($U351="","jamb depth, ","")&amp;IF($X351="","construction, ","")&amp;IF($Y351="","anchor, ","")&amp;IF($S351="","frame type, ",""),"")&amp;IF(AND(N($BC351)&gt;0,$Z351=""),"hand, ","")&amp;IF(N($BC351)&gt;0,IF($AH351="","door material, ","")&amp;IF($AL351="","face type, ","")&amp;IF($AQ351="","lock prep, ","")&amp;IF(AND($AP351="",$AC351=""),"hinge prep, ",""),"")&amp;IF(AND($BO351&gt;0,$AH351="FRP"),"FRP cannot carry a label, ","")&amp;IF(AND($O351="Y",OR($Z351="L",$Z351="R",$Z351="LR",$Z351="RR")),"pair marked but hand is single, ","")&amp;IF(AND($O351&lt;&gt;"Y",OR($Z351="PR",AND(LEN($Z351)&gt;1,ISNUMBER(SEARCH("-",$Z351))))),"pair hand on a single door, ","")&amp;IF(AND(ISNUMBER($BP351),$BO351&lt;N($BP351)),"wall needs a "&amp;$BP351&amp;" min door, ","")&amp;IF(AND($BO351&gt;=180,AND(OR($BL351="FG",$BL351="HG",$BL351="FNV",$BL351="FV"),N($BM351)*N($BN351)&gt;100)),"180 min lite over 100 sq in, ","")&amp;IF(N($BD351)&gt;48,"leaf wider than 4'-0"&amp;CHAR(34)&amp;", ",""))</f>
        <v/>
      </c>
      <c r="BX351" s="49">
        <f>IF($A351="","",IF(AND($BO351&gt;0,AND($A351&lt;&gt;"",$C351&lt;&gt;"DOOR ONLY"),$X351="KD",$E351="EXTERIOR"),"KD label on an exterior opening, ","")&amp;IF(AND($E351="EXTERIOR",OR(AND(AND($A351&lt;&gt;"",$C351&lt;&gt;"DOOR ONLY"),$W351="CR"),AND(N($BC351)&gt;0,$AH351="CR"))),"exterior in CR steel (G9?), ","")&amp;IF(AND(ISNUMBER($BJ351),N($BJ351)&lt;32),"clear width ~"&amp;TEXT($BJ351,"0.0")&amp;CHAR(34)&amp;" under 32"&amp;CHAR(34)&amp;" (ADA), ","")&amp;IF(AND($BO351=90,AND(OR($BL351="FG",$BL351="HG",$BL351="FNV",$BL351="FV"),N($BM351)*N($BN351)&gt;100)),"90 min lite over 100 sq in (stair/exit), ","")&amp;IF(AND($BO351&gt;0,AND($A351&lt;&gt;"",$C351&lt;&gt;"DOOR ONLY"),OR($AF351="",$AF351="-")),"rated: closer reinf.?, ","")&amp;IF(OR($I351="CORRIDOR",$I351="SMOKE BARRIER"),"S label + smoke gasketing, ","")&amp;IF($BP351="?","wall type/hr not in IBC table, ","")&amp;IF(AND(N($BC351)&gt;0,$AU351=""),"no hardware set, ","")&amp;IF(AND($AU351&lt;&gt;"",ISNA(MATCH($AU351,HWSets,0))),"set "&amp;$AU351&amp;" not on Hardware sheet, ","")&amp;IF(N($BE351)&gt;96,"leaf over 8'-0"&amp;CHAR(34)&amp;" - check listing, ",""))</f>
        <v/>
      </c>
    </row>
    <row r="352" ht="15" customHeight="1">
      <c r="A352" s="44" t="n"/>
      <c r="B352" s="45" t="n"/>
      <c r="C352" s="45" t="n"/>
      <c r="D352" s="45" t="n"/>
      <c r="E352" s="45" t="n"/>
      <c r="F352" s="45" t="n"/>
      <c r="G352" s="45" t="n"/>
      <c r="H352" s="45" t="n"/>
      <c r="I352" s="45" t="n"/>
      <c r="J352" s="45" t="n"/>
      <c r="K352" s="45" t="n"/>
      <c r="L352" s="45" t="n"/>
      <c r="M352" s="45" t="n"/>
      <c r="N352" s="45" t="n"/>
      <c r="O352" s="45" t="n"/>
      <c r="P352" s="45" t="n"/>
      <c r="Q352" s="45" t="n"/>
      <c r="R352" s="45" t="n"/>
      <c r="S352" s="46" t="n"/>
      <c r="T352" s="46" t="n"/>
      <c r="U352" s="46" t="n"/>
      <c r="V352" s="46" t="n"/>
      <c r="W352" s="46" t="n"/>
      <c r="X352" s="46" t="n"/>
      <c r="Y352" s="46" t="n"/>
      <c r="Z352" s="46" t="n"/>
      <c r="AA352" s="46" t="n"/>
      <c r="AB352" s="46" t="n"/>
      <c r="AC352" s="46" t="n"/>
      <c r="AD352" s="46" t="n"/>
      <c r="AE352" s="46" t="n"/>
      <c r="AF352" s="46" t="n"/>
      <c r="AG352" s="46" t="n"/>
      <c r="AH352" s="47" t="n"/>
      <c r="AI352" s="47" t="n"/>
      <c r="AJ352" s="47" t="n"/>
      <c r="AK352" s="47" t="n"/>
      <c r="AL352" s="47" t="n"/>
      <c r="AM352" s="47" t="n"/>
      <c r="AN352" s="47" t="n"/>
      <c r="AO352" s="47" t="n"/>
      <c r="AP352" s="47" t="n"/>
      <c r="AQ352" s="47" t="n"/>
      <c r="AR352" s="47" t="n"/>
      <c r="AS352" s="47" t="n"/>
      <c r="AT352" s="47" t="n"/>
      <c r="AU352" s="48" t="n"/>
      <c r="AV352" s="48" t="n"/>
      <c r="AW352" s="49">
        <f>IF($A352="","",IF($BW352&lt;&gt;"","FIX",IF($BX352&lt;&gt;"","CHECK","OK")))</f>
        <v/>
      </c>
      <c r="AX352" s="50">
        <f>IF($A352="","",IF($BW352&lt;&gt;"","FIX: "&amp;LEFT($BW352,LEN($BW352)-2)&amp;IF($BX352&lt;&gt;"","  ·  ",""),"")&amp;IF($BX352&lt;&gt;"","CHECK: "&amp;LEFT($BX352,LEN($BX352)-2),""))</f>
        <v/>
      </c>
      <c r="AY352" s="49">
        <f>IF(OR($A352="",$K352=""),"",$K352&amp;"'-"&amp;N($L352)&amp;CHAR(34)&amp;" x "&amp;$M352&amp;"'-"&amp;N($N352)&amp;CHAR(34))</f>
        <v/>
      </c>
      <c r="AZ352" s="49">
        <f>IF(OR($A352="",$K352=""),"",$K352&amp;N($L352)&amp;$M352&amp;N($N352))</f>
        <v/>
      </c>
      <c r="BA352" s="49">
        <f>IF(OR($A352="",$K352=""),"",$K352*12+N($L352))</f>
        <v/>
      </c>
      <c r="BB352" s="49">
        <f>IF(OR($A352="",$M352=""),"",$M352*12+N($N352))</f>
        <v/>
      </c>
      <c r="BC352" s="49">
        <f>IF($A352="","",IF(OR($C352="FRAME ONLY",$S352="BL"),0,IF($O352="Y",2,1)))</f>
        <v/>
      </c>
      <c r="BD352" s="51">
        <f>IF(OR(N($BC352)=0,$BA352=""),"",($BA352-2*EdgeClr-IF($BC352=2,MeetClr,0))/$BC352)</f>
        <v/>
      </c>
      <c r="BE352" s="51">
        <f>IF(OR(N($BC352)=0,$BB352=""),"",$BB352-HeadClr-Undercut)</f>
        <v/>
      </c>
      <c r="BF352" s="51">
        <f>IF($BA352="","",$BA352+2*FaceW+IF(N($Q352)&gt;0,($Q352+FaceW)*IF($R352="LR",2,1),0))</f>
        <v/>
      </c>
      <c r="BG352" s="51">
        <f>IF($BB352="","",$BB352+IF($AB352="Y",4,FaceW)+IF(N($P352)&gt;0,$P352+FaceW,0)+IF(OR($S352="4F",$S352="BL"),FaceW,0))</f>
        <v/>
      </c>
      <c r="BH352" s="51">
        <f>IF($BF352="","",$BF352+2*ROSide)</f>
        <v/>
      </c>
      <c r="BI352" s="51">
        <f>IF($BG352="","",$BG352+ROTop)</f>
        <v/>
      </c>
      <c r="BJ352" s="52">
        <f>IF(OR(N($BC352)=0,$BA352=""),"",$BA352/$BC352-ClearDeduct)</f>
        <v/>
      </c>
      <c r="BK352" s="49">
        <f>IF(OR(N($BC352)=0,$BE352=""),"",IF(OR($AC352="HGC",$AP352="HGC"),"CONT",IF($BE352&lt;=60,2,IF($BE352&lt;=90,3,IF($BE352&lt;=120,4,5)))))</f>
        <v/>
      </c>
      <c r="BL352" s="49">
        <f>IF(N($BC352)=0,"",IF(OR($AL352="",$AL352="FLUSH"),"FLUSH",IFERROR(LEFT($AL352,FIND("-",$AL352)-1),LEFT($AL352,2))))</f>
        <v/>
      </c>
      <c r="BM352" s="49">
        <f>IF($BL352="","",IFERROR(VALUE(MID($AL352,FIND("-",$AL352)+1,FIND(CHAR(34)&amp;"x",$AL352)-FIND("-",$AL352)-1)),0))</f>
        <v/>
      </c>
      <c r="BN352" s="49">
        <f>IF($BL352="","",IFERROR(VALUE(MID($AL352,FIND(CHAR(34)&amp;"x",$AL352)+2,FIND(CHAR(34),$AL352,FIND(CHAR(34)&amp;"x",$AL352)+2)-FIND(CHAR(34)&amp;"x",$AL352)-2)),0))</f>
        <v/>
      </c>
      <c r="BO352" s="53">
        <f>IF(OR($A352="",$H352="",$H352="NO LAB"),0,IFERROR(VALUE(LEFT($H352,FIND(" ",$H352)-1)),0))</f>
        <v/>
      </c>
      <c r="BP352" s="54">
        <f>IF(OR($A352="",$I352="",$I352="NON-RATED",N($J352)=0),"",IFERROR(VLOOKUP($I352&amp;"|"&amp;$J352,IBC,2,FALSE),"?"))</f>
        <v/>
      </c>
      <c r="BQ352" s="50">
        <f>IF(NOT(AND($A352&lt;&gt;"",$C352&lt;&gt;"DOOR ONLY")),"",TRIM(IFERROR(VLOOKUP($U352,CODES,2,FALSE),"")&amp;" "&amp;$AZ352&amp;" "&amp;IFERROR(VLOOKUP($Z352,CODES,2,FALSE),"")&amp;" "&amp;IFERROR(VLOOKUP($X352,CODES,2,FALSE),"")&amp;" "&amp;IFERROR(VLOOKUP($S352,CODES,2,FALSE),"")&amp;IF(N($P352)&gt;0," w/TRANSOM "&amp;$P352&amp;CHAR(34),"")&amp;IF(N($Q352)&gt;0," w/SIDELITE "&amp;$Q352&amp;CHAR(34)&amp;" "&amp;IF($R352="","R",$R352),"")&amp;IF($Y352="","  |  "," | "&amp;IFERROR(VLOOKUP($Y352,CODES,2,FALSE),"")&amp;" | ")&amp;IFERROR(VLOOKUP($AC352,CODES,2,FALSE),"")&amp;" "&amp;IFERROR(VLOOKUP($AD352,CODES,2,FALSE),"")&amp;IF(OR($AE352="",$AE352="-"),""," "&amp;$AE352)&amp;IF(OR($AF352="",$AF352="-"),""," "&amp;$AF352)&amp;IF($AB352="Y"," 4"&amp;CHAR(34)&amp;" HEAD","")&amp;" "&amp;IFERROR(VLOOKUP($H352,CODES,2,FALSE),"")))</f>
        <v/>
      </c>
      <c r="BR352" s="50">
        <f>IF(NOT(AND($A352&lt;&gt;"",N($BC352)&gt;0)),"",TRIM(IFERROR(VLOOKUP($AH352,CODES,2,FALSE),"")&amp;IF($AI352=""," "," "&amp;$AI352&amp;"GA ")&amp;$AZ352&amp;" "&amp;IF($AN352="",IFERROR(VLOOKUP($Z352,CODES,2,FALSE),""),IFERROR(VLOOKUP($AN352,CODES,2,FALSE),""))&amp;IF($BC352=2," PAIR","")&amp;" DOOR | "&amp;IF($AL352="","?",$AL352)&amp;" | "&amp;IF($AP352="",IFERROR(VLOOKUP($AC352,CODES,2,FALSE),""),IFERROR(VLOOKUP($AP352,CODES,2,FALSE),""))&amp;" "&amp;IFERROR(VLOOKUP($AQ352,CODES,2,FALSE),"")&amp;IF(OR($AR352="",$AR352="-"),""," SEAM "&amp;$AR352)&amp;IF($AS352="Y"," ASTRAGAL","")&amp;IF($AJ352=""," "," "&amp;$AJ352)&amp;IF($AK352=""," "," "&amp;$AK352)&amp;IF($AO352="",""," "&amp;$AO352)&amp;IF($AM352=""," "," SERIES "&amp;$AM352)&amp;" "&amp;IFERROR(VLOOKUP($H352,CODES,2,FALSE),"")))</f>
        <v/>
      </c>
      <c r="BS352" s="49">
        <f>IF(BV352="","",IF(COUNTIF($BV$6:BV352,BV352)=1,MAX($BS$5:BS351)+1,INDEX($BS$5:BS351,MATCH(BV352,$BV$5:BV351,0))))</f>
        <v/>
      </c>
      <c r="BT352" s="49">
        <f>IF(NOT(AND($A352&lt;&gt;"",$C352&lt;&gt;"DOOR ONLY")),"",MAX($BT$5:BT351)+1)</f>
        <v/>
      </c>
      <c r="BU352" s="49">
        <f>IF(NOT(AND($A352&lt;&gt;"",N($BC352)&gt;0)),"",MAX($BU$5:BU351)+1)</f>
        <v/>
      </c>
      <c r="BV352" s="49">
        <f>IF(OR($A352="",$BA352="",$BB352=""),"",$AZ352&amp;"|"&amp;$O352&amp;"|"&amp;$AL352&amp;"|"&amp;$S352&amp;"|"&amp;$P352&amp;"|"&amp;$Q352&amp;$R352&amp;"|"&amp;$C352&amp;"|"&amp;$AB352)</f>
        <v/>
      </c>
      <c r="BW352" s="49">
        <f>IF($A352="","",IF($B352="","qty, ","")&amp;IF($C352="","scope, ","")&amp;IF(OR($K352="",$M352=""),"size, ","")&amp;IF(AND($A352&lt;&gt;"",$C352&lt;&gt;"DOOR ONLY"),IF($U352="","jamb depth, ","")&amp;IF($X352="","construction, ","")&amp;IF($Y352="","anchor, ","")&amp;IF($S352="","frame type, ",""),"")&amp;IF(AND(N($BC352)&gt;0,$Z352=""),"hand, ","")&amp;IF(N($BC352)&gt;0,IF($AH352="","door material, ","")&amp;IF($AL352="","face type, ","")&amp;IF($AQ352="","lock prep, ","")&amp;IF(AND($AP352="",$AC352=""),"hinge prep, ",""),"")&amp;IF(AND($BO352&gt;0,$AH352="FRP"),"FRP cannot carry a label, ","")&amp;IF(AND($O352="Y",OR($Z352="L",$Z352="R",$Z352="LR",$Z352="RR")),"pair marked but hand is single, ","")&amp;IF(AND($O352&lt;&gt;"Y",OR($Z352="PR",AND(LEN($Z352)&gt;1,ISNUMBER(SEARCH("-",$Z352))))),"pair hand on a single door, ","")&amp;IF(AND(ISNUMBER($BP352),$BO352&lt;N($BP352)),"wall needs a "&amp;$BP352&amp;" min door, ","")&amp;IF(AND($BO352&gt;=180,AND(OR($BL352="FG",$BL352="HG",$BL352="FNV",$BL352="FV"),N($BM352)*N($BN352)&gt;100)),"180 min lite over 100 sq in, ","")&amp;IF(N($BD352)&gt;48,"leaf wider than 4'-0"&amp;CHAR(34)&amp;", ",""))</f>
        <v/>
      </c>
      <c r="BX352" s="49">
        <f>IF($A352="","",IF(AND($BO352&gt;0,AND($A352&lt;&gt;"",$C352&lt;&gt;"DOOR ONLY"),$X352="KD",$E352="EXTERIOR"),"KD label on an exterior opening, ","")&amp;IF(AND($E352="EXTERIOR",OR(AND(AND($A352&lt;&gt;"",$C352&lt;&gt;"DOOR ONLY"),$W352="CR"),AND(N($BC352)&gt;0,$AH352="CR"))),"exterior in CR steel (G9?), ","")&amp;IF(AND(ISNUMBER($BJ352),N($BJ352)&lt;32),"clear width ~"&amp;TEXT($BJ352,"0.0")&amp;CHAR(34)&amp;" under 32"&amp;CHAR(34)&amp;" (ADA), ","")&amp;IF(AND($BO352=90,AND(OR($BL352="FG",$BL352="HG",$BL352="FNV",$BL352="FV"),N($BM352)*N($BN352)&gt;100)),"90 min lite over 100 sq in (stair/exit), ","")&amp;IF(AND($BO352&gt;0,AND($A352&lt;&gt;"",$C352&lt;&gt;"DOOR ONLY"),OR($AF352="",$AF352="-")),"rated: closer reinf.?, ","")&amp;IF(OR($I352="CORRIDOR",$I352="SMOKE BARRIER"),"S label + smoke gasketing, ","")&amp;IF($BP352="?","wall type/hr not in IBC table, ","")&amp;IF(AND(N($BC352)&gt;0,$AU352=""),"no hardware set, ","")&amp;IF(AND($AU352&lt;&gt;"",ISNA(MATCH($AU352,HWSets,0))),"set "&amp;$AU352&amp;" not on Hardware sheet, ","")&amp;IF(N($BE352)&gt;96,"leaf over 8'-0"&amp;CHAR(34)&amp;" - check listing, ",""))</f>
        <v/>
      </c>
    </row>
    <row r="353" ht="15" customHeight="1">
      <c r="A353" s="44" t="n"/>
      <c r="B353" s="45" t="n"/>
      <c r="C353" s="45" t="n"/>
      <c r="D353" s="45" t="n"/>
      <c r="E353" s="45" t="n"/>
      <c r="F353" s="45" t="n"/>
      <c r="G353" s="45" t="n"/>
      <c r="H353" s="45" t="n"/>
      <c r="I353" s="45" t="n"/>
      <c r="J353" s="45" t="n"/>
      <c r="K353" s="45" t="n"/>
      <c r="L353" s="45" t="n"/>
      <c r="M353" s="45" t="n"/>
      <c r="N353" s="45" t="n"/>
      <c r="O353" s="45" t="n"/>
      <c r="P353" s="45" t="n"/>
      <c r="Q353" s="45" t="n"/>
      <c r="R353" s="45" t="n"/>
      <c r="S353" s="46" t="n"/>
      <c r="T353" s="46" t="n"/>
      <c r="U353" s="46" t="n"/>
      <c r="V353" s="46" t="n"/>
      <c r="W353" s="46" t="n"/>
      <c r="X353" s="46" t="n"/>
      <c r="Y353" s="46" t="n"/>
      <c r="Z353" s="46" t="n"/>
      <c r="AA353" s="46" t="n"/>
      <c r="AB353" s="46" t="n"/>
      <c r="AC353" s="46" t="n"/>
      <c r="AD353" s="46" t="n"/>
      <c r="AE353" s="46" t="n"/>
      <c r="AF353" s="46" t="n"/>
      <c r="AG353" s="46" t="n"/>
      <c r="AH353" s="47" t="n"/>
      <c r="AI353" s="47" t="n"/>
      <c r="AJ353" s="47" t="n"/>
      <c r="AK353" s="47" t="n"/>
      <c r="AL353" s="47" t="n"/>
      <c r="AM353" s="47" t="n"/>
      <c r="AN353" s="47" t="n"/>
      <c r="AO353" s="47" t="n"/>
      <c r="AP353" s="47" t="n"/>
      <c r="AQ353" s="47" t="n"/>
      <c r="AR353" s="47" t="n"/>
      <c r="AS353" s="47" t="n"/>
      <c r="AT353" s="47" t="n"/>
      <c r="AU353" s="48" t="n"/>
      <c r="AV353" s="48" t="n"/>
      <c r="AW353" s="49">
        <f>IF($A353="","",IF($BW353&lt;&gt;"","FIX",IF($BX353&lt;&gt;"","CHECK","OK")))</f>
        <v/>
      </c>
      <c r="AX353" s="50">
        <f>IF($A353="","",IF($BW353&lt;&gt;"","FIX: "&amp;LEFT($BW353,LEN($BW353)-2)&amp;IF($BX353&lt;&gt;"","  ·  ",""),"")&amp;IF($BX353&lt;&gt;"","CHECK: "&amp;LEFT($BX353,LEN($BX353)-2),""))</f>
        <v/>
      </c>
      <c r="AY353" s="49">
        <f>IF(OR($A353="",$K353=""),"",$K353&amp;"'-"&amp;N($L353)&amp;CHAR(34)&amp;" x "&amp;$M353&amp;"'-"&amp;N($N353)&amp;CHAR(34))</f>
        <v/>
      </c>
      <c r="AZ353" s="49">
        <f>IF(OR($A353="",$K353=""),"",$K353&amp;N($L353)&amp;$M353&amp;N($N353))</f>
        <v/>
      </c>
      <c r="BA353" s="49">
        <f>IF(OR($A353="",$K353=""),"",$K353*12+N($L353))</f>
        <v/>
      </c>
      <c r="BB353" s="49">
        <f>IF(OR($A353="",$M353=""),"",$M353*12+N($N353))</f>
        <v/>
      </c>
      <c r="BC353" s="49">
        <f>IF($A353="","",IF(OR($C353="FRAME ONLY",$S353="BL"),0,IF($O353="Y",2,1)))</f>
        <v/>
      </c>
      <c r="BD353" s="51">
        <f>IF(OR(N($BC353)=0,$BA353=""),"",($BA353-2*EdgeClr-IF($BC353=2,MeetClr,0))/$BC353)</f>
        <v/>
      </c>
      <c r="BE353" s="51">
        <f>IF(OR(N($BC353)=0,$BB353=""),"",$BB353-HeadClr-Undercut)</f>
        <v/>
      </c>
      <c r="BF353" s="51">
        <f>IF($BA353="","",$BA353+2*FaceW+IF(N($Q353)&gt;0,($Q353+FaceW)*IF($R353="LR",2,1),0))</f>
        <v/>
      </c>
      <c r="BG353" s="51">
        <f>IF($BB353="","",$BB353+IF($AB353="Y",4,FaceW)+IF(N($P353)&gt;0,$P353+FaceW,0)+IF(OR($S353="4F",$S353="BL"),FaceW,0))</f>
        <v/>
      </c>
      <c r="BH353" s="51">
        <f>IF($BF353="","",$BF353+2*ROSide)</f>
        <v/>
      </c>
      <c r="BI353" s="51">
        <f>IF($BG353="","",$BG353+ROTop)</f>
        <v/>
      </c>
      <c r="BJ353" s="52">
        <f>IF(OR(N($BC353)=0,$BA353=""),"",$BA353/$BC353-ClearDeduct)</f>
        <v/>
      </c>
      <c r="BK353" s="49">
        <f>IF(OR(N($BC353)=0,$BE353=""),"",IF(OR($AC353="HGC",$AP353="HGC"),"CONT",IF($BE353&lt;=60,2,IF($BE353&lt;=90,3,IF($BE353&lt;=120,4,5)))))</f>
        <v/>
      </c>
      <c r="BL353" s="49">
        <f>IF(N($BC353)=0,"",IF(OR($AL353="",$AL353="FLUSH"),"FLUSH",IFERROR(LEFT($AL353,FIND("-",$AL353)-1),LEFT($AL353,2))))</f>
        <v/>
      </c>
      <c r="BM353" s="49">
        <f>IF($BL353="","",IFERROR(VALUE(MID($AL353,FIND("-",$AL353)+1,FIND(CHAR(34)&amp;"x",$AL353)-FIND("-",$AL353)-1)),0))</f>
        <v/>
      </c>
      <c r="BN353" s="49">
        <f>IF($BL353="","",IFERROR(VALUE(MID($AL353,FIND(CHAR(34)&amp;"x",$AL353)+2,FIND(CHAR(34),$AL353,FIND(CHAR(34)&amp;"x",$AL353)+2)-FIND(CHAR(34)&amp;"x",$AL353)-2)),0))</f>
        <v/>
      </c>
      <c r="BO353" s="53">
        <f>IF(OR($A353="",$H353="",$H353="NO LAB"),0,IFERROR(VALUE(LEFT($H353,FIND(" ",$H353)-1)),0))</f>
        <v/>
      </c>
      <c r="BP353" s="54">
        <f>IF(OR($A353="",$I353="",$I353="NON-RATED",N($J353)=0),"",IFERROR(VLOOKUP($I353&amp;"|"&amp;$J353,IBC,2,FALSE),"?"))</f>
        <v/>
      </c>
      <c r="BQ353" s="50">
        <f>IF(NOT(AND($A353&lt;&gt;"",$C353&lt;&gt;"DOOR ONLY")),"",TRIM(IFERROR(VLOOKUP($U353,CODES,2,FALSE),"")&amp;" "&amp;$AZ353&amp;" "&amp;IFERROR(VLOOKUP($Z353,CODES,2,FALSE),"")&amp;" "&amp;IFERROR(VLOOKUP($X353,CODES,2,FALSE),"")&amp;" "&amp;IFERROR(VLOOKUP($S353,CODES,2,FALSE),"")&amp;IF(N($P353)&gt;0," w/TRANSOM "&amp;$P353&amp;CHAR(34),"")&amp;IF(N($Q353)&gt;0," w/SIDELITE "&amp;$Q353&amp;CHAR(34)&amp;" "&amp;IF($R353="","R",$R353),"")&amp;IF($Y353="","  |  "," | "&amp;IFERROR(VLOOKUP($Y353,CODES,2,FALSE),"")&amp;" | ")&amp;IFERROR(VLOOKUP($AC353,CODES,2,FALSE),"")&amp;" "&amp;IFERROR(VLOOKUP($AD353,CODES,2,FALSE),"")&amp;IF(OR($AE353="",$AE353="-"),""," "&amp;$AE353)&amp;IF(OR($AF353="",$AF353="-"),""," "&amp;$AF353)&amp;IF($AB353="Y"," 4"&amp;CHAR(34)&amp;" HEAD","")&amp;" "&amp;IFERROR(VLOOKUP($H353,CODES,2,FALSE),"")))</f>
        <v/>
      </c>
      <c r="BR353" s="50">
        <f>IF(NOT(AND($A353&lt;&gt;"",N($BC353)&gt;0)),"",TRIM(IFERROR(VLOOKUP($AH353,CODES,2,FALSE),"")&amp;IF($AI353=""," "," "&amp;$AI353&amp;"GA ")&amp;$AZ353&amp;" "&amp;IF($AN353="",IFERROR(VLOOKUP($Z353,CODES,2,FALSE),""),IFERROR(VLOOKUP($AN353,CODES,2,FALSE),""))&amp;IF($BC353=2," PAIR","")&amp;" DOOR | "&amp;IF($AL353="","?",$AL353)&amp;" | "&amp;IF($AP353="",IFERROR(VLOOKUP($AC353,CODES,2,FALSE),""),IFERROR(VLOOKUP($AP353,CODES,2,FALSE),""))&amp;" "&amp;IFERROR(VLOOKUP($AQ353,CODES,2,FALSE),"")&amp;IF(OR($AR353="",$AR353="-"),""," SEAM "&amp;$AR353)&amp;IF($AS353="Y"," ASTRAGAL","")&amp;IF($AJ353=""," "," "&amp;$AJ353)&amp;IF($AK353=""," "," "&amp;$AK353)&amp;IF($AO353="",""," "&amp;$AO353)&amp;IF($AM353=""," "," SERIES "&amp;$AM353)&amp;" "&amp;IFERROR(VLOOKUP($H353,CODES,2,FALSE),"")))</f>
        <v/>
      </c>
      <c r="BS353" s="49">
        <f>IF(BV353="","",IF(COUNTIF($BV$6:BV353,BV353)=1,MAX($BS$5:BS352)+1,INDEX($BS$5:BS352,MATCH(BV353,$BV$5:BV352,0))))</f>
        <v/>
      </c>
      <c r="BT353" s="49">
        <f>IF(NOT(AND($A353&lt;&gt;"",$C353&lt;&gt;"DOOR ONLY")),"",MAX($BT$5:BT352)+1)</f>
        <v/>
      </c>
      <c r="BU353" s="49">
        <f>IF(NOT(AND($A353&lt;&gt;"",N($BC353)&gt;0)),"",MAX($BU$5:BU352)+1)</f>
        <v/>
      </c>
      <c r="BV353" s="49">
        <f>IF(OR($A353="",$BA353="",$BB353=""),"",$AZ353&amp;"|"&amp;$O353&amp;"|"&amp;$AL353&amp;"|"&amp;$S353&amp;"|"&amp;$P353&amp;"|"&amp;$Q353&amp;$R353&amp;"|"&amp;$C353&amp;"|"&amp;$AB353)</f>
        <v/>
      </c>
      <c r="BW353" s="49">
        <f>IF($A353="","",IF($B353="","qty, ","")&amp;IF($C353="","scope, ","")&amp;IF(OR($K353="",$M353=""),"size, ","")&amp;IF(AND($A353&lt;&gt;"",$C353&lt;&gt;"DOOR ONLY"),IF($U353="","jamb depth, ","")&amp;IF($X353="","construction, ","")&amp;IF($Y353="","anchor, ","")&amp;IF($S353="","frame type, ",""),"")&amp;IF(AND(N($BC353)&gt;0,$Z353=""),"hand, ","")&amp;IF(N($BC353)&gt;0,IF($AH353="","door material, ","")&amp;IF($AL353="","face type, ","")&amp;IF($AQ353="","lock prep, ","")&amp;IF(AND($AP353="",$AC353=""),"hinge prep, ",""),"")&amp;IF(AND($BO353&gt;0,$AH353="FRP"),"FRP cannot carry a label, ","")&amp;IF(AND($O353="Y",OR($Z353="L",$Z353="R",$Z353="LR",$Z353="RR")),"pair marked but hand is single, ","")&amp;IF(AND($O353&lt;&gt;"Y",OR($Z353="PR",AND(LEN($Z353)&gt;1,ISNUMBER(SEARCH("-",$Z353))))),"pair hand on a single door, ","")&amp;IF(AND(ISNUMBER($BP353),$BO353&lt;N($BP353)),"wall needs a "&amp;$BP353&amp;" min door, ","")&amp;IF(AND($BO353&gt;=180,AND(OR($BL353="FG",$BL353="HG",$BL353="FNV",$BL353="FV"),N($BM353)*N($BN353)&gt;100)),"180 min lite over 100 sq in, ","")&amp;IF(N($BD353)&gt;48,"leaf wider than 4'-0"&amp;CHAR(34)&amp;", ",""))</f>
        <v/>
      </c>
      <c r="BX353" s="49">
        <f>IF($A353="","",IF(AND($BO353&gt;0,AND($A353&lt;&gt;"",$C353&lt;&gt;"DOOR ONLY"),$X353="KD",$E353="EXTERIOR"),"KD label on an exterior opening, ","")&amp;IF(AND($E353="EXTERIOR",OR(AND(AND($A353&lt;&gt;"",$C353&lt;&gt;"DOOR ONLY"),$W353="CR"),AND(N($BC353)&gt;0,$AH353="CR"))),"exterior in CR steel (G9?), ","")&amp;IF(AND(ISNUMBER($BJ353),N($BJ353)&lt;32),"clear width ~"&amp;TEXT($BJ353,"0.0")&amp;CHAR(34)&amp;" under 32"&amp;CHAR(34)&amp;" (ADA), ","")&amp;IF(AND($BO353=90,AND(OR($BL353="FG",$BL353="HG",$BL353="FNV",$BL353="FV"),N($BM353)*N($BN353)&gt;100)),"90 min lite over 100 sq in (stair/exit), ","")&amp;IF(AND($BO353&gt;0,AND($A353&lt;&gt;"",$C353&lt;&gt;"DOOR ONLY"),OR($AF353="",$AF353="-")),"rated: closer reinf.?, ","")&amp;IF(OR($I353="CORRIDOR",$I353="SMOKE BARRIER"),"S label + smoke gasketing, ","")&amp;IF($BP353="?","wall type/hr not in IBC table, ","")&amp;IF(AND(N($BC353)&gt;0,$AU353=""),"no hardware set, ","")&amp;IF(AND($AU353&lt;&gt;"",ISNA(MATCH($AU353,HWSets,0))),"set "&amp;$AU353&amp;" not on Hardware sheet, ","")&amp;IF(N($BE353)&gt;96,"leaf over 8'-0"&amp;CHAR(34)&amp;" - check listing, ",""))</f>
        <v/>
      </c>
    </row>
    <row r="354" ht="15" customHeight="1">
      <c r="A354" s="44" t="n"/>
      <c r="B354" s="45" t="n"/>
      <c r="C354" s="45" t="n"/>
      <c r="D354" s="45" t="n"/>
      <c r="E354" s="45" t="n"/>
      <c r="F354" s="45" t="n"/>
      <c r="G354" s="45" t="n"/>
      <c r="H354" s="45" t="n"/>
      <c r="I354" s="45" t="n"/>
      <c r="J354" s="45" t="n"/>
      <c r="K354" s="45" t="n"/>
      <c r="L354" s="45" t="n"/>
      <c r="M354" s="45" t="n"/>
      <c r="N354" s="45" t="n"/>
      <c r="O354" s="45" t="n"/>
      <c r="P354" s="45" t="n"/>
      <c r="Q354" s="45" t="n"/>
      <c r="R354" s="45" t="n"/>
      <c r="S354" s="46" t="n"/>
      <c r="T354" s="46" t="n"/>
      <c r="U354" s="46" t="n"/>
      <c r="V354" s="46" t="n"/>
      <c r="W354" s="46" t="n"/>
      <c r="X354" s="46" t="n"/>
      <c r="Y354" s="46" t="n"/>
      <c r="Z354" s="46" t="n"/>
      <c r="AA354" s="46" t="n"/>
      <c r="AB354" s="46" t="n"/>
      <c r="AC354" s="46" t="n"/>
      <c r="AD354" s="46" t="n"/>
      <c r="AE354" s="46" t="n"/>
      <c r="AF354" s="46" t="n"/>
      <c r="AG354" s="46" t="n"/>
      <c r="AH354" s="47" t="n"/>
      <c r="AI354" s="47" t="n"/>
      <c r="AJ354" s="47" t="n"/>
      <c r="AK354" s="47" t="n"/>
      <c r="AL354" s="47" t="n"/>
      <c r="AM354" s="47" t="n"/>
      <c r="AN354" s="47" t="n"/>
      <c r="AO354" s="47" t="n"/>
      <c r="AP354" s="47" t="n"/>
      <c r="AQ354" s="47" t="n"/>
      <c r="AR354" s="47" t="n"/>
      <c r="AS354" s="47" t="n"/>
      <c r="AT354" s="47" t="n"/>
      <c r="AU354" s="48" t="n"/>
      <c r="AV354" s="48" t="n"/>
      <c r="AW354" s="49">
        <f>IF($A354="","",IF($BW354&lt;&gt;"","FIX",IF($BX354&lt;&gt;"","CHECK","OK")))</f>
        <v/>
      </c>
      <c r="AX354" s="50">
        <f>IF($A354="","",IF($BW354&lt;&gt;"","FIX: "&amp;LEFT($BW354,LEN($BW354)-2)&amp;IF($BX354&lt;&gt;"","  ·  ",""),"")&amp;IF($BX354&lt;&gt;"","CHECK: "&amp;LEFT($BX354,LEN($BX354)-2),""))</f>
        <v/>
      </c>
      <c r="AY354" s="49">
        <f>IF(OR($A354="",$K354=""),"",$K354&amp;"'-"&amp;N($L354)&amp;CHAR(34)&amp;" x "&amp;$M354&amp;"'-"&amp;N($N354)&amp;CHAR(34))</f>
        <v/>
      </c>
      <c r="AZ354" s="49">
        <f>IF(OR($A354="",$K354=""),"",$K354&amp;N($L354)&amp;$M354&amp;N($N354))</f>
        <v/>
      </c>
      <c r="BA354" s="49">
        <f>IF(OR($A354="",$K354=""),"",$K354*12+N($L354))</f>
        <v/>
      </c>
      <c r="BB354" s="49">
        <f>IF(OR($A354="",$M354=""),"",$M354*12+N($N354))</f>
        <v/>
      </c>
      <c r="BC354" s="49">
        <f>IF($A354="","",IF(OR($C354="FRAME ONLY",$S354="BL"),0,IF($O354="Y",2,1)))</f>
        <v/>
      </c>
      <c r="BD354" s="51">
        <f>IF(OR(N($BC354)=0,$BA354=""),"",($BA354-2*EdgeClr-IF($BC354=2,MeetClr,0))/$BC354)</f>
        <v/>
      </c>
      <c r="BE354" s="51">
        <f>IF(OR(N($BC354)=0,$BB354=""),"",$BB354-HeadClr-Undercut)</f>
        <v/>
      </c>
      <c r="BF354" s="51">
        <f>IF($BA354="","",$BA354+2*FaceW+IF(N($Q354)&gt;0,($Q354+FaceW)*IF($R354="LR",2,1),0))</f>
        <v/>
      </c>
      <c r="BG354" s="51">
        <f>IF($BB354="","",$BB354+IF($AB354="Y",4,FaceW)+IF(N($P354)&gt;0,$P354+FaceW,0)+IF(OR($S354="4F",$S354="BL"),FaceW,0))</f>
        <v/>
      </c>
      <c r="BH354" s="51">
        <f>IF($BF354="","",$BF354+2*ROSide)</f>
        <v/>
      </c>
      <c r="BI354" s="51">
        <f>IF($BG354="","",$BG354+ROTop)</f>
        <v/>
      </c>
      <c r="BJ354" s="52">
        <f>IF(OR(N($BC354)=0,$BA354=""),"",$BA354/$BC354-ClearDeduct)</f>
        <v/>
      </c>
      <c r="BK354" s="49">
        <f>IF(OR(N($BC354)=0,$BE354=""),"",IF(OR($AC354="HGC",$AP354="HGC"),"CONT",IF($BE354&lt;=60,2,IF($BE354&lt;=90,3,IF($BE354&lt;=120,4,5)))))</f>
        <v/>
      </c>
      <c r="BL354" s="49">
        <f>IF(N($BC354)=0,"",IF(OR($AL354="",$AL354="FLUSH"),"FLUSH",IFERROR(LEFT($AL354,FIND("-",$AL354)-1),LEFT($AL354,2))))</f>
        <v/>
      </c>
      <c r="BM354" s="49">
        <f>IF($BL354="","",IFERROR(VALUE(MID($AL354,FIND("-",$AL354)+1,FIND(CHAR(34)&amp;"x",$AL354)-FIND("-",$AL354)-1)),0))</f>
        <v/>
      </c>
      <c r="BN354" s="49">
        <f>IF($BL354="","",IFERROR(VALUE(MID($AL354,FIND(CHAR(34)&amp;"x",$AL354)+2,FIND(CHAR(34),$AL354,FIND(CHAR(34)&amp;"x",$AL354)+2)-FIND(CHAR(34)&amp;"x",$AL354)-2)),0))</f>
        <v/>
      </c>
      <c r="BO354" s="53">
        <f>IF(OR($A354="",$H354="",$H354="NO LAB"),0,IFERROR(VALUE(LEFT($H354,FIND(" ",$H354)-1)),0))</f>
        <v/>
      </c>
      <c r="BP354" s="54">
        <f>IF(OR($A354="",$I354="",$I354="NON-RATED",N($J354)=0),"",IFERROR(VLOOKUP($I354&amp;"|"&amp;$J354,IBC,2,FALSE),"?"))</f>
        <v/>
      </c>
      <c r="BQ354" s="50">
        <f>IF(NOT(AND($A354&lt;&gt;"",$C354&lt;&gt;"DOOR ONLY")),"",TRIM(IFERROR(VLOOKUP($U354,CODES,2,FALSE),"")&amp;" "&amp;$AZ354&amp;" "&amp;IFERROR(VLOOKUP($Z354,CODES,2,FALSE),"")&amp;" "&amp;IFERROR(VLOOKUP($X354,CODES,2,FALSE),"")&amp;" "&amp;IFERROR(VLOOKUP($S354,CODES,2,FALSE),"")&amp;IF(N($P354)&gt;0," w/TRANSOM "&amp;$P354&amp;CHAR(34),"")&amp;IF(N($Q354)&gt;0," w/SIDELITE "&amp;$Q354&amp;CHAR(34)&amp;" "&amp;IF($R354="","R",$R354),"")&amp;IF($Y354="","  |  "," | "&amp;IFERROR(VLOOKUP($Y354,CODES,2,FALSE),"")&amp;" | ")&amp;IFERROR(VLOOKUP($AC354,CODES,2,FALSE),"")&amp;" "&amp;IFERROR(VLOOKUP($AD354,CODES,2,FALSE),"")&amp;IF(OR($AE354="",$AE354="-"),""," "&amp;$AE354)&amp;IF(OR($AF354="",$AF354="-"),""," "&amp;$AF354)&amp;IF($AB354="Y"," 4"&amp;CHAR(34)&amp;" HEAD","")&amp;" "&amp;IFERROR(VLOOKUP($H354,CODES,2,FALSE),"")))</f>
        <v/>
      </c>
      <c r="BR354" s="50">
        <f>IF(NOT(AND($A354&lt;&gt;"",N($BC354)&gt;0)),"",TRIM(IFERROR(VLOOKUP($AH354,CODES,2,FALSE),"")&amp;IF($AI354=""," "," "&amp;$AI354&amp;"GA ")&amp;$AZ354&amp;" "&amp;IF($AN354="",IFERROR(VLOOKUP($Z354,CODES,2,FALSE),""),IFERROR(VLOOKUP($AN354,CODES,2,FALSE),""))&amp;IF($BC354=2," PAIR","")&amp;" DOOR | "&amp;IF($AL354="","?",$AL354)&amp;" | "&amp;IF($AP354="",IFERROR(VLOOKUP($AC354,CODES,2,FALSE),""),IFERROR(VLOOKUP($AP354,CODES,2,FALSE),""))&amp;" "&amp;IFERROR(VLOOKUP($AQ354,CODES,2,FALSE),"")&amp;IF(OR($AR354="",$AR354="-"),""," SEAM "&amp;$AR354)&amp;IF($AS354="Y"," ASTRAGAL","")&amp;IF($AJ354=""," "," "&amp;$AJ354)&amp;IF($AK354=""," "," "&amp;$AK354)&amp;IF($AO354="",""," "&amp;$AO354)&amp;IF($AM354=""," "," SERIES "&amp;$AM354)&amp;" "&amp;IFERROR(VLOOKUP($H354,CODES,2,FALSE),"")))</f>
        <v/>
      </c>
      <c r="BS354" s="49">
        <f>IF(BV354="","",IF(COUNTIF($BV$6:BV354,BV354)=1,MAX($BS$5:BS353)+1,INDEX($BS$5:BS353,MATCH(BV354,$BV$5:BV353,0))))</f>
        <v/>
      </c>
      <c r="BT354" s="49">
        <f>IF(NOT(AND($A354&lt;&gt;"",$C354&lt;&gt;"DOOR ONLY")),"",MAX($BT$5:BT353)+1)</f>
        <v/>
      </c>
      <c r="BU354" s="49">
        <f>IF(NOT(AND($A354&lt;&gt;"",N($BC354)&gt;0)),"",MAX($BU$5:BU353)+1)</f>
        <v/>
      </c>
      <c r="BV354" s="49">
        <f>IF(OR($A354="",$BA354="",$BB354=""),"",$AZ354&amp;"|"&amp;$O354&amp;"|"&amp;$AL354&amp;"|"&amp;$S354&amp;"|"&amp;$P354&amp;"|"&amp;$Q354&amp;$R354&amp;"|"&amp;$C354&amp;"|"&amp;$AB354)</f>
        <v/>
      </c>
      <c r="BW354" s="49">
        <f>IF($A354="","",IF($B354="","qty, ","")&amp;IF($C354="","scope, ","")&amp;IF(OR($K354="",$M354=""),"size, ","")&amp;IF(AND($A354&lt;&gt;"",$C354&lt;&gt;"DOOR ONLY"),IF($U354="","jamb depth, ","")&amp;IF($X354="","construction, ","")&amp;IF($Y354="","anchor, ","")&amp;IF($S354="","frame type, ",""),"")&amp;IF(AND(N($BC354)&gt;0,$Z354=""),"hand, ","")&amp;IF(N($BC354)&gt;0,IF($AH354="","door material, ","")&amp;IF($AL354="","face type, ","")&amp;IF($AQ354="","lock prep, ","")&amp;IF(AND($AP354="",$AC354=""),"hinge prep, ",""),"")&amp;IF(AND($BO354&gt;0,$AH354="FRP"),"FRP cannot carry a label, ","")&amp;IF(AND($O354="Y",OR($Z354="L",$Z354="R",$Z354="LR",$Z354="RR")),"pair marked but hand is single, ","")&amp;IF(AND($O354&lt;&gt;"Y",OR($Z354="PR",AND(LEN($Z354)&gt;1,ISNUMBER(SEARCH("-",$Z354))))),"pair hand on a single door, ","")&amp;IF(AND(ISNUMBER($BP354),$BO354&lt;N($BP354)),"wall needs a "&amp;$BP354&amp;" min door, ","")&amp;IF(AND($BO354&gt;=180,AND(OR($BL354="FG",$BL354="HG",$BL354="FNV",$BL354="FV"),N($BM354)*N($BN354)&gt;100)),"180 min lite over 100 sq in, ","")&amp;IF(N($BD354)&gt;48,"leaf wider than 4'-0"&amp;CHAR(34)&amp;", ",""))</f>
        <v/>
      </c>
      <c r="BX354" s="49">
        <f>IF($A354="","",IF(AND($BO354&gt;0,AND($A354&lt;&gt;"",$C354&lt;&gt;"DOOR ONLY"),$X354="KD",$E354="EXTERIOR"),"KD label on an exterior opening, ","")&amp;IF(AND($E354="EXTERIOR",OR(AND(AND($A354&lt;&gt;"",$C354&lt;&gt;"DOOR ONLY"),$W354="CR"),AND(N($BC354)&gt;0,$AH354="CR"))),"exterior in CR steel (G9?), ","")&amp;IF(AND(ISNUMBER($BJ354),N($BJ354)&lt;32),"clear width ~"&amp;TEXT($BJ354,"0.0")&amp;CHAR(34)&amp;" under 32"&amp;CHAR(34)&amp;" (ADA), ","")&amp;IF(AND($BO354=90,AND(OR($BL354="FG",$BL354="HG",$BL354="FNV",$BL354="FV"),N($BM354)*N($BN354)&gt;100)),"90 min lite over 100 sq in (stair/exit), ","")&amp;IF(AND($BO354&gt;0,AND($A354&lt;&gt;"",$C354&lt;&gt;"DOOR ONLY"),OR($AF354="",$AF354="-")),"rated: closer reinf.?, ","")&amp;IF(OR($I354="CORRIDOR",$I354="SMOKE BARRIER"),"S label + smoke gasketing, ","")&amp;IF($BP354="?","wall type/hr not in IBC table, ","")&amp;IF(AND(N($BC354)&gt;0,$AU354=""),"no hardware set, ","")&amp;IF(AND($AU354&lt;&gt;"",ISNA(MATCH($AU354,HWSets,0))),"set "&amp;$AU354&amp;" not on Hardware sheet, ","")&amp;IF(N($BE354)&gt;96,"leaf over 8'-0"&amp;CHAR(34)&amp;" - check listing, ",""))</f>
        <v/>
      </c>
    </row>
    <row r="355" ht="15" customHeight="1">
      <c r="A355" s="44" t="n"/>
      <c r="B355" s="45" t="n"/>
      <c r="C355" s="45" t="n"/>
      <c r="D355" s="45" t="n"/>
      <c r="E355" s="45" t="n"/>
      <c r="F355" s="45" t="n"/>
      <c r="G355" s="45" t="n"/>
      <c r="H355" s="45" t="n"/>
      <c r="I355" s="45" t="n"/>
      <c r="J355" s="45" t="n"/>
      <c r="K355" s="45" t="n"/>
      <c r="L355" s="45" t="n"/>
      <c r="M355" s="45" t="n"/>
      <c r="N355" s="45" t="n"/>
      <c r="O355" s="45" t="n"/>
      <c r="P355" s="45" t="n"/>
      <c r="Q355" s="45" t="n"/>
      <c r="R355" s="45" t="n"/>
      <c r="S355" s="46" t="n"/>
      <c r="T355" s="46" t="n"/>
      <c r="U355" s="46" t="n"/>
      <c r="V355" s="46" t="n"/>
      <c r="W355" s="46" t="n"/>
      <c r="X355" s="46" t="n"/>
      <c r="Y355" s="46" t="n"/>
      <c r="Z355" s="46" t="n"/>
      <c r="AA355" s="46" t="n"/>
      <c r="AB355" s="46" t="n"/>
      <c r="AC355" s="46" t="n"/>
      <c r="AD355" s="46" t="n"/>
      <c r="AE355" s="46" t="n"/>
      <c r="AF355" s="46" t="n"/>
      <c r="AG355" s="46" t="n"/>
      <c r="AH355" s="47" t="n"/>
      <c r="AI355" s="47" t="n"/>
      <c r="AJ355" s="47" t="n"/>
      <c r="AK355" s="47" t="n"/>
      <c r="AL355" s="47" t="n"/>
      <c r="AM355" s="47" t="n"/>
      <c r="AN355" s="47" t="n"/>
      <c r="AO355" s="47" t="n"/>
      <c r="AP355" s="47" t="n"/>
      <c r="AQ355" s="47" t="n"/>
      <c r="AR355" s="47" t="n"/>
      <c r="AS355" s="47" t="n"/>
      <c r="AT355" s="47" t="n"/>
      <c r="AU355" s="48" t="n"/>
      <c r="AV355" s="48" t="n"/>
      <c r="AW355" s="49">
        <f>IF($A355="","",IF($BW355&lt;&gt;"","FIX",IF($BX355&lt;&gt;"","CHECK","OK")))</f>
        <v/>
      </c>
      <c r="AX355" s="50">
        <f>IF($A355="","",IF($BW355&lt;&gt;"","FIX: "&amp;LEFT($BW355,LEN($BW355)-2)&amp;IF($BX355&lt;&gt;"","  ·  ",""),"")&amp;IF($BX355&lt;&gt;"","CHECK: "&amp;LEFT($BX355,LEN($BX355)-2),""))</f>
        <v/>
      </c>
      <c r="AY355" s="49">
        <f>IF(OR($A355="",$K355=""),"",$K355&amp;"'-"&amp;N($L355)&amp;CHAR(34)&amp;" x "&amp;$M355&amp;"'-"&amp;N($N355)&amp;CHAR(34))</f>
        <v/>
      </c>
      <c r="AZ355" s="49">
        <f>IF(OR($A355="",$K355=""),"",$K355&amp;N($L355)&amp;$M355&amp;N($N355))</f>
        <v/>
      </c>
      <c r="BA355" s="49">
        <f>IF(OR($A355="",$K355=""),"",$K355*12+N($L355))</f>
        <v/>
      </c>
      <c r="BB355" s="49">
        <f>IF(OR($A355="",$M355=""),"",$M355*12+N($N355))</f>
        <v/>
      </c>
      <c r="BC355" s="49">
        <f>IF($A355="","",IF(OR($C355="FRAME ONLY",$S355="BL"),0,IF($O355="Y",2,1)))</f>
        <v/>
      </c>
      <c r="BD355" s="51">
        <f>IF(OR(N($BC355)=0,$BA355=""),"",($BA355-2*EdgeClr-IF($BC355=2,MeetClr,0))/$BC355)</f>
        <v/>
      </c>
      <c r="BE355" s="51">
        <f>IF(OR(N($BC355)=0,$BB355=""),"",$BB355-HeadClr-Undercut)</f>
        <v/>
      </c>
      <c r="BF355" s="51">
        <f>IF($BA355="","",$BA355+2*FaceW+IF(N($Q355)&gt;0,($Q355+FaceW)*IF($R355="LR",2,1),0))</f>
        <v/>
      </c>
      <c r="BG355" s="51">
        <f>IF($BB355="","",$BB355+IF($AB355="Y",4,FaceW)+IF(N($P355)&gt;0,$P355+FaceW,0)+IF(OR($S355="4F",$S355="BL"),FaceW,0))</f>
        <v/>
      </c>
      <c r="BH355" s="51">
        <f>IF($BF355="","",$BF355+2*ROSide)</f>
        <v/>
      </c>
      <c r="BI355" s="51">
        <f>IF($BG355="","",$BG355+ROTop)</f>
        <v/>
      </c>
      <c r="BJ355" s="52">
        <f>IF(OR(N($BC355)=0,$BA355=""),"",$BA355/$BC355-ClearDeduct)</f>
        <v/>
      </c>
      <c r="BK355" s="49">
        <f>IF(OR(N($BC355)=0,$BE355=""),"",IF(OR($AC355="HGC",$AP355="HGC"),"CONT",IF($BE355&lt;=60,2,IF($BE355&lt;=90,3,IF($BE355&lt;=120,4,5)))))</f>
        <v/>
      </c>
      <c r="BL355" s="49">
        <f>IF(N($BC355)=0,"",IF(OR($AL355="",$AL355="FLUSH"),"FLUSH",IFERROR(LEFT($AL355,FIND("-",$AL355)-1),LEFT($AL355,2))))</f>
        <v/>
      </c>
      <c r="BM355" s="49">
        <f>IF($BL355="","",IFERROR(VALUE(MID($AL355,FIND("-",$AL355)+1,FIND(CHAR(34)&amp;"x",$AL355)-FIND("-",$AL355)-1)),0))</f>
        <v/>
      </c>
      <c r="BN355" s="49">
        <f>IF($BL355="","",IFERROR(VALUE(MID($AL355,FIND(CHAR(34)&amp;"x",$AL355)+2,FIND(CHAR(34),$AL355,FIND(CHAR(34)&amp;"x",$AL355)+2)-FIND(CHAR(34)&amp;"x",$AL355)-2)),0))</f>
        <v/>
      </c>
      <c r="BO355" s="53">
        <f>IF(OR($A355="",$H355="",$H355="NO LAB"),0,IFERROR(VALUE(LEFT($H355,FIND(" ",$H355)-1)),0))</f>
        <v/>
      </c>
      <c r="BP355" s="54">
        <f>IF(OR($A355="",$I355="",$I355="NON-RATED",N($J355)=0),"",IFERROR(VLOOKUP($I355&amp;"|"&amp;$J355,IBC,2,FALSE),"?"))</f>
        <v/>
      </c>
      <c r="BQ355" s="50">
        <f>IF(NOT(AND($A355&lt;&gt;"",$C355&lt;&gt;"DOOR ONLY")),"",TRIM(IFERROR(VLOOKUP($U355,CODES,2,FALSE),"")&amp;" "&amp;$AZ355&amp;" "&amp;IFERROR(VLOOKUP($Z355,CODES,2,FALSE),"")&amp;" "&amp;IFERROR(VLOOKUP($X355,CODES,2,FALSE),"")&amp;" "&amp;IFERROR(VLOOKUP($S355,CODES,2,FALSE),"")&amp;IF(N($P355)&gt;0," w/TRANSOM "&amp;$P355&amp;CHAR(34),"")&amp;IF(N($Q355)&gt;0," w/SIDELITE "&amp;$Q355&amp;CHAR(34)&amp;" "&amp;IF($R355="","R",$R355),"")&amp;IF($Y355="","  |  "," | "&amp;IFERROR(VLOOKUP($Y355,CODES,2,FALSE),"")&amp;" | ")&amp;IFERROR(VLOOKUP($AC355,CODES,2,FALSE),"")&amp;" "&amp;IFERROR(VLOOKUP($AD355,CODES,2,FALSE),"")&amp;IF(OR($AE355="",$AE355="-"),""," "&amp;$AE355)&amp;IF(OR($AF355="",$AF355="-"),""," "&amp;$AF355)&amp;IF($AB355="Y"," 4"&amp;CHAR(34)&amp;" HEAD","")&amp;" "&amp;IFERROR(VLOOKUP($H355,CODES,2,FALSE),"")))</f>
        <v/>
      </c>
      <c r="BR355" s="50">
        <f>IF(NOT(AND($A355&lt;&gt;"",N($BC355)&gt;0)),"",TRIM(IFERROR(VLOOKUP($AH355,CODES,2,FALSE),"")&amp;IF($AI355=""," "," "&amp;$AI355&amp;"GA ")&amp;$AZ355&amp;" "&amp;IF($AN355="",IFERROR(VLOOKUP($Z355,CODES,2,FALSE),""),IFERROR(VLOOKUP($AN355,CODES,2,FALSE),""))&amp;IF($BC355=2," PAIR","")&amp;" DOOR | "&amp;IF($AL355="","?",$AL355)&amp;" | "&amp;IF($AP355="",IFERROR(VLOOKUP($AC355,CODES,2,FALSE),""),IFERROR(VLOOKUP($AP355,CODES,2,FALSE),""))&amp;" "&amp;IFERROR(VLOOKUP($AQ355,CODES,2,FALSE),"")&amp;IF(OR($AR355="",$AR355="-"),""," SEAM "&amp;$AR355)&amp;IF($AS355="Y"," ASTRAGAL","")&amp;IF($AJ355=""," "," "&amp;$AJ355)&amp;IF($AK355=""," "," "&amp;$AK355)&amp;IF($AO355="",""," "&amp;$AO355)&amp;IF($AM355=""," "," SERIES "&amp;$AM355)&amp;" "&amp;IFERROR(VLOOKUP($H355,CODES,2,FALSE),"")))</f>
        <v/>
      </c>
      <c r="BS355" s="49">
        <f>IF(BV355="","",IF(COUNTIF($BV$6:BV355,BV355)=1,MAX($BS$5:BS354)+1,INDEX($BS$5:BS354,MATCH(BV355,$BV$5:BV354,0))))</f>
        <v/>
      </c>
      <c r="BT355" s="49">
        <f>IF(NOT(AND($A355&lt;&gt;"",$C355&lt;&gt;"DOOR ONLY")),"",MAX($BT$5:BT354)+1)</f>
        <v/>
      </c>
      <c r="BU355" s="49">
        <f>IF(NOT(AND($A355&lt;&gt;"",N($BC355)&gt;0)),"",MAX($BU$5:BU354)+1)</f>
        <v/>
      </c>
      <c r="BV355" s="49">
        <f>IF(OR($A355="",$BA355="",$BB355=""),"",$AZ355&amp;"|"&amp;$O355&amp;"|"&amp;$AL355&amp;"|"&amp;$S355&amp;"|"&amp;$P355&amp;"|"&amp;$Q355&amp;$R355&amp;"|"&amp;$C355&amp;"|"&amp;$AB355)</f>
        <v/>
      </c>
      <c r="BW355" s="49">
        <f>IF($A355="","",IF($B355="","qty, ","")&amp;IF($C355="","scope, ","")&amp;IF(OR($K355="",$M355=""),"size, ","")&amp;IF(AND($A355&lt;&gt;"",$C355&lt;&gt;"DOOR ONLY"),IF($U355="","jamb depth, ","")&amp;IF($X355="","construction, ","")&amp;IF($Y355="","anchor, ","")&amp;IF($S355="","frame type, ",""),"")&amp;IF(AND(N($BC355)&gt;0,$Z355=""),"hand, ","")&amp;IF(N($BC355)&gt;0,IF($AH355="","door material, ","")&amp;IF($AL355="","face type, ","")&amp;IF($AQ355="","lock prep, ","")&amp;IF(AND($AP355="",$AC355=""),"hinge prep, ",""),"")&amp;IF(AND($BO355&gt;0,$AH355="FRP"),"FRP cannot carry a label, ","")&amp;IF(AND($O355="Y",OR($Z355="L",$Z355="R",$Z355="LR",$Z355="RR")),"pair marked but hand is single, ","")&amp;IF(AND($O355&lt;&gt;"Y",OR($Z355="PR",AND(LEN($Z355)&gt;1,ISNUMBER(SEARCH("-",$Z355))))),"pair hand on a single door, ","")&amp;IF(AND(ISNUMBER($BP355),$BO355&lt;N($BP355)),"wall needs a "&amp;$BP355&amp;" min door, ","")&amp;IF(AND($BO355&gt;=180,AND(OR($BL355="FG",$BL355="HG",$BL355="FNV",$BL355="FV"),N($BM355)*N($BN355)&gt;100)),"180 min lite over 100 sq in, ","")&amp;IF(N($BD355)&gt;48,"leaf wider than 4'-0"&amp;CHAR(34)&amp;", ",""))</f>
        <v/>
      </c>
      <c r="BX355" s="49">
        <f>IF($A355="","",IF(AND($BO355&gt;0,AND($A355&lt;&gt;"",$C355&lt;&gt;"DOOR ONLY"),$X355="KD",$E355="EXTERIOR"),"KD label on an exterior opening, ","")&amp;IF(AND($E355="EXTERIOR",OR(AND(AND($A355&lt;&gt;"",$C355&lt;&gt;"DOOR ONLY"),$W355="CR"),AND(N($BC355)&gt;0,$AH355="CR"))),"exterior in CR steel (G9?), ","")&amp;IF(AND(ISNUMBER($BJ355),N($BJ355)&lt;32),"clear width ~"&amp;TEXT($BJ355,"0.0")&amp;CHAR(34)&amp;" under 32"&amp;CHAR(34)&amp;" (ADA), ","")&amp;IF(AND($BO355=90,AND(OR($BL355="FG",$BL355="HG",$BL355="FNV",$BL355="FV"),N($BM355)*N($BN355)&gt;100)),"90 min lite over 100 sq in (stair/exit), ","")&amp;IF(AND($BO355&gt;0,AND($A355&lt;&gt;"",$C355&lt;&gt;"DOOR ONLY"),OR($AF355="",$AF355="-")),"rated: closer reinf.?, ","")&amp;IF(OR($I355="CORRIDOR",$I355="SMOKE BARRIER"),"S label + smoke gasketing, ","")&amp;IF($BP355="?","wall type/hr not in IBC table, ","")&amp;IF(AND(N($BC355)&gt;0,$AU355=""),"no hardware set, ","")&amp;IF(AND($AU355&lt;&gt;"",ISNA(MATCH($AU355,HWSets,0))),"set "&amp;$AU355&amp;" not on Hardware sheet, ","")&amp;IF(N($BE355)&gt;96,"leaf over 8'-0"&amp;CHAR(34)&amp;" - check listing, ",""))</f>
        <v/>
      </c>
    </row>
    <row r="356" ht="15" customHeight="1">
      <c r="A356" s="44" t="n"/>
      <c r="B356" s="45" t="n"/>
      <c r="C356" s="45" t="n"/>
      <c r="D356" s="45" t="n"/>
      <c r="E356" s="45" t="n"/>
      <c r="F356" s="45" t="n"/>
      <c r="G356" s="45" t="n"/>
      <c r="H356" s="45" t="n"/>
      <c r="I356" s="45" t="n"/>
      <c r="J356" s="45" t="n"/>
      <c r="K356" s="45" t="n"/>
      <c r="L356" s="45" t="n"/>
      <c r="M356" s="45" t="n"/>
      <c r="N356" s="45" t="n"/>
      <c r="O356" s="45" t="n"/>
      <c r="P356" s="45" t="n"/>
      <c r="Q356" s="45" t="n"/>
      <c r="R356" s="45" t="n"/>
      <c r="S356" s="46" t="n"/>
      <c r="T356" s="46" t="n"/>
      <c r="U356" s="46" t="n"/>
      <c r="V356" s="46" t="n"/>
      <c r="W356" s="46" t="n"/>
      <c r="X356" s="46" t="n"/>
      <c r="Y356" s="46" t="n"/>
      <c r="Z356" s="46" t="n"/>
      <c r="AA356" s="46" t="n"/>
      <c r="AB356" s="46" t="n"/>
      <c r="AC356" s="46" t="n"/>
      <c r="AD356" s="46" t="n"/>
      <c r="AE356" s="46" t="n"/>
      <c r="AF356" s="46" t="n"/>
      <c r="AG356" s="46" t="n"/>
      <c r="AH356" s="47" t="n"/>
      <c r="AI356" s="47" t="n"/>
      <c r="AJ356" s="47" t="n"/>
      <c r="AK356" s="47" t="n"/>
      <c r="AL356" s="47" t="n"/>
      <c r="AM356" s="47" t="n"/>
      <c r="AN356" s="47" t="n"/>
      <c r="AO356" s="47" t="n"/>
      <c r="AP356" s="47" t="n"/>
      <c r="AQ356" s="47" t="n"/>
      <c r="AR356" s="47" t="n"/>
      <c r="AS356" s="47" t="n"/>
      <c r="AT356" s="47" t="n"/>
      <c r="AU356" s="48" t="n"/>
      <c r="AV356" s="48" t="n"/>
      <c r="AW356" s="49">
        <f>IF($A356="","",IF($BW356&lt;&gt;"","FIX",IF($BX356&lt;&gt;"","CHECK","OK")))</f>
        <v/>
      </c>
      <c r="AX356" s="50">
        <f>IF($A356="","",IF($BW356&lt;&gt;"","FIX: "&amp;LEFT($BW356,LEN($BW356)-2)&amp;IF($BX356&lt;&gt;"","  ·  ",""),"")&amp;IF($BX356&lt;&gt;"","CHECK: "&amp;LEFT($BX356,LEN($BX356)-2),""))</f>
        <v/>
      </c>
      <c r="AY356" s="49">
        <f>IF(OR($A356="",$K356=""),"",$K356&amp;"'-"&amp;N($L356)&amp;CHAR(34)&amp;" x "&amp;$M356&amp;"'-"&amp;N($N356)&amp;CHAR(34))</f>
        <v/>
      </c>
      <c r="AZ356" s="49">
        <f>IF(OR($A356="",$K356=""),"",$K356&amp;N($L356)&amp;$M356&amp;N($N356))</f>
        <v/>
      </c>
      <c r="BA356" s="49">
        <f>IF(OR($A356="",$K356=""),"",$K356*12+N($L356))</f>
        <v/>
      </c>
      <c r="BB356" s="49">
        <f>IF(OR($A356="",$M356=""),"",$M356*12+N($N356))</f>
        <v/>
      </c>
      <c r="BC356" s="49">
        <f>IF($A356="","",IF(OR($C356="FRAME ONLY",$S356="BL"),0,IF($O356="Y",2,1)))</f>
        <v/>
      </c>
      <c r="BD356" s="51">
        <f>IF(OR(N($BC356)=0,$BA356=""),"",($BA356-2*EdgeClr-IF($BC356=2,MeetClr,0))/$BC356)</f>
        <v/>
      </c>
      <c r="BE356" s="51">
        <f>IF(OR(N($BC356)=0,$BB356=""),"",$BB356-HeadClr-Undercut)</f>
        <v/>
      </c>
      <c r="BF356" s="51">
        <f>IF($BA356="","",$BA356+2*FaceW+IF(N($Q356)&gt;0,($Q356+FaceW)*IF($R356="LR",2,1),0))</f>
        <v/>
      </c>
      <c r="BG356" s="51">
        <f>IF($BB356="","",$BB356+IF($AB356="Y",4,FaceW)+IF(N($P356)&gt;0,$P356+FaceW,0)+IF(OR($S356="4F",$S356="BL"),FaceW,0))</f>
        <v/>
      </c>
      <c r="BH356" s="51">
        <f>IF($BF356="","",$BF356+2*ROSide)</f>
        <v/>
      </c>
      <c r="BI356" s="51">
        <f>IF($BG356="","",$BG356+ROTop)</f>
        <v/>
      </c>
      <c r="BJ356" s="52">
        <f>IF(OR(N($BC356)=0,$BA356=""),"",$BA356/$BC356-ClearDeduct)</f>
        <v/>
      </c>
      <c r="BK356" s="49">
        <f>IF(OR(N($BC356)=0,$BE356=""),"",IF(OR($AC356="HGC",$AP356="HGC"),"CONT",IF($BE356&lt;=60,2,IF($BE356&lt;=90,3,IF($BE356&lt;=120,4,5)))))</f>
        <v/>
      </c>
      <c r="BL356" s="49">
        <f>IF(N($BC356)=0,"",IF(OR($AL356="",$AL356="FLUSH"),"FLUSH",IFERROR(LEFT($AL356,FIND("-",$AL356)-1),LEFT($AL356,2))))</f>
        <v/>
      </c>
      <c r="BM356" s="49">
        <f>IF($BL356="","",IFERROR(VALUE(MID($AL356,FIND("-",$AL356)+1,FIND(CHAR(34)&amp;"x",$AL356)-FIND("-",$AL356)-1)),0))</f>
        <v/>
      </c>
      <c r="BN356" s="49">
        <f>IF($BL356="","",IFERROR(VALUE(MID($AL356,FIND(CHAR(34)&amp;"x",$AL356)+2,FIND(CHAR(34),$AL356,FIND(CHAR(34)&amp;"x",$AL356)+2)-FIND(CHAR(34)&amp;"x",$AL356)-2)),0))</f>
        <v/>
      </c>
      <c r="BO356" s="53">
        <f>IF(OR($A356="",$H356="",$H356="NO LAB"),0,IFERROR(VALUE(LEFT($H356,FIND(" ",$H356)-1)),0))</f>
        <v/>
      </c>
      <c r="BP356" s="54">
        <f>IF(OR($A356="",$I356="",$I356="NON-RATED",N($J356)=0),"",IFERROR(VLOOKUP($I356&amp;"|"&amp;$J356,IBC,2,FALSE),"?"))</f>
        <v/>
      </c>
      <c r="BQ356" s="50">
        <f>IF(NOT(AND($A356&lt;&gt;"",$C356&lt;&gt;"DOOR ONLY")),"",TRIM(IFERROR(VLOOKUP($U356,CODES,2,FALSE),"")&amp;" "&amp;$AZ356&amp;" "&amp;IFERROR(VLOOKUP($Z356,CODES,2,FALSE),"")&amp;" "&amp;IFERROR(VLOOKUP($X356,CODES,2,FALSE),"")&amp;" "&amp;IFERROR(VLOOKUP($S356,CODES,2,FALSE),"")&amp;IF(N($P356)&gt;0," w/TRANSOM "&amp;$P356&amp;CHAR(34),"")&amp;IF(N($Q356)&gt;0," w/SIDELITE "&amp;$Q356&amp;CHAR(34)&amp;" "&amp;IF($R356="","R",$R356),"")&amp;IF($Y356="","  |  "," | "&amp;IFERROR(VLOOKUP($Y356,CODES,2,FALSE),"")&amp;" | ")&amp;IFERROR(VLOOKUP($AC356,CODES,2,FALSE),"")&amp;" "&amp;IFERROR(VLOOKUP($AD356,CODES,2,FALSE),"")&amp;IF(OR($AE356="",$AE356="-"),""," "&amp;$AE356)&amp;IF(OR($AF356="",$AF356="-"),""," "&amp;$AF356)&amp;IF($AB356="Y"," 4"&amp;CHAR(34)&amp;" HEAD","")&amp;" "&amp;IFERROR(VLOOKUP($H356,CODES,2,FALSE),"")))</f>
        <v/>
      </c>
      <c r="BR356" s="50">
        <f>IF(NOT(AND($A356&lt;&gt;"",N($BC356)&gt;0)),"",TRIM(IFERROR(VLOOKUP($AH356,CODES,2,FALSE),"")&amp;IF($AI356=""," "," "&amp;$AI356&amp;"GA ")&amp;$AZ356&amp;" "&amp;IF($AN356="",IFERROR(VLOOKUP($Z356,CODES,2,FALSE),""),IFERROR(VLOOKUP($AN356,CODES,2,FALSE),""))&amp;IF($BC356=2," PAIR","")&amp;" DOOR | "&amp;IF($AL356="","?",$AL356)&amp;" | "&amp;IF($AP356="",IFERROR(VLOOKUP($AC356,CODES,2,FALSE),""),IFERROR(VLOOKUP($AP356,CODES,2,FALSE),""))&amp;" "&amp;IFERROR(VLOOKUP($AQ356,CODES,2,FALSE),"")&amp;IF(OR($AR356="",$AR356="-"),""," SEAM "&amp;$AR356)&amp;IF($AS356="Y"," ASTRAGAL","")&amp;IF($AJ356=""," "," "&amp;$AJ356)&amp;IF($AK356=""," "," "&amp;$AK356)&amp;IF($AO356="",""," "&amp;$AO356)&amp;IF($AM356=""," "," SERIES "&amp;$AM356)&amp;" "&amp;IFERROR(VLOOKUP($H356,CODES,2,FALSE),"")))</f>
        <v/>
      </c>
      <c r="BS356" s="49">
        <f>IF(BV356="","",IF(COUNTIF($BV$6:BV356,BV356)=1,MAX($BS$5:BS355)+1,INDEX($BS$5:BS355,MATCH(BV356,$BV$5:BV355,0))))</f>
        <v/>
      </c>
      <c r="BT356" s="49">
        <f>IF(NOT(AND($A356&lt;&gt;"",$C356&lt;&gt;"DOOR ONLY")),"",MAX($BT$5:BT355)+1)</f>
        <v/>
      </c>
      <c r="BU356" s="49">
        <f>IF(NOT(AND($A356&lt;&gt;"",N($BC356)&gt;0)),"",MAX($BU$5:BU355)+1)</f>
        <v/>
      </c>
      <c r="BV356" s="49">
        <f>IF(OR($A356="",$BA356="",$BB356=""),"",$AZ356&amp;"|"&amp;$O356&amp;"|"&amp;$AL356&amp;"|"&amp;$S356&amp;"|"&amp;$P356&amp;"|"&amp;$Q356&amp;$R356&amp;"|"&amp;$C356&amp;"|"&amp;$AB356)</f>
        <v/>
      </c>
      <c r="BW356" s="49">
        <f>IF($A356="","",IF($B356="","qty, ","")&amp;IF($C356="","scope, ","")&amp;IF(OR($K356="",$M356=""),"size, ","")&amp;IF(AND($A356&lt;&gt;"",$C356&lt;&gt;"DOOR ONLY"),IF($U356="","jamb depth, ","")&amp;IF($X356="","construction, ","")&amp;IF($Y356="","anchor, ","")&amp;IF($S356="","frame type, ",""),"")&amp;IF(AND(N($BC356)&gt;0,$Z356=""),"hand, ","")&amp;IF(N($BC356)&gt;0,IF($AH356="","door material, ","")&amp;IF($AL356="","face type, ","")&amp;IF($AQ356="","lock prep, ","")&amp;IF(AND($AP356="",$AC356=""),"hinge prep, ",""),"")&amp;IF(AND($BO356&gt;0,$AH356="FRP"),"FRP cannot carry a label, ","")&amp;IF(AND($O356="Y",OR($Z356="L",$Z356="R",$Z356="LR",$Z356="RR")),"pair marked but hand is single, ","")&amp;IF(AND($O356&lt;&gt;"Y",OR($Z356="PR",AND(LEN($Z356)&gt;1,ISNUMBER(SEARCH("-",$Z356))))),"pair hand on a single door, ","")&amp;IF(AND(ISNUMBER($BP356),$BO356&lt;N($BP356)),"wall needs a "&amp;$BP356&amp;" min door, ","")&amp;IF(AND($BO356&gt;=180,AND(OR($BL356="FG",$BL356="HG",$BL356="FNV",$BL356="FV"),N($BM356)*N($BN356)&gt;100)),"180 min lite over 100 sq in, ","")&amp;IF(N($BD356)&gt;48,"leaf wider than 4'-0"&amp;CHAR(34)&amp;", ",""))</f>
        <v/>
      </c>
      <c r="BX356" s="49">
        <f>IF($A356="","",IF(AND($BO356&gt;0,AND($A356&lt;&gt;"",$C356&lt;&gt;"DOOR ONLY"),$X356="KD",$E356="EXTERIOR"),"KD label on an exterior opening, ","")&amp;IF(AND($E356="EXTERIOR",OR(AND(AND($A356&lt;&gt;"",$C356&lt;&gt;"DOOR ONLY"),$W356="CR"),AND(N($BC356)&gt;0,$AH356="CR"))),"exterior in CR steel (G9?), ","")&amp;IF(AND(ISNUMBER($BJ356),N($BJ356)&lt;32),"clear width ~"&amp;TEXT($BJ356,"0.0")&amp;CHAR(34)&amp;" under 32"&amp;CHAR(34)&amp;" (ADA), ","")&amp;IF(AND($BO356=90,AND(OR($BL356="FG",$BL356="HG",$BL356="FNV",$BL356="FV"),N($BM356)*N($BN356)&gt;100)),"90 min lite over 100 sq in (stair/exit), ","")&amp;IF(AND($BO356&gt;0,AND($A356&lt;&gt;"",$C356&lt;&gt;"DOOR ONLY"),OR($AF356="",$AF356="-")),"rated: closer reinf.?, ","")&amp;IF(OR($I356="CORRIDOR",$I356="SMOKE BARRIER"),"S label + smoke gasketing, ","")&amp;IF($BP356="?","wall type/hr not in IBC table, ","")&amp;IF(AND(N($BC356)&gt;0,$AU356=""),"no hardware set, ","")&amp;IF(AND($AU356&lt;&gt;"",ISNA(MATCH($AU356,HWSets,0))),"set "&amp;$AU356&amp;" not on Hardware sheet, ","")&amp;IF(N($BE356)&gt;96,"leaf over 8'-0"&amp;CHAR(34)&amp;" - check listing, ",""))</f>
        <v/>
      </c>
    </row>
    <row r="357" ht="15" customHeight="1">
      <c r="A357" s="44" t="n"/>
      <c r="B357" s="45" t="n"/>
      <c r="C357" s="45" t="n"/>
      <c r="D357" s="45" t="n"/>
      <c r="E357" s="45" t="n"/>
      <c r="F357" s="45" t="n"/>
      <c r="G357" s="45" t="n"/>
      <c r="H357" s="45" t="n"/>
      <c r="I357" s="45" t="n"/>
      <c r="J357" s="45" t="n"/>
      <c r="K357" s="45" t="n"/>
      <c r="L357" s="45" t="n"/>
      <c r="M357" s="45" t="n"/>
      <c r="N357" s="45" t="n"/>
      <c r="O357" s="45" t="n"/>
      <c r="P357" s="45" t="n"/>
      <c r="Q357" s="45" t="n"/>
      <c r="R357" s="45" t="n"/>
      <c r="S357" s="46" t="n"/>
      <c r="T357" s="46" t="n"/>
      <c r="U357" s="46" t="n"/>
      <c r="V357" s="46" t="n"/>
      <c r="W357" s="46" t="n"/>
      <c r="X357" s="46" t="n"/>
      <c r="Y357" s="46" t="n"/>
      <c r="Z357" s="46" t="n"/>
      <c r="AA357" s="46" t="n"/>
      <c r="AB357" s="46" t="n"/>
      <c r="AC357" s="46" t="n"/>
      <c r="AD357" s="46" t="n"/>
      <c r="AE357" s="46" t="n"/>
      <c r="AF357" s="46" t="n"/>
      <c r="AG357" s="46" t="n"/>
      <c r="AH357" s="47" t="n"/>
      <c r="AI357" s="47" t="n"/>
      <c r="AJ357" s="47" t="n"/>
      <c r="AK357" s="47" t="n"/>
      <c r="AL357" s="47" t="n"/>
      <c r="AM357" s="47" t="n"/>
      <c r="AN357" s="47" t="n"/>
      <c r="AO357" s="47" t="n"/>
      <c r="AP357" s="47" t="n"/>
      <c r="AQ357" s="47" t="n"/>
      <c r="AR357" s="47" t="n"/>
      <c r="AS357" s="47" t="n"/>
      <c r="AT357" s="47" t="n"/>
      <c r="AU357" s="48" t="n"/>
      <c r="AV357" s="48" t="n"/>
      <c r="AW357" s="49">
        <f>IF($A357="","",IF($BW357&lt;&gt;"","FIX",IF($BX357&lt;&gt;"","CHECK","OK")))</f>
        <v/>
      </c>
      <c r="AX357" s="50">
        <f>IF($A357="","",IF($BW357&lt;&gt;"","FIX: "&amp;LEFT($BW357,LEN($BW357)-2)&amp;IF($BX357&lt;&gt;"","  ·  ",""),"")&amp;IF($BX357&lt;&gt;"","CHECK: "&amp;LEFT($BX357,LEN($BX357)-2),""))</f>
        <v/>
      </c>
      <c r="AY357" s="49">
        <f>IF(OR($A357="",$K357=""),"",$K357&amp;"'-"&amp;N($L357)&amp;CHAR(34)&amp;" x "&amp;$M357&amp;"'-"&amp;N($N357)&amp;CHAR(34))</f>
        <v/>
      </c>
      <c r="AZ357" s="49">
        <f>IF(OR($A357="",$K357=""),"",$K357&amp;N($L357)&amp;$M357&amp;N($N357))</f>
        <v/>
      </c>
      <c r="BA357" s="49">
        <f>IF(OR($A357="",$K357=""),"",$K357*12+N($L357))</f>
        <v/>
      </c>
      <c r="BB357" s="49">
        <f>IF(OR($A357="",$M357=""),"",$M357*12+N($N357))</f>
        <v/>
      </c>
      <c r="BC357" s="49">
        <f>IF($A357="","",IF(OR($C357="FRAME ONLY",$S357="BL"),0,IF($O357="Y",2,1)))</f>
        <v/>
      </c>
      <c r="BD357" s="51">
        <f>IF(OR(N($BC357)=0,$BA357=""),"",($BA357-2*EdgeClr-IF($BC357=2,MeetClr,0))/$BC357)</f>
        <v/>
      </c>
      <c r="BE357" s="51">
        <f>IF(OR(N($BC357)=0,$BB357=""),"",$BB357-HeadClr-Undercut)</f>
        <v/>
      </c>
      <c r="BF357" s="51">
        <f>IF($BA357="","",$BA357+2*FaceW+IF(N($Q357)&gt;0,($Q357+FaceW)*IF($R357="LR",2,1),0))</f>
        <v/>
      </c>
      <c r="BG357" s="51">
        <f>IF($BB357="","",$BB357+IF($AB357="Y",4,FaceW)+IF(N($P357)&gt;0,$P357+FaceW,0)+IF(OR($S357="4F",$S357="BL"),FaceW,0))</f>
        <v/>
      </c>
      <c r="BH357" s="51">
        <f>IF($BF357="","",$BF357+2*ROSide)</f>
        <v/>
      </c>
      <c r="BI357" s="51">
        <f>IF($BG357="","",$BG357+ROTop)</f>
        <v/>
      </c>
      <c r="BJ357" s="52">
        <f>IF(OR(N($BC357)=0,$BA357=""),"",$BA357/$BC357-ClearDeduct)</f>
        <v/>
      </c>
      <c r="BK357" s="49">
        <f>IF(OR(N($BC357)=0,$BE357=""),"",IF(OR($AC357="HGC",$AP357="HGC"),"CONT",IF($BE357&lt;=60,2,IF($BE357&lt;=90,3,IF($BE357&lt;=120,4,5)))))</f>
        <v/>
      </c>
      <c r="BL357" s="49">
        <f>IF(N($BC357)=0,"",IF(OR($AL357="",$AL357="FLUSH"),"FLUSH",IFERROR(LEFT($AL357,FIND("-",$AL357)-1),LEFT($AL357,2))))</f>
        <v/>
      </c>
      <c r="BM357" s="49">
        <f>IF($BL357="","",IFERROR(VALUE(MID($AL357,FIND("-",$AL357)+1,FIND(CHAR(34)&amp;"x",$AL357)-FIND("-",$AL357)-1)),0))</f>
        <v/>
      </c>
      <c r="BN357" s="49">
        <f>IF($BL357="","",IFERROR(VALUE(MID($AL357,FIND(CHAR(34)&amp;"x",$AL357)+2,FIND(CHAR(34),$AL357,FIND(CHAR(34)&amp;"x",$AL357)+2)-FIND(CHAR(34)&amp;"x",$AL357)-2)),0))</f>
        <v/>
      </c>
      <c r="BO357" s="53">
        <f>IF(OR($A357="",$H357="",$H357="NO LAB"),0,IFERROR(VALUE(LEFT($H357,FIND(" ",$H357)-1)),0))</f>
        <v/>
      </c>
      <c r="BP357" s="54">
        <f>IF(OR($A357="",$I357="",$I357="NON-RATED",N($J357)=0),"",IFERROR(VLOOKUP($I357&amp;"|"&amp;$J357,IBC,2,FALSE),"?"))</f>
        <v/>
      </c>
      <c r="BQ357" s="50">
        <f>IF(NOT(AND($A357&lt;&gt;"",$C357&lt;&gt;"DOOR ONLY")),"",TRIM(IFERROR(VLOOKUP($U357,CODES,2,FALSE),"")&amp;" "&amp;$AZ357&amp;" "&amp;IFERROR(VLOOKUP($Z357,CODES,2,FALSE),"")&amp;" "&amp;IFERROR(VLOOKUP($X357,CODES,2,FALSE),"")&amp;" "&amp;IFERROR(VLOOKUP($S357,CODES,2,FALSE),"")&amp;IF(N($P357)&gt;0," w/TRANSOM "&amp;$P357&amp;CHAR(34),"")&amp;IF(N($Q357)&gt;0," w/SIDELITE "&amp;$Q357&amp;CHAR(34)&amp;" "&amp;IF($R357="","R",$R357),"")&amp;IF($Y357="","  |  "," | "&amp;IFERROR(VLOOKUP($Y357,CODES,2,FALSE),"")&amp;" | ")&amp;IFERROR(VLOOKUP($AC357,CODES,2,FALSE),"")&amp;" "&amp;IFERROR(VLOOKUP($AD357,CODES,2,FALSE),"")&amp;IF(OR($AE357="",$AE357="-"),""," "&amp;$AE357)&amp;IF(OR($AF357="",$AF357="-"),""," "&amp;$AF357)&amp;IF($AB357="Y"," 4"&amp;CHAR(34)&amp;" HEAD","")&amp;" "&amp;IFERROR(VLOOKUP($H357,CODES,2,FALSE),"")))</f>
        <v/>
      </c>
      <c r="BR357" s="50">
        <f>IF(NOT(AND($A357&lt;&gt;"",N($BC357)&gt;0)),"",TRIM(IFERROR(VLOOKUP($AH357,CODES,2,FALSE),"")&amp;IF($AI357=""," "," "&amp;$AI357&amp;"GA ")&amp;$AZ357&amp;" "&amp;IF($AN357="",IFERROR(VLOOKUP($Z357,CODES,2,FALSE),""),IFERROR(VLOOKUP($AN357,CODES,2,FALSE),""))&amp;IF($BC357=2," PAIR","")&amp;" DOOR | "&amp;IF($AL357="","?",$AL357)&amp;" | "&amp;IF($AP357="",IFERROR(VLOOKUP($AC357,CODES,2,FALSE),""),IFERROR(VLOOKUP($AP357,CODES,2,FALSE),""))&amp;" "&amp;IFERROR(VLOOKUP($AQ357,CODES,2,FALSE),"")&amp;IF(OR($AR357="",$AR357="-"),""," SEAM "&amp;$AR357)&amp;IF($AS357="Y"," ASTRAGAL","")&amp;IF($AJ357=""," "," "&amp;$AJ357)&amp;IF($AK357=""," "," "&amp;$AK357)&amp;IF($AO357="",""," "&amp;$AO357)&amp;IF($AM357=""," "," SERIES "&amp;$AM357)&amp;" "&amp;IFERROR(VLOOKUP($H357,CODES,2,FALSE),"")))</f>
        <v/>
      </c>
      <c r="BS357" s="49">
        <f>IF(BV357="","",IF(COUNTIF($BV$6:BV357,BV357)=1,MAX($BS$5:BS356)+1,INDEX($BS$5:BS356,MATCH(BV357,$BV$5:BV356,0))))</f>
        <v/>
      </c>
      <c r="BT357" s="49">
        <f>IF(NOT(AND($A357&lt;&gt;"",$C357&lt;&gt;"DOOR ONLY")),"",MAX($BT$5:BT356)+1)</f>
        <v/>
      </c>
      <c r="BU357" s="49">
        <f>IF(NOT(AND($A357&lt;&gt;"",N($BC357)&gt;0)),"",MAX($BU$5:BU356)+1)</f>
        <v/>
      </c>
      <c r="BV357" s="49">
        <f>IF(OR($A357="",$BA357="",$BB357=""),"",$AZ357&amp;"|"&amp;$O357&amp;"|"&amp;$AL357&amp;"|"&amp;$S357&amp;"|"&amp;$P357&amp;"|"&amp;$Q357&amp;$R357&amp;"|"&amp;$C357&amp;"|"&amp;$AB357)</f>
        <v/>
      </c>
      <c r="BW357" s="49">
        <f>IF($A357="","",IF($B357="","qty, ","")&amp;IF($C357="","scope, ","")&amp;IF(OR($K357="",$M357=""),"size, ","")&amp;IF(AND($A357&lt;&gt;"",$C357&lt;&gt;"DOOR ONLY"),IF($U357="","jamb depth, ","")&amp;IF($X357="","construction, ","")&amp;IF($Y357="","anchor, ","")&amp;IF($S357="","frame type, ",""),"")&amp;IF(AND(N($BC357)&gt;0,$Z357=""),"hand, ","")&amp;IF(N($BC357)&gt;0,IF($AH357="","door material, ","")&amp;IF($AL357="","face type, ","")&amp;IF($AQ357="","lock prep, ","")&amp;IF(AND($AP357="",$AC357=""),"hinge prep, ",""),"")&amp;IF(AND($BO357&gt;0,$AH357="FRP"),"FRP cannot carry a label, ","")&amp;IF(AND($O357="Y",OR($Z357="L",$Z357="R",$Z357="LR",$Z357="RR")),"pair marked but hand is single, ","")&amp;IF(AND($O357&lt;&gt;"Y",OR($Z357="PR",AND(LEN($Z357)&gt;1,ISNUMBER(SEARCH("-",$Z357))))),"pair hand on a single door, ","")&amp;IF(AND(ISNUMBER($BP357),$BO357&lt;N($BP357)),"wall needs a "&amp;$BP357&amp;" min door, ","")&amp;IF(AND($BO357&gt;=180,AND(OR($BL357="FG",$BL357="HG",$BL357="FNV",$BL357="FV"),N($BM357)*N($BN357)&gt;100)),"180 min lite over 100 sq in, ","")&amp;IF(N($BD357)&gt;48,"leaf wider than 4'-0"&amp;CHAR(34)&amp;", ",""))</f>
        <v/>
      </c>
      <c r="BX357" s="49">
        <f>IF($A357="","",IF(AND($BO357&gt;0,AND($A357&lt;&gt;"",$C357&lt;&gt;"DOOR ONLY"),$X357="KD",$E357="EXTERIOR"),"KD label on an exterior opening, ","")&amp;IF(AND($E357="EXTERIOR",OR(AND(AND($A357&lt;&gt;"",$C357&lt;&gt;"DOOR ONLY"),$W357="CR"),AND(N($BC357)&gt;0,$AH357="CR"))),"exterior in CR steel (G9?), ","")&amp;IF(AND(ISNUMBER($BJ357),N($BJ357)&lt;32),"clear width ~"&amp;TEXT($BJ357,"0.0")&amp;CHAR(34)&amp;" under 32"&amp;CHAR(34)&amp;" (ADA), ","")&amp;IF(AND($BO357=90,AND(OR($BL357="FG",$BL357="HG",$BL357="FNV",$BL357="FV"),N($BM357)*N($BN357)&gt;100)),"90 min lite over 100 sq in (stair/exit), ","")&amp;IF(AND($BO357&gt;0,AND($A357&lt;&gt;"",$C357&lt;&gt;"DOOR ONLY"),OR($AF357="",$AF357="-")),"rated: closer reinf.?, ","")&amp;IF(OR($I357="CORRIDOR",$I357="SMOKE BARRIER"),"S label + smoke gasketing, ","")&amp;IF($BP357="?","wall type/hr not in IBC table, ","")&amp;IF(AND(N($BC357)&gt;0,$AU357=""),"no hardware set, ","")&amp;IF(AND($AU357&lt;&gt;"",ISNA(MATCH($AU357,HWSets,0))),"set "&amp;$AU357&amp;" not on Hardware sheet, ","")&amp;IF(N($BE357)&gt;96,"leaf over 8'-0"&amp;CHAR(34)&amp;" - check listing, ",""))</f>
        <v/>
      </c>
    </row>
    <row r="358" ht="15" customHeight="1">
      <c r="A358" s="44" t="n"/>
      <c r="B358" s="45" t="n"/>
      <c r="C358" s="45" t="n"/>
      <c r="D358" s="45" t="n"/>
      <c r="E358" s="45" t="n"/>
      <c r="F358" s="45" t="n"/>
      <c r="G358" s="45" t="n"/>
      <c r="H358" s="45" t="n"/>
      <c r="I358" s="45" t="n"/>
      <c r="J358" s="45" t="n"/>
      <c r="K358" s="45" t="n"/>
      <c r="L358" s="45" t="n"/>
      <c r="M358" s="45" t="n"/>
      <c r="N358" s="45" t="n"/>
      <c r="O358" s="45" t="n"/>
      <c r="P358" s="45" t="n"/>
      <c r="Q358" s="45" t="n"/>
      <c r="R358" s="45" t="n"/>
      <c r="S358" s="46" t="n"/>
      <c r="T358" s="46" t="n"/>
      <c r="U358" s="46" t="n"/>
      <c r="V358" s="46" t="n"/>
      <c r="W358" s="46" t="n"/>
      <c r="X358" s="46" t="n"/>
      <c r="Y358" s="46" t="n"/>
      <c r="Z358" s="46" t="n"/>
      <c r="AA358" s="46" t="n"/>
      <c r="AB358" s="46" t="n"/>
      <c r="AC358" s="46" t="n"/>
      <c r="AD358" s="46" t="n"/>
      <c r="AE358" s="46" t="n"/>
      <c r="AF358" s="46" t="n"/>
      <c r="AG358" s="46" t="n"/>
      <c r="AH358" s="47" t="n"/>
      <c r="AI358" s="47" t="n"/>
      <c r="AJ358" s="47" t="n"/>
      <c r="AK358" s="47" t="n"/>
      <c r="AL358" s="47" t="n"/>
      <c r="AM358" s="47" t="n"/>
      <c r="AN358" s="47" t="n"/>
      <c r="AO358" s="47" t="n"/>
      <c r="AP358" s="47" t="n"/>
      <c r="AQ358" s="47" t="n"/>
      <c r="AR358" s="47" t="n"/>
      <c r="AS358" s="47" t="n"/>
      <c r="AT358" s="47" t="n"/>
      <c r="AU358" s="48" t="n"/>
      <c r="AV358" s="48" t="n"/>
      <c r="AW358" s="49">
        <f>IF($A358="","",IF($BW358&lt;&gt;"","FIX",IF($BX358&lt;&gt;"","CHECK","OK")))</f>
        <v/>
      </c>
      <c r="AX358" s="50">
        <f>IF($A358="","",IF($BW358&lt;&gt;"","FIX: "&amp;LEFT($BW358,LEN($BW358)-2)&amp;IF($BX358&lt;&gt;"","  ·  ",""),"")&amp;IF($BX358&lt;&gt;"","CHECK: "&amp;LEFT($BX358,LEN($BX358)-2),""))</f>
        <v/>
      </c>
      <c r="AY358" s="49">
        <f>IF(OR($A358="",$K358=""),"",$K358&amp;"'-"&amp;N($L358)&amp;CHAR(34)&amp;" x "&amp;$M358&amp;"'-"&amp;N($N358)&amp;CHAR(34))</f>
        <v/>
      </c>
      <c r="AZ358" s="49">
        <f>IF(OR($A358="",$K358=""),"",$K358&amp;N($L358)&amp;$M358&amp;N($N358))</f>
        <v/>
      </c>
      <c r="BA358" s="49">
        <f>IF(OR($A358="",$K358=""),"",$K358*12+N($L358))</f>
        <v/>
      </c>
      <c r="BB358" s="49">
        <f>IF(OR($A358="",$M358=""),"",$M358*12+N($N358))</f>
        <v/>
      </c>
      <c r="BC358" s="49">
        <f>IF($A358="","",IF(OR($C358="FRAME ONLY",$S358="BL"),0,IF($O358="Y",2,1)))</f>
        <v/>
      </c>
      <c r="BD358" s="51">
        <f>IF(OR(N($BC358)=0,$BA358=""),"",($BA358-2*EdgeClr-IF($BC358=2,MeetClr,0))/$BC358)</f>
        <v/>
      </c>
      <c r="BE358" s="51">
        <f>IF(OR(N($BC358)=0,$BB358=""),"",$BB358-HeadClr-Undercut)</f>
        <v/>
      </c>
      <c r="BF358" s="51">
        <f>IF($BA358="","",$BA358+2*FaceW+IF(N($Q358)&gt;0,($Q358+FaceW)*IF($R358="LR",2,1),0))</f>
        <v/>
      </c>
      <c r="BG358" s="51">
        <f>IF($BB358="","",$BB358+IF($AB358="Y",4,FaceW)+IF(N($P358)&gt;0,$P358+FaceW,0)+IF(OR($S358="4F",$S358="BL"),FaceW,0))</f>
        <v/>
      </c>
      <c r="BH358" s="51">
        <f>IF($BF358="","",$BF358+2*ROSide)</f>
        <v/>
      </c>
      <c r="BI358" s="51">
        <f>IF($BG358="","",$BG358+ROTop)</f>
        <v/>
      </c>
      <c r="BJ358" s="52">
        <f>IF(OR(N($BC358)=0,$BA358=""),"",$BA358/$BC358-ClearDeduct)</f>
        <v/>
      </c>
      <c r="BK358" s="49">
        <f>IF(OR(N($BC358)=0,$BE358=""),"",IF(OR($AC358="HGC",$AP358="HGC"),"CONT",IF($BE358&lt;=60,2,IF($BE358&lt;=90,3,IF($BE358&lt;=120,4,5)))))</f>
        <v/>
      </c>
      <c r="BL358" s="49">
        <f>IF(N($BC358)=0,"",IF(OR($AL358="",$AL358="FLUSH"),"FLUSH",IFERROR(LEFT($AL358,FIND("-",$AL358)-1),LEFT($AL358,2))))</f>
        <v/>
      </c>
      <c r="BM358" s="49">
        <f>IF($BL358="","",IFERROR(VALUE(MID($AL358,FIND("-",$AL358)+1,FIND(CHAR(34)&amp;"x",$AL358)-FIND("-",$AL358)-1)),0))</f>
        <v/>
      </c>
      <c r="BN358" s="49">
        <f>IF($BL358="","",IFERROR(VALUE(MID($AL358,FIND(CHAR(34)&amp;"x",$AL358)+2,FIND(CHAR(34),$AL358,FIND(CHAR(34)&amp;"x",$AL358)+2)-FIND(CHAR(34)&amp;"x",$AL358)-2)),0))</f>
        <v/>
      </c>
      <c r="BO358" s="53">
        <f>IF(OR($A358="",$H358="",$H358="NO LAB"),0,IFERROR(VALUE(LEFT($H358,FIND(" ",$H358)-1)),0))</f>
        <v/>
      </c>
      <c r="BP358" s="54">
        <f>IF(OR($A358="",$I358="",$I358="NON-RATED",N($J358)=0),"",IFERROR(VLOOKUP($I358&amp;"|"&amp;$J358,IBC,2,FALSE),"?"))</f>
        <v/>
      </c>
      <c r="BQ358" s="50">
        <f>IF(NOT(AND($A358&lt;&gt;"",$C358&lt;&gt;"DOOR ONLY")),"",TRIM(IFERROR(VLOOKUP($U358,CODES,2,FALSE),"")&amp;" "&amp;$AZ358&amp;" "&amp;IFERROR(VLOOKUP($Z358,CODES,2,FALSE),"")&amp;" "&amp;IFERROR(VLOOKUP($X358,CODES,2,FALSE),"")&amp;" "&amp;IFERROR(VLOOKUP($S358,CODES,2,FALSE),"")&amp;IF(N($P358)&gt;0," w/TRANSOM "&amp;$P358&amp;CHAR(34),"")&amp;IF(N($Q358)&gt;0," w/SIDELITE "&amp;$Q358&amp;CHAR(34)&amp;" "&amp;IF($R358="","R",$R358),"")&amp;IF($Y358="","  |  "," | "&amp;IFERROR(VLOOKUP($Y358,CODES,2,FALSE),"")&amp;" | ")&amp;IFERROR(VLOOKUP($AC358,CODES,2,FALSE),"")&amp;" "&amp;IFERROR(VLOOKUP($AD358,CODES,2,FALSE),"")&amp;IF(OR($AE358="",$AE358="-"),""," "&amp;$AE358)&amp;IF(OR($AF358="",$AF358="-"),""," "&amp;$AF358)&amp;IF($AB358="Y"," 4"&amp;CHAR(34)&amp;" HEAD","")&amp;" "&amp;IFERROR(VLOOKUP($H358,CODES,2,FALSE),"")))</f>
        <v/>
      </c>
      <c r="BR358" s="50">
        <f>IF(NOT(AND($A358&lt;&gt;"",N($BC358)&gt;0)),"",TRIM(IFERROR(VLOOKUP($AH358,CODES,2,FALSE),"")&amp;IF($AI358=""," "," "&amp;$AI358&amp;"GA ")&amp;$AZ358&amp;" "&amp;IF($AN358="",IFERROR(VLOOKUP($Z358,CODES,2,FALSE),""),IFERROR(VLOOKUP($AN358,CODES,2,FALSE),""))&amp;IF($BC358=2," PAIR","")&amp;" DOOR | "&amp;IF($AL358="","?",$AL358)&amp;" | "&amp;IF($AP358="",IFERROR(VLOOKUP($AC358,CODES,2,FALSE),""),IFERROR(VLOOKUP($AP358,CODES,2,FALSE),""))&amp;" "&amp;IFERROR(VLOOKUP($AQ358,CODES,2,FALSE),"")&amp;IF(OR($AR358="",$AR358="-"),""," SEAM "&amp;$AR358)&amp;IF($AS358="Y"," ASTRAGAL","")&amp;IF($AJ358=""," "," "&amp;$AJ358)&amp;IF($AK358=""," "," "&amp;$AK358)&amp;IF($AO358="",""," "&amp;$AO358)&amp;IF($AM358=""," "," SERIES "&amp;$AM358)&amp;" "&amp;IFERROR(VLOOKUP($H358,CODES,2,FALSE),"")))</f>
        <v/>
      </c>
      <c r="BS358" s="49">
        <f>IF(BV358="","",IF(COUNTIF($BV$6:BV358,BV358)=1,MAX($BS$5:BS357)+1,INDEX($BS$5:BS357,MATCH(BV358,$BV$5:BV357,0))))</f>
        <v/>
      </c>
      <c r="BT358" s="49">
        <f>IF(NOT(AND($A358&lt;&gt;"",$C358&lt;&gt;"DOOR ONLY")),"",MAX($BT$5:BT357)+1)</f>
        <v/>
      </c>
      <c r="BU358" s="49">
        <f>IF(NOT(AND($A358&lt;&gt;"",N($BC358)&gt;0)),"",MAX($BU$5:BU357)+1)</f>
        <v/>
      </c>
      <c r="BV358" s="49">
        <f>IF(OR($A358="",$BA358="",$BB358=""),"",$AZ358&amp;"|"&amp;$O358&amp;"|"&amp;$AL358&amp;"|"&amp;$S358&amp;"|"&amp;$P358&amp;"|"&amp;$Q358&amp;$R358&amp;"|"&amp;$C358&amp;"|"&amp;$AB358)</f>
        <v/>
      </c>
      <c r="BW358" s="49">
        <f>IF($A358="","",IF($B358="","qty, ","")&amp;IF($C358="","scope, ","")&amp;IF(OR($K358="",$M358=""),"size, ","")&amp;IF(AND($A358&lt;&gt;"",$C358&lt;&gt;"DOOR ONLY"),IF($U358="","jamb depth, ","")&amp;IF($X358="","construction, ","")&amp;IF($Y358="","anchor, ","")&amp;IF($S358="","frame type, ",""),"")&amp;IF(AND(N($BC358)&gt;0,$Z358=""),"hand, ","")&amp;IF(N($BC358)&gt;0,IF($AH358="","door material, ","")&amp;IF($AL358="","face type, ","")&amp;IF($AQ358="","lock prep, ","")&amp;IF(AND($AP358="",$AC358=""),"hinge prep, ",""),"")&amp;IF(AND($BO358&gt;0,$AH358="FRP"),"FRP cannot carry a label, ","")&amp;IF(AND($O358="Y",OR($Z358="L",$Z358="R",$Z358="LR",$Z358="RR")),"pair marked but hand is single, ","")&amp;IF(AND($O358&lt;&gt;"Y",OR($Z358="PR",AND(LEN($Z358)&gt;1,ISNUMBER(SEARCH("-",$Z358))))),"pair hand on a single door, ","")&amp;IF(AND(ISNUMBER($BP358),$BO358&lt;N($BP358)),"wall needs a "&amp;$BP358&amp;" min door, ","")&amp;IF(AND($BO358&gt;=180,AND(OR($BL358="FG",$BL358="HG",$BL358="FNV",$BL358="FV"),N($BM358)*N($BN358)&gt;100)),"180 min lite over 100 sq in, ","")&amp;IF(N($BD358)&gt;48,"leaf wider than 4'-0"&amp;CHAR(34)&amp;", ",""))</f>
        <v/>
      </c>
      <c r="BX358" s="49">
        <f>IF($A358="","",IF(AND($BO358&gt;0,AND($A358&lt;&gt;"",$C358&lt;&gt;"DOOR ONLY"),$X358="KD",$E358="EXTERIOR"),"KD label on an exterior opening, ","")&amp;IF(AND($E358="EXTERIOR",OR(AND(AND($A358&lt;&gt;"",$C358&lt;&gt;"DOOR ONLY"),$W358="CR"),AND(N($BC358)&gt;0,$AH358="CR"))),"exterior in CR steel (G9?), ","")&amp;IF(AND(ISNUMBER($BJ358),N($BJ358)&lt;32),"clear width ~"&amp;TEXT($BJ358,"0.0")&amp;CHAR(34)&amp;" under 32"&amp;CHAR(34)&amp;" (ADA), ","")&amp;IF(AND($BO358=90,AND(OR($BL358="FG",$BL358="HG",$BL358="FNV",$BL358="FV"),N($BM358)*N($BN358)&gt;100)),"90 min lite over 100 sq in (stair/exit), ","")&amp;IF(AND($BO358&gt;0,AND($A358&lt;&gt;"",$C358&lt;&gt;"DOOR ONLY"),OR($AF358="",$AF358="-")),"rated: closer reinf.?, ","")&amp;IF(OR($I358="CORRIDOR",$I358="SMOKE BARRIER"),"S label + smoke gasketing, ","")&amp;IF($BP358="?","wall type/hr not in IBC table, ","")&amp;IF(AND(N($BC358)&gt;0,$AU358=""),"no hardware set, ","")&amp;IF(AND($AU358&lt;&gt;"",ISNA(MATCH($AU358,HWSets,0))),"set "&amp;$AU358&amp;" not on Hardware sheet, ","")&amp;IF(N($BE358)&gt;96,"leaf over 8'-0"&amp;CHAR(34)&amp;" - check listing, ",""))</f>
        <v/>
      </c>
    </row>
    <row r="359" ht="15" customHeight="1">
      <c r="A359" s="44" t="n"/>
      <c r="B359" s="45" t="n"/>
      <c r="C359" s="45" t="n"/>
      <c r="D359" s="45" t="n"/>
      <c r="E359" s="45" t="n"/>
      <c r="F359" s="45" t="n"/>
      <c r="G359" s="45" t="n"/>
      <c r="H359" s="45" t="n"/>
      <c r="I359" s="45" t="n"/>
      <c r="J359" s="45" t="n"/>
      <c r="K359" s="45" t="n"/>
      <c r="L359" s="45" t="n"/>
      <c r="M359" s="45" t="n"/>
      <c r="N359" s="45" t="n"/>
      <c r="O359" s="45" t="n"/>
      <c r="P359" s="45" t="n"/>
      <c r="Q359" s="45" t="n"/>
      <c r="R359" s="45" t="n"/>
      <c r="S359" s="46" t="n"/>
      <c r="T359" s="46" t="n"/>
      <c r="U359" s="46" t="n"/>
      <c r="V359" s="46" t="n"/>
      <c r="W359" s="46" t="n"/>
      <c r="X359" s="46" t="n"/>
      <c r="Y359" s="46" t="n"/>
      <c r="Z359" s="46" t="n"/>
      <c r="AA359" s="46" t="n"/>
      <c r="AB359" s="46" t="n"/>
      <c r="AC359" s="46" t="n"/>
      <c r="AD359" s="46" t="n"/>
      <c r="AE359" s="46" t="n"/>
      <c r="AF359" s="46" t="n"/>
      <c r="AG359" s="46" t="n"/>
      <c r="AH359" s="47" t="n"/>
      <c r="AI359" s="47" t="n"/>
      <c r="AJ359" s="47" t="n"/>
      <c r="AK359" s="47" t="n"/>
      <c r="AL359" s="47" t="n"/>
      <c r="AM359" s="47" t="n"/>
      <c r="AN359" s="47" t="n"/>
      <c r="AO359" s="47" t="n"/>
      <c r="AP359" s="47" t="n"/>
      <c r="AQ359" s="47" t="n"/>
      <c r="AR359" s="47" t="n"/>
      <c r="AS359" s="47" t="n"/>
      <c r="AT359" s="47" t="n"/>
      <c r="AU359" s="48" t="n"/>
      <c r="AV359" s="48" t="n"/>
      <c r="AW359" s="49">
        <f>IF($A359="","",IF($BW359&lt;&gt;"","FIX",IF($BX359&lt;&gt;"","CHECK","OK")))</f>
        <v/>
      </c>
      <c r="AX359" s="50">
        <f>IF($A359="","",IF($BW359&lt;&gt;"","FIX: "&amp;LEFT($BW359,LEN($BW359)-2)&amp;IF($BX359&lt;&gt;"","  ·  ",""),"")&amp;IF($BX359&lt;&gt;"","CHECK: "&amp;LEFT($BX359,LEN($BX359)-2),""))</f>
        <v/>
      </c>
      <c r="AY359" s="49">
        <f>IF(OR($A359="",$K359=""),"",$K359&amp;"'-"&amp;N($L359)&amp;CHAR(34)&amp;" x "&amp;$M359&amp;"'-"&amp;N($N359)&amp;CHAR(34))</f>
        <v/>
      </c>
      <c r="AZ359" s="49">
        <f>IF(OR($A359="",$K359=""),"",$K359&amp;N($L359)&amp;$M359&amp;N($N359))</f>
        <v/>
      </c>
      <c r="BA359" s="49">
        <f>IF(OR($A359="",$K359=""),"",$K359*12+N($L359))</f>
        <v/>
      </c>
      <c r="BB359" s="49">
        <f>IF(OR($A359="",$M359=""),"",$M359*12+N($N359))</f>
        <v/>
      </c>
      <c r="BC359" s="49">
        <f>IF($A359="","",IF(OR($C359="FRAME ONLY",$S359="BL"),0,IF($O359="Y",2,1)))</f>
        <v/>
      </c>
      <c r="BD359" s="51">
        <f>IF(OR(N($BC359)=0,$BA359=""),"",($BA359-2*EdgeClr-IF($BC359=2,MeetClr,0))/$BC359)</f>
        <v/>
      </c>
      <c r="BE359" s="51">
        <f>IF(OR(N($BC359)=0,$BB359=""),"",$BB359-HeadClr-Undercut)</f>
        <v/>
      </c>
      <c r="BF359" s="51">
        <f>IF($BA359="","",$BA359+2*FaceW+IF(N($Q359)&gt;0,($Q359+FaceW)*IF($R359="LR",2,1),0))</f>
        <v/>
      </c>
      <c r="BG359" s="51">
        <f>IF($BB359="","",$BB359+IF($AB359="Y",4,FaceW)+IF(N($P359)&gt;0,$P359+FaceW,0)+IF(OR($S359="4F",$S359="BL"),FaceW,0))</f>
        <v/>
      </c>
      <c r="BH359" s="51">
        <f>IF($BF359="","",$BF359+2*ROSide)</f>
        <v/>
      </c>
      <c r="BI359" s="51">
        <f>IF($BG359="","",$BG359+ROTop)</f>
        <v/>
      </c>
      <c r="BJ359" s="52">
        <f>IF(OR(N($BC359)=0,$BA359=""),"",$BA359/$BC359-ClearDeduct)</f>
        <v/>
      </c>
      <c r="BK359" s="49">
        <f>IF(OR(N($BC359)=0,$BE359=""),"",IF(OR($AC359="HGC",$AP359="HGC"),"CONT",IF($BE359&lt;=60,2,IF($BE359&lt;=90,3,IF($BE359&lt;=120,4,5)))))</f>
        <v/>
      </c>
      <c r="BL359" s="49">
        <f>IF(N($BC359)=0,"",IF(OR($AL359="",$AL359="FLUSH"),"FLUSH",IFERROR(LEFT($AL359,FIND("-",$AL359)-1),LEFT($AL359,2))))</f>
        <v/>
      </c>
      <c r="BM359" s="49">
        <f>IF($BL359="","",IFERROR(VALUE(MID($AL359,FIND("-",$AL359)+1,FIND(CHAR(34)&amp;"x",$AL359)-FIND("-",$AL359)-1)),0))</f>
        <v/>
      </c>
      <c r="BN359" s="49">
        <f>IF($BL359="","",IFERROR(VALUE(MID($AL359,FIND(CHAR(34)&amp;"x",$AL359)+2,FIND(CHAR(34),$AL359,FIND(CHAR(34)&amp;"x",$AL359)+2)-FIND(CHAR(34)&amp;"x",$AL359)-2)),0))</f>
        <v/>
      </c>
      <c r="BO359" s="53">
        <f>IF(OR($A359="",$H359="",$H359="NO LAB"),0,IFERROR(VALUE(LEFT($H359,FIND(" ",$H359)-1)),0))</f>
        <v/>
      </c>
      <c r="BP359" s="54">
        <f>IF(OR($A359="",$I359="",$I359="NON-RATED",N($J359)=0),"",IFERROR(VLOOKUP($I359&amp;"|"&amp;$J359,IBC,2,FALSE),"?"))</f>
        <v/>
      </c>
      <c r="BQ359" s="50">
        <f>IF(NOT(AND($A359&lt;&gt;"",$C359&lt;&gt;"DOOR ONLY")),"",TRIM(IFERROR(VLOOKUP($U359,CODES,2,FALSE),"")&amp;" "&amp;$AZ359&amp;" "&amp;IFERROR(VLOOKUP($Z359,CODES,2,FALSE),"")&amp;" "&amp;IFERROR(VLOOKUP($X359,CODES,2,FALSE),"")&amp;" "&amp;IFERROR(VLOOKUP($S359,CODES,2,FALSE),"")&amp;IF(N($P359)&gt;0," w/TRANSOM "&amp;$P359&amp;CHAR(34),"")&amp;IF(N($Q359)&gt;0," w/SIDELITE "&amp;$Q359&amp;CHAR(34)&amp;" "&amp;IF($R359="","R",$R359),"")&amp;IF($Y359="","  |  "," | "&amp;IFERROR(VLOOKUP($Y359,CODES,2,FALSE),"")&amp;" | ")&amp;IFERROR(VLOOKUP($AC359,CODES,2,FALSE),"")&amp;" "&amp;IFERROR(VLOOKUP($AD359,CODES,2,FALSE),"")&amp;IF(OR($AE359="",$AE359="-"),""," "&amp;$AE359)&amp;IF(OR($AF359="",$AF359="-"),""," "&amp;$AF359)&amp;IF($AB359="Y"," 4"&amp;CHAR(34)&amp;" HEAD","")&amp;" "&amp;IFERROR(VLOOKUP($H359,CODES,2,FALSE),"")))</f>
        <v/>
      </c>
      <c r="BR359" s="50">
        <f>IF(NOT(AND($A359&lt;&gt;"",N($BC359)&gt;0)),"",TRIM(IFERROR(VLOOKUP($AH359,CODES,2,FALSE),"")&amp;IF($AI359=""," "," "&amp;$AI359&amp;"GA ")&amp;$AZ359&amp;" "&amp;IF($AN359="",IFERROR(VLOOKUP($Z359,CODES,2,FALSE),""),IFERROR(VLOOKUP($AN359,CODES,2,FALSE),""))&amp;IF($BC359=2," PAIR","")&amp;" DOOR | "&amp;IF($AL359="","?",$AL359)&amp;" | "&amp;IF($AP359="",IFERROR(VLOOKUP($AC359,CODES,2,FALSE),""),IFERROR(VLOOKUP($AP359,CODES,2,FALSE),""))&amp;" "&amp;IFERROR(VLOOKUP($AQ359,CODES,2,FALSE),"")&amp;IF(OR($AR359="",$AR359="-"),""," SEAM "&amp;$AR359)&amp;IF($AS359="Y"," ASTRAGAL","")&amp;IF($AJ359=""," "," "&amp;$AJ359)&amp;IF($AK359=""," "," "&amp;$AK359)&amp;IF($AO359="",""," "&amp;$AO359)&amp;IF($AM359=""," "," SERIES "&amp;$AM359)&amp;" "&amp;IFERROR(VLOOKUP($H359,CODES,2,FALSE),"")))</f>
        <v/>
      </c>
      <c r="BS359" s="49">
        <f>IF(BV359="","",IF(COUNTIF($BV$6:BV359,BV359)=1,MAX($BS$5:BS358)+1,INDEX($BS$5:BS358,MATCH(BV359,$BV$5:BV358,0))))</f>
        <v/>
      </c>
      <c r="BT359" s="49">
        <f>IF(NOT(AND($A359&lt;&gt;"",$C359&lt;&gt;"DOOR ONLY")),"",MAX($BT$5:BT358)+1)</f>
        <v/>
      </c>
      <c r="BU359" s="49">
        <f>IF(NOT(AND($A359&lt;&gt;"",N($BC359)&gt;0)),"",MAX($BU$5:BU358)+1)</f>
        <v/>
      </c>
      <c r="BV359" s="49">
        <f>IF(OR($A359="",$BA359="",$BB359=""),"",$AZ359&amp;"|"&amp;$O359&amp;"|"&amp;$AL359&amp;"|"&amp;$S359&amp;"|"&amp;$P359&amp;"|"&amp;$Q359&amp;$R359&amp;"|"&amp;$C359&amp;"|"&amp;$AB359)</f>
        <v/>
      </c>
      <c r="BW359" s="49">
        <f>IF($A359="","",IF($B359="","qty, ","")&amp;IF($C359="","scope, ","")&amp;IF(OR($K359="",$M359=""),"size, ","")&amp;IF(AND($A359&lt;&gt;"",$C359&lt;&gt;"DOOR ONLY"),IF($U359="","jamb depth, ","")&amp;IF($X359="","construction, ","")&amp;IF($Y359="","anchor, ","")&amp;IF($S359="","frame type, ",""),"")&amp;IF(AND(N($BC359)&gt;0,$Z359=""),"hand, ","")&amp;IF(N($BC359)&gt;0,IF($AH359="","door material, ","")&amp;IF($AL359="","face type, ","")&amp;IF($AQ359="","lock prep, ","")&amp;IF(AND($AP359="",$AC359=""),"hinge prep, ",""),"")&amp;IF(AND($BO359&gt;0,$AH359="FRP"),"FRP cannot carry a label, ","")&amp;IF(AND($O359="Y",OR($Z359="L",$Z359="R",$Z359="LR",$Z359="RR")),"pair marked but hand is single, ","")&amp;IF(AND($O359&lt;&gt;"Y",OR($Z359="PR",AND(LEN($Z359)&gt;1,ISNUMBER(SEARCH("-",$Z359))))),"pair hand on a single door, ","")&amp;IF(AND(ISNUMBER($BP359),$BO359&lt;N($BP359)),"wall needs a "&amp;$BP359&amp;" min door, ","")&amp;IF(AND($BO359&gt;=180,AND(OR($BL359="FG",$BL359="HG",$BL359="FNV",$BL359="FV"),N($BM359)*N($BN359)&gt;100)),"180 min lite over 100 sq in, ","")&amp;IF(N($BD359)&gt;48,"leaf wider than 4'-0"&amp;CHAR(34)&amp;", ",""))</f>
        <v/>
      </c>
      <c r="BX359" s="49">
        <f>IF($A359="","",IF(AND($BO359&gt;0,AND($A359&lt;&gt;"",$C359&lt;&gt;"DOOR ONLY"),$X359="KD",$E359="EXTERIOR"),"KD label on an exterior opening, ","")&amp;IF(AND($E359="EXTERIOR",OR(AND(AND($A359&lt;&gt;"",$C359&lt;&gt;"DOOR ONLY"),$W359="CR"),AND(N($BC359)&gt;0,$AH359="CR"))),"exterior in CR steel (G9?), ","")&amp;IF(AND(ISNUMBER($BJ359),N($BJ359)&lt;32),"clear width ~"&amp;TEXT($BJ359,"0.0")&amp;CHAR(34)&amp;" under 32"&amp;CHAR(34)&amp;" (ADA), ","")&amp;IF(AND($BO359=90,AND(OR($BL359="FG",$BL359="HG",$BL359="FNV",$BL359="FV"),N($BM359)*N($BN359)&gt;100)),"90 min lite over 100 sq in (stair/exit), ","")&amp;IF(AND($BO359&gt;0,AND($A359&lt;&gt;"",$C359&lt;&gt;"DOOR ONLY"),OR($AF359="",$AF359="-")),"rated: closer reinf.?, ","")&amp;IF(OR($I359="CORRIDOR",$I359="SMOKE BARRIER"),"S label + smoke gasketing, ","")&amp;IF($BP359="?","wall type/hr not in IBC table, ","")&amp;IF(AND(N($BC359)&gt;0,$AU359=""),"no hardware set, ","")&amp;IF(AND($AU359&lt;&gt;"",ISNA(MATCH($AU359,HWSets,0))),"set "&amp;$AU359&amp;" not on Hardware sheet, ","")&amp;IF(N($BE359)&gt;96,"leaf over 8'-0"&amp;CHAR(34)&amp;" - check listing, ",""))</f>
        <v/>
      </c>
    </row>
    <row r="360" ht="15" customHeight="1">
      <c r="A360" s="44" t="n"/>
      <c r="B360" s="45" t="n"/>
      <c r="C360" s="45" t="n"/>
      <c r="D360" s="45" t="n"/>
      <c r="E360" s="45" t="n"/>
      <c r="F360" s="45" t="n"/>
      <c r="G360" s="45" t="n"/>
      <c r="H360" s="45" t="n"/>
      <c r="I360" s="45" t="n"/>
      <c r="J360" s="45" t="n"/>
      <c r="K360" s="45" t="n"/>
      <c r="L360" s="45" t="n"/>
      <c r="M360" s="45" t="n"/>
      <c r="N360" s="45" t="n"/>
      <c r="O360" s="45" t="n"/>
      <c r="P360" s="45" t="n"/>
      <c r="Q360" s="45" t="n"/>
      <c r="R360" s="45" t="n"/>
      <c r="S360" s="46" t="n"/>
      <c r="T360" s="46" t="n"/>
      <c r="U360" s="46" t="n"/>
      <c r="V360" s="46" t="n"/>
      <c r="W360" s="46" t="n"/>
      <c r="X360" s="46" t="n"/>
      <c r="Y360" s="46" t="n"/>
      <c r="Z360" s="46" t="n"/>
      <c r="AA360" s="46" t="n"/>
      <c r="AB360" s="46" t="n"/>
      <c r="AC360" s="46" t="n"/>
      <c r="AD360" s="46" t="n"/>
      <c r="AE360" s="46" t="n"/>
      <c r="AF360" s="46" t="n"/>
      <c r="AG360" s="46" t="n"/>
      <c r="AH360" s="47" t="n"/>
      <c r="AI360" s="47" t="n"/>
      <c r="AJ360" s="47" t="n"/>
      <c r="AK360" s="47" t="n"/>
      <c r="AL360" s="47" t="n"/>
      <c r="AM360" s="47" t="n"/>
      <c r="AN360" s="47" t="n"/>
      <c r="AO360" s="47" t="n"/>
      <c r="AP360" s="47" t="n"/>
      <c r="AQ360" s="47" t="n"/>
      <c r="AR360" s="47" t="n"/>
      <c r="AS360" s="47" t="n"/>
      <c r="AT360" s="47" t="n"/>
      <c r="AU360" s="48" t="n"/>
      <c r="AV360" s="48" t="n"/>
      <c r="AW360" s="49">
        <f>IF($A360="","",IF($BW360&lt;&gt;"","FIX",IF($BX360&lt;&gt;"","CHECK","OK")))</f>
        <v/>
      </c>
      <c r="AX360" s="50">
        <f>IF($A360="","",IF($BW360&lt;&gt;"","FIX: "&amp;LEFT($BW360,LEN($BW360)-2)&amp;IF($BX360&lt;&gt;"","  ·  ",""),"")&amp;IF($BX360&lt;&gt;"","CHECK: "&amp;LEFT($BX360,LEN($BX360)-2),""))</f>
        <v/>
      </c>
      <c r="AY360" s="49">
        <f>IF(OR($A360="",$K360=""),"",$K360&amp;"'-"&amp;N($L360)&amp;CHAR(34)&amp;" x "&amp;$M360&amp;"'-"&amp;N($N360)&amp;CHAR(34))</f>
        <v/>
      </c>
      <c r="AZ360" s="49">
        <f>IF(OR($A360="",$K360=""),"",$K360&amp;N($L360)&amp;$M360&amp;N($N360))</f>
        <v/>
      </c>
      <c r="BA360" s="49">
        <f>IF(OR($A360="",$K360=""),"",$K360*12+N($L360))</f>
        <v/>
      </c>
      <c r="BB360" s="49">
        <f>IF(OR($A360="",$M360=""),"",$M360*12+N($N360))</f>
        <v/>
      </c>
      <c r="BC360" s="49">
        <f>IF($A360="","",IF(OR($C360="FRAME ONLY",$S360="BL"),0,IF($O360="Y",2,1)))</f>
        <v/>
      </c>
      <c r="BD360" s="51">
        <f>IF(OR(N($BC360)=0,$BA360=""),"",($BA360-2*EdgeClr-IF($BC360=2,MeetClr,0))/$BC360)</f>
        <v/>
      </c>
      <c r="BE360" s="51">
        <f>IF(OR(N($BC360)=0,$BB360=""),"",$BB360-HeadClr-Undercut)</f>
        <v/>
      </c>
      <c r="BF360" s="51">
        <f>IF($BA360="","",$BA360+2*FaceW+IF(N($Q360)&gt;0,($Q360+FaceW)*IF($R360="LR",2,1),0))</f>
        <v/>
      </c>
      <c r="BG360" s="51">
        <f>IF($BB360="","",$BB360+IF($AB360="Y",4,FaceW)+IF(N($P360)&gt;0,$P360+FaceW,0)+IF(OR($S360="4F",$S360="BL"),FaceW,0))</f>
        <v/>
      </c>
      <c r="BH360" s="51">
        <f>IF($BF360="","",$BF360+2*ROSide)</f>
        <v/>
      </c>
      <c r="BI360" s="51">
        <f>IF($BG360="","",$BG360+ROTop)</f>
        <v/>
      </c>
      <c r="BJ360" s="52">
        <f>IF(OR(N($BC360)=0,$BA360=""),"",$BA360/$BC360-ClearDeduct)</f>
        <v/>
      </c>
      <c r="BK360" s="49">
        <f>IF(OR(N($BC360)=0,$BE360=""),"",IF(OR($AC360="HGC",$AP360="HGC"),"CONT",IF($BE360&lt;=60,2,IF($BE360&lt;=90,3,IF($BE360&lt;=120,4,5)))))</f>
        <v/>
      </c>
      <c r="BL360" s="49">
        <f>IF(N($BC360)=0,"",IF(OR($AL360="",$AL360="FLUSH"),"FLUSH",IFERROR(LEFT($AL360,FIND("-",$AL360)-1),LEFT($AL360,2))))</f>
        <v/>
      </c>
      <c r="BM360" s="49">
        <f>IF($BL360="","",IFERROR(VALUE(MID($AL360,FIND("-",$AL360)+1,FIND(CHAR(34)&amp;"x",$AL360)-FIND("-",$AL360)-1)),0))</f>
        <v/>
      </c>
      <c r="BN360" s="49">
        <f>IF($BL360="","",IFERROR(VALUE(MID($AL360,FIND(CHAR(34)&amp;"x",$AL360)+2,FIND(CHAR(34),$AL360,FIND(CHAR(34)&amp;"x",$AL360)+2)-FIND(CHAR(34)&amp;"x",$AL360)-2)),0))</f>
        <v/>
      </c>
      <c r="BO360" s="53">
        <f>IF(OR($A360="",$H360="",$H360="NO LAB"),0,IFERROR(VALUE(LEFT($H360,FIND(" ",$H360)-1)),0))</f>
        <v/>
      </c>
      <c r="BP360" s="54">
        <f>IF(OR($A360="",$I360="",$I360="NON-RATED",N($J360)=0),"",IFERROR(VLOOKUP($I360&amp;"|"&amp;$J360,IBC,2,FALSE),"?"))</f>
        <v/>
      </c>
      <c r="BQ360" s="50">
        <f>IF(NOT(AND($A360&lt;&gt;"",$C360&lt;&gt;"DOOR ONLY")),"",TRIM(IFERROR(VLOOKUP($U360,CODES,2,FALSE),"")&amp;" "&amp;$AZ360&amp;" "&amp;IFERROR(VLOOKUP($Z360,CODES,2,FALSE),"")&amp;" "&amp;IFERROR(VLOOKUP($X360,CODES,2,FALSE),"")&amp;" "&amp;IFERROR(VLOOKUP($S360,CODES,2,FALSE),"")&amp;IF(N($P360)&gt;0," w/TRANSOM "&amp;$P360&amp;CHAR(34),"")&amp;IF(N($Q360)&gt;0," w/SIDELITE "&amp;$Q360&amp;CHAR(34)&amp;" "&amp;IF($R360="","R",$R360),"")&amp;IF($Y360="","  |  "," | "&amp;IFERROR(VLOOKUP($Y360,CODES,2,FALSE),"")&amp;" | ")&amp;IFERROR(VLOOKUP($AC360,CODES,2,FALSE),"")&amp;" "&amp;IFERROR(VLOOKUP($AD360,CODES,2,FALSE),"")&amp;IF(OR($AE360="",$AE360="-"),""," "&amp;$AE360)&amp;IF(OR($AF360="",$AF360="-"),""," "&amp;$AF360)&amp;IF($AB360="Y"," 4"&amp;CHAR(34)&amp;" HEAD","")&amp;" "&amp;IFERROR(VLOOKUP($H360,CODES,2,FALSE),"")))</f>
        <v/>
      </c>
      <c r="BR360" s="50">
        <f>IF(NOT(AND($A360&lt;&gt;"",N($BC360)&gt;0)),"",TRIM(IFERROR(VLOOKUP($AH360,CODES,2,FALSE),"")&amp;IF($AI360=""," "," "&amp;$AI360&amp;"GA ")&amp;$AZ360&amp;" "&amp;IF($AN360="",IFERROR(VLOOKUP($Z360,CODES,2,FALSE),""),IFERROR(VLOOKUP($AN360,CODES,2,FALSE),""))&amp;IF($BC360=2," PAIR","")&amp;" DOOR | "&amp;IF($AL360="","?",$AL360)&amp;" | "&amp;IF($AP360="",IFERROR(VLOOKUP($AC360,CODES,2,FALSE),""),IFERROR(VLOOKUP($AP360,CODES,2,FALSE),""))&amp;" "&amp;IFERROR(VLOOKUP($AQ360,CODES,2,FALSE),"")&amp;IF(OR($AR360="",$AR360="-"),""," SEAM "&amp;$AR360)&amp;IF($AS360="Y"," ASTRAGAL","")&amp;IF($AJ360=""," "," "&amp;$AJ360)&amp;IF($AK360=""," "," "&amp;$AK360)&amp;IF($AO360="",""," "&amp;$AO360)&amp;IF($AM360=""," "," SERIES "&amp;$AM360)&amp;" "&amp;IFERROR(VLOOKUP($H360,CODES,2,FALSE),"")))</f>
        <v/>
      </c>
      <c r="BS360" s="49">
        <f>IF(BV360="","",IF(COUNTIF($BV$6:BV360,BV360)=1,MAX($BS$5:BS359)+1,INDEX($BS$5:BS359,MATCH(BV360,$BV$5:BV359,0))))</f>
        <v/>
      </c>
      <c r="BT360" s="49">
        <f>IF(NOT(AND($A360&lt;&gt;"",$C360&lt;&gt;"DOOR ONLY")),"",MAX($BT$5:BT359)+1)</f>
        <v/>
      </c>
      <c r="BU360" s="49">
        <f>IF(NOT(AND($A360&lt;&gt;"",N($BC360)&gt;0)),"",MAX($BU$5:BU359)+1)</f>
        <v/>
      </c>
      <c r="BV360" s="49">
        <f>IF(OR($A360="",$BA360="",$BB360=""),"",$AZ360&amp;"|"&amp;$O360&amp;"|"&amp;$AL360&amp;"|"&amp;$S360&amp;"|"&amp;$P360&amp;"|"&amp;$Q360&amp;$R360&amp;"|"&amp;$C360&amp;"|"&amp;$AB360)</f>
        <v/>
      </c>
      <c r="BW360" s="49">
        <f>IF($A360="","",IF($B360="","qty, ","")&amp;IF($C360="","scope, ","")&amp;IF(OR($K360="",$M360=""),"size, ","")&amp;IF(AND($A360&lt;&gt;"",$C360&lt;&gt;"DOOR ONLY"),IF($U360="","jamb depth, ","")&amp;IF($X360="","construction, ","")&amp;IF($Y360="","anchor, ","")&amp;IF($S360="","frame type, ",""),"")&amp;IF(AND(N($BC360)&gt;0,$Z360=""),"hand, ","")&amp;IF(N($BC360)&gt;0,IF($AH360="","door material, ","")&amp;IF($AL360="","face type, ","")&amp;IF($AQ360="","lock prep, ","")&amp;IF(AND($AP360="",$AC360=""),"hinge prep, ",""),"")&amp;IF(AND($BO360&gt;0,$AH360="FRP"),"FRP cannot carry a label, ","")&amp;IF(AND($O360="Y",OR($Z360="L",$Z360="R",$Z360="LR",$Z360="RR")),"pair marked but hand is single, ","")&amp;IF(AND($O360&lt;&gt;"Y",OR($Z360="PR",AND(LEN($Z360)&gt;1,ISNUMBER(SEARCH("-",$Z360))))),"pair hand on a single door, ","")&amp;IF(AND(ISNUMBER($BP360),$BO360&lt;N($BP360)),"wall needs a "&amp;$BP360&amp;" min door, ","")&amp;IF(AND($BO360&gt;=180,AND(OR($BL360="FG",$BL360="HG",$BL360="FNV",$BL360="FV"),N($BM360)*N($BN360)&gt;100)),"180 min lite over 100 sq in, ","")&amp;IF(N($BD360)&gt;48,"leaf wider than 4'-0"&amp;CHAR(34)&amp;", ",""))</f>
        <v/>
      </c>
      <c r="BX360" s="49">
        <f>IF($A360="","",IF(AND($BO360&gt;0,AND($A360&lt;&gt;"",$C360&lt;&gt;"DOOR ONLY"),$X360="KD",$E360="EXTERIOR"),"KD label on an exterior opening, ","")&amp;IF(AND($E360="EXTERIOR",OR(AND(AND($A360&lt;&gt;"",$C360&lt;&gt;"DOOR ONLY"),$W360="CR"),AND(N($BC360)&gt;0,$AH360="CR"))),"exterior in CR steel (G9?), ","")&amp;IF(AND(ISNUMBER($BJ360),N($BJ360)&lt;32),"clear width ~"&amp;TEXT($BJ360,"0.0")&amp;CHAR(34)&amp;" under 32"&amp;CHAR(34)&amp;" (ADA), ","")&amp;IF(AND($BO360=90,AND(OR($BL360="FG",$BL360="HG",$BL360="FNV",$BL360="FV"),N($BM360)*N($BN360)&gt;100)),"90 min lite over 100 sq in (stair/exit), ","")&amp;IF(AND($BO360&gt;0,AND($A360&lt;&gt;"",$C360&lt;&gt;"DOOR ONLY"),OR($AF360="",$AF360="-")),"rated: closer reinf.?, ","")&amp;IF(OR($I360="CORRIDOR",$I360="SMOKE BARRIER"),"S label + smoke gasketing, ","")&amp;IF($BP360="?","wall type/hr not in IBC table, ","")&amp;IF(AND(N($BC360)&gt;0,$AU360=""),"no hardware set, ","")&amp;IF(AND($AU360&lt;&gt;"",ISNA(MATCH($AU360,HWSets,0))),"set "&amp;$AU360&amp;" not on Hardware sheet, ","")&amp;IF(N($BE360)&gt;96,"leaf over 8'-0"&amp;CHAR(34)&amp;" - check listing, ",""))</f>
        <v/>
      </c>
    </row>
    <row r="361" ht="15" customHeight="1">
      <c r="A361" s="44" t="n"/>
      <c r="B361" s="45" t="n"/>
      <c r="C361" s="45" t="n"/>
      <c r="D361" s="45" t="n"/>
      <c r="E361" s="45" t="n"/>
      <c r="F361" s="45" t="n"/>
      <c r="G361" s="45" t="n"/>
      <c r="H361" s="45" t="n"/>
      <c r="I361" s="45" t="n"/>
      <c r="J361" s="45" t="n"/>
      <c r="K361" s="45" t="n"/>
      <c r="L361" s="45" t="n"/>
      <c r="M361" s="45" t="n"/>
      <c r="N361" s="45" t="n"/>
      <c r="O361" s="45" t="n"/>
      <c r="P361" s="45" t="n"/>
      <c r="Q361" s="45" t="n"/>
      <c r="R361" s="45" t="n"/>
      <c r="S361" s="46" t="n"/>
      <c r="T361" s="46" t="n"/>
      <c r="U361" s="46" t="n"/>
      <c r="V361" s="46" t="n"/>
      <c r="W361" s="46" t="n"/>
      <c r="X361" s="46" t="n"/>
      <c r="Y361" s="46" t="n"/>
      <c r="Z361" s="46" t="n"/>
      <c r="AA361" s="46" t="n"/>
      <c r="AB361" s="46" t="n"/>
      <c r="AC361" s="46" t="n"/>
      <c r="AD361" s="46" t="n"/>
      <c r="AE361" s="46" t="n"/>
      <c r="AF361" s="46" t="n"/>
      <c r="AG361" s="46" t="n"/>
      <c r="AH361" s="47" t="n"/>
      <c r="AI361" s="47" t="n"/>
      <c r="AJ361" s="47" t="n"/>
      <c r="AK361" s="47" t="n"/>
      <c r="AL361" s="47" t="n"/>
      <c r="AM361" s="47" t="n"/>
      <c r="AN361" s="47" t="n"/>
      <c r="AO361" s="47" t="n"/>
      <c r="AP361" s="47" t="n"/>
      <c r="AQ361" s="47" t="n"/>
      <c r="AR361" s="47" t="n"/>
      <c r="AS361" s="47" t="n"/>
      <c r="AT361" s="47" t="n"/>
      <c r="AU361" s="48" t="n"/>
      <c r="AV361" s="48" t="n"/>
      <c r="AW361" s="49">
        <f>IF($A361="","",IF($BW361&lt;&gt;"","FIX",IF($BX361&lt;&gt;"","CHECK","OK")))</f>
        <v/>
      </c>
      <c r="AX361" s="50">
        <f>IF($A361="","",IF($BW361&lt;&gt;"","FIX: "&amp;LEFT($BW361,LEN($BW361)-2)&amp;IF($BX361&lt;&gt;"","  ·  ",""),"")&amp;IF($BX361&lt;&gt;"","CHECK: "&amp;LEFT($BX361,LEN($BX361)-2),""))</f>
        <v/>
      </c>
      <c r="AY361" s="49">
        <f>IF(OR($A361="",$K361=""),"",$K361&amp;"'-"&amp;N($L361)&amp;CHAR(34)&amp;" x "&amp;$M361&amp;"'-"&amp;N($N361)&amp;CHAR(34))</f>
        <v/>
      </c>
      <c r="AZ361" s="49">
        <f>IF(OR($A361="",$K361=""),"",$K361&amp;N($L361)&amp;$M361&amp;N($N361))</f>
        <v/>
      </c>
      <c r="BA361" s="49">
        <f>IF(OR($A361="",$K361=""),"",$K361*12+N($L361))</f>
        <v/>
      </c>
      <c r="BB361" s="49">
        <f>IF(OR($A361="",$M361=""),"",$M361*12+N($N361))</f>
        <v/>
      </c>
      <c r="BC361" s="49">
        <f>IF($A361="","",IF(OR($C361="FRAME ONLY",$S361="BL"),0,IF($O361="Y",2,1)))</f>
        <v/>
      </c>
      <c r="BD361" s="51">
        <f>IF(OR(N($BC361)=0,$BA361=""),"",($BA361-2*EdgeClr-IF($BC361=2,MeetClr,0))/$BC361)</f>
        <v/>
      </c>
      <c r="BE361" s="51">
        <f>IF(OR(N($BC361)=0,$BB361=""),"",$BB361-HeadClr-Undercut)</f>
        <v/>
      </c>
      <c r="BF361" s="51">
        <f>IF($BA361="","",$BA361+2*FaceW+IF(N($Q361)&gt;0,($Q361+FaceW)*IF($R361="LR",2,1),0))</f>
        <v/>
      </c>
      <c r="BG361" s="51">
        <f>IF($BB361="","",$BB361+IF($AB361="Y",4,FaceW)+IF(N($P361)&gt;0,$P361+FaceW,0)+IF(OR($S361="4F",$S361="BL"),FaceW,0))</f>
        <v/>
      </c>
      <c r="BH361" s="51">
        <f>IF($BF361="","",$BF361+2*ROSide)</f>
        <v/>
      </c>
      <c r="BI361" s="51">
        <f>IF($BG361="","",$BG361+ROTop)</f>
        <v/>
      </c>
      <c r="BJ361" s="52">
        <f>IF(OR(N($BC361)=0,$BA361=""),"",$BA361/$BC361-ClearDeduct)</f>
        <v/>
      </c>
      <c r="BK361" s="49">
        <f>IF(OR(N($BC361)=0,$BE361=""),"",IF(OR($AC361="HGC",$AP361="HGC"),"CONT",IF($BE361&lt;=60,2,IF($BE361&lt;=90,3,IF($BE361&lt;=120,4,5)))))</f>
        <v/>
      </c>
      <c r="BL361" s="49">
        <f>IF(N($BC361)=0,"",IF(OR($AL361="",$AL361="FLUSH"),"FLUSH",IFERROR(LEFT($AL361,FIND("-",$AL361)-1),LEFT($AL361,2))))</f>
        <v/>
      </c>
      <c r="BM361" s="49">
        <f>IF($BL361="","",IFERROR(VALUE(MID($AL361,FIND("-",$AL361)+1,FIND(CHAR(34)&amp;"x",$AL361)-FIND("-",$AL361)-1)),0))</f>
        <v/>
      </c>
      <c r="BN361" s="49">
        <f>IF($BL361="","",IFERROR(VALUE(MID($AL361,FIND(CHAR(34)&amp;"x",$AL361)+2,FIND(CHAR(34),$AL361,FIND(CHAR(34)&amp;"x",$AL361)+2)-FIND(CHAR(34)&amp;"x",$AL361)-2)),0))</f>
        <v/>
      </c>
      <c r="BO361" s="53">
        <f>IF(OR($A361="",$H361="",$H361="NO LAB"),0,IFERROR(VALUE(LEFT($H361,FIND(" ",$H361)-1)),0))</f>
        <v/>
      </c>
      <c r="BP361" s="54">
        <f>IF(OR($A361="",$I361="",$I361="NON-RATED",N($J361)=0),"",IFERROR(VLOOKUP($I361&amp;"|"&amp;$J361,IBC,2,FALSE),"?"))</f>
        <v/>
      </c>
      <c r="BQ361" s="50">
        <f>IF(NOT(AND($A361&lt;&gt;"",$C361&lt;&gt;"DOOR ONLY")),"",TRIM(IFERROR(VLOOKUP($U361,CODES,2,FALSE),"")&amp;" "&amp;$AZ361&amp;" "&amp;IFERROR(VLOOKUP($Z361,CODES,2,FALSE),"")&amp;" "&amp;IFERROR(VLOOKUP($X361,CODES,2,FALSE),"")&amp;" "&amp;IFERROR(VLOOKUP($S361,CODES,2,FALSE),"")&amp;IF(N($P361)&gt;0," w/TRANSOM "&amp;$P361&amp;CHAR(34),"")&amp;IF(N($Q361)&gt;0," w/SIDELITE "&amp;$Q361&amp;CHAR(34)&amp;" "&amp;IF($R361="","R",$R361),"")&amp;IF($Y361="","  |  "," | "&amp;IFERROR(VLOOKUP($Y361,CODES,2,FALSE),"")&amp;" | ")&amp;IFERROR(VLOOKUP($AC361,CODES,2,FALSE),"")&amp;" "&amp;IFERROR(VLOOKUP($AD361,CODES,2,FALSE),"")&amp;IF(OR($AE361="",$AE361="-"),""," "&amp;$AE361)&amp;IF(OR($AF361="",$AF361="-"),""," "&amp;$AF361)&amp;IF($AB361="Y"," 4"&amp;CHAR(34)&amp;" HEAD","")&amp;" "&amp;IFERROR(VLOOKUP($H361,CODES,2,FALSE),"")))</f>
        <v/>
      </c>
      <c r="BR361" s="50">
        <f>IF(NOT(AND($A361&lt;&gt;"",N($BC361)&gt;0)),"",TRIM(IFERROR(VLOOKUP($AH361,CODES,2,FALSE),"")&amp;IF($AI361=""," "," "&amp;$AI361&amp;"GA ")&amp;$AZ361&amp;" "&amp;IF($AN361="",IFERROR(VLOOKUP($Z361,CODES,2,FALSE),""),IFERROR(VLOOKUP($AN361,CODES,2,FALSE),""))&amp;IF($BC361=2," PAIR","")&amp;" DOOR | "&amp;IF($AL361="","?",$AL361)&amp;" | "&amp;IF($AP361="",IFERROR(VLOOKUP($AC361,CODES,2,FALSE),""),IFERROR(VLOOKUP($AP361,CODES,2,FALSE),""))&amp;" "&amp;IFERROR(VLOOKUP($AQ361,CODES,2,FALSE),"")&amp;IF(OR($AR361="",$AR361="-"),""," SEAM "&amp;$AR361)&amp;IF($AS361="Y"," ASTRAGAL","")&amp;IF($AJ361=""," "," "&amp;$AJ361)&amp;IF($AK361=""," "," "&amp;$AK361)&amp;IF($AO361="",""," "&amp;$AO361)&amp;IF($AM361=""," "," SERIES "&amp;$AM361)&amp;" "&amp;IFERROR(VLOOKUP($H361,CODES,2,FALSE),"")))</f>
        <v/>
      </c>
      <c r="BS361" s="49">
        <f>IF(BV361="","",IF(COUNTIF($BV$6:BV361,BV361)=1,MAX($BS$5:BS360)+1,INDEX($BS$5:BS360,MATCH(BV361,$BV$5:BV360,0))))</f>
        <v/>
      </c>
      <c r="BT361" s="49">
        <f>IF(NOT(AND($A361&lt;&gt;"",$C361&lt;&gt;"DOOR ONLY")),"",MAX($BT$5:BT360)+1)</f>
        <v/>
      </c>
      <c r="BU361" s="49">
        <f>IF(NOT(AND($A361&lt;&gt;"",N($BC361)&gt;0)),"",MAX($BU$5:BU360)+1)</f>
        <v/>
      </c>
      <c r="BV361" s="49">
        <f>IF(OR($A361="",$BA361="",$BB361=""),"",$AZ361&amp;"|"&amp;$O361&amp;"|"&amp;$AL361&amp;"|"&amp;$S361&amp;"|"&amp;$P361&amp;"|"&amp;$Q361&amp;$R361&amp;"|"&amp;$C361&amp;"|"&amp;$AB361)</f>
        <v/>
      </c>
      <c r="BW361" s="49">
        <f>IF($A361="","",IF($B361="","qty, ","")&amp;IF($C361="","scope, ","")&amp;IF(OR($K361="",$M361=""),"size, ","")&amp;IF(AND($A361&lt;&gt;"",$C361&lt;&gt;"DOOR ONLY"),IF($U361="","jamb depth, ","")&amp;IF($X361="","construction, ","")&amp;IF($Y361="","anchor, ","")&amp;IF($S361="","frame type, ",""),"")&amp;IF(AND(N($BC361)&gt;0,$Z361=""),"hand, ","")&amp;IF(N($BC361)&gt;0,IF($AH361="","door material, ","")&amp;IF($AL361="","face type, ","")&amp;IF($AQ361="","lock prep, ","")&amp;IF(AND($AP361="",$AC361=""),"hinge prep, ",""),"")&amp;IF(AND($BO361&gt;0,$AH361="FRP"),"FRP cannot carry a label, ","")&amp;IF(AND($O361="Y",OR($Z361="L",$Z361="R",$Z361="LR",$Z361="RR")),"pair marked but hand is single, ","")&amp;IF(AND($O361&lt;&gt;"Y",OR($Z361="PR",AND(LEN($Z361)&gt;1,ISNUMBER(SEARCH("-",$Z361))))),"pair hand on a single door, ","")&amp;IF(AND(ISNUMBER($BP361),$BO361&lt;N($BP361)),"wall needs a "&amp;$BP361&amp;" min door, ","")&amp;IF(AND($BO361&gt;=180,AND(OR($BL361="FG",$BL361="HG",$BL361="FNV",$BL361="FV"),N($BM361)*N($BN361)&gt;100)),"180 min lite over 100 sq in, ","")&amp;IF(N($BD361)&gt;48,"leaf wider than 4'-0"&amp;CHAR(34)&amp;", ",""))</f>
        <v/>
      </c>
      <c r="BX361" s="49">
        <f>IF($A361="","",IF(AND($BO361&gt;0,AND($A361&lt;&gt;"",$C361&lt;&gt;"DOOR ONLY"),$X361="KD",$E361="EXTERIOR"),"KD label on an exterior opening, ","")&amp;IF(AND($E361="EXTERIOR",OR(AND(AND($A361&lt;&gt;"",$C361&lt;&gt;"DOOR ONLY"),$W361="CR"),AND(N($BC361)&gt;0,$AH361="CR"))),"exterior in CR steel (G9?), ","")&amp;IF(AND(ISNUMBER($BJ361),N($BJ361)&lt;32),"clear width ~"&amp;TEXT($BJ361,"0.0")&amp;CHAR(34)&amp;" under 32"&amp;CHAR(34)&amp;" (ADA), ","")&amp;IF(AND($BO361=90,AND(OR($BL361="FG",$BL361="HG",$BL361="FNV",$BL361="FV"),N($BM361)*N($BN361)&gt;100)),"90 min lite over 100 sq in (stair/exit), ","")&amp;IF(AND($BO361&gt;0,AND($A361&lt;&gt;"",$C361&lt;&gt;"DOOR ONLY"),OR($AF361="",$AF361="-")),"rated: closer reinf.?, ","")&amp;IF(OR($I361="CORRIDOR",$I361="SMOKE BARRIER"),"S label + smoke gasketing, ","")&amp;IF($BP361="?","wall type/hr not in IBC table, ","")&amp;IF(AND(N($BC361)&gt;0,$AU361=""),"no hardware set, ","")&amp;IF(AND($AU361&lt;&gt;"",ISNA(MATCH($AU361,HWSets,0))),"set "&amp;$AU361&amp;" not on Hardware sheet, ","")&amp;IF(N($BE361)&gt;96,"leaf over 8'-0"&amp;CHAR(34)&amp;" - check listing, ",""))</f>
        <v/>
      </c>
    </row>
    <row r="362" ht="15" customHeight="1">
      <c r="A362" s="44" t="n"/>
      <c r="B362" s="45" t="n"/>
      <c r="C362" s="45" t="n"/>
      <c r="D362" s="45" t="n"/>
      <c r="E362" s="45" t="n"/>
      <c r="F362" s="45" t="n"/>
      <c r="G362" s="45" t="n"/>
      <c r="H362" s="45" t="n"/>
      <c r="I362" s="45" t="n"/>
      <c r="J362" s="45" t="n"/>
      <c r="K362" s="45" t="n"/>
      <c r="L362" s="45" t="n"/>
      <c r="M362" s="45" t="n"/>
      <c r="N362" s="45" t="n"/>
      <c r="O362" s="45" t="n"/>
      <c r="P362" s="45" t="n"/>
      <c r="Q362" s="45" t="n"/>
      <c r="R362" s="45" t="n"/>
      <c r="S362" s="46" t="n"/>
      <c r="T362" s="46" t="n"/>
      <c r="U362" s="46" t="n"/>
      <c r="V362" s="46" t="n"/>
      <c r="W362" s="46" t="n"/>
      <c r="X362" s="46" t="n"/>
      <c r="Y362" s="46" t="n"/>
      <c r="Z362" s="46" t="n"/>
      <c r="AA362" s="46" t="n"/>
      <c r="AB362" s="46" t="n"/>
      <c r="AC362" s="46" t="n"/>
      <c r="AD362" s="46" t="n"/>
      <c r="AE362" s="46" t="n"/>
      <c r="AF362" s="46" t="n"/>
      <c r="AG362" s="46" t="n"/>
      <c r="AH362" s="47" t="n"/>
      <c r="AI362" s="47" t="n"/>
      <c r="AJ362" s="47" t="n"/>
      <c r="AK362" s="47" t="n"/>
      <c r="AL362" s="47" t="n"/>
      <c r="AM362" s="47" t="n"/>
      <c r="AN362" s="47" t="n"/>
      <c r="AO362" s="47" t="n"/>
      <c r="AP362" s="47" t="n"/>
      <c r="AQ362" s="47" t="n"/>
      <c r="AR362" s="47" t="n"/>
      <c r="AS362" s="47" t="n"/>
      <c r="AT362" s="47" t="n"/>
      <c r="AU362" s="48" t="n"/>
      <c r="AV362" s="48" t="n"/>
      <c r="AW362" s="49">
        <f>IF($A362="","",IF($BW362&lt;&gt;"","FIX",IF($BX362&lt;&gt;"","CHECK","OK")))</f>
        <v/>
      </c>
      <c r="AX362" s="50">
        <f>IF($A362="","",IF($BW362&lt;&gt;"","FIX: "&amp;LEFT($BW362,LEN($BW362)-2)&amp;IF($BX362&lt;&gt;"","  ·  ",""),"")&amp;IF($BX362&lt;&gt;"","CHECK: "&amp;LEFT($BX362,LEN($BX362)-2),""))</f>
        <v/>
      </c>
      <c r="AY362" s="49">
        <f>IF(OR($A362="",$K362=""),"",$K362&amp;"'-"&amp;N($L362)&amp;CHAR(34)&amp;" x "&amp;$M362&amp;"'-"&amp;N($N362)&amp;CHAR(34))</f>
        <v/>
      </c>
      <c r="AZ362" s="49">
        <f>IF(OR($A362="",$K362=""),"",$K362&amp;N($L362)&amp;$M362&amp;N($N362))</f>
        <v/>
      </c>
      <c r="BA362" s="49">
        <f>IF(OR($A362="",$K362=""),"",$K362*12+N($L362))</f>
        <v/>
      </c>
      <c r="BB362" s="49">
        <f>IF(OR($A362="",$M362=""),"",$M362*12+N($N362))</f>
        <v/>
      </c>
      <c r="BC362" s="49">
        <f>IF($A362="","",IF(OR($C362="FRAME ONLY",$S362="BL"),0,IF($O362="Y",2,1)))</f>
        <v/>
      </c>
      <c r="BD362" s="51">
        <f>IF(OR(N($BC362)=0,$BA362=""),"",($BA362-2*EdgeClr-IF($BC362=2,MeetClr,0))/$BC362)</f>
        <v/>
      </c>
      <c r="BE362" s="51">
        <f>IF(OR(N($BC362)=0,$BB362=""),"",$BB362-HeadClr-Undercut)</f>
        <v/>
      </c>
      <c r="BF362" s="51">
        <f>IF($BA362="","",$BA362+2*FaceW+IF(N($Q362)&gt;0,($Q362+FaceW)*IF($R362="LR",2,1),0))</f>
        <v/>
      </c>
      <c r="BG362" s="51">
        <f>IF($BB362="","",$BB362+IF($AB362="Y",4,FaceW)+IF(N($P362)&gt;0,$P362+FaceW,0)+IF(OR($S362="4F",$S362="BL"),FaceW,0))</f>
        <v/>
      </c>
      <c r="BH362" s="51">
        <f>IF($BF362="","",$BF362+2*ROSide)</f>
        <v/>
      </c>
      <c r="BI362" s="51">
        <f>IF($BG362="","",$BG362+ROTop)</f>
        <v/>
      </c>
      <c r="BJ362" s="52">
        <f>IF(OR(N($BC362)=0,$BA362=""),"",$BA362/$BC362-ClearDeduct)</f>
        <v/>
      </c>
      <c r="BK362" s="49">
        <f>IF(OR(N($BC362)=0,$BE362=""),"",IF(OR($AC362="HGC",$AP362="HGC"),"CONT",IF($BE362&lt;=60,2,IF($BE362&lt;=90,3,IF($BE362&lt;=120,4,5)))))</f>
        <v/>
      </c>
      <c r="BL362" s="49">
        <f>IF(N($BC362)=0,"",IF(OR($AL362="",$AL362="FLUSH"),"FLUSH",IFERROR(LEFT($AL362,FIND("-",$AL362)-1),LEFT($AL362,2))))</f>
        <v/>
      </c>
      <c r="BM362" s="49">
        <f>IF($BL362="","",IFERROR(VALUE(MID($AL362,FIND("-",$AL362)+1,FIND(CHAR(34)&amp;"x",$AL362)-FIND("-",$AL362)-1)),0))</f>
        <v/>
      </c>
      <c r="BN362" s="49">
        <f>IF($BL362="","",IFERROR(VALUE(MID($AL362,FIND(CHAR(34)&amp;"x",$AL362)+2,FIND(CHAR(34),$AL362,FIND(CHAR(34)&amp;"x",$AL362)+2)-FIND(CHAR(34)&amp;"x",$AL362)-2)),0))</f>
        <v/>
      </c>
      <c r="BO362" s="53">
        <f>IF(OR($A362="",$H362="",$H362="NO LAB"),0,IFERROR(VALUE(LEFT($H362,FIND(" ",$H362)-1)),0))</f>
        <v/>
      </c>
      <c r="BP362" s="54">
        <f>IF(OR($A362="",$I362="",$I362="NON-RATED",N($J362)=0),"",IFERROR(VLOOKUP($I362&amp;"|"&amp;$J362,IBC,2,FALSE),"?"))</f>
        <v/>
      </c>
      <c r="BQ362" s="50">
        <f>IF(NOT(AND($A362&lt;&gt;"",$C362&lt;&gt;"DOOR ONLY")),"",TRIM(IFERROR(VLOOKUP($U362,CODES,2,FALSE),"")&amp;" "&amp;$AZ362&amp;" "&amp;IFERROR(VLOOKUP($Z362,CODES,2,FALSE),"")&amp;" "&amp;IFERROR(VLOOKUP($X362,CODES,2,FALSE),"")&amp;" "&amp;IFERROR(VLOOKUP($S362,CODES,2,FALSE),"")&amp;IF(N($P362)&gt;0," w/TRANSOM "&amp;$P362&amp;CHAR(34),"")&amp;IF(N($Q362)&gt;0," w/SIDELITE "&amp;$Q362&amp;CHAR(34)&amp;" "&amp;IF($R362="","R",$R362),"")&amp;IF($Y362="","  |  "," | "&amp;IFERROR(VLOOKUP($Y362,CODES,2,FALSE),"")&amp;" | ")&amp;IFERROR(VLOOKUP($AC362,CODES,2,FALSE),"")&amp;" "&amp;IFERROR(VLOOKUP($AD362,CODES,2,FALSE),"")&amp;IF(OR($AE362="",$AE362="-"),""," "&amp;$AE362)&amp;IF(OR($AF362="",$AF362="-"),""," "&amp;$AF362)&amp;IF($AB362="Y"," 4"&amp;CHAR(34)&amp;" HEAD","")&amp;" "&amp;IFERROR(VLOOKUP($H362,CODES,2,FALSE),"")))</f>
        <v/>
      </c>
      <c r="BR362" s="50">
        <f>IF(NOT(AND($A362&lt;&gt;"",N($BC362)&gt;0)),"",TRIM(IFERROR(VLOOKUP($AH362,CODES,2,FALSE),"")&amp;IF($AI362=""," "," "&amp;$AI362&amp;"GA ")&amp;$AZ362&amp;" "&amp;IF($AN362="",IFERROR(VLOOKUP($Z362,CODES,2,FALSE),""),IFERROR(VLOOKUP($AN362,CODES,2,FALSE),""))&amp;IF($BC362=2," PAIR","")&amp;" DOOR | "&amp;IF($AL362="","?",$AL362)&amp;" | "&amp;IF($AP362="",IFERROR(VLOOKUP($AC362,CODES,2,FALSE),""),IFERROR(VLOOKUP($AP362,CODES,2,FALSE),""))&amp;" "&amp;IFERROR(VLOOKUP($AQ362,CODES,2,FALSE),"")&amp;IF(OR($AR362="",$AR362="-"),""," SEAM "&amp;$AR362)&amp;IF($AS362="Y"," ASTRAGAL","")&amp;IF($AJ362=""," "," "&amp;$AJ362)&amp;IF($AK362=""," "," "&amp;$AK362)&amp;IF($AO362="",""," "&amp;$AO362)&amp;IF($AM362=""," "," SERIES "&amp;$AM362)&amp;" "&amp;IFERROR(VLOOKUP($H362,CODES,2,FALSE),"")))</f>
        <v/>
      </c>
      <c r="BS362" s="49">
        <f>IF(BV362="","",IF(COUNTIF($BV$6:BV362,BV362)=1,MAX($BS$5:BS361)+1,INDEX($BS$5:BS361,MATCH(BV362,$BV$5:BV361,0))))</f>
        <v/>
      </c>
      <c r="BT362" s="49">
        <f>IF(NOT(AND($A362&lt;&gt;"",$C362&lt;&gt;"DOOR ONLY")),"",MAX($BT$5:BT361)+1)</f>
        <v/>
      </c>
      <c r="BU362" s="49">
        <f>IF(NOT(AND($A362&lt;&gt;"",N($BC362)&gt;0)),"",MAX($BU$5:BU361)+1)</f>
        <v/>
      </c>
      <c r="BV362" s="49">
        <f>IF(OR($A362="",$BA362="",$BB362=""),"",$AZ362&amp;"|"&amp;$O362&amp;"|"&amp;$AL362&amp;"|"&amp;$S362&amp;"|"&amp;$P362&amp;"|"&amp;$Q362&amp;$R362&amp;"|"&amp;$C362&amp;"|"&amp;$AB362)</f>
        <v/>
      </c>
      <c r="BW362" s="49">
        <f>IF($A362="","",IF($B362="","qty, ","")&amp;IF($C362="","scope, ","")&amp;IF(OR($K362="",$M362=""),"size, ","")&amp;IF(AND($A362&lt;&gt;"",$C362&lt;&gt;"DOOR ONLY"),IF($U362="","jamb depth, ","")&amp;IF($X362="","construction, ","")&amp;IF($Y362="","anchor, ","")&amp;IF($S362="","frame type, ",""),"")&amp;IF(AND(N($BC362)&gt;0,$Z362=""),"hand, ","")&amp;IF(N($BC362)&gt;0,IF($AH362="","door material, ","")&amp;IF($AL362="","face type, ","")&amp;IF($AQ362="","lock prep, ","")&amp;IF(AND($AP362="",$AC362=""),"hinge prep, ",""),"")&amp;IF(AND($BO362&gt;0,$AH362="FRP"),"FRP cannot carry a label, ","")&amp;IF(AND($O362="Y",OR($Z362="L",$Z362="R",$Z362="LR",$Z362="RR")),"pair marked but hand is single, ","")&amp;IF(AND($O362&lt;&gt;"Y",OR($Z362="PR",AND(LEN($Z362)&gt;1,ISNUMBER(SEARCH("-",$Z362))))),"pair hand on a single door, ","")&amp;IF(AND(ISNUMBER($BP362),$BO362&lt;N($BP362)),"wall needs a "&amp;$BP362&amp;" min door, ","")&amp;IF(AND($BO362&gt;=180,AND(OR($BL362="FG",$BL362="HG",$BL362="FNV",$BL362="FV"),N($BM362)*N($BN362)&gt;100)),"180 min lite over 100 sq in, ","")&amp;IF(N($BD362)&gt;48,"leaf wider than 4'-0"&amp;CHAR(34)&amp;", ",""))</f>
        <v/>
      </c>
      <c r="BX362" s="49">
        <f>IF($A362="","",IF(AND($BO362&gt;0,AND($A362&lt;&gt;"",$C362&lt;&gt;"DOOR ONLY"),$X362="KD",$E362="EXTERIOR"),"KD label on an exterior opening, ","")&amp;IF(AND($E362="EXTERIOR",OR(AND(AND($A362&lt;&gt;"",$C362&lt;&gt;"DOOR ONLY"),$W362="CR"),AND(N($BC362)&gt;0,$AH362="CR"))),"exterior in CR steel (G9?), ","")&amp;IF(AND(ISNUMBER($BJ362),N($BJ362)&lt;32),"clear width ~"&amp;TEXT($BJ362,"0.0")&amp;CHAR(34)&amp;" under 32"&amp;CHAR(34)&amp;" (ADA), ","")&amp;IF(AND($BO362=90,AND(OR($BL362="FG",$BL362="HG",$BL362="FNV",$BL362="FV"),N($BM362)*N($BN362)&gt;100)),"90 min lite over 100 sq in (stair/exit), ","")&amp;IF(AND($BO362&gt;0,AND($A362&lt;&gt;"",$C362&lt;&gt;"DOOR ONLY"),OR($AF362="",$AF362="-")),"rated: closer reinf.?, ","")&amp;IF(OR($I362="CORRIDOR",$I362="SMOKE BARRIER"),"S label + smoke gasketing, ","")&amp;IF($BP362="?","wall type/hr not in IBC table, ","")&amp;IF(AND(N($BC362)&gt;0,$AU362=""),"no hardware set, ","")&amp;IF(AND($AU362&lt;&gt;"",ISNA(MATCH($AU362,HWSets,0))),"set "&amp;$AU362&amp;" not on Hardware sheet, ","")&amp;IF(N($BE362)&gt;96,"leaf over 8'-0"&amp;CHAR(34)&amp;" - check listing, ",""))</f>
        <v/>
      </c>
    </row>
    <row r="363" ht="15" customHeight="1">
      <c r="A363" s="44" t="n"/>
      <c r="B363" s="45" t="n"/>
      <c r="C363" s="45" t="n"/>
      <c r="D363" s="45" t="n"/>
      <c r="E363" s="45" t="n"/>
      <c r="F363" s="45" t="n"/>
      <c r="G363" s="45" t="n"/>
      <c r="H363" s="45" t="n"/>
      <c r="I363" s="45" t="n"/>
      <c r="J363" s="45" t="n"/>
      <c r="K363" s="45" t="n"/>
      <c r="L363" s="45" t="n"/>
      <c r="M363" s="45" t="n"/>
      <c r="N363" s="45" t="n"/>
      <c r="O363" s="45" t="n"/>
      <c r="P363" s="45" t="n"/>
      <c r="Q363" s="45" t="n"/>
      <c r="R363" s="45" t="n"/>
      <c r="S363" s="46" t="n"/>
      <c r="T363" s="46" t="n"/>
      <c r="U363" s="46" t="n"/>
      <c r="V363" s="46" t="n"/>
      <c r="W363" s="46" t="n"/>
      <c r="X363" s="46" t="n"/>
      <c r="Y363" s="46" t="n"/>
      <c r="Z363" s="46" t="n"/>
      <c r="AA363" s="46" t="n"/>
      <c r="AB363" s="46" t="n"/>
      <c r="AC363" s="46" t="n"/>
      <c r="AD363" s="46" t="n"/>
      <c r="AE363" s="46" t="n"/>
      <c r="AF363" s="46" t="n"/>
      <c r="AG363" s="46" t="n"/>
      <c r="AH363" s="47" t="n"/>
      <c r="AI363" s="47" t="n"/>
      <c r="AJ363" s="47" t="n"/>
      <c r="AK363" s="47" t="n"/>
      <c r="AL363" s="47" t="n"/>
      <c r="AM363" s="47" t="n"/>
      <c r="AN363" s="47" t="n"/>
      <c r="AO363" s="47" t="n"/>
      <c r="AP363" s="47" t="n"/>
      <c r="AQ363" s="47" t="n"/>
      <c r="AR363" s="47" t="n"/>
      <c r="AS363" s="47" t="n"/>
      <c r="AT363" s="47" t="n"/>
      <c r="AU363" s="48" t="n"/>
      <c r="AV363" s="48" t="n"/>
      <c r="AW363" s="49">
        <f>IF($A363="","",IF($BW363&lt;&gt;"","FIX",IF($BX363&lt;&gt;"","CHECK","OK")))</f>
        <v/>
      </c>
      <c r="AX363" s="50">
        <f>IF($A363="","",IF($BW363&lt;&gt;"","FIX: "&amp;LEFT($BW363,LEN($BW363)-2)&amp;IF($BX363&lt;&gt;"","  ·  ",""),"")&amp;IF($BX363&lt;&gt;"","CHECK: "&amp;LEFT($BX363,LEN($BX363)-2),""))</f>
        <v/>
      </c>
      <c r="AY363" s="49">
        <f>IF(OR($A363="",$K363=""),"",$K363&amp;"'-"&amp;N($L363)&amp;CHAR(34)&amp;" x "&amp;$M363&amp;"'-"&amp;N($N363)&amp;CHAR(34))</f>
        <v/>
      </c>
      <c r="AZ363" s="49">
        <f>IF(OR($A363="",$K363=""),"",$K363&amp;N($L363)&amp;$M363&amp;N($N363))</f>
        <v/>
      </c>
      <c r="BA363" s="49">
        <f>IF(OR($A363="",$K363=""),"",$K363*12+N($L363))</f>
        <v/>
      </c>
      <c r="BB363" s="49">
        <f>IF(OR($A363="",$M363=""),"",$M363*12+N($N363))</f>
        <v/>
      </c>
      <c r="BC363" s="49">
        <f>IF($A363="","",IF(OR($C363="FRAME ONLY",$S363="BL"),0,IF($O363="Y",2,1)))</f>
        <v/>
      </c>
      <c r="BD363" s="51">
        <f>IF(OR(N($BC363)=0,$BA363=""),"",($BA363-2*EdgeClr-IF($BC363=2,MeetClr,0))/$BC363)</f>
        <v/>
      </c>
      <c r="BE363" s="51">
        <f>IF(OR(N($BC363)=0,$BB363=""),"",$BB363-HeadClr-Undercut)</f>
        <v/>
      </c>
      <c r="BF363" s="51">
        <f>IF($BA363="","",$BA363+2*FaceW+IF(N($Q363)&gt;0,($Q363+FaceW)*IF($R363="LR",2,1),0))</f>
        <v/>
      </c>
      <c r="BG363" s="51">
        <f>IF($BB363="","",$BB363+IF($AB363="Y",4,FaceW)+IF(N($P363)&gt;0,$P363+FaceW,0)+IF(OR($S363="4F",$S363="BL"),FaceW,0))</f>
        <v/>
      </c>
      <c r="BH363" s="51">
        <f>IF($BF363="","",$BF363+2*ROSide)</f>
        <v/>
      </c>
      <c r="BI363" s="51">
        <f>IF($BG363="","",$BG363+ROTop)</f>
        <v/>
      </c>
      <c r="BJ363" s="52">
        <f>IF(OR(N($BC363)=0,$BA363=""),"",$BA363/$BC363-ClearDeduct)</f>
        <v/>
      </c>
      <c r="BK363" s="49">
        <f>IF(OR(N($BC363)=0,$BE363=""),"",IF(OR($AC363="HGC",$AP363="HGC"),"CONT",IF($BE363&lt;=60,2,IF($BE363&lt;=90,3,IF($BE363&lt;=120,4,5)))))</f>
        <v/>
      </c>
      <c r="BL363" s="49">
        <f>IF(N($BC363)=0,"",IF(OR($AL363="",$AL363="FLUSH"),"FLUSH",IFERROR(LEFT($AL363,FIND("-",$AL363)-1),LEFT($AL363,2))))</f>
        <v/>
      </c>
      <c r="BM363" s="49">
        <f>IF($BL363="","",IFERROR(VALUE(MID($AL363,FIND("-",$AL363)+1,FIND(CHAR(34)&amp;"x",$AL363)-FIND("-",$AL363)-1)),0))</f>
        <v/>
      </c>
      <c r="BN363" s="49">
        <f>IF($BL363="","",IFERROR(VALUE(MID($AL363,FIND(CHAR(34)&amp;"x",$AL363)+2,FIND(CHAR(34),$AL363,FIND(CHAR(34)&amp;"x",$AL363)+2)-FIND(CHAR(34)&amp;"x",$AL363)-2)),0))</f>
        <v/>
      </c>
      <c r="BO363" s="53">
        <f>IF(OR($A363="",$H363="",$H363="NO LAB"),0,IFERROR(VALUE(LEFT($H363,FIND(" ",$H363)-1)),0))</f>
        <v/>
      </c>
      <c r="BP363" s="54">
        <f>IF(OR($A363="",$I363="",$I363="NON-RATED",N($J363)=0),"",IFERROR(VLOOKUP($I363&amp;"|"&amp;$J363,IBC,2,FALSE),"?"))</f>
        <v/>
      </c>
      <c r="BQ363" s="50">
        <f>IF(NOT(AND($A363&lt;&gt;"",$C363&lt;&gt;"DOOR ONLY")),"",TRIM(IFERROR(VLOOKUP($U363,CODES,2,FALSE),"")&amp;" "&amp;$AZ363&amp;" "&amp;IFERROR(VLOOKUP($Z363,CODES,2,FALSE),"")&amp;" "&amp;IFERROR(VLOOKUP($X363,CODES,2,FALSE),"")&amp;" "&amp;IFERROR(VLOOKUP($S363,CODES,2,FALSE),"")&amp;IF(N($P363)&gt;0," w/TRANSOM "&amp;$P363&amp;CHAR(34),"")&amp;IF(N($Q363)&gt;0," w/SIDELITE "&amp;$Q363&amp;CHAR(34)&amp;" "&amp;IF($R363="","R",$R363),"")&amp;IF($Y363="","  |  "," | "&amp;IFERROR(VLOOKUP($Y363,CODES,2,FALSE),"")&amp;" | ")&amp;IFERROR(VLOOKUP($AC363,CODES,2,FALSE),"")&amp;" "&amp;IFERROR(VLOOKUP($AD363,CODES,2,FALSE),"")&amp;IF(OR($AE363="",$AE363="-"),""," "&amp;$AE363)&amp;IF(OR($AF363="",$AF363="-"),""," "&amp;$AF363)&amp;IF($AB363="Y"," 4"&amp;CHAR(34)&amp;" HEAD","")&amp;" "&amp;IFERROR(VLOOKUP($H363,CODES,2,FALSE),"")))</f>
        <v/>
      </c>
      <c r="BR363" s="50">
        <f>IF(NOT(AND($A363&lt;&gt;"",N($BC363)&gt;0)),"",TRIM(IFERROR(VLOOKUP($AH363,CODES,2,FALSE),"")&amp;IF($AI363=""," "," "&amp;$AI363&amp;"GA ")&amp;$AZ363&amp;" "&amp;IF($AN363="",IFERROR(VLOOKUP($Z363,CODES,2,FALSE),""),IFERROR(VLOOKUP($AN363,CODES,2,FALSE),""))&amp;IF($BC363=2," PAIR","")&amp;" DOOR | "&amp;IF($AL363="","?",$AL363)&amp;" | "&amp;IF($AP363="",IFERROR(VLOOKUP($AC363,CODES,2,FALSE),""),IFERROR(VLOOKUP($AP363,CODES,2,FALSE),""))&amp;" "&amp;IFERROR(VLOOKUP($AQ363,CODES,2,FALSE),"")&amp;IF(OR($AR363="",$AR363="-"),""," SEAM "&amp;$AR363)&amp;IF($AS363="Y"," ASTRAGAL","")&amp;IF($AJ363=""," "," "&amp;$AJ363)&amp;IF($AK363=""," "," "&amp;$AK363)&amp;IF($AO363="",""," "&amp;$AO363)&amp;IF($AM363=""," "," SERIES "&amp;$AM363)&amp;" "&amp;IFERROR(VLOOKUP($H363,CODES,2,FALSE),"")))</f>
        <v/>
      </c>
      <c r="BS363" s="49">
        <f>IF(BV363="","",IF(COUNTIF($BV$6:BV363,BV363)=1,MAX($BS$5:BS362)+1,INDEX($BS$5:BS362,MATCH(BV363,$BV$5:BV362,0))))</f>
        <v/>
      </c>
      <c r="BT363" s="49">
        <f>IF(NOT(AND($A363&lt;&gt;"",$C363&lt;&gt;"DOOR ONLY")),"",MAX($BT$5:BT362)+1)</f>
        <v/>
      </c>
      <c r="BU363" s="49">
        <f>IF(NOT(AND($A363&lt;&gt;"",N($BC363)&gt;0)),"",MAX($BU$5:BU362)+1)</f>
        <v/>
      </c>
      <c r="BV363" s="49">
        <f>IF(OR($A363="",$BA363="",$BB363=""),"",$AZ363&amp;"|"&amp;$O363&amp;"|"&amp;$AL363&amp;"|"&amp;$S363&amp;"|"&amp;$P363&amp;"|"&amp;$Q363&amp;$R363&amp;"|"&amp;$C363&amp;"|"&amp;$AB363)</f>
        <v/>
      </c>
      <c r="BW363" s="49">
        <f>IF($A363="","",IF($B363="","qty, ","")&amp;IF($C363="","scope, ","")&amp;IF(OR($K363="",$M363=""),"size, ","")&amp;IF(AND($A363&lt;&gt;"",$C363&lt;&gt;"DOOR ONLY"),IF($U363="","jamb depth, ","")&amp;IF($X363="","construction, ","")&amp;IF($Y363="","anchor, ","")&amp;IF($S363="","frame type, ",""),"")&amp;IF(AND(N($BC363)&gt;0,$Z363=""),"hand, ","")&amp;IF(N($BC363)&gt;0,IF($AH363="","door material, ","")&amp;IF($AL363="","face type, ","")&amp;IF($AQ363="","lock prep, ","")&amp;IF(AND($AP363="",$AC363=""),"hinge prep, ",""),"")&amp;IF(AND($BO363&gt;0,$AH363="FRP"),"FRP cannot carry a label, ","")&amp;IF(AND($O363="Y",OR($Z363="L",$Z363="R",$Z363="LR",$Z363="RR")),"pair marked but hand is single, ","")&amp;IF(AND($O363&lt;&gt;"Y",OR($Z363="PR",AND(LEN($Z363)&gt;1,ISNUMBER(SEARCH("-",$Z363))))),"pair hand on a single door, ","")&amp;IF(AND(ISNUMBER($BP363),$BO363&lt;N($BP363)),"wall needs a "&amp;$BP363&amp;" min door, ","")&amp;IF(AND($BO363&gt;=180,AND(OR($BL363="FG",$BL363="HG",$BL363="FNV",$BL363="FV"),N($BM363)*N($BN363)&gt;100)),"180 min lite over 100 sq in, ","")&amp;IF(N($BD363)&gt;48,"leaf wider than 4'-0"&amp;CHAR(34)&amp;", ",""))</f>
        <v/>
      </c>
      <c r="BX363" s="49">
        <f>IF($A363="","",IF(AND($BO363&gt;0,AND($A363&lt;&gt;"",$C363&lt;&gt;"DOOR ONLY"),$X363="KD",$E363="EXTERIOR"),"KD label on an exterior opening, ","")&amp;IF(AND($E363="EXTERIOR",OR(AND(AND($A363&lt;&gt;"",$C363&lt;&gt;"DOOR ONLY"),$W363="CR"),AND(N($BC363)&gt;0,$AH363="CR"))),"exterior in CR steel (G9?), ","")&amp;IF(AND(ISNUMBER($BJ363),N($BJ363)&lt;32),"clear width ~"&amp;TEXT($BJ363,"0.0")&amp;CHAR(34)&amp;" under 32"&amp;CHAR(34)&amp;" (ADA), ","")&amp;IF(AND($BO363=90,AND(OR($BL363="FG",$BL363="HG",$BL363="FNV",$BL363="FV"),N($BM363)*N($BN363)&gt;100)),"90 min lite over 100 sq in (stair/exit), ","")&amp;IF(AND($BO363&gt;0,AND($A363&lt;&gt;"",$C363&lt;&gt;"DOOR ONLY"),OR($AF363="",$AF363="-")),"rated: closer reinf.?, ","")&amp;IF(OR($I363="CORRIDOR",$I363="SMOKE BARRIER"),"S label + smoke gasketing, ","")&amp;IF($BP363="?","wall type/hr not in IBC table, ","")&amp;IF(AND(N($BC363)&gt;0,$AU363=""),"no hardware set, ","")&amp;IF(AND($AU363&lt;&gt;"",ISNA(MATCH($AU363,HWSets,0))),"set "&amp;$AU363&amp;" not on Hardware sheet, ","")&amp;IF(N($BE363)&gt;96,"leaf over 8'-0"&amp;CHAR(34)&amp;" - check listing, ",""))</f>
        <v/>
      </c>
    </row>
    <row r="364" ht="15" customHeight="1">
      <c r="A364" s="44" t="n"/>
      <c r="B364" s="45" t="n"/>
      <c r="C364" s="45" t="n"/>
      <c r="D364" s="45" t="n"/>
      <c r="E364" s="45" t="n"/>
      <c r="F364" s="45" t="n"/>
      <c r="G364" s="45" t="n"/>
      <c r="H364" s="45" t="n"/>
      <c r="I364" s="45" t="n"/>
      <c r="J364" s="45" t="n"/>
      <c r="K364" s="45" t="n"/>
      <c r="L364" s="45" t="n"/>
      <c r="M364" s="45" t="n"/>
      <c r="N364" s="45" t="n"/>
      <c r="O364" s="45" t="n"/>
      <c r="P364" s="45" t="n"/>
      <c r="Q364" s="45" t="n"/>
      <c r="R364" s="45" t="n"/>
      <c r="S364" s="46" t="n"/>
      <c r="T364" s="46" t="n"/>
      <c r="U364" s="46" t="n"/>
      <c r="V364" s="46" t="n"/>
      <c r="W364" s="46" t="n"/>
      <c r="X364" s="46" t="n"/>
      <c r="Y364" s="46" t="n"/>
      <c r="Z364" s="46" t="n"/>
      <c r="AA364" s="46" t="n"/>
      <c r="AB364" s="46" t="n"/>
      <c r="AC364" s="46" t="n"/>
      <c r="AD364" s="46" t="n"/>
      <c r="AE364" s="46" t="n"/>
      <c r="AF364" s="46" t="n"/>
      <c r="AG364" s="46" t="n"/>
      <c r="AH364" s="47" t="n"/>
      <c r="AI364" s="47" t="n"/>
      <c r="AJ364" s="47" t="n"/>
      <c r="AK364" s="47" t="n"/>
      <c r="AL364" s="47" t="n"/>
      <c r="AM364" s="47" t="n"/>
      <c r="AN364" s="47" t="n"/>
      <c r="AO364" s="47" t="n"/>
      <c r="AP364" s="47" t="n"/>
      <c r="AQ364" s="47" t="n"/>
      <c r="AR364" s="47" t="n"/>
      <c r="AS364" s="47" t="n"/>
      <c r="AT364" s="47" t="n"/>
      <c r="AU364" s="48" t="n"/>
      <c r="AV364" s="48" t="n"/>
      <c r="AW364" s="49">
        <f>IF($A364="","",IF($BW364&lt;&gt;"","FIX",IF($BX364&lt;&gt;"","CHECK","OK")))</f>
        <v/>
      </c>
      <c r="AX364" s="50">
        <f>IF($A364="","",IF($BW364&lt;&gt;"","FIX: "&amp;LEFT($BW364,LEN($BW364)-2)&amp;IF($BX364&lt;&gt;"","  ·  ",""),"")&amp;IF($BX364&lt;&gt;"","CHECK: "&amp;LEFT($BX364,LEN($BX364)-2),""))</f>
        <v/>
      </c>
      <c r="AY364" s="49">
        <f>IF(OR($A364="",$K364=""),"",$K364&amp;"'-"&amp;N($L364)&amp;CHAR(34)&amp;" x "&amp;$M364&amp;"'-"&amp;N($N364)&amp;CHAR(34))</f>
        <v/>
      </c>
      <c r="AZ364" s="49">
        <f>IF(OR($A364="",$K364=""),"",$K364&amp;N($L364)&amp;$M364&amp;N($N364))</f>
        <v/>
      </c>
      <c r="BA364" s="49">
        <f>IF(OR($A364="",$K364=""),"",$K364*12+N($L364))</f>
        <v/>
      </c>
      <c r="BB364" s="49">
        <f>IF(OR($A364="",$M364=""),"",$M364*12+N($N364))</f>
        <v/>
      </c>
      <c r="BC364" s="49">
        <f>IF($A364="","",IF(OR($C364="FRAME ONLY",$S364="BL"),0,IF($O364="Y",2,1)))</f>
        <v/>
      </c>
      <c r="BD364" s="51">
        <f>IF(OR(N($BC364)=0,$BA364=""),"",($BA364-2*EdgeClr-IF($BC364=2,MeetClr,0))/$BC364)</f>
        <v/>
      </c>
      <c r="BE364" s="51">
        <f>IF(OR(N($BC364)=0,$BB364=""),"",$BB364-HeadClr-Undercut)</f>
        <v/>
      </c>
      <c r="BF364" s="51">
        <f>IF($BA364="","",$BA364+2*FaceW+IF(N($Q364)&gt;0,($Q364+FaceW)*IF($R364="LR",2,1),0))</f>
        <v/>
      </c>
      <c r="BG364" s="51">
        <f>IF($BB364="","",$BB364+IF($AB364="Y",4,FaceW)+IF(N($P364)&gt;0,$P364+FaceW,0)+IF(OR($S364="4F",$S364="BL"),FaceW,0))</f>
        <v/>
      </c>
      <c r="BH364" s="51">
        <f>IF($BF364="","",$BF364+2*ROSide)</f>
        <v/>
      </c>
      <c r="BI364" s="51">
        <f>IF($BG364="","",$BG364+ROTop)</f>
        <v/>
      </c>
      <c r="BJ364" s="52">
        <f>IF(OR(N($BC364)=0,$BA364=""),"",$BA364/$BC364-ClearDeduct)</f>
        <v/>
      </c>
      <c r="BK364" s="49">
        <f>IF(OR(N($BC364)=0,$BE364=""),"",IF(OR($AC364="HGC",$AP364="HGC"),"CONT",IF($BE364&lt;=60,2,IF($BE364&lt;=90,3,IF($BE364&lt;=120,4,5)))))</f>
        <v/>
      </c>
      <c r="BL364" s="49">
        <f>IF(N($BC364)=0,"",IF(OR($AL364="",$AL364="FLUSH"),"FLUSH",IFERROR(LEFT($AL364,FIND("-",$AL364)-1),LEFT($AL364,2))))</f>
        <v/>
      </c>
      <c r="BM364" s="49">
        <f>IF($BL364="","",IFERROR(VALUE(MID($AL364,FIND("-",$AL364)+1,FIND(CHAR(34)&amp;"x",$AL364)-FIND("-",$AL364)-1)),0))</f>
        <v/>
      </c>
      <c r="BN364" s="49">
        <f>IF($BL364="","",IFERROR(VALUE(MID($AL364,FIND(CHAR(34)&amp;"x",$AL364)+2,FIND(CHAR(34),$AL364,FIND(CHAR(34)&amp;"x",$AL364)+2)-FIND(CHAR(34)&amp;"x",$AL364)-2)),0))</f>
        <v/>
      </c>
      <c r="BO364" s="53">
        <f>IF(OR($A364="",$H364="",$H364="NO LAB"),0,IFERROR(VALUE(LEFT($H364,FIND(" ",$H364)-1)),0))</f>
        <v/>
      </c>
      <c r="BP364" s="54">
        <f>IF(OR($A364="",$I364="",$I364="NON-RATED",N($J364)=0),"",IFERROR(VLOOKUP($I364&amp;"|"&amp;$J364,IBC,2,FALSE),"?"))</f>
        <v/>
      </c>
      <c r="BQ364" s="50">
        <f>IF(NOT(AND($A364&lt;&gt;"",$C364&lt;&gt;"DOOR ONLY")),"",TRIM(IFERROR(VLOOKUP($U364,CODES,2,FALSE),"")&amp;" "&amp;$AZ364&amp;" "&amp;IFERROR(VLOOKUP($Z364,CODES,2,FALSE),"")&amp;" "&amp;IFERROR(VLOOKUP($X364,CODES,2,FALSE),"")&amp;" "&amp;IFERROR(VLOOKUP($S364,CODES,2,FALSE),"")&amp;IF(N($P364)&gt;0," w/TRANSOM "&amp;$P364&amp;CHAR(34),"")&amp;IF(N($Q364)&gt;0," w/SIDELITE "&amp;$Q364&amp;CHAR(34)&amp;" "&amp;IF($R364="","R",$R364),"")&amp;IF($Y364="","  |  "," | "&amp;IFERROR(VLOOKUP($Y364,CODES,2,FALSE),"")&amp;" | ")&amp;IFERROR(VLOOKUP($AC364,CODES,2,FALSE),"")&amp;" "&amp;IFERROR(VLOOKUP($AD364,CODES,2,FALSE),"")&amp;IF(OR($AE364="",$AE364="-"),""," "&amp;$AE364)&amp;IF(OR($AF364="",$AF364="-"),""," "&amp;$AF364)&amp;IF($AB364="Y"," 4"&amp;CHAR(34)&amp;" HEAD","")&amp;" "&amp;IFERROR(VLOOKUP($H364,CODES,2,FALSE),"")))</f>
        <v/>
      </c>
      <c r="BR364" s="50">
        <f>IF(NOT(AND($A364&lt;&gt;"",N($BC364)&gt;0)),"",TRIM(IFERROR(VLOOKUP($AH364,CODES,2,FALSE),"")&amp;IF($AI364=""," "," "&amp;$AI364&amp;"GA ")&amp;$AZ364&amp;" "&amp;IF($AN364="",IFERROR(VLOOKUP($Z364,CODES,2,FALSE),""),IFERROR(VLOOKUP($AN364,CODES,2,FALSE),""))&amp;IF($BC364=2," PAIR","")&amp;" DOOR | "&amp;IF($AL364="","?",$AL364)&amp;" | "&amp;IF($AP364="",IFERROR(VLOOKUP($AC364,CODES,2,FALSE),""),IFERROR(VLOOKUP($AP364,CODES,2,FALSE),""))&amp;" "&amp;IFERROR(VLOOKUP($AQ364,CODES,2,FALSE),"")&amp;IF(OR($AR364="",$AR364="-"),""," SEAM "&amp;$AR364)&amp;IF($AS364="Y"," ASTRAGAL","")&amp;IF($AJ364=""," "," "&amp;$AJ364)&amp;IF($AK364=""," "," "&amp;$AK364)&amp;IF($AO364="",""," "&amp;$AO364)&amp;IF($AM364=""," "," SERIES "&amp;$AM364)&amp;" "&amp;IFERROR(VLOOKUP($H364,CODES,2,FALSE),"")))</f>
        <v/>
      </c>
      <c r="BS364" s="49">
        <f>IF(BV364="","",IF(COUNTIF($BV$6:BV364,BV364)=1,MAX($BS$5:BS363)+1,INDEX($BS$5:BS363,MATCH(BV364,$BV$5:BV363,0))))</f>
        <v/>
      </c>
      <c r="BT364" s="49">
        <f>IF(NOT(AND($A364&lt;&gt;"",$C364&lt;&gt;"DOOR ONLY")),"",MAX($BT$5:BT363)+1)</f>
        <v/>
      </c>
      <c r="BU364" s="49">
        <f>IF(NOT(AND($A364&lt;&gt;"",N($BC364)&gt;0)),"",MAX($BU$5:BU363)+1)</f>
        <v/>
      </c>
      <c r="BV364" s="49">
        <f>IF(OR($A364="",$BA364="",$BB364=""),"",$AZ364&amp;"|"&amp;$O364&amp;"|"&amp;$AL364&amp;"|"&amp;$S364&amp;"|"&amp;$P364&amp;"|"&amp;$Q364&amp;$R364&amp;"|"&amp;$C364&amp;"|"&amp;$AB364)</f>
        <v/>
      </c>
      <c r="BW364" s="49">
        <f>IF($A364="","",IF($B364="","qty, ","")&amp;IF($C364="","scope, ","")&amp;IF(OR($K364="",$M364=""),"size, ","")&amp;IF(AND($A364&lt;&gt;"",$C364&lt;&gt;"DOOR ONLY"),IF($U364="","jamb depth, ","")&amp;IF($X364="","construction, ","")&amp;IF($Y364="","anchor, ","")&amp;IF($S364="","frame type, ",""),"")&amp;IF(AND(N($BC364)&gt;0,$Z364=""),"hand, ","")&amp;IF(N($BC364)&gt;0,IF($AH364="","door material, ","")&amp;IF($AL364="","face type, ","")&amp;IF($AQ364="","lock prep, ","")&amp;IF(AND($AP364="",$AC364=""),"hinge prep, ",""),"")&amp;IF(AND($BO364&gt;0,$AH364="FRP"),"FRP cannot carry a label, ","")&amp;IF(AND($O364="Y",OR($Z364="L",$Z364="R",$Z364="LR",$Z364="RR")),"pair marked but hand is single, ","")&amp;IF(AND($O364&lt;&gt;"Y",OR($Z364="PR",AND(LEN($Z364)&gt;1,ISNUMBER(SEARCH("-",$Z364))))),"pair hand on a single door, ","")&amp;IF(AND(ISNUMBER($BP364),$BO364&lt;N($BP364)),"wall needs a "&amp;$BP364&amp;" min door, ","")&amp;IF(AND($BO364&gt;=180,AND(OR($BL364="FG",$BL364="HG",$BL364="FNV",$BL364="FV"),N($BM364)*N($BN364)&gt;100)),"180 min lite over 100 sq in, ","")&amp;IF(N($BD364)&gt;48,"leaf wider than 4'-0"&amp;CHAR(34)&amp;", ",""))</f>
        <v/>
      </c>
      <c r="BX364" s="49">
        <f>IF($A364="","",IF(AND($BO364&gt;0,AND($A364&lt;&gt;"",$C364&lt;&gt;"DOOR ONLY"),$X364="KD",$E364="EXTERIOR"),"KD label on an exterior opening, ","")&amp;IF(AND($E364="EXTERIOR",OR(AND(AND($A364&lt;&gt;"",$C364&lt;&gt;"DOOR ONLY"),$W364="CR"),AND(N($BC364)&gt;0,$AH364="CR"))),"exterior in CR steel (G9?), ","")&amp;IF(AND(ISNUMBER($BJ364),N($BJ364)&lt;32),"clear width ~"&amp;TEXT($BJ364,"0.0")&amp;CHAR(34)&amp;" under 32"&amp;CHAR(34)&amp;" (ADA), ","")&amp;IF(AND($BO364=90,AND(OR($BL364="FG",$BL364="HG",$BL364="FNV",$BL364="FV"),N($BM364)*N($BN364)&gt;100)),"90 min lite over 100 sq in (stair/exit), ","")&amp;IF(AND($BO364&gt;0,AND($A364&lt;&gt;"",$C364&lt;&gt;"DOOR ONLY"),OR($AF364="",$AF364="-")),"rated: closer reinf.?, ","")&amp;IF(OR($I364="CORRIDOR",$I364="SMOKE BARRIER"),"S label + smoke gasketing, ","")&amp;IF($BP364="?","wall type/hr not in IBC table, ","")&amp;IF(AND(N($BC364)&gt;0,$AU364=""),"no hardware set, ","")&amp;IF(AND($AU364&lt;&gt;"",ISNA(MATCH($AU364,HWSets,0))),"set "&amp;$AU364&amp;" not on Hardware sheet, ","")&amp;IF(N($BE364)&gt;96,"leaf over 8'-0"&amp;CHAR(34)&amp;" - check listing, ",""))</f>
        <v/>
      </c>
    </row>
    <row r="365" ht="15" customHeight="1">
      <c r="A365" s="44" t="n"/>
      <c r="B365" s="45" t="n"/>
      <c r="C365" s="45" t="n"/>
      <c r="D365" s="45" t="n"/>
      <c r="E365" s="45" t="n"/>
      <c r="F365" s="45" t="n"/>
      <c r="G365" s="45" t="n"/>
      <c r="H365" s="45" t="n"/>
      <c r="I365" s="45" t="n"/>
      <c r="J365" s="45" t="n"/>
      <c r="K365" s="45" t="n"/>
      <c r="L365" s="45" t="n"/>
      <c r="M365" s="45" t="n"/>
      <c r="N365" s="45" t="n"/>
      <c r="O365" s="45" t="n"/>
      <c r="P365" s="45" t="n"/>
      <c r="Q365" s="45" t="n"/>
      <c r="R365" s="45" t="n"/>
      <c r="S365" s="46" t="n"/>
      <c r="T365" s="46" t="n"/>
      <c r="U365" s="46" t="n"/>
      <c r="V365" s="46" t="n"/>
      <c r="W365" s="46" t="n"/>
      <c r="X365" s="46" t="n"/>
      <c r="Y365" s="46" t="n"/>
      <c r="Z365" s="46" t="n"/>
      <c r="AA365" s="46" t="n"/>
      <c r="AB365" s="46" t="n"/>
      <c r="AC365" s="46" t="n"/>
      <c r="AD365" s="46" t="n"/>
      <c r="AE365" s="46" t="n"/>
      <c r="AF365" s="46" t="n"/>
      <c r="AG365" s="46" t="n"/>
      <c r="AH365" s="47" t="n"/>
      <c r="AI365" s="47" t="n"/>
      <c r="AJ365" s="47" t="n"/>
      <c r="AK365" s="47" t="n"/>
      <c r="AL365" s="47" t="n"/>
      <c r="AM365" s="47" t="n"/>
      <c r="AN365" s="47" t="n"/>
      <c r="AO365" s="47" t="n"/>
      <c r="AP365" s="47" t="n"/>
      <c r="AQ365" s="47" t="n"/>
      <c r="AR365" s="47" t="n"/>
      <c r="AS365" s="47" t="n"/>
      <c r="AT365" s="47" t="n"/>
      <c r="AU365" s="48" t="n"/>
      <c r="AV365" s="48" t="n"/>
      <c r="AW365" s="49">
        <f>IF($A365="","",IF($BW365&lt;&gt;"","FIX",IF($BX365&lt;&gt;"","CHECK","OK")))</f>
        <v/>
      </c>
      <c r="AX365" s="50">
        <f>IF($A365="","",IF($BW365&lt;&gt;"","FIX: "&amp;LEFT($BW365,LEN($BW365)-2)&amp;IF($BX365&lt;&gt;"","  ·  ",""),"")&amp;IF($BX365&lt;&gt;"","CHECK: "&amp;LEFT($BX365,LEN($BX365)-2),""))</f>
        <v/>
      </c>
      <c r="AY365" s="49">
        <f>IF(OR($A365="",$K365=""),"",$K365&amp;"'-"&amp;N($L365)&amp;CHAR(34)&amp;" x "&amp;$M365&amp;"'-"&amp;N($N365)&amp;CHAR(34))</f>
        <v/>
      </c>
      <c r="AZ365" s="49">
        <f>IF(OR($A365="",$K365=""),"",$K365&amp;N($L365)&amp;$M365&amp;N($N365))</f>
        <v/>
      </c>
      <c r="BA365" s="49">
        <f>IF(OR($A365="",$K365=""),"",$K365*12+N($L365))</f>
        <v/>
      </c>
      <c r="BB365" s="49">
        <f>IF(OR($A365="",$M365=""),"",$M365*12+N($N365))</f>
        <v/>
      </c>
      <c r="BC365" s="49">
        <f>IF($A365="","",IF(OR($C365="FRAME ONLY",$S365="BL"),0,IF($O365="Y",2,1)))</f>
        <v/>
      </c>
      <c r="BD365" s="51">
        <f>IF(OR(N($BC365)=0,$BA365=""),"",($BA365-2*EdgeClr-IF($BC365=2,MeetClr,0))/$BC365)</f>
        <v/>
      </c>
      <c r="BE365" s="51">
        <f>IF(OR(N($BC365)=0,$BB365=""),"",$BB365-HeadClr-Undercut)</f>
        <v/>
      </c>
      <c r="BF365" s="51">
        <f>IF($BA365="","",$BA365+2*FaceW+IF(N($Q365)&gt;0,($Q365+FaceW)*IF($R365="LR",2,1),0))</f>
        <v/>
      </c>
      <c r="BG365" s="51">
        <f>IF($BB365="","",$BB365+IF($AB365="Y",4,FaceW)+IF(N($P365)&gt;0,$P365+FaceW,0)+IF(OR($S365="4F",$S365="BL"),FaceW,0))</f>
        <v/>
      </c>
      <c r="BH365" s="51">
        <f>IF($BF365="","",$BF365+2*ROSide)</f>
        <v/>
      </c>
      <c r="BI365" s="51">
        <f>IF($BG365="","",$BG365+ROTop)</f>
        <v/>
      </c>
      <c r="BJ365" s="52">
        <f>IF(OR(N($BC365)=0,$BA365=""),"",$BA365/$BC365-ClearDeduct)</f>
        <v/>
      </c>
      <c r="BK365" s="49">
        <f>IF(OR(N($BC365)=0,$BE365=""),"",IF(OR($AC365="HGC",$AP365="HGC"),"CONT",IF($BE365&lt;=60,2,IF($BE365&lt;=90,3,IF($BE365&lt;=120,4,5)))))</f>
        <v/>
      </c>
      <c r="BL365" s="49">
        <f>IF(N($BC365)=0,"",IF(OR($AL365="",$AL365="FLUSH"),"FLUSH",IFERROR(LEFT($AL365,FIND("-",$AL365)-1),LEFT($AL365,2))))</f>
        <v/>
      </c>
      <c r="BM365" s="49">
        <f>IF($BL365="","",IFERROR(VALUE(MID($AL365,FIND("-",$AL365)+1,FIND(CHAR(34)&amp;"x",$AL365)-FIND("-",$AL365)-1)),0))</f>
        <v/>
      </c>
      <c r="BN365" s="49">
        <f>IF($BL365="","",IFERROR(VALUE(MID($AL365,FIND(CHAR(34)&amp;"x",$AL365)+2,FIND(CHAR(34),$AL365,FIND(CHAR(34)&amp;"x",$AL365)+2)-FIND(CHAR(34)&amp;"x",$AL365)-2)),0))</f>
        <v/>
      </c>
      <c r="BO365" s="53">
        <f>IF(OR($A365="",$H365="",$H365="NO LAB"),0,IFERROR(VALUE(LEFT($H365,FIND(" ",$H365)-1)),0))</f>
        <v/>
      </c>
      <c r="BP365" s="54">
        <f>IF(OR($A365="",$I365="",$I365="NON-RATED",N($J365)=0),"",IFERROR(VLOOKUP($I365&amp;"|"&amp;$J365,IBC,2,FALSE),"?"))</f>
        <v/>
      </c>
      <c r="BQ365" s="50">
        <f>IF(NOT(AND($A365&lt;&gt;"",$C365&lt;&gt;"DOOR ONLY")),"",TRIM(IFERROR(VLOOKUP($U365,CODES,2,FALSE),"")&amp;" "&amp;$AZ365&amp;" "&amp;IFERROR(VLOOKUP($Z365,CODES,2,FALSE),"")&amp;" "&amp;IFERROR(VLOOKUP($X365,CODES,2,FALSE),"")&amp;" "&amp;IFERROR(VLOOKUP($S365,CODES,2,FALSE),"")&amp;IF(N($P365)&gt;0," w/TRANSOM "&amp;$P365&amp;CHAR(34),"")&amp;IF(N($Q365)&gt;0," w/SIDELITE "&amp;$Q365&amp;CHAR(34)&amp;" "&amp;IF($R365="","R",$R365),"")&amp;IF($Y365="","  |  "," | "&amp;IFERROR(VLOOKUP($Y365,CODES,2,FALSE),"")&amp;" | ")&amp;IFERROR(VLOOKUP($AC365,CODES,2,FALSE),"")&amp;" "&amp;IFERROR(VLOOKUP($AD365,CODES,2,FALSE),"")&amp;IF(OR($AE365="",$AE365="-"),""," "&amp;$AE365)&amp;IF(OR($AF365="",$AF365="-"),""," "&amp;$AF365)&amp;IF($AB365="Y"," 4"&amp;CHAR(34)&amp;" HEAD","")&amp;" "&amp;IFERROR(VLOOKUP($H365,CODES,2,FALSE),"")))</f>
        <v/>
      </c>
      <c r="BR365" s="50">
        <f>IF(NOT(AND($A365&lt;&gt;"",N($BC365)&gt;0)),"",TRIM(IFERROR(VLOOKUP($AH365,CODES,2,FALSE),"")&amp;IF($AI365=""," "," "&amp;$AI365&amp;"GA ")&amp;$AZ365&amp;" "&amp;IF($AN365="",IFERROR(VLOOKUP($Z365,CODES,2,FALSE),""),IFERROR(VLOOKUP($AN365,CODES,2,FALSE),""))&amp;IF($BC365=2," PAIR","")&amp;" DOOR | "&amp;IF($AL365="","?",$AL365)&amp;" | "&amp;IF($AP365="",IFERROR(VLOOKUP($AC365,CODES,2,FALSE),""),IFERROR(VLOOKUP($AP365,CODES,2,FALSE),""))&amp;" "&amp;IFERROR(VLOOKUP($AQ365,CODES,2,FALSE),"")&amp;IF(OR($AR365="",$AR365="-"),""," SEAM "&amp;$AR365)&amp;IF($AS365="Y"," ASTRAGAL","")&amp;IF($AJ365=""," "," "&amp;$AJ365)&amp;IF($AK365=""," "," "&amp;$AK365)&amp;IF($AO365="",""," "&amp;$AO365)&amp;IF($AM365=""," "," SERIES "&amp;$AM365)&amp;" "&amp;IFERROR(VLOOKUP($H365,CODES,2,FALSE),"")))</f>
        <v/>
      </c>
      <c r="BS365" s="49">
        <f>IF(BV365="","",IF(COUNTIF($BV$6:BV365,BV365)=1,MAX($BS$5:BS364)+1,INDEX($BS$5:BS364,MATCH(BV365,$BV$5:BV364,0))))</f>
        <v/>
      </c>
      <c r="BT365" s="49">
        <f>IF(NOT(AND($A365&lt;&gt;"",$C365&lt;&gt;"DOOR ONLY")),"",MAX($BT$5:BT364)+1)</f>
        <v/>
      </c>
      <c r="BU365" s="49">
        <f>IF(NOT(AND($A365&lt;&gt;"",N($BC365)&gt;0)),"",MAX($BU$5:BU364)+1)</f>
        <v/>
      </c>
      <c r="BV365" s="49">
        <f>IF(OR($A365="",$BA365="",$BB365=""),"",$AZ365&amp;"|"&amp;$O365&amp;"|"&amp;$AL365&amp;"|"&amp;$S365&amp;"|"&amp;$P365&amp;"|"&amp;$Q365&amp;$R365&amp;"|"&amp;$C365&amp;"|"&amp;$AB365)</f>
        <v/>
      </c>
      <c r="BW365" s="49">
        <f>IF($A365="","",IF($B365="","qty, ","")&amp;IF($C365="","scope, ","")&amp;IF(OR($K365="",$M365=""),"size, ","")&amp;IF(AND($A365&lt;&gt;"",$C365&lt;&gt;"DOOR ONLY"),IF($U365="","jamb depth, ","")&amp;IF($X365="","construction, ","")&amp;IF($Y365="","anchor, ","")&amp;IF($S365="","frame type, ",""),"")&amp;IF(AND(N($BC365)&gt;0,$Z365=""),"hand, ","")&amp;IF(N($BC365)&gt;0,IF($AH365="","door material, ","")&amp;IF($AL365="","face type, ","")&amp;IF($AQ365="","lock prep, ","")&amp;IF(AND($AP365="",$AC365=""),"hinge prep, ",""),"")&amp;IF(AND($BO365&gt;0,$AH365="FRP"),"FRP cannot carry a label, ","")&amp;IF(AND($O365="Y",OR($Z365="L",$Z365="R",$Z365="LR",$Z365="RR")),"pair marked but hand is single, ","")&amp;IF(AND($O365&lt;&gt;"Y",OR($Z365="PR",AND(LEN($Z365)&gt;1,ISNUMBER(SEARCH("-",$Z365))))),"pair hand on a single door, ","")&amp;IF(AND(ISNUMBER($BP365),$BO365&lt;N($BP365)),"wall needs a "&amp;$BP365&amp;" min door, ","")&amp;IF(AND($BO365&gt;=180,AND(OR($BL365="FG",$BL365="HG",$BL365="FNV",$BL365="FV"),N($BM365)*N($BN365)&gt;100)),"180 min lite over 100 sq in, ","")&amp;IF(N($BD365)&gt;48,"leaf wider than 4'-0"&amp;CHAR(34)&amp;", ",""))</f>
        <v/>
      </c>
      <c r="BX365" s="49">
        <f>IF($A365="","",IF(AND($BO365&gt;0,AND($A365&lt;&gt;"",$C365&lt;&gt;"DOOR ONLY"),$X365="KD",$E365="EXTERIOR"),"KD label on an exterior opening, ","")&amp;IF(AND($E365="EXTERIOR",OR(AND(AND($A365&lt;&gt;"",$C365&lt;&gt;"DOOR ONLY"),$W365="CR"),AND(N($BC365)&gt;0,$AH365="CR"))),"exterior in CR steel (G9?), ","")&amp;IF(AND(ISNUMBER($BJ365),N($BJ365)&lt;32),"clear width ~"&amp;TEXT($BJ365,"0.0")&amp;CHAR(34)&amp;" under 32"&amp;CHAR(34)&amp;" (ADA), ","")&amp;IF(AND($BO365=90,AND(OR($BL365="FG",$BL365="HG",$BL365="FNV",$BL365="FV"),N($BM365)*N($BN365)&gt;100)),"90 min lite over 100 sq in (stair/exit), ","")&amp;IF(AND($BO365&gt;0,AND($A365&lt;&gt;"",$C365&lt;&gt;"DOOR ONLY"),OR($AF365="",$AF365="-")),"rated: closer reinf.?, ","")&amp;IF(OR($I365="CORRIDOR",$I365="SMOKE BARRIER"),"S label + smoke gasketing, ","")&amp;IF($BP365="?","wall type/hr not in IBC table, ","")&amp;IF(AND(N($BC365)&gt;0,$AU365=""),"no hardware set, ","")&amp;IF(AND($AU365&lt;&gt;"",ISNA(MATCH($AU365,HWSets,0))),"set "&amp;$AU365&amp;" not on Hardware sheet, ","")&amp;IF(N($BE365)&gt;96,"leaf over 8'-0"&amp;CHAR(34)&amp;" - check listing, ",""))</f>
        <v/>
      </c>
    </row>
    <row r="366" ht="15" customHeight="1">
      <c r="A366" s="44" t="n"/>
      <c r="B366" s="45" t="n"/>
      <c r="C366" s="45" t="n"/>
      <c r="D366" s="45" t="n"/>
      <c r="E366" s="45" t="n"/>
      <c r="F366" s="45" t="n"/>
      <c r="G366" s="45" t="n"/>
      <c r="H366" s="45" t="n"/>
      <c r="I366" s="45" t="n"/>
      <c r="J366" s="45" t="n"/>
      <c r="K366" s="45" t="n"/>
      <c r="L366" s="45" t="n"/>
      <c r="M366" s="45" t="n"/>
      <c r="N366" s="45" t="n"/>
      <c r="O366" s="45" t="n"/>
      <c r="P366" s="45" t="n"/>
      <c r="Q366" s="45" t="n"/>
      <c r="R366" s="45" t="n"/>
      <c r="S366" s="46" t="n"/>
      <c r="T366" s="46" t="n"/>
      <c r="U366" s="46" t="n"/>
      <c r="V366" s="46" t="n"/>
      <c r="W366" s="46" t="n"/>
      <c r="X366" s="46" t="n"/>
      <c r="Y366" s="46" t="n"/>
      <c r="Z366" s="46" t="n"/>
      <c r="AA366" s="46" t="n"/>
      <c r="AB366" s="46" t="n"/>
      <c r="AC366" s="46" t="n"/>
      <c r="AD366" s="46" t="n"/>
      <c r="AE366" s="46" t="n"/>
      <c r="AF366" s="46" t="n"/>
      <c r="AG366" s="46" t="n"/>
      <c r="AH366" s="47" t="n"/>
      <c r="AI366" s="47" t="n"/>
      <c r="AJ366" s="47" t="n"/>
      <c r="AK366" s="47" t="n"/>
      <c r="AL366" s="47" t="n"/>
      <c r="AM366" s="47" t="n"/>
      <c r="AN366" s="47" t="n"/>
      <c r="AO366" s="47" t="n"/>
      <c r="AP366" s="47" t="n"/>
      <c r="AQ366" s="47" t="n"/>
      <c r="AR366" s="47" t="n"/>
      <c r="AS366" s="47" t="n"/>
      <c r="AT366" s="47" t="n"/>
      <c r="AU366" s="48" t="n"/>
      <c r="AV366" s="48" t="n"/>
      <c r="AW366" s="49">
        <f>IF($A366="","",IF($BW366&lt;&gt;"","FIX",IF($BX366&lt;&gt;"","CHECK","OK")))</f>
        <v/>
      </c>
      <c r="AX366" s="50">
        <f>IF($A366="","",IF($BW366&lt;&gt;"","FIX: "&amp;LEFT($BW366,LEN($BW366)-2)&amp;IF($BX366&lt;&gt;"","  ·  ",""),"")&amp;IF($BX366&lt;&gt;"","CHECK: "&amp;LEFT($BX366,LEN($BX366)-2),""))</f>
        <v/>
      </c>
      <c r="AY366" s="49">
        <f>IF(OR($A366="",$K366=""),"",$K366&amp;"'-"&amp;N($L366)&amp;CHAR(34)&amp;" x "&amp;$M366&amp;"'-"&amp;N($N366)&amp;CHAR(34))</f>
        <v/>
      </c>
      <c r="AZ366" s="49">
        <f>IF(OR($A366="",$K366=""),"",$K366&amp;N($L366)&amp;$M366&amp;N($N366))</f>
        <v/>
      </c>
      <c r="BA366" s="49">
        <f>IF(OR($A366="",$K366=""),"",$K366*12+N($L366))</f>
        <v/>
      </c>
      <c r="BB366" s="49">
        <f>IF(OR($A366="",$M366=""),"",$M366*12+N($N366))</f>
        <v/>
      </c>
      <c r="BC366" s="49">
        <f>IF($A366="","",IF(OR($C366="FRAME ONLY",$S366="BL"),0,IF($O366="Y",2,1)))</f>
        <v/>
      </c>
      <c r="BD366" s="51">
        <f>IF(OR(N($BC366)=0,$BA366=""),"",($BA366-2*EdgeClr-IF($BC366=2,MeetClr,0))/$BC366)</f>
        <v/>
      </c>
      <c r="BE366" s="51">
        <f>IF(OR(N($BC366)=0,$BB366=""),"",$BB366-HeadClr-Undercut)</f>
        <v/>
      </c>
      <c r="BF366" s="51">
        <f>IF($BA366="","",$BA366+2*FaceW+IF(N($Q366)&gt;0,($Q366+FaceW)*IF($R366="LR",2,1),0))</f>
        <v/>
      </c>
      <c r="BG366" s="51">
        <f>IF($BB366="","",$BB366+IF($AB366="Y",4,FaceW)+IF(N($P366)&gt;0,$P366+FaceW,0)+IF(OR($S366="4F",$S366="BL"),FaceW,0))</f>
        <v/>
      </c>
      <c r="BH366" s="51">
        <f>IF($BF366="","",$BF366+2*ROSide)</f>
        <v/>
      </c>
      <c r="BI366" s="51">
        <f>IF($BG366="","",$BG366+ROTop)</f>
        <v/>
      </c>
      <c r="BJ366" s="52">
        <f>IF(OR(N($BC366)=0,$BA366=""),"",$BA366/$BC366-ClearDeduct)</f>
        <v/>
      </c>
      <c r="BK366" s="49">
        <f>IF(OR(N($BC366)=0,$BE366=""),"",IF(OR($AC366="HGC",$AP366="HGC"),"CONT",IF($BE366&lt;=60,2,IF($BE366&lt;=90,3,IF($BE366&lt;=120,4,5)))))</f>
        <v/>
      </c>
      <c r="BL366" s="49">
        <f>IF(N($BC366)=0,"",IF(OR($AL366="",$AL366="FLUSH"),"FLUSH",IFERROR(LEFT($AL366,FIND("-",$AL366)-1),LEFT($AL366,2))))</f>
        <v/>
      </c>
      <c r="BM366" s="49">
        <f>IF($BL366="","",IFERROR(VALUE(MID($AL366,FIND("-",$AL366)+1,FIND(CHAR(34)&amp;"x",$AL366)-FIND("-",$AL366)-1)),0))</f>
        <v/>
      </c>
      <c r="BN366" s="49">
        <f>IF($BL366="","",IFERROR(VALUE(MID($AL366,FIND(CHAR(34)&amp;"x",$AL366)+2,FIND(CHAR(34),$AL366,FIND(CHAR(34)&amp;"x",$AL366)+2)-FIND(CHAR(34)&amp;"x",$AL366)-2)),0))</f>
        <v/>
      </c>
      <c r="BO366" s="53">
        <f>IF(OR($A366="",$H366="",$H366="NO LAB"),0,IFERROR(VALUE(LEFT($H366,FIND(" ",$H366)-1)),0))</f>
        <v/>
      </c>
      <c r="BP366" s="54">
        <f>IF(OR($A366="",$I366="",$I366="NON-RATED",N($J366)=0),"",IFERROR(VLOOKUP($I366&amp;"|"&amp;$J366,IBC,2,FALSE),"?"))</f>
        <v/>
      </c>
      <c r="BQ366" s="50">
        <f>IF(NOT(AND($A366&lt;&gt;"",$C366&lt;&gt;"DOOR ONLY")),"",TRIM(IFERROR(VLOOKUP($U366,CODES,2,FALSE),"")&amp;" "&amp;$AZ366&amp;" "&amp;IFERROR(VLOOKUP($Z366,CODES,2,FALSE),"")&amp;" "&amp;IFERROR(VLOOKUP($X366,CODES,2,FALSE),"")&amp;" "&amp;IFERROR(VLOOKUP($S366,CODES,2,FALSE),"")&amp;IF(N($P366)&gt;0," w/TRANSOM "&amp;$P366&amp;CHAR(34),"")&amp;IF(N($Q366)&gt;0," w/SIDELITE "&amp;$Q366&amp;CHAR(34)&amp;" "&amp;IF($R366="","R",$R366),"")&amp;IF($Y366="","  |  "," | "&amp;IFERROR(VLOOKUP($Y366,CODES,2,FALSE),"")&amp;" | ")&amp;IFERROR(VLOOKUP($AC366,CODES,2,FALSE),"")&amp;" "&amp;IFERROR(VLOOKUP($AD366,CODES,2,FALSE),"")&amp;IF(OR($AE366="",$AE366="-"),""," "&amp;$AE366)&amp;IF(OR($AF366="",$AF366="-"),""," "&amp;$AF366)&amp;IF($AB366="Y"," 4"&amp;CHAR(34)&amp;" HEAD","")&amp;" "&amp;IFERROR(VLOOKUP($H366,CODES,2,FALSE),"")))</f>
        <v/>
      </c>
      <c r="BR366" s="50">
        <f>IF(NOT(AND($A366&lt;&gt;"",N($BC366)&gt;0)),"",TRIM(IFERROR(VLOOKUP($AH366,CODES,2,FALSE),"")&amp;IF($AI366=""," "," "&amp;$AI366&amp;"GA ")&amp;$AZ366&amp;" "&amp;IF($AN366="",IFERROR(VLOOKUP($Z366,CODES,2,FALSE),""),IFERROR(VLOOKUP($AN366,CODES,2,FALSE),""))&amp;IF($BC366=2," PAIR","")&amp;" DOOR | "&amp;IF($AL366="","?",$AL366)&amp;" | "&amp;IF($AP366="",IFERROR(VLOOKUP($AC366,CODES,2,FALSE),""),IFERROR(VLOOKUP($AP366,CODES,2,FALSE),""))&amp;" "&amp;IFERROR(VLOOKUP($AQ366,CODES,2,FALSE),"")&amp;IF(OR($AR366="",$AR366="-"),""," SEAM "&amp;$AR366)&amp;IF($AS366="Y"," ASTRAGAL","")&amp;IF($AJ366=""," "," "&amp;$AJ366)&amp;IF($AK366=""," "," "&amp;$AK366)&amp;IF($AO366="",""," "&amp;$AO366)&amp;IF($AM366=""," "," SERIES "&amp;$AM366)&amp;" "&amp;IFERROR(VLOOKUP($H366,CODES,2,FALSE),"")))</f>
        <v/>
      </c>
      <c r="BS366" s="49">
        <f>IF(BV366="","",IF(COUNTIF($BV$6:BV366,BV366)=1,MAX($BS$5:BS365)+1,INDEX($BS$5:BS365,MATCH(BV366,$BV$5:BV365,0))))</f>
        <v/>
      </c>
      <c r="BT366" s="49">
        <f>IF(NOT(AND($A366&lt;&gt;"",$C366&lt;&gt;"DOOR ONLY")),"",MAX($BT$5:BT365)+1)</f>
        <v/>
      </c>
      <c r="BU366" s="49">
        <f>IF(NOT(AND($A366&lt;&gt;"",N($BC366)&gt;0)),"",MAX($BU$5:BU365)+1)</f>
        <v/>
      </c>
      <c r="BV366" s="49">
        <f>IF(OR($A366="",$BA366="",$BB366=""),"",$AZ366&amp;"|"&amp;$O366&amp;"|"&amp;$AL366&amp;"|"&amp;$S366&amp;"|"&amp;$P366&amp;"|"&amp;$Q366&amp;$R366&amp;"|"&amp;$C366&amp;"|"&amp;$AB366)</f>
        <v/>
      </c>
      <c r="BW366" s="49">
        <f>IF($A366="","",IF($B366="","qty, ","")&amp;IF($C366="","scope, ","")&amp;IF(OR($K366="",$M366=""),"size, ","")&amp;IF(AND($A366&lt;&gt;"",$C366&lt;&gt;"DOOR ONLY"),IF($U366="","jamb depth, ","")&amp;IF($X366="","construction, ","")&amp;IF($Y366="","anchor, ","")&amp;IF($S366="","frame type, ",""),"")&amp;IF(AND(N($BC366)&gt;0,$Z366=""),"hand, ","")&amp;IF(N($BC366)&gt;0,IF($AH366="","door material, ","")&amp;IF($AL366="","face type, ","")&amp;IF($AQ366="","lock prep, ","")&amp;IF(AND($AP366="",$AC366=""),"hinge prep, ",""),"")&amp;IF(AND($BO366&gt;0,$AH366="FRP"),"FRP cannot carry a label, ","")&amp;IF(AND($O366="Y",OR($Z366="L",$Z366="R",$Z366="LR",$Z366="RR")),"pair marked but hand is single, ","")&amp;IF(AND($O366&lt;&gt;"Y",OR($Z366="PR",AND(LEN($Z366)&gt;1,ISNUMBER(SEARCH("-",$Z366))))),"pair hand on a single door, ","")&amp;IF(AND(ISNUMBER($BP366),$BO366&lt;N($BP366)),"wall needs a "&amp;$BP366&amp;" min door, ","")&amp;IF(AND($BO366&gt;=180,AND(OR($BL366="FG",$BL366="HG",$BL366="FNV",$BL366="FV"),N($BM366)*N($BN366)&gt;100)),"180 min lite over 100 sq in, ","")&amp;IF(N($BD366)&gt;48,"leaf wider than 4'-0"&amp;CHAR(34)&amp;", ",""))</f>
        <v/>
      </c>
      <c r="BX366" s="49">
        <f>IF($A366="","",IF(AND($BO366&gt;0,AND($A366&lt;&gt;"",$C366&lt;&gt;"DOOR ONLY"),$X366="KD",$E366="EXTERIOR"),"KD label on an exterior opening, ","")&amp;IF(AND($E366="EXTERIOR",OR(AND(AND($A366&lt;&gt;"",$C366&lt;&gt;"DOOR ONLY"),$W366="CR"),AND(N($BC366)&gt;0,$AH366="CR"))),"exterior in CR steel (G9?), ","")&amp;IF(AND(ISNUMBER($BJ366),N($BJ366)&lt;32),"clear width ~"&amp;TEXT($BJ366,"0.0")&amp;CHAR(34)&amp;" under 32"&amp;CHAR(34)&amp;" (ADA), ","")&amp;IF(AND($BO366=90,AND(OR($BL366="FG",$BL366="HG",$BL366="FNV",$BL366="FV"),N($BM366)*N($BN366)&gt;100)),"90 min lite over 100 sq in (stair/exit), ","")&amp;IF(AND($BO366&gt;0,AND($A366&lt;&gt;"",$C366&lt;&gt;"DOOR ONLY"),OR($AF366="",$AF366="-")),"rated: closer reinf.?, ","")&amp;IF(OR($I366="CORRIDOR",$I366="SMOKE BARRIER"),"S label + smoke gasketing, ","")&amp;IF($BP366="?","wall type/hr not in IBC table, ","")&amp;IF(AND(N($BC366)&gt;0,$AU366=""),"no hardware set, ","")&amp;IF(AND($AU366&lt;&gt;"",ISNA(MATCH($AU366,HWSets,0))),"set "&amp;$AU366&amp;" not on Hardware sheet, ","")&amp;IF(N($BE366)&gt;96,"leaf over 8'-0"&amp;CHAR(34)&amp;" - check listing, ",""))</f>
        <v/>
      </c>
    </row>
    <row r="367" ht="15" customHeight="1">
      <c r="A367" s="44" t="n"/>
      <c r="B367" s="45" t="n"/>
      <c r="C367" s="45" t="n"/>
      <c r="D367" s="45" t="n"/>
      <c r="E367" s="45" t="n"/>
      <c r="F367" s="45" t="n"/>
      <c r="G367" s="45" t="n"/>
      <c r="H367" s="45" t="n"/>
      <c r="I367" s="45" t="n"/>
      <c r="J367" s="45" t="n"/>
      <c r="K367" s="45" t="n"/>
      <c r="L367" s="45" t="n"/>
      <c r="M367" s="45" t="n"/>
      <c r="N367" s="45" t="n"/>
      <c r="O367" s="45" t="n"/>
      <c r="P367" s="45" t="n"/>
      <c r="Q367" s="45" t="n"/>
      <c r="R367" s="45" t="n"/>
      <c r="S367" s="46" t="n"/>
      <c r="T367" s="46" t="n"/>
      <c r="U367" s="46" t="n"/>
      <c r="V367" s="46" t="n"/>
      <c r="W367" s="46" t="n"/>
      <c r="X367" s="46" t="n"/>
      <c r="Y367" s="46" t="n"/>
      <c r="Z367" s="46" t="n"/>
      <c r="AA367" s="46" t="n"/>
      <c r="AB367" s="46" t="n"/>
      <c r="AC367" s="46" t="n"/>
      <c r="AD367" s="46" t="n"/>
      <c r="AE367" s="46" t="n"/>
      <c r="AF367" s="46" t="n"/>
      <c r="AG367" s="46" t="n"/>
      <c r="AH367" s="47" t="n"/>
      <c r="AI367" s="47" t="n"/>
      <c r="AJ367" s="47" t="n"/>
      <c r="AK367" s="47" t="n"/>
      <c r="AL367" s="47" t="n"/>
      <c r="AM367" s="47" t="n"/>
      <c r="AN367" s="47" t="n"/>
      <c r="AO367" s="47" t="n"/>
      <c r="AP367" s="47" t="n"/>
      <c r="AQ367" s="47" t="n"/>
      <c r="AR367" s="47" t="n"/>
      <c r="AS367" s="47" t="n"/>
      <c r="AT367" s="47" t="n"/>
      <c r="AU367" s="48" t="n"/>
      <c r="AV367" s="48" t="n"/>
      <c r="AW367" s="49">
        <f>IF($A367="","",IF($BW367&lt;&gt;"","FIX",IF($BX367&lt;&gt;"","CHECK","OK")))</f>
        <v/>
      </c>
      <c r="AX367" s="50">
        <f>IF($A367="","",IF($BW367&lt;&gt;"","FIX: "&amp;LEFT($BW367,LEN($BW367)-2)&amp;IF($BX367&lt;&gt;"","  ·  ",""),"")&amp;IF($BX367&lt;&gt;"","CHECK: "&amp;LEFT($BX367,LEN($BX367)-2),""))</f>
        <v/>
      </c>
      <c r="AY367" s="49">
        <f>IF(OR($A367="",$K367=""),"",$K367&amp;"'-"&amp;N($L367)&amp;CHAR(34)&amp;" x "&amp;$M367&amp;"'-"&amp;N($N367)&amp;CHAR(34))</f>
        <v/>
      </c>
      <c r="AZ367" s="49">
        <f>IF(OR($A367="",$K367=""),"",$K367&amp;N($L367)&amp;$M367&amp;N($N367))</f>
        <v/>
      </c>
      <c r="BA367" s="49">
        <f>IF(OR($A367="",$K367=""),"",$K367*12+N($L367))</f>
        <v/>
      </c>
      <c r="BB367" s="49">
        <f>IF(OR($A367="",$M367=""),"",$M367*12+N($N367))</f>
        <v/>
      </c>
      <c r="BC367" s="49">
        <f>IF($A367="","",IF(OR($C367="FRAME ONLY",$S367="BL"),0,IF($O367="Y",2,1)))</f>
        <v/>
      </c>
      <c r="BD367" s="51">
        <f>IF(OR(N($BC367)=0,$BA367=""),"",($BA367-2*EdgeClr-IF($BC367=2,MeetClr,0))/$BC367)</f>
        <v/>
      </c>
      <c r="BE367" s="51">
        <f>IF(OR(N($BC367)=0,$BB367=""),"",$BB367-HeadClr-Undercut)</f>
        <v/>
      </c>
      <c r="BF367" s="51">
        <f>IF($BA367="","",$BA367+2*FaceW+IF(N($Q367)&gt;0,($Q367+FaceW)*IF($R367="LR",2,1),0))</f>
        <v/>
      </c>
      <c r="BG367" s="51">
        <f>IF($BB367="","",$BB367+IF($AB367="Y",4,FaceW)+IF(N($P367)&gt;0,$P367+FaceW,0)+IF(OR($S367="4F",$S367="BL"),FaceW,0))</f>
        <v/>
      </c>
      <c r="BH367" s="51">
        <f>IF($BF367="","",$BF367+2*ROSide)</f>
        <v/>
      </c>
      <c r="BI367" s="51">
        <f>IF($BG367="","",$BG367+ROTop)</f>
        <v/>
      </c>
      <c r="BJ367" s="52">
        <f>IF(OR(N($BC367)=0,$BA367=""),"",$BA367/$BC367-ClearDeduct)</f>
        <v/>
      </c>
      <c r="BK367" s="49">
        <f>IF(OR(N($BC367)=0,$BE367=""),"",IF(OR($AC367="HGC",$AP367="HGC"),"CONT",IF($BE367&lt;=60,2,IF($BE367&lt;=90,3,IF($BE367&lt;=120,4,5)))))</f>
        <v/>
      </c>
      <c r="BL367" s="49">
        <f>IF(N($BC367)=0,"",IF(OR($AL367="",$AL367="FLUSH"),"FLUSH",IFERROR(LEFT($AL367,FIND("-",$AL367)-1),LEFT($AL367,2))))</f>
        <v/>
      </c>
      <c r="BM367" s="49">
        <f>IF($BL367="","",IFERROR(VALUE(MID($AL367,FIND("-",$AL367)+1,FIND(CHAR(34)&amp;"x",$AL367)-FIND("-",$AL367)-1)),0))</f>
        <v/>
      </c>
      <c r="BN367" s="49">
        <f>IF($BL367="","",IFERROR(VALUE(MID($AL367,FIND(CHAR(34)&amp;"x",$AL367)+2,FIND(CHAR(34),$AL367,FIND(CHAR(34)&amp;"x",$AL367)+2)-FIND(CHAR(34)&amp;"x",$AL367)-2)),0))</f>
        <v/>
      </c>
      <c r="BO367" s="53">
        <f>IF(OR($A367="",$H367="",$H367="NO LAB"),0,IFERROR(VALUE(LEFT($H367,FIND(" ",$H367)-1)),0))</f>
        <v/>
      </c>
      <c r="BP367" s="54">
        <f>IF(OR($A367="",$I367="",$I367="NON-RATED",N($J367)=0),"",IFERROR(VLOOKUP($I367&amp;"|"&amp;$J367,IBC,2,FALSE),"?"))</f>
        <v/>
      </c>
      <c r="BQ367" s="50">
        <f>IF(NOT(AND($A367&lt;&gt;"",$C367&lt;&gt;"DOOR ONLY")),"",TRIM(IFERROR(VLOOKUP($U367,CODES,2,FALSE),"")&amp;" "&amp;$AZ367&amp;" "&amp;IFERROR(VLOOKUP($Z367,CODES,2,FALSE),"")&amp;" "&amp;IFERROR(VLOOKUP($X367,CODES,2,FALSE),"")&amp;" "&amp;IFERROR(VLOOKUP($S367,CODES,2,FALSE),"")&amp;IF(N($P367)&gt;0," w/TRANSOM "&amp;$P367&amp;CHAR(34),"")&amp;IF(N($Q367)&gt;0," w/SIDELITE "&amp;$Q367&amp;CHAR(34)&amp;" "&amp;IF($R367="","R",$R367),"")&amp;IF($Y367="","  |  "," | "&amp;IFERROR(VLOOKUP($Y367,CODES,2,FALSE),"")&amp;" | ")&amp;IFERROR(VLOOKUP($AC367,CODES,2,FALSE),"")&amp;" "&amp;IFERROR(VLOOKUP($AD367,CODES,2,FALSE),"")&amp;IF(OR($AE367="",$AE367="-"),""," "&amp;$AE367)&amp;IF(OR($AF367="",$AF367="-"),""," "&amp;$AF367)&amp;IF($AB367="Y"," 4"&amp;CHAR(34)&amp;" HEAD","")&amp;" "&amp;IFERROR(VLOOKUP($H367,CODES,2,FALSE),"")))</f>
        <v/>
      </c>
      <c r="BR367" s="50">
        <f>IF(NOT(AND($A367&lt;&gt;"",N($BC367)&gt;0)),"",TRIM(IFERROR(VLOOKUP($AH367,CODES,2,FALSE),"")&amp;IF($AI367=""," "," "&amp;$AI367&amp;"GA ")&amp;$AZ367&amp;" "&amp;IF($AN367="",IFERROR(VLOOKUP($Z367,CODES,2,FALSE),""),IFERROR(VLOOKUP($AN367,CODES,2,FALSE),""))&amp;IF($BC367=2," PAIR","")&amp;" DOOR | "&amp;IF($AL367="","?",$AL367)&amp;" | "&amp;IF($AP367="",IFERROR(VLOOKUP($AC367,CODES,2,FALSE),""),IFERROR(VLOOKUP($AP367,CODES,2,FALSE),""))&amp;" "&amp;IFERROR(VLOOKUP($AQ367,CODES,2,FALSE),"")&amp;IF(OR($AR367="",$AR367="-"),""," SEAM "&amp;$AR367)&amp;IF($AS367="Y"," ASTRAGAL","")&amp;IF($AJ367=""," "," "&amp;$AJ367)&amp;IF($AK367=""," "," "&amp;$AK367)&amp;IF($AO367="",""," "&amp;$AO367)&amp;IF($AM367=""," "," SERIES "&amp;$AM367)&amp;" "&amp;IFERROR(VLOOKUP($H367,CODES,2,FALSE),"")))</f>
        <v/>
      </c>
      <c r="BS367" s="49">
        <f>IF(BV367="","",IF(COUNTIF($BV$6:BV367,BV367)=1,MAX($BS$5:BS366)+1,INDEX($BS$5:BS366,MATCH(BV367,$BV$5:BV366,0))))</f>
        <v/>
      </c>
      <c r="BT367" s="49">
        <f>IF(NOT(AND($A367&lt;&gt;"",$C367&lt;&gt;"DOOR ONLY")),"",MAX($BT$5:BT366)+1)</f>
        <v/>
      </c>
      <c r="BU367" s="49">
        <f>IF(NOT(AND($A367&lt;&gt;"",N($BC367)&gt;0)),"",MAX($BU$5:BU366)+1)</f>
        <v/>
      </c>
      <c r="BV367" s="49">
        <f>IF(OR($A367="",$BA367="",$BB367=""),"",$AZ367&amp;"|"&amp;$O367&amp;"|"&amp;$AL367&amp;"|"&amp;$S367&amp;"|"&amp;$P367&amp;"|"&amp;$Q367&amp;$R367&amp;"|"&amp;$C367&amp;"|"&amp;$AB367)</f>
        <v/>
      </c>
      <c r="BW367" s="49">
        <f>IF($A367="","",IF($B367="","qty, ","")&amp;IF($C367="","scope, ","")&amp;IF(OR($K367="",$M367=""),"size, ","")&amp;IF(AND($A367&lt;&gt;"",$C367&lt;&gt;"DOOR ONLY"),IF($U367="","jamb depth, ","")&amp;IF($X367="","construction, ","")&amp;IF($Y367="","anchor, ","")&amp;IF($S367="","frame type, ",""),"")&amp;IF(AND(N($BC367)&gt;0,$Z367=""),"hand, ","")&amp;IF(N($BC367)&gt;0,IF($AH367="","door material, ","")&amp;IF($AL367="","face type, ","")&amp;IF($AQ367="","lock prep, ","")&amp;IF(AND($AP367="",$AC367=""),"hinge prep, ",""),"")&amp;IF(AND($BO367&gt;0,$AH367="FRP"),"FRP cannot carry a label, ","")&amp;IF(AND($O367="Y",OR($Z367="L",$Z367="R",$Z367="LR",$Z367="RR")),"pair marked but hand is single, ","")&amp;IF(AND($O367&lt;&gt;"Y",OR($Z367="PR",AND(LEN($Z367)&gt;1,ISNUMBER(SEARCH("-",$Z367))))),"pair hand on a single door, ","")&amp;IF(AND(ISNUMBER($BP367),$BO367&lt;N($BP367)),"wall needs a "&amp;$BP367&amp;" min door, ","")&amp;IF(AND($BO367&gt;=180,AND(OR($BL367="FG",$BL367="HG",$BL367="FNV",$BL367="FV"),N($BM367)*N($BN367)&gt;100)),"180 min lite over 100 sq in, ","")&amp;IF(N($BD367)&gt;48,"leaf wider than 4'-0"&amp;CHAR(34)&amp;", ",""))</f>
        <v/>
      </c>
      <c r="BX367" s="49">
        <f>IF($A367="","",IF(AND($BO367&gt;0,AND($A367&lt;&gt;"",$C367&lt;&gt;"DOOR ONLY"),$X367="KD",$E367="EXTERIOR"),"KD label on an exterior opening, ","")&amp;IF(AND($E367="EXTERIOR",OR(AND(AND($A367&lt;&gt;"",$C367&lt;&gt;"DOOR ONLY"),$W367="CR"),AND(N($BC367)&gt;0,$AH367="CR"))),"exterior in CR steel (G9?), ","")&amp;IF(AND(ISNUMBER($BJ367),N($BJ367)&lt;32),"clear width ~"&amp;TEXT($BJ367,"0.0")&amp;CHAR(34)&amp;" under 32"&amp;CHAR(34)&amp;" (ADA), ","")&amp;IF(AND($BO367=90,AND(OR($BL367="FG",$BL367="HG",$BL367="FNV",$BL367="FV"),N($BM367)*N($BN367)&gt;100)),"90 min lite over 100 sq in (stair/exit), ","")&amp;IF(AND($BO367&gt;0,AND($A367&lt;&gt;"",$C367&lt;&gt;"DOOR ONLY"),OR($AF367="",$AF367="-")),"rated: closer reinf.?, ","")&amp;IF(OR($I367="CORRIDOR",$I367="SMOKE BARRIER"),"S label + smoke gasketing, ","")&amp;IF($BP367="?","wall type/hr not in IBC table, ","")&amp;IF(AND(N($BC367)&gt;0,$AU367=""),"no hardware set, ","")&amp;IF(AND($AU367&lt;&gt;"",ISNA(MATCH($AU367,HWSets,0))),"set "&amp;$AU367&amp;" not on Hardware sheet, ","")&amp;IF(N($BE367)&gt;96,"leaf over 8'-0"&amp;CHAR(34)&amp;" - check listing, ",""))</f>
        <v/>
      </c>
    </row>
    <row r="368" ht="15" customHeight="1">
      <c r="A368" s="44" t="n"/>
      <c r="B368" s="45" t="n"/>
      <c r="C368" s="45" t="n"/>
      <c r="D368" s="45" t="n"/>
      <c r="E368" s="45" t="n"/>
      <c r="F368" s="45" t="n"/>
      <c r="G368" s="45" t="n"/>
      <c r="H368" s="45" t="n"/>
      <c r="I368" s="45" t="n"/>
      <c r="J368" s="45" t="n"/>
      <c r="K368" s="45" t="n"/>
      <c r="L368" s="45" t="n"/>
      <c r="M368" s="45" t="n"/>
      <c r="N368" s="45" t="n"/>
      <c r="O368" s="45" t="n"/>
      <c r="P368" s="45" t="n"/>
      <c r="Q368" s="45" t="n"/>
      <c r="R368" s="45" t="n"/>
      <c r="S368" s="46" t="n"/>
      <c r="T368" s="46" t="n"/>
      <c r="U368" s="46" t="n"/>
      <c r="V368" s="46" t="n"/>
      <c r="W368" s="46" t="n"/>
      <c r="X368" s="46" t="n"/>
      <c r="Y368" s="46" t="n"/>
      <c r="Z368" s="46" t="n"/>
      <c r="AA368" s="46" t="n"/>
      <c r="AB368" s="46" t="n"/>
      <c r="AC368" s="46" t="n"/>
      <c r="AD368" s="46" t="n"/>
      <c r="AE368" s="46" t="n"/>
      <c r="AF368" s="46" t="n"/>
      <c r="AG368" s="46" t="n"/>
      <c r="AH368" s="47" t="n"/>
      <c r="AI368" s="47" t="n"/>
      <c r="AJ368" s="47" t="n"/>
      <c r="AK368" s="47" t="n"/>
      <c r="AL368" s="47" t="n"/>
      <c r="AM368" s="47" t="n"/>
      <c r="AN368" s="47" t="n"/>
      <c r="AO368" s="47" t="n"/>
      <c r="AP368" s="47" t="n"/>
      <c r="AQ368" s="47" t="n"/>
      <c r="AR368" s="47" t="n"/>
      <c r="AS368" s="47" t="n"/>
      <c r="AT368" s="47" t="n"/>
      <c r="AU368" s="48" t="n"/>
      <c r="AV368" s="48" t="n"/>
      <c r="AW368" s="49">
        <f>IF($A368="","",IF($BW368&lt;&gt;"","FIX",IF($BX368&lt;&gt;"","CHECK","OK")))</f>
        <v/>
      </c>
      <c r="AX368" s="50">
        <f>IF($A368="","",IF($BW368&lt;&gt;"","FIX: "&amp;LEFT($BW368,LEN($BW368)-2)&amp;IF($BX368&lt;&gt;"","  ·  ",""),"")&amp;IF($BX368&lt;&gt;"","CHECK: "&amp;LEFT($BX368,LEN($BX368)-2),""))</f>
        <v/>
      </c>
      <c r="AY368" s="49">
        <f>IF(OR($A368="",$K368=""),"",$K368&amp;"'-"&amp;N($L368)&amp;CHAR(34)&amp;" x "&amp;$M368&amp;"'-"&amp;N($N368)&amp;CHAR(34))</f>
        <v/>
      </c>
      <c r="AZ368" s="49">
        <f>IF(OR($A368="",$K368=""),"",$K368&amp;N($L368)&amp;$M368&amp;N($N368))</f>
        <v/>
      </c>
      <c r="BA368" s="49">
        <f>IF(OR($A368="",$K368=""),"",$K368*12+N($L368))</f>
        <v/>
      </c>
      <c r="BB368" s="49">
        <f>IF(OR($A368="",$M368=""),"",$M368*12+N($N368))</f>
        <v/>
      </c>
      <c r="BC368" s="49">
        <f>IF($A368="","",IF(OR($C368="FRAME ONLY",$S368="BL"),0,IF($O368="Y",2,1)))</f>
        <v/>
      </c>
      <c r="BD368" s="51">
        <f>IF(OR(N($BC368)=0,$BA368=""),"",($BA368-2*EdgeClr-IF($BC368=2,MeetClr,0))/$BC368)</f>
        <v/>
      </c>
      <c r="BE368" s="51">
        <f>IF(OR(N($BC368)=0,$BB368=""),"",$BB368-HeadClr-Undercut)</f>
        <v/>
      </c>
      <c r="BF368" s="51">
        <f>IF($BA368="","",$BA368+2*FaceW+IF(N($Q368)&gt;0,($Q368+FaceW)*IF($R368="LR",2,1),0))</f>
        <v/>
      </c>
      <c r="BG368" s="51">
        <f>IF($BB368="","",$BB368+IF($AB368="Y",4,FaceW)+IF(N($P368)&gt;0,$P368+FaceW,0)+IF(OR($S368="4F",$S368="BL"),FaceW,0))</f>
        <v/>
      </c>
      <c r="BH368" s="51">
        <f>IF($BF368="","",$BF368+2*ROSide)</f>
        <v/>
      </c>
      <c r="BI368" s="51">
        <f>IF($BG368="","",$BG368+ROTop)</f>
        <v/>
      </c>
      <c r="BJ368" s="52">
        <f>IF(OR(N($BC368)=0,$BA368=""),"",$BA368/$BC368-ClearDeduct)</f>
        <v/>
      </c>
      <c r="BK368" s="49">
        <f>IF(OR(N($BC368)=0,$BE368=""),"",IF(OR($AC368="HGC",$AP368="HGC"),"CONT",IF($BE368&lt;=60,2,IF($BE368&lt;=90,3,IF($BE368&lt;=120,4,5)))))</f>
        <v/>
      </c>
      <c r="BL368" s="49">
        <f>IF(N($BC368)=0,"",IF(OR($AL368="",$AL368="FLUSH"),"FLUSH",IFERROR(LEFT($AL368,FIND("-",$AL368)-1),LEFT($AL368,2))))</f>
        <v/>
      </c>
      <c r="BM368" s="49">
        <f>IF($BL368="","",IFERROR(VALUE(MID($AL368,FIND("-",$AL368)+1,FIND(CHAR(34)&amp;"x",$AL368)-FIND("-",$AL368)-1)),0))</f>
        <v/>
      </c>
      <c r="BN368" s="49">
        <f>IF($BL368="","",IFERROR(VALUE(MID($AL368,FIND(CHAR(34)&amp;"x",$AL368)+2,FIND(CHAR(34),$AL368,FIND(CHAR(34)&amp;"x",$AL368)+2)-FIND(CHAR(34)&amp;"x",$AL368)-2)),0))</f>
        <v/>
      </c>
      <c r="BO368" s="53">
        <f>IF(OR($A368="",$H368="",$H368="NO LAB"),0,IFERROR(VALUE(LEFT($H368,FIND(" ",$H368)-1)),0))</f>
        <v/>
      </c>
      <c r="BP368" s="54">
        <f>IF(OR($A368="",$I368="",$I368="NON-RATED",N($J368)=0),"",IFERROR(VLOOKUP($I368&amp;"|"&amp;$J368,IBC,2,FALSE),"?"))</f>
        <v/>
      </c>
      <c r="BQ368" s="50">
        <f>IF(NOT(AND($A368&lt;&gt;"",$C368&lt;&gt;"DOOR ONLY")),"",TRIM(IFERROR(VLOOKUP($U368,CODES,2,FALSE),"")&amp;" "&amp;$AZ368&amp;" "&amp;IFERROR(VLOOKUP($Z368,CODES,2,FALSE),"")&amp;" "&amp;IFERROR(VLOOKUP($X368,CODES,2,FALSE),"")&amp;" "&amp;IFERROR(VLOOKUP($S368,CODES,2,FALSE),"")&amp;IF(N($P368)&gt;0," w/TRANSOM "&amp;$P368&amp;CHAR(34),"")&amp;IF(N($Q368)&gt;0," w/SIDELITE "&amp;$Q368&amp;CHAR(34)&amp;" "&amp;IF($R368="","R",$R368),"")&amp;IF($Y368="","  |  "," | "&amp;IFERROR(VLOOKUP($Y368,CODES,2,FALSE),"")&amp;" | ")&amp;IFERROR(VLOOKUP($AC368,CODES,2,FALSE),"")&amp;" "&amp;IFERROR(VLOOKUP($AD368,CODES,2,FALSE),"")&amp;IF(OR($AE368="",$AE368="-"),""," "&amp;$AE368)&amp;IF(OR($AF368="",$AF368="-"),""," "&amp;$AF368)&amp;IF($AB368="Y"," 4"&amp;CHAR(34)&amp;" HEAD","")&amp;" "&amp;IFERROR(VLOOKUP($H368,CODES,2,FALSE),"")))</f>
        <v/>
      </c>
      <c r="BR368" s="50">
        <f>IF(NOT(AND($A368&lt;&gt;"",N($BC368)&gt;0)),"",TRIM(IFERROR(VLOOKUP($AH368,CODES,2,FALSE),"")&amp;IF($AI368=""," "," "&amp;$AI368&amp;"GA ")&amp;$AZ368&amp;" "&amp;IF($AN368="",IFERROR(VLOOKUP($Z368,CODES,2,FALSE),""),IFERROR(VLOOKUP($AN368,CODES,2,FALSE),""))&amp;IF($BC368=2," PAIR","")&amp;" DOOR | "&amp;IF($AL368="","?",$AL368)&amp;" | "&amp;IF($AP368="",IFERROR(VLOOKUP($AC368,CODES,2,FALSE),""),IFERROR(VLOOKUP($AP368,CODES,2,FALSE),""))&amp;" "&amp;IFERROR(VLOOKUP($AQ368,CODES,2,FALSE),"")&amp;IF(OR($AR368="",$AR368="-"),""," SEAM "&amp;$AR368)&amp;IF($AS368="Y"," ASTRAGAL","")&amp;IF($AJ368=""," "," "&amp;$AJ368)&amp;IF($AK368=""," "," "&amp;$AK368)&amp;IF($AO368="",""," "&amp;$AO368)&amp;IF($AM368=""," "," SERIES "&amp;$AM368)&amp;" "&amp;IFERROR(VLOOKUP($H368,CODES,2,FALSE),"")))</f>
        <v/>
      </c>
      <c r="BS368" s="49">
        <f>IF(BV368="","",IF(COUNTIF($BV$6:BV368,BV368)=1,MAX($BS$5:BS367)+1,INDEX($BS$5:BS367,MATCH(BV368,$BV$5:BV367,0))))</f>
        <v/>
      </c>
      <c r="BT368" s="49">
        <f>IF(NOT(AND($A368&lt;&gt;"",$C368&lt;&gt;"DOOR ONLY")),"",MAX($BT$5:BT367)+1)</f>
        <v/>
      </c>
      <c r="BU368" s="49">
        <f>IF(NOT(AND($A368&lt;&gt;"",N($BC368)&gt;0)),"",MAX($BU$5:BU367)+1)</f>
        <v/>
      </c>
      <c r="BV368" s="49">
        <f>IF(OR($A368="",$BA368="",$BB368=""),"",$AZ368&amp;"|"&amp;$O368&amp;"|"&amp;$AL368&amp;"|"&amp;$S368&amp;"|"&amp;$P368&amp;"|"&amp;$Q368&amp;$R368&amp;"|"&amp;$C368&amp;"|"&amp;$AB368)</f>
        <v/>
      </c>
      <c r="BW368" s="49">
        <f>IF($A368="","",IF($B368="","qty, ","")&amp;IF($C368="","scope, ","")&amp;IF(OR($K368="",$M368=""),"size, ","")&amp;IF(AND($A368&lt;&gt;"",$C368&lt;&gt;"DOOR ONLY"),IF($U368="","jamb depth, ","")&amp;IF($X368="","construction, ","")&amp;IF($Y368="","anchor, ","")&amp;IF($S368="","frame type, ",""),"")&amp;IF(AND(N($BC368)&gt;0,$Z368=""),"hand, ","")&amp;IF(N($BC368)&gt;0,IF($AH368="","door material, ","")&amp;IF($AL368="","face type, ","")&amp;IF($AQ368="","lock prep, ","")&amp;IF(AND($AP368="",$AC368=""),"hinge prep, ",""),"")&amp;IF(AND($BO368&gt;0,$AH368="FRP"),"FRP cannot carry a label, ","")&amp;IF(AND($O368="Y",OR($Z368="L",$Z368="R",$Z368="LR",$Z368="RR")),"pair marked but hand is single, ","")&amp;IF(AND($O368&lt;&gt;"Y",OR($Z368="PR",AND(LEN($Z368)&gt;1,ISNUMBER(SEARCH("-",$Z368))))),"pair hand on a single door, ","")&amp;IF(AND(ISNUMBER($BP368),$BO368&lt;N($BP368)),"wall needs a "&amp;$BP368&amp;" min door, ","")&amp;IF(AND($BO368&gt;=180,AND(OR($BL368="FG",$BL368="HG",$BL368="FNV",$BL368="FV"),N($BM368)*N($BN368)&gt;100)),"180 min lite over 100 sq in, ","")&amp;IF(N($BD368)&gt;48,"leaf wider than 4'-0"&amp;CHAR(34)&amp;", ",""))</f>
        <v/>
      </c>
      <c r="BX368" s="49">
        <f>IF($A368="","",IF(AND($BO368&gt;0,AND($A368&lt;&gt;"",$C368&lt;&gt;"DOOR ONLY"),$X368="KD",$E368="EXTERIOR"),"KD label on an exterior opening, ","")&amp;IF(AND($E368="EXTERIOR",OR(AND(AND($A368&lt;&gt;"",$C368&lt;&gt;"DOOR ONLY"),$W368="CR"),AND(N($BC368)&gt;0,$AH368="CR"))),"exterior in CR steel (G9?), ","")&amp;IF(AND(ISNUMBER($BJ368),N($BJ368)&lt;32),"clear width ~"&amp;TEXT($BJ368,"0.0")&amp;CHAR(34)&amp;" under 32"&amp;CHAR(34)&amp;" (ADA), ","")&amp;IF(AND($BO368=90,AND(OR($BL368="FG",$BL368="HG",$BL368="FNV",$BL368="FV"),N($BM368)*N($BN368)&gt;100)),"90 min lite over 100 sq in (stair/exit), ","")&amp;IF(AND($BO368&gt;0,AND($A368&lt;&gt;"",$C368&lt;&gt;"DOOR ONLY"),OR($AF368="",$AF368="-")),"rated: closer reinf.?, ","")&amp;IF(OR($I368="CORRIDOR",$I368="SMOKE BARRIER"),"S label + smoke gasketing, ","")&amp;IF($BP368="?","wall type/hr not in IBC table, ","")&amp;IF(AND(N($BC368)&gt;0,$AU368=""),"no hardware set, ","")&amp;IF(AND($AU368&lt;&gt;"",ISNA(MATCH($AU368,HWSets,0))),"set "&amp;$AU368&amp;" not on Hardware sheet, ","")&amp;IF(N($BE368)&gt;96,"leaf over 8'-0"&amp;CHAR(34)&amp;" - check listing, ",""))</f>
        <v/>
      </c>
    </row>
    <row r="369" ht="15" customHeight="1">
      <c r="A369" s="44" t="n"/>
      <c r="B369" s="45" t="n"/>
      <c r="C369" s="45" t="n"/>
      <c r="D369" s="45" t="n"/>
      <c r="E369" s="45" t="n"/>
      <c r="F369" s="45" t="n"/>
      <c r="G369" s="45" t="n"/>
      <c r="H369" s="45" t="n"/>
      <c r="I369" s="45" t="n"/>
      <c r="J369" s="45" t="n"/>
      <c r="K369" s="45" t="n"/>
      <c r="L369" s="45" t="n"/>
      <c r="M369" s="45" t="n"/>
      <c r="N369" s="45" t="n"/>
      <c r="O369" s="45" t="n"/>
      <c r="P369" s="45" t="n"/>
      <c r="Q369" s="45" t="n"/>
      <c r="R369" s="45" t="n"/>
      <c r="S369" s="46" t="n"/>
      <c r="T369" s="46" t="n"/>
      <c r="U369" s="46" t="n"/>
      <c r="V369" s="46" t="n"/>
      <c r="W369" s="46" t="n"/>
      <c r="X369" s="46" t="n"/>
      <c r="Y369" s="46" t="n"/>
      <c r="Z369" s="46" t="n"/>
      <c r="AA369" s="46" t="n"/>
      <c r="AB369" s="46" t="n"/>
      <c r="AC369" s="46" t="n"/>
      <c r="AD369" s="46" t="n"/>
      <c r="AE369" s="46" t="n"/>
      <c r="AF369" s="46" t="n"/>
      <c r="AG369" s="46" t="n"/>
      <c r="AH369" s="47" t="n"/>
      <c r="AI369" s="47" t="n"/>
      <c r="AJ369" s="47" t="n"/>
      <c r="AK369" s="47" t="n"/>
      <c r="AL369" s="47" t="n"/>
      <c r="AM369" s="47" t="n"/>
      <c r="AN369" s="47" t="n"/>
      <c r="AO369" s="47" t="n"/>
      <c r="AP369" s="47" t="n"/>
      <c r="AQ369" s="47" t="n"/>
      <c r="AR369" s="47" t="n"/>
      <c r="AS369" s="47" t="n"/>
      <c r="AT369" s="47" t="n"/>
      <c r="AU369" s="48" t="n"/>
      <c r="AV369" s="48" t="n"/>
      <c r="AW369" s="49">
        <f>IF($A369="","",IF($BW369&lt;&gt;"","FIX",IF($BX369&lt;&gt;"","CHECK","OK")))</f>
        <v/>
      </c>
      <c r="AX369" s="50">
        <f>IF($A369="","",IF($BW369&lt;&gt;"","FIX: "&amp;LEFT($BW369,LEN($BW369)-2)&amp;IF($BX369&lt;&gt;"","  ·  ",""),"")&amp;IF($BX369&lt;&gt;"","CHECK: "&amp;LEFT($BX369,LEN($BX369)-2),""))</f>
        <v/>
      </c>
      <c r="AY369" s="49">
        <f>IF(OR($A369="",$K369=""),"",$K369&amp;"'-"&amp;N($L369)&amp;CHAR(34)&amp;" x "&amp;$M369&amp;"'-"&amp;N($N369)&amp;CHAR(34))</f>
        <v/>
      </c>
      <c r="AZ369" s="49">
        <f>IF(OR($A369="",$K369=""),"",$K369&amp;N($L369)&amp;$M369&amp;N($N369))</f>
        <v/>
      </c>
      <c r="BA369" s="49">
        <f>IF(OR($A369="",$K369=""),"",$K369*12+N($L369))</f>
        <v/>
      </c>
      <c r="BB369" s="49">
        <f>IF(OR($A369="",$M369=""),"",$M369*12+N($N369))</f>
        <v/>
      </c>
      <c r="BC369" s="49">
        <f>IF($A369="","",IF(OR($C369="FRAME ONLY",$S369="BL"),0,IF($O369="Y",2,1)))</f>
        <v/>
      </c>
      <c r="BD369" s="51">
        <f>IF(OR(N($BC369)=0,$BA369=""),"",($BA369-2*EdgeClr-IF($BC369=2,MeetClr,0))/$BC369)</f>
        <v/>
      </c>
      <c r="BE369" s="51">
        <f>IF(OR(N($BC369)=0,$BB369=""),"",$BB369-HeadClr-Undercut)</f>
        <v/>
      </c>
      <c r="BF369" s="51">
        <f>IF($BA369="","",$BA369+2*FaceW+IF(N($Q369)&gt;0,($Q369+FaceW)*IF($R369="LR",2,1),0))</f>
        <v/>
      </c>
      <c r="BG369" s="51">
        <f>IF($BB369="","",$BB369+IF($AB369="Y",4,FaceW)+IF(N($P369)&gt;0,$P369+FaceW,0)+IF(OR($S369="4F",$S369="BL"),FaceW,0))</f>
        <v/>
      </c>
      <c r="BH369" s="51">
        <f>IF($BF369="","",$BF369+2*ROSide)</f>
        <v/>
      </c>
      <c r="BI369" s="51">
        <f>IF($BG369="","",$BG369+ROTop)</f>
        <v/>
      </c>
      <c r="BJ369" s="52">
        <f>IF(OR(N($BC369)=0,$BA369=""),"",$BA369/$BC369-ClearDeduct)</f>
        <v/>
      </c>
      <c r="BK369" s="49">
        <f>IF(OR(N($BC369)=0,$BE369=""),"",IF(OR($AC369="HGC",$AP369="HGC"),"CONT",IF($BE369&lt;=60,2,IF($BE369&lt;=90,3,IF($BE369&lt;=120,4,5)))))</f>
        <v/>
      </c>
      <c r="BL369" s="49">
        <f>IF(N($BC369)=0,"",IF(OR($AL369="",$AL369="FLUSH"),"FLUSH",IFERROR(LEFT($AL369,FIND("-",$AL369)-1),LEFT($AL369,2))))</f>
        <v/>
      </c>
      <c r="BM369" s="49">
        <f>IF($BL369="","",IFERROR(VALUE(MID($AL369,FIND("-",$AL369)+1,FIND(CHAR(34)&amp;"x",$AL369)-FIND("-",$AL369)-1)),0))</f>
        <v/>
      </c>
      <c r="BN369" s="49">
        <f>IF($BL369="","",IFERROR(VALUE(MID($AL369,FIND(CHAR(34)&amp;"x",$AL369)+2,FIND(CHAR(34),$AL369,FIND(CHAR(34)&amp;"x",$AL369)+2)-FIND(CHAR(34)&amp;"x",$AL369)-2)),0))</f>
        <v/>
      </c>
      <c r="BO369" s="53">
        <f>IF(OR($A369="",$H369="",$H369="NO LAB"),0,IFERROR(VALUE(LEFT($H369,FIND(" ",$H369)-1)),0))</f>
        <v/>
      </c>
      <c r="BP369" s="54">
        <f>IF(OR($A369="",$I369="",$I369="NON-RATED",N($J369)=0),"",IFERROR(VLOOKUP($I369&amp;"|"&amp;$J369,IBC,2,FALSE),"?"))</f>
        <v/>
      </c>
      <c r="BQ369" s="50">
        <f>IF(NOT(AND($A369&lt;&gt;"",$C369&lt;&gt;"DOOR ONLY")),"",TRIM(IFERROR(VLOOKUP($U369,CODES,2,FALSE),"")&amp;" "&amp;$AZ369&amp;" "&amp;IFERROR(VLOOKUP($Z369,CODES,2,FALSE),"")&amp;" "&amp;IFERROR(VLOOKUP($X369,CODES,2,FALSE),"")&amp;" "&amp;IFERROR(VLOOKUP($S369,CODES,2,FALSE),"")&amp;IF(N($P369)&gt;0," w/TRANSOM "&amp;$P369&amp;CHAR(34),"")&amp;IF(N($Q369)&gt;0," w/SIDELITE "&amp;$Q369&amp;CHAR(34)&amp;" "&amp;IF($R369="","R",$R369),"")&amp;IF($Y369="","  |  "," | "&amp;IFERROR(VLOOKUP($Y369,CODES,2,FALSE),"")&amp;" | ")&amp;IFERROR(VLOOKUP($AC369,CODES,2,FALSE),"")&amp;" "&amp;IFERROR(VLOOKUP($AD369,CODES,2,FALSE),"")&amp;IF(OR($AE369="",$AE369="-"),""," "&amp;$AE369)&amp;IF(OR($AF369="",$AF369="-"),""," "&amp;$AF369)&amp;IF($AB369="Y"," 4"&amp;CHAR(34)&amp;" HEAD","")&amp;" "&amp;IFERROR(VLOOKUP($H369,CODES,2,FALSE),"")))</f>
        <v/>
      </c>
      <c r="BR369" s="50">
        <f>IF(NOT(AND($A369&lt;&gt;"",N($BC369)&gt;0)),"",TRIM(IFERROR(VLOOKUP($AH369,CODES,2,FALSE),"")&amp;IF($AI369=""," "," "&amp;$AI369&amp;"GA ")&amp;$AZ369&amp;" "&amp;IF($AN369="",IFERROR(VLOOKUP($Z369,CODES,2,FALSE),""),IFERROR(VLOOKUP($AN369,CODES,2,FALSE),""))&amp;IF($BC369=2," PAIR","")&amp;" DOOR | "&amp;IF($AL369="","?",$AL369)&amp;" | "&amp;IF($AP369="",IFERROR(VLOOKUP($AC369,CODES,2,FALSE),""),IFERROR(VLOOKUP($AP369,CODES,2,FALSE),""))&amp;" "&amp;IFERROR(VLOOKUP($AQ369,CODES,2,FALSE),"")&amp;IF(OR($AR369="",$AR369="-"),""," SEAM "&amp;$AR369)&amp;IF($AS369="Y"," ASTRAGAL","")&amp;IF($AJ369=""," "," "&amp;$AJ369)&amp;IF($AK369=""," "," "&amp;$AK369)&amp;IF($AO369="",""," "&amp;$AO369)&amp;IF($AM369=""," "," SERIES "&amp;$AM369)&amp;" "&amp;IFERROR(VLOOKUP($H369,CODES,2,FALSE),"")))</f>
        <v/>
      </c>
      <c r="BS369" s="49">
        <f>IF(BV369="","",IF(COUNTIF($BV$6:BV369,BV369)=1,MAX($BS$5:BS368)+1,INDEX($BS$5:BS368,MATCH(BV369,$BV$5:BV368,0))))</f>
        <v/>
      </c>
      <c r="BT369" s="49">
        <f>IF(NOT(AND($A369&lt;&gt;"",$C369&lt;&gt;"DOOR ONLY")),"",MAX($BT$5:BT368)+1)</f>
        <v/>
      </c>
      <c r="BU369" s="49">
        <f>IF(NOT(AND($A369&lt;&gt;"",N($BC369)&gt;0)),"",MAX($BU$5:BU368)+1)</f>
        <v/>
      </c>
      <c r="BV369" s="49">
        <f>IF(OR($A369="",$BA369="",$BB369=""),"",$AZ369&amp;"|"&amp;$O369&amp;"|"&amp;$AL369&amp;"|"&amp;$S369&amp;"|"&amp;$P369&amp;"|"&amp;$Q369&amp;$R369&amp;"|"&amp;$C369&amp;"|"&amp;$AB369)</f>
        <v/>
      </c>
      <c r="BW369" s="49">
        <f>IF($A369="","",IF($B369="","qty, ","")&amp;IF($C369="","scope, ","")&amp;IF(OR($K369="",$M369=""),"size, ","")&amp;IF(AND($A369&lt;&gt;"",$C369&lt;&gt;"DOOR ONLY"),IF($U369="","jamb depth, ","")&amp;IF($X369="","construction, ","")&amp;IF($Y369="","anchor, ","")&amp;IF($S369="","frame type, ",""),"")&amp;IF(AND(N($BC369)&gt;0,$Z369=""),"hand, ","")&amp;IF(N($BC369)&gt;0,IF($AH369="","door material, ","")&amp;IF($AL369="","face type, ","")&amp;IF($AQ369="","lock prep, ","")&amp;IF(AND($AP369="",$AC369=""),"hinge prep, ",""),"")&amp;IF(AND($BO369&gt;0,$AH369="FRP"),"FRP cannot carry a label, ","")&amp;IF(AND($O369="Y",OR($Z369="L",$Z369="R",$Z369="LR",$Z369="RR")),"pair marked but hand is single, ","")&amp;IF(AND($O369&lt;&gt;"Y",OR($Z369="PR",AND(LEN($Z369)&gt;1,ISNUMBER(SEARCH("-",$Z369))))),"pair hand on a single door, ","")&amp;IF(AND(ISNUMBER($BP369),$BO369&lt;N($BP369)),"wall needs a "&amp;$BP369&amp;" min door, ","")&amp;IF(AND($BO369&gt;=180,AND(OR($BL369="FG",$BL369="HG",$BL369="FNV",$BL369="FV"),N($BM369)*N($BN369)&gt;100)),"180 min lite over 100 sq in, ","")&amp;IF(N($BD369)&gt;48,"leaf wider than 4'-0"&amp;CHAR(34)&amp;", ",""))</f>
        <v/>
      </c>
      <c r="BX369" s="49">
        <f>IF($A369="","",IF(AND($BO369&gt;0,AND($A369&lt;&gt;"",$C369&lt;&gt;"DOOR ONLY"),$X369="KD",$E369="EXTERIOR"),"KD label on an exterior opening, ","")&amp;IF(AND($E369="EXTERIOR",OR(AND(AND($A369&lt;&gt;"",$C369&lt;&gt;"DOOR ONLY"),$W369="CR"),AND(N($BC369)&gt;0,$AH369="CR"))),"exterior in CR steel (G9?), ","")&amp;IF(AND(ISNUMBER($BJ369),N($BJ369)&lt;32),"clear width ~"&amp;TEXT($BJ369,"0.0")&amp;CHAR(34)&amp;" under 32"&amp;CHAR(34)&amp;" (ADA), ","")&amp;IF(AND($BO369=90,AND(OR($BL369="FG",$BL369="HG",$BL369="FNV",$BL369="FV"),N($BM369)*N($BN369)&gt;100)),"90 min lite over 100 sq in (stair/exit), ","")&amp;IF(AND($BO369&gt;0,AND($A369&lt;&gt;"",$C369&lt;&gt;"DOOR ONLY"),OR($AF369="",$AF369="-")),"rated: closer reinf.?, ","")&amp;IF(OR($I369="CORRIDOR",$I369="SMOKE BARRIER"),"S label + smoke gasketing, ","")&amp;IF($BP369="?","wall type/hr not in IBC table, ","")&amp;IF(AND(N($BC369)&gt;0,$AU369=""),"no hardware set, ","")&amp;IF(AND($AU369&lt;&gt;"",ISNA(MATCH($AU369,HWSets,0))),"set "&amp;$AU369&amp;" not on Hardware sheet, ","")&amp;IF(N($BE369)&gt;96,"leaf over 8'-0"&amp;CHAR(34)&amp;" - check listing, ",""))</f>
        <v/>
      </c>
    </row>
    <row r="370" ht="15" customHeight="1">
      <c r="A370" s="44" t="n"/>
      <c r="B370" s="45" t="n"/>
      <c r="C370" s="45" t="n"/>
      <c r="D370" s="45" t="n"/>
      <c r="E370" s="45" t="n"/>
      <c r="F370" s="45" t="n"/>
      <c r="G370" s="45" t="n"/>
      <c r="H370" s="45" t="n"/>
      <c r="I370" s="45" t="n"/>
      <c r="J370" s="45" t="n"/>
      <c r="K370" s="45" t="n"/>
      <c r="L370" s="45" t="n"/>
      <c r="M370" s="45" t="n"/>
      <c r="N370" s="45" t="n"/>
      <c r="O370" s="45" t="n"/>
      <c r="P370" s="45" t="n"/>
      <c r="Q370" s="45" t="n"/>
      <c r="R370" s="45" t="n"/>
      <c r="S370" s="46" t="n"/>
      <c r="T370" s="46" t="n"/>
      <c r="U370" s="46" t="n"/>
      <c r="V370" s="46" t="n"/>
      <c r="W370" s="46" t="n"/>
      <c r="X370" s="46" t="n"/>
      <c r="Y370" s="46" t="n"/>
      <c r="Z370" s="46" t="n"/>
      <c r="AA370" s="46" t="n"/>
      <c r="AB370" s="46" t="n"/>
      <c r="AC370" s="46" t="n"/>
      <c r="AD370" s="46" t="n"/>
      <c r="AE370" s="46" t="n"/>
      <c r="AF370" s="46" t="n"/>
      <c r="AG370" s="46" t="n"/>
      <c r="AH370" s="47" t="n"/>
      <c r="AI370" s="47" t="n"/>
      <c r="AJ370" s="47" t="n"/>
      <c r="AK370" s="47" t="n"/>
      <c r="AL370" s="47" t="n"/>
      <c r="AM370" s="47" t="n"/>
      <c r="AN370" s="47" t="n"/>
      <c r="AO370" s="47" t="n"/>
      <c r="AP370" s="47" t="n"/>
      <c r="AQ370" s="47" t="n"/>
      <c r="AR370" s="47" t="n"/>
      <c r="AS370" s="47" t="n"/>
      <c r="AT370" s="47" t="n"/>
      <c r="AU370" s="48" t="n"/>
      <c r="AV370" s="48" t="n"/>
      <c r="AW370" s="49">
        <f>IF($A370="","",IF($BW370&lt;&gt;"","FIX",IF($BX370&lt;&gt;"","CHECK","OK")))</f>
        <v/>
      </c>
      <c r="AX370" s="50">
        <f>IF($A370="","",IF($BW370&lt;&gt;"","FIX: "&amp;LEFT($BW370,LEN($BW370)-2)&amp;IF($BX370&lt;&gt;"","  ·  ",""),"")&amp;IF($BX370&lt;&gt;"","CHECK: "&amp;LEFT($BX370,LEN($BX370)-2),""))</f>
        <v/>
      </c>
      <c r="AY370" s="49">
        <f>IF(OR($A370="",$K370=""),"",$K370&amp;"'-"&amp;N($L370)&amp;CHAR(34)&amp;" x "&amp;$M370&amp;"'-"&amp;N($N370)&amp;CHAR(34))</f>
        <v/>
      </c>
      <c r="AZ370" s="49">
        <f>IF(OR($A370="",$K370=""),"",$K370&amp;N($L370)&amp;$M370&amp;N($N370))</f>
        <v/>
      </c>
      <c r="BA370" s="49">
        <f>IF(OR($A370="",$K370=""),"",$K370*12+N($L370))</f>
        <v/>
      </c>
      <c r="BB370" s="49">
        <f>IF(OR($A370="",$M370=""),"",$M370*12+N($N370))</f>
        <v/>
      </c>
      <c r="BC370" s="49">
        <f>IF($A370="","",IF(OR($C370="FRAME ONLY",$S370="BL"),0,IF($O370="Y",2,1)))</f>
        <v/>
      </c>
      <c r="BD370" s="51">
        <f>IF(OR(N($BC370)=0,$BA370=""),"",($BA370-2*EdgeClr-IF($BC370=2,MeetClr,0))/$BC370)</f>
        <v/>
      </c>
      <c r="BE370" s="51">
        <f>IF(OR(N($BC370)=0,$BB370=""),"",$BB370-HeadClr-Undercut)</f>
        <v/>
      </c>
      <c r="BF370" s="51">
        <f>IF($BA370="","",$BA370+2*FaceW+IF(N($Q370)&gt;0,($Q370+FaceW)*IF($R370="LR",2,1),0))</f>
        <v/>
      </c>
      <c r="BG370" s="51">
        <f>IF($BB370="","",$BB370+IF($AB370="Y",4,FaceW)+IF(N($P370)&gt;0,$P370+FaceW,0)+IF(OR($S370="4F",$S370="BL"),FaceW,0))</f>
        <v/>
      </c>
      <c r="BH370" s="51">
        <f>IF($BF370="","",$BF370+2*ROSide)</f>
        <v/>
      </c>
      <c r="BI370" s="51">
        <f>IF($BG370="","",$BG370+ROTop)</f>
        <v/>
      </c>
      <c r="BJ370" s="52">
        <f>IF(OR(N($BC370)=0,$BA370=""),"",$BA370/$BC370-ClearDeduct)</f>
        <v/>
      </c>
      <c r="BK370" s="49">
        <f>IF(OR(N($BC370)=0,$BE370=""),"",IF(OR($AC370="HGC",$AP370="HGC"),"CONT",IF($BE370&lt;=60,2,IF($BE370&lt;=90,3,IF($BE370&lt;=120,4,5)))))</f>
        <v/>
      </c>
      <c r="BL370" s="49">
        <f>IF(N($BC370)=0,"",IF(OR($AL370="",$AL370="FLUSH"),"FLUSH",IFERROR(LEFT($AL370,FIND("-",$AL370)-1),LEFT($AL370,2))))</f>
        <v/>
      </c>
      <c r="BM370" s="49">
        <f>IF($BL370="","",IFERROR(VALUE(MID($AL370,FIND("-",$AL370)+1,FIND(CHAR(34)&amp;"x",$AL370)-FIND("-",$AL370)-1)),0))</f>
        <v/>
      </c>
      <c r="BN370" s="49">
        <f>IF($BL370="","",IFERROR(VALUE(MID($AL370,FIND(CHAR(34)&amp;"x",$AL370)+2,FIND(CHAR(34),$AL370,FIND(CHAR(34)&amp;"x",$AL370)+2)-FIND(CHAR(34)&amp;"x",$AL370)-2)),0))</f>
        <v/>
      </c>
      <c r="BO370" s="53">
        <f>IF(OR($A370="",$H370="",$H370="NO LAB"),0,IFERROR(VALUE(LEFT($H370,FIND(" ",$H370)-1)),0))</f>
        <v/>
      </c>
      <c r="BP370" s="54">
        <f>IF(OR($A370="",$I370="",$I370="NON-RATED",N($J370)=0),"",IFERROR(VLOOKUP($I370&amp;"|"&amp;$J370,IBC,2,FALSE),"?"))</f>
        <v/>
      </c>
      <c r="BQ370" s="50">
        <f>IF(NOT(AND($A370&lt;&gt;"",$C370&lt;&gt;"DOOR ONLY")),"",TRIM(IFERROR(VLOOKUP($U370,CODES,2,FALSE),"")&amp;" "&amp;$AZ370&amp;" "&amp;IFERROR(VLOOKUP($Z370,CODES,2,FALSE),"")&amp;" "&amp;IFERROR(VLOOKUP($X370,CODES,2,FALSE),"")&amp;" "&amp;IFERROR(VLOOKUP($S370,CODES,2,FALSE),"")&amp;IF(N($P370)&gt;0," w/TRANSOM "&amp;$P370&amp;CHAR(34),"")&amp;IF(N($Q370)&gt;0," w/SIDELITE "&amp;$Q370&amp;CHAR(34)&amp;" "&amp;IF($R370="","R",$R370),"")&amp;IF($Y370="","  |  "," | "&amp;IFERROR(VLOOKUP($Y370,CODES,2,FALSE),"")&amp;" | ")&amp;IFERROR(VLOOKUP($AC370,CODES,2,FALSE),"")&amp;" "&amp;IFERROR(VLOOKUP($AD370,CODES,2,FALSE),"")&amp;IF(OR($AE370="",$AE370="-"),""," "&amp;$AE370)&amp;IF(OR($AF370="",$AF370="-"),""," "&amp;$AF370)&amp;IF($AB370="Y"," 4"&amp;CHAR(34)&amp;" HEAD","")&amp;" "&amp;IFERROR(VLOOKUP($H370,CODES,2,FALSE),"")))</f>
        <v/>
      </c>
      <c r="BR370" s="50">
        <f>IF(NOT(AND($A370&lt;&gt;"",N($BC370)&gt;0)),"",TRIM(IFERROR(VLOOKUP($AH370,CODES,2,FALSE),"")&amp;IF($AI370=""," "," "&amp;$AI370&amp;"GA ")&amp;$AZ370&amp;" "&amp;IF($AN370="",IFERROR(VLOOKUP($Z370,CODES,2,FALSE),""),IFERROR(VLOOKUP($AN370,CODES,2,FALSE),""))&amp;IF($BC370=2," PAIR","")&amp;" DOOR | "&amp;IF($AL370="","?",$AL370)&amp;" | "&amp;IF($AP370="",IFERROR(VLOOKUP($AC370,CODES,2,FALSE),""),IFERROR(VLOOKUP($AP370,CODES,2,FALSE),""))&amp;" "&amp;IFERROR(VLOOKUP($AQ370,CODES,2,FALSE),"")&amp;IF(OR($AR370="",$AR370="-"),""," SEAM "&amp;$AR370)&amp;IF($AS370="Y"," ASTRAGAL","")&amp;IF($AJ370=""," "," "&amp;$AJ370)&amp;IF($AK370=""," "," "&amp;$AK370)&amp;IF($AO370="",""," "&amp;$AO370)&amp;IF($AM370=""," "," SERIES "&amp;$AM370)&amp;" "&amp;IFERROR(VLOOKUP($H370,CODES,2,FALSE),"")))</f>
        <v/>
      </c>
      <c r="BS370" s="49">
        <f>IF(BV370="","",IF(COUNTIF($BV$6:BV370,BV370)=1,MAX($BS$5:BS369)+1,INDEX($BS$5:BS369,MATCH(BV370,$BV$5:BV369,0))))</f>
        <v/>
      </c>
      <c r="BT370" s="49">
        <f>IF(NOT(AND($A370&lt;&gt;"",$C370&lt;&gt;"DOOR ONLY")),"",MAX($BT$5:BT369)+1)</f>
        <v/>
      </c>
      <c r="BU370" s="49">
        <f>IF(NOT(AND($A370&lt;&gt;"",N($BC370)&gt;0)),"",MAX($BU$5:BU369)+1)</f>
        <v/>
      </c>
      <c r="BV370" s="49">
        <f>IF(OR($A370="",$BA370="",$BB370=""),"",$AZ370&amp;"|"&amp;$O370&amp;"|"&amp;$AL370&amp;"|"&amp;$S370&amp;"|"&amp;$P370&amp;"|"&amp;$Q370&amp;$R370&amp;"|"&amp;$C370&amp;"|"&amp;$AB370)</f>
        <v/>
      </c>
      <c r="BW370" s="49">
        <f>IF($A370="","",IF($B370="","qty, ","")&amp;IF($C370="","scope, ","")&amp;IF(OR($K370="",$M370=""),"size, ","")&amp;IF(AND($A370&lt;&gt;"",$C370&lt;&gt;"DOOR ONLY"),IF($U370="","jamb depth, ","")&amp;IF($X370="","construction, ","")&amp;IF($Y370="","anchor, ","")&amp;IF($S370="","frame type, ",""),"")&amp;IF(AND(N($BC370)&gt;0,$Z370=""),"hand, ","")&amp;IF(N($BC370)&gt;0,IF($AH370="","door material, ","")&amp;IF($AL370="","face type, ","")&amp;IF($AQ370="","lock prep, ","")&amp;IF(AND($AP370="",$AC370=""),"hinge prep, ",""),"")&amp;IF(AND($BO370&gt;0,$AH370="FRP"),"FRP cannot carry a label, ","")&amp;IF(AND($O370="Y",OR($Z370="L",$Z370="R",$Z370="LR",$Z370="RR")),"pair marked but hand is single, ","")&amp;IF(AND($O370&lt;&gt;"Y",OR($Z370="PR",AND(LEN($Z370)&gt;1,ISNUMBER(SEARCH("-",$Z370))))),"pair hand on a single door, ","")&amp;IF(AND(ISNUMBER($BP370),$BO370&lt;N($BP370)),"wall needs a "&amp;$BP370&amp;" min door, ","")&amp;IF(AND($BO370&gt;=180,AND(OR($BL370="FG",$BL370="HG",$BL370="FNV",$BL370="FV"),N($BM370)*N($BN370)&gt;100)),"180 min lite over 100 sq in, ","")&amp;IF(N($BD370)&gt;48,"leaf wider than 4'-0"&amp;CHAR(34)&amp;", ",""))</f>
        <v/>
      </c>
      <c r="BX370" s="49">
        <f>IF($A370="","",IF(AND($BO370&gt;0,AND($A370&lt;&gt;"",$C370&lt;&gt;"DOOR ONLY"),$X370="KD",$E370="EXTERIOR"),"KD label on an exterior opening, ","")&amp;IF(AND($E370="EXTERIOR",OR(AND(AND($A370&lt;&gt;"",$C370&lt;&gt;"DOOR ONLY"),$W370="CR"),AND(N($BC370)&gt;0,$AH370="CR"))),"exterior in CR steel (G9?), ","")&amp;IF(AND(ISNUMBER($BJ370),N($BJ370)&lt;32),"clear width ~"&amp;TEXT($BJ370,"0.0")&amp;CHAR(34)&amp;" under 32"&amp;CHAR(34)&amp;" (ADA), ","")&amp;IF(AND($BO370=90,AND(OR($BL370="FG",$BL370="HG",$BL370="FNV",$BL370="FV"),N($BM370)*N($BN370)&gt;100)),"90 min lite over 100 sq in (stair/exit), ","")&amp;IF(AND($BO370&gt;0,AND($A370&lt;&gt;"",$C370&lt;&gt;"DOOR ONLY"),OR($AF370="",$AF370="-")),"rated: closer reinf.?, ","")&amp;IF(OR($I370="CORRIDOR",$I370="SMOKE BARRIER"),"S label + smoke gasketing, ","")&amp;IF($BP370="?","wall type/hr not in IBC table, ","")&amp;IF(AND(N($BC370)&gt;0,$AU370=""),"no hardware set, ","")&amp;IF(AND($AU370&lt;&gt;"",ISNA(MATCH($AU370,HWSets,0))),"set "&amp;$AU370&amp;" not on Hardware sheet, ","")&amp;IF(N($BE370)&gt;96,"leaf over 8'-0"&amp;CHAR(34)&amp;" - check listing, ",""))</f>
        <v/>
      </c>
    </row>
    <row r="371" ht="15" customHeight="1">
      <c r="A371" s="44" t="n"/>
      <c r="B371" s="45" t="n"/>
      <c r="C371" s="45" t="n"/>
      <c r="D371" s="45" t="n"/>
      <c r="E371" s="45" t="n"/>
      <c r="F371" s="45" t="n"/>
      <c r="G371" s="45" t="n"/>
      <c r="H371" s="45" t="n"/>
      <c r="I371" s="45" t="n"/>
      <c r="J371" s="45" t="n"/>
      <c r="K371" s="45" t="n"/>
      <c r="L371" s="45" t="n"/>
      <c r="M371" s="45" t="n"/>
      <c r="N371" s="45" t="n"/>
      <c r="O371" s="45" t="n"/>
      <c r="P371" s="45" t="n"/>
      <c r="Q371" s="45" t="n"/>
      <c r="R371" s="45" t="n"/>
      <c r="S371" s="46" t="n"/>
      <c r="T371" s="46" t="n"/>
      <c r="U371" s="46" t="n"/>
      <c r="V371" s="46" t="n"/>
      <c r="W371" s="46" t="n"/>
      <c r="X371" s="46" t="n"/>
      <c r="Y371" s="46" t="n"/>
      <c r="Z371" s="46" t="n"/>
      <c r="AA371" s="46" t="n"/>
      <c r="AB371" s="46" t="n"/>
      <c r="AC371" s="46" t="n"/>
      <c r="AD371" s="46" t="n"/>
      <c r="AE371" s="46" t="n"/>
      <c r="AF371" s="46" t="n"/>
      <c r="AG371" s="46" t="n"/>
      <c r="AH371" s="47" t="n"/>
      <c r="AI371" s="47" t="n"/>
      <c r="AJ371" s="47" t="n"/>
      <c r="AK371" s="47" t="n"/>
      <c r="AL371" s="47" t="n"/>
      <c r="AM371" s="47" t="n"/>
      <c r="AN371" s="47" t="n"/>
      <c r="AO371" s="47" t="n"/>
      <c r="AP371" s="47" t="n"/>
      <c r="AQ371" s="47" t="n"/>
      <c r="AR371" s="47" t="n"/>
      <c r="AS371" s="47" t="n"/>
      <c r="AT371" s="47" t="n"/>
      <c r="AU371" s="48" t="n"/>
      <c r="AV371" s="48" t="n"/>
      <c r="AW371" s="49">
        <f>IF($A371="","",IF($BW371&lt;&gt;"","FIX",IF($BX371&lt;&gt;"","CHECK","OK")))</f>
        <v/>
      </c>
      <c r="AX371" s="50">
        <f>IF($A371="","",IF($BW371&lt;&gt;"","FIX: "&amp;LEFT($BW371,LEN($BW371)-2)&amp;IF($BX371&lt;&gt;"","  ·  ",""),"")&amp;IF($BX371&lt;&gt;"","CHECK: "&amp;LEFT($BX371,LEN($BX371)-2),""))</f>
        <v/>
      </c>
      <c r="AY371" s="49">
        <f>IF(OR($A371="",$K371=""),"",$K371&amp;"'-"&amp;N($L371)&amp;CHAR(34)&amp;" x "&amp;$M371&amp;"'-"&amp;N($N371)&amp;CHAR(34))</f>
        <v/>
      </c>
      <c r="AZ371" s="49">
        <f>IF(OR($A371="",$K371=""),"",$K371&amp;N($L371)&amp;$M371&amp;N($N371))</f>
        <v/>
      </c>
      <c r="BA371" s="49">
        <f>IF(OR($A371="",$K371=""),"",$K371*12+N($L371))</f>
        <v/>
      </c>
      <c r="BB371" s="49">
        <f>IF(OR($A371="",$M371=""),"",$M371*12+N($N371))</f>
        <v/>
      </c>
      <c r="BC371" s="49">
        <f>IF($A371="","",IF(OR($C371="FRAME ONLY",$S371="BL"),0,IF($O371="Y",2,1)))</f>
        <v/>
      </c>
      <c r="BD371" s="51">
        <f>IF(OR(N($BC371)=0,$BA371=""),"",($BA371-2*EdgeClr-IF($BC371=2,MeetClr,0))/$BC371)</f>
        <v/>
      </c>
      <c r="BE371" s="51">
        <f>IF(OR(N($BC371)=0,$BB371=""),"",$BB371-HeadClr-Undercut)</f>
        <v/>
      </c>
      <c r="BF371" s="51">
        <f>IF($BA371="","",$BA371+2*FaceW+IF(N($Q371)&gt;0,($Q371+FaceW)*IF($R371="LR",2,1),0))</f>
        <v/>
      </c>
      <c r="BG371" s="51">
        <f>IF($BB371="","",$BB371+IF($AB371="Y",4,FaceW)+IF(N($P371)&gt;0,$P371+FaceW,0)+IF(OR($S371="4F",$S371="BL"),FaceW,0))</f>
        <v/>
      </c>
      <c r="BH371" s="51">
        <f>IF($BF371="","",$BF371+2*ROSide)</f>
        <v/>
      </c>
      <c r="BI371" s="51">
        <f>IF($BG371="","",$BG371+ROTop)</f>
        <v/>
      </c>
      <c r="BJ371" s="52">
        <f>IF(OR(N($BC371)=0,$BA371=""),"",$BA371/$BC371-ClearDeduct)</f>
        <v/>
      </c>
      <c r="BK371" s="49">
        <f>IF(OR(N($BC371)=0,$BE371=""),"",IF(OR($AC371="HGC",$AP371="HGC"),"CONT",IF($BE371&lt;=60,2,IF($BE371&lt;=90,3,IF($BE371&lt;=120,4,5)))))</f>
        <v/>
      </c>
      <c r="BL371" s="49">
        <f>IF(N($BC371)=0,"",IF(OR($AL371="",$AL371="FLUSH"),"FLUSH",IFERROR(LEFT($AL371,FIND("-",$AL371)-1),LEFT($AL371,2))))</f>
        <v/>
      </c>
      <c r="BM371" s="49">
        <f>IF($BL371="","",IFERROR(VALUE(MID($AL371,FIND("-",$AL371)+1,FIND(CHAR(34)&amp;"x",$AL371)-FIND("-",$AL371)-1)),0))</f>
        <v/>
      </c>
      <c r="BN371" s="49">
        <f>IF($BL371="","",IFERROR(VALUE(MID($AL371,FIND(CHAR(34)&amp;"x",$AL371)+2,FIND(CHAR(34),$AL371,FIND(CHAR(34)&amp;"x",$AL371)+2)-FIND(CHAR(34)&amp;"x",$AL371)-2)),0))</f>
        <v/>
      </c>
      <c r="BO371" s="53">
        <f>IF(OR($A371="",$H371="",$H371="NO LAB"),0,IFERROR(VALUE(LEFT($H371,FIND(" ",$H371)-1)),0))</f>
        <v/>
      </c>
      <c r="BP371" s="54">
        <f>IF(OR($A371="",$I371="",$I371="NON-RATED",N($J371)=0),"",IFERROR(VLOOKUP($I371&amp;"|"&amp;$J371,IBC,2,FALSE),"?"))</f>
        <v/>
      </c>
      <c r="BQ371" s="50">
        <f>IF(NOT(AND($A371&lt;&gt;"",$C371&lt;&gt;"DOOR ONLY")),"",TRIM(IFERROR(VLOOKUP($U371,CODES,2,FALSE),"")&amp;" "&amp;$AZ371&amp;" "&amp;IFERROR(VLOOKUP($Z371,CODES,2,FALSE),"")&amp;" "&amp;IFERROR(VLOOKUP($X371,CODES,2,FALSE),"")&amp;" "&amp;IFERROR(VLOOKUP($S371,CODES,2,FALSE),"")&amp;IF(N($P371)&gt;0," w/TRANSOM "&amp;$P371&amp;CHAR(34),"")&amp;IF(N($Q371)&gt;0," w/SIDELITE "&amp;$Q371&amp;CHAR(34)&amp;" "&amp;IF($R371="","R",$R371),"")&amp;IF($Y371="","  |  "," | "&amp;IFERROR(VLOOKUP($Y371,CODES,2,FALSE),"")&amp;" | ")&amp;IFERROR(VLOOKUP($AC371,CODES,2,FALSE),"")&amp;" "&amp;IFERROR(VLOOKUP($AD371,CODES,2,FALSE),"")&amp;IF(OR($AE371="",$AE371="-"),""," "&amp;$AE371)&amp;IF(OR($AF371="",$AF371="-"),""," "&amp;$AF371)&amp;IF($AB371="Y"," 4"&amp;CHAR(34)&amp;" HEAD","")&amp;" "&amp;IFERROR(VLOOKUP($H371,CODES,2,FALSE),"")))</f>
        <v/>
      </c>
      <c r="BR371" s="50">
        <f>IF(NOT(AND($A371&lt;&gt;"",N($BC371)&gt;0)),"",TRIM(IFERROR(VLOOKUP($AH371,CODES,2,FALSE),"")&amp;IF($AI371=""," "," "&amp;$AI371&amp;"GA ")&amp;$AZ371&amp;" "&amp;IF($AN371="",IFERROR(VLOOKUP($Z371,CODES,2,FALSE),""),IFERROR(VLOOKUP($AN371,CODES,2,FALSE),""))&amp;IF($BC371=2," PAIR","")&amp;" DOOR | "&amp;IF($AL371="","?",$AL371)&amp;" | "&amp;IF($AP371="",IFERROR(VLOOKUP($AC371,CODES,2,FALSE),""),IFERROR(VLOOKUP($AP371,CODES,2,FALSE),""))&amp;" "&amp;IFERROR(VLOOKUP($AQ371,CODES,2,FALSE),"")&amp;IF(OR($AR371="",$AR371="-"),""," SEAM "&amp;$AR371)&amp;IF($AS371="Y"," ASTRAGAL","")&amp;IF($AJ371=""," "," "&amp;$AJ371)&amp;IF($AK371=""," "," "&amp;$AK371)&amp;IF($AO371="",""," "&amp;$AO371)&amp;IF($AM371=""," "," SERIES "&amp;$AM371)&amp;" "&amp;IFERROR(VLOOKUP($H371,CODES,2,FALSE),"")))</f>
        <v/>
      </c>
      <c r="BS371" s="49">
        <f>IF(BV371="","",IF(COUNTIF($BV$6:BV371,BV371)=1,MAX($BS$5:BS370)+1,INDEX($BS$5:BS370,MATCH(BV371,$BV$5:BV370,0))))</f>
        <v/>
      </c>
      <c r="BT371" s="49">
        <f>IF(NOT(AND($A371&lt;&gt;"",$C371&lt;&gt;"DOOR ONLY")),"",MAX($BT$5:BT370)+1)</f>
        <v/>
      </c>
      <c r="BU371" s="49">
        <f>IF(NOT(AND($A371&lt;&gt;"",N($BC371)&gt;0)),"",MAX($BU$5:BU370)+1)</f>
        <v/>
      </c>
      <c r="BV371" s="49">
        <f>IF(OR($A371="",$BA371="",$BB371=""),"",$AZ371&amp;"|"&amp;$O371&amp;"|"&amp;$AL371&amp;"|"&amp;$S371&amp;"|"&amp;$P371&amp;"|"&amp;$Q371&amp;$R371&amp;"|"&amp;$C371&amp;"|"&amp;$AB371)</f>
        <v/>
      </c>
      <c r="BW371" s="49">
        <f>IF($A371="","",IF($B371="","qty, ","")&amp;IF($C371="","scope, ","")&amp;IF(OR($K371="",$M371=""),"size, ","")&amp;IF(AND($A371&lt;&gt;"",$C371&lt;&gt;"DOOR ONLY"),IF($U371="","jamb depth, ","")&amp;IF($X371="","construction, ","")&amp;IF($Y371="","anchor, ","")&amp;IF($S371="","frame type, ",""),"")&amp;IF(AND(N($BC371)&gt;0,$Z371=""),"hand, ","")&amp;IF(N($BC371)&gt;0,IF($AH371="","door material, ","")&amp;IF($AL371="","face type, ","")&amp;IF($AQ371="","lock prep, ","")&amp;IF(AND($AP371="",$AC371=""),"hinge prep, ",""),"")&amp;IF(AND($BO371&gt;0,$AH371="FRP"),"FRP cannot carry a label, ","")&amp;IF(AND($O371="Y",OR($Z371="L",$Z371="R",$Z371="LR",$Z371="RR")),"pair marked but hand is single, ","")&amp;IF(AND($O371&lt;&gt;"Y",OR($Z371="PR",AND(LEN($Z371)&gt;1,ISNUMBER(SEARCH("-",$Z371))))),"pair hand on a single door, ","")&amp;IF(AND(ISNUMBER($BP371),$BO371&lt;N($BP371)),"wall needs a "&amp;$BP371&amp;" min door, ","")&amp;IF(AND($BO371&gt;=180,AND(OR($BL371="FG",$BL371="HG",$BL371="FNV",$BL371="FV"),N($BM371)*N($BN371)&gt;100)),"180 min lite over 100 sq in, ","")&amp;IF(N($BD371)&gt;48,"leaf wider than 4'-0"&amp;CHAR(34)&amp;", ",""))</f>
        <v/>
      </c>
      <c r="BX371" s="49">
        <f>IF($A371="","",IF(AND($BO371&gt;0,AND($A371&lt;&gt;"",$C371&lt;&gt;"DOOR ONLY"),$X371="KD",$E371="EXTERIOR"),"KD label on an exterior opening, ","")&amp;IF(AND($E371="EXTERIOR",OR(AND(AND($A371&lt;&gt;"",$C371&lt;&gt;"DOOR ONLY"),$W371="CR"),AND(N($BC371)&gt;0,$AH371="CR"))),"exterior in CR steel (G9?), ","")&amp;IF(AND(ISNUMBER($BJ371),N($BJ371)&lt;32),"clear width ~"&amp;TEXT($BJ371,"0.0")&amp;CHAR(34)&amp;" under 32"&amp;CHAR(34)&amp;" (ADA), ","")&amp;IF(AND($BO371=90,AND(OR($BL371="FG",$BL371="HG",$BL371="FNV",$BL371="FV"),N($BM371)*N($BN371)&gt;100)),"90 min lite over 100 sq in (stair/exit), ","")&amp;IF(AND($BO371&gt;0,AND($A371&lt;&gt;"",$C371&lt;&gt;"DOOR ONLY"),OR($AF371="",$AF371="-")),"rated: closer reinf.?, ","")&amp;IF(OR($I371="CORRIDOR",$I371="SMOKE BARRIER"),"S label + smoke gasketing, ","")&amp;IF($BP371="?","wall type/hr not in IBC table, ","")&amp;IF(AND(N($BC371)&gt;0,$AU371=""),"no hardware set, ","")&amp;IF(AND($AU371&lt;&gt;"",ISNA(MATCH($AU371,HWSets,0))),"set "&amp;$AU371&amp;" not on Hardware sheet, ","")&amp;IF(N($BE371)&gt;96,"leaf over 8'-0"&amp;CHAR(34)&amp;" - check listing, ",""))</f>
        <v/>
      </c>
    </row>
    <row r="372" ht="15" customHeight="1">
      <c r="A372" s="44" t="n"/>
      <c r="B372" s="45" t="n"/>
      <c r="C372" s="45" t="n"/>
      <c r="D372" s="45" t="n"/>
      <c r="E372" s="45" t="n"/>
      <c r="F372" s="45" t="n"/>
      <c r="G372" s="45" t="n"/>
      <c r="H372" s="45" t="n"/>
      <c r="I372" s="45" t="n"/>
      <c r="J372" s="45" t="n"/>
      <c r="K372" s="45" t="n"/>
      <c r="L372" s="45" t="n"/>
      <c r="M372" s="45" t="n"/>
      <c r="N372" s="45" t="n"/>
      <c r="O372" s="45" t="n"/>
      <c r="P372" s="45" t="n"/>
      <c r="Q372" s="45" t="n"/>
      <c r="R372" s="45" t="n"/>
      <c r="S372" s="46" t="n"/>
      <c r="T372" s="46" t="n"/>
      <c r="U372" s="46" t="n"/>
      <c r="V372" s="46" t="n"/>
      <c r="W372" s="46" t="n"/>
      <c r="X372" s="46" t="n"/>
      <c r="Y372" s="46" t="n"/>
      <c r="Z372" s="46" t="n"/>
      <c r="AA372" s="46" t="n"/>
      <c r="AB372" s="46" t="n"/>
      <c r="AC372" s="46" t="n"/>
      <c r="AD372" s="46" t="n"/>
      <c r="AE372" s="46" t="n"/>
      <c r="AF372" s="46" t="n"/>
      <c r="AG372" s="46" t="n"/>
      <c r="AH372" s="47" t="n"/>
      <c r="AI372" s="47" t="n"/>
      <c r="AJ372" s="47" t="n"/>
      <c r="AK372" s="47" t="n"/>
      <c r="AL372" s="47" t="n"/>
      <c r="AM372" s="47" t="n"/>
      <c r="AN372" s="47" t="n"/>
      <c r="AO372" s="47" t="n"/>
      <c r="AP372" s="47" t="n"/>
      <c r="AQ372" s="47" t="n"/>
      <c r="AR372" s="47" t="n"/>
      <c r="AS372" s="47" t="n"/>
      <c r="AT372" s="47" t="n"/>
      <c r="AU372" s="48" t="n"/>
      <c r="AV372" s="48" t="n"/>
      <c r="AW372" s="49">
        <f>IF($A372="","",IF($BW372&lt;&gt;"","FIX",IF($BX372&lt;&gt;"","CHECK","OK")))</f>
        <v/>
      </c>
      <c r="AX372" s="50">
        <f>IF($A372="","",IF($BW372&lt;&gt;"","FIX: "&amp;LEFT($BW372,LEN($BW372)-2)&amp;IF($BX372&lt;&gt;"","  ·  ",""),"")&amp;IF($BX372&lt;&gt;"","CHECK: "&amp;LEFT($BX372,LEN($BX372)-2),""))</f>
        <v/>
      </c>
      <c r="AY372" s="49">
        <f>IF(OR($A372="",$K372=""),"",$K372&amp;"'-"&amp;N($L372)&amp;CHAR(34)&amp;" x "&amp;$M372&amp;"'-"&amp;N($N372)&amp;CHAR(34))</f>
        <v/>
      </c>
      <c r="AZ372" s="49">
        <f>IF(OR($A372="",$K372=""),"",$K372&amp;N($L372)&amp;$M372&amp;N($N372))</f>
        <v/>
      </c>
      <c r="BA372" s="49">
        <f>IF(OR($A372="",$K372=""),"",$K372*12+N($L372))</f>
        <v/>
      </c>
      <c r="BB372" s="49">
        <f>IF(OR($A372="",$M372=""),"",$M372*12+N($N372))</f>
        <v/>
      </c>
      <c r="BC372" s="49">
        <f>IF($A372="","",IF(OR($C372="FRAME ONLY",$S372="BL"),0,IF($O372="Y",2,1)))</f>
        <v/>
      </c>
      <c r="BD372" s="51">
        <f>IF(OR(N($BC372)=0,$BA372=""),"",($BA372-2*EdgeClr-IF($BC372=2,MeetClr,0))/$BC372)</f>
        <v/>
      </c>
      <c r="BE372" s="51">
        <f>IF(OR(N($BC372)=0,$BB372=""),"",$BB372-HeadClr-Undercut)</f>
        <v/>
      </c>
      <c r="BF372" s="51">
        <f>IF($BA372="","",$BA372+2*FaceW+IF(N($Q372)&gt;0,($Q372+FaceW)*IF($R372="LR",2,1),0))</f>
        <v/>
      </c>
      <c r="BG372" s="51">
        <f>IF($BB372="","",$BB372+IF($AB372="Y",4,FaceW)+IF(N($P372)&gt;0,$P372+FaceW,0)+IF(OR($S372="4F",$S372="BL"),FaceW,0))</f>
        <v/>
      </c>
      <c r="BH372" s="51">
        <f>IF($BF372="","",$BF372+2*ROSide)</f>
        <v/>
      </c>
      <c r="BI372" s="51">
        <f>IF($BG372="","",$BG372+ROTop)</f>
        <v/>
      </c>
      <c r="BJ372" s="52">
        <f>IF(OR(N($BC372)=0,$BA372=""),"",$BA372/$BC372-ClearDeduct)</f>
        <v/>
      </c>
      <c r="BK372" s="49">
        <f>IF(OR(N($BC372)=0,$BE372=""),"",IF(OR($AC372="HGC",$AP372="HGC"),"CONT",IF($BE372&lt;=60,2,IF($BE372&lt;=90,3,IF($BE372&lt;=120,4,5)))))</f>
        <v/>
      </c>
      <c r="BL372" s="49">
        <f>IF(N($BC372)=0,"",IF(OR($AL372="",$AL372="FLUSH"),"FLUSH",IFERROR(LEFT($AL372,FIND("-",$AL372)-1),LEFT($AL372,2))))</f>
        <v/>
      </c>
      <c r="BM372" s="49">
        <f>IF($BL372="","",IFERROR(VALUE(MID($AL372,FIND("-",$AL372)+1,FIND(CHAR(34)&amp;"x",$AL372)-FIND("-",$AL372)-1)),0))</f>
        <v/>
      </c>
      <c r="BN372" s="49">
        <f>IF($BL372="","",IFERROR(VALUE(MID($AL372,FIND(CHAR(34)&amp;"x",$AL372)+2,FIND(CHAR(34),$AL372,FIND(CHAR(34)&amp;"x",$AL372)+2)-FIND(CHAR(34)&amp;"x",$AL372)-2)),0))</f>
        <v/>
      </c>
      <c r="BO372" s="53">
        <f>IF(OR($A372="",$H372="",$H372="NO LAB"),0,IFERROR(VALUE(LEFT($H372,FIND(" ",$H372)-1)),0))</f>
        <v/>
      </c>
      <c r="BP372" s="54">
        <f>IF(OR($A372="",$I372="",$I372="NON-RATED",N($J372)=0),"",IFERROR(VLOOKUP($I372&amp;"|"&amp;$J372,IBC,2,FALSE),"?"))</f>
        <v/>
      </c>
      <c r="BQ372" s="50">
        <f>IF(NOT(AND($A372&lt;&gt;"",$C372&lt;&gt;"DOOR ONLY")),"",TRIM(IFERROR(VLOOKUP($U372,CODES,2,FALSE),"")&amp;" "&amp;$AZ372&amp;" "&amp;IFERROR(VLOOKUP($Z372,CODES,2,FALSE),"")&amp;" "&amp;IFERROR(VLOOKUP($X372,CODES,2,FALSE),"")&amp;" "&amp;IFERROR(VLOOKUP($S372,CODES,2,FALSE),"")&amp;IF(N($P372)&gt;0," w/TRANSOM "&amp;$P372&amp;CHAR(34),"")&amp;IF(N($Q372)&gt;0," w/SIDELITE "&amp;$Q372&amp;CHAR(34)&amp;" "&amp;IF($R372="","R",$R372),"")&amp;IF($Y372="","  |  "," | "&amp;IFERROR(VLOOKUP($Y372,CODES,2,FALSE),"")&amp;" | ")&amp;IFERROR(VLOOKUP($AC372,CODES,2,FALSE),"")&amp;" "&amp;IFERROR(VLOOKUP($AD372,CODES,2,FALSE),"")&amp;IF(OR($AE372="",$AE372="-"),""," "&amp;$AE372)&amp;IF(OR($AF372="",$AF372="-"),""," "&amp;$AF372)&amp;IF($AB372="Y"," 4"&amp;CHAR(34)&amp;" HEAD","")&amp;" "&amp;IFERROR(VLOOKUP($H372,CODES,2,FALSE),"")))</f>
        <v/>
      </c>
      <c r="BR372" s="50">
        <f>IF(NOT(AND($A372&lt;&gt;"",N($BC372)&gt;0)),"",TRIM(IFERROR(VLOOKUP($AH372,CODES,2,FALSE),"")&amp;IF($AI372=""," "," "&amp;$AI372&amp;"GA ")&amp;$AZ372&amp;" "&amp;IF($AN372="",IFERROR(VLOOKUP($Z372,CODES,2,FALSE),""),IFERROR(VLOOKUP($AN372,CODES,2,FALSE),""))&amp;IF($BC372=2," PAIR","")&amp;" DOOR | "&amp;IF($AL372="","?",$AL372)&amp;" | "&amp;IF($AP372="",IFERROR(VLOOKUP($AC372,CODES,2,FALSE),""),IFERROR(VLOOKUP($AP372,CODES,2,FALSE),""))&amp;" "&amp;IFERROR(VLOOKUP($AQ372,CODES,2,FALSE),"")&amp;IF(OR($AR372="",$AR372="-"),""," SEAM "&amp;$AR372)&amp;IF($AS372="Y"," ASTRAGAL","")&amp;IF($AJ372=""," "," "&amp;$AJ372)&amp;IF($AK372=""," "," "&amp;$AK372)&amp;IF($AO372="",""," "&amp;$AO372)&amp;IF($AM372=""," "," SERIES "&amp;$AM372)&amp;" "&amp;IFERROR(VLOOKUP($H372,CODES,2,FALSE),"")))</f>
        <v/>
      </c>
      <c r="BS372" s="49">
        <f>IF(BV372="","",IF(COUNTIF($BV$6:BV372,BV372)=1,MAX($BS$5:BS371)+1,INDEX($BS$5:BS371,MATCH(BV372,$BV$5:BV371,0))))</f>
        <v/>
      </c>
      <c r="BT372" s="49">
        <f>IF(NOT(AND($A372&lt;&gt;"",$C372&lt;&gt;"DOOR ONLY")),"",MAX($BT$5:BT371)+1)</f>
        <v/>
      </c>
      <c r="BU372" s="49">
        <f>IF(NOT(AND($A372&lt;&gt;"",N($BC372)&gt;0)),"",MAX($BU$5:BU371)+1)</f>
        <v/>
      </c>
      <c r="BV372" s="49">
        <f>IF(OR($A372="",$BA372="",$BB372=""),"",$AZ372&amp;"|"&amp;$O372&amp;"|"&amp;$AL372&amp;"|"&amp;$S372&amp;"|"&amp;$P372&amp;"|"&amp;$Q372&amp;$R372&amp;"|"&amp;$C372&amp;"|"&amp;$AB372)</f>
        <v/>
      </c>
      <c r="BW372" s="49">
        <f>IF($A372="","",IF($B372="","qty, ","")&amp;IF($C372="","scope, ","")&amp;IF(OR($K372="",$M372=""),"size, ","")&amp;IF(AND($A372&lt;&gt;"",$C372&lt;&gt;"DOOR ONLY"),IF($U372="","jamb depth, ","")&amp;IF($X372="","construction, ","")&amp;IF($Y372="","anchor, ","")&amp;IF($S372="","frame type, ",""),"")&amp;IF(AND(N($BC372)&gt;0,$Z372=""),"hand, ","")&amp;IF(N($BC372)&gt;0,IF($AH372="","door material, ","")&amp;IF($AL372="","face type, ","")&amp;IF($AQ372="","lock prep, ","")&amp;IF(AND($AP372="",$AC372=""),"hinge prep, ",""),"")&amp;IF(AND($BO372&gt;0,$AH372="FRP"),"FRP cannot carry a label, ","")&amp;IF(AND($O372="Y",OR($Z372="L",$Z372="R",$Z372="LR",$Z372="RR")),"pair marked but hand is single, ","")&amp;IF(AND($O372&lt;&gt;"Y",OR($Z372="PR",AND(LEN($Z372)&gt;1,ISNUMBER(SEARCH("-",$Z372))))),"pair hand on a single door, ","")&amp;IF(AND(ISNUMBER($BP372),$BO372&lt;N($BP372)),"wall needs a "&amp;$BP372&amp;" min door, ","")&amp;IF(AND($BO372&gt;=180,AND(OR($BL372="FG",$BL372="HG",$BL372="FNV",$BL372="FV"),N($BM372)*N($BN372)&gt;100)),"180 min lite over 100 sq in, ","")&amp;IF(N($BD372)&gt;48,"leaf wider than 4'-0"&amp;CHAR(34)&amp;", ",""))</f>
        <v/>
      </c>
      <c r="BX372" s="49">
        <f>IF($A372="","",IF(AND($BO372&gt;0,AND($A372&lt;&gt;"",$C372&lt;&gt;"DOOR ONLY"),$X372="KD",$E372="EXTERIOR"),"KD label on an exterior opening, ","")&amp;IF(AND($E372="EXTERIOR",OR(AND(AND($A372&lt;&gt;"",$C372&lt;&gt;"DOOR ONLY"),$W372="CR"),AND(N($BC372)&gt;0,$AH372="CR"))),"exterior in CR steel (G9?), ","")&amp;IF(AND(ISNUMBER($BJ372),N($BJ372)&lt;32),"clear width ~"&amp;TEXT($BJ372,"0.0")&amp;CHAR(34)&amp;" under 32"&amp;CHAR(34)&amp;" (ADA), ","")&amp;IF(AND($BO372=90,AND(OR($BL372="FG",$BL372="HG",$BL372="FNV",$BL372="FV"),N($BM372)*N($BN372)&gt;100)),"90 min lite over 100 sq in (stair/exit), ","")&amp;IF(AND($BO372&gt;0,AND($A372&lt;&gt;"",$C372&lt;&gt;"DOOR ONLY"),OR($AF372="",$AF372="-")),"rated: closer reinf.?, ","")&amp;IF(OR($I372="CORRIDOR",$I372="SMOKE BARRIER"),"S label + smoke gasketing, ","")&amp;IF($BP372="?","wall type/hr not in IBC table, ","")&amp;IF(AND(N($BC372)&gt;0,$AU372=""),"no hardware set, ","")&amp;IF(AND($AU372&lt;&gt;"",ISNA(MATCH($AU372,HWSets,0))),"set "&amp;$AU372&amp;" not on Hardware sheet, ","")&amp;IF(N($BE372)&gt;96,"leaf over 8'-0"&amp;CHAR(34)&amp;" - check listing, ",""))</f>
        <v/>
      </c>
    </row>
    <row r="373" ht="15" customHeight="1">
      <c r="A373" s="44" t="n"/>
      <c r="B373" s="45" t="n"/>
      <c r="C373" s="45" t="n"/>
      <c r="D373" s="45" t="n"/>
      <c r="E373" s="45" t="n"/>
      <c r="F373" s="45" t="n"/>
      <c r="G373" s="45" t="n"/>
      <c r="H373" s="45" t="n"/>
      <c r="I373" s="45" t="n"/>
      <c r="J373" s="45" t="n"/>
      <c r="K373" s="45" t="n"/>
      <c r="L373" s="45" t="n"/>
      <c r="M373" s="45" t="n"/>
      <c r="N373" s="45" t="n"/>
      <c r="O373" s="45" t="n"/>
      <c r="P373" s="45" t="n"/>
      <c r="Q373" s="45" t="n"/>
      <c r="R373" s="45" t="n"/>
      <c r="S373" s="46" t="n"/>
      <c r="T373" s="46" t="n"/>
      <c r="U373" s="46" t="n"/>
      <c r="V373" s="46" t="n"/>
      <c r="W373" s="46" t="n"/>
      <c r="X373" s="46" t="n"/>
      <c r="Y373" s="46" t="n"/>
      <c r="Z373" s="46" t="n"/>
      <c r="AA373" s="46" t="n"/>
      <c r="AB373" s="46" t="n"/>
      <c r="AC373" s="46" t="n"/>
      <c r="AD373" s="46" t="n"/>
      <c r="AE373" s="46" t="n"/>
      <c r="AF373" s="46" t="n"/>
      <c r="AG373" s="46" t="n"/>
      <c r="AH373" s="47" t="n"/>
      <c r="AI373" s="47" t="n"/>
      <c r="AJ373" s="47" t="n"/>
      <c r="AK373" s="47" t="n"/>
      <c r="AL373" s="47" t="n"/>
      <c r="AM373" s="47" t="n"/>
      <c r="AN373" s="47" t="n"/>
      <c r="AO373" s="47" t="n"/>
      <c r="AP373" s="47" t="n"/>
      <c r="AQ373" s="47" t="n"/>
      <c r="AR373" s="47" t="n"/>
      <c r="AS373" s="47" t="n"/>
      <c r="AT373" s="47" t="n"/>
      <c r="AU373" s="48" t="n"/>
      <c r="AV373" s="48" t="n"/>
      <c r="AW373" s="49">
        <f>IF($A373="","",IF($BW373&lt;&gt;"","FIX",IF($BX373&lt;&gt;"","CHECK","OK")))</f>
        <v/>
      </c>
      <c r="AX373" s="50">
        <f>IF($A373="","",IF($BW373&lt;&gt;"","FIX: "&amp;LEFT($BW373,LEN($BW373)-2)&amp;IF($BX373&lt;&gt;"","  ·  ",""),"")&amp;IF($BX373&lt;&gt;"","CHECK: "&amp;LEFT($BX373,LEN($BX373)-2),""))</f>
        <v/>
      </c>
      <c r="AY373" s="49">
        <f>IF(OR($A373="",$K373=""),"",$K373&amp;"'-"&amp;N($L373)&amp;CHAR(34)&amp;" x "&amp;$M373&amp;"'-"&amp;N($N373)&amp;CHAR(34))</f>
        <v/>
      </c>
      <c r="AZ373" s="49">
        <f>IF(OR($A373="",$K373=""),"",$K373&amp;N($L373)&amp;$M373&amp;N($N373))</f>
        <v/>
      </c>
      <c r="BA373" s="49">
        <f>IF(OR($A373="",$K373=""),"",$K373*12+N($L373))</f>
        <v/>
      </c>
      <c r="BB373" s="49">
        <f>IF(OR($A373="",$M373=""),"",$M373*12+N($N373))</f>
        <v/>
      </c>
      <c r="BC373" s="49">
        <f>IF($A373="","",IF(OR($C373="FRAME ONLY",$S373="BL"),0,IF($O373="Y",2,1)))</f>
        <v/>
      </c>
      <c r="BD373" s="51">
        <f>IF(OR(N($BC373)=0,$BA373=""),"",($BA373-2*EdgeClr-IF($BC373=2,MeetClr,0))/$BC373)</f>
        <v/>
      </c>
      <c r="BE373" s="51">
        <f>IF(OR(N($BC373)=0,$BB373=""),"",$BB373-HeadClr-Undercut)</f>
        <v/>
      </c>
      <c r="BF373" s="51">
        <f>IF($BA373="","",$BA373+2*FaceW+IF(N($Q373)&gt;0,($Q373+FaceW)*IF($R373="LR",2,1),0))</f>
        <v/>
      </c>
      <c r="BG373" s="51">
        <f>IF($BB373="","",$BB373+IF($AB373="Y",4,FaceW)+IF(N($P373)&gt;0,$P373+FaceW,0)+IF(OR($S373="4F",$S373="BL"),FaceW,0))</f>
        <v/>
      </c>
      <c r="BH373" s="51">
        <f>IF($BF373="","",$BF373+2*ROSide)</f>
        <v/>
      </c>
      <c r="BI373" s="51">
        <f>IF($BG373="","",$BG373+ROTop)</f>
        <v/>
      </c>
      <c r="BJ373" s="52">
        <f>IF(OR(N($BC373)=0,$BA373=""),"",$BA373/$BC373-ClearDeduct)</f>
        <v/>
      </c>
      <c r="BK373" s="49">
        <f>IF(OR(N($BC373)=0,$BE373=""),"",IF(OR($AC373="HGC",$AP373="HGC"),"CONT",IF($BE373&lt;=60,2,IF($BE373&lt;=90,3,IF($BE373&lt;=120,4,5)))))</f>
        <v/>
      </c>
      <c r="BL373" s="49">
        <f>IF(N($BC373)=0,"",IF(OR($AL373="",$AL373="FLUSH"),"FLUSH",IFERROR(LEFT($AL373,FIND("-",$AL373)-1),LEFT($AL373,2))))</f>
        <v/>
      </c>
      <c r="BM373" s="49">
        <f>IF($BL373="","",IFERROR(VALUE(MID($AL373,FIND("-",$AL373)+1,FIND(CHAR(34)&amp;"x",$AL373)-FIND("-",$AL373)-1)),0))</f>
        <v/>
      </c>
      <c r="BN373" s="49">
        <f>IF($BL373="","",IFERROR(VALUE(MID($AL373,FIND(CHAR(34)&amp;"x",$AL373)+2,FIND(CHAR(34),$AL373,FIND(CHAR(34)&amp;"x",$AL373)+2)-FIND(CHAR(34)&amp;"x",$AL373)-2)),0))</f>
        <v/>
      </c>
      <c r="BO373" s="53">
        <f>IF(OR($A373="",$H373="",$H373="NO LAB"),0,IFERROR(VALUE(LEFT($H373,FIND(" ",$H373)-1)),0))</f>
        <v/>
      </c>
      <c r="BP373" s="54">
        <f>IF(OR($A373="",$I373="",$I373="NON-RATED",N($J373)=0),"",IFERROR(VLOOKUP($I373&amp;"|"&amp;$J373,IBC,2,FALSE),"?"))</f>
        <v/>
      </c>
      <c r="BQ373" s="50">
        <f>IF(NOT(AND($A373&lt;&gt;"",$C373&lt;&gt;"DOOR ONLY")),"",TRIM(IFERROR(VLOOKUP($U373,CODES,2,FALSE),"")&amp;" "&amp;$AZ373&amp;" "&amp;IFERROR(VLOOKUP($Z373,CODES,2,FALSE),"")&amp;" "&amp;IFERROR(VLOOKUP($X373,CODES,2,FALSE),"")&amp;" "&amp;IFERROR(VLOOKUP($S373,CODES,2,FALSE),"")&amp;IF(N($P373)&gt;0," w/TRANSOM "&amp;$P373&amp;CHAR(34),"")&amp;IF(N($Q373)&gt;0," w/SIDELITE "&amp;$Q373&amp;CHAR(34)&amp;" "&amp;IF($R373="","R",$R373),"")&amp;IF($Y373="","  |  "," | "&amp;IFERROR(VLOOKUP($Y373,CODES,2,FALSE),"")&amp;" | ")&amp;IFERROR(VLOOKUP($AC373,CODES,2,FALSE),"")&amp;" "&amp;IFERROR(VLOOKUP($AD373,CODES,2,FALSE),"")&amp;IF(OR($AE373="",$AE373="-"),""," "&amp;$AE373)&amp;IF(OR($AF373="",$AF373="-"),""," "&amp;$AF373)&amp;IF($AB373="Y"," 4"&amp;CHAR(34)&amp;" HEAD","")&amp;" "&amp;IFERROR(VLOOKUP($H373,CODES,2,FALSE),"")))</f>
        <v/>
      </c>
      <c r="BR373" s="50">
        <f>IF(NOT(AND($A373&lt;&gt;"",N($BC373)&gt;0)),"",TRIM(IFERROR(VLOOKUP($AH373,CODES,2,FALSE),"")&amp;IF($AI373=""," "," "&amp;$AI373&amp;"GA ")&amp;$AZ373&amp;" "&amp;IF($AN373="",IFERROR(VLOOKUP($Z373,CODES,2,FALSE),""),IFERROR(VLOOKUP($AN373,CODES,2,FALSE),""))&amp;IF($BC373=2," PAIR","")&amp;" DOOR | "&amp;IF($AL373="","?",$AL373)&amp;" | "&amp;IF($AP373="",IFERROR(VLOOKUP($AC373,CODES,2,FALSE),""),IFERROR(VLOOKUP($AP373,CODES,2,FALSE),""))&amp;" "&amp;IFERROR(VLOOKUP($AQ373,CODES,2,FALSE),"")&amp;IF(OR($AR373="",$AR373="-"),""," SEAM "&amp;$AR373)&amp;IF($AS373="Y"," ASTRAGAL","")&amp;IF($AJ373=""," "," "&amp;$AJ373)&amp;IF($AK373=""," "," "&amp;$AK373)&amp;IF($AO373="",""," "&amp;$AO373)&amp;IF($AM373=""," "," SERIES "&amp;$AM373)&amp;" "&amp;IFERROR(VLOOKUP($H373,CODES,2,FALSE),"")))</f>
        <v/>
      </c>
      <c r="BS373" s="49">
        <f>IF(BV373="","",IF(COUNTIF($BV$6:BV373,BV373)=1,MAX($BS$5:BS372)+1,INDEX($BS$5:BS372,MATCH(BV373,$BV$5:BV372,0))))</f>
        <v/>
      </c>
      <c r="BT373" s="49">
        <f>IF(NOT(AND($A373&lt;&gt;"",$C373&lt;&gt;"DOOR ONLY")),"",MAX($BT$5:BT372)+1)</f>
        <v/>
      </c>
      <c r="BU373" s="49">
        <f>IF(NOT(AND($A373&lt;&gt;"",N($BC373)&gt;0)),"",MAX($BU$5:BU372)+1)</f>
        <v/>
      </c>
      <c r="BV373" s="49">
        <f>IF(OR($A373="",$BA373="",$BB373=""),"",$AZ373&amp;"|"&amp;$O373&amp;"|"&amp;$AL373&amp;"|"&amp;$S373&amp;"|"&amp;$P373&amp;"|"&amp;$Q373&amp;$R373&amp;"|"&amp;$C373&amp;"|"&amp;$AB373)</f>
        <v/>
      </c>
      <c r="BW373" s="49">
        <f>IF($A373="","",IF($B373="","qty, ","")&amp;IF($C373="","scope, ","")&amp;IF(OR($K373="",$M373=""),"size, ","")&amp;IF(AND($A373&lt;&gt;"",$C373&lt;&gt;"DOOR ONLY"),IF($U373="","jamb depth, ","")&amp;IF($X373="","construction, ","")&amp;IF($Y373="","anchor, ","")&amp;IF($S373="","frame type, ",""),"")&amp;IF(AND(N($BC373)&gt;0,$Z373=""),"hand, ","")&amp;IF(N($BC373)&gt;0,IF($AH373="","door material, ","")&amp;IF($AL373="","face type, ","")&amp;IF($AQ373="","lock prep, ","")&amp;IF(AND($AP373="",$AC373=""),"hinge prep, ",""),"")&amp;IF(AND($BO373&gt;0,$AH373="FRP"),"FRP cannot carry a label, ","")&amp;IF(AND($O373="Y",OR($Z373="L",$Z373="R",$Z373="LR",$Z373="RR")),"pair marked but hand is single, ","")&amp;IF(AND($O373&lt;&gt;"Y",OR($Z373="PR",AND(LEN($Z373)&gt;1,ISNUMBER(SEARCH("-",$Z373))))),"pair hand on a single door, ","")&amp;IF(AND(ISNUMBER($BP373),$BO373&lt;N($BP373)),"wall needs a "&amp;$BP373&amp;" min door, ","")&amp;IF(AND($BO373&gt;=180,AND(OR($BL373="FG",$BL373="HG",$BL373="FNV",$BL373="FV"),N($BM373)*N($BN373)&gt;100)),"180 min lite over 100 sq in, ","")&amp;IF(N($BD373)&gt;48,"leaf wider than 4'-0"&amp;CHAR(34)&amp;", ",""))</f>
        <v/>
      </c>
      <c r="BX373" s="49">
        <f>IF($A373="","",IF(AND($BO373&gt;0,AND($A373&lt;&gt;"",$C373&lt;&gt;"DOOR ONLY"),$X373="KD",$E373="EXTERIOR"),"KD label on an exterior opening, ","")&amp;IF(AND($E373="EXTERIOR",OR(AND(AND($A373&lt;&gt;"",$C373&lt;&gt;"DOOR ONLY"),$W373="CR"),AND(N($BC373)&gt;0,$AH373="CR"))),"exterior in CR steel (G9?), ","")&amp;IF(AND(ISNUMBER($BJ373),N($BJ373)&lt;32),"clear width ~"&amp;TEXT($BJ373,"0.0")&amp;CHAR(34)&amp;" under 32"&amp;CHAR(34)&amp;" (ADA), ","")&amp;IF(AND($BO373=90,AND(OR($BL373="FG",$BL373="HG",$BL373="FNV",$BL373="FV"),N($BM373)*N($BN373)&gt;100)),"90 min lite over 100 sq in (stair/exit), ","")&amp;IF(AND($BO373&gt;0,AND($A373&lt;&gt;"",$C373&lt;&gt;"DOOR ONLY"),OR($AF373="",$AF373="-")),"rated: closer reinf.?, ","")&amp;IF(OR($I373="CORRIDOR",$I373="SMOKE BARRIER"),"S label + smoke gasketing, ","")&amp;IF($BP373="?","wall type/hr not in IBC table, ","")&amp;IF(AND(N($BC373)&gt;0,$AU373=""),"no hardware set, ","")&amp;IF(AND($AU373&lt;&gt;"",ISNA(MATCH($AU373,HWSets,0))),"set "&amp;$AU373&amp;" not on Hardware sheet, ","")&amp;IF(N($BE373)&gt;96,"leaf over 8'-0"&amp;CHAR(34)&amp;" - check listing, ",""))</f>
        <v/>
      </c>
    </row>
    <row r="374" ht="15" customHeight="1">
      <c r="A374" s="44" t="n"/>
      <c r="B374" s="45" t="n"/>
      <c r="C374" s="45" t="n"/>
      <c r="D374" s="45" t="n"/>
      <c r="E374" s="45" t="n"/>
      <c r="F374" s="45" t="n"/>
      <c r="G374" s="45" t="n"/>
      <c r="H374" s="45" t="n"/>
      <c r="I374" s="45" t="n"/>
      <c r="J374" s="45" t="n"/>
      <c r="K374" s="45" t="n"/>
      <c r="L374" s="45" t="n"/>
      <c r="M374" s="45" t="n"/>
      <c r="N374" s="45" t="n"/>
      <c r="O374" s="45" t="n"/>
      <c r="P374" s="45" t="n"/>
      <c r="Q374" s="45" t="n"/>
      <c r="R374" s="45" t="n"/>
      <c r="S374" s="46" t="n"/>
      <c r="T374" s="46" t="n"/>
      <c r="U374" s="46" t="n"/>
      <c r="V374" s="46" t="n"/>
      <c r="W374" s="46" t="n"/>
      <c r="X374" s="46" t="n"/>
      <c r="Y374" s="46" t="n"/>
      <c r="Z374" s="46" t="n"/>
      <c r="AA374" s="46" t="n"/>
      <c r="AB374" s="46" t="n"/>
      <c r="AC374" s="46" t="n"/>
      <c r="AD374" s="46" t="n"/>
      <c r="AE374" s="46" t="n"/>
      <c r="AF374" s="46" t="n"/>
      <c r="AG374" s="46" t="n"/>
      <c r="AH374" s="47" t="n"/>
      <c r="AI374" s="47" t="n"/>
      <c r="AJ374" s="47" t="n"/>
      <c r="AK374" s="47" t="n"/>
      <c r="AL374" s="47" t="n"/>
      <c r="AM374" s="47" t="n"/>
      <c r="AN374" s="47" t="n"/>
      <c r="AO374" s="47" t="n"/>
      <c r="AP374" s="47" t="n"/>
      <c r="AQ374" s="47" t="n"/>
      <c r="AR374" s="47" t="n"/>
      <c r="AS374" s="47" t="n"/>
      <c r="AT374" s="47" t="n"/>
      <c r="AU374" s="48" t="n"/>
      <c r="AV374" s="48" t="n"/>
      <c r="AW374" s="49">
        <f>IF($A374="","",IF($BW374&lt;&gt;"","FIX",IF($BX374&lt;&gt;"","CHECK","OK")))</f>
        <v/>
      </c>
      <c r="AX374" s="50">
        <f>IF($A374="","",IF($BW374&lt;&gt;"","FIX: "&amp;LEFT($BW374,LEN($BW374)-2)&amp;IF($BX374&lt;&gt;"","  ·  ",""),"")&amp;IF($BX374&lt;&gt;"","CHECK: "&amp;LEFT($BX374,LEN($BX374)-2),""))</f>
        <v/>
      </c>
      <c r="AY374" s="49">
        <f>IF(OR($A374="",$K374=""),"",$K374&amp;"'-"&amp;N($L374)&amp;CHAR(34)&amp;" x "&amp;$M374&amp;"'-"&amp;N($N374)&amp;CHAR(34))</f>
        <v/>
      </c>
      <c r="AZ374" s="49">
        <f>IF(OR($A374="",$K374=""),"",$K374&amp;N($L374)&amp;$M374&amp;N($N374))</f>
        <v/>
      </c>
      <c r="BA374" s="49">
        <f>IF(OR($A374="",$K374=""),"",$K374*12+N($L374))</f>
        <v/>
      </c>
      <c r="BB374" s="49">
        <f>IF(OR($A374="",$M374=""),"",$M374*12+N($N374))</f>
        <v/>
      </c>
      <c r="BC374" s="49">
        <f>IF($A374="","",IF(OR($C374="FRAME ONLY",$S374="BL"),0,IF($O374="Y",2,1)))</f>
        <v/>
      </c>
      <c r="BD374" s="51">
        <f>IF(OR(N($BC374)=0,$BA374=""),"",($BA374-2*EdgeClr-IF($BC374=2,MeetClr,0))/$BC374)</f>
        <v/>
      </c>
      <c r="BE374" s="51">
        <f>IF(OR(N($BC374)=0,$BB374=""),"",$BB374-HeadClr-Undercut)</f>
        <v/>
      </c>
      <c r="BF374" s="51">
        <f>IF($BA374="","",$BA374+2*FaceW+IF(N($Q374)&gt;0,($Q374+FaceW)*IF($R374="LR",2,1),0))</f>
        <v/>
      </c>
      <c r="BG374" s="51">
        <f>IF($BB374="","",$BB374+IF($AB374="Y",4,FaceW)+IF(N($P374)&gt;0,$P374+FaceW,0)+IF(OR($S374="4F",$S374="BL"),FaceW,0))</f>
        <v/>
      </c>
      <c r="BH374" s="51">
        <f>IF($BF374="","",$BF374+2*ROSide)</f>
        <v/>
      </c>
      <c r="BI374" s="51">
        <f>IF($BG374="","",$BG374+ROTop)</f>
        <v/>
      </c>
      <c r="BJ374" s="52">
        <f>IF(OR(N($BC374)=0,$BA374=""),"",$BA374/$BC374-ClearDeduct)</f>
        <v/>
      </c>
      <c r="BK374" s="49">
        <f>IF(OR(N($BC374)=0,$BE374=""),"",IF(OR($AC374="HGC",$AP374="HGC"),"CONT",IF($BE374&lt;=60,2,IF($BE374&lt;=90,3,IF($BE374&lt;=120,4,5)))))</f>
        <v/>
      </c>
      <c r="BL374" s="49">
        <f>IF(N($BC374)=0,"",IF(OR($AL374="",$AL374="FLUSH"),"FLUSH",IFERROR(LEFT($AL374,FIND("-",$AL374)-1),LEFT($AL374,2))))</f>
        <v/>
      </c>
      <c r="BM374" s="49">
        <f>IF($BL374="","",IFERROR(VALUE(MID($AL374,FIND("-",$AL374)+1,FIND(CHAR(34)&amp;"x",$AL374)-FIND("-",$AL374)-1)),0))</f>
        <v/>
      </c>
      <c r="BN374" s="49">
        <f>IF($BL374="","",IFERROR(VALUE(MID($AL374,FIND(CHAR(34)&amp;"x",$AL374)+2,FIND(CHAR(34),$AL374,FIND(CHAR(34)&amp;"x",$AL374)+2)-FIND(CHAR(34)&amp;"x",$AL374)-2)),0))</f>
        <v/>
      </c>
      <c r="BO374" s="53">
        <f>IF(OR($A374="",$H374="",$H374="NO LAB"),0,IFERROR(VALUE(LEFT($H374,FIND(" ",$H374)-1)),0))</f>
        <v/>
      </c>
      <c r="BP374" s="54">
        <f>IF(OR($A374="",$I374="",$I374="NON-RATED",N($J374)=0),"",IFERROR(VLOOKUP($I374&amp;"|"&amp;$J374,IBC,2,FALSE),"?"))</f>
        <v/>
      </c>
      <c r="BQ374" s="50">
        <f>IF(NOT(AND($A374&lt;&gt;"",$C374&lt;&gt;"DOOR ONLY")),"",TRIM(IFERROR(VLOOKUP($U374,CODES,2,FALSE),"")&amp;" "&amp;$AZ374&amp;" "&amp;IFERROR(VLOOKUP($Z374,CODES,2,FALSE),"")&amp;" "&amp;IFERROR(VLOOKUP($X374,CODES,2,FALSE),"")&amp;" "&amp;IFERROR(VLOOKUP($S374,CODES,2,FALSE),"")&amp;IF(N($P374)&gt;0," w/TRANSOM "&amp;$P374&amp;CHAR(34),"")&amp;IF(N($Q374)&gt;0," w/SIDELITE "&amp;$Q374&amp;CHAR(34)&amp;" "&amp;IF($R374="","R",$R374),"")&amp;IF($Y374="","  |  "," | "&amp;IFERROR(VLOOKUP($Y374,CODES,2,FALSE),"")&amp;" | ")&amp;IFERROR(VLOOKUP($AC374,CODES,2,FALSE),"")&amp;" "&amp;IFERROR(VLOOKUP($AD374,CODES,2,FALSE),"")&amp;IF(OR($AE374="",$AE374="-"),""," "&amp;$AE374)&amp;IF(OR($AF374="",$AF374="-"),""," "&amp;$AF374)&amp;IF($AB374="Y"," 4"&amp;CHAR(34)&amp;" HEAD","")&amp;" "&amp;IFERROR(VLOOKUP($H374,CODES,2,FALSE),"")))</f>
        <v/>
      </c>
      <c r="BR374" s="50">
        <f>IF(NOT(AND($A374&lt;&gt;"",N($BC374)&gt;0)),"",TRIM(IFERROR(VLOOKUP($AH374,CODES,2,FALSE),"")&amp;IF($AI374=""," "," "&amp;$AI374&amp;"GA ")&amp;$AZ374&amp;" "&amp;IF($AN374="",IFERROR(VLOOKUP($Z374,CODES,2,FALSE),""),IFERROR(VLOOKUP($AN374,CODES,2,FALSE),""))&amp;IF($BC374=2," PAIR","")&amp;" DOOR | "&amp;IF($AL374="","?",$AL374)&amp;" | "&amp;IF($AP374="",IFERROR(VLOOKUP($AC374,CODES,2,FALSE),""),IFERROR(VLOOKUP($AP374,CODES,2,FALSE),""))&amp;" "&amp;IFERROR(VLOOKUP($AQ374,CODES,2,FALSE),"")&amp;IF(OR($AR374="",$AR374="-"),""," SEAM "&amp;$AR374)&amp;IF($AS374="Y"," ASTRAGAL","")&amp;IF($AJ374=""," "," "&amp;$AJ374)&amp;IF($AK374=""," "," "&amp;$AK374)&amp;IF($AO374="",""," "&amp;$AO374)&amp;IF($AM374=""," "," SERIES "&amp;$AM374)&amp;" "&amp;IFERROR(VLOOKUP($H374,CODES,2,FALSE),"")))</f>
        <v/>
      </c>
      <c r="BS374" s="49">
        <f>IF(BV374="","",IF(COUNTIF($BV$6:BV374,BV374)=1,MAX($BS$5:BS373)+1,INDEX($BS$5:BS373,MATCH(BV374,$BV$5:BV373,0))))</f>
        <v/>
      </c>
      <c r="BT374" s="49">
        <f>IF(NOT(AND($A374&lt;&gt;"",$C374&lt;&gt;"DOOR ONLY")),"",MAX($BT$5:BT373)+1)</f>
        <v/>
      </c>
      <c r="BU374" s="49">
        <f>IF(NOT(AND($A374&lt;&gt;"",N($BC374)&gt;0)),"",MAX($BU$5:BU373)+1)</f>
        <v/>
      </c>
      <c r="BV374" s="49">
        <f>IF(OR($A374="",$BA374="",$BB374=""),"",$AZ374&amp;"|"&amp;$O374&amp;"|"&amp;$AL374&amp;"|"&amp;$S374&amp;"|"&amp;$P374&amp;"|"&amp;$Q374&amp;$R374&amp;"|"&amp;$C374&amp;"|"&amp;$AB374)</f>
        <v/>
      </c>
      <c r="BW374" s="49">
        <f>IF($A374="","",IF($B374="","qty, ","")&amp;IF($C374="","scope, ","")&amp;IF(OR($K374="",$M374=""),"size, ","")&amp;IF(AND($A374&lt;&gt;"",$C374&lt;&gt;"DOOR ONLY"),IF($U374="","jamb depth, ","")&amp;IF($X374="","construction, ","")&amp;IF($Y374="","anchor, ","")&amp;IF($S374="","frame type, ",""),"")&amp;IF(AND(N($BC374)&gt;0,$Z374=""),"hand, ","")&amp;IF(N($BC374)&gt;0,IF($AH374="","door material, ","")&amp;IF($AL374="","face type, ","")&amp;IF($AQ374="","lock prep, ","")&amp;IF(AND($AP374="",$AC374=""),"hinge prep, ",""),"")&amp;IF(AND($BO374&gt;0,$AH374="FRP"),"FRP cannot carry a label, ","")&amp;IF(AND($O374="Y",OR($Z374="L",$Z374="R",$Z374="LR",$Z374="RR")),"pair marked but hand is single, ","")&amp;IF(AND($O374&lt;&gt;"Y",OR($Z374="PR",AND(LEN($Z374)&gt;1,ISNUMBER(SEARCH("-",$Z374))))),"pair hand on a single door, ","")&amp;IF(AND(ISNUMBER($BP374),$BO374&lt;N($BP374)),"wall needs a "&amp;$BP374&amp;" min door, ","")&amp;IF(AND($BO374&gt;=180,AND(OR($BL374="FG",$BL374="HG",$BL374="FNV",$BL374="FV"),N($BM374)*N($BN374)&gt;100)),"180 min lite over 100 sq in, ","")&amp;IF(N($BD374)&gt;48,"leaf wider than 4'-0"&amp;CHAR(34)&amp;", ",""))</f>
        <v/>
      </c>
      <c r="BX374" s="49">
        <f>IF($A374="","",IF(AND($BO374&gt;0,AND($A374&lt;&gt;"",$C374&lt;&gt;"DOOR ONLY"),$X374="KD",$E374="EXTERIOR"),"KD label on an exterior opening, ","")&amp;IF(AND($E374="EXTERIOR",OR(AND(AND($A374&lt;&gt;"",$C374&lt;&gt;"DOOR ONLY"),$W374="CR"),AND(N($BC374)&gt;0,$AH374="CR"))),"exterior in CR steel (G9?), ","")&amp;IF(AND(ISNUMBER($BJ374),N($BJ374)&lt;32),"clear width ~"&amp;TEXT($BJ374,"0.0")&amp;CHAR(34)&amp;" under 32"&amp;CHAR(34)&amp;" (ADA), ","")&amp;IF(AND($BO374=90,AND(OR($BL374="FG",$BL374="HG",$BL374="FNV",$BL374="FV"),N($BM374)*N($BN374)&gt;100)),"90 min lite over 100 sq in (stair/exit), ","")&amp;IF(AND($BO374&gt;0,AND($A374&lt;&gt;"",$C374&lt;&gt;"DOOR ONLY"),OR($AF374="",$AF374="-")),"rated: closer reinf.?, ","")&amp;IF(OR($I374="CORRIDOR",$I374="SMOKE BARRIER"),"S label + smoke gasketing, ","")&amp;IF($BP374="?","wall type/hr not in IBC table, ","")&amp;IF(AND(N($BC374)&gt;0,$AU374=""),"no hardware set, ","")&amp;IF(AND($AU374&lt;&gt;"",ISNA(MATCH($AU374,HWSets,0))),"set "&amp;$AU374&amp;" not on Hardware sheet, ","")&amp;IF(N($BE374)&gt;96,"leaf over 8'-0"&amp;CHAR(34)&amp;" - check listing, ",""))</f>
        <v/>
      </c>
    </row>
    <row r="375" ht="15" customHeight="1">
      <c r="A375" s="44" t="n"/>
      <c r="B375" s="45" t="n"/>
      <c r="C375" s="45" t="n"/>
      <c r="D375" s="45" t="n"/>
      <c r="E375" s="45" t="n"/>
      <c r="F375" s="45" t="n"/>
      <c r="G375" s="45" t="n"/>
      <c r="H375" s="45" t="n"/>
      <c r="I375" s="45" t="n"/>
      <c r="J375" s="45" t="n"/>
      <c r="K375" s="45" t="n"/>
      <c r="L375" s="45" t="n"/>
      <c r="M375" s="45" t="n"/>
      <c r="N375" s="45" t="n"/>
      <c r="O375" s="45" t="n"/>
      <c r="P375" s="45" t="n"/>
      <c r="Q375" s="45" t="n"/>
      <c r="R375" s="45" t="n"/>
      <c r="S375" s="46" t="n"/>
      <c r="T375" s="46" t="n"/>
      <c r="U375" s="46" t="n"/>
      <c r="V375" s="46" t="n"/>
      <c r="W375" s="46" t="n"/>
      <c r="X375" s="46" t="n"/>
      <c r="Y375" s="46" t="n"/>
      <c r="Z375" s="46" t="n"/>
      <c r="AA375" s="46" t="n"/>
      <c r="AB375" s="46" t="n"/>
      <c r="AC375" s="46" t="n"/>
      <c r="AD375" s="46" t="n"/>
      <c r="AE375" s="46" t="n"/>
      <c r="AF375" s="46" t="n"/>
      <c r="AG375" s="46" t="n"/>
      <c r="AH375" s="47" t="n"/>
      <c r="AI375" s="47" t="n"/>
      <c r="AJ375" s="47" t="n"/>
      <c r="AK375" s="47" t="n"/>
      <c r="AL375" s="47" t="n"/>
      <c r="AM375" s="47" t="n"/>
      <c r="AN375" s="47" t="n"/>
      <c r="AO375" s="47" t="n"/>
      <c r="AP375" s="47" t="n"/>
      <c r="AQ375" s="47" t="n"/>
      <c r="AR375" s="47" t="n"/>
      <c r="AS375" s="47" t="n"/>
      <c r="AT375" s="47" t="n"/>
      <c r="AU375" s="48" t="n"/>
      <c r="AV375" s="48" t="n"/>
      <c r="AW375" s="49">
        <f>IF($A375="","",IF($BW375&lt;&gt;"","FIX",IF($BX375&lt;&gt;"","CHECK","OK")))</f>
        <v/>
      </c>
      <c r="AX375" s="50">
        <f>IF($A375="","",IF($BW375&lt;&gt;"","FIX: "&amp;LEFT($BW375,LEN($BW375)-2)&amp;IF($BX375&lt;&gt;"","  ·  ",""),"")&amp;IF($BX375&lt;&gt;"","CHECK: "&amp;LEFT($BX375,LEN($BX375)-2),""))</f>
        <v/>
      </c>
      <c r="AY375" s="49">
        <f>IF(OR($A375="",$K375=""),"",$K375&amp;"'-"&amp;N($L375)&amp;CHAR(34)&amp;" x "&amp;$M375&amp;"'-"&amp;N($N375)&amp;CHAR(34))</f>
        <v/>
      </c>
      <c r="AZ375" s="49">
        <f>IF(OR($A375="",$K375=""),"",$K375&amp;N($L375)&amp;$M375&amp;N($N375))</f>
        <v/>
      </c>
      <c r="BA375" s="49">
        <f>IF(OR($A375="",$K375=""),"",$K375*12+N($L375))</f>
        <v/>
      </c>
      <c r="BB375" s="49">
        <f>IF(OR($A375="",$M375=""),"",$M375*12+N($N375))</f>
        <v/>
      </c>
      <c r="BC375" s="49">
        <f>IF($A375="","",IF(OR($C375="FRAME ONLY",$S375="BL"),0,IF($O375="Y",2,1)))</f>
        <v/>
      </c>
      <c r="BD375" s="51">
        <f>IF(OR(N($BC375)=0,$BA375=""),"",($BA375-2*EdgeClr-IF($BC375=2,MeetClr,0))/$BC375)</f>
        <v/>
      </c>
      <c r="BE375" s="51">
        <f>IF(OR(N($BC375)=0,$BB375=""),"",$BB375-HeadClr-Undercut)</f>
        <v/>
      </c>
      <c r="BF375" s="51">
        <f>IF($BA375="","",$BA375+2*FaceW+IF(N($Q375)&gt;0,($Q375+FaceW)*IF($R375="LR",2,1),0))</f>
        <v/>
      </c>
      <c r="BG375" s="51">
        <f>IF($BB375="","",$BB375+IF($AB375="Y",4,FaceW)+IF(N($P375)&gt;0,$P375+FaceW,0)+IF(OR($S375="4F",$S375="BL"),FaceW,0))</f>
        <v/>
      </c>
      <c r="BH375" s="51">
        <f>IF($BF375="","",$BF375+2*ROSide)</f>
        <v/>
      </c>
      <c r="BI375" s="51">
        <f>IF($BG375="","",$BG375+ROTop)</f>
        <v/>
      </c>
      <c r="BJ375" s="52">
        <f>IF(OR(N($BC375)=0,$BA375=""),"",$BA375/$BC375-ClearDeduct)</f>
        <v/>
      </c>
      <c r="BK375" s="49">
        <f>IF(OR(N($BC375)=0,$BE375=""),"",IF(OR($AC375="HGC",$AP375="HGC"),"CONT",IF($BE375&lt;=60,2,IF($BE375&lt;=90,3,IF($BE375&lt;=120,4,5)))))</f>
        <v/>
      </c>
      <c r="BL375" s="49">
        <f>IF(N($BC375)=0,"",IF(OR($AL375="",$AL375="FLUSH"),"FLUSH",IFERROR(LEFT($AL375,FIND("-",$AL375)-1),LEFT($AL375,2))))</f>
        <v/>
      </c>
      <c r="BM375" s="49">
        <f>IF($BL375="","",IFERROR(VALUE(MID($AL375,FIND("-",$AL375)+1,FIND(CHAR(34)&amp;"x",$AL375)-FIND("-",$AL375)-1)),0))</f>
        <v/>
      </c>
      <c r="BN375" s="49">
        <f>IF($BL375="","",IFERROR(VALUE(MID($AL375,FIND(CHAR(34)&amp;"x",$AL375)+2,FIND(CHAR(34),$AL375,FIND(CHAR(34)&amp;"x",$AL375)+2)-FIND(CHAR(34)&amp;"x",$AL375)-2)),0))</f>
        <v/>
      </c>
      <c r="BO375" s="53">
        <f>IF(OR($A375="",$H375="",$H375="NO LAB"),0,IFERROR(VALUE(LEFT($H375,FIND(" ",$H375)-1)),0))</f>
        <v/>
      </c>
      <c r="BP375" s="54">
        <f>IF(OR($A375="",$I375="",$I375="NON-RATED",N($J375)=0),"",IFERROR(VLOOKUP($I375&amp;"|"&amp;$J375,IBC,2,FALSE),"?"))</f>
        <v/>
      </c>
      <c r="BQ375" s="50">
        <f>IF(NOT(AND($A375&lt;&gt;"",$C375&lt;&gt;"DOOR ONLY")),"",TRIM(IFERROR(VLOOKUP($U375,CODES,2,FALSE),"")&amp;" "&amp;$AZ375&amp;" "&amp;IFERROR(VLOOKUP($Z375,CODES,2,FALSE),"")&amp;" "&amp;IFERROR(VLOOKUP($X375,CODES,2,FALSE),"")&amp;" "&amp;IFERROR(VLOOKUP($S375,CODES,2,FALSE),"")&amp;IF(N($P375)&gt;0," w/TRANSOM "&amp;$P375&amp;CHAR(34),"")&amp;IF(N($Q375)&gt;0," w/SIDELITE "&amp;$Q375&amp;CHAR(34)&amp;" "&amp;IF($R375="","R",$R375),"")&amp;IF($Y375="","  |  "," | "&amp;IFERROR(VLOOKUP($Y375,CODES,2,FALSE),"")&amp;" | ")&amp;IFERROR(VLOOKUP($AC375,CODES,2,FALSE),"")&amp;" "&amp;IFERROR(VLOOKUP($AD375,CODES,2,FALSE),"")&amp;IF(OR($AE375="",$AE375="-"),""," "&amp;$AE375)&amp;IF(OR($AF375="",$AF375="-"),""," "&amp;$AF375)&amp;IF($AB375="Y"," 4"&amp;CHAR(34)&amp;" HEAD","")&amp;" "&amp;IFERROR(VLOOKUP($H375,CODES,2,FALSE),"")))</f>
        <v/>
      </c>
      <c r="BR375" s="50">
        <f>IF(NOT(AND($A375&lt;&gt;"",N($BC375)&gt;0)),"",TRIM(IFERROR(VLOOKUP($AH375,CODES,2,FALSE),"")&amp;IF($AI375=""," "," "&amp;$AI375&amp;"GA ")&amp;$AZ375&amp;" "&amp;IF($AN375="",IFERROR(VLOOKUP($Z375,CODES,2,FALSE),""),IFERROR(VLOOKUP($AN375,CODES,2,FALSE),""))&amp;IF($BC375=2," PAIR","")&amp;" DOOR | "&amp;IF($AL375="","?",$AL375)&amp;" | "&amp;IF($AP375="",IFERROR(VLOOKUP($AC375,CODES,2,FALSE),""),IFERROR(VLOOKUP($AP375,CODES,2,FALSE),""))&amp;" "&amp;IFERROR(VLOOKUP($AQ375,CODES,2,FALSE),"")&amp;IF(OR($AR375="",$AR375="-"),""," SEAM "&amp;$AR375)&amp;IF($AS375="Y"," ASTRAGAL","")&amp;IF($AJ375=""," "," "&amp;$AJ375)&amp;IF($AK375=""," "," "&amp;$AK375)&amp;IF($AO375="",""," "&amp;$AO375)&amp;IF($AM375=""," "," SERIES "&amp;$AM375)&amp;" "&amp;IFERROR(VLOOKUP($H375,CODES,2,FALSE),"")))</f>
        <v/>
      </c>
      <c r="BS375" s="49">
        <f>IF(BV375="","",IF(COUNTIF($BV$6:BV375,BV375)=1,MAX($BS$5:BS374)+1,INDEX($BS$5:BS374,MATCH(BV375,$BV$5:BV374,0))))</f>
        <v/>
      </c>
      <c r="BT375" s="49">
        <f>IF(NOT(AND($A375&lt;&gt;"",$C375&lt;&gt;"DOOR ONLY")),"",MAX($BT$5:BT374)+1)</f>
        <v/>
      </c>
      <c r="BU375" s="49">
        <f>IF(NOT(AND($A375&lt;&gt;"",N($BC375)&gt;0)),"",MAX($BU$5:BU374)+1)</f>
        <v/>
      </c>
      <c r="BV375" s="49">
        <f>IF(OR($A375="",$BA375="",$BB375=""),"",$AZ375&amp;"|"&amp;$O375&amp;"|"&amp;$AL375&amp;"|"&amp;$S375&amp;"|"&amp;$P375&amp;"|"&amp;$Q375&amp;$R375&amp;"|"&amp;$C375&amp;"|"&amp;$AB375)</f>
        <v/>
      </c>
      <c r="BW375" s="49">
        <f>IF($A375="","",IF($B375="","qty, ","")&amp;IF($C375="","scope, ","")&amp;IF(OR($K375="",$M375=""),"size, ","")&amp;IF(AND($A375&lt;&gt;"",$C375&lt;&gt;"DOOR ONLY"),IF($U375="","jamb depth, ","")&amp;IF($X375="","construction, ","")&amp;IF($Y375="","anchor, ","")&amp;IF($S375="","frame type, ",""),"")&amp;IF(AND(N($BC375)&gt;0,$Z375=""),"hand, ","")&amp;IF(N($BC375)&gt;0,IF($AH375="","door material, ","")&amp;IF($AL375="","face type, ","")&amp;IF($AQ375="","lock prep, ","")&amp;IF(AND($AP375="",$AC375=""),"hinge prep, ",""),"")&amp;IF(AND($BO375&gt;0,$AH375="FRP"),"FRP cannot carry a label, ","")&amp;IF(AND($O375="Y",OR($Z375="L",$Z375="R",$Z375="LR",$Z375="RR")),"pair marked but hand is single, ","")&amp;IF(AND($O375&lt;&gt;"Y",OR($Z375="PR",AND(LEN($Z375)&gt;1,ISNUMBER(SEARCH("-",$Z375))))),"pair hand on a single door, ","")&amp;IF(AND(ISNUMBER($BP375),$BO375&lt;N($BP375)),"wall needs a "&amp;$BP375&amp;" min door, ","")&amp;IF(AND($BO375&gt;=180,AND(OR($BL375="FG",$BL375="HG",$BL375="FNV",$BL375="FV"),N($BM375)*N($BN375)&gt;100)),"180 min lite over 100 sq in, ","")&amp;IF(N($BD375)&gt;48,"leaf wider than 4'-0"&amp;CHAR(34)&amp;", ",""))</f>
        <v/>
      </c>
      <c r="BX375" s="49">
        <f>IF($A375="","",IF(AND($BO375&gt;0,AND($A375&lt;&gt;"",$C375&lt;&gt;"DOOR ONLY"),$X375="KD",$E375="EXTERIOR"),"KD label on an exterior opening, ","")&amp;IF(AND($E375="EXTERIOR",OR(AND(AND($A375&lt;&gt;"",$C375&lt;&gt;"DOOR ONLY"),$W375="CR"),AND(N($BC375)&gt;0,$AH375="CR"))),"exterior in CR steel (G9?), ","")&amp;IF(AND(ISNUMBER($BJ375),N($BJ375)&lt;32),"clear width ~"&amp;TEXT($BJ375,"0.0")&amp;CHAR(34)&amp;" under 32"&amp;CHAR(34)&amp;" (ADA), ","")&amp;IF(AND($BO375=90,AND(OR($BL375="FG",$BL375="HG",$BL375="FNV",$BL375="FV"),N($BM375)*N($BN375)&gt;100)),"90 min lite over 100 sq in (stair/exit), ","")&amp;IF(AND($BO375&gt;0,AND($A375&lt;&gt;"",$C375&lt;&gt;"DOOR ONLY"),OR($AF375="",$AF375="-")),"rated: closer reinf.?, ","")&amp;IF(OR($I375="CORRIDOR",$I375="SMOKE BARRIER"),"S label + smoke gasketing, ","")&amp;IF($BP375="?","wall type/hr not in IBC table, ","")&amp;IF(AND(N($BC375)&gt;0,$AU375=""),"no hardware set, ","")&amp;IF(AND($AU375&lt;&gt;"",ISNA(MATCH($AU375,HWSets,0))),"set "&amp;$AU375&amp;" not on Hardware sheet, ","")&amp;IF(N($BE375)&gt;96,"leaf over 8'-0"&amp;CHAR(34)&amp;" - check listing, ",""))</f>
        <v/>
      </c>
    </row>
    <row r="376" ht="15" customHeight="1">
      <c r="A376" s="44" t="n"/>
      <c r="B376" s="45" t="n"/>
      <c r="C376" s="45" t="n"/>
      <c r="D376" s="45" t="n"/>
      <c r="E376" s="45" t="n"/>
      <c r="F376" s="45" t="n"/>
      <c r="G376" s="45" t="n"/>
      <c r="H376" s="45" t="n"/>
      <c r="I376" s="45" t="n"/>
      <c r="J376" s="45" t="n"/>
      <c r="K376" s="45" t="n"/>
      <c r="L376" s="45" t="n"/>
      <c r="M376" s="45" t="n"/>
      <c r="N376" s="45" t="n"/>
      <c r="O376" s="45" t="n"/>
      <c r="P376" s="45" t="n"/>
      <c r="Q376" s="45" t="n"/>
      <c r="R376" s="45" t="n"/>
      <c r="S376" s="46" t="n"/>
      <c r="T376" s="46" t="n"/>
      <c r="U376" s="46" t="n"/>
      <c r="V376" s="46" t="n"/>
      <c r="W376" s="46" t="n"/>
      <c r="X376" s="46" t="n"/>
      <c r="Y376" s="46" t="n"/>
      <c r="Z376" s="46" t="n"/>
      <c r="AA376" s="46" t="n"/>
      <c r="AB376" s="46" t="n"/>
      <c r="AC376" s="46" t="n"/>
      <c r="AD376" s="46" t="n"/>
      <c r="AE376" s="46" t="n"/>
      <c r="AF376" s="46" t="n"/>
      <c r="AG376" s="46" t="n"/>
      <c r="AH376" s="47" t="n"/>
      <c r="AI376" s="47" t="n"/>
      <c r="AJ376" s="47" t="n"/>
      <c r="AK376" s="47" t="n"/>
      <c r="AL376" s="47" t="n"/>
      <c r="AM376" s="47" t="n"/>
      <c r="AN376" s="47" t="n"/>
      <c r="AO376" s="47" t="n"/>
      <c r="AP376" s="47" t="n"/>
      <c r="AQ376" s="47" t="n"/>
      <c r="AR376" s="47" t="n"/>
      <c r="AS376" s="47" t="n"/>
      <c r="AT376" s="47" t="n"/>
      <c r="AU376" s="48" t="n"/>
      <c r="AV376" s="48" t="n"/>
      <c r="AW376" s="49">
        <f>IF($A376="","",IF($BW376&lt;&gt;"","FIX",IF($BX376&lt;&gt;"","CHECK","OK")))</f>
        <v/>
      </c>
      <c r="AX376" s="50">
        <f>IF($A376="","",IF($BW376&lt;&gt;"","FIX: "&amp;LEFT($BW376,LEN($BW376)-2)&amp;IF($BX376&lt;&gt;"","  ·  ",""),"")&amp;IF($BX376&lt;&gt;"","CHECK: "&amp;LEFT($BX376,LEN($BX376)-2),""))</f>
        <v/>
      </c>
      <c r="AY376" s="49">
        <f>IF(OR($A376="",$K376=""),"",$K376&amp;"'-"&amp;N($L376)&amp;CHAR(34)&amp;" x "&amp;$M376&amp;"'-"&amp;N($N376)&amp;CHAR(34))</f>
        <v/>
      </c>
      <c r="AZ376" s="49">
        <f>IF(OR($A376="",$K376=""),"",$K376&amp;N($L376)&amp;$M376&amp;N($N376))</f>
        <v/>
      </c>
      <c r="BA376" s="49">
        <f>IF(OR($A376="",$K376=""),"",$K376*12+N($L376))</f>
        <v/>
      </c>
      <c r="BB376" s="49">
        <f>IF(OR($A376="",$M376=""),"",$M376*12+N($N376))</f>
        <v/>
      </c>
      <c r="BC376" s="49">
        <f>IF($A376="","",IF(OR($C376="FRAME ONLY",$S376="BL"),0,IF($O376="Y",2,1)))</f>
        <v/>
      </c>
      <c r="BD376" s="51">
        <f>IF(OR(N($BC376)=0,$BA376=""),"",($BA376-2*EdgeClr-IF($BC376=2,MeetClr,0))/$BC376)</f>
        <v/>
      </c>
      <c r="BE376" s="51">
        <f>IF(OR(N($BC376)=0,$BB376=""),"",$BB376-HeadClr-Undercut)</f>
        <v/>
      </c>
      <c r="BF376" s="51">
        <f>IF($BA376="","",$BA376+2*FaceW+IF(N($Q376)&gt;0,($Q376+FaceW)*IF($R376="LR",2,1),0))</f>
        <v/>
      </c>
      <c r="BG376" s="51">
        <f>IF($BB376="","",$BB376+IF($AB376="Y",4,FaceW)+IF(N($P376)&gt;0,$P376+FaceW,0)+IF(OR($S376="4F",$S376="BL"),FaceW,0))</f>
        <v/>
      </c>
      <c r="BH376" s="51">
        <f>IF($BF376="","",$BF376+2*ROSide)</f>
        <v/>
      </c>
      <c r="BI376" s="51">
        <f>IF($BG376="","",$BG376+ROTop)</f>
        <v/>
      </c>
      <c r="BJ376" s="52">
        <f>IF(OR(N($BC376)=0,$BA376=""),"",$BA376/$BC376-ClearDeduct)</f>
        <v/>
      </c>
      <c r="BK376" s="49">
        <f>IF(OR(N($BC376)=0,$BE376=""),"",IF(OR($AC376="HGC",$AP376="HGC"),"CONT",IF($BE376&lt;=60,2,IF($BE376&lt;=90,3,IF($BE376&lt;=120,4,5)))))</f>
        <v/>
      </c>
      <c r="BL376" s="49">
        <f>IF(N($BC376)=0,"",IF(OR($AL376="",$AL376="FLUSH"),"FLUSH",IFERROR(LEFT($AL376,FIND("-",$AL376)-1),LEFT($AL376,2))))</f>
        <v/>
      </c>
      <c r="BM376" s="49">
        <f>IF($BL376="","",IFERROR(VALUE(MID($AL376,FIND("-",$AL376)+1,FIND(CHAR(34)&amp;"x",$AL376)-FIND("-",$AL376)-1)),0))</f>
        <v/>
      </c>
      <c r="BN376" s="49">
        <f>IF($BL376="","",IFERROR(VALUE(MID($AL376,FIND(CHAR(34)&amp;"x",$AL376)+2,FIND(CHAR(34),$AL376,FIND(CHAR(34)&amp;"x",$AL376)+2)-FIND(CHAR(34)&amp;"x",$AL376)-2)),0))</f>
        <v/>
      </c>
      <c r="BO376" s="53">
        <f>IF(OR($A376="",$H376="",$H376="NO LAB"),0,IFERROR(VALUE(LEFT($H376,FIND(" ",$H376)-1)),0))</f>
        <v/>
      </c>
      <c r="BP376" s="54">
        <f>IF(OR($A376="",$I376="",$I376="NON-RATED",N($J376)=0),"",IFERROR(VLOOKUP($I376&amp;"|"&amp;$J376,IBC,2,FALSE),"?"))</f>
        <v/>
      </c>
      <c r="BQ376" s="50">
        <f>IF(NOT(AND($A376&lt;&gt;"",$C376&lt;&gt;"DOOR ONLY")),"",TRIM(IFERROR(VLOOKUP($U376,CODES,2,FALSE),"")&amp;" "&amp;$AZ376&amp;" "&amp;IFERROR(VLOOKUP($Z376,CODES,2,FALSE),"")&amp;" "&amp;IFERROR(VLOOKUP($X376,CODES,2,FALSE),"")&amp;" "&amp;IFERROR(VLOOKUP($S376,CODES,2,FALSE),"")&amp;IF(N($P376)&gt;0," w/TRANSOM "&amp;$P376&amp;CHAR(34),"")&amp;IF(N($Q376)&gt;0," w/SIDELITE "&amp;$Q376&amp;CHAR(34)&amp;" "&amp;IF($R376="","R",$R376),"")&amp;IF($Y376="","  |  "," | "&amp;IFERROR(VLOOKUP($Y376,CODES,2,FALSE),"")&amp;" | ")&amp;IFERROR(VLOOKUP($AC376,CODES,2,FALSE),"")&amp;" "&amp;IFERROR(VLOOKUP($AD376,CODES,2,FALSE),"")&amp;IF(OR($AE376="",$AE376="-"),""," "&amp;$AE376)&amp;IF(OR($AF376="",$AF376="-"),""," "&amp;$AF376)&amp;IF($AB376="Y"," 4"&amp;CHAR(34)&amp;" HEAD","")&amp;" "&amp;IFERROR(VLOOKUP($H376,CODES,2,FALSE),"")))</f>
        <v/>
      </c>
      <c r="BR376" s="50">
        <f>IF(NOT(AND($A376&lt;&gt;"",N($BC376)&gt;0)),"",TRIM(IFERROR(VLOOKUP($AH376,CODES,2,FALSE),"")&amp;IF($AI376=""," "," "&amp;$AI376&amp;"GA ")&amp;$AZ376&amp;" "&amp;IF($AN376="",IFERROR(VLOOKUP($Z376,CODES,2,FALSE),""),IFERROR(VLOOKUP($AN376,CODES,2,FALSE),""))&amp;IF($BC376=2," PAIR","")&amp;" DOOR | "&amp;IF($AL376="","?",$AL376)&amp;" | "&amp;IF($AP376="",IFERROR(VLOOKUP($AC376,CODES,2,FALSE),""),IFERROR(VLOOKUP($AP376,CODES,2,FALSE),""))&amp;" "&amp;IFERROR(VLOOKUP($AQ376,CODES,2,FALSE),"")&amp;IF(OR($AR376="",$AR376="-"),""," SEAM "&amp;$AR376)&amp;IF($AS376="Y"," ASTRAGAL","")&amp;IF($AJ376=""," "," "&amp;$AJ376)&amp;IF($AK376=""," "," "&amp;$AK376)&amp;IF($AO376="",""," "&amp;$AO376)&amp;IF($AM376=""," "," SERIES "&amp;$AM376)&amp;" "&amp;IFERROR(VLOOKUP($H376,CODES,2,FALSE),"")))</f>
        <v/>
      </c>
      <c r="BS376" s="49">
        <f>IF(BV376="","",IF(COUNTIF($BV$6:BV376,BV376)=1,MAX($BS$5:BS375)+1,INDEX($BS$5:BS375,MATCH(BV376,$BV$5:BV375,0))))</f>
        <v/>
      </c>
      <c r="BT376" s="49">
        <f>IF(NOT(AND($A376&lt;&gt;"",$C376&lt;&gt;"DOOR ONLY")),"",MAX($BT$5:BT375)+1)</f>
        <v/>
      </c>
      <c r="BU376" s="49">
        <f>IF(NOT(AND($A376&lt;&gt;"",N($BC376)&gt;0)),"",MAX($BU$5:BU375)+1)</f>
        <v/>
      </c>
      <c r="BV376" s="49">
        <f>IF(OR($A376="",$BA376="",$BB376=""),"",$AZ376&amp;"|"&amp;$O376&amp;"|"&amp;$AL376&amp;"|"&amp;$S376&amp;"|"&amp;$P376&amp;"|"&amp;$Q376&amp;$R376&amp;"|"&amp;$C376&amp;"|"&amp;$AB376)</f>
        <v/>
      </c>
      <c r="BW376" s="49">
        <f>IF($A376="","",IF($B376="","qty, ","")&amp;IF($C376="","scope, ","")&amp;IF(OR($K376="",$M376=""),"size, ","")&amp;IF(AND($A376&lt;&gt;"",$C376&lt;&gt;"DOOR ONLY"),IF($U376="","jamb depth, ","")&amp;IF($X376="","construction, ","")&amp;IF($Y376="","anchor, ","")&amp;IF($S376="","frame type, ",""),"")&amp;IF(AND(N($BC376)&gt;0,$Z376=""),"hand, ","")&amp;IF(N($BC376)&gt;0,IF($AH376="","door material, ","")&amp;IF($AL376="","face type, ","")&amp;IF($AQ376="","lock prep, ","")&amp;IF(AND($AP376="",$AC376=""),"hinge prep, ",""),"")&amp;IF(AND($BO376&gt;0,$AH376="FRP"),"FRP cannot carry a label, ","")&amp;IF(AND($O376="Y",OR($Z376="L",$Z376="R",$Z376="LR",$Z376="RR")),"pair marked but hand is single, ","")&amp;IF(AND($O376&lt;&gt;"Y",OR($Z376="PR",AND(LEN($Z376)&gt;1,ISNUMBER(SEARCH("-",$Z376))))),"pair hand on a single door, ","")&amp;IF(AND(ISNUMBER($BP376),$BO376&lt;N($BP376)),"wall needs a "&amp;$BP376&amp;" min door, ","")&amp;IF(AND($BO376&gt;=180,AND(OR($BL376="FG",$BL376="HG",$BL376="FNV",$BL376="FV"),N($BM376)*N($BN376)&gt;100)),"180 min lite over 100 sq in, ","")&amp;IF(N($BD376)&gt;48,"leaf wider than 4'-0"&amp;CHAR(34)&amp;", ",""))</f>
        <v/>
      </c>
      <c r="BX376" s="49">
        <f>IF($A376="","",IF(AND($BO376&gt;0,AND($A376&lt;&gt;"",$C376&lt;&gt;"DOOR ONLY"),$X376="KD",$E376="EXTERIOR"),"KD label on an exterior opening, ","")&amp;IF(AND($E376="EXTERIOR",OR(AND(AND($A376&lt;&gt;"",$C376&lt;&gt;"DOOR ONLY"),$W376="CR"),AND(N($BC376)&gt;0,$AH376="CR"))),"exterior in CR steel (G9?), ","")&amp;IF(AND(ISNUMBER($BJ376),N($BJ376)&lt;32),"clear width ~"&amp;TEXT($BJ376,"0.0")&amp;CHAR(34)&amp;" under 32"&amp;CHAR(34)&amp;" (ADA), ","")&amp;IF(AND($BO376=90,AND(OR($BL376="FG",$BL376="HG",$BL376="FNV",$BL376="FV"),N($BM376)*N($BN376)&gt;100)),"90 min lite over 100 sq in (stair/exit), ","")&amp;IF(AND($BO376&gt;0,AND($A376&lt;&gt;"",$C376&lt;&gt;"DOOR ONLY"),OR($AF376="",$AF376="-")),"rated: closer reinf.?, ","")&amp;IF(OR($I376="CORRIDOR",$I376="SMOKE BARRIER"),"S label + smoke gasketing, ","")&amp;IF($BP376="?","wall type/hr not in IBC table, ","")&amp;IF(AND(N($BC376)&gt;0,$AU376=""),"no hardware set, ","")&amp;IF(AND($AU376&lt;&gt;"",ISNA(MATCH($AU376,HWSets,0))),"set "&amp;$AU376&amp;" not on Hardware sheet, ","")&amp;IF(N($BE376)&gt;96,"leaf over 8'-0"&amp;CHAR(34)&amp;" - check listing, ",""))</f>
        <v/>
      </c>
    </row>
    <row r="377" ht="15" customHeight="1">
      <c r="A377" s="44" t="n"/>
      <c r="B377" s="45" t="n"/>
      <c r="C377" s="45" t="n"/>
      <c r="D377" s="45" t="n"/>
      <c r="E377" s="45" t="n"/>
      <c r="F377" s="45" t="n"/>
      <c r="G377" s="45" t="n"/>
      <c r="H377" s="45" t="n"/>
      <c r="I377" s="45" t="n"/>
      <c r="J377" s="45" t="n"/>
      <c r="K377" s="45" t="n"/>
      <c r="L377" s="45" t="n"/>
      <c r="M377" s="45" t="n"/>
      <c r="N377" s="45" t="n"/>
      <c r="O377" s="45" t="n"/>
      <c r="P377" s="45" t="n"/>
      <c r="Q377" s="45" t="n"/>
      <c r="R377" s="45" t="n"/>
      <c r="S377" s="46" t="n"/>
      <c r="T377" s="46" t="n"/>
      <c r="U377" s="46" t="n"/>
      <c r="V377" s="46" t="n"/>
      <c r="W377" s="46" t="n"/>
      <c r="X377" s="46" t="n"/>
      <c r="Y377" s="46" t="n"/>
      <c r="Z377" s="46" t="n"/>
      <c r="AA377" s="46" t="n"/>
      <c r="AB377" s="46" t="n"/>
      <c r="AC377" s="46" t="n"/>
      <c r="AD377" s="46" t="n"/>
      <c r="AE377" s="46" t="n"/>
      <c r="AF377" s="46" t="n"/>
      <c r="AG377" s="46" t="n"/>
      <c r="AH377" s="47" t="n"/>
      <c r="AI377" s="47" t="n"/>
      <c r="AJ377" s="47" t="n"/>
      <c r="AK377" s="47" t="n"/>
      <c r="AL377" s="47" t="n"/>
      <c r="AM377" s="47" t="n"/>
      <c r="AN377" s="47" t="n"/>
      <c r="AO377" s="47" t="n"/>
      <c r="AP377" s="47" t="n"/>
      <c r="AQ377" s="47" t="n"/>
      <c r="AR377" s="47" t="n"/>
      <c r="AS377" s="47" t="n"/>
      <c r="AT377" s="47" t="n"/>
      <c r="AU377" s="48" t="n"/>
      <c r="AV377" s="48" t="n"/>
      <c r="AW377" s="49">
        <f>IF($A377="","",IF($BW377&lt;&gt;"","FIX",IF($BX377&lt;&gt;"","CHECK","OK")))</f>
        <v/>
      </c>
      <c r="AX377" s="50">
        <f>IF($A377="","",IF($BW377&lt;&gt;"","FIX: "&amp;LEFT($BW377,LEN($BW377)-2)&amp;IF($BX377&lt;&gt;"","  ·  ",""),"")&amp;IF($BX377&lt;&gt;"","CHECK: "&amp;LEFT($BX377,LEN($BX377)-2),""))</f>
        <v/>
      </c>
      <c r="AY377" s="49">
        <f>IF(OR($A377="",$K377=""),"",$K377&amp;"'-"&amp;N($L377)&amp;CHAR(34)&amp;" x "&amp;$M377&amp;"'-"&amp;N($N377)&amp;CHAR(34))</f>
        <v/>
      </c>
      <c r="AZ377" s="49">
        <f>IF(OR($A377="",$K377=""),"",$K377&amp;N($L377)&amp;$M377&amp;N($N377))</f>
        <v/>
      </c>
      <c r="BA377" s="49">
        <f>IF(OR($A377="",$K377=""),"",$K377*12+N($L377))</f>
        <v/>
      </c>
      <c r="BB377" s="49">
        <f>IF(OR($A377="",$M377=""),"",$M377*12+N($N377))</f>
        <v/>
      </c>
      <c r="BC377" s="49">
        <f>IF($A377="","",IF(OR($C377="FRAME ONLY",$S377="BL"),0,IF($O377="Y",2,1)))</f>
        <v/>
      </c>
      <c r="BD377" s="51">
        <f>IF(OR(N($BC377)=0,$BA377=""),"",($BA377-2*EdgeClr-IF($BC377=2,MeetClr,0))/$BC377)</f>
        <v/>
      </c>
      <c r="BE377" s="51">
        <f>IF(OR(N($BC377)=0,$BB377=""),"",$BB377-HeadClr-Undercut)</f>
        <v/>
      </c>
      <c r="BF377" s="51">
        <f>IF($BA377="","",$BA377+2*FaceW+IF(N($Q377)&gt;0,($Q377+FaceW)*IF($R377="LR",2,1),0))</f>
        <v/>
      </c>
      <c r="BG377" s="51">
        <f>IF($BB377="","",$BB377+IF($AB377="Y",4,FaceW)+IF(N($P377)&gt;0,$P377+FaceW,0)+IF(OR($S377="4F",$S377="BL"),FaceW,0))</f>
        <v/>
      </c>
      <c r="BH377" s="51">
        <f>IF($BF377="","",$BF377+2*ROSide)</f>
        <v/>
      </c>
      <c r="BI377" s="51">
        <f>IF($BG377="","",$BG377+ROTop)</f>
        <v/>
      </c>
      <c r="BJ377" s="52">
        <f>IF(OR(N($BC377)=0,$BA377=""),"",$BA377/$BC377-ClearDeduct)</f>
        <v/>
      </c>
      <c r="BK377" s="49">
        <f>IF(OR(N($BC377)=0,$BE377=""),"",IF(OR($AC377="HGC",$AP377="HGC"),"CONT",IF($BE377&lt;=60,2,IF($BE377&lt;=90,3,IF($BE377&lt;=120,4,5)))))</f>
        <v/>
      </c>
      <c r="BL377" s="49">
        <f>IF(N($BC377)=0,"",IF(OR($AL377="",$AL377="FLUSH"),"FLUSH",IFERROR(LEFT($AL377,FIND("-",$AL377)-1),LEFT($AL377,2))))</f>
        <v/>
      </c>
      <c r="BM377" s="49">
        <f>IF($BL377="","",IFERROR(VALUE(MID($AL377,FIND("-",$AL377)+1,FIND(CHAR(34)&amp;"x",$AL377)-FIND("-",$AL377)-1)),0))</f>
        <v/>
      </c>
      <c r="BN377" s="49">
        <f>IF($BL377="","",IFERROR(VALUE(MID($AL377,FIND(CHAR(34)&amp;"x",$AL377)+2,FIND(CHAR(34),$AL377,FIND(CHAR(34)&amp;"x",$AL377)+2)-FIND(CHAR(34)&amp;"x",$AL377)-2)),0))</f>
        <v/>
      </c>
      <c r="BO377" s="53">
        <f>IF(OR($A377="",$H377="",$H377="NO LAB"),0,IFERROR(VALUE(LEFT($H377,FIND(" ",$H377)-1)),0))</f>
        <v/>
      </c>
      <c r="BP377" s="54">
        <f>IF(OR($A377="",$I377="",$I377="NON-RATED",N($J377)=0),"",IFERROR(VLOOKUP($I377&amp;"|"&amp;$J377,IBC,2,FALSE),"?"))</f>
        <v/>
      </c>
      <c r="BQ377" s="50">
        <f>IF(NOT(AND($A377&lt;&gt;"",$C377&lt;&gt;"DOOR ONLY")),"",TRIM(IFERROR(VLOOKUP($U377,CODES,2,FALSE),"")&amp;" "&amp;$AZ377&amp;" "&amp;IFERROR(VLOOKUP($Z377,CODES,2,FALSE),"")&amp;" "&amp;IFERROR(VLOOKUP($X377,CODES,2,FALSE),"")&amp;" "&amp;IFERROR(VLOOKUP($S377,CODES,2,FALSE),"")&amp;IF(N($P377)&gt;0," w/TRANSOM "&amp;$P377&amp;CHAR(34),"")&amp;IF(N($Q377)&gt;0," w/SIDELITE "&amp;$Q377&amp;CHAR(34)&amp;" "&amp;IF($R377="","R",$R377),"")&amp;IF($Y377="","  |  "," | "&amp;IFERROR(VLOOKUP($Y377,CODES,2,FALSE),"")&amp;" | ")&amp;IFERROR(VLOOKUP($AC377,CODES,2,FALSE),"")&amp;" "&amp;IFERROR(VLOOKUP($AD377,CODES,2,FALSE),"")&amp;IF(OR($AE377="",$AE377="-"),""," "&amp;$AE377)&amp;IF(OR($AF377="",$AF377="-"),""," "&amp;$AF377)&amp;IF($AB377="Y"," 4"&amp;CHAR(34)&amp;" HEAD","")&amp;" "&amp;IFERROR(VLOOKUP($H377,CODES,2,FALSE),"")))</f>
        <v/>
      </c>
      <c r="BR377" s="50">
        <f>IF(NOT(AND($A377&lt;&gt;"",N($BC377)&gt;0)),"",TRIM(IFERROR(VLOOKUP($AH377,CODES,2,FALSE),"")&amp;IF($AI377=""," "," "&amp;$AI377&amp;"GA ")&amp;$AZ377&amp;" "&amp;IF($AN377="",IFERROR(VLOOKUP($Z377,CODES,2,FALSE),""),IFERROR(VLOOKUP($AN377,CODES,2,FALSE),""))&amp;IF($BC377=2," PAIR","")&amp;" DOOR | "&amp;IF($AL377="","?",$AL377)&amp;" | "&amp;IF($AP377="",IFERROR(VLOOKUP($AC377,CODES,2,FALSE),""),IFERROR(VLOOKUP($AP377,CODES,2,FALSE),""))&amp;" "&amp;IFERROR(VLOOKUP($AQ377,CODES,2,FALSE),"")&amp;IF(OR($AR377="",$AR377="-"),""," SEAM "&amp;$AR377)&amp;IF($AS377="Y"," ASTRAGAL","")&amp;IF($AJ377=""," "," "&amp;$AJ377)&amp;IF($AK377=""," "," "&amp;$AK377)&amp;IF($AO377="",""," "&amp;$AO377)&amp;IF($AM377=""," "," SERIES "&amp;$AM377)&amp;" "&amp;IFERROR(VLOOKUP($H377,CODES,2,FALSE),"")))</f>
        <v/>
      </c>
      <c r="BS377" s="49">
        <f>IF(BV377="","",IF(COUNTIF($BV$6:BV377,BV377)=1,MAX($BS$5:BS376)+1,INDEX($BS$5:BS376,MATCH(BV377,$BV$5:BV376,0))))</f>
        <v/>
      </c>
      <c r="BT377" s="49">
        <f>IF(NOT(AND($A377&lt;&gt;"",$C377&lt;&gt;"DOOR ONLY")),"",MAX($BT$5:BT376)+1)</f>
        <v/>
      </c>
      <c r="BU377" s="49">
        <f>IF(NOT(AND($A377&lt;&gt;"",N($BC377)&gt;0)),"",MAX($BU$5:BU376)+1)</f>
        <v/>
      </c>
      <c r="BV377" s="49">
        <f>IF(OR($A377="",$BA377="",$BB377=""),"",$AZ377&amp;"|"&amp;$O377&amp;"|"&amp;$AL377&amp;"|"&amp;$S377&amp;"|"&amp;$P377&amp;"|"&amp;$Q377&amp;$R377&amp;"|"&amp;$C377&amp;"|"&amp;$AB377)</f>
        <v/>
      </c>
      <c r="BW377" s="49">
        <f>IF($A377="","",IF($B377="","qty, ","")&amp;IF($C377="","scope, ","")&amp;IF(OR($K377="",$M377=""),"size, ","")&amp;IF(AND($A377&lt;&gt;"",$C377&lt;&gt;"DOOR ONLY"),IF($U377="","jamb depth, ","")&amp;IF($X377="","construction, ","")&amp;IF($Y377="","anchor, ","")&amp;IF($S377="","frame type, ",""),"")&amp;IF(AND(N($BC377)&gt;0,$Z377=""),"hand, ","")&amp;IF(N($BC377)&gt;0,IF($AH377="","door material, ","")&amp;IF($AL377="","face type, ","")&amp;IF($AQ377="","lock prep, ","")&amp;IF(AND($AP377="",$AC377=""),"hinge prep, ",""),"")&amp;IF(AND($BO377&gt;0,$AH377="FRP"),"FRP cannot carry a label, ","")&amp;IF(AND($O377="Y",OR($Z377="L",$Z377="R",$Z377="LR",$Z377="RR")),"pair marked but hand is single, ","")&amp;IF(AND($O377&lt;&gt;"Y",OR($Z377="PR",AND(LEN($Z377)&gt;1,ISNUMBER(SEARCH("-",$Z377))))),"pair hand on a single door, ","")&amp;IF(AND(ISNUMBER($BP377),$BO377&lt;N($BP377)),"wall needs a "&amp;$BP377&amp;" min door, ","")&amp;IF(AND($BO377&gt;=180,AND(OR($BL377="FG",$BL377="HG",$BL377="FNV",$BL377="FV"),N($BM377)*N($BN377)&gt;100)),"180 min lite over 100 sq in, ","")&amp;IF(N($BD377)&gt;48,"leaf wider than 4'-0"&amp;CHAR(34)&amp;", ",""))</f>
        <v/>
      </c>
      <c r="BX377" s="49">
        <f>IF($A377="","",IF(AND($BO377&gt;0,AND($A377&lt;&gt;"",$C377&lt;&gt;"DOOR ONLY"),$X377="KD",$E377="EXTERIOR"),"KD label on an exterior opening, ","")&amp;IF(AND($E377="EXTERIOR",OR(AND(AND($A377&lt;&gt;"",$C377&lt;&gt;"DOOR ONLY"),$W377="CR"),AND(N($BC377)&gt;0,$AH377="CR"))),"exterior in CR steel (G9?), ","")&amp;IF(AND(ISNUMBER($BJ377),N($BJ377)&lt;32),"clear width ~"&amp;TEXT($BJ377,"0.0")&amp;CHAR(34)&amp;" under 32"&amp;CHAR(34)&amp;" (ADA), ","")&amp;IF(AND($BO377=90,AND(OR($BL377="FG",$BL377="HG",$BL377="FNV",$BL377="FV"),N($BM377)*N($BN377)&gt;100)),"90 min lite over 100 sq in (stair/exit), ","")&amp;IF(AND($BO377&gt;0,AND($A377&lt;&gt;"",$C377&lt;&gt;"DOOR ONLY"),OR($AF377="",$AF377="-")),"rated: closer reinf.?, ","")&amp;IF(OR($I377="CORRIDOR",$I377="SMOKE BARRIER"),"S label + smoke gasketing, ","")&amp;IF($BP377="?","wall type/hr not in IBC table, ","")&amp;IF(AND(N($BC377)&gt;0,$AU377=""),"no hardware set, ","")&amp;IF(AND($AU377&lt;&gt;"",ISNA(MATCH($AU377,HWSets,0))),"set "&amp;$AU377&amp;" not on Hardware sheet, ","")&amp;IF(N($BE377)&gt;96,"leaf over 8'-0"&amp;CHAR(34)&amp;" - check listing, ",""))</f>
        <v/>
      </c>
    </row>
    <row r="378" ht="15" customHeight="1">
      <c r="A378" s="44" t="n"/>
      <c r="B378" s="45" t="n"/>
      <c r="C378" s="45" t="n"/>
      <c r="D378" s="45" t="n"/>
      <c r="E378" s="45" t="n"/>
      <c r="F378" s="45" t="n"/>
      <c r="G378" s="45" t="n"/>
      <c r="H378" s="45" t="n"/>
      <c r="I378" s="45" t="n"/>
      <c r="J378" s="45" t="n"/>
      <c r="K378" s="45" t="n"/>
      <c r="L378" s="45" t="n"/>
      <c r="M378" s="45" t="n"/>
      <c r="N378" s="45" t="n"/>
      <c r="O378" s="45" t="n"/>
      <c r="P378" s="45" t="n"/>
      <c r="Q378" s="45" t="n"/>
      <c r="R378" s="45" t="n"/>
      <c r="S378" s="46" t="n"/>
      <c r="T378" s="46" t="n"/>
      <c r="U378" s="46" t="n"/>
      <c r="V378" s="46" t="n"/>
      <c r="W378" s="46" t="n"/>
      <c r="X378" s="46" t="n"/>
      <c r="Y378" s="46" t="n"/>
      <c r="Z378" s="46" t="n"/>
      <c r="AA378" s="46" t="n"/>
      <c r="AB378" s="46" t="n"/>
      <c r="AC378" s="46" t="n"/>
      <c r="AD378" s="46" t="n"/>
      <c r="AE378" s="46" t="n"/>
      <c r="AF378" s="46" t="n"/>
      <c r="AG378" s="46" t="n"/>
      <c r="AH378" s="47" t="n"/>
      <c r="AI378" s="47" t="n"/>
      <c r="AJ378" s="47" t="n"/>
      <c r="AK378" s="47" t="n"/>
      <c r="AL378" s="47" t="n"/>
      <c r="AM378" s="47" t="n"/>
      <c r="AN378" s="47" t="n"/>
      <c r="AO378" s="47" t="n"/>
      <c r="AP378" s="47" t="n"/>
      <c r="AQ378" s="47" t="n"/>
      <c r="AR378" s="47" t="n"/>
      <c r="AS378" s="47" t="n"/>
      <c r="AT378" s="47" t="n"/>
      <c r="AU378" s="48" t="n"/>
      <c r="AV378" s="48" t="n"/>
      <c r="AW378" s="49">
        <f>IF($A378="","",IF($BW378&lt;&gt;"","FIX",IF($BX378&lt;&gt;"","CHECK","OK")))</f>
        <v/>
      </c>
      <c r="AX378" s="50">
        <f>IF($A378="","",IF($BW378&lt;&gt;"","FIX: "&amp;LEFT($BW378,LEN($BW378)-2)&amp;IF($BX378&lt;&gt;"","  ·  ",""),"")&amp;IF($BX378&lt;&gt;"","CHECK: "&amp;LEFT($BX378,LEN($BX378)-2),""))</f>
        <v/>
      </c>
      <c r="AY378" s="49">
        <f>IF(OR($A378="",$K378=""),"",$K378&amp;"'-"&amp;N($L378)&amp;CHAR(34)&amp;" x "&amp;$M378&amp;"'-"&amp;N($N378)&amp;CHAR(34))</f>
        <v/>
      </c>
      <c r="AZ378" s="49">
        <f>IF(OR($A378="",$K378=""),"",$K378&amp;N($L378)&amp;$M378&amp;N($N378))</f>
        <v/>
      </c>
      <c r="BA378" s="49">
        <f>IF(OR($A378="",$K378=""),"",$K378*12+N($L378))</f>
        <v/>
      </c>
      <c r="BB378" s="49">
        <f>IF(OR($A378="",$M378=""),"",$M378*12+N($N378))</f>
        <v/>
      </c>
      <c r="BC378" s="49">
        <f>IF($A378="","",IF(OR($C378="FRAME ONLY",$S378="BL"),0,IF($O378="Y",2,1)))</f>
        <v/>
      </c>
      <c r="BD378" s="51">
        <f>IF(OR(N($BC378)=0,$BA378=""),"",($BA378-2*EdgeClr-IF($BC378=2,MeetClr,0))/$BC378)</f>
        <v/>
      </c>
      <c r="BE378" s="51">
        <f>IF(OR(N($BC378)=0,$BB378=""),"",$BB378-HeadClr-Undercut)</f>
        <v/>
      </c>
      <c r="BF378" s="51">
        <f>IF($BA378="","",$BA378+2*FaceW+IF(N($Q378)&gt;0,($Q378+FaceW)*IF($R378="LR",2,1),0))</f>
        <v/>
      </c>
      <c r="BG378" s="51">
        <f>IF($BB378="","",$BB378+IF($AB378="Y",4,FaceW)+IF(N($P378)&gt;0,$P378+FaceW,0)+IF(OR($S378="4F",$S378="BL"),FaceW,0))</f>
        <v/>
      </c>
      <c r="BH378" s="51">
        <f>IF($BF378="","",$BF378+2*ROSide)</f>
        <v/>
      </c>
      <c r="BI378" s="51">
        <f>IF($BG378="","",$BG378+ROTop)</f>
        <v/>
      </c>
      <c r="BJ378" s="52">
        <f>IF(OR(N($BC378)=0,$BA378=""),"",$BA378/$BC378-ClearDeduct)</f>
        <v/>
      </c>
      <c r="BK378" s="49">
        <f>IF(OR(N($BC378)=0,$BE378=""),"",IF(OR($AC378="HGC",$AP378="HGC"),"CONT",IF($BE378&lt;=60,2,IF($BE378&lt;=90,3,IF($BE378&lt;=120,4,5)))))</f>
        <v/>
      </c>
      <c r="BL378" s="49">
        <f>IF(N($BC378)=0,"",IF(OR($AL378="",$AL378="FLUSH"),"FLUSH",IFERROR(LEFT($AL378,FIND("-",$AL378)-1),LEFT($AL378,2))))</f>
        <v/>
      </c>
      <c r="BM378" s="49">
        <f>IF($BL378="","",IFERROR(VALUE(MID($AL378,FIND("-",$AL378)+1,FIND(CHAR(34)&amp;"x",$AL378)-FIND("-",$AL378)-1)),0))</f>
        <v/>
      </c>
      <c r="BN378" s="49">
        <f>IF($BL378="","",IFERROR(VALUE(MID($AL378,FIND(CHAR(34)&amp;"x",$AL378)+2,FIND(CHAR(34),$AL378,FIND(CHAR(34)&amp;"x",$AL378)+2)-FIND(CHAR(34)&amp;"x",$AL378)-2)),0))</f>
        <v/>
      </c>
      <c r="BO378" s="53">
        <f>IF(OR($A378="",$H378="",$H378="NO LAB"),0,IFERROR(VALUE(LEFT($H378,FIND(" ",$H378)-1)),0))</f>
        <v/>
      </c>
      <c r="BP378" s="54">
        <f>IF(OR($A378="",$I378="",$I378="NON-RATED",N($J378)=0),"",IFERROR(VLOOKUP($I378&amp;"|"&amp;$J378,IBC,2,FALSE),"?"))</f>
        <v/>
      </c>
      <c r="BQ378" s="50">
        <f>IF(NOT(AND($A378&lt;&gt;"",$C378&lt;&gt;"DOOR ONLY")),"",TRIM(IFERROR(VLOOKUP($U378,CODES,2,FALSE),"")&amp;" "&amp;$AZ378&amp;" "&amp;IFERROR(VLOOKUP($Z378,CODES,2,FALSE),"")&amp;" "&amp;IFERROR(VLOOKUP($X378,CODES,2,FALSE),"")&amp;" "&amp;IFERROR(VLOOKUP($S378,CODES,2,FALSE),"")&amp;IF(N($P378)&gt;0," w/TRANSOM "&amp;$P378&amp;CHAR(34),"")&amp;IF(N($Q378)&gt;0," w/SIDELITE "&amp;$Q378&amp;CHAR(34)&amp;" "&amp;IF($R378="","R",$R378),"")&amp;IF($Y378="","  |  "," | "&amp;IFERROR(VLOOKUP($Y378,CODES,2,FALSE),"")&amp;" | ")&amp;IFERROR(VLOOKUP($AC378,CODES,2,FALSE),"")&amp;" "&amp;IFERROR(VLOOKUP($AD378,CODES,2,FALSE),"")&amp;IF(OR($AE378="",$AE378="-"),""," "&amp;$AE378)&amp;IF(OR($AF378="",$AF378="-"),""," "&amp;$AF378)&amp;IF($AB378="Y"," 4"&amp;CHAR(34)&amp;" HEAD","")&amp;" "&amp;IFERROR(VLOOKUP($H378,CODES,2,FALSE),"")))</f>
        <v/>
      </c>
      <c r="BR378" s="50">
        <f>IF(NOT(AND($A378&lt;&gt;"",N($BC378)&gt;0)),"",TRIM(IFERROR(VLOOKUP($AH378,CODES,2,FALSE),"")&amp;IF($AI378=""," "," "&amp;$AI378&amp;"GA ")&amp;$AZ378&amp;" "&amp;IF($AN378="",IFERROR(VLOOKUP($Z378,CODES,2,FALSE),""),IFERROR(VLOOKUP($AN378,CODES,2,FALSE),""))&amp;IF($BC378=2," PAIR","")&amp;" DOOR | "&amp;IF($AL378="","?",$AL378)&amp;" | "&amp;IF($AP378="",IFERROR(VLOOKUP($AC378,CODES,2,FALSE),""),IFERROR(VLOOKUP($AP378,CODES,2,FALSE),""))&amp;" "&amp;IFERROR(VLOOKUP($AQ378,CODES,2,FALSE),"")&amp;IF(OR($AR378="",$AR378="-"),""," SEAM "&amp;$AR378)&amp;IF($AS378="Y"," ASTRAGAL","")&amp;IF($AJ378=""," "," "&amp;$AJ378)&amp;IF($AK378=""," "," "&amp;$AK378)&amp;IF($AO378="",""," "&amp;$AO378)&amp;IF($AM378=""," "," SERIES "&amp;$AM378)&amp;" "&amp;IFERROR(VLOOKUP($H378,CODES,2,FALSE),"")))</f>
        <v/>
      </c>
      <c r="BS378" s="49">
        <f>IF(BV378="","",IF(COUNTIF($BV$6:BV378,BV378)=1,MAX($BS$5:BS377)+1,INDEX($BS$5:BS377,MATCH(BV378,$BV$5:BV377,0))))</f>
        <v/>
      </c>
      <c r="BT378" s="49">
        <f>IF(NOT(AND($A378&lt;&gt;"",$C378&lt;&gt;"DOOR ONLY")),"",MAX($BT$5:BT377)+1)</f>
        <v/>
      </c>
      <c r="BU378" s="49">
        <f>IF(NOT(AND($A378&lt;&gt;"",N($BC378)&gt;0)),"",MAX($BU$5:BU377)+1)</f>
        <v/>
      </c>
      <c r="BV378" s="49">
        <f>IF(OR($A378="",$BA378="",$BB378=""),"",$AZ378&amp;"|"&amp;$O378&amp;"|"&amp;$AL378&amp;"|"&amp;$S378&amp;"|"&amp;$P378&amp;"|"&amp;$Q378&amp;$R378&amp;"|"&amp;$C378&amp;"|"&amp;$AB378)</f>
        <v/>
      </c>
      <c r="BW378" s="49">
        <f>IF($A378="","",IF($B378="","qty, ","")&amp;IF($C378="","scope, ","")&amp;IF(OR($K378="",$M378=""),"size, ","")&amp;IF(AND($A378&lt;&gt;"",$C378&lt;&gt;"DOOR ONLY"),IF($U378="","jamb depth, ","")&amp;IF($X378="","construction, ","")&amp;IF($Y378="","anchor, ","")&amp;IF($S378="","frame type, ",""),"")&amp;IF(AND(N($BC378)&gt;0,$Z378=""),"hand, ","")&amp;IF(N($BC378)&gt;0,IF($AH378="","door material, ","")&amp;IF($AL378="","face type, ","")&amp;IF($AQ378="","lock prep, ","")&amp;IF(AND($AP378="",$AC378=""),"hinge prep, ",""),"")&amp;IF(AND($BO378&gt;0,$AH378="FRP"),"FRP cannot carry a label, ","")&amp;IF(AND($O378="Y",OR($Z378="L",$Z378="R",$Z378="LR",$Z378="RR")),"pair marked but hand is single, ","")&amp;IF(AND($O378&lt;&gt;"Y",OR($Z378="PR",AND(LEN($Z378)&gt;1,ISNUMBER(SEARCH("-",$Z378))))),"pair hand on a single door, ","")&amp;IF(AND(ISNUMBER($BP378),$BO378&lt;N($BP378)),"wall needs a "&amp;$BP378&amp;" min door, ","")&amp;IF(AND($BO378&gt;=180,AND(OR($BL378="FG",$BL378="HG",$BL378="FNV",$BL378="FV"),N($BM378)*N($BN378)&gt;100)),"180 min lite over 100 sq in, ","")&amp;IF(N($BD378)&gt;48,"leaf wider than 4'-0"&amp;CHAR(34)&amp;", ",""))</f>
        <v/>
      </c>
      <c r="BX378" s="49">
        <f>IF($A378="","",IF(AND($BO378&gt;0,AND($A378&lt;&gt;"",$C378&lt;&gt;"DOOR ONLY"),$X378="KD",$E378="EXTERIOR"),"KD label on an exterior opening, ","")&amp;IF(AND($E378="EXTERIOR",OR(AND(AND($A378&lt;&gt;"",$C378&lt;&gt;"DOOR ONLY"),$W378="CR"),AND(N($BC378)&gt;0,$AH378="CR"))),"exterior in CR steel (G9?), ","")&amp;IF(AND(ISNUMBER($BJ378),N($BJ378)&lt;32),"clear width ~"&amp;TEXT($BJ378,"0.0")&amp;CHAR(34)&amp;" under 32"&amp;CHAR(34)&amp;" (ADA), ","")&amp;IF(AND($BO378=90,AND(OR($BL378="FG",$BL378="HG",$BL378="FNV",$BL378="FV"),N($BM378)*N($BN378)&gt;100)),"90 min lite over 100 sq in (stair/exit), ","")&amp;IF(AND($BO378&gt;0,AND($A378&lt;&gt;"",$C378&lt;&gt;"DOOR ONLY"),OR($AF378="",$AF378="-")),"rated: closer reinf.?, ","")&amp;IF(OR($I378="CORRIDOR",$I378="SMOKE BARRIER"),"S label + smoke gasketing, ","")&amp;IF($BP378="?","wall type/hr not in IBC table, ","")&amp;IF(AND(N($BC378)&gt;0,$AU378=""),"no hardware set, ","")&amp;IF(AND($AU378&lt;&gt;"",ISNA(MATCH($AU378,HWSets,0))),"set "&amp;$AU378&amp;" not on Hardware sheet, ","")&amp;IF(N($BE378)&gt;96,"leaf over 8'-0"&amp;CHAR(34)&amp;" - check listing, ",""))</f>
        <v/>
      </c>
    </row>
    <row r="379" ht="15" customHeight="1">
      <c r="A379" s="44" t="n"/>
      <c r="B379" s="45" t="n"/>
      <c r="C379" s="45" t="n"/>
      <c r="D379" s="45" t="n"/>
      <c r="E379" s="45" t="n"/>
      <c r="F379" s="45" t="n"/>
      <c r="G379" s="45" t="n"/>
      <c r="H379" s="45" t="n"/>
      <c r="I379" s="45" t="n"/>
      <c r="J379" s="45" t="n"/>
      <c r="K379" s="45" t="n"/>
      <c r="L379" s="45" t="n"/>
      <c r="M379" s="45" t="n"/>
      <c r="N379" s="45" t="n"/>
      <c r="O379" s="45" t="n"/>
      <c r="P379" s="45" t="n"/>
      <c r="Q379" s="45" t="n"/>
      <c r="R379" s="45" t="n"/>
      <c r="S379" s="46" t="n"/>
      <c r="T379" s="46" t="n"/>
      <c r="U379" s="46" t="n"/>
      <c r="V379" s="46" t="n"/>
      <c r="W379" s="46" t="n"/>
      <c r="X379" s="46" t="n"/>
      <c r="Y379" s="46" t="n"/>
      <c r="Z379" s="46" t="n"/>
      <c r="AA379" s="46" t="n"/>
      <c r="AB379" s="46" t="n"/>
      <c r="AC379" s="46" t="n"/>
      <c r="AD379" s="46" t="n"/>
      <c r="AE379" s="46" t="n"/>
      <c r="AF379" s="46" t="n"/>
      <c r="AG379" s="46" t="n"/>
      <c r="AH379" s="47" t="n"/>
      <c r="AI379" s="47" t="n"/>
      <c r="AJ379" s="47" t="n"/>
      <c r="AK379" s="47" t="n"/>
      <c r="AL379" s="47" t="n"/>
      <c r="AM379" s="47" t="n"/>
      <c r="AN379" s="47" t="n"/>
      <c r="AO379" s="47" t="n"/>
      <c r="AP379" s="47" t="n"/>
      <c r="AQ379" s="47" t="n"/>
      <c r="AR379" s="47" t="n"/>
      <c r="AS379" s="47" t="n"/>
      <c r="AT379" s="47" t="n"/>
      <c r="AU379" s="48" t="n"/>
      <c r="AV379" s="48" t="n"/>
      <c r="AW379" s="49">
        <f>IF($A379="","",IF($BW379&lt;&gt;"","FIX",IF($BX379&lt;&gt;"","CHECK","OK")))</f>
        <v/>
      </c>
      <c r="AX379" s="50">
        <f>IF($A379="","",IF($BW379&lt;&gt;"","FIX: "&amp;LEFT($BW379,LEN($BW379)-2)&amp;IF($BX379&lt;&gt;"","  ·  ",""),"")&amp;IF($BX379&lt;&gt;"","CHECK: "&amp;LEFT($BX379,LEN($BX379)-2),""))</f>
        <v/>
      </c>
      <c r="AY379" s="49">
        <f>IF(OR($A379="",$K379=""),"",$K379&amp;"'-"&amp;N($L379)&amp;CHAR(34)&amp;" x "&amp;$M379&amp;"'-"&amp;N($N379)&amp;CHAR(34))</f>
        <v/>
      </c>
      <c r="AZ379" s="49">
        <f>IF(OR($A379="",$K379=""),"",$K379&amp;N($L379)&amp;$M379&amp;N($N379))</f>
        <v/>
      </c>
      <c r="BA379" s="49">
        <f>IF(OR($A379="",$K379=""),"",$K379*12+N($L379))</f>
        <v/>
      </c>
      <c r="BB379" s="49">
        <f>IF(OR($A379="",$M379=""),"",$M379*12+N($N379))</f>
        <v/>
      </c>
      <c r="BC379" s="49">
        <f>IF($A379="","",IF(OR($C379="FRAME ONLY",$S379="BL"),0,IF($O379="Y",2,1)))</f>
        <v/>
      </c>
      <c r="BD379" s="51">
        <f>IF(OR(N($BC379)=0,$BA379=""),"",($BA379-2*EdgeClr-IF($BC379=2,MeetClr,0))/$BC379)</f>
        <v/>
      </c>
      <c r="BE379" s="51">
        <f>IF(OR(N($BC379)=0,$BB379=""),"",$BB379-HeadClr-Undercut)</f>
        <v/>
      </c>
      <c r="BF379" s="51">
        <f>IF($BA379="","",$BA379+2*FaceW+IF(N($Q379)&gt;0,($Q379+FaceW)*IF($R379="LR",2,1),0))</f>
        <v/>
      </c>
      <c r="BG379" s="51">
        <f>IF($BB379="","",$BB379+IF($AB379="Y",4,FaceW)+IF(N($P379)&gt;0,$P379+FaceW,0)+IF(OR($S379="4F",$S379="BL"),FaceW,0))</f>
        <v/>
      </c>
      <c r="BH379" s="51">
        <f>IF($BF379="","",$BF379+2*ROSide)</f>
        <v/>
      </c>
      <c r="BI379" s="51">
        <f>IF($BG379="","",$BG379+ROTop)</f>
        <v/>
      </c>
      <c r="BJ379" s="52">
        <f>IF(OR(N($BC379)=0,$BA379=""),"",$BA379/$BC379-ClearDeduct)</f>
        <v/>
      </c>
      <c r="BK379" s="49">
        <f>IF(OR(N($BC379)=0,$BE379=""),"",IF(OR($AC379="HGC",$AP379="HGC"),"CONT",IF($BE379&lt;=60,2,IF($BE379&lt;=90,3,IF($BE379&lt;=120,4,5)))))</f>
        <v/>
      </c>
      <c r="BL379" s="49">
        <f>IF(N($BC379)=0,"",IF(OR($AL379="",$AL379="FLUSH"),"FLUSH",IFERROR(LEFT($AL379,FIND("-",$AL379)-1),LEFT($AL379,2))))</f>
        <v/>
      </c>
      <c r="BM379" s="49">
        <f>IF($BL379="","",IFERROR(VALUE(MID($AL379,FIND("-",$AL379)+1,FIND(CHAR(34)&amp;"x",$AL379)-FIND("-",$AL379)-1)),0))</f>
        <v/>
      </c>
      <c r="BN379" s="49">
        <f>IF($BL379="","",IFERROR(VALUE(MID($AL379,FIND(CHAR(34)&amp;"x",$AL379)+2,FIND(CHAR(34),$AL379,FIND(CHAR(34)&amp;"x",$AL379)+2)-FIND(CHAR(34)&amp;"x",$AL379)-2)),0))</f>
        <v/>
      </c>
      <c r="BO379" s="53">
        <f>IF(OR($A379="",$H379="",$H379="NO LAB"),0,IFERROR(VALUE(LEFT($H379,FIND(" ",$H379)-1)),0))</f>
        <v/>
      </c>
      <c r="BP379" s="54">
        <f>IF(OR($A379="",$I379="",$I379="NON-RATED",N($J379)=0),"",IFERROR(VLOOKUP($I379&amp;"|"&amp;$J379,IBC,2,FALSE),"?"))</f>
        <v/>
      </c>
      <c r="BQ379" s="50">
        <f>IF(NOT(AND($A379&lt;&gt;"",$C379&lt;&gt;"DOOR ONLY")),"",TRIM(IFERROR(VLOOKUP($U379,CODES,2,FALSE),"")&amp;" "&amp;$AZ379&amp;" "&amp;IFERROR(VLOOKUP($Z379,CODES,2,FALSE),"")&amp;" "&amp;IFERROR(VLOOKUP($X379,CODES,2,FALSE),"")&amp;" "&amp;IFERROR(VLOOKUP($S379,CODES,2,FALSE),"")&amp;IF(N($P379)&gt;0," w/TRANSOM "&amp;$P379&amp;CHAR(34),"")&amp;IF(N($Q379)&gt;0," w/SIDELITE "&amp;$Q379&amp;CHAR(34)&amp;" "&amp;IF($R379="","R",$R379),"")&amp;IF($Y379="","  |  "," | "&amp;IFERROR(VLOOKUP($Y379,CODES,2,FALSE),"")&amp;" | ")&amp;IFERROR(VLOOKUP($AC379,CODES,2,FALSE),"")&amp;" "&amp;IFERROR(VLOOKUP($AD379,CODES,2,FALSE),"")&amp;IF(OR($AE379="",$AE379="-"),""," "&amp;$AE379)&amp;IF(OR($AF379="",$AF379="-"),""," "&amp;$AF379)&amp;IF($AB379="Y"," 4"&amp;CHAR(34)&amp;" HEAD","")&amp;" "&amp;IFERROR(VLOOKUP($H379,CODES,2,FALSE),"")))</f>
        <v/>
      </c>
      <c r="BR379" s="50">
        <f>IF(NOT(AND($A379&lt;&gt;"",N($BC379)&gt;0)),"",TRIM(IFERROR(VLOOKUP($AH379,CODES,2,FALSE),"")&amp;IF($AI379=""," "," "&amp;$AI379&amp;"GA ")&amp;$AZ379&amp;" "&amp;IF($AN379="",IFERROR(VLOOKUP($Z379,CODES,2,FALSE),""),IFERROR(VLOOKUP($AN379,CODES,2,FALSE),""))&amp;IF($BC379=2," PAIR","")&amp;" DOOR | "&amp;IF($AL379="","?",$AL379)&amp;" | "&amp;IF($AP379="",IFERROR(VLOOKUP($AC379,CODES,2,FALSE),""),IFERROR(VLOOKUP($AP379,CODES,2,FALSE),""))&amp;" "&amp;IFERROR(VLOOKUP($AQ379,CODES,2,FALSE),"")&amp;IF(OR($AR379="",$AR379="-"),""," SEAM "&amp;$AR379)&amp;IF($AS379="Y"," ASTRAGAL","")&amp;IF($AJ379=""," "," "&amp;$AJ379)&amp;IF($AK379=""," "," "&amp;$AK379)&amp;IF($AO379="",""," "&amp;$AO379)&amp;IF($AM379=""," "," SERIES "&amp;$AM379)&amp;" "&amp;IFERROR(VLOOKUP($H379,CODES,2,FALSE),"")))</f>
        <v/>
      </c>
      <c r="BS379" s="49">
        <f>IF(BV379="","",IF(COUNTIF($BV$6:BV379,BV379)=1,MAX($BS$5:BS378)+1,INDEX($BS$5:BS378,MATCH(BV379,$BV$5:BV378,0))))</f>
        <v/>
      </c>
      <c r="BT379" s="49">
        <f>IF(NOT(AND($A379&lt;&gt;"",$C379&lt;&gt;"DOOR ONLY")),"",MAX($BT$5:BT378)+1)</f>
        <v/>
      </c>
      <c r="BU379" s="49">
        <f>IF(NOT(AND($A379&lt;&gt;"",N($BC379)&gt;0)),"",MAX($BU$5:BU378)+1)</f>
        <v/>
      </c>
      <c r="BV379" s="49">
        <f>IF(OR($A379="",$BA379="",$BB379=""),"",$AZ379&amp;"|"&amp;$O379&amp;"|"&amp;$AL379&amp;"|"&amp;$S379&amp;"|"&amp;$P379&amp;"|"&amp;$Q379&amp;$R379&amp;"|"&amp;$C379&amp;"|"&amp;$AB379)</f>
        <v/>
      </c>
      <c r="BW379" s="49">
        <f>IF($A379="","",IF($B379="","qty, ","")&amp;IF($C379="","scope, ","")&amp;IF(OR($K379="",$M379=""),"size, ","")&amp;IF(AND($A379&lt;&gt;"",$C379&lt;&gt;"DOOR ONLY"),IF($U379="","jamb depth, ","")&amp;IF($X379="","construction, ","")&amp;IF($Y379="","anchor, ","")&amp;IF($S379="","frame type, ",""),"")&amp;IF(AND(N($BC379)&gt;0,$Z379=""),"hand, ","")&amp;IF(N($BC379)&gt;0,IF($AH379="","door material, ","")&amp;IF($AL379="","face type, ","")&amp;IF($AQ379="","lock prep, ","")&amp;IF(AND($AP379="",$AC379=""),"hinge prep, ",""),"")&amp;IF(AND($BO379&gt;0,$AH379="FRP"),"FRP cannot carry a label, ","")&amp;IF(AND($O379="Y",OR($Z379="L",$Z379="R",$Z379="LR",$Z379="RR")),"pair marked but hand is single, ","")&amp;IF(AND($O379&lt;&gt;"Y",OR($Z379="PR",AND(LEN($Z379)&gt;1,ISNUMBER(SEARCH("-",$Z379))))),"pair hand on a single door, ","")&amp;IF(AND(ISNUMBER($BP379),$BO379&lt;N($BP379)),"wall needs a "&amp;$BP379&amp;" min door, ","")&amp;IF(AND($BO379&gt;=180,AND(OR($BL379="FG",$BL379="HG",$BL379="FNV",$BL379="FV"),N($BM379)*N($BN379)&gt;100)),"180 min lite over 100 sq in, ","")&amp;IF(N($BD379)&gt;48,"leaf wider than 4'-0"&amp;CHAR(34)&amp;", ",""))</f>
        <v/>
      </c>
      <c r="BX379" s="49">
        <f>IF($A379="","",IF(AND($BO379&gt;0,AND($A379&lt;&gt;"",$C379&lt;&gt;"DOOR ONLY"),$X379="KD",$E379="EXTERIOR"),"KD label on an exterior opening, ","")&amp;IF(AND($E379="EXTERIOR",OR(AND(AND($A379&lt;&gt;"",$C379&lt;&gt;"DOOR ONLY"),$W379="CR"),AND(N($BC379)&gt;0,$AH379="CR"))),"exterior in CR steel (G9?), ","")&amp;IF(AND(ISNUMBER($BJ379),N($BJ379)&lt;32),"clear width ~"&amp;TEXT($BJ379,"0.0")&amp;CHAR(34)&amp;" under 32"&amp;CHAR(34)&amp;" (ADA), ","")&amp;IF(AND($BO379=90,AND(OR($BL379="FG",$BL379="HG",$BL379="FNV",$BL379="FV"),N($BM379)*N($BN379)&gt;100)),"90 min lite over 100 sq in (stair/exit), ","")&amp;IF(AND($BO379&gt;0,AND($A379&lt;&gt;"",$C379&lt;&gt;"DOOR ONLY"),OR($AF379="",$AF379="-")),"rated: closer reinf.?, ","")&amp;IF(OR($I379="CORRIDOR",$I379="SMOKE BARRIER"),"S label + smoke gasketing, ","")&amp;IF($BP379="?","wall type/hr not in IBC table, ","")&amp;IF(AND(N($BC379)&gt;0,$AU379=""),"no hardware set, ","")&amp;IF(AND($AU379&lt;&gt;"",ISNA(MATCH($AU379,HWSets,0))),"set "&amp;$AU379&amp;" not on Hardware sheet, ","")&amp;IF(N($BE379)&gt;96,"leaf over 8'-0"&amp;CHAR(34)&amp;" - check listing, ",""))</f>
        <v/>
      </c>
    </row>
    <row r="380" ht="15" customHeight="1">
      <c r="A380" s="44" t="n"/>
      <c r="B380" s="45" t="n"/>
      <c r="C380" s="45" t="n"/>
      <c r="D380" s="45" t="n"/>
      <c r="E380" s="45" t="n"/>
      <c r="F380" s="45" t="n"/>
      <c r="G380" s="45" t="n"/>
      <c r="H380" s="45" t="n"/>
      <c r="I380" s="45" t="n"/>
      <c r="J380" s="45" t="n"/>
      <c r="K380" s="45" t="n"/>
      <c r="L380" s="45" t="n"/>
      <c r="M380" s="45" t="n"/>
      <c r="N380" s="45" t="n"/>
      <c r="O380" s="45" t="n"/>
      <c r="P380" s="45" t="n"/>
      <c r="Q380" s="45" t="n"/>
      <c r="R380" s="45" t="n"/>
      <c r="S380" s="46" t="n"/>
      <c r="T380" s="46" t="n"/>
      <c r="U380" s="46" t="n"/>
      <c r="V380" s="46" t="n"/>
      <c r="W380" s="46" t="n"/>
      <c r="X380" s="46" t="n"/>
      <c r="Y380" s="46" t="n"/>
      <c r="Z380" s="46" t="n"/>
      <c r="AA380" s="46" t="n"/>
      <c r="AB380" s="46" t="n"/>
      <c r="AC380" s="46" t="n"/>
      <c r="AD380" s="46" t="n"/>
      <c r="AE380" s="46" t="n"/>
      <c r="AF380" s="46" t="n"/>
      <c r="AG380" s="46" t="n"/>
      <c r="AH380" s="47" t="n"/>
      <c r="AI380" s="47" t="n"/>
      <c r="AJ380" s="47" t="n"/>
      <c r="AK380" s="47" t="n"/>
      <c r="AL380" s="47" t="n"/>
      <c r="AM380" s="47" t="n"/>
      <c r="AN380" s="47" t="n"/>
      <c r="AO380" s="47" t="n"/>
      <c r="AP380" s="47" t="n"/>
      <c r="AQ380" s="47" t="n"/>
      <c r="AR380" s="47" t="n"/>
      <c r="AS380" s="47" t="n"/>
      <c r="AT380" s="47" t="n"/>
      <c r="AU380" s="48" t="n"/>
      <c r="AV380" s="48" t="n"/>
      <c r="AW380" s="49">
        <f>IF($A380="","",IF($BW380&lt;&gt;"","FIX",IF($BX380&lt;&gt;"","CHECK","OK")))</f>
        <v/>
      </c>
      <c r="AX380" s="50">
        <f>IF($A380="","",IF($BW380&lt;&gt;"","FIX: "&amp;LEFT($BW380,LEN($BW380)-2)&amp;IF($BX380&lt;&gt;"","  ·  ",""),"")&amp;IF($BX380&lt;&gt;"","CHECK: "&amp;LEFT($BX380,LEN($BX380)-2),""))</f>
        <v/>
      </c>
      <c r="AY380" s="49">
        <f>IF(OR($A380="",$K380=""),"",$K380&amp;"'-"&amp;N($L380)&amp;CHAR(34)&amp;" x "&amp;$M380&amp;"'-"&amp;N($N380)&amp;CHAR(34))</f>
        <v/>
      </c>
      <c r="AZ380" s="49">
        <f>IF(OR($A380="",$K380=""),"",$K380&amp;N($L380)&amp;$M380&amp;N($N380))</f>
        <v/>
      </c>
      <c r="BA380" s="49">
        <f>IF(OR($A380="",$K380=""),"",$K380*12+N($L380))</f>
        <v/>
      </c>
      <c r="BB380" s="49">
        <f>IF(OR($A380="",$M380=""),"",$M380*12+N($N380))</f>
        <v/>
      </c>
      <c r="BC380" s="49">
        <f>IF($A380="","",IF(OR($C380="FRAME ONLY",$S380="BL"),0,IF($O380="Y",2,1)))</f>
        <v/>
      </c>
      <c r="BD380" s="51">
        <f>IF(OR(N($BC380)=0,$BA380=""),"",($BA380-2*EdgeClr-IF($BC380=2,MeetClr,0))/$BC380)</f>
        <v/>
      </c>
      <c r="BE380" s="51">
        <f>IF(OR(N($BC380)=0,$BB380=""),"",$BB380-HeadClr-Undercut)</f>
        <v/>
      </c>
      <c r="BF380" s="51">
        <f>IF($BA380="","",$BA380+2*FaceW+IF(N($Q380)&gt;0,($Q380+FaceW)*IF($R380="LR",2,1),0))</f>
        <v/>
      </c>
      <c r="BG380" s="51">
        <f>IF($BB380="","",$BB380+IF($AB380="Y",4,FaceW)+IF(N($P380)&gt;0,$P380+FaceW,0)+IF(OR($S380="4F",$S380="BL"),FaceW,0))</f>
        <v/>
      </c>
      <c r="BH380" s="51">
        <f>IF($BF380="","",$BF380+2*ROSide)</f>
        <v/>
      </c>
      <c r="BI380" s="51">
        <f>IF($BG380="","",$BG380+ROTop)</f>
        <v/>
      </c>
      <c r="BJ380" s="52">
        <f>IF(OR(N($BC380)=0,$BA380=""),"",$BA380/$BC380-ClearDeduct)</f>
        <v/>
      </c>
      <c r="BK380" s="49">
        <f>IF(OR(N($BC380)=0,$BE380=""),"",IF(OR($AC380="HGC",$AP380="HGC"),"CONT",IF($BE380&lt;=60,2,IF($BE380&lt;=90,3,IF($BE380&lt;=120,4,5)))))</f>
        <v/>
      </c>
      <c r="BL380" s="49">
        <f>IF(N($BC380)=0,"",IF(OR($AL380="",$AL380="FLUSH"),"FLUSH",IFERROR(LEFT($AL380,FIND("-",$AL380)-1),LEFT($AL380,2))))</f>
        <v/>
      </c>
      <c r="BM380" s="49">
        <f>IF($BL380="","",IFERROR(VALUE(MID($AL380,FIND("-",$AL380)+1,FIND(CHAR(34)&amp;"x",$AL380)-FIND("-",$AL380)-1)),0))</f>
        <v/>
      </c>
      <c r="BN380" s="49">
        <f>IF($BL380="","",IFERROR(VALUE(MID($AL380,FIND(CHAR(34)&amp;"x",$AL380)+2,FIND(CHAR(34),$AL380,FIND(CHAR(34)&amp;"x",$AL380)+2)-FIND(CHAR(34)&amp;"x",$AL380)-2)),0))</f>
        <v/>
      </c>
      <c r="BO380" s="53">
        <f>IF(OR($A380="",$H380="",$H380="NO LAB"),0,IFERROR(VALUE(LEFT($H380,FIND(" ",$H380)-1)),0))</f>
        <v/>
      </c>
      <c r="BP380" s="54">
        <f>IF(OR($A380="",$I380="",$I380="NON-RATED",N($J380)=0),"",IFERROR(VLOOKUP($I380&amp;"|"&amp;$J380,IBC,2,FALSE),"?"))</f>
        <v/>
      </c>
      <c r="BQ380" s="50">
        <f>IF(NOT(AND($A380&lt;&gt;"",$C380&lt;&gt;"DOOR ONLY")),"",TRIM(IFERROR(VLOOKUP($U380,CODES,2,FALSE),"")&amp;" "&amp;$AZ380&amp;" "&amp;IFERROR(VLOOKUP($Z380,CODES,2,FALSE),"")&amp;" "&amp;IFERROR(VLOOKUP($X380,CODES,2,FALSE),"")&amp;" "&amp;IFERROR(VLOOKUP($S380,CODES,2,FALSE),"")&amp;IF(N($P380)&gt;0," w/TRANSOM "&amp;$P380&amp;CHAR(34),"")&amp;IF(N($Q380)&gt;0," w/SIDELITE "&amp;$Q380&amp;CHAR(34)&amp;" "&amp;IF($R380="","R",$R380),"")&amp;IF($Y380="","  |  "," | "&amp;IFERROR(VLOOKUP($Y380,CODES,2,FALSE),"")&amp;" | ")&amp;IFERROR(VLOOKUP($AC380,CODES,2,FALSE),"")&amp;" "&amp;IFERROR(VLOOKUP($AD380,CODES,2,FALSE),"")&amp;IF(OR($AE380="",$AE380="-"),""," "&amp;$AE380)&amp;IF(OR($AF380="",$AF380="-"),""," "&amp;$AF380)&amp;IF($AB380="Y"," 4"&amp;CHAR(34)&amp;" HEAD","")&amp;" "&amp;IFERROR(VLOOKUP($H380,CODES,2,FALSE),"")))</f>
        <v/>
      </c>
      <c r="BR380" s="50">
        <f>IF(NOT(AND($A380&lt;&gt;"",N($BC380)&gt;0)),"",TRIM(IFERROR(VLOOKUP($AH380,CODES,2,FALSE),"")&amp;IF($AI380=""," "," "&amp;$AI380&amp;"GA ")&amp;$AZ380&amp;" "&amp;IF($AN380="",IFERROR(VLOOKUP($Z380,CODES,2,FALSE),""),IFERROR(VLOOKUP($AN380,CODES,2,FALSE),""))&amp;IF($BC380=2," PAIR","")&amp;" DOOR | "&amp;IF($AL380="","?",$AL380)&amp;" | "&amp;IF($AP380="",IFERROR(VLOOKUP($AC380,CODES,2,FALSE),""),IFERROR(VLOOKUP($AP380,CODES,2,FALSE),""))&amp;" "&amp;IFERROR(VLOOKUP($AQ380,CODES,2,FALSE),"")&amp;IF(OR($AR380="",$AR380="-"),""," SEAM "&amp;$AR380)&amp;IF($AS380="Y"," ASTRAGAL","")&amp;IF($AJ380=""," "," "&amp;$AJ380)&amp;IF($AK380=""," "," "&amp;$AK380)&amp;IF($AO380="",""," "&amp;$AO380)&amp;IF($AM380=""," "," SERIES "&amp;$AM380)&amp;" "&amp;IFERROR(VLOOKUP($H380,CODES,2,FALSE),"")))</f>
        <v/>
      </c>
      <c r="BS380" s="49">
        <f>IF(BV380="","",IF(COUNTIF($BV$6:BV380,BV380)=1,MAX($BS$5:BS379)+1,INDEX($BS$5:BS379,MATCH(BV380,$BV$5:BV379,0))))</f>
        <v/>
      </c>
      <c r="BT380" s="49">
        <f>IF(NOT(AND($A380&lt;&gt;"",$C380&lt;&gt;"DOOR ONLY")),"",MAX($BT$5:BT379)+1)</f>
        <v/>
      </c>
      <c r="BU380" s="49">
        <f>IF(NOT(AND($A380&lt;&gt;"",N($BC380)&gt;0)),"",MAX($BU$5:BU379)+1)</f>
        <v/>
      </c>
      <c r="BV380" s="49">
        <f>IF(OR($A380="",$BA380="",$BB380=""),"",$AZ380&amp;"|"&amp;$O380&amp;"|"&amp;$AL380&amp;"|"&amp;$S380&amp;"|"&amp;$P380&amp;"|"&amp;$Q380&amp;$R380&amp;"|"&amp;$C380&amp;"|"&amp;$AB380)</f>
        <v/>
      </c>
      <c r="BW380" s="49">
        <f>IF($A380="","",IF($B380="","qty, ","")&amp;IF($C380="","scope, ","")&amp;IF(OR($K380="",$M380=""),"size, ","")&amp;IF(AND($A380&lt;&gt;"",$C380&lt;&gt;"DOOR ONLY"),IF($U380="","jamb depth, ","")&amp;IF($X380="","construction, ","")&amp;IF($Y380="","anchor, ","")&amp;IF($S380="","frame type, ",""),"")&amp;IF(AND(N($BC380)&gt;0,$Z380=""),"hand, ","")&amp;IF(N($BC380)&gt;0,IF($AH380="","door material, ","")&amp;IF($AL380="","face type, ","")&amp;IF($AQ380="","lock prep, ","")&amp;IF(AND($AP380="",$AC380=""),"hinge prep, ",""),"")&amp;IF(AND($BO380&gt;0,$AH380="FRP"),"FRP cannot carry a label, ","")&amp;IF(AND($O380="Y",OR($Z380="L",$Z380="R",$Z380="LR",$Z380="RR")),"pair marked but hand is single, ","")&amp;IF(AND($O380&lt;&gt;"Y",OR($Z380="PR",AND(LEN($Z380)&gt;1,ISNUMBER(SEARCH("-",$Z380))))),"pair hand on a single door, ","")&amp;IF(AND(ISNUMBER($BP380),$BO380&lt;N($BP380)),"wall needs a "&amp;$BP380&amp;" min door, ","")&amp;IF(AND($BO380&gt;=180,AND(OR($BL380="FG",$BL380="HG",$BL380="FNV",$BL380="FV"),N($BM380)*N($BN380)&gt;100)),"180 min lite over 100 sq in, ","")&amp;IF(N($BD380)&gt;48,"leaf wider than 4'-0"&amp;CHAR(34)&amp;", ",""))</f>
        <v/>
      </c>
      <c r="BX380" s="49">
        <f>IF($A380="","",IF(AND($BO380&gt;0,AND($A380&lt;&gt;"",$C380&lt;&gt;"DOOR ONLY"),$X380="KD",$E380="EXTERIOR"),"KD label on an exterior opening, ","")&amp;IF(AND($E380="EXTERIOR",OR(AND(AND($A380&lt;&gt;"",$C380&lt;&gt;"DOOR ONLY"),$W380="CR"),AND(N($BC380)&gt;0,$AH380="CR"))),"exterior in CR steel (G9?), ","")&amp;IF(AND(ISNUMBER($BJ380),N($BJ380)&lt;32),"clear width ~"&amp;TEXT($BJ380,"0.0")&amp;CHAR(34)&amp;" under 32"&amp;CHAR(34)&amp;" (ADA), ","")&amp;IF(AND($BO380=90,AND(OR($BL380="FG",$BL380="HG",$BL380="FNV",$BL380="FV"),N($BM380)*N($BN380)&gt;100)),"90 min lite over 100 sq in (stair/exit), ","")&amp;IF(AND($BO380&gt;0,AND($A380&lt;&gt;"",$C380&lt;&gt;"DOOR ONLY"),OR($AF380="",$AF380="-")),"rated: closer reinf.?, ","")&amp;IF(OR($I380="CORRIDOR",$I380="SMOKE BARRIER"),"S label + smoke gasketing, ","")&amp;IF($BP380="?","wall type/hr not in IBC table, ","")&amp;IF(AND(N($BC380)&gt;0,$AU380=""),"no hardware set, ","")&amp;IF(AND($AU380&lt;&gt;"",ISNA(MATCH($AU380,HWSets,0))),"set "&amp;$AU380&amp;" not on Hardware sheet, ","")&amp;IF(N($BE380)&gt;96,"leaf over 8'-0"&amp;CHAR(34)&amp;" - check listing, ",""))</f>
        <v/>
      </c>
    </row>
    <row r="381" ht="15" customHeight="1">
      <c r="A381" s="44" t="n"/>
      <c r="B381" s="45" t="n"/>
      <c r="C381" s="45" t="n"/>
      <c r="D381" s="45" t="n"/>
      <c r="E381" s="45" t="n"/>
      <c r="F381" s="45" t="n"/>
      <c r="G381" s="45" t="n"/>
      <c r="H381" s="45" t="n"/>
      <c r="I381" s="45" t="n"/>
      <c r="J381" s="45" t="n"/>
      <c r="K381" s="45" t="n"/>
      <c r="L381" s="45" t="n"/>
      <c r="M381" s="45" t="n"/>
      <c r="N381" s="45" t="n"/>
      <c r="O381" s="45" t="n"/>
      <c r="P381" s="45" t="n"/>
      <c r="Q381" s="45" t="n"/>
      <c r="R381" s="45" t="n"/>
      <c r="S381" s="46" t="n"/>
      <c r="T381" s="46" t="n"/>
      <c r="U381" s="46" t="n"/>
      <c r="V381" s="46" t="n"/>
      <c r="W381" s="46" t="n"/>
      <c r="X381" s="46" t="n"/>
      <c r="Y381" s="46" t="n"/>
      <c r="Z381" s="46" t="n"/>
      <c r="AA381" s="46" t="n"/>
      <c r="AB381" s="46" t="n"/>
      <c r="AC381" s="46" t="n"/>
      <c r="AD381" s="46" t="n"/>
      <c r="AE381" s="46" t="n"/>
      <c r="AF381" s="46" t="n"/>
      <c r="AG381" s="46" t="n"/>
      <c r="AH381" s="47" t="n"/>
      <c r="AI381" s="47" t="n"/>
      <c r="AJ381" s="47" t="n"/>
      <c r="AK381" s="47" t="n"/>
      <c r="AL381" s="47" t="n"/>
      <c r="AM381" s="47" t="n"/>
      <c r="AN381" s="47" t="n"/>
      <c r="AO381" s="47" t="n"/>
      <c r="AP381" s="47" t="n"/>
      <c r="AQ381" s="47" t="n"/>
      <c r="AR381" s="47" t="n"/>
      <c r="AS381" s="47" t="n"/>
      <c r="AT381" s="47" t="n"/>
      <c r="AU381" s="48" t="n"/>
      <c r="AV381" s="48" t="n"/>
      <c r="AW381" s="49">
        <f>IF($A381="","",IF($BW381&lt;&gt;"","FIX",IF($BX381&lt;&gt;"","CHECK","OK")))</f>
        <v/>
      </c>
      <c r="AX381" s="50">
        <f>IF($A381="","",IF($BW381&lt;&gt;"","FIX: "&amp;LEFT($BW381,LEN($BW381)-2)&amp;IF($BX381&lt;&gt;"","  ·  ",""),"")&amp;IF($BX381&lt;&gt;"","CHECK: "&amp;LEFT($BX381,LEN($BX381)-2),""))</f>
        <v/>
      </c>
      <c r="AY381" s="49">
        <f>IF(OR($A381="",$K381=""),"",$K381&amp;"'-"&amp;N($L381)&amp;CHAR(34)&amp;" x "&amp;$M381&amp;"'-"&amp;N($N381)&amp;CHAR(34))</f>
        <v/>
      </c>
      <c r="AZ381" s="49">
        <f>IF(OR($A381="",$K381=""),"",$K381&amp;N($L381)&amp;$M381&amp;N($N381))</f>
        <v/>
      </c>
      <c r="BA381" s="49">
        <f>IF(OR($A381="",$K381=""),"",$K381*12+N($L381))</f>
        <v/>
      </c>
      <c r="BB381" s="49">
        <f>IF(OR($A381="",$M381=""),"",$M381*12+N($N381))</f>
        <v/>
      </c>
      <c r="BC381" s="49">
        <f>IF($A381="","",IF(OR($C381="FRAME ONLY",$S381="BL"),0,IF($O381="Y",2,1)))</f>
        <v/>
      </c>
      <c r="BD381" s="51">
        <f>IF(OR(N($BC381)=0,$BA381=""),"",($BA381-2*EdgeClr-IF($BC381=2,MeetClr,0))/$BC381)</f>
        <v/>
      </c>
      <c r="BE381" s="51">
        <f>IF(OR(N($BC381)=0,$BB381=""),"",$BB381-HeadClr-Undercut)</f>
        <v/>
      </c>
      <c r="BF381" s="51">
        <f>IF($BA381="","",$BA381+2*FaceW+IF(N($Q381)&gt;0,($Q381+FaceW)*IF($R381="LR",2,1),0))</f>
        <v/>
      </c>
      <c r="BG381" s="51">
        <f>IF($BB381="","",$BB381+IF($AB381="Y",4,FaceW)+IF(N($P381)&gt;0,$P381+FaceW,0)+IF(OR($S381="4F",$S381="BL"),FaceW,0))</f>
        <v/>
      </c>
      <c r="BH381" s="51">
        <f>IF($BF381="","",$BF381+2*ROSide)</f>
        <v/>
      </c>
      <c r="BI381" s="51">
        <f>IF($BG381="","",$BG381+ROTop)</f>
        <v/>
      </c>
      <c r="BJ381" s="52">
        <f>IF(OR(N($BC381)=0,$BA381=""),"",$BA381/$BC381-ClearDeduct)</f>
        <v/>
      </c>
      <c r="BK381" s="49">
        <f>IF(OR(N($BC381)=0,$BE381=""),"",IF(OR($AC381="HGC",$AP381="HGC"),"CONT",IF($BE381&lt;=60,2,IF($BE381&lt;=90,3,IF($BE381&lt;=120,4,5)))))</f>
        <v/>
      </c>
      <c r="BL381" s="49">
        <f>IF(N($BC381)=0,"",IF(OR($AL381="",$AL381="FLUSH"),"FLUSH",IFERROR(LEFT($AL381,FIND("-",$AL381)-1),LEFT($AL381,2))))</f>
        <v/>
      </c>
      <c r="BM381" s="49">
        <f>IF($BL381="","",IFERROR(VALUE(MID($AL381,FIND("-",$AL381)+1,FIND(CHAR(34)&amp;"x",$AL381)-FIND("-",$AL381)-1)),0))</f>
        <v/>
      </c>
      <c r="BN381" s="49">
        <f>IF($BL381="","",IFERROR(VALUE(MID($AL381,FIND(CHAR(34)&amp;"x",$AL381)+2,FIND(CHAR(34),$AL381,FIND(CHAR(34)&amp;"x",$AL381)+2)-FIND(CHAR(34)&amp;"x",$AL381)-2)),0))</f>
        <v/>
      </c>
      <c r="BO381" s="53">
        <f>IF(OR($A381="",$H381="",$H381="NO LAB"),0,IFERROR(VALUE(LEFT($H381,FIND(" ",$H381)-1)),0))</f>
        <v/>
      </c>
      <c r="BP381" s="54">
        <f>IF(OR($A381="",$I381="",$I381="NON-RATED",N($J381)=0),"",IFERROR(VLOOKUP($I381&amp;"|"&amp;$J381,IBC,2,FALSE),"?"))</f>
        <v/>
      </c>
      <c r="BQ381" s="50">
        <f>IF(NOT(AND($A381&lt;&gt;"",$C381&lt;&gt;"DOOR ONLY")),"",TRIM(IFERROR(VLOOKUP($U381,CODES,2,FALSE),"")&amp;" "&amp;$AZ381&amp;" "&amp;IFERROR(VLOOKUP($Z381,CODES,2,FALSE),"")&amp;" "&amp;IFERROR(VLOOKUP($X381,CODES,2,FALSE),"")&amp;" "&amp;IFERROR(VLOOKUP($S381,CODES,2,FALSE),"")&amp;IF(N($P381)&gt;0," w/TRANSOM "&amp;$P381&amp;CHAR(34),"")&amp;IF(N($Q381)&gt;0," w/SIDELITE "&amp;$Q381&amp;CHAR(34)&amp;" "&amp;IF($R381="","R",$R381),"")&amp;IF($Y381="","  |  "," | "&amp;IFERROR(VLOOKUP($Y381,CODES,2,FALSE),"")&amp;" | ")&amp;IFERROR(VLOOKUP($AC381,CODES,2,FALSE),"")&amp;" "&amp;IFERROR(VLOOKUP($AD381,CODES,2,FALSE),"")&amp;IF(OR($AE381="",$AE381="-"),""," "&amp;$AE381)&amp;IF(OR($AF381="",$AF381="-"),""," "&amp;$AF381)&amp;IF($AB381="Y"," 4"&amp;CHAR(34)&amp;" HEAD","")&amp;" "&amp;IFERROR(VLOOKUP($H381,CODES,2,FALSE),"")))</f>
        <v/>
      </c>
      <c r="BR381" s="50">
        <f>IF(NOT(AND($A381&lt;&gt;"",N($BC381)&gt;0)),"",TRIM(IFERROR(VLOOKUP($AH381,CODES,2,FALSE),"")&amp;IF($AI381=""," "," "&amp;$AI381&amp;"GA ")&amp;$AZ381&amp;" "&amp;IF($AN381="",IFERROR(VLOOKUP($Z381,CODES,2,FALSE),""),IFERROR(VLOOKUP($AN381,CODES,2,FALSE),""))&amp;IF($BC381=2," PAIR","")&amp;" DOOR | "&amp;IF($AL381="","?",$AL381)&amp;" | "&amp;IF($AP381="",IFERROR(VLOOKUP($AC381,CODES,2,FALSE),""),IFERROR(VLOOKUP($AP381,CODES,2,FALSE),""))&amp;" "&amp;IFERROR(VLOOKUP($AQ381,CODES,2,FALSE),"")&amp;IF(OR($AR381="",$AR381="-"),""," SEAM "&amp;$AR381)&amp;IF($AS381="Y"," ASTRAGAL","")&amp;IF($AJ381=""," "," "&amp;$AJ381)&amp;IF($AK381=""," "," "&amp;$AK381)&amp;IF($AO381="",""," "&amp;$AO381)&amp;IF($AM381=""," "," SERIES "&amp;$AM381)&amp;" "&amp;IFERROR(VLOOKUP($H381,CODES,2,FALSE),"")))</f>
        <v/>
      </c>
      <c r="BS381" s="49">
        <f>IF(BV381="","",IF(COUNTIF($BV$6:BV381,BV381)=1,MAX($BS$5:BS380)+1,INDEX($BS$5:BS380,MATCH(BV381,$BV$5:BV380,0))))</f>
        <v/>
      </c>
      <c r="BT381" s="49">
        <f>IF(NOT(AND($A381&lt;&gt;"",$C381&lt;&gt;"DOOR ONLY")),"",MAX($BT$5:BT380)+1)</f>
        <v/>
      </c>
      <c r="BU381" s="49">
        <f>IF(NOT(AND($A381&lt;&gt;"",N($BC381)&gt;0)),"",MAX($BU$5:BU380)+1)</f>
        <v/>
      </c>
      <c r="BV381" s="49">
        <f>IF(OR($A381="",$BA381="",$BB381=""),"",$AZ381&amp;"|"&amp;$O381&amp;"|"&amp;$AL381&amp;"|"&amp;$S381&amp;"|"&amp;$P381&amp;"|"&amp;$Q381&amp;$R381&amp;"|"&amp;$C381&amp;"|"&amp;$AB381)</f>
        <v/>
      </c>
      <c r="BW381" s="49">
        <f>IF($A381="","",IF($B381="","qty, ","")&amp;IF($C381="","scope, ","")&amp;IF(OR($K381="",$M381=""),"size, ","")&amp;IF(AND($A381&lt;&gt;"",$C381&lt;&gt;"DOOR ONLY"),IF($U381="","jamb depth, ","")&amp;IF($X381="","construction, ","")&amp;IF($Y381="","anchor, ","")&amp;IF($S381="","frame type, ",""),"")&amp;IF(AND(N($BC381)&gt;0,$Z381=""),"hand, ","")&amp;IF(N($BC381)&gt;0,IF($AH381="","door material, ","")&amp;IF($AL381="","face type, ","")&amp;IF($AQ381="","lock prep, ","")&amp;IF(AND($AP381="",$AC381=""),"hinge prep, ",""),"")&amp;IF(AND($BO381&gt;0,$AH381="FRP"),"FRP cannot carry a label, ","")&amp;IF(AND($O381="Y",OR($Z381="L",$Z381="R",$Z381="LR",$Z381="RR")),"pair marked but hand is single, ","")&amp;IF(AND($O381&lt;&gt;"Y",OR($Z381="PR",AND(LEN($Z381)&gt;1,ISNUMBER(SEARCH("-",$Z381))))),"pair hand on a single door, ","")&amp;IF(AND(ISNUMBER($BP381),$BO381&lt;N($BP381)),"wall needs a "&amp;$BP381&amp;" min door, ","")&amp;IF(AND($BO381&gt;=180,AND(OR($BL381="FG",$BL381="HG",$BL381="FNV",$BL381="FV"),N($BM381)*N($BN381)&gt;100)),"180 min lite over 100 sq in, ","")&amp;IF(N($BD381)&gt;48,"leaf wider than 4'-0"&amp;CHAR(34)&amp;", ",""))</f>
        <v/>
      </c>
      <c r="BX381" s="49">
        <f>IF($A381="","",IF(AND($BO381&gt;0,AND($A381&lt;&gt;"",$C381&lt;&gt;"DOOR ONLY"),$X381="KD",$E381="EXTERIOR"),"KD label on an exterior opening, ","")&amp;IF(AND($E381="EXTERIOR",OR(AND(AND($A381&lt;&gt;"",$C381&lt;&gt;"DOOR ONLY"),$W381="CR"),AND(N($BC381)&gt;0,$AH381="CR"))),"exterior in CR steel (G9?), ","")&amp;IF(AND(ISNUMBER($BJ381),N($BJ381)&lt;32),"clear width ~"&amp;TEXT($BJ381,"0.0")&amp;CHAR(34)&amp;" under 32"&amp;CHAR(34)&amp;" (ADA), ","")&amp;IF(AND($BO381=90,AND(OR($BL381="FG",$BL381="HG",$BL381="FNV",$BL381="FV"),N($BM381)*N($BN381)&gt;100)),"90 min lite over 100 sq in (stair/exit), ","")&amp;IF(AND($BO381&gt;0,AND($A381&lt;&gt;"",$C381&lt;&gt;"DOOR ONLY"),OR($AF381="",$AF381="-")),"rated: closer reinf.?, ","")&amp;IF(OR($I381="CORRIDOR",$I381="SMOKE BARRIER"),"S label + smoke gasketing, ","")&amp;IF($BP381="?","wall type/hr not in IBC table, ","")&amp;IF(AND(N($BC381)&gt;0,$AU381=""),"no hardware set, ","")&amp;IF(AND($AU381&lt;&gt;"",ISNA(MATCH($AU381,HWSets,0))),"set "&amp;$AU381&amp;" not on Hardware sheet, ","")&amp;IF(N($BE381)&gt;96,"leaf over 8'-0"&amp;CHAR(34)&amp;" - check listing, ",""))</f>
        <v/>
      </c>
    </row>
    <row r="382" ht="15" customHeight="1">
      <c r="A382" s="44" t="n"/>
      <c r="B382" s="45" t="n"/>
      <c r="C382" s="45" t="n"/>
      <c r="D382" s="45" t="n"/>
      <c r="E382" s="45" t="n"/>
      <c r="F382" s="45" t="n"/>
      <c r="G382" s="45" t="n"/>
      <c r="H382" s="45" t="n"/>
      <c r="I382" s="45" t="n"/>
      <c r="J382" s="45" t="n"/>
      <c r="K382" s="45" t="n"/>
      <c r="L382" s="45" t="n"/>
      <c r="M382" s="45" t="n"/>
      <c r="N382" s="45" t="n"/>
      <c r="O382" s="45" t="n"/>
      <c r="P382" s="45" t="n"/>
      <c r="Q382" s="45" t="n"/>
      <c r="R382" s="45" t="n"/>
      <c r="S382" s="46" t="n"/>
      <c r="T382" s="46" t="n"/>
      <c r="U382" s="46" t="n"/>
      <c r="V382" s="46" t="n"/>
      <c r="W382" s="46" t="n"/>
      <c r="X382" s="46" t="n"/>
      <c r="Y382" s="46" t="n"/>
      <c r="Z382" s="46" t="n"/>
      <c r="AA382" s="46" t="n"/>
      <c r="AB382" s="46" t="n"/>
      <c r="AC382" s="46" t="n"/>
      <c r="AD382" s="46" t="n"/>
      <c r="AE382" s="46" t="n"/>
      <c r="AF382" s="46" t="n"/>
      <c r="AG382" s="46" t="n"/>
      <c r="AH382" s="47" t="n"/>
      <c r="AI382" s="47" t="n"/>
      <c r="AJ382" s="47" t="n"/>
      <c r="AK382" s="47" t="n"/>
      <c r="AL382" s="47" t="n"/>
      <c r="AM382" s="47" t="n"/>
      <c r="AN382" s="47" t="n"/>
      <c r="AO382" s="47" t="n"/>
      <c r="AP382" s="47" t="n"/>
      <c r="AQ382" s="47" t="n"/>
      <c r="AR382" s="47" t="n"/>
      <c r="AS382" s="47" t="n"/>
      <c r="AT382" s="47" t="n"/>
      <c r="AU382" s="48" t="n"/>
      <c r="AV382" s="48" t="n"/>
      <c r="AW382" s="49">
        <f>IF($A382="","",IF($BW382&lt;&gt;"","FIX",IF($BX382&lt;&gt;"","CHECK","OK")))</f>
        <v/>
      </c>
      <c r="AX382" s="50">
        <f>IF($A382="","",IF($BW382&lt;&gt;"","FIX: "&amp;LEFT($BW382,LEN($BW382)-2)&amp;IF($BX382&lt;&gt;"","  ·  ",""),"")&amp;IF($BX382&lt;&gt;"","CHECK: "&amp;LEFT($BX382,LEN($BX382)-2),""))</f>
        <v/>
      </c>
      <c r="AY382" s="49">
        <f>IF(OR($A382="",$K382=""),"",$K382&amp;"'-"&amp;N($L382)&amp;CHAR(34)&amp;" x "&amp;$M382&amp;"'-"&amp;N($N382)&amp;CHAR(34))</f>
        <v/>
      </c>
      <c r="AZ382" s="49">
        <f>IF(OR($A382="",$K382=""),"",$K382&amp;N($L382)&amp;$M382&amp;N($N382))</f>
        <v/>
      </c>
      <c r="BA382" s="49">
        <f>IF(OR($A382="",$K382=""),"",$K382*12+N($L382))</f>
        <v/>
      </c>
      <c r="BB382" s="49">
        <f>IF(OR($A382="",$M382=""),"",$M382*12+N($N382))</f>
        <v/>
      </c>
      <c r="BC382" s="49">
        <f>IF($A382="","",IF(OR($C382="FRAME ONLY",$S382="BL"),0,IF($O382="Y",2,1)))</f>
        <v/>
      </c>
      <c r="BD382" s="51">
        <f>IF(OR(N($BC382)=0,$BA382=""),"",($BA382-2*EdgeClr-IF($BC382=2,MeetClr,0))/$BC382)</f>
        <v/>
      </c>
      <c r="BE382" s="51">
        <f>IF(OR(N($BC382)=0,$BB382=""),"",$BB382-HeadClr-Undercut)</f>
        <v/>
      </c>
      <c r="BF382" s="51">
        <f>IF($BA382="","",$BA382+2*FaceW+IF(N($Q382)&gt;0,($Q382+FaceW)*IF($R382="LR",2,1),0))</f>
        <v/>
      </c>
      <c r="BG382" s="51">
        <f>IF($BB382="","",$BB382+IF($AB382="Y",4,FaceW)+IF(N($P382)&gt;0,$P382+FaceW,0)+IF(OR($S382="4F",$S382="BL"),FaceW,0))</f>
        <v/>
      </c>
      <c r="BH382" s="51">
        <f>IF($BF382="","",$BF382+2*ROSide)</f>
        <v/>
      </c>
      <c r="BI382" s="51">
        <f>IF($BG382="","",$BG382+ROTop)</f>
        <v/>
      </c>
      <c r="BJ382" s="52">
        <f>IF(OR(N($BC382)=0,$BA382=""),"",$BA382/$BC382-ClearDeduct)</f>
        <v/>
      </c>
      <c r="BK382" s="49">
        <f>IF(OR(N($BC382)=0,$BE382=""),"",IF(OR($AC382="HGC",$AP382="HGC"),"CONT",IF($BE382&lt;=60,2,IF($BE382&lt;=90,3,IF($BE382&lt;=120,4,5)))))</f>
        <v/>
      </c>
      <c r="BL382" s="49">
        <f>IF(N($BC382)=0,"",IF(OR($AL382="",$AL382="FLUSH"),"FLUSH",IFERROR(LEFT($AL382,FIND("-",$AL382)-1),LEFT($AL382,2))))</f>
        <v/>
      </c>
      <c r="BM382" s="49">
        <f>IF($BL382="","",IFERROR(VALUE(MID($AL382,FIND("-",$AL382)+1,FIND(CHAR(34)&amp;"x",$AL382)-FIND("-",$AL382)-1)),0))</f>
        <v/>
      </c>
      <c r="BN382" s="49">
        <f>IF($BL382="","",IFERROR(VALUE(MID($AL382,FIND(CHAR(34)&amp;"x",$AL382)+2,FIND(CHAR(34),$AL382,FIND(CHAR(34)&amp;"x",$AL382)+2)-FIND(CHAR(34)&amp;"x",$AL382)-2)),0))</f>
        <v/>
      </c>
      <c r="BO382" s="53">
        <f>IF(OR($A382="",$H382="",$H382="NO LAB"),0,IFERROR(VALUE(LEFT($H382,FIND(" ",$H382)-1)),0))</f>
        <v/>
      </c>
      <c r="BP382" s="54">
        <f>IF(OR($A382="",$I382="",$I382="NON-RATED",N($J382)=0),"",IFERROR(VLOOKUP($I382&amp;"|"&amp;$J382,IBC,2,FALSE),"?"))</f>
        <v/>
      </c>
      <c r="BQ382" s="50">
        <f>IF(NOT(AND($A382&lt;&gt;"",$C382&lt;&gt;"DOOR ONLY")),"",TRIM(IFERROR(VLOOKUP($U382,CODES,2,FALSE),"")&amp;" "&amp;$AZ382&amp;" "&amp;IFERROR(VLOOKUP($Z382,CODES,2,FALSE),"")&amp;" "&amp;IFERROR(VLOOKUP($X382,CODES,2,FALSE),"")&amp;" "&amp;IFERROR(VLOOKUP($S382,CODES,2,FALSE),"")&amp;IF(N($P382)&gt;0," w/TRANSOM "&amp;$P382&amp;CHAR(34),"")&amp;IF(N($Q382)&gt;0," w/SIDELITE "&amp;$Q382&amp;CHAR(34)&amp;" "&amp;IF($R382="","R",$R382),"")&amp;IF($Y382="","  |  "," | "&amp;IFERROR(VLOOKUP($Y382,CODES,2,FALSE),"")&amp;" | ")&amp;IFERROR(VLOOKUP($AC382,CODES,2,FALSE),"")&amp;" "&amp;IFERROR(VLOOKUP($AD382,CODES,2,FALSE),"")&amp;IF(OR($AE382="",$AE382="-"),""," "&amp;$AE382)&amp;IF(OR($AF382="",$AF382="-"),""," "&amp;$AF382)&amp;IF($AB382="Y"," 4"&amp;CHAR(34)&amp;" HEAD","")&amp;" "&amp;IFERROR(VLOOKUP($H382,CODES,2,FALSE),"")))</f>
        <v/>
      </c>
      <c r="BR382" s="50">
        <f>IF(NOT(AND($A382&lt;&gt;"",N($BC382)&gt;0)),"",TRIM(IFERROR(VLOOKUP($AH382,CODES,2,FALSE),"")&amp;IF($AI382=""," "," "&amp;$AI382&amp;"GA ")&amp;$AZ382&amp;" "&amp;IF($AN382="",IFERROR(VLOOKUP($Z382,CODES,2,FALSE),""),IFERROR(VLOOKUP($AN382,CODES,2,FALSE),""))&amp;IF($BC382=2," PAIR","")&amp;" DOOR | "&amp;IF($AL382="","?",$AL382)&amp;" | "&amp;IF($AP382="",IFERROR(VLOOKUP($AC382,CODES,2,FALSE),""),IFERROR(VLOOKUP($AP382,CODES,2,FALSE),""))&amp;" "&amp;IFERROR(VLOOKUP($AQ382,CODES,2,FALSE),"")&amp;IF(OR($AR382="",$AR382="-"),""," SEAM "&amp;$AR382)&amp;IF($AS382="Y"," ASTRAGAL","")&amp;IF($AJ382=""," "," "&amp;$AJ382)&amp;IF($AK382=""," "," "&amp;$AK382)&amp;IF($AO382="",""," "&amp;$AO382)&amp;IF($AM382=""," "," SERIES "&amp;$AM382)&amp;" "&amp;IFERROR(VLOOKUP($H382,CODES,2,FALSE),"")))</f>
        <v/>
      </c>
      <c r="BS382" s="49">
        <f>IF(BV382="","",IF(COUNTIF($BV$6:BV382,BV382)=1,MAX($BS$5:BS381)+1,INDEX($BS$5:BS381,MATCH(BV382,$BV$5:BV381,0))))</f>
        <v/>
      </c>
      <c r="BT382" s="49">
        <f>IF(NOT(AND($A382&lt;&gt;"",$C382&lt;&gt;"DOOR ONLY")),"",MAX($BT$5:BT381)+1)</f>
        <v/>
      </c>
      <c r="BU382" s="49">
        <f>IF(NOT(AND($A382&lt;&gt;"",N($BC382)&gt;0)),"",MAX($BU$5:BU381)+1)</f>
        <v/>
      </c>
      <c r="BV382" s="49">
        <f>IF(OR($A382="",$BA382="",$BB382=""),"",$AZ382&amp;"|"&amp;$O382&amp;"|"&amp;$AL382&amp;"|"&amp;$S382&amp;"|"&amp;$P382&amp;"|"&amp;$Q382&amp;$R382&amp;"|"&amp;$C382&amp;"|"&amp;$AB382)</f>
        <v/>
      </c>
      <c r="BW382" s="49">
        <f>IF($A382="","",IF($B382="","qty, ","")&amp;IF($C382="","scope, ","")&amp;IF(OR($K382="",$M382=""),"size, ","")&amp;IF(AND($A382&lt;&gt;"",$C382&lt;&gt;"DOOR ONLY"),IF($U382="","jamb depth, ","")&amp;IF($X382="","construction, ","")&amp;IF($Y382="","anchor, ","")&amp;IF($S382="","frame type, ",""),"")&amp;IF(AND(N($BC382)&gt;0,$Z382=""),"hand, ","")&amp;IF(N($BC382)&gt;0,IF($AH382="","door material, ","")&amp;IF($AL382="","face type, ","")&amp;IF($AQ382="","lock prep, ","")&amp;IF(AND($AP382="",$AC382=""),"hinge prep, ",""),"")&amp;IF(AND($BO382&gt;0,$AH382="FRP"),"FRP cannot carry a label, ","")&amp;IF(AND($O382="Y",OR($Z382="L",$Z382="R",$Z382="LR",$Z382="RR")),"pair marked but hand is single, ","")&amp;IF(AND($O382&lt;&gt;"Y",OR($Z382="PR",AND(LEN($Z382)&gt;1,ISNUMBER(SEARCH("-",$Z382))))),"pair hand on a single door, ","")&amp;IF(AND(ISNUMBER($BP382),$BO382&lt;N($BP382)),"wall needs a "&amp;$BP382&amp;" min door, ","")&amp;IF(AND($BO382&gt;=180,AND(OR($BL382="FG",$BL382="HG",$BL382="FNV",$BL382="FV"),N($BM382)*N($BN382)&gt;100)),"180 min lite over 100 sq in, ","")&amp;IF(N($BD382)&gt;48,"leaf wider than 4'-0"&amp;CHAR(34)&amp;", ",""))</f>
        <v/>
      </c>
      <c r="BX382" s="49">
        <f>IF($A382="","",IF(AND($BO382&gt;0,AND($A382&lt;&gt;"",$C382&lt;&gt;"DOOR ONLY"),$X382="KD",$E382="EXTERIOR"),"KD label on an exterior opening, ","")&amp;IF(AND($E382="EXTERIOR",OR(AND(AND($A382&lt;&gt;"",$C382&lt;&gt;"DOOR ONLY"),$W382="CR"),AND(N($BC382)&gt;0,$AH382="CR"))),"exterior in CR steel (G9?), ","")&amp;IF(AND(ISNUMBER($BJ382),N($BJ382)&lt;32),"clear width ~"&amp;TEXT($BJ382,"0.0")&amp;CHAR(34)&amp;" under 32"&amp;CHAR(34)&amp;" (ADA), ","")&amp;IF(AND($BO382=90,AND(OR($BL382="FG",$BL382="HG",$BL382="FNV",$BL382="FV"),N($BM382)*N($BN382)&gt;100)),"90 min lite over 100 sq in (stair/exit), ","")&amp;IF(AND($BO382&gt;0,AND($A382&lt;&gt;"",$C382&lt;&gt;"DOOR ONLY"),OR($AF382="",$AF382="-")),"rated: closer reinf.?, ","")&amp;IF(OR($I382="CORRIDOR",$I382="SMOKE BARRIER"),"S label + smoke gasketing, ","")&amp;IF($BP382="?","wall type/hr not in IBC table, ","")&amp;IF(AND(N($BC382)&gt;0,$AU382=""),"no hardware set, ","")&amp;IF(AND($AU382&lt;&gt;"",ISNA(MATCH($AU382,HWSets,0))),"set "&amp;$AU382&amp;" not on Hardware sheet, ","")&amp;IF(N($BE382)&gt;96,"leaf over 8'-0"&amp;CHAR(34)&amp;" - check listing, ",""))</f>
        <v/>
      </c>
    </row>
    <row r="383" ht="15" customHeight="1">
      <c r="A383" s="44" t="n"/>
      <c r="B383" s="45" t="n"/>
      <c r="C383" s="45" t="n"/>
      <c r="D383" s="45" t="n"/>
      <c r="E383" s="45" t="n"/>
      <c r="F383" s="45" t="n"/>
      <c r="G383" s="45" t="n"/>
      <c r="H383" s="45" t="n"/>
      <c r="I383" s="45" t="n"/>
      <c r="J383" s="45" t="n"/>
      <c r="K383" s="45" t="n"/>
      <c r="L383" s="45" t="n"/>
      <c r="M383" s="45" t="n"/>
      <c r="N383" s="45" t="n"/>
      <c r="O383" s="45" t="n"/>
      <c r="P383" s="45" t="n"/>
      <c r="Q383" s="45" t="n"/>
      <c r="R383" s="45" t="n"/>
      <c r="S383" s="46" t="n"/>
      <c r="T383" s="46" t="n"/>
      <c r="U383" s="46" t="n"/>
      <c r="V383" s="46" t="n"/>
      <c r="W383" s="46" t="n"/>
      <c r="X383" s="46" t="n"/>
      <c r="Y383" s="46" t="n"/>
      <c r="Z383" s="46" t="n"/>
      <c r="AA383" s="46" t="n"/>
      <c r="AB383" s="46" t="n"/>
      <c r="AC383" s="46" t="n"/>
      <c r="AD383" s="46" t="n"/>
      <c r="AE383" s="46" t="n"/>
      <c r="AF383" s="46" t="n"/>
      <c r="AG383" s="46" t="n"/>
      <c r="AH383" s="47" t="n"/>
      <c r="AI383" s="47" t="n"/>
      <c r="AJ383" s="47" t="n"/>
      <c r="AK383" s="47" t="n"/>
      <c r="AL383" s="47" t="n"/>
      <c r="AM383" s="47" t="n"/>
      <c r="AN383" s="47" t="n"/>
      <c r="AO383" s="47" t="n"/>
      <c r="AP383" s="47" t="n"/>
      <c r="AQ383" s="47" t="n"/>
      <c r="AR383" s="47" t="n"/>
      <c r="AS383" s="47" t="n"/>
      <c r="AT383" s="47" t="n"/>
      <c r="AU383" s="48" t="n"/>
      <c r="AV383" s="48" t="n"/>
      <c r="AW383" s="49">
        <f>IF($A383="","",IF($BW383&lt;&gt;"","FIX",IF($BX383&lt;&gt;"","CHECK","OK")))</f>
        <v/>
      </c>
      <c r="AX383" s="50">
        <f>IF($A383="","",IF($BW383&lt;&gt;"","FIX: "&amp;LEFT($BW383,LEN($BW383)-2)&amp;IF($BX383&lt;&gt;"","  ·  ",""),"")&amp;IF($BX383&lt;&gt;"","CHECK: "&amp;LEFT($BX383,LEN($BX383)-2),""))</f>
        <v/>
      </c>
      <c r="AY383" s="49">
        <f>IF(OR($A383="",$K383=""),"",$K383&amp;"'-"&amp;N($L383)&amp;CHAR(34)&amp;" x "&amp;$M383&amp;"'-"&amp;N($N383)&amp;CHAR(34))</f>
        <v/>
      </c>
      <c r="AZ383" s="49">
        <f>IF(OR($A383="",$K383=""),"",$K383&amp;N($L383)&amp;$M383&amp;N($N383))</f>
        <v/>
      </c>
      <c r="BA383" s="49">
        <f>IF(OR($A383="",$K383=""),"",$K383*12+N($L383))</f>
        <v/>
      </c>
      <c r="BB383" s="49">
        <f>IF(OR($A383="",$M383=""),"",$M383*12+N($N383))</f>
        <v/>
      </c>
      <c r="BC383" s="49">
        <f>IF($A383="","",IF(OR($C383="FRAME ONLY",$S383="BL"),0,IF($O383="Y",2,1)))</f>
        <v/>
      </c>
      <c r="BD383" s="51">
        <f>IF(OR(N($BC383)=0,$BA383=""),"",($BA383-2*EdgeClr-IF($BC383=2,MeetClr,0))/$BC383)</f>
        <v/>
      </c>
      <c r="BE383" s="51">
        <f>IF(OR(N($BC383)=0,$BB383=""),"",$BB383-HeadClr-Undercut)</f>
        <v/>
      </c>
      <c r="BF383" s="51">
        <f>IF($BA383="","",$BA383+2*FaceW+IF(N($Q383)&gt;0,($Q383+FaceW)*IF($R383="LR",2,1),0))</f>
        <v/>
      </c>
      <c r="BG383" s="51">
        <f>IF($BB383="","",$BB383+IF($AB383="Y",4,FaceW)+IF(N($P383)&gt;0,$P383+FaceW,0)+IF(OR($S383="4F",$S383="BL"),FaceW,0))</f>
        <v/>
      </c>
      <c r="BH383" s="51">
        <f>IF($BF383="","",$BF383+2*ROSide)</f>
        <v/>
      </c>
      <c r="BI383" s="51">
        <f>IF($BG383="","",$BG383+ROTop)</f>
        <v/>
      </c>
      <c r="BJ383" s="52">
        <f>IF(OR(N($BC383)=0,$BA383=""),"",$BA383/$BC383-ClearDeduct)</f>
        <v/>
      </c>
      <c r="BK383" s="49">
        <f>IF(OR(N($BC383)=0,$BE383=""),"",IF(OR($AC383="HGC",$AP383="HGC"),"CONT",IF($BE383&lt;=60,2,IF($BE383&lt;=90,3,IF($BE383&lt;=120,4,5)))))</f>
        <v/>
      </c>
      <c r="BL383" s="49">
        <f>IF(N($BC383)=0,"",IF(OR($AL383="",$AL383="FLUSH"),"FLUSH",IFERROR(LEFT($AL383,FIND("-",$AL383)-1),LEFT($AL383,2))))</f>
        <v/>
      </c>
      <c r="BM383" s="49">
        <f>IF($BL383="","",IFERROR(VALUE(MID($AL383,FIND("-",$AL383)+1,FIND(CHAR(34)&amp;"x",$AL383)-FIND("-",$AL383)-1)),0))</f>
        <v/>
      </c>
      <c r="BN383" s="49">
        <f>IF($BL383="","",IFERROR(VALUE(MID($AL383,FIND(CHAR(34)&amp;"x",$AL383)+2,FIND(CHAR(34),$AL383,FIND(CHAR(34)&amp;"x",$AL383)+2)-FIND(CHAR(34)&amp;"x",$AL383)-2)),0))</f>
        <v/>
      </c>
      <c r="BO383" s="53">
        <f>IF(OR($A383="",$H383="",$H383="NO LAB"),0,IFERROR(VALUE(LEFT($H383,FIND(" ",$H383)-1)),0))</f>
        <v/>
      </c>
      <c r="BP383" s="54">
        <f>IF(OR($A383="",$I383="",$I383="NON-RATED",N($J383)=0),"",IFERROR(VLOOKUP($I383&amp;"|"&amp;$J383,IBC,2,FALSE),"?"))</f>
        <v/>
      </c>
      <c r="BQ383" s="50">
        <f>IF(NOT(AND($A383&lt;&gt;"",$C383&lt;&gt;"DOOR ONLY")),"",TRIM(IFERROR(VLOOKUP($U383,CODES,2,FALSE),"")&amp;" "&amp;$AZ383&amp;" "&amp;IFERROR(VLOOKUP($Z383,CODES,2,FALSE),"")&amp;" "&amp;IFERROR(VLOOKUP($X383,CODES,2,FALSE),"")&amp;" "&amp;IFERROR(VLOOKUP($S383,CODES,2,FALSE),"")&amp;IF(N($P383)&gt;0," w/TRANSOM "&amp;$P383&amp;CHAR(34),"")&amp;IF(N($Q383)&gt;0," w/SIDELITE "&amp;$Q383&amp;CHAR(34)&amp;" "&amp;IF($R383="","R",$R383),"")&amp;IF($Y383="","  |  "," | "&amp;IFERROR(VLOOKUP($Y383,CODES,2,FALSE),"")&amp;" | ")&amp;IFERROR(VLOOKUP($AC383,CODES,2,FALSE),"")&amp;" "&amp;IFERROR(VLOOKUP($AD383,CODES,2,FALSE),"")&amp;IF(OR($AE383="",$AE383="-"),""," "&amp;$AE383)&amp;IF(OR($AF383="",$AF383="-"),""," "&amp;$AF383)&amp;IF($AB383="Y"," 4"&amp;CHAR(34)&amp;" HEAD","")&amp;" "&amp;IFERROR(VLOOKUP($H383,CODES,2,FALSE),"")))</f>
        <v/>
      </c>
      <c r="BR383" s="50">
        <f>IF(NOT(AND($A383&lt;&gt;"",N($BC383)&gt;0)),"",TRIM(IFERROR(VLOOKUP($AH383,CODES,2,FALSE),"")&amp;IF($AI383=""," "," "&amp;$AI383&amp;"GA ")&amp;$AZ383&amp;" "&amp;IF($AN383="",IFERROR(VLOOKUP($Z383,CODES,2,FALSE),""),IFERROR(VLOOKUP($AN383,CODES,2,FALSE),""))&amp;IF($BC383=2," PAIR","")&amp;" DOOR | "&amp;IF($AL383="","?",$AL383)&amp;" | "&amp;IF($AP383="",IFERROR(VLOOKUP($AC383,CODES,2,FALSE),""),IFERROR(VLOOKUP($AP383,CODES,2,FALSE),""))&amp;" "&amp;IFERROR(VLOOKUP($AQ383,CODES,2,FALSE),"")&amp;IF(OR($AR383="",$AR383="-"),""," SEAM "&amp;$AR383)&amp;IF($AS383="Y"," ASTRAGAL","")&amp;IF($AJ383=""," "," "&amp;$AJ383)&amp;IF($AK383=""," "," "&amp;$AK383)&amp;IF($AO383="",""," "&amp;$AO383)&amp;IF($AM383=""," "," SERIES "&amp;$AM383)&amp;" "&amp;IFERROR(VLOOKUP($H383,CODES,2,FALSE),"")))</f>
        <v/>
      </c>
      <c r="BS383" s="49">
        <f>IF(BV383="","",IF(COUNTIF($BV$6:BV383,BV383)=1,MAX($BS$5:BS382)+1,INDEX($BS$5:BS382,MATCH(BV383,$BV$5:BV382,0))))</f>
        <v/>
      </c>
      <c r="BT383" s="49">
        <f>IF(NOT(AND($A383&lt;&gt;"",$C383&lt;&gt;"DOOR ONLY")),"",MAX($BT$5:BT382)+1)</f>
        <v/>
      </c>
      <c r="BU383" s="49">
        <f>IF(NOT(AND($A383&lt;&gt;"",N($BC383)&gt;0)),"",MAX($BU$5:BU382)+1)</f>
        <v/>
      </c>
      <c r="BV383" s="49">
        <f>IF(OR($A383="",$BA383="",$BB383=""),"",$AZ383&amp;"|"&amp;$O383&amp;"|"&amp;$AL383&amp;"|"&amp;$S383&amp;"|"&amp;$P383&amp;"|"&amp;$Q383&amp;$R383&amp;"|"&amp;$C383&amp;"|"&amp;$AB383)</f>
        <v/>
      </c>
      <c r="BW383" s="49">
        <f>IF($A383="","",IF($B383="","qty, ","")&amp;IF($C383="","scope, ","")&amp;IF(OR($K383="",$M383=""),"size, ","")&amp;IF(AND($A383&lt;&gt;"",$C383&lt;&gt;"DOOR ONLY"),IF($U383="","jamb depth, ","")&amp;IF($X383="","construction, ","")&amp;IF($Y383="","anchor, ","")&amp;IF($S383="","frame type, ",""),"")&amp;IF(AND(N($BC383)&gt;0,$Z383=""),"hand, ","")&amp;IF(N($BC383)&gt;0,IF($AH383="","door material, ","")&amp;IF($AL383="","face type, ","")&amp;IF($AQ383="","lock prep, ","")&amp;IF(AND($AP383="",$AC383=""),"hinge prep, ",""),"")&amp;IF(AND($BO383&gt;0,$AH383="FRP"),"FRP cannot carry a label, ","")&amp;IF(AND($O383="Y",OR($Z383="L",$Z383="R",$Z383="LR",$Z383="RR")),"pair marked but hand is single, ","")&amp;IF(AND($O383&lt;&gt;"Y",OR($Z383="PR",AND(LEN($Z383)&gt;1,ISNUMBER(SEARCH("-",$Z383))))),"pair hand on a single door, ","")&amp;IF(AND(ISNUMBER($BP383),$BO383&lt;N($BP383)),"wall needs a "&amp;$BP383&amp;" min door, ","")&amp;IF(AND($BO383&gt;=180,AND(OR($BL383="FG",$BL383="HG",$BL383="FNV",$BL383="FV"),N($BM383)*N($BN383)&gt;100)),"180 min lite over 100 sq in, ","")&amp;IF(N($BD383)&gt;48,"leaf wider than 4'-0"&amp;CHAR(34)&amp;", ",""))</f>
        <v/>
      </c>
      <c r="BX383" s="49">
        <f>IF($A383="","",IF(AND($BO383&gt;0,AND($A383&lt;&gt;"",$C383&lt;&gt;"DOOR ONLY"),$X383="KD",$E383="EXTERIOR"),"KD label on an exterior opening, ","")&amp;IF(AND($E383="EXTERIOR",OR(AND(AND($A383&lt;&gt;"",$C383&lt;&gt;"DOOR ONLY"),$W383="CR"),AND(N($BC383)&gt;0,$AH383="CR"))),"exterior in CR steel (G9?), ","")&amp;IF(AND(ISNUMBER($BJ383),N($BJ383)&lt;32),"clear width ~"&amp;TEXT($BJ383,"0.0")&amp;CHAR(34)&amp;" under 32"&amp;CHAR(34)&amp;" (ADA), ","")&amp;IF(AND($BO383=90,AND(OR($BL383="FG",$BL383="HG",$BL383="FNV",$BL383="FV"),N($BM383)*N($BN383)&gt;100)),"90 min lite over 100 sq in (stair/exit), ","")&amp;IF(AND($BO383&gt;0,AND($A383&lt;&gt;"",$C383&lt;&gt;"DOOR ONLY"),OR($AF383="",$AF383="-")),"rated: closer reinf.?, ","")&amp;IF(OR($I383="CORRIDOR",$I383="SMOKE BARRIER"),"S label + smoke gasketing, ","")&amp;IF($BP383="?","wall type/hr not in IBC table, ","")&amp;IF(AND(N($BC383)&gt;0,$AU383=""),"no hardware set, ","")&amp;IF(AND($AU383&lt;&gt;"",ISNA(MATCH($AU383,HWSets,0))),"set "&amp;$AU383&amp;" not on Hardware sheet, ","")&amp;IF(N($BE383)&gt;96,"leaf over 8'-0"&amp;CHAR(34)&amp;" - check listing, ",""))</f>
        <v/>
      </c>
    </row>
    <row r="384" ht="15" customHeight="1">
      <c r="A384" s="44" t="n"/>
      <c r="B384" s="45" t="n"/>
      <c r="C384" s="45" t="n"/>
      <c r="D384" s="45" t="n"/>
      <c r="E384" s="45" t="n"/>
      <c r="F384" s="45" t="n"/>
      <c r="G384" s="45" t="n"/>
      <c r="H384" s="45" t="n"/>
      <c r="I384" s="45" t="n"/>
      <c r="J384" s="45" t="n"/>
      <c r="K384" s="45" t="n"/>
      <c r="L384" s="45" t="n"/>
      <c r="M384" s="45" t="n"/>
      <c r="N384" s="45" t="n"/>
      <c r="O384" s="45" t="n"/>
      <c r="P384" s="45" t="n"/>
      <c r="Q384" s="45" t="n"/>
      <c r="R384" s="45" t="n"/>
      <c r="S384" s="46" t="n"/>
      <c r="T384" s="46" t="n"/>
      <c r="U384" s="46" t="n"/>
      <c r="V384" s="46" t="n"/>
      <c r="W384" s="46" t="n"/>
      <c r="X384" s="46" t="n"/>
      <c r="Y384" s="46" t="n"/>
      <c r="Z384" s="46" t="n"/>
      <c r="AA384" s="46" t="n"/>
      <c r="AB384" s="46" t="n"/>
      <c r="AC384" s="46" t="n"/>
      <c r="AD384" s="46" t="n"/>
      <c r="AE384" s="46" t="n"/>
      <c r="AF384" s="46" t="n"/>
      <c r="AG384" s="46" t="n"/>
      <c r="AH384" s="47" t="n"/>
      <c r="AI384" s="47" t="n"/>
      <c r="AJ384" s="47" t="n"/>
      <c r="AK384" s="47" t="n"/>
      <c r="AL384" s="47" t="n"/>
      <c r="AM384" s="47" t="n"/>
      <c r="AN384" s="47" t="n"/>
      <c r="AO384" s="47" t="n"/>
      <c r="AP384" s="47" t="n"/>
      <c r="AQ384" s="47" t="n"/>
      <c r="AR384" s="47" t="n"/>
      <c r="AS384" s="47" t="n"/>
      <c r="AT384" s="47" t="n"/>
      <c r="AU384" s="48" t="n"/>
      <c r="AV384" s="48" t="n"/>
      <c r="AW384" s="49">
        <f>IF($A384="","",IF($BW384&lt;&gt;"","FIX",IF($BX384&lt;&gt;"","CHECK","OK")))</f>
        <v/>
      </c>
      <c r="AX384" s="50">
        <f>IF($A384="","",IF($BW384&lt;&gt;"","FIX: "&amp;LEFT($BW384,LEN($BW384)-2)&amp;IF($BX384&lt;&gt;"","  ·  ",""),"")&amp;IF($BX384&lt;&gt;"","CHECK: "&amp;LEFT($BX384,LEN($BX384)-2),""))</f>
        <v/>
      </c>
      <c r="AY384" s="49">
        <f>IF(OR($A384="",$K384=""),"",$K384&amp;"'-"&amp;N($L384)&amp;CHAR(34)&amp;" x "&amp;$M384&amp;"'-"&amp;N($N384)&amp;CHAR(34))</f>
        <v/>
      </c>
      <c r="AZ384" s="49">
        <f>IF(OR($A384="",$K384=""),"",$K384&amp;N($L384)&amp;$M384&amp;N($N384))</f>
        <v/>
      </c>
      <c r="BA384" s="49">
        <f>IF(OR($A384="",$K384=""),"",$K384*12+N($L384))</f>
        <v/>
      </c>
      <c r="BB384" s="49">
        <f>IF(OR($A384="",$M384=""),"",$M384*12+N($N384))</f>
        <v/>
      </c>
      <c r="BC384" s="49">
        <f>IF($A384="","",IF(OR($C384="FRAME ONLY",$S384="BL"),0,IF($O384="Y",2,1)))</f>
        <v/>
      </c>
      <c r="BD384" s="51">
        <f>IF(OR(N($BC384)=0,$BA384=""),"",($BA384-2*EdgeClr-IF($BC384=2,MeetClr,0))/$BC384)</f>
        <v/>
      </c>
      <c r="BE384" s="51">
        <f>IF(OR(N($BC384)=0,$BB384=""),"",$BB384-HeadClr-Undercut)</f>
        <v/>
      </c>
      <c r="BF384" s="51">
        <f>IF($BA384="","",$BA384+2*FaceW+IF(N($Q384)&gt;0,($Q384+FaceW)*IF($R384="LR",2,1),0))</f>
        <v/>
      </c>
      <c r="BG384" s="51">
        <f>IF($BB384="","",$BB384+IF($AB384="Y",4,FaceW)+IF(N($P384)&gt;0,$P384+FaceW,0)+IF(OR($S384="4F",$S384="BL"),FaceW,0))</f>
        <v/>
      </c>
      <c r="BH384" s="51">
        <f>IF($BF384="","",$BF384+2*ROSide)</f>
        <v/>
      </c>
      <c r="BI384" s="51">
        <f>IF($BG384="","",$BG384+ROTop)</f>
        <v/>
      </c>
      <c r="BJ384" s="52">
        <f>IF(OR(N($BC384)=0,$BA384=""),"",$BA384/$BC384-ClearDeduct)</f>
        <v/>
      </c>
      <c r="BK384" s="49">
        <f>IF(OR(N($BC384)=0,$BE384=""),"",IF(OR($AC384="HGC",$AP384="HGC"),"CONT",IF($BE384&lt;=60,2,IF($BE384&lt;=90,3,IF($BE384&lt;=120,4,5)))))</f>
        <v/>
      </c>
      <c r="BL384" s="49">
        <f>IF(N($BC384)=0,"",IF(OR($AL384="",$AL384="FLUSH"),"FLUSH",IFERROR(LEFT($AL384,FIND("-",$AL384)-1),LEFT($AL384,2))))</f>
        <v/>
      </c>
      <c r="BM384" s="49">
        <f>IF($BL384="","",IFERROR(VALUE(MID($AL384,FIND("-",$AL384)+1,FIND(CHAR(34)&amp;"x",$AL384)-FIND("-",$AL384)-1)),0))</f>
        <v/>
      </c>
      <c r="BN384" s="49">
        <f>IF($BL384="","",IFERROR(VALUE(MID($AL384,FIND(CHAR(34)&amp;"x",$AL384)+2,FIND(CHAR(34),$AL384,FIND(CHAR(34)&amp;"x",$AL384)+2)-FIND(CHAR(34)&amp;"x",$AL384)-2)),0))</f>
        <v/>
      </c>
      <c r="BO384" s="53">
        <f>IF(OR($A384="",$H384="",$H384="NO LAB"),0,IFERROR(VALUE(LEFT($H384,FIND(" ",$H384)-1)),0))</f>
        <v/>
      </c>
      <c r="BP384" s="54">
        <f>IF(OR($A384="",$I384="",$I384="NON-RATED",N($J384)=0),"",IFERROR(VLOOKUP($I384&amp;"|"&amp;$J384,IBC,2,FALSE),"?"))</f>
        <v/>
      </c>
      <c r="BQ384" s="50">
        <f>IF(NOT(AND($A384&lt;&gt;"",$C384&lt;&gt;"DOOR ONLY")),"",TRIM(IFERROR(VLOOKUP($U384,CODES,2,FALSE),"")&amp;" "&amp;$AZ384&amp;" "&amp;IFERROR(VLOOKUP($Z384,CODES,2,FALSE),"")&amp;" "&amp;IFERROR(VLOOKUP($X384,CODES,2,FALSE),"")&amp;" "&amp;IFERROR(VLOOKUP($S384,CODES,2,FALSE),"")&amp;IF(N($P384)&gt;0," w/TRANSOM "&amp;$P384&amp;CHAR(34),"")&amp;IF(N($Q384)&gt;0," w/SIDELITE "&amp;$Q384&amp;CHAR(34)&amp;" "&amp;IF($R384="","R",$R384),"")&amp;IF($Y384="","  |  "," | "&amp;IFERROR(VLOOKUP($Y384,CODES,2,FALSE),"")&amp;" | ")&amp;IFERROR(VLOOKUP($AC384,CODES,2,FALSE),"")&amp;" "&amp;IFERROR(VLOOKUP($AD384,CODES,2,FALSE),"")&amp;IF(OR($AE384="",$AE384="-"),""," "&amp;$AE384)&amp;IF(OR($AF384="",$AF384="-"),""," "&amp;$AF384)&amp;IF($AB384="Y"," 4"&amp;CHAR(34)&amp;" HEAD","")&amp;" "&amp;IFERROR(VLOOKUP($H384,CODES,2,FALSE),"")))</f>
        <v/>
      </c>
      <c r="BR384" s="50">
        <f>IF(NOT(AND($A384&lt;&gt;"",N($BC384)&gt;0)),"",TRIM(IFERROR(VLOOKUP($AH384,CODES,2,FALSE),"")&amp;IF($AI384=""," "," "&amp;$AI384&amp;"GA ")&amp;$AZ384&amp;" "&amp;IF($AN384="",IFERROR(VLOOKUP($Z384,CODES,2,FALSE),""),IFERROR(VLOOKUP($AN384,CODES,2,FALSE),""))&amp;IF($BC384=2," PAIR","")&amp;" DOOR | "&amp;IF($AL384="","?",$AL384)&amp;" | "&amp;IF($AP384="",IFERROR(VLOOKUP($AC384,CODES,2,FALSE),""),IFERROR(VLOOKUP($AP384,CODES,2,FALSE),""))&amp;" "&amp;IFERROR(VLOOKUP($AQ384,CODES,2,FALSE),"")&amp;IF(OR($AR384="",$AR384="-"),""," SEAM "&amp;$AR384)&amp;IF($AS384="Y"," ASTRAGAL","")&amp;IF($AJ384=""," "," "&amp;$AJ384)&amp;IF($AK384=""," "," "&amp;$AK384)&amp;IF($AO384="",""," "&amp;$AO384)&amp;IF($AM384=""," "," SERIES "&amp;$AM384)&amp;" "&amp;IFERROR(VLOOKUP($H384,CODES,2,FALSE),"")))</f>
        <v/>
      </c>
      <c r="BS384" s="49">
        <f>IF(BV384="","",IF(COUNTIF($BV$6:BV384,BV384)=1,MAX($BS$5:BS383)+1,INDEX($BS$5:BS383,MATCH(BV384,$BV$5:BV383,0))))</f>
        <v/>
      </c>
      <c r="BT384" s="49">
        <f>IF(NOT(AND($A384&lt;&gt;"",$C384&lt;&gt;"DOOR ONLY")),"",MAX($BT$5:BT383)+1)</f>
        <v/>
      </c>
      <c r="BU384" s="49">
        <f>IF(NOT(AND($A384&lt;&gt;"",N($BC384)&gt;0)),"",MAX($BU$5:BU383)+1)</f>
        <v/>
      </c>
      <c r="BV384" s="49">
        <f>IF(OR($A384="",$BA384="",$BB384=""),"",$AZ384&amp;"|"&amp;$O384&amp;"|"&amp;$AL384&amp;"|"&amp;$S384&amp;"|"&amp;$P384&amp;"|"&amp;$Q384&amp;$R384&amp;"|"&amp;$C384&amp;"|"&amp;$AB384)</f>
        <v/>
      </c>
      <c r="BW384" s="49">
        <f>IF($A384="","",IF($B384="","qty, ","")&amp;IF($C384="","scope, ","")&amp;IF(OR($K384="",$M384=""),"size, ","")&amp;IF(AND($A384&lt;&gt;"",$C384&lt;&gt;"DOOR ONLY"),IF($U384="","jamb depth, ","")&amp;IF($X384="","construction, ","")&amp;IF($Y384="","anchor, ","")&amp;IF($S384="","frame type, ",""),"")&amp;IF(AND(N($BC384)&gt;0,$Z384=""),"hand, ","")&amp;IF(N($BC384)&gt;0,IF($AH384="","door material, ","")&amp;IF($AL384="","face type, ","")&amp;IF($AQ384="","lock prep, ","")&amp;IF(AND($AP384="",$AC384=""),"hinge prep, ",""),"")&amp;IF(AND($BO384&gt;0,$AH384="FRP"),"FRP cannot carry a label, ","")&amp;IF(AND($O384="Y",OR($Z384="L",$Z384="R",$Z384="LR",$Z384="RR")),"pair marked but hand is single, ","")&amp;IF(AND($O384&lt;&gt;"Y",OR($Z384="PR",AND(LEN($Z384)&gt;1,ISNUMBER(SEARCH("-",$Z384))))),"pair hand on a single door, ","")&amp;IF(AND(ISNUMBER($BP384),$BO384&lt;N($BP384)),"wall needs a "&amp;$BP384&amp;" min door, ","")&amp;IF(AND($BO384&gt;=180,AND(OR($BL384="FG",$BL384="HG",$BL384="FNV",$BL384="FV"),N($BM384)*N($BN384)&gt;100)),"180 min lite over 100 sq in, ","")&amp;IF(N($BD384)&gt;48,"leaf wider than 4'-0"&amp;CHAR(34)&amp;", ",""))</f>
        <v/>
      </c>
      <c r="BX384" s="49">
        <f>IF($A384="","",IF(AND($BO384&gt;0,AND($A384&lt;&gt;"",$C384&lt;&gt;"DOOR ONLY"),$X384="KD",$E384="EXTERIOR"),"KD label on an exterior opening, ","")&amp;IF(AND($E384="EXTERIOR",OR(AND(AND($A384&lt;&gt;"",$C384&lt;&gt;"DOOR ONLY"),$W384="CR"),AND(N($BC384)&gt;0,$AH384="CR"))),"exterior in CR steel (G9?), ","")&amp;IF(AND(ISNUMBER($BJ384),N($BJ384)&lt;32),"clear width ~"&amp;TEXT($BJ384,"0.0")&amp;CHAR(34)&amp;" under 32"&amp;CHAR(34)&amp;" (ADA), ","")&amp;IF(AND($BO384=90,AND(OR($BL384="FG",$BL384="HG",$BL384="FNV",$BL384="FV"),N($BM384)*N($BN384)&gt;100)),"90 min lite over 100 sq in (stair/exit), ","")&amp;IF(AND($BO384&gt;0,AND($A384&lt;&gt;"",$C384&lt;&gt;"DOOR ONLY"),OR($AF384="",$AF384="-")),"rated: closer reinf.?, ","")&amp;IF(OR($I384="CORRIDOR",$I384="SMOKE BARRIER"),"S label + smoke gasketing, ","")&amp;IF($BP384="?","wall type/hr not in IBC table, ","")&amp;IF(AND(N($BC384)&gt;0,$AU384=""),"no hardware set, ","")&amp;IF(AND($AU384&lt;&gt;"",ISNA(MATCH($AU384,HWSets,0))),"set "&amp;$AU384&amp;" not on Hardware sheet, ","")&amp;IF(N($BE384)&gt;96,"leaf over 8'-0"&amp;CHAR(34)&amp;" - check listing, ",""))</f>
        <v/>
      </c>
    </row>
    <row r="385" ht="15" customHeight="1">
      <c r="A385" s="44" t="n"/>
      <c r="B385" s="45" t="n"/>
      <c r="C385" s="45" t="n"/>
      <c r="D385" s="45" t="n"/>
      <c r="E385" s="45" t="n"/>
      <c r="F385" s="45" t="n"/>
      <c r="G385" s="45" t="n"/>
      <c r="H385" s="45" t="n"/>
      <c r="I385" s="45" t="n"/>
      <c r="J385" s="45" t="n"/>
      <c r="K385" s="45" t="n"/>
      <c r="L385" s="45" t="n"/>
      <c r="M385" s="45" t="n"/>
      <c r="N385" s="45" t="n"/>
      <c r="O385" s="45" t="n"/>
      <c r="P385" s="45" t="n"/>
      <c r="Q385" s="45" t="n"/>
      <c r="R385" s="45" t="n"/>
      <c r="S385" s="46" t="n"/>
      <c r="T385" s="46" t="n"/>
      <c r="U385" s="46" t="n"/>
      <c r="V385" s="46" t="n"/>
      <c r="W385" s="46" t="n"/>
      <c r="X385" s="46" t="n"/>
      <c r="Y385" s="46" t="n"/>
      <c r="Z385" s="46" t="n"/>
      <c r="AA385" s="46" t="n"/>
      <c r="AB385" s="46" t="n"/>
      <c r="AC385" s="46" t="n"/>
      <c r="AD385" s="46" t="n"/>
      <c r="AE385" s="46" t="n"/>
      <c r="AF385" s="46" t="n"/>
      <c r="AG385" s="46" t="n"/>
      <c r="AH385" s="47" t="n"/>
      <c r="AI385" s="47" t="n"/>
      <c r="AJ385" s="47" t="n"/>
      <c r="AK385" s="47" t="n"/>
      <c r="AL385" s="47" t="n"/>
      <c r="AM385" s="47" t="n"/>
      <c r="AN385" s="47" t="n"/>
      <c r="AO385" s="47" t="n"/>
      <c r="AP385" s="47" t="n"/>
      <c r="AQ385" s="47" t="n"/>
      <c r="AR385" s="47" t="n"/>
      <c r="AS385" s="47" t="n"/>
      <c r="AT385" s="47" t="n"/>
      <c r="AU385" s="48" t="n"/>
      <c r="AV385" s="48" t="n"/>
      <c r="AW385" s="49">
        <f>IF($A385="","",IF($BW385&lt;&gt;"","FIX",IF($BX385&lt;&gt;"","CHECK","OK")))</f>
        <v/>
      </c>
      <c r="AX385" s="50">
        <f>IF($A385="","",IF($BW385&lt;&gt;"","FIX: "&amp;LEFT($BW385,LEN($BW385)-2)&amp;IF($BX385&lt;&gt;"","  ·  ",""),"")&amp;IF($BX385&lt;&gt;"","CHECK: "&amp;LEFT($BX385,LEN($BX385)-2),""))</f>
        <v/>
      </c>
      <c r="AY385" s="49">
        <f>IF(OR($A385="",$K385=""),"",$K385&amp;"'-"&amp;N($L385)&amp;CHAR(34)&amp;" x "&amp;$M385&amp;"'-"&amp;N($N385)&amp;CHAR(34))</f>
        <v/>
      </c>
      <c r="AZ385" s="49">
        <f>IF(OR($A385="",$K385=""),"",$K385&amp;N($L385)&amp;$M385&amp;N($N385))</f>
        <v/>
      </c>
      <c r="BA385" s="49">
        <f>IF(OR($A385="",$K385=""),"",$K385*12+N($L385))</f>
        <v/>
      </c>
      <c r="BB385" s="49">
        <f>IF(OR($A385="",$M385=""),"",$M385*12+N($N385))</f>
        <v/>
      </c>
      <c r="BC385" s="49">
        <f>IF($A385="","",IF(OR($C385="FRAME ONLY",$S385="BL"),0,IF($O385="Y",2,1)))</f>
        <v/>
      </c>
      <c r="BD385" s="51">
        <f>IF(OR(N($BC385)=0,$BA385=""),"",($BA385-2*EdgeClr-IF($BC385=2,MeetClr,0))/$BC385)</f>
        <v/>
      </c>
      <c r="BE385" s="51">
        <f>IF(OR(N($BC385)=0,$BB385=""),"",$BB385-HeadClr-Undercut)</f>
        <v/>
      </c>
      <c r="BF385" s="51">
        <f>IF($BA385="","",$BA385+2*FaceW+IF(N($Q385)&gt;0,($Q385+FaceW)*IF($R385="LR",2,1),0))</f>
        <v/>
      </c>
      <c r="BG385" s="51">
        <f>IF($BB385="","",$BB385+IF($AB385="Y",4,FaceW)+IF(N($P385)&gt;0,$P385+FaceW,0)+IF(OR($S385="4F",$S385="BL"),FaceW,0))</f>
        <v/>
      </c>
      <c r="BH385" s="51">
        <f>IF($BF385="","",$BF385+2*ROSide)</f>
        <v/>
      </c>
      <c r="BI385" s="51">
        <f>IF($BG385="","",$BG385+ROTop)</f>
        <v/>
      </c>
      <c r="BJ385" s="52">
        <f>IF(OR(N($BC385)=0,$BA385=""),"",$BA385/$BC385-ClearDeduct)</f>
        <v/>
      </c>
      <c r="BK385" s="49">
        <f>IF(OR(N($BC385)=0,$BE385=""),"",IF(OR($AC385="HGC",$AP385="HGC"),"CONT",IF($BE385&lt;=60,2,IF($BE385&lt;=90,3,IF($BE385&lt;=120,4,5)))))</f>
        <v/>
      </c>
      <c r="BL385" s="49">
        <f>IF(N($BC385)=0,"",IF(OR($AL385="",$AL385="FLUSH"),"FLUSH",IFERROR(LEFT($AL385,FIND("-",$AL385)-1),LEFT($AL385,2))))</f>
        <v/>
      </c>
      <c r="BM385" s="49">
        <f>IF($BL385="","",IFERROR(VALUE(MID($AL385,FIND("-",$AL385)+1,FIND(CHAR(34)&amp;"x",$AL385)-FIND("-",$AL385)-1)),0))</f>
        <v/>
      </c>
      <c r="BN385" s="49">
        <f>IF($BL385="","",IFERROR(VALUE(MID($AL385,FIND(CHAR(34)&amp;"x",$AL385)+2,FIND(CHAR(34),$AL385,FIND(CHAR(34)&amp;"x",$AL385)+2)-FIND(CHAR(34)&amp;"x",$AL385)-2)),0))</f>
        <v/>
      </c>
      <c r="BO385" s="53">
        <f>IF(OR($A385="",$H385="",$H385="NO LAB"),0,IFERROR(VALUE(LEFT($H385,FIND(" ",$H385)-1)),0))</f>
        <v/>
      </c>
      <c r="BP385" s="54">
        <f>IF(OR($A385="",$I385="",$I385="NON-RATED",N($J385)=0),"",IFERROR(VLOOKUP($I385&amp;"|"&amp;$J385,IBC,2,FALSE),"?"))</f>
        <v/>
      </c>
      <c r="BQ385" s="50">
        <f>IF(NOT(AND($A385&lt;&gt;"",$C385&lt;&gt;"DOOR ONLY")),"",TRIM(IFERROR(VLOOKUP($U385,CODES,2,FALSE),"")&amp;" "&amp;$AZ385&amp;" "&amp;IFERROR(VLOOKUP($Z385,CODES,2,FALSE),"")&amp;" "&amp;IFERROR(VLOOKUP($X385,CODES,2,FALSE),"")&amp;" "&amp;IFERROR(VLOOKUP($S385,CODES,2,FALSE),"")&amp;IF(N($P385)&gt;0," w/TRANSOM "&amp;$P385&amp;CHAR(34),"")&amp;IF(N($Q385)&gt;0," w/SIDELITE "&amp;$Q385&amp;CHAR(34)&amp;" "&amp;IF($R385="","R",$R385),"")&amp;IF($Y385="","  |  "," | "&amp;IFERROR(VLOOKUP($Y385,CODES,2,FALSE),"")&amp;" | ")&amp;IFERROR(VLOOKUP($AC385,CODES,2,FALSE),"")&amp;" "&amp;IFERROR(VLOOKUP($AD385,CODES,2,FALSE),"")&amp;IF(OR($AE385="",$AE385="-"),""," "&amp;$AE385)&amp;IF(OR($AF385="",$AF385="-"),""," "&amp;$AF385)&amp;IF($AB385="Y"," 4"&amp;CHAR(34)&amp;" HEAD","")&amp;" "&amp;IFERROR(VLOOKUP($H385,CODES,2,FALSE),"")))</f>
        <v/>
      </c>
      <c r="BR385" s="50">
        <f>IF(NOT(AND($A385&lt;&gt;"",N($BC385)&gt;0)),"",TRIM(IFERROR(VLOOKUP($AH385,CODES,2,FALSE),"")&amp;IF($AI385=""," "," "&amp;$AI385&amp;"GA ")&amp;$AZ385&amp;" "&amp;IF($AN385="",IFERROR(VLOOKUP($Z385,CODES,2,FALSE),""),IFERROR(VLOOKUP($AN385,CODES,2,FALSE),""))&amp;IF($BC385=2," PAIR","")&amp;" DOOR | "&amp;IF($AL385="","?",$AL385)&amp;" | "&amp;IF($AP385="",IFERROR(VLOOKUP($AC385,CODES,2,FALSE),""),IFERROR(VLOOKUP($AP385,CODES,2,FALSE),""))&amp;" "&amp;IFERROR(VLOOKUP($AQ385,CODES,2,FALSE),"")&amp;IF(OR($AR385="",$AR385="-"),""," SEAM "&amp;$AR385)&amp;IF($AS385="Y"," ASTRAGAL","")&amp;IF($AJ385=""," "," "&amp;$AJ385)&amp;IF($AK385=""," "," "&amp;$AK385)&amp;IF($AO385="",""," "&amp;$AO385)&amp;IF($AM385=""," "," SERIES "&amp;$AM385)&amp;" "&amp;IFERROR(VLOOKUP($H385,CODES,2,FALSE),"")))</f>
        <v/>
      </c>
      <c r="BS385" s="49">
        <f>IF(BV385="","",IF(COUNTIF($BV$6:BV385,BV385)=1,MAX($BS$5:BS384)+1,INDEX($BS$5:BS384,MATCH(BV385,$BV$5:BV384,0))))</f>
        <v/>
      </c>
      <c r="BT385" s="49">
        <f>IF(NOT(AND($A385&lt;&gt;"",$C385&lt;&gt;"DOOR ONLY")),"",MAX($BT$5:BT384)+1)</f>
        <v/>
      </c>
      <c r="BU385" s="49">
        <f>IF(NOT(AND($A385&lt;&gt;"",N($BC385)&gt;0)),"",MAX($BU$5:BU384)+1)</f>
        <v/>
      </c>
      <c r="BV385" s="49">
        <f>IF(OR($A385="",$BA385="",$BB385=""),"",$AZ385&amp;"|"&amp;$O385&amp;"|"&amp;$AL385&amp;"|"&amp;$S385&amp;"|"&amp;$P385&amp;"|"&amp;$Q385&amp;$R385&amp;"|"&amp;$C385&amp;"|"&amp;$AB385)</f>
        <v/>
      </c>
      <c r="BW385" s="49">
        <f>IF($A385="","",IF($B385="","qty, ","")&amp;IF($C385="","scope, ","")&amp;IF(OR($K385="",$M385=""),"size, ","")&amp;IF(AND($A385&lt;&gt;"",$C385&lt;&gt;"DOOR ONLY"),IF($U385="","jamb depth, ","")&amp;IF($X385="","construction, ","")&amp;IF($Y385="","anchor, ","")&amp;IF($S385="","frame type, ",""),"")&amp;IF(AND(N($BC385)&gt;0,$Z385=""),"hand, ","")&amp;IF(N($BC385)&gt;0,IF($AH385="","door material, ","")&amp;IF($AL385="","face type, ","")&amp;IF($AQ385="","lock prep, ","")&amp;IF(AND($AP385="",$AC385=""),"hinge prep, ",""),"")&amp;IF(AND($BO385&gt;0,$AH385="FRP"),"FRP cannot carry a label, ","")&amp;IF(AND($O385="Y",OR($Z385="L",$Z385="R",$Z385="LR",$Z385="RR")),"pair marked but hand is single, ","")&amp;IF(AND($O385&lt;&gt;"Y",OR($Z385="PR",AND(LEN($Z385)&gt;1,ISNUMBER(SEARCH("-",$Z385))))),"pair hand on a single door, ","")&amp;IF(AND(ISNUMBER($BP385),$BO385&lt;N($BP385)),"wall needs a "&amp;$BP385&amp;" min door, ","")&amp;IF(AND($BO385&gt;=180,AND(OR($BL385="FG",$BL385="HG",$BL385="FNV",$BL385="FV"),N($BM385)*N($BN385)&gt;100)),"180 min lite over 100 sq in, ","")&amp;IF(N($BD385)&gt;48,"leaf wider than 4'-0"&amp;CHAR(34)&amp;", ",""))</f>
        <v/>
      </c>
      <c r="BX385" s="49">
        <f>IF($A385="","",IF(AND($BO385&gt;0,AND($A385&lt;&gt;"",$C385&lt;&gt;"DOOR ONLY"),$X385="KD",$E385="EXTERIOR"),"KD label on an exterior opening, ","")&amp;IF(AND($E385="EXTERIOR",OR(AND(AND($A385&lt;&gt;"",$C385&lt;&gt;"DOOR ONLY"),$W385="CR"),AND(N($BC385)&gt;0,$AH385="CR"))),"exterior in CR steel (G9?), ","")&amp;IF(AND(ISNUMBER($BJ385),N($BJ385)&lt;32),"clear width ~"&amp;TEXT($BJ385,"0.0")&amp;CHAR(34)&amp;" under 32"&amp;CHAR(34)&amp;" (ADA), ","")&amp;IF(AND($BO385=90,AND(OR($BL385="FG",$BL385="HG",$BL385="FNV",$BL385="FV"),N($BM385)*N($BN385)&gt;100)),"90 min lite over 100 sq in (stair/exit), ","")&amp;IF(AND($BO385&gt;0,AND($A385&lt;&gt;"",$C385&lt;&gt;"DOOR ONLY"),OR($AF385="",$AF385="-")),"rated: closer reinf.?, ","")&amp;IF(OR($I385="CORRIDOR",$I385="SMOKE BARRIER"),"S label + smoke gasketing, ","")&amp;IF($BP385="?","wall type/hr not in IBC table, ","")&amp;IF(AND(N($BC385)&gt;0,$AU385=""),"no hardware set, ","")&amp;IF(AND($AU385&lt;&gt;"",ISNA(MATCH($AU385,HWSets,0))),"set "&amp;$AU385&amp;" not on Hardware sheet, ","")&amp;IF(N($BE385)&gt;96,"leaf over 8'-0"&amp;CHAR(34)&amp;" - check listing, ",""))</f>
        <v/>
      </c>
    </row>
    <row r="386" ht="15" customHeight="1">
      <c r="A386" s="44" t="n"/>
      <c r="B386" s="45" t="n"/>
      <c r="C386" s="45" t="n"/>
      <c r="D386" s="45" t="n"/>
      <c r="E386" s="45" t="n"/>
      <c r="F386" s="45" t="n"/>
      <c r="G386" s="45" t="n"/>
      <c r="H386" s="45" t="n"/>
      <c r="I386" s="45" t="n"/>
      <c r="J386" s="45" t="n"/>
      <c r="K386" s="45" t="n"/>
      <c r="L386" s="45" t="n"/>
      <c r="M386" s="45" t="n"/>
      <c r="N386" s="45" t="n"/>
      <c r="O386" s="45" t="n"/>
      <c r="P386" s="45" t="n"/>
      <c r="Q386" s="45" t="n"/>
      <c r="R386" s="45" t="n"/>
      <c r="S386" s="46" t="n"/>
      <c r="T386" s="46" t="n"/>
      <c r="U386" s="46" t="n"/>
      <c r="V386" s="46" t="n"/>
      <c r="W386" s="46" t="n"/>
      <c r="X386" s="46" t="n"/>
      <c r="Y386" s="46" t="n"/>
      <c r="Z386" s="46" t="n"/>
      <c r="AA386" s="46" t="n"/>
      <c r="AB386" s="46" t="n"/>
      <c r="AC386" s="46" t="n"/>
      <c r="AD386" s="46" t="n"/>
      <c r="AE386" s="46" t="n"/>
      <c r="AF386" s="46" t="n"/>
      <c r="AG386" s="46" t="n"/>
      <c r="AH386" s="47" t="n"/>
      <c r="AI386" s="47" t="n"/>
      <c r="AJ386" s="47" t="n"/>
      <c r="AK386" s="47" t="n"/>
      <c r="AL386" s="47" t="n"/>
      <c r="AM386" s="47" t="n"/>
      <c r="AN386" s="47" t="n"/>
      <c r="AO386" s="47" t="n"/>
      <c r="AP386" s="47" t="n"/>
      <c r="AQ386" s="47" t="n"/>
      <c r="AR386" s="47" t="n"/>
      <c r="AS386" s="47" t="n"/>
      <c r="AT386" s="47" t="n"/>
      <c r="AU386" s="48" t="n"/>
      <c r="AV386" s="48" t="n"/>
      <c r="AW386" s="49">
        <f>IF($A386="","",IF($BW386&lt;&gt;"","FIX",IF($BX386&lt;&gt;"","CHECK","OK")))</f>
        <v/>
      </c>
      <c r="AX386" s="50">
        <f>IF($A386="","",IF($BW386&lt;&gt;"","FIX: "&amp;LEFT($BW386,LEN($BW386)-2)&amp;IF($BX386&lt;&gt;"","  ·  ",""),"")&amp;IF($BX386&lt;&gt;"","CHECK: "&amp;LEFT($BX386,LEN($BX386)-2),""))</f>
        <v/>
      </c>
      <c r="AY386" s="49">
        <f>IF(OR($A386="",$K386=""),"",$K386&amp;"'-"&amp;N($L386)&amp;CHAR(34)&amp;" x "&amp;$M386&amp;"'-"&amp;N($N386)&amp;CHAR(34))</f>
        <v/>
      </c>
      <c r="AZ386" s="49">
        <f>IF(OR($A386="",$K386=""),"",$K386&amp;N($L386)&amp;$M386&amp;N($N386))</f>
        <v/>
      </c>
      <c r="BA386" s="49">
        <f>IF(OR($A386="",$K386=""),"",$K386*12+N($L386))</f>
        <v/>
      </c>
      <c r="BB386" s="49">
        <f>IF(OR($A386="",$M386=""),"",$M386*12+N($N386))</f>
        <v/>
      </c>
      <c r="BC386" s="49">
        <f>IF($A386="","",IF(OR($C386="FRAME ONLY",$S386="BL"),0,IF($O386="Y",2,1)))</f>
        <v/>
      </c>
      <c r="BD386" s="51">
        <f>IF(OR(N($BC386)=0,$BA386=""),"",($BA386-2*EdgeClr-IF($BC386=2,MeetClr,0))/$BC386)</f>
        <v/>
      </c>
      <c r="BE386" s="51">
        <f>IF(OR(N($BC386)=0,$BB386=""),"",$BB386-HeadClr-Undercut)</f>
        <v/>
      </c>
      <c r="BF386" s="51">
        <f>IF($BA386="","",$BA386+2*FaceW+IF(N($Q386)&gt;0,($Q386+FaceW)*IF($R386="LR",2,1),0))</f>
        <v/>
      </c>
      <c r="BG386" s="51">
        <f>IF($BB386="","",$BB386+IF($AB386="Y",4,FaceW)+IF(N($P386)&gt;0,$P386+FaceW,0)+IF(OR($S386="4F",$S386="BL"),FaceW,0))</f>
        <v/>
      </c>
      <c r="BH386" s="51">
        <f>IF($BF386="","",$BF386+2*ROSide)</f>
        <v/>
      </c>
      <c r="BI386" s="51">
        <f>IF($BG386="","",$BG386+ROTop)</f>
        <v/>
      </c>
      <c r="BJ386" s="52">
        <f>IF(OR(N($BC386)=0,$BA386=""),"",$BA386/$BC386-ClearDeduct)</f>
        <v/>
      </c>
      <c r="BK386" s="49">
        <f>IF(OR(N($BC386)=0,$BE386=""),"",IF(OR($AC386="HGC",$AP386="HGC"),"CONT",IF($BE386&lt;=60,2,IF($BE386&lt;=90,3,IF($BE386&lt;=120,4,5)))))</f>
        <v/>
      </c>
      <c r="BL386" s="49">
        <f>IF(N($BC386)=0,"",IF(OR($AL386="",$AL386="FLUSH"),"FLUSH",IFERROR(LEFT($AL386,FIND("-",$AL386)-1),LEFT($AL386,2))))</f>
        <v/>
      </c>
      <c r="BM386" s="49">
        <f>IF($BL386="","",IFERROR(VALUE(MID($AL386,FIND("-",$AL386)+1,FIND(CHAR(34)&amp;"x",$AL386)-FIND("-",$AL386)-1)),0))</f>
        <v/>
      </c>
      <c r="BN386" s="49">
        <f>IF($BL386="","",IFERROR(VALUE(MID($AL386,FIND(CHAR(34)&amp;"x",$AL386)+2,FIND(CHAR(34),$AL386,FIND(CHAR(34)&amp;"x",$AL386)+2)-FIND(CHAR(34)&amp;"x",$AL386)-2)),0))</f>
        <v/>
      </c>
      <c r="BO386" s="53">
        <f>IF(OR($A386="",$H386="",$H386="NO LAB"),0,IFERROR(VALUE(LEFT($H386,FIND(" ",$H386)-1)),0))</f>
        <v/>
      </c>
      <c r="BP386" s="54">
        <f>IF(OR($A386="",$I386="",$I386="NON-RATED",N($J386)=0),"",IFERROR(VLOOKUP($I386&amp;"|"&amp;$J386,IBC,2,FALSE),"?"))</f>
        <v/>
      </c>
      <c r="BQ386" s="50">
        <f>IF(NOT(AND($A386&lt;&gt;"",$C386&lt;&gt;"DOOR ONLY")),"",TRIM(IFERROR(VLOOKUP($U386,CODES,2,FALSE),"")&amp;" "&amp;$AZ386&amp;" "&amp;IFERROR(VLOOKUP($Z386,CODES,2,FALSE),"")&amp;" "&amp;IFERROR(VLOOKUP($X386,CODES,2,FALSE),"")&amp;" "&amp;IFERROR(VLOOKUP($S386,CODES,2,FALSE),"")&amp;IF(N($P386)&gt;0," w/TRANSOM "&amp;$P386&amp;CHAR(34),"")&amp;IF(N($Q386)&gt;0," w/SIDELITE "&amp;$Q386&amp;CHAR(34)&amp;" "&amp;IF($R386="","R",$R386),"")&amp;IF($Y386="","  |  "," | "&amp;IFERROR(VLOOKUP($Y386,CODES,2,FALSE),"")&amp;" | ")&amp;IFERROR(VLOOKUP($AC386,CODES,2,FALSE),"")&amp;" "&amp;IFERROR(VLOOKUP($AD386,CODES,2,FALSE),"")&amp;IF(OR($AE386="",$AE386="-"),""," "&amp;$AE386)&amp;IF(OR($AF386="",$AF386="-"),""," "&amp;$AF386)&amp;IF($AB386="Y"," 4"&amp;CHAR(34)&amp;" HEAD","")&amp;" "&amp;IFERROR(VLOOKUP($H386,CODES,2,FALSE),"")))</f>
        <v/>
      </c>
      <c r="BR386" s="50">
        <f>IF(NOT(AND($A386&lt;&gt;"",N($BC386)&gt;0)),"",TRIM(IFERROR(VLOOKUP($AH386,CODES,2,FALSE),"")&amp;IF($AI386=""," "," "&amp;$AI386&amp;"GA ")&amp;$AZ386&amp;" "&amp;IF($AN386="",IFERROR(VLOOKUP($Z386,CODES,2,FALSE),""),IFERROR(VLOOKUP($AN386,CODES,2,FALSE),""))&amp;IF($BC386=2," PAIR","")&amp;" DOOR | "&amp;IF($AL386="","?",$AL386)&amp;" | "&amp;IF($AP386="",IFERROR(VLOOKUP($AC386,CODES,2,FALSE),""),IFERROR(VLOOKUP($AP386,CODES,2,FALSE),""))&amp;" "&amp;IFERROR(VLOOKUP($AQ386,CODES,2,FALSE),"")&amp;IF(OR($AR386="",$AR386="-"),""," SEAM "&amp;$AR386)&amp;IF($AS386="Y"," ASTRAGAL","")&amp;IF($AJ386=""," "," "&amp;$AJ386)&amp;IF($AK386=""," "," "&amp;$AK386)&amp;IF($AO386="",""," "&amp;$AO386)&amp;IF($AM386=""," "," SERIES "&amp;$AM386)&amp;" "&amp;IFERROR(VLOOKUP($H386,CODES,2,FALSE),"")))</f>
        <v/>
      </c>
      <c r="BS386" s="49">
        <f>IF(BV386="","",IF(COUNTIF($BV$6:BV386,BV386)=1,MAX($BS$5:BS385)+1,INDEX($BS$5:BS385,MATCH(BV386,$BV$5:BV385,0))))</f>
        <v/>
      </c>
      <c r="BT386" s="49">
        <f>IF(NOT(AND($A386&lt;&gt;"",$C386&lt;&gt;"DOOR ONLY")),"",MAX($BT$5:BT385)+1)</f>
        <v/>
      </c>
      <c r="BU386" s="49">
        <f>IF(NOT(AND($A386&lt;&gt;"",N($BC386)&gt;0)),"",MAX($BU$5:BU385)+1)</f>
        <v/>
      </c>
      <c r="BV386" s="49">
        <f>IF(OR($A386="",$BA386="",$BB386=""),"",$AZ386&amp;"|"&amp;$O386&amp;"|"&amp;$AL386&amp;"|"&amp;$S386&amp;"|"&amp;$P386&amp;"|"&amp;$Q386&amp;$R386&amp;"|"&amp;$C386&amp;"|"&amp;$AB386)</f>
        <v/>
      </c>
      <c r="BW386" s="49">
        <f>IF($A386="","",IF($B386="","qty, ","")&amp;IF($C386="","scope, ","")&amp;IF(OR($K386="",$M386=""),"size, ","")&amp;IF(AND($A386&lt;&gt;"",$C386&lt;&gt;"DOOR ONLY"),IF($U386="","jamb depth, ","")&amp;IF($X386="","construction, ","")&amp;IF($Y386="","anchor, ","")&amp;IF($S386="","frame type, ",""),"")&amp;IF(AND(N($BC386)&gt;0,$Z386=""),"hand, ","")&amp;IF(N($BC386)&gt;0,IF($AH386="","door material, ","")&amp;IF($AL386="","face type, ","")&amp;IF($AQ386="","lock prep, ","")&amp;IF(AND($AP386="",$AC386=""),"hinge prep, ",""),"")&amp;IF(AND($BO386&gt;0,$AH386="FRP"),"FRP cannot carry a label, ","")&amp;IF(AND($O386="Y",OR($Z386="L",$Z386="R",$Z386="LR",$Z386="RR")),"pair marked but hand is single, ","")&amp;IF(AND($O386&lt;&gt;"Y",OR($Z386="PR",AND(LEN($Z386)&gt;1,ISNUMBER(SEARCH("-",$Z386))))),"pair hand on a single door, ","")&amp;IF(AND(ISNUMBER($BP386),$BO386&lt;N($BP386)),"wall needs a "&amp;$BP386&amp;" min door, ","")&amp;IF(AND($BO386&gt;=180,AND(OR($BL386="FG",$BL386="HG",$BL386="FNV",$BL386="FV"),N($BM386)*N($BN386)&gt;100)),"180 min lite over 100 sq in, ","")&amp;IF(N($BD386)&gt;48,"leaf wider than 4'-0"&amp;CHAR(34)&amp;", ",""))</f>
        <v/>
      </c>
      <c r="BX386" s="49">
        <f>IF($A386="","",IF(AND($BO386&gt;0,AND($A386&lt;&gt;"",$C386&lt;&gt;"DOOR ONLY"),$X386="KD",$E386="EXTERIOR"),"KD label on an exterior opening, ","")&amp;IF(AND($E386="EXTERIOR",OR(AND(AND($A386&lt;&gt;"",$C386&lt;&gt;"DOOR ONLY"),$W386="CR"),AND(N($BC386)&gt;0,$AH386="CR"))),"exterior in CR steel (G9?), ","")&amp;IF(AND(ISNUMBER($BJ386),N($BJ386)&lt;32),"clear width ~"&amp;TEXT($BJ386,"0.0")&amp;CHAR(34)&amp;" under 32"&amp;CHAR(34)&amp;" (ADA), ","")&amp;IF(AND($BO386=90,AND(OR($BL386="FG",$BL386="HG",$BL386="FNV",$BL386="FV"),N($BM386)*N($BN386)&gt;100)),"90 min lite over 100 sq in (stair/exit), ","")&amp;IF(AND($BO386&gt;0,AND($A386&lt;&gt;"",$C386&lt;&gt;"DOOR ONLY"),OR($AF386="",$AF386="-")),"rated: closer reinf.?, ","")&amp;IF(OR($I386="CORRIDOR",$I386="SMOKE BARRIER"),"S label + smoke gasketing, ","")&amp;IF($BP386="?","wall type/hr not in IBC table, ","")&amp;IF(AND(N($BC386)&gt;0,$AU386=""),"no hardware set, ","")&amp;IF(AND($AU386&lt;&gt;"",ISNA(MATCH($AU386,HWSets,0))),"set "&amp;$AU386&amp;" not on Hardware sheet, ","")&amp;IF(N($BE386)&gt;96,"leaf over 8'-0"&amp;CHAR(34)&amp;" - check listing, ",""))</f>
        <v/>
      </c>
    </row>
    <row r="387" ht="15" customHeight="1">
      <c r="A387" s="44" t="n"/>
      <c r="B387" s="45" t="n"/>
      <c r="C387" s="45" t="n"/>
      <c r="D387" s="45" t="n"/>
      <c r="E387" s="45" t="n"/>
      <c r="F387" s="45" t="n"/>
      <c r="G387" s="45" t="n"/>
      <c r="H387" s="45" t="n"/>
      <c r="I387" s="45" t="n"/>
      <c r="J387" s="45" t="n"/>
      <c r="K387" s="45" t="n"/>
      <c r="L387" s="45" t="n"/>
      <c r="M387" s="45" t="n"/>
      <c r="N387" s="45" t="n"/>
      <c r="O387" s="45" t="n"/>
      <c r="P387" s="45" t="n"/>
      <c r="Q387" s="45" t="n"/>
      <c r="R387" s="45" t="n"/>
      <c r="S387" s="46" t="n"/>
      <c r="T387" s="46" t="n"/>
      <c r="U387" s="46" t="n"/>
      <c r="V387" s="46" t="n"/>
      <c r="W387" s="46" t="n"/>
      <c r="X387" s="46" t="n"/>
      <c r="Y387" s="46" t="n"/>
      <c r="Z387" s="46" t="n"/>
      <c r="AA387" s="46" t="n"/>
      <c r="AB387" s="46" t="n"/>
      <c r="AC387" s="46" t="n"/>
      <c r="AD387" s="46" t="n"/>
      <c r="AE387" s="46" t="n"/>
      <c r="AF387" s="46" t="n"/>
      <c r="AG387" s="46" t="n"/>
      <c r="AH387" s="47" t="n"/>
      <c r="AI387" s="47" t="n"/>
      <c r="AJ387" s="47" t="n"/>
      <c r="AK387" s="47" t="n"/>
      <c r="AL387" s="47" t="n"/>
      <c r="AM387" s="47" t="n"/>
      <c r="AN387" s="47" t="n"/>
      <c r="AO387" s="47" t="n"/>
      <c r="AP387" s="47" t="n"/>
      <c r="AQ387" s="47" t="n"/>
      <c r="AR387" s="47" t="n"/>
      <c r="AS387" s="47" t="n"/>
      <c r="AT387" s="47" t="n"/>
      <c r="AU387" s="48" t="n"/>
      <c r="AV387" s="48" t="n"/>
      <c r="AW387" s="49">
        <f>IF($A387="","",IF($BW387&lt;&gt;"","FIX",IF($BX387&lt;&gt;"","CHECK","OK")))</f>
        <v/>
      </c>
      <c r="AX387" s="50">
        <f>IF($A387="","",IF($BW387&lt;&gt;"","FIX: "&amp;LEFT($BW387,LEN($BW387)-2)&amp;IF($BX387&lt;&gt;"","  ·  ",""),"")&amp;IF($BX387&lt;&gt;"","CHECK: "&amp;LEFT($BX387,LEN($BX387)-2),""))</f>
        <v/>
      </c>
      <c r="AY387" s="49">
        <f>IF(OR($A387="",$K387=""),"",$K387&amp;"'-"&amp;N($L387)&amp;CHAR(34)&amp;" x "&amp;$M387&amp;"'-"&amp;N($N387)&amp;CHAR(34))</f>
        <v/>
      </c>
      <c r="AZ387" s="49">
        <f>IF(OR($A387="",$K387=""),"",$K387&amp;N($L387)&amp;$M387&amp;N($N387))</f>
        <v/>
      </c>
      <c r="BA387" s="49">
        <f>IF(OR($A387="",$K387=""),"",$K387*12+N($L387))</f>
        <v/>
      </c>
      <c r="BB387" s="49">
        <f>IF(OR($A387="",$M387=""),"",$M387*12+N($N387))</f>
        <v/>
      </c>
      <c r="BC387" s="49">
        <f>IF($A387="","",IF(OR($C387="FRAME ONLY",$S387="BL"),0,IF($O387="Y",2,1)))</f>
        <v/>
      </c>
      <c r="BD387" s="51">
        <f>IF(OR(N($BC387)=0,$BA387=""),"",($BA387-2*EdgeClr-IF($BC387=2,MeetClr,0))/$BC387)</f>
        <v/>
      </c>
      <c r="BE387" s="51">
        <f>IF(OR(N($BC387)=0,$BB387=""),"",$BB387-HeadClr-Undercut)</f>
        <v/>
      </c>
      <c r="BF387" s="51">
        <f>IF($BA387="","",$BA387+2*FaceW+IF(N($Q387)&gt;0,($Q387+FaceW)*IF($R387="LR",2,1),0))</f>
        <v/>
      </c>
      <c r="BG387" s="51">
        <f>IF($BB387="","",$BB387+IF($AB387="Y",4,FaceW)+IF(N($P387)&gt;0,$P387+FaceW,0)+IF(OR($S387="4F",$S387="BL"),FaceW,0))</f>
        <v/>
      </c>
      <c r="BH387" s="51">
        <f>IF($BF387="","",$BF387+2*ROSide)</f>
        <v/>
      </c>
      <c r="BI387" s="51">
        <f>IF($BG387="","",$BG387+ROTop)</f>
        <v/>
      </c>
      <c r="BJ387" s="52">
        <f>IF(OR(N($BC387)=0,$BA387=""),"",$BA387/$BC387-ClearDeduct)</f>
        <v/>
      </c>
      <c r="BK387" s="49">
        <f>IF(OR(N($BC387)=0,$BE387=""),"",IF(OR($AC387="HGC",$AP387="HGC"),"CONT",IF($BE387&lt;=60,2,IF($BE387&lt;=90,3,IF($BE387&lt;=120,4,5)))))</f>
        <v/>
      </c>
      <c r="BL387" s="49">
        <f>IF(N($BC387)=0,"",IF(OR($AL387="",$AL387="FLUSH"),"FLUSH",IFERROR(LEFT($AL387,FIND("-",$AL387)-1),LEFT($AL387,2))))</f>
        <v/>
      </c>
      <c r="BM387" s="49">
        <f>IF($BL387="","",IFERROR(VALUE(MID($AL387,FIND("-",$AL387)+1,FIND(CHAR(34)&amp;"x",$AL387)-FIND("-",$AL387)-1)),0))</f>
        <v/>
      </c>
      <c r="BN387" s="49">
        <f>IF($BL387="","",IFERROR(VALUE(MID($AL387,FIND(CHAR(34)&amp;"x",$AL387)+2,FIND(CHAR(34),$AL387,FIND(CHAR(34)&amp;"x",$AL387)+2)-FIND(CHAR(34)&amp;"x",$AL387)-2)),0))</f>
        <v/>
      </c>
      <c r="BO387" s="53">
        <f>IF(OR($A387="",$H387="",$H387="NO LAB"),0,IFERROR(VALUE(LEFT($H387,FIND(" ",$H387)-1)),0))</f>
        <v/>
      </c>
      <c r="BP387" s="54">
        <f>IF(OR($A387="",$I387="",$I387="NON-RATED",N($J387)=0),"",IFERROR(VLOOKUP($I387&amp;"|"&amp;$J387,IBC,2,FALSE),"?"))</f>
        <v/>
      </c>
      <c r="BQ387" s="50">
        <f>IF(NOT(AND($A387&lt;&gt;"",$C387&lt;&gt;"DOOR ONLY")),"",TRIM(IFERROR(VLOOKUP($U387,CODES,2,FALSE),"")&amp;" "&amp;$AZ387&amp;" "&amp;IFERROR(VLOOKUP($Z387,CODES,2,FALSE),"")&amp;" "&amp;IFERROR(VLOOKUP($X387,CODES,2,FALSE),"")&amp;" "&amp;IFERROR(VLOOKUP($S387,CODES,2,FALSE),"")&amp;IF(N($P387)&gt;0," w/TRANSOM "&amp;$P387&amp;CHAR(34),"")&amp;IF(N($Q387)&gt;0," w/SIDELITE "&amp;$Q387&amp;CHAR(34)&amp;" "&amp;IF($R387="","R",$R387),"")&amp;IF($Y387="","  |  "," | "&amp;IFERROR(VLOOKUP($Y387,CODES,2,FALSE),"")&amp;" | ")&amp;IFERROR(VLOOKUP($AC387,CODES,2,FALSE),"")&amp;" "&amp;IFERROR(VLOOKUP($AD387,CODES,2,FALSE),"")&amp;IF(OR($AE387="",$AE387="-"),""," "&amp;$AE387)&amp;IF(OR($AF387="",$AF387="-"),""," "&amp;$AF387)&amp;IF($AB387="Y"," 4"&amp;CHAR(34)&amp;" HEAD","")&amp;" "&amp;IFERROR(VLOOKUP($H387,CODES,2,FALSE),"")))</f>
        <v/>
      </c>
      <c r="BR387" s="50">
        <f>IF(NOT(AND($A387&lt;&gt;"",N($BC387)&gt;0)),"",TRIM(IFERROR(VLOOKUP($AH387,CODES,2,FALSE),"")&amp;IF($AI387=""," "," "&amp;$AI387&amp;"GA ")&amp;$AZ387&amp;" "&amp;IF($AN387="",IFERROR(VLOOKUP($Z387,CODES,2,FALSE),""),IFERROR(VLOOKUP($AN387,CODES,2,FALSE),""))&amp;IF($BC387=2," PAIR","")&amp;" DOOR | "&amp;IF($AL387="","?",$AL387)&amp;" | "&amp;IF($AP387="",IFERROR(VLOOKUP($AC387,CODES,2,FALSE),""),IFERROR(VLOOKUP($AP387,CODES,2,FALSE),""))&amp;" "&amp;IFERROR(VLOOKUP($AQ387,CODES,2,FALSE),"")&amp;IF(OR($AR387="",$AR387="-"),""," SEAM "&amp;$AR387)&amp;IF($AS387="Y"," ASTRAGAL","")&amp;IF($AJ387=""," "," "&amp;$AJ387)&amp;IF($AK387=""," "," "&amp;$AK387)&amp;IF($AO387="",""," "&amp;$AO387)&amp;IF($AM387=""," "," SERIES "&amp;$AM387)&amp;" "&amp;IFERROR(VLOOKUP($H387,CODES,2,FALSE),"")))</f>
        <v/>
      </c>
      <c r="BS387" s="49">
        <f>IF(BV387="","",IF(COUNTIF($BV$6:BV387,BV387)=1,MAX($BS$5:BS386)+1,INDEX($BS$5:BS386,MATCH(BV387,$BV$5:BV386,0))))</f>
        <v/>
      </c>
      <c r="BT387" s="49">
        <f>IF(NOT(AND($A387&lt;&gt;"",$C387&lt;&gt;"DOOR ONLY")),"",MAX($BT$5:BT386)+1)</f>
        <v/>
      </c>
      <c r="BU387" s="49">
        <f>IF(NOT(AND($A387&lt;&gt;"",N($BC387)&gt;0)),"",MAX($BU$5:BU386)+1)</f>
        <v/>
      </c>
      <c r="BV387" s="49">
        <f>IF(OR($A387="",$BA387="",$BB387=""),"",$AZ387&amp;"|"&amp;$O387&amp;"|"&amp;$AL387&amp;"|"&amp;$S387&amp;"|"&amp;$P387&amp;"|"&amp;$Q387&amp;$R387&amp;"|"&amp;$C387&amp;"|"&amp;$AB387)</f>
        <v/>
      </c>
      <c r="BW387" s="49">
        <f>IF($A387="","",IF($B387="","qty, ","")&amp;IF($C387="","scope, ","")&amp;IF(OR($K387="",$M387=""),"size, ","")&amp;IF(AND($A387&lt;&gt;"",$C387&lt;&gt;"DOOR ONLY"),IF($U387="","jamb depth, ","")&amp;IF($X387="","construction, ","")&amp;IF($Y387="","anchor, ","")&amp;IF($S387="","frame type, ",""),"")&amp;IF(AND(N($BC387)&gt;0,$Z387=""),"hand, ","")&amp;IF(N($BC387)&gt;0,IF($AH387="","door material, ","")&amp;IF($AL387="","face type, ","")&amp;IF($AQ387="","lock prep, ","")&amp;IF(AND($AP387="",$AC387=""),"hinge prep, ",""),"")&amp;IF(AND($BO387&gt;0,$AH387="FRP"),"FRP cannot carry a label, ","")&amp;IF(AND($O387="Y",OR($Z387="L",$Z387="R",$Z387="LR",$Z387="RR")),"pair marked but hand is single, ","")&amp;IF(AND($O387&lt;&gt;"Y",OR($Z387="PR",AND(LEN($Z387)&gt;1,ISNUMBER(SEARCH("-",$Z387))))),"pair hand on a single door, ","")&amp;IF(AND(ISNUMBER($BP387),$BO387&lt;N($BP387)),"wall needs a "&amp;$BP387&amp;" min door, ","")&amp;IF(AND($BO387&gt;=180,AND(OR($BL387="FG",$BL387="HG",$BL387="FNV",$BL387="FV"),N($BM387)*N($BN387)&gt;100)),"180 min lite over 100 sq in, ","")&amp;IF(N($BD387)&gt;48,"leaf wider than 4'-0"&amp;CHAR(34)&amp;", ",""))</f>
        <v/>
      </c>
      <c r="BX387" s="49">
        <f>IF($A387="","",IF(AND($BO387&gt;0,AND($A387&lt;&gt;"",$C387&lt;&gt;"DOOR ONLY"),$X387="KD",$E387="EXTERIOR"),"KD label on an exterior opening, ","")&amp;IF(AND($E387="EXTERIOR",OR(AND(AND($A387&lt;&gt;"",$C387&lt;&gt;"DOOR ONLY"),$W387="CR"),AND(N($BC387)&gt;0,$AH387="CR"))),"exterior in CR steel (G9?), ","")&amp;IF(AND(ISNUMBER($BJ387),N($BJ387)&lt;32),"clear width ~"&amp;TEXT($BJ387,"0.0")&amp;CHAR(34)&amp;" under 32"&amp;CHAR(34)&amp;" (ADA), ","")&amp;IF(AND($BO387=90,AND(OR($BL387="FG",$BL387="HG",$BL387="FNV",$BL387="FV"),N($BM387)*N($BN387)&gt;100)),"90 min lite over 100 sq in (stair/exit), ","")&amp;IF(AND($BO387&gt;0,AND($A387&lt;&gt;"",$C387&lt;&gt;"DOOR ONLY"),OR($AF387="",$AF387="-")),"rated: closer reinf.?, ","")&amp;IF(OR($I387="CORRIDOR",$I387="SMOKE BARRIER"),"S label + smoke gasketing, ","")&amp;IF($BP387="?","wall type/hr not in IBC table, ","")&amp;IF(AND(N($BC387)&gt;0,$AU387=""),"no hardware set, ","")&amp;IF(AND($AU387&lt;&gt;"",ISNA(MATCH($AU387,HWSets,0))),"set "&amp;$AU387&amp;" not on Hardware sheet, ","")&amp;IF(N($BE387)&gt;96,"leaf over 8'-0"&amp;CHAR(34)&amp;" - check listing, ",""))</f>
        <v/>
      </c>
    </row>
    <row r="388" ht="15" customHeight="1">
      <c r="A388" s="44" t="n"/>
      <c r="B388" s="45" t="n"/>
      <c r="C388" s="45" t="n"/>
      <c r="D388" s="45" t="n"/>
      <c r="E388" s="45" t="n"/>
      <c r="F388" s="45" t="n"/>
      <c r="G388" s="45" t="n"/>
      <c r="H388" s="45" t="n"/>
      <c r="I388" s="45" t="n"/>
      <c r="J388" s="45" t="n"/>
      <c r="K388" s="45" t="n"/>
      <c r="L388" s="45" t="n"/>
      <c r="M388" s="45" t="n"/>
      <c r="N388" s="45" t="n"/>
      <c r="O388" s="45" t="n"/>
      <c r="P388" s="45" t="n"/>
      <c r="Q388" s="45" t="n"/>
      <c r="R388" s="45" t="n"/>
      <c r="S388" s="46" t="n"/>
      <c r="T388" s="46" t="n"/>
      <c r="U388" s="46" t="n"/>
      <c r="V388" s="46" t="n"/>
      <c r="W388" s="46" t="n"/>
      <c r="X388" s="46" t="n"/>
      <c r="Y388" s="46" t="n"/>
      <c r="Z388" s="46" t="n"/>
      <c r="AA388" s="46" t="n"/>
      <c r="AB388" s="46" t="n"/>
      <c r="AC388" s="46" t="n"/>
      <c r="AD388" s="46" t="n"/>
      <c r="AE388" s="46" t="n"/>
      <c r="AF388" s="46" t="n"/>
      <c r="AG388" s="46" t="n"/>
      <c r="AH388" s="47" t="n"/>
      <c r="AI388" s="47" t="n"/>
      <c r="AJ388" s="47" t="n"/>
      <c r="AK388" s="47" t="n"/>
      <c r="AL388" s="47" t="n"/>
      <c r="AM388" s="47" t="n"/>
      <c r="AN388" s="47" t="n"/>
      <c r="AO388" s="47" t="n"/>
      <c r="AP388" s="47" t="n"/>
      <c r="AQ388" s="47" t="n"/>
      <c r="AR388" s="47" t="n"/>
      <c r="AS388" s="47" t="n"/>
      <c r="AT388" s="47" t="n"/>
      <c r="AU388" s="48" t="n"/>
      <c r="AV388" s="48" t="n"/>
      <c r="AW388" s="49">
        <f>IF($A388="","",IF($BW388&lt;&gt;"","FIX",IF($BX388&lt;&gt;"","CHECK","OK")))</f>
        <v/>
      </c>
      <c r="AX388" s="50">
        <f>IF($A388="","",IF($BW388&lt;&gt;"","FIX: "&amp;LEFT($BW388,LEN($BW388)-2)&amp;IF($BX388&lt;&gt;"","  ·  ",""),"")&amp;IF($BX388&lt;&gt;"","CHECK: "&amp;LEFT($BX388,LEN($BX388)-2),""))</f>
        <v/>
      </c>
      <c r="AY388" s="49">
        <f>IF(OR($A388="",$K388=""),"",$K388&amp;"'-"&amp;N($L388)&amp;CHAR(34)&amp;" x "&amp;$M388&amp;"'-"&amp;N($N388)&amp;CHAR(34))</f>
        <v/>
      </c>
      <c r="AZ388" s="49">
        <f>IF(OR($A388="",$K388=""),"",$K388&amp;N($L388)&amp;$M388&amp;N($N388))</f>
        <v/>
      </c>
      <c r="BA388" s="49">
        <f>IF(OR($A388="",$K388=""),"",$K388*12+N($L388))</f>
        <v/>
      </c>
      <c r="BB388" s="49">
        <f>IF(OR($A388="",$M388=""),"",$M388*12+N($N388))</f>
        <v/>
      </c>
      <c r="BC388" s="49">
        <f>IF($A388="","",IF(OR($C388="FRAME ONLY",$S388="BL"),0,IF($O388="Y",2,1)))</f>
        <v/>
      </c>
      <c r="BD388" s="51">
        <f>IF(OR(N($BC388)=0,$BA388=""),"",($BA388-2*EdgeClr-IF($BC388=2,MeetClr,0))/$BC388)</f>
        <v/>
      </c>
      <c r="BE388" s="51">
        <f>IF(OR(N($BC388)=0,$BB388=""),"",$BB388-HeadClr-Undercut)</f>
        <v/>
      </c>
      <c r="BF388" s="51">
        <f>IF($BA388="","",$BA388+2*FaceW+IF(N($Q388)&gt;0,($Q388+FaceW)*IF($R388="LR",2,1),0))</f>
        <v/>
      </c>
      <c r="BG388" s="51">
        <f>IF($BB388="","",$BB388+IF($AB388="Y",4,FaceW)+IF(N($P388)&gt;0,$P388+FaceW,0)+IF(OR($S388="4F",$S388="BL"),FaceW,0))</f>
        <v/>
      </c>
      <c r="BH388" s="51">
        <f>IF($BF388="","",$BF388+2*ROSide)</f>
        <v/>
      </c>
      <c r="BI388" s="51">
        <f>IF($BG388="","",$BG388+ROTop)</f>
        <v/>
      </c>
      <c r="BJ388" s="52">
        <f>IF(OR(N($BC388)=0,$BA388=""),"",$BA388/$BC388-ClearDeduct)</f>
        <v/>
      </c>
      <c r="BK388" s="49">
        <f>IF(OR(N($BC388)=0,$BE388=""),"",IF(OR($AC388="HGC",$AP388="HGC"),"CONT",IF($BE388&lt;=60,2,IF($BE388&lt;=90,3,IF($BE388&lt;=120,4,5)))))</f>
        <v/>
      </c>
      <c r="BL388" s="49">
        <f>IF(N($BC388)=0,"",IF(OR($AL388="",$AL388="FLUSH"),"FLUSH",IFERROR(LEFT($AL388,FIND("-",$AL388)-1),LEFT($AL388,2))))</f>
        <v/>
      </c>
      <c r="BM388" s="49">
        <f>IF($BL388="","",IFERROR(VALUE(MID($AL388,FIND("-",$AL388)+1,FIND(CHAR(34)&amp;"x",$AL388)-FIND("-",$AL388)-1)),0))</f>
        <v/>
      </c>
      <c r="BN388" s="49">
        <f>IF($BL388="","",IFERROR(VALUE(MID($AL388,FIND(CHAR(34)&amp;"x",$AL388)+2,FIND(CHAR(34),$AL388,FIND(CHAR(34)&amp;"x",$AL388)+2)-FIND(CHAR(34)&amp;"x",$AL388)-2)),0))</f>
        <v/>
      </c>
      <c r="BO388" s="53">
        <f>IF(OR($A388="",$H388="",$H388="NO LAB"),0,IFERROR(VALUE(LEFT($H388,FIND(" ",$H388)-1)),0))</f>
        <v/>
      </c>
      <c r="BP388" s="54">
        <f>IF(OR($A388="",$I388="",$I388="NON-RATED",N($J388)=0),"",IFERROR(VLOOKUP($I388&amp;"|"&amp;$J388,IBC,2,FALSE),"?"))</f>
        <v/>
      </c>
      <c r="BQ388" s="50">
        <f>IF(NOT(AND($A388&lt;&gt;"",$C388&lt;&gt;"DOOR ONLY")),"",TRIM(IFERROR(VLOOKUP($U388,CODES,2,FALSE),"")&amp;" "&amp;$AZ388&amp;" "&amp;IFERROR(VLOOKUP($Z388,CODES,2,FALSE),"")&amp;" "&amp;IFERROR(VLOOKUP($X388,CODES,2,FALSE),"")&amp;" "&amp;IFERROR(VLOOKUP($S388,CODES,2,FALSE),"")&amp;IF(N($P388)&gt;0," w/TRANSOM "&amp;$P388&amp;CHAR(34),"")&amp;IF(N($Q388)&gt;0," w/SIDELITE "&amp;$Q388&amp;CHAR(34)&amp;" "&amp;IF($R388="","R",$R388),"")&amp;IF($Y388="","  |  "," | "&amp;IFERROR(VLOOKUP($Y388,CODES,2,FALSE),"")&amp;" | ")&amp;IFERROR(VLOOKUP($AC388,CODES,2,FALSE),"")&amp;" "&amp;IFERROR(VLOOKUP($AD388,CODES,2,FALSE),"")&amp;IF(OR($AE388="",$AE388="-"),""," "&amp;$AE388)&amp;IF(OR($AF388="",$AF388="-"),""," "&amp;$AF388)&amp;IF($AB388="Y"," 4"&amp;CHAR(34)&amp;" HEAD","")&amp;" "&amp;IFERROR(VLOOKUP($H388,CODES,2,FALSE),"")))</f>
        <v/>
      </c>
      <c r="BR388" s="50">
        <f>IF(NOT(AND($A388&lt;&gt;"",N($BC388)&gt;0)),"",TRIM(IFERROR(VLOOKUP($AH388,CODES,2,FALSE),"")&amp;IF($AI388=""," "," "&amp;$AI388&amp;"GA ")&amp;$AZ388&amp;" "&amp;IF($AN388="",IFERROR(VLOOKUP($Z388,CODES,2,FALSE),""),IFERROR(VLOOKUP($AN388,CODES,2,FALSE),""))&amp;IF($BC388=2," PAIR","")&amp;" DOOR | "&amp;IF($AL388="","?",$AL388)&amp;" | "&amp;IF($AP388="",IFERROR(VLOOKUP($AC388,CODES,2,FALSE),""),IFERROR(VLOOKUP($AP388,CODES,2,FALSE),""))&amp;" "&amp;IFERROR(VLOOKUP($AQ388,CODES,2,FALSE),"")&amp;IF(OR($AR388="",$AR388="-"),""," SEAM "&amp;$AR388)&amp;IF($AS388="Y"," ASTRAGAL","")&amp;IF($AJ388=""," "," "&amp;$AJ388)&amp;IF($AK388=""," "," "&amp;$AK388)&amp;IF($AO388="",""," "&amp;$AO388)&amp;IF($AM388=""," "," SERIES "&amp;$AM388)&amp;" "&amp;IFERROR(VLOOKUP($H388,CODES,2,FALSE),"")))</f>
        <v/>
      </c>
      <c r="BS388" s="49">
        <f>IF(BV388="","",IF(COUNTIF($BV$6:BV388,BV388)=1,MAX($BS$5:BS387)+1,INDEX($BS$5:BS387,MATCH(BV388,$BV$5:BV387,0))))</f>
        <v/>
      </c>
      <c r="BT388" s="49">
        <f>IF(NOT(AND($A388&lt;&gt;"",$C388&lt;&gt;"DOOR ONLY")),"",MAX($BT$5:BT387)+1)</f>
        <v/>
      </c>
      <c r="BU388" s="49">
        <f>IF(NOT(AND($A388&lt;&gt;"",N($BC388)&gt;0)),"",MAX($BU$5:BU387)+1)</f>
        <v/>
      </c>
      <c r="BV388" s="49">
        <f>IF(OR($A388="",$BA388="",$BB388=""),"",$AZ388&amp;"|"&amp;$O388&amp;"|"&amp;$AL388&amp;"|"&amp;$S388&amp;"|"&amp;$P388&amp;"|"&amp;$Q388&amp;$R388&amp;"|"&amp;$C388&amp;"|"&amp;$AB388)</f>
        <v/>
      </c>
      <c r="BW388" s="49">
        <f>IF($A388="","",IF($B388="","qty, ","")&amp;IF($C388="","scope, ","")&amp;IF(OR($K388="",$M388=""),"size, ","")&amp;IF(AND($A388&lt;&gt;"",$C388&lt;&gt;"DOOR ONLY"),IF($U388="","jamb depth, ","")&amp;IF($X388="","construction, ","")&amp;IF($Y388="","anchor, ","")&amp;IF($S388="","frame type, ",""),"")&amp;IF(AND(N($BC388)&gt;0,$Z388=""),"hand, ","")&amp;IF(N($BC388)&gt;0,IF($AH388="","door material, ","")&amp;IF($AL388="","face type, ","")&amp;IF($AQ388="","lock prep, ","")&amp;IF(AND($AP388="",$AC388=""),"hinge prep, ",""),"")&amp;IF(AND($BO388&gt;0,$AH388="FRP"),"FRP cannot carry a label, ","")&amp;IF(AND($O388="Y",OR($Z388="L",$Z388="R",$Z388="LR",$Z388="RR")),"pair marked but hand is single, ","")&amp;IF(AND($O388&lt;&gt;"Y",OR($Z388="PR",AND(LEN($Z388)&gt;1,ISNUMBER(SEARCH("-",$Z388))))),"pair hand on a single door, ","")&amp;IF(AND(ISNUMBER($BP388),$BO388&lt;N($BP388)),"wall needs a "&amp;$BP388&amp;" min door, ","")&amp;IF(AND($BO388&gt;=180,AND(OR($BL388="FG",$BL388="HG",$BL388="FNV",$BL388="FV"),N($BM388)*N($BN388)&gt;100)),"180 min lite over 100 sq in, ","")&amp;IF(N($BD388)&gt;48,"leaf wider than 4'-0"&amp;CHAR(34)&amp;", ",""))</f>
        <v/>
      </c>
      <c r="BX388" s="49">
        <f>IF($A388="","",IF(AND($BO388&gt;0,AND($A388&lt;&gt;"",$C388&lt;&gt;"DOOR ONLY"),$X388="KD",$E388="EXTERIOR"),"KD label on an exterior opening, ","")&amp;IF(AND($E388="EXTERIOR",OR(AND(AND($A388&lt;&gt;"",$C388&lt;&gt;"DOOR ONLY"),$W388="CR"),AND(N($BC388)&gt;0,$AH388="CR"))),"exterior in CR steel (G9?), ","")&amp;IF(AND(ISNUMBER($BJ388),N($BJ388)&lt;32),"clear width ~"&amp;TEXT($BJ388,"0.0")&amp;CHAR(34)&amp;" under 32"&amp;CHAR(34)&amp;" (ADA), ","")&amp;IF(AND($BO388=90,AND(OR($BL388="FG",$BL388="HG",$BL388="FNV",$BL388="FV"),N($BM388)*N($BN388)&gt;100)),"90 min lite over 100 sq in (stair/exit), ","")&amp;IF(AND($BO388&gt;0,AND($A388&lt;&gt;"",$C388&lt;&gt;"DOOR ONLY"),OR($AF388="",$AF388="-")),"rated: closer reinf.?, ","")&amp;IF(OR($I388="CORRIDOR",$I388="SMOKE BARRIER"),"S label + smoke gasketing, ","")&amp;IF($BP388="?","wall type/hr not in IBC table, ","")&amp;IF(AND(N($BC388)&gt;0,$AU388=""),"no hardware set, ","")&amp;IF(AND($AU388&lt;&gt;"",ISNA(MATCH($AU388,HWSets,0))),"set "&amp;$AU388&amp;" not on Hardware sheet, ","")&amp;IF(N($BE388)&gt;96,"leaf over 8'-0"&amp;CHAR(34)&amp;" - check listing, ",""))</f>
        <v/>
      </c>
    </row>
    <row r="389" ht="15" customHeight="1">
      <c r="A389" s="44" t="n"/>
      <c r="B389" s="45" t="n"/>
      <c r="C389" s="45" t="n"/>
      <c r="D389" s="45" t="n"/>
      <c r="E389" s="45" t="n"/>
      <c r="F389" s="45" t="n"/>
      <c r="G389" s="45" t="n"/>
      <c r="H389" s="45" t="n"/>
      <c r="I389" s="45" t="n"/>
      <c r="J389" s="45" t="n"/>
      <c r="K389" s="45" t="n"/>
      <c r="L389" s="45" t="n"/>
      <c r="M389" s="45" t="n"/>
      <c r="N389" s="45" t="n"/>
      <c r="O389" s="45" t="n"/>
      <c r="P389" s="45" t="n"/>
      <c r="Q389" s="45" t="n"/>
      <c r="R389" s="45" t="n"/>
      <c r="S389" s="46" t="n"/>
      <c r="T389" s="46" t="n"/>
      <c r="U389" s="46" t="n"/>
      <c r="V389" s="46" t="n"/>
      <c r="W389" s="46" t="n"/>
      <c r="X389" s="46" t="n"/>
      <c r="Y389" s="46" t="n"/>
      <c r="Z389" s="46" t="n"/>
      <c r="AA389" s="46" t="n"/>
      <c r="AB389" s="46" t="n"/>
      <c r="AC389" s="46" t="n"/>
      <c r="AD389" s="46" t="n"/>
      <c r="AE389" s="46" t="n"/>
      <c r="AF389" s="46" t="n"/>
      <c r="AG389" s="46" t="n"/>
      <c r="AH389" s="47" t="n"/>
      <c r="AI389" s="47" t="n"/>
      <c r="AJ389" s="47" t="n"/>
      <c r="AK389" s="47" t="n"/>
      <c r="AL389" s="47" t="n"/>
      <c r="AM389" s="47" t="n"/>
      <c r="AN389" s="47" t="n"/>
      <c r="AO389" s="47" t="n"/>
      <c r="AP389" s="47" t="n"/>
      <c r="AQ389" s="47" t="n"/>
      <c r="AR389" s="47" t="n"/>
      <c r="AS389" s="47" t="n"/>
      <c r="AT389" s="47" t="n"/>
      <c r="AU389" s="48" t="n"/>
      <c r="AV389" s="48" t="n"/>
      <c r="AW389" s="49">
        <f>IF($A389="","",IF($BW389&lt;&gt;"","FIX",IF($BX389&lt;&gt;"","CHECK","OK")))</f>
        <v/>
      </c>
      <c r="AX389" s="50">
        <f>IF($A389="","",IF($BW389&lt;&gt;"","FIX: "&amp;LEFT($BW389,LEN($BW389)-2)&amp;IF($BX389&lt;&gt;"","  ·  ",""),"")&amp;IF($BX389&lt;&gt;"","CHECK: "&amp;LEFT($BX389,LEN($BX389)-2),""))</f>
        <v/>
      </c>
      <c r="AY389" s="49">
        <f>IF(OR($A389="",$K389=""),"",$K389&amp;"'-"&amp;N($L389)&amp;CHAR(34)&amp;" x "&amp;$M389&amp;"'-"&amp;N($N389)&amp;CHAR(34))</f>
        <v/>
      </c>
      <c r="AZ389" s="49">
        <f>IF(OR($A389="",$K389=""),"",$K389&amp;N($L389)&amp;$M389&amp;N($N389))</f>
        <v/>
      </c>
      <c r="BA389" s="49">
        <f>IF(OR($A389="",$K389=""),"",$K389*12+N($L389))</f>
        <v/>
      </c>
      <c r="BB389" s="49">
        <f>IF(OR($A389="",$M389=""),"",$M389*12+N($N389))</f>
        <v/>
      </c>
      <c r="BC389" s="49">
        <f>IF($A389="","",IF(OR($C389="FRAME ONLY",$S389="BL"),0,IF($O389="Y",2,1)))</f>
        <v/>
      </c>
      <c r="BD389" s="51">
        <f>IF(OR(N($BC389)=0,$BA389=""),"",($BA389-2*EdgeClr-IF($BC389=2,MeetClr,0))/$BC389)</f>
        <v/>
      </c>
      <c r="BE389" s="51">
        <f>IF(OR(N($BC389)=0,$BB389=""),"",$BB389-HeadClr-Undercut)</f>
        <v/>
      </c>
      <c r="BF389" s="51">
        <f>IF($BA389="","",$BA389+2*FaceW+IF(N($Q389)&gt;0,($Q389+FaceW)*IF($R389="LR",2,1),0))</f>
        <v/>
      </c>
      <c r="BG389" s="51">
        <f>IF($BB389="","",$BB389+IF($AB389="Y",4,FaceW)+IF(N($P389)&gt;0,$P389+FaceW,0)+IF(OR($S389="4F",$S389="BL"),FaceW,0))</f>
        <v/>
      </c>
      <c r="BH389" s="51">
        <f>IF($BF389="","",$BF389+2*ROSide)</f>
        <v/>
      </c>
      <c r="BI389" s="51">
        <f>IF($BG389="","",$BG389+ROTop)</f>
        <v/>
      </c>
      <c r="BJ389" s="52">
        <f>IF(OR(N($BC389)=0,$BA389=""),"",$BA389/$BC389-ClearDeduct)</f>
        <v/>
      </c>
      <c r="BK389" s="49">
        <f>IF(OR(N($BC389)=0,$BE389=""),"",IF(OR($AC389="HGC",$AP389="HGC"),"CONT",IF($BE389&lt;=60,2,IF($BE389&lt;=90,3,IF($BE389&lt;=120,4,5)))))</f>
        <v/>
      </c>
      <c r="BL389" s="49">
        <f>IF(N($BC389)=0,"",IF(OR($AL389="",$AL389="FLUSH"),"FLUSH",IFERROR(LEFT($AL389,FIND("-",$AL389)-1),LEFT($AL389,2))))</f>
        <v/>
      </c>
      <c r="BM389" s="49">
        <f>IF($BL389="","",IFERROR(VALUE(MID($AL389,FIND("-",$AL389)+1,FIND(CHAR(34)&amp;"x",$AL389)-FIND("-",$AL389)-1)),0))</f>
        <v/>
      </c>
      <c r="BN389" s="49">
        <f>IF($BL389="","",IFERROR(VALUE(MID($AL389,FIND(CHAR(34)&amp;"x",$AL389)+2,FIND(CHAR(34),$AL389,FIND(CHAR(34)&amp;"x",$AL389)+2)-FIND(CHAR(34)&amp;"x",$AL389)-2)),0))</f>
        <v/>
      </c>
      <c r="BO389" s="53">
        <f>IF(OR($A389="",$H389="",$H389="NO LAB"),0,IFERROR(VALUE(LEFT($H389,FIND(" ",$H389)-1)),0))</f>
        <v/>
      </c>
      <c r="BP389" s="54">
        <f>IF(OR($A389="",$I389="",$I389="NON-RATED",N($J389)=0),"",IFERROR(VLOOKUP($I389&amp;"|"&amp;$J389,IBC,2,FALSE),"?"))</f>
        <v/>
      </c>
      <c r="BQ389" s="50">
        <f>IF(NOT(AND($A389&lt;&gt;"",$C389&lt;&gt;"DOOR ONLY")),"",TRIM(IFERROR(VLOOKUP($U389,CODES,2,FALSE),"")&amp;" "&amp;$AZ389&amp;" "&amp;IFERROR(VLOOKUP($Z389,CODES,2,FALSE),"")&amp;" "&amp;IFERROR(VLOOKUP($X389,CODES,2,FALSE),"")&amp;" "&amp;IFERROR(VLOOKUP($S389,CODES,2,FALSE),"")&amp;IF(N($P389)&gt;0," w/TRANSOM "&amp;$P389&amp;CHAR(34),"")&amp;IF(N($Q389)&gt;0," w/SIDELITE "&amp;$Q389&amp;CHAR(34)&amp;" "&amp;IF($R389="","R",$R389),"")&amp;IF($Y389="","  |  "," | "&amp;IFERROR(VLOOKUP($Y389,CODES,2,FALSE),"")&amp;" | ")&amp;IFERROR(VLOOKUP($AC389,CODES,2,FALSE),"")&amp;" "&amp;IFERROR(VLOOKUP($AD389,CODES,2,FALSE),"")&amp;IF(OR($AE389="",$AE389="-"),""," "&amp;$AE389)&amp;IF(OR($AF389="",$AF389="-"),""," "&amp;$AF389)&amp;IF($AB389="Y"," 4"&amp;CHAR(34)&amp;" HEAD","")&amp;" "&amp;IFERROR(VLOOKUP($H389,CODES,2,FALSE),"")))</f>
        <v/>
      </c>
      <c r="BR389" s="50">
        <f>IF(NOT(AND($A389&lt;&gt;"",N($BC389)&gt;0)),"",TRIM(IFERROR(VLOOKUP($AH389,CODES,2,FALSE),"")&amp;IF($AI389=""," "," "&amp;$AI389&amp;"GA ")&amp;$AZ389&amp;" "&amp;IF($AN389="",IFERROR(VLOOKUP($Z389,CODES,2,FALSE),""),IFERROR(VLOOKUP($AN389,CODES,2,FALSE),""))&amp;IF($BC389=2," PAIR","")&amp;" DOOR | "&amp;IF($AL389="","?",$AL389)&amp;" | "&amp;IF($AP389="",IFERROR(VLOOKUP($AC389,CODES,2,FALSE),""),IFERROR(VLOOKUP($AP389,CODES,2,FALSE),""))&amp;" "&amp;IFERROR(VLOOKUP($AQ389,CODES,2,FALSE),"")&amp;IF(OR($AR389="",$AR389="-"),""," SEAM "&amp;$AR389)&amp;IF($AS389="Y"," ASTRAGAL","")&amp;IF($AJ389=""," "," "&amp;$AJ389)&amp;IF($AK389=""," "," "&amp;$AK389)&amp;IF($AO389="",""," "&amp;$AO389)&amp;IF($AM389=""," "," SERIES "&amp;$AM389)&amp;" "&amp;IFERROR(VLOOKUP($H389,CODES,2,FALSE),"")))</f>
        <v/>
      </c>
      <c r="BS389" s="49">
        <f>IF(BV389="","",IF(COUNTIF($BV$6:BV389,BV389)=1,MAX($BS$5:BS388)+1,INDEX($BS$5:BS388,MATCH(BV389,$BV$5:BV388,0))))</f>
        <v/>
      </c>
      <c r="BT389" s="49">
        <f>IF(NOT(AND($A389&lt;&gt;"",$C389&lt;&gt;"DOOR ONLY")),"",MAX($BT$5:BT388)+1)</f>
        <v/>
      </c>
      <c r="BU389" s="49">
        <f>IF(NOT(AND($A389&lt;&gt;"",N($BC389)&gt;0)),"",MAX($BU$5:BU388)+1)</f>
        <v/>
      </c>
      <c r="BV389" s="49">
        <f>IF(OR($A389="",$BA389="",$BB389=""),"",$AZ389&amp;"|"&amp;$O389&amp;"|"&amp;$AL389&amp;"|"&amp;$S389&amp;"|"&amp;$P389&amp;"|"&amp;$Q389&amp;$R389&amp;"|"&amp;$C389&amp;"|"&amp;$AB389)</f>
        <v/>
      </c>
      <c r="BW389" s="49">
        <f>IF($A389="","",IF($B389="","qty, ","")&amp;IF($C389="","scope, ","")&amp;IF(OR($K389="",$M389=""),"size, ","")&amp;IF(AND($A389&lt;&gt;"",$C389&lt;&gt;"DOOR ONLY"),IF($U389="","jamb depth, ","")&amp;IF($X389="","construction, ","")&amp;IF($Y389="","anchor, ","")&amp;IF($S389="","frame type, ",""),"")&amp;IF(AND(N($BC389)&gt;0,$Z389=""),"hand, ","")&amp;IF(N($BC389)&gt;0,IF($AH389="","door material, ","")&amp;IF($AL389="","face type, ","")&amp;IF($AQ389="","lock prep, ","")&amp;IF(AND($AP389="",$AC389=""),"hinge prep, ",""),"")&amp;IF(AND($BO389&gt;0,$AH389="FRP"),"FRP cannot carry a label, ","")&amp;IF(AND($O389="Y",OR($Z389="L",$Z389="R",$Z389="LR",$Z389="RR")),"pair marked but hand is single, ","")&amp;IF(AND($O389&lt;&gt;"Y",OR($Z389="PR",AND(LEN($Z389)&gt;1,ISNUMBER(SEARCH("-",$Z389))))),"pair hand on a single door, ","")&amp;IF(AND(ISNUMBER($BP389),$BO389&lt;N($BP389)),"wall needs a "&amp;$BP389&amp;" min door, ","")&amp;IF(AND($BO389&gt;=180,AND(OR($BL389="FG",$BL389="HG",$BL389="FNV",$BL389="FV"),N($BM389)*N($BN389)&gt;100)),"180 min lite over 100 sq in, ","")&amp;IF(N($BD389)&gt;48,"leaf wider than 4'-0"&amp;CHAR(34)&amp;", ",""))</f>
        <v/>
      </c>
      <c r="BX389" s="49">
        <f>IF($A389="","",IF(AND($BO389&gt;0,AND($A389&lt;&gt;"",$C389&lt;&gt;"DOOR ONLY"),$X389="KD",$E389="EXTERIOR"),"KD label on an exterior opening, ","")&amp;IF(AND($E389="EXTERIOR",OR(AND(AND($A389&lt;&gt;"",$C389&lt;&gt;"DOOR ONLY"),$W389="CR"),AND(N($BC389)&gt;0,$AH389="CR"))),"exterior in CR steel (G9?), ","")&amp;IF(AND(ISNUMBER($BJ389),N($BJ389)&lt;32),"clear width ~"&amp;TEXT($BJ389,"0.0")&amp;CHAR(34)&amp;" under 32"&amp;CHAR(34)&amp;" (ADA), ","")&amp;IF(AND($BO389=90,AND(OR($BL389="FG",$BL389="HG",$BL389="FNV",$BL389="FV"),N($BM389)*N($BN389)&gt;100)),"90 min lite over 100 sq in (stair/exit), ","")&amp;IF(AND($BO389&gt;0,AND($A389&lt;&gt;"",$C389&lt;&gt;"DOOR ONLY"),OR($AF389="",$AF389="-")),"rated: closer reinf.?, ","")&amp;IF(OR($I389="CORRIDOR",$I389="SMOKE BARRIER"),"S label + smoke gasketing, ","")&amp;IF($BP389="?","wall type/hr not in IBC table, ","")&amp;IF(AND(N($BC389)&gt;0,$AU389=""),"no hardware set, ","")&amp;IF(AND($AU389&lt;&gt;"",ISNA(MATCH($AU389,HWSets,0))),"set "&amp;$AU389&amp;" not on Hardware sheet, ","")&amp;IF(N($BE389)&gt;96,"leaf over 8'-0"&amp;CHAR(34)&amp;" - check listing, ",""))</f>
        <v/>
      </c>
    </row>
    <row r="390" ht="15" customHeight="1">
      <c r="A390" s="44" t="n"/>
      <c r="B390" s="45" t="n"/>
      <c r="C390" s="45" t="n"/>
      <c r="D390" s="45" t="n"/>
      <c r="E390" s="45" t="n"/>
      <c r="F390" s="45" t="n"/>
      <c r="G390" s="45" t="n"/>
      <c r="H390" s="45" t="n"/>
      <c r="I390" s="45" t="n"/>
      <c r="J390" s="45" t="n"/>
      <c r="K390" s="45" t="n"/>
      <c r="L390" s="45" t="n"/>
      <c r="M390" s="45" t="n"/>
      <c r="N390" s="45" t="n"/>
      <c r="O390" s="45" t="n"/>
      <c r="P390" s="45" t="n"/>
      <c r="Q390" s="45" t="n"/>
      <c r="R390" s="45" t="n"/>
      <c r="S390" s="46" t="n"/>
      <c r="T390" s="46" t="n"/>
      <c r="U390" s="46" t="n"/>
      <c r="V390" s="46" t="n"/>
      <c r="W390" s="46" t="n"/>
      <c r="X390" s="46" t="n"/>
      <c r="Y390" s="46" t="n"/>
      <c r="Z390" s="46" t="n"/>
      <c r="AA390" s="46" t="n"/>
      <c r="AB390" s="46" t="n"/>
      <c r="AC390" s="46" t="n"/>
      <c r="AD390" s="46" t="n"/>
      <c r="AE390" s="46" t="n"/>
      <c r="AF390" s="46" t="n"/>
      <c r="AG390" s="46" t="n"/>
      <c r="AH390" s="47" t="n"/>
      <c r="AI390" s="47" t="n"/>
      <c r="AJ390" s="47" t="n"/>
      <c r="AK390" s="47" t="n"/>
      <c r="AL390" s="47" t="n"/>
      <c r="AM390" s="47" t="n"/>
      <c r="AN390" s="47" t="n"/>
      <c r="AO390" s="47" t="n"/>
      <c r="AP390" s="47" t="n"/>
      <c r="AQ390" s="47" t="n"/>
      <c r="AR390" s="47" t="n"/>
      <c r="AS390" s="47" t="n"/>
      <c r="AT390" s="47" t="n"/>
      <c r="AU390" s="48" t="n"/>
      <c r="AV390" s="48" t="n"/>
      <c r="AW390" s="49">
        <f>IF($A390="","",IF($BW390&lt;&gt;"","FIX",IF($BX390&lt;&gt;"","CHECK","OK")))</f>
        <v/>
      </c>
      <c r="AX390" s="50">
        <f>IF($A390="","",IF($BW390&lt;&gt;"","FIX: "&amp;LEFT($BW390,LEN($BW390)-2)&amp;IF($BX390&lt;&gt;"","  ·  ",""),"")&amp;IF($BX390&lt;&gt;"","CHECK: "&amp;LEFT($BX390,LEN($BX390)-2),""))</f>
        <v/>
      </c>
      <c r="AY390" s="49">
        <f>IF(OR($A390="",$K390=""),"",$K390&amp;"'-"&amp;N($L390)&amp;CHAR(34)&amp;" x "&amp;$M390&amp;"'-"&amp;N($N390)&amp;CHAR(34))</f>
        <v/>
      </c>
      <c r="AZ390" s="49">
        <f>IF(OR($A390="",$K390=""),"",$K390&amp;N($L390)&amp;$M390&amp;N($N390))</f>
        <v/>
      </c>
      <c r="BA390" s="49">
        <f>IF(OR($A390="",$K390=""),"",$K390*12+N($L390))</f>
        <v/>
      </c>
      <c r="BB390" s="49">
        <f>IF(OR($A390="",$M390=""),"",$M390*12+N($N390))</f>
        <v/>
      </c>
      <c r="BC390" s="49">
        <f>IF($A390="","",IF(OR($C390="FRAME ONLY",$S390="BL"),0,IF($O390="Y",2,1)))</f>
        <v/>
      </c>
      <c r="BD390" s="51">
        <f>IF(OR(N($BC390)=0,$BA390=""),"",($BA390-2*EdgeClr-IF($BC390=2,MeetClr,0))/$BC390)</f>
        <v/>
      </c>
      <c r="BE390" s="51">
        <f>IF(OR(N($BC390)=0,$BB390=""),"",$BB390-HeadClr-Undercut)</f>
        <v/>
      </c>
      <c r="BF390" s="51">
        <f>IF($BA390="","",$BA390+2*FaceW+IF(N($Q390)&gt;0,($Q390+FaceW)*IF($R390="LR",2,1),0))</f>
        <v/>
      </c>
      <c r="BG390" s="51">
        <f>IF($BB390="","",$BB390+IF($AB390="Y",4,FaceW)+IF(N($P390)&gt;0,$P390+FaceW,0)+IF(OR($S390="4F",$S390="BL"),FaceW,0))</f>
        <v/>
      </c>
      <c r="BH390" s="51">
        <f>IF($BF390="","",$BF390+2*ROSide)</f>
        <v/>
      </c>
      <c r="BI390" s="51">
        <f>IF($BG390="","",$BG390+ROTop)</f>
        <v/>
      </c>
      <c r="BJ390" s="52">
        <f>IF(OR(N($BC390)=0,$BA390=""),"",$BA390/$BC390-ClearDeduct)</f>
        <v/>
      </c>
      <c r="BK390" s="49">
        <f>IF(OR(N($BC390)=0,$BE390=""),"",IF(OR($AC390="HGC",$AP390="HGC"),"CONT",IF($BE390&lt;=60,2,IF($BE390&lt;=90,3,IF($BE390&lt;=120,4,5)))))</f>
        <v/>
      </c>
      <c r="BL390" s="49">
        <f>IF(N($BC390)=0,"",IF(OR($AL390="",$AL390="FLUSH"),"FLUSH",IFERROR(LEFT($AL390,FIND("-",$AL390)-1),LEFT($AL390,2))))</f>
        <v/>
      </c>
      <c r="BM390" s="49">
        <f>IF($BL390="","",IFERROR(VALUE(MID($AL390,FIND("-",$AL390)+1,FIND(CHAR(34)&amp;"x",$AL390)-FIND("-",$AL390)-1)),0))</f>
        <v/>
      </c>
      <c r="BN390" s="49">
        <f>IF($BL390="","",IFERROR(VALUE(MID($AL390,FIND(CHAR(34)&amp;"x",$AL390)+2,FIND(CHAR(34),$AL390,FIND(CHAR(34)&amp;"x",$AL390)+2)-FIND(CHAR(34)&amp;"x",$AL390)-2)),0))</f>
        <v/>
      </c>
      <c r="BO390" s="53">
        <f>IF(OR($A390="",$H390="",$H390="NO LAB"),0,IFERROR(VALUE(LEFT($H390,FIND(" ",$H390)-1)),0))</f>
        <v/>
      </c>
      <c r="BP390" s="54">
        <f>IF(OR($A390="",$I390="",$I390="NON-RATED",N($J390)=0),"",IFERROR(VLOOKUP($I390&amp;"|"&amp;$J390,IBC,2,FALSE),"?"))</f>
        <v/>
      </c>
      <c r="BQ390" s="50">
        <f>IF(NOT(AND($A390&lt;&gt;"",$C390&lt;&gt;"DOOR ONLY")),"",TRIM(IFERROR(VLOOKUP($U390,CODES,2,FALSE),"")&amp;" "&amp;$AZ390&amp;" "&amp;IFERROR(VLOOKUP($Z390,CODES,2,FALSE),"")&amp;" "&amp;IFERROR(VLOOKUP($X390,CODES,2,FALSE),"")&amp;" "&amp;IFERROR(VLOOKUP($S390,CODES,2,FALSE),"")&amp;IF(N($P390)&gt;0," w/TRANSOM "&amp;$P390&amp;CHAR(34),"")&amp;IF(N($Q390)&gt;0," w/SIDELITE "&amp;$Q390&amp;CHAR(34)&amp;" "&amp;IF($R390="","R",$R390),"")&amp;IF($Y390="","  |  "," | "&amp;IFERROR(VLOOKUP($Y390,CODES,2,FALSE),"")&amp;" | ")&amp;IFERROR(VLOOKUP($AC390,CODES,2,FALSE),"")&amp;" "&amp;IFERROR(VLOOKUP($AD390,CODES,2,FALSE),"")&amp;IF(OR($AE390="",$AE390="-"),""," "&amp;$AE390)&amp;IF(OR($AF390="",$AF390="-"),""," "&amp;$AF390)&amp;IF($AB390="Y"," 4"&amp;CHAR(34)&amp;" HEAD","")&amp;" "&amp;IFERROR(VLOOKUP($H390,CODES,2,FALSE),"")))</f>
        <v/>
      </c>
      <c r="BR390" s="50">
        <f>IF(NOT(AND($A390&lt;&gt;"",N($BC390)&gt;0)),"",TRIM(IFERROR(VLOOKUP($AH390,CODES,2,FALSE),"")&amp;IF($AI390=""," "," "&amp;$AI390&amp;"GA ")&amp;$AZ390&amp;" "&amp;IF($AN390="",IFERROR(VLOOKUP($Z390,CODES,2,FALSE),""),IFERROR(VLOOKUP($AN390,CODES,2,FALSE),""))&amp;IF($BC390=2," PAIR","")&amp;" DOOR | "&amp;IF($AL390="","?",$AL390)&amp;" | "&amp;IF($AP390="",IFERROR(VLOOKUP($AC390,CODES,2,FALSE),""),IFERROR(VLOOKUP($AP390,CODES,2,FALSE),""))&amp;" "&amp;IFERROR(VLOOKUP($AQ390,CODES,2,FALSE),"")&amp;IF(OR($AR390="",$AR390="-"),""," SEAM "&amp;$AR390)&amp;IF($AS390="Y"," ASTRAGAL","")&amp;IF($AJ390=""," "," "&amp;$AJ390)&amp;IF($AK390=""," "," "&amp;$AK390)&amp;IF($AO390="",""," "&amp;$AO390)&amp;IF($AM390=""," "," SERIES "&amp;$AM390)&amp;" "&amp;IFERROR(VLOOKUP($H390,CODES,2,FALSE),"")))</f>
        <v/>
      </c>
      <c r="BS390" s="49">
        <f>IF(BV390="","",IF(COUNTIF($BV$6:BV390,BV390)=1,MAX($BS$5:BS389)+1,INDEX($BS$5:BS389,MATCH(BV390,$BV$5:BV389,0))))</f>
        <v/>
      </c>
      <c r="BT390" s="49">
        <f>IF(NOT(AND($A390&lt;&gt;"",$C390&lt;&gt;"DOOR ONLY")),"",MAX($BT$5:BT389)+1)</f>
        <v/>
      </c>
      <c r="BU390" s="49">
        <f>IF(NOT(AND($A390&lt;&gt;"",N($BC390)&gt;0)),"",MAX($BU$5:BU389)+1)</f>
        <v/>
      </c>
      <c r="BV390" s="49">
        <f>IF(OR($A390="",$BA390="",$BB390=""),"",$AZ390&amp;"|"&amp;$O390&amp;"|"&amp;$AL390&amp;"|"&amp;$S390&amp;"|"&amp;$P390&amp;"|"&amp;$Q390&amp;$R390&amp;"|"&amp;$C390&amp;"|"&amp;$AB390)</f>
        <v/>
      </c>
      <c r="BW390" s="49">
        <f>IF($A390="","",IF($B390="","qty, ","")&amp;IF($C390="","scope, ","")&amp;IF(OR($K390="",$M390=""),"size, ","")&amp;IF(AND($A390&lt;&gt;"",$C390&lt;&gt;"DOOR ONLY"),IF($U390="","jamb depth, ","")&amp;IF($X390="","construction, ","")&amp;IF($Y390="","anchor, ","")&amp;IF($S390="","frame type, ",""),"")&amp;IF(AND(N($BC390)&gt;0,$Z390=""),"hand, ","")&amp;IF(N($BC390)&gt;0,IF($AH390="","door material, ","")&amp;IF($AL390="","face type, ","")&amp;IF($AQ390="","lock prep, ","")&amp;IF(AND($AP390="",$AC390=""),"hinge prep, ",""),"")&amp;IF(AND($BO390&gt;0,$AH390="FRP"),"FRP cannot carry a label, ","")&amp;IF(AND($O390="Y",OR($Z390="L",$Z390="R",$Z390="LR",$Z390="RR")),"pair marked but hand is single, ","")&amp;IF(AND($O390&lt;&gt;"Y",OR($Z390="PR",AND(LEN($Z390)&gt;1,ISNUMBER(SEARCH("-",$Z390))))),"pair hand on a single door, ","")&amp;IF(AND(ISNUMBER($BP390),$BO390&lt;N($BP390)),"wall needs a "&amp;$BP390&amp;" min door, ","")&amp;IF(AND($BO390&gt;=180,AND(OR($BL390="FG",$BL390="HG",$BL390="FNV",$BL390="FV"),N($BM390)*N($BN390)&gt;100)),"180 min lite over 100 sq in, ","")&amp;IF(N($BD390)&gt;48,"leaf wider than 4'-0"&amp;CHAR(34)&amp;", ",""))</f>
        <v/>
      </c>
      <c r="BX390" s="49">
        <f>IF($A390="","",IF(AND($BO390&gt;0,AND($A390&lt;&gt;"",$C390&lt;&gt;"DOOR ONLY"),$X390="KD",$E390="EXTERIOR"),"KD label on an exterior opening, ","")&amp;IF(AND($E390="EXTERIOR",OR(AND(AND($A390&lt;&gt;"",$C390&lt;&gt;"DOOR ONLY"),$W390="CR"),AND(N($BC390)&gt;0,$AH390="CR"))),"exterior in CR steel (G9?), ","")&amp;IF(AND(ISNUMBER($BJ390),N($BJ390)&lt;32),"clear width ~"&amp;TEXT($BJ390,"0.0")&amp;CHAR(34)&amp;" under 32"&amp;CHAR(34)&amp;" (ADA), ","")&amp;IF(AND($BO390=90,AND(OR($BL390="FG",$BL390="HG",$BL390="FNV",$BL390="FV"),N($BM390)*N($BN390)&gt;100)),"90 min lite over 100 sq in (stair/exit), ","")&amp;IF(AND($BO390&gt;0,AND($A390&lt;&gt;"",$C390&lt;&gt;"DOOR ONLY"),OR($AF390="",$AF390="-")),"rated: closer reinf.?, ","")&amp;IF(OR($I390="CORRIDOR",$I390="SMOKE BARRIER"),"S label + smoke gasketing, ","")&amp;IF($BP390="?","wall type/hr not in IBC table, ","")&amp;IF(AND(N($BC390)&gt;0,$AU390=""),"no hardware set, ","")&amp;IF(AND($AU390&lt;&gt;"",ISNA(MATCH($AU390,HWSets,0))),"set "&amp;$AU390&amp;" not on Hardware sheet, ","")&amp;IF(N($BE390)&gt;96,"leaf over 8'-0"&amp;CHAR(34)&amp;" - check listing, ",""))</f>
        <v/>
      </c>
    </row>
    <row r="391" ht="15" customHeight="1">
      <c r="A391" s="44" t="n"/>
      <c r="B391" s="45" t="n"/>
      <c r="C391" s="45" t="n"/>
      <c r="D391" s="45" t="n"/>
      <c r="E391" s="45" t="n"/>
      <c r="F391" s="45" t="n"/>
      <c r="G391" s="45" t="n"/>
      <c r="H391" s="45" t="n"/>
      <c r="I391" s="45" t="n"/>
      <c r="J391" s="45" t="n"/>
      <c r="K391" s="45" t="n"/>
      <c r="L391" s="45" t="n"/>
      <c r="M391" s="45" t="n"/>
      <c r="N391" s="45" t="n"/>
      <c r="O391" s="45" t="n"/>
      <c r="P391" s="45" t="n"/>
      <c r="Q391" s="45" t="n"/>
      <c r="R391" s="45" t="n"/>
      <c r="S391" s="46" t="n"/>
      <c r="T391" s="46" t="n"/>
      <c r="U391" s="46" t="n"/>
      <c r="V391" s="46" t="n"/>
      <c r="W391" s="46" t="n"/>
      <c r="X391" s="46" t="n"/>
      <c r="Y391" s="46" t="n"/>
      <c r="Z391" s="46" t="n"/>
      <c r="AA391" s="46" t="n"/>
      <c r="AB391" s="46" t="n"/>
      <c r="AC391" s="46" t="n"/>
      <c r="AD391" s="46" t="n"/>
      <c r="AE391" s="46" t="n"/>
      <c r="AF391" s="46" t="n"/>
      <c r="AG391" s="46" t="n"/>
      <c r="AH391" s="47" t="n"/>
      <c r="AI391" s="47" t="n"/>
      <c r="AJ391" s="47" t="n"/>
      <c r="AK391" s="47" t="n"/>
      <c r="AL391" s="47" t="n"/>
      <c r="AM391" s="47" t="n"/>
      <c r="AN391" s="47" t="n"/>
      <c r="AO391" s="47" t="n"/>
      <c r="AP391" s="47" t="n"/>
      <c r="AQ391" s="47" t="n"/>
      <c r="AR391" s="47" t="n"/>
      <c r="AS391" s="47" t="n"/>
      <c r="AT391" s="47" t="n"/>
      <c r="AU391" s="48" t="n"/>
      <c r="AV391" s="48" t="n"/>
      <c r="AW391" s="49">
        <f>IF($A391="","",IF($BW391&lt;&gt;"","FIX",IF($BX391&lt;&gt;"","CHECK","OK")))</f>
        <v/>
      </c>
      <c r="AX391" s="50">
        <f>IF($A391="","",IF($BW391&lt;&gt;"","FIX: "&amp;LEFT($BW391,LEN($BW391)-2)&amp;IF($BX391&lt;&gt;"","  ·  ",""),"")&amp;IF($BX391&lt;&gt;"","CHECK: "&amp;LEFT($BX391,LEN($BX391)-2),""))</f>
        <v/>
      </c>
      <c r="AY391" s="49">
        <f>IF(OR($A391="",$K391=""),"",$K391&amp;"'-"&amp;N($L391)&amp;CHAR(34)&amp;" x "&amp;$M391&amp;"'-"&amp;N($N391)&amp;CHAR(34))</f>
        <v/>
      </c>
      <c r="AZ391" s="49">
        <f>IF(OR($A391="",$K391=""),"",$K391&amp;N($L391)&amp;$M391&amp;N($N391))</f>
        <v/>
      </c>
      <c r="BA391" s="49">
        <f>IF(OR($A391="",$K391=""),"",$K391*12+N($L391))</f>
        <v/>
      </c>
      <c r="BB391" s="49">
        <f>IF(OR($A391="",$M391=""),"",$M391*12+N($N391))</f>
        <v/>
      </c>
      <c r="BC391" s="49">
        <f>IF($A391="","",IF(OR($C391="FRAME ONLY",$S391="BL"),0,IF($O391="Y",2,1)))</f>
        <v/>
      </c>
      <c r="BD391" s="51">
        <f>IF(OR(N($BC391)=0,$BA391=""),"",($BA391-2*EdgeClr-IF($BC391=2,MeetClr,0))/$BC391)</f>
        <v/>
      </c>
      <c r="BE391" s="51">
        <f>IF(OR(N($BC391)=0,$BB391=""),"",$BB391-HeadClr-Undercut)</f>
        <v/>
      </c>
      <c r="BF391" s="51">
        <f>IF($BA391="","",$BA391+2*FaceW+IF(N($Q391)&gt;0,($Q391+FaceW)*IF($R391="LR",2,1),0))</f>
        <v/>
      </c>
      <c r="BG391" s="51">
        <f>IF($BB391="","",$BB391+IF($AB391="Y",4,FaceW)+IF(N($P391)&gt;0,$P391+FaceW,0)+IF(OR($S391="4F",$S391="BL"),FaceW,0))</f>
        <v/>
      </c>
      <c r="BH391" s="51">
        <f>IF($BF391="","",$BF391+2*ROSide)</f>
        <v/>
      </c>
      <c r="BI391" s="51">
        <f>IF($BG391="","",$BG391+ROTop)</f>
        <v/>
      </c>
      <c r="BJ391" s="52">
        <f>IF(OR(N($BC391)=0,$BA391=""),"",$BA391/$BC391-ClearDeduct)</f>
        <v/>
      </c>
      <c r="BK391" s="49">
        <f>IF(OR(N($BC391)=0,$BE391=""),"",IF(OR($AC391="HGC",$AP391="HGC"),"CONT",IF($BE391&lt;=60,2,IF($BE391&lt;=90,3,IF($BE391&lt;=120,4,5)))))</f>
        <v/>
      </c>
      <c r="BL391" s="49">
        <f>IF(N($BC391)=0,"",IF(OR($AL391="",$AL391="FLUSH"),"FLUSH",IFERROR(LEFT($AL391,FIND("-",$AL391)-1),LEFT($AL391,2))))</f>
        <v/>
      </c>
      <c r="BM391" s="49">
        <f>IF($BL391="","",IFERROR(VALUE(MID($AL391,FIND("-",$AL391)+1,FIND(CHAR(34)&amp;"x",$AL391)-FIND("-",$AL391)-1)),0))</f>
        <v/>
      </c>
      <c r="BN391" s="49">
        <f>IF($BL391="","",IFERROR(VALUE(MID($AL391,FIND(CHAR(34)&amp;"x",$AL391)+2,FIND(CHAR(34),$AL391,FIND(CHAR(34)&amp;"x",$AL391)+2)-FIND(CHAR(34)&amp;"x",$AL391)-2)),0))</f>
        <v/>
      </c>
      <c r="BO391" s="53">
        <f>IF(OR($A391="",$H391="",$H391="NO LAB"),0,IFERROR(VALUE(LEFT($H391,FIND(" ",$H391)-1)),0))</f>
        <v/>
      </c>
      <c r="BP391" s="54">
        <f>IF(OR($A391="",$I391="",$I391="NON-RATED",N($J391)=0),"",IFERROR(VLOOKUP($I391&amp;"|"&amp;$J391,IBC,2,FALSE),"?"))</f>
        <v/>
      </c>
      <c r="BQ391" s="50">
        <f>IF(NOT(AND($A391&lt;&gt;"",$C391&lt;&gt;"DOOR ONLY")),"",TRIM(IFERROR(VLOOKUP($U391,CODES,2,FALSE),"")&amp;" "&amp;$AZ391&amp;" "&amp;IFERROR(VLOOKUP($Z391,CODES,2,FALSE),"")&amp;" "&amp;IFERROR(VLOOKUP($X391,CODES,2,FALSE),"")&amp;" "&amp;IFERROR(VLOOKUP($S391,CODES,2,FALSE),"")&amp;IF(N($P391)&gt;0," w/TRANSOM "&amp;$P391&amp;CHAR(34),"")&amp;IF(N($Q391)&gt;0," w/SIDELITE "&amp;$Q391&amp;CHAR(34)&amp;" "&amp;IF($R391="","R",$R391),"")&amp;IF($Y391="","  |  "," | "&amp;IFERROR(VLOOKUP($Y391,CODES,2,FALSE),"")&amp;" | ")&amp;IFERROR(VLOOKUP($AC391,CODES,2,FALSE),"")&amp;" "&amp;IFERROR(VLOOKUP($AD391,CODES,2,FALSE),"")&amp;IF(OR($AE391="",$AE391="-"),""," "&amp;$AE391)&amp;IF(OR($AF391="",$AF391="-"),""," "&amp;$AF391)&amp;IF($AB391="Y"," 4"&amp;CHAR(34)&amp;" HEAD","")&amp;" "&amp;IFERROR(VLOOKUP($H391,CODES,2,FALSE),"")))</f>
        <v/>
      </c>
      <c r="BR391" s="50">
        <f>IF(NOT(AND($A391&lt;&gt;"",N($BC391)&gt;0)),"",TRIM(IFERROR(VLOOKUP($AH391,CODES,2,FALSE),"")&amp;IF($AI391=""," "," "&amp;$AI391&amp;"GA ")&amp;$AZ391&amp;" "&amp;IF($AN391="",IFERROR(VLOOKUP($Z391,CODES,2,FALSE),""),IFERROR(VLOOKUP($AN391,CODES,2,FALSE),""))&amp;IF($BC391=2," PAIR","")&amp;" DOOR | "&amp;IF($AL391="","?",$AL391)&amp;" | "&amp;IF($AP391="",IFERROR(VLOOKUP($AC391,CODES,2,FALSE),""),IFERROR(VLOOKUP($AP391,CODES,2,FALSE),""))&amp;" "&amp;IFERROR(VLOOKUP($AQ391,CODES,2,FALSE),"")&amp;IF(OR($AR391="",$AR391="-"),""," SEAM "&amp;$AR391)&amp;IF($AS391="Y"," ASTRAGAL","")&amp;IF($AJ391=""," "," "&amp;$AJ391)&amp;IF($AK391=""," "," "&amp;$AK391)&amp;IF($AO391="",""," "&amp;$AO391)&amp;IF($AM391=""," "," SERIES "&amp;$AM391)&amp;" "&amp;IFERROR(VLOOKUP($H391,CODES,2,FALSE),"")))</f>
        <v/>
      </c>
      <c r="BS391" s="49">
        <f>IF(BV391="","",IF(COUNTIF($BV$6:BV391,BV391)=1,MAX($BS$5:BS390)+1,INDEX($BS$5:BS390,MATCH(BV391,$BV$5:BV390,0))))</f>
        <v/>
      </c>
      <c r="BT391" s="49">
        <f>IF(NOT(AND($A391&lt;&gt;"",$C391&lt;&gt;"DOOR ONLY")),"",MAX($BT$5:BT390)+1)</f>
        <v/>
      </c>
      <c r="BU391" s="49">
        <f>IF(NOT(AND($A391&lt;&gt;"",N($BC391)&gt;0)),"",MAX($BU$5:BU390)+1)</f>
        <v/>
      </c>
      <c r="BV391" s="49">
        <f>IF(OR($A391="",$BA391="",$BB391=""),"",$AZ391&amp;"|"&amp;$O391&amp;"|"&amp;$AL391&amp;"|"&amp;$S391&amp;"|"&amp;$P391&amp;"|"&amp;$Q391&amp;$R391&amp;"|"&amp;$C391&amp;"|"&amp;$AB391)</f>
        <v/>
      </c>
      <c r="BW391" s="49">
        <f>IF($A391="","",IF($B391="","qty, ","")&amp;IF($C391="","scope, ","")&amp;IF(OR($K391="",$M391=""),"size, ","")&amp;IF(AND($A391&lt;&gt;"",$C391&lt;&gt;"DOOR ONLY"),IF($U391="","jamb depth, ","")&amp;IF($X391="","construction, ","")&amp;IF($Y391="","anchor, ","")&amp;IF($S391="","frame type, ",""),"")&amp;IF(AND(N($BC391)&gt;0,$Z391=""),"hand, ","")&amp;IF(N($BC391)&gt;0,IF($AH391="","door material, ","")&amp;IF($AL391="","face type, ","")&amp;IF($AQ391="","lock prep, ","")&amp;IF(AND($AP391="",$AC391=""),"hinge prep, ",""),"")&amp;IF(AND($BO391&gt;0,$AH391="FRP"),"FRP cannot carry a label, ","")&amp;IF(AND($O391="Y",OR($Z391="L",$Z391="R",$Z391="LR",$Z391="RR")),"pair marked but hand is single, ","")&amp;IF(AND($O391&lt;&gt;"Y",OR($Z391="PR",AND(LEN($Z391)&gt;1,ISNUMBER(SEARCH("-",$Z391))))),"pair hand on a single door, ","")&amp;IF(AND(ISNUMBER($BP391),$BO391&lt;N($BP391)),"wall needs a "&amp;$BP391&amp;" min door, ","")&amp;IF(AND($BO391&gt;=180,AND(OR($BL391="FG",$BL391="HG",$BL391="FNV",$BL391="FV"),N($BM391)*N($BN391)&gt;100)),"180 min lite over 100 sq in, ","")&amp;IF(N($BD391)&gt;48,"leaf wider than 4'-0"&amp;CHAR(34)&amp;", ",""))</f>
        <v/>
      </c>
      <c r="BX391" s="49">
        <f>IF($A391="","",IF(AND($BO391&gt;0,AND($A391&lt;&gt;"",$C391&lt;&gt;"DOOR ONLY"),$X391="KD",$E391="EXTERIOR"),"KD label on an exterior opening, ","")&amp;IF(AND($E391="EXTERIOR",OR(AND(AND($A391&lt;&gt;"",$C391&lt;&gt;"DOOR ONLY"),$W391="CR"),AND(N($BC391)&gt;0,$AH391="CR"))),"exterior in CR steel (G9?), ","")&amp;IF(AND(ISNUMBER($BJ391),N($BJ391)&lt;32),"clear width ~"&amp;TEXT($BJ391,"0.0")&amp;CHAR(34)&amp;" under 32"&amp;CHAR(34)&amp;" (ADA), ","")&amp;IF(AND($BO391=90,AND(OR($BL391="FG",$BL391="HG",$BL391="FNV",$BL391="FV"),N($BM391)*N($BN391)&gt;100)),"90 min lite over 100 sq in (stair/exit), ","")&amp;IF(AND($BO391&gt;0,AND($A391&lt;&gt;"",$C391&lt;&gt;"DOOR ONLY"),OR($AF391="",$AF391="-")),"rated: closer reinf.?, ","")&amp;IF(OR($I391="CORRIDOR",$I391="SMOKE BARRIER"),"S label + smoke gasketing, ","")&amp;IF($BP391="?","wall type/hr not in IBC table, ","")&amp;IF(AND(N($BC391)&gt;0,$AU391=""),"no hardware set, ","")&amp;IF(AND($AU391&lt;&gt;"",ISNA(MATCH($AU391,HWSets,0))),"set "&amp;$AU391&amp;" not on Hardware sheet, ","")&amp;IF(N($BE391)&gt;96,"leaf over 8'-0"&amp;CHAR(34)&amp;" - check listing, ",""))</f>
        <v/>
      </c>
    </row>
    <row r="392" ht="15" customHeight="1">
      <c r="A392" s="44" t="n"/>
      <c r="B392" s="45" t="n"/>
      <c r="C392" s="45" t="n"/>
      <c r="D392" s="45" t="n"/>
      <c r="E392" s="45" t="n"/>
      <c r="F392" s="45" t="n"/>
      <c r="G392" s="45" t="n"/>
      <c r="H392" s="45" t="n"/>
      <c r="I392" s="45" t="n"/>
      <c r="J392" s="45" t="n"/>
      <c r="K392" s="45" t="n"/>
      <c r="L392" s="45" t="n"/>
      <c r="M392" s="45" t="n"/>
      <c r="N392" s="45" t="n"/>
      <c r="O392" s="45" t="n"/>
      <c r="P392" s="45" t="n"/>
      <c r="Q392" s="45" t="n"/>
      <c r="R392" s="45" t="n"/>
      <c r="S392" s="46" t="n"/>
      <c r="T392" s="46" t="n"/>
      <c r="U392" s="46" t="n"/>
      <c r="V392" s="46" t="n"/>
      <c r="W392" s="46" t="n"/>
      <c r="X392" s="46" t="n"/>
      <c r="Y392" s="46" t="n"/>
      <c r="Z392" s="46" t="n"/>
      <c r="AA392" s="46" t="n"/>
      <c r="AB392" s="46" t="n"/>
      <c r="AC392" s="46" t="n"/>
      <c r="AD392" s="46" t="n"/>
      <c r="AE392" s="46" t="n"/>
      <c r="AF392" s="46" t="n"/>
      <c r="AG392" s="46" t="n"/>
      <c r="AH392" s="47" t="n"/>
      <c r="AI392" s="47" t="n"/>
      <c r="AJ392" s="47" t="n"/>
      <c r="AK392" s="47" t="n"/>
      <c r="AL392" s="47" t="n"/>
      <c r="AM392" s="47" t="n"/>
      <c r="AN392" s="47" t="n"/>
      <c r="AO392" s="47" t="n"/>
      <c r="AP392" s="47" t="n"/>
      <c r="AQ392" s="47" t="n"/>
      <c r="AR392" s="47" t="n"/>
      <c r="AS392" s="47" t="n"/>
      <c r="AT392" s="47" t="n"/>
      <c r="AU392" s="48" t="n"/>
      <c r="AV392" s="48" t="n"/>
      <c r="AW392" s="49">
        <f>IF($A392="","",IF($BW392&lt;&gt;"","FIX",IF($BX392&lt;&gt;"","CHECK","OK")))</f>
        <v/>
      </c>
      <c r="AX392" s="50">
        <f>IF($A392="","",IF($BW392&lt;&gt;"","FIX: "&amp;LEFT($BW392,LEN($BW392)-2)&amp;IF($BX392&lt;&gt;"","  ·  ",""),"")&amp;IF($BX392&lt;&gt;"","CHECK: "&amp;LEFT($BX392,LEN($BX392)-2),""))</f>
        <v/>
      </c>
      <c r="AY392" s="49">
        <f>IF(OR($A392="",$K392=""),"",$K392&amp;"'-"&amp;N($L392)&amp;CHAR(34)&amp;" x "&amp;$M392&amp;"'-"&amp;N($N392)&amp;CHAR(34))</f>
        <v/>
      </c>
      <c r="AZ392" s="49">
        <f>IF(OR($A392="",$K392=""),"",$K392&amp;N($L392)&amp;$M392&amp;N($N392))</f>
        <v/>
      </c>
      <c r="BA392" s="49">
        <f>IF(OR($A392="",$K392=""),"",$K392*12+N($L392))</f>
        <v/>
      </c>
      <c r="BB392" s="49">
        <f>IF(OR($A392="",$M392=""),"",$M392*12+N($N392))</f>
        <v/>
      </c>
      <c r="BC392" s="49">
        <f>IF($A392="","",IF(OR($C392="FRAME ONLY",$S392="BL"),0,IF($O392="Y",2,1)))</f>
        <v/>
      </c>
      <c r="BD392" s="51">
        <f>IF(OR(N($BC392)=0,$BA392=""),"",($BA392-2*EdgeClr-IF($BC392=2,MeetClr,0))/$BC392)</f>
        <v/>
      </c>
      <c r="BE392" s="51">
        <f>IF(OR(N($BC392)=0,$BB392=""),"",$BB392-HeadClr-Undercut)</f>
        <v/>
      </c>
      <c r="BF392" s="51">
        <f>IF($BA392="","",$BA392+2*FaceW+IF(N($Q392)&gt;0,($Q392+FaceW)*IF($R392="LR",2,1),0))</f>
        <v/>
      </c>
      <c r="BG392" s="51">
        <f>IF($BB392="","",$BB392+IF($AB392="Y",4,FaceW)+IF(N($P392)&gt;0,$P392+FaceW,0)+IF(OR($S392="4F",$S392="BL"),FaceW,0))</f>
        <v/>
      </c>
      <c r="BH392" s="51">
        <f>IF($BF392="","",$BF392+2*ROSide)</f>
        <v/>
      </c>
      <c r="BI392" s="51">
        <f>IF($BG392="","",$BG392+ROTop)</f>
        <v/>
      </c>
      <c r="BJ392" s="52">
        <f>IF(OR(N($BC392)=0,$BA392=""),"",$BA392/$BC392-ClearDeduct)</f>
        <v/>
      </c>
      <c r="BK392" s="49">
        <f>IF(OR(N($BC392)=0,$BE392=""),"",IF(OR($AC392="HGC",$AP392="HGC"),"CONT",IF($BE392&lt;=60,2,IF($BE392&lt;=90,3,IF($BE392&lt;=120,4,5)))))</f>
        <v/>
      </c>
      <c r="BL392" s="49">
        <f>IF(N($BC392)=0,"",IF(OR($AL392="",$AL392="FLUSH"),"FLUSH",IFERROR(LEFT($AL392,FIND("-",$AL392)-1),LEFT($AL392,2))))</f>
        <v/>
      </c>
      <c r="BM392" s="49">
        <f>IF($BL392="","",IFERROR(VALUE(MID($AL392,FIND("-",$AL392)+1,FIND(CHAR(34)&amp;"x",$AL392)-FIND("-",$AL392)-1)),0))</f>
        <v/>
      </c>
      <c r="BN392" s="49">
        <f>IF($BL392="","",IFERROR(VALUE(MID($AL392,FIND(CHAR(34)&amp;"x",$AL392)+2,FIND(CHAR(34),$AL392,FIND(CHAR(34)&amp;"x",$AL392)+2)-FIND(CHAR(34)&amp;"x",$AL392)-2)),0))</f>
        <v/>
      </c>
      <c r="BO392" s="53">
        <f>IF(OR($A392="",$H392="",$H392="NO LAB"),0,IFERROR(VALUE(LEFT($H392,FIND(" ",$H392)-1)),0))</f>
        <v/>
      </c>
      <c r="BP392" s="54">
        <f>IF(OR($A392="",$I392="",$I392="NON-RATED",N($J392)=0),"",IFERROR(VLOOKUP($I392&amp;"|"&amp;$J392,IBC,2,FALSE),"?"))</f>
        <v/>
      </c>
      <c r="BQ392" s="50">
        <f>IF(NOT(AND($A392&lt;&gt;"",$C392&lt;&gt;"DOOR ONLY")),"",TRIM(IFERROR(VLOOKUP($U392,CODES,2,FALSE),"")&amp;" "&amp;$AZ392&amp;" "&amp;IFERROR(VLOOKUP($Z392,CODES,2,FALSE),"")&amp;" "&amp;IFERROR(VLOOKUP($X392,CODES,2,FALSE),"")&amp;" "&amp;IFERROR(VLOOKUP($S392,CODES,2,FALSE),"")&amp;IF(N($P392)&gt;0," w/TRANSOM "&amp;$P392&amp;CHAR(34),"")&amp;IF(N($Q392)&gt;0," w/SIDELITE "&amp;$Q392&amp;CHAR(34)&amp;" "&amp;IF($R392="","R",$R392),"")&amp;IF($Y392="","  |  "," | "&amp;IFERROR(VLOOKUP($Y392,CODES,2,FALSE),"")&amp;" | ")&amp;IFERROR(VLOOKUP($AC392,CODES,2,FALSE),"")&amp;" "&amp;IFERROR(VLOOKUP($AD392,CODES,2,FALSE),"")&amp;IF(OR($AE392="",$AE392="-"),""," "&amp;$AE392)&amp;IF(OR($AF392="",$AF392="-"),""," "&amp;$AF392)&amp;IF($AB392="Y"," 4"&amp;CHAR(34)&amp;" HEAD","")&amp;" "&amp;IFERROR(VLOOKUP($H392,CODES,2,FALSE),"")))</f>
        <v/>
      </c>
      <c r="BR392" s="50">
        <f>IF(NOT(AND($A392&lt;&gt;"",N($BC392)&gt;0)),"",TRIM(IFERROR(VLOOKUP($AH392,CODES,2,FALSE),"")&amp;IF($AI392=""," "," "&amp;$AI392&amp;"GA ")&amp;$AZ392&amp;" "&amp;IF($AN392="",IFERROR(VLOOKUP($Z392,CODES,2,FALSE),""),IFERROR(VLOOKUP($AN392,CODES,2,FALSE),""))&amp;IF($BC392=2," PAIR","")&amp;" DOOR | "&amp;IF($AL392="","?",$AL392)&amp;" | "&amp;IF($AP392="",IFERROR(VLOOKUP($AC392,CODES,2,FALSE),""),IFERROR(VLOOKUP($AP392,CODES,2,FALSE),""))&amp;" "&amp;IFERROR(VLOOKUP($AQ392,CODES,2,FALSE),"")&amp;IF(OR($AR392="",$AR392="-"),""," SEAM "&amp;$AR392)&amp;IF($AS392="Y"," ASTRAGAL","")&amp;IF($AJ392=""," "," "&amp;$AJ392)&amp;IF($AK392=""," "," "&amp;$AK392)&amp;IF($AO392="",""," "&amp;$AO392)&amp;IF($AM392=""," "," SERIES "&amp;$AM392)&amp;" "&amp;IFERROR(VLOOKUP($H392,CODES,2,FALSE),"")))</f>
        <v/>
      </c>
      <c r="BS392" s="49">
        <f>IF(BV392="","",IF(COUNTIF($BV$6:BV392,BV392)=1,MAX($BS$5:BS391)+1,INDEX($BS$5:BS391,MATCH(BV392,$BV$5:BV391,0))))</f>
        <v/>
      </c>
      <c r="BT392" s="49">
        <f>IF(NOT(AND($A392&lt;&gt;"",$C392&lt;&gt;"DOOR ONLY")),"",MAX($BT$5:BT391)+1)</f>
        <v/>
      </c>
      <c r="BU392" s="49">
        <f>IF(NOT(AND($A392&lt;&gt;"",N($BC392)&gt;0)),"",MAX($BU$5:BU391)+1)</f>
        <v/>
      </c>
      <c r="BV392" s="49">
        <f>IF(OR($A392="",$BA392="",$BB392=""),"",$AZ392&amp;"|"&amp;$O392&amp;"|"&amp;$AL392&amp;"|"&amp;$S392&amp;"|"&amp;$P392&amp;"|"&amp;$Q392&amp;$R392&amp;"|"&amp;$C392&amp;"|"&amp;$AB392)</f>
        <v/>
      </c>
      <c r="BW392" s="49">
        <f>IF($A392="","",IF($B392="","qty, ","")&amp;IF($C392="","scope, ","")&amp;IF(OR($K392="",$M392=""),"size, ","")&amp;IF(AND($A392&lt;&gt;"",$C392&lt;&gt;"DOOR ONLY"),IF($U392="","jamb depth, ","")&amp;IF($X392="","construction, ","")&amp;IF($Y392="","anchor, ","")&amp;IF($S392="","frame type, ",""),"")&amp;IF(AND(N($BC392)&gt;0,$Z392=""),"hand, ","")&amp;IF(N($BC392)&gt;0,IF($AH392="","door material, ","")&amp;IF($AL392="","face type, ","")&amp;IF($AQ392="","lock prep, ","")&amp;IF(AND($AP392="",$AC392=""),"hinge prep, ",""),"")&amp;IF(AND($BO392&gt;0,$AH392="FRP"),"FRP cannot carry a label, ","")&amp;IF(AND($O392="Y",OR($Z392="L",$Z392="R",$Z392="LR",$Z392="RR")),"pair marked but hand is single, ","")&amp;IF(AND($O392&lt;&gt;"Y",OR($Z392="PR",AND(LEN($Z392)&gt;1,ISNUMBER(SEARCH("-",$Z392))))),"pair hand on a single door, ","")&amp;IF(AND(ISNUMBER($BP392),$BO392&lt;N($BP392)),"wall needs a "&amp;$BP392&amp;" min door, ","")&amp;IF(AND($BO392&gt;=180,AND(OR($BL392="FG",$BL392="HG",$BL392="FNV",$BL392="FV"),N($BM392)*N($BN392)&gt;100)),"180 min lite over 100 sq in, ","")&amp;IF(N($BD392)&gt;48,"leaf wider than 4'-0"&amp;CHAR(34)&amp;", ",""))</f>
        <v/>
      </c>
      <c r="BX392" s="49">
        <f>IF($A392="","",IF(AND($BO392&gt;0,AND($A392&lt;&gt;"",$C392&lt;&gt;"DOOR ONLY"),$X392="KD",$E392="EXTERIOR"),"KD label on an exterior opening, ","")&amp;IF(AND($E392="EXTERIOR",OR(AND(AND($A392&lt;&gt;"",$C392&lt;&gt;"DOOR ONLY"),$W392="CR"),AND(N($BC392)&gt;0,$AH392="CR"))),"exterior in CR steel (G9?), ","")&amp;IF(AND(ISNUMBER($BJ392),N($BJ392)&lt;32),"clear width ~"&amp;TEXT($BJ392,"0.0")&amp;CHAR(34)&amp;" under 32"&amp;CHAR(34)&amp;" (ADA), ","")&amp;IF(AND($BO392=90,AND(OR($BL392="FG",$BL392="HG",$BL392="FNV",$BL392="FV"),N($BM392)*N($BN392)&gt;100)),"90 min lite over 100 sq in (stair/exit), ","")&amp;IF(AND($BO392&gt;0,AND($A392&lt;&gt;"",$C392&lt;&gt;"DOOR ONLY"),OR($AF392="",$AF392="-")),"rated: closer reinf.?, ","")&amp;IF(OR($I392="CORRIDOR",$I392="SMOKE BARRIER"),"S label + smoke gasketing, ","")&amp;IF($BP392="?","wall type/hr not in IBC table, ","")&amp;IF(AND(N($BC392)&gt;0,$AU392=""),"no hardware set, ","")&amp;IF(AND($AU392&lt;&gt;"",ISNA(MATCH($AU392,HWSets,0))),"set "&amp;$AU392&amp;" not on Hardware sheet, ","")&amp;IF(N($BE392)&gt;96,"leaf over 8'-0"&amp;CHAR(34)&amp;" - check listing, ",""))</f>
        <v/>
      </c>
    </row>
    <row r="393" ht="15" customHeight="1">
      <c r="A393" s="44" t="n"/>
      <c r="B393" s="45" t="n"/>
      <c r="C393" s="45" t="n"/>
      <c r="D393" s="45" t="n"/>
      <c r="E393" s="45" t="n"/>
      <c r="F393" s="45" t="n"/>
      <c r="G393" s="45" t="n"/>
      <c r="H393" s="45" t="n"/>
      <c r="I393" s="45" t="n"/>
      <c r="J393" s="45" t="n"/>
      <c r="K393" s="45" t="n"/>
      <c r="L393" s="45" t="n"/>
      <c r="M393" s="45" t="n"/>
      <c r="N393" s="45" t="n"/>
      <c r="O393" s="45" t="n"/>
      <c r="P393" s="45" t="n"/>
      <c r="Q393" s="45" t="n"/>
      <c r="R393" s="45" t="n"/>
      <c r="S393" s="46" t="n"/>
      <c r="T393" s="46" t="n"/>
      <c r="U393" s="46" t="n"/>
      <c r="V393" s="46" t="n"/>
      <c r="W393" s="46" t="n"/>
      <c r="X393" s="46" t="n"/>
      <c r="Y393" s="46" t="n"/>
      <c r="Z393" s="46" t="n"/>
      <c r="AA393" s="46" t="n"/>
      <c r="AB393" s="46" t="n"/>
      <c r="AC393" s="46" t="n"/>
      <c r="AD393" s="46" t="n"/>
      <c r="AE393" s="46" t="n"/>
      <c r="AF393" s="46" t="n"/>
      <c r="AG393" s="46" t="n"/>
      <c r="AH393" s="47" t="n"/>
      <c r="AI393" s="47" t="n"/>
      <c r="AJ393" s="47" t="n"/>
      <c r="AK393" s="47" t="n"/>
      <c r="AL393" s="47" t="n"/>
      <c r="AM393" s="47" t="n"/>
      <c r="AN393" s="47" t="n"/>
      <c r="AO393" s="47" t="n"/>
      <c r="AP393" s="47" t="n"/>
      <c r="AQ393" s="47" t="n"/>
      <c r="AR393" s="47" t="n"/>
      <c r="AS393" s="47" t="n"/>
      <c r="AT393" s="47" t="n"/>
      <c r="AU393" s="48" t="n"/>
      <c r="AV393" s="48" t="n"/>
      <c r="AW393" s="49">
        <f>IF($A393="","",IF($BW393&lt;&gt;"","FIX",IF($BX393&lt;&gt;"","CHECK","OK")))</f>
        <v/>
      </c>
      <c r="AX393" s="50">
        <f>IF($A393="","",IF($BW393&lt;&gt;"","FIX: "&amp;LEFT($BW393,LEN($BW393)-2)&amp;IF($BX393&lt;&gt;"","  ·  ",""),"")&amp;IF($BX393&lt;&gt;"","CHECK: "&amp;LEFT($BX393,LEN($BX393)-2),""))</f>
        <v/>
      </c>
      <c r="AY393" s="49">
        <f>IF(OR($A393="",$K393=""),"",$K393&amp;"'-"&amp;N($L393)&amp;CHAR(34)&amp;" x "&amp;$M393&amp;"'-"&amp;N($N393)&amp;CHAR(34))</f>
        <v/>
      </c>
      <c r="AZ393" s="49">
        <f>IF(OR($A393="",$K393=""),"",$K393&amp;N($L393)&amp;$M393&amp;N($N393))</f>
        <v/>
      </c>
      <c r="BA393" s="49">
        <f>IF(OR($A393="",$K393=""),"",$K393*12+N($L393))</f>
        <v/>
      </c>
      <c r="BB393" s="49">
        <f>IF(OR($A393="",$M393=""),"",$M393*12+N($N393))</f>
        <v/>
      </c>
      <c r="BC393" s="49">
        <f>IF($A393="","",IF(OR($C393="FRAME ONLY",$S393="BL"),0,IF($O393="Y",2,1)))</f>
        <v/>
      </c>
      <c r="BD393" s="51">
        <f>IF(OR(N($BC393)=0,$BA393=""),"",($BA393-2*EdgeClr-IF($BC393=2,MeetClr,0))/$BC393)</f>
        <v/>
      </c>
      <c r="BE393" s="51">
        <f>IF(OR(N($BC393)=0,$BB393=""),"",$BB393-HeadClr-Undercut)</f>
        <v/>
      </c>
      <c r="BF393" s="51">
        <f>IF($BA393="","",$BA393+2*FaceW+IF(N($Q393)&gt;0,($Q393+FaceW)*IF($R393="LR",2,1),0))</f>
        <v/>
      </c>
      <c r="BG393" s="51">
        <f>IF($BB393="","",$BB393+IF($AB393="Y",4,FaceW)+IF(N($P393)&gt;0,$P393+FaceW,0)+IF(OR($S393="4F",$S393="BL"),FaceW,0))</f>
        <v/>
      </c>
      <c r="BH393" s="51">
        <f>IF($BF393="","",$BF393+2*ROSide)</f>
        <v/>
      </c>
      <c r="BI393" s="51">
        <f>IF($BG393="","",$BG393+ROTop)</f>
        <v/>
      </c>
      <c r="BJ393" s="52">
        <f>IF(OR(N($BC393)=0,$BA393=""),"",$BA393/$BC393-ClearDeduct)</f>
        <v/>
      </c>
      <c r="BK393" s="49">
        <f>IF(OR(N($BC393)=0,$BE393=""),"",IF(OR($AC393="HGC",$AP393="HGC"),"CONT",IF($BE393&lt;=60,2,IF($BE393&lt;=90,3,IF($BE393&lt;=120,4,5)))))</f>
        <v/>
      </c>
      <c r="BL393" s="49">
        <f>IF(N($BC393)=0,"",IF(OR($AL393="",$AL393="FLUSH"),"FLUSH",IFERROR(LEFT($AL393,FIND("-",$AL393)-1),LEFT($AL393,2))))</f>
        <v/>
      </c>
      <c r="BM393" s="49">
        <f>IF($BL393="","",IFERROR(VALUE(MID($AL393,FIND("-",$AL393)+1,FIND(CHAR(34)&amp;"x",$AL393)-FIND("-",$AL393)-1)),0))</f>
        <v/>
      </c>
      <c r="BN393" s="49">
        <f>IF($BL393="","",IFERROR(VALUE(MID($AL393,FIND(CHAR(34)&amp;"x",$AL393)+2,FIND(CHAR(34),$AL393,FIND(CHAR(34)&amp;"x",$AL393)+2)-FIND(CHAR(34)&amp;"x",$AL393)-2)),0))</f>
        <v/>
      </c>
      <c r="BO393" s="53">
        <f>IF(OR($A393="",$H393="",$H393="NO LAB"),0,IFERROR(VALUE(LEFT($H393,FIND(" ",$H393)-1)),0))</f>
        <v/>
      </c>
      <c r="BP393" s="54">
        <f>IF(OR($A393="",$I393="",$I393="NON-RATED",N($J393)=0),"",IFERROR(VLOOKUP($I393&amp;"|"&amp;$J393,IBC,2,FALSE),"?"))</f>
        <v/>
      </c>
      <c r="BQ393" s="50">
        <f>IF(NOT(AND($A393&lt;&gt;"",$C393&lt;&gt;"DOOR ONLY")),"",TRIM(IFERROR(VLOOKUP($U393,CODES,2,FALSE),"")&amp;" "&amp;$AZ393&amp;" "&amp;IFERROR(VLOOKUP($Z393,CODES,2,FALSE),"")&amp;" "&amp;IFERROR(VLOOKUP($X393,CODES,2,FALSE),"")&amp;" "&amp;IFERROR(VLOOKUP($S393,CODES,2,FALSE),"")&amp;IF(N($P393)&gt;0," w/TRANSOM "&amp;$P393&amp;CHAR(34),"")&amp;IF(N($Q393)&gt;0," w/SIDELITE "&amp;$Q393&amp;CHAR(34)&amp;" "&amp;IF($R393="","R",$R393),"")&amp;IF($Y393="","  |  "," | "&amp;IFERROR(VLOOKUP($Y393,CODES,2,FALSE),"")&amp;" | ")&amp;IFERROR(VLOOKUP($AC393,CODES,2,FALSE),"")&amp;" "&amp;IFERROR(VLOOKUP($AD393,CODES,2,FALSE),"")&amp;IF(OR($AE393="",$AE393="-"),""," "&amp;$AE393)&amp;IF(OR($AF393="",$AF393="-"),""," "&amp;$AF393)&amp;IF($AB393="Y"," 4"&amp;CHAR(34)&amp;" HEAD","")&amp;" "&amp;IFERROR(VLOOKUP($H393,CODES,2,FALSE),"")))</f>
        <v/>
      </c>
      <c r="BR393" s="50">
        <f>IF(NOT(AND($A393&lt;&gt;"",N($BC393)&gt;0)),"",TRIM(IFERROR(VLOOKUP($AH393,CODES,2,FALSE),"")&amp;IF($AI393=""," "," "&amp;$AI393&amp;"GA ")&amp;$AZ393&amp;" "&amp;IF($AN393="",IFERROR(VLOOKUP($Z393,CODES,2,FALSE),""),IFERROR(VLOOKUP($AN393,CODES,2,FALSE),""))&amp;IF($BC393=2," PAIR","")&amp;" DOOR | "&amp;IF($AL393="","?",$AL393)&amp;" | "&amp;IF($AP393="",IFERROR(VLOOKUP($AC393,CODES,2,FALSE),""),IFERROR(VLOOKUP($AP393,CODES,2,FALSE),""))&amp;" "&amp;IFERROR(VLOOKUP($AQ393,CODES,2,FALSE),"")&amp;IF(OR($AR393="",$AR393="-"),""," SEAM "&amp;$AR393)&amp;IF($AS393="Y"," ASTRAGAL","")&amp;IF($AJ393=""," "," "&amp;$AJ393)&amp;IF($AK393=""," "," "&amp;$AK393)&amp;IF($AO393="",""," "&amp;$AO393)&amp;IF($AM393=""," "," SERIES "&amp;$AM393)&amp;" "&amp;IFERROR(VLOOKUP($H393,CODES,2,FALSE),"")))</f>
        <v/>
      </c>
      <c r="BS393" s="49">
        <f>IF(BV393="","",IF(COUNTIF($BV$6:BV393,BV393)=1,MAX($BS$5:BS392)+1,INDEX($BS$5:BS392,MATCH(BV393,$BV$5:BV392,0))))</f>
        <v/>
      </c>
      <c r="BT393" s="49">
        <f>IF(NOT(AND($A393&lt;&gt;"",$C393&lt;&gt;"DOOR ONLY")),"",MAX($BT$5:BT392)+1)</f>
        <v/>
      </c>
      <c r="BU393" s="49">
        <f>IF(NOT(AND($A393&lt;&gt;"",N($BC393)&gt;0)),"",MAX($BU$5:BU392)+1)</f>
        <v/>
      </c>
      <c r="BV393" s="49">
        <f>IF(OR($A393="",$BA393="",$BB393=""),"",$AZ393&amp;"|"&amp;$O393&amp;"|"&amp;$AL393&amp;"|"&amp;$S393&amp;"|"&amp;$P393&amp;"|"&amp;$Q393&amp;$R393&amp;"|"&amp;$C393&amp;"|"&amp;$AB393)</f>
        <v/>
      </c>
      <c r="BW393" s="49">
        <f>IF($A393="","",IF($B393="","qty, ","")&amp;IF($C393="","scope, ","")&amp;IF(OR($K393="",$M393=""),"size, ","")&amp;IF(AND($A393&lt;&gt;"",$C393&lt;&gt;"DOOR ONLY"),IF($U393="","jamb depth, ","")&amp;IF($X393="","construction, ","")&amp;IF($Y393="","anchor, ","")&amp;IF($S393="","frame type, ",""),"")&amp;IF(AND(N($BC393)&gt;0,$Z393=""),"hand, ","")&amp;IF(N($BC393)&gt;0,IF($AH393="","door material, ","")&amp;IF($AL393="","face type, ","")&amp;IF($AQ393="","lock prep, ","")&amp;IF(AND($AP393="",$AC393=""),"hinge prep, ",""),"")&amp;IF(AND($BO393&gt;0,$AH393="FRP"),"FRP cannot carry a label, ","")&amp;IF(AND($O393="Y",OR($Z393="L",$Z393="R",$Z393="LR",$Z393="RR")),"pair marked but hand is single, ","")&amp;IF(AND($O393&lt;&gt;"Y",OR($Z393="PR",AND(LEN($Z393)&gt;1,ISNUMBER(SEARCH("-",$Z393))))),"pair hand on a single door, ","")&amp;IF(AND(ISNUMBER($BP393),$BO393&lt;N($BP393)),"wall needs a "&amp;$BP393&amp;" min door, ","")&amp;IF(AND($BO393&gt;=180,AND(OR($BL393="FG",$BL393="HG",$BL393="FNV",$BL393="FV"),N($BM393)*N($BN393)&gt;100)),"180 min lite over 100 sq in, ","")&amp;IF(N($BD393)&gt;48,"leaf wider than 4'-0"&amp;CHAR(34)&amp;", ",""))</f>
        <v/>
      </c>
      <c r="BX393" s="49">
        <f>IF($A393="","",IF(AND($BO393&gt;0,AND($A393&lt;&gt;"",$C393&lt;&gt;"DOOR ONLY"),$X393="KD",$E393="EXTERIOR"),"KD label on an exterior opening, ","")&amp;IF(AND($E393="EXTERIOR",OR(AND(AND($A393&lt;&gt;"",$C393&lt;&gt;"DOOR ONLY"),$W393="CR"),AND(N($BC393)&gt;0,$AH393="CR"))),"exterior in CR steel (G9?), ","")&amp;IF(AND(ISNUMBER($BJ393),N($BJ393)&lt;32),"clear width ~"&amp;TEXT($BJ393,"0.0")&amp;CHAR(34)&amp;" under 32"&amp;CHAR(34)&amp;" (ADA), ","")&amp;IF(AND($BO393=90,AND(OR($BL393="FG",$BL393="HG",$BL393="FNV",$BL393="FV"),N($BM393)*N($BN393)&gt;100)),"90 min lite over 100 sq in (stair/exit), ","")&amp;IF(AND($BO393&gt;0,AND($A393&lt;&gt;"",$C393&lt;&gt;"DOOR ONLY"),OR($AF393="",$AF393="-")),"rated: closer reinf.?, ","")&amp;IF(OR($I393="CORRIDOR",$I393="SMOKE BARRIER"),"S label + smoke gasketing, ","")&amp;IF($BP393="?","wall type/hr not in IBC table, ","")&amp;IF(AND(N($BC393)&gt;0,$AU393=""),"no hardware set, ","")&amp;IF(AND($AU393&lt;&gt;"",ISNA(MATCH($AU393,HWSets,0))),"set "&amp;$AU393&amp;" not on Hardware sheet, ","")&amp;IF(N($BE393)&gt;96,"leaf over 8'-0"&amp;CHAR(34)&amp;" - check listing, ",""))</f>
        <v/>
      </c>
    </row>
    <row r="394" ht="15" customHeight="1">
      <c r="A394" s="44" t="n"/>
      <c r="B394" s="45" t="n"/>
      <c r="C394" s="45" t="n"/>
      <c r="D394" s="45" t="n"/>
      <c r="E394" s="45" t="n"/>
      <c r="F394" s="45" t="n"/>
      <c r="G394" s="45" t="n"/>
      <c r="H394" s="45" t="n"/>
      <c r="I394" s="45" t="n"/>
      <c r="J394" s="45" t="n"/>
      <c r="K394" s="45" t="n"/>
      <c r="L394" s="45" t="n"/>
      <c r="M394" s="45" t="n"/>
      <c r="N394" s="45" t="n"/>
      <c r="O394" s="45" t="n"/>
      <c r="P394" s="45" t="n"/>
      <c r="Q394" s="45" t="n"/>
      <c r="R394" s="45" t="n"/>
      <c r="S394" s="46" t="n"/>
      <c r="T394" s="46" t="n"/>
      <c r="U394" s="46" t="n"/>
      <c r="V394" s="46" t="n"/>
      <c r="W394" s="46" t="n"/>
      <c r="X394" s="46" t="n"/>
      <c r="Y394" s="46" t="n"/>
      <c r="Z394" s="46" t="n"/>
      <c r="AA394" s="46" t="n"/>
      <c r="AB394" s="46" t="n"/>
      <c r="AC394" s="46" t="n"/>
      <c r="AD394" s="46" t="n"/>
      <c r="AE394" s="46" t="n"/>
      <c r="AF394" s="46" t="n"/>
      <c r="AG394" s="46" t="n"/>
      <c r="AH394" s="47" t="n"/>
      <c r="AI394" s="47" t="n"/>
      <c r="AJ394" s="47" t="n"/>
      <c r="AK394" s="47" t="n"/>
      <c r="AL394" s="47" t="n"/>
      <c r="AM394" s="47" t="n"/>
      <c r="AN394" s="47" t="n"/>
      <c r="AO394" s="47" t="n"/>
      <c r="AP394" s="47" t="n"/>
      <c r="AQ394" s="47" t="n"/>
      <c r="AR394" s="47" t="n"/>
      <c r="AS394" s="47" t="n"/>
      <c r="AT394" s="47" t="n"/>
      <c r="AU394" s="48" t="n"/>
      <c r="AV394" s="48" t="n"/>
      <c r="AW394" s="49">
        <f>IF($A394="","",IF($BW394&lt;&gt;"","FIX",IF($BX394&lt;&gt;"","CHECK","OK")))</f>
        <v/>
      </c>
      <c r="AX394" s="50">
        <f>IF($A394="","",IF($BW394&lt;&gt;"","FIX: "&amp;LEFT($BW394,LEN($BW394)-2)&amp;IF($BX394&lt;&gt;"","  ·  ",""),"")&amp;IF($BX394&lt;&gt;"","CHECK: "&amp;LEFT($BX394,LEN($BX394)-2),""))</f>
        <v/>
      </c>
      <c r="AY394" s="49">
        <f>IF(OR($A394="",$K394=""),"",$K394&amp;"'-"&amp;N($L394)&amp;CHAR(34)&amp;" x "&amp;$M394&amp;"'-"&amp;N($N394)&amp;CHAR(34))</f>
        <v/>
      </c>
      <c r="AZ394" s="49">
        <f>IF(OR($A394="",$K394=""),"",$K394&amp;N($L394)&amp;$M394&amp;N($N394))</f>
        <v/>
      </c>
      <c r="BA394" s="49">
        <f>IF(OR($A394="",$K394=""),"",$K394*12+N($L394))</f>
        <v/>
      </c>
      <c r="BB394" s="49">
        <f>IF(OR($A394="",$M394=""),"",$M394*12+N($N394))</f>
        <v/>
      </c>
      <c r="BC394" s="49">
        <f>IF($A394="","",IF(OR($C394="FRAME ONLY",$S394="BL"),0,IF($O394="Y",2,1)))</f>
        <v/>
      </c>
      <c r="BD394" s="51">
        <f>IF(OR(N($BC394)=0,$BA394=""),"",($BA394-2*EdgeClr-IF($BC394=2,MeetClr,0))/$BC394)</f>
        <v/>
      </c>
      <c r="BE394" s="51">
        <f>IF(OR(N($BC394)=0,$BB394=""),"",$BB394-HeadClr-Undercut)</f>
        <v/>
      </c>
      <c r="BF394" s="51">
        <f>IF($BA394="","",$BA394+2*FaceW+IF(N($Q394)&gt;0,($Q394+FaceW)*IF($R394="LR",2,1),0))</f>
        <v/>
      </c>
      <c r="BG394" s="51">
        <f>IF($BB394="","",$BB394+IF($AB394="Y",4,FaceW)+IF(N($P394)&gt;0,$P394+FaceW,0)+IF(OR($S394="4F",$S394="BL"),FaceW,0))</f>
        <v/>
      </c>
      <c r="BH394" s="51">
        <f>IF($BF394="","",$BF394+2*ROSide)</f>
        <v/>
      </c>
      <c r="BI394" s="51">
        <f>IF($BG394="","",$BG394+ROTop)</f>
        <v/>
      </c>
      <c r="BJ394" s="52">
        <f>IF(OR(N($BC394)=0,$BA394=""),"",$BA394/$BC394-ClearDeduct)</f>
        <v/>
      </c>
      <c r="BK394" s="49">
        <f>IF(OR(N($BC394)=0,$BE394=""),"",IF(OR($AC394="HGC",$AP394="HGC"),"CONT",IF($BE394&lt;=60,2,IF($BE394&lt;=90,3,IF($BE394&lt;=120,4,5)))))</f>
        <v/>
      </c>
      <c r="BL394" s="49">
        <f>IF(N($BC394)=0,"",IF(OR($AL394="",$AL394="FLUSH"),"FLUSH",IFERROR(LEFT($AL394,FIND("-",$AL394)-1),LEFT($AL394,2))))</f>
        <v/>
      </c>
      <c r="BM394" s="49">
        <f>IF($BL394="","",IFERROR(VALUE(MID($AL394,FIND("-",$AL394)+1,FIND(CHAR(34)&amp;"x",$AL394)-FIND("-",$AL394)-1)),0))</f>
        <v/>
      </c>
      <c r="BN394" s="49">
        <f>IF($BL394="","",IFERROR(VALUE(MID($AL394,FIND(CHAR(34)&amp;"x",$AL394)+2,FIND(CHAR(34),$AL394,FIND(CHAR(34)&amp;"x",$AL394)+2)-FIND(CHAR(34)&amp;"x",$AL394)-2)),0))</f>
        <v/>
      </c>
      <c r="BO394" s="53">
        <f>IF(OR($A394="",$H394="",$H394="NO LAB"),0,IFERROR(VALUE(LEFT($H394,FIND(" ",$H394)-1)),0))</f>
        <v/>
      </c>
      <c r="BP394" s="54">
        <f>IF(OR($A394="",$I394="",$I394="NON-RATED",N($J394)=0),"",IFERROR(VLOOKUP($I394&amp;"|"&amp;$J394,IBC,2,FALSE),"?"))</f>
        <v/>
      </c>
      <c r="BQ394" s="50">
        <f>IF(NOT(AND($A394&lt;&gt;"",$C394&lt;&gt;"DOOR ONLY")),"",TRIM(IFERROR(VLOOKUP($U394,CODES,2,FALSE),"")&amp;" "&amp;$AZ394&amp;" "&amp;IFERROR(VLOOKUP($Z394,CODES,2,FALSE),"")&amp;" "&amp;IFERROR(VLOOKUP($X394,CODES,2,FALSE),"")&amp;" "&amp;IFERROR(VLOOKUP($S394,CODES,2,FALSE),"")&amp;IF(N($P394)&gt;0," w/TRANSOM "&amp;$P394&amp;CHAR(34),"")&amp;IF(N($Q394)&gt;0," w/SIDELITE "&amp;$Q394&amp;CHAR(34)&amp;" "&amp;IF($R394="","R",$R394),"")&amp;IF($Y394="","  |  "," | "&amp;IFERROR(VLOOKUP($Y394,CODES,2,FALSE),"")&amp;" | ")&amp;IFERROR(VLOOKUP($AC394,CODES,2,FALSE),"")&amp;" "&amp;IFERROR(VLOOKUP($AD394,CODES,2,FALSE),"")&amp;IF(OR($AE394="",$AE394="-"),""," "&amp;$AE394)&amp;IF(OR($AF394="",$AF394="-"),""," "&amp;$AF394)&amp;IF($AB394="Y"," 4"&amp;CHAR(34)&amp;" HEAD","")&amp;" "&amp;IFERROR(VLOOKUP($H394,CODES,2,FALSE),"")))</f>
        <v/>
      </c>
      <c r="BR394" s="50">
        <f>IF(NOT(AND($A394&lt;&gt;"",N($BC394)&gt;0)),"",TRIM(IFERROR(VLOOKUP($AH394,CODES,2,FALSE),"")&amp;IF($AI394=""," "," "&amp;$AI394&amp;"GA ")&amp;$AZ394&amp;" "&amp;IF($AN394="",IFERROR(VLOOKUP($Z394,CODES,2,FALSE),""),IFERROR(VLOOKUP($AN394,CODES,2,FALSE),""))&amp;IF($BC394=2," PAIR","")&amp;" DOOR | "&amp;IF($AL394="","?",$AL394)&amp;" | "&amp;IF($AP394="",IFERROR(VLOOKUP($AC394,CODES,2,FALSE),""),IFERROR(VLOOKUP($AP394,CODES,2,FALSE),""))&amp;" "&amp;IFERROR(VLOOKUP($AQ394,CODES,2,FALSE),"")&amp;IF(OR($AR394="",$AR394="-"),""," SEAM "&amp;$AR394)&amp;IF($AS394="Y"," ASTRAGAL","")&amp;IF($AJ394=""," "," "&amp;$AJ394)&amp;IF($AK394=""," "," "&amp;$AK394)&amp;IF($AO394="",""," "&amp;$AO394)&amp;IF($AM394=""," "," SERIES "&amp;$AM394)&amp;" "&amp;IFERROR(VLOOKUP($H394,CODES,2,FALSE),"")))</f>
        <v/>
      </c>
      <c r="BS394" s="49">
        <f>IF(BV394="","",IF(COUNTIF($BV$6:BV394,BV394)=1,MAX($BS$5:BS393)+1,INDEX($BS$5:BS393,MATCH(BV394,$BV$5:BV393,0))))</f>
        <v/>
      </c>
      <c r="BT394" s="49">
        <f>IF(NOT(AND($A394&lt;&gt;"",$C394&lt;&gt;"DOOR ONLY")),"",MAX($BT$5:BT393)+1)</f>
        <v/>
      </c>
      <c r="BU394" s="49">
        <f>IF(NOT(AND($A394&lt;&gt;"",N($BC394)&gt;0)),"",MAX($BU$5:BU393)+1)</f>
        <v/>
      </c>
      <c r="BV394" s="49">
        <f>IF(OR($A394="",$BA394="",$BB394=""),"",$AZ394&amp;"|"&amp;$O394&amp;"|"&amp;$AL394&amp;"|"&amp;$S394&amp;"|"&amp;$P394&amp;"|"&amp;$Q394&amp;$R394&amp;"|"&amp;$C394&amp;"|"&amp;$AB394)</f>
        <v/>
      </c>
      <c r="BW394" s="49">
        <f>IF($A394="","",IF($B394="","qty, ","")&amp;IF($C394="","scope, ","")&amp;IF(OR($K394="",$M394=""),"size, ","")&amp;IF(AND($A394&lt;&gt;"",$C394&lt;&gt;"DOOR ONLY"),IF($U394="","jamb depth, ","")&amp;IF($X394="","construction, ","")&amp;IF($Y394="","anchor, ","")&amp;IF($S394="","frame type, ",""),"")&amp;IF(AND(N($BC394)&gt;0,$Z394=""),"hand, ","")&amp;IF(N($BC394)&gt;0,IF($AH394="","door material, ","")&amp;IF($AL394="","face type, ","")&amp;IF($AQ394="","lock prep, ","")&amp;IF(AND($AP394="",$AC394=""),"hinge prep, ",""),"")&amp;IF(AND($BO394&gt;0,$AH394="FRP"),"FRP cannot carry a label, ","")&amp;IF(AND($O394="Y",OR($Z394="L",$Z394="R",$Z394="LR",$Z394="RR")),"pair marked but hand is single, ","")&amp;IF(AND($O394&lt;&gt;"Y",OR($Z394="PR",AND(LEN($Z394)&gt;1,ISNUMBER(SEARCH("-",$Z394))))),"pair hand on a single door, ","")&amp;IF(AND(ISNUMBER($BP394),$BO394&lt;N($BP394)),"wall needs a "&amp;$BP394&amp;" min door, ","")&amp;IF(AND($BO394&gt;=180,AND(OR($BL394="FG",$BL394="HG",$BL394="FNV",$BL394="FV"),N($BM394)*N($BN394)&gt;100)),"180 min lite over 100 sq in, ","")&amp;IF(N($BD394)&gt;48,"leaf wider than 4'-0"&amp;CHAR(34)&amp;", ",""))</f>
        <v/>
      </c>
      <c r="BX394" s="49">
        <f>IF($A394="","",IF(AND($BO394&gt;0,AND($A394&lt;&gt;"",$C394&lt;&gt;"DOOR ONLY"),$X394="KD",$E394="EXTERIOR"),"KD label on an exterior opening, ","")&amp;IF(AND($E394="EXTERIOR",OR(AND(AND($A394&lt;&gt;"",$C394&lt;&gt;"DOOR ONLY"),$W394="CR"),AND(N($BC394)&gt;0,$AH394="CR"))),"exterior in CR steel (G9?), ","")&amp;IF(AND(ISNUMBER($BJ394),N($BJ394)&lt;32),"clear width ~"&amp;TEXT($BJ394,"0.0")&amp;CHAR(34)&amp;" under 32"&amp;CHAR(34)&amp;" (ADA), ","")&amp;IF(AND($BO394=90,AND(OR($BL394="FG",$BL394="HG",$BL394="FNV",$BL394="FV"),N($BM394)*N($BN394)&gt;100)),"90 min lite over 100 sq in (stair/exit), ","")&amp;IF(AND($BO394&gt;0,AND($A394&lt;&gt;"",$C394&lt;&gt;"DOOR ONLY"),OR($AF394="",$AF394="-")),"rated: closer reinf.?, ","")&amp;IF(OR($I394="CORRIDOR",$I394="SMOKE BARRIER"),"S label + smoke gasketing, ","")&amp;IF($BP394="?","wall type/hr not in IBC table, ","")&amp;IF(AND(N($BC394)&gt;0,$AU394=""),"no hardware set, ","")&amp;IF(AND($AU394&lt;&gt;"",ISNA(MATCH($AU394,HWSets,0))),"set "&amp;$AU394&amp;" not on Hardware sheet, ","")&amp;IF(N($BE394)&gt;96,"leaf over 8'-0"&amp;CHAR(34)&amp;" - check listing, ",""))</f>
        <v/>
      </c>
    </row>
    <row r="395" ht="15" customHeight="1">
      <c r="A395" s="44" t="n"/>
      <c r="B395" s="45" t="n"/>
      <c r="C395" s="45" t="n"/>
      <c r="D395" s="45" t="n"/>
      <c r="E395" s="45" t="n"/>
      <c r="F395" s="45" t="n"/>
      <c r="G395" s="45" t="n"/>
      <c r="H395" s="45" t="n"/>
      <c r="I395" s="45" t="n"/>
      <c r="J395" s="45" t="n"/>
      <c r="K395" s="45" t="n"/>
      <c r="L395" s="45" t="n"/>
      <c r="M395" s="45" t="n"/>
      <c r="N395" s="45" t="n"/>
      <c r="O395" s="45" t="n"/>
      <c r="P395" s="45" t="n"/>
      <c r="Q395" s="45" t="n"/>
      <c r="R395" s="45" t="n"/>
      <c r="S395" s="46" t="n"/>
      <c r="T395" s="46" t="n"/>
      <c r="U395" s="46" t="n"/>
      <c r="V395" s="46" t="n"/>
      <c r="W395" s="46" t="n"/>
      <c r="X395" s="46" t="n"/>
      <c r="Y395" s="46" t="n"/>
      <c r="Z395" s="46" t="n"/>
      <c r="AA395" s="46" t="n"/>
      <c r="AB395" s="46" t="n"/>
      <c r="AC395" s="46" t="n"/>
      <c r="AD395" s="46" t="n"/>
      <c r="AE395" s="46" t="n"/>
      <c r="AF395" s="46" t="n"/>
      <c r="AG395" s="46" t="n"/>
      <c r="AH395" s="47" t="n"/>
      <c r="AI395" s="47" t="n"/>
      <c r="AJ395" s="47" t="n"/>
      <c r="AK395" s="47" t="n"/>
      <c r="AL395" s="47" t="n"/>
      <c r="AM395" s="47" t="n"/>
      <c r="AN395" s="47" t="n"/>
      <c r="AO395" s="47" t="n"/>
      <c r="AP395" s="47" t="n"/>
      <c r="AQ395" s="47" t="n"/>
      <c r="AR395" s="47" t="n"/>
      <c r="AS395" s="47" t="n"/>
      <c r="AT395" s="47" t="n"/>
      <c r="AU395" s="48" t="n"/>
      <c r="AV395" s="48" t="n"/>
      <c r="AW395" s="49">
        <f>IF($A395="","",IF($BW395&lt;&gt;"","FIX",IF($BX395&lt;&gt;"","CHECK","OK")))</f>
        <v/>
      </c>
      <c r="AX395" s="50">
        <f>IF($A395="","",IF($BW395&lt;&gt;"","FIX: "&amp;LEFT($BW395,LEN($BW395)-2)&amp;IF($BX395&lt;&gt;"","  ·  ",""),"")&amp;IF($BX395&lt;&gt;"","CHECK: "&amp;LEFT($BX395,LEN($BX395)-2),""))</f>
        <v/>
      </c>
      <c r="AY395" s="49">
        <f>IF(OR($A395="",$K395=""),"",$K395&amp;"'-"&amp;N($L395)&amp;CHAR(34)&amp;" x "&amp;$M395&amp;"'-"&amp;N($N395)&amp;CHAR(34))</f>
        <v/>
      </c>
      <c r="AZ395" s="49">
        <f>IF(OR($A395="",$K395=""),"",$K395&amp;N($L395)&amp;$M395&amp;N($N395))</f>
        <v/>
      </c>
      <c r="BA395" s="49">
        <f>IF(OR($A395="",$K395=""),"",$K395*12+N($L395))</f>
        <v/>
      </c>
      <c r="BB395" s="49">
        <f>IF(OR($A395="",$M395=""),"",$M395*12+N($N395))</f>
        <v/>
      </c>
      <c r="BC395" s="49">
        <f>IF($A395="","",IF(OR($C395="FRAME ONLY",$S395="BL"),0,IF($O395="Y",2,1)))</f>
        <v/>
      </c>
      <c r="BD395" s="51">
        <f>IF(OR(N($BC395)=0,$BA395=""),"",($BA395-2*EdgeClr-IF($BC395=2,MeetClr,0))/$BC395)</f>
        <v/>
      </c>
      <c r="BE395" s="51">
        <f>IF(OR(N($BC395)=0,$BB395=""),"",$BB395-HeadClr-Undercut)</f>
        <v/>
      </c>
      <c r="BF395" s="51">
        <f>IF($BA395="","",$BA395+2*FaceW+IF(N($Q395)&gt;0,($Q395+FaceW)*IF($R395="LR",2,1),0))</f>
        <v/>
      </c>
      <c r="BG395" s="51">
        <f>IF($BB395="","",$BB395+IF($AB395="Y",4,FaceW)+IF(N($P395)&gt;0,$P395+FaceW,0)+IF(OR($S395="4F",$S395="BL"),FaceW,0))</f>
        <v/>
      </c>
      <c r="BH395" s="51">
        <f>IF($BF395="","",$BF395+2*ROSide)</f>
        <v/>
      </c>
      <c r="BI395" s="51">
        <f>IF($BG395="","",$BG395+ROTop)</f>
        <v/>
      </c>
      <c r="BJ395" s="52">
        <f>IF(OR(N($BC395)=0,$BA395=""),"",$BA395/$BC395-ClearDeduct)</f>
        <v/>
      </c>
      <c r="BK395" s="49">
        <f>IF(OR(N($BC395)=0,$BE395=""),"",IF(OR($AC395="HGC",$AP395="HGC"),"CONT",IF($BE395&lt;=60,2,IF($BE395&lt;=90,3,IF($BE395&lt;=120,4,5)))))</f>
        <v/>
      </c>
      <c r="BL395" s="49">
        <f>IF(N($BC395)=0,"",IF(OR($AL395="",$AL395="FLUSH"),"FLUSH",IFERROR(LEFT($AL395,FIND("-",$AL395)-1),LEFT($AL395,2))))</f>
        <v/>
      </c>
      <c r="BM395" s="49">
        <f>IF($BL395="","",IFERROR(VALUE(MID($AL395,FIND("-",$AL395)+1,FIND(CHAR(34)&amp;"x",$AL395)-FIND("-",$AL395)-1)),0))</f>
        <v/>
      </c>
      <c r="BN395" s="49">
        <f>IF($BL395="","",IFERROR(VALUE(MID($AL395,FIND(CHAR(34)&amp;"x",$AL395)+2,FIND(CHAR(34),$AL395,FIND(CHAR(34)&amp;"x",$AL395)+2)-FIND(CHAR(34)&amp;"x",$AL395)-2)),0))</f>
        <v/>
      </c>
      <c r="BO395" s="53">
        <f>IF(OR($A395="",$H395="",$H395="NO LAB"),0,IFERROR(VALUE(LEFT($H395,FIND(" ",$H395)-1)),0))</f>
        <v/>
      </c>
      <c r="BP395" s="54">
        <f>IF(OR($A395="",$I395="",$I395="NON-RATED",N($J395)=0),"",IFERROR(VLOOKUP($I395&amp;"|"&amp;$J395,IBC,2,FALSE),"?"))</f>
        <v/>
      </c>
      <c r="BQ395" s="50">
        <f>IF(NOT(AND($A395&lt;&gt;"",$C395&lt;&gt;"DOOR ONLY")),"",TRIM(IFERROR(VLOOKUP($U395,CODES,2,FALSE),"")&amp;" "&amp;$AZ395&amp;" "&amp;IFERROR(VLOOKUP($Z395,CODES,2,FALSE),"")&amp;" "&amp;IFERROR(VLOOKUP($X395,CODES,2,FALSE),"")&amp;" "&amp;IFERROR(VLOOKUP($S395,CODES,2,FALSE),"")&amp;IF(N($P395)&gt;0," w/TRANSOM "&amp;$P395&amp;CHAR(34),"")&amp;IF(N($Q395)&gt;0," w/SIDELITE "&amp;$Q395&amp;CHAR(34)&amp;" "&amp;IF($R395="","R",$R395),"")&amp;IF($Y395="","  |  "," | "&amp;IFERROR(VLOOKUP($Y395,CODES,2,FALSE),"")&amp;" | ")&amp;IFERROR(VLOOKUP($AC395,CODES,2,FALSE),"")&amp;" "&amp;IFERROR(VLOOKUP($AD395,CODES,2,FALSE),"")&amp;IF(OR($AE395="",$AE395="-"),""," "&amp;$AE395)&amp;IF(OR($AF395="",$AF395="-"),""," "&amp;$AF395)&amp;IF($AB395="Y"," 4"&amp;CHAR(34)&amp;" HEAD","")&amp;" "&amp;IFERROR(VLOOKUP($H395,CODES,2,FALSE),"")))</f>
        <v/>
      </c>
      <c r="BR395" s="50">
        <f>IF(NOT(AND($A395&lt;&gt;"",N($BC395)&gt;0)),"",TRIM(IFERROR(VLOOKUP($AH395,CODES,2,FALSE),"")&amp;IF($AI395=""," "," "&amp;$AI395&amp;"GA ")&amp;$AZ395&amp;" "&amp;IF($AN395="",IFERROR(VLOOKUP($Z395,CODES,2,FALSE),""),IFERROR(VLOOKUP($AN395,CODES,2,FALSE),""))&amp;IF($BC395=2," PAIR","")&amp;" DOOR | "&amp;IF($AL395="","?",$AL395)&amp;" | "&amp;IF($AP395="",IFERROR(VLOOKUP($AC395,CODES,2,FALSE),""),IFERROR(VLOOKUP($AP395,CODES,2,FALSE),""))&amp;" "&amp;IFERROR(VLOOKUP($AQ395,CODES,2,FALSE),"")&amp;IF(OR($AR395="",$AR395="-"),""," SEAM "&amp;$AR395)&amp;IF($AS395="Y"," ASTRAGAL","")&amp;IF($AJ395=""," "," "&amp;$AJ395)&amp;IF($AK395=""," "," "&amp;$AK395)&amp;IF($AO395="",""," "&amp;$AO395)&amp;IF($AM395=""," "," SERIES "&amp;$AM395)&amp;" "&amp;IFERROR(VLOOKUP($H395,CODES,2,FALSE),"")))</f>
        <v/>
      </c>
      <c r="BS395" s="49">
        <f>IF(BV395="","",IF(COUNTIF($BV$6:BV395,BV395)=1,MAX($BS$5:BS394)+1,INDEX($BS$5:BS394,MATCH(BV395,$BV$5:BV394,0))))</f>
        <v/>
      </c>
      <c r="BT395" s="49">
        <f>IF(NOT(AND($A395&lt;&gt;"",$C395&lt;&gt;"DOOR ONLY")),"",MAX($BT$5:BT394)+1)</f>
        <v/>
      </c>
      <c r="BU395" s="49">
        <f>IF(NOT(AND($A395&lt;&gt;"",N($BC395)&gt;0)),"",MAX($BU$5:BU394)+1)</f>
        <v/>
      </c>
      <c r="BV395" s="49">
        <f>IF(OR($A395="",$BA395="",$BB395=""),"",$AZ395&amp;"|"&amp;$O395&amp;"|"&amp;$AL395&amp;"|"&amp;$S395&amp;"|"&amp;$P395&amp;"|"&amp;$Q395&amp;$R395&amp;"|"&amp;$C395&amp;"|"&amp;$AB395)</f>
        <v/>
      </c>
      <c r="BW395" s="49">
        <f>IF($A395="","",IF($B395="","qty, ","")&amp;IF($C395="","scope, ","")&amp;IF(OR($K395="",$M395=""),"size, ","")&amp;IF(AND($A395&lt;&gt;"",$C395&lt;&gt;"DOOR ONLY"),IF($U395="","jamb depth, ","")&amp;IF($X395="","construction, ","")&amp;IF($Y395="","anchor, ","")&amp;IF($S395="","frame type, ",""),"")&amp;IF(AND(N($BC395)&gt;0,$Z395=""),"hand, ","")&amp;IF(N($BC395)&gt;0,IF($AH395="","door material, ","")&amp;IF($AL395="","face type, ","")&amp;IF($AQ395="","lock prep, ","")&amp;IF(AND($AP395="",$AC395=""),"hinge prep, ",""),"")&amp;IF(AND($BO395&gt;0,$AH395="FRP"),"FRP cannot carry a label, ","")&amp;IF(AND($O395="Y",OR($Z395="L",$Z395="R",$Z395="LR",$Z395="RR")),"pair marked but hand is single, ","")&amp;IF(AND($O395&lt;&gt;"Y",OR($Z395="PR",AND(LEN($Z395)&gt;1,ISNUMBER(SEARCH("-",$Z395))))),"pair hand on a single door, ","")&amp;IF(AND(ISNUMBER($BP395),$BO395&lt;N($BP395)),"wall needs a "&amp;$BP395&amp;" min door, ","")&amp;IF(AND($BO395&gt;=180,AND(OR($BL395="FG",$BL395="HG",$BL395="FNV",$BL395="FV"),N($BM395)*N($BN395)&gt;100)),"180 min lite over 100 sq in, ","")&amp;IF(N($BD395)&gt;48,"leaf wider than 4'-0"&amp;CHAR(34)&amp;", ",""))</f>
        <v/>
      </c>
      <c r="BX395" s="49">
        <f>IF($A395="","",IF(AND($BO395&gt;0,AND($A395&lt;&gt;"",$C395&lt;&gt;"DOOR ONLY"),$X395="KD",$E395="EXTERIOR"),"KD label on an exterior opening, ","")&amp;IF(AND($E395="EXTERIOR",OR(AND(AND($A395&lt;&gt;"",$C395&lt;&gt;"DOOR ONLY"),$W395="CR"),AND(N($BC395)&gt;0,$AH395="CR"))),"exterior in CR steel (G9?), ","")&amp;IF(AND(ISNUMBER($BJ395),N($BJ395)&lt;32),"clear width ~"&amp;TEXT($BJ395,"0.0")&amp;CHAR(34)&amp;" under 32"&amp;CHAR(34)&amp;" (ADA), ","")&amp;IF(AND($BO395=90,AND(OR($BL395="FG",$BL395="HG",$BL395="FNV",$BL395="FV"),N($BM395)*N($BN395)&gt;100)),"90 min lite over 100 sq in (stair/exit), ","")&amp;IF(AND($BO395&gt;0,AND($A395&lt;&gt;"",$C395&lt;&gt;"DOOR ONLY"),OR($AF395="",$AF395="-")),"rated: closer reinf.?, ","")&amp;IF(OR($I395="CORRIDOR",$I395="SMOKE BARRIER"),"S label + smoke gasketing, ","")&amp;IF($BP395="?","wall type/hr not in IBC table, ","")&amp;IF(AND(N($BC395)&gt;0,$AU395=""),"no hardware set, ","")&amp;IF(AND($AU395&lt;&gt;"",ISNA(MATCH($AU395,HWSets,0))),"set "&amp;$AU395&amp;" not on Hardware sheet, ","")&amp;IF(N($BE395)&gt;96,"leaf over 8'-0"&amp;CHAR(34)&amp;" - check listing, ",""))</f>
        <v/>
      </c>
    </row>
    <row r="396" ht="15" customHeight="1">
      <c r="A396" s="44" t="n"/>
      <c r="B396" s="45" t="n"/>
      <c r="C396" s="45" t="n"/>
      <c r="D396" s="45" t="n"/>
      <c r="E396" s="45" t="n"/>
      <c r="F396" s="45" t="n"/>
      <c r="G396" s="45" t="n"/>
      <c r="H396" s="45" t="n"/>
      <c r="I396" s="45" t="n"/>
      <c r="J396" s="45" t="n"/>
      <c r="K396" s="45" t="n"/>
      <c r="L396" s="45" t="n"/>
      <c r="M396" s="45" t="n"/>
      <c r="N396" s="45" t="n"/>
      <c r="O396" s="45" t="n"/>
      <c r="P396" s="45" t="n"/>
      <c r="Q396" s="45" t="n"/>
      <c r="R396" s="45" t="n"/>
      <c r="S396" s="46" t="n"/>
      <c r="T396" s="46" t="n"/>
      <c r="U396" s="46" t="n"/>
      <c r="V396" s="46" t="n"/>
      <c r="W396" s="46" t="n"/>
      <c r="X396" s="46" t="n"/>
      <c r="Y396" s="46" t="n"/>
      <c r="Z396" s="46" t="n"/>
      <c r="AA396" s="46" t="n"/>
      <c r="AB396" s="46" t="n"/>
      <c r="AC396" s="46" t="n"/>
      <c r="AD396" s="46" t="n"/>
      <c r="AE396" s="46" t="n"/>
      <c r="AF396" s="46" t="n"/>
      <c r="AG396" s="46" t="n"/>
      <c r="AH396" s="47" t="n"/>
      <c r="AI396" s="47" t="n"/>
      <c r="AJ396" s="47" t="n"/>
      <c r="AK396" s="47" t="n"/>
      <c r="AL396" s="47" t="n"/>
      <c r="AM396" s="47" t="n"/>
      <c r="AN396" s="47" t="n"/>
      <c r="AO396" s="47" t="n"/>
      <c r="AP396" s="47" t="n"/>
      <c r="AQ396" s="47" t="n"/>
      <c r="AR396" s="47" t="n"/>
      <c r="AS396" s="47" t="n"/>
      <c r="AT396" s="47" t="n"/>
      <c r="AU396" s="48" t="n"/>
      <c r="AV396" s="48" t="n"/>
      <c r="AW396" s="49">
        <f>IF($A396="","",IF($BW396&lt;&gt;"","FIX",IF($BX396&lt;&gt;"","CHECK","OK")))</f>
        <v/>
      </c>
      <c r="AX396" s="50">
        <f>IF($A396="","",IF($BW396&lt;&gt;"","FIX: "&amp;LEFT($BW396,LEN($BW396)-2)&amp;IF($BX396&lt;&gt;"","  ·  ",""),"")&amp;IF($BX396&lt;&gt;"","CHECK: "&amp;LEFT($BX396,LEN($BX396)-2),""))</f>
        <v/>
      </c>
      <c r="AY396" s="49">
        <f>IF(OR($A396="",$K396=""),"",$K396&amp;"'-"&amp;N($L396)&amp;CHAR(34)&amp;" x "&amp;$M396&amp;"'-"&amp;N($N396)&amp;CHAR(34))</f>
        <v/>
      </c>
      <c r="AZ396" s="49">
        <f>IF(OR($A396="",$K396=""),"",$K396&amp;N($L396)&amp;$M396&amp;N($N396))</f>
        <v/>
      </c>
      <c r="BA396" s="49">
        <f>IF(OR($A396="",$K396=""),"",$K396*12+N($L396))</f>
        <v/>
      </c>
      <c r="BB396" s="49">
        <f>IF(OR($A396="",$M396=""),"",$M396*12+N($N396))</f>
        <v/>
      </c>
      <c r="BC396" s="49">
        <f>IF($A396="","",IF(OR($C396="FRAME ONLY",$S396="BL"),0,IF($O396="Y",2,1)))</f>
        <v/>
      </c>
      <c r="BD396" s="51">
        <f>IF(OR(N($BC396)=0,$BA396=""),"",($BA396-2*EdgeClr-IF($BC396=2,MeetClr,0))/$BC396)</f>
        <v/>
      </c>
      <c r="BE396" s="51">
        <f>IF(OR(N($BC396)=0,$BB396=""),"",$BB396-HeadClr-Undercut)</f>
        <v/>
      </c>
      <c r="BF396" s="51">
        <f>IF($BA396="","",$BA396+2*FaceW+IF(N($Q396)&gt;0,($Q396+FaceW)*IF($R396="LR",2,1),0))</f>
        <v/>
      </c>
      <c r="BG396" s="51">
        <f>IF($BB396="","",$BB396+IF($AB396="Y",4,FaceW)+IF(N($P396)&gt;0,$P396+FaceW,0)+IF(OR($S396="4F",$S396="BL"),FaceW,0))</f>
        <v/>
      </c>
      <c r="BH396" s="51">
        <f>IF($BF396="","",$BF396+2*ROSide)</f>
        <v/>
      </c>
      <c r="BI396" s="51">
        <f>IF($BG396="","",$BG396+ROTop)</f>
        <v/>
      </c>
      <c r="BJ396" s="52">
        <f>IF(OR(N($BC396)=0,$BA396=""),"",$BA396/$BC396-ClearDeduct)</f>
        <v/>
      </c>
      <c r="BK396" s="49">
        <f>IF(OR(N($BC396)=0,$BE396=""),"",IF(OR($AC396="HGC",$AP396="HGC"),"CONT",IF($BE396&lt;=60,2,IF($BE396&lt;=90,3,IF($BE396&lt;=120,4,5)))))</f>
        <v/>
      </c>
      <c r="BL396" s="49">
        <f>IF(N($BC396)=0,"",IF(OR($AL396="",$AL396="FLUSH"),"FLUSH",IFERROR(LEFT($AL396,FIND("-",$AL396)-1),LEFT($AL396,2))))</f>
        <v/>
      </c>
      <c r="BM396" s="49">
        <f>IF($BL396="","",IFERROR(VALUE(MID($AL396,FIND("-",$AL396)+1,FIND(CHAR(34)&amp;"x",$AL396)-FIND("-",$AL396)-1)),0))</f>
        <v/>
      </c>
      <c r="BN396" s="49">
        <f>IF($BL396="","",IFERROR(VALUE(MID($AL396,FIND(CHAR(34)&amp;"x",$AL396)+2,FIND(CHAR(34),$AL396,FIND(CHAR(34)&amp;"x",$AL396)+2)-FIND(CHAR(34)&amp;"x",$AL396)-2)),0))</f>
        <v/>
      </c>
      <c r="BO396" s="53">
        <f>IF(OR($A396="",$H396="",$H396="NO LAB"),0,IFERROR(VALUE(LEFT($H396,FIND(" ",$H396)-1)),0))</f>
        <v/>
      </c>
      <c r="BP396" s="54">
        <f>IF(OR($A396="",$I396="",$I396="NON-RATED",N($J396)=0),"",IFERROR(VLOOKUP($I396&amp;"|"&amp;$J396,IBC,2,FALSE),"?"))</f>
        <v/>
      </c>
      <c r="BQ396" s="50">
        <f>IF(NOT(AND($A396&lt;&gt;"",$C396&lt;&gt;"DOOR ONLY")),"",TRIM(IFERROR(VLOOKUP($U396,CODES,2,FALSE),"")&amp;" "&amp;$AZ396&amp;" "&amp;IFERROR(VLOOKUP($Z396,CODES,2,FALSE),"")&amp;" "&amp;IFERROR(VLOOKUP($X396,CODES,2,FALSE),"")&amp;" "&amp;IFERROR(VLOOKUP($S396,CODES,2,FALSE),"")&amp;IF(N($P396)&gt;0," w/TRANSOM "&amp;$P396&amp;CHAR(34),"")&amp;IF(N($Q396)&gt;0," w/SIDELITE "&amp;$Q396&amp;CHAR(34)&amp;" "&amp;IF($R396="","R",$R396),"")&amp;IF($Y396="","  |  "," | "&amp;IFERROR(VLOOKUP($Y396,CODES,2,FALSE),"")&amp;" | ")&amp;IFERROR(VLOOKUP($AC396,CODES,2,FALSE),"")&amp;" "&amp;IFERROR(VLOOKUP($AD396,CODES,2,FALSE),"")&amp;IF(OR($AE396="",$AE396="-"),""," "&amp;$AE396)&amp;IF(OR($AF396="",$AF396="-"),""," "&amp;$AF396)&amp;IF($AB396="Y"," 4"&amp;CHAR(34)&amp;" HEAD","")&amp;" "&amp;IFERROR(VLOOKUP($H396,CODES,2,FALSE),"")))</f>
        <v/>
      </c>
      <c r="BR396" s="50">
        <f>IF(NOT(AND($A396&lt;&gt;"",N($BC396)&gt;0)),"",TRIM(IFERROR(VLOOKUP($AH396,CODES,2,FALSE),"")&amp;IF($AI396=""," "," "&amp;$AI396&amp;"GA ")&amp;$AZ396&amp;" "&amp;IF($AN396="",IFERROR(VLOOKUP($Z396,CODES,2,FALSE),""),IFERROR(VLOOKUP($AN396,CODES,2,FALSE),""))&amp;IF($BC396=2," PAIR","")&amp;" DOOR | "&amp;IF($AL396="","?",$AL396)&amp;" | "&amp;IF($AP396="",IFERROR(VLOOKUP($AC396,CODES,2,FALSE),""),IFERROR(VLOOKUP($AP396,CODES,2,FALSE),""))&amp;" "&amp;IFERROR(VLOOKUP($AQ396,CODES,2,FALSE),"")&amp;IF(OR($AR396="",$AR396="-"),""," SEAM "&amp;$AR396)&amp;IF($AS396="Y"," ASTRAGAL","")&amp;IF($AJ396=""," "," "&amp;$AJ396)&amp;IF($AK396=""," "," "&amp;$AK396)&amp;IF($AO396="",""," "&amp;$AO396)&amp;IF($AM396=""," "," SERIES "&amp;$AM396)&amp;" "&amp;IFERROR(VLOOKUP($H396,CODES,2,FALSE),"")))</f>
        <v/>
      </c>
      <c r="BS396" s="49">
        <f>IF(BV396="","",IF(COUNTIF($BV$6:BV396,BV396)=1,MAX($BS$5:BS395)+1,INDEX($BS$5:BS395,MATCH(BV396,$BV$5:BV395,0))))</f>
        <v/>
      </c>
      <c r="BT396" s="49">
        <f>IF(NOT(AND($A396&lt;&gt;"",$C396&lt;&gt;"DOOR ONLY")),"",MAX($BT$5:BT395)+1)</f>
        <v/>
      </c>
      <c r="BU396" s="49">
        <f>IF(NOT(AND($A396&lt;&gt;"",N($BC396)&gt;0)),"",MAX($BU$5:BU395)+1)</f>
        <v/>
      </c>
      <c r="BV396" s="49">
        <f>IF(OR($A396="",$BA396="",$BB396=""),"",$AZ396&amp;"|"&amp;$O396&amp;"|"&amp;$AL396&amp;"|"&amp;$S396&amp;"|"&amp;$P396&amp;"|"&amp;$Q396&amp;$R396&amp;"|"&amp;$C396&amp;"|"&amp;$AB396)</f>
        <v/>
      </c>
      <c r="BW396" s="49">
        <f>IF($A396="","",IF($B396="","qty, ","")&amp;IF($C396="","scope, ","")&amp;IF(OR($K396="",$M396=""),"size, ","")&amp;IF(AND($A396&lt;&gt;"",$C396&lt;&gt;"DOOR ONLY"),IF($U396="","jamb depth, ","")&amp;IF($X396="","construction, ","")&amp;IF($Y396="","anchor, ","")&amp;IF($S396="","frame type, ",""),"")&amp;IF(AND(N($BC396)&gt;0,$Z396=""),"hand, ","")&amp;IF(N($BC396)&gt;0,IF($AH396="","door material, ","")&amp;IF($AL396="","face type, ","")&amp;IF($AQ396="","lock prep, ","")&amp;IF(AND($AP396="",$AC396=""),"hinge prep, ",""),"")&amp;IF(AND($BO396&gt;0,$AH396="FRP"),"FRP cannot carry a label, ","")&amp;IF(AND($O396="Y",OR($Z396="L",$Z396="R",$Z396="LR",$Z396="RR")),"pair marked but hand is single, ","")&amp;IF(AND($O396&lt;&gt;"Y",OR($Z396="PR",AND(LEN($Z396)&gt;1,ISNUMBER(SEARCH("-",$Z396))))),"pair hand on a single door, ","")&amp;IF(AND(ISNUMBER($BP396),$BO396&lt;N($BP396)),"wall needs a "&amp;$BP396&amp;" min door, ","")&amp;IF(AND($BO396&gt;=180,AND(OR($BL396="FG",$BL396="HG",$BL396="FNV",$BL396="FV"),N($BM396)*N($BN396)&gt;100)),"180 min lite over 100 sq in, ","")&amp;IF(N($BD396)&gt;48,"leaf wider than 4'-0"&amp;CHAR(34)&amp;", ",""))</f>
        <v/>
      </c>
      <c r="BX396" s="49">
        <f>IF($A396="","",IF(AND($BO396&gt;0,AND($A396&lt;&gt;"",$C396&lt;&gt;"DOOR ONLY"),$X396="KD",$E396="EXTERIOR"),"KD label on an exterior opening, ","")&amp;IF(AND($E396="EXTERIOR",OR(AND(AND($A396&lt;&gt;"",$C396&lt;&gt;"DOOR ONLY"),$W396="CR"),AND(N($BC396)&gt;0,$AH396="CR"))),"exterior in CR steel (G9?), ","")&amp;IF(AND(ISNUMBER($BJ396),N($BJ396)&lt;32),"clear width ~"&amp;TEXT($BJ396,"0.0")&amp;CHAR(34)&amp;" under 32"&amp;CHAR(34)&amp;" (ADA), ","")&amp;IF(AND($BO396=90,AND(OR($BL396="FG",$BL396="HG",$BL396="FNV",$BL396="FV"),N($BM396)*N($BN396)&gt;100)),"90 min lite over 100 sq in (stair/exit), ","")&amp;IF(AND($BO396&gt;0,AND($A396&lt;&gt;"",$C396&lt;&gt;"DOOR ONLY"),OR($AF396="",$AF396="-")),"rated: closer reinf.?, ","")&amp;IF(OR($I396="CORRIDOR",$I396="SMOKE BARRIER"),"S label + smoke gasketing, ","")&amp;IF($BP396="?","wall type/hr not in IBC table, ","")&amp;IF(AND(N($BC396)&gt;0,$AU396=""),"no hardware set, ","")&amp;IF(AND($AU396&lt;&gt;"",ISNA(MATCH($AU396,HWSets,0))),"set "&amp;$AU396&amp;" not on Hardware sheet, ","")&amp;IF(N($BE396)&gt;96,"leaf over 8'-0"&amp;CHAR(34)&amp;" - check listing, ",""))</f>
        <v/>
      </c>
    </row>
    <row r="397" ht="15" customHeight="1">
      <c r="A397" s="44" t="n"/>
      <c r="B397" s="45" t="n"/>
      <c r="C397" s="45" t="n"/>
      <c r="D397" s="45" t="n"/>
      <c r="E397" s="45" t="n"/>
      <c r="F397" s="45" t="n"/>
      <c r="G397" s="45" t="n"/>
      <c r="H397" s="45" t="n"/>
      <c r="I397" s="45" t="n"/>
      <c r="J397" s="45" t="n"/>
      <c r="K397" s="45" t="n"/>
      <c r="L397" s="45" t="n"/>
      <c r="M397" s="45" t="n"/>
      <c r="N397" s="45" t="n"/>
      <c r="O397" s="45" t="n"/>
      <c r="P397" s="45" t="n"/>
      <c r="Q397" s="45" t="n"/>
      <c r="R397" s="45" t="n"/>
      <c r="S397" s="46" t="n"/>
      <c r="T397" s="46" t="n"/>
      <c r="U397" s="46" t="n"/>
      <c r="V397" s="46" t="n"/>
      <c r="W397" s="46" t="n"/>
      <c r="X397" s="46" t="n"/>
      <c r="Y397" s="46" t="n"/>
      <c r="Z397" s="46" t="n"/>
      <c r="AA397" s="46" t="n"/>
      <c r="AB397" s="46" t="n"/>
      <c r="AC397" s="46" t="n"/>
      <c r="AD397" s="46" t="n"/>
      <c r="AE397" s="46" t="n"/>
      <c r="AF397" s="46" t="n"/>
      <c r="AG397" s="46" t="n"/>
      <c r="AH397" s="47" t="n"/>
      <c r="AI397" s="47" t="n"/>
      <c r="AJ397" s="47" t="n"/>
      <c r="AK397" s="47" t="n"/>
      <c r="AL397" s="47" t="n"/>
      <c r="AM397" s="47" t="n"/>
      <c r="AN397" s="47" t="n"/>
      <c r="AO397" s="47" t="n"/>
      <c r="AP397" s="47" t="n"/>
      <c r="AQ397" s="47" t="n"/>
      <c r="AR397" s="47" t="n"/>
      <c r="AS397" s="47" t="n"/>
      <c r="AT397" s="47" t="n"/>
      <c r="AU397" s="48" t="n"/>
      <c r="AV397" s="48" t="n"/>
      <c r="AW397" s="49">
        <f>IF($A397="","",IF($BW397&lt;&gt;"","FIX",IF($BX397&lt;&gt;"","CHECK","OK")))</f>
        <v/>
      </c>
      <c r="AX397" s="50">
        <f>IF($A397="","",IF($BW397&lt;&gt;"","FIX: "&amp;LEFT($BW397,LEN($BW397)-2)&amp;IF($BX397&lt;&gt;"","  ·  ",""),"")&amp;IF($BX397&lt;&gt;"","CHECK: "&amp;LEFT($BX397,LEN($BX397)-2),""))</f>
        <v/>
      </c>
      <c r="AY397" s="49">
        <f>IF(OR($A397="",$K397=""),"",$K397&amp;"'-"&amp;N($L397)&amp;CHAR(34)&amp;" x "&amp;$M397&amp;"'-"&amp;N($N397)&amp;CHAR(34))</f>
        <v/>
      </c>
      <c r="AZ397" s="49">
        <f>IF(OR($A397="",$K397=""),"",$K397&amp;N($L397)&amp;$M397&amp;N($N397))</f>
        <v/>
      </c>
      <c r="BA397" s="49">
        <f>IF(OR($A397="",$K397=""),"",$K397*12+N($L397))</f>
        <v/>
      </c>
      <c r="BB397" s="49">
        <f>IF(OR($A397="",$M397=""),"",$M397*12+N($N397))</f>
        <v/>
      </c>
      <c r="BC397" s="49">
        <f>IF($A397="","",IF(OR($C397="FRAME ONLY",$S397="BL"),0,IF($O397="Y",2,1)))</f>
        <v/>
      </c>
      <c r="BD397" s="51">
        <f>IF(OR(N($BC397)=0,$BA397=""),"",($BA397-2*EdgeClr-IF($BC397=2,MeetClr,0))/$BC397)</f>
        <v/>
      </c>
      <c r="BE397" s="51">
        <f>IF(OR(N($BC397)=0,$BB397=""),"",$BB397-HeadClr-Undercut)</f>
        <v/>
      </c>
      <c r="BF397" s="51">
        <f>IF($BA397="","",$BA397+2*FaceW+IF(N($Q397)&gt;0,($Q397+FaceW)*IF($R397="LR",2,1),0))</f>
        <v/>
      </c>
      <c r="BG397" s="51">
        <f>IF($BB397="","",$BB397+IF($AB397="Y",4,FaceW)+IF(N($P397)&gt;0,$P397+FaceW,0)+IF(OR($S397="4F",$S397="BL"),FaceW,0))</f>
        <v/>
      </c>
      <c r="BH397" s="51">
        <f>IF($BF397="","",$BF397+2*ROSide)</f>
        <v/>
      </c>
      <c r="BI397" s="51">
        <f>IF($BG397="","",$BG397+ROTop)</f>
        <v/>
      </c>
      <c r="BJ397" s="52">
        <f>IF(OR(N($BC397)=0,$BA397=""),"",$BA397/$BC397-ClearDeduct)</f>
        <v/>
      </c>
      <c r="BK397" s="49">
        <f>IF(OR(N($BC397)=0,$BE397=""),"",IF(OR($AC397="HGC",$AP397="HGC"),"CONT",IF($BE397&lt;=60,2,IF($BE397&lt;=90,3,IF($BE397&lt;=120,4,5)))))</f>
        <v/>
      </c>
      <c r="BL397" s="49">
        <f>IF(N($BC397)=0,"",IF(OR($AL397="",$AL397="FLUSH"),"FLUSH",IFERROR(LEFT($AL397,FIND("-",$AL397)-1),LEFT($AL397,2))))</f>
        <v/>
      </c>
      <c r="BM397" s="49">
        <f>IF($BL397="","",IFERROR(VALUE(MID($AL397,FIND("-",$AL397)+1,FIND(CHAR(34)&amp;"x",$AL397)-FIND("-",$AL397)-1)),0))</f>
        <v/>
      </c>
      <c r="BN397" s="49">
        <f>IF($BL397="","",IFERROR(VALUE(MID($AL397,FIND(CHAR(34)&amp;"x",$AL397)+2,FIND(CHAR(34),$AL397,FIND(CHAR(34)&amp;"x",$AL397)+2)-FIND(CHAR(34)&amp;"x",$AL397)-2)),0))</f>
        <v/>
      </c>
      <c r="BO397" s="53">
        <f>IF(OR($A397="",$H397="",$H397="NO LAB"),0,IFERROR(VALUE(LEFT($H397,FIND(" ",$H397)-1)),0))</f>
        <v/>
      </c>
      <c r="BP397" s="54">
        <f>IF(OR($A397="",$I397="",$I397="NON-RATED",N($J397)=0),"",IFERROR(VLOOKUP($I397&amp;"|"&amp;$J397,IBC,2,FALSE),"?"))</f>
        <v/>
      </c>
      <c r="BQ397" s="50">
        <f>IF(NOT(AND($A397&lt;&gt;"",$C397&lt;&gt;"DOOR ONLY")),"",TRIM(IFERROR(VLOOKUP($U397,CODES,2,FALSE),"")&amp;" "&amp;$AZ397&amp;" "&amp;IFERROR(VLOOKUP($Z397,CODES,2,FALSE),"")&amp;" "&amp;IFERROR(VLOOKUP($X397,CODES,2,FALSE),"")&amp;" "&amp;IFERROR(VLOOKUP($S397,CODES,2,FALSE),"")&amp;IF(N($P397)&gt;0," w/TRANSOM "&amp;$P397&amp;CHAR(34),"")&amp;IF(N($Q397)&gt;0," w/SIDELITE "&amp;$Q397&amp;CHAR(34)&amp;" "&amp;IF($R397="","R",$R397),"")&amp;IF($Y397="","  |  "," | "&amp;IFERROR(VLOOKUP($Y397,CODES,2,FALSE),"")&amp;" | ")&amp;IFERROR(VLOOKUP($AC397,CODES,2,FALSE),"")&amp;" "&amp;IFERROR(VLOOKUP($AD397,CODES,2,FALSE),"")&amp;IF(OR($AE397="",$AE397="-"),""," "&amp;$AE397)&amp;IF(OR($AF397="",$AF397="-"),""," "&amp;$AF397)&amp;IF($AB397="Y"," 4"&amp;CHAR(34)&amp;" HEAD","")&amp;" "&amp;IFERROR(VLOOKUP($H397,CODES,2,FALSE),"")))</f>
        <v/>
      </c>
      <c r="BR397" s="50">
        <f>IF(NOT(AND($A397&lt;&gt;"",N($BC397)&gt;0)),"",TRIM(IFERROR(VLOOKUP($AH397,CODES,2,FALSE),"")&amp;IF($AI397=""," "," "&amp;$AI397&amp;"GA ")&amp;$AZ397&amp;" "&amp;IF($AN397="",IFERROR(VLOOKUP($Z397,CODES,2,FALSE),""),IFERROR(VLOOKUP($AN397,CODES,2,FALSE),""))&amp;IF($BC397=2," PAIR","")&amp;" DOOR | "&amp;IF($AL397="","?",$AL397)&amp;" | "&amp;IF($AP397="",IFERROR(VLOOKUP($AC397,CODES,2,FALSE),""),IFERROR(VLOOKUP($AP397,CODES,2,FALSE),""))&amp;" "&amp;IFERROR(VLOOKUP($AQ397,CODES,2,FALSE),"")&amp;IF(OR($AR397="",$AR397="-"),""," SEAM "&amp;$AR397)&amp;IF($AS397="Y"," ASTRAGAL","")&amp;IF($AJ397=""," "," "&amp;$AJ397)&amp;IF($AK397=""," "," "&amp;$AK397)&amp;IF($AO397="",""," "&amp;$AO397)&amp;IF($AM397=""," "," SERIES "&amp;$AM397)&amp;" "&amp;IFERROR(VLOOKUP($H397,CODES,2,FALSE),"")))</f>
        <v/>
      </c>
      <c r="BS397" s="49">
        <f>IF(BV397="","",IF(COUNTIF($BV$6:BV397,BV397)=1,MAX($BS$5:BS396)+1,INDEX($BS$5:BS396,MATCH(BV397,$BV$5:BV396,0))))</f>
        <v/>
      </c>
      <c r="BT397" s="49">
        <f>IF(NOT(AND($A397&lt;&gt;"",$C397&lt;&gt;"DOOR ONLY")),"",MAX($BT$5:BT396)+1)</f>
        <v/>
      </c>
      <c r="BU397" s="49">
        <f>IF(NOT(AND($A397&lt;&gt;"",N($BC397)&gt;0)),"",MAX($BU$5:BU396)+1)</f>
        <v/>
      </c>
      <c r="BV397" s="49">
        <f>IF(OR($A397="",$BA397="",$BB397=""),"",$AZ397&amp;"|"&amp;$O397&amp;"|"&amp;$AL397&amp;"|"&amp;$S397&amp;"|"&amp;$P397&amp;"|"&amp;$Q397&amp;$R397&amp;"|"&amp;$C397&amp;"|"&amp;$AB397)</f>
        <v/>
      </c>
      <c r="BW397" s="49">
        <f>IF($A397="","",IF($B397="","qty, ","")&amp;IF($C397="","scope, ","")&amp;IF(OR($K397="",$M397=""),"size, ","")&amp;IF(AND($A397&lt;&gt;"",$C397&lt;&gt;"DOOR ONLY"),IF($U397="","jamb depth, ","")&amp;IF($X397="","construction, ","")&amp;IF($Y397="","anchor, ","")&amp;IF($S397="","frame type, ",""),"")&amp;IF(AND(N($BC397)&gt;0,$Z397=""),"hand, ","")&amp;IF(N($BC397)&gt;0,IF($AH397="","door material, ","")&amp;IF($AL397="","face type, ","")&amp;IF($AQ397="","lock prep, ","")&amp;IF(AND($AP397="",$AC397=""),"hinge prep, ",""),"")&amp;IF(AND($BO397&gt;0,$AH397="FRP"),"FRP cannot carry a label, ","")&amp;IF(AND($O397="Y",OR($Z397="L",$Z397="R",$Z397="LR",$Z397="RR")),"pair marked but hand is single, ","")&amp;IF(AND($O397&lt;&gt;"Y",OR($Z397="PR",AND(LEN($Z397)&gt;1,ISNUMBER(SEARCH("-",$Z397))))),"pair hand on a single door, ","")&amp;IF(AND(ISNUMBER($BP397),$BO397&lt;N($BP397)),"wall needs a "&amp;$BP397&amp;" min door, ","")&amp;IF(AND($BO397&gt;=180,AND(OR($BL397="FG",$BL397="HG",$BL397="FNV",$BL397="FV"),N($BM397)*N($BN397)&gt;100)),"180 min lite over 100 sq in, ","")&amp;IF(N($BD397)&gt;48,"leaf wider than 4'-0"&amp;CHAR(34)&amp;", ",""))</f>
        <v/>
      </c>
      <c r="BX397" s="49">
        <f>IF($A397="","",IF(AND($BO397&gt;0,AND($A397&lt;&gt;"",$C397&lt;&gt;"DOOR ONLY"),$X397="KD",$E397="EXTERIOR"),"KD label on an exterior opening, ","")&amp;IF(AND($E397="EXTERIOR",OR(AND(AND($A397&lt;&gt;"",$C397&lt;&gt;"DOOR ONLY"),$W397="CR"),AND(N($BC397)&gt;0,$AH397="CR"))),"exterior in CR steel (G9?), ","")&amp;IF(AND(ISNUMBER($BJ397),N($BJ397)&lt;32),"clear width ~"&amp;TEXT($BJ397,"0.0")&amp;CHAR(34)&amp;" under 32"&amp;CHAR(34)&amp;" (ADA), ","")&amp;IF(AND($BO397=90,AND(OR($BL397="FG",$BL397="HG",$BL397="FNV",$BL397="FV"),N($BM397)*N($BN397)&gt;100)),"90 min lite over 100 sq in (stair/exit), ","")&amp;IF(AND($BO397&gt;0,AND($A397&lt;&gt;"",$C397&lt;&gt;"DOOR ONLY"),OR($AF397="",$AF397="-")),"rated: closer reinf.?, ","")&amp;IF(OR($I397="CORRIDOR",$I397="SMOKE BARRIER"),"S label + smoke gasketing, ","")&amp;IF($BP397="?","wall type/hr not in IBC table, ","")&amp;IF(AND(N($BC397)&gt;0,$AU397=""),"no hardware set, ","")&amp;IF(AND($AU397&lt;&gt;"",ISNA(MATCH($AU397,HWSets,0))),"set "&amp;$AU397&amp;" not on Hardware sheet, ","")&amp;IF(N($BE397)&gt;96,"leaf over 8'-0"&amp;CHAR(34)&amp;" - check listing, ",""))</f>
        <v/>
      </c>
    </row>
    <row r="398" ht="15" customHeight="1">
      <c r="A398" s="44" t="n"/>
      <c r="B398" s="45" t="n"/>
      <c r="C398" s="45" t="n"/>
      <c r="D398" s="45" t="n"/>
      <c r="E398" s="45" t="n"/>
      <c r="F398" s="45" t="n"/>
      <c r="G398" s="45" t="n"/>
      <c r="H398" s="45" t="n"/>
      <c r="I398" s="45" t="n"/>
      <c r="J398" s="45" t="n"/>
      <c r="K398" s="45" t="n"/>
      <c r="L398" s="45" t="n"/>
      <c r="M398" s="45" t="n"/>
      <c r="N398" s="45" t="n"/>
      <c r="O398" s="45" t="n"/>
      <c r="P398" s="45" t="n"/>
      <c r="Q398" s="45" t="n"/>
      <c r="R398" s="45" t="n"/>
      <c r="S398" s="46" t="n"/>
      <c r="T398" s="46" t="n"/>
      <c r="U398" s="46" t="n"/>
      <c r="V398" s="46" t="n"/>
      <c r="W398" s="46" t="n"/>
      <c r="X398" s="46" t="n"/>
      <c r="Y398" s="46" t="n"/>
      <c r="Z398" s="46" t="n"/>
      <c r="AA398" s="46" t="n"/>
      <c r="AB398" s="46" t="n"/>
      <c r="AC398" s="46" t="n"/>
      <c r="AD398" s="46" t="n"/>
      <c r="AE398" s="46" t="n"/>
      <c r="AF398" s="46" t="n"/>
      <c r="AG398" s="46" t="n"/>
      <c r="AH398" s="47" t="n"/>
      <c r="AI398" s="47" t="n"/>
      <c r="AJ398" s="47" t="n"/>
      <c r="AK398" s="47" t="n"/>
      <c r="AL398" s="47" t="n"/>
      <c r="AM398" s="47" t="n"/>
      <c r="AN398" s="47" t="n"/>
      <c r="AO398" s="47" t="n"/>
      <c r="AP398" s="47" t="n"/>
      <c r="AQ398" s="47" t="n"/>
      <c r="AR398" s="47" t="n"/>
      <c r="AS398" s="47" t="n"/>
      <c r="AT398" s="47" t="n"/>
      <c r="AU398" s="48" t="n"/>
      <c r="AV398" s="48" t="n"/>
      <c r="AW398" s="49">
        <f>IF($A398="","",IF($BW398&lt;&gt;"","FIX",IF($BX398&lt;&gt;"","CHECK","OK")))</f>
        <v/>
      </c>
      <c r="AX398" s="50">
        <f>IF($A398="","",IF($BW398&lt;&gt;"","FIX: "&amp;LEFT($BW398,LEN($BW398)-2)&amp;IF($BX398&lt;&gt;"","  ·  ",""),"")&amp;IF($BX398&lt;&gt;"","CHECK: "&amp;LEFT($BX398,LEN($BX398)-2),""))</f>
        <v/>
      </c>
      <c r="AY398" s="49">
        <f>IF(OR($A398="",$K398=""),"",$K398&amp;"'-"&amp;N($L398)&amp;CHAR(34)&amp;" x "&amp;$M398&amp;"'-"&amp;N($N398)&amp;CHAR(34))</f>
        <v/>
      </c>
      <c r="AZ398" s="49">
        <f>IF(OR($A398="",$K398=""),"",$K398&amp;N($L398)&amp;$M398&amp;N($N398))</f>
        <v/>
      </c>
      <c r="BA398" s="49">
        <f>IF(OR($A398="",$K398=""),"",$K398*12+N($L398))</f>
        <v/>
      </c>
      <c r="BB398" s="49">
        <f>IF(OR($A398="",$M398=""),"",$M398*12+N($N398))</f>
        <v/>
      </c>
      <c r="BC398" s="49">
        <f>IF($A398="","",IF(OR($C398="FRAME ONLY",$S398="BL"),0,IF($O398="Y",2,1)))</f>
        <v/>
      </c>
      <c r="BD398" s="51">
        <f>IF(OR(N($BC398)=0,$BA398=""),"",($BA398-2*EdgeClr-IF($BC398=2,MeetClr,0))/$BC398)</f>
        <v/>
      </c>
      <c r="BE398" s="51">
        <f>IF(OR(N($BC398)=0,$BB398=""),"",$BB398-HeadClr-Undercut)</f>
        <v/>
      </c>
      <c r="BF398" s="51">
        <f>IF($BA398="","",$BA398+2*FaceW+IF(N($Q398)&gt;0,($Q398+FaceW)*IF($R398="LR",2,1),0))</f>
        <v/>
      </c>
      <c r="BG398" s="51">
        <f>IF($BB398="","",$BB398+IF($AB398="Y",4,FaceW)+IF(N($P398)&gt;0,$P398+FaceW,0)+IF(OR($S398="4F",$S398="BL"),FaceW,0))</f>
        <v/>
      </c>
      <c r="BH398" s="51">
        <f>IF($BF398="","",$BF398+2*ROSide)</f>
        <v/>
      </c>
      <c r="BI398" s="51">
        <f>IF($BG398="","",$BG398+ROTop)</f>
        <v/>
      </c>
      <c r="BJ398" s="52">
        <f>IF(OR(N($BC398)=0,$BA398=""),"",$BA398/$BC398-ClearDeduct)</f>
        <v/>
      </c>
      <c r="BK398" s="49">
        <f>IF(OR(N($BC398)=0,$BE398=""),"",IF(OR($AC398="HGC",$AP398="HGC"),"CONT",IF($BE398&lt;=60,2,IF($BE398&lt;=90,3,IF($BE398&lt;=120,4,5)))))</f>
        <v/>
      </c>
      <c r="BL398" s="49">
        <f>IF(N($BC398)=0,"",IF(OR($AL398="",$AL398="FLUSH"),"FLUSH",IFERROR(LEFT($AL398,FIND("-",$AL398)-1),LEFT($AL398,2))))</f>
        <v/>
      </c>
      <c r="BM398" s="49">
        <f>IF($BL398="","",IFERROR(VALUE(MID($AL398,FIND("-",$AL398)+1,FIND(CHAR(34)&amp;"x",$AL398)-FIND("-",$AL398)-1)),0))</f>
        <v/>
      </c>
      <c r="BN398" s="49">
        <f>IF($BL398="","",IFERROR(VALUE(MID($AL398,FIND(CHAR(34)&amp;"x",$AL398)+2,FIND(CHAR(34),$AL398,FIND(CHAR(34)&amp;"x",$AL398)+2)-FIND(CHAR(34)&amp;"x",$AL398)-2)),0))</f>
        <v/>
      </c>
      <c r="BO398" s="53">
        <f>IF(OR($A398="",$H398="",$H398="NO LAB"),0,IFERROR(VALUE(LEFT($H398,FIND(" ",$H398)-1)),0))</f>
        <v/>
      </c>
      <c r="BP398" s="54">
        <f>IF(OR($A398="",$I398="",$I398="NON-RATED",N($J398)=0),"",IFERROR(VLOOKUP($I398&amp;"|"&amp;$J398,IBC,2,FALSE),"?"))</f>
        <v/>
      </c>
      <c r="BQ398" s="50">
        <f>IF(NOT(AND($A398&lt;&gt;"",$C398&lt;&gt;"DOOR ONLY")),"",TRIM(IFERROR(VLOOKUP($U398,CODES,2,FALSE),"")&amp;" "&amp;$AZ398&amp;" "&amp;IFERROR(VLOOKUP($Z398,CODES,2,FALSE),"")&amp;" "&amp;IFERROR(VLOOKUP($X398,CODES,2,FALSE),"")&amp;" "&amp;IFERROR(VLOOKUP($S398,CODES,2,FALSE),"")&amp;IF(N($P398)&gt;0," w/TRANSOM "&amp;$P398&amp;CHAR(34),"")&amp;IF(N($Q398)&gt;0," w/SIDELITE "&amp;$Q398&amp;CHAR(34)&amp;" "&amp;IF($R398="","R",$R398),"")&amp;IF($Y398="","  |  "," | "&amp;IFERROR(VLOOKUP($Y398,CODES,2,FALSE),"")&amp;" | ")&amp;IFERROR(VLOOKUP($AC398,CODES,2,FALSE),"")&amp;" "&amp;IFERROR(VLOOKUP($AD398,CODES,2,FALSE),"")&amp;IF(OR($AE398="",$AE398="-"),""," "&amp;$AE398)&amp;IF(OR($AF398="",$AF398="-"),""," "&amp;$AF398)&amp;IF($AB398="Y"," 4"&amp;CHAR(34)&amp;" HEAD","")&amp;" "&amp;IFERROR(VLOOKUP($H398,CODES,2,FALSE),"")))</f>
        <v/>
      </c>
      <c r="BR398" s="50">
        <f>IF(NOT(AND($A398&lt;&gt;"",N($BC398)&gt;0)),"",TRIM(IFERROR(VLOOKUP($AH398,CODES,2,FALSE),"")&amp;IF($AI398=""," "," "&amp;$AI398&amp;"GA ")&amp;$AZ398&amp;" "&amp;IF($AN398="",IFERROR(VLOOKUP($Z398,CODES,2,FALSE),""),IFERROR(VLOOKUP($AN398,CODES,2,FALSE),""))&amp;IF($BC398=2," PAIR","")&amp;" DOOR | "&amp;IF($AL398="","?",$AL398)&amp;" | "&amp;IF($AP398="",IFERROR(VLOOKUP($AC398,CODES,2,FALSE),""),IFERROR(VLOOKUP($AP398,CODES,2,FALSE),""))&amp;" "&amp;IFERROR(VLOOKUP($AQ398,CODES,2,FALSE),"")&amp;IF(OR($AR398="",$AR398="-"),""," SEAM "&amp;$AR398)&amp;IF($AS398="Y"," ASTRAGAL","")&amp;IF($AJ398=""," "," "&amp;$AJ398)&amp;IF($AK398=""," "," "&amp;$AK398)&amp;IF($AO398="",""," "&amp;$AO398)&amp;IF($AM398=""," "," SERIES "&amp;$AM398)&amp;" "&amp;IFERROR(VLOOKUP($H398,CODES,2,FALSE),"")))</f>
        <v/>
      </c>
      <c r="BS398" s="49">
        <f>IF(BV398="","",IF(COUNTIF($BV$6:BV398,BV398)=1,MAX($BS$5:BS397)+1,INDEX($BS$5:BS397,MATCH(BV398,$BV$5:BV397,0))))</f>
        <v/>
      </c>
      <c r="BT398" s="49">
        <f>IF(NOT(AND($A398&lt;&gt;"",$C398&lt;&gt;"DOOR ONLY")),"",MAX($BT$5:BT397)+1)</f>
        <v/>
      </c>
      <c r="BU398" s="49">
        <f>IF(NOT(AND($A398&lt;&gt;"",N($BC398)&gt;0)),"",MAX($BU$5:BU397)+1)</f>
        <v/>
      </c>
      <c r="BV398" s="49">
        <f>IF(OR($A398="",$BA398="",$BB398=""),"",$AZ398&amp;"|"&amp;$O398&amp;"|"&amp;$AL398&amp;"|"&amp;$S398&amp;"|"&amp;$P398&amp;"|"&amp;$Q398&amp;$R398&amp;"|"&amp;$C398&amp;"|"&amp;$AB398)</f>
        <v/>
      </c>
      <c r="BW398" s="49">
        <f>IF($A398="","",IF($B398="","qty, ","")&amp;IF($C398="","scope, ","")&amp;IF(OR($K398="",$M398=""),"size, ","")&amp;IF(AND($A398&lt;&gt;"",$C398&lt;&gt;"DOOR ONLY"),IF($U398="","jamb depth, ","")&amp;IF($X398="","construction, ","")&amp;IF($Y398="","anchor, ","")&amp;IF($S398="","frame type, ",""),"")&amp;IF(AND(N($BC398)&gt;0,$Z398=""),"hand, ","")&amp;IF(N($BC398)&gt;0,IF($AH398="","door material, ","")&amp;IF($AL398="","face type, ","")&amp;IF($AQ398="","lock prep, ","")&amp;IF(AND($AP398="",$AC398=""),"hinge prep, ",""),"")&amp;IF(AND($BO398&gt;0,$AH398="FRP"),"FRP cannot carry a label, ","")&amp;IF(AND($O398="Y",OR($Z398="L",$Z398="R",$Z398="LR",$Z398="RR")),"pair marked but hand is single, ","")&amp;IF(AND($O398&lt;&gt;"Y",OR($Z398="PR",AND(LEN($Z398)&gt;1,ISNUMBER(SEARCH("-",$Z398))))),"pair hand on a single door, ","")&amp;IF(AND(ISNUMBER($BP398),$BO398&lt;N($BP398)),"wall needs a "&amp;$BP398&amp;" min door, ","")&amp;IF(AND($BO398&gt;=180,AND(OR($BL398="FG",$BL398="HG",$BL398="FNV",$BL398="FV"),N($BM398)*N($BN398)&gt;100)),"180 min lite over 100 sq in, ","")&amp;IF(N($BD398)&gt;48,"leaf wider than 4'-0"&amp;CHAR(34)&amp;", ",""))</f>
        <v/>
      </c>
      <c r="BX398" s="49">
        <f>IF($A398="","",IF(AND($BO398&gt;0,AND($A398&lt;&gt;"",$C398&lt;&gt;"DOOR ONLY"),$X398="KD",$E398="EXTERIOR"),"KD label on an exterior opening, ","")&amp;IF(AND($E398="EXTERIOR",OR(AND(AND($A398&lt;&gt;"",$C398&lt;&gt;"DOOR ONLY"),$W398="CR"),AND(N($BC398)&gt;0,$AH398="CR"))),"exterior in CR steel (G9?), ","")&amp;IF(AND(ISNUMBER($BJ398),N($BJ398)&lt;32),"clear width ~"&amp;TEXT($BJ398,"0.0")&amp;CHAR(34)&amp;" under 32"&amp;CHAR(34)&amp;" (ADA), ","")&amp;IF(AND($BO398=90,AND(OR($BL398="FG",$BL398="HG",$BL398="FNV",$BL398="FV"),N($BM398)*N($BN398)&gt;100)),"90 min lite over 100 sq in (stair/exit), ","")&amp;IF(AND($BO398&gt;0,AND($A398&lt;&gt;"",$C398&lt;&gt;"DOOR ONLY"),OR($AF398="",$AF398="-")),"rated: closer reinf.?, ","")&amp;IF(OR($I398="CORRIDOR",$I398="SMOKE BARRIER"),"S label + smoke gasketing, ","")&amp;IF($BP398="?","wall type/hr not in IBC table, ","")&amp;IF(AND(N($BC398)&gt;0,$AU398=""),"no hardware set, ","")&amp;IF(AND($AU398&lt;&gt;"",ISNA(MATCH($AU398,HWSets,0))),"set "&amp;$AU398&amp;" not on Hardware sheet, ","")&amp;IF(N($BE398)&gt;96,"leaf over 8'-0"&amp;CHAR(34)&amp;" - check listing, ",""))</f>
        <v/>
      </c>
    </row>
    <row r="399" ht="15" customHeight="1">
      <c r="A399" s="44" t="n"/>
      <c r="B399" s="45" t="n"/>
      <c r="C399" s="45" t="n"/>
      <c r="D399" s="45" t="n"/>
      <c r="E399" s="45" t="n"/>
      <c r="F399" s="45" t="n"/>
      <c r="G399" s="45" t="n"/>
      <c r="H399" s="45" t="n"/>
      <c r="I399" s="45" t="n"/>
      <c r="J399" s="45" t="n"/>
      <c r="K399" s="45" t="n"/>
      <c r="L399" s="45" t="n"/>
      <c r="M399" s="45" t="n"/>
      <c r="N399" s="45" t="n"/>
      <c r="O399" s="45" t="n"/>
      <c r="P399" s="45" t="n"/>
      <c r="Q399" s="45" t="n"/>
      <c r="R399" s="45" t="n"/>
      <c r="S399" s="46" t="n"/>
      <c r="T399" s="46" t="n"/>
      <c r="U399" s="46" t="n"/>
      <c r="V399" s="46" t="n"/>
      <c r="W399" s="46" t="n"/>
      <c r="X399" s="46" t="n"/>
      <c r="Y399" s="46" t="n"/>
      <c r="Z399" s="46" t="n"/>
      <c r="AA399" s="46" t="n"/>
      <c r="AB399" s="46" t="n"/>
      <c r="AC399" s="46" t="n"/>
      <c r="AD399" s="46" t="n"/>
      <c r="AE399" s="46" t="n"/>
      <c r="AF399" s="46" t="n"/>
      <c r="AG399" s="46" t="n"/>
      <c r="AH399" s="47" t="n"/>
      <c r="AI399" s="47" t="n"/>
      <c r="AJ399" s="47" t="n"/>
      <c r="AK399" s="47" t="n"/>
      <c r="AL399" s="47" t="n"/>
      <c r="AM399" s="47" t="n"/>
      <c r="AN399" s="47" t="n"/>
      <c r="AO399" s="47" t="n"/>
      <c r="AP399" s="47" t="n"/>
      <c r="AQ399" s="47" t="n"/>
      <c r="AR399" s="47" t="n"/>
      <c r="AS399" s="47" t="n"/>
      <c r="AT399" s="47" t="n"/>
      <c r="AU399" s="48" t="n"/>
      <c r="AV399" s="48" t="n"/>
      <c r="AW399" s="49">
        <f>IF($A399="","",IF($BW399&lt;&gt;"","FIX",IF($BX399&lt;&gt;"","CHECK","OK")))</f>
        <v/>
      </c>
      <c r="AX399" s="50">
        <f>IF($A399="","",IF($BW399&lt;&gt;"","FIX: "&amp;LEFT($BW399,LEN($BW399)-2)&amp;IF($BX399&lt;&gt;"","  ·  ",""),"")&amp;IF($BX399&lt;&gt;"","CHECK: "&amp;LEFT($BX399,LEN($BX399)-2),""))</f>
        <v/>
      </c>
      <c r="AY399" s="49">
        <f>IF(OR($A399="",$K399=""),"",$K399&amp;"'-"&amp;N($L399)&amp;CHAR(34)&amp;" x "&amp;$M399&amp;"'-"&amp;N($N399)&amp;CHAR(34))</f>
        <v/>
      </c>
      <c r="AZ399" s="49">
        <f>IF(OR($A399="",$K399=""),"",$K399&amp;N($L399)&amp;$M399&amp;N($N399))</f>
        <v/>
      </c>
      <c r="BA399" s="49">
        <f>IF(OR($A399="",$K399=""),"",$K399*12+N($L399))</f>
        <v/>
      </c>
      <c r="BB399" s="49">
        <f>IF(OR($A399="",$M399=""),"",$M399*12+N($N399))</f>
        <v/>
      </c>
      <c r="BC399" s="49">
        <f>IF($A399="","",IF(OR($C399="FRAME ONLY",$S399="BL"),0,IF($O399="Y",2,1)))</f>
        <v/>
      </c>
      <c r="BD399" s="51">
        <f>IF(OR(N($BC399)=0,$BA399=""),"",($BA399-2*EdgeClr-IF($BC399=2,MeetClr,0))/$BC399)</f>
        <v/>
      </c>
      <c r="BE399" s="51">
        <f>IF(OR(N($BC399)=0,$BB399=""),"",$BB399-HeadClr-Undercut)</f>
        <v/>
      </c>
      <c r="BF399" s="51">
        <f>IF($BA399="","",$BA399+2*FaceW+IF(N($Q399)&gt;0,($Q399+FaceW)*IF($R399="LR",2,1),0))</f>
        <v/>
      </c>
      <c r="BG399" s="51">
        <f>IF($BB399="","",$BB399+IF($AB399="Y",4,FaceW)+IF(N($P399)&gt;0,$P399+FaceW,0)+IF(OR($S399="4F",$S399="BL"),FaceW,0))</f>
        <v/>
      </c>
      <c r="BH399" s="51">
        <f>IF($BF399="","",$BF399+2*ROSide)</f>
        <v/>
      </c>
      <c r="BI399" s="51">
        <f>IF($BG399="","",$BG399+ROTop)</f>
        <v/>
      </c>
      <c r="BJ399" s="52">
        <f>IF(OR(N($BC399)=0,$BA399=""),"",$BA399/$BC399-ClearDeduct)</f>
        <v/>
      </c>
      <c r="BK399" s="49">
        <f>IF(OR(N($BC399)=0,$BE399=""),"",IF(OR($AC399="HGC",$AP399="HGC"),"CONT",IF($BE399&lt;=60,2,IF($BE399&lt;=90,3,IF($BE399&lt;=120,4,5)))))</f>
        <v/>
      </c>
      <c r="BL399" s="49">
        <f>IF(N($BC399)=0,"",IF(OR($AL399="",$AL399="FLUSH"),"FLUSH",IFERROR(LEFT($AL399,FIND("-",$AL399)-1),LEFT($AL399,2))))</f>
        <v/>
      </c>
      <c r="BM399" s="49">
        <f>IF($BL399="","",IFERROR(VALUE(MID($AL399,FIND("-",$AL399)+1,FIND(CHAR(34)&amp;"x",$AL399)-FIND("-",$AL399)-1)),0))</f>
        <v/>
      </c>
      <c r="BN399" s="49">
        <f>IF($BL399="","",IFERROR(VALUE(MID($AL399,FIND(CHAR(34)&amp;"x",$AL399)+2,FIND(CHAR(34),$AL399,FIND(CHAR(34)&amp;"x",$AL399)+2)-FIND(CHAR(34)&amp;"x",$AL399)-2)),0))</f>
        <v/>
      </c>
      <c r="BO399" s="53">
        <f>IF(OR($A399="",$H399="",$H399="NO LAB"),0,IFERROR(VALUE(LEFT($H399,FIND(" ",$H399)-1)),0))</f>
        <v/>
      </c>
      <c r="BP399" s="54">
        <f>IF(OR($A399="",$I399="",$I399="NON-RATED",N($J399)=0),"",IFERROR(VLOOKUP($I399&amp;"|"&amp;$J399,IBC,2,FALSE),"?"))</f>
        <v/>
      </c>
      <c r="BQ399" s="50">
        <f>IF(NOT(AND($A399&lt;&gt;"",$C399&lt;&gt;"DOOR ONLY")),"",TRIM(IFERROR(VLOOKUP($U399,CODES,2,FALSE),"")&amp;" "&amp;$AZ399&amp;" "&amp;IFERROR(VLOOKUP($Z399,CODES,2,FALSE),"")&amp;" "&amp;IFERROR(VLOOKUP($X399,CODES,2,FALSE),"")&amp;" "&amp;IFERROR(VLOOKUP($S399,CODES,2,FALSE),"")&amp;IF(N($P399)&gt;0," w/TRANSOM "&amp;$P399&amp;CHAR(34),"")&amp;IF(N($Q399)&gt;0," w/SIDELITE "&amp;$Q399&amp;CHAR(34)&amp;" "&amp;IF($R399="","R",$R399),"")&amp;IF($Y399="","  |  "," | "&amp;IFERROR(VLOOKUP($Y399,CODES,2,FALSE),"")&amp;" | ")&amp;IFERROR(VLOOKUP($AC399,CODES,2,FALSE),"")&amp;" "&amp;IFERROR(VLOOKUP($AD399,CODES,2,FALSE),"")&amp;IF(OR($AE399="",$AE399="-"),""," "&amp;$AE399)&amp;IF(OR($AF399="",$AF399="-"),""," "&amp;$AF399)&amp;IF($AB399="Y"," 4"&amp;CHAR(34)&amp;" HEAD","")&amp;" "&amp;IFERROR(VLOOKUP($H399,CODES,2,FALSE),"")))</f>
        <v/>
      </c>
      <c r="BR399" s="50">
        <f>IF(NOT(AND($A399&lt;&gt;"",N($BC399)&gt;0)),"",TRIM(IFERROR(VLOOKUP($AH399,CODES,2,FALSE),"")&amp;IF($AI399=""," "," "&amp;$AI399&amp;"GA ")&amp;$AZ399&amp;" "&amp;IF($AN399="",IFERROR(VLOOKUP($Z399,CODES,2,FALSE),""),IFERROR(VLOOKUP($AN399,CODES,2,FALSE),""))&amp;IF($BC399=2," PAIR","")&amp;" DOOR | "&amp;IF($AL399="","?",$AL399)&amp;" | "&amp;IF($AP399="",IFERROR(VLOOKUP($AC399,CODES,2,FALSE),""),IFERROR(VLOOKUP($AP399,CODES,2,FALSE),""))&amp;" "&amp;IFERROR(VLOOKUP($AQ399,CODES,2,FALSE),"")&amp;IF(OR($AR399="",$AR399="-"),""," SEAM "&amp;$AR399)&amp;IF($AS399="Y"," ASTRAGAL","")&amp;IF($AJ399=""," "," "&amp;$AJ399)&amp;IF($AK399=""," "," "&amp;$AK399)&amp;IF($AO399="",""," "&amp;$AO399)&amp;IF($AM399=""," "," SERIES "&amp;$AM399)&amp;" "&amp;IFERROR(VLOOKUP($H399,CODES,2,FALSE),"")))</f>
        <v/>
      </c>
      <c r="BS399" s="49">
        <f>IF(BV399="","",IF(COUNTIF($BV$6:BV399,BV399)=1,MAX($BS$5:BS398)+1,INDEX($BS$5:BS398,MATCH(BV399,$BV$5:BV398,0))))</f>
        <v/>
      </c>
      <c r="BT399" s="49">
        <f>IF(NOT(AND($A399&lt;&gt;"",$C399&lt;&gt;"DOOR ONLY")),"",MAX($BT$5:BT398)+1)</f>
        <v/>
      </c>
      <c r="BU399" s="49">
        <f>IF(NOT(AND($A399&lt;&gt;"",N($BC399)&gt;0)),"",MAX($BU$5:BU398)+1)</f>
        <v/>
      </c>
      <c r="BV399" s="49">
        <f>IF(OR($A399="",$BA399="",$BB399=""),"",$AZ399&amp;"|"&amp;$O399&amp;"|"&amp;$AL399&amp;"|"&amp;$S399&amp;"|"&amp;$P399&amp;"|"&amp;$Q399&amp;$R399&amp;"|"&amp;$C399&amp;"|"&amp;$AB399)</f>
        <v/>
      </c>
      <c r="BW399" s="49">
        <f>IF($A399="","",IF($B399="","qty, ","")&amp;IF($C399="","scope, ","")&amp;IF(OR($K399="",$M399=""),"size, ","")&amp;IF(AND($A399&lt;&gt;"",$C399&lt;&gt;"DOOR ONLY"),IF($U399="","jamb depth, ","")&amp;IF($X399="","construction, ","")&amp;IF($Y399="","anchor, ","")&amp;IF($S399="","frame type, ",""),"")&amp;IF(AND(N($BC399)&gt;0,$Z399=""),"hand, ","")&amp;IF(N($BC399)&gt;0,IF($AH399="","door material, ","")&amp;IF($AL399="","face type, ","")&amp;IF($AQ399="","lock prep, ","")&amp;IF(AND($AP399="",$AC399=""),"hinge prep, ",""),"")&amp;IF(AND($BO399&gt;0,$AH399="FRP"),"FRP cannot carry a label, ","")&amp;IF(AND($O399="Y",OR($Z399="L",$Z399="R",$Z399="LR",$Z399="RR")),"pair marked but hand is single, ","")&amp;IF(AND($O399&lt;&gt;"Y",OR($Z399="PR",AND(LEN($Z399)&gt;1,ISNUMBER(SEARCH("-",$Z399))))),"pair hand on a single door, ","")&amp;IF(AND(ISNUMBER($BP399),$BO399&lt;N($BP399)),"wall needs a "&amp;$BP399&amp;" min door, ","")&amp;IF(AND($BO399&gt;=180,AND(OR($BL399="FG",$BL399="HG",$BL399="FNV",$BL399="FV"),N($BM399)*N($BN399)&gt;100)),"180 min lite over 100 sq in, ","")&amp;IF(N($BD399)&gt;48,"leaf wider than 4'-0"&amp;CHAR(34)&amp;", ",""))</f>
        <v/>
      </c>
      <c r="BX399" s="49">
        <f>IF($A399="","",IF(AND($BO399&gt;0,AND($A399&lt;&gt;"",$C399&lt;&gt;"DOOR ONLY"),$X399="KD",$E399="EXTERIOR"),"KD label on an exterior opening, ","")&amp;IF(AND($E399="EXTERIOR",OR(AND(AND($A399&lt;&gt;"",$C399&lt;&gt;"DOOR ONLY"),$W399="CR"),AND(N($BC399)&gt;0,$AH399="CR"))),"exterior in CR steel (G9?), ","")&amp;IF(AND(ISNUMBER($BJ399),N($BJ399)&lt;32),"clear width ~"&amp;TEXT($BJ399,"0.0")&amp;CHAR(34)&amp;" under 32"&amp;CHAR(34)&amp;" (ADA), ","")&amp;IF(AND($BO399=90,AND(OR($BL399="FG",$BL399="HG",$BL399="FNV",$BL399="FV"),N($BM399)*N($BN399)&gt;100)),"90 min lite over 100 sq in (stair/exit), ","")&amp;IF(AND($BO399&gt;0,AND($A399&lt;&gt;"",$C399&lt;&gt;"DOOR ONLY"),OR($AF399="",$AF399="-")),"rated: closer reinf.?, ","")&amp;IF(OR($I399="CORRIDOR",$I399="SMOKE BARRIER"),"S label + smoke gasketing, ","")&amp;IF($BP399="?","wall type/hr not in IBC table, ","")&amp;IF(AND(N($BC399)&gt;0,$AU399=""),"no hardware set, ","")&amp;IF(AND($AU399&lt;&gt;"",ISNA(MATCH($AU399,HWSets,0))),"set "&amp;$AU399&amp;" not on Hardware sheet, ","")&amp;IF(N($BE399)&gt;96,"leaf over 8'-0"&amp;CHAR(34)&amp;" - check listing, ",""))</f>
        <v/>
      </c>
    </row>
    <row r="400" ht="15" customHeight="1">
      <c r="A400" s="44" t="n"/>
      <c r="B400" s="45" t="n"/>
      <c r="C400" s="45" t="n"/>
      <c r="D400" s="45" t="n"/>
      <c r="E400" s="45" t="n"/>
      <c r="F400" s="45" t="n"/>
      <c r="G400" s="45" t="n"/>
      <c r="H400" s="45" t="n"/>
      <c r="I400" s="45" t="n"/>
      <c r="J400" s="45" t="n"/>
      <c r="K400" s="45" t="n"/>
      <c r="L400" s="45" t="n"/>
      <c r="M400" s="45" t="n"/>
      <c r="N400" s="45" t="n"/>
      <c r="O400" s="45" t="n"/>
      <c r="P400" s="45" t="n"/>
      <c r="Q400" s="45" t="n"/>
      <c r="R400" s="45" t="n"/>
      <c r="S400" s="46" t="n"/>
      <c r="T400" s="46" t="n"/>
      <c r="U400" s="46" t="n"/>
      <c r="V400" s="46" t="n"/>
      <c r="W400" s="46" t="n"/>
      <c r="X400" s="46" t="n"/>
      <c r="Y400" s="46" t="n"/>
      <c r="Z400" s="46" t="n"/>
      <c r="AA400" s="46" t="n"/>
      <c r="AB400" s="46" t="n"/>
      <c r="AC400" s="46" t="n"/>
      <c r="AD400" s="46" t="n"/>
      <c r="AE400" s="46" t="n"/>
      <c r="AF400" s="46" t="n"/>
      <c r="AG400" s="46" t="n"/>
      <c r="AH400" s="47" t="n"/>
      <c r="AI400" s="47" t="n"/>
      <c r="AJ400" s="47" t="n"/>
      <c r="AK400" s="47" t="n"/>
      <c r="AL400" s="47" t="n"/>
      <c r="AM400" s="47" t="n"/>
      <c r="AN400" s="47" t="n"/>
      <c r="AO400" s="47" t="n"/>
      <c r="AP400" s="47" t="n"/>
      <c r="AQ400" s="47" t="n"/>
      <c r="AR400" s="47" t="n"/>
      <c r="AS400" s="47" t="n"/>
      <c r="AT400" s="47" t="n"/>
      <c r="AU400" s="48" t="n"/>
      <c r="AV400" s="48" t="n"/>
      <c r="AW400" s="49">
        <f>IF($A400="","",IF($BW400&lt;&gt;"","FIX",IF($BX400&lt;&gt;"","CHECK","OK")))</f>
        <v/>
      </c>
      <c r="AX400" s="50">
        <f>IF($A400="","",IF($BW400&lt;&gt;"","FIX: "&amp;LEFT($BW400,LEN($BW400)-2)&amp;IF($BX400&lt;&gt;"","  ·  ",""),"")&amp;IF($BX400&lt;&gt;"","CHECK: "&amp;LEFT($BX400,LEN($BX400)-2),""))</f>
        <v/>
      </c>
      <c r="AY400" s="49">
        <f>IF(OR($A400="",$K400=""),"",$K400&amp;"'-"&amp;N($L400)&amp;CHAR(34)&amp;" x "&amp;$M400&amp;"'-"&amp;N($N400)&amp;CHAR(34))</f>
        <v/>
      </c>
      <c r="AZ400" s="49">
        <f>IF(OR($A400="",$K400=""),"",$K400&amp;N($L400)&amp;$M400&amp;N($N400))</f>
        <v/>
      </c>
      <c r="BA400" s="49">
        <f>IF(OR($A400="",$K400=""),"",$K400*12+N($L400))</f>
        <v/>
      </c>
      <c r="BB400" s="49">
        <f>IF(OR($A400="",$M400=""),"",$M400*12+N($N400))</f>
        <v/>
      </c>
      <c r="BC400" s="49">
        <f>IF($A400="","",IF(OR($C400="FRAME ONLY",$S400="BL"),0,IF($O400="Y",2,1)))</f>
        <v/>
      </c>
      <c r="BD400" s="51">
        <f>IF(OR(N($BC400)=0,$BA400=""),"",($BA400-2*EdgeClr-IF($BC400=2,MeetClr,0))/$BC400)</f>
        <v/>
      </c>
      <c r="BE400" s="51">
        <f>IF(OR(N($BC400)=0,$BB400=""),"",$BB400-HeadClr-Undercut)</f>
        <v/>
      </c>
      <c r="BF400" s="51">
        <f>IF($BA400="","",$BA400+2*FaceW+IF(N($Q400)&gt;0,($Q400+FaceW)*IF($R400="LR",2,1),0))</f>
        <v/>
      </c>
      <c r="BG400" s="51">
        <f>IF($BB400="","",$BB400+IF($AB400="Y",4,FaceW)+IF(N($P400)&gt;0,$P400+FaceW,0)+IF(OR($S400="4F",$S400="BL"),FaceW,0))</f>
        <v/>
      </c>
      <c r="BH400" s="51">
        <f>IF($BF400="","",$BF400+2*ROSide)</f>
        <v/>
      </c>
      <c r="BI400" s="51">
        <f>IF($BG400="","",$BG400+ROTop)</f>
        <v/>
      </c>
      <c r="BJ400" s="52">
        <f>IF(OR(N($BC400)=0,$BA400=""),"",$BA400/$BC400-ClearDeduct)</f>
        <v/>
      </c>
      <c r="BK400" s="49">
        <f>IF(OR(N($BC400)=0,$BE400=""),"",IF(OR($AC400="HGC",$AP400="HGC"),"CONT",IF($BE400&lt;=60,2,IF($BE400&lt;=90,3,IF($BE400&lt;=120,4,5)))))</f>
        <v/>
      </c>
      <c r="BL400" s="49">
        <f>IF(N($BC400)=0,"",IF(OR($AL400="",$AL400="FLUSH"),"FLUSH",IFERROR(LEFT($AL400,FIND("-",$AL400)-1),LEFT($AL400,2))))</f>
        <v/>
      </c>
      <c r="BM400" s="49">
        <f>IF($BL400="","",IFERROR(VALUE(MID($AL400,FIND("-",$AL400)+1,FIND(CHAR(34)&amp;"x",$AL400)-FIND("-",$AL400)-1)),0))</f>
        <v/>
      </c>
      <c r="BN400" s="49">
        <f>IF($BL400="","",IFERROR(VALUE(MID($AL400,FIND(CHAR(34)&amp;"x",$AL400)+2,FIND(CHAR(34),$AL400,FIND(CHAR(34)&amp;"x",$AL400)+2)-FIND(CHAR(34)&amp;"x",$AL400)-2)),0))</f>
        <v/>
      </c>
      <c r="BO400" s="53">
        <f>IF(OR($A400="",$H400="",$H400="NO LAB"),0,IFERROR(VALUE(LEFT($H400,FIND(" ",$H400)-1)),0))</f>
        <v/>
      </c>
      <c r="BP400" s="54">
        <f>IF(OR($A400="",$I400="",$I400="NON-RATED",N($J400)=0),"",IFERROR(VLOOKUP($I400&amp;"|"&amp;$J400,IBC,2,FALSE),"?"))</f>
        <v/>
      </c>
      <c r="BQ400" s="50">
        <f>IF(NOT(AND($A400&lt;&gt;"",$C400&lt;&gt;"DOOR ONLY")),"",TRIM(IFERROR(VLOOKUP($U400,CODES,2,FALSE),"")&amp;" "&amp;$AZ400&amp;" "&amp;IFERROR(VLOOKUP($Z400,CODES,2,FALSE),"")&amp;" "&amp;IFERROR(VLOOKUP($X400,CODES,2,FALSE),"")&amp;" "&amp;IFERROR(VLOOKUP($S400,CODES,2,FALSE),"")&amp;IF(N($P400)&gt;0," w/TRANSOM "&amp;$P400&amp;CHAR(34),"")&amp;IF(N($Q400)&gt;0," w/SIDELITE "&amp;$Q400&amp;CHAR(34)&amp;" "&amp;IF($R400="","R",$R400),"")&amp;IF($Y400="","  |  "," | "&amp;IFERROR(VLOOKUP($Y400,CODES,2,FALSE),"")&amp;" | ")&amp;IFERROR(VLOOKUP($AC400,CODES,2,FALSE),"")&amp;" "&amp;IFERROR(VLOOKUP($AD400,CODES,2,FALSE),"")&amp;IF(OR($AE400="",$AE400="-"),""," "&amp;$AE400)&amp;IF(OR($AF400="",$AF400="-"),""," "&amp;$AF400)&amp;IF($AB400="Y"," 4"&amp;CHAR(34)&amp;" HEAD","")&amp;" "&amp;IFERROR(VLOOKUP($H400,CODES,2,FALSE),"")))</f>
        <v/>
      </c>
      <c r="BR400" s="50">
        <f>IF(NOT(AND($A400&lt;&gt;"",N($BC400)&gt;0)),"",TRIM(IFERROR(VLOOKUP($AH400,CODES,2,FALSE),"")&amp;IF($AI400=""," "," "&amp;$AI400&amp;"GA ")&amp;$AZ400&amp;" "&amp;IF($AN400="",IFERROR(VLOOKUP($Z400,CODES,2,FALSE),""),IFERROR(VLOOKUP($AN400,CODES,2,FALSE),""))&amp;IF($BC400=2," PAIR","")&amp;" DOOR | "&amp;IF($AL400="","?",$AL400)&amp;" | "&amp;IF($AP400="",IFERROR(VLOOKUP($AC400,CODES,2,FALSE),""),IFERROR(VLOOKUP($AP400,CODES,2,FALSE),""))&amp;" "&amp;IFERROR(VLOOKUP($AQ400,CODES,2,FALSE),"")&amp;IF(OR($AR400="",$AR400="-"),""," SEAM "&amp;$AR400)&amp;IF($AS400="Y"," ASTRAGAL","")&amp;IF($AJ400=""," "," "&amp;$AJ400)&amp;IF($AK400=""," "," "&amp;$AK400)&amp;IF($AO400="",""," "&amp;$AO400)&amp;IF($AM400=""," "," SERIES "&amp;$AM400)&amp;" "&amp;IFERROR(VLOOKUP($H400,CODES,2,FALSE),"")))</f>
        <v/>
      </c>
      <c r="BS400" s="49">
        <f>IF(BV400="","",IF(COUNTIF($BV$6:BV400,BV400)=1,MAX($BS$5:BS399)+1,INDEX($BS$5:BS399,MATCH(BV400,$BV$5:BV399,0))))</f>
        <v/>
      </c>
      <c r="BT400" s="49">
        <f>IF(NOT(AND($A400&lt;&gt;"",$C400&lt;&gt;"DOOR ONLY")),"",MAX($BT$5:BT399)+1)</f>
        <v/>
      </c>
      <c r="BU400" s="49">
        <f>IF(NOT(AND($A400&lt;&gt;"",N($BC400)&gt;0)),"",MAX($BU$5:BU399)+1)</f>
        <v/>
      </c>
      <c r="BV400" s="49">
        <f>IF(OR($A400="",$BA400="",$BB400=""),"",$AZ400&amp;"|"&amp;$O400&amp;"|"&amp;$AL400&amp;"|"&amp;$S400&amp;"|"&amp;$P400&amp;"|"&amp;$Q400&amp;$R400&amp;"|"&amp;$C400&amp;"|"&amp;$AB400)</f>
        <v/>
      </c>
      <c r="BW400" s="49">
        <f>IF($A400="","",IF($B400="","qty, ","")&amp;IF($C400="","scope, ","")&amp;IF(OR($K400="",$M400=""),"size, ","")&amp;IF(AND($A400&lt;&gt;"",$C400&lt;&gt;"DOOR ONLY"),IF($U400="","jamb depth, ","")&amp;IF($X400="","construction, ","")&amp;IF($Y400="","anchor, ","")&amp;IF($S400="","frame type, ",""),"")&amp;IF(AND(N($BC400)&gt;0,$Z400=""),"hand, ","")&amp;IF(N($BC400)&gt;0,IF($AH400="","door material, ","")&amp;IF($AL400="","face type, ","")&amp;IF($AQ400="","lock prep, ","")&amp;IF(AND($AP400="",$AC400=""),"hinge prep, ",""),"")&amp;IF(AND($BO400&gt;0,$AH400="FRP"),"FRP cannot carry a label, ","")&amp;IF(AND($O400="Y",OR($Z400="L",$Z400="R",$Z400="LR",$Z400="RR")),"pair marked but hand is single, ","")&amp;IF(AND($O400&lt;&gt;"Y",OR($Z400="PR",AND(LEN($Z400)&gt;1,ISNUMBER(SEARCH("-",$Z400))))),"pair hand on a single door, ","")&amp;IF(AND(ISNUMBER($BP400),$BO400&lt;N($BP400)),"wall needs a "&amp;$BP400&amp;" min door, ","")&amp;IF(AND($BO400&gt;=180,AND(OR($BL400="FG",$BL400="HG",$BL400="FNV",$BL400="FV"),N($BM400)*N($BN400)&gt;100)),"180 min lite over 100 sq in, ","")&amp;IF(N($BD400)&gt;48,"leaf wider than 4'-0"&amp;CHAR(34)&amp;", ",""))</f>
        <v/>
      </c>
      <c r="BX400" s="49">
        <f>IF($A400="","",IF(AND($BO400&gt;0,AND($A400&lt;&gt;"",$C400&lt;&gt;"DOOR ONLY"),$X400="KD",$E400="EXTERIOR"),"KD label on an exterior opening, ","")&amp;IF(AND($E400="EXTERIOR",OR(AND(AND($A400&lt;&gt;"",$C400&lt;&gt;"DOOR ONLY"),$W400="CR"),AND(N($BC400)&gt;0,$AH400="CR"))),"exterior in CR steel (G9?), ","")&amp;IF(AND(ISNUMBER($BJ400),N($BJ400)&lt;32),"clear width ~"&amp;TEXT($BJ400,"0.0")&amp;CHAR(34)&amp;" under 32"&amp;CHAR(34)&amp;" (ADA), ","")&amp;IF(AND($BO400=90,AND(OR($BL400="FG",$BL400="HG",$BL400="FNV",$BL400="FV"),N($BM400)*N($BN400)&gt;100)),"90 min lite over 100 sq in (stair/exit), ","")&amp;IF(AND($BO400&gt;0,AND($A400&lt;&gt;"",$C400&lt;&gt;"DOOR ONLY"),OR($AF400="",$AF400="-")),"rated: closer reinf.?, ","")&amp;IF(OR($I400="CORRIDOR",$I400="SMOKE BARRIER"),"S label + smoke gasketing, ","")&amp;IF($BP400="?","wall type/hr not in IBC table, ","")&amp;IF(AND(N($BC400)&gt;0,$AU400=""),"no hardware set, ","")&amp;IF(AND($AU400&lt;&gt;"",ISNA(MATCH($AU400,HWSets,0))),"set "&amp;$AU400&amp;" not on Hardware sheet, ","")&amp;IF(N($BE400)&gt;96,"leaf over 8'-0"&amp;CHAR(34)&amp;" - check listing, ",""))</f>
        <v/>
      </c>
    </row>
    <row r="401" ht="15" customHeight="1">
      <c r="A401" s="44" t="n"/>
      <c r="B401" s="45" t="n"/>
      <c r="C401" s="45" t="n"/>
      <c r="D401" s="45" t="n"/>
      <c r="E401" s="45" t="n"/>
      <c r="F401" s="45" t="n"/>
      <c r="G401" s="45" t="n"/>
      <c r="H401" s="45" t="n"/>
      <c r="I401" s="45" t="n"/>
      <c r="J401" s="45" t="n"/>
      <c r="K401" s="45" t="n"/>
      <c r="L401" s="45" t="n"/>
      <c r="M401" s="45" t="n"/>
      <c r="N401" s="45" t="n"/>
      <c r="O401" s="45" t="n"/>
      <c r="P401" s="45" t="n"/>
      <c r="Q401" s="45" t="n"/>
      <c r="R401" s="45" t="n"/>
      <c r="S401" s="46" t="n"/>
      <c r="T401" s="46" t="n"/>
      <c r="U401" s="46" t="n"/>
      <c r="V401" s="46" t="n"/>
      <c r="W401" s="46" t="n"/>
      <c r="X401" s="46" t="n"/>
      <c r="Y401" s="46" t="n"/>
      <c r="Z401" s="46" t="n"/>
      <c r="AA401" s="46" t="n"/>
      <c r="AB401" s="46" t="n"/>
      <c r="AC401" s="46" t="n"/>
      <c r="AD401" s="46" t="n"/>
      <c r="AE401" s="46" t="n"/>
      <c r="AF401" s="46" t="n"/>
      <c r="AG401" s="46" t="n"/>
      <c r="AH401" s="47" t="n"/>
      <c r="AI401" s="47" t="n"/>
      <c r="AJ401" s="47" t="n"/>
      <c r="AK401" s="47" t="n"/>
      <c r="AL401" s="47" t="n"/>
      <c r="AM401" s="47" t="n"/>
      <c r="AN401" s="47" t="n"/>
      <c r="AO401" s="47" t="n"/>
      <c r="AP401" s="47" t="n"/>
      <c r="AQ401" s="47" t="n"/>
      <c r="AR401" s="47" t="n"/>
      <c r="AS401" s="47" t="n"/>
      <c r="AT401" s="47" t="n"/>
      <c r="AU401" s="48" t="n"/>
      <c r="AV401" s="48" t="n"/>
      <c r="AW401" s="49">
        <f>IF($A401="","",IF($BW401&lt;&gt;"","FIX",IF($BX401&lt;&gt;"","CHECK","OK")))</f>
        <v/>
      </c>
      <c r="AX401" s="50">
        <f>IF($A401="","",IF($BW401&lt;&gt;"","FIX: "&amp;LEFT($BW401,LEN($BW401)-2)&amp;IF($BX401&lt;&gt;"","  ·  ",""),"")&amp;IF($BX401&lt;&gt;"","CHECK: "&amp;LEFT($BX401,LEN($BX401)-2),""))</f>
        <v/>
      </c>
      <c r="AY401" s="49">
        <f>IF(OR($A401="",$K401=""),"",$K401&amp;"'-"&amp;N($L401)&amp;CHAR(34)&amp;" x "&amp;$M401&amp;"'-"&amp;N($N401)&amp;CHAR(34))</f>
        <v/>
      </c>
      <c r="AZ401" s="49">
        <f>IF(OR($A401="",$K401=""),"",$K401&amp;N($L401)&amp;$M401&amp;N($N401))</f>
        <v/>
      </c>
      <c r="BA401" s="49">
        <f>IF(OR($A401="",$K401=""),"",$K401*12+N($L401))</f>
        <v/>
      </c>
      <c r="BB401" s="49">
        <f>IF(OR($A401="",$M401=""),"",$M401*12+N($N401))</f>
        <v/>
      </c>
      <c r="BC401" s="49">
        <f>IF($A401="","",IF(OR($C401="FRAME ONLY",$S401="BL"),0,IF($O401="Y",2,1)))</f>
        <v/>
      </c>
      <c r="BD401" s="51">
        <f>IF(OR(N($BC401)=0,$BA401=""),"",($BA401-2*EdgeClr-IF($BC401=2,MeetClr,0))/$BC401)</f>
        <v/>
      </c>
      <c r="BE401" s="51">
        <f>IF(OR(N($BC401)=0,$BB401=""),"",$BB401-HeadClr-Undercut)</f>
        <v/>
      </c>
      <c r="BF401" s="51">
        <f>IF($BA401="","",$BA401+2*FaceW+IF(N($Q401)&gt;0,($Q401+FaceW)*IF($R401="LR",2,1),0))</f>
        <v/>
      </c>
      <c r="BG401" s="51">
        <f>IF($BB401="","",$BB401+IF($AB401="Y",4,FaceW)+IF(N($P401)&gt;0,$P401+FaceW,0)+IF(OR($S401="4F",$S401="BL"),FaceW,0))</f>
        <v/>
      </c>
      <c r="BH401" s="51">
        <f>IF($BF401="","",$BF401+2*ROSide)</f>
        <v/>
      </c>
      <c r="BI401" s="51">
        <f>IF($BG401="","",$BG401+ROTop)</f>
        <v/>
      </c>
      <c r="BJ401" s="52">
        <f>IF(OR(N($BC401)=0,$BA401=""),"",$BA401/$BC401-ClearDeduct)</f>
        <v/>
      </c>
      <c r="BK401" s="49">
        <f>IF(OR(N($BC401)=0,$BE401=""),"",IF(OR($AC401="HGC",$AP401="HGC"),"CONT",IF($BE401&lt;=60,2,IF($BE401&lt;=90,3,IF($BE401&lt;=120,4,5)))))</f>
        <v/>
      </c>
      <c r="BL401" s="49">
        <f>IF(N($BC401)=0,"",IF(OR($AL401="",$AL401="FLUSH"),"FLUSH",IFERROR(LEFT($AL401,FIND("-",$AL401)-1),LEFT($AL401,2))))</f>
        <v/>
      </c>
      <c r="BM401" s="49">
        <f>IF($BL401="","",IFERROR(VALUE(MID($AL401,FIND("-",$AL401)+1,FIND(CHAR(34)&amp;"x",$AL401)-FIND("-",$AL401)-1)),0))</f>
        <v/>
      </c>
      <c r="BN401" s="49">
        <f>IF($BL401="","",IFERROR(VALUE(MID($AL401,FIND(CHAR(34)&amp;"x",$AL401)+2,FIND(CHAR(34),$AL401,FIND(CHAR(34)&amp;"x",$AL401)+2)-FIND(CHAR(34)&amp;"x",$AL401)-2)),0))</f>
        <v/>
      </c>
      <c r="BO401" s="53">
        <f>IF(OR($A401="",$H401="",$H401="NO LAB"),0,IFERROR(VALUE(LEFT($H401,FIND(" ",$H401)-1)),0))</f>
        <v/>
      </c>
      <c r="BP401" s="54">
        <f>IF(OR($A401="",$I401="",$I401="NON-RATED",N($J401)=0),"",IFERROR(VLOOKUP($I401&amp;"|"&amp;$J401,IBC,2,FALSE),"?"))</f>
        <v/>
      </c>
      <c r="BQ401" s="50">
        <f>IF(NOT(AND($A401&lt;&gt;"",$C401&lt;&gt;"DOOR ONLY")),"",TRIM(IFERROR(VLOOKUP($U401,CODES,2,FALSE),"")&amp;" "&amp;$AZ401&amp;" "&amp;IFERROR(VLOOKUP($Z401,CODES,2,FALSE),"")&amp;" "&amp;IFERROR(VLOOKUP($X401,CODES,2,FALSE),"")&amp;" "&amp;IFERROR(VLOOKUP($S401,CODES,2,FALSE),"")&amp;IF(N($P401)&gt;0," w/TRANSOM "&amp;$P401&amp;CHAR(34),"")&amp;IF(N($Q401)&gt;0," w/SIDELITE "&amp;$Q401&amp;CHAR(34)&amp;" "&amp;IF($R401="","R",$R401),"")&amp;IF($Y401="","  |  "," | "&amp;IFERROR(VLOOKUP($Y401,CODES,2,FALSE),"")&amp;" | ")&amp;IFERROR(VLOOKUP($AC401,CODES,2,FALSE),"")&amp;" "&amp;IFERROR(VLOOKUP($AD401,CODES,2,FALSE),"")&amp;IF(OR($AE401="",$AE401="-"),""," "&amp;$AE401)&amp;IF(OR($AF401="",$AF401="-"),""," "&amp;$AF401)&amp;IF($AB401="Y"," 4"&amp;CHAR(34)&amp;" HEAD","")&amp;" "&amp;IFERROR(VLOOKUP($H401,CODES,2,FALSE),"")))</f>
        <v/>
      </c>
      <c r="BR401" s="50">
        <f>IF(NOT(AND($A401&lt;&gt;"",N($BC401)&gt;0)),"",TRIM(IFERROR(VLOOKUP($AH401,CODES,2,FALSE),"")&amp;IF($AI401=""," "," "&amp;$AI401&amp;"GA ")&amp;$AZ401&amp;" "&amp;IF($AN401="",IFERROR(VLOOKUP($Z401,CODES,2,FALSE),""),IFERROR(VLOOKUP($AN401,CODES,2,FALSE),""))&amp;IF($BC401=2," PAIR","")&amp;" DOOR | "&amp;IF($AL401="","?",$AL401)&amp;" | "&amp;IF($AP401="",IFERROR(VLOOKUP($AC401,CODES,2,FALSE),""),IFERROR(VLOOKUP($AP401,CODES,2,FALSE),""))&amp;" "&amp;IFERROR(VLOOKUP($AQ401,CODES,2,FALSE),"")&amp;IF(OR($AR401="",$AR401="-"),""," SEAM "&amp;$AR401)&amp;IF($AS401="Y"," ASTRAGAL","")&amp;IF($AJ401=""," "," "&amp;$AJ401)&amp;IF($AK401=""," "," "&amp;$AK401)&amp;IF($AO401="",""," "&amp;$AO401)&amp;IF($AM401=""," "," SERIES "&amp;$AM401)&amp;" "&amp;IFERROR(VLOOKUP($H401,CODES,2,FALSE),"")))</f>
        <v/>
      </c>
      <c r="BS401" s="49">
        <f>IF(BV401="","",IF(COUNTIF($BV$6:BV401,BV401)=1,MAX($BS$5:BS400)+1,INDEX($BS$5:BS400,MATCH(BV401,$BV$5:BV400,0))))</f>
        <v/>
      </c>
      <c r="BT401" s="49">
        <f>IF(NOT(AND($A401&lt;&gt;"",$C401&lt;&gt;"DOOR ONLY")),"",MAX($BT$5:BT400)+1)</f>
        <v/>
      </c>
      <c r="BU401" s="49">
        <f>IF(NOT(AND($A401&lt;&gt;"",N($BC401)&gt;0)),"",MAX($BU$5:BU400)+1)</f>
        <v/>
      </c>
      <c r="BV401" s="49">
        <f>IF(OR($A401="",$BA401="",$BB401=""),"",$AZ401&amp;"|"&amp;$O401&amp;"|"&amp;$AL401&amp;"|"&amp;$S401&amp;"|"&amp;$P401&amp;"|"&amp;$Q401&amp;$R401&amp;"|"&amp;$C401&amp;"|"&amp;$AB401)</f>
        <v/>
      </c>
      <c r="BW401" s="49">
        <f>IF($A401="","",IF($B401="","qty, ","")&amp;IF($C401="","scope, ","")&amp;IF(OR($K401="",$M401=""),"size, ","")&amp;IF(AND($A401&lt;&gt;"",$C401&lt;&gt;"DOOR ONLY"),IF($U401="","jamb depth, ","")&amp;IF($X401="","construction, ","")&amp;IF($Y401="","anchor, ","")&amp;IF($S401="","frame type, ",""),"")&amp;IF(AND(N($BC401)&gt;0,$Z401=""),"hand, ","")&amp;IF(N($BC401)&gt;0,IF($AH401="","door material, ","")&amp;IF($AL401="","face type, ","")&amp;IF($AQ401="","lock prep, ","")&amp;IF(AND($AP401="",$AC401=""),"hinge prep, ",""),"")&amp;IF(AND($BO401&gt;0,$AH401="FRP"),"FRP cannot carry a label, ","")&amp;IF(AND($O401="Y",OR($Z401="L",$Z401="R",$Z401="LR",$Z401="RR")),"pair marked but hand is single, ","")&amp;IF(AND($O401&lt;&gt;"Y",OR($Z401="PR",AND(LEN($Z401)&gt;1,ISNUMBER(SEARCH("-",$Z401))))),"pair hand on a single door, ","")&amp;IF(AND(ISNUMBER($BP401),$BO401&lt;N($BP401)),"wall needs a "&amp;$BP401&amp;" min door, ","")&amp;IF(AND($BO401&gt;=180,AND(OR($BL401="FG",$BL401="HG",$BL401="FNV",$BL401="FV"),N($BM401)*N($BN401)&gt;100)),"180 min lite over 100 sq in, ","")&amp;IF(N($BD401)&gt;48,"leaf wider than 4'-0"&amp;CHAR(34)&amp;", ",""))</f>
        <v/>
      </c>
      <c r="BX401" s="49">
        <f>IF($A401="","",IF(AND($BO401&gt;0,AND($A401&lt;&gt;"",$C401&lt;&gt;"DOOR ONLY"),$X401="KD",$E401="EXTERIOR"),"KD label on an exterior opening, ","")&amp;IF(AND($E401="EXTERIOR",OR(AND(AND($A401&lt;&gt;"",$C401&lt;&gt;"DOOR ONLY"),$W401="CR"),AND(N($BC401)&gt;0,$AH401="CR"))),"exterior in CR steel (G9?), ","")&amp;IF(AND(ISNUMBER($BJ401),N($BJ401)&lt;32),"clear width ~"&amp;TEXT($BJ401,"0.0")&amp;CHAR(34)&amp;" under 32"&amp;CHAR(34)&amp;" (ADA), ","")&amp;IF(AND($BO401=90,AND(OR($BL401="FG",$BL401="HG",$BL401="FNV",$BL401="FV"),N($BM401)*N($BN401)&gt;100)),"90 min lite over 100 sq in (stair/exit), ","")&amp;IF(AND($BO401&gt;0,AND($A401&lt;&gt;"",$C401&lt;&gt;"DOOR ONLY"),OR($AF401="",$AF401="-")),"rated: closer reinf.?, ","")&amp;IF(OR($I401="CORRIDOR",$I401="SMOKE BARRIER"),"S label + smoke gasketing, ","")&amp;IF($BP401="?","wall type/hr not in IBC table, ","")&amp;IF(AND(N($BC401)&gt;0,$AU401=""),"no hardware set, ","")&amp;IF(AND($AU401&lt;&gt;"",ISNA(MATCH($AU401,HWSets,0))),"set "&amp;$AU401&amp;" not on Hardware sheet, ","")&amp;IF(N($BE401)&gt;96,"leaf over 8'-0"&amp;CHAR(34)&amp;" - check listing, ",""))</f>
        <v/>
      </c>
    </row>
    <row r="402" ht="15" customHeight="1">
      <c r="A402" s="44" t="n"/>
      <c r="B402" s="45" t="n"/>
      <c r="C402" s="45" t="n"/>
      <c r="D402" s="45" t="n"/>
      <c r="E402" s="45" t="n"/>
      <c r="F402" s="45" t="n"/>
      <c r="G402" s="45" t="n"/>
      <c r="H402" s="45" t="n"/>
      <c r="I402" s="45" t="n"/>
      <c r="J402" s="45" t="n"/>
      <c r="K402" s="45" t="n"/>
      <c r="L402" s="45" t="n"/>
      <c r="M402" s="45" t="n"/>
      <c r="N402" s="45" t="n"/>
      <c r="O402" s="45" t="n"/>
      <c r="P402" s="45" t="n"/>
      <c r="Q402" s="45" t="n"/>
      <c r="R402" s="45" t="n"/>
      <c r="S402" s="46" t="n"/>
      <c r="T402" s="46" t="n"/>
      <c r="U402" s="46" t="n"/>
      <c r="V402" s="46" t="n"/>
      <c r="W402" s="46" t="n"/>
      <c r="X402" s="46" t="n"/>
      <c r="Y402" s="46" t="n"/>
      <c r="Z402" s="46" t="n"/>
      <c r="AA402" s="46" t="n"/>
      <c r="AB402" s="46" t="n"/>
      <c r="AC402" s="46" t="n"/>
      <c r="AD402" s="46" t="n"/>
      <c r="AE402" s="46" t="n"/>
      <c r="AF402" s="46" t="n"/>
      <c r="AG402" s="46" t="n"/>
      <c r="AH402" s="47" t="n"/>
      <c r="AI402" s="47" t="n"/>
      <c r="AJ402" s="47" t="n"/>
      <c r="AK402" s="47" t="n"/>
      <c r="AL402" s="47" t="n"/>
      <c r="AM402" s="47" t="n"/>
      <c r="AN402" s="47" t="n"/>
      <c r="AO402" s="47" t="n"/>
      <c r="AP402" s="47" t="n"/>
      <c r="AQ402" s="47" t="n"/>
      <c r="AR402" s="47" t="n"/>
      <c r="AS402" s="47" t="n"/>
      <c r="AT402" s="47" t="n"/>
      <c r="AU402" s="48" t="n"/>
      <c r="AV402" s="48" t="n"/>
      <c r="AW402" s="49">
        <f>IF($A402="","",IF($BW402&lt;&gt;"","FIX",IF($BX402&lt;&gt;"","CHECK","OK")))</f>
        <v/>
      </c>
      <c r="AX402" s="50">
        <f>IF($A402="","",IF($BW402&lt;&gt;"","FIX: "&amp;LEFT($BW402,LEN($BW402)-2)&amp;IF($BX402&lt;&gt;"","  ·  ",""),"")&amp;IF($BX402&lt;&gt;"","CHECK: "&amp;LEFT($BX402,LEN($BX402)-2),""))</f>
        <v/>
      </c>
      <c r="AY402" s="49">
        <f>IF(OR($A402="",$K402=""),"",$K402&amp;"'-"&amp;N($L402)&amp;CHAR(34)&amp;" x "&amp;$M402&amp;"'-"&amp;N($N402)&amp;CHAR(34))</f>
        <v/>
      </c>
      <c r="AZ402" s="49">
        <f>IF(OR($A402="",$K402=""),"",$K402&amp;N($L402)&amp;$M402&amp;N($N402))</f>
        <v/>
      </c>
      <c r="BA402" s="49">
        <f>IF(OR($A402="",$K402=""),"",$K402*12+N($L402))</f>
        <v/>
      </c>
      <c r="BB402" s="49">
        <f>IF(OR($A402="",$M402=""),"",$M402*12+N($N402))</f>
        <v/>
      </c>
      <c r="BC402" s="49">
        <f>IF($A402="","",IF(OR($C402="FRAME ONLY",$S402="BL"),0,IF($O402="Y",2,1)))</f>
        <v/>
      </c>
      <c r="BD402" s="51">
        <f>IF(OR(N($BC402)=0,$BA402=""),"",($BA402-2*EdgeClr-IF($BC402=2,MeetClr,0))/$BC402)</f>
        <v/>
      </c>
      <c r="BE402" s="51">
        <f>IF(OR(N($BC402)=0,$BB402=""),"",$BB402-HeadClr-Undercut)</f>
        <v/>
      </c>
      <c r="BF402" s="51">
        <f>IF($BA402="","",$BA402+2*FaceW+IF(N($Q402)&gt;0,($Q402+FaceW)*IF($R402="LR",2,1),0))</f>
        <v/>
      </c>
      <c r="BG402" s="51">
        <f>IF($BB402="","",$BB402+IF($AB402="Y",4,FaceW)+IF(N($P402)&gt;0,$P402+FaceW,0)+IF(OR($S402="4F",$S402="BL"),FaceW,0))</f>
        <v/>
      </c>
      <c r="BH402" s="51">
        <f>IF($BF402="","",$BF402+2*ROSide)</f>
        <v/>
      </c>
      <c r="BI402" s="51">
        <f>IF($BG402="","",$BG402+ROTop)</f>
        <v/>
      </c>
      <c r="BJ402" s="52">
        <f>IF(OR(N($BC402)=0,$BA402=""),"",$BA402/$BC402-ClearDeduct)</f>
        <v/>
      </c>
      <c r="BK402" s="49">
        <f>IF(OR(N($BC402)=0,$BE402=""),"",IF(OR($AC402="HGC",$AP402="HGC"),"CONT",IF($BE402&lt;=60,2,IF($BE402&lt;=90,3,IF($BE402&lt;=120,4,5)))))</f>
        <v/>
      </c>
      <c r="BL402" s="49">
        <f>IF(N($BC402)=0,"",IF(OR($AL402="",$AL402="FLUSH"),"FLUSH",IFERROR(LEFT($AL402,FIND("-",$AL402)-1),LEFT($AL402,2))))</f>
        <v/>
      </c>
      <c r="BM402" s="49">
        <f>IF($BL402="","",IFERROR(VALUE(MID($AL402,FIND("-",$AL402)+1,FIND(CHAR(34)&amp;"x",$AL402)-FIND("-",$AL402)-1)),0))</f>
        <v/>
      </c>
      <c r="BN402" s="49">
        <f>IF($BL402="","",IFERROR(VALUE(MID($AL402,FIND(CHAR(34)&amp;"x",$AL402)+2,FIND(CHAR(34),$AL402,FIND(CHAR(34)&amp;"x",$AL402)+2)-FIND(CHAR(34)&amp;"x",$AL402)-2)),0))</f>
        <v/>
      </c>
      <c r="BO402" s="53">
        <f>IF(OR($A402="",$H402="",$H402="NO LAB"),0,IFERROR(VALUE(LEFT($H402,FIND(" ",$H402)-1)),0))</f>
        <v/>
      </c>
      <c r="BP402" s="54">
        <f>IF(OR($A402="",$I402="",$I402="NON-RATED",N($J402)=0),"",IFERROR(VLOOKUP($I402&amp;"|"&amp;$J402,IBC,2,FALSE),"?"))</f>
        <v/>
      </c>
      <c r="BQ402" s="50">
        <f>IF(NOT(AND($A402&lt;&gt;"",$C402&lt;&gt;"DOOR ONLY")),"",TRIM(IFERROR(VLOOKUP($U402,CODES,2,FALSE),"")&amp;" "&amp;$AZ402&amp;" "&amp;IFERROR(VLOOKUP($Z402,CODES,2,FALSE),"")&amp;" "&amp;IFERROR(VLOOKUP($X402,CODES,2,FALSE),"")&amp;" "&amp;IFERROR(VLOOKUP($S402,CODES,2,FALSE),"")&amp;IF(N($P402)&gt;0," w/TRANSOM "&amp;$P402&amp;CHAR(34),"")&amp;IF(N($Q402)&gt;0," w/SIDELITE "&amp;$Q402&amp;CHAR(34)&amp;" "&amp;IF($R402="","R",$R402),"")&amp;IF($Y402="","  |  "," | "&amp;IFERROR(VLOOKUP($Y402,CODES,2,FALSE),"")&amp;" | ")&amp;IFERROR(VLOOKUP($AC402,CODES,2,FALSE),"")&amp;" "&amp;IFERROR(VLOOKUP($AD402,CODES,2,FALSE),"")&amp;IF(OR($AE402="",$AE402="-"),""," "&amp;$AE402)&amp;IF(OR($AF402="",$AF402="-"),""," "&amp;$AF402)&amp;IF($AB402="Y"," 4"&amp;CHAR(34)&amp;" HEAD","")&amp;" "&amp;IFERROR(VLOOKUP($H402,CODES,2,FALSE),"")))</f>
        <v/>
      </c>
      <c r="BR402" s="50">
        <f>IF(NOT(AND($A402&lt;&gt;"",N($BC402)&gt;0)),"",TRIM(IFERROR(VLOOKUP($AH402,CODES,2,FALSE),"")&amp;IF($AI402=""," "," "&amp;$AI402&amp;"GA ")&amp;$AZ402&amp;" "&amp;IF($AN402="",IFERROR(VLOOKUP($Z402,CODES,2,FALSE),""),IFERROR(VLOOKUP($AN402,CODES,2,FALSE),""))&amp;IF($BC402=2," PAIR","")&amp;" DOOR | "&amp;IF($AL402="","?",$AL402)&amp;" | "&amp;IF($AP402="",IFERROR(VLOOKUP($AC402,CODES,2,FALSE),""),IFERROR(VLOOKUP($AP402,CODES,2,FALSE),""))&amp;" "&amp;IFERROR(VLOOKUP($AQ402,CODES,2,FALSE),"")&amp;IF(OR($AR402="",$AR402="-"),""," SEAM "&amp;$AR402)&amp;IF($AS402="Y"," ASTRAGAL","")&amp;IF($AJ402=""," "," "&amp;$AJ402)&amp;IF($AK402=""," "," "&amp;$AK402)&amp;IF($AO402="",""," "&amp;$AO402)&amp;IF($AM402=""," "," SERIES "&amp;$AM402)&amp;" "&amp;IFERROR(VLOOKUP($H402,CODES,2,FALSE),"")))</f>
        <v/>
      </c>
      <c r="BS402" s="49">
        <f>IF(BV402="","",IF(COUNTIF($BV$6:BV402,BV402)=1,MAX($BS$5:BS401)+1,INDEX($BS$5:BS401,MATCH(BV402,$BV$5:BV401,0))))</f>
        <v/>
      </c>
      <c r="BT402" s="49">
        <f>IF(NOT(AND($A402&lt;&gt;"",$C402&lt;&gt;"DOOR ONLY")),"",MAX($BT$5:BT401)+1)</f>
        <v/>
      </c>
      <c r="BU402" s="49">
        <f>IF(NOT(AND($A402&lt;&gt;"",N($BC402)&gt;0)),"",MAX($BU$5:BU401)+1)</f>
        <v/>
      </c>
      <c r="BV402" s="49">
        <f>IF(OR($A402="",$BA402="",$BB402=""),"",$AZ402&amp;"|"&amp;$O402&amp;"|"&amp;$AL402&amp;"|"&amp;$S402&amp;"|"&amp;$P402&amp;"|"&amp;$Q402&amp;$R402&amp;"|"&amp;$C402&amp;"|"&amp;$AB402)</f>
        <v/>
      </c>
      <c r="BW402" s="49">
        <f>IF($A402="","",IF($B402="","qty, ","")&amp;IF($C402="","scope, ","")&amp;IF(OR($K402="",$M402=""),"size, ","")&amp;IF(AND($A402&lt;&gt;"",$C402&lt;&gt;"DOOR ONLY"),IF($U402="","jamb depth, ","")&amp;IF($X402="","construction, ","")&amp;IF($Y402="","anchor, ","")&amp;IF($S402="","frame type, ",""),"")&amp;IF(AND(N($BC402)&gt;0,$Z402=""),"hand, ","")&amp;IF(N($BC402)&gt;0,IF($AH402="","door material, ","")&amp;IF($AL402="","face type, ","")&amp;IF($AQ402="","lock prep, ","")&amp;IF(AND($AP402="",$AC402=""),"hinge prep, ",""),"")&amp;IF(AND($BO402&gt;0,$AH402="FRP"),"FRP cannot carry a label, ","")&amp;IF(AND($O402="Y",OR($Z402="L",$Z402="R",$Z402="LR",$Z402="RR")),"pair marked but hand is single, ","")&amp;IF(AND($O402&lt;&gt;"Y",OR($Z402="PR",AND(LEN($Z402)&gt;1,ISNUMBER(SEARCH("-",$Z402))))),"pair hand on a single door, ","")&amp;IF(AND(ISNUMBER($BP402),$BO402&lt;N($BP402)),"wall needs a "&amp;$BP402&amp;" min door, ","")&amp;IF(AND($BO402&gt;=180,AND(OR($BL402="FG",$BL402="HG",$BL402="FNV",$BL402="FV"),N($BM402)*N($BN402)&gt;100)),"180 min lite over 100 sq in, ","")&amp;IF(N($BD402)&gt;48,"leaf wider than 4'-0"&amp;CHAR(34)&amp;", ",""))</f>
        <v/>
      </c>
      <c r="BX402" s="49">
        <f>IF($A402="","",IF(AND($BO402&gt;0,AND($A402&lt;&gt;"",$C402&lt;&gt;"DOOR ONLY"),$X402="KD",$E402="EXTERIOR"),"KD label on an exterior opening, ","")&amp;IF(AND($E402="EXTERIOR",OR(AND(AND($A402&lt;&gt;"",$C402&lt;&gt;"DOOR ONLY"),$W402="CR"),AND(N($BC402)&gt;0,$AH402="CR"))),"exterior in CR steel (G9?), ","")&amp;IF(AND(ISNUMBER($BJ402),N($BJ402)&lt;32),"clear width ~"&amp;TEXT($BJ402,"0.0")&amp;CHAR(34)&amp;" under 32"&amp;CHAR(34)&amp;" (ADA), ","")&amp;IF(AND($BO402=90,AND(OR($BL402="FG",$BL402="HG",$BL402="FNV",$BL402="FV"),N($BM402)*N($BN402)&gt;100)),"90 min lite over 100 sq in (stair/exit), ","")&amp;IF(AND($BO402&gt;0,AND($A402&lt;&gt;"",$C402&lt;&gt;"DOOR ONLY"),OR($AF402="",$AF402="-")),"rated: closer reinf.?, ","")&amp;IF(OR($I402="CORRIDOR",$I402="SMOKE BARRIER"),"S label + smoke gasketing, ","")&amp;IF($BP402="?","wall type/hr not in IBC table, ","")&amp;IF(AND(N($BC402)&gt;0,$AU402=""),"no hardware set, ","")&amp;IF(AND($AU402&lt;&gt;"",ISNA(MATCH($AU402,HWSets,0))),"set "&amp;$AU402&amp;" not on Hardware sheet, ","")&amp;IF(N($BE402)&gt;96,"leaf over 8'-0"&amp;CHAR(34)&amp;" - check listing, ",""))</f>
        <v/>
      </c>
    </row>
    <row r="403" ht="15" customHeight="1">
      <c r="A403" s="44" t="n"/>
      <c r="B403" s="45" t="n"/>
      <c r="C403" s="45" t="n"/>
      <c r="D403" s="45" t="n"/>
      <c r="E403" s="45" t="n"/>
      <c r="F403" s="45" t="n"/>
      <c r="G403" s="45" t="n"/>
      <c r="H403" s="45" t="n"/>
      <c r="I403" s="45" t="n"/>
      <c r="J403" s="45" t="n"/>
      <c r="K403" s="45" t="n"/>
      <c r="L403" s="45" t="n"/>
      <c r="M403" s="45" t="n"/>
      <c r="N403" s="45" t="n"/>
      <c r="O403" s="45" t="n"/>
      <c r="P403" s="45" t="n"/>
      <c r="Q403" s="45" t="n"/>
      <c r="R403" s="45" t="n"/>
      <c r="S403" s="46" t="n"/>
      <c r="T403" s="46" t="n"/>
      <c r="U403" s="46" t="n"/>
      <c r="V403" s="46" t="n"/>
      <c r="W403" s="46" t="n"/>
      <c r="X403" s="46" t="n"/>
      <c r="Y403" s="46" t="n"/>
      <c r="Z403" s="46" t="n"/>
      <c r="AA403" s="46" t="n"/>
      <c r="AB403" s="46" t="n"/>
      <c r="AC403" s="46" t="n"/>
      <c r="AD403" s="46" t="n"/>
      <c r="AE403" s="46" t="n"/>
      <c r="AF403" s="46" t="n"/>
      <c r="AG403" s="46" t="n"/>
      <c r="AH403" s="47" t="n"/>
      <c r="AI403" s="47" t="n"/>
      <c r="AJ403" s="47" t="n"/>
      <c r="AK403" s="47" t="n"/>
      <c r="AL403" s="47" t="n"/>
      <c r="AM403" s="47" t="n"/>
      <c r="AN403" s="47" t="n"/>
      <c r="AO403" s="47" t="n"/>
      <c r="AP403" s="47" t="n"/>
      <c r="AQ403" s="47" t="n"/>
      <c r="AR403" s="47" t="n"/>
      <c r="AS403" s="47" t="n"/>
      <c r="AT403" s="47" t="n"/>
      <c r="AU403" s="48" t="n"/>
      <c r="AV403" s="48" t="n"/>
      <c r="AW403" s="49">
        <f>IF($A403="","",IF($BW403&lt;&gt;"","FIX",IF($BX403&lt;&gt;"","CHECK","OK")))</f>
        <v/>
      </c>
      <c r="AX403" s="50">
        <f>IF($A403="","",IF($BW403&lt;&gt;"","FIX: "&amp;LEFT($BW403,LEN($BW403)-2)&amp;IF($BX403&lt;&gt;"","  ·  ",""),"")&amp;IF($BX403&lt;&gt;"","CHECK: "&amp;LEFT($BX403,LEN($BX403)-2),""))</f>
        <v/>
      </c>
      <c r="AY403" s="49">
        <f>IF(OR($A403="",$K403=""),"",$K403&amp;"'-"&amp;N($L403)&amp;CHAR(34)&amp;" x "&amp;$M403&amp;"'-"&amp;N($N403)&amp;CHAR(34))</f>
        <v/>
      </c>
      <c r="AZ403" s="49">
        <f>IF(OR($A403="",$K403=""),"",$K403&amp;N($L403)&amp;$M403&amp;N($N403))</f>
        <v/>
      </c>
      <c r="BA403" s="49">
        <f>IF(OR($A403="",$K403=""),"",$K403*12+N($L403))</f>
        <v/>
      </c>
      <c r="BB403" s="49">
        <f>IF(OR($A403="",$M403=""),"",$M403*12+N($N403))</f>
        <v/>
      </c>
      <c r="BC403" s="49">
        <f>IF($A403="","",IF(OR($C403="FRAME ONLY",$S403="BL"),0,IF($O403="Y",2,1)))</f>
        <v/>
      </c>
      <c r="BD403" s="51">
        <f>IF(OR(N($BC403)=0,$BA403=""),"",($BA403-2*EdgeClr-IF($BC403=2,MeetClr,0))/$BC403)</f>
        <v/>
      </c>
      <c r="BE403" s="51">
        <f>IF(OR(N($BC403)=0,$BB403=""),"",$BB403-HeadClr-Undercut)</f>
        <v/>
      </c>
      <c r="BF403" s="51">
        <f>IF($BA403="","",$BA403+2*FaceW+IF(N($Q403)&gt;0,($Q403+FaceW)*IF($R403="LR",2,1),0))</f>
        <v/>
      </c>
      <c r="BG403" s="51">
        <f>IF($BB403="","",$BB403+IF($AB403="Y",4,FaceW)+IF(N($P403)&gt;0,$P403+FaceW,0)+IF(OR($S403="4F",$S403="BL"),FaceW,0))</f>
        <v/>
      </c>
      <c r="BH403" s="51">
        <f>IF($BF403="","",$BF403+2*ROSide)</f>
        <v/>
      </c>
      <c r="BI403" s="51">
        <f>IF($BG403="","",$BG403+ROTop)</f>
        <v/>
      </c>
      <c r="BJ403" s="52">
        <f>IF(OR(N($BC403)=0,$BA403=""),"",$BA403/$BC403-ClearDeduct)</f>
        <v/>
      </c>
      <c r="BK403" s="49">
        <f>IF(OR(N($BC403)=0,$BE403=""),"",IF(OR($AC403="HGC",$AP403="HGC"),"CONT",IF($BE403&lt;=60,2,IF($BE403&lt;=90,3,IF($BE403&lt;=120,4,5)))))</f>
        <v/>
      </c>
      <c r="BL403" s="49">
        <f>IF(N($BC403)=0,"",IF(OR($AL403="",$AL403="FLUSH"),"FLUSH",IFERROR(LEFT($AL403,FIND("-",$AL403)-1),LEFT($AL403,2))))</f>
        <v/>
      </c>
      <c r="BM403" s="49">
        <f>IF($BL403="","",IFERROR(VALUE(MID($AL403,FIND("-",$AL403)+1,FIND(CHAR(34)&amp;"x",$AL403)-FIND("-",$AL403)-1)),0))</f>
        <v/>
      </c>
      <c r="BN403" s="49">
        <f>IF($BL403="","",IFERROR(VALUE(MID($AL403,FIND(CHAR(34)&amp;"x",$AL403)+2,FIND(CHAR(34),$AL403,FIND(CHAR(34)&amp;"x",$AL403)+2)-FIND(CHAR(34)&amp;"x",$AL403)-2)),0))</f>
        <v/>
      </c>
      <c r="BO403" s="53">
        <f>IF(OR($A403="",$H403="",$H403="NO LAB"),0,IFERROR(VALUE(LEFT($H403,FIND(" ",$H403)-1)),0))</f>
        <v/>
      </c>
      <c r="BP403" s="54">
        <f>IF(OR($A403="",$I403="",$I403="NON-RATED",N($J403)=0),"",IFERROR(VLOOKUP($I403&amp;"|"&amp;$J403,IBC,2,FALSE),"?"))</f>
        <v/>
      </c>
      <c r="BQ403" s="50">
        <f>IF(NOT(AND($A403&lt;&gt;"",$C403&lt;&gt;"DOOR ONLY")),"",TRIM(IFERROR(VLOOKUP($U403,CODES,2,FALSE),"")&amp;" "&amp;$AZ403&amp;" "&amp;IFERROR(VLOOKUP($Z403,CODES,2,FALSE),"")&amp;" "&amp;IFERROR(VLOOKUP($X403,CODES,2,FALSE),"")&amp;" "&amp;IFERROR(VLOOKUP($S403,CODES,2,FALSE),"")&amp;IF(N($P403)&gt;0," w/TRANSOM "&amp;$P403&amp;CHAR(34),"")&amp;IF(N($Q403)&gt;0," w/SIDELITE "&amp;$Q403&amp;CHAR(34)&amp;" "&amp;IF($R403="","R",$R403),"")&amp;IF($Y403="","  |  "," | "&amp;IFERROR(VLOOKUP($Y403,CODES,2,FALSE),"")&amp;" | ")&amp;IFERROR(VLOOKUP($AC403,CODES,2,FALSE),"")&amp;" "&amp;IFERROR(VLOOKUP($AD403,CODES,2,FALSE),"")&amp;IF(OR($AE403="",$AE403="-"),""," "&amp;$AE403)&amp;IF(OR($AF403="",$AF403="-"),""," "&amp;$AF403)&amp;IF($AB403="Y"," 4"&amp;CHAR(34)&amp;" HEAD","")&amp;" "&amp;IFERROR(VLOOKUP($H403,CODES,2,FALSE),"")))</f>
        <v/>
      </c>
      <c r="BR403" s="50">
        <f>IF(NOT(AND($A403&lt;&gt;"",N($BC403)&gt;0)),"",TRIM(IFERROR(VLOOKUP($AH403,CODES,2,FALSE),"")&amp;IF($AI403=""," "," "&amp;$AI403&amp;"GA ")&amp;$AZ403&amp;" "&amp;IF($AN403="",IFERROR(VLOOKUP($Z403,CODES,2,FALSE),""),IFERROR(VLOOKUP($AN403,CODES,2,FALSE),""))&amp;IF($BC403=2," PAIR","")&amp;" DOOR | "&amp;IF($AL403="","?",$AL403)&amp;" | "&amp;IF($AP403="",IFERROR(VLOOKUP($AC403,CODES,2,FALSE),""),IFERROR(VLOOKUP($AP403,CODES,2,FALSE),""))&amp;" "&amp;IFERROR(VLOOKUP($AQ403,CODES,2,FALSE),"")&amp;IF(OR($AR403="",$AR403="-"),""," SEAM "&amp;$AR403)&amp;IF($AS403="Y"," ASTRAGAL","")&amp;IF($AJ403=""," "," "&amp;$AJ403)&amp;IF($AK403=""," "," "&amp;$AK403)&amp;IF($AO403="",""," "&amp;$AO403)&amp;IF($AM403=""," "," SERIES "&amp;$AM403)&amp;" "&amp;IFERROR(VLOOKUP($H403,CODES,2,FALSE),"")))</f>
        <v/>
      </c>
      <c r="BS403" s="49">
        <f>IF(BV403="","",IF(COUNTIF($BV$6:BV403,BV403)=1,MAX($BS$5:BS402)+1,INDEX($BS$5:BS402,MATCH(BV403,$BV$5:BV402,0))))</f>
        <v/>
      </c>
      <c r="BT403" s="49">
        <f>IF(NOT(AND($A403&lt;&gt;"",$C403&lt;&gt;"DOOR ONLY")),"",MAX($BT$5:BT402)+1)</f>
        <v/>
      </c>
      <c r="BU403" s="49">
        <f>IF(NOT(AND($A403&lt;&gt;"",N($BC403)&gt;0)),"",MAX($BU$5:BU402)+1)</f>
        <v/>
      </c>
      <c r="BV403" s="49">
        <f>IF(OR($A403="",$BA403="",$BB403=""),"",$AZ403&amp;"|"&amp;$O403&amp;"|"&amp;$AL403&amp;"|"&amp;$S403&amp;"|"&amp;$P403&amp;"|"&amp;$Q403&amp;$R403&amp;"|"&amp;$C403&amp;"|"&amp;$AB403)</f>
        <v/>
      </c>
      <c r="BW403" s="49">
        <f>IF($A403="","",IF($B403="","qty, ","")&amp;IF($C403="","scope, ","")&amp;IF(OR($K403="",$M403=""),"size, ","")&amp;IF(AND($A403&lt;&gt;"",$C403&lt;&gt;"DOOR ONLY"),IF($U403="","jamb depth, ","")&amp;IF($X403="","construction, ","")&amp;IF($Y403="","anchor, ","")&amp;IF($S403="","frame type, ",""),"")&amp;IF(AND(N($BC403)&gt;0,$Z403=""),"hand, ","")&amp;IF(N($BC403)&gt;0,IF($AH403="","door material, ","")&amp;IF($AL403="","face type, ","")&amp;IF($AQ403="","lock prep, ","")&amp;IF(AND($AP403="",$AC403=""),"hinge prep, ",""),"")&amp;IF(AND($BO403&gt;0,$AH403="FRP"),"FRP cannot carry a label, ","")&amp;IF(AND($O403="Y",OR($Z403="L",$Z403="R",$Z403="LR",$Z403="RR")),"pair marked but hand is single, ","")&amp;IF(AND($O403&lt;&gt;"Y",OR($Z403="PR",AND(LEN($Z403)&gt;1,ISNUMBER(SEARCH("-",$Z403))))),"pair hand on a single door, ","")&amp;IF(AND(ISNUMBER($BP403),$BO403&lt;N($BP403)),"wall needs a "&amp;$BP403&amp;" min door, ","")&amp;IF(AND($BO403&gt;=180,AND(OR($BL403="FG",$BL403="HG",$BL403="FNV",$BL403="FV"),N($BM403)*N($BN403)&gt;100)),"180 min lite over 100 sq in, ","")&amp;IF(N($BD403)&gt;48,"leaf wider than 4'-0"&amp;CHAR(34)&amp;", ",""))</f>
        <v/>
      </c>
      <c r="BX403" s="49">
        <f>IF($A403="","",IF(AND($BO403&gt;0,AND($A403&lt;&gt;"",$C403&lt;&gt;"DOOR ONLY"),$X403="KD",$E403="EXTERIOR"),"KD label on an exterior opening, ","")&amp;IF(AND($E403="EXTERIOR",OR(AND(AND($A403&lt;&gt;"",$C403&lt;&gt;"DOOR ONLY"),$W403="CR"),AND(N($BC403)&gt;0,$AH403="CR"))),"exterior in CR steel (G9?), ","")&amp;IF(AND(ISNUMBER($BJ403),N($BJ403)&lt;32),"clear width ~"&amp;TEXT($BJ403,"0.0")&amp;CHAR(34)&amp;" under 32"&amp;CHAR(34)&amp;" (ADA), ","")&amp;IF(AND($BO403=90,AND(OR($BL403="FG",$BL403="HG",$BL403="FNV",$BL403="FV"),N($BM403)*N($BN403)&gt;100)),"90 min lite over 100 sq in (stair/exit), ","")&amp;IF(AND($BO403&gt;0,AND($A403&lt;&gt;"",$C403&lt;&gt;"DOOR ONLY"),OR($AF403="",$AF403="-")),"rated: closer reinf.?, ","")&amp;IF(OR($I403="CORRIDOR",$I403="SMOKE BARRIER"),"S label + smoke gasketing, ","")&amp;IF($BP403="?","wall type/hr not in IBC table, ","")&amp;IF(AND(N($BC403)&gt;0,$AU403=""),"no hardware set, ","")&amp;IF(AND($AU403&lt;&gt;"",ISNA(MATCH($AU403,HWSets,0))),"set "&amp;$AU403&amp;" not on Hardware sheet, ","")&amp;IF(N($BE403)&gt;96,"leaf over 8'-0"&amp;CHAR(34)&amp;" - check listing, ",""))</f>
        <v/>
      </c>
    </row>
    <row r="404" ht="15" customHeight="1">
      <c r="A404" s="44" t="n"/>
      <c r="B404" s="45" t="n"/>
      <c r="C404" s="45" t="n"/>
      <c r="D404" s="45" t="n"/>
      <c r="E404" s="45" t="n"/>
      <c r="F404" s="45" t="n"/>
      <c r="G404" s="45" t="n"/>
      <c r="H404" s="45" t="n"/>
      <c r="I404" s="45" t="n"/>
      <c r="J404" s="45" t="n"/>
      <c r="K404" s="45" t="n"/>
      <c r="L404" s="45" t="n"/>
      <c r="M404" s="45" t="n"/>
      <c r="N404" s="45" t="n"/>
      <c r="O404" s="45" t="n"/>
      <c r="P404" s="45" t="n"/>
      <c r="Q404" s="45" t="n"/>
      <c r="R404" s="45" t="n"/>
      <c r="S404" s="46" t="n"/>
      <c r="T404" s="46" t="n"/>
      <c r="U404" s="46" t="n"/>
      <c r="V404" s="46" t="n"/>
      <c r="W404" s="46" t="n"/>
      <c r="X404" s="46" t="n"/>
      <c r="Y404" s="46" t="n"/>
      <c r="Z404" s="46" t="n"/>
      <c r="AA404" s="46" t="n"/>
      <c r="AB404" s="46" t="n"/>
      <c r="AC404" s="46" t="n"/>
      <c r="AD404" s="46" t="n"/>
      <c r="AE404" s="46" t="n"/>
      <c r="AF404" s="46" t="n"/>
      <c r="AG404" s="46" t="n"/>
      <c r="AH404" s="47" t="n"/>
      <c r="AI404" s="47" t="n"/>
      <c r="AJ404" s="47" t="n"/>
      <c r="AK404" s="47" t="n"/>
      <c r="AL404" s="47" t="n"/>
      <c r="AM404" s="47" t="n"/>
      <c r="AN404" s="47" t="n"/>
      <c r="AO404" s="47" t="n"/>
      <c r="AP404" s="47" t="n"/>
      <c r="AQ404" s="47" t="n"/>
      <c r="AR404" s="47" t="n"/>
      <c r="AS404" s="47" t="n"/>
      <c r="AT404" s="47" t="n"/>
      <c r="AU404" s="48" t="n"/>
      <c r="AV404" s="48" t="n"/>
      <c r="AW404" s="49">
        <f>IF($A404="","",IF($BW404&lt;&gt;"","FIX",IF($BX404&lt;&gt;"","CHECK","OK")))</f>
        <v/>
      </c>
      <c r="AX404" s="50">
        <f>IF($A404="","",IF($BW404&lt;&gt;"","FIX: "&amp;LEFT($BW404,LEN($BW404)-2)&amp;IF($BX404&lt;&gt;"","  ·  ",""),"")&amp;IF($BX404&lt;&gt;"","CHECK: "&amp;LEFT($BX404,LEN($BX404)-2),""))</f>
        <v/>
      </c>
      <c r="AY404" s="49">
        <f>IF(OR($A404="",$K404=""),"",$K404&amp;"'-"&amp;N($L404)&amp;CHAR(34)&amp;" x "&amp;$M404&amp;"'-"&amp;N($N404)&amp;CHAR(34))</f>
        <v/>
      </c>
      <c r="AZ404" s="49">
        <f>IF(OR($A404="",$K404=""),"",$K404&amp;N($L404)&amp;$M404&amp;N($N404))</f>
        <v/>
      </c>
      <c r="BA404" s="49">
        <f>IF(OR($A404="",$K404=""),"",$K404*12+N($L404))</f>
        <v/>
      </c>
      <c r="BB404" s="49">
        <f>IF(OR($A404="",$M404=""),"",$M404*12+N($N404))</f>
        <v/>
      </c>
      <c r="BC404" s="49">
        <f>IF($A404="","",IF(OR($C404="FRAME ONLY",$S404="BL"),0,IF($O404="Y",2,1)))</f>
        <v/>
      </c>
      <c r="BD404" s="51">
        <f>IF(OR(N($BC404)=0,$BA404=""),"",($BA404-2*EdgeClr-IF($BC404=2,MeetClr,0))/$BC404)</f>
        <v/>
      </c>
      <c r="BE404" s="51">
        <f>IF(OR(N($BC404)=0,$BB404=""),"",$BB404-HeadClr-Undercut)</f>
        <v/>
      </c>
      <c r="BF404" s="51">
        <f>IF($BA404="","",$BA404+2*FaceW+IF(N($Q404)&gt;0,($Q404+FaceW)*IF($R404="LR",2,1),0))</f>
        <v/>
      </c>
      <c r="BG404" s="51">
        <f>IF($BB404="","",$BB404+IF($AB404="Y",4,FaceW)+IF(N($P404)&gt;0,$P404+FaceW,0)+IF(OR($S404="4F",$S404="BL"),FaceW,0))</f>
        <v/>
      </c>
      <c r="BH404" s="51">
        <f>IF($BF404="","",$BF404+2*ROSide)</f>
        <v/>
      </c>
      <c r="BI404" s="51">
        <f>IF($BG404="","",$BG404+ROTop)</f>
        <v/>
      </c>
      <c r="BJ404" s="52">
        <f>IF(OR(N($BC404)=0,$BA404=""),"",$BA404/$BC404-ClearDeduct)</f>
        <v/>
      </c>
      <c r="BK404" s="49">
        <f>IF(OR(N($BC404)=0,$BE404=""),"",IF(OR($AC404="HGC",$AP404="HGC"),"CONT",IF($BE404&lt;=60,2,IF($BE404&lt;=90,3,IF($BE404&lt;=120,4,5)))))</f>
        <v/>
      </c>
      <c r="BL404" s="49">
        <f>IF(N($BC404)=0,"",IF(OR($AL404="",$AL404="FLUSH"),"FLUSH",IFERROR(LEFT($AL404,FIND("-",$AL404)-1),LEFT($AL404,2))))</f>
        <v/>
      </c>
      <c r="BM404" s="49">
        <f>IF($BL404="","",IFERROR(VALUE(MID($AL404,FIND("-",$AL404)+1,FIND(CHAR(34)&amp;"x",$AL404)-FIND("-",$AL404)-1)),0))</f>
        <v/>
      </c>
      <c r="BN404" s="49">
        <f>IF($BL404="","",IFERROR(VALUE(MID($AL404,FIND(CHAR(34)&amp;"x",$AL404)+2,FIND(CHAR(34),$AL404,FIND(CHAR(34)&amp;"x",$AL404)+2)-FIND(CHAR(34)&amp;"x",$AL404)-2)),0))</f>
        <v/>
      </c>
      <c r="BO404" s="53">
        <f>IF(OR($A404="",$H404="",$H404="NO LAB"),0,IFERROR(VALUE(LEFT($H404,FIND(" ",$H404)-1)),0))</f>
        <v/>
      </c>
      <c r="BP404" s="54">
        <f>IF(OR($A404="",$I404="",$I404="NON-RATED",N($J404)=0),"",IFERROR(VLOOKUP($I404&amp;"|"&amp;$J404,IBC,2,FALSE),"?"))</f>
        <v/>
      </c>
      <c r="BQ404" s="50">
        <f>IF(NOT(AND($A404&lt;&gt;"",$C404&lt;&gt;"DOOR ONLY")),"",TRIM(IFERROR(VLOOKUP($U404,CODES,2,FALSE),"")&amp;" "&amp;$AZ404&amp;" "&amp;IFERROR(VLOOKUP($Z404,CODES,2,FALSE),"")&amp;" "&amp;IFERROR(VLOOKUP($X404,CODES,2,FALSE),"")&amp;" "&amp;IFERROR(VLOOKUP($S404,CODES,2,FALSE),"")&amp;IF(N($P404)&gt;0," w/TRANSOM "&amp;$P404&amp;CHAR(34),"")&amp;IF(N($Q404)&gt;0," w/SIDELITE "&amp;$Q404&amp;CHAR(34)&amp;" "&amp;IF($R404="","R",$R404),"")&amp;IF($Y404="","  |  "," | "&amp;IFERROR(VLOOKUP($Y404,CODES,2,FALSE),"")&amp;" | ")&amp;IFERROR(VLOOKUP($AC404,CODES,2,FALSE),"")&amp;" "&amp;IFERROR(VLOOKUP($AD404,CODES,2,FALSE),"")&amp;IF(OR($AE404="",$AE404="-"),""," "&amp;$AE404)&amp;IF(OR($AF404="",$AF404="-"),""," "&amp;$AF404)&amp;IF($AB404="Y"," 4"&amp;CHAR(34)&amp;" HEAD","")&amp;" "&amp;IFERROR(VLOOKUP($H404,CODES,2,FALSE),"")))</f>
        <v/>
      </c>
      <c r="BR404" s="50">
        <f>IF(NOT(AND($A404&lt;&gt;"",N($BC404)&gt;0)),"",TRIM(IFERROR(VLOOKUP($AH404,CODES,2,FALSE),"")&amp;IF($AI404=""," "," "&amp;$AI404&amp;"GA ")&amp;$AZ404&amp;" "&amp;IF($AN404="",IFERROR(VLOOKUP($Z404,CODES,2,FALSE),""),IFERROR(VLOOKUP($AN404,CODES,2,FALSE),""))&amp;IF($BC404=2," PAIR","")&amp;" DOOR | "&amp;IF($AL404="","?",$AL404)&amp;" | "&amp;IF($AP404="",IFERROR(VLOOKUP($AC404,CODES,2,FALSE),""),IFERROR(VLOOKUP($AP404,CODES,2,FALSE),""))&amp;" "&amp;IFERROR(VLOOKUP($AQ404,CODES,2,FALSE),"")&amp;IF(OR($AR404="",$AR404="-"),""," SEAM "&amp;$AR404)&amp;IF($AS404="Y"," ASTRAGAL","")&amp;IF($AJ404=""," "," "&amp;$AJ404)&amp;IF($AK404=""," "," "&amp;$AK404)&amp;IF($AO404="",""," "&amp;$AO404)&amp;IF($AM404=""," "," SERIES "&amp;$AM404)&amp;" "&amp;IFERROR(VLOOKUP($H404,CODES,2,FALSE),"")))</f>
        <v/>
      </c>
      <c r="BS404" s="49">
        <f>IF(BV404="","",IF(COUNTIF($BV$6:BV404,BV404)=1,MAX($BS$5:BS403)+1,INDEX($BS$5:BS403,MATCH(BV404,$BV$5:BV403,0))))</f>
        <v/>
      </c>
      <c r="BT404" s="49">
        <f>IF(NOT(AND($A404&lt;&gt;"",$C404&lt;&gt;"DOOR ONLY")),"",MAX($BT$5:BT403)+1)</f>
        <v/>
      </c>
      <c r="BU404" s="49">
        <f>IF(NOT(AND($A404&lt;&gt;"",N($BC404)&gt;0)),"",MAX($BU$5:BU403)+1)</f>
        <v/>
      </c>
      <c r="BV404" s="49">
        <f>IF(OR($A404="",$BA404="",$BB404=""),"",$AZ404&amp;"|"&amp;$O404&amp;"|"&amp;$AL404&amp;"|"&amp;$S404&amp;"|"&amp;$P404&amp;"|"&amp;$Q404&amp;$R404&amp;"|"&amp;$C404&amp;"|"&amp;$AB404)</f>
        <v/>
      </c>
      <c r="BW404" s="49">
        <f>IF($A404="","",IF($B404="","qty, ","")&amp;IF($C404="","scope, ","")&amp;IF(OR($K404="",$M404=""),"size, ","")&amp;IF(AND($A404&lt;&gt;"",$C404&lt;&gt;"DOOR ONLY"),IF($U404="","jamb depth, ","")&amp;IF($X404="","construction, ","")&amp;IF($Y404="","anchor, ","")&amp;IF($S404="","frame type, ",""),"")&amp;IF(AND(N($BC404)&gt;0,$Z404=""),"hand, ","")&amp;IF(N($BC404)&gt;0,IF($AH404="","door material, ","")&amp;IF($AL404="","face type, ","")&amp;IF($AQ404="","lock prep, ","")&amp;IF(AND($AP404="",$AC404=""),"hinge prep, ",""),"")&amp;IF(AND($BO404&gt;0,$AH404="FRP"),"FRP cannot carry a label, ","")&amp;IF(AND($O404="Y",OR($Z404="L",$Z404="R",$Z404="LR",$Z404="RR")),"pair marked but hand is single, ","")&amp;IF(AND($O404&lt;&gt;"Y",OR($Z404="PR",AND(LEN($Z404)&gt;1,ISNUMBER(SEARCH("-",$Z404))))),"pair hand on a single door, ","")&amp;IF(AND(ISNUMBER($BP404),$BO404&lt;N($BP404)),"wall needs a "&amp;$BP404&amp;" min door, ","")&amp;IF(AND($BO404&gt;=180,AND(OR($BL404="FG",$BL404="HG",$BL404="FNV",$BL404="FV"),N($BM404)*N($BN404)&gt;100)),"180 min lite over 100 sq in, ","")&amp;IF(N($BD404)&gt;48,"leaf wider than 4'-0"&amp;CHAR(34)&amp;", ",""))</f>
        <v/>
      </c>
      <c r="BX404" s="49">
        <f>IF($A404="","",IF(AND($BO404&gt;0,AND($A404&lt;&gt;"",$C404&lt;&gt;"DOOR ONLY"),$X404="KD",$E404="EXTERIOR"),"KD label on an exterior opening, ","")&amp;IF(AND($E404="EXTERIOR",OR(AND(AND($A404&lt;&gt;"",$C404&lt;&gt;"DOOR ONLY"),$W404="CR"),AND(N($BC404)&gt;0,$AH404="CR"))),"exterior in CR steel (G9?), ","")&amp;IF(AND(ISNUMBER($BJ404),N($BJ404)&lt;32),"clear width ~"&amp;TEXT($BJ404,"0.0")&amp;CHAR(34)&amp;" under 32"&amp;CHAR(34)&amp;" (ADA), ","")&amp;IF(AND($BO404=90,AND(OR($BL404="FG",$BL404="HG",$BL404="FNV",$BL404="FV"),N($BM404)*N($BN404)&gt;100)),"90 min lite over 100 sq in (stair/exit), ","")&amp;IF(AND($BO404&gt;0,AND($A404&lt;&gt;"",$C404&lt;&gt;"DOOR ONLY"),OR($AF404="",$AF404="-")),"rated: closer reinf.?, ","")&amp;IF(OR($I404="CORRIDOR",$I404="SMOKE BARRIER"),"S label + smoke gasketing, ","")&amp;IF($BP404="?","wall type/hr not in IBC table, ","")&amp;IF(AND(N($BC404)&gt;0,$AU404=""),"no hardware set, ","")&amp;IF(AND($AU404&lt;&gt;"",ISNA(MATCH($AU404,HWSets,0))),"set "&amp;$AU404&amp;" not on Hardware sheet, ","")&amp;IF(N($BE404)&gt;96,"leaf over 8'-0"&amp;CHAR(34)&amp;" - check listing, ",""))</f>
        <v/>
      </c>
    </row>
    <row r="405" ht="15" customHeight="1">
      <c r="A405" s="44" t="n"/>
      <c r="B405" s="45" t="n"/>
      <c r="C405" s="45" t="n"/>
      <c r="D405" s="45" t="n"/>
      <c r="E405" s="45" t="n"/>
      <c r="F405" s="45" t="n"/>
      <c r="G405" s="45" t="n"/>
      <c r="H405" s="45" t="n"/>
      <c r="I405" s="45" t="n"/>
      <c r="J405" s="45" t="n"/>
      <c r="K405" s="45" t="n"/>
      <c r="L405" s="45" t="n"/>
      <c r="M405" s="45" t="n"/>
      <c r="N405" s="45" t="n"/>
      <c r="O405" s="45" t="n"/>
      <c r="P405" s="45" t="n"/>
      <c r="Q405" s="45" t="n"/>
      <c r="R405" s="45" t="n"/>
      <c r="S405" s="46" t="n"/>
      <c r="T405" s="46" t="n"/>
      <c r="U405" s="46" t="n"/>
      <c r="V405" s="46" t="n"/>
      <c r="W405" s="46" t="n"/>
      <c r="X405" s="46" t="n"/>
      <c r="Y405" s="46" t="n"/>
      <c r="Z405" s="46" t="n"/>
      <c r="AA405" s="46" t="n"/>
      <c r="AB405" s="46" t="n"/>
      <c r="AC405" s="46" t="n"/>
      <c r="AD405" s="46" t="n"/>
      <c r="AE405" s="46" t="n"/>
      <c r="AF405" s="46" t="n"/>
      <c r="AG405" s="46" t="n"/>
      <c r="AH405" s="47" t="n"/>
      <c r="AI405" s="47" t="n"/>
      <c r="AJ405" s="47" t="n"/>
      <c r="AK405" s="47" t="n"/>
      <c r="AL405" s="47" t="n"/>
      <c r="AM405" s="47" t="n"/>
      <c r="AN405" s="47" t="n"/>
      <c r="AO405" s="47" t="n"/>
      <c r="AP405" s="47" t="n"/>
      <c r="AQ405" s="47" t="n"/>
      <c r="AR405" s="47" t="n"/>
      <c r="AS405" s="47" t="n"/>
      <c r="AT405" s="47" t="n"/>
      <c r="AU405" s="48" t="n"/>
      <c r="AV405" s="48" t="n"/>
      <c r="AW405" s="49">
        <f>IF($A405="","",IF($BW405&lt;&gt;"","FIX",IF($BX405&lt;&gt;"","CHECK","OK")))</f>
        <v/>
      </c>
      <c r="AX405" s="50">
        <f>IF($A405="","",IF($BW405&lt;&gt;"","FIX: "&amp;LEFT($BW405,LEN($BW405)-2)&amp;IF($BX405&lt;&gt;"","  ·  ",""),"")&amp;IF($BX405&lt;&gt;"","CHECK: "&amp;LEFT($BX405,LEN($BX405)-2),""))</f>
        <v/>
      </c>
      <c r="AY405" s="49">
        <f>IF(OR($A405="",$K405=""),"",$K405&amp;"'-"&amp;N($L405)&amp;CHAR(34)&amp;" x "&amp;$M405&amp;"'-"&amp;N($N405)&amp;CHAR(34))</f>
        <v/>
      </c>
      <c r="AZ405" s="49">
        <f>IF(OR($A405="",$K405=""),"",$K405&amp;N($L405)&amp;$M405&amp;N($N405))</f>
        <v/>
      </c>
      <c r="BA405" s="49">
        <f>IF(OR($A405="",$K405=""),"",$K405*12+N($L405))</f>
        <v/>
      </c>
      <c r="BB405" s="49">
        <f>IF(OR($A405="",$M405=""),"",$M405*12+N($N405))</f>
        <v/>
      </c>
      <c r="BC405" s="49">
        <f>IF($A405="","",IF(OR($C405="FRAME ONLY",$S405="BL"),0,IF($O405="Y",2,1)))</f>
        <v/>
      </c>
      <c r="BD405" s="51">
        <f>IF(OR(N($BC405)=0,$BA405=""),"",($BA405-2*EdgeClr-IF($BC405=2,MeetClr,0))/$BC405)</f>
        <v/>
      </c>
      <c r="BE405" s="51">
        <f>IF(OR(N($BC405)=0,$BB405=""),"",$BB405-HeadClr-Undercut)</f>
        <v/>
      </c>
      <c r="BF405" s="51">
        <f>IF($BA405="","",$BA405+2*FaceW+IF(N($Q405)&gt;0,($Q405+FaceW)*IF($R405="LR",2,1),0))</f>
        <v/>
      </c>
      <c r="BG405" s="51">
        <f>IF($BB405="","",$BB405+IF($AB405="Y",4,FaceW)+IF(N($P405)&gt;0,$P405+FaceW,0)+IF(OR($S405="4F",$S405="BL"),FaceW,0))</f>
        <v/>
      </c>
      <c r="BH405" s="51">
        <f>IF($BF405="","",$BF405+2*ROSide)</f>
        <v/>
      </c>
      <c r="BI405" s="51">
        <f>IF($BG405="","",$BG405+ROTop)</f>
        <v/>
      </c>
      <c r="BJ405" s="52">
        <f>IF(OR(N($BC405)=0,$BA405=""),"",$BA405/$BC405-ClearDeduct)</f>
        <v/>
      </c>
      <c r="BK405" s="49">
        <f>IF(OR(N($BC405)=0,$BE405=""),"",IF(OR($AC405="HGC",$AP405="HGC"),"CONT",IF($BE405&lt;=60,2,IF($BE405&lt;=90,3,IF($BE405&lt;=120,4,5)))))</f>
        <v/>
      </c>
      <c r="BL405" s="49">
        <f>IF(N($BC405)=0,"",IF(OR($AL405="",$AL405="FLUSH"),"FLUSH",IFERROR(LEFT($AL405,FIND("-",$AL405)-1),LEFT($AL405,2))))</f>
        <v/>
      </c>
      <c r="BM405" s="49">
        <f>IF($BL405="","",IFERROR(VALUE(MID($AL405,FIND("-",$AL405)+1,FIND(CHAR(34)&amp;"x",$AL405)-FIND("-",$AL405)-1)),0))</f>
        <v/>
      </c>
      <c r="BN405" s="49">
        <f>IF($BL405="","",IFERROR(VALUE(MID($AL405,FIND(CHAR(34)&amp;"x",$AL405)+2,FIND(CHAR(34),$AL405,FIND(CHAR(34)&amp;"x",$AL405)+2)-FIND(CHAR(34)&amp;"x",$AL405)-2)),0))</f>
        <v/>
      </c>
      <c r="BO405" s="53">
        <f>IF(OR($A405="",$H405="",$H405="NO LAB"),0,IFERROR(VALUE(LEFT($H405,FIND(" ",$H405)-1)),0))</f>
        <v/>
      </c>
      <c r="BP405" s="54">
        <f>IF(OR($A405="",$I405="",$I405="NON-RATED",N($J405)=0),"",IFERROR(VLOOKUP($I405&amp;"|"&amp;$J405,IBC,2,FALSE),"?"))</f>
        <v/>
      </c>
      <c r="BQ405" s="50">
        <f>IF(NOT(AND($A405&lt;&gt;"",$C405&lt;&gt;"DOOR ONLY")),"",TRIM(IFERROR(VLOOKUP($U405,CODES,2,FALSE),"")&amp;" "&amp;$AZ405&amp;" "&amp;IFERROR(VLOOKUP($Z405,CODES,2,FALSE),"")&amp;" "&amp;IFERROR(VLOOKUP($X405,CODES,2,FALSE),"")&amp;" "&amp;IFERROR(VLOOKUP($S405,CODES,2,FALSE),"")&amp;IF(N($P405)&gt;0," w/TRANSOM "&amp;$P405&amp;CHAR(34),"")&amp;IF(N($Q405)&gt;0," w/SIDELITE "&amp;$Q405&amp;CHAR(34)&amp;" "&amp;IF($R405="","R",$R405),"")&amp;IF($Y405="","  |  "," | "&amp;IFERROR(VLOOKUP($Y405,CODES,2,FALSE),"")&amp;" | ")&amp;IFERROR(VLOOKUP($AC405,CODES,2,FALSE),"")&amp;" "&amp;IFERROR(VLOOKUP($AD405,CODES,2,FALSE),"")&amp;IF(OR($AE405="",$AE405="-"),""," "&amp;$AE405)&amp;IF(OR($AF405="",$AF405="-"),""," "&amp;$AF405)&amp;IF($AB405="Y"," 4"&amp;CHAR(34)&amp;" HEAD","")&amp;" "&amp;IFERROR(VLOOKUP($H405,CODES,2,FALSE),"")))</f>
        <v/>
      </c>
      <c r="BR405" s="50">
        <f>IF(NOT(AND($A405&lt;&gt;"",N($BC405)&gt;0)),"",TRIM(IFERROR(VLOOKUP($AH405,CODES,2,FALSE),"")&amp;IF($AI405=""," "," "&amp;$AI405&amp;"GA ")&amp;$AZ405&amp;" "&amp;IF($AN405="",IFERROR(VLOOKUP($Z405,CODES,2,FALSE),""),IFERROR(VLOOKUP($AN405,CODES,2,FALSE),""))&amp;IF($BC405=2," PAIR","")&amp;" DOOR | "&amp;IF($AL405="","?",$AL405)&amp;" | "&amp;IF($AP405="",IFERROR(VLOOKUP($AC405,CODES,2,FALSE),""),IFERROR(VLOOKUP($AP405,CODES,2,FALSE),""))&amp;" "&amp;IFERROR(VLOOKUP($AQ405,CODES,2,FALSE),"")&amp;IF(OR($AR405="",$AR405="-"),""," SEAM "&amp;$AR405)&amp;IF($AS405="Y"," ASTRAGAL","")&amp;IF($AJ405=""," "," "&amp;$AJ405)&amp;IF($AK405=""," "," "&amp;$AK405)&amp;IF($AO405="",""," "&amp;$AO405)&amp;IF($AM405=""," "," SERIES "&amp;$AM405)&amp;" "&amp;IFERROR(VLOOKUP($H405,CODES,2,FALSE),"")))</f>
        <v/>
      </c>
      <c r="BS405" s="49">
        <f>IF(BV405="","",IF(COUNTIF($BV$6:BV405,BV405)=1,MAX($BS$5:BS404)+1,INDEX($BS$5:BS404,MATCH(BV405,$BV$5:BV404,0))))</f>
        <v/>
      </c>
      <c r="BT405" s="49">
        <f>IF(NOT(AND($A405&lt;&gt;"",$C405&lt;&gt;"DOOR ONLY")),"",MAX($BT$5:BT404)+1)</f>
        <v/>
      </c>
      <c r="BU405" s="49">
        <f>IF(NOT(AND($A405&lt;&gt;"",N($BC405)&gt;0)),"",MAX($BU$5:BU404)+1)</f>
        <v/>
      </c>
      <c r="BV405" s="49">
        <f>IF(OR($A405="",$BA405="",$BB405=""),"",$AZ405&amp;"|"&amp;$O405&amp;"|"&amp;$AL405&amp;"|"&amp;$S405&amp;"|"&amp;$P405&amp;"|"&amp;$Q405&amp;$R405&amp;"|"&amp;$C405&amp;"|"&amp;$AB405)</f>
        <v/>
      </c>
      <c r="BW405" s="49">
        <f>IF($A405="","",IF($B405="","qty, ","")&amp;IF($C405="","scope, ","")&amp;IF(OR($K405="",$M405=""),"size, ","")&amp;IF(AND($A405&lt;&gt;"",$C405&lt;&gt;"DOOR ONLY"),IF($U405="","jamb depth, ","")&amp;IF($X405="","construction, ","")&amp;IF($Y405="","anchor, ","")&amp;IF($S405="","frame type, ",""),"")&amp;IF(AND(N($BC405)&gt;0,$Z405=""),"hand, ","")&amp;IF(N($BC405)&gt;0,IF($AH405="","door material, ","")&amp;IF($AL405="","face type, ","")&amp;IF($AQ405="","lock prep, ","")&amp;IF(AND($AP405="",$AC405=""),"hinge prep, ",""),"")&amp;IF(AND($BO405&gt;0,$AH405="FRP"),"FRP cannot carry a label, ","")&amp;IF(AND($O405="Y",OR($Z405="L",$Z405="R",$Z405="LR",$Z405="RR")),"pair marked but hand is single, ","")&amp;IF(AND($O405&lt;&gt;"Y",OR($Z405="PR",AND(LEN($Z405)&gt;1,ISNUMBER(SEARCH("-",$Z405))))),"pair hand on a single door, ","")&amp;IF(AND(ISNUMBER($BP405),$BO405&lt;N($BP405)),"wall needs a "&amp;$BP405&amp;" min door, ","")&amp;IF(AND($BO405&gt;=180,AND(OR($BL405="FG",$BL405="HG",$BL405="FNV",$BL405="FV"),N($BM405)*N($BN405)&gt;100)),"180 min lite over 100 sq in, ","")&amp;IF(N($BD405)&gt;48,"leaf wider than 4'-0"&amp;CHAR(34)&amp;", ",""))</f>
        <v/>
      </c>
      <c r="BX405" s="49">
        <f>IF($A405="","",IF(AND($BO405&gt;0,AND($A405&lt;&gt;"",$C405&lt;&gt;"DOOR ONLY"),$X405="KD",$E405="EXTERIOR"),"KD label on an exterior opening, ","")&amp;IF(AND($E405="EXTERIOR",OR(AND(AND($A405&lt;&gt;"",$C405&lt;&gt;"DOOR ONLY"),$W405="CR"),AND(N($BC405)&gt;0,$AH405="CR"))),"exterior in CR steel (G9?), ","")&amp;IF(AND(ISNUMBER($BJ405),N($BJ405)&lt;32),"clear width ~"&amp;TEXT($BJ405,"0.0")&amp;CHAR(34)&amp;" under 32"&amp;CHAR(34)&amp;" (ADA), ","")&amp;IF(AND($BO405=90,AND(OR($BL405="FG",$BL405="HG",$BL405="FNV",$BL405="FV"),N($BM405)*N($BN405)&gt;100)),"90 min lite over 100 sq in (stair/exit), ","")&amp;IF(AND($BO405&gt;0,AND($A405&lt;&gt;"",$C405&lt;&gt;"DOOR ONLY"),OR($AF405="",$AF405="-")),"rated: closer reinf.?, ","")&amp;IF(OR($I405="CORRIDOR",$I405="SMOKE BARRIER"),"S label + smoke gasketing, ","")&amp;IF($BP405="?","wall type/hr not in IBC table, ","")&amp;IF(AND(N($BC405)&gt;0,$AU405=""),"no hardware set, ","")&amp;IF(AND($AU405&lt;&gt;"",ISNA(MATCH($AU405,HWSets,0))),"set "&amp;$AU405&amp;" not on Hardware sheet, ","")&amp;IF(N($BE405)&gt;96,"leaf over 8'-0"&amp;CHAR(34)&amp;" - check listing, ",""))</f>
        <v/>
      </c>
    </row>
    <row r="406" ht="15" customHeight="1">
      <c r="A406" s="44" t="n"/>
      <c r="B406" s="45" t="n"/>
      <c r="C406" s="45" t="n"/>
      <c r="D406" s="45" t="n"/>
      <c r="E406" s="45" t="n"/>
      <c r="F406" s="45" t="n"/>
      <c r="G406" s="45" t="n"/>
      <c r="H406" s="45" t="n"/>
      <c r="I406" s="45" t="n"/>
      <c r="J406" s="45" t="n"/>
      <c r="K406" s="45" t="n"/>
      <c r="L406" s="45" t="n"/>
      <c r="M406" s="45" t="n"/>
      <c r="N406" s="45" t="n"/>
      <c r="O406" s="45" t="n"/>
      <c r="P406" s="45" t="n"/>
      <c r="Q406" s="45" t="n"/>
      <c r="R406" s="45" t="n"/>
      <c r="S406" s="46" t="n"/>
      <c r="T406" s="46" t="n"/>
      <c r="U406" s="46" t="n"/>
      <c r="V406" s="46" t="n"/>
      <c r="W406" s="46" t="n"/>
      <c r="X406" s="46" t="n"/>
      <c r="Y406" s="46" t="n"/>
      <c r="Z406" s="46" t="n"/>
      <c r="AA406" s="46" t="n"/>
      <c r="AB406" s="46" t="n"/>
      <c r="AC406" s="46" t="n"/>
      <c r="AD406" s="46" t="n"/>
      <c r="AE406" s="46" t="n"/>
      <c r="AF406" s="46" t="n"/>
      <c r="AG406" s="46" t="n"/>
      <c r="AH406" s="47" t="n"/>
      <c r="AI406" s="47" t="n"/>
      <c r="AJ406" s="47" t="n"/>
      <c r="AK406" s="47" t="n"/>
      <c r="AL406" s="47" t="n"/>
      <c r="AM406" s="47" t="n"/>
      <c r="AN406" s="47" t="n"/>
      <c r="AO406" s="47" t="n"/>
      <c r="AP406" s="47" t="n"/>
      <c r="AQ406" s="47" t="n"/>
      <c r="AR406" s="47" t="n"/>
      <c r="AS406" s="47" t="n"/>
      <c r="AT406" s="47" t="n"/>
      <c r="AU406" s="48" t="n"/>
      <c r="AV406" s="48" t="n"/>
      <c r="AW406" s="49">
        <f>IF($A406="","",IF($BW406&lt;&gt;"","FIX",IF($BX406&lt;&gt;"","CHECK","OK")))</f>
        <v/>
      </c>
      <c r="AX406" s="50">
        <f>IF($A406="","",IF($BW406&lt;&gt;"","FIX: "&amp;LEFT($BW406,LEN($BW406)-2)&amp;IF($BX406&lt;&gt;"","  ·  ",""),"")&amp;IF($BX406&lt;&gt;"","CHECK: "&amp;LEFT($BX406,LEN($BX406)-2),""))</f>
        <v/>
      </c>
      <c r="AY406" s="49">
        <f>IF(OR($A406="",$K406=""),"",$K406&amp;"'-"&amp;N($L406)&amp;CHAR(34)&amp;" x "&amp;$M406&amp;"'-"&amp;N($N406)&amp;CHAR(34))</f>
        <v/>
      </c>
      <c r="AZ406" s="49">
        <f>IF(OR($A406="",$K406=""),"",$K406&amp;N($L406)&amp;$M406&amp;N($N406))</f>
        <v/>
      </c>
      <c r="BA406" s="49">
        <f>IF(OR($A406="",$K406=""),"",$K406*12+N($L406))</f>
        <v/>
      </c>
      <c r="BB406" s="49">
        <f>IF(OR($A406="",$M406=""),"",$M406*12+N($N406))</f>
        <v/>
      </c>
      <c r="BC406" s="49">
        <f>IF($A406="","",IF(OR($C406="FRAME ONLY",$S406="BL"),0,IF($O406="Y",2,1)))</f>
        <v/>
      </c>
      <c r="BD406" s="51">
        <f>IF(OR(N($BC406)=0,$BA406=""),"",($BA406-2*EdgeClr-IF($BC406=2,MeetClr,0))/$BC406)</f>
        <v/>
      </c>
      <c r="BE406" s="51">
        <f>IF(OR(N($BC406)=0,$BB406=""),"",$BB406-HeadClr-Undercut)</f>
        <v/>
      </c>
      <c r="BF406" s="51">
        <f>IF($BA406="","",$BA406+2*FaceW+IF(N($Q406)&gt;0,($Q406+FaceW)*IF($R406="LR",2,1),0))</f>
        <v/>
      </c>
      <c r="BG406" s="51">
        <f>IF($BB406="","",$BB406+IF($AB406="Y",4,FaceW)+IF(N($P406)&gt;0,$P406+FaceW,0)+IF(OR($S406="4F",$S406="BL"),FaceW,0))</f>
        <v/>
      </c>
      <c r="BH406" s="51">
        <f>IF($BF406="","",$BF406+2*ROSide)</f>
        <v/>
      </c>
      <c r="BI406" s="51">
        <f>IF($BG406="","",$BG406+ROTop)</f>
        <v/>
      </c>
      <c r="BJ406" s="52">
        <f>IF(OR(N($BC406)=0,$BA406=""),"",$BA406/$BC406-ClearDeduct)</f>
        <v/>
      </c>
      <c r="BK406" s="49">
        <f>IF(OR(N($BC406)=0,$BE406=""),"",IF(OR($AC406="HGC",$AP406="HGC"),"CONT",IF($BE406&lt;=60,2,IF($BE406&lt;=90,3,IF($BE406&lt;=120,4,5)))))</f>
        <v/>
      </c>
      <c r="BL406" s="49">
        <f>IF(N($BC406)=0,"",IF(OR($AL406="",$AL406="FLUSH"),"FLUSH",IFERROR(LEFT($AL406,FIND("-",$AL406)-1),LEFT($AL406,2))))</f>
        <v/>
      </c>
      <c r="BM406" s="49">
        <f>IF($BL406="","",IFERROR(VALUE(MID($AL406,FIND("-",$AL406)+1,FIND(CHAR(34)&amp;"x",$AL406)-FIND("-",$AL406)-1)),0))</f>
        <v/>
      </c>
      <c r="BN406" s="49">
        <f>IF($BL406="","",IFERROR(VALUE(MID($AL406,FIND(CHAR(34)&amp;"x",$AL406)+2,FIND(CHAR(34),$AL406,FIND(CHAR(34)&amp;"x",$AL406)+2)-FIND(CHAR(34)&amp;"x",$AL406)-2)),0))</f>
        <v/>
      </c>
      <c r="BO406" s="53">
        <f>IF(OR($A406="",$H406="",$H406="NO LAB"),0,IFERROR(VALUE(LEFT($H406,FIND(" ",$H406)-1)),0))</f>
        <v/>
      </c>
      <c r="BP406" s="54">
        <f>IF(OR($A406="",$I406="",$I406="NON-RATED",N($J406)=0),"",IFERROR(VLOOKUP($I406&amp;"|"&amp;$J406,IBC,2,FALSE),"?"))</f>
        <v/>
      </c>
      <c r="BQ406" s="50">
        <f>IF(NOT(AND($A406&lt;&gt;"",$C406&lt;&gt;"DOOR ONLY")),"",TRIM(IFERROR(VLOOKUP($U406,CODES,2,FALSE),"")&amp;" "&amp;$AZ406&amp;" "&amp;IFERROR(VLOOKUP($Z406,CODES,2,FALSE),"")&amp;" "&amp;IFERROR(VLOOKUP($X406,CODES,2,FALSE),"")&amp;" "&amp;IFERROR(VLOOKUP($S406,CODES,2,FALSE),"")&amp;IF(N($P406)&gt;0," w/TRANSOM "&amp;$P406&amp;CHAR(34),"")&amp;IF(N($Q406)&gt;0," w/SIDELITE "&amp;$Q406&amp;CHAR(34)&amp;" "&amp;IF($R406="","R",$R406),"")&amp;IF($Y406="","  |  "," | "&amp;IFERROR(VLOOKUP($Y406,CODES,2,FALSE),"")&amp;" | ")&amp;IFERROR(VLOOKUP($AC406,CODES,2,FALSE),"")&amp;" "&amp;IFERROR(VLOOKUP($AD406,CODES,2,FALSE),"")&amp;IF(OR($AE406="",$AE406="-"),""," "&amp;$AE406)&amp;IF(OR($AF406="",$AF406="-"),""," "&amp;$AF406)&amp;IF($AB406="Y"," 4"&amp;CHAR(34)&amp;" HEAD","")&amp;" "&amp;IFERROR(VLOOKUP($H406,CODES,2,FALSE),"")))</f>
        <v/>
      </c>
      <c r="BR406" s="50">
        <f>IF(NOT(AND($A406&lt;&gt;"",N($BC406)&gt;0)),"",TRIM(IFERROR(VLOOKUP($AH406,CODES,2,FALSE),"")&amp;IF($AI406=""," "," "&amp;$AI406&amp;"GA ")&amp;$AZ406&amp;" "&amp;IF($AN406="",IFERROR(VLOOKUP($Z406,CODES,2,FALSE),""),IFERROR(VLOOKUP($AN406,CODES,2,FALSE),""))&amp;IF($BC406=2," PAIR","")&amp;" DOOR | "&amp;IF($AL406="","?",$AL406)&amp;" | "&amp;IF($AP406="",IFERROR(VLOOKUP($AC406,CODES,2,FALSE),""),IFERROR(VLOOKUP($AP406,CODES,2,FALSE),""))&amp;" "&amp;IFERROR(VLOOKUP($AQ406,CODES,2,FALSE),"")&amp;IF(OR($AR406="",$AR406="-"),""," SEAM "&amp;$AR406)&amp;IF($AS406="Y"," ASTRAGAL","")&amp;IF($AJ406=""," "," "&amp;$AJ406)&amp;IF($AK406=""," "," "&amp;$AK406)&amp;IF($AO406="",""," "&amp;$AO406)&amp;IF($AM406=""," "," SERIES "&amp;$AM406)&amp;" "&amp;IFERROR(VLOOKUP($H406,CODES,2,FALSE),"")))</f>
        <v/>
      </c>
      <c r="BS406" s="49">
        <f>IF(BV406="","",IF(COUNTIF($BV$6:BV406,BV406)=1,MAX($BS$5:BS405)+1,INDEX($BS$5:BS405,MATCH(BV406,$BV$5:BV405,0))))</f>
        <v/>
      </c>
      <c r="BT406" s="49">
        <f>IF(NOT(AND($A406&lt;&gt;"",$C406&lt;&gt;"DOOR ONLY")),"",MAX($BT$5:BT405)+1)</f>
        <v/>
      </c>
      <c r="BU406" s="49">
        <f>IF(NOT(AND($A406&lt;&gt;"",N($BC406)&gt;0)),"",MAX($BU$5:BU405)+1)</f>
        <v/>
      </c>
      <c r="BV406" s="49">
        <f>IF(OR($A406="",$BA406="",$BB406=""),"",$AZ406&amp;"|"&amp;$O406&amp;"|"&amp;$AL406&amp;"|"&amp;$S406&amp;"|"&amp;$P406&amp;"|"&amp;$Q406&amp;$R406&amp;"|"&amp;$C406&amp;"|"&amp;$AB406)</f>
        <v/>
      </c>
      <c r="BW406" s="49">
        <f>IF($A406="","",IF($B406="","qty, ","")&amp;IF($C406="","scope, ","")&amp;IF(OR($K406="",$M406=""),"size, ","")&amp;IF(AND($A406&lt;&gt;"",$C406&lt;&gt;"DOOR ONLY"),IF($U406="","jamb depth, ","")&amp;IF($X406="","construction, ","")&amp;IF($Y406="","anchor, ","")&amp;IF($S406="","frame type, ",""),"")&amp;IF(AND(N($BC406)&gt;0,$Z406=""),"hand, ","")&amp;IF(N($BC406)&gt;0,IF($AH406="","door material, ","")&amp;IF($AL406="","face type, ","")&amp;IF($AQ406="","lock prep, ","")&amp;IF(AND($AP406="",$AC406=""),"hinge prep, ",""),"")&amp;IF(AND($BO406&gt;0,$AH406="FRP"),"FRP cannot carry a label, ","")&amp;IF(AND($O406="Y",OR($Z406="L",$Z406="R",$Z406="LR",$Z406="RR")),"pair marked but hand is single, ","")&amp;IF(AND($O406&lt;&gt;"Y",OR($Z406="PR",AND(LEN($Z406)&gt;1,ISNUMBER(SEARCH("-",$Z406))))),"pair hand on a single door, ","")&amp;IF(AND(ISNUMBER($BP406),$BO406&lt;N($BP406)),"wall needs a "&amp;$BP406&amp;" min door, ","")&amp;IF(AND($BO406&gt;=180,AND(OR($BL406="FG",$BL406="HG",$BL406="FNV",$BL406="FV"),N($BM406)*N($BN406)&gt;100)),"180 min lite over 100 sq in, ","")&amp;IF(N($BD406)&gt;48,"leaf wider than 4'-0"&amp;CHAR(34)&amp;", ",""))</f>
        <v/>
      </c>
      <c r="BX406" s="49">
        <f>IF($A406="","",IF(AND($BO406&gt;0,AND($A406&lt;&gt;"",$C406&lt;&gt;"DOOR ONLY"),$X406="KD",$E406="EXTERIOR"),"KD label on an exterior opening, ","")&amp;IF(AND($E406="EXTERIOR",OR(AND(AND($A406&lt;&gt;"",$C406&lt;&gt;"DOOR ONLY"),$W406="CR"),AND(N($BC406)&gt;0,$AH406="CR"))),"exterior in CR steel (G9?), ","")&amp;IF(AND(ISNUMBER($BJ406),N($BJ406)&lt;32),"clear width ~"&amp;TEXT($BJ406,"0.0")&amp;CHAR(34)&amp;" under 32"&amp;CHAR(34)&amp;" (ADA), ","")&amp;IF(AND($BO406=90,AND(OR($BL406="FG",$BL406="HG",$BL406="FNV",$BL406="FV"),N($BM406)*N($BN406)&gt;100)),"90 min lite over 100 sq in (stair/exit), ","")&amp;IF(AND($BO406&gt;0,AND($A406&lt;&gt;"",$C406&lt;&gt;"DOOR ONLY"),OR($AF406="",$AF406="-")),"rated: closer reinf.?, ","")&amp;IF(OR($I406="CORRIDOR",$I406="SMOKE BARRIER"),"S label + smoke gasketing, ","")&amp;IF($BP406="?","wall type/hr not in IBC table, ","")&amp;IF(AND(N($BC406)&gt;0,$AU406=""),"no hardware set, ","")&amp;IF(AND($AU406&lt;&gt;"",ISNA(MATCH($AU406,HWSets,0))),"set "&amp;$AU406&amp;" not on Hardware sheet, ","")&amp;IF(N($BE406)&gt;96,"leaf over 8'-0"&amp;CHAR(34)&amp;" - check listing, ",""))</f>
        <v/>
      </c>
    </row>
    <row r="407" ht="15" customHeight="1">
      <c r="A407" s="44" t="n"/>
      <c r="B407" s="45" t="n"/>
      <c r="C407" s="45" t="n"/>
      <c r="D407" s="45" t="n"/>
      <c r="E407" s="45" t="n"/>
      <c r="F407" s="45" t="n"/>
      <c r="G407" s="45" t="n"/>
      <c r="H407" s="45" t="n"/>
      <c r="I407" s="45" t="n"/>
      <c r="J407" s="45" t="n"/>
      <c r="K407" s="45" t="n"/>
      <c r="L407" s="45" t="n"/>
      <c r="M407" s="45" t="n"/>
      <c r="N407" s="45" t="n"/>
      <c r="O407" s="45" t="n"/>
      <c r="P407" s="45" t="n"/>
      <c r="Q407" s="45" t="n"/>
      <c r="R407" s="45" t="n"/>
      <c r="S407" s="46" t="n"/>
      <c r="T407" s="46" t="n"/>
      <c r="U407" s="46" t="n"/>
      <c r="V407" s="46" t="n"/>
      <c r="W407" s="46" t="n"/>
      <c r="X407" s="46" t="n"/>
      <c r="Y407" s="46" t="n"/>
      <c r="Z407" s="46" t="n"/>
      <c r="AA407" s="46" t="n"/>
      <c r="AB407" s="46" t="n"/>
      <c r="AC407" s="46" t="n"/>
      <c r="AD407" s="46" t="n"/>
      <c r="AE407" s="46" t="n"/>
      <c r="AF407" s="46" t="n"/>
      <c r="AG407" s="46" t="n"/>
      <c r="AH407" s="47" t="n"/>
      <c r="AI407" s="47" t="n"/>
      <c r="AJ407" s="47" t="n"/>
      <c r="AK407" s="47" t="n"/>
      <c r="AL407" s="47" t="n"/>
      <c r="AM407" s="47" t="n"/>
      <c r="AN407" s="47" t="n"/>
      <c r="AO407" s="47" t="n"/>
      <c r="AP407" s="47" t="n"/>
      <c r="AQ407" s="47" t="n"/>
      <c r="AR407" s="47" t="n"/>
      <c r="AS407" s="47" t="n"/>
      <c r="AT407" s="47" t="n"/>
      <c r="AU407" s="48" t="n"/>
      <c r="AV407" s="48" t="n"/>
      <c r="AW407" s="49">
        <f>IF($A407="","",IF($BW407&lt;&gt;"","FIX",IF($BX407&lt;&gt;"","CHECK","OK")))</f>
        <v/>
      </c>
      <c r="AX407" s="50">
        <f>IF($A407="","",IF($BW407&lt;&gt;"","FIX: "&amp;LEFT($BW407,LEN($BW407)-2)&amp;IF($BX407&lt;&gt;"","  ·  ",""),"")&amp;IF($BX407&lt;&gt;"","CHECK: "&amp;LEFT($BX407,LEN($BX407)-2),""))</f>
        <v/>
      </c>
      <c r="AY407" s="49">
        <f>IF(OR($A407="",$K407=""),"",$K407&amp;"'-"&amp;N($L407)&amp;CHAR(34)&amp;" x "&amp;$M407&amp;"'-"&amp;N($N407)&amp;CHAR(34))</f>
        <v/>
      </c>
      <c r="AZ407" s="49">
        <f>IF(OR($A407="",$K407=""),"",$K407&amp;N($L407)&amp;$M407&amp;N($N407))</f>
        <v/>
      </c>
      <c r="BA407" s="49">
        <f>IF(OR($A407="",$K407=""),"",$K407*12+N($L407))</f>
        <v/>
      </c>
      <c r="BB407" s="49">
        <f>IF(OR($A407="",$M407=""),"",$M407*12+N($N407))</f>
        <v/>
      </c>
      <c r="BC407" s="49">
        <f>IF($A407="","",IF(OR($C407="FRAME ONLY",$S407="BL"),0,IF($O407="Y",2,1)))</f>
        <v/>
      </c>
      <c r="BD407" s="51">
        <f>IF(OR(N($BC407)=0,$BA407=""),"",($BA407-2*EdgeClr-IF($BC407=2,MeetClr,0))/$BC407)</f>
        <v/>
      </c>
      <c r="BE407" s="51">
        <f>IF(OR(N($BC407)=0,$BB407=""),"",$BB407-HeadClr-Undercut)</f>
        <v/>
      </c>
      <c r="BF407" s="51">
        <f>IF($BA407="","",$BA407+2*FaceW+IF(N($Q407)&gt;0,($Q407+FaceW)*IF($R407="LR",2,1),0))</f>
        <v/>
      </c>
      <c r="BG407" s="51">
        <f>IF($BB407="","",$BB407+IF($AB407="Y",4,FaceW)+IF(N($P407)&gt;0,$P407+FaceW,0)+IF(OR($S407="4F",$S407="BL"),FaceW,0))</f>
        <v/>
      </c>
      <c r="BH407" s="51">
        <f>IF($BF407="","",$BF407+2*ROSide)</f>
        <v/>
      </c>
      <c r="BI407" s="51">
        <f>IF($BG407="","",$BG407+ROTop)</f>
        <v/>
      </c>
      <c r="BJ407" s="52">
        <f>IF(OR(N($BC407)=0,$BA407=""),"",$BA407/$BC407-ClearDeduct)</f>
        <v/>
      </c>
      <c r="BK407" s="49">
        <f>IF(OR(N($BC407)=0,$BE407=""),"",IF(OR($AC407="HGC",$AP407="HGC"),"CONT",IF($BE407&lt;=60,2,IF($BE407&lt;=90,3,IF($BE407&lt;=120,4,5)))))</f>
        <v/>
      </c>
      <c r="BL407" s="49">
        <f>IF(N($BC407)=0,"",IF(OR($AL407="",$AL407="FLUSH"),"FLUSH",IFERROR(LEFT($AL407,FIND("-",$AL407)-1),LEFT($AL407,2))))</f>
        <v/>
      </c>
      <c r="BM407" s="49">
        <f>IF($BL407="","",IFERROR(VALUE(MID($AL407,FIND("-",$AL407)+1,FIND(CHAR(34)&amp;"x",$AL407)-FIND("-",$AL407)-1)),0))</f>
        <v/>
      </c>
      <c r="BN407" s="49">
        <f>IF($BL407="","",IFERROR(VALUE(MID($AL407,FIND(CHAR(34)&amp;"x",$AL407)+2,FIND(CHAR(34),$AL407,FIND(CHAR(34)&amp;"x",$AL407)+2)-FIND(CHAR(34)&amp;"x",$AL407)-2)),0))</f>
        <v/>
      </c>
      <c r="BO407" s="53">
        <f>IF(OR($A407="",$H407="",$H407="NO LAB"),0,IFERROR(VALUE(LEFT($H407,FIND(" ",$H407)-1)),0))</f>
        <v/>
      </c>
      <c r="BP407" s="54">
        <f>IF(OR($A407="",$I407="",$I407="NON-RATED",N($J407)=0),"",IFERROR(VLOOKUP($I407&amp;"|"&amp;$J407,IBC,2,FALSE),"?"))</f>
        <v/>
      </c>
      <c r="BQ407" s="50">
        <f>IF(NOT(AND($A407&lt;&gt;"",$C407&lt;&gt;"DOOR ONLY")),"",TRIM(IFERROR(VLOOKUP($U407,CODES,2,FALSE),"")&amp;" "&amp;$AZ407&amp;" "&amp;IFERROR(VLOOKUP($Z407,CODES,2,FALSE),"")&amp;" "&amp;IFERROR(VLOOKUP($X407,CODES,2,FALSE),"")&amp;" "&amp;IFERROR(VLOOKUP($S407,CODES,2,FALSE),"")&amp;IF(N($P407)&gt;0," w/TRANSOM "&amp;$P407&amp;CHAR(34),"")&amp;IF(N($Q407)&gt;0," w/SIDELITE "&amp;$Q407&amp;CHAR(34)&amp;" "&amp;IF($R407="","R",$R407),"")&amp;IF($Y407="","  |  "," | "&amp;IFERROR(VLOOKUP($Y407,CODES,2,FALSE),"")&amp;" | ")&amp;IFERROR(VLOOKUP($AC407,CODES,2,FALSE),"")&amp;" "&amp;IFERROR(VLOOKUP($AD407,CODES,2,FALSE),"")&amp;IF(OR($AE407="",$AE407="-"),""," "&amp;$AE407)&amp;IF(OR($AF407="",$AF407="-"),""," "&amp;$AF407)&amp;IF($AB407="Y"," 4"&amp;CHAR(34)&amp;" HEAD","")&amp;" "&amp;IFERROR(VLOOKUP($H407,CODES,2,FALSE),"")))</f>
        <v/>
      </c>
      <c r="BR407" s="50">
        <f>IF(NOT(AND($A407&lt;&gt;"",N($BC407)&gt;0)),"",TRIM(IFERROR(VLOOKUP($AH407,CODES,2,FALSE),"")&amp;IF($AI407=""," "," "&amp;$AI407&amp;"GA ")&amp;$AZ407&amp;" "&amp;IF($AN407="",IFERROR(VLOOKUP($Z407,CODES,2,FALSE),""),IFERROR(VLOOKUP($AN407,CODES,2,FALSE),""))&amp;IF($BC407=2," PAIR","")&amp;" DOOR | "&amp;IF($AL407="","?",$AL407)&amp;" | "&amp;IF($AP407="",IFERROR(VLOOKUP($AC407,CODES,2,FALSE),""),IFERROR(VLOOKUP($AP407,CODES,2,FALSE),""))&amp;" "&amp;IFERROR(VLOOKUP($AQ407,CODES,2,FALSE),"")&amp;IF(OR($AR407="",$AR407="-"),""," SEAM "&amp;$AR407)&amp;IF($AS407="Y"," ASTRAGAL","")&amp;IF($AJ407=""," "," "&amp;$AJ407)&amp;IF($AK407=""," "," "&amp;$AK407)&amp;IF($AO407="",""," "&amp;$AO407)&amp;IF($AM407=""," "," SERIES "&amp;$AM407)&amp;" "&amp;IFERROR(VLOOKUP($H407,CODES,2,FALSE),"")))</f>
        <v/>
      </c>
      <c r="BS407" s="49">
        <f>IF(BV407="","",IF(COUNTIF($BV$6:BV407,BV407)=1,MAX($BS$5:BS406)+1,INDEX($BS$5:BS406,MATCH(BV407,$BV$5:BV406,0))))</f>
        <v/>
      </c>
      <c r="BT407" s="49">
        <f>IF(NOT(AND($A407&lt;&gt;"",$C407&lt;&gt;"DOOR ONLY")),"",MAX($BT$5:BT406)+1)</f>
        <v/>
      </c>
      <c r="BU407" s="49">
        <f>IF(NOT(AND($A407&lt;&gt;"",N($BC407)&gt;0)),"",MAX($BU$5:BU406)+1)</f>
        <v/>
      </c>
      <c r="BV407" s="49">
        <f>IF(OR($A407="",$BA407="",$BB407=""),"",$AZ407&amp;"|"&amp;$O407&amp;"|"&amp;$AL407&amp;"|"&amp;$S407&amp;"|"&amp;$P407&amp;"|"&amp;$Q407&amp;$R407&amp;"|"&amp;$C407&amp;"|"&amp;$AB407)</f>
        <v/>
      </c>
      <c r="BW407" s="49">
        <f>IF($A407="","",IF($B407="","qty, ","")&amp;IF($C407="","scope, ","")&amp;IF(OR($K407="",$M407=""),"size, ","")&amp;IF(AND($A407&lt;&gt;"",$C407&lt;&gt;"DOOR ONLY"),IF($U407="","jamb depth, ","")&amp;IF($X407="","construction, ","")&amp;IF($Y407="","anchor, ","")&amp;IF($S407="","frame type, ",""),"")&amp;IF(AND(N($BC407)&gt;0,$Z407=""),"hand, ","")&amp;IF(N($BC407)&gt;0,IF($AH407="","door material, ","")&amp;IF($AL407="","face type, ","")&amp;IF($AQ407="","lock prep, ","")&amp;IF(AND($AP407="",$AC407=""),"hinge prep, ",""),"")&amp;IF(AND($BO407&gt;0,$AH407="FRP"),"FRP cannot carry a label, ","")&amp;IF(AND($O407="Y",OR($Z407="L",$Z407="R",$Z407="LR",$Z407="RR")),"pair marked but hand is single, ","")&amp;IF(AND($O407&lt;&gt;"Y",OR($Z407="PR",AND(LEN($Z407)&gt;1,ISNUMBER(SEARCH("-",$Z407))))),"pair hand on a single door, ","")&amp;IF(AND(ISNUMBER($BP407),$BO407&lt;N($BP407)),"wall needs a "&amp;$BP407&amp;" min door, ","")&amp;IF(AND($BO407&gt;=180,AND(OR($BL407="FG",$BL407="HG",$BL407="FNV",$BL407="FV"),N($BM407)*N($BN407)&gt;100)),"180 min lite over 100 sq in, ","")&amp;IF(N($BD407)&gt;48,"leaf wider than 4'-0"&amp;CHAR(34)&amp;", ",""))</f>
        <v/>
      </c>
      <c r="BX407" s="49">
        <f>IF($A407="","",IF(AND($BO407&gt;0,AND($A407&lt;&gt;"",$C407&lt;&gt;"DOOR ONLY"),$X407="KD",$E407="EXTERIOR"),"KD label on an exterior opening, ","")&amp;IF(AND($E407="EXTERIOR",OR(AND(AND($A407&lt;&gt;"",$C407&lt;&gt;"DOOR ONLY"),$W407="CR"),AND(N($BC407)&gt;0,$AH407="CR"))),"exterior in CR steel (G9?), ","")&amp;IF(AND(ISNUMBER($BJ407),N($BJ407)&lt;32),"clear width ~"&amp;TEXT($BJ407,"0.0")&amp;CHAR(34)&amp;" under 32"&amp;CHAR(34)&amp;" (ADA), ","")&amp;IF(AND($BO407=90,AND(OR($BL407="FG",$BL407="HG",$BL407="FNV",$BL407="FV"),N($BM407)*N($BN407)&gt;100)),"90 min lite over 100 sq in (stair/exit), ","")&amp;IF(AND($BO407&gt;0,AND($A407&lt;&gt;"",$C407&lt;&gt;"DOOR ONLY"),OR($AF407="",$AF407="-")),"rated: closer reinf.?, ","")&amp;IF(OR($I407="CORRIDOR",$I407="SMOKE BARRIER"),"S label + smoke gasketing, ","")&amp;IF($BP407="?","wall type/hr not in IBC table, ","")&amp;IF(AND(N($BC407)&gt;0,$AU407=""),"no hardware set, ","")&amp;IF(AND($AU407&lt;&gt;"",ISNA(MATCH($AU407,HWSets,0))),"set "&amp;$AU407&amp;" not on Hardware sheet, ","")&amp;IF(N($BE407)&gt;96,"leaf over 8'-0"&amp;CHAR(34)&amp;" - check listing, ",""))</f>
        <v/>
      </c>
    </row>
    <row r="408" ht="15" customHeight="1">
      <c r="A408" s="44" t="n"/>
      <c r="B408" s="45" t="n"/>
      <c r="C408" s="45" t="n"/>
      <c r="D408" s="45" t="n"/>
      <c r="E408" s="45" t="n"/>
      <c r="F408" s="45" t="n"/>
      <c r="G408" s="45" t="n"/>
      <c r="H408" s="45" t="n"/>
      <c r="I408" s="45" t="n"/>
      <c r="J408" s="45" t="n"/>
      <c r="K408" s="45" t="n"/>
      <c r="L408" s="45" t="n"/>
      <c r="M408" s="45" t="n"/>
      <c r="N408" s="45" t="n"/>
      <c r="O408" s="45" t="n"/>
      <c r="P408" s="45" t="n"/>
      <c r="Q408" s="45" t="n"/>
      <c r="R408" s="45" t="n"/>
      <c r="S408" s="46" t="n"/>
      <c r="T408" s="46" t="n"/>
      <c r="U408" s="46" t="n"/>
      <c r="V408" s="46" t="n"/>
      <c r="W408" s="46" t="n"/>
      <c r="X408" s="46" t="n"/>
      <c r="Y408" s="46" t="n"/>
      <c r="Z408" s="46" t="n"/>
      <c r="AA408" s="46" t="n"/>
      <c r="AB408" s="46" t="n"/>
      <c r="AC408" s="46" t="n"/>
      <c r="AD408" s="46" t="n"/>
      <c r="AE408" s="46" t="n"/>
      <c r="AF408" s="46" t="n"/>
      <c r="AG408" s="46" t="n"/>
      <c r="AH408" s="47" t="n"/>
      <c r="AI408" s="47" t="n"/>
      <c r="AJ408" s="47" t="n"/>
      <c r="AK408" s="47" t="n"/>
      <c r="AL408" s="47" t="n"/>
      <c r="AM408" s="47" t="n"/>
      <c r="AN408" s="47" t="n"/>
      <c r="AO408" s="47" t="n"/>
      <c r="AP408" s="47" t="n"/>
      <c r="AQ408" s="47" t="n"/>
      <c r="AR408" s="47" t="n"/>
      <c r="AS408" s="47" t="n"/>
      <c r="AT408" s="47" t="n"/>
      <c r="AU408" s="48" t="n"/>
      <c r="AV408" s="48" t="n"/>
      <c r="AW408" s="49">
        <f>IF($A408="","",IF($BW408&lt;&gt;"","FIX",IF($BX408&lt;&gt;"","CHECK","OK")))</f>
        <v/>
      </c>
      <c r="AX408" s="50">
        <f>IF($A408="","",IF($BW408&lt;&gt;"","FIX: "&amp;LEFT($BW408,LEN($BW408)-2)&amp;IF($BX408&lt;&gt;"","  ·  ",""),"")&amp;IF($BX408&lt;&gt;"","CHECK: "&amp;LEFT($BX408,LEN($BX408)-2),""))</f>
        <v/>
      </c>
      <c r="AY408" s="49">
        <f>IF(OR($A408="",$K408=""),"",$K408&amp;"'-"&amp;N($L408)&amp;CHAR(34)&amp;" x "&amp;$M408&amp;"'-"&amp;N($N408)&amp;CHAR(34))</f>
        <v/>
      </c>
      <c r="AZ408" s="49">
        <f>IF(OR($A408="",$K408=""),"",$K408&amp;N($L408)&amp;$M408&amp;N($N408))</f>
        <v/>
      </c>
      <c r="BA408" s="49">
        <f>IF(OR($A408="",$K408=""),"",$K408*12+N($L408))</f>
        <v/>
      </c>
      <c r="BB408" s="49">
        <f>IF(OR($A408="",$M408=""),"",$M408*12+N($N408))</f>
        <v/>
      </c>
      <c r="BC408" s="49">
        <f>IF($A408="","",IF(OR($C408="FRAME ONLY",$S408="BL"),0,IF($O408="Y",2,1)))</f>
        <v/>
      </c>
      <c r="BD408" s="51">
        <f>IF(OR(N($BC408)=0,$BA408=""),"",($BA408-2*EdgeClr-IF($BC408=2,MeetClr,0))/$BC408)</f>
        <v/>
      </c>
      <c r="BE408" s="51">
        <f>IF(OR(N($BC408)=0,$BB408=""),"",$BB408-HeadClr-Undercut)</f>
        <v/>
      </c>
      <c r="BF408" s="51">
        <f>IF($BA408="","",$BA408+2*FaceW+IF(N($Q408)&gt;0,($Q408+FaceW)*IF($R408="LR",2,1),0))</f>
        <v/>
      </c>
      <c r="BG408" s="51">
        <f>IF($BB408="","",$BB408+IF($AB408="Y",4,FaceW)+IF(N($P408)&gt;0,$P408+FaceW,0)+IF(OR($S408="4F",$S408="BL"),FaceW,0))</f>
        <v/>
      </c>
      <c r="BH408" s="51">
        <f>IF($BF408="","",$BF408+2*ROSide)</f>
        <v/>
      </c>
      <c r="BI408" s="51">
        <f>IF($BG408="","",$BG408+ROTop)</f>
        <v/>
      </c>
      <c r="BJ408" s="52">
        <f>IF(OR(N($BC408)=0,$BA408=""),"",$BA408/$BC408-ClearDeduct)</f>
        <v/>
      </c>
      <c r="BK408" s="49">
        <f>IF(OR(N($BC408)=0,$BE408=""),"",IF(OR($AC408="HGC",$AP408="HGC"),"CONT",IF($BE408&lt;=60,2,IF($BE408&lt;=90,3,IF($BE408&lt;=120,4,5)))))</f>
        <v/>
      </c>
      <c r="BL408" s="49">
        <f>IF(N($BC408)=0,"",IF(OR($AL408="",$AL408="FLUSH"),"FLUSH",IFERROR(LEFT($AL408,FIND("-",$AL408)-1),LEFT($AL408,2))))</f>
        <v/>
      </c>
      <c r="BM408" s="49">
        <f>IF($BL408="","",IFERROR(VALUE(MID($AL408,FIND("-",$AL408)+1,FIND(CHAR(34)&amp;"x",$AL408)-FIND("-",$AL408)-1)),0))</f>
        <v/>
      </c>
      <c r="BN408" s="49">
        <f>IF($BL408="","",IFERROR(VALUE(MID($AL408,FIND(CHAR(34)&amp;"x",$AL408)+2,FIND(CHAR(34),$AL408,FIND(CHAR(34)&amp;"x",$AL408)+2)-FIND(CHAR(34)&amp;"x",$AL408)-2)),0))</f>
        <v/>
      </c>
      <c r="BO408" s="53">
        <f>IF(OR($A408="",$H408="",$H408="NO LAB"),0,IFERROR(VALUE(LEFT($H408,FIND(" ",$H408)-1)),0))</f>
        <v/>
      </c>
      <c r="BP408" s="54">
        <f>IF(OR($A408="",$I408="",$I408="NON-RATED",N($J408)=0),"",IFERROR(VLOOKUP($I408&amp;"|"&amp;$J408,IBC,2,FALSE),"?"))</f>
        <v/>
      </c>
      <c r="BQ408" s="50">
        <f>IF(NOT(AND($A408&lt;&gt;"",$C408&lt;&gt;"DOOR ONLY")),"",TRIM(IFERROR(VLOOKUP($U408,CODES,2,FALSE),"")&amp;" "&amp;$AZ408&amp;" "&amp;IFERROR(VLOOKUP($Z408,CODES,2,FALSE),"")&amp;" "&amp;IFERROR(VLOOKUP($X408,CODES,2,FALSE),"")&amp;" "&amp;IFERROR(VLOOKUP($S408,CODES,2,FALSE),"")&amp;IF(N($P408)&gt;0," w/TRANSOM "&amp;$P408&amp;CHAR(34),"")&amp;IF(N($Q408)&gt;0," w/SIDELITE "&amp;$Q408&amp;CHAR(34)&amp;" "&amp;IF($R408="","R",$R408),"")&amp;IF($Y408="","  |  "," | "&amp;IFERROR(VLOOKUP($Y408,CODES,2,FALSE),"")&amp;" | ")&amp;IFERROR(VLOOKUP($AC408,CODES,2,FALSE),"")&amp;" "&amp;IFERROR(VLOOKUP($AD408,CODES,2,FALSE),"")&amp;IF(OR($AE408="",$AE408="-"),""," "&amp;$AE408)&amp;IF(OR($AF408="",$AF408="-"),""," "&amp;$AF408)&amp;IF($AB408="Y"," 4"&amp;CHAR(34)&amp;" HEAD","")&amp;" "&amp;IFERROR(VLOOKUP($H408,CODES,2,FALSE),"")))</f>
        <v/>
      </c>
      <c r="BR408" s="50">
        <f>IF(NOT(AND($A408&lt;&gt;"",N($BC408)&gt;0)),"",TRIM(IFERROR(VLOOKUP($AH408,CODES,2,FALSE),"")&amp;IF($AI408=""," "," "&amp;$AI408&amp;"GA ")&amp;$AZ408&amp;" "&amp;IF($AN408="",IFERROR(VLOOKUP($Z408,CODES,2,FALSE),""),IFERROR(VLOOKUP($AN408,CODES,2,FALSE),""))&amp;IF($BC408=2," PAIR","")&amp;" DOOR | "&amp;IF($AL408="","?",$AL408)&amp;" | "&amp;IF($AP408="",IFERROR(VLOOKUP($AC408,CODES,2,FALSE),""),IFERROR(VLOOKUP($AP408,CODES,2,FALSE),""))&amp;" "&amp;IFERROR(VLOOKUP($AQ408,CODES,2,FALSE),"")&amp;IF(OR($AR408="",$AR408="-"),""," SEAM "&amp;$AR408)&amp;IF($AS408="Y"," ASTRAGAL","")&amp;IF($AJ408=""," "," "&amp;$AJ408)&amp;IF($AK408=""," "," "&amp;$AK408)&amp;IF($AO408="",""," "&amp;$AO408)&amp;IF($AM408=""," "," SERIES "&amp;$AM408)&amp;" "&amp;IFERROR(VLOOKUP($H408,CODES,2,FALSE),"")))</f>
        <v/>
      </c>
      <c r="BS408" s="49">
        <f>IF(BV408="","",IF(COUNTIF($BV$6:BV408,BV408)=1,MAX($BS$5:BS407)+1,INDEX($BS$5:BS407,MATCH(BV408,$BV$5:BV407,0))))</f>
        <v/>
      </c>
      <c r="BT408" s="49">
        <f>IF(NOT(AND($A408&lt;&gt;"",$C408&lt;&gt;"DOOR ONLY")),"",MAX($BT$5:BT407)+1)</f>
        <v/>
      </c>
      <c r="BU408" s="49">
        <f>IF(NOT(AND($A408&lt;&gt;"",N($BC408)&gt;0)),"",MAX($BU$5:BU407)+1)</f>
        <v/>
      </c>
      <c r="BV408" s="49">
        <f>IF(OR($A408="",$BA408="",$BB408=""),"",$AZ408&amp;"|"&amp;$O408&amp;"|"&amp;$AL408&amp;"|"&amp;$S408&amp;"|"&amp;$P408&amp;"|"&amp;$Q408&amp;$R408&amp;"|"&amp;$C408&amp;"|"&amp;$AB408)</f>
        <v/>
      </c>
      <c r="BW408" s="49">
        <f>IF($A408="","",IF($B408="","qty, ","")&amp;IF($C408="","scope, ","")&amp;IF(OR($K408="",$M408=""),"size, ","")&amp;IF(AND($A408&lt;&gt;"",$C408&lt;&gt;"DOOR ONLY"),IF($U408="","jamb depth, ","")&amp;IF($X408="","construction, ","")&amp;IF($Y408="","anchor, ","")&amp;IF($S408="","frame type, ",""),"")&amp;IF(AND(N($BC408)&gt;0,$Z408=""),"hand, ","")&amp;IF(N($BC408)&gt;0,IF($AH408="","door material, ","")&amp;IF($AL408="","face type, ","")&amp;IF($AQ408="","lock prep, ","")&amp;IF(AND($AP408="",$AC408=""),"hinge prep, ",""),"")&amp;IF(AND($BO408&gt;0,$AH408="FRP"),"FRP cannot carry a label, ","")&amp;IF(AND($O408="Y",OR($Z408="L",$Z408="R",$Z408="LR",$Z408="RR")),"pair marked but hand is single, ","")&amp;IF(AND($O408&lt;&gt;"Y",OR($Z408="PR",AND(LEN($Z408)&gt;1,ISNUMBER(SEARCH("-",$Z408))))),"pair hand on a single door, ","")&amp;IF(AND(ISNUMBER($BP408),$BO408&lt;N($BP408)),"wall needs a "&amp;$BP408&amp;" min door, ","")&amp;IF(AND($BO408&gt;=180,AND(OR($BL408="FG",$BL408="HG",$BL408="FNV",$BL408="FV"),N($BM408)*N($BN408)&gt;100)),"180 min lite over 100 sq in, ","")&amp;IF(N($BD408)&gt;48,"leaf wider than 4'-0"&amp;CHAR(34)&amp;", ",""))</f>
        <v/>
      </c>
      <c r="BX408" s="49">
        <f>IF($A408="","",IF(AND($BO408&gt;0,AND($A408&lt;&gt;"",$C408&lt;&gt;"DOOR ONLY"),$X408="KD",$E408="EXTERIOR"),"KD label on an exterior opening, ","")&amp;IF(AND($E408="EXTERIOR",OR(AND(AND($A408&lt;&gt;"",$C408&lt;&gt;"DOOR ONLY"),$W408="CR"),AND(N($BC408)&gt;0,$AH408="CR"))),"exterior in CR steel (G9?), ","")&amp;IF(AND(ISNUMBER($BJ408),N($BJ408)&lt;32),"clear width ~"&amp;TEXT($BJ408,"0.0")&amp;CHAR(34)&amp;" under 32"&amp;CHAR(34)&amp;" (ADA), ","")&amp;IF(AND($BO408=90,AND(OR($BL408="FG",$BL408="HG",$BL408="FNV",$BL408="FV"),N($BM408)*N($BN408)&gt;100)),"90 min lite over 100 sq in (stair/exit), ","")&amp;IF(AND($BO408&gt;0,AND($A408&lt;&gt;"",$C408&lt;&gt;"DOOR ONLY"),OR($AF408="",$AF408="-")),"rated: closer reinf.?, ","")&amp;IF(OR($I408="CORRIDOR",$I408="SMOKE BARRIER"),"S label + smoke gasketing, ","")&amp;IF($BP408="?","wall type/hr not in IBC table, ","")&amp;IF(AND(N($BC408)&gt;0,$AU408=""),"no hardware set, ","")&amp;IF(AND($AU408&lt;&gt;"",ISNA(MATCH($AU408,HWSets,0))),"set "&amp;$AU408&amp;" not on Hardware sheet, ","")&amp;IF(N($BE408)&gt;96,"leaf over 8'-0"&amp;CHAR(34)&amp;" - check listing, ",""))</f>
        <v/>
      </c>
    </row>
    <row r="409" ht="15" customHeight="1">
      <c r="A409" s="44" t="n"/>
      <c r="B409" s="45" t="n"/>
      <c r="C409" s="45" t="n"/>
      <c r="D409" s="45" t="n"/>
      <c r="E409" s="45" t="n"/>
      <c r="F409" s="45" t="n"/>
      <c r="G409" s="45" t="n"/>
      <c r="H409" s="45" t="n"/>
      <c r="I409" s="45" t="n"/>
      <c r="J409" s="45" t="n"/>
      <c r="K409" s="45" t="n"/>
      <c r="L409" s="45" t="n"/>
      <c r="M409" s="45" t="n"/>
      <c r="N409" s="45" t="n"/>
      <c r="O409" s="45" t="n"/>
      <c r="P409" s="45" t="n"/>
      <c r="Q409" s="45" t="n"/>
      <c r="R409" s="45" t="n"/>
      <c r="S409" s="46" t="n"/>
      <c r="T409" s="46" t="n"/>
      <c r="U409" s="46" t="n"/>
      <c r="V409" s="46" t="n"/>
      <c r="W409" s="46" t="n"/>
      <c r="X409" s="46" t="n"/>
      <c r="Y409" s="46" t="n"/>
      <c r="Z409" s="46" t="n"/>
      <c r="AA409" s="46" t="n"/>
      <c r="AB409" s="46" t="n"/>
      <c r="AC409" s="46" t="n"/>
      <c r="AD409" s="46" t="n"/>
      <c r="AE409" s="46" t="n"/>
      <c r="AF409" s="46" t="n"/>
      <c r="AG409" s="46" t="n"/>
      <c r="AH409" s="47" t="n"/>
      <c r="AI409" s="47" t="n"/>
      <c r="AJ409" s="47" t="n"/>
      <c r="AK409" s="47" t="n"/>
      <c r="AL409" s="47" t="n"/>
      <c r="AM409" s="47" t="n"/>
      <c r="AN409" s="47" t="n"/>
      <c r="AO409" s="47" t="n"/>
      <c r="AP409" s="47" t="n"/>
      <c r="AQ409" s="47" t="n"/>
      <c r="AR409" s="47" t="n"/>
      <c r="AS409" s="47" t="n"/>
      <c r="AT409" s="47" t="n"/>
      <c r="AU409" s="48" t="n"/>
      <c r="AV409" s="48" t="n"/>
      <c r="AW409" s="49">
        <f>IF($A409="","",IF($BW409&lt;&gt;"","FIX",IF($BX409&lt;&gt;"","CHECK","OK")))</f>
        <v/>
      </c>
      <c r="AX409" s="50">
        <f>IF($A409="","",IF($BW409&lt;&gt;"","FIX: "&amp;LEFT($BW409,LEN($BW409)-2)&amp;IF($BX409&lt;&gt;"","  ·  ",""),"")&amp;IF($BX409&lt;&gt;"","CHECK: "&amp;LEFT($BX409,LEN($BX409)-2),""))</f>
        <v/>
      </c>
      <c r="AY409" s="49">
        <f>IF(OR($A409="",$K409=""),"",$K409&amp;"'-"&amp;N($L409)&amp;CHAR(34)&amp;" x "&amp;$M409&amp;"'-"&amp;N($N409)&amp;CHAR(34))</f>
        <v/>
      </c>
      <c r="AZ409" s="49">
        <f>IF(OR($A409="",$K409=""),"",$K409&amp;N($L409)&amp;$M409&amp;N($N409))</f>
        <v/>
      </c>
      <c r="BA409" s="49">
        <f>IF(OR($A409="",$K409=""),"",$K409*12+N($L409))</f>
        <v/>
      </c>
      <c r="BB409" s="49">
        <f>IF(OR($A409="",$M409=""),"",$M409*12+N($N409))</f>
        <v/>
      </c>
      <c r="BC409" s="49">
        <f>IF($A409="","",IF(OR($C409="FRAME ONLY",$S409="BL"),0,IF($O409="Y",2,1)))</f>
        <v/>
      </c>
      <c r="BD409" s="51">
        <f>IF(OR(N($BC409)=0,$BA409=""),"",($BA409-2*EdgeClr-IF($BC409=2,MeetClr,0))/$BC409)</f>
        <v/>
      </c>
      <c r="BE409" s="51">
        <f>IF(OR(N($BC409)=0,$BB409=""),"",$BB409-HeadClr-Undercut)</f>
        <v/>
      </c>
      <c r="BF409" s="51">
        <f>IF($BA409="","",$BA409+2*FaceW+IF(N($Q409)&gt;0,($Q409+FaceW)*IF($R409="LR",2,1),0))</f>
        <v/>
      </c>
      <c r="BG409" s="51">
        <f>IF($BB409="","",$BB409+IF($AB409="Y",4,FaceW)+IF(N($P409)&gt;0,$P409+FaceW,0)+IF(OR($S409="4F",$S409="BL"),FaceW,0))</f>
        <v/>
      </c>
      <c r="BH409" s="51">
        <f>IF($BF409="","",$BF409+2*ROSide)</f>
        <v/>
      </c>
      <c r="BI409" s="51">
        <f>IF($BG409="","",$BG409+ROTop)</f>
        <v/>
      </c>
      <c r="BJ409" s="52">
        <f>IF(OR(N($BC409)=0,$BA409=""),"",$BA409/$BC409-ClearDeduct)</f>
        <v/>
      </c>
      <c r="BK409" s="49">
        <f>IF(OR(N($BC409)=0,$BE409=""),"",IF(OR($AC409="HGC",$AP409="HGC"),"CONT",IF($BE409&lt;=60,2,IF($BE409&lt;=90,3,IF($BE409&lt;=120,4,5)))))</f>
        <v/>
      </c>
      <c r="BL409" s="49">
        <f>IF(N($BC409)=0,"",IF(OR($AL409="",$AL409="FLUSH"),"FLUSH",IFERROR(LEFT($AL409,FIND("-",$AL409)-1),LEFT($AL409,2))))</f>
        <v/>
      </c>
      <c r="BM409" s="49">
        <f>IF($BL409="","",IFERROR(VALUE(MID($AL409,FIND("-",$AL409)+1,FIND(CHAR(34)&amp;"x",$AL409)-FIND("-",$AL409)-1)),0))</f>
        <v/>
      </c>
      <c r="BN409" s="49">
        <f>IF($BL409="","",IFERROR(VALUE(MID($AL409,FIND(CHAR(34)&amp;"x",$AL409)+2,FIND(CHAR(34),$AL409,FIND(CHAR(34)&amp;"x",$AL409)+2)-FIND(CHAR(34)&amp;"x",$AL409)-2)),0))</f>
        <v/>
      </c>
      <c r="BO409" s="53">
        <f>IF(OR($A409="",$H409="",$H409="NO LAB"),0,IFERROR(VALUE(LEFT($H409,FIND(" ",$H409)-1)),0))</f>
        <v/>
      </c>
      <c r="BP409" s="54">
        <f>IF(OR($A409="",$I409="",$I409="NON-RATED",N($J409)=0),"",IFERROR(VLOOKUP($I409&amp;"|"&amp;$J409,IBC,2,FALSE),"?"))</f>
        <v/>
      </c>
      <c r="BQ409" s="50">
        <f>IF(NOT(AND($A409&lt;&gt;"",$C409&lt;&gt;"DOOR ONLY")),"",TRIM(IFERROR(VLOOKUP($U409,CODES,2,FALSE),"")&amp;" "&amp;$AZ409&amp;" "&amp;IFERROR(VLOOKUP($Z409,CODES,2,FALSE),"")&amp;" "&amp;IFERROR(VLOOKUP($X409,CODES,2,FALSE),"")&amp;" "&amp;IFERROR(VLOOKUP($S409,CODES,2,FALSE),"")&amp;IF(N($P409)&gt;0," w/TRANSOM "&amp;$P409&amp;CHAR(34),"")&amp;IF(N($Q409)&gt;0," w/SIDELITE "&amp;$Q409&amp;CHAR(34)&amp;" "&amp;IF($R409="","R",$R409),"")&amp;IF($Y409="","  |  "," | "&amp;IFERROR(VLOOKUP($Y409,CODES,2,FALSE),"")&amp;" | ")&amp;IFERROR(VLOOKUP($AC409,CODES,2,FALSE),"")&amp;" "&amp;IFERROR(VLOOKUP($AD409,CODES,2,FALSE),"")&amp;IF(OR($AE409="",$AE409="-"),""," "&amp;$AE409)&amp;IF(OR($AF409="",$AF409="-"),""," "&amp;$AF409)&amp;IF($AB409="Y"," 4"&amp;CHAR(34)&amp;" HEAD","")&amp;" "&amp;IFERROR(VLOOKUP($H409,CODES,2,FALSE),"")))</f>
        <v/>
      </c>
      <c r="BR409" s="50">
        <f>IF(NOT(AND($A409&lt;&gt;"",N($BC409)&gt;0)),"",TRIM(IFERROR(VLOOKUP($AH409,CODES,2,FALSE),"")&amp;IF($AI409=""," "," "&amp;$AI409&amp;"GA ")&amp;$AZ409&amp;" "&amp;IF($AN409="",IFERROR(VLOOKUP($Z409,CODES,2,FALSE),""),IFERROR(VLOOKUP($AN409,CODES,2,FALSE),""))&amp;IF($BC409=2," PAIR","")&amp;" DOOR | "&amp;IF($AL409="","?",$AL409)&amp;" | "&amp;IF($AP409="",IFERROR(VLOOKUP($AC409,CODES,2,FALSE),""),IFERROR(VLOOKUP($AP409,CODES,2,FALSE),""))&amp;" "&amp;IFERROR(VLOOKUP($AQ409,CODES,2,FALSE),"")&amp;IF(OR($AR409="",$AR409="-"),""," SEAM "&amp;$AR409)&amp;IF($AS409="Y"," ASTRAGAL","")&amp;IF($AJ409=""," "," "&amp;$AJ409)&amp;IF($AK409=""," "," "&amp;$AK409)&amp;IF($AO409="",""," "&amp;$AO409)&amp;IF($AM409=""," "," SERIES "&amp;$AM409)&amp;" "&amp;IFERROR(VLOOKUP($H409,CODES,2,FALSE),"")))</f>
        <v/>
      </c>
      <c r="BS409" s="49">
        <f>IF(BV409="","",IF(COUNTIF($BV$6:BV409,BV409)=1,MAX($BS$5:BS408)+1,INDEX($BS$5:BS408,MATCH(BV409,$BV$5:BV408,0))))</f>
        <v/>
      </c>
      <c r="BT409" s="49">
        <f>IF(NOT(AND($A409&lt;&gt;"",$C409&lt;&gt;"DOOR ONLY")),"",MAX($BT$5:BT408)+1)</f>
        <v/>
      </c>
      <c r="BU409" s="49">
        <f>IF(NOT(AND($A409&lt;&gt;"",N($BC409)&gt;0)),"",MAX($BU$5:BU408)+1)</f>
        <v/>
      </c>
      <c r="BV409" s="49">
        <f>IF(OR($A409="",$BA409="",$BB409=""),"",$AZ409&amp;"|"&amp;$O409&amp;"|"&amp;$AL409&amp;"|"&amp;$S409&amp;"|"&amp;$P409&amp;"|"&amp;$Q409&amp;$R409&amp;"|"&amp;$C409&amp;"|"&amp;$AB409)</f>
        <v/>
      </c>
      <c r="BW409" s="49">
        <f>IF($A409="","",IF($B409="","qty, ","")&amp;IF($C409="","scope, ","")&amp;IF(OR($K409="",$M409=""),"size, ","")&amp;IF(AND($A409&lt;&gt;"",$C409&lt;&gt;"DOOR ONLY"),IF($U409="","jamb depth, ","")&amp;IF($X409="","construction, ","")&amp;IF($Y409="","anchor, ","")&amp;IF($S409="","frame type, ",""),"")&amp;IF(AND(N($BC409)&gt;0,$Z409=""),"hand, ","")&amp;IF(N($BC409)&gt;0,IF($AH409="","door material, ","")&amp;IF($AL409="","face type, ","")&amp;IF($AQ409="","lock prep, ","")&amp;IF(AND($AP409="",$AC409=""),"hinge prep, ",""),"")&amp;IF(AND($BO409&gt;0,$AH409="FRP"),"FRP cannot carry a label, ","")&amp;IF(AND($O409="Y",OR($Z409="L",$Z409="R",$Z409="LR",$Z409="RR")),"pair marked but hand is single, ","")&amp;IF(AND($O409&lt;&gt;"Y",OR($Z409="PR",AND(LEN($Z409)&gt;1,ISNUMBER(SEARCH("-",$Z409))))),"pair hand on a single door, ","")&amp;IF(AND(ISNUMBER($BP409),$BO409&lt;N($BP409)),"wall needs a "&amp;$BP409&amp;" min door, ","")&amp;IF(AND($BO409&gt;=180,AND(OR($BL409="FG",$BL409="HG",$BL409="FNV",$BL409="FV"),N($BM409)*N($BN409)&gt;100)),"180 min lite over 100 sq in, ","")&amp;IF(N($BD409)&gt;48,"leaf wider than 4'-0"&amp;CHAR(34)&amp;", ",""))</f>
        <v/>
      </c>
      <c r="BX409" s="49">
        <f>IF($A409="","",IF(AND($BO409&gt;0,AND($A409&lt;&gt;"",$C409&lt;&gt;"DOOR ONLY"),$X409="KD",$E409="EXTERIOR"),"KD label on an exterior opening, ","")&amp;IF(AND($E409="EXTERIOR",OR(AND(AND($A409&lt;&gt;"",$C409&lt;&gt;"DOOR ONLY"),$W409="CR"),AND(N($BC409)&gt;0,$AH409="CR"))),"exterior in CR steel (G9?), ","")&amp;IF(AND(ISNUMBER($BJ409),N($BJ409)&lt;32),"clear width ~"&amp;TEXT($BJ409,"0.0")&amp;CHAR(34)&amp;" under 32"&amp;CHAR(34)&amp;" (ADA), ","")&amp;IF(AND($BO409=90,AND(OR($BL409="FG",$BL409="HG",$BL409="FNV",$BL409="FV"),N($BM409)*N($BN409)&gt;100)),"90 min lite over 100 sq in (stair/exit), ","")&amp;IF(AND($BO409&gt;0,AND($A409&lt;&gt;"",$C409&lt;&gt;"DOOR ONLY"),OR($AF409="",$AF409="-")),"rated: closer reinf.?, ","")&amp;IF(OR($I409="CORRIDOR",$I409="SMOKE BARRIER"),"S label + smoke gasketing, ","")&amp;IF($BP409="?","wall type/hr not in IBC table, ","")&amp;IF(AND(N($BC409)&gt;0,$AU409=""),"no hardware set, ","")&amp;IF(AND($AU409&lt;&gt;"",ISNA(MATCH($AU409,HWSets,0))),"set "&amp;$AU409&amp;" not on Hardware sheet, ","")&amp;IF(N($BE409)&gt;96,"leaf over 8'-0"&amp;CHAR(34)&amp;" - check listing, ",""))</f>
        <v/>
      </c>
    </row>
    <row r="410" ht="15" customHeight="1">
      <c r="A410" s="44" t="n"/>
      <c r="B410" s="45" t="n"/>
      <c r="C410" s="45" t="n"/>
      <c r="D410" s="45" t="n"/>
      <c r="E410" s="45" t="n"/>
      <c r="F410" s="45" t="n"/>
      <c r="G410" s="45" t="n"/>
      <c r="H410" s="45" t="n"/>
      <c r="I410" s="45" t="n"/>
      <c r="J410" s="45" t="n"/>
      <c r="K410" s="45" t="n"/>
      <c r="L410" s="45" t="n"/>
      <c r="M410" s="45" t="n"/>
      <c r="N410" s="45" t="n"/>
      <c r="O410" s="45" t="n"/>
      <c r="P410" s="45" t="n"/>
      <c r="Q410" s="45" t="n"/>
      <c r="R410" s="45" t="n"/>
      <c r="S410" s="46" t="n"/>
      <c r="T410" s="46" t="n"/>
      <c r="U410" s="46" t="n"/>
      <c r="V410" s="46" t="n"/>
      <c r="W410" s="46" t="n"/>
      <c r="X410" s="46" t="n"/>
      <c r="Y410" s="46" t="n"/>
      <c r="Z410" s="46" t="n"/>
      <c r="AA410" s="46" t="n"/>
      <c r="AB410" s="46" t="n"/>
      <c r="AC410" s="46" t="n"/>
      <c r="AD410" s="46" t="n"/>
      <c r="AE410" s="46" t="n"/>
      <c r="AF410" s="46" t="n"/>
      <c r="AG410" s="46" t="n"/>
      <c r="AH410" s="47" t="n"/>
      <c r="AI410" s="47" t="n"/>
      <c r="AJ410" s="47" t="n"/>
      <c r="AK410" s="47" t="n"/>
      <c r="AL410" s="47" t="n"/>
      <c r="AM410" s="47" t="n"/>
      <c r="AN410" s="47" t="n"/>
      <c r="AO410" s="47" t="n"/>
      <c r="AP410" s="47" t="n"/>
      <c r="AQ410" s="47" t="n"/>
      <c r="AR410" s="47" t="n"/>
      <c r="AS410" s="47" t="n"/>
      <c r="AT410" s="47" t="n"/>
      <c r="AU410" s="48" t="n"/>
      <c r="AV410" s="48" t="n"/>
      <c r="AW410" s="49">
        <f>IF($A410="","",IF($BW410&lt;&gt;"","FIX",IF($BX410&lt;&gt;"","CHECK","OK")))</f>
        <v/>
      </c>
      <c r="AX410" s="50">
        <f>IF($A410="","",IF($BW410&lt;&gt;"","FIX: "&amp;LEFT($BW410,LEN($BW410)-2)&amp;IF($BX410&lt;&gt;"","  ·  ",""),"")&amp;IF($BX410&lt;&gt;"","CHECK: "&amp;LEFT($BX410,LEN($BX410)-2),""))</f>
        <v/>
      </c>
      <c r="AY410" s="49">
        <f>IF(OR($A410="",$K410=""),"",$K410&amp;"'-"&amp;N($L410)&amp;CHAR(34)&amp;" x "&amp;$M410&amp;"'-"&amp;N($N410)&amp;CHAR(34))</f>
        <v/>
      </c>
      <c r="AZ410" s="49">
        <f>IF(OR($A410="",$K410=""),"",$K410&amp;N($L410)&amp;$M410&amp;N($N410))</f>
        <v/>
      </c>
      <c r="BA410" s="49">
        <f>IF(OR($A410="",$K410=""),"",$K410*12+N($L410))</f>
        <v/>
      </c>
      <c r="BB410" s="49">
        <f>IF(OR($A410="",$M410=""),"",$M410*12+N($N410))</f>
        <v/>
      </c>
      <c r="BC410" s="49">
        <f>IF($A410="","",IF(OR($C410="FRAME ONLY",$S410="BL"),0,IF($O410="Y",2,1)))</f>
        <v/>
      </c>
      <c r="BD410" s="51">
        <f>IF(OR(N($BC410)=0,$BA410=""),"",($BA410-2*EdgeClr-IF($BC410=2,MeetClr,0))/$BC410)</f>
        <v/>
      </c>
      <c r="BE410" s="51">
        <f>IF(OR(N($BC410)=0,$BB410=""),"",$BB410-HeadClr-Undercut)</f>
        <v/>
      </c>
      <c r="BF410" s="51">
        <f>IF($BA410="","",$BA410+2*FaceW+IF(N($Q410)&gt;0,($Q410+FaceW)*IF($R410="LR",2,1),0))</f>
        <v/>
      </c>
      <c r="BG410" s="51">
        <f>IF($BB410="","",$BB410+IF($AB410="Y",4,FaceW)+IF(N($P410)&gt;0,$P410+FaceW,0)+IF(OR($S410="4F",$S410="BL"),FaceW,0))</f>
        <v/>
      </c>
      <c r="BH410" s="51">
        <f>IF($BF410="","",$BF410+2*ROSide)</f>
        <v/>
      </c>
      <c r="BI410" s="51">
        <f>IF($BG410="","",$BG410+ROTop)</f>
        <v/>
      </c>
      <c r="BJ410" s="52">
        <f>IF(OR(N($BC410)=0,$BA410=""),"",$BA410/$BC410-ClearDeduct)</f>
        <v/>
      </c>
      <c r="BK410" s="49">
        <f>IF(OR(N($BC410)=0,$BE410=""),"",IF(OR($AC410="HGC",$AP410="HGC"),"CONT",IF($BE410&lt;=60,2,IF($BE410&lt;=90,3,IF($BE410&lt;=120,4,5)))))</f>
        <v/>
      </c>
      <c r="BL410" s="49">
        <f>IF(N($BC410)=0,"",IF(OR($AL410="",$AL410="FLUSH"),"FLUSH",IFERROR(LEFT($AL410,FIND("-",$AL410)-1),LEFT($AL410,2))))</f>
        <v/>
      </c>
      <c r="BM410" s="49">
        <f>IF($BL410="","",IFERROR(VALUE(MID($AL410,FIND("-",$AL410)+1,FIND(CHAR(34)&amp;"x",$AL410)-FIND("-",$AL410)-1)),0))</f>
        <v/>
      </c>
      <c r="BN410" s="49">
        <f>IF($BL410="","",IFERROR(VALUE(MID($AL410,FIND(CHAR(34)&amp;"x",$AL410)+2,FIND(CHAR(34),$AL410,FIND(CHAR(34)&amp;"x",$AL410)+2)-FIND(CHAR(34)&amp;"x",$AL410)-2)),0))</f>
        <v/>
      </c>
      <c r="BO410" s="53">
        <f>IF(OR($A410="",$H410="",$H410="NO LAB"),0,IFERROR(VALUE(LEFT($H410,FIND(" ",$H410)-1)),0))</f>
        <v/>
      </c>
      <c r="BP410" s="54">
        <f>IF(OR($A410="",$I410="",$I410="NON-RATED",N($J410)=0),"",IFERROR(VLOOKUP($I410&amp;"|"&amp;$J410,IBC,2,FALSE),"?"))</f>
        <v/>
      </c>
      <c r="BQ410" s="50">
        <f>IF(NOT(AND($A410&lt;&gt;"",$C410&lt;&gt;"DOOR ONLY")),"",TRIM(IFERROR(VLOOKUP($U410,CODES,2,FALSE),"")&amp;" "&amp;$AZ410&amp;" "&amp;IFERROR(VLOOKUP($Z410,CODES,2,FALSE),"")&amp;" "&amp;IFERROR(VLOOKUP($X410,CODES,2,FALSE),"")&amp;" "&amp;IFERROR(VLOOKUP($S410,CODES,2,FALSE),"")&amp;IF(N($P410)&gt;0," w/TRANSOM "&amp;$P410&amp;CHAR(34),"")&amp;IF(N($Q410)&gt;0," w/SIDELITE "&amp;$Q410&amp;CHAR(34)&amp;" "&amp;IF($R410="","R",$R410),"")&amp;IF($Y410="","  |  "," | "&amp;IFERROR(VLOOKUP($Y410,CODES,2,FALSE),"")&amp;" | ")&amp;IFERROR(VLOOKUP($AC410,CODES,2,FALSE),"")&amp;" "&amp;IFERROR(VLOOKUP($AD410,CODES,2,FALSE),"")&amp;IF(OR($AE410="",$AE410="-"),""," "&amp;$AE410)&amp;IF(OR($AF410="",$AF410="-"),""," "&amp;$AF410)&amp;IF($AB410="Y"," 4"&amp;CHAR(34)&amp;" HEAD","")&amp;" "&amp;IFERROR(VLOOKUP($H410,CODES,2,FALSE),"")))</f>
        <v/>
      </c>
      <c r="BR410" s="50">
        <f>IF(NOT(AND($A410&lt;&gt;"",N($BC410)&gt;0)),"",TRIM(IFERROR(VLOOKUP($AH410,CODES,2,FALSE),"")&amp;IF($AI410=""," "," "&amp;$AI410&amp;"GA ")&amp;$AZ410&amp;" "&amp;IF($AN410="",IFERROR(VLOOKUP($Z410,CODES,2,FALSE),""),IFERROR(VLOOKUP($AN410,CODES,2,FALSE),""))&amp;IF($BC410=2," PAIR","")&amp;" DOOR | "&amp;IF($AL410="","?",$AL410)&amp;" | "&amp;IF($AP410="",IFERROR(VLOOKUP($AC410,CODES,2,FALSE),""),IFERROR(VLOOKUP($AP410,CODES,2,FALSE),""))&amp;" "&amp;IFERROR(VLOOKUP($AQ410,CODES,2,FALSE),"")&amp;IF(OR($AR410="",$AR410="-"),""," SEAM "&amp;$AR410)&amp;IF($AS410="Y"," ASTRAGAL","")&amp;IF($AJ410=""," "," "&amp;$AJ410)&amp;IF($AK410=""," "," "&amp;$AK410)&amp;IF($AO410="",""," "&amp;$AO410)&amp;IF($AM410=""," "," SERIES "&amp;$AM410)&amp;" "&amp;IFERROR(VLOOKUP($H410,CODES,2,FALSE),"")))</f>
        <v/>
      </c>
      <c r="BS410" s="49">
        <f>IF(BV410="","",IF(COUNTIF($BV$6:BV410,BV410)=1,MAX($BS$5:BS409)+1,INDEX($BS$5:BS409,MATCH(BV410,$BV$5:BV409,0))))</f>
        <v/>
      </c>
      <c r="BT410" s="49">
        <f>IF(NOT(AND($A410&lt;&gt;"",$C410&lt;&gt;"DOOR ONLY")),"",MAX($BT$5:BT409)+1)</f>
        <v/>
      </c>
      <c r="BU410" s="49">
        <f>IF(NOT(AND($A410&lt;&gt;"",N($BC410)&gt;0)),"",MAX($BU$5:BU409)+1)</f>
        <v/>
      </c>
      <c r="BV410" s="49">
        <f>IF(OR($A410="",$BA410="",$BB410=""),"",$AZ410&amp;"|"&amp;$O410&amp;"|"&amp;$AL410&amp;"|"&amp;$S410&amp;"|"&amp;$P410&amp;"|"&amp;$Q410&amp;$R410&amp;"|"&amp;$C410&amp;"|"&amp;$AB410)</f>
        <v/>
      </c>
      <c r="BW410" s="49">
        <f>IF($A410="","",IF($B410="","qty, ","")&amp;IF($C410="","scope, ","")&amp;IF(OR($K410="",$M410=""),"size, ","")&amp;IF(AND($A410&lt;&gt;"",$C410&lt;&gt;"DOOR ONLY"),IF($U410="","jamb depth, ","")&amp;IF($X410="","construction, ","")&amp;IF($Y410="","anchor, ","")&amp;IF($S410="","frame type, ",""),"")&amp;IF(AND(N($BC410)&gt;0,$Z410=""),"hand, ","")&amp;IF(N($BC410)&gt;0,IF($AH410="","door material, ","")&amp;IF($AL410="","face type, ","")&amp;IF($AQ410="","lock prep, ","")&amp;IF(AND($AP410="",$AC410=""),"hinge prep, ",""),"")&amp;IF(AND($BO410&gt;0,$AH410="FRP"),"FRP cannot carry a label, ","")&amp;IF(AND($O410="Y",OR($Z410="L",$Z410="R",$Z410="LR",$Z410="RR")),"pair marked but hand is single, ","")&amp;IF(AND($O410&lt;&gt;"Y",OR($Z410="PR",AND(LEN($Z410)&gt;1,ISNUMBER(SEARCH("-",$Z410))))),"pair hand on a single door, ","")&amp;IF(AND(ISNUMBER($BP410),$BO410&lt;N($BP410)),"wall needs a "&amp;$BP410&amp;" min door, ","")&amp;IF(AND($BO410&gt;=180,AND(OR($BL410="FG",$BL410="HG",$BL410="FNV",$BL410="FV"),N($BM410)*N($BN410)&gt;100)),"180 min lite over 100 sq in, ","")&amp;IF(N($BD410)&gt;48,"leaf wider than 4'-0"&amp;CHAR(34)&amp;", ",""))</f>
        <v/>
      </c>
      <c r="BX410" s="49">
        <f>IF($A410="","",IF(AND($BO410&gt;0,AND($A410&lt;&gt;"",$C410&lt;&gt;"DOOR ONLY"),$X410="KD",$E410="EXTERIOR"),"KD label on an exterior opening, ","")&amp;IF(AND($E410="EXTERIOR",OR(AND(AND($A410&lt;&gt;"",$C410&lt;&gt;"DOOR ONLY"),$W410="CR"),AND(N($BC410)&gt;0,$AH410="CR"))),"exterior in CR steel (G9?), ","")&amp;IF(AND(ISNUMBER($BJ410),N($BJ410)&lt;32),"clear width ~"&amp;TEXT($BJ410,"0.0")&amp;CHAR(34)&amp;" under 32"&amp;CHAR(34)&amp;" (ADA), ","")&amp;IF(AND($BO410=90,AND(OR($BL410="FG",$BL410="HG",$BL410="FNV",$BL410="FV"),N($BM410)*N($BN410)&gt;100)),"90 min lite over 100 sq in (stair/exit), ","")&amp;IF(AND($BO410&gt;0,AND($A410&lt;&gt;"",$C410&lt;&gt;"DOOR ONLY"),OR($AF410="",$AF410="-")),"rated: closer reinf.?, ","")&amp;IF(OR($I410="CORRIDOR",$I410="SMOKE BARRIER"),"S label + smoke gasketing, ","")&amp;IF($BP410="?","wall type/hr not in IBC table, ","")&amp;IF(AND(N($BC410)&gt;0,$AU410=""),"no hardware set, ","")&amp;IF(AND($AU410&lt;&gt;"",ISNA(MATCH($AU410,HWSets,0))),"set "&amp;$AU410&amp;" not on Hardware sheet, ","")&amp;IF(N($BE410)&gt;96,"leaf over 8'-0"&amp;CHAR(34)&amp;" - check listing, ",""))</f>
        <v/>
      </c>
    </row>
    <row r="411" ht="15" customHeight="1">
      <c r="A411" s="44" t="n"/>
      <c r="B411" s="45" t="n"/>
      <c r="C411" s="45" t="n"/>
      <c r="D411" s="45" t="n"/>
      <c r="E411" s="45" t="n"/>
      <c r="F411" s="45" t="n"/>
      <c r="G411" s="45" t="n"/>
      <c r="H411" s="45" t="n"/>
      <c r="I411" s="45" t="n"/>
      <c r="J411" s="45" t="n"/>
      <c r="K411" s="45" t="n"/>
      <c r="L411" s="45" t="n"/>
      <c r="M411" s="45" t="n"/>
      <c r="N411" s="45" t="n"/>
      <c r="O411" s="45" t="n"/>
      <c r="P411" s="45" t="n"/>
      <c r="Q411" s="45" t="n"/>
      <c r="R411" s="45" t="n"/>
      <c r="S411" s="46" t="n"/>
      <c r="T411" s="46" t="n"/>
      <c r="U411" s="46" t="n"/>
      <c r="V411" s="46" t="n"/>
      <c r="W411" s="46" t="n"/>
      <c r="X411" s="46" t="n"/>
      <c r="Y411" s="46" t="n"/>
      <c r="Z411" s="46" t="n"/>
      <c r="AA411" s="46" t="n"/>
      <c r="AB411" s="46" t="n"/>
      <c r="AC411" s="46" t="n"/>
      <c r="AD411" s="46" t="n"/>
      <c r="AE411" s="46" t="n"/>
      <c r="AF411" s="46" t="n"/>
      <c r="AG411" s="46" t="n"/>
      <c r="AH411" s="47" t="n"/>
      <c r="AI411" s="47" t="n"/>
      <c r="AJ411" s="47" t="n"/>
      <c r="AK411" s="47" t="n"/>
      <c r="AL411" s="47" t="n"/>
      <c r="AM411" s="47" t="n"/>
      <c r="AN411" s="47" t="n"/>
      <c r="AO411" s="47" t="n"/>
      <c r="AP411" s="47" t="n"/>
      <c r="AQ411" s="47" t="n"/>
      <c r="AR411" s="47" t="n"/>
      <c r="AS411" s="47" t="n"/>
      <c r="AT411" s="47" t="n"/>
      <c r="AU411" s="48" t="n"/>
      <c r="AV411" s="48" t="n"/>
      <c r="AW411" s="49">
        <f>IF($A411="","",IF($BW411&lt;&gt;"","FIX",IF($BX411&lt;&gt;"","CHECK","OK")))</f>
        <v/>
      </c>
      <c r="AX411" s="50">
        <f>IF($A411="","",IF($BW411&lt;&gt;"","FIX: "&amp;LEFT($BW411,LEN($BW411)-2)&amp;IF($BX411&lt;&gt;"","  ·  ",""),"")&amp;IF($BX411&lt;&gt;"","CHECK: "&amp;LEFT($BX411,LEN($BX411)-2),""))</f>
        <v/>
      </c>
      <c r="AY411" s="49">
        <f>IF(OR($A411="",$K411=""),"",$K411&amp;"'-"&amp;N($L411)&amp;CHAR(34)&amp;" x "&amp;$M411&amp;"'-"&amp;N($N411)&amp;CHAR(34))</f>
        <v/>
      </c>
      <c r="AZ411" s="49">
        <f>IF(OR($A411="",$K411=""),"",$K411&amp;N($L411)&amp;$M411&amp;N($N411))</f>
        <v/>
      </c>
      <c r="BA411" s="49">
        <f>IF(OR($A411="",$K411=""),"",$K411*12+N($L411))</f>
        <v/>
      </c>
      <c r="BB411" s="49">
        <f>IF(OR($A411="",$M411=""),"",$M411*12+N($N411))</f>
        <v/>
      </c>
      <c r="BC411" s="49">
        <f>IF($A411="","",IF(OR($C411="FRAME ONLY",$S411="BL"),0,IF($O411="Y",2,1)))</f>
        <v/>
      </c>
      <c r="BD411" s="51">
        <f>IF(OR(N($BC411)=0,$BA411=""),"",($BA411-2*EdgeClr-IF($BC411=2,MeetClr,0))/$BC411)</f>
        <v/>
      </c>
      <c r="BE411" s="51">
        <f>IF(OR(N($BC411)=0,$BB411=""),"",$BB411-HeadClr-Undercut)</f>
        <v/>
      </c>
      <c r="BF411" s="51">
        <f>IF($BA411="","",$BA411+2*FaceW+IF(N($Q411)&gt;0,($Q411+FaceW)*IF($R411="LR",2,1),0))</f>
        <v/>
      </c>
      <c r="BG411" s="51">
        <f>IF($BB411="","",$BB411+IF($AB411="Y",4,FaceW)+IF(N($P411)&gt;0,$P411+FaceW,0)+IF(OR($S411="4F",$S411="BL"),FaceW,0))</f>
        <v/>
      </c>
      <c r="BH411" s="51">
        <f>IF($BF411="","",$BF411+2*ROSide)</f>
        <v/>
      </c>
      <c r="BI411" s="51">
        <f>IF($BG411="","",$BG411+ROTop)</f>
        <v/>
      </c>
      <c r="BJ411" s="52">
        <f>IF(OR(N($BC411)=0,$BA411=""),"",$BA411/$BC411-ClearDeduct)</f>
        <v/>
      </c>
      <c r="BK411" s="49">
        <f>IF(OR(N($BC411)=0,$BE411=""),"",IF(OR($AC411="HGC",$AP411="HGC"),"CONT",IF($BE411&lt;=60,2,IF($BE411&lt;=90,3,IF($BE411&lt;=120,4,5)))))</f>
        <v/>
      </c>
      <c r="BL411" s="49">
        <f>IF(N($BC411)=0,"",IF(OR($AL411="",$AL411="FLUSH"),"FLUSH",IFERROR(LEFT($AL411,FIND("-",$AL411)-1),LEFT($AL411,2))))</f>
        <v/>
      </c>
      <c r="BM411" s="49">
        <f>IF($BL411="","",IFERROR(VALUE(MID($AL411,FIND("-",$AL411)+1,FIND(CHAR(34)&amp;"x",$AL411)-FIND("-",$AL411)-1)),0))</f>
        <v/>
      </c>
      <c r="BN411" s="49">
        <f>IF($BL411="","",IFERROR(VALUE(MID($AL411,FIND(CHAR(34)&amp;"x",$AL411)+2,FIND(CHAR(34),$AL411,FIND(CHAR(34)&amp;"x",$AL411)+2)-FIND(CHAR(34)&amp;"x",$AL411)-2)),0))</f>
        <v/>
      </c>
      <c r="BO411" s="53">
        <f>IF(OR($A411="",$H411="",$H411="NO LAB"),0,IFERROR(VALUE(LEFT($H411,FIND(" ",$H411)-1)),0))</f>
        <v/>
      </c>
      <c r="BP411" s="54">
        <f>IF(OR($A411="",$I411="",$I411="NON-RATED",N($J411)=0),"",IFERROR(VLOOKUP($I411&amp;"|"&amp;$J411,IBC,2,FALSE),"?"))</f>
        <v/>
      </c>
      <c r="BQ411" s="50">
        <f>IF(NOT(AND($A411&lt;&gt;"",$C411&lt;&gt;"DOOR ONLY")),"",TRIM(IFERROR(VLOOKUP($U411,CODES,2,FALSE),"")&amp;" "&amp;$AZ411&amp;" "&amp;IFERROR(VLOOKUP($Z411,CODES,2,FALSE),"")&amp;" "&amp;IFERROR(VLOOKUP($X411,CODES,2,FALSE),"")&amp;" "&amp;IFERROR(VLOOKUP($S411,CODES,2,FALSE),"")&amp;IF(N($P411)&gt;0," w/TRANSOM "&amp;$P411&amp;CHAR(34),"")&amp;IF(N($Q411)&gt;0," w/SIDELITE "&amp;$Q411&amp;CHAR(34)&amp;" "&amp;IF($R411="","R",$R411),"")&amp;IF($Y411="","  |  "," | "&amp;IFERROR(VLOOKUP($Y411,CODES,2,FALSE),"")&amp;" | ")&amp;IFERROR(VLOOKUP($AC411,CODES,2,FALSE),"")&amp;" "&amp;IFERROR(VLOOKUP($AD411,CODES,2,FALSE),"")&amp;IF(OR($AE411="",$AE411="-"),""," "&amp;$AE411)&amp;IF(OR($AF411="",$AF411="-"),""," "&amp;$AF411)&amp;IF($AB411="Y"," 4"&amp;CHAR(34)&amp;" HEAD","")&amp;" "&amp;IFERROR(VLOOKUP($H411,CODES,2,FALSE),"")))</f>
        <v/>
      </c>
      <c r="BR411" s="50">
        <f>IF(NOT(AND($A411&lt;&gt;"",N($BC411)&gt;0)),"",TRIM(IFERROR(VLOOKUP($AH411,CODES,2,FALSE),"")&amp;IF($AI411=""," "," "&amp;$AI411&amp;"GA ")&amp;$AZ411&amp;" "&amp;IF($AN411="",IFERROR(VLOOKUP($Z411,CODES,2,FALSE),""),IFERROR(VLOOKUP($AN411,CODES,2,FALSE),""))&amp;IF($BC411=2," PAIR","")&amp;" DOOR | "&amp;IF($AL411="","?",$AL411)&amp;" | "&amp;IF($AP411="",IFERROR(VLOOKUP($AC411,CODES,2,FALSE),""),IFERROR(VLOOKUP($AP411,CODES,2,FALSE),""))&amp;" "&amp;IFERROR(VLOOKUP($AQ411,CODES,2,FALSE),"")&amp;IF(OR($AR411="",$AR411="-"),""," SEAM "&amp;$AR411)&amp;IF($AS411="Y"," ASTRAGAL","")&amp;IF($AJ411=""," "," "&amp;$AJ411)&amp;IF($AK411=""," "," "&amp;$AK411)&amp;IF($AO411="",""," "&amp;$AO411)&amp;IF($AM411=""," "," SERIES "&amp;$AM411)&amp;" "&amp;IFERROR(VLOOKUP($H411,CODES,2,FALSE),"")))</f>
        <v/>
      </c>
      <c r="BS411" s="49">
        <f>IF(BV411="","",IF(COUNTIF($BV$6:BV411,BV411)=1,MAX($BS$5:BS410)+1,INDEX($BS$5:BS410,MATCH(BV411,$BV$5:BV410,0))))</f>
        <v/>
      </c>
      <c r="BT411" s="49">
        <f>IF(NOT(AND($A411&lt;&gt;"",$C411&lt;&gt;"DOOR ONLY")),"",MAX($BT$5:BT410)+1)</f>
        <v/>
      </c>
      <c r="BU411" s="49">
        <f>IF(NOT(AND($A411&lt;&gt;"",N($BC411)&gt;0)),"",MAX($BU$5:BU410)+1)</f>
        <v/>
      </c>
      <c r="BV411" s="49">
        <f>IF(OR($A411="",$BA411="",$BB411=""),"",$AZ411&amp;"|"&amp;$O411&amp;"|"&amp;$AL411&amp;"|"&amp;$S411&amp;"|"&amp;$P411&amp;"|"&amp;$Q411&amp;$R411&amp;"|"&amp;$C411&amp;"|"&amp;$AB411)</f>
        <v/>
      </c>
      <c r="BW411" s="49">
        <f>IF($A411="","",IF($B411="","qty, ","")&amp;IF($C411="","scope, ","")&amp;IF(OR($K411="",$M411=""),"size, ","")&amp;IF(AND($A411&lt;&gt;"",$C411&lt;&gt;"DOOR ONLY"),IF($U411="","jamb depth, ","")&amp;IF($X411="","construction, ","")&amp;IF($Y411="","anchor, ","")&amp;IF($S411="","frame type, ",""),"")&amp;IF(AND(N($BC411)&gt;0,$Z411=""),"hand, ","")&amp;IF(N($BC411)&gt;0,IF($AH411="","door material, ","")&amp;IF($AL411="","face type, ","")&amp;IF($AQ411="","lock prep, ","")&amp;IF(AND($AP411="",$AC411=""),"hinge prep, ",""),"")&amp;IF(AND($BO411&gt;0,$AH411="FRP"),"FRP cannot carry a label, ","")&amp;IF(AND($O411="Y",OR($Z411="L",$Z411="R",$Z411="LR",$Z411="RR")),"pair marked but hand is single, ","")&amp;IF(AND($O411&lt;&gt;"Y",OR($Z411="PR",AND(LEN($Z411)&gt;1,ISNUMBER(SEARCH("-",$Z411))))),"pair hand on a single door, ","")&amp;IF(AND(ISNUMBER($BP411),$BO411&lt;N($BP411)),"wall needs a "&amp;$BP411&amp;" min door, ","")&amp;IF(AND($BO411&gt;=180,AND(OR($BL411="FG",$BL411="HG",$BL411="FNV",$BL411="FV"),N($BM411)*N($BN411)&gt;100)),"180 min lite over 100 sq in, ","")&amp;IF(N($BD411)&gt;48,"leaf wider than 4'-0"&amp;CHAR(34)&amp;", ",""))</f>
        <v/>
      </c>
      <c r="BX411" s="49">
        <f>IF($A411="","",IF(AND($BO411&gt;0,AND($A411&lt;&gt;"",$C411&lt;&gt;"DOOR ONLY"),$X411="KD",$E411="EXTERIOR"),"KD label on an exterior opening, ","")&amp;IF(AND($E411="EXTERIOR",OR(AND(AND($A411&lt;&gt;"",$C411&lt;&gt;"DOOR ONLY"),$W411="CR"),AND(N($BC411)&gt;0,$AH411="CR"))),"exterior in CR steel (G9?), ","")&amp;IF(AND(ISNUMBER($BJ411),N($BJ411)&lt;32),"clear width ~"&amp;TEXT($BJ411,"0.0")&amp;CHAR(34)&amp;" under 32"&amp;CHAR(34)&amp;" (ADA), ","")&amp;IF(AND($BO411=90,AND(OR($BL411="FG",$BL411="HG",$BL411="FNV",$BL411="FV"),N($BM411)*N($BN411)&gt;100)),"90 min lite over 100 sq in (stair/exit), ","")&amp;IF(AND($BO411&gt;0,AND($A411&lt;&gt;"",$C411&lt;&gt;"DOOR ONLY"),OR($AF411="",$AF411="-")),"rated: closer reinf.?, ","")&amp;IF(OR($I411="CORRIDOR",$I411="SMOKE BARRIER"),"S label + smoke gasketing, ","")&amp;IF($BP411="?","wall type/hr not in IBC table, ","")&amp;IF(AND(N($BC411)&gt;0,$AU411=""),"no hardware set, ","")&amp;IF(AND($AU411&lt;&gt;"",ISNA(MATCH($AU411,HWSets,0))),"set "&amp;$AU411&amp;" not on Hardware sheet, ","")&amp;IF(N($BE411)&gt;96,"leaf over 8'-0"&amp;CHAR(34)&amp;" - check listing, ",""))</f>
        <v/>
      </c>
    </row>
    <row r="412" ht="15" customHeight="1">
      <c r="A412" s="44" t="n"/>
      <c r="B412" s="45" t="n"/>
      <c r="C412" s="45" t="n"/>
      <c r="D412" s="45" t="n"/>
      <c r="E412" s="45" t="n"/>
      <c r="F412" s="45" t="n"/>
      <c r="G412" s="45" t="n"/>
      <c r="H412" s="45" t="n"/>
      <c r="I412" s="45" t="n"/>
      <c r="J412" s="45" t="n"/>
      <c r="K412" s="45" t="n"/>
      <c r="L412" s="45" t="n"/>
      <c r="M412" s="45" t="n"/>
      <c r="N412" s="45" t="n"/>
      <c r="O412" s="45" t="n"/>
      <c r="P412" s="45" t="n"/>
      <c r="Q412" s="45" t="n"/>
      <c r="R412" s="45" t="n"/>
      <c r="S412" s="46" t="n"/>
      <c r="T412" s="46" t="n"/>
      <c r="U412" s="46" t="n"/>
      <c r="V412" s="46" t="n"/>
      <c r="W412" s="46" t="n"/>
      <c r="X412" s="46" t="n"/>
      <c r="Y412" s="46" t="n"/>
      <c r="Z412" s="46" t="n"/>
      <c r="AA412" s="46" t="n"/>
      <c r="AB412" s="46" t="n"/>
      <c r="AC412" s="46" t="n"/>
      <c r="AD412" s="46" t="n"/>
      <c r="AE412" s="46" t="n"/>
      <c r="AF412" s="46" t="n"/>
      <c r="AG412" s="46" t="n"/>
      <c r="AH412" s="47" t="n"/>
      <c r="AI412" s="47" t="n"/>
      <c r="AJ412" s="47" t="n"/>
      <c r="AK412" s="47" t="n"/>
      <c r="AL412" s="47" t="n"/>
      <c r="AM412" s="47" t="n"/>
      <c r="AN412" s="47" t="n"/>
      <c r="AO412" s="47" t="n"/>
      <c r="AP412" s="47" t="n"/>
      <c r="AQ412" s="47" t="n"/>
      <c r="AR412" s="47" t="n"/>
      <c r="AS412" s="47" t="n"/>
      <c r="AT412" s="47" t="n"/>
      <c r="AU412" s="48" t="n"/>
      <c r="AV412" s="48" t="n"/>
      <c r="AW412" s="49">
        <f>IF($A412="","",IF($BW412&lt;&gt;"","FIX",IF($BX412&lt;&gt;"","CHECK","OK")))</f>
        <v/>
      </c>
      <c r="AX412" s="50">
        <f>IF($A412="","",IF($BW412&lt;&gt;"","FIX: "&amp;LEFT($BW412,LEN($BW412)-2)&amp;IF($BX412&lt;&gt;"","  ·  ",""),"")&amp;IF($BX412&lt;&gt;"","CHECK: "&amp;LEFT($BX412,LEN($BX412)-2),""))</f>
        <v/>
      </c>
      <c r="AY412" s="49">
        <f>IF(OR($A412="",$K412=""),"",$K412&amp;"'-"&amp;N($L412)&amp;CHAR(34)&amp;" x "&amp;$M412&amp;"'-"&amp;N($N412)&amp;CHAR(34))</f>
        <v/>
      </c>
      <c r="AZ412" s="49">
        <f>IF(OR($A412="",$K412=""),"",$K412&amp;N($L412)&amp;$M412&amp;N($N412))</f>
        <v/>
      </c>
      <c r="BA412" s="49">
        <f>IF(OR($A412="",$K412=""),"",$K412*12+N($L412))</f>
        <v/>
      </c>
      <c r="BB412" s="49">
        <f>IF(OR($A412="",$M412=""),"",$M412*12+N($N412))</f>
        <v/>
      </c>
      <c r="BC412" s="49">
        <f>IF($A412="","",IF(OR($C412="FRAME ONLY",$S412="BL"),0,IF($O412="Y",2,1)))</f>
        <v/>
      </c>
      <c r="BD412" s="51">
        <f>IF(OR(N($BC412)=0,$BA412=""),"",($BA412-2*EdgeClr-IF($BC412=2,MeetClr,0))/$BC412)</f>
        <v/>
      </c>
      <c r="BE412" s="51">
        <f>IF(OR(N($BC412)=0,$BB412=""),"",$BB412-HeadClr-Undercut)</f>
        <v/>
      </c>
      <c r="BF412" s="51">
        <f>IF($BA412="","",$BA412+2*FaceW+IF(N($Q412)&gt;0,($Q412+FaceW)*IF($R412="LR",2,1),0))</f>
        <v/>
      </c>
      <c r="BG412" s="51">
        <f>IF($BB412="","",$BB412+IF($AB412="Y",4,FaceW)+IF(N($P412)&gt;0,$P412+FaceW,0)+IF(OR($S412="4F",$S412="BL"),FaceW,0))</f>
        <v/>
      </c>
      <c r="BH412" s="51">
        <f>IF($BF412="","",$BF412+2*ROSide)</f>
        <v/>
      </c>
      <c r="BI412" s="51">
        <f>IF($BG412="","",$BG412+ROTop)</f>
        <v/>
      </c>
      <c r="BJ412" s="52">
        <f>IF(OR(N($BC412)=0,$BA412=""),"",$BA412/$BC412-ClearDeduct)</f>
        <v/>
      </c>
      <c r="BK412" s="49">
        <f>IF(OR(N($BC412)=0,$BE412=""),"",IF(OR($AC412="HGC",$AP412="HGC"),"CONT",IF($BE412&lt;=60,2,IF($BE412&lt;=90,3,IF($BE412&lt;=120,4,5)))))</f>
        <v/>
      </c>
      <c r="BL412" s="49">
        <f>IF(N($BC412)=0,"",IF(OR($AL412="",$AL412="FLUSH"),"FLUSH",IFERROR(LEFT($AL412,FIND("-",$AL412)-1),LEFT($AL412,2))))</f>
        <v/>
      </c>
      <c r="BM412" s="49">
        <f>IF($BL412="","",IFERROR(VALUE(MID($AL412,FIND("-",$AL412)+1,FIND(CHAR(34)&amp;"x",$AL412)-FIND("-",$AL412)-1)),0))</f>
        <v/>
      </c>
      <c r="BN412" s="49">
        <f>IF($BL412="","",IFERROR(VALUE(MID($AL412,FIND(CHAR(34)&amp;"x",$AL412)+2,FIND(CHAR(34),$AL412,FIND(CHAR(34)&amp;"x",$AL412)+2)-FIND(CHAR(34)&amp;"x",$AL412)-2)),0))</f>
        <v/>
      </c>
      <c r="BO412" s="53">
        <f>IF(OR($A412="",$H412="",$H412="NO LAB"),0,IFERROR(VALUE(LEFT($H412,FIND(" ",$H412)-1)),0))</f>
        <v/>
      </c>
      <c r="BP412" s="54">
        <f>IF(OR($A412="",$I412="",$I412="NON-RATED",N($J412)=0),"",IFERROR(VLOOKUP($I412&amp;"|"&amp;$J412,IBC,2,FALSE),"?"))</f>
        <v/>
      </c>
      <c r="BQ412" s="50">
        <f>IF(NOT(AND($A412&lt;&gt;"",$C412&lt;&gt;"DOOR ONLY")),"",TRIM(IFERROR(VLOOKUP($U412,CODES,2,FALSE),"")&amp;" "&amp;$AZ412&amp;" "&amp;IFERROR(VLOOKUP($Z412,CODES,2,FALSE),"")&amp;" "&amp;IFERROR(VLOOKUP($X412,CODES,2,FALSE),"")&amp;" "&amp;IFERROR(VLOOKUP($S412,CODES,2,FALSE),"")&amp;IF(N($P412)&gt;0," w/TRANSOM "&amp;$P412&amp;CHAR(34),"")&amp;IF(N($Q412)&gt;0," w/SIDELITE "&amp;$Q412&amp;CHAR(34)&amp;" "&amp;IF($R412="","R",$R412),"")&amp;IF($Y412="","  |  "," | "&amp;IFERROR(VLOOKUP($Y412,CODES,2,FALSE),"")&amp;" | ")&amp;IFERROR(VLOOKUP($AC412,CODES,2,FALSE),"")&amp;" "&amp;IFERROR(VLOOKUP($AD412,CODES,2,FALSE),"")&amp;IF(OR($AE412="",$AE412="-"),""," "&amp;$AE412)&amp;IF(OR($AF412="",$AF412="-"),""," "&amp;$AF412)&amp;IF($AB412="Y"," 4"&amp;CHAR(34)&amp;" HEAD","")&amp;" "&amp;IFERROR(VLOOKUP($H412,CODES,2,FALSE),"")))</f>
        <v/>
      </c>
      <c r="BR412" s="50">
        <f>IF(NOT(AND($A412&lt;&gt;"",N($BC412)&gt;0)),"",TRIM(IFERROR(VLOOKUP($AH412,CODES,2,FALSE),"")&amp;IF($AI412=""," "," "&amp;$AI412&amp;"GA ")&amp;$AZ412&amp;" "&amp;IF($AN412="",IFERROR(VLOOKUP($Z412,CODES,2,FALSE),""),IFERROR(VLOOKUP($AN412,CODES,2,FALSE),""))&amp;IF($BC412=2," PAIR","")&amp;" DOOR | "&amp;IF($AL412="","?",$AL412)&amp;" | "&amp;IF($AP412="",IFERROR(VLOOKUP($AC412,CODES,2,FALSE),""),IFERROR(VLOOKUP($AP412,CODES,2,FALSE),""))&amp;" "&amp;IFERROR(VLOOKUP($AQ412,CODES,2,FALSE),"")&amp;IF(OR($AR412="",$AR412="-"),""," SEAM "&amp;$AR412)&amp;IF($AS412="Y"," ASTRAGAL","")&amp;IF($AJ412=""," "," "&amp;$AJ412)&amp;IF($AK412=""," "," "&amp;$AK412)&amp;IF($AO412="",""," "&amp;$AO412)&amp;IF($AM412=""," "," SERIES "&amp;$AM412)&amp;" "&amp;IFERROR(VLOOKUP($H412,CODES,2,FALSE),"")))</f>
        <v/>
      </c>
      <c r="BS412" s="49">
        <f>IF(BV412="","",IF(COUNTIF($BV$6:BV412,BV412)=1,MAX($BS$5:BS411)+1,INDEX($BS$5:BS411,MATCH(BV412,$BV$5:BV411,0))))</f>
        <v/>
      </c>
      <c r="BT412" s="49">
        <f>IF(NOT(AND($A412&lt;&gt;"",$C412&lt;&gt;"DOOR ONLY")),"",MAX($BT$5:BT411)+1)</f>
        <v/>
      </c>
      <c r="BU412" s="49">
        <f>IF(NOT(AND($A412&lt;&gt;"",N($BC412)&gt;0)),"",MAX($BU$5:BU411)+1)</f>
        <v/>
      </c>
      <c r="BV412" s="49">
        <f>IF(OR($A412="",$BA412="",$BB412=""),"",$AZ412&amp;"|"&amp;$O412&amp;"|"&amp;$AL412&amp;"|"&amp;$S412&amp;"|"&amp;$P412&amp;"|"&amp;$Q412&amp;$R412&amp;"|"&amp;$C412&amp;"|"&amp;$AB412)</f>
        <v/>
      </c>
      <c r="BW412" s="49">
        <f>IF($A412="","",IF($B412="","qty, ","")&amp;IF($C412="","scope, ","")&amp;IF(OR($K412="",$M412=""),"size, ","")&amp;IF(AND($A412&lt;&gt;"",$C412&lt;&gt;"DOOR ONLY"),IF($U412="","jamb depth, ","")&amp;IF($X412="","construction, ","")&amp;IF($Y412="","anchor, ","")&amp;IF($S412="","frame type, ",""),"")&amp;IF(AND(N($BC412)&gt;0,$Z412=""),"hand, ","")&amp;IF(N($BC412)&gt;0,IF($AH412="","door material, ","")&amp;IF($AL412="","face type, ","")&amp;IF($AQ412="","lock prep, ","")&amp;IF(AND($AP412="",$AC412=""),"hinge prep, ",""),"")&amp;IF(AND($BO412&gt;0,$AH412="FRP"),"FRP cannot carry a label, ","")&amp;IF(AND($O412="Y",OR($Z412="L",$Z412="R",$Z412="LR",$Z412="RR")),"pair marked but hand is single, ","")&amp;IF(AND($O412&lt;&gt;"Y",OR($Z412="PR",AND(LEN($Z412)&gt;1,ISNUMBER(SEARCH("-",$Z412))))),"pair hand on a single door, ","")&amp;IF(AND(ISNUMBER($BP412),$BO412&lt;N($BP412)),"wall needs a "&amp;$BP412&amp;" min door, ","")&amp;IF(AND($BO412&gt;=180,AND(OR($BL412="FG",$BL412="HG",$BL412="FNV",$BL412="FV"),N($BM412)*N($BN412)&gt;100)),"180 min lite over 100 sq in, ","")&amp;IF(N($BD412)&gt;48,"leaf wider than 4'-0"&amp;CHAR(34)&amp;", ",""))</f>
        <v/>
      </c>
      <c r="BX412" s="49">
        <f>IF($A412="","",IF(AND($BO412&gt;0,AND($A412&lt;&gt;"",$C412&lt;&gt;"DOOR ONLY"),$X412="KD",$E412="EXTERIOR"),"KD label on an exterior opening, ","")&amp;IF(AND($E412="EXTERIOR",OR(AND(AND($A412&lt;&gt;"",$C412&lt;&gt;"DOOR ONLY"),$W412="CR"),AND(N($BC412)&gt;0,$AH412="CR"))),"exterior in CR steel (G9?), ","")&amp;IF(AND(ISNUMBER($BJ412),N($BJ412)&lt;32),"clear width ~"&amp;TEXT($BJ412,"0.0")&amp;CHAR(34)&amp;" under 32"&amp;CHAR(34)&amp;" (ADA), ","")&amp;IF(AND($BO412=90,AND(OR($BL412="FG",$BL412="HG",$BL412="FNV",$BL412="FV"),N($BM412)*N($BN412)&gt;100)),"90 min lite over 100 sq in (stair/exit), ","")&amp;IF(AND($BO412&gt;0,AND($A412&lt;&gt;"",$C412&lt;&gt;"DOOR ONLY"),OR($AF412="",$AF412="-")),"rated: closer reinf.?, ","")&amp;IF(OR($I412="CORRIDOR",$I412="SMOKE BARRIER"),"S label + smoke gasketing, ","")&amp;IF($BP412="?","wall type/hr not in IBC table, ","")&amp;IF(AND(N($BC412)&gt;0,$AU412=""),"no hardware set, ","")&amp;IF(AND($AU412&lt;&gt;"",ISNA(MATCH($AU412,HWSets,0))),"set "&amp;$AU412&amp;" not on Hardware sheet, ","")&amp;IF(N($BE412)&gt;96,"leaf over 8'-0"&amp;CHAR(34)&amp;" - check listing, ",""))</f>
        <v/>
      </c>
    </row>
    <row r="413" ht="15" customHeight="1">
      <c r="A413" s="44" t="n"/>
      <c r="B413" s="45" t="n"/>
      <c r="C413" s="45" t="n"/>
      <c r="D413" s="45" t="n"/>
      <c r="E413" s="45" t="n"/>
      <c r="F413" s="45" t="n"/>
      <c r="G413" s="45" t="n"/>
      <c r="H413" s="45" t="n"/>
      <c r="I413" s="45" t="n"/>
      <c r="J413" s="45" t="n"/>
      <c r="K413" s="45" t="n"/>
      <c r="L413" s="45" t="n"/>
      <c r="M413" s="45" t="n"/>
      <c r="N413" s="45" t="n"/>
      <c r="O413" s="45" t="n"/>
      <c r="P413" s="45" t="n"/>
      <c r="Q413" s="45" t="n"/>
      <c r="R413" s="45" t="n"/>
      <c r="S413" s="46" t="n"/>
      <c r="T413" s="46" t="n"/>
      <c r="U413" s="46" t="n"/>
      <c r="V413" s="46" t="n"/>
      <c r="W413" s="46" t="n"/>
      <c r="X413" s="46" t="n"/>
      <c r="Y413" s="46" t="n"/>
      <c r="Z413" s="46" t="n"/>
      <c r="AA413" s="46" t="n"/>
      <c r="AB413" s="46" t="n"/>
      <c r="AC413" s="46" t="n"/>
      <c r="AD413" s="46" t="n"/>
      <c r="AE413" s="46" t="n"/>
      <c r="AF413" s="46" t="n"/>
      <c r="AG413" s="46" t="n"/>
      <c r="AH413" s="47" t="n"/>
      <c r="AI413" s="47" t="n"/>
      <c r="AJ413" s="47" t="n"/>
      <c r="AK413" s="47" t="n"/>
      <c r="AL413" s="47" t="n"/>
      <c r="AM413" s="47" t="n"/>
      <c r="AN413" s="47" t="n"/>
      <c r="AO413" s="47" t="n"/>
      <c r="AP413" s="47" t="n"/>
      <c r="AQ413" s="47" t="n"/>
      <c r="AR413" s="47" t="n"/>
      <c r="AS413" s="47" t="n"/>
      <c r="AT413" s="47" t="n"/>
      <c r="AU413" s="48" t="n"/>
      <c r="AV413" s="48" t="n"/>
      <c r="AW413" s="49">
        <f>IF($A413="","",IF($BW413&lt;&gt;"","FIX",IF($BX413&lt;&gt;"","CHECK","OK")))</f>
        <v/>
      </c>
      <c r="AX413" s="50">
        <f>IF($A413="","",IF($BW413&lt;&gt;"","FIX: "&amp;LEFT($BW413,LEN($BW413)-2)&amp;IF($BX413&lt;&gt;"","  ·  ",""),"")&amp;IF($BX413&lt;&gt;"","CHECK: "&amp;LEFT($BX413,LEN($BX413)-2),""))</f>
        <v/>
      </c>
      <c r="AY413" s="49">
        <f>IF(OR($A413="",$K413=""),"",$K413&amp;"'-"&amp;N($L413)&amp;CHAR(34)&amp;" x "&amp;$M413&amp;"'-"&amp;N($N413)&amp;CHAR(34))</f>
        <v/>
      </c>
      <c r="AZ413" s="49">
        <f>IF(OR($A413="",$K413=""),"",$K413&amp;N($L413)&amp;$M413&amp;N($N413))</f>
        <v/>
      </c>
      <c r="BA413" s="49">
        <f>IF(OR($A413="",$K413=""),"",$K413*12+N($L413))</f>
        <v/>
      </c>
      <c r="BB413" s="49">
        <f>IF(OR($A413="",$M413=""),"",$M413*12+N($N413))</f>
        <v/>
      </c>
      <c r="BC413" s="49">
        <f>IF($A413="","",IF(OR($C413="FRAME ONLY",$S413="BL"),0,IF($O413="Y",2,1)))</f>
        <v/>
      </c>
      <c r="BD413" s="51">
        <f>IF(OR(N($BC413)=0,$BA413=""),"",($BA413-2*EdgeClr-IF($BC413=2,MeetClr,0))/$BC413)</f>
        <v/>
      </c>
      <c r="BE413" s="51">
        <f>IF(OR(N($BC413)=0,$BB413=""),"",$BB413-HeadClr-Undercut)</f>
        <v/>
      </c>
      <c r="BF413" s="51">
        <f>IF($BA413="","",$BA413+2*FaceW+IF(N($Q413)&gt;0,($Q413+FaceW)*IF($R413="LR",2,1),0))</f>
        <v/>
      </c>
      <c r="BG413" s="51">
        <f>IF($BB413="","",$BB413+IF($AB413="Y",4,FaceW)+IF(N($P413)&gt;0,$P413+FaceW,0)+IF(OR($S413="4F",$S413="BL"),FaceW,0))</f>
        <v/>
      </c>
      <c r="BH413" s="51">
        <f>IF($BF413="","",$BF413+2*ROSide)</f>
        <v/>
      </c>
      <c r="BI413" s="51">
        <f>IF($BG413="","",$BG413+ROTop)</f>
        <v/>
      </c>
      <c r="BJ413" s="52">
        <f>IF(OR(N($BC413)=0,$BA413=""),"",$BA413/$BC413-ClearDeduct)</f>
        <v/>
      </c>
      <c r="BK413" s="49">
        <f>IF(OR(N($BC413)=0,$BE413=""),"",IF(OR($AC413="HGC",$AP413="HGC"),"CONT",IF($BE413&lt;=60,2,IF($BE413&lt;=90,3,IF($BE413&lt;=120,4,5)))))</f>
        <v/>
      </c>
      <c r="BL413" s="49">
        <f>IF(N($BC413)=0,"",IF(OR($AL413="",$AL413="FLUSH"),"FLUSH",IFERROR(LEFT($AL413,FIND("-",$AL413)-1),LEFT($AL413,2))))</f>
        <v/>
      </c>
      <c r="BM413" s="49">
        <f>IF($BL413="","",IFERROR(VALUE(MID($AL413,FIND("-",$AL413)+1,FIND(CHAR(34)&amp;"x",$AL413)-FIND("-",$AL413)-1)),0))</f>
        <v/>
      </c>
      <c r="BN413" s="49">
        <f>IF($BL413="","",IFERROR(VALUE(MID($AL413,FIND(CHAR(34)&amp;"x",$AL413)+2,FIND(CHAR(34),$AL413,FIND(CHAR(34)&amp;"x",$AL413)+2)-FIND(CHAR(34)&amp;"x",$AL413)-2)),0))</f>
        <v/>
      </c>
      <c r="BO413" s="53">
        <f>IF(OR($A413="",$H413="",$H413="NO LAB"),0,IFERROR(VALUE(LEFT($H413,FIND(" ",$H413)-1)),0))</f>
        <v/>
      </c>
      <c r="BP413" s="54">
        <f>IF(OR($A413="",$I413="",$I413="NON-RATED",N($J413)=0),"",IFERROR(VLOOKUP($I413&amp;"|"&amp;$J413,IBC,2,FALSE),"?"))</f>
        <v/>
      </c>
      <c r="BQ413" s="50">
        <f>IF(NOT(AND($A413&lt;&gt;"",$C413&lt;&gt;"DOOR ONLY")),"",TRIM(IFERROR(VLOOKUP($U413,CODES,2,FALSE),"")&amp;" "&amp;$AZ413&amp;" "&amp;IFERROR(VLOOKUP($Z413,CODES,2,FALSE),"")&amp;" "&amp;IFERROR(VLOOKUP($X413,CODES,2,FALSE),"")&amp;" "&amp;IFERROR(VLOOKUP($S413,CODES,2,FALSE),"")&amp;IF(N($P413)&gt;0," w/TRANSOM "&amp;$P413&amp;CHAR(34),"")&amp;IF(N($Q413)&gt;0," w/SIDELITE "&amp;$Q413&amp;CHAR(34)&amp;" "&amp;IF($R413="","R",$R413),"")&amp;IF($Y413="","  |  "," | "&amp;IFERROR(VLOOKUP($Y413,CODES,2,FALSE),"")&amp;" | ")&amp;IFERROR(VLOOKUP($AC413,CODES,2,FALSE),"")&amp;" "&amp;IFERROR(VLOOKUP($AD413,CODES,2,FALSE),"")&amp;IF(OR($AE413="",$AE413="-"),""," "&amp;$AE413)&amp;IF(OR($AF413="",$AF413="-"),""," "&amp;$AF413)&amp;IF($AB413="Y"," 4"&amp;CHAR(34)&amp;" HEAD","")&amp;" "&amp;IFERROR(VLOOKUP($H413,CODES,2,FALSE),"")))</f>
        <v/>
      </c>
      <c r="BR413" s="50">
        <f>IF(NOT(AND($A413&lt;&gt;"",N($BC413)&gt;0)),"",TRIM(IFERROR(VLOOKUP($AH413,CODES,2,FALSE),"")&amp;IF($AI413=""," "," "&amp;$AI413&amp;"GA ")&amp;$AZ413&amp;" "&amp;IF($AN413="",IFERROR(VLOOKUP($Z413,CODES,2,FALSE),""),IFERROR(VLOOKUP($AN413,CODES,2,FALSE),""))&amp;IF($BC413=2," PAIR","")&amp;" DOOR | "&amp;IF($AL413="","?",$AL413)&amp;" | "&amp;IF($AP413="",IFERROR(VLOOKUP($AC413,CODES,2,FALSE),""),IFERROR(VLOOKUP($AP413,CODES,2,FALSE),""))&amp;" "&amp;IFERROR(VLOOKUP($AQ413,CODES,2,FALSE),"")&amp;IF(OR($AR413="",$AR413="-"),""," SEAM "&amp;$AR413)&amp;IF($AS413="Y"," ASTRAGAL","")&amp;IF($AJ413=""," "," "&amp;$AJ413)&amp;IF($AK413=""," "," "&amp;$AK413)&amp;IF($AO413="",""," "&amp;$AO413)&amp;IF($AM413=""," "," SERIES "&amp;$AM413)&amp;" "&amp;IFERROR(VLOOKUP($H413,CODES,2,FALSE),"")))</f>
        <v/>
      </c>
      <c r="BS413" s="49">
        <f>IF(BV413="","",IF(COUNTIF($BV$6:BV413,BV413)=1,MAX($BS$5:BS412)+1,INDEX($BS$5:BS412,MATCH(BV413,$BV$5:BV412,0))))</f>
        <v/>
      </c>
      <c r="BT413" s="49">
        <f>IF(NOT(AND($A413&lt;&gt;"",$C413&lt;&gt;"DOOR ONLY")),"",MAX($BT$5:BT412)+1)</f>
        <v/>
      </c>
      <c r="BU413" s="49">
        <f>IF(NOT(AND($A413&lt;&gt;"",N($BC413)&gt;0)),"",MAX($BU$5:BU412)+1)</f>
        <v/>
      </c>
      <c r="BV413" s="49">
        <f>IF(OR($A413="",$BA413="",$BB413=""),"",$AZ413&amp;"|"&amp;$O413&amp;"|"&amp;$AL413&amp;"|"&amp;$S413&amp;"|"&amp;$P413&amp;"|"&amp;$Q413&amp;$R413&amp;"|"&amp;$C413&amp;"|"&amp;$AB413)</f>
        <v/>
      </c>
      <c r="BW413" s="49">
        <f>IF($A413="","",IF($B413="","qty, ","")&amp;IF($C413="","scope, ","")&amp;IF(OR($K413="",$M413=""),"size, ","")&amp;IF(AND($A413&lt;&gt;"",$C413&lt;&gt;"DOOR ONLY"),IF($U413="","jamb depth, ","")&amp;IF($X413="","construction, ","")&amp;IF($Y413="","anchor, ","")&amp;IF($S413="","frame type, ",""),"")&amp;IF(AND(N($BC413)&gt;0,$Z413=""),"hand, ","")&amp;IF(N($BC413)&gt;0,IF($AH413="","door material, ","")&amp;IF($AL413="","face type, ","")&amp;IF($AQ413="","lock prep, ","")&amp;IF(AND($AP413="",$AC413=""),"hinge prep, ",""),"")&amp;IF(AND($BO413&gt;0,$AH413="FRP"),"FRP cannot carry a label, ","")&amp;IF(AND($O413="Y",OR($Z413="L",$Z413="R",$Z413="LR",$Z413="RR")),"pair marked but hand is single, ","")&amp;IF(AND($O413&lt;&gt;"Y",OR($Z413="PR",AND(LEN($Z413)&gt;1,ISNUMBER(SEARCH("-",$Z413))))),"pair hand on a single door, ","")&amp;IF(AND(ISNUMBER($BP413),$BO413&lt;N($BP413)),"wall needs a "&amp;$BP413&amp;" min door, ","")&amp;IF(AND($BO413&gt;=180,AND(OR($BL413="FG",$BL413="HG",$BL413="FNV",$BL413="FV"),N($BM413)*N($BN413)&gt;100)),"180 min lite over 100 sq in, ","")&amp;IF(N($BD413)&gt;48,"leaf wider than 4'-0"&amp;CHAR(34)&amp;", ",""))</f>
        <v/>
      </c>
      <c r="BX413" s="49">
        <f>IF($A413="","",IF(AND($BO413&gt;0,AND($A413&lt;&gt;"",$C413&lt;&gt;"DOOR ONLY"),$X413="KD",$E413="EXTERIOR"),"KD label on an exterior opening, ","")&amp;IF(AND($E413="EXTERIOR",OR(AND(AND($A413&lt;&gt;"",$C413&lt;&gt;"DOOR ONLY"),$W413="CR"),AND(N($BC413)&gt;0,$AH413="CR"))),"exterior in CR steel (G9?), ","")&amp;IF(AND(ISNUMBER($BJ413),N($BJ413)&lt;32),"clear width ~"&amp;TEXT($BJ413,"0.0")&amp;CHAR(34)&amp;" under 32"&amp;CHAR(34)&amp;" (ADA), ","")&amp;IF(AND($BO413=90,AND(OR($BL413="FG",$BL413="HG",$BL413="FNV",$BL413="FV"),N($BM413)*N($BN413)&gt;100)),"90 min lite over 100 sq in (stair/exit), ","")&amp;IF(AND($BO413&gt;0,AND($A413&lt;&gt;"",$C413&lt;&gt;"DOOR ONLY"),OR($AF413="",$AF413="-")),"rated: closer reinf.?, ","")&amp;IF(OR($I413="CORRIDOR",$I413="SMOKE BARRIER"),"S label + smoke gasketing, ","")&amp;IF($BP413="?","wall type/hr not in IBC table, ","")&amp;IF(AND(N($BC413)&gt;0,$AU413=""),"no hardware set, ","")&amp;IF(AND($AU413&lt;&gt;"",ISNA(MATCH($AU413,HWSets,0))),"set "&amp;$AU413&amp;" not on Hardware sheet, ","")&amp;IF(N($BE413)&gt;96,"leaf over 8'-0"&amp;CHAR(34)&amp;" - check listing, ",""))</f>
        <v/>
      </c>
    </row>
    <row r="414" ht="15" customHeight="1">
      <c r="A414" s="44" t="n"/>
      <c r="B414" s="45" t="n"/>
      <c r="C414" s="45" t="n"/>
      <c r="D414" s="45" t="n"/>
      <c r="E414" s="45" t="n"/>
      <c r="F414" s="45" t="n"/>
      <c r="G414" s="45" t="n"/>
      <c r="H414" s="45" t="n"/>
      <c r="I414" s="45" t="n"/>
      <c r="J414" s="45" t="n"/>
      <c r="K414" s="45" t="n"/>
      <c r="L414" s="45" t="n"/>
      <c r="M414" s="45" t="n"/>
      <c r="N414" s="45" t="n"/>
      <c r="O414" s="45" t="n"/>
      <c r="P414" s="45" t="n"/>
      <c r="Q414" s="45" t="n"/>
      <c r="R414" s="45" t="n"/>
      <c r="S414" s="46" t="n"/>
      <c r="T414" s="46" t="n"/>
      <c r="U414" s="46" t="n"/>
      <c r="V414" s="46" t="n"/>
      <c r="W414" s="46" t="n"/>
      <c r="X414" s="46" t="n"/>
      <c r="Y414" s="46" t="n"/>
      <c r="Z414" s="46" t="n"/>
      <c r="AA414" s="46" t="n"/>
      <c r="AB414" s="46" t="n"/>
      <c r="AC414" s="46" t="n"/>
      <c r="AD414" s="46" t="n"/>
      <c r="AE414" s="46" t="n"/>
      <c r="AF414" s="46" t="n"/>
      <c r="AG414" s="46" t="n"/>
      <c r="AH414" s="47" t="n"/>
      <c r="AI414" s="47" t="n"/>
      <c r="AJ414" s="47" t="n"/>
      <c r="AK414" s="47" t="n"/>
      <c r="AL414" s="47" t="n"/>
      <c r="AM414" s="47" t="n"/>
      <c r="AN414" s="47" t="n"/>
      <c r="AO414" s="47" t="n"/>
      <c r="AP414" s="47" t="n"/>
      <c r="AQ414" s="47" t="n"/>
      <c r="AR414" s="47" t="n"/>
      <c r="AS414" s="47" t="n"/>
      <c r="AT414" s="47" t="n"/>
      <c r="AU414" s="48" t="n"/>
      <c r="AV414" s="48" t="n"/>
      <c r="AW414" s="49">
        <f>IF($A414="","",IF($BW414&lt;&gt;"","FIX",IF($BX414&lt;&gt;"","CHECK","OK")))</f>
        <v/>
      </c>
      <c r="AX414" s="50">
        <f>IF($A414="","",IF($BW414&lt;&gt;"","FIX: "&amp;LEFT($BW414,LEN($BW414)-2)&amp;IF($BX414&lt;&gt;"","  ·  ",""),"")&amp;IF($BX414&lt;&gt;"","CHECK: "&amp;LEFT($BX414,LEN($BX414)-2),""))</f>
        <v/>
      </c>
      <c r="AY414" s="49">
        <f>IF(OR($A414="",$K414=""),"",$K414&amp;"'-"&amp;N($L414)&amp;CHAR(34)&amp;" x "&amp;$M414&amp;"'-"&amp;N($N414)&amp;CHAR(34))</f>
        <v/>
      </c>
      <c r="AZ414" s="49">
        <f>IF(OR($A414="",$K414=""),"",$K414&amp;N($L414)&amp;$M414&amp;N($N414))</f>
        <v/>
      </c>
      <c r="BA414" s="49">
        <f>IF(OR($A414="",$K414=""),"",$K414*12+N($L414))</f>
        <v/>
      </c>
      <c r="BB414" s="49">
        <f>IF(OR($A414="",$M414=""),"",$M414*12+N($N414))</f>
        <v/>
      </c>
      <c r="BC414" s="49">
        <f>IF($A414="","",IF(OR($C414="FRAME ONLY",$S414="BL"),0,IF($O414="Y",2,1)))</f>
        <v/>
      </c>
      <c r="BD414" s="51">
        <f>IF(OR(N($BC414)=0,$BA414=""),"",($BA414-2*EdgeClr-IF($BC414=2,MeetClr,0))/$BC414)</f>
        <v/>
      </c>
      <c r="BE414" s="51">
        <f>IF(OR(N($BC414)=0,$BB414=""),"",$BB414-HeadClr-Undercut)</f>
        <v/>
      </c>
      <c r="BF414" s="51">
        <f>IF($BA414="","",$BA414+2*FaceW+IF(N($Q414)&gt;0,($Q414+FaceW)*IF($R414="LR",2,1),0))</f>
        <v/>
      </c>
      <c r="BG414" s="51">
        <f>IF($BB414="","",$BB414+IF($AB414="Y",4,FaceW)+IF(N($P414)&gt;0,$P414+FaceW,0)+IF(OR($S414="4F",$S414="BL"),FaceW,0))</f>
        <v/>
      </c>
      <c r="BH414" s="51">
        <f>IF($BF414="","",$BF414+2*ROSide)</f>
        <v/>
      </c>
      <c r="BI414" s="51">
        <f>IF($BG414="","",$BG414+ROTop)</f>
        <v/>
      </c>
      <c r="BJ414" s="52">
        <f>IF(OR(N($BC414)=0,$BA414=""),"",$BA414/$BC414-ClearDeduct)</f>
        <v/>
      </c>
      <c r="BK414" s="49">
        <f>IF(OR(N($BC414)=0,$BE414=""),"",IF(OR($AC414="HGC",$AP414="HGC"),"CONT",IF($BE414&lt;=60,2,IF($BE414&lt;=90,3,IF($BE414&lt;=120,4,5)))))</f>
        <v/>
      </c>
      <c r="BL414" s="49">
        <f>IF(N($BC414)=0,"",IF(OR($AL414="",$AL414="FLUSH"),"FLUSH",IFERROR(LEFT($AL414,FIND("-",$AL414)-1),LEFT($AL414,2))))</f>
        <v/>
      </c>
      <c r="BM414" s="49">
        <f>IF($BL414="","",IFERROR(VALUE(MID($AL414,FIND("-",$AL414)+1,FIND(CHAR(34)&amp;"x",$AL414)-FIND("-",$AL414)-1)),0))</f>
        <v/>
      </c>
      <c r="BN414" s="49">
        <f>IF($BL414="","",IFERROR(VALUE(MID($AL414,FIND(CHAR(34)&amp;"x",$AL414)+2,FIND(CHAR(34),$AL414,FIND(CHAR(34)&amp;"x",$AL414)+2)-FIND(CHAR(34)&amp;"x",$AL414)-2)),0))</f>
        <v/>
      </c>
      <c r="BO414" s="53">
        <f>IF(OR($A414="",$H414="",$H414="NO LAB"),0,IFERROR(VALUE(LEFT($H414,FIND(" ",$H414)-1)),0))</f>
        <v/>
      </c>
      <c r="BP414" s="54">
        <f>IF(OR($A414="",$I414="",$I414="NON-RATED",N($J414)=0),"",IFERROR(VLOOKUP($I414&amp;"|"&amp;$J414,IBC,2,FALSE),"?"))</f>
        <v/>
      </c>
      <c r="BQ414" s="50">
        <f>IF(NOT(AND($A414&lt;&gt;"",$C414&lt;&gt;"DOOR ONLY")),"",TRIM(IFERROR(VLOOKUP($U414,CODES,2,FALSE),"")&amp;" "&amp;$AZ414&amp;" "&amp;IFERROR(VLOOKUP($Z414,CODES,2,FALSE),"")&amp;" "&amp;IFERROR(VLOOKUP($X414,CODES,2,FALSE),"")&amp;" "&amp;IFERROR(VLOOKUP($S414,CODES,2,FALSE),"")&amp;IF(N($P414)&gt;0," w/TRANSOM "&amp;$P414&amp;CHAR(34),"")&amp;IF(N($Q414)&gt;0," w/SIDELITE "&amp;$Q414&amp;CHAR(34)&amp;" "&amp;IF($R414="","R",$R414),"")&amp;IF($Y414="","  |  "," | "&amp;IFERROR(VLOOKUP($Y414,CODES,2,FALSE),"")&amp;" | ")&amp;IFERROR(VLOOKUP($AC414,CODES,2,FALSE),"")&amp;" "&amp;IFERROR(VLOOKUP($AD414,CODES,2,FALSE),"")&amp;IF(OR($AE414="",$AE414="-"),""," "&amp;$AE414)&amp;IF(OR($AF414="",$AF414="-"),""," "&amp;$AF414)&amp;IF($AB414="Y"," 4"&amp;CHAR(34)&amp;" HEAD","")&amp;" "&amp;IFERROR(VLOOKUP($H414,CODES,2,FALSE),"")))</f>
        <v/>
      </c>
      <c r="BR414" s="50">
        <f>IF(NOT(AND($A414&lt;&gt;"",N($BC414)&gt;0)),"",TRIM(IFERROR(VLOOKUP($AH414,CODES,2,FALSE),"")&amp;IF($AI414=""," "," "&amp;$AI414&amp;"GA ")&amp;$AZ414&amp;" "&amp;IF($AN414="",IFERROR(VLOOKUP($Z414,CODES,2,FALSE),""),IFERROR(VLOOKUP($AN414,CODES,2,FALSE),""))&amp;IF($BC414=2," PAIR","")&amp;" DOOR | "&amp;IF($AL414="","?",$AL414)&amp;" | "&amp;IF($AP414="",IFERROR(VLOOKUP($AC414,CODES,2,FALSE),""),IFERROR(VLOOKUP($AP414,CODES,2,FALSE),""))&amp;" "&amp;IFERROR(VLOOKUP($AQ414,CODES,2,FALSE),"")&amp;IF(OR($AR414="",$AR414="-"),""," SEAM "&amp;$AR414)&amp;IF($AS414="Y"," ASTRAGAL","")&amp;IF($AJ414=""," "," "&amp;$AJ414)&amp;IF($AK414=""," "," "&amp;$AK414)&amp;IF($AO414="",""," "&amp;$AO414)&amp;IF($AM414=""," "," SERIES "&amp;$AM414)&amp;" "&amp;IFERROR(VLOOKUP($H414,CODES,2,FALSE),"")))</f>
        <v/>
      </c>
      <c r="BS414" s="49">
        <f>IF(BV414="","",IF(COUNTIF($BV$6:BV414,BV414)=1,MAX($BS$5:BS413)+1,INDEX($BS$5:BS413,MATCH(BV414,$BV$5:BV413,0))))</f>
        <v/>
      </c>
      <c r="BT414" s="49">
        <f>IF(NOT(AND($A414&lt;&gt;"",$C414&lt;&gt;"DOOR ONLY")),"",MAX($BT$5:BT413)+1)</f>
        <v/>
      </c>
      <c r="BU414" s="49">
        <f>IF(NOT(AND($A414&lt;&gt;"",N($BC414)&gt;0)),"",MAX($BU$5:BU413)+1)</f>
        <v/>
      </c>
      <c r="BV414" s="49">
        <f>IF(OR($A414="",$BA414="",$BB414=""),"",$AZ414&amp;"|"&amp;$O414&amp;"|"&amp;$AL414&amp;"|"&amp;$S414&amp;"|"&amp;$P414&amp;"|"&amp;$Q414&amp;$R414&amp;"|"&amp;$C414&amp;"|"&amp;$AB414)</f>
        <v/>
      </c>
      <c r="BW414" s="49">
        <f>IF($A414="","",IF($B414="","qty, ","")&amp;IF($C414="","scope, ","")&amp;IF(OR($K414="",$M414=""),"size, ","")&amp;IF(AND($A414&lt;&gt;"",$C414&lt;&gt;"DOOR ONLY"),IF($U414="","jamb depth, ","")&amp;IF($X414="","construction, ","")&amp;IF($Y414="","anchor, ","")&amp;IF($S414="","frame type, ",""),"")&amp;IF(AND(N($BC414)&gt;0,$Z414=""),"hand, ","")&amp;IF(N($BC414)&gt;0,IF($AH414="","door material, ","")&amp;IF($AL414="","face type, ","")&amp;IF($AQ414="","lock prep, ","")&amp;IF(AND($AP414="",$AC414=""),"hinge prep, ",""),"")&amp;IF(AND($BO414&gt;0,$AH414="FRP"),"FRP cannot carry a label, ","")&amp;IF(AND($O414="Y",OR($Z414="L",$Z414="R",$Z414="LR",$Z414="RR")),"pair marked but hand is single, ","")&amp;IF(AND($O414&lt;&gt;"Y",OR($Z414="PR",AND(LEN($Z414)&gt;1,ISNUMBER(SEARCH("-",$Z414))))),"pair hand on a single door, ","")&amp;IF(AND(ISNUMBER($BP414),$BO414&lt;N($BP414)),"wall needs a "&amp;$BP414&amp;" min door, ","")&amp;IF(AND($BO414&gt;=180,AND(OR($BL414="FG",$BL414="HG",$BL414="FNV",$BL414="FV"),N($BM414)*N($BN414)&gt;100)),"180 min lite over 100 sq in, ","")&amp;IF(N($BD414)&gt;48,"leaf wider than 4'-0"&amp;CHAR(34)&amp;", ",""))</f>
        <v/>
      </c>
      <c r="BX414" s="49">
        <f>IF($A414="","",IF(AND($BO414&gt;0,AND($A414&lt;&gt;"",$C414&lt;&gt;"DOOR ONLY"),$X414="KD",$E414="EXTERIOR"),"KD label on an exterior opening, ","")&amp;IF(AND($E414="EXTERIOR",OR(AND(AND($A414&lt;&gt;"",$C414&lt;&gt;"DOOR ONLY"),$W414="CR"),AND(N($BC414)&gt;0,$AH414="CR"))),"exterior in CR steel (G9?), ","")&amp;IF(AND(ISNUMBER($BJ414),N($BJ414)&lt;32),"clear width ~"&amp;TEXT($BJ414,"0.0")&amp;CHAR(34)&amp;" under 32"&amp;CHAR(34)&amp;" (ADA), ","")&amp;IF(AND($BO414=90,AND(OR($BL414="FG",$BL414="HG",$BL414="FNV",$BL414="FV"),N($BM414)*N($BN414)&gt;100)),"90 min lite over 100 sq in (stair/exit), ","")&amp;IF(AND($BO414&gt;0,AND($A414&lt;&gt;"",$C414&lt;&gt;"DOOR ONLY"),OR($AF414="",$AF414="-")),"rated: closer reinf.?, ","")&amp;IF(OR($I414="CORRIDOR",$I414="SMOKE BARRIER"),"S label + smoke gasketing, ","")&amp;IF($BP414="?","wall type/hr not in IBC table, ","")&amp;IF(AND(N($BC414)&gt;0,$AU414=""),"no hardware set, ","")&amp;IF(AND($AU414&lt;&gt;"",ISNA(MATCH($AU414,HWSets,0))),"set "&amp;$AU414&amp;" not on Hardware sheet, ","")&amp;IF(N($BE414)&gt;96,"leaf over 8'-0"&amp;CHAR(34)&amp;" - check listing, ",""))</f>
        <v/>
      </c>
    </row>
    <row r="415" ht="15" customHeight="1">
      <c r="A415" s="44" t="n"/>
      <c r="B415" s="45" t="n"/>
      <c r="C415" s="45" t="n"/>
      <c r="D415" s="45" t="n"/>
      <c r="E415" s="45" t="n"/>
      <c r="F415" s="45" t="n"/>
      <c r="G415" s="45" t="n"/>
      <c r="H415" s="45" t="n"/>
      <c r="I415" s="45" t="n"/>
      <c r="J415" s="45" t="n"/>
      <c r="K415" s="45" t="n"/>
      <c r="L415" s="45" t="n"/>
      <c r="M415" s="45" t="n"/>
      <c r="N415" s="45" t="n"/>
      <c r="O415" s="45" t="n"/>
      <c r="P415" s="45" t="n"/>
      <c r="Q415" s="45" t="n"/>
      <c r="R415" s="45" t="n"/>
      <c r="S415" s="46" t="n"/>
      <c r="T415" s="46" t="n"/>
      <c r="U415" s="46" t="n"/>
      <c r="V415" s="46" t="n"/>
      <c r="W415" s="46" t="n"/>
      <c r="X415" s="46" t="n"/>
      <c r="Y415" s="46" t="n"/>
      <c r="Z415" s="46" t="n"/>
      <c r="AA415" s="46" t="n"/>
      <c r="AB415" s="46" t="n"/>
      <c r="AC415" s="46" t="n"/>
      <c r="AD415" s="46" t="n"/>
      <c r="AE415" s="46" t="n"/>
      <c r="AF415" s="46" t="n"/>
      <c r="AG415" s="46" t="n"/>
      <c r="AH415" s="47" t="n"/>
      <c r="AI415" s="47" t="n"/>
      <c r="AJ415" s="47" t="n"/>
      <c r="AK415" s="47" t="n"/>
      <c r="AL415" s="47" t="n"/>
      <c r="AM415" s="47" t="n"/>
      <c r="AN415" s="47" t="n"/>
      <c r="AO415" s="47" t="n"/>
      <c r="AP415" s="47" t="n"/>
      <c r="AQ415" s="47" t="n"/>
      <c r="AR415" s="47" t="n"/>
      <c r="AS415" s="47" t="n"/>
      <c r="AT415" s="47" t="n"/>
      <c r="AU415" s="48" t="n"/>
      <c r="AV415" s="48" t="n"/>
      <c r="AW415" s="49">
        <f>IF($A415="","",IF($BW415&lt;&gt;"","FIX",IF($BX415&lt;&gt;"","CHECK","OK")))</f>
        <v/>
      </c>
      <c r="AX415" s="50">
        <f>IF($A415="","",IF($BW415&lt;&gt;"","FIX: "&amp;LEFT($BW415,LEN($BW415)-2)&amp;IF($BX415&lt;&gt;"","  ·  ",""),"")&amp;IF($BX415&lt;&gt;"","CHECK: "&amp;LEFT($BX415,LEN($BX415)-2),""))</f>
        <v/>
      </c>
      <c r="AY415" s="49">
        <f>IF(OR($A415="",$K415=""),"",$K415&amp;"'-"&amp;N($L415)&amp;CHAR(34)&amp;" x "&amp;$M415&amp;"'-"&amp;N($N415)&amp;CHAR(34))</f>
        <v/>
      </c>
      <c r="AZ415" s="49">
        <f>IF(OR($A415="",$K415=""),"",$K415&amp;N($L415)&amp;$M415&amp;N($N415))</f>
        <v/>
      </c>
      <c r="BA415" s="49">
        <f>IF(OR($A415="",$K415=""),"",$K415*12+N($L415))</f>
        <v/>
      </c>
      <c r="BB415" s="49">
        <f>IF(OR($A415="",$M415=""),"",$M415*12+N($N415))</f>
        <v/>
      </c>
      <c r="BC415" s="49">
        <f>IF($A415="","",IF(OR($C415="FRAME ONLY",$S415="BL"),0,IF($O415="Y",2,1)))</f>
        <v/>
      </c>
      <c r="BD415" s="51">
        <f>IF(OR(N($BC415)=0,$BA415=""),"",($BA415-2*EdgeClr-IF($BC415=2,MeetClr,0))/$BC415)</f>
        <v/>
      </c>
      <c r="BE415" s="51">
        <f>IF(OR(N($BC415)=0,$BB415=""),"",$BB415-HeadClr-Undercut)</f>
        <v/>
      </c>
      <c r="BF415" s="51">
        <f>IF($BA415="","",$BA415+2*FaceW+IF(N($Q415)&gt;0,($Q415+FaceW)*IF($R415="LR",2,1),0))</f>
        <v/>
      </c>
      <c r="BG415" s="51">
        <f>IF($BB415="","",$BB415+IF($AB415="Y",4,FaceW)+IF(N($P415)&gt;0,$P415+FaceW,0)+IF(OR($S415="4F",$S415="BL"),FaceW,0))</f>
        <v/>
      </c>
      <c r="BH415" s="51">
        <f>IF($BF415="","",$BF415+2*ROSide)</f>
        <v/>
      </c>
      <c r="BI415" s="51">
        <f>IF($BG415="","",$BG415+ROTop)</f>
        <v/>
      </c>
      <c r="BJ415" s="52">
        <f>IF(OR(N($BC415)=0,$BA415=""),"",$BA415/$BC415-ClearDeduct)</f>
        <v/>
      </c>
      <c r="BK415" s="49">
        <f>IF(OR(N($BC415)=0,$BE415=""),"",IF(OR($AC415="HGC",$AP415="HGC"),"CONT",IF($BE415&lt;=60,2,IF($BE415&lt;=90,3,IF($BE415&lt;=120,4,5)))))</f>
        <v/>
      </c>
      <c r="BL415" s="49">
        <f>IF(N($BC415)=0,"",IF(OR($AL415="",$AL415="FLUSH"),"FLUSH",IFERROR(LEFT($AL415,FIND("-",$AL415)-1),LEFT($AL415,2))))</f>
        <v/>
      </c>
      <c r="BM415" s="49">
        <f>IF($BL415="","",IFERROR(VALUE(MID($AL415,FIND("-",$AL415)+1,FIND(CHAR(34)&amp;"x",$AL415)-FIND("-",$AL415)-1)),0))</f>
        <v/>
      </c>
      <c r="BN415" s="49">
        <f>IF($BL415="","",IFERROR(VALUE(MID($AL415,FIND(CHAR(34)&amp;"x",$AL415)+2,FIND(CHAR(34),$AL415,FIND(CHAR(34)&amp;"x",$AL415)+2)-FIND(CHAR(34)&amp;"x",$AL415)-2)),0))</f>
        <v/>
      </c>
      <c r="BO415" s="53">
        <f>IF(OR($A415="",$H415="",$H415="NO LAB"),0,IFERROR(VALUE(LEFT($H415,FIND(" ",$H415)-1)),0))</f>
        <v/>
      </c>
      <c r="BP415" s="54">
        <f>IF(OR($A415="",$I415="",$I415="NON-RATED",N($J415)=0),"",IFERROR(VLOOKUP($I415&amp;"|"&amp;$J415,IBC,2,FALSE),"?"))</f>
        <v/>
      </c>
      <c r="BQ415" s="50">
        <f>IF(NOT(AND($A415&lt;&gt;"",$C415&lt;&gt;"DOOR ONLY")),"",TRIM(IFERROR(VLOOKUP($U415,CODES,2,FALSE),"")&amp;" "&amp;$AZ415&amp;" "&amp;IFERROR(VLOOKUP($Z415,CODES,2,FALSE),"")&amp;" "&amp;IFERROR(VLOOKUP($X415,CODES,2,FALSE),"")&amp;" "&amp;IFERROR(VLOOKUP($S415,CODES,2,FALSE),"")&amp;IF(N($P415)&gt;0," w/TRANSOM "&amp;$P415&amp;CHAR(34),"")&amp;IF(N($Q415)&gt;0," w/SIDELITE "&amp;$Q415&amp;CHAR(34)&amp;" "&amp;IF($R415="","R",$R415),"")&amp;IF($Y415="","  |  "," | "&amp;IFERROR(VLOOKUP($Y415,CODES,2,FALSE),"")&amp;" | ")&amp;IFERROR(VLOOKUP($AC415,CODES,2,FALSE),"")&amp;" "&amp;IFERROR(VLOOKUP($AD415,CODES,2,FALSE),"")&amp;IF(OR($AE415="",$AE415="-"),""," "&amp;$AE415)&amp;IF(OR($AF415="",$AF415="-"),""," "&amp;$AF415)&amp;IF($AB415="Y"," 4"&amp;CHAR(34)&amp;" HEAD","")&amp;" "&amp;IFERROR(VLOOKUP($H415,CODES,2,FALSE),"")))</f>
        <v/>
      </c>
      <c r="BR415" s="50">
        <f>IF(NOT(AND($A415&lt;&gt;"",N($BC415)&gt;0)),"",TRIM(IFERROR(VLOOKUP($AH415,CODES,2,FALSE),"")&amp;IF($AI415=""," "," "&amp;$AI415&amp;"GA ")&amp;$AZ415&amp;" "&amp;IF($AN415="",IFERROR(VLOOKUP($Z415,CODES,2,FALSE),""),IFERROR(VLOOKUP($AN415,CODES,2,FALSE),""))&amp;IF($BC415=2," PAIR","")&amp;" DOOR | "&amp;IF($AL415="","?",$AL415)&amp;" | "&amp;IF($AP415="",IFERROR(VLOOKUP($AC415,CODES,2,FALSE),""),IFERROR(VLOOKUP($AP415,CODES,2,FALSE),""))&amp;" "&amp;IFERROR(VLOOKUP($AQ415,CODES,2,FALSE),"")&amp;IF(OR($AR415="",$AR415="-"),""," SEAM "&amp;$AR415)&amp;IF($AS415="Y"," ASTRAGAL","")&amp;IF($AJ415=""," "," "&amp;$AJ415)&amp;IF($AK415=""," "," "&amp;$AK415)&amp;IF($AO415="",""," "&amp;$AO415)&amp;IF($AM415=""," "," SERIES "&amp;$AM415)&amp;" "&amp;IFERROR(VLOOKUP($H415,CODES,2,FALSE),"")))</f>
        <v/>
      </c>
      <c r="BS415" s="49">
        <f>IF(BV415="","",IF(COUNTIF($BV$6:BV415,BV415)=1,MAX($BS$5:BS414)+1,INDEX($BS$5:BS414,MATCH(BV415,$BV$5:BV414,0))))</f>
        <v/>
      </c>
      <c r="BT415" s="49">
        <f>IF(NOT(AND($A415&lt;&gt;"",$C415&lt;&gt;"DOOR ONLY")),"",MAX($BT$5:BT414)+1)</f>
        <v/>
      </c>
      <c r="BU415" s="49">
        <f>IF(NOT(AND($A415&lt;&gt;"",N($BC415)&gt;0)),"",MAX($BU$5:BU414)+1)</f>
        <v/>
      </c>
      <c r="BV415" s="49">
        <f>IF(OR($A415="",$BA415="",$BB415=""),"",$AZ415&amp;"|"&amp;$O415&amp;"|"&amp;$AL415&amp;"|"&amp;$S415&amp;"|"&amp;$P415&amp;"|"&amp;$Q415&amp;$R415&amp;"|"&amp;$C415&amp;"|"&amp;$AB415)</f>
        <v/>
      </c>
      <c r="BW415" s="49">
        <f>IF($A415="","",IF($B415="","qty, ","")&amp;IF($C415="","scope, ","")&amp;IF(OR($K415="",$M415=""),"size, ","")&amp;IF(AND($A415&lt;&gt;"",$C415&lt;&gt;"DOOR ONLY"),IF($U415="","jamb depth, ","")&amp;IF($X415="","construction, ","")&amp;IF($Y415="","anchor, ","")&amp;IF($S415="","frame type, ",""),"")&amp;IF(AND(N($BC415)&gt;0,$Z415=""),"hand, ","")&amp;IF(N($BC415)&gt;0,IF($AH415="","door material, ","")&amp;IF($AL415="","face type, ","")&amp;IF($AQ415="","lock prep, ","")&amp;IF(AND($AP415="",$AC415=""),"hinge prep, ",""),"")&amp;IF(AND($BO415&gt;0,$AH415="FRP"),"FRP cannot carry a label, ","")&amp;IF(AND($O415="Y",OR($Z415="L",$Z415="R",$Z415="LR",$Z415="RR")),"pair marked but hand is single, ","")&amp;IF(AND($O415&lt;&gt;"Y",OR($Z415="PR",AND(LEN($Z415)&gt;1,ISNUMBER(SEARCH("-",$Z415))))),"pair hand on a single door, ","")&amp;IF(AND(ISNUMBER($BP415),$BO415&lt;N($BP415)),"wall needs a "&amp;$BP415&amp;" min door, ","")&amp;IF(AND($BO415&gt;=180,AND(OR($BL415="FG",$BL415="HG",$BL415="FNV",$BL415="FV"),N($BM415)*N($BN415)&gt;100)),"180 min lite over 100 sq in, ","")&amp;IF(N($BD415)&gt;48,"leaf wider than 4'-0"&amp;CHAR(34)&amp;", ",""))</f>
        <v/>
      </c>
      <c r="BX415" s="49">
        <f>IF($A415="","",IF(AND($BO415&gt;0,AND($A415&lt;&gt;"",$C415&lt;&gt;"DOOR ONLY"),$X415="KD",$E415="EXTERIOR"),"KD label on an exterior opening, ","")&amp;IF(AND($E415="EXTERIOR",OR(AND(AND($A415&lt;&gt;"",$C415&lt;&gt;"DOOR ONLY"),$W415="CR"),AND(N($BC415)&gt;0,$AH415="CR"))),"exterior in CR steel (G9?), ","")&amp;IF(AND(ISNUMBER($BJ415),N($BJ415)&lt;32),"clear width ~"&amp;TEXT($BJ415,"0.0")&amp;CHAR(34)&amp;" under 32"&amp;CHAR(34)&amp;" (ADA), ","")&amp;IF(AND($BO415=90,AND(OR($BL415="FG",$BL415="HG",$BL415="FNV",$BL415="FV"),N($BM415)*N($BN415)&gt;100)),"90 min lite over 100 sq in (stair/exit), ","")&amp;IF(AND($BO415&gt;0,AND($A415&lt;&gt;"",$C415&lt;&gt;"DOOR ONLY"),OR($AF415="",$AF415="-")),"rated: closer reinf.?, ","")&amp;IF(OR($I415="CORRIDOR",$I415="SMOKE BARRIER"),"S label + smoke gasketing, ","")&amp;IF($BP415="?","wall type/hr not in IBC table, ","")&amp;IF(AND(N($BC415)&gt;0,$AU415=""),"no hardware set, ","")&amp;IF(AND($AU415&lt;&gt;"",ISNA(MATCH($AU415,HWSets,0))),"set "&amp;$AU415&amp;" not on Hardware sheet, ","")&amp;IF(N($BE415)&gt;96,"leaf over 8'-0"&amp;CHAR(34)&amp;" - check listing, ",""))</f>
        <v/>
      </c>
    </row>
    <row r="416" ht="15" customHeight="1">
      <c r="A416" s="44" t="n"/>
      <c r="B416" s="45" t="n"/>
      <c r="C416" s="45" t="n"/>
      <c r="D416" s="45" t="n"/>
      <c r="E416" s="45" t="n"/>
      <c r="F416" s="45" t="n"/>
      <c r="G416" s="45" t="n"/>
      <c r="H416" s="45" t="n"/>
      <c r="I416" s="45" t="n"/>
      <c r="J416" s="45" t="n"/>
      <c r="K416" s="45" t="n"/>
      <c r="L416" s="45" t="n"/>
      <c r="M416" s="45" t="n"/>
      <c r="N416" s="45" t="n"/>
      <c r="O416" s="45" t="n"/>
      <c r="P416" s="45" t="n"/>
      <c r="Q416" s="45" t="n"/>
      <c r="R416" s="45" t="n"/>
      <c r="S416" s="46" t="n"/>
      <c r="T416" s="46" t="n"/>
      <c r="U416" s="46" t="n"/>
      <c r="V416" s="46" t="n"/>
      <c r="W416" s="46" t="n"/>
      <c r="X416" s="46" t="n"/>
      <c r="Y416" s="46" t="n"/>
      <c r="Z416" s="46" t="n"/>
      <c r="AA416" s="46" t="n"/>
      <c r="AB416" s="46" t="n"/>
      <c r="AC416" s="46" t="n"/>
      <c r="AD416" s="46" t="n"/>
      <c r="AE416" s="46" t="n"/>
      <c r="AF416" s="46" t="n"/>
      <c r="AG416" s="46" t="n"/>
      <c r="AH416" s="47" t="n"/>
      <c r="AI416" s="47" t="n"/>
      <c r="AJ416" s="47" t="n"/>
      <c r="AK416" s="47" t="n"/>
      <c r="AL416" s="47" t="n"/>
      <c r="AM416" s="47" t="n"/>
      <c r="AN416" s="47" t="n"/>
      <c r="AO416" s="47" t="n"/>
      <c r="AP416" s="47" t="n"/>
      <c r="AQ416" s="47" t="n"/>
      <c r="AR416" s="47" t="n"/>
      <c r="AS416" s="47" t="n"/>
      <c r="AT416" s="47" t="n"/>
      <c r="AU416" s="48" t="n"/>
      <c r="AV416" s="48" t="n"/>
      <c r="AW416" s="49">
        <f>IF($A416="","",IF($BW416&lt;&gt;"","FIX",IF($BX416&lt;&gt;"","CHECK","OK")))</f>
        <v/>
      </c>
      <c r="AX416" s="50">
        <f>IF($A416="","",IF($BW416&lt;&gt;"","FIX: "&amp;LEFT($BW416,LEN($BW416)-2)&amp;IF($BX416&lt;&gt;"","  ·  ",""),"")&amp;IF($BX416&lt;&gt;"","CHECK: "&amp;LEFT($BX416,LEN($BX416)-2),""))</f>
        <v/>
      </c>
      <c r="AY416" s="49">
        <f>IF(OR($A416="",$K416=""),"",$K416&amp;"'-"&amp;N($L416)&amp;CHAR(34)&amp;" x "&amp;$M416&amp;"'-"&amp;N($N416)&amp;CHAR(34))</f>
        <v/>
      </c>
      <c r="AZ416" s="49">
        <f>IF(OR($A416="",$K416=""),"",$K416&amp;N($L416)&amp;$M416&amp;N($N416))</f>
        <v/>
      </c>
      <c r="BA416" s="49">
        <f>IF(OR($A416="",$K416=""),"",$K416*12+N($L416))</f>
        <v/>
      </c>
      <c r="BB416" s="49">
        <f>IF(OR($A416="",$M416=""),"",$M416*12+N($N416))</f>
        <v/>
      </c>
      <c r="BC416" s="49">
        <f>IF($A416="","",IF(OR($C416="FRAME ONLY",$S416="BL"),0,IF($O416="Y",2,1)))</f>
        <v/>
      </c>
      <c r="BD416" s="51">
        <f>IF(OR(N($BC416)=0,$BA416=""),"",($BA416-2*EdgeClr-IF($BC416=2,MeetClr,0))/$BC416)</f>
        <v/>
      </c>
      <c r="BE416" s="51">
        <f>IF(OR(N($BC416)=0,$BB416=""),"",$BB416-HeadClr-Undercut)</f>
        <v/>
      </c>
      <c r="BF416" s="51">
        <f>IF($BA416="","",$BA416+2*FaceW+IF(N($Q416)&gt;0,($Q416+FaceW)*IF($R416="LR",2,1),0))</f>
        <v/>
      </c>
      <c r="BG416" s="51">
        <f>IF($BB416="","",$BB416+IF($AB416="Y",4,FaceW)+IF(N($P416)&gt;0,$P416+FaceW,0)+IF(OR($S416="4F",$S416="BL"),FaceW,0))</f>
        <v/>
      </c>
      <c r="BH416" s="51">
        <f>IF($BF416="","",$BF416+2*ROSide)</f>
        <v/>
      </c>
      <c r="BI416" s="51">
        <f>IF($BG416="","",$BG416+ROTop)</f>
        <v/>
      </c>
      <c r="BJ416" s="52">
        <f>IF(OR(N($BC416)=0,$BA416=""),"",$BA416/$BC416-ClearDeduct)</f>
        <v/>
      </c>
      <c r="BK416" s="49">
        <f>IF(OR(N($BC416)=0,$BE416=""),"",IF(OR($AC416="HGC",$AP416="HGC"),"CONT",IF($BE416&lt;=60,2,IF($BE416&lt;=90,3,IF($BE416&lt;=120,4,5)))))</f>
        <v/>
      </c>
      <c r="BL416" s="49">
        <f>IF(N($BC416)=0,"",IF(OR($AL416="",$AL416="FLUSH"),"FLUSH",IFERROR(LEFT($AL416,FIND("-",$AL416)-1),LEFT($AL416,2))))</f>
        <v/>
      </c>
      <c r="BM416" s="49">
        <f>IF($BL416="","",IFERROR(VALUE(MID($AL416,FIND("-",$AL416)+1,FIND(CHAR(34)&amp;"x",$AL416)-FIND("-",$AL416)-1)),0))</f>
        <v/>
      </c>
      <c r="BN416" s="49">
        <f>IF($BL416="","",IFERROR(VALUE(MID($AL416,FIND(CHAR(34)&amp;"x",$AL416)+2,FIND(CHAR(34),$AL416,FIND(CHAR(34)&amp;"x",$AL416)+2)-FIND(CHAR(34)&amp;"x",$AL416)-2)),0))</f>
        <v/>
      </c>
      <c r="BO416" s="53">
        <f>IF(OR($A416="",$H416="",$H416="NO LAB"),0,IFERROR(VALUE(LEFT($H416,FIND(" ",$H416)-1)),0))</f>
        <v/>
      </c>
      <c r="BP416" s="54">
        <f>IF(OR($A416="",$I416="",$I416="NON-RATED",N($J416)=0),"",IFERROR(VLOOKUP($I416&amp;"|"&amp;$J416,IBC,2,FALSE),"?"))</f>
        <v/>
      </c>
      <c r="BQ416" s="50">
        <f>IF(NOT(AND($A416&lt;&gt;"",$C416&lt;&gt;"DOOR ONLY")),"",TRIM(IFERROR(VLOOKUP($U416,CODES,2,FALSE),"")&amp;" "&amp;$AZ416&amp;" "&amp;IFERROR(VLOOKUP($Z416,CODES,2,FALSE),"")&amp;" "&amp;IFERROR(VLOOKUP($X416,CODES,2,FALSE),"")&amp;" "&amp;IFERROR(VLOOKUP($S416,CODES,2,FALSE),"")&amp;IF(N($P416)&gt;0," w/TRANSOM "&amp;$P416&amp;CHAR(34),"")&amp;IF(N($Q416)&gt;0," w/SIDELITE "&amp;$Q416&amp;CHAR(34)&amp;" "&amp;IF($R416="","R",$R416),"")&amp;IF($Y416="","  |  "," | "&amp;IFERROR(VLOOKUP($Y416,CODES,2,FALSE),"")&amp;" | ")&amp;IFERROR(VLOOKUP($AC416,CODES,2,FALSE),"")&amp;" "&amp;IFERROR(VLOOKUP($AD416,CODES,2,FALSE),"")&amp;IF(OR($AE416="",$AE416="-"),""," "&amp;$AE416)&amp;IF(OR($AF416="",$AF416="-"),""," "&amp;$AF416)&amp;IF($AB416="Y"," 4"&amp;CHAR(34)&amp;" HEAD","")&amp;" "&amp;IFERROR(VLOOKUP($H416,CODES,2,FALSE),"")))</f>
        <v/>
      </c>
      <c r="BR416" s="50">
        <f>IF(NOT(AND($A416&lt;&gt;"",N($BC416)&gt;0)),"",TRIM(IFERROR(VLOOKUP($AH416,CODES,2,FALSE),"")&amp;IF($AI416=""," "," "&amp;$AI416&amp;"GA ")&amp;$AZ416&amp;" "&amp;IF($AN416="",IFERROR(VLOOKUP($Z416,CODES,2,FALSE),""),IFERROR(VLOOKUP($AN416,CODES,2,FALSE),""))&amp;IF($BC416=2," PAIR","")&amp;" DOOR | "&amp;IF($AL416="","?",$AL416)&amp;" | "&amp;IF($AP416="",IFERROR(VLOOKUP($AC416,CODES,2,FALSE),""),IFERROR(VLOOKUP($AP416,CODES,2,FALSE),""))&amp;" "&amp;IFERROR(VLOOKUP($AQ416,CODES,2,FALSE),"")&amp;IF(OR($AR416="",$AR416="-"),""," SEAM "&amp;$AR416)&amp;IF($AS416="Y"," ASTRAGAL","")&amp;IF($AJ416=""," "," "&amp;$AJ416)&amp;IF($AK416=""," "," "&amp;$AK416)&amp;IF($AO416="",""," "&amp;$AO416)&amp;IF($AM416=""," "," SERIES "&amp;$AM416)&amp;" "&amp;IFERROR(VLOOKUP($H416,CODES,2,FALSE),"")))</f>
        <v/>
      </c>
      <c r="BS416" s="49">
        <f>IF(BV416="","",IF(COUNTIF($BV$6:BV416,BV416)=1,MAX($BS$5:BS415)+1,INDEX($BS$5:BS415,MATCH(BV416,$BV$5:BV415,0))))</f>
        <v/>
      </c>
      <c r="BT416" s="49">
        <f>IF(NOT(AND($A416&lt;&gt;"",$C416&lt;&gt;"DOOR ONLY")),"",MAX($BT$5:BT415)+1)</f>
        <v/>
      </c>
      <c r="BU416" s="49">
        <f>IF(NOT(AND($A416&lt;&gt;"",N($BC416)&gt;0)),"",MAX($BU$5:BU415)+1)</f>
        <v/>
      </c>
      <c r="BV416" s="49">
        <f>IF(OR($A416="",$BA416="",$BB416=""),"",$AZ416&amp;"|"&amp;$O416&amp;"|"&amp;$AL416&amp;"|"&amp;$S416&amp;"|"&amp;$P416&amp;"|"&amp;$Q416&amp;$R416&amp;"|"&amp;$C416&amp;"|"&amp;$AB416)</f>
        <v/>
      </c>
      <c r="BW416" s="49">
        <f>IF($A416="","",IF($B416="","qty, ","")&amp;IF($C416="","scope, ","")&amp;IF(OR($K416="",$M416=""),"size, ","")&amp;IF(AND($A416&lt;&gt;"",$C416&lt;&gt;"DOOR ONLY"),IF($U416="","jamb depth, ","")&amp;IF($X416="","construction, ","")&amp;IF($Y416="","anchor, ","")&amp;IF($S416="","frame type, ",""),"")&amp;IF(AND(N($BC416)&gt;0,$Z416=""),"hand, ","")&amp;IF(N($BC416)&gt;0,IF($AH416="","door material, ","")&amp;IF($AL416="","face type, ","")&amp;IF($AQ416="","lock prep, ","")&amp;IF(AND($AP416="",$AC416=""),"hinge prep, ",""),"")&amp;IF(AND($BO416&gt;0,$AH416="FRP"),"FRP cannot carry a label, ","")&amp;IF(AND($O416="Y",OR($Z416="L",$Z416="R",$Z416="LR",$Z416="RR")),"pair marked but hand is single, ","")&amp;IF(AND($O416&lt;&gt;"Y",OR($Z416="PR",AND(LEN($Z416)&gt;1,ISNUMBER(SEARCH("-",$Z416))))),"pair hand on a single door, ","")&amp;IF(AND(ISNUMBER($BP416),$BO416&lt;N($BP416)),"wall needs a "&amp;$BP416&amp;" min door, ","")&amp;IF(AND($BO416&gt;=180,AND(OR($BL416="FG",$BL416="HG",$BL416="FNV",$BL416="FV"),N($BM416)*N($BN416)&gt;100)),"180 min lite over 100 sq in, ","")&amp;IF(N($BD416)&gt;48,"leaf wider than 4'-0"&amp;CHAR(34)&amp;", ",""))</f>
        <v/>
      </c>
      <c r="BX416" s="49">
        <f>IF($A416="","",IF(AND($BO416&gt;0,AND($A416&lt;&gt;"",$C416&lt;&gt;"DOOR ONLY"),$X416="KD",$E416="EXTERIOR"),"KD label on an exterior opening, ","")&amp;IF(AND($E416="EXTERIOR",OR(AND(AND($A416&lt;&gt;"",$C416&lt;&gt;"DOOR ONLY"),$W416="CR"),AND(N($BC416)&gt;0,$AH416="CR"))),"exterior in CR steel (G9?), ","")&amp;IF(AND(ISNUMBER($BJ416),N($BJ416)&lt;32),"clear width ~"&amp;TEXT($BJ416,"0.0")&amp;CHAR(34)&amp;" under 32"&amp;CHAR(34)&amp;" (ADA), ","")&amp;IF(AND($BO416=90,AND(OR($BL416="FG",$BL416="HG",$BL416="FNV",$BL416="FV"),N($BM416)*N($BN416)&gt;100)),"90 min lite over 100 sq in (stair/exit), ","")&amp;IF(AND($BO416&gt;0,AND($A416&lt;&gt;"",$C416&lt;&gt;"DOOR ONLY"),OR($AF416="",$AF416="-")),"rated: closer reinf.?, ","")&amp;IF(OR($I416="CORRIDOR",$I416="SMOKE BARRIER"),"S label + smoke gasketing, ","")&amp;IF($BP416="?","wall type/hr not in IBC table, ","")&amp;IF(AND(N($BC416)&gt;0,$AU416=""),"no hardware set, ","")&amp;IF(AND($AU416&lt;&gt;"",ISNA(MATCH($AU416,HWSets,0))),"set "&amp;$AU416&amp;" not on Hardware sheet, ","")&amp;IF(N($BE416)&gt;96,"leaf over 8'-0"&amp;CHAR(34)&amp;" - check listing, ",""))</f>
        <v/>
      </c>
    </row>
    <row r="417" ht="15" customHeight="1">
      <c r="A417" s="44" t="n"/>
      <c r="B417" s="45" t="n"/>
      <c r="C417" s="45" t="n"/>
      <c r="D417" s="45" t="n"/>
      <c r="E417" s="45" t="n"/>
      <c r="F417" s="45" t="n"/>
      <c r="G417" s="45" t="n"/>
      <c r="H417" s="45" t="n"/>
      <c r="I417" s="45" t="n"/>
      <c r="J417" s="45" t="n"/>
      <c r="K417" s="45" t="n"/>
      <c r="L417" s="45" t="n"/>
      <c r="M417" s="45" t="n"/>
      <c r="N417" s="45" t="n"/>
      <c r="O417" s="45" t="n"/>
      <c r="P417" s="45" t="n"/>
      <c r="Q417" s="45" t="n"/>
      <c r="R417" s="45" t="n"/>
      <c r="S417" s="46" t="n"/>
      <c r="T417" s="46" t="n"/>
      <c r="U417" s="46" t="n"/>
      <c r="V417" s="46" t="n"/>
      <c r="W417" s="46" t="n"/>
      <c r="X417" s="46" t="n"/>
      <c r="Y417" s="46" t="n"/>
      <c r="Z417" s="46" t="n"/>
      <c r="AA417" s="46" t="n"/>
      <c r="AB417" s="46" t="n"/>
      <c r="AC417" s="46" t="n"/>
      <c r="AD417" s="46" t="n"/>
      <c r="AE417" s="46" t="n"/>
      <c r="AF417" s="46" t="n"/>
      <c r="AG417" s="46" t="n"/>
      <c r="AH417" s="47" t="n"/>
      <c r="AI417" s="47" t="n"/>
      <c r="AJ417" s="47" t="n"/>
      <c r="AK417" s="47" t="n"/>
      <c r="AL417" s="47" t="n"/>
      <c r="AM417" s="47" t="n"/>
      <c r="AN417" s="47" t="n"/>
      <c r="AO417" s="47" t="n"/>
      <c r="AP417" s="47" t="n"/>
      <c r="AQ417" s="47" t="n"/>
      <c r="AR417" s="47" t="n"/>
      <c r="AS417" s="47" t="n"/>
      <c r="AT417" s="47" t="n"/>
      <c r="AU417" s="48" t="n"/>
      <c r="AV417" s="48" t="n"/>
      <c r="AW417" s="49">
        <f>IF($A417="","",IF($BW417&lt;&gt;"","FIX",IF($BX417&lt;&gt;"","CHECK","OK")))</f>
        <v/>
      </c>
      <c r="AX417" s="50">
        <f>IF($A417="","",IF($BW417&lt;&gt;"","FIX: "&amp;LEFT($BW417,LEN($BW417)-2)&amp;IF($BX417&lt;&gt;"","  ·  ",""),"")&amp;IF($BX417&lt;&gt;"","CHECK: "&amp;LEFT($BX417,LEN($BX417)-2),""))</f>
        <v/>
      </c>
      <c r="AY417" s="49">
        <f>IF(OR($A417="",$K417=""),"",$K417&amp;"'-"&amp;N($L417)&amp;CHAR(34)&amp;" x "&amp;$M417&amp;"'-"&amp;N($N417)&amp;CHAR(34))</f>
        <v/>
      </c>
      <c r="AZ417" s="49">
        <f>IF(OR($A417="",$K417=""),"",$K417&amp;N($L417)&amp;$M417&amp;N($N417))</f>
        <v/>
      </c>
      <c r="BA417" s="49">
        <f>IF(OR($A417="",$K417=""),"",$K417*12+N($L417))</f>
        <v/>
      </c>
      <c r="BB417" s="49">
        <f>IF(OR($A417="",$M417=""),"",$M417*12+N($N417))</f>
        <v/>
      </c>
      <c r="BC417" s="49">
        <f>IF($A417="","",IF(OR($C417="FRAME ONLY",$S417="BL"),0,IF($O417="Y",2,1)))</f>
        <v/>
      </c>
      <c r="BD417" s="51">
        <f>IF(OR(N($BC417)=0,$BA417=""),"",($BA417-2*EdgeClr-IF($BC417=2,MeetClr,0))/$BC417)</f>
        <v/>
      </c>
      <c r="BE417" s="51">
        <f>IF(OR(N($BC417)=0,$BB417=""),"",$BB417-HeadClr-Undercut)</f>
        <v/>
      </c>
      <c r="BF417" s="51">
        <f>IF($BA417="","",$BA417+2*FaceW+IF(N($Q417)&gt;0,($Q417+FaceW)*IF($R417="LR",2,1),0))</f>
        <v/>
      </c>
      <c r="BG417" s="51">
        <f>IF($BB417="","",$BB417+IF($AB417="Y",4,FaceW)+IF(N($P417)&gt;0,$P417+FaceW,0)+IF(OR($S417="4F",$S417="BL"),FaceW,0))</f>
        <v/>
      </c>
      <c r="BH417" s="51">
        <f>IF($BF417="","",$BF417+2*ROSide)</f>
        <v/>
      </c>
      <c r="BI417" s="51">
        <f>IF($BG417="","",$BG417+ROTop)</f>
        <v/>
      </c>
      <c r="BJ417" s="52">
        <f>IF(OR(N($BC417)=0,$BA417=""),"",$BA417/$BC417-ClearDeduct)</f>
        <v/>
      </c>
      <c r="BK417" s="49">
        <f>IF(OR(N($BC417)=0,$BE417=""),"",IF(OR($AC417="HGC",$AP417="HGC"),"CONT",IF($BE417&lt;=60,2,IF($BE417&lt;=90,3,IF($BE417&lt;=120,4,5)))))</f>
        <v/>
      </c>
      <c r="BL417" s="49">
        <f>IF(N($BC417)=0,"",IF(OR($AL417="",$AL417="FLUSH"),"FLUSH",IFERROR(LEFT($AL417,FIND("-",$AL417)-1),LEFT($AL417,2))))</f>
        <v/>
      </c>
      <c r="BM417" s="49">
        <f>IF($BL417="","",IFERROR(VALUE(MID($AL417,FIND("-",$AL417)+1,FIND(CHAR(34)&amp;"x",$AL417)-FIND("-",$AL417)-1)),0))</f>
        <v/>
      </c>
      <c r="BN417" s="49">
        <f>IF($BL417="","",IFERROR(VALUE(MID($AL417,FIND(CHAR(34)&amp;"x",$AL417)+2,FIND(CHAR(34),$AL417,FIND(CHAR(34)&amp;"x",$AL417)+2)-FIND(CHAR(34)&amp;"x",$AL417)-2)),0))</f>
        <v/>
      </c>
      <c r="BO417" s="53">
        <f>IF(OR($A417="",$H417="",$H417="NO LAB"),0,IFERROR(VALUE(LEFT($H417,FIND(" ",$H417)-1)),0))</f>
        <v/>
      </c>
      <c r="BP417" s="54">
        <f>IF(OR($A417="",$I417="",$I417="NON-RATED",N($J417)=0),"",IFERROR(VLOOKUP($I417&amp;"|"&amp;$J417,IBC,2,FALSE),"?"))</f>
        <v/>
      </c>
      <c r="BQ417" s="50">
        <f>IF(NOT(AND($A417&lt;&gt;"",$C417&lt;&gt;"DOOR ONLY")),"",TRIM(IFERROR(VLOOKUP($U417,CODES,2,FALSE),"")&amp;" "&amp;$AZ417&amp;" "&amp;IFERROR(VLOOKUP($Z417,CODES,2,FALSE),"")&amp;" "&amp;IFERROR(VLOOKUP($X417,CODES,2,FALSE),"")&amp;" "&amp;IFERROR(VLOOKUP($S417,CODES,2,FALSE),"")&amp;IF(N($P417)&gt;0," w/TRANSOM "&amp;$P417&amp;CHAR(34),"")&amp;IF(N($Q417)&gt;0," w/SIDELITE "&amp;$Q417&amp;CHAR(34)&amp;" "&amp;IF($R417="","R",$R417),"")&amp;IF($Y417="","  |  "," | "&amp;IFERROR(VLOOKUP($Y417,CODES,2,FALSE),"")&amp;" | ")&amp;IFERROR(VLOOKUP($AC417,CODES,2,FALSE),"")&amp;" "&amp;IFERROR(VLOOKUP($AD417,CODES,2,FALSE),"")&amp;IF(OR($AE417="",$AE417="-"),""," "&amp;$AE417)&amp;IF(OR($AF417="",$AF417="-"),""," "&amp;$AF417)&amp;IF($AB417="Y"," 4"&amp;CHAR(34)&amp;" HEAD","")&amp;" "&amp;IFERROR(VLOOKUP($H417,CODES,2,FALSE),"")))</f>
        <v/>
      </c>
      <c r="BR417" s="50">
        <f>IF(NOT(AND($A417&lt;&gt;"",N($BC417)&gt;0)),"",TRIM(IFERROR(VLOOKUP($AH417,CODES,2,FALSE),"")&amp;IF($AI417=""," "," "&amp;$AI417&amp;"GA ")&amp;$AZ417&amp;" "&amp;IF($AN417="",IFERROR(VLOOKUP($Z417,CODES,2,FALSE),""),IFERROR(VLOOKUP($AN417,CODES,2,FALSE),""))&amp;IF($BC417=2," PAIR","")&amp;" DOOR | "&amp;IF($AL417="","?",$AL417)&amp;" | "&amp;IF($AP417="",IFERROR(VLOOKUP($AC417,CODES,2,FALSE),""),IFERROR(VLOOKUP($AP417,CODES,2,FALSE),""))&amp;" "&amp;IFERROR(VLOOKUP($AQ417,CODES,2,FALSE),"")&amp;IF(OR($AR417="",$AR417="-"),""," SEAM "&amp;$AR417)&amp;IF($AS417="Y"," ASTRAGAL","")&amp;IF($AJ417=""," "," "&amp;$AJ417)&amp;IF($AK417=""," "," "&amp;$AK417)&amp;IF($AO417="",""," "&amp;$AO417)&amp;IF($AM417=""," "," SERIES "&amp;$AM417)&amp;" "&amp;IFERROR(VLOOKUP($H417,CODES,2,FALSE),"")))</f>
        <v/>
      </c>
      <c r="BS417" s="49">
        <f>IF(BV417="","",IF(COUNTIF($BV$6:BV417,BV417)=1,MAX($BS$5:BS416)+1,INDEX($BS$5:BS416,MATCH(BV417,$BV$5:BV416,0))))</f>
        <v/>
      </c>
      <c r="BT417" s="49">
        <f>IF(NOT(AND($A417&lt;&gt;"",$C417&lt;&gt;"DOOR ONLY")),"",MAX($BT$5:BT416)+1)</f>
        <v/>
      </c>
      <c r="BU417" s="49">
        <f>IF(NOT(AND($A417&lt;&gt;"",N($BC417)&gt;0)),"",MAX($BU$5:BU416)+1)</f>
        <v/>
      </c>
      <c r="BV417" s="49">
        <f>IF(OR($A417="",$BA417="",$BB417=""),"",$AZ417&amp;"|"&amp;$O417&amp;"|"&amp;$AL417&amp;"|"&amp;$S417&amp;"|"&amp;$P417&amp;"|"&amp;$Q417&amp;$R417&amp;"|"&amp;$C417&amp;"|"&amp;$AB417)</f>
        <v/>
      </c>
      <c r="BW417" s="49">
        <f>IF($A417="","",IF($B417="","qty, ","")&amp;IF($C417="","scope, ","")&amp;IF(OR($K417="",$M417=""),"size, ","")&amp;IF(AND($A417&lt;&gt;"",$C417&lt;&gt;"DOOR ONLY"),IF($U417="","jamb depth, ","")&amp;IF($X417="","construction, ","")&amp;IF($Y417="","anchor, ","")&amp;IF($S417="","frame type, ",""),"")&amp;IF(AND(N($BC417)&gt;0,$Z417=""),"hand, ","")&amp;IF(N($BC417)&gt;0,IF($AH417="","door material, ","")&amp;IF($AL417="","face type, ","")&amp;IF($AQ417="","lock prep, ","")&amp;IF(AND($AP417="",$AC417=""),"hinge prep, ",""),"")&amp;IF(AND($BO417&gt;0,$AH417="FRP"),"FRP cannot carry a label, ","")&amp;IF(AND($O417="Y",OR($Z417="L",$Z417="R",$Z417="LR",$Z417="RR")),"pair marked but hand is single, ","")&amp;IF(AND($O417&lt;&gt;"Y",OR($Z417="PR",AND(LEN($Z417)&gt;1,ISNUMBER(SEARCH("-",$Z417))))),"pair hand on a single door, ","")&amp;IF(AND(ISNUMBER($BP417),$BO417&lt;N($BP417)),"wall needs a "&amp;$BP417&amp;" min door, ","")&amp;IF(AND($BO417&gt;=180,AND(OR($BL417="FG",$BL417="HG",$BL417="FNV",$BL417="FV"),N($BM417)*N($BN417)&gt;100)),"180 min lite over 100 sq in, ","")&amp;IF(N($BD417)&gt;48,"leaf wider than 4'-0"&amp;CHAR(34)&amp;", ",""))</f>
        <v/>
      </c>
      <c r="BX417" s="49">
        <f>IF($A417="","",IF(AND($BO417&gt;0,AND($A417&lt;&gt;"",$C417&lt;&gt;"DOOR ONLY"),$X417="KD",$E417="EXTERIOR"),"KD label on an exterior opening, ","")&amp;IF(AND($E417="EXTERIOR",OR(AND(AND($A417&lt;&gt;"",$C417&lt;&gt;"DOOR ONLY"),$W417="CR"),AND(N($BC417)&gt;0,$AH417="CR"))),"exterior in CR steel (G9?), ","")&amp;IF(AND(ISNUMBER($BJ417),N($BJ417)&lt;32),"clear width ~"&amp;TEXT($BJ417,"0.0")&amp;CHAR(34)&amp;" under 32"&amp;CHAR(34)&amp;" (ADA), ","")&amp;IF(AND($BO417=90,AND(OR($BL417="FG",$BL417="HG",$BL417="FNV",$BL417="FV"),N($BM417)*N($BN417)&gt;100)),"90 min lite over 100 sq in (stair/exit), ","")&amp;IF(AND($BO417&gt;0,AND($A417&lt;&gt;"",$C417&lt;&gt;"DOOR ONLY"),OR($AF417="",$AF417="-")),"rated: closer reinf.?, ","")&amp;IF(OR($I417="CORRIDOR",$I417="SMOKE BARRIER"),"S label + smoke gasketing, ","")&amp;IF($BP417="?","wall type/hr not in IBC table, ","")&amp;IF(AND(N($BC417)&gt;0,$AU417=""),"no hardware set, ","")&amp;IF(AND($AU417&lt;&gt;"",ISNA(MATCH($AU417,HWSets,0))),"set "&amp;$AU417&amp;" not on Hardware sheet, ","")&amp;IF(N($BE417)&gt;96,"leaf over 8'-0"&amp;CHAR(34)&amp;" - check listing, ",""))</f>
        <v/>
      </c>
    </row>
    <row r="418" ht="15" customHeight="1">
      <c r="A418" s="44" t="n"/>
      <c r="B418" s="45" t="n"/>
      <c r="C418" s="45" t="n"/>
      <c r="D418" s="45" t="n"/>
      <c r="E418" s="45" t="n"/>
      <c r="F418" s="45" t="n"/>
      <c r="G418" s="45" t="n"/>
      <c r="H418" s="45" t="n"/>
      <c r="I418" s="45" t="n"/>
      <c r="J418" s="45" t="n"/>
      <c r="K418" s="45" t="n"/>
      <c r="L418" s="45" t="n"/>
      <c r="M418" s="45" t="n"/>
      <c r="N418" s="45" t="n"/>
      <c r="O418" s="45" t="n"/>
      <c r="P418" s="45" t="n"/>
      <c r="Q418" s="45" t="n"/>
      <c r="R418" s="45" t="n"/>
      <c r="S418" s="46" t="n"/>
      <c r="T418" s="46" t="n"/>
      <c r="U418" s="46" t="n"/>
      <c r="V418" s="46" t="n"/>
      <c r="W418" s="46" t="n"/>
      <c r="X418" s="46" t="n"/>
      <c r="Y418" s="46" t="n"/>
      <c r="Z418" s="46" t="n"/>
      <c r="AA418" s="46" t="n"/>
      <c r="AB418" s="46" t="n"/>
      <c r="AC418" s="46" t="n"/>
      <c r="AD418" s="46" t="n"/>
      <c r="AE418" s="46" t="n"/>
      <c r="AF418" s="46" t="n"/>
      <c r="AG418" s="46" t="n"/>
      <c r="AH418" s="47" t="n"/>
      <c r="AI418" s="47" t="n"/>
      <c r="AJ418" s="47" t="n"/>
      <c r="AK418" s="47" t="n"/>
      <c r="AL418" s="47" t="n"/>
      <c r="AM418" s="47" t="n"/>
      <c r="AN418" s="47" t="n"/>
      <c r="AO418" s="47" t="n"/>
      <c r="AP418" s="47" t="n"/>
      <c r="AQ418" s="47" t="n"/>
      <c r="AR418" s="47" t="n"/>
      <c r="AS418" s="47" t="n"/>
      <c r="AT418" s="47" t="n"/>
      <c r="AU418" s="48" t="n"/>
      <c r="AV418" s="48" t="n"/>
      <c r="AW418" s="49">
        <f>IF($A418="","",IF($BW418&lt;&gt;"","FIX",IF($BX418&lt;&gt;"","CHECK","OK")))</f>
        <v/>
      </c>
      <c r="AX418" s="50">
        <f>IF($A418="","",IF($BW418&lt;&gt;"","FIX: "&amp;LEFT($BW418,LEN($BW418)-2)&amp;IF($BX418&lt;&gt;"","  ·  ",""),"")&amp;IF($BX418&lt;&gt;"","CHECK: "&amp;LEFT($BX418,LEN($BX418)-2),""))</f>
        <v/>
      </c>
      <c r="AY418" s="49">
        <f>IF(OR($A418="",$K418=""),"",$K418&amp;"'-"&amp;N($L418)&amp;CHAR(34)&amp;" x "&amp;$M418&amp;"'-"&amp;N($N418)&amp;CHAR(34))</f>
        <v/>
      </c>
      <c r="AZ418" s="49">
        <f>IF(OR($A418="",$K418=""),"",$K418&amp;N($L418)&amp;$M418&amp;N($N418))</f>
        <v/>
      </c>
      <c r="BA418" s="49">
        <f>IF(OR($A418="",$K418=""),"",$K418*12+N($L418))</f>
        <v/>
      </c>
      <c r="BB418" s="49">
        <f>IF(OR($A418="",$M418=""),"",$M418*12+N($N418))</f>
        <v/>
      </c>
      <c r="BC418" s="49">
        <f>IF($A418="","",IF(OR($C418="FRAME ONLY",$S418="BL"),0,IF($O418="Y",2,1)))</f>
        <v/>
      </c>
      <c r="BD418" s="51">
        <f>IF(OR(N($BC418)=0,$BA418=""),"",($BA418-2*EdgeClr-IF($BC418=2,MeetClr,0))/$BC418)</f>
        <v/>
      </c>
      <c r="BE418" s="51">
        <f>IF(OR(N($BC418)=0,$BB418=""),"",$BB418-HeadClr-Undercut)</f>
        <v/>
      </c>
      <c r="BF418" s="51">
        <f>IF($BA418="","",$BA418+2*FaceW+IF(N($Q418)&gt;0,($Q418+FaceW)*IF($R418="LR",2,1),0))</f>
        <v/>
      </c>
      <c r="BG418" s="51">
        <f>IF($BB418="","",$BB418+IF($AB418="Y",4,FaceW)+IF(N($P418)&gt;0,$P418+FaceW,0)+IF(OR($S418="4F",$S418="BL"),FaceW,0))</f>
        <v/>
      </c>
      <c r="BH418" s="51">
        <f>IF($BF418="","",$BF418+2*ROSide)</f>
        <v/>
      </c>
      <c r="BI418" s="51">
        <f>IF($BG418="","",$BG418+ROTop)</f>
        <v/>
      </c>
      <c r="BJ418" s="52">
        <f>IF(OR(N($BC418)=0,$BA418=""),"",$BA418/$BC418-ClearDeduct)</f>
        <v/>
      </c>
      <c r="BK418" s="49">
        <f>IF(OR(N($BC418)=0,$BE418=""),"",IF(OR($AC418="HGC",$AP418="HGC"),"CONT",IF($BE418&lt;=60,2,IF($BE418&lt;=90,3,IF($BE418&lt;=120,4,5)))))</f>
        <v/>
      </c>
      <c r="BL418" s="49">
        <f>IF(N($BC418)=0,"",IF(OR($AL418="",$AL418="FLUSH"),"FLUSH",IFERROR(LEFT($AL418,FIND("-",$AL418)-1),LEFT($AL418,2))))</f>
        <v/>
      </c>
      <c r="BM418" s="49">
        <f>IF($BL418="","",IFERROR(VALUE(MID($AL418,FIND("-",$AL418)+1,FIND(CHAR(34)&amp;"x",$AL418)-FIND("-",$AL418)-1)),0))</f>
        <v/>
      </c>
      <c r="BN418" s="49">
        <f>IF($BL418="","",IFERROR(VALUE(MID($AL418,FIND(CHAR(34)&amp;"x",$AL418)+2,FIND(CHAR(34),$AL418,FIND(CHAR(34)&amp;"x",$AL418)+2)-FIND(CHAR(34)&amp;"x",$AL418)-2)),0))</f>
        <v/>
      </c>
      <c r="BO418" s="53">
        <f>IF(OR($A418="",$H418="",$H418="NO LAB"),0,IFERROR(VALUE(LEFT($H418,FIND(" ",$H418)-1)),0))</f>
        <v/>
      </c>
      <c r="BP418" s="54">
        <f>IF(OR($A418="",$I418="",$I418="NON-RATED",N($J418)=0),"",IFERROR(VLOOKUP($I418&amp;"|"&amp;$J418,IBC,2,FALSE),"?"))</f>
        <v/>
      </c>
      <c r="BQ418" s="50">
        <f>IF(NOT(AND($A418&lt;&gt;"",$C418&lt;&gt;"DOOR ONLY")),"",TRIM(IFERROR(VLOOKUP($U418,CODES,2,FALSE),"")&amp;" "&amp;$AZ418&amp;" "&amp;IFERROR(VLOOKUP($Z418,CODES,2,FALSE),"")&amp;" "&amp;IFERROR(VLOOKUP($X418,CODES,2,FALSE),"")&amp;" "&amp;IFERROR(VLOOKUP($S418,CODES,2,FALSE),"")&amp;IF(N($P418)&gt;0," w/TRANSOM "&amp;$P418&amp;CHAR(34),"")&amp;IF(N($Q418)&gt;0," w/SIDELITE "&amp;$Q418&amp;CHAR(34)&amp;" "&amp;IF($R418="","R",$R418),"")&amp;IF($Y418="","  |  "," | "&amp;IFERROR(VLOOKUP($Y418,CODES,2,FALSE),"")&amp;" | ")&amp;IFERROR(VLOOKUP($AC418,CODES,2,FALSE),"")&amp;" "&amp;IFERROR(VLOOKUP($AD418,CODES,2,FALSE),"")&amp;IF(OR($AE418="",$AE418="-"),""," "&amp;$AE418)&amp;IF(OR($AF418="",$AF418="-"),""," "&amp;$AF418)&amp;IF($AB418="Y"," 4"&amp;CHAR(34)&amp;" HEAD","")&amp;" "&amp;IFERROR(VLOOKUP($H418,CODES,2,FALSE),"")))</f>
        <v/>
      </c>
      <c r="BR418" s="50">
        <f>IF(NOT(AND($A418&lt;&gt;"",N($BC418)&gt;0)),"",TRIM(IFERROR(VLOOKUP($AH418,CODES,2,FALSE),"")&amp;IF($AI418=""," "," "&amp;$AI418&amp;"GA ")&amp;$AZ418&amp;" "&amp;IF($AN418="",IFERROR(VLOOKUP($Z418,CODES,2,FALSE),""),IFERROR(VLOOKUP($AN418,CODES,2,FALSE),""))&amp;IF($BC418=2," PAIR","")&amp;" DOOR | "&amp;IF($AL418="","?",$AL418)&amp;" | "&amp;IF($AP418="",IFERROR(VLOOKUP($AC418,CODES,2,FALSE),""),IFERROR(VLOOKUP($AP418,CODES,2,FALSE),""))&amp;" "&amp;IFERROR(VLOOKUP($AQ418,CODES,2,FALSE),"")&amp;IF(OR($AR418="",$AR418="-"),""," SEAM "&amp;$AR418)&amp;IF($AS418="Y"," ASTRAGAL","")&amp;IF($AJ418=""," "," "&amp;$AJ418)&amp;IF($AK418=""," "," "&amp;$AK418)&amp;IF($AO418="",""," "&amp;$AO418)&amp;IF($AM418=""," "," SERIES "&amp;$AM418)&amp;" "&amp;IFERROR(VLOOKUP($H418,CODES,2,FALSE),"")))</f>
        <v/>
      </c>
      <c r="BS418" s="49">
        <f>IF(BV418="","",IF(COUNTIF($BV$6:BV418,BV418)=1,MAX($BS$5:BS417)+1,INDEX($BS$5:BS417,MATCH(BV418,$BV$5:BV417,0))))</f>
        <v/>
      </c>
      <c r="BT418" s="49">
        <f>IF(NOT(AND($A418&lt;&gt;"",$C418&lt;&gt;"DOOR ONLY")),"",MAX($BT$5:BT417)+1)</f>
        <v/>
      </c>
      <c r="BU418" s="49">
        <f>IF(NOT(AND($A418&lt;&gt;"",N($BC418)&gt;0)),"",MAX($BU$5:BU417)+1)</f>
        <v/>
      </c>
      <c r="BV418" s="49">
        <f>IF(OR($A418="",$BA418="",$BB418=""),"",$AZ418&amp;"|"&amp;$O418&amp;"|"&amp;$AL418&amp;"|"&amp;$S418&amp;"|"&amp;$P418&amp;"|"&amp;$Q418&amp;$R418&amp;"|"&amp;$C418&amp;"|"&amp;$AB418)</f>
        <v/>
      </c>
      <c r="BW418" s="49">
        <f>IF($A418="","",IF($B418="","qty, ","")&amp;IF($C418="","scope, ","")&amp;IF(OR($K418="",$M418=""),"size, ","")&amp;IF(AND($A418&lt;&gt;"",$C418&lt;&gt;"DOOR ONLY"),IF($U418="","jamb depth, ","")&amp;IF($X418="","construction, ","")&amp;IF($Y418="","anchor, ","")&amp;IF($S418="","frame type, ",""),"")&amp;IF(AND(N($BC418)&gt;0,$Z418=""),"hand, ","")&amp;IF(N($BC418)&gt;0,IF($AH418="","door material, ","")&amp;IF($AL418="","face type, ","")&amp;IF($AQ418="","lock prep, ","")&amp;IF(AND($AP418="",$AC418=""),"hinge prep, ",""),"")&amp;IF(AND($BO418&gt;0,$AH418="FRP"),"FRP cannot carry a label, ","")&amp;IF(AND($O418="Y",OR($Z418="L",$Z418="R",$Z418="LR",$Z418="RR")),"pair marked but hand is single, ","")&amp;IF(AND($O418&lt;&gt;"Y",OR($Z418="PR",AND(LEN($Z418)&gt;1,ISNUMBER(SEARCH("-",$Z418))))),"pair hand on a single door, ","")&amp;IF(AND(ISNUMBER($BP418),$BO418&lt;N($BP418)),"wall needs a "&amp;$BP418&amp;" min door, ","")&amp;IF(AND($BO418&gt;=180,AND(OR($BL418="FG",$BL418="HG",$BL418="FNV",$BL418="FV"),N($BM418)*N($BN418)&gt;100)),"180 min lite over 100 sq in, ","")&amp;IF(N($BD418)&gt;48,"leaf wider than 4'-0"&amp;CHAR(34)&amp;", ",""))</f>
        <v/>
      </c>
      <c r="BX418" s="49">
        <f>IF($A418="","",IF(AND($BO418&gt;0,AND($A418&lt;&gt;"",$C418&lt;&gt;"DOOR ONLY"),$X418="KD",$E418="EXTERIOR"),"KD label on an exterior opening, ","")&amp;IF(AND($E418="EXTERIOR",OR(AND(AND($A418&lt;&gt;"",$C418&lt;&gt;"DOOR ONLY"),$W418="CR"),AND(N($BC418)&gt;0,$AH418="CR"))),"exterior in CR steel (G9?), ","")&amp;IF(AND(ISNUMBER($BJ418),N($BJ418)&lt;32),"clear width ~"&amp;TEXT($BJ418,"0.0")&amp;CHAR(34)&amp;" under 32"&amp;CHAR(34)&amp;" (ADA), ","")&amp;IF(AND($BO418=90,AND(OR($BL418="FG",$BL418="HG",$BL418="FNV",$BL418="FV"),N($BM418)*N($BN418)&gt;100)),"90 min lite over 100 sq in (stair/exit), ","")&amp;IF(AND($BO418&gt;0,AND($A418&lt;&gt;"",$C418&lt;&gt;"DOOR ONLY"),OR($AF418="",$AF418="-")),"rated: closer reinf.?, ","")&amp;IF(OR($I418="CORRIDOR",$I418="SMOKE BARRIER"),"S label + smoke gasketing, ","")&amp;IF($BP418="?","wall type/hr not in IBC table, ","")&amp;IF(AND(N($BC418)&gt;0,$AU418=""),"no hardware set, ","")&amp;IF(AND($AU418&lt;&gt;"",ISNA(MATCH($AU418,HWSets,0))),"set "&amp;$AU418&amp;" not on Hardware sheet, ","")&amp;IF(N($BE418)&gt;96,"leaf over 8'-0"&amp;CHAR(34)&amp;" - check listing, ",""))</f>
        <v/>
      </c>
    </row>
    <row r="419" ht="15" customHeight="1">
      <c r="A419" s="44" t="n"/>
      <c r="B419" s="45" t="n"/>
      <c r="C419" s="45" t="n"/>
      <c r="D419" s="45" t="n"/>
      <c r="E419" s="45" t="n"/>
      <c r="F419" s="45" t="n"/>
      <c r="G419" s="45" t="n"/>
      <c r="H419" s="45" t="n"/>
      <c r="I419" s="45" t="n"/>
      <c r="J419" s="45" t="n"/>
      <c r="K419" s="45" t="n"/>
      <c r="L419" s="45" t="n"/>
      <c r="M419" s="45" t="n"/>
      <c r="N419" s="45" t="n"/>
      <c r="O419" s="45" t="n"/>
      <c r="P419" s="45" t="n"/>
      <c r="Q419" s="45" t="n"/>
      <c r="R419" s="45" t="n"/>
      <c r="S419" s="46" t="n"/>
      <c r="T419" s="46" t="n"/>
      <c r="U419" s="46" t="n"/>
      <c r="V419" s="46" t="n"/>
      <c r="W419" s="46" t="n"/>
      <c r="X419" s="46" t="n"/>
      <c r="Y419" s="46" t="n"/>
      <c r="Z419" s="46" t="n"/>
      <c r="AA419" s="46" t="n"/>
      <c r="AB419" s="46" t="n"/>
      <c r="AC419" s="46" t="n"/>
      <c r="AD419" s="46" t="n"/>
      <c r="AE419" s="46" t="n"/>
      <c r="AF419" s="46" t="n"/>
      <c r="AG419" s="46" t="n"/>
      <c r="AH419" s="47" t="n"/>
      <c r="AI419" s="47" t="n"/>
      <c r="AJ419" s="47" t="n"/>
      <c r="AK419" s="47" t="n"/>
      <c r="AL419" s="47" t="n"/>
      <c r="AM419" s="47" t="n"/>
      <c r="AN419" s="47" t="n"/>
      <c r="AO419" s="47" t="n"/>
      <c r="AP419" s="47" t="n"/>
      <c r="AQ419" s="47" t="n"/>
      <c r="AR419" s="47" t="n"/>
      <c r="AS419" s="47" t="n"/>
      <c r="AT419" s="47" t="n"/>
      <c r="AU419" s="48" t="n"/>
      <c r="AV419" s="48" t="n"/>
      <c r="AW419" s="49">
        <f>IF($A419="","",IF($BW419&lt;&gt;"","FIX",IF($BX419&lt;&gt;"","CHECK","OK")))</f>
        <v/>
      </c>
      <c r="AX419" s="50">
        <f>IF($A419="","",IF($BW419&lt;&gt;"","FIX: "&amp;LEFT($BW419,LEN($BW419)-2)&amp;IF($BX419&lt;&gt;"","  ·  ",""),"")&amp;IF($BX419&lt;&gt;"","CHECK: "&amp;LEFT($BX419,LEN($BX419)-2),""))</f>
        <v/>
      </c>
      <c r="AY419" s="49">
        <f>IF(OR($A419="",$K419=""),"",$K419&amp;"'-"&amp;N($L419)&amp;CHAR(34)&amp;" x "&amp;$M419&amp;"'-"&amp;N($N419)&amp;CHAR(34))</f>
        <v/>
      </c>
      <c r="AZ419" s="49">
        <f>IF(OR($A419="",$K419=""),"",$K419&amp;N($L419)&amp;$M419&amp;N($N419))</f>
        <v/>
      </c>
      <c r="BA419" s="49">
        <f>IF(OR($A419="",$K419=""),"",$K419*12+N($L419))</f>
        <v/>
      </c>
      <c r="BB419" s="49">
        <f>IF(OR($A419="",$M419=""),"",$M419*12+N($N419))</f>
        <v/>
      </c>
      <c r="BC419" s="49">
        <f>IF($A419="","",IF(OR($C419="FRAME ONLY",$S419="BL"),0,IF($O419="Y",2,1)))</f>
        <v/>
      </c>
      <c r="BD419" s="51">
        <f>IF(OR(N($BC419)=0,$BA419=""),"",($BA419-2*EdgeClr-IF($BC419=2,MeetClr,0))/$BC419)</f>
        <v/>
      </c>
      <c r="BE419" s="51">
        <f>IF(OR(N($BC419)=0,$BB419=""),"",$BB419-HeadClr-Undercut)</f>
        <v/>
      </c>
      <c r="BF419" s="51">
        <f>IF($BA419="","",$BA419+2*FaceW+IF(N($Q419)&gt;0,($Q419+FaceW)*IF($R419="LR",2,1),0))</f>
        <v/>
      </c>
      <c r="BG419" s="51">
        <f>IF($BB419="","",$BB419+IF($AB419="Y",4,FaceW)+IF(N($P419)&gt;0,$P419+FaceW,0)+IF(OR($S419="4F",$S419="BL"),FaceW,0))</f>
        <v/>
      </c>
      <c r="BH419" s="51">
        <f>IF($BF419="","",$BF419+2*ROSide)</f>
        <v/>
      </c>
      <c r="BI419" s="51">
        <f>IF($BG419="","",$BG419+ROTop)</f>
        <v/>
      </c>
      <c r="BJ419" s="52">
        <f>IF(OR(N($BC419)=0,$BA419=""),"",$BA419/$BC419-ClearDeduct)</f>
        <v/>
      </c>
      <c r="BK419" s="49">
        <f>IF(OR(N($BC419)=0,$BE419=""),"",IF(OR($AC419="HGC",$AP419="HGC"),"CONT",IF($BE419&lt;=60,2,IF($BE419&lt;=90,3,IF($BE419&lt;=120,4,5)))))</f>
        <v/>
      </c>
      <c r="BL419" s="49">
        <f>IF(N($BC419)=0,"",IF(OR($AL419="",$AL419="FLUSH"),"FLUSH",IFERROR(LEFT($AL419,FIND("-",$AL419)-1),LEFT($AL419,2))))</f>
        <v/>
      </c>
      <c r="BM419" s="49">
        <f>IF($BL419="","",IFERROR(VALUE(MID($AL419,FIND("-",$AL419)+1,FIND(CHAR(34)&amp;"x",$AL419)-FIND("-",$AL419)-1)),0))</f>
        <v/>
      </c>
      <c r="BN419" s="49">
        <f>IF($BL419="","",IFERROR(VALUE(MID($AL419,FIND(CHAR(34)&amp;"x",$AL419)+2,FIND(CHAR(34),$AL419,FIND(CHAR(34)&amp;"x",$AL419)+2)-FIND(CHAR(34)&amp;"x",$AL419)-2)),0))</f>
        <v/>
      </c>
      <c r="BO419" s="53">
        <f>IF(OR($A419="",$H419="",$H419="NO LAB"),0,IFERROR(VALUE(LEFT($H419,FIND(" ",$H419)-1)),0))</f>
        <v/>
      </c>
      <c r="BP419" s="54">
        <f>IF(OR($A419="",$I419="",$I419="NON-RATED",N($J419)=0),"",IFERROR(VLOOKUP($I419&amp;"|"&amp;$J419,IBC,2,FALSE),"?"))</f>
        <v/>
      </c>
      <c r="BQ419" s="50">
        <f>IF(NOT(AND($A419&lt;&gt;"",$C419&lt;&gt;"DOOR ONLY")),"",TRIM(IFERROR(VLOOKUP($U419,CODES,2,FALSE),"")&amp;" "&amp;$AZ419&amp;" "&amp;IFERROR(VLOOKUP($Z419,CODES,2,FALSE),"")&amp;" "&amp;IFERROR(VLOOKUP($X419,CODES,2,FALSE),"")&amp;" "&amp;IFERROR(VLOOKUP($S419,CODES,2,FALSE),"")&amp;IF(N($P419)&gt;0," w/TRANSOM "&amp;$P419&amp;CHAR(34),"")&amp;IF(N($Q419)&gt;0," w/SIDELITE "&amp;$Q419&amp;CHAR(34)&amp;" "&amp;IF($R419="","R",$R419),"")&amp;IF($Y419="","  |  "," | "&amp;IFERROR(VLOOKUP($Y419,CODES,2,FALSE),"")&amp;" | ")&amp;IFERROR(VLOOKUP($AC419,CODES,2,FALSE),"")&amp;" "&amp;IFERROR(VLOOKUP($AD419,CODES,2,FALSE),"")&amp;IF(OR($AE419="",$AE419="-"),""," "&amp;$AE419)&amp;IF(OR($AF419="",$AF419="-"),""," "&amp;$AF419)&amp;IF($AB419="Y"," 4"&amp;CHAR(34)&amp;" HEAD","")&amp;" "&amp;IFERROR(VLOOKUP($H419,CODES,2,FALSE),"")))</f>
        <v/>
      </c>
      <c r="BR419" s="50">
        <f>IF(NOT(AND($A419&lt;&gt;"",N($BC419)&gt;0)),"",TRIM(IFERROR(VLOOKUP($AH419,CODES,2,FALSE),"")&amp;IF($AI419=""," "," "&amp;$AI419&amp;"GA ")&amp;$AZ419&amp;" "&amp;IF($AN419="",IFERROR(VLOOKUP($Z419,CODES,2,FALSE),""),IFERROR(VLOOKUP($AN419,CODES,2,FALSE),""))&amp;IF($BC419=2," PAIR","")&amp;" DOOR | "&amp;IF($AL419="","?",$AL419)&amp;" | "&amp;IF($AP419="",IFERROR(VLOOKUP($AC419,CODES,2,FALSE),""),IFERROR(VLOOKUP($AP419,CODES,2,FALSE),""))&amp;" "&amp;IFERROR(VLOOKUP($AQ419,CODES,2,FALSE),"")&amp;IF(OR($AR419="",$AR419="-"),""," SEAM "&amp;$AR419)&amp;IF($AS419="Y"," ASTRAGAL","")&amp;IF($AJ419=""," "," "&amp;$AJ419)&amp;IF($AK419=""," "," "&amp;$AK419)&amp;IF($AO419="",""," "&amp;$AO419)&amp;IF($AM419=""," "," SERIES "&amp;$AM419)&amp;" "&amp;IFERROR(VLOOKUP($H419,CODES,2,FALSE),"")))</f>
        <v/>
      </c>
      <c r="BS419" s="49">
        <f>IF(BV419="","",IF(COUNTIF($BV$6:BV419,BV419)=1,MAX($BS$5:BS418)+1,INDEX($BS$5:BS418,MATCH(BV419,$BV$5:BV418,0))))</f>
        <v/>
      </c>
      <c r="BT419" s="49">
        <f>IF(NOT(AND($A419&lt;&gt;"",$C419&lt;&gt;"DOOR ONLY")),"",MAX($BT$5:BT418)+1)</f>
        <v/>
      </c>
      <c r="BU419" s="49">
        <f>IF(NOT(AND($A419&lt;&gt;"",N($BC419)&gt;0)),"",MAX($BU$5:BU418)+1)</f>
        <v/>
      </c>
      <c r="BV419" s="49">
        <f>IF(OR($A419="",$BA419="",$BB419=""),"",$AZ419&amp;"|"&amp;$O419&amp;"|"&amp;$AL419&amp;"|"&amp;$S419&amp;"|"&amp;$P419&amp;"|"&amp;$Q419&amp;$R419&amp;"|"&amp;$C419&amp;"|"&amp;$AB419)</f>
        <v/>
      </c>
      <c r="BW419" s="49">
        <f>IF($A419="","",IF($B419="","qty, ","")&amp;IF($C419="","scope, ","")&amp;IF(OR($K419="",$M419=""),"size, ","")&amp;IF(AND($A419&lt;&gt;"",$C419&lt;&gt;"DOOR ONLY"),IF($U419="","jamb depth, ","")&amp;IF($X419="","construction, ","")&amp;IF($Y419="","anchor, ","")&amp;IF($S419="","frame type, ",""),"")&amp;IF(AND(N($BC419)&gt;0,$Z419=""),"hand, ","")&amp;IF(N($BC419)&gt;0,IF($AH419="","door material, ","")&amp;IF($AL419="","face type, ","")&amp;IF($AQ419="","lock prep, ","")&amp;IF(AND($AP419="",$AC419=""),"hinge prep, ",""),"")&amp;IF(AND($BO419&gt;0,$AH419="FRP"),"FRP cannot carry a label, ","")&amp;IF(AND($O419="Y",OR($Z419="L",$Z419="R",$Z419="LR",$Z419="RR")),"pair marked but hand is single, ","")&amp;IF(AND($O419&lt;&gt;"Y",OR($Z419="PR",AND(LEN($Z419)&gt;1,ISNUMBER(SEARCH("-",$Z419))))),"pair hand on a single door, ","")&amp;IF(AND(ISNUMBER($BP419),$BO419&lt;N($BP419)),"wall needs a "&amp;$BP419&amp;" min door, ","")&amp;IF(AND($BO419&gt;=180,AND(OR($BL419="FG",$BL419="HG",$BL419="FNV",$BL419="FV"),N($BM419)*N($BN419)&gt;100)),"180 min lite over 100 sq in, ","")&amp;IF(N($BD419)&gt;48,"leaf wider than 4'-0"&amp;CHAR(34)&amp;", ",""))</f>
        <v/>
      </c>
      <c r="BX419" s="49">
        <f>IF($A419="","",IF(AND($BO419&gt;0,AND($A419&lt;&gt;"",$C419&lt;&gt;"DOOR ONLY"),$X419="KD",$E419="EXTERIOR"),"KD label on an exterior opening, ","")&amp;IF(AND($E419="EXTERIOR",OR(AND(AND($A419&lt;&gt;"",$C419&lt;&gt;"DOOR ONLY"),$W419="CR"),AND(N($BC419)&gt;0,$AH419="CR"))),"exterior in CR steel (G9?), ","")&amp;IF(AND(ISNUMBER($BJ419),N($BJ419)&lt;32),"clear width ~"&amp;TEXT($BJ419,"0.0")&amp;CHAR(34)&amp;" under 32"&amp;CHAR(34)&amp;" (ADA), ","")&amp;IF(AND($BO419=90,AND(OR($BL419="FG",$BL419="HG",$BL419="FNV",$BL419="FV"),N($BM419)*N($BN419)&gt;100)),"90 min lite over 100 sq in (stair/exit), ","")&amp;IF(AND($BO419&gt;0,AND($A419&lt;&gt;"",$C419&lt;&gt;"DOOR ONLY"),OR($AF419="",$AF419="-")),"rated: closer reinf.?, ","")&amp;IF(OR($I419="CORRIDOR",$I419="SMOKE BARRIER"),"S label + smoke gasketing, ","")&amp;IF($BP419="?","wall type/hr not in IBC table, ","")&amp;IF(AND(N($BC419)&gt;0,$AU419=""),"no hardware set, ","")&amp;IF(AND($AU419&lt;&gt;"",ISNA(MATCH($AU419,HWSets,0))),"set "&amp;$AU419&amp;" not on Hardware sheet, ","")&amp;IF(N($BE419)&gt;96,"leaf over 8'-0"&amp;CHAR(34)&amp;" - check listing, ",""))</f>
        <v/>
      </c>
    </row>
    <row r="420" ht="15" customHeight="1">
      <c r="A420" s="44" t="n"/>
      <c r="B420" s="45" t="n"/>
      <c r="C420" s="45" t="n"/>
      <c r="D420" s="45" t="n"/>
      <c r="E420" s="45" t="n"/>
      <c r="F420" s="45" t="n"/>
      <c r="G420" s="45" t="n"/>
      <c r="H420" s="45" t="n"/>
      <c r="I420" s="45" t="n"/>
      <c r="J420" s="45" t="n"/>
      <c r="K420" s="45" t="n"/>
      <c r="L420" s="45" t="n"/>
      <c r="M420" s="45" t="n"/>
      <c r="N420" s="45" t="n"/>
      <c r="O420" s="45" t="n"/>
      <c r="P420" s="45" t="n"/>
      <c r="Q420" s="45" t="n"/>
      <c r="R420" s="45" t="n"/>
      <c r="S420" s="46" t="n"/>
      <c r="T420" s="46" t="n"/>
      <c r="U420" s="46" t="n"/>
      <c r="V420" s="46" t="n"/>
      <c r="W420" s="46" t="n"/>
      <c r="X420" s="46" t="n"/>
      <c r="Y420" s="46" t="n"/>
      <c r="Z420" s="46" t="n"/>
      <c r="AA420" s="46" t="n"/>
      <c r="AB420" s="46" t="n"/>
      <c r="AC420" s="46" t="n"/>
      <c r="AD420" s="46" t="n"/>
      <c r="AE420" s="46" t="n"/>
      <c r="AF420" s="46" t="n"/>
      <c r="AG420" s="46" t="n"/>
      <c r="AH420" s="47" t="n"/>
      <c r="AI420" s="47" t="n"/>
      <c r="AJ420" s="47" t="n"/>
      <c r="AK420" s="47" t="n"/>
      <c r="AL420" s="47" t="n"/>
      <c r="AM420" s="47" t="n"/>
      <c r="AN420" s="47" t="n"/>
      <c r="AO420" s="47" t="n"/>
      <c r="AP420" s="47" t="n"/>
      <c r="AQ420" s="47" t="n"/>
      <c r="AR420" s="47" t="n"/>
      <c r="AS420" s="47" t="n"/>
      <c r="AT420" s="47" t="n"/>
      <c r="AU420" s="48" t="n"/>
      <c r="AV420" s="48" t="n"/>
      <c r="AW420" s="49">
        <f>IF($A420="","",IF($BW420&lt;&gt;"","FIX",IF($BX420&lt;&gt;"","CHECK","OK")))</f>
        <v/>
      </c>
      <c r="AX420" s="50">
        <f>IF($A420="","",IF($BW420&lt;&gt;"","FIX: "&amp;LEFT($BW420,LEN($BW420)-2)&amp;IF($BX420&lt;&gt;"","  ·  ",""),"")&amp;IF($BX420&lt;&gt;"","CHECK: "&amp;LEFT($BX420,LEN($BX420)-2),""))</f>
        <v/>
      </c>
      <c r="AY420" s="49">
        <f>IF(OR($A420="",$K420=""),"",$K420&amp;"'-"&amp;N($L420)&amp;CHAR(34)&amp;" x "&amp;$M420&amp;"'-"&amp;N($N420)&amp;CHAR(34))</f>
        <v/>
      </c>
      <c r="AZ420" s="49">
        <f>IF(OR($A420="",$K420=""),"",$K420&amp;N($L420)&amp;$M420&amp;N($N420))</f>
        <v/>
      </c>
      <c r="BA420" s="49">
        <f>IF(OR($A420="",$K420=""),"",$K420*12+N($L420))</f>
        <v/>
      </c>
      <c r="BB420" s="49">
        <f>IF(OR($A420="",$M420=""),"",$M420*12+N($N420))</f>
        <v/>
      </c>
      <c r="BC420" s="49">
        <f>IF($A420="","",IF(OR($C420="FRAME ONLY",$S420="BL"),0,IF($O420="Y",2,1)))</f>
        <v/>
      </c>
      <c r="BD420" s="51">
        <f>IF(OR(N($BC420)=0,$BA420=""),"",($BA420-2*EdgeClr-IF($BC420=2,MeetClr,0))/$BC420)</f>
        <v/>
      </c>
      <c r="BE420" s="51">
        <f>IF(OR(N($BC420)=0,$BB420=""),"",$BB420-HeadClr-Undercut)</f>
        <v/>
      </c>
      <c r="BF420" s="51">
        <f>IF($BA420="","",$BA420+2*FaceW+IF(N($Q420)&gt;0,($Q420+FaceW)*IF($R420="LR",2,1),0))</f>
        <v/>
      </c>
      <c r="BG420" s="51">
        <f>IF($BB420="","",$BB420+IF($AB420="Y",4,FaceW)+IF(N($P420)&gt;0,$P420+FaceW,0)+IF(OR($S420="4F",$S420="BL"),FaceW,0))</f>
        <v/>
      </c>
      <c r="BH420" s="51">
        <f>IF($BF420="","",$BF420+2*ROSide)</f>
        <v/>
      </c>
      <c r="BI420" s="51">
        <f>IF($BG420="","",$BG420+ROTop)</f>
        <v/>
      </c>
      <c r="BJ420" s="52">
        <f>IF(OR(N($BC420)=0,$BA420=""),"",$BA420/$BC420-ClearDeduct)</f>
        <v/>
      </c>
      <c r="BK420" s="49">
        <f>IF(OR(N($BC420)=0,$BE420=""),"",IF(OR($AC420="HGC",$AP420="HGC"),"CONT",IF($BE420&lt;=60,2,IF($BE420&lt;=90,3,IF($BE420&lt;=120,4,5)))))</f>
        <v/>
      </c>
      <c r="BL420" s="49">
        <f>IF(N($BC420)=0,"",IF(OR($AL420="",$AL420="FLUSH"),"FLUSH",IFERROR(LEFT($AL420,FIND("-",$AL420)-1),LEFT($AL420,2))))</f>
        <v/>
      </c>
      <c r="BM420" s="49">
        <f>IF($BL420="","",IFERROR(VALUE(MID($AL420,FIND("-",$AL420)+1,FIND(CHAR(34)&amp;"x",$AL420)-FIND("-",$AL420)-1)),0))</f>
        <v/>
      </c>
      <c r="BN420" s="49">
        <f>IF($BL420="","",IFERROR(VALUE(MID($AL420,FIND(CHAR(34)&amp;"x",$AL420)+2,FIND(CHAR(34),$AL420,FIND(CHAR(34)&amp;"x",$AL420)+2)-FIND(CHAR(34)&amp;"x",$AL420)-2)),0))</f>
        <v/>
      </c>
      <c r="BO420" s="53">
        <f>IF(OR($A420="",$H420="",$H420="NO LAB"),0,IFERROR(VALUE(LEFT($H420,FIND(" ",$H420)-1)),0))</f>
        <v/>
      </c>
      <c r="BP420" s="54">
        <f>IF(OR($A420="",$I420="",$I420="NON-RATED",N($J420)=0),"",IFERROR(VLOOKUP($I420&amp;"|"&amp;$J420,IBC,2,FALSE),"?"))</f>
        <v/>
      </c>
      <c r="BQ420" s="50">
        <f>IF(NOT(AND($A420&lt;&gt;"",$C420&lt;&gt;"DOOR ONLY")),"",TRIM(IFERROR(VLOOKUP($U420,CODES,2,FALSE),"")&amp;" "&amp;$AZ420&amp;" "&amp;IFERROR(VLOOKUP($Z420,CODES,2,FALSE),"")&amp;" "&amp;IFERROR(VLOOKUP($X420,CODES,2,FALSE),"")&amp;" "&amp;IFERROR(VLOOKUP($S420,CODES,2,FALSE),"")&amp;IF(N($P420)&gt;0," w/TRANSOM "&amp;$P420&amp;CHAR(34),"")&amp;IF(N($Q420)&gt;0," w/SIDELITE "&amp;$Q420&amp;CHAR(34)&amp;" "&amp;IF($R420="","R",$R420),"")&amp;IF($Y420="","  |  "," | "&amp;IFERROR(VLOOKUP($Y420,CODES,2,FALSE),"")&amp;" | ")&amp;IFERROR(VLOOKUP($AC420,CODES,2,FALSE),"")&amp;" "&amp;IFERROR(VLOOKUP($AD420,CODES,2,FALSE),"")&amp;IF(OR($AE420="",$AE420="-"),""," "&amp;$AE420)&amp;IF(OR($AF420="",$AF420="-"),""," "&amp;$AF420)&amp;IF($AB420="Y"," 4"&amp;CHAR(34)&amp;" HEAD","")&amp;" "&amp;IFERROR(VLOOKUP($H420,CODES,2,FALSE),"")))</f>
        <v/>
      </c>
      <c r="BR420" s="50">
        <f>IF(NOT(AND($A420&lt;&gt;"",N($BC420)&gt;0)),"",TRIM(IFERROR(VLOOKUP($AH420,CODES,2,FALSE),"")&amp;IF($AI420=""," "," "&amp;$AI420&amp;"GA ")&amp;$AZ420&amp;" "&amp;IF($AN420="",IFERROR(VLOOKUP($Z420,CODES,2,FALSE),""),IFERROR(VLOOKUP($AN420,CODES,2,FALSE),""))&amp;IF($BC420=2," PAIR","")&amp;" DOOR | "&amp;IF($AL420="","?",$AL420)&amp;" | "&amp;IF($AP420="",IFERROR(VLOOKUP($AC420,CODES,2,FALSE),""),IFERROR(VLOOKUP($AP420,CODES,2,FALSE),""))&amp;" "&amp;IFERROR(VLOOKUP($AQ420,CODES,2,FALSE),"")&amp;IF(OR($AR420="",$AR420="-"),""," SEAM "&amp;$AR420)&amp;IF($AS420="Y"," ASTRAGAL","")&amp;IF($AJ420=""," "," "&amp;$AJ420)&amp;IF($AK420=""," "," "&amp;$AK420)&amp;IF($AO420="",""," "&amp;$AO420)&amp;IF($AM420=""," "," SERIES "&amp;$AM420)&amp;" "&amp;IFERROR(VLOOKUP($H420,CODES,2,FALSE),"")))</f>
        <v/>
      </c>
      <c r="BS420" s="49">
        <f>IF(BV420="","",IF(COUNTIF($BV$6:BV420,BV420)=1,MAX($BS$5:BS419)+1,INDEX($BS$5:BS419,MATCH(BV420,$BV$5:BV419,0))))</f>
        <v/>
      </c>
      <c r="BT420" s="49">
        <f>IF(NOT(AND($A420&lt;&gt;"",$C420&lt;&gt;"DOOR ONLY")),"",MAX($BT$5:BT419)+1)</f>
        <v/>
      </c>
      <c r="BU420" s="49">
        <f>IF(NOT(AND($A420&lt;&gt;"",N($BC420)&gt;0)),"",MAX($BU$5:BU419)+1)</f>
        <v/>
      </c>
      <c r="BV420" s="49">
        <f>IF(OR($A420="",$BA420="",$BB420=""),"",$AZ420&amp;"|"&amp;$O420&amp;"|"&amp;$AL420&amp;"|"&amp;$S420&amp;"|"&amp;$P420&amp;"|"&amp;$Q420&amp;$R420&amp;"|"&amp;$C420&amp;"|"&amp;$AB420)</f>
        <v/>
      </c>
      <c r="BW420" s="49">
        <f>IF($A420="","",IF($B420="","qty, ","")&amp;IF($C420="","scope, ","")&amp;IF(OR($K420="",$M420=""),"size, ","")&amp;IF(AND($A420&lt;&gt;"",$C420&lt;&gt;"DOOR ONLY"),IF($U420="","jamb depth, ","")&amp;IF($X420="","construction, ","")&amp;IF($Y420="","anchor, ","")&amp;IF($S420="","frame type, ",""),"")&amp;IF(AND(N($BC420)&gt;0,$Z420=""),"hand, ","")&amp;IF(N($BC420)&gt;0,IF($AH420="","door material, ","")&amp;IF($AL420="","face type, ","")&amp;IF($AQ420="","lock prep, ","")&amp;IF(AND($AP420="",$AC420=""),"hinge prep, ",""),"")&amp;IF(AND($BO420&gt;0,$AH420="FRP"),"FRP cannot carry a label, ","")&amp;IF(AND($O420="Y",OR($Z420="L",$Z420="R",$Z420="LR",$Z420="RR")),"pair marked but hand is single, ","")&amp;IF(AND($O420&lt;&gt;"Y",OR($Z420="PR",AND(LEN($Z420)&gt;1,ISNUMBER(SEARCH("-",$Z420))))),"pair hand on a single door, ","")&amp;IF(AND(ISNUMBER($BP420),$BO420&lt;N($BP420)),"wall needs a "&amp;$BP420&amp;" min door, ","")&amp;IF(AND($BO420&gt;=180,AND(OR($BL420="FG",$BL420="HG",$BL420="FNV",$BL420="FV"),N($BM420)*N($BN420)&gt;100)),"180 min lite over 100 sq in, ","")&amp;IF(N($BD420)&gt;48,"leaf wider than 4'-0"&amp;CHAR(34)&amp;", ",""))</f>
        <v/>
      </c>
      <c r="BX420" s="49">
        <f>IF($A420="","",IF(AND($BO420&gt;0,AND($A420&lt;&gt;"",$C420&lt;&gt;"DOOR ONLY"),$X420="KD",$E420="EXTERIOR"),"KD label on an exterior opening, ","")&amp;IF(AND($E420="EXTERIOR",OR(AND(AND($A420&lt;&gt;"",$C420&lt;&gt;"DOOR ONLY"),$W420="CR"),AND(N($BC420)&gt;0,$AH420="CR"))),"exterior in CR steel (G9?), ","")&amp;IF(AND(ISNUMBER($BJ420),N($BJ420)&lt;32),"clear width ~"&amp;TEXT($BJ420,"0.0")&amp;CHAR(34)&amp;" under 32"&amp;CHAR(34)&amp;" (ADA), ","")&amp;IF(AND($BO420=90,AND(OR($BL420="FG",$BL420="HG",$BL420="FNV",$BL420="FV"),N($BM420)*N($BN420)&gt;100)),"90 min lite over 100 sq in (stair/exit), ","")&amp;IF(AND($BO420&gt;0,AND($A420&lt;&gt;"",$C420&lt;&gt;"DOOR ONLY"),OR($AF420="",$AF420="-")),"rated: closer reinf.?, ","")&amp;IF(OR($I420="CORRIDOR",$I420="SMOKE BARRIER"),"S label + smoke gasketing, ","")&amp;IF($BP420="?","wall type/hr not in IBC table, ","")&amp;IF(AND(N($BC420)&gt;0,$AU420=""),"no hardware set, ","")&amp;IF(AND($AU420&lt;&gt;"",ISNA(MATCH($AU420,HWSets,0))),"set "&amp;$AU420&amp;" not on Hardware sheet, ","")&amp;IF(N($BE420)&gt;96,"leaf over 8'-0"&amp;CHAR(34)&amp;" - check listing, ",""))</f>
        <v/>
      </c>
    </row>
    <row r="421" ht="15" customHeight="1">
      <c r="A421" s="44" t="n"/>
      <c r="B421" s="45" t="n"/>
      <c r="C421" s="45" t="n"/>
      <c r="D421" s="45" t="n"/>
      <c r="E421" s="45" t="n"/>
      <c r="F421" s="45" t="n"/>
      <c r="G421" s="45" t="n"/>
      <c r="H421" s="45" t="n"/>
      <c r="I421" s="45" t="n"/>
      <c r="J421" s="45" t="n"/>
      <c r="K421" s="45" t="n"/>
      <c r="L421" s="45" t="n"/>
      <c r="M421" s="45" t="n"/>
      <c r="N421" s="45" t="n"/>
      <c r="O421" s="45" t="n"/>
      <c r="P421" s="45" t="n"/>
      <c r="Q421" s="45" t="n"/>
      <c r="R421" s="45" t="n"/>
      <c r="S421" s="46" t="n"/>
      <c r="T421" s="46" t="n"/>
      <c r="U421" s="46" t="n"/>
      <c r="V421" s="46" t="n"/>
      <c r="W421" s="46" t="n"/>
      <c r="X421" s="46" t="n"/>
      <c r="Y421" s="46" t="n"/>
      <c r="Z421" s="46" t="n"/>
      <c r="AA421" s="46" t="n"/>
      <c r="AB421" s="46" t="n"/>
      <c r="AC421" s="46" t="n"/>
      <c r="AD421" s="46" t="n"/>
      <c r="AE421" s="46" t="n"/>
      <c r="AF421" s="46" t="n"/>
      <c r="AG421" s="46" t="n"/>
      <c r="AH421" s="47" t="n"/>
      <c r="AI421" s="47" t="n"/>
      <c r="AJ421" s="47" t="n"/>
      <c r="AK421" s="47" t="n"/>
      <c r="AL421" s="47" t="n"/>
      <c r="AM421" s="47" t="n"/>
      <c r="AN421" s="47" t="n"/>
      <c r="AO421" s="47" t="n"/>
      <c r="AP421" s="47" t="n"/>
      <c r="AQ421" s="47" t="n"/>
      <c r="AR421" s="47" t="n"/>
      <c r="AS421" s="47" t="n"/>
      <c r="AT421" s="47" t="n"/>
      <c r="AU421" s="48" t="n"/>
      <c r="AV421" s="48" t="n"/>
      <c r="AW421" s="49">
        <f>IF($A421="","",IF($BW421&lt;&gt;"","FIX",IF($BX421&lt;&gt;"","CHECK","OK")))</f>
        <v/>
      </c>
      <c r="AX421" s="50">
        <f>IF($A421="","",IF($BW421&lt;&gt;"","FIX: "&amp;LEFT($BW421,LEN($BW421)-2)&amp;IF($BX421&lt;&gt;"","  ·  ",""),"")&amp;IF($BX421&lt;&gt;"","CHECK: "&amp;LEFT($BX421,LEN($BX421)-2),""))</f>
        <v/>
      </c>
      <c r="AY421" s="49">
        <f>IF(OR($A421="",$K421=""),"",$K421&amp;"'-"&amp;N($L421)&amp;CHAR(34)&amp;" x "&amp;$M421&amp;"'-"&amp;N($N421)&amp;CHAR(34))</f>
        <v/>
      </c>
      <c r="AZ421" s="49">
        <f>IF(OR($A421="",$K421=""),"",$K421&amp;N($L421)&amp;$M421&amp;N($N421))</f>
        <v/>
      </c>
      <c r="BA421" s="49">
        <f>IF(OR($A421="",$K421=""),"",$K421*12+N($L421))</f>
        <v/>
      </c>
      <c r="BB421" s="49">
        <f>IF(OR($A421="",$M421=""),"",$M421*12+N($N421))</f>
        <v/>
      </c>
      <c r="BC421" s="49">
        <f>IF($A421="","",IF(OR($C421="FRAME ONLY",$S421="BL"),0,IF($O421="Y",2,1)))</f>
        <v/>
      </c>
      <c r="BD421" s="51">
        <f>IF(OR(N($BC421)=0,$BA421=""),"",($BA421-2*EdgeClr-IF($BC421=2,MeetClr,0))/$BC421)</f>
        <v/>
      </c>
      <c r="BE421" s="51">
        <f>IF(OR(N($BC421)=0,$BB421=""),"",$BB421-HeadClr-Undercut)</f>
        <v/>
      </c>
      <c r="BF421" s="51">
        <f>IF($BA421="","",$BA421+2*FaceW+IF(N($Q421)&gt;0,($Q421+FaceW)*IF($R421="LR",2,1),0))</f>
        <v/>
      </c>
      <c r="BG421" s="51">
        <f>IF($BB421="","",$BB421+IF($AB421="Y",4,FaceW)+IF(N($P421)&gt;0,$P421+FaceW,0)+IF(OR($S421="4F",$S421="BL"),FaceW,0))</f>
        <v/>
      </c>
      <c r="BH421" s="51">
        <f>IF($BF421="","",$BF421+2*ROSide)</f>
        <v/>
      </c>
      <c r="BI421" s="51">
        <f>IF($BG421="","",$BG421+ROTop)</f>
        <v/>
      </c>
      <c r="BJ421" s="52">
        <f>IF(OR(N($BC421)=0,$BA421=""),"",$BA421/$BC421-ClearDeduct)</f>
        <v/>
      </c>
      <c r="BK421" s="49">
        <f>IF(OR(N($BC421)=0,$BE421=""),"",IF(OR($AC421="HGC",$AP421="HGC"),"CONT",IF($BE421&lt;=60,2,IF($BE421&lt;=90,3,IF($BE421&lt;=120,4,5)))))</f>
        <v/>
      </c>
      <c r="BL421" s="49">
        <f>IF(N($BC421)=0,"",IF(OR($AL421="",$AL421="FLUSH"),"FLUSH",IFERROR(LEFT($AL421,FIND("-",$AL421)-1),LEFT($AL421,2))))</f>
        <v/>
      </c>
      <c r="BM421" s="49">
        <f>IF($BL421="","",IFERROR(VALUE(MID($AL421,FIND("-",$AL421)+1,FIND(CHAR(34)&amp;"x",$AL421)-FIND("-",$AL421)-1)),0))</f>
        <v/>
      </c>
      <c r="BN421" s="49">
        <f>IF($BL421="","",IFERROR(VALUE(MID($AL421,FIND(CHAR(34)&amp;"x",$AL421)+2,FIND(CHAR(34),$AL421,FIND(CHAR(34)&amp;"x",$AL421)+2)-FIND(CHAR(34)&amp;"x",$AL421)-2)),0))</f>
        <v/>
      </c>
      <c r="BO421" s="53">
        <f>IF(OR($A421="",$H421="",$H421="NO LAB"),0,IFERROR(VALUE(LEFT($H421,FIND(" ",$H421)-1)),0))</f>
        <v/>
      </c>
      <c r="BP421" s="54">
        <f>IF(OR($A421="",$I421="",$I421="NON-RATED",N($J421)=0),"",IFERROR(VLOOKUP($I421&amp;"|"&amp;$J421,IBC,2,FALSE),"?"))</f>
        <v/>
      </c>
      <c r="BQ421" s="50">
        <f>IF(NOT(AND($A421&lt;&gt;"",$C421&lt;&gt;"DOOR ONLY")),"",TRIM(IFERROR(VLOOKUP($U421,CODES,2,FALSE),"")&amp;" "&amp;$AZ421&amp;" "&amp;IFERROR(VLOOKUP($Z421,CODES,2,FALSE),"")&amp;" "&amp;IFERROR(VLOOKUP($X421,CODES,2,FALSE),"")&amp;" "&amp;IFERROR(VLOOKUP($S421,CODES,2,FALSE),"")&amp;IF(N($P421)&gt;0," w/TRANSOM "&amp;$P421&amp;CHAR(34),"")&amp;IF(N($Q421)&gt;0," w/SIDELITE "&amp;$Q421&amp;CHAR(34)&amp;" "&amp;IF($R421="","R",$R421),"")&amp;IF($Y421="","  |  "," | "&amp;IFERROR(VLOOKUP($Y421,CODES,2,FALSE),"")&amp;" | ")&amp;IFERROR(VLOOKUP($AC421,CODES,2,FALSE),"")&amp;" "&amp;IFERROR(VLOOKUP($AD421,CODES,2,FALSE),"")&amp;IF(OR($AE421="",$AE421="-"),""," "&amp;$AE421)&amp;IF(OR($AF421="",$AF421="-"),""," "&amp;$AF421)&amp;IF($AB421="Y"," 4"&amp;CHAR(34)&amp;" HEAD","")&amp;" "&amp;IFERROR(VLOOKUP($H421,CODES,2,FALSE),"")))</f>
        <v/>
      </c>
      <c r="BR421" s="50">
        <f>IF(NOT(AND($A421&lt;&gt;"",N($BC421)&gt;0)),"",TRIM(IFERROR(VLOOKUP($AH421,CODES,2,FALSE),"")&amp;IF($AI421=""," "," "&amp;$AI421&amp;"GA ")&amp;$AZ421&amp;" "&amp;IF($AN421="",IFERROR(VLOOKUP($Z421,CODES,2,FALSE),""),IFERROR(VLOOKUP($AN421,CODES,2,FALSE),""))&amp;IF($BC421=2," PAIR","")&amp;" DOOR | "&amp;IF($AL421="","?",$AL421)&amp;" | "&amp;IF($AP421="",IFERROR(VLOOKUP($AC421,CODES,2,FALSE),""),IFERROR(VLOOKUP($AP421,CODES,2,FALSE),""))&amp;" "&amp;IFERROR(VLOOKUP($AQ421,CODES,2,FALSE),"")&amp;IF(OR($AR421="",$AR421="-"),""," SEAM "&amp;$AR421)&amp;IF($AS421="Y"," ASTRAGAL","")&amp;IF($AJ421=""," "," "&amp;$AJ421)&amp;IF($AK421=""," "," "&amp;$AK421)&amp;IF($AO421="",""," "&amp;$AO421)&amp;IF($AM421=""," "," SERIES "&amp;$AM421)&amp;" "&amp;IFERROR(VLOOKUP($H421,CODES,2,FALSE),"")))</f>
        <v/>
      </c>
      <c r="BS421" s="49">
        <f>IF(BV421="","",IF(COUNTIF($BV$6:BV421,BV421)=1,MAX($BS$5:BS420)+1,INDEX($BS$5:BS420,MATCH(BV421,$BV$5:BV420,0))))</f>
        <v/>
      </c>
      <c r="BT421" s="49">
        <f>IF(NOT(AND($A421&lt;&gt;"",$C421&lt;&gt;"DOOR ONLY")),"",MAX($BT$5:BT420)+1)</f>
        <v/>
      </c>
      <c r="BU421" s="49">
        <f>IF(NOT(AND($A421&lt;&gt;"",N($BC421)&gt;0)),"",MAX($BU$5:BU420)+1)</f>
        <v/>
      </c>
      <c r="BV421" s="49">
        <f>IF(OR($A421="",$BA421="",$BB421=""),"",$AZ421&amp;"|"&amp;$O421&amp;"|"&amp;$AL421&amp;"|"&amp;$S421&amp;"|"&amp;$P421&amp;"|"&amp;$Q421&amp;$R421&amp;"|"&amp;$C421&amp;"|"&amp;$AB421)</f>
        <v/>
      </c>
      <c r="BW421" s="49">
        <f>IF($A421="","",IF($B421="","qty, ","")&amp;IF($C421="","scope, ","")&amp;IF(OR($K421="",$M421=""),"size, ","")&amp;IF(AND($A421&lt;&gt;"",$C421&lt;&gt;"DOOR ONLY"),IF($U421="","jamb depth, ","")&amp;IF($X421="","construction, ","")&amp;IF($Y421="","anchor, ","")&amp;IF($S421="","frame type, ",""),"")&amp;IF(AND(N($BC421)&gt;0,$Z421=""),"hand, ","")&amp;IF(N($BC421)&gt;0,IF($AH421="","door material, ","")&amp;IF($AL421="","face type, ","")&amp;IF($AQ421="","lock prep, ","")&amp;IF(AND($AP421="",$AC421=""),"hinge prep, ",""),"")&amp;IF(AND($BO421&gt;0,$AH421="FRP"),"FRP cannot carry a label, ","")&amp;IF(AND($O421="Y",OR($Z421="L",$Z421="R",$Z421="LR",$Z421="RR")),"pair marked but hand is single, ","")&amp;IF(AND($O421&lt;&gt;"Y",OR($Z421="PR",AND(LEN($Z421)&gt;1,ISNUMBER(SEARCH("-",$Z421))))),"pair hand on a single door, ","")&amp;IF(AND(ISNUMBER($BP421),$BO421&lt;N($BP421)),"wall needs a "&amp;$BP421&amp;" min door, ","")&amp;IF(AND($BO421&gt;=180,AND(OR($BL421="FG",$BL421="HG",$BL421="FNV",$BL421="FV"),N($BM421)*N($BN421)&gt;100)),"180 min lite over 100 sq in, ","")&amp;IF(N($BD421)&gt;48,"leaf wider than 4'-0"&amp;CHAR(34)&amp;", ",""))</f>
        <v/>
      </c>
      <c r="BX421" s="49">
        <f>IF($A421="","",IF(AND($BO421&gt;0,AND($A421&lt;&gt;"",$C421&lt;&gt;"DOOR ONLY"),$X421="KD",$E421="EXTERIOR"),"KD label on an exterior opening, ","")&amp;IF(AND($E421="EXTERIOR",OR(AND(AND($A421&lt;&gt;"",$C421&lt;&gt;"DOOR ONLY"),$W421="CR"),AND(N($BC421)&gt;0,$AH421="CR"))),"exterior in CR steel (G9?), ","")&amp;IF(AND(ISNUMBER($BJ421),N($BJ421)&lt;32),"clear width ~"&amp;TEXT($BJ421,"0.0")&amp;CHAR(34)&amp;" under 32"&amp;CHAR(34)&amp;" (ADA), ","")&amp;IF(AND($BO421=90,AND(OR($BL421="FG",$BL421="HG",$BL421="FNV",$BL421="FV"),N($BM421)*N($BN421)&gt;100)),"90 min lite over 100 sq in (stair/exit), ","")&amp;IF(AND($BO421&gt;0,AND($A421&lt;&gt;"",$C421&lt;&gt;"DOOR ONLY"),OR($AF421="",$AF421="-")),"rated: closer reinf.?, ","")&amp;IF(OR($I421="CORRIDOR",$I421="SMOKE BARRIER"),"S label + smoke gasketing, ","")&amp;IF($BP421="?","wall type/hr not in IBC table, ","")&amp;IF(AND(N($BC421)&gt;0,$AU421=""),"no hardware set, ","")&amp;IF(AND($AU421&lt;&gt;"",ISNA(MATCH($AU421,HWSets,0))),"set "&amp;$AU421&amp;" not on Hardware sheet, ","")&amp;IF(N($BE421)&gt;96,"leaf over 8'-0"&amp;CHAR(34)&amp;" - check listing, ",""))</f>
        <v/>
      </c>
    </row>
    <row r="422" ht="15" customHeight="1">
      <c r="A422" s="44" t="n"/>
      <c r="B422" s="45" t="n"/>
      <c r="C422" s="45" t="n"/>
      <c r="D422" s="45" t="n"/>
      <c r="E422" s="45" t="n"/>
      <c r="F422" s="45" t="n"/>
      <c r="G422" s="45" t="n"/>
      <c r="H422" s="45" t="n"/>
      <c r="I422" s="45" t="n"/>
      <c r="J422" s="45" t="n"/>
      <c r="K422" s="45" t="n"/>
      <c r="L422" s="45" t="n"/>
      <c r="M422" s="45" t="n"/>
      <c r="N422" s="45" t="n"/>
      <c r="O422" s="45" t="n"/>
      <c r="P422" s="45" t="n"/>
      <c r="Q422" s="45" t="n"/>
      <c r="R422" s="45" t="n"/>
      <c r="S422" s="46" t="n"/>
      <c r="T422" s="46" t="n"/>
      <c r="U422" s="46" t="n"/>
      <c r="V422" s="46" t="n"/>
      <c r="W422" s="46" t="n"/>
      <c r="X422" s="46" t="n"/>
      <c r="Y422" s="46" t="n"/>
      <c r="Z422" s="46" t="n"/>
      <c r="AA422" s="46" t="n"/>
      <c r="AB422" s="46" t="n"/>
      <c r="AC422" s="46" t="n"/>
      <c r="AD422" s="46" t="n"/>
      <c r="AE422" s="46" t="n"/>
      <c r="AF422" s="46" t="n"/>
      <c r="AG422" s="46" t="n"/>
      <c r="AH422" s="47" t="n"/>
      <c r="AI422" s="47" t="n"/>
      <c r="AJ422" s="47" t="n"/>
      <c r="AK422" s="47" t="n"/>
      <c r="AL422" s="47" t="n"/>
      <c r="AM422" s="47" t="n"/>
      <c r="AN422" s="47" t="n"/>
      <c r="AO422" s="47" t="n"/>
      <c r="AP422" s="47" t="n"/>
      <c r="AQ422" s="47" t="n"/>
      <c r="AR422" s="47" t="n"/>
      <c r="AS422" s="47" t="n"/>
      <c r="AT422" s="47" t="n"/>
      <c r="AU422" s="48" t="n"/>
      <c r="AV422" s="48" t="n"/>
      <c r="AW422" s="49">
        <f>IF($A422="","",IF($BW422&lt;&gt;"","FIX",IF($BX422&lt;&gt;"","CHECK","OK")))</f>
        <v/>
      </c>
      <c r="AX422" s="50">
        <f>IF($A422="","",IF($BW422&lt;&gt;"","FIX: "&amp;LEFT($BW422,LEN($BW422)-2)&amp;IF($BX422&lt;&gt;"","  ·  ",""),"")&amp;IF($BX422&lt;&gt;"","CHECK: "&amp;LEFT($BX422,LEN($BX422)-2),""))</f>
        <v/>
      </c>
      <c r="AY422" s="49">
        <f>IF(OR($A422="",$K422=""),"",$K422&amp;"'-"&amp;N($L422)&amp;CHAR(34)&amp;" x "&amp;$M422&amp;"'-"&amp;N($N422)&amp;CHAR(34))</f>
        <v/>
      </c>
      <c r="AZ422" s="49">
        <f>IF(OR($A422="",$K422=""),"",$K422&amp;N($L422)&amp;$M422&amp;N($N422))</f>
        <v/>
      </c>
      <c r="BA422" s="49">
        <f>IF(OR($A422="",$K422=""),"",$K422*12+N($L422))</f>
        <v/>
      </c>
      <c r="BB422" s="49">
        <f>IF(OR($A422="",$M422=""),"",$M422*12+N($N422))</f>
        <v/>
      </c>
      <c r="BC422" s="49">
        <f>IF($A422="","",IF(OR($C422="FRAME ONLY",$S422="BL"),0,IF($O422="Y",2,1)))</f>
        <v/>
      </c>
      <c r="BD422" s="51">
        <f>IF(OR(N($BC422)=0,$BA422=""),"",($BA422-2*EdgeClr-IF($BC422=2,MeetClr,0))/$BC422)</f>
        <v/>
      </c>
      <c r="BE422" s="51">
        <f>IF(OR(N($BC422)=0,$BB422=""),"",$BB422-HeadClr-Undercut)</f>
        <v/>
      </c>
      <c r="BF422" s="51">
        <f>IF($BA422="","",$BA422+2*FaceW+IF(N($Q422)&gt;0,($Q422+FaceW)*IF($R422="LR",2,1),0))</f>
        <v/>
      </c>
      <c r="BG422" s="51">
        <f>IF($BB422="","",$BB422+IF($AB422="Y",4,FaceW)+IF(N($P422)&gt;0,$P422+FaceW,0)+IF(OR($S422="4F",$S422="BL"),FaceW,0))</f>
        <v/>
      </c>
      <c r="BH422" s="51">
        <f>IF($BF422="","",$BF422+2*ROSide)</f>
        <v/>
      </c>
      <c r="BI422" s="51">
        <f>IF($BG422="","",$BG422+ROTop)</f>
        <v/>
      </c>
      <c r="BJ422" s="52">
        <f>IF(OR(N($BC422)=0,$BA422=""),"",$BA422/$BC422-ClearDeduct)</f>
        <v/>
      </c>
      <c r="BK422" s="49">
        <f>IF(OR(N($BC422)=0,$BE422=""),"",IF(OR($AC422="HGC",$AP422="HGC"),"CONT",IF($BE422&lt;=60,2,IF($BE422&lt;=90,3,IF($BE422&lt;=120,4,5)))))</f>
        <v/>
      </c>
      <c r="BL422" s="49">
        <f>IF(N($BC422)=0,"",IF(OR($AL422="",$AL422="FLUSH"),"FLUSH",IFERROR(LEFT($AL422,FIND("-",$AL422)-1),LEFT($AL422,2))))</f>
        <v/>
      </c>
      <c r="BM422" s="49">
        <f>IF($BL422="","",IFERROR(VALUE(MID($AL422,FIND("-",$AL422)+1,FIND(CHAR(34)&amp;"x",$AL422)-FIND("-",$AL422)-1)),0))</f>
        <v/>
      </c>
      <c r="BN422" s="49">
        <f>IF($BL422="","",IFERROR(VALUE(MID($AL422,FIND(CHAR(34)&amp;"x",$AL422)+2,FIND(CHAR(34),$AL422,FIND(CHAR(34)&amp;"x",$AL422)+2)-FIND(CHAR(34)&amp;"x",$AL422)-2)),0))</f>
        <v/>
      </c>
      <c r="BO422" s="53">
        <f>IF(OR($A422="",$H422="",$H422="NO LAB"),0,IFERROR(VALUE(LEFT($H422,FIND(" ",$H422)-1)),0))</f>
        <v/>
      </c>
      <c r="BP422" s="54">
        <f>IF(OR($A422="",$I422="",$I422="NON-RATED",N($J422)=0),"",IFERROR(VLOOKUP($I422&amp;"|"&amp;$J422,IBC,2,FALSE),"?"))</f>
        <v/>
      </c>
      <c r="BQ422" s="50">
        <f>IF(NOT(AND($A422&lt;&gt;"",$C422&lt;&gt;"DOOR ONLY")),"",TRIM(IFERROR(VLOOKUP($U422,CODES,2,FALSE),"")&amp;" "&amp;$AZ422&amp;" "&amp;IFERROR(VLOOKUP($Z422,CODES,2,FALSE),"")&amp;" "&amp;IFERROR(VLOOKUP($X422,CODES,2,FALSE),"")&amp;" "&amp;IFERROR(VLOOKUP($S422,CODES,2,FALSE),"")&amp;IF(N($P422)&gt;0," w/TRANSOM "&amp;$P422&amp;CHAR(34),"")&amp;IF(N($Q422)&gt;0," w/SIDELITE "&amp;$Q422&amp;CHAR(34)&amp;" "&amp;IF($R422="","R",$R422),"")&amp;IF($Y422="","  |  "," | "&amp;IFERROR(VLOOKUP($Y422,CODES,2,FALSE),"")&amp;" | ")&amp;IFERROR(VLOOKUP($AC422,CODES,2,FALSE),"")&amp;" "&amp;IFERROR(VLOOKUP($AD422,CODES,2,FALSE),"")&amp;IF(OR($AE422="",$AE422="-"),""," "&amp;$AE422)&amp;IF(OR($AF422="",$AF422="-"),""," "&amp;$AF422)&amp;IF($AB422="Y"," 4"&amp;CHAR(34)&amp;" HEAD","")&amp;" "&amp;IFERROR(VLOOKUP($H422,CODES,2,FALSE),"")))</f>
        <v/>
      </c>
      <c r="BR422" s="50">
        <f>IF(NOT(AND($A422&lt;&gt;"",N($BC422)&gt;0)),"",TRIM(IFERROR(VLOOKUP($AH422,CODES,2,FALSE),"")&amp;IF($AI422=""," "," "&amp;$AI422&amp;"GA ")&amp;$AZ422&amp;" "&amp;IF($AN422="",IFERROR(VLOOKUP($Z422,CODES,2,FALSE),""),IFERROR(VLOOKUP($AN422,CODES,2,FALSE),""))&amp;IF($BC422=2," PAIR","")&amp;" DOOR | "&amp;IF($AL422="","?",$AL422)&amp;" | "&amp;IF($AP422="",IFERROR(VLOOKUP($AC422,CODES,2,FALSE),""),IFERROR(VLOOKUP($AP422,CODES,2,FALSE),""))&amp;" "&amp;IFERROR(VLOOKUP($AQ422,CODES,2,FALSE),"")&amp;IF(OR($AR422="",$AR422="-"),""," SEAM "&amp;$AR422)&amp;IF($AS422="Y"," ASTRAGAL","")&amp;IF($AJ422=""," "," "&amp;$AJ422)&amp;IF($AK422=""," "," "&amp;$AK422)&amp;IF($AO422="",""," "&amp;$AO422)&amp;IF($AM422=""," "," SERIES "&amp;$AM422)&amp;" "&amp;IFERROR(VLOOKUP($H422,CODES,2,FALSE),"")))</f>
        <v/>
      </c>
      <c r="BS422" s="49">
        <f>IF(BV422="","",IF(COUNTIF($BV$6:BV422,BV422)=1,MAX($BS$5:BS421)+1,INDEX($BS$5:BS421,MATCH(BV422,$BV$5:BV421,0))))</f>
        <v/>
      </c>
      <c r="BT422" s="49">
        <f>IF(NOT(AND($A422&lt;&gt;"",$C422&lt;&gt;"DOOR ONLY")),"",MAX($BT$5:BT421)+1)</f>
        <v/>
      </c>
      <c r="BU422" s="49">
        <f>IF(NOT(AND($A422&lt;&gt;"",N($BC422)&gt;0)),"",MAX($BU$5:BU421)+1)</f>
        <v/>
      </c>
      <c r="BV422" s="49">
        <f>IF(OR($A422="",$BA422="",$BB422=""),"",$AZ422&amp;"|"&amp;$O422&amp;"|"&amp;$AL422&amp;"|"&amp;$S422&amp;"|"&amp;$P422&amp;"|"&amp;$Q422&amp;$R422&amp;"|"&amp;$C422&amp;"|"&amp;$AB422)</f>
        <v/>
      </c>
      <c r="BW422" s="49">
        <f>IF($A422="","",IF($B422="","qty, ","")&amp;IF($C422="","scope, ","")&amp;IF(OR($K422="",$M422=""),"size, ","")&amp;IF(AND($A422&lt;&gt;"",$C422&lt;&gt;"DOOR ONLY"),IF($U422="","jamb depth, ","")&amp;IF($X422="","construction, ","")&amp;IF($Y422="","anchor, ","")&amp;IF($S422="","frame type, ",""),"")&amp;IF(AND(N($BC422)&gt;0,$Z422=""),"hand, ","")&amp;IF(N($BC422)&gt;0,IF($AH422="","door material, ","")&amp;IF($AL422="","face type, ","")&amp;IF($AQ422="","lock prep, ","")&amp;IF(AND($AP422="",$AC422=""),"hinge prep, ",""),"")&amp;IF(AND($BO422&gt;0,$AH422="FRP"),"FRP cannot carry a label, ","")&amp;IF(AND($O422="Y",OR($Z422="L",$Z422="R",$Z422="LR",$Z422="RR")),"pair marked but hand is single, ","")&amp;IF(AND($O422&lt;&gt;"Y",OR($Z422="PR",AND(LEN($Z422)&gt;1,ISNUMBER(SEARCH("-",$Z422))))),"pair hand on a single door, ","")&amp;IF(AND(ISNUMBER($BP422),$BO422&lt;N($BP422)),"wall needs a "&amp;$BP422&amp;" min door, ","")&amp;IF(AND($BO422&gt;=180,AND(OR($BL422="FG",$BL422="HG",$BL422="FNV",$BL422="FV"),N($BM422)*N($BN422)&gt;100)),"180 min lite over 100 sq in, ","")&amp;IF(N($BD422)&gt;48,"leaf wider than 4'-0"&amp;CHAR(34)&amp;", ",""))</f>
        <v/>
      </c>
      <c r="BX422" s="49">
        <f>IF($A422="","",IF(AND($BO422&gt;0,AND($A422&lt;&gt;"",$C422&lt;&gt;"DOOR ONLY"),$X422="KD",$E422="EXTERIOR"),"KD label on an exterior opening, ","")&amp;IF(AND($E422="EXTERIOR",OR(AND(AND($A422&lt;&gt;"",$C422&lt;&gt;"DOOR ONLY"),$W422="CR"),AND(N($BC422)&gt;0,$AH422="CR"))),"exterior in CR steel (G9?), ","")&amp;IF(AND(ISNUMBER($BJ422),N($BJ422)&lt;32),"clear width ~"&amp;TEXT($BJ422,"0.0")&amp;CHAR(34)&amp;" under 32"&amp;CHAR(34)&amp;" (ADA), ","")&amp;IF(AND($BO422=90,AND(OR($BL422="FG",$BL422="HG",$BL422="FNV",$BL422="FV"),N($BM422)*N($BN422)&gt;100)),"90 min lite over 100 sq in (stair/exit), ","")&amp;IF(AND($BO422&gt;0,AND($A422&lt;&gt;"",$C422&lt;&gt;"DOOR ONLY"),OR($AF422="",$AF422="-")),"rated: closer reinf.?, ","")&amp;IF(OR($I422="CORRIDOR",$I422="SMOKE BARRIER"),"S label + smoke gasketing, ","")&amp;IF($BP422="?","wall type/hr not in IBC table, ","")&amp;IF(AND(N($BC422)&gt;0,$AU422=""),"no hardware set, ","")&amp;IF(AND($AU422&lt;&gt;"",ISNA(MATCH($AU422,HWSets,0))),"set "&amp;$AU422&amp;" not on Hardware sheet, ","")&amp;IF(N($BE422)&gt;96,"leaf over 8'-0"&amp;CHAR(34)&amp;" - check listing, ",""))</f>
        <v/>
      </c>
    </row>
    <row r="423" ht="15" customHeight="1">
      <c r="A423" s="44" t="n"/>
      <c r="B423" s="45" t="n"/>
      <c r="C423" s="45" t="n"/>
      <c r="D423" s="45" t="n"/>
      <c r="E423" s="45" t="n"/>
      <c r="F423" s="45" t="n"/>
      <c r="G423" s="45" t="n"/>
      <c r="H423" s="45" t="n"/>
      <c r="I423" s="45" t="n"/>
      <c r="J423" s="45" t="n"/>
      <c r="K423" s="45" t="n"/>
      <c r="L423" s="45" t="n"/>
      <c r="M423" s="45" t="n"/>
      <c r="N423" s="45" t="n"/>
      <c r="O423" s="45" t="n"/>
      <c r="P423" s="45" t="n"/>
      <c r="Q423" s="45" t="n"/>
      <c r="R423" s="45" t="n"/>
      <c r="S423" s="46" t="n"/>
      <c r="T423" s="46" t="n"/>
      <c r="U423" s="46" t="n"/>
      <c r="V423" s="46" t="n"/>
      <c r="W423" s="46" t="n"/>
      <c r="X423" s="46" t="n"/>
      <c r="Y423" s="46" t="n"/>
      <c r="Z423" s="46" t="n"/>
      <c r="AA423" s="46" t="n"/>
      <c r="AB423" s="46" t="n"/>
      <c r="AC423" s="46" t="n"/>
      <c r="AD423" s="46" t="n"/>
      <c r="AE423" s="46" t="n"/>
      <c r="AF423" s="46" t="n"/>
      <c r="AG423" s="46" t="n"/>
      <c r="AH423" s="47" t="n"/>
      <c r="AI423" s="47" t="n"/>
      <c r="AJ423" s="47" t="n"/>
      <c r="AK423" s="47" t="n"/>
      <c r="AL423" s="47" t="n"/>
      <c r="AM423" s="47" t="n"/>
      <c r="AN423" s="47" t="n"/>
      <c r="AO423" s="47" t="n"/>
      <c r="AP423" s="47" t="n"/>
      <c r="AQ423" s="47" t="n"/>
      <c r="AR423" s="47" t="n"/>
      <c r="AS423" s="47" t="n"/>
      <c r="AT423" s="47" t="n"/>
      <c r="AU423" s="48" t="n"/>
      <c r="AV423" s="48" t="n"/>
      <c r="AW423" s="49">
        <f>IF($A423="","",IF($BW423&lt;&gt;"","FIX",IF($BX423&lt;&gt;"","CHECK","OK")))</f>
        <v/>
      </c>
      <c r="AX423" s="50">
        <f>IF($A423="","",IF($BW423&lt;&gt;"","FIX: "&amp;LEFT($BW423,LEN($BW423)-2)&amp;IF($BX423&lt;&gt;"","  ·  ",""),"")&amp;IF($BX423&lt;&gt;"","CHECK: "&amp;LEFT($BX423,LEN($BX423)-2),""))</f>
        <v/>
      </c>
      <c r="AY423" s="49">
        <f>IF(OR($A423="",$K423=""),"",$K423&amp;"'-"&amp;N($L423)&amp;CHAR(34)&amp;" x "&amp;$M423&amp;"'-"&amp;N($N423)&amp;CHAR(34))</f>
        <v/>
      </c>
      <c r="AZ423" s="49">
        <f>IF(OR($A423="",$K423=""),"",$K423&amp;N($L423)&amp;$M423&amp;N($N423))</f>
        <v/>
      </c>
      <c r="BA423" s="49">
        <f>IF(OR($A423="",$K423=""),"",$K423*12+N($L423))</f>
        <v/>
      </c>
      <c r="BB423" s="49">
        <f>IF(OR($A423="",$M423=""),"",$M423*12+N($N423))</f>
        <v/>
      </c>
      <c r="BC423" s="49">
        <f>IF($A423="","",IF(OR($C423="FRAME ONLY",$S423="BL"),0,IF($O423="Y",2,1)))</f>
        <v/>
      </c>
      <c r="BD423" s="51">
        <f>IF(OR(N($BC423)=0,$BA423=""),"",($BA423-2*EdgeClr-IF($BC423=2,MeetClr,0))/$BC423)</f>
        <v/>
      </c>
      <c r="BE423" s="51">
        <f>IF(OR(N($BC423)=0,$BB423=""),"",$BB423-HeadClr-Undercut)</f>
        <v/>
      </c>
      <c r="BF423" s="51">
        <f>IF($BA423="","",$BA423+2*FaceW+IF(N($Q423)&gt;0,($Q423+FaceW)*IF($R423="LR",2,1),0))</f>
        <v/>
      </c>
      <c r="BG423" s="51">
        <f>IF($BB423="","",$BB423+IF($AB423="Y",4,FaceW)+IF(N($P423)&gt;0,$P423+FaceW,0)+IF(OR($S423="4F",$S423="BL"),FaceW,0))</f>
        <v/>
      </c>
      <c r="BH423" s="51">
        <f>IF($BF423="","",$BF423+2*ROSide)</f>
        <v/>
      </c>
      <c r="BI423" s="51">
        <f>IF($BG423="","",$BG423+ROTop)</f>
        <v/>
      </c>
      <c r="BJ423" s="52">
        <f>IF(OR(N($BC423)=0,$BA423=""),"",$BA423/$BC423-ClearDeduct)</f>
        <v/>
      </c>
      <c r="BK423" s="49">
        <f>IF(OR(N($BC423)=0,$BE423=""),"",IF(OR($AC423="HGC",$AP423="HGC"),"CONT",IF($BE423&lt;=60,2,IF($BE423&lt;=90,3,IF($BE423&lt;=120,4,5)))))</f>
        <v/>
      </c>
      <c r="BL423" s="49">
        <f>IF(N($BC423)=0,"",IF(OR($AL423="",$AL423="FLUSH"),"FLUSH",IFERROR(LEFT($AL423,FIND("-",$AL423)-1),LEFT($AL423,2))))</f>
        <v/>
      </c>
      <c r="BM423" s="49">
        <f>IF($BL423="","",IFERROR(VALUE(MID($AL423,FIND("-",$AL423)+1,FIND(CHAR(34)&amp;"x",$AL423)-FIND("-",$AL423)-1)),0))</f>
        <v/>
      </c>
      <c r="BN423" s="49">
        <f>IF($BL423="","",IFERROR(VALUE(MID($AL423,FIND(CHAR(34)&amp;"x",$AL423)+2,FIND(CHAR(34),$AL423,FIND(CHAR(34)&amp;"x",$AL423)+2)-FIND(CHAR(34)&amp;"x",$AL423)-2)),0))</f>
        <v/>
      </c>
      <c r="BO423" s="53">
        <f>IF(OR($A423="",$H423="",$H423="NO LAB"),0,IFERROR(VALUE(LEFT($H423,FIND(" ",$H423)-1)),0))</f>
        <v/>
      </c>
      <c r="BP423" s="54">
        <f>IF(OR($A423="",$I423="",$I423="NON-RATED",N($J423)=0),"",IFERROR(VLOOKUP($I423&amp;"|"&amp;$J423,IBC,2,FALSE),"?"))</f>
        <v/>
      </c>
      <c r="BQ423" s="50">
        <f>IF(NOT(AND($A423&lt;&gt;"",$C423&lt;&gt;"DOOR ONLY")),"",TRIM(IFERROR(VLOOKUP($U423,CODES,2,FALSE),"")&amp;" "&amp;$AZ423&amp;" "&amp;IFERROR(VLOOKUP($Z423,CODES,2,FALSE),"")&amp;" "&amp;IFERROR(VLOOKUP($X423,CODES,2,FALSE),"")&amp;" "&amp;IFERROR(VLOOKUP($S423,CODES,2,FALSE),"")&amp;IF(N($P423)&gt;0," w/TRANSOM "&amp;$P423&amp;CHAR(34),"")&amp;IF(N($Q423)&gt;0," w/SIDELITE "&amp;$Q423&amp;CHAR(34)&amp;" "&amp;IF($R423="","R",$R423),"")&amp;IF($Y423="","  |  "," | "&amp;IFERROR(VLOOKUP($Y423,CODES,2,FALSE),"")&amp;" | ")&amp;IFERROR(VLOOKUP($AC423,CODES,2,FALSE),"")&amp;" "&amp;IFERROR(VLOOKUP($AD423,CODES,2,FALSE),"")&amp;IF(OR($AE423="",$AE423="-"),""," "&amp;$AE423)&amp;IF(OR($AF423="",$AF423="-"),""," "&amp;$AF423)&amp;IF($AB423="Y"," 4"&amp;CHAR(34)&amp;" HEAD","")&amp;" "&amp;IFERROR(VLOOKUP($H423,CODES,2,FALSE),"")))</f>
        <v/>
      </c>
      <c r="BR423" s="50">
        <f>IF(NOT(AND($A423&lt;&gt;"",N($BC423)&gt;0)),"",TRIM(IFERROR(VLOOKUP($AH423,CODES,2,FALSE),"")&amp;IF($AI423=""," "," "&amp;$AI423&amp;"GA ")&amp;$AZ423&amp;" "&amp;IF($AN423="",IFERROR(VLOOKUP($Z423,CODES,2,FALSE),""),IFERROR(VLOOKUP($AN423,CODES,2,FALSE),""))&amp;IF($BC423=2," PAIR","")&amp;" DOOR | "&amp;IF($AL423="","?",$AL423)&amp;" | "&amp;IF($AP423="",IFERROR(VLOOKUP($AC423,CODES,2,FALSE),""),IFERROR(VLOOKUP($AP423,CODES,2,FALSE),""))&amp;" "&amp;IFERROR(VLOOKUP($AQ423,CODES,2,FALSE),"")&amp;IF(OR($AR423="",$AR423="-"),""," SEAM "&amp;$AR423)&amp;IF($AS423="Y"," ASTRAGAL","")&amp;IF($AJ423=""," "," "&amp;$AJ423)&amp;IF($AK423=""," "," "&amp;$AK423)&amp;IF($AO423="",""," "&amp;$AO423)&amp;IF($AM423=""," "," SERIES "&amp;$AM423)&amp;" "&amp;IFERROR(VLOOKUP($H423,CODES,2,FALSE),"")))</f>
        <v/>
      </c>
      <c r="BS423" s="49">
        <f>IF(BV423="","",IF(COUNTIF($BV$6:BV423,BV423)=1,MAX($BS$5:BS422)+1,INDEX($BS$5:BS422,MATCH(BV423,$BV$5:BV422,0))))</f>
        <v/>
      </c>
      <c r="BT423" s="49">
        <f>IF(NOT(AND($A423&lt;&gt;"",$C423&lt;&gt;"DOOR ONLY")),"",MAX($BT$5:BT422)+1)</f>
        <v/>
      </c>
      <c r="BU423" s="49">
        <f>IF(NOT(AND($A423&lt;&gt;"",N($BC423)&gt;0)),"",MAX($BU$5:BU422)+1)</f>
        <v/>
      </c>
      <c r="BV423" s="49">
        <f>IF(OR($A423="",$BA423="",$BB423=""),"",$AZ423&amp;"|"&amp;$O423&amp;"|"&amp;$AL423&amp;"|"&amp;$S423&amp;"|"&amp;$P423&amp;"|"&amp;$Q423&amp;$R423&amp;"|"&amp;$C423&amp;"|"&amp;$AB423)</f>
        <v/>
      </c>
      <c r="BW423" s="49">
        <f>IF($A423="","",IF($B423="","qty, ","")&amp;IF($C423="","scope, ","")&amp;IF(OR($K423="",$M423=""),"size, ","")&amp;IF(AND($A423&lt;&gt;"",$C423&lt;&gt;"DOOR ONLY"),IF($U423="","jamb depth, ","")&amp;IF($X423="","construction, ","")&amp;IF($Y423="","anchor, ","")&amp;IF($S423="","frame type, ",""),"")&amp;IF(AND(N($BC423)&gt;0,$Z423=""),"hand, ","")&amp;IF(N($BC423)&gt;0,IF($AH423="","door material, ","")&amp;IF($AL423="","face type, ","")&amp;IF($AQ423="","lock prep, ","")&amp;IF(AND($AP423="",$AC423=""),"hinge prep, ",""),"")&amp;IF(AND($BO423&gt;0,$AH423="FRP"),"FRP cannot carry a label, ","")&amp;IF(AND($O423="Y",OR($Z423="L",$Z423="R",$Z423="LR",$Z423="RR")),"pair marked but hand is single, ","")&amp;IF(AND($O423&lt;&gt;"Y",OR($Z423="PR",AND(LEN($Z423)&gt;1,ISNUMBER(SEARCH("-",$Z423))))),"pair hand on a single door, ","")&amp;IF(AND(ISNUMBER($BP423),$BO423&lt;N($BP423)),"wall needs a "&amp;$BP423&amp;" min door, ","")&amp;IF(AND($BO423&gt;=180,AND(OR($BL423="FG",$BL423="HG",$BL423="FNV",$BL423="FV"),N($BM423)*N($BN423)&gt;100)),"180 min lite over 100 sq in, ","")&amp;IF(N($BD423)&gt;48,"leaf wider than 4'-0"&amp;CHAR(34)&amp;", ",""))</f>
        <v/>
      </c>
      <c r="BX423" s="49">
        <f>IF($A423="","",IF(AND($BO423&gt;0,AND($A423&lt;&gt;"",$C423&lt;&gt;"DOOR ONLY"),$X423="KD",$E423="EXTERIOR"),"KD label on an exterior opening, ","")&amp;IF(AND($E423="EXTERIOR",OR(AND(AND($A423&lt;&gt;"",$C423&lt;&gt;"DOOR ONLY"),$W423="CR"),AND(N($BC423)&gt;0,$AH423="CR"))),"exterior in CR steel (G9?), ","")&amp;IF(AND(ISNUMBER($BJ423),N($BJ423)&lt;32),"clear width ~"&amp;TEXT($BJ423,"0.0")&amp;CHAR(34)&amp;" under 32"&amp;CHAR(34)&amp;" (ADA), ","")&amp;IF(AND($BO423=90,AND(OR($BL423="FG",$BL423="HG",$BL423="FNV",$BL423="FV"),N($BM423)*N($BN423)&gt;100)),"90 min lite over 100 sq in (stair/exit), ","")&amp;IF(AND($BO423&gt;0,AND($A423&lt;&gt;"",$C423&lt;&gt;"DOOR ONLY"),OR($AF423="",$AF423="-")),"rated: closer reinf.?, ","")&amp;IF(OR($I423="CORRIDOR",$I423="SMOKE BARRIER"),"S label + smoke gasketing, ","")&amp;IF($BP423="?","wall type/hr not in IBC table, ","")&amp;IF(AND(N($BC423)&gt;0,$AU423=""),"no hardware set, ","")&amp;IF(AND($AU423&lt;&gt;"",ISNA(MATCH($AU423,HWSets,0))),"set "&amp;$AU423&amp;" not on Hardware sheet, ","")&amp;IF(N($BE423)&gt;96,"leaf over 8'-0"&amp;CHAR(34)&amp;" - check listing, ",""))</f>
        <v/>
      </c>
    </row>
    <row r="424" ht="15" customHeight="1">
      <c r="A424" s="44" t="n"/>
      <c r="B424" s="45" t="n"/>
      <c r="C424" s="45" t="n"/>
      <c r="D424" s="45" t="n"/>
      <c r="E424" s="45" t="n"/>
      <c r="F424" s="45" t="n"/>
      <c r="G424" s="45" t="n"/>
      <c r="H424" s="45" t="n"/>
      <c r="I424" s="45" t="n"/>
      <c r="J424" s="45" t="n"/>
      <c r="K424" s="45" t="n"/>
      <c r="L424" s="45" t="n"/>
      <c r="M424" s="45" t="n"/>
      <c r="N424" s="45" t="n"/>
      <c r="O424" s="45" t="n"/>
      <c r="P424" s="45" t="n"/>
      <c r="Q424" s="45" t="n"/>
      <c r="R424" s="45" t="n"/>
      <c r="S424" s="46" t="n"/>
      <c r="T424" s="46" t="n"/>
      <c r="U424" s="46" t="n"/>
      <c r="V424" s="46" t="n"/>
      <c r="W424" s="46" t="n"/>
      <c r="X424" s="46" t="n"/>
      <c r="Y424" s="46" t="n"/>
      <c r="Z424" s="46" t="n"/>
      <c r="AA424" s="46" t="n"/>
      <c r="AB424" s="46" t="n"/>
      <c r="AC424" s="46" t="n"/>
      <c r="AD424" s="46" t="n"/>
      <c r="AE424" s="46" t="n"/>
      <c r="AF424" s="46" t="n"/>
      <c r="AG424" s="46" t="n"/>
      <c r="AH424" s="47" t="n"/>
      <c r="AI424" s="47" t="n"/>
      <c r="AJ424" s="47" t="n"/>
      <c r="AK424" s="47" t="n"/>
      <c r="AL424" s="47" t="n"/>
      <c r="AM424" s="47" t="n"/>
      <c r="AN424" s="47" t="n"/>
      <c r="AO424" s="47" t="n"/>
      <c r="AP424" s="47" t="n"/>
      <c r="AQ424" s="47" t="n"/>
      <c r="AR424" s="47" t="n"/>
      <c r="AS424" s="47" t="n"/>
      <c r="AT424" s="47" t="n"/>
      <c r="AU424" s="48" t="n"/>
      <c r="AV424" s="48" t="n"/>
      <c r="AW424" s="49">
        <f>IF($A424="","",IF($BW424&lt;&gt;"","FIX",IF($BX424&lt;&gt;"","CHECK","OK")))</f>
        <v/>
      </c>
      <c r="AX424" s="50">
        <f>IF($A424="","",IF($BW424&lt;&gt;"","FIX: "&amp;LEFT($BW424,LEN($BW424)-2)&amp;IF($BX424&lt;&gt;"","  ·  ",""),"")&amp;IF($BX424&lt;&gt;"","CHECK: "&amp;LEFT($BX424,LEN($BX424)-2),""))</f>
        <v/>
      </c>
      <c r="AY424" s="49">
        <f>IF(OR($A424="",$K424=""),"",$K424&amp;"'-"&amp;N($L424)&amp;CHAR(34)&amp;" x "&amp;$M424&amp;"'-"&amp;N($N424)&amp;CHAR(34))</f>
        <v/>
      </c>
      <c r="AZ424" s="49">
        <f>IF(OR($A424="",$K424=""),"",$K424&amp;N($L424)&amp;$M424&amp;N($N424))</f>
        <v/>
      </c>
      <c r="BA424" s="49">
        <f>IF(OR($A424="",$K424=""),"",$K424*12+N($L424))</f>
        <v/>
      </c>
      <c r="BB424" s="49">
        <f>IF(OR($A424="",$M424=""),"",$M424*12+N($N424))</f>
        <v/>
      </c>
      <c r="BC424" s="49">
        <f>IF($A424="","",IF(OR($C424="FRAME ONLY",$S424="BL"),0,IF($O424="Y",2,1)))</f>
        <v/>
      </c>
      <c r="BD424" s="51">
        <f>IF(OR(N($BC424)=0,$BA424=""),"",($BA424-2*EdgeClr-IF($BC424=2,MeetClr,0))/$BC424)</f>
        <v/>
      </c>
      <c r="BE424" s="51">
        <f>IF(OR(N($BC424)=0,$BB424=""),"",$BB424-HeadClr-Undercut)</f>
        <v/>
      </c>
      <c r="BF424" s="51">
        <f>IF($BA424="","",$BA424+2*FaceW+IF(N($Q424)&gt;0,($Q424+FaceW)*IF($R424="LR",2,1),0))</f>
        <v/>
      </c>
      <c r="BG424" s="51">
        <f>IF($BB424="","",$BB424+IF($AB424="Y",4,FaceW)+IF(N($P424)&gt;0,$P424+FaceW,0)+IF(OR($S424="4F",$S424="BL"),FaceW,0))</f>
        <v/>
      </c>
      <c r="BH424" s="51">
        <f>IF($BF424="","",$BF424+2*ROSide)</f>
        <v/>
      </c>
      <c r="BI424" s="51">
        <f>IF($BG424="","",$BG424+ROTop)</f>
        <v/>
      </c>
      <c r="BJ424" s="52">
        <f>IF(OR(N($BC424)=0,$BA424=""),"",$BA424/$BC424-ClearDeduct)</f>
        <v/>
      </c>
      <c r="BK424" s="49">
        <f>IF(OR(N($BC424)=0,$BE424=""),"",IF(OR($AC424="HGC",$AP424="HGC"),"CONT",IF($BE424&lt;=60,2,IF($BE424&lt;=90,3,IF($BE424&lt;=120,4,5)))))</f>
        <v/>
      </c>
      <c r="BL424" s="49">
        <f>IF(N($BC424)=0,"",IF(OR($AL424="",$AL424="FLUSH"),"FLUSH",IFERROR(LEFT($AL424,FIND("-",$AL424)-1),LEFT($AL424,2))))</f>
        <v/>
      </c>
      <c r="BM424" s="49">
        <f>IF($BL424="","",IFERROR(VALUE(MID($AL424,FIND("-",$AL424)+1,FIND(CHAR(34)&amp;"x",$AL424)-FIND("-",$AL424)-1)),0))</f>
        <v/>
      </c>
      <c r="BN424" s="49">
        <f>IF($BL424="","",IFERROR(VALUE(MID($AL424,FIND(CHAR(34)&amp;"x",$AL424)+2,FIND(CHAR(34),$AL424,FIND(CHAR(34)&amp;"x",$AL424)+2)-FIND(CHAR(34)&amp;"x",$AL424)-2)),0))</f>
        <v/>
      </c>
      <c r="BO424" s="53">
        <f>IF(OR($A424="",$H424="",$H424="NO LAB"),0,IFERROR(VALUE(LEFT($H424,FIND(" ",$H424)-1)),0))</f>
        <v/>
      </c>
      <c r="BP424" s="54">
        <f>IF(OR($A424="",$I424="",$I424="NON-RATED",N($J424)=0),"",IFERROR(VLOOKUP($I424&amp;"|"&amp;$J424,IBC,2,FALSE),"?"))</f>
        <v/>
      </c>
      <c r="BQ424" s="50">
        <f>IF(NOT(AND($A424&lt;&gt;"",$C424&lt;&gt;"DOOR ONLY")),"",TRIM(IFERROR(VLOOKUP($U424,CODES,2,FALSE),"")&amp;" "&amp;$AZ424&amp;" "&amp;IFERROR(VLOOKUP($Z424,CODES,2,FALSE),"")&amp;" "&amp;IFERROR(VLOOKUP($X424,CODES,2,FALSE),"")&amp;" "&amp;IFERROR(VLOOKUP($S424,CODES,2,FALSE),"")&amp;IF(N($P424)&gt;0," w/TRANSOM "&amp;$P424&amp;CHAR(34),"")&amp;IF(N($Q424)&gt;0," w/SIDELITE "&amp;$Q424&amp;CHAR(34)&amp;" "&amp;IF($R424="","R",$R424),"")&amp;IF($Y424="","  |  "," | "&amp;IFERROR(VLOOKUP($Y424,CODES,2,FALSE),"")&amp;" | ")&amp;IFERROR(VLOOKUP($AC424,CODES,2,FALSE),"")&amp;" "&amp;IFERROR(VLOOKUP($AD424,CODES,2,FALSE),"")&amp;IF(OR($AE424="",$AE424="-"),""," "&amp;$AE424)&amp;IF(OR($AF424="",$AF424="-"),""," "&amp;$AF424)&amp;IF($AB424="Y"," 4"&amp;CHAR(34)&amp;" HEAD","")&amp;" "&amp;IFERROR(VLOOKUP($H424,CODES,2,FALSE),"")))</f>
        <v/>
      </c>
      <c r="BR424" s="50">
        <f>IF(NOT(AND($A424&lt;&gt;"",N($BC424)&gt;0)),"",TRIM(IFERROR(VLOOKUP($AH424,CODES,2,FALSE),"")&amp;IF($AI424=""," "," "&amp;$AI424&amp;"GA ")&amp;$AZ424&amp;" "&amp;IF($AN424="",IFERROR(VLOOKUP($Z424,CODES,2,FALSE),""),IFERROR(VLOOKUP($AN424,CODES,2,FALSE),""))&amp;IF($BC424=2," PAIR","")&amp;" DOOR | "&amp;IF($AL424="","?",$AL424)&amp;" | "&amp;IF($AP424="",IFERROR(VLOOKUP($AC424,CODES,2,FALSE),""),IFERROR(VLOOKUP($AP424,CODES,2,FALSE),""))&amp;" "&amp;IFERROR(VLOOKUP($AQ424,CODES,2,FALSE),"")&amp;IF(OR($AR424="",$AR424="-"),""," SEAM "&amp;$AR424)&amp;IF($AS424="Y"," ASTRAGAL","")&amp;IF($AJ424=""," "," "&amp;$AJ424)&amp;IF($AK424=""," "," "&amp;$AK424)&amp;IF($AO424="",""," "&amp;$AO424)&amp;IF($AM424=""," "," SERIES "&amp;$AM424)&amp;" "&amp;IFERROR(VLOOKUP($H424,CODES,2,FALSE),"")))</f>
        <v/>
      </c>
      <c r="BS424" s="49">
        <f>IF(BV424="","",IF(COUNTIF($BV$6:BV424,BV424)=1,MAX($BS$5:BS423)+1,INDEX($BS$5:BS423,MATCH(BV424,$BV$5:BV423,0))))</f>
        <v/>
      </c>
      <c r="BT424" s="49">
        <f>IF(NOT(AND($A424&lt;&gt;"",$C424&lt;&gt;"DOOR ONLY")),"",MAX($BT$5:BT423)+1)</f>
        <v/>
      </c>
      <c r="BU424" s="49">
        <f>IF(NOT(AND($A424&lt;&gt;"",N($BC424)&gt;0)),"",MAX($BU$5:BU423)+1)</f>
        <v/>
      </c>
      <c r="BV424" s="49">
        <f>IF(OR($A424="",$BA424="",$BB424=""),"",$AZ424&amp;"|"&amp;$O424&amp;"|"&amp;$AL424&amp;"|"&amp;$S424&amp;"|"&amp;$P424&amp;"|"&amp;$Q424&amp;$R424&amp;"|"&amp;$C424&amp;"|"&amp;$AB424)</f>
        <v/>
      </c>
      <c r="BW424" s="49">
        <f>IF($A424="","",IF($B424="","qty, ","")&amp;IF($C424="","scope, ","")&amp;IF(OR($K424="",$M424=""),"size, ","")&amp;IF(AND($A424&lt;&gt;"",$C424&lt;&gt;"DOOR ONLY"),IF($U424="","jamb depth, ","")&amp;IF($X424="","construction, ","")&amp;IF($Y424="","anchor, ","")&amp;IF($S424="","frame type, ",""),"")&amp;IF(AND(N($BC424)&gt;0,$Z424=""),"hand, ","")&amp;IF(N($BC424)&gt;0,IF($AH424="","door material, ","")&amp;IF($AL424="","face type, ","")&amp;IF($AQ424="","lock prep, ","")&amp;IF(AND($AP424="",$AC424=""),"hinge prep, ",""),"")&amp;IF(AND($BO424&gt;0,$AH424="FRP"),"FRP cannot carry a label, ","")&amp;IF(AND($O424="Y",OR($Z424="L",$Z424="R",$Z424="LR",$Z424="RR")),"pair marked but hand is single, ","")&amp;IF(AND($O424&lt;&gt;"Y",OR($Z424="PR",AND(LEN($Z424)&gt;1,ISNUMBER(SEARCH("-",$Z424))))),"pair hand on a single door, ","")&amp;IF(AND(ISNUMBER($BP424),$BO424&lt;N($BP424)),"wall needs a "&amp;$BP424&amp;" min door, ","")&amp;IF(AND($BO424&gt;=180,AND(OR($BL424="FG",$BL424="HG",$BL424="FNV",$BL424="FV"),N($BM424)*N($BN424)&gt;100)),"180 min lite over 100 sq in, ","")&amp;IF(N($BD424)&gt;48,"leaf wider than 4'-0"&amp;CHAR(34)&amp;", ",""))</f>
        <v/>
      </c>
      <c r="BX424" s="49">
        <f>IF($A424="","",IF(AND($BO424&gt;0,AND($A424&lt;&gt;"",$C424&lt;&gt;"DOOR ONLY"),$X424="KD",$E424="EXTERIOR"),"KD label on an exterior opening, ","")&amp;IF(AND($E424="EXTERIOR",OR(AND(AND($A424&lt;&gt;"",$C424&lt;&gt;"DOOR ONLY"),$W424="CR"),AND(N($BC424)&gt;0,$AH424="CR"))),"exterior in CR steel (G9?), ","")&amp;IF(AND(ISNUMBER($BJ424),N($BJ424)&lt;32),"clear width ~"&amp;TEXT($BJ424,"0.0")&amp;CHAR(34)&amp;" under 32"&amp;CHAR(34)&amp;" (ADA), ","")&amp;IF(AND($BO424=90,AND(OR($BL424="FG",$BL424="HG",$BL424="FNV",$BL424="FV"),N($BM424)*N($BN424)&gt;100)),"90 min lite over 100 sq in (stair/exit), ","")&amp;IF(AND($BO424&gt;0,AND($A424&lt;&gt;"",$C424&lt;&gt;"DOOR ONLY"),OR($AF424="",$AF424="-")),"rated: closer reinf.?, ","")&amp;IF(OR($I424="CORRIDOR",$I424="SMOKE BARRIER"),"S label + smoke gasketing, ","")&amp;IF($BP424="?","wall type/hr not in IBC table, ","")&amp;IF(AND(N($BC424)&gt;0,$AU424=""),"no hardware set, ","")&amp;IF(AND($AU424&lt;&gt;"",ISNA(MATCH($AU424,HWSets,0))),"set "&amp;$AU424&amp;" not on Hardware sheet, ","")&amp;IF(N($BE424)&gt;96,"leaf over 8'-0"&amp;CHAR(34)&amp;" - check listing, ",""))</f>
        <v/>
      </c>
    </row>
    <row r="425" ht="15" customHeight="1">
      <c r="A425" s="44" t="n"/>
      <c r="B425" s="45" t="n"/>
      <c r="C425" s="45" t="n"/>
      <c r="D425" s="45" t="n"/>
      <c r="E425" s="45" t="n"/>
      <c r="F425" s="45" t="n"/>
      <c r="G425" s="45" t="n"/>
      <c r="H425" s="45" t="n"/>
      <c r="I425" s="45" t="n"/>
      <c r="J425" s="45" t="n"/>
      <c r="K425" s="45" t="n"/>
      <c r="L425" s="45" t="n"/>
      <c r="M425" s="45" t="n"/>
      <c r="N425" s="45" t="n"/>
      <c r="O425" s="45" t="n"/>
      <c r="P425" s="45" t="n"/>
      <c r="Q425" s="45" t="n"/>
      <c r="R425" s="45" t="n"/>
      <c r="S425" s="46" t="n"/>
      <c r="T425" s="46" t="n"/>
      <c r="U425" s="46" t="n"/>
      <c r="V425" s="46" t="n"/>
      <c r="W425" s="46" t="n"/>
      <c r="X425" s="46" t="n"/>
      <c r="Y425" s="46" t="n"/>
      <c r="Z425" s="46" t="n"/>
      <c r="AA425" s="46" t="n"/>
      <c r="AB425" s="46" t="n"/>
      <c r="AC425" s="46" t="n"/>
      <c r="AD425" s="46" t="n"/>
      <c r="AE425" s="46" t="n"/>
      <c r="AF425" s="46" t="n"/>
      <c r="AG425" s="46" t="n"/>
      <c r="AH425" s="47" t="n"/>
      <c r="AI425" s="47" t="n"/>
      <c r="AJ425" s="47" t="n"/>
      <c r="AK425" s="47" t="n"/>
      <c r="AL425" s="47" t="n"/>
      <c r="AM425" s="47" t="n"/>
      <c r="AN425" s="47" t="n"/>
      <c r="AO425" s="47" t="n"/>
      <c r="AP425" s="47" t="n"/>
      <c r="AQ425" s="47" t="n"/>
      <c r="AR425" s="47" t="n"/>
      <c r="AS425" s="47" t="n"/>
      <c r="AT425" s="47" t="n"/>
      <c r="AU425" s="48" t="n"/>
      <c r="AV425" s="48" t="n"/>
      <c r="AW425" s="49">
        <f>IF($A425="","",IF($BW425&lt;&gt;"","FIX",IF($BX425&lt;&gt;"","CHECK","OK")))</f>
        <v/>
      </c>
      <c r="AX425" s="50">
        <f>IF($A425="","",IF($BW425&lt;&gt;"","FIX: "&amp;LEFT($BW425,LEN($BW425)-2)&amp;IF($BX425&lt;&gt;"","  ·  ",""),"")&amp;IF($BX425&lt;&gt;"","CHECK: "&amp;LEFT($BX425,LEN($BX425)-2),""))</f>
        <v/>
      </c>
      <c r="AY425" s="49">
        <f>IF(OR($A425="",$K425=""),"",$K425&amp;"'-"&amp;N($L425)&amp;CHAR(34)&amp;" x "&amp;$M425&amp;"'-"&amp;N($N425)&amp;CHAR(34))</f>
        <v/>
      </c>
      <c r="AZ425" s="49">
        <f>IF(OR($A425="",$K425=""),"",$K425&amp;N($L425)&amp;$M425&amp;N($N425))</f>
        <v/>
      </c>
      <c r="BA425" s="49">
        <f>IF(OR($A425="",$K425=""),"",$K425*12+N($L425))</f>
        <v/>
      </c>
      <c r="BB425" s="49">
        <f>IF(OR($A425="",$M425=""),"",$M425*12+N($N425))</f>
        <v/>
      </c>
      <c r="BC425" s="49">
        <f>IF($A425="","",IF(OR($C425="FRAME ONLY",$S425="BL"),0,IF($O425="Y",2,1)))</f>
        <v/>
      </c>
      <c r="BD425" s="51">
        <f>IF(OR(N($BC425)=0,$BA425=""),"",($BA425-2*EdgeClr-IF($BC425=2,MeetClr,0))/$BC425)</f>
        <v/>
      </c>
      <c r="BE425" s="51">
        <f>IF(OR(N($BC425)=0,$BB425=""),"",$BB425-HeadClr-Undercut)</f>
        <v/>
      </c>
      <c r="BF425" s="51">
        <f>IF($BA425="","",$BA425+2*FaceW+IF(N($Q425)&gt;0,($Q425+FaceW)*IF($R425="LR",2,1),0))</f>
        <v/>
      </c>
      <c r="BG425" s="51">
        <f>IF($BB425="","",$BB425+IF($AB425="Y",4,FaceW)+IF(N($P425)&gt;0,$P425+FaceW,0)+IF(OR($S425="4F",$S425="BL"),FaceW,0))</f>
        <v/>
      </c>
      <c r="BH425" s="51">
        <f>IF($BF425="","",$BF425+2*ROSide)</f>
        <v/>
      </c>
      <c r="BI425" s="51">
        <f>IF($BG425="","",$BG425+ROTop)</f>
        <v/>
      </c>
      <c r="BJ425" s="52">
        <f>IF(OR(N($BC425)=0,$BA425=""),"",$BA425/$BC425-ClearDeduct)</f>
        <v/>
      </c>
      <c r="BK425" s="49">
        <f>IF(OR(N($BC425)=0,$BE425=""),"",IF(OR($AC425="HGC",$AP425="HGC"),"CONT",IF($BE425&lt;=60,2,IF($BE425&lt;=90,3,IF($BE425&lt;=120,4,5)))))</f>
        <v/>
      </c>
      <c r="BL425" s="49">
        <f>IF(N($BC425)=0,"",IF(OR($AL425="",$AL425="FLUSH"),"FLUSH",IFERROR(LEFT($AL425,FIND("-",$AL425)-1),LEFT($AL425,2))))</f>
        <v/>
      </c>
      <c r="BM425" s="49">
        <f>IF($BL425="","",IFERROR(VALUE(MID($AL425,FIND("-",$AL425)+1,FIND(CHAR(34)&amp;"x",$AL425)-FIND("-",$AL425)-1)),0))</f>
        <v/>
      </c>
      <c r="BN425" s="49">
        <f>IF($BL425="","",IFERROR(VALUE(MID($AL425,FIND(CHAR(34)&amp;"x",$AL425)+2,FIND(CHAR(34),$AL425,FIND(CHAR(34)&amp;"x",$AL425)+2)-FIND(CHAR(34)&amp;"x",$AL425)-2)),0))</f>
        <v/>
      </c>
      <c r="BO425" s="53">
        <f>IF(OR($A425="",$H425="",$H425="NO LAB"),0,IFERROR(VALUE(LEFT($H425,FIND(" ",$H425)-1)),0))</f>
        <v/>
      </c>
      <c r="BP425" s="54">
        <f>IF(OR($A425="",$I425="",$I425="NON-RATED",N($J425)=0),"",IFERROR(VLOOKUP($I425&amp;"|"&amp;$J425,IBC,2,FALSE),"?"))</f>
        <v/>
      </c>
      <c r="BQ425" s="50">
        <f>IF(NOT(AND($A425&lt;&gt;"",$C425&lt;&gt;"DOOR ONLY")),"",TRIM(IFERROR(VLOOKUP($U425,CODES,2,FALSE),"")&amp;" "&amp;$AZ425&amp;" "&amp;IFERROR(VLOOKUP($Z425,CODES,2,FALSE),"")&amp;" "&amp;IFERROR(VLOOKUP($X425,CODES,2,FALSE),"")&amp;" "&amp;IFERROR(VLOOKUP($S425,CODES,2,FALSE),"")&amp;IF(N($P425)&gt;0," w/TRANSOM "&amp;$P425&amp;CHAR(34),"")&amp;IF(N($Q425)&gt;0," w/SIDELITE "&amp;$Q425&amp;CHAR(34)&amp;" "&amp;IF($R425="","R",$R425),"")&amp;IF($Y425="","  |  "," | "&amp;IFERROR(VLOOKUP($Y425,CODES,2,FALSE),"")&amp;" | ")&amp;IFERROR(VLOOKUP($AC425,CODES,2,FALSE),"")&amp;" "&amp;IFERROR(VLOOKUP($AD425,CODES,2,FALSE),"")&amp;IF(OR($AE425="",$AE425="-"),""," "&amp;$AE425)&amp;IF(OR($AF425="",$AF425="-"),""," "&amp;$AF425)&amp;IF($AB425="Y"," 4"&amp;CHAR(34)&amp;" HEAD","")&amp;" "&amp;IFERROR(VLOOKUP($H425,CODES,2,FALSE),"")))</f>
        <v/>
      </c>
      <c r="BR425" s="50">
        <f>IF(NOT(AND($A425&lt;&gt;"",N($BC425)&gt;0)),"",TRIM(IFERROR(VLOOKUP($AH425,CODES,2,FALSE),"")&amp;IF($AI425=""," "," "&amp;$AI425&amp;"GA ")&amp;$AZ425&amp;" "&amp;IF($AN425="",IFERROR(VLOOKUP($Z425,CODES,2,FALSE),""),IFERROR(VLOOKUP($AN425,CODES,2,FALSE),""))&amp;IF($BC425=2," PAIR","")&amp;" DOOR | "&amp;IF($AL425="","?",$AL425)&amp;" | "&amp;IF($AP425="",IFERROR(VLOOKUP($AC425,CODES,2,FALSE),""),IFERROR(VLOOKUP($AP425,CODES,2,FALSE),""))&amp;" "&amp;IFERROR(VLOOKUP($AQ425,CODES,2,FALSE),"")&amp;IF(OR($AR425="",$AR425="-"),""," SEAM "&amp;$AR425)&amp;IF($AS425="Y"," ASTRAGAL","")&amp;IF($AJ425=""," "," "&amp;$AJ425)&amp;IF($AK425=""," "," "&amp;$AK425)&amp;IF($AO425="",""," "&amp;$AO425)&amp;IF($AM425=""," "," SERIES "&amp;$AM425)&amp;" "&amp;IFERROR(VLOOKUP($H425,CODES,2,FALSE),"")))</f>
        <v/>
      </c>
      <c r="BS425" s="49">
        <f>IF(BV425="","",IF(COUNTIF($BV$6:BV425,BV425)=1,MAX($BS$5:BS424)+1,INDEX($BS$5:BS424,MATCH(BV425,$BV$5:BV424,0))))</f>
        <v/>
      </c>
      <c r="BT425" s="49">
        <f>IF(NOT(AND($A425&lt;&gt;"",$C425&lt;&gt;"DOOR ONLY")),"",MAX($BT$5:BT424)+1)</f>
        <v/>
      </c>
      <c r="BU425" s="49">
        <f>IF(NOT(AND($A425&lt;&gt;"",N($BC425)&gt;0)),"",MAX($BU$5:BU424)+1)</f>
        <v/>
      </c>
      <c r="BV425" s="49">
        <f>IF(OR($A425="",$BA425="",$BB425=""),"",$AZ425&amp;"|"&amp;$O425&amp;"|"&amp;$AL425&amp;"|"&amp;$S425&amp;"|"&amp;$P425&amp;"|"&amp;$Q425&amp;$R425&amp;"|"&amp;$C425&amp;"|"&amp;$AB425)</f>
        <v/>
      </c>
      <c r="BW425" s="49">
        <f>IF($A425="","",IF($B425="","qty, ","")&amp;IF($C425="","scope, ","")&amp;IF(OR($K425="",$M425=""),"size, ","")&amp;IF(AND($A425&lt;&gt;"",$C425&lt;&gt;"DOOR ONLY"),IF($U425="","jamb depth, ","")&amp;IF($X425="","construction, ","")&amp;IF($Y425="","anchor, ","")&amp;IF($S425="","frame type, ",""),"")&amp;IF(AND(N($BC425)&gt;0,$Z425=""),"hand, ","")&amp;IF(N($BC425)&gt;0,IF($AH425="","door material, ","")&amp;IF($AL425="","face type, ","")&amp;IF($AQ425="","lock prep, ","")&amp;IF(AND($AP425="",$AC425=""),"hinge prep, ",""),"")&amp;IF(AND($BO425&gt;0,$AH425="FRP"),"FRP cannot carry a label, ","")&amp;IF(AND($O425="Y",OR($Z425="L",$Z425="R",$Z425="LR",$Z425="RR")),"pair marked but hand is single, ","")&amp;IF(AND($O425&lt;&gt;"Y",OR($Z425="PR",AND(LEN($Z425)&gt;1,ISNUMBER(SEARCH("-",$Z425))))),"pair hand on a single door, ","")&amp;IF(AND(ISNUMBER($BP425),$BO425&lt;N($BP425)),"wall needs a "&amp;$BP425&amp;" min door, ","")&amp;IF(AND($BO425&gt;=180,AND(OR($BL425="FG",$BL425="HG",$BL425="FNV",$BL425="FV"),N($BM425)*N($BN425)&gt;100)),"180 min lite over 100 sq in, ","")&amp;IF(N($BD425)&gt;48,"leaf wider than 4'-0"&amp;CHAR(34)&amp;", ",""))</f>
        <v/>
      </c>
      <c r="BX425" s="49">
        <f>IF($A425="","",IF(AND($BO425&gt;0,AND($A425&lt;&gt;"",$C425&lt;&gt;"DOOR ONLY"),$X425="KD",$E425="EXTERIOR"),"KD label on an exterior opening, ","")&amp;IF(AND($E425="EXTERIOR",OR(AND(AND($A425&lt;&gt;"",$C425&lt;&gt;"DOOR ONLY"),$W425="CR"),AND(N($BC425)&gt;0,$AH425="CR"))),"exterior in CR steel (G9?), ","")&amp;IF(AND(ISNUMBER($BJ425),N($BJ425)&lt;32),"clear width ~"&amp;TEXT($BJ425,"0.0")&amp;CHAR(34)&amp;" under 32"&amp;CHAR(34)&amp;" (ADA), ","")&amp;IF(AND($BO425=90,AND(OR($BL425="FG",$BL425="HG",$BL425="FNV",$BL425="FV"),N($BM425)*N($BN425)&gt;100)),"90 min lite over 100 sq in (stair/exit), ","")&amp;IF(AND($BO425&gt;0,AND($A425&lt;&gt;"",$C425&lt;&gt;"DOOR ONLY"),OR($AF425="",$AF425="-")),"rated: closer reinf.?, ","")&amp;IF(OR($I425="CORRIDOR",$I425="SMOKE BARRIER"),"S label + smoke gasketing, ","")&amp;IF($BP425="?","wall type/hr not in IBC table, ","")&amp;IF(AND(N($BC425)&gt;0,$AU425=""),"no hardware set, ","")&amp;IF(AND($AU425&lt;&gt;"",ISNA(MATCH($AU425,HWSets,0))),"set "&amp;$AU425&amp;" not on Hardware sheet, ","")&amp;IF(N($BE425)&gt;96,"leaf over 8'-0"&amp;CHAR(34)&amp;" - check listing, ",""))</f>
        <v/>
      </c>
    </row>
    <row r="426" ht="15" customHeight="1">
      <c r="A426" s="44" t="n"/>
      <c r="B426" s="45" t="n"/>
      <c r="C426" s="45" t="n"/>
      <c r="D426" s="45" t="n"/>
      <c r="E426" s="45" t="n"/>
      <c r="F426" s="45" t="n"/>
      <c r="G426" s="45" t="n"/>
      <c r="H426" s="45" t="n"/>
      <c r="I426" s="45" t="n"/>
      <c r="J426" s="45" t="n"/>
      <c r="K426" s="45" t="n"/>
      <c r="L426" s="45" t="n"/>
      <c r="M426" s="45" t="n"/>
      <c r="N426" s="45" t="n"/>
      <c r="O426" s="45" t="n"/>
      <c r="P426" s="45" t="n"/>
      <c r="Q426" s="45" t="n"/>
      <c r="R426" s="45" t="n"/>
      <c r="S426" s="46" t="n"/>
      <c r="T426" s="46" t="n"/>
      <c r="U426" s="46" t="n"/>
      <c r="V426" s="46" t="n"/>
      <c r="W426" s="46" t="n"/>
      <c r="X426" s="46" t="n"/>
      <c r="Y426" s="46" t="n"/>
      <c r="Z426" s="46" t="n"/>
      <c r="AA426" s="46" t="n"/>
      <c r="AB426" s="46" t="n"/>
      <c r="AC426" s="46" t="n"/>
      <c r="AD426" s="46" t="n"/>
      <c r="AE426" s="46" t="n"/>
      <c r="AF426" s="46" t="n"/>
      <c r="AG426" s="46" t="n"/>
      <c r="AH426" s="47" t="n"/>
      <c r="AI426" s="47" t="n"/>
      <c r="AJ426" s="47" t="n"/>
      <c r="AK426" s="47" t="n"/>
      <c r="AL426" s="47" t="n"/>
      <c r="AM426" s="47" t="n"/>
      <c r="AN426" s="47" t="n"/>
      <c r="AO426" s="47" t="n"/>
      <c r="AP426" s="47" t="n"/>
      <c r="AQ426" s="47" t="n"/>
      <c r="AR426" s="47" t="n"/>
      <c r="AS426" s="47" t="n"/>
      <c r="AT426" s="47" t="n"/>
      <c r="AU426" s="48" t="n"/>
      <c r="AV426" s="48" t="n"/>
      <c r="AW426" s="49">
        <f>IF($A426="","",IF($BW426&lt;&gt;"","FIX",IF($BX426&lt;&gt;"","CHECK","OK")))</f>
        <v/>
      </c>
      <c r="AX426" s="50">
        <f>IF($A426="","",IF($BW426&lt;&gt;"","FIX: "&amp;LEFT($BW426,LEN($BW426)-2)&amp;IF($BX426&lt;&gt;"","  ·  ",""),"")&amp;IF($BX426&lt;&gt;"","CHECK: "&amp;LEFT($BX426,LEN($BX426)-2),""))</f>
        <v/>
      </c>
      <c r="AY426" s="49">
        <f>IF(OR($A426="",$K426=""),"",$K426&amp;"'-"&amp;N($L426)&amp;CHAR(34)&amp;" x "&amp;$M426&amp;"'-"&amp;N($N426)&amp;CHAR(34))</f>
        <v/>
      </c>
      <c r="AZ426" s="49">
        <f>IF(OR($A426="",$K426=""),"",$K426&amp;N($L426)&amp;$M426&amp;N($N426))</f>
        <v/>
      </c>
      <c r="BA426" s="49">
        <f>IF(OR($A426="",$K426=""),"",$K426*12+N($L426))</f>
        <v/>
      </c>
      <c r="BB426" s="49">
        <f>IF(OR($A426="",$M426=""),"",$M426*12+N($N426))</f>
        <v/>
      </c>
      <c r="BC426" s="49">
        <f>IF($A426="","",IF(OR($C426="FRAME ONLY",$S426="BL"),0,IF($O426="Y",2,1)))</f>
        <v/>
      </c>
      <c r="BD426" s="51">
        <f>IF(OR(N($BC426)=0,$BA426=""),"",($BA426-2*EdgeClr-IF($BC426=2,MeetClr,0))/$BC426)</f>
        <v/>
      </c>
      <c r="BE426" s="51">
        <f>IF(OR(N($BC426)=0,$BB426=""),"",$BB426-HeadClr-Undercut)</f>
        <v/>
      </c>
      <c r="BF426" s="51">
        <f>IF($BA426="","",$BA426+2*FaceW+IF(N($Q426)&gt;0,($Q426+FaceW)*IF($R426="LR",2,1),0))</f>
        <v/>
      </c>
      <c r="BG426" s="51">
        <f>IF($BB426="","",$BB426+IF($AB426="Y",4,FaceW)+IF(N($P426)&gt;0,$P426+FaceW,0)+IF(OR($S426="4F",$S426="BL"),FaceW,0))</f>
        <v/>
      </c>
      <c r="BH426" s="51">
        <f>IF($BF426="","",$BF426+2*ROSide)</f>
        <v/>
      </c>
      <c r="BI426" s="51">
        <f>IF($BG426="","",$BG426+ROTop)</f>
        <v/>
      </c>
      <c r="BJ426" s="52">
        <f>IF(OR(N($BC426)=0,$BA426=""),"",$BA426/$BC426-ClearDeduct)</f>
        <v/>
      </c>
      <c r="BK426" s="49">
        <f>IF(OR(N($BC426)=0,$BE426=""),"",IF(OR($AC426="HGC",$AP426="HGC"),"CONT",IF($BE426&lt;=60,2,IF($BE426&lt;=90,3,IF($BE426&lt;=120,4,5)))))</f>
        <v/>
      </c>
      <c r="BL426" s="49">
        <f>IF(N($BC426)=0,"",IF(OR($AL426="",$AL426="FLUSH"),"FLUSH",IFERROR(LEFT($AL426,FIND("-",$AL426)-1),LEFT($AL426,2))))</f>
        <v/>
      </c>
      <c r="BM426" s="49">
        <f>IF($BL426="","",IFERROR(VALUE(MID($AL426,FIND("-",$AL426)+1,FIND(CHAR(34)&amp;"x",$AL426)-FIND("-",$AL426)-1)),0))</f>
        <v/>
      </c>
      <c r="BN426" s="49">
        <f>IF($BL426="","",IFERROR(VALUE(MID($AL426,FIND(CHAR(34)&amp;"x",$AL426)+2,FIND(CHAR(34),$AL426,FIND(CHAR(34)&amp;"x",$AL426)+2)-FIND(CHAR(34)&amp;"x",$AL426)-2)),0))</f>
        <v/>
      </c>
      <c r="BO426" s="53">
        <f>IF(OR($A426="",$H426="",$H426="NO LAB"),0,IFERROR(VALUE(LEFT($H426,FIND(" ",$H426)-1)),0))</f>
        <v/>
      </c>
      <c r="BP426" s="54">
        <f>IF(OR($A426="",$I426="",$I426="NON-RATED",N($J426)=0),"",IFERROR(VLOOKUP($I426&amp;"|"&amp;$J426,IBC,2,FALSE),"?"))</f>
        <v/>
      </c>
      <c r="BQ426" s="50">
        <f>IF(NOT(AND($A426&lt;&gt;"",$C426&lt;&gt;"DOOR ONLY")),"",TRIM(IFERROR(VLOOKUP($U426,CODES,2,FALSE),"")&amp;" "&amp;$AZ426&amp;" "&amp;IFERROR(VLOOKUP($Z426,CODES,2,FALSE),"")&amp;" "&amp;IFERROR(VLOOKUP($X426,CODES,2,FALSE),"")&amp;" "&amp;IFERROR(VLOOKUP($S426,CODES,2,FALSE),"")&amp;IF(N($P426)&gt;0," w/TRANSOM "&amp;$P426&amp;CHAR(34),"")&amp;IF(N($Q426)&gt;0," w/SIDELITE "&amp;$Q426&amp;CHAR(34)&amp;" "&amp;IF($R426="","R",$R426),"")&amp;IF($Y426="","  |  "," | "&amp;IFERROR(VLOOKUP($Y426,CODES,2,FALSE),"")&amp;" | ")&amp;IFERROR(VLOOKUP($AC426,CODES,2,FALSE),"")&amp;" "&amp;IFERROR(VLOOKUP($AD426,CODES,2,FALSE),"")&amp;IF(OR($AE426="",$AE426="-"),""," "&amp;$AE426)&amp;IF(OR($AF426="",$AF426="-"),""," "&amp;$AF426)&amp;IF($AB426="Y"," 4"&amp;CHAR(34)&amp;" HEAD","")&amp;" "&amp;IFERROR(VLOOKUP($H426,CODES,2,FALSE),"")))</f>
        <v/>
      </c>
      <c r="BR426" s="50">
        <f>IF(NOT(AND($A426&lt;&gt;"",N($BC426)&gt;0)),"",TRIM(IFERROR(VLOOKUP($AH426,CODES,2,FALSE),"")&amp;IF($AI426=""," "," "&amp;$AI426&amp;"GA ")&amp;$AZ426&amp;" "&amp;IF($AN426="",IFERROR(VLOOKUP($Z426,CODES,2,FALSE),""),IFERROR(VLOOKUP($AN426,CODES,2,FALSE),""))&amp;IF($BC426=2," PAIR","")&amp;" DOOR | "&amp;IF($AL426="","?",$AL426)&amp;" | "&amp;IF($AP426="",IFERROR(VLOOKUP($AC426,CODES,2,FALSE),""),IFERROR(VLOOKUP($AP426,CODES,2,FALSE),""))&amp;" "&amp;IFERROR(VLOOKUP($AQ426,CODES,2,FALSE),"")&amp;IF(OR($AR426="",$AR426="-"),""," SEAM "&amp;$AR426)&amp;IF($AS426="Y"," ASTRAGAL","")&amp;IF($AJ426=""," "," "&amp;$AJ426)&amp;IF($AK426=""," "," "&amp;$AK426)&amp;IF($AO426="",""," "&amp;$AO426)&amp;IF($AM426=""," "," SERIES "&amp;$AM426)&amp;" "&amp;IFERROR(VLOOKUP($H426,CODES,2,FALSE),"")))</f>
        <v/>
      </c>
      <c r="BS426" s="49">
        <f>IF(BV426="","",IF(COUNTIF($BV$6:BV426,BV426)=1,MAX($BS$5:BS425)+1,INDEX($BS$5:BS425,MATCH(BV426,$BV$5:BV425,0))))</f>
        <v/>
      </c>
      <c r="BT426" s="49">
        <f>IF(NOT(AND($A426&lt;&gt;"",$C426&lt;&gt;"DOOR ONLY")),"",MAX($BT$5:BT425)+1)</f>
        <v/>
      </c>
      <c r="BU426" s="49">
        <f>IF(NOT(AND($A426&lt;&gt;"",N($BC426)&gt;0)),"",MAX($BU$5:BU425)+1)</f>
        <v/>
      </c>
      <c r="BV426" s="49">
        <f>IF(OR($A426="",$BA426="",$BB426=""),"",$AZ426&amp;"|"&amp;$O426&amp;"|"&amp;$AL426&amp;"|"&amp;$S426&amp;"|"&amp;$P426&amp;"|"&amp;$Q426&amp;$R426&amp;"|"&amp;$C426&amp;"|"&amp;$AB426)</f>
        <v/>
      </c>
      <c r="BW426" s="49">
        <f>IF($A426="","",IF($B426="","qty, ","")&amp;IF($C426="","scope, ","")&amp;IF(OR($K426="",$M426=""),"size, ","")&amp;IF(AND($A426&lt;&gt;"",$C426&lt;&gt;"DOOR ONLY"),IF($U426="","jamb depth, ","")&amp;IF($X426="","construction, ","")&amp;IF($Y426="","anchor, ","")&amp;IF($S426="","frame type, ",""),"")&amp;IF(AND(N($BC426)&gt;0,$Z426=""),"hand, ","")&amp;IF(N($BC426)&gt;0,IF($AH426="","door material, ","")&amp;IF($AL426="","face type, ","")&amp;IF($AQ426="","lock prep, ","")&amp;IF(AND($AP426="",$AC426=""),"hinge prep, ",""),"")&amp;IF(AND($BO426&gt;0,$AH426="FRP"),"FRP cannot carry a label, ","")&amp;IF(AND($O426="Y",OR($Z426="L",$Z426="R",$Z426="LR",$Z426="RR")),"pair marked but hand is single, ","")&amp;IF(AND($O426&lt;&gt;"Y",OR($Z426="PR",AND(LEN($Z426)&gt;1,ISNUMBER(SEARCH("-",$Z426))))),"pair hand on a single door, ","")&amp;IF(AND(ISNUMBER($BP426),$BO426&lt;N($BP426)),"wall needs a "&amp;$BP426&amp;" min door, ","")&amp;IF(AND($BO426&gt;=180,AND(OR($BL426="FG",$BL426="HG",$BL426="FNV",$BL426="FV"),N($BM426)*N($BN426)&gt;100)),"180 min lite over 100 sq in, ","")&amp;IF(N($BD426)&gt;48,"leaf wider than 4'-0"&amp;CHAR(34)&amp;", ",""))</f>
        <v/>
      </c>
      <c r="BX426" s="49">
        <f>IF($A426="","",IF(AND($BO426&gt;0,AND($A426&lt;&gt;"",$C426&lt;&gt;"DOOR ONLY"),$X426="KD",$E426="EXTERIOR"),"KD label on an exterior opening, ","")&amp;IF(AND($E426="EXTERIOR",OR(AND(AND($A426&lt;&gt;"",$C426&lt;&gt;"DOOR ONLY"),$W426="CR"),AND(N($BC426)&gt;0,$AH426="CR"))),"exterior in CR steel (G9?), ","")&amp;IF(AND(ISNUMBER($BJ426),N($BJ426)&lt;32),"clear width ~"&amp;TEXT($BJ426,"0.0")&amp;CHAR(34)&amp;" under 32"&amp;CHAR(34)&amp;" (ADA), ","")&amp;IF(AND($BO426=90,AND(OR($BL426="FG",$BL426="HG",$BL426="FNV",$BL426="FV"),N($BM426)*N($BN426)&gt;100)),"90 min lite over 100 sq in (stair/exit), ","")&amp;IF(AND($BO426&gt;0,AND($A426&lt;&gt;"",$C426&lt;&gt;"DOOR ONLY"),OR($AF426="",$AF426="-")),"rated: closer reinf.?, ","")&amp;IF(OR($I426="CORRIDOR",$I426="SMOKE BARRIER"),"S label + smoke gasketing, ","")&amp;IF($BP426="?","wall type/hr not in IBC table, ","")&amp;IF(AND(N($BC426)&gt;0,$AU426=""),"no hardware set, ","")&amp;IF(AND($AU426&lt;&gt;"",ISNA(MATCH($AU426,HWSets,0))),"set "&amp;$AU426&amp;" not on Hardware sheet, ","")&amp;IF(N($BE426)&gt;96,"leaf over 8'-0"&amp;CHAR(34)&amp;" - check listing, ",""))</f>
        <v/>
      </c>
    </row>
    <row r="427" ht="15" customHeight="1">
      <c r="A427" s="44" t="n"/>
      <c r="B427" s="45" t="n"/>
      <c r="C427" s="45" t="n"/>
      <c r="D427" s="45" t="n"/>
      <c r="E427" s="45" t="n"/>
      <c r="F427" s="45" t="n"/>
      <c r="G427" s="45" t="n"/>
      <c r="H427" s="45" t="n"/>
      <c r="I427" s="45" t="n"/>
      <c r="J427" s="45" t="n"/>
      <c r="K427" s="45" t="n"/>
      <c r="L427" s="45" t="n"/>
      <c r="M427" s="45" t="n"/>
      <c r="N427" s="45" t="n"/>
      <c r="O427" s="45" t="n"/>
      <c r="P427" s="45" t="n"/>
      <c r="Q427" s="45" t="n"/>
      <c r="R427" s="45" t="n"/>
      <c r="S427" s="46" t="n"/>
      <c r="T427" s="46" t="n"/>
      <c r="U427" s="46" t="n"/>
      <c r="V427" s="46" t="n"/>
      <c r="W427" s="46" t="n"/>
      <c r="X427" s="46" t="n"/>
      <c r="Y427" s="46" t="n"/>
      <c r="Z427" s="46" t="n"/>
      <c r="AA427" s="46" t="n"/>
      <c r="AB427" s="46" t="n"/>
      <c r="AC427" s="46" t="n"/>
      <c r="AD427" s="46" t="n"/>
      <c r="AE427" s="46" t="n"/>
      <c r="AF427" s="46" t="n"/>
      <c r="AG427" s="46" t="n"/>
      <c r="AH427" s="47" t="n"/>
      <c r="AI427" s="47" t="n"/>
      <c r="AJ427" s="47" t="n"/>
      <c r="AK427" s="47" t="n"/>
      <c r="AL427" s="47" t="n"/>
      <c r="AM427" s="47" t="n"/>
      <c r="AN427" s="47" t="n"/>
      <c r="AO427" s="47" t="n"/>
      <c r="AP427" s="47" t="n"/>
      <c r="AQ427" s="47" t="n"/>
      <c r="AR427" s="47" t="n"/>
      <c r="AS427" s="47" t="n"/>
      <c r="AT427" s="47" t="n"/>
      <c r="AU427" s="48" t="n"/>
      <c r="AV427" s="48" t="n"/>
      <c r="AW427" s="49">
        <f>IF($A427="","",IF($BW427&lt;&gt;"","FIX",IF($BX427&lt;&gt;"","CHECK","OK")))</f>
        <v/>
      </c>
      <c r="AX427" s="50">
        <f>IF($A427="","",IF($BW427&lt;&gt;"","FIX: "&amp;LEFT($BW427,LEN($BW427)-2)&amp;IF($BX427&lt;&gt;"","  ·  ",""),"")&amp;IF($BX427&lt;&gt;"","CHECK: "&amp;LEFT($BX427,LEN($BX427)-2),""))</f>
        <v/>
      </c>
      <c r="AY427" s="49">
        <f>IF(OR($A427="",$K427=""),"",$K427&amp;"'-"&amp;N($L427)&amp;CHAR(34)&amp;" x "&amp;$M427&amp;"'-"&amp;N($N427)&amp;CHAR(34))</f>
        <v/>
      </c>
      <c r="AZ427" s="49">
        <f>IF(OR($A427="",$K427=""),"",$K427&amp;N($L427)&amp;$M427&amp;N($N427))</f>
        <v/>
      </c>
      <c r="BA427" s="49">
        <f>IF(OR($A427="",$K427=""),"",$K427*12+N($L427))</f>
        <v/>
      </c>
      <c r="BB427" s="49">
        <f>IF(OR($A427="",$M427=""),"",$M427*12+N($N427))</f>
        <v/>
      </c>
      <c r="BC427" s="49">
        <f>IF($A427="","",IF(OR($C427="FRAME ONLY",$S427="BL"),0,IF($O427="Y",2,1)))</f>
        <v/>
      </c>
      <c r="BD427" s="51">
        <f>IF(OR(N($BC427)=0,$BA427=""),"",($BA427-2*EdgeClr-IF($BC427=2,MeetClr,0))/$BC427)</f>
        <v/>
      </c>
      <c r="BE427" s="51">
        <f>IF(OR(N($BC427)=0,$BB427=""),"",$BB427-HeadClr-Undercut)</f>
        <v/>
      </c>
      <c r="BF427" s="51">
        <f>IF($BA427="","",$BA427+2*FaceW+IF(N($Q427)&gt;0,($Q427+FaceW)*IF($R427="LR",2,1),0))</f>
        <v/>
      </c>
      <c r="BG427" s="51">
        <f>IF($BB427="","",$BB427+IF($AB427="Y",4,FaceW)+IF(N($P427)&gt;0,$P427+FaceW,0)+IF(OR($S427="4F",$S427="BL"),FaceW,0))</f>
        <v/>
      </c>
      <c r="BH427" s="51">
        <f>IF($BF427="","",$BF427+2*ROSide)</f>
        <v/>
      </c>
      <c r="BI427" s="51">
        <f>IF($BG427="","",$BG427+ROTop)</f>
        <v/>
      </c>
      <c r="BJ427" s="52">
        <f>IF(OR(N($BC427)=0,$BA427=""),"",$BA427/$BC427-ClearDeduct)</f>
        <v/>
      </c>
      <c r="BK427" s="49">
        <f>IF(OR(N($BC427)=0,$BE427=""),"",IF(OR($AC427="HGC",$AP427="HGC"),"CONT",IF($BE427&lt;=60,2,IF($BE427&lt;=90,3,IF($BE427&lt;=120,4,5)))))</f>
        <v/>
      </c>
      <c r="BL427" s="49">
        <f>IF(N($BC427)=0,"",IF(OR($AL427="",$AL427="FLUSH"),"FLUSH",IFERROR(LEFT($AL427,FIND("-",$AL427)-1),LEFT($AL427,2))))</f>
        <v/>
      </c>
      <c r="BM427" s="49">
        <f>IF($BL427="","",IFERROR(VALUE(MID($AL427,FIND("-",$AL427)+1,FIND(CHAR(34)&amp;"x",$AL427)-FIND("-",$AL427)-1)),0))</f>
        <v/>
      </c>
      <c r="BN427" s="49">
        <f>IF($BL427="","",IFERROR(VALUE(MID($AL427,FIND(CHAR(34)&amp;"x",$AL427)+2,FIND(CHAR(34),$AL427,FIND(CHAR(34)&amp;"x",$AL427)+2)-FIND(CHAR(34)&amp;"x",$AL427)-2)),0))</f>
        <v/>
      </c>
      <c r="BO427" s="53">
        <f>IF(OR($A427="",$H427="",$H427="NO LAB"),0,IFERROR(VALUE(LEFT($H427,FIND(" ",$H427)-1)),0))</f>
        <v/>
      </c>
      <c r="BP427" s="54">
        <f>IF(OR($A427="",$I427="",$I427="NON-RATED",N($J427)=0),"",IFERROR(VLOOKUP($I427&amp;"|"&amp;$J427,IBC,2,FALSE),"?"))</f>
        <v/>
      </c>
      <c r="BQ427" s="50">
        <f>IF(NOT(AND($A427&lt;&gt;"",$C427&lt;&gt;"DOOR ONLY")),"",TRIM(IFERROR(VLOOKUP($U427,CODES,2,FALSE),"")&amp;" "&amp;$AZ427&amp;" "&amp;IFERROR(VLOOKUP($Z427,CODES,2,FALSE),"")&amp;" "&amp;IFERROR(VLOOKUP($X427,CODES,2,FALSE),"")&amp;" "&amp;IFERROR(VLOOKUP($S427,CODES,2,FALSE),"")&amp;IF(N($P427)&gt;0," w/TRANSOM "&amp;$P427&amp;CHAR(34),"")&amp;IF(N($Q427)&gt;0," w/SIDELITE "&amp;$Q427&amp;CHAR(34)&amp;" "&amp;IF($R427="","R",$R427),"")&amp;IF($Y427="","  |  "," | "&amp;IFERROR(VLOOKUP($Y427,CODES,2,FALSE),"")&amp;" | ")&amp;IFERROR(VLOOKUP($AC427,CODES,2,FALSE),"")&amp;" "&amp;IFERROR(VLOOKUP($AD427,CODES,2,FALSE),"")&amp;IF(OR($AE427="",$AE427="-"),""," "&amp;$AE427)&amp;IF(OR($AF427="",$AF427="-"),""," "&amp;$AF427)&amp;IF($AB427="Y"," 4"&amp;CHAR(34)&amp;" HEAD","")&amp;" "&amp;IFERROR(VLOOKUP($H427,CODES,2,FALSE),"")))</f>
        <v/>
      </c>
      <c r="BR427" s="50">
        <f>IF(NOT(AND($A427&lt;&gt;"",N($BC427)&gt;0)),"",TRIM(IFERROR(VLOOKUP($AH427,CODES,2,FALSE),"")&amp;IF($AI427=""," "," "&amp;$AI427&amp;"GA ")&amp;$AZ427&amp;" "&amp;IF($AN427="",IFERROR(VLOOKUP($Z427,CODES,2,FALSE),""),IFERROR(VLOOKUP($AN427,CODES,2,FALSE),""))&amp;IF($BC427=2," PAIR","")&amp;" DOOR | "&amp;IF($AL427="","?",$AL427)&amp;" | "&amp;IF($AP427="",IFERROR(VLOOKUP($AC427,CODES,2,FALSE),""),IFERROR(VLOOKUP($AP427,CODES,2,FALSE),""))&amp;" "&amp;IFERROR(VLOOKUP($AQ427,CODES,2,FALSE),"")&amp;IF(OR($AR427="",$AR427="-"),""," SEAM "&amp;$AR427)&amp;IF($AS427="Y"," ASTRAGAL","")&amp;IF($AJ427=""," "," "&amp;$AJ427)&amp;IF($AK427=""," "," "&amp;$AK427)&amp;IF($AO427="",""," "&amp;$AO427)&amp;IF($AM427=""," "," SERIES "&amp;$AM427)&amp;" "&amp;IFERROR(VLOOKUP($H427,CODES,2,FALSE),"")))</f>
        <v/>
      </c>
      <c r="BS427" s="49">
        <f>IF(BV427="","",IF(COUNTIF($BV$6:BV427,BV427)=1,MAX($BS$5:BS426)+1,INDEX($BS$5:BS426,MATCH(BV427,$BV$5:BV426,0))))</f>
        <v/>
      </c>
      <c r="BT427" s="49">
        <f>IF(NOT(AND($A427&lt;&gt;"",$C427&lt;&gt;"DOOR ONLY")),"",MAX($BT$5:BT426)+1)</f>
        <v/>
      </c>
      <c r="BU427" s="49">
        <f>IF(NOT(AND($A427&lt;&gt;"",N($BC427)&gt;0)),"",MAX($BU$5:BU426)+1)</f>
        <v/>
      </c>
      <c r="BV427" s="49">
        <f>IF(OR($A427="",$BA427="",$BB427=""),"",$AZ427&amp;"|"&amp;$O427&amp;"|"&amp;$AL427&amp;"|"&amp;$S427&amp;"|"&amp;$P427&amp;"|"&amp;$Q427&amp;$R427&amp;"|"&amp;$C427&amp;"|"&amp;$AB427)</f>
        <v/>
      </c>
      <c r="BW427" s="49">
        <f>IF($A427="","",IF($B427="","qty, ","")&amp;IF($C427="","scope, ","")&amp;IF(OR($K427="",$M427=""),"size, ","")&amp;IF(AND($A427&lt;&gt;"",$C427&lt;&gt;"DOOR ONLY"),IF($U427="","jamb depth, ","")&amp;IF($X427="","construction, ","")&amp;IF($Y427="","anchor, ","")&amp;IF($S427="","frame type, ",""),"")&amp;IF(AND(N($BC427)&gt;0,$Z427=""),"hand, ","")&amp;IF(N($BC427)&gt;0,IF($AH427="","door material, ","")&amp;IF($AL427="","face type, ","")&amp;IF($AQ427="","lock prep, ","")&amp;IF(AND($AP427="",$AC427=""),"hinge prep, ",""),"")&amp;IF(AND($BO427&gt;0,$AH427="FRP"),"FRP cannot carry a label, ","")&amp;IF(AND($O427="Y",OR($Z427="L",$Z427="R",$Z427="LR",$Z427="RR")),"pair marked but hand is single, ","")&amp;IF(AND($O427&lt;&gt;"Y",OR($Z427="PR",AND(LEN($Z427)&gt;1,ISNUMBER(SEARCH("-",$Z427))))),"pair hand on a single door, ","")&amp;IF(AND(ISNUMBER($BP427),$BO427&lt;N($BP427)),"wall needs a "&amp;$BP427&amp;" min door, ","")&amp;IF(AND($BO427&gt;=180,AND(OR($BL427="FG",$BL427="HG",$BL427="FNV",$BL427="FV"),N($BM427)*N($BN427)&gt;100)),"180 min lite over 100 sq in, ","")&amp;IF(N($BD427)&gt;48,"leaf wider than 4'-0"&amp;CHAR(34)&amp;", ",""))</f>
        <v/>
      </c>
      <c r="BX427" s="49">
        <f>IF($A427="","",IF(AND($BO427&gt;0,AND($A427&lt;&gt;"",$C427&lt;&gt;"DOOR ONLY"),$X427="KD",$E427="EXTERIOR"),"KD label on an exterior opening, ","")&amp;IF(AND($E427="EXTERIOR",OR(AND(AND($A427&lt;&gt;"",$C427&lt;&gt;"DOOR ONLY"),$W427="CR"),AND(N($BC427)&gt;0,$AH427="CR"))),"exterior in CR steel (G9?), ","")&amp;IF(AND(ISNUMBER($BJ427),N($BJ427)&lt;32),"clear width ~"&amp;TEXT($BJ427,"0.0")&amp;CHAR(34)&amp;" under 32"&amp;CHAR(34)&amp;" (ADA), ","")&amp;IF(AND($BO427=90,AND(OR($BL427="FG",$BL427="HG",$BL427="FNV",$BL427="FV"),N($BM427)*N($BN427)&gt;100)),"90 min lite over 100 sq in (stair/exit), ","")&amp;IF(AND($BO427&gt;0,AND($A427&lt;&gt;"",$C427&lt;&gt;"DOOR ONLY"),OR($AF427="",$AF427="-")),"rated: closer reinf.?, ","")&amp;IF(OR($I427="CORRIDOR",$I427="SMOKE BARRIER"),"S label + smoke gasketing, ","")&amp;IF($BP427="?","wall type/hr not in IBC table, ","")&amp;IF(AND(N($BC427)&gt;0,$AU427=""),"no hardware set, ","")&amp;IF(AND($AU427&lt;&gt;"",ISNA(MATCH($AU427,HWSets,0))),"set "&amp;$AU427&amp;" not on Hardware sheet, ","")&amp;IF(N($BE427)&gt;96,"leaf over 8'-0"&amp;CHAR(34)&amp;" - check listing, ",""))</f>
        <v/>
      </c>
    </row>
    <row r="428" ht="15" customHeight="1">
      <c r="A428" s="44" t="n"/>
      <c r="B428" s="45" t="n"/>
      <c r="C428" s="45" t="n"/>
      <c r="D428" s="45" t="n"/>
      <c r="E428" s="45" t="n"/>
      <c r="F428" s="45" t="n"/>
      <c r="G428" s="45" t="n"/>
      <c r="H428" s="45" t="n"/>
      <c r="I428" s="45" t="n"/>
      <c r="J428" s="45" t="n"/>
      <c r="K428" s="45" t="n"/>
      <c r="L428" s="45" t="n"/>
      <c r="M428" s="45" t="n"/>
      <c r="N428" s="45" t="n"/>
      <c r="O428" s="45" t="n"/>
      <c r="P428" s="45" t="n"/>
      <c r="Q428" s="45" t="n"/>
      <c r="R428" s="45" t="n"/>
      <c r="S428" s="46" t="n"/>
      <c r="T428" s="46" t="n"/>
      <c r="U428" s="46" t="n"/>
      <c r="V428" s="46" t="n"/>
      <c r="W428" s="46" t="n"/>
      <c r="X428" s="46" t="n"/>
      <c r="Y428" s="46" t="n"/>
      <c r="Z428" s="46" t="n"/>
      <c r="AA428" s="46" t="n"/>
      <c r="AB428" s="46" t="n"/>
      <c r="AC428" s="46" t="n"/>
      <c r="AD428" s="46" t="n"/>
      <c r="AE428" s="46" t="n"/>
      <c r="AF428" s="46" t="n"/>
      <c r="AG428" s="46" t="n"/>
      <c r="AH428" s="47" t="n"/>
      <c r="AI428" s="47" t="n"/>
      <c r="AJ428" s="47" t="n"/>
      <c r="AK428" s="47" t="n"/>
      <c r="AL428" s="47" t="n"/>
      <c r="AM428" s="47" t="n"/>
      <c r="AN428" s="47" t="n"/>
      <c r="AO428" s="47" t="n"/>
      <c r="AP428" s="47" t="n"/>
      <c r="AQ428" s="47" t="n"/>
      <c r="AR428" s="47" t="n"/>
      <c r="AS428" s="47" t="n"/>
      <c r="AT428" s="47" t="n"/>
      <c r="AU428" s="48" t="n"/>
      <c r="AV428" s="48" t="n"/>
      <c r="AW428" s="49">
        <f>IF($A428="","",IF($BW428&lt;&gt;"","FIX",IF($BX428&lt;&gt;"","CHECK","OK")))</f>
        <v/>
      </c>
      <c r="AX428" s="50">
        <f>IF($A428="","",IF($BW428&lt;&gt;"","FIX: "&amp;LEFT($BW428,LEN($BW428)-2)&amp;IF($BX428&lt;&gt;"","  ·  ",""),"")&amp;IF($BX428&lt;&gt;"","CHECK: "&amp;LEFT($BX428,LEN($BX428)-2),""))</f>
        <v/>
      </c>
      <c r="AY428" s="49">
        <f>IF(OR($A428="",$K428=""),"",$K428&amp;"'-"&amp;N($L428)&amp;CHAR(34)&amp;" x "&amp;$M428&amp;"'-"&amp;N($N428)&amp;CHAR(34))</f>
        <v/>
      </c>
      <c r="AZ428" s="49">
        <f>IF(OR($A428="",$K428=""),"",$K428&amp;N($L428)&amp;$M428&amp;N($N428))</f>
        <v/>
      </c>
      <c r="BA428" s="49">
        <f>IF(OR($A428="",$K428=""),"",$K428*12+N($L428))</f>
        <v/>
      </c>
      <c r="BB428" s="49">
        <f>IF(OR($A428="",$M428=""),"",$M428*12+N($N428))</f>
        <v/>
      </c>
      <c r="BC428" s="49">
        <f>IF($A428="","",IF(OR($C428="FRAME ONLY",$S428="BL"),0,IF($O428="Y",2,1)))</f>
        <v/>
      </c>
      <c r="BD428" s="51">
        <f>IF(OR(N($BC428)=0,$BA428=""),"",($BA428-2*EdgeClr-IF($BC428=2,MeetClr,0))/$BC428)</f>
        <v/>
      </c>
      <c r="BE428" s="51">
        <f>IF(OR(N($BC428)=0,$BB428=""),"",$BB428-HeadClr-Undercut)</f>
        <v/>
      </c>
      <c r="BF428" s="51">
        <f>IF($BA428="","",$BA428+2*FaceW+IF(N($Q428)&gt;0,($Q428+FaceW)*IF($R428="LR",2,1),0))</f>
        <v/>
      </c>
      <c r="BG428" s="51">
        <f>IF($BB428="","",$BB428+IF($AB428="Y",4,FaceW)+IF(N($P428)&gt;0,$P428+FaceW,0)+IF(OR($S428="4F",$S428="BL"),FaceW,0))</f>
        <v/>
      </c>
      <c r="BH428" s="51">
        <f>IF($BF428="","",$BF428+2*ROSide)</f>
        <v/>
      </c>
      <c r="BI428" s="51">
        <f>IF($BG428="","",$BG428+ROTop)</f>
        <v/>
      </c>
      <c r="BJ428" s="52">
        <f>IF(OR(N($BC428)=0,$BA428=""),"",$BA428/$BC428-ClearDeduct)</f>
        <v/>
      </c>
      <c r="BK428" s="49">
        <f>IF(OR(N($BC428)=0,$BE428=""),"",IF(OR($AC428="HGC",$AP428="HGC"),"CONT",IF($BE428&lt;=60,2,IF($BE428&lt;=90,3,IF($BE428&lt;=120,4,5)))))</f>
        <v/>
      </c>
      <c r="BL428" s="49">
        <f>IF(N($BC428)=0,"",IF(OR($AL428="",$AL428="FLUSH"),"FLUSH",IFERROR(LEFT($AL428,FIND("-",$AL428)-1),LEFT($AL428,2))))</f>
        <v/>
      </c>
      <c r="BM428" s="49">
        <f>IF($BL428="","",IFERROR(VALUE(MID($AL428,FIND("-",$AL428)+1,FIND(CHAR(34)&amp;"x",$AL428)-FIND("-",$AL428)-1)),0))</f>
        <v/>
      </c>
      <c r="BN428" s="49">
        <f>IF($BL428="","",IFERROR(VALUE(MID($AL428,FIND(CHAR(34)&amp;"x",$AL428)+2,FIND(CHAR(34),$AL428,FIND(CHAR(34)&amp;"x",$AL428)+2)-FIND(CHAR(34)&amp;"x",$AL428)-2)),0))</f>
        <v/>
      </c>
      <c r="BO428" s="53">
        <f>IF(OR($A428="",$H428="",$H428="NO LAB"),0,IFERROR(VALUE(LEFT($H428,FIND(" ",$H428)-1)),0))</f>
        <v/>
      </c>
      <c r="BP428" s="54">
        <f>IF(OR($A428="",$I428="",$I428="NON-RATED",N($J428)=0),"",IFERROR(VLOOKUP($I428&amp;"|"&amp;$J428,IBC,2,FALSE),"?"))</f>
        <v/>
      </c>
      <c r="BQ428" s="50">
        <f>IF(NOT(AND($A428&lt;&gt;"",$C428&lt;&gt;"DOOR ONLY")),"",TRIM(IFERROR(VLOOKUP($U428,CODES,2,FALSE),"")&amp;" "&amp;$AZ428&amp;" "&amp;IFERROR(VLOOKUP($Z428,CODES,2,FALSE),"")&amp;" "&amp;IFERROR(VLOOKUP($X428,CODES,2,FALSE),"")&amp;" "&amp;IFERROR(VLOOKUP($S428,CODES,2,FALSE),"")&amp;IF(N($P428)&gt;0," w/TRANSOM "&amp;$P428&amp;CHAR(34),"")&amp;IF(N($Q428)&gt;0," w/SIDELITE "&amp;$Q428&amp;CHAR(34)&amp;" "&amp;IF($R428="","R",$R428),"")&amp;IF($Y428="","  |  "," | "&amp;IFERROR(VLOOKUP($Y428,CODES,2,FALSE),"")&amp;" | ")&amp;IFERROR(VLOOKUP($AC428,CODES,2,FALSE),"")&amp;" "&amp;IFERROR(VLOOKUP($AD428,CODES,2,FALSE),"")&amp;IF(OR($AE428="",$AE428="-"),""," "&amp;$AE428)&amp;IF(OR($AF428="",$AF428="-"),""," "&amp;$AF428)&amp;IF($AB428="Y"," 4"&amp;CHAR(34)&amp;" HEAD","")&amp;" "&amp;IFERROR(VLOOKUP($H428,CODES,2,FALSE),"")))</f>
        <v/>
      </c>
      <c r="BR428" s="50">
        <f>IF(NOT(AND($A428&lt;&gt;"",N($BC428)&gt;0)),"",TRIM(IFERROR(VLOOKUP($AH428,CODES,2,FALSE),"")&amp;IF($AI428=""," "," "&amp;$AI428&amp;"GA ")&amp;$AZ428&amp;" "&amp;IF($AN428="",IFERROR(VLOOKUP($Z428,CODES,2,FALSE),""),IFERROR(VLOOKUP($AN428,CODES,2,FALSE),""))&amp;IF($BC428=2," PAIR","")&amp;" DOOR | "&amp;IF($AL428="","?",$AL428)&amp;" | "&amp;IF($AP428="",IFERROR(VLOOKUP($AC428,CODES,2,FALSE),""),IFERROR(VLOOKUP($AP428,CODES,2,FALSE),""))&amp;" "&amp;IFERROR(VLOOKUP($AQ428,CODES,2,FALSE),"")&amp;IF(OR($AR428="",$AR428="-"),""," SEAM "&amp;$AR428)&amp;IF($AS428="Y"," ASTRAGAL","")&amp;IF($AJ428=""," "," "&amp;$AJ428)&amp;IF($AK428=""," "," "&amp;$AK428)&amp;IF($AO428="",""," "&amp;$AO428)&amp;IF($AM428=""," "," SERIES "&amp;$AM428)&amp;" "&amp;IFERROR(VLOOKUP($H428,CODES,2,FALSE),"")))</f>
        <v/>
      </c>
      <c r="BS428" s="49">
        <f>IF(BV428="","",IF(COUNTIF($BV$6:BV428,BV428)=1,MAX($BS$5:BS427)+1,INDEX($BS$5:BS427,MATCH(BV428,$BV$5:BV427,0))))</f>
        <v/>
      </c>
      <c r="BT428" s="49">
        <f>IF(NOT(AND($A428&lt;&gt;"",$C428&lt;&gt;"DOOR ONLY")),"",MAX($BT$5:BT427)+1)</f>
        <v/>
      </c>
      <c r="BU428" s="49">
        <f>IF(NOT(AND($A428&lt;&gt;"",N($BC428)&gt;0)),"",MAX($BU$5:BU427)+1)</f>
        <v/>
      </c>
      <c r="BV428" s="49">
        <f>IF(OR($A428="",$BA428="",$BB428=""),"",$AZ428&amp;"|"&amp;$O428&amp;"|"&amp;$AL428&amp;"|"&amp;$S428&amp;"|"&amp;$P428&amp;"|"&amp;$Q428&amp;$R428&amp;"|"&amp;$C428&amp;"|"&amp;$AB428)</f>
        <v/>
      </c>
      <c r="BW428" s="49">
        <f>IF($A428="","",IF($B428="","qty, ","")&amp;IF($C428="","scope, ","")&amp;IF(OR($K428="",$M428=""),"size, ","")&amp;IF(AND($A428&lt;&gt;"",$C428&lt;&gt;"DOOR ONLY"),IF($U428="","jamb depth, ","")&amp;IF($X428="","construction, ","")&amp;IF($Y428="","anchor, ","")&amp;IF($S428="","frame type, ",""),"")&amp;IF(AND(N($BC428)&gt;0,$Z428=""),"hand, ","")&amp;IF(N($BC428)&gt;0,IF($AH428="","door material, ","")&amp;IF($AL428="","face type, ","")&amp;IF($AQ428="","lock prep, ","")&amp;IF(AND($AP428="",$AC428=""),"hinge prep, ",""),"")&amp;IF(AND($BO428&gt;0,$AH428="FRP"),"FRP cannot carry a label, ","")&amp;IF(AND($O428="Y",OR($Z428="L",$Z428="R",$Z428="LR",$Z428="RR")),"pair marked but hand is single, ","")&amp;IF(AND($O428&lt;&gt;"Y",OR($Z428="PR",AND(LEN($Z428)&gt;1,ISNUMBER(SEARCH("-",$Z428))))),"pair hand on a single door, ","")&amp;IF(AND(ISNUMBER($BP428),$BO428&lt;N($BP428)),"wall needs a "&amp;$BP428&amp;" min door, ","")&amp;IF(AND($BO428&gt;=180,AND(OR($BL428="FG",$BL428="HG",$BL428="FNV",$BL428="FV"),N($BM428)*N($BN428)&gt;100)),"180 min lite over 100 sq in, ","")&amp;IF(N($BD428)&gt;48,"leaf wider than 4'-0"&amp;CHAR(34)&amp;", ",""))</f>
        <v/>
      </c>
      <c r="BX428" s="49">
        <f>IF($A428="","",IF(AND($BO428&gt;0,AND($A428&lt;&gt;"",$C428&lt;&gt;"DOOR ONLY"),$X428="KD",$E428="EXTERIOR"),"KD label on an exterior opening, ","")&amp;IF(AND($E428="EXTERIOR",OR(AND(AND($A428&lt;&gt;"",$C428&lt;&gt;"DOOR ONLY"),$W428="CR"),AND(N($BC428)&gt;0,$AH428="CR"))),"exterior in CR steel (G9?), ","")&amp;IF(AND(ISNUMBER($BJ428),N($BJ428)&lt;32),"clear width ~"&amp;TEXT($BJ428,"0.0")&amp;CHAR(34)&amp;" under 32"&amp;CHAR(34)&amp;" (ADA), ","")&amp;IF(AND($BO428=90,AND(OR($BL428="FG",$BL428="HG",$BL428="FNV",$BL428="FV"),N($BM428)*N($BN428)&gt;100)),"90 min lite over 100 sq in (stair/exit), ","")&amp;IF(AND($BO428&gt;0,AND($A428&lt;&gt;"",$C428&lt;&gt;"DOOR ONLY"),OR($AF428="",$AF428="-")),"rated: closer reinf.?, ","")&amp;IF(OR($I428="CORRIDOR",$I428="SMOKE BARRIER"),"S label + smoke gasketing, ","")&amp;IF($BP428="?","wall type/hr not in IBC table, ","")&amp;IF(AND(N($BC428)&gt;0,$AU428=""),"no hardware set, ","")&amp;IF(AND($AU428&lt;&gt;"",ISNA(MATCH($AU428,HWSets,0))),"set "&amp;$AU428&amp;" not on Hardware sheet, ","")&amp;IF(N($BE428)&gt;96,"leaf over 8'-0"&amp;CHAR(34)&amp;" - check listing, ",""))</f>
        <v/>
      </c>
    </row>
    <row r="429" ht="15" customHeight="1">
      <c r="A429" s="44" t="n"/>
      <c r="B429" s="45" t="n"/>
      <c r="C429" s="45" t="n"/>
      <c r="D429" s="45" t="n"/>
      <c r="E429" s="45" t="n"/>
      <c r="F429" s="45" t="n"/>
      <c r="G429" s="45" t="n"/>
      <c r="H429" s="45" t="n"/>
      <c r="I429" s="45" t="n"/>
      <c r="J429" s="45" t="n"/>
      <c r="K429" s="45" t="n"/>
      <c r="L429" s="45" t="n"/>
      <c r="M429" s="45" t="n"/>
      <c r="N429" s="45" t="n"/>
      <c r="O429" s="45" t="n"/>
      <c r="P429" s="45" t="n"/>
      <c r="Q429" s="45" t="n"/>
      <c r="R429" s="45" t="n"/>
      <c r="S429" s="46" t="n"/>
      <c r="T429" s="46" t="n"/>
      <c r="U429" s="46" t="n"/>
      <c r="V429" s="46" t="n"/>
      <c r="W429" s="46" t="n"/>
      <c r="X429" s="46" t="n"/>
      <c r="Y429" s="46" t="n"/>
      <c r="Z429" s="46" t="n"/>
      <c r="AA429" s="46" t="n"/>
      <c r="AB429" s="46" t="n"/>
      <c r="AC429" s="46" t="n"/>
      <c r="AD429" s="46" t="n"/>
      <c r="AE429" s="46" t="n"/>
      <c r="AF429" s="46" t="n"/>
      <c r="AG429" s="46" t="n"/>
      <c r="AH429" s="47" t="n"/>
      <c r="AI429" s="47" t="n"/>
      <c r="AJ429" s="47" t="n"/>
      <c r="AK429" s="47" t="n"/>
      <c r="AL429" s="47" t="n"/>
      <c r="AM429" s="47" t="n"/>
      <c r="AN429" s="47" t="n"/>
      <c r="AO429" s="47" t="n"/>
      <c r="AP429" s="47" t="n"/>
      <c r="AQ429" s="47" t="n"/>
      <c r="AR429" s="47" t="n"/>
      <c r="AS429" s="47" t="n"/>
      <c r="AT429" s="47" t="n"/>
      <c r="AU429" s="48" t="n"/>
      <c r="AV429" s="48" t="n"/>
      <c r="AW429" s="49">
        <f>IF($A429="","",IF($BW429&lt;&gt;"","FIX",IF($BX429&lt;&gt;"","CHECK","OK")))</f>
        <v/>
      </c>
      <c r="AX429" s="50">
        <f>IF($A429="","",IF($BW429&lt;&gt;"","FIX: "&amp;LEFT($BW429,LEN($BW429)-2)&amp;IF($BX429&lt;&gt;"","  ·  ",""),"")&amp;IF($BX429&lt;&gt;"","CHECK: "&amp;LEFT($BX429,LEN($BX429)-2),""))</f>
        <v/>
      </c>
      <c r="AY429" s="49">
        <f>IF(OR($A429="",$K429=""),"",$K429&amp;"'-"&amp;N($L429)&amp;CHAR(34)&amp;" x "&amp;$M429&amp;"'-"&amp;N($N429)&amp;CHAR(34))</f>
        <v/>
      </c>
      <c r="AZ429" s="49">
        <f>IF(OR($A429="",$K429=""),"",$K429&amp;N($L429)&amp;$M429&amp;N($N429))</f>
        <v/>
      </c>
      <c r="BA429" s="49">
        <f>IF(OR($A429="",$K429=""),"",$K429*12+N($L429))</f>
        <v/>
      </c>
      <c r="BB429" s="49">
        <f>IF(OR($A429="",$M429=""),"",$M429*12+N($N429))</f>
        <v/>
      </c>
      <c r="BC429" s="49">
        <f>IF($A429="","",IF(OR($C429="FRAME ONLY",$S429="BL"),0,IF($O429="Y",2,1)))</f>
        <v/>
      </c>
      <c r="BD429" s="51">
        <f>IF(OR(N($BC429)=0,$BA429=""),"",($BA429-2*EdgeClr-IF($BC429=2,MeetClr,0))/$BC429)</f>
        <v/>
      </c>
      <c r="BE429" s="51">
        <f>IF(OR(N($BC429)=0,$BB429=""),"",$BB429-HeadClr-Undercut)</f>
        <v/>
      </c>
      <c r="BF429" s="51">
        <f>IF($BA429="","",$BA429+2*FaceW+IF(N($Q429)&gt;0,($Q429+FaceW)*IF($R429="LR",2,1),0))</f>
        <v/>
      </c>
      <c r="BG429" s="51">
        <f>IF($BB429="","",$BB429+IF($AB429="Y",4,FaceW)+IF(N($P429)&gt;0,$P429+FaceW,0)+IF(OR($S429="4F",$S429="BL"),FaceW,0))</f>
        <v/>
      </c>
      <c r="BH429" s="51">
        <f>IF($BF429="","",$BF429+2*ROSide)</f>
        <v/>
      </c>
      <c r="BI429" s="51">
        <f>IF($BG429="","",$BG429+ROTop)</f>
        <v/>
      </c>
      <c r="BJ429" s="52">
        <f>IF(OR(N($BC429)=0,$BA429=""),"",$BA429/$BC429-ClearDeduct)</f>
        <v/>
      </c>
      <c r="BK429" s="49">
        <f>IF(OR(N($BC429)=0,$BE429=""),"",IF(OR($AC429="HGC",$AP429="HGC"),"CONT",IF($BE429&lt;=60,2,IF($BE429&lt;=90,3,IF($BE429&lt;=120,4,5)))))</f>
        <v/>
      </c>
      <c r="BL429" s="49">
        <f>IF(N($BC429)=0,"",IF(OR($AL429="",$AL429="FLUSH"),"FLUSH",IFERROR(LEFT($AL429,FIND("-",$AL429)-1),LEFT($AL429,2))))</f>
        <v/>
      </c>
      <c r="BM429" s="49">
        <f>IF($BL429="","",IFERROR(VALUE(MID($AL429,FIND("-",$AL429)+1,FIND(CHAR(34)&amp;"x",$AL429)-FIND("-",$AL429)-1)),0))</f>
        <v/>
      </c>
      <c r="BN429" s="49">
        <f>IF($BL429="","",IFERROR(VALUE(MID($AL429,FIND(CHAR(34)&amp;"x",$AL429)+2,FIND(CHAR(34),$AL429,FIND(CHAR(34)&amp;"x",$AL429)+2)-FIND(CHAR(34)&amp;"x",$AL429)-2)),0))</f>
        <v/>
      </c>
      <c r="BO429" s="53">
        <f>IF(OR($A429="",$H429="",$H429="NO LAB"),0,IFERROR(VALUE(LEFT($H429,FIND(" ",$H429)-1)),0))</f>
        <v/>
      </c>
      <c r="BP429" s="54">
        <f>IF(OR($A429="",$I429="",$I429="NON-RATED",N($J429)=0),"",IFERROR(VLOOKUP($I429&amp;"|"&amp;$J429,IBC,2,FALSE),"?"))</f>
        <v/>
      </c>
      <c r="BQ429" s="50">
        <f>IF(NOT(AND($A429&lt;&gt;"",$C429&lt;&gt;"DOOR ONLY")),"",TRIM(IFERROR(VLOOKUP($U429,CODES,2,FALSE),"")&amp;" "&amp;$AZ429&amp;" "&amp;IFERROR(VLOOKUP($Z429,CODES,2,FALSE),"")&amp;" "&amp;IFERROR(VLOOKUP($X429,CODES,2,FALSE),"")&amp;" "&amp;IFERROR(VLOOKUP($S429,CODES,2,FALSE),"")&amp;IF(N($P429)&gt;0," w/TRANSOM "&amp;$P429&amp;CHAR(34),"")&amp;IF(N($Q429)&gt;0," w/SIDELITE "&amp;$Q429&amp;CHAR(34)&amp;" "&amp;IF($R429="","R",$R429),"")&amp;IF($Y429="","  |  "," | "&amp;IFERROR(VLOOKUP($Y429,CODES,2,FALSE),"")&amp;" | ")&amp;IFERROR(VLOOKUP($AC429,CODES,2,FALSE),"")&amp;" "&amp;IFERROR(VLOOKUP($AD429,CODES,2,FALSE),"")&amp;IF(OR($AE429="",$AE429="-"),""," "&amp;$AE429)&amp;IF(OR($AF429="",$AF429="-"),""," "&amp;$AF429)&amp;IF($AB429="Y"," 4"&amp;CHAR(34)&amp;" HEAD","")&amp;" "&amp;IFERROR(VLOOKUP($H429,CODES,2,FALSE),"")))</f>
        <v/>
      </c>
      <c r="BR429" s="50">
        <f>IF(NOT(AND($A429&lt;&gt;"",N($BC429)&gt;0)),"",TRIM(IFERROR(VLOOKUP($AH429,CODES,2,FALSE),"")&amp;IF($AI429=""," "," "&amp;$AI429&amp;"GA ")&amp;$AZ429&amp;" "&amp;IF($AN429="",IFERROR(VLOOKUP($Z429,CODES,2,FALSE),""),IFERROR(VLOOKUP($AN429,CODES,2,FALSE),""))&amp;IF($BC429=2," PAIR","")&amp;" DOOR | "&amp;IF($AL429="","?",$AL429)&amp;" | "&amp;IF($AP429="",IFERROR(VLOOKUP($AC429,CODES,2,FALSE),""),IFERROR(VLOOKUP($AP429,CODES,2,FALSE),""))&amp;" "&amp;IFERROR(VLOOKUP($AQ429,CODES,2,FALSE),"")&amp;IF(OR($AR429="",$AR429="-"),""," SEAM "&amp;$AR429)&amp;IF($AS429="Y"," ASTRAGAL","")&amp;IF($AJ429=""," "," "&amp;$AJ429)&amp;IF($AK429=""," "," "&amp;$AK429)&amp;IF($AO429="",""," "&amp;$AO429)&amp;IF($AM429=""," "," SERIES "&amp;$AM429)&amp;" "&amp;IFERROR(VLOOKUP($H429,CODES,2,FALSE),"")))</f>
        <v/>
      </c>
      <c r="BS429" s="49">
        <f>IF(BV429="","",IF(COUNTIF($BV$6:BV429,BV429)=1,MAX($BS$5:BS428)+1,INDEX($BS$5:BS428,MATCH(BV429,$BV$5:BV428,0))))</f>
        <v/>
      </c>
      <c r="BT429" s="49">
        <f>IF(NOT(AND($A429&lt;&gt;"",$C429&lt;&gt;"DOOR ONLY")),"",MAX($BT$5:BT428)+1)</f>
        <v/>
      </c>
      <c r="BU429" s="49">
        <f>IF(NOT(AND($A429&lt;&gt;"",N($BC429)&gt;0)),"",MAX($BU$5:BU428)+1)</f>
        <v/>
      </c>
      <c r="BV429" s="49">
        <f>IF(OR($A429="",$BA429="",$BB429=""),"",$AZ429&amp;"|"&amp;$O429&amp;"|"&amp;$AL429&amp;"|"&amp;$S429&amp;"|"&amp;$P429&amp;"|"&amp;$Q429&amp;$R429&amp;"|"&amp;$C429&amp;"|"&amp;$AB429)</f>
        <v/>
      </c>
      <c r="BW429" s="49">
        <f>IF($A429="","",IF($B429="","qty, ","")&amp;IF($C429="","scope, ","")&amp;IF(OR($K429="",$M429=""),"size, ","")&amp;IF(AND($A429&lt;&gt;"",$C429&lt;&gt;"DOOR ONLY"),IF($U429="","jamb depth, ","")&amp;IF($X429="","construction, ","")&amp;IF($Y429="","anchor, ","")&amp;IF($S429="","frame type, ",""),"")&amp;IF(AND(N($BC429)&gt;0,$Z429=""),"hand, ","")&amp;IF(N($BC429)&gt;0,IF($AH429="","door material, ","")&amp;IF($AL429="","face type, ","")&amp;IF($AQ429="","lock prep, ","")&amp;IF(AND($AP429="",$AC429=""),"hinge prep, ",""),"")&amp;IF(AND($BO429&gt;0,$AH429="FRP"),"FRP cannot carry a label, ","")&amp;IF(AND($O429="Y",OR($Z429="L",$Z429="R",$Z429="LR",$Z429="RR")),"pair marked but hand is single, ","")&amp;IF(AND($O429&lt;&gt;"Y",OR($Z429="PR",AND(LEN($Z429)&gt;1,ISNUMBER(SEARCH("-",$Z429))))),"pair hand on a single door, ","")&amp;IF(AND(ISNUMBER($BP429),$BO429&lt;N($BP429)),"wall needs a "&amp;$BP429&amp;" min door, ","")&amp;IF(AND($BO429&gt;=180,AND(OR($BL429="FG",$BL429="HG",$BL429="FNV",$BL429="FV"),N($BM429)*N($BN429)&gt;100)),"180 min lite over 100 sq in, ","")&amp;IF(N($BD429)&gt;48,"leaf wider than 4'-0"&amp;CHAR(34)&amp;", ",""))</f>
        <v/>
      </c>
      <c r="BX429" s="49">
        <f>IF($A429="","",IF(AND($BO429&gt;0,AND($A429&lt;&gt;"",$C429&lt;&gt;"DOOR ONLY"),$X429="KD",$E429="EXTERIOR"),"KD label on an exterior opening, ","")&amp;IF(AND($E429="EXTERIOR",OR(AND(AND($A429&lt;&gt;"",$C429&lt;&gt;"DOOR ONLY"),$W429="CR"),AND(N($BC429)&gt;0,$AH429="CR"))),"exterior in CR steel (G9?), ","")&amp;IF(AND(ISNUMBER($BJ429),N($BJ429)&lt;32),"clear width ~"&amp;TEXT($BJ429,"0.0")&amp;CHAR(34)&amp;" under 32"&amp;CHAR(34)&amp;" (ADA), ","")&amp;IF(AND($BO429=90,AND(OR($BL429="FG",$BL429="HG",$BL429="FNV",$BL429="FV"),N($BM429)*N($BN429)&gt;100)),"90 min lite over 100 sq in (stair/exit), ","")&amp;IF(AND($BO429&gt;0,AND($A429&lt;&gt;"",$C429&lt;&gt;"DOOR ONLY"),OR($AF429="",$AF429="-")),"rated: closer reinf.?, ","")&amp;IF(OR($I429="CORRIDOR",$I429="SMOKE BARRIER"),"S label + smoke gasketing, ","")&amp;IF($BP429="?","wall type/hr not in IBC table, ","")&amp;IF(AND(N($BC429)&gt;0,$AU429=""),"no hardware set, ","")&amp;IF(AND($AU429&lt;&gt;"",ISNA(MATCH($AU429,HWSets,0))),"set "&amp;$AU429&amp;" not on Hardware sheet, ","")&amp;IF(N($BE429)&gt;96,"leaf over 8'-0"&amp;CHAR(34)&amp;" - check listing, ",""))</f>
        <v/>
      </c>
    </row>
    <row r="430" ht="15" customHeight="1">
      <c r="A430" s="44" t="n"/>
      <c r="B430" s="45" t="n"/>
      <c r="C430" s="45" t="n"/>
      <c r="D430" s="45" t="n"/>
      <c r="E430" s="45" t="n"/>
      <c r="F430" s="45" t="n"/>
      <c r="G430" s="45" t="n"/>
      <c r="H430" s="45" t="n"/>
      <c r="I430" s="45" t="n"/>
      <c r="J430" s="45" t="n"/>
      <c r="K430" s="45" t="n"/>
      <c r="L430" s="45" t="n"/>
      <c r="M430" s="45" t="n"/>
      <c r="N430" s="45" t="n"/>
      <c r="O430" s="45" t="n"/>
      <c r="P430" s="45" t="n"/>
      <c r="Q430" s="45" t="n"/>
      <c r="R430" s="45" t="n"/>
      <c r="S430" s="46" t="n"/>
      <c r="T430" s="46" t="n"/>
      <c r="U430" s="46" t="n"/>
      <c r="V430" s="46" t="n"/>
      <c r="W430" s="46" t="n"/>
      <c r="X430" s="46" t="n"/>
      <c r="Y430" s="46" t="n"/>
      <c r="Z430" s="46" t="n"/>
      <c r="AA430" s="46" t="n"/>
      <c r="AB430" s="46" t="n"/>
      <c r="AC430" s="46" t="n"/>
      <c r="AD430" s="46" t="n"/>
      <c r="AE430" s="46" t="n"/>
      <c r="AF430" s="46" t="n"/>
      <c r="AG430" s="46" t="n"/>
      <c r="AH430" s="47" t="n"/>
      <c r="AI430" s="47" t="n"/>
      <c r="AJ430" s="47" t="n"/>
      <c r="AK430" s="47" t="n"/>
      <c r="AL430" s="47" t="n"/>
      <c r="AM430" s="47" t="n"/>
      <c r="AN430" s="47" t="n"/>
      <c r="AO430" s="47" t="n"/>
      <c r="AP430" s="47" t="n"/>
      <c r="AQ430" s="47" t="n"/>
      <c r="AR430" s="47" t="n"/>
      <c r="AS430" s="47" t="n"/>
      <c r="AT430" s="47" t="n"/>
      <c r="AU430" s="48" t="n"/>
      <c r="AV430" s="48" t="n"/>
      <c r="AW430" s="49">
        <f>IF($A430="","",IF($BW430&lt;&gt;"","FIX",IF($BX430&lt;&gt;"","CHECK","OK")))</f>
        <v/>
      </c>
      <c r="AX430" s="50">
        <f>IF($A430="","",IF($BW430&lt;&gt;"","FIX: "&amp;LEFT($BW430,LEN($BW430)-2)&amp;IF($BX430&lt;&gt;"","  ·  ",""),"")&amp;IF($BX430&lt;&gt;"","CHECK: "&amp;LEFT($BX430,LEN($BX430)-2),""))</f>
        <v/>
      </c>
      <c r="AY430" s="49">
        <f>IF(OR($A430="",$K430=""),"",$K430&amp;"'-"&amp;N($L430)&amp;CHAR(34)&amp;" x "&amp;$M430&amp;"'-"&amp;N($N430)&amp;CHAR(34))</f>
        <v/>
      </c>
      <c r="AZ430" s="49">
        <f>IF(OR($A430="",$K430=""),"",$K430&amp;N($L430)&amp;$M430&amp;N($N430))</f>
        <v/>
      </c>
      <c r="BA430" s="49">
        <f>IF(OR($A430="",$K430=""),"",$K430*12+N($L430))</f>
        <v/>
      </c>
      <c r="BB430" s="49">
        <f>IF(OR($A430="",$M430=""),"",$M430*12+N($N430))</f>
        <v/>
      </c>
      <c r="BC430" s="49">
        <f>IF($A430="","",IF(OR($C430="FRAME ONLY",$S430="BL"),0,IF($O430="Y",2,1)))</f>
        <v/>
      </c>
      <c r="BD430" s="51">
        <f>IF(OR(N($BC430)=0,$BA430=""),"",($BA430-2*EdgeClr-IF($BC430=2,MeetClr,0))/$BC430)</f>
        <v/>
      </c>
      <c r="BE430" s="51">
        <f>IF(OR(N($BC430)=0,$BB430=""),"",$BB430-HeadClr-Undercut)</f>
        <v/>
      </c>
      <c r="BF430" s="51">
        <f>IF($BA430="","",$BA430+2*FaceW+IF(N($Q430)&gt;0,($Q430+FaceW)*IF($R430="LR",2,1),0))</f>
        <v/>
      </c>
      <c r="BG430" s="51">
        <f>IF($BB430="","",$BB430+IF($AB430="Y",4,FaceW)+IF(N($P430)&gt;0,$P430+FaceW,0)+IF(OR($S430="4F",$S430="BL"),FaceW,0))</f>
        <v/>
      </c>
      <c r="BH430" s="51">
        <f>IF($BF430="","",$BF430+2*ROSide)</f>
        <v/>
      </c>
      <c r="BI430" s="51">
        <f>IF($BG430="","",$BG430+ROTop)</f>
        <v/>
      </c>
      <c r="BJ430" s="52">
        <f>IF(OR(N($BC430)=0,$BA430=""),"",$BA430/$BC430-ClearDeduct)</f>
        <v/>
      </c>
      <c r="BK430" s="49">
        <f>IF(OR(N($BC430)=0,$BE430=""),"",IF(OR($AC430="HGC",$AP430="HGC"),"CONT",IF($BE430&lt;=60,2,IF($BE430&lt;=90,3,IF($BE430&lt;=120,4,5)))))</f>
        <v/>
      </c>
      <c r="BL430" s="49">
        <f>IF(N($BC430)=0,"",IF(OR($AL430="",$AL430="FLUSH"),"FLUSH",IFERROR(LEFT($AL430,FIND("-",$AL430)-1),LEFT($AL430,2))))</f>
        <v/>
      </c>
      <c r="BM430" s="49">
        <f>IF($BL430="","",IFERROR(VALUE(MID($AL430,FIND("-",$AL430)+1,FIND(CHAR(34)&amp;"x",$AL430)-FIND("-",$AL430)-1)),0))</f>
        <v/>
      </c>
      <c r="BN430" s="49">
        <f>IF($BL430="","",IFERROR(VALUE(MID($AL430,FIND(CHAR(34)&amp;"x",$AL430)+2,FIND(CHAR(34),$AL430,FIND(CHAR(34)&amp;"x",$AL430)+2)-FIND(CHAR(34)&amp;"x",$AL430)-2)),0))</f>
        <v/>
      </c>
      <c r="BO430" s="53">
        <f>IF(OR($A430="",$H430="",$H430="NO LAB"),0,IFERROR(VALUE(LEFT($H430,FIND(" ",$H430)-1)),0))</f>
        <v/>
      </c>
      <c r="BP430" s="54">
        <f>IF(OR($A430="",$I430="",$I430="NON-RATED",N($J430)=0),"",IFERROR(VLOOKUP($I430&amp;"|"&amp;$J430,IBC,2,FALSE),"?"))</f>
        <v/>
      </c>
      <c r="BQ430" s="50">
        <f>IF(NOT(AND($A430&lt;&gt;"",$C430&lt;&gt;"DOOR ONLY")),"",TRIM(IFERROR(VLOOKUP($U430,CODES,2,FALSE),"")&amp;" "&amp;$AZ430&amp;" "&amp;IFERROR(VLOOKUP($Z430,CODES,2,FALSE),"")&amp;" "&amp;IFERROR(VLOOKUP($X430,CODES,2,FALSE),"")&amp;" "&amp;IFERROR(VLOOKUP($S430,CODES,2,FALSE),"")&amp;IF(N($P430)&gt;0," w/TRANSOM "&amp;$P430&amp;CHAR(34),"")&amp;IF(N($Q430)&gt;0," w/SIDELITE "&amp;$Q430&amp;CHAR(34)&amp;" "&amp;IF($R430="","R",$R430),"")&amp;IF($Y430="","  |  "," | "&amp;IFERROR(VLOOKUP($Y430,CODES,2,FALSE),"")&amp;" | ")&amp;IFERROR(VLOOKUP($AC430,CODES,2,FALSE),"")&amp;" "&amp;IFERROR(VLOOKUP($AD430,CODES,2,FALSE),"")&amp;IF(OR($AE430="",$AE430="-"),""," "&amp;$AE430)&amp;IF(OR($AF430="",$AF430="-"),""," "&amp;$AF430)&amp;IF($AB430="Y"," 4"&amp;CHAR(34)&amp;" HEAD","")&amp;" "&amp;IFERROR(VLOOKUP($H430,CODES,2,FALSE),"")))</f>
        <v/>
      </c>
      <c r="BR430" s="50">
        <f>IF(NOT(AND($A430&lt;&gt;"",N($BC430)&gt;0)),"",TRIM(IFERROR(VLOOKUP($AH430,CODES,2,FALSE),"")&amp;IF($AI430=""," "," "&amp;$AI430&amp;"GA ")&amp;$AZ430&amp;" "&amp;IF($AN430="",IFERROR(VLOOKUP($Z430,CODES,2,FALSE),""),IFERROR(VLOOKUP($AN430,CODES,2,FALSE),""))&amp;IF($BC430=2," PAIR","")&amp;" DOOR | "&amp;IF($AL430="","?",$AL430)&amp;" | "&amp;IF($AP430="",IFERROR(VLOOKUP($AC430,CODES,2,FALSE),""),IFERROR(VLOOKUP($AP430,CODES,2,FALSE),""))&amp;" "&amp;IFERROR(VLOOKUP($AQ430,CODES,2,FALSE),"")&amp;IF(OR($AR430="",$AR430="-"),""," SEAM "&amp;$AR430)&amp;IF($AS430="Y"," ASTRAGAL","")&amp;IF($AJ430=""," "," "&amp;$AJ430)&amp;IF($AK430=""," "," "&amp;$AK430)&amp;IF($AO430="",""," "&amp;$AO430)&amp;IF($AM430=""," "," SERIES "&amp;$AM430)&amp;" "&amp;IFERROR(VLOOKUP($H430,CODES,2,FALSE),"")))</f>
        <v/>
      </c>
      <c r="BS430" s="49">
        <f>IF(BV430="","",IF(COUNTIF($BV$6:BV430,BV430)=1,MAX($BS$5:BS429)+1,INDEX($BS$5:BS429,MATCH(BV430,$BV$5:BV429,0))))</f>
        <v/>
      </c>
      <c r="BT430" s="49">
        <f>IF(NOT(AND($A430&lt;&gt;"",$C430&lt;&gt;"DOOR ONLY")),"",MAX($BT$5:BT429)+1)</f>
        <v/>
      </c>
      <c r="BU430" s="49">
        <f>IF(NOT(AND($A430&lt;&gt;"",N($BC430)&gt;0)),"",MAX($BU$5:BU429)+1)</f>
        <v/>
      </c>
      <c r="BV430" s="49">
        <f>IF(OR($A430="",$BA430="",$BB430=""),"",$AZ430&amp;"|"&amp;$O430&amp;"|"&amp;$AL430&amp;"|"&amp;$S430&amp;"|"&amp;$P430&amp;"|"&amp;$Q430&amp;$R430&amp;"|"&amp;$C430&amp;"|"&amp;$AB430)</f>
        <v/>
      </c>
      <c r="BW430" s="49">
        <f>IF($A430="","",IF($B430="","qty, ","")&amp;IF($C430="","scope, ","")&amp;IF(OR($K430="",$M430=""),"size, ","")&amp;IF(AND($A430&lt;&gt;"",$C430&lt;&gt;"DOOR ONLY"),IF($U430="","jamb depth, ","")&amp;IF($X430="","construction, ","")&amp;IF($Y430="","anchor, ","")&amp;IF($S430="","frame type, ",""),"")&amp;IF(AND(N($BC430)&gt;0,$Z430=""),"hand, ","")&amp;IF(N($BC430)&gt;0,IF($AH430="","door material, ","")&amp;IF($AL430="","face type, ","")&amp;IF($AQ430="","lock prep, ","")&amp;IF(AND($AP430="",$AC430=""),"hinge prep, ",""),"")&amp;IF(AND($BO430&gt;0,$AH430="FRP"),"FRP cannot carry a label, ","")&amp;IF(AND($O430="Y",OR($Z430="L",$Z430="R",$Z430="LR",$Z430="RR")),"pair marked but hand is single, ","")&amp;IF(AND($O430&lt;&gt;"Y",OR($Z430="PR",AND(LEN($Z430)&gt;1,ISNUMBER(SEARCH("-",$Z430))))),"pair hand on a single door, ","")&amp;IF(AND(ISNUMBER($BP430),$BO430&lt;N($BP430)),"wall needs a "&amp;$BP430&amp;" min door, ","")&amp;IF(AND($BO430&gt;=180,AND(OR($BL430="FG",$BL430="HG",$BL430="FNV",$BL430="FV"),N($BM430)*N($BN430)&gt;100)),"180 min lite over 100 sq in, ","")&amp;IF(N($BD430)&gt;48,"leaf wider than 4'-0"&amp;CHAR(34)&amp;", ",""))</f>
        <v/>
      </c>
      <c r="BX430" s="49">
        <f>IF($A430="","",IF(AND($BO430&gt;0,AND($A430&lt;&gt;"",$C430&lt;&gt;"DOOR ONLY"),$X430="KD",$E430="EXTERIOR"),"KD label on an exterior opening, ","")&amp;IF(AND($E430="EXTERIOR",OR(AND(AND($A430&lt;&gt;"",$C430&lt;&gt;"DOOR ONLY"),$W430="CR"),AND(N($BC430)&gt;0,$AH430="CR"))),"exterior in CR steel (G9?), ","")&amp;IF(AND(ISNUMBER($BJ430),N($BJ430)&lt;32),"clear width ~"&amp;TEXT($BJ430,"0.0")&amp;CHAR(34)&amp;" under 32"&amp;CHAR(34)&amp;" (ADA), ","")&amp;IF(AND($BO430=90,AND(OR($BL430="FG",$BL430="HG",$BL430="FNV",$BL430="FV"),N($BM430)*N($BN430)&gt;100)),"90 min lite over 100 sq in (stair/exit), ","")&amp;IF(AND($BO430&gt;0,AND($A430&lt;&gt;"",$C430&lt;&gt;"DOOR ONLY"),OR($AF430="",$AF430="-")),"rated: closer reinf.?, ","")&amp;IF(OR($I430="CORRIDOR",$I430="SMOKE BARRIER"),"S label + smoke gasketing, ","")&amp;IF($BP430="?","wall type/hr not in IBC table, ","")&amp;IF(AND(N($BC430)&gt;0,$AU430=""),"no hardware set, ","")&amp;IF(AND($AU430&lt;&gt;"",ISNA(MATCH($AU430,HWSets,0))),"set "&amp;$AU430&amp;" not on Hardware sheet, ","")&amp;IF(N($BE430)&gt;96,"leaf over 8'-0"&amp;CHAR(34)&amp;" - check listing, ",""))</f>
        <v/>
      </c>
    </row>
    <row r="431" ht="15" customHeight="1">
      <c r="A431" s="44" t="n"/>
      <c r="B431" s="45" t="n"/>
      <c r="C431" s="45" t="n"/>
      <c r="D431" s="45" t="n"/>
      <c r="E431" s="45" t="n"/>
      <c r="F431" s="45" t="n"/>
      <c r="G431" s="45" t="n"/>
      <c r="H431" s="45" t="n"/>
      <c r="I431" s="45" t="n"/>
      <c r="J431" s="45" t="n"/>
      <c r="K431" s="45" t="n"/>
      <c r="L431" s="45" t="n"/>
      <c r="M431" s="45" t="n"/>
      <c r="N431" s="45" t="n"/>
      <c r="O431" s="45" t="n"/>
      <c r="P431" s="45" t="n"/>
      <c r="Q431" s="45" t="n"/>
      <c r="R431" s="45" t="n"/>
      <c r="S431" s="46" t="n"/>
      <c r="T431" s="46" t="n"/>
      <c r="U431" s="46" t="n"/>
      <c r="V431" s="46" t="n"/>
      <c r="W431" s="46" t="n"/>
      <c r="X431" s="46" t="n"/>
      <c r="Y431" s="46" t="n"/>
      <c r="Z431" s="46" t="n"/>
      <c r="AA431" s="46" t="n"/>
      <c r="AB431" s="46" t="n"/>
      <c r="AC431" s="46" t="n"/>
      <c r="AD431" s="46" t="n"/>
      <c r="AE431" s="46" t="n"/>
      <c r="AF431" s="46" t="n"/>
      <c r="AG431" s="46" t="n"/>
      <c r="AH431" s="47" t="n"/>
      <c r="AI431" s="47" t="n"/>
      <c r="AJ431" s="47" t="n"/>
      <c r="AK431" s="47" t="n"/>
      <c r="AL431" s="47" t="n"/>
      <c r="AM431" s="47" t="n"/>
      <c r="AN431" s="47" t="n"/>
      <c r="AO431" s="47" t="n"/>
      <c r="AP431" s="47" t="n"/>
      <c r="AQ431" s="47" t="n"/>
      <c r="AR431" s="47" t="n"/>
      <c r="AS431" s="47" t="n"/>
      <c r="AT431" s="47" t="n"/>
      <c r="AU431" s="48" t="n"/>
      <c r="AV431" s="48" t="n"/>
      <c r="AW431" s="49">
        <f>IF($A431="","",IF($BW431&lt;&gt;"","FIX",IF($BX431&lt;&gt;"","CHECK","OK")))</f>
        <v/>
      </c>
      <c r="AX431" s="50">
        <f>IF($A431="","",IF($BW431&lt;&gt;"","FIX: "&amp;LEFT($BW431,LEN($BW431)-2)&amp;IF($BX431&lt;&gt;"","  ·  ",""),"")&amp;IF($BX431&lt;&gt;"","CHECK: "&amp;LEFT($BX431,LEN($BX431)-2),""))</f>
        <v/>
      </c>
      <c r="AY431" s="49">
        <f>IF(OR($A431="",$K431=""),"",$K431&amp;"'-"&amp;N($L431)&amp;CHAR(34)&amp;" x "&amp;$M431&amp;"'-"&amp;N($N431)&amp;CHAR(34))</f>
        <v/>
      </c>
      <c r="AZ431" s="49">
        <f>IF(OR($A431="",$K431=""),"",$K431&amp;N($L431)&amp;$M431&amp;N($N431))</f>
        <v/>
      </c>
      <c r="BA431" s="49">
        <f>IF(OR($A431="",$K431=""),"",$K431*12+N($L431))</f>
        <v/>
      </c>
      <c r="BB431" s="49">
        <f>IF(OR($A431="",$M431=""),"",$M431*12+N($N431))</f>
        <v/>
      </c>
      <c r="BC431" s="49">
        <f>IF($A431="","",IF(OR($C431="FRAME ONLY",$S431="BL"),0,IF($O431="Y",2,1)))</f>
        <v/>
      </c>
      <c r="BD431" s="51">
        <f>IF(OR(N($BC431)=0,$BA431=""),"",($BA431-2*EdgeClr-IF($BC431=2,MeetClr,0))/$BC431)</f>
        <v/>
      </c>
      <c r="BE431" s="51">
        <f>IF(OR(N($BC431)=0,$BB431=""),"",$BB431-HeadClr-Undercut)</f>
        <v/>
      </c>
      <c r="BF431" s="51">
        <f>IF($BA431="","",$BA431+2*FaceW+IF(N($Q431)&gt;0,($Q431+FaceW)*IF($R431="LR",2,1),0))</f>
        <v/>
      </c>
      <c r="BG431" s="51">
        <f>IF($BB431="","",$BB431+IF($AB431="Y",4,FaceW)+IF(N($P431)&gt;0,$P431+FaceW,0)+IF(OR($S431="4F",$S431="BL"),FaceW,0))</f>
        <v/>
      </c>
      <c r="BH431" s="51">
        <f>IF($BF431="","",$BF431+2*ROSide)</f>
        <v/>
      </c>
      <c r="BI431" s="51">
        <f>IF($BG431="","",$BG431+ROTop)</f>
        <v/>
      </c>
      <c r="BJ431" s="52">
        <f>IF(OR(N($BC431)=0,$BA431=""),"",$BA431/$BC431-ClearDeduct)</f>
        <v/>
      </c>
      <c r="BK431" s="49">
        <f>IF(OR(N($BC431)=0,$BE431=""),"",IF(OR($AC431="HGC",$AP431="HGC"),"CONT",IF($BE431&lt;=60,2,IF($BE431&lt;=90,3,IF($BE431&lt;=120,4,5)))))</f>
        <v/>
      </c>
      <c r="BL431" s="49">
        <f>IF(N($BC431)=0,"",IF(OR($AL431="",$AL431="FLUSH"),"FLUSH",IFERROR(LEFT($AL431,FIND("-",$AL431)-1),LEFT($AL431,2))))</f>
        <v/>
      </c>
      <c r="BM431" s="49">
        <f>IF($BL431="","",IFERROR(VALUE(MID($AL431,FIND("-",$AL431)+1,FIND(CHAR(34)&amp;"x",$AL431)-FIND("-",$AL431)-1)),0))</f>
        <v/>
      </c>
      <c r="BN431" s="49">
        <f>IF($BL431="","",IFERROR(VALUE(MID($AL431,FIND(CHAR(34)&amp;"x",$AL431)+2,FIND(CHAR(34),$AL431,FIND(CHAR(34)&amp;"x",$AL431)+2)-FIND(CHAR(34)&amp;"x",$AL431)-2)),0))</f>
        <v/>
      </c>
      <c r="BO431" s="53">
        <f>IF(OR($A431="",$H431="",$H431="NO LAB"),0,IFERROR(VALUE(LEFT($H431,FIND(" ",$H431)-1)),0))</f>
        <v/>
      </c>
      <c r="BP431" s="54">
        <f>IF(OR($A431="",$I431="",$I431="NON-RATED",N($J431)=0),"",IFERROR(VLOOKUP($I431&amp;"|"&amp;$J431,IBC,2,FALSE),"?"))</f>
        <v/>
      </c>
      <c r="BQ431" s="50">
        <f>IF(NOT(AND($A431&lt;&gt;"",$C431&lt;&gt;"DOOR ONLY")),"",TRIM(IFERROR(VLOOKUP($U431,CODES,2,FALSE),"")&amp;" "&amp;$AZ431&amp;" "&amp;IFERROR(VLOOKUP($Z431,CODES,2,FALSE),"")&amp;" "&amp;IFERROR(VLOOKUP($X431,CODES,2,FALSE),"")&amp;" "&amp;IFERROR(VLOOKUP($S431,CODES,2,FALSE),"")&amp;IF(N($P431)&gt;0," w/TRANSOM "&amp;$P431&amp;CHAR(34),"")&amp;IF(N($Q431)&gt;0," w/SIDELITE "&amp;$Q431&amp;CHAR(34)&amp;" "&amp;IF($R431="","R",$R431),"")&amp;IF($Y431="","  |  "," | "&amp;IFERROR(VLOOKUP($Y431,CODES,2,FALSE),"")&amp;" | ")&amp;IFERROR(VLOOKUP($AC431,CODES,2,FALSE),"")&amp;" "&amp;IFERROR(VLOOKUP($AD431,CODES,2,FALSE),"")&amp;IF(OR($AE431="",$AE431="-"),""," "&amp;$AE431)&amp;IF(OR($AF431="",$AF431="-"),""," "&amp;$AF431)&amp;IF($AB431="Y"," 4"&amp;CHAR(34)&amp;" HEAD","")&amp;" "&amp;IFERROR(VLOOKUP($H431,CODES,2,FALSE),"")))</f>
        <v/>
      </c>
      <c r="BR431" s="50">
        <f>IF(NOT(AND($A431&lt;&gt;"",N($BC431)&gt;0)),"",TRIM(IFERROR(VLOOKUP($AH431,CODES,2,FALSE),"")&amp;IF($AI431=""," "," "&amp;$AI431&amp;"GA ")&amp;$AZ431&amp;" "&amp;IF($AN431="",IFERROR(VLOOKUP($Z431,CODES,2,FALSE),""),IFERROR(VLOOKUP($AN431,CODES,2,FALSE),""))&amp;IF($BC431=2," PAIR","")&amp;" DOOR | "&amp;IF($AL431="","?",$AL431)&amp;" | "&amp;IF($AP431="",IFERROR(VLOOKUP($AC431,CODES,2,FALSE),""),IFERROR(VLOOKUP($AP431,CODES,2,FALSE),""))&amp;" "&amp;IFERROR(VLOOKUP($AQ431,CODES,2,FALSE),"")&amp;IF(OR($AR431="",$AR431="-"),""," SEAM "&amp;$AR431)&amp;IF($AS431="Y"," ASTRAGAL","")&amp;IF($AJ431=""," "," "&amp;$AJ431)&amp;IF($AK431=""," "," "&amp;$AK431)&amp;IF($AO431="",""," "&amp;$AO431)&amp;IF($AM431=""," "," SERIES "&amp;$AM431)&amp;" "&amp;IFERROR(VLOOKUP($H431,CODES,2,FALSE),"")))</f>
        <v/>
      </c>
      <c r="BS431" s="49">
        <f>IF(BV431="","",IF(COUNTIF($BV$6:BV431,BV431)=1,MAX($BS$5:BS430)+1,INDEX($BS$5:BS430,MATCH(BV431,$BV$5:BV430,0))))</f>
        <v/>
      </c>
      <c r="BT431" s="49">
        <f>IF(NOT(AND($A431&lt;&gt;"",$C431&lt;&gt;"DOOR ONLY")),"",MAX($BT$5:BT430)+1)</f>
        <v/>
      </c>
      <c r="BU431" s="49">
        <f>IF(NOT(AND($A431&lt;&gt;"",N($BC431)&gt;0)),"",MAX($BU$5:BU430)+1)</f>
        <v/>
      </c>
      <c r="BV431" s="49">
        <f>IF(OR($A431="",$BA431="",$BB431=""),"",$AZ431&amp;"|"&amp;$O431&amp;"|"&amp;$AL431&amp;"|"&amp;$S431&amp;"|"&amp;$P431&amp;"|"&amp;$Q431&amp;$R431&amp;"|"&amp;$C431&amp;"|"&amp;$AB431)</f>
        <v/>
      </c>
      <c r="BW431" s="49">
        <f>IF($A431="","",IF($B431="","qty, ","")&amp;IF($C431="","scope, ","")&amp;IF(OR($K431="",$M431=""),"size, ","")&amp;IF(AND($A431&lt;&gt;"",$C431&lt;&gt;"DOOR ONLY"),IF($U431="","jamb depth, ","")&amp;IF($X431="","construction, ","")&amp;IF($Y431="","anchor, ","")&amp;IF($S431="","frame type, ",""),"")&amp;IF(AND(N($BC431)&gt;0,$Z431=""),"hand, ","")&amp;IF(N($BC431)&gt;0,IF($AH431="","door material, ","")&amp;IF($AL431="","face type, ","")&amp;IF($AQ431="","lock prep, ","")&amp;IF(AND($AP431="",$AC431=""),"hinge prep, ",""),"")&amp;IF(AND($BO431&gt;0,$AH431="FRP"),"FRP cannot carry a label, ","")&amp;IF(AND($O431="Y",OR($Z431="L",$Z431="R",$Z431="LR",$Z431="RR")),"pair marked but hand is single, ","")&amp;IF(AND($O431&lt;&gt;"Y",OR($Z431="PR",AND(LEN($Z431)&gt;1,ISNUMBER(SEARCH("-",$Z431))))),"pair hand on a single door, ","")&amp;IF(AND(ISNUMBER($BP431),$BO431&lt;N($BP431)),"wall needs a "&amp;$BP431&amp;" min door, ","")&amp;IF(AND($BO431&gt;=180,AND(OR($BL431="FG",$BL431="HG",$BL431="FNV",$BL431="FV"),N($BM431)*N($BN431)&gt;100)),"180 min lite over 100 sq in, ","")&amp;IF(N($BD431)&gt;48,"leaf wider than 4'-0"&amp;CHAR(34)&amp;", ",""))</f>
        <v/>
      </c>
      <c r="BX431" s="49">
        <f>IF($A431="","",IF(AND($BO431&gt;0,AND($A431&lt;&gt;"",$C431&lt;&gt;"DOOR ONLY"),$X431="KD",$E431="EXTERIOR"),"KD label on an exterior opening, ","")&amp;IF(AND($E431="EXTERIOR",OR(AND(AND($A431&lt;&gt;"",$C431&lt;&gt;"DOOR ONLY"),$W431="CR"),AND(N($BC431)&gt;0,$AH431="CR"))),"exterior in CR steel (G9?), ","")&amp;IF(AND(ISNUMBER($BJ431),N($BJ431)&lt;32),"clear width ~"&amp;TEXT($BJ431,"0.0")&amp;CHAR(34)&amp;" under 32"&amp;CHAR(34)&amp;" (ADA), ","")&amp;IF(AND($BO431=90,AND(OR($BL431="FG",$BL431="HG",$BL431="FNV",$BL431="FV"),N($BM431)*N($BN431)&gt;100)),"90 min lite over 100 sq in (stair/exit), ","")&amp;IF(AND($BO431&gt;0,AND($A431&lt;&gt;"",$C431&lt;&gt;"DOOR ONLY"),OR($AF431="",$AF431="-")),"rated: closer reinf.?, ","")&amp;IF(OR($I431="CORRIDOR",$I431="SMOKE BARRIER"),"S label + smoke gasketing, ","")&amp;IF($BP431="?","wall type/hr not in IBC table, ","")&amp;IF(AND(N($BC431)&gt;0,$AU431=""),"no hardware set, ","")&amp;IF(AND($AU431&lt;&gt;"",ISNA(MATCH($AU431,HWSets,0))),"set "&amp;$AU431&amp;" not on Hardware sheet, ","")&amp;IF(N($BE431)&gt;96,"leaf over 8'-0"&amp;CHAR(34)&amp;" - check listing, ",""))</f>
        <v/>
      </c>
    </row>
    <row r="432" ht="15" customHeight="1">
      <c r="A432" s="44" t="n"/>
      <c r="B432" s="45" t="n"/>
      <c r="C432" s="45" t="n"/>
      <c r="D432" s="45" t="n"/>
      <c r="E432" s="45" t="n"/>
      <c r="F432" s="45" t="n"/>
      <c r="G432" s="45" t="n"/>
      <c r="H432" s="45" t="n"/>
      <c r="I432" s="45" t="n"/>
      <c r="J432" s="45" t="n"/>
      <c r="K432" s="45" t="n"/>
      <c r="L432" s="45" t="n"/>
      <c r="M432" s="45" t="n"/>
      <c r="N432" s="45" t="n"/>
      <c r="O432" s="45" t="n"/>
      <c r="P432" s="45" t="n"/>
      <c r="Q432" s="45" t="n"/>
      <c r="R432" s="45" t="n"/>
      <c r="S432" s="46" t="n"/>
      <c r="T432" s="46" t="n"/>
      <c r="U432" s="46" t="n"/>
      <c r="V432" s="46" t="n"/>
      <c r="W432" s="46" t="n"/>
      <c r="X432" s="46" t="n"/>
      <c r="Y432" s="46" t="n"/>
      <c r="Z432" s="46" t="n"/>
      <c r="AA432" s="46" t="n"/>
      <c r="AB432" s="46" t="n"/>
      <c r="AC432" s="46" t="n"/>
      <c r="AD432" s="46" t="n"/>
      <c r="AE432" s="46" t="n"/>
      <c r="AF432" s="46" t="n"/>
      <c r="AG432" s="46" t="n"/>
      <c r="AH432" s="47" t="n"/>
      <c r="AI432" s="47" t="n"/>
      <c r="AJ432" s="47" t="n"/>
      <c r="AK432" s="47" t="n"/>
      <c r="AL432" s="47" t="n"/>
      <c r="AM432" s="47" t="n"/>
      <c r="AN432" s="47" t="n"/>
      <c r="AO432" s="47" t="n"/>
      <c r="AP432" s="47" t="n"/>
      <c r="AQ432" s="47" t="n"/>
      <c r="AR432" s="47" t="n"/>
      <c r="AS432" s="47" t="n"/>
      <c r="AT432" s="47" t="n"/>
      <c r="AU432" s="48" t="n"/>
      <c r="AV432" s="48" t="n"/>
      <c r="AW432" s="49">
        <f>IF($A432="","",IF($BW432&lt;&gt;"","FIX",IF($BX432&lt;&gt;"","CHECK","OK")))</f>
        <v/>
      </c>
      <c r="AX432" s="50">
        <f>IF($A432="","",IF($BW432&lt;&gt;"","FIX: "&amp;LEFT($BW432,LEN($BW432)-2)&amp;IF($BX432&lt;&gt;"","  ·  ",""),"")&amp;IF($BX432&lt;&gt;"","CHECK: "&amp;LEFT($BX432,LEN($BX432)-2),""))</f>
        <v/>
      </c>
      <c r="AY432" s="49">
        <f>IF(OR($A432="",$K432=""),"",$K432&amp;"'-"&amp;N($L432)&amp;CHAR(34)&amp;" x "&amp;$M432&amp;"'-"&amp;N($N432)&amp;CHAR(34))</f>
        <v/>
      </c>
      <c r="AZ432" s="49">
        <f>IF(OR($A432="",$K432=""),"",$K432&amp;N($L432)&amp;$M432&amp;N($N432))</f>
        <v/>
      </c>
      <c r="BA432" s="49">
        <f>IF(OR($A432="",$K432=""),"",$K432*12+N($L432))</f>
        <v/>
      </c>
      <c r="BB432" s="49">
        <f>IF(OR($A432="",$M432=""),"",$M432*12+N($N432))</f>
        <v/>
      </c>
      <c r="BC432" s="49">
        <f>IF($A432="","",IF(OR($C432="FRAME ONLY",$S432="BL"),0,IF($O432="Y",2,1)))</f>
        <v/>
      </c>
      <c r="BD432" s="51">
        <f>IF(OR(N($BC432)=0,$BA432=""),"",($BA432-2*EdgeClr-IF($BC432=2,MeetClr,0))/$BC432)</f>
        <v/>
      </c>
      <c r="BE432" s="51">
        <f>IF(OR(N($BC432)=0,$BB432=""),"",$BB432-HeadClr-Undercut)</f>
        <v/>
      </c>
      <c r="BF432" s="51">
        <f>IF($BA432="","",$BA432+2*FaceW+IF(N($Q432)&gt;0,($Q432+FaceW)*IF($R432="LR",2,1),0))</f>
        <v/>
      </c>
      <c r="BG432" s="51">
        <f>IF($BB432="","",$BB432+IF($AB432="Y",4,FaceW)+IF(N($P432)&gt;0,$P432+FaceW,0)+IF(OR($S432="4F",$S432="BL"),FaceW,0))</f>
        <v/>
      </c>
      <c r="BH432" s="51">
        <f>IF($BF432="","",$BF432+2*ROSide)</f>
        <v/>
      </c>
      <c r="BI432" s="51">
        <f>IF($BG432="","",$BG432+ROTop)</f>
        <v/>
      </c>
      <c r="BJ432" s="52">
        <f>IF(OR(N($BC432)=0,$BA432=""),"",$BA432/$BC432-ClearDeduct)</f>
        <v/>
      </c>
      <c r="BK432" s="49">
        <f>IF(OR(N($BC432)=0,$BE432=""),"",IF(OR($AC432="HGC",$AP432="HGC"),"CONT",IF($BE432&lt;=60,2,IF($BE432&lt;=90,3,IF($BE432&lt;=120,4,5)))))</f>
        <v/>
      </c>
      <c r="BL432" s="49">
        <f>IF(N($BC432)=0,"",IF(OR($AL432="",$AL432="FLUSH"),"FLUSH",IFERROR(LEFT($AL432,FIND("-",$AL432)-1),LEFT($AL432,2))))</f>
        <v/>
      </c>
      <c r="BM432" s="49">
        <f>IF($BL432="","",IFERROR(VALUE(MID($AL432,FIND("-",$AL432)+1,FIND(CHAR(34)&amp;"x",$AL432)-FIND("-",$AL432)-1)),0))</f>
        <v/>
      </c>
      <c r="BN432" s="49">
        <f>IF($BL432="","",IFERROR(VALUE(MID($AL432,FIND(CHAR(34)&amp;"x",$AL432)+2,FIND(CHAR(34),$AL432,FIND(CHAR(34)&amp;"x",$AL432)+2)-FIND(CHAR(34)&amp;"x",$AL432)-2)),0))</f>
        <v/>
      </c>
      <c r="BO432" s="53">
        <f>IF(OR($A432="",$H432="",$H432="NO LAB"),0,IFERROR(VALUE(LEFT($H432,FIND(" ",$H432)-1)),0))</f>
        <v/>
      </c>
      <c r="BP432" s="54">
        <f>IF(OR($A432="",$I432="",$I432="NON-RATED",N($J432)=0),"",IFERROR(VLOOKUP($I432&amp;"|"&amp;$J432,IBC,2,FALSE),"?"))</f>
        <v/>
      </c>
      <c r="BQ432" s="50">
        <f>IF(NOT(AND($A432&lt;&gt;"",$C432&lt;&gt;"DOOR ONLY")),"",TRIM(IFERROR(VLOOKUP($U432,CODES,2,FALSE),"")&amp;" "&amp;$AZ432&amp;" "&amp;IFERROR(VLOOKUP($Z432,CODES,2,FALSE),"")&amp;" "&amp;IFERROR(VLOOKUP($X432,CODES,2,FALSE),"")&amp;" "&amp;IFERROR(VLOOKUP($S432,CODES,2,FALSE),"")&amp;IF(N($P432)&gt;0," w/TRANSOM "&amp;$P432&amp;CHAR(34),"")&amp;IF(N($Q432)&gt;0," w/SIDELITE "&amp;$Q432&amp;CHAR(34)&amp;" "&amp;IF($R432="","R",$R432),"")&amp;IF($Y432="","  |  "," | "&amp;IFERROR(VLOOKUP($Y432,CODES,2,FALSE),"")&amp;" | ")&amp;IFERROR(VLOOKUP($AC432,CODES,2,FALSE),"")&amp;" "&amp;IFERROR(VLOOKUP($AD432,CODES,2,FALSE),"")&amp;IF(OR($AE432="",$AE432="-"),""," "&amp;$AE432)&amp;IF(OR($AF432="",$AF432="-"),""," "&amp;$AF432)&amp;IF($AB432="Y"," 4"&amp;CHAR(34)&amp;" HEAD","")&amp;" "&amp;IFERROR(VLOOKUP($H432,CODES,2,FALSE),"")))</f>
        <v/>
      </c>
      <c r="BR432" s="50">
        <f>IF(NOT(AND($A432&lt;&gt;"",N($BC432)&gt;0)),"",TRIM(IFERROR(VLOOKUP($AH432,CODES,2,FALSE),"")&amp;IF($AI432=""," "," "&amp;$AI432&amp;"GA ")&amp;$AZ432&amp;" "&amp;IF($AN432="",IFERROR(VLOOKUP($Z432,CODES,2,FALSE),""),IFERROR(VLOOKUP($AN432,CODES,2,FALSE),""))&amp;IF($BC432=2," PAIR","")&amp;" DOOR | "&amp;IF($AL432="","?",$AL432)&amp;" | "&amp;IF($AP432="",IFERROR(VLOOKUP($AC432,CODES,2,FALSE),""),IFERROR(VLOOKUP($AP432,CODES,2,FALSE),""))&amp;" "&amp;IFERROR(VLOOKUP($AQ432,CODES,2,FALSE),"")&amp;IF(OR($AR432="",$AR432="-"),""," SEAM "&amp;$AR432)&amp;IF($AS432="Y"," ASTRAGAL","")&amp;IF($AJ432=""," "," "&amp;$AJ432)&amp;IF($AK432=""," "," "&amp;$AK432)&amp;IF($AO432="",""," "&amp;$AO432)&amp;IF($AM432=""," "," SERIES "&amp;$AM432)&amp;" "&amp;IFERROR(VLOOKUP($H432,CODES,2,FALSE),"")))</f>
        <v/>
      </c>
      <c r="BS432" s="49">
        <f>IF(BV432="","",IF(COUNTIF($BV$6:BV432,BV432)=1,MAX($BS$5:BS431)+1,INDEX($BS$5:BS431,MATCH(BV432,$BV$5:BV431,0))))</f>
        <v/>
      </c>
      <c r="BT432" s="49">
        <f>IF(NOT(AND($A432&lt;&gt;"",$C432&lt;&gt;"DOOR ONLY")),"",MAX($BT$5:BT431)+1)</f>
        <v/>
      </c>
      <c r="BU432" s="49">
        <f>IF(NOT(AND($A432&lt;&gt;"",N($BC432)&gt;0)),"",MAX($BU$5:BU431)+1)</f>
        <v/>
      </c>
      <c r="BV432" s="49">
        <f>IF(OR($A432="",$BA432="",$BB432=""),"",$AZ432&amp;"|"&amp;$O432&amp;"|"&amp;$AL432&amp;"|"&amp;$S432&amp;"|"&amp;$P432&amp;"|"&amp;$Q432&amp;$R432&amp;"|"&amp;$C432&amp;"|"&amp;$AB432)</f>
        <v/>
      </c>
      <c r="BW432" s="49">
        <f>IF($A432="","",IF($B432="","qty, ","")&amp;IF($C432="","scope, ","")&amp;IF(OR($K432="",$M432=""),"size, ","")&amp;IF(AND($A432&lt;&gt;"",$C432&lt;&gt;"DOOR ONLY"),IF($U432="","jamb depth, ","")&amp;IF($X432="","construction, ","")&amp;IF($Y432="","anchor, ","")&amp;IF($S432="","frame type, ",""),"")&amp;IF(AND(N($BC432)&gt;0,$Z432=""),"hand, ","")&amp;IF(N($BC432)&gt;0,IF($AH432="","door material, ","")&amp;IF($AL432="","face type, ","")&amp;IF($AQ432="","lock prep, ","")&amp;IF(AND($AP432="",$AC432=""),"hinge prep, ",""),"")&amp;IF(AND($BO432&gt;0,$AH432="FRP"),"FRP cannot carry a label, ","")&amp;IF(AND($O432="Y",OR($Z432="L",$Z432="R",$Z432="LR",$Z432="RR")),"pair marked but hand is single, ","")&amp;IF(AND($O432&lt;&gt;"Y",OR($Z432="PR",AND(LEN($Z432)&gt;1,ISNUMBER(SEARCH("-",$Z432))))),"pair hand on a single door, ","")&amp;IF(AND(ISNUMBER($BP432),$BO432&lt;N($BP432)),"wall needs a "&amp;$BP432&amp;" min door, ","")&amp;IF(AND($BO432&gt;=180,AND(OR($BL432="FG",$BL432="HG",$BL432="FNV",$BL432="FV"),N($BM432)*N($BN432)&gt;100)),"180 min lite over 100 sq in, ","")&amp;IF(N($BD432)&gt;48,"leaf wider than 4'-0"&amp;CHAR(34)&amp;", ",""))</f>
        <v/>
      </c>
      <c r="BX432" s="49">
        <f>IF($A432="","",IF(AND($BO432&gt;0,AND($A432&lt;&gt;"",$C432&lt;&gt;"DOOR ONLY"),$X432="KD",$E432="EXTERIOR"),"KD label on an exterior opening, ","")&amp;IF(AND($E432="EXTERIOR",OR(AND(AND($A432&lt;&gt;"",$C432&lt;&gt;"DOOR ONLY"),$W432="CR"),AND(N($BC432)&gt;0,$AH432="CR"))),"exterior in CR steel (G9?), ","")&amp;IF(AND(ISNUMBER($BJ432),N($BJ432)&lt;32),"clear width ~"&amp;TEXT($BJ432,"0.0")&amp;CHAR(34)&amp;" under 32"&amp;CHAR(34)&amp;" (ADA), ","")&amp;IF(AND($BO432=90,AND(OR($BL432="FG",$BL432="HG",$BL432="FNV",$BL432="FV"),N($BM432)*N($BN432)&gt;100)),"90 min lite over 100 sq in (stair/exit), ","")&amp;IF(AND($BO432&gt;0,AND($A432&lt;&gt;"",$C432&lt;&gt;"DOOR ONLY"),OR($AF432="",$AF432="-")),"rated: closer reinf.?, ","")&amp;IF(OR($I432="CORRIDOR",$I432="SMOKE BARRIER"),"S label + smoke gasketing, ","")&amp;IF($BP432="?","wall type/hr not in IBC table, ","")&amp;IF(AND(N($BC432)&gt;0,$AU432=""),"no hardware set, ","")&amp;IF(AND($AU432&lt;&gt;"",ISNA(MATCH($AU432,HWSets,0))),"set "&amp;$AU432&amp;" not on Hardware sheet, ","")&amp;IF(N($BE432)&gt;96,"leaf over 8'-0"&amp;CHAR(34)&amp;" - check listing, ",""))</f>
        <v/>
      </c>
    </row>
    <row r="433" ht="15" customHeight="1">
      <c r="A433" s="44" t="n"/>
      <c r="B433" s="45" t="n"/>
      <c r="C433" s="45" t="n"/>
      <c r="D433" s="45" t="n"/>
      <c r="E433" s="45" t="n"/>
      <c r="F433" s="45" t="n"/>
      <c r="G433" s="45" t="n"/>
      <c r="H433" s="45" t="n"/>
      <c r="I433" s="45" t="n"/>
      <c r="J433" s="45" t="n"/>
      <c r="K433" s="45" t="n"/>
      <c r="L433" s="45" t="n"/>
      <c r="M433" s="45" t="n"/>
      <c r="N433" s="45" t="n"/>
      <c r="O433" s="45" t="n"/>
      <c r="P433" s="45" t="n"/>
      <c r="Q433" s="45" t="n"/>
      <c r="R433" s="45" t="n"/>
      <c r="S433" s="46" t="n"/>
      <c r="T433" s="46" t="n"/>
      <c r="U433" s="46" t="n"/>
      <c r="V433" s="46" t="n"/>
      <c r="W433" s="46" t="n"/>
      <c r="X433" s="46" t="n"/>
      <c r="Y433" s="46" t="n"/>
      <c r="Z433" s="46" t="n"/>
      <c r="AA433" s="46" t="n"/>
      <c r="AB433" s="46" t="n"/>
      <c r="AC433" s="46" t="n"/>
      <c r="AD433" s="46" t="n"/>
      <c r="AE433" s="46" t="n"/>
      <c r="AF433" s="46" t="n"/>
      <c r="AG433" s="46" t="n"/>
      <c r="AH433" s="47" t="n"/>
      <c r="AI433" s="47" t="n"/>
      <c r="AJ433" s="47" t="n"/>
      <c r="AK433" s="47" t="n"/>
      <c r="AL433" s="47" t="n"/>
      <c r="AM433" s="47" t="n"/>
      <c r="AN433" s="47" t="n"/>
      <c r="AO433" s="47" t="n"/>
      <c r="AP433" s="47" t="n"/>
      <c r="AQ433" s="47" t="n"/>
      <c r="AR433" s="47" t="n"/>
      <c r="AS433" s="47" t="n"/>
      <c r="AT433" s="47" t="n"/>
      <c r="AU433" s="48" t="n"/>
      <c r="AV433" s="48" t="n"/>
      <c r="AW433" s="49">
        <f>IF($A433="","",IF($BW433&lt;&gt;"","FIX",IF($BX433&lt;&gt;"","CHECK","OK")))</f>
        <v/>
      </c>
      <c r="AX433" s="50">
        <f>IF($A433="","",IF($BW433&lt;&gt;"","FIX: "&amp;LEFT($BW433,LEN($BW433)-2)&amp;IF($BX433&lt;&gt;"","  ·  ",""),"")&amp;IF($BX433&lt;&gt;"","CHECK: "&amp;LEFT($BX433,LEN($BX433)-2),""))</f>
        <v/>
      </c>
      <c r="AY433" s="49">
        <f>IF(OR($A433="",$K433=""),"",$K433&amp;"'-"&amp;N($L433)&amp;CHAR(34)&amp;" x "&amp;$M433&amp;"'-"&amp;N($N433)&amp;CHAR(34))</f>
        <v/>
      </c>
      <c r="AZ433" s="49">
        <f>IF(OR($A433="",$K433=""),"",$K433&amp;N($L433)&amp;$M433&amp;N($N433))</f>
        <v/>
      </c>
      <c r="BA433" s="49">
        <f>IF(OR($A433="",$K433=""),"",$K433*12+N($L433))</f>
        <v/>
      </c>
      <c r="BB433" s="49">
        <f>IF(OR($A433="",$M433=""),"",$M433*12+N($N433))</f>
        <v/>
      </c>
      <c r="BC433" s="49">
        <f>IF($A433="","",IF(OR($C433="FRAME ONLY",$S433="BL"),0,IF($O433="Y",2,1)))</f>
        <v/>
      </c>
      <c r="BD433" s="51">
        <f>IF(OR(N($BC433)=0,$BA433=""),"",($BA433-2*EdgeClr-IF($BC433=2,MeetClr,0))/$BC433)</f>
        <v/>
      </c>
      <c r="BE433" s="51">
        <f>IF(OR(N($BC433)=0,$BB433=""),"",$BB433-HeadClr-Undercut)</f>
        <v/>
      </c>
      <c r="BF433" s="51">
        <f>IF($BA433="","",$BA433+2*FaceW+IF(N($Q433)&gt;0,($Q433+FaceW)*IF($R433="LR",2,1),0))</f>
        <v/>
      </c>
      <c r="BG433" s="51">
        <f>IF($BB433="","",$BB433+IF($AB433="Y",4,FaceW)+IF(N($P433)&gt;0,$P433+FaceW,0)+IF(OR($S433="4F",$S433="BL"),FaceW,0))</f>
        <v/>
      </c>
      <c r="BH433" s="51">
        <f>IF($BF433="","",$BF433+2*ROSide)</f>
        <v/>
      </c>
      <c r="BI433" s="51">
        <f>IF($BG433="","",$BG433+ROTop)</f>
        <v/>
      </c>
      <c r="BJ433" s="52">
        <f>IF(OR(N($BC433)=0,$BA433=""),"",$BA433/$BC433-ClearDeduct)</f>
        <v/>
      </c>
      <c r="BK433" s="49">
        <f>IF(OR(N($BC433)=0,$BE433=""),"",IF(OR($AC433="HGC",$AP433="HGC"),"CONT",IF($BE433&lt;=60,2,IF($BE433&lt;=90,3,IF($BE433&lt;=120,4,5)))))</f>
        <v/>
      </c>
      <c r="BL433" s="49">
        <f>IF(N($BC433)=0,"",IF(OR($AL433="",$AL433="FLUSH"),"FLUSH",IFERROR(LEFT($AL433,FIND("-",$AL433)-1),LEFT($AL433,2))))</f>
        <v/>
      </c>
      <c r="BM433" s="49">
        <f>IF($BL433="","",IFERROR(VALUE(MID($AL433,FIND("-",$AL433)+1,FIND(CHAR(34)&amp;"x",$AL433)-FIND("-",$AL433)-1)),0))</f>
        <v/>
      </c>
      <c r="BN433" s="49">
        <f>IF($BL433="","",IFERROR(VALUE(MID($AL433,FIND(CHAR(34)&amp;"x",$AL433)+2,FIND(CHAR(34),$AL433,FIND(CHAR(34)&amp;"x",$AL433)+2)-FIND(CHAR(34)&amp;"x",$AL433)-2)),0))</f>
        <v/>
      </c>
      <c r="BO433" s="53">
        <f>IF(OR($A433="",$H433="",$H433="NO LAB"),0,IFERROR(VALUE(LEFT($H433,FIND(" ",$H433)-1)),0))</f>
        <v/>
      </c>
      <c r="BP433" s="54">
        <f>IF(OR($A433="",$I433="",$I433="NON-RATED",N($J433)=0),"",IFERROR(VLOOKUP($I433&amp;"|"&amp;$J433,IBC,2,FALSE),"?"))</f>
        <v/>
      </c>
      <c r="BQ433" s="50">
        <f>IF(NOT(AND($A433&lt;&gt;"",$C433&lt;&gt;"DOOR ONLY")),"",TRIM(IFERROR(VLOOKUP($U433,CODES,2,FALSE),"")&amp;" "&amp;$AZ433&amp;" "&amp;IFERROR(VLOOKUP($Z433,CODES,2,FALSE),"")&amp;" "&amp;IFERROR(VLOOKUP($X433,CODES,2,FALSE),"")&amp;" "&amp;IFERROR(VLOOKUP($S433,CODES,2,FALSE),"")&amp;IF(N($P433)&gt;0," w/TRANSOM "&amp;$P433&amp;CHAR(34),"")&amp;IF(N($Q433)&gt;0," w/SIDELITE "&amp;$Q433&amp;CHAR(34)&amp;" "&amp;IF($R433="","R",$R433),"")&amp;IF($Y433="","  |  "," | "&amp;IFERROR(VLOOKUP($Y433,CODES,2,FALSE),"")&amp;" | ")&amp;IFERROR(VLOOKUP($AC433,CODES,2,FALSE),"")&amp;" "&amp;IFERROR(VLOOKUP($AD433,CODES,2,FALSE),"")&amp;IF(OR($AE433="",$AE433="-"),""," "&amp;$AE433)&amp;IF(OR($AF433="",$AF433="-"),""," "&amp;$AF433)&amp;IF($AB433="Y"," 4"&amp;CHAR(34)&amp;" HEAD","")&amp;" "&amp;IFERROR(VLOOKUP($H433,CODES,2,FALSE),"")))</f>
        <v/>
      </c>
      <c r="BR433" s="50">
        <f>IF(NOT(AND($A433&lt;&gt;"",N($BC433)&gt;0)),"",TRIM(IFERROR(VLOOKUP($AH433,CODES,2,FALSE),"")&amp;IF($AI433=""," "," "&amp;$AI433&amp;"GA ")&amp;$AZ433&amp;" "&amp;IF($AN433="",IFERROR(VLOOKUP($Z433,CODES,2,FALSE),""),IFERROR(VLOOKUP($AN433,CODES,2,FALSE),""))&amp;IF($BC433=2," PAIR","")&amp;" DOOR | "&amp;IF($AL433="","?",$AL433)&amp;" | "&amp;IF($AP433="",IFERROR(VLOOKUP($AC433,CODES,2,FALSE),""),IFERROR(VLOOKUP($AP433,CODES,2,FALSE),""))&amp;" "&amp;IFERROR(VLOOKUP($AQ433,CODES,2,FALSE),"")&amp;IF(OR($AR433="",$AR433="-"),""," SEAM "&amp;$AR433)&amp;IF($AS433="Y"," ASTRAGAL","")&amp;IF($AJ433=""," "," "&amp;$AJ433)&amp;IF($AK433=""," "," "&amp;$AK433)&amp;IF($AO433="",""," "&amp;$AO433)&amp;IF($AM433=""," "," SERIES "&amp;$AM433)&amp;" "&amp;IFERROR(VLOOKUP($H433,CODES,2,FALSE),"")))</f>
        <v/>
      </c>
      <c r="BS433" s="49">
        <f>IF(BV433="","",IF(COUNTIF($BV$6:BV433,BV433)=1,MAX($BS$5:BS432)+1,INDEX($BS$5:BS432,MATCH(BV433,$BV$5:BV432,0))))</f>
        <v/>
      </c>
      <c r="BT433" s="49">
        <f>IF(NOT(AND($A433&lt;&gt;"",$C433&lt;&gt;"DOOR ONLY")),"",MAX($BT$5:BT432)+1)</f>
        <v/>
      </c>
      <c r="BU433" s="49">
        <f>IF(NOT(AND($A433&lt;&gt;"",N($BC433)&gt;0)),"",MAX($BU$5:BU432)+1)</f>
        <v/>
      </c>
      <c r="BV433" s="49">
        <f>IF(OR($A433="",$BA433="",$BB433=""),"",$AZ433&amp;"|"&amp;$O433&amp;"|"&amp;$AL433&amp;"|"&amp;$S433&amp;"|"&amp;$P433&amp;"|"&amp;$Q433&amp;$R433&amp;"|"&amp;$C433&amp;"|"&amp;$AB433)</f>
        <v/>
      </c>
      <c r="BW433" s="49">
        <f>IF($A433="","",IF($B433="","qty, ","")&amp;IF($C433="","scope, ","")&amp;IF(OR($K433="",$M433=""),"size, ","")&amp;IF(AND($A433&lt;&gt;"",$C433&lt;&gt;"DOOR ONLY"),IF($U433="","jamb depth, ","")&amp;IF($X433="","construction, ","")&amp;IF($Y433="","anchor, ","")&amp;IF($S433="","frame type, ",""),"")&amp;IF(AND(N($BC433)&gt;0,$Z433=""),"hand, ","")&amp;IF(N($BC433)&gt;0,IF($AH433="","door material, ","")&amp;IF($AL433="","face type, ","")&amp;IF($AQ433="","lock prep, ","")&amp;IF(AND($AP433="",$AC433=""),"hinge prep, ",""),"")&amp;IF(AND($BO433&gt;0,$AH433="FRP"),"FRP cannot carry a label, ","")&amp;IF(AND($O433="Y",OR($Z433="L",$Z433="R",$Z433="LR",$Z433="RR")),"pair marked but hand is single, ","")&amp;IF(AND($O433&lt;&gt;"Y",OR($Z433="PR",AND(LEN($Z433)&gt;1,ISNUMBER(SEARCH("-",$Z433))))),"pair hand on a single door, ","")&amp;IF(AND(ISNUMBER($BP433),$BO433&lt;N($BP433)),"wall needs a "&amp;$BP433&amp;" min door, ","")&amp;IF(AND($BO433&gt;=180,AND(OR($BL433="FG",$BL433="HG",$BL433="FNV",$BL433="FV"),N($BM433)*N($BN433)&gt;100)),"180 min lite over 100 sq in, ","")&amp;IF(N($BD433)&gt;48,"leaf wider than 4'-0"&amp;CHAR(34)&amp;", ",""))</f>
        <v/>
      </c>
      <c r="BX433" s="49">
        <f>IF($A433="","",IF(AND($BO433&gt;0,AND($A433&lt;&gt;"",$C433&lt;&gt;"DOOR ONLY"),$X433="KD",$E433="EXTERIOR"),"KD label on an exterior opening, ","")&amp;IF(AND($E433="EXTERIOR",OR(AND(AND($A433&lt;&gt;"",$C433&lt;&gt;"DOOR ONLY"),$W433="CR"),AND(N($BC433)&gt;0,$AH433="CR"))),"exterior in CR steel (G9?), ","")&amp;IF(AND(ISNUMBER($BJ433),N($BJ433)&lt;32),"clear width ~"&amp;TEXT($BJ433,"0.0")&amp;CHAR(34)&amp;" under 32"&amp;CHAR(34)&amp;" (ADA), ","")&amp;IF(AND($BO433=90,AND(OR($BL433="FG",$BL433="HG",$BL433="FNV",$BL433="FV"),N($BM433)*N($BN433)&gt;100)),"90 min lite over 100 sq in (stair/exit), ","")&amp;IF(AND($BO433&gt;0,AND($A433&lt;&gt;"",$C433&lt;&gt;"DOOR ONLY"),OR($AF433="",$AF433="-")),"rated: closer reinf.?, ","")&amp;IF(OR($I433="CORRIDOR",$I433="SMOKE BARRIER"),"S label + smoke gasketing, ","")&amp;IF($BP433="?","wall type/hr not in IBC table, ","")&amp;IF(AND(N($BC433)&gt;0,$AU433=""),"no hardware set, ","")&amp;IF(AND($AU433&lt;&gt;"",ISNA(MATCH($AU433,HWSets,0))),"set "&amp;$AU433&amp;" not on Hardware sheet, ","")&amp;IF(N($BE433)&gt;96,"leaf over 8'-0"&amp;CHAR(34)&amp;" - check listing, ",""))</f>
        <v/>
      </c>
    </row>
    <row r="434" ht="15" customHeight="1">
      <c r="A434" s="44" t="n"/>
      <c r="B434" s="45" t="n"/>
      <c r="C434" s="45" t="n"/>
      <c r="D434" s="45" t="n"/>
      <c r="E434" s="45" t="n"/>
      <c r="F434" s="45" t="n"/>
      <c r="G434" s="45" t="n"/>
      <c r="H434" s="45" t="n"/>
      <c r="I434" s="45" t="n"/>
      <c r="J434" s="45" t="n"/>
      <c r="K434" s="45" t="n"/>
      <c r="L434" s="45" t="n"/>
      <c r="M434" s="45" t="n"/>
      <c r="N434" s="45" t="n"/>
      <c r="O434" s="45" t="n"/>
      <c r="P434" s="45" t="n"/>
      <c r="Q434" s="45" t="n"/>
      <c r="R434" s="45" t="n"/>
      <c r="S434" s="46" t="n"/>
      <c r="T434" s="46" t="n"/>
      <c r="U434" s="46" t="n"/>
      <c r="V434" s="46" t="n"/>
      <c r="W434" s="46" t="n"/>
      <c r="X434" s="46" t="n"/>
      <c r="Y434" s="46" t="n"/>
      <c r="Z434" s="46" t="n"/>
      <c r="AA434" s="46" t="n"/>
      <c r="AB434" s="46" t="n"/>
      <c r="AC434" s="46" t="n"/>
      <c r="AD434" s="46" t="n"/>
      <c r="AE434" s="46" t="n"/>
      <c r="AF434" s="46" t="n"/>
      <c r="AG434" s="46" t="n"/>
      <c r="AH434" s="47" t="n"/>
      <c r="AI434" s="47" t="n"/>
      <c r="AJ434" s="47" t="n"/>
      <c r="AK434" s="47" t="n"/>
      <c r="AL434" s="47" t="n"/>
      <c r="AM434" s="47" t="n"/>
      <c r="AN434" s="47" t="n"/>
      <c r="AO434" s="47" t="n"/>
      <c r="AP434" s="47" t="n"/>
      <c r="AQ434" s="47" t="n"/>
      <c r="AR434" s="47" t="n"/>
      <c r="AS434" s="47" t="n"/>
      <c r="AT434" s="47" t="n"/>
      <c r="AU434" s="48" t="n"/>
      <c r="AV434" s="48" t="n"/>
      <c r="AW434" s="49">
        <f>IF($A434="","",IF($BW434&lt;&gt;"","FIX",IF($BX434&lt;&gt;"","CHECK","OK")))</f>
        <v/>
      </c>
      <c r="AX434" s="50">
        <f>IF($A434="","",IF($BW434&lt;&gt;"","FIX: "&amp;LEFT($BW434,LEN($BW434)-2)&amp;IF($BX434&lt;&gt;"","  ·  ",""),"")&amp;IF($BX434&lt;&gt;"","CHECK: "&amp;LEFT($BX434,LEN($BX434)-2),""))</f>
        <v/>
      </c>
      <c r="AY434" s="49">
        <f>IF(OR($A434="",$K434=""),"",$K434&amp;"'-"&amp;N($L434)&amp;CHAR(34)&amp;" x "&amp;$M434&amp;"'-"&amp;N($N434)&amp;CHAR(34))</f>
        <v/>
      </c>
      <c r="AZ434" s="49">
        <f>IF(OR($A434="",$K434=""),"",$K434&amp;N($L434)&amp;$M434&amp;N($N434))</f>
        <v/>
      </c>
      <c r="BA434" s="49">
        <f>IF(OR($A434="",$K434=""),"",$K434*12+N($L434))</f>
        <v/>
      </c>
      <c r="BB434" s="49">
        <f>IF(OR($A434="",$M434=""),"",$M434*12+N($N434))</f>
        <v/>
      </c>
      <c r="BC434" s="49">
        <f>IF($A434="","",IF(OR($C434="FRAME ONLY",$S434="BL"),0,IF($O434="Y",2,1)))</f>
        <v/>
      </c>
      <c r="BD434" s="51">
        <f>IF(OR(N($BC434)=0,$BA434=""),"",($BA434-2*EdgeClr-IF($BC434=2,MeetClr,0))/$BC434)</f>
        <v/>
      </c>
      <c r="BE434" s="51">
        <f>IF(OR(N($BC434)=0,$BB434=""),"",$BB434-HeadClr-Undercut)</f>
        <v/>
      </c>
      <c r="BF434" s="51">
        <f>IF($BA434="","",$BA434+2*FaceW+IF(N($Q434)&gt;0,($Q434+FaceW)*IF($R434="LR",2,1),0))</f>
        <v/>
      </c>
      <c r="BG434" s="51">
        <f>IF($BB434="","",$BB434+IF($AB434="Y",4,FaceW)+IF(N($P434)&gt;0,$P434+FaceW,0)+IF(OR($S434="4F",$S434="BL"),FaceW,0))</f>
        <v/>
      </c>
      <c r="BH434" s="51">
        <f>IF($BF434="","",$BF434+2*ROSide)</f>
        <v/>
      </c>
      <c r="BI434" s="51">
        <f>IF($BG434="","",$BG434+ROTop)</f>
        <v/>
      </c>
      <c r="BJ434" s="52">
        <f>IF(OR(N($BC434)=0,$BA434=""),"",$BA434/$BC434-ClearDeduct)</f>
        <v/>
      </c>
      <c r="BK434" s="49">
        <f>IF(OR(N($BC434)=0,$BE434=""),"",IF(OR($AC434="HGC",$AP434="HGC"),"CONT",IF($BE434&lt;=60,2,IF($BE434&lt;=90,3,IF($BE434&lt;=120,4,5)))))</f>
        <v/>
      </c>
      <c r="BL434" s="49">
        <f>IF(N($BC434)=0,"",IF(OR($AL434="",$AL434="FLUSH"),"FLUSH",IFERROR(LEFT($AL434,FIND("-",$AL434)-1),LEFT($AL434,2))))</f>
        <v/>
      </c>
      <c r="BM434" s="49">
        <f>IF($BL434="","",IFERROR(VALUE(MID($AL434,FIND("-",$AL434)+1,FIND(CHAR(34)&amp;"x",$AL434)-FIND("-",$AL434)-1)),0))</f>
        <v/>
      </c>
      <c r="BN434" s="49">
        <f>IF($BL434="","",IFERROR(VALUE(MID($AL434,FIND(CHAR(34)&amp;"x",$AL434)+2,FIND(CHAR(34),$AL434,FIND(CHAR(34)&amp;"x",$AL434)+2)-FIND(CHAR(34)&amp;"x",$AL434)-2)),0))</f>
        <v/>
      </c>
      <c r="BO434" s="53">
        <f>IF(OR($A434="",$H434="",$H434="NO LAB"),0,IFERROR(VALUE(LEFT($H434,FIND(" ",$H434)-1)),0))</f>
        <v/>
      </c>
      <c r="BP434" s="54">
        <f>IF(OR($A434="",$I434="",$I434="NON-RATED",N($J434)=0),"",IFERROR(VLOOKUP($I434&amp;"|"&amp;$J434,IBC,2,FALSE),"?"))</f>
        <v/>
      </c>
      <c r="BQ434" s="50">
        <f>IF(NOT(AND($A434&lt;&gt;"",$C434&lt;&gt;"DOOR ONLY")),"",TRIM(IFERROR(VLOOKUP($U434,CODES,2,FALSE),"")&amp;" "&amp;$AZ434&amp;" "&amp;IFERROR(VLOOKUP($Z434,CODES,2,FALSE),"")&amp;" "&amp;IFERROR(VLOOKUP($X434,CODES,2,FALSE),"")&amp;" "&amp;IFERROR(VLOOKUP($S434,CODES,2,FALSE),"")&amp;IF(N($P434)&gt;0," w/TRANSOM "&amp;$P434&amp;CHAR(34),"")&amp;IF(N($Q434)&gt;0," w/SIDELITE "&amp;$Q434&amp;CHAR(34)&amp;" "&amp;IF($R434="","R",$R434),"")&amp;IF($Y434="","  |  "," | "&amp;IFERROR(VLOOKUP($Y434,CODES,2,FALSE),"")&amp;" | ")&amp;IFERROR(VLOOKUP($AC434,CODES,2,FALSE),"")&amp;" "&amp;IFERROR(VLOOKUP($AD434,CODES,2,FALSE),"")&amp;IF(OR($AE434="",$AE434="-"),""," "&amp;$AE434)&amp;IF(OR($AF434="",$AF434="-"),""," "&amp;$AF434)&amp;IF($AB434="Y"," 4"&amp;CHAR(34)&amp;" HEAD","")&amp;" "&amp;IFERROR(VLOOKUP($H434,CODES,2,FALSE),"")))</f>
        <v/>
      </c>
      <c r="BR434" s="50">
        <f>IF(NOT(AND($A434&lt;&gt;"",N($BC434)&gt;0)),"",TRIM(IFERROR(VLOOKUP($AH434,CODES,2,FALSE),"")&amp;IF($AI434=""," "," "&amp;$AI434&amp;"GA ")&amp;$AZ434&amp;" "&amp;IF($AN434="",IFERROR(VLOOKUP($Z434,CODES,2,FALSE),""),IFERROR(VLOOKUP($AN434,CODES,2,FALSE),""))&amp;IF($BC434=2," PAIR","")&amp;" DOOR | "&amp;IF($AL434="","?",$AL434)&amp;" | "&amp;IF($AP434="",IFERROR(VLOOKUP($AC434,CODES,2,FALSE),""),IFERROR(VLOOKUP($AP434,CODES,2,FALSE),""))&amp;" "&amp;IFERROR(VLOOKUP($AQ434,CODES,2,FALSE),"")&amp;IF(OR($AR434="",$AR434="-"),""," SEAM "&amp;$AR434)&amp;IF($AS434="Y"," ASTRAGAL","")&amp;IF($AJ434=""," "," "&amp;$AJ434)&amp;IF($AK434=""," "," "&amp;$AK434)&amp;IF($AO434="",""," "&amp;$AO434)&amp;IF($AM434=""," "," SERIES "&amp;$AM434)&amp;" "&amp;IFERROR(VLOOKUP($H434,CODES,2,FALSE),"")))</f>
        <v/>
      </c>
      <c r="BS434" s="49">
        <f>IF(BV434="","",IF(COUNTIF($BV$6:BV434,BV434)=1,MAX($BS$5:BS433)+1,INDEX($BS$5:BS433,MATCH(BV434,$BV$5:BV433,0))))</f>
        <v/>
      </c>
      <c r="BT434" s="49">
        <f>IF(NOT(AND($A434&lt;&gt;"",$C434&lt;&gt;"DOOR ONLY")),"",MAX($BT$5:BT433)+1)</f>
        <v/>
      </c>
      <c r="BU434" s="49">
        <f>IF(NOT(AND($A434&lt;&gt;"",N($BC434)&gt;0)),"",MAX($BU$5:BU433)+1)</f>
        <v/>
      </c>
      <c r="BV434" s="49">
        <f>IF(OR($A434="",$BA434="",$BB434=""),"",$AZ434&amp;"|"&amp;$O434&amp;"|"&amp;$AL434&amp;"|"&amp;$S434&amp;"|"&amp;$P434&amp;"|"&amp;$Q434&amp;$R434&amp;"|"&amp;$C434&amp;"|"&amp;$AB434)</f>
        <v/>
      </c>
      <c r="BW434" s="49">
        <f>IF($A434="","",IF($B434="","qty, ","")&amp;IF($C434="","scope, ","")&amp;IF(OR($K434="",$M434=""),"size, ","")&amp;IF(AND($A434&lt;&gt;"",$C434&lt;&gt;"DOOR ONLY"),IF($U434="","jamb depth, ","")&amp;IF($X434="","construction, ","")&amp;IF($Y434="","anchor, ","")&amp;IF($S434="","frame type, ",""),"")&amp;IF(AND(N($BC434)&gt;0,$Z434=""),"hand, ","")&amp;IF(N($BC434)&gt;0,IF($AH434="","door material, ","")&amp;IF($AL434="","face type, ","")&amp;IF($AQ434="","lock prep, ","")&amp;IF(AND($AP434="",$AC434=""),"hinge prep, ",""),"")&amp;IF(AND($BO434&gt;0,$AH434="FRP"),"FRP cannot carry a label, ","")&amp;IF(AND($O434="Y",OR($Z434="L",$Z434="R",$Z434="LR",$Z434="RR")),"pair marked but hand is single, ","")&amp;IF(AND($O434&lt;&gt;"Y",OR($Z434="PR",AND(LEN($Z434)&gt;1,ISNUMBER(SEARCH("-",$Z434))))),"pair hand on a single door, ","")&amp;IF(AND(ISNUMBER($BP434),$BO434&lt;N($BP434)),"wall needs a "&amp;$BP434&amp;" min door, ","")&amp;IF(AND($BO434&gt;=180,AND(OR($BL434="FG",$BL434="HG",$BL434="FNV",$BL434="FV"),N($BM434)*N($BN434)&gt;100)),"180 min lite over 100 sq in, ","")&amp;IF(N($BD434)&gt;48,"leaf wider than 4'-0"&amp;CHAR(34)&amp;", ",""))</f>
        <v/>
      </c>
      <c r="BX434" s="49">
        <f>IF($A434="","",IF(AND($BO434&gt;0,AND($A434&lt;&gt;"",$C434&lt;&gt;"DOOR ONLY"),$X434="KD",$E434="EXTERIOR"),"KD label on an exterior opening, ","")&amp;IF(AND($E434="EXTERIOR",OR(AND(AND($A434&lt;&gt;"",$C434&lt;&gt;"DOOR ONLY"),$W434="CR"),AND(N($BC434)&gt;0,$AH434="CR"))),"exterior in CR steel (G9?), ","")&amp;IF(AND(ISNUMBER($BJ434),N($BJ434)&lt;32),"clear width ~"&amp;TEXT($BJ434,"0.0")&amp;CHAR(34)&amp;" under 32"&amp;CHAR(34)&amp;" (ADA), ","")&amp;IF(AND($BO434=90,AND(OR($BL434="FG",$BL434="HG",$BL434="FNV",$BL434="FV"),N($BM434)*N($BN434)&gt;100)),"90 min lite over 100 sq in (stair/exit), ","")&amp;IF(AND($BO434&gt;0,AND($A434&lt;&gt;"",$C434&lt;&gt;"DOOR ONLY"),OR($AF434="",$AF434="-")),"rated: closer reinf.?, ","")&amp;IF(OR($I434="CORRIDOR",$I434="SMOKE BARRIER"),"S label + smoke gasketing, ","")&amp;IF($BP434="?","wall type/hr not in IBC table, ","")&amp;IF(AND(N($BC434)&gt;0,$AU434=""),"no hardware set, ","")&amp;IF(AND($AU434&lt;&gt;"",ISNA(MATCH($AU434,HWSets,0))),"set "&amp;$AU434&amp;" not on Hardware sheet, ","")&amp;IF(N($BE434)&gt;96,"leaf over 8'-0"&amp;CHAR(34)&amp;" - check listing, ",""))</f>
        <v/>
      </c>
    </row>
    <row r="435" ht="15" customHeight="1">
      <c r="A435" s="44" t="n"/>
      <c r="B435" s="45" t="n"/>
      <c r="C435" s="45" t="n"/>
      <c r="D435" s="45" t="n"/>
      <c r="E435" s="45" t="n"/>
      <c r="F435" s="45" t="n"/>
      <c r="G435" s="45" t="n"/>
      <c r="H435" s="45" t="n"/>
      <c r="I435" s="45" t="n"/>
      <c r="J435" s="45" t="n"/>
      <c r="K435" s="45" t="n"/>
      <c r="L435" s="45" t="n"/>
      <c r="M435" s="45" t="n"/>
      <c r="N435" s="45" t="n"/>
      <c r="O435" s="45" t="n"/>
      <c r="P435" s="45" t="n"/>
      <c r="Q435" s="45" t="n"/>
      <c r="R435" s="45" t="n"/>
      <c r="S435" s="46" t="n"/>
      <c r="T435" s="46" t="n"/>
      <c r="U435" s="46" t="n"/>
      <c r="V435" s="46" t="n"/>
      <c r="W435" s="46" t="n"/>
      <c r="X435" s="46" t="n"/>
      <c r="Y435" s="46" t="n"/>
      <c r="Z435" s="46" t="n"/>
      <c r="AA435" s="46" t="n"/>
      <c r="AB435" s="46" t="n"/>
      <c r="AC435" s="46" t="n"/>
      <c r="AD435" s="46" t="n"/>
      <c r="AE435" s="46" t="n"/>
      <c r="AF435" s="46" t="n"/>
      <c r="AG435" s="46" t="n"/>
      <c r="AH435" s="47" t="n"/>
      <c r="AI435" s="47" t="n"/>
      <c r="AJ435" s="47" t="n"/>
      <c r="AK435" s="47" t="n"/>
      <c r="AL435" s="47" t="n"/>
      <c r="AM435" s="47" t="n"/>
      <c r="AN435" s="47" t="n"/>
      <c r="AO435" s="47" t="n"/>
      <c r="AP435" s="47" t="n"/>
      <c r="AQ435" s="47" t="n"/>
      <c r="AR435" s="47" t="n"/>
      <c r="AS435" s="47" t="n"/>
      <c r="AT435" s="47" t="n"/>
      <c r="AU435" s="48" t="n"/>
      <c r="AV435" s="48" t="n"/>
      <c r="AW435" s="49">
        <f>IF($A435="","",IF($BW435&lt;&gt;"","FIX",IF($BX435&lt;&gt;"","CHECK","OK")))</f>
        <v/>
      </c>
      <c r="AX435" s="50">
        <f>IF($A435="","",IF($BW435&lt;&gt;"","FIX: "&amp;LEFT($BW435,LEN($BW435)-2)&amp;IF($BX435&lt;&gt;"","  ·  ",""),"")&amp;IF($BX435&lt;&gt;"","CHECK: "&amp;LEFT($BX435,LEN($BX435)-2),""))</f>
        <v/>
      </c>
      <c r="AY435" s="49">
        <f>IF(OR($A435="",$K435=""),"",$K435&amp;"'-"&amp;N($L435)&amp;CHAR(34)&amp;" x "&amp;$M435&amp;"'-"&amp;N($N435)&amp;CHAR(34))</f>
        <v/>
      </c>
      <c r="AZ435" s="49">
        <f>IF(OR($A435="",$K435=""),"",$K435&amp;N($L435)&amp;$M435&amp;N($N435))</f>
        <v/>
      </c>
      <c r="BA435" s="49">
        <f>IF(OR($A435="",$K435=""),"",$K435*12+N($L435))</f>
        <v/>
      </c>
      <c r="BB435" s="49">
        <f>IF(OR($A435="",$M435=""),"",$M435*12+N($N435))</f>
        <v/>
      </c>
      <c r="BC435" s="49">
        <f>IF($A435="","",IF(OR($C435="FRAME ONLY",$S435="BL"),0,IF($O435="Y",2,1)))</f>
        <v/>
      </c>
      <c r="BD435" s="51">
        <f>IF(OR(N($BC435)=0,$BA435=""),"",($BA435-2*EdgeClr-IF($BC435=2,MeetClr,0))/$BC435)</f>
        <v/>
      </c>
      <c r="BE435" s="51">
        <f>IF(OR(N($BC435)=0,$BB435=""),"",$BB435-HeadClr-Undercut)</f>
        <v/>
      </c>
      <c r="BF435" s="51">
        <f>IF($BA435="","",$BA435+2*FaceW+IF(N($Q435)&gt;0,($Q435+FaceW)*IF($R435="LR",2,1),0))</f>
        <v/>
      </c>
      <c r="BG435" s="51">
        <f>IF($BB435="","",$BB435+IF($AB435="Y",4,FaceW)+IF(N($P435)&gt;0,$P435+FaceW,0)+IF(OR($S435="4F",$S435="BL"),FaceW,0))</f>
        <v/>
      </c>
      <c r="BH435" s="51">
        <f>IF($BF435="","",$BF435+2*ROSide)</f>
        <v/>
      </c>
      <c r="BI435" s="51">
        <f>IF($BG435="","",$BG435+ROTop)</f>
        <v/>
      </c>
      <c r="BJ435" s="52">
        <f>IF(OR(N($BC435)=0,$BA435=""),"",$BA435/$BC435-ClearDeduct)</f>
        <v/>
      </c>
      <c r="BK435" s="49">
        <f>IF(OR(N($BC435)=0,$BE435=""),"",IF(OR($AC435="HGC",$AP435="HGC"),"CONT",IF($BE435&lt;=60,2,IF($BE435&lt;=90,3,IF($BE435&lt;=120,4,5)))))</f>
        <v/>
      </c>
      <c r="BL435" s="49">
        <f>IF(N($BC435)=0,"",IF(OR($AL435="",$AL435="FLUSH"),"FLUSH",IFERROR(LEFT($AL435,FIND("-",$AL435)-1),LEFT($AL435,2))))</f>
        <v/>
      </c>
      <c r="BM435" s="49">
        <f>IF($BL435="","",IFERROR(VALUE(MID($AL435,FIND("-",$AL435)+1,FIND(CHAR(34)&amp;"x",$AL435)-FIND("-",$AL435)-1)),0))</f>
        <v/>
      </c>
      <c r="BN435" s="49">
        <f>IF($BL435="","",IFERROR(VALUE(MID($AL435,FIND(CHAR(34)&amp;"x",$AL435)+2,FIND(CHAR(34),$AL435,FIND(CHAR(34)&amp;"x",$AL435)+2)-FIND(CHAR(34)&amp;"x",$AL435)-2)),0))</f>
        <v/>
      </c>
      <c r="BO435" s="53">
        <f>IF(OR($A435="",$H435="",$H435="NO LAB"),0,IFERROR(VALUE(LEFT($H435,FIND(" ",$H435)-1)),0))</f>
        <v/>
      </c>
      <c r="BP435" s="54">
        <f>IF(OR($A435="",$I435="",$I435="NON-RATED",N($J435)=0),"",IFERROR(VLOOKUP($I435&amp;"|"&amp;$J435,IBC,2,FALSE),"?"))</f>
        <v/>
      </c>
      <c r="BQ435" s="50">
        <f>IF(NOT(AND($A435&lt;&gt;"",$C435&lt;&gt;"DOOR ONLY")),"",TRIM(IFERROR(VLOOKUP($U435,CODES,2,FALSE),"")&amp;" "&amp;$AZ435&amp;" "&amp;IFERROR(VLOOKUP($Z435,CODES,2,FALSE),"")&amp;" "&amp;IFERROR(VLOOKUP($X435,CODES,2,FALSE),"")&amp;" "&amp;IFERROR(VLOOKUP($S435,CODES,2,FALSE),"")&amp;IF(N($P435)&gt;0," w/TRANSOM "&amp;$P435&amp;CHAR(34),"")&amp;IF(N($Q435)&gt;0," w/SIDELITE "&amp;$Q435&amp;CHAR(34)&amp;" "&amp;IF($R435="","R",$R435),"")&amp;IF($Y435="","  |  "," | "&amp;IFERROR(VLOOKUP($Y435,CODES,2,FALSE),"")&amp;" | ")&amp;IFERROR(VLOOKUP($AC435,CODES,2,FALSE),"")&amp;" "&amp;IFERROR(VLOOKUP($AD435,CODES,2,FALSE),"")&amp;IF(OR($AE435="",$AE435="-"),""," "&amp;$AE435)&amp;IF(OR($AF435="",$AF435="-"),""," "&amp;$AF435)&amp;IF($AB435="Y"," 4"&amp;CHAR(34)&amp;" HEAD","")&amp;" "&amp;IFERROR(VLOOKUP($H435,CODES,2,FALSE),"")))</f>
        <v/>
      </c>
      <c r="BR435" s="50">
        <f>IF(NOT(AND($A435&lt;&gt;"",N($BC435)&gt;0)),"",TRIM(IFERROR(VLOOKUP($AH435,CODES,2,FALSE),"")&amp;IF($AI435=""," "," "&amp;$AI435&amp;"GA ")&amp;$AZ435&amp;" "&amp;IF($AN435="",IFERROR(VLOOKUP($Z435,CODES,2,FALSE),""),IFERROR(VLOOKUP($AN435,CODES,2,FALSE),""))&amp;IF($BC435=2," PAIR","")&amp;" DOOR | "&amp;IF($AL435="","?",$AL435)&amp;" | "&amp;IF($AP435="",IFERROR(VLOOKUP($AC435,CODES,2,FALSE),""),IFERROR(VLOOKUP($AP435,CODES,2,FALSE),""))&amp;" "&amp;IFERROR(VLOOKUP($AQ435,CODES,2,FALSE),"")&amp;IF(OR($AR435="",$AR435="-"),""," SEAM "&amp;$AR435)&amp;IF($AS435="Y"," ASTRAGAL","")&amp;IF($AJ435=""," "," "&amp;$AJ435)&amp;IF($AK435=""," "," "&amp;$AK435)&amp;IF($AO435="",""," "&amp;$AO435)&amp;IF($AM435=""," "," SERIES "&amp;$AM435)&amp;" "&amp;IFERROR(VLOOKUP($H435,CODES,2,FALSE),"")))</f>
        <v/>
      </c>
      <c r="BS435" s="49">
        <f>IF(BV435="","",IF(COUNTIF($BV$6:BV435,BV435)=1,MAX($BS$5:BS434)+1,INDEX($BS$5:BS434,MATCH(BV435,$BV$5:BV434,0))))</f>
        <v/>
      </c>
      <c r="BT435" s="49">
        <f>IF(NOT(AND($A435&lt;&gt;"",$C435&lt;&gt;"DOOR ONLY")),"",MAX($BT$5:BT434)+1)</f>
        <v/>
      </c>
      <c r="BU435" s="49">
        <f>IF(NOT(AND($A435&lt;&gt;"",N($BC435)&gt;0)),"",MAX($BU$5:BU434)+1)</f>
        <v/>
      </c>
      <c r="BV435" s="49">
        <f>IF(OR($A435="",$BA435="",$BB435=""),"",$AZ435&amp;"|"&amp;$O435&amp;"|"&amp;$AL435&amp;"|"&amp;$S435&amp;"|"&amp;$P435&amp;"|"&amp;$Q435&amp;$R435&amp;"|"&amp;$C435&amp;"|"&amp;$AB435)</f>
        <v/>
      </c>
      <c r="BW435" s="49">
        <f>IF($A435="","",IF($B435="","qty, ","")&amp;IF($C435="","scope, ","")&amp;IF(OR($K435="",$M435=""),"size, ","")&amp;IF(AND($A435&lt;&gt;"",$C435&lt;&gt;"DOOR ONLY"),IF($U435="","jamb depth, ","")&amp;IF($X435="","construction, ","")&amp;IF($Y435="","anchor, ","")&amp;IF($S435="","frame type, ",""),"")&amp;IF(AND(N($BC435)&gt;0,$Z435=""),"hand, ","")&amp;IF(N($BC435)&gt;0,IF($AH435="","door material, ","")&amp;IF($AL435="","face type, ","")&amp;IF($AQ435="","lock prep, ","")&amp;IF(AND($AP435="",$AC435=""),"hinge prep, ",""),"")&amp;IF(AND($BO435&gt;0,$AH435="FRP"),"FRP cannot carry a label, ","")&amp;IF(AND($O435="Y",OR($Z435="L",$Z435="R",$Z435="LR",$Z435="RR")),"pair marked but hand is single, ","")&amp;IF(AND($O435&lt;&gt;"Y",OR($Z435="PR",AND(LEN($Z435)&gt;1,ISNUMBER(SEARCH("-",$Z435))))),"pair hand on a single door, ","")&amp;IF(AND(ISNUMBER($BP435),$BO435&lt;N($BP435)),"wall needs a "&amp;$BP435&amp;" min door, ","")&amp;IF(AND($BO435&gt;=180,AND(OR($BL435="FG",$BL435="HG",$BL435="FNV",$BL435="FV"),N($BM435)*N($BN435)&gt;100)),"180 min lite over 100 sq in, ","")&amp;IF(N($BD435)&gt;48,"leaf wider than 4'-0"&amp;CHAR(34)&amp;", ",""))</f>
        <v/>
      </c>
      <c r="BX435" s="49">
        <f>IF($A435="","",IF(AND($BO435&gt;0,AND($A435&lt;&gt;"",$C435&lt;&gt;"DOOR ONLY"),$X435="KD",$E435="EXTERIOR"),"KD label on an exterior opening, ","")&amp;IF(AND($E435="EXTERIOR",OR(AND(AND($A435&lt;&gt;"",$C435&lt;&gt;"DOOR ONLY"),$W435="CR"),AND(N($BC435)&gt;0,$AH435="CR"))),"exterior in CR steel (G9?), ","")&amp;IF(AND(ISNUMBER($BJ435),N($BJ435)&lt;32),"clear width ~"&amp;TEXT($BJ435,"0.0")&amp;CHAR(34)&amp;" under 32"&amp;CHAR(34)&amp;" (ADA), ","")&amp;IF(AND($BO435=90,AND(OR($BL435="FG",$BL435="HG",$BL435="FNV",$BL435="FV"),N($BM435)*N($BN435)&gt;100)),"90 min lite over 100 sq in (stair/exit), ","")&amp;IF(AND($BO435&gt;0,AND($A435&lt;&gt;"",$C435&lt;&gt;"DOOR ONLY"),OR($AF435="",$AF435="-")),"rated: closer reinf.?, ","")&amp;IF(OR($I435="CORRIDOR",$I435="SMOKE BARRIER"),"S label + smoke gasketing, ","")&amp;IF($BP435="?","wall type/hr not in IBC table, ","")&amp;IF(AND(N($BC435)&gt;0,$AU435=""),"no hardware set, ","")&amp;IF(AND($AU435&lt;&gt;"",ISNA(MATCH($AU435,HWSets,0))),"set "&amp;$AU435&amp;" not on Hardware sheet, ","")&amp;IF(N($BE435)&gt;96,"leaf over 8'-0"&amp;CHAR(34)&amp;" - check listing, ",""))</f>
        <v/>
      </c>
    </row>
    <row r="436" ht="15" customHeight="1">
      <c r="A436" s="44" t="n"/>
      <c r="B436" s="45" t="n"/>
      <c r="C436" s="45" t="n"/>
      <c r="D436" s="45" t="n"/>
      <c r="E436" s="45" t="n"/>
      <c r="F436" s="45" t="n"/>
      <c r="G436" s="45" t="n"/>
      <c r="H436" s="45" t="n"/>
      <c r="I436" s="45" t="n"/>
      <c r="J436" s="45" t="n"/>
      <c r="K436" s="45" t="n"/>
      <c r="L436" s="45" t="n"/>
      <c r="M436" s="45" t="n"/>
      <c r="N436" s="45" t="n"/>
      <c r="O436" s="45" t="n"/>
      <c r="P436" s="45" t="n"/>
      <c r="Q436" s="45" t="n"/>
      <c r="R436" s="45" t="n"/>
      <c r="S436" s="46" t="n"/>
      <c r="T436" s="46" t="n"/>
      <c r="U436" s="46" t="n"/>
      <c r="V436" s="46" t="n"/>
      <c r="W436" s="46" t="n"/>
      <c r="X436" s="46" t="n"/>
      <c r="Y436" s="46" t="n"/>
      <c r="Z436" s="46" t="n"/>
      <c r="AA436" s="46" t="n"/>
      <c r="AB436" s="46" t="n"/>
      <c r="AC436" s="46" t="n"/>
      <c r="AD436" s="46" t="n"/>
      <c r="AE436" s="46" t="n"/>
      <c r="AF436" s="46" t="n"/>
      <c r="AG436" s="46" t="n"/>
      <c r="AH436" s="47" t="n"/>
      <c r="AI436" s="47" t="n"/>
      <c r="AJ436" s="47" t="n"/>
      <c r="AK436" s="47" t="n"/>
      <c r="AL436" s="47" t="n"/>
      <c r="AM436" s="47" t="n"/>
      <c r="AN436" s="47" t="n"/>
      <c r="AO436" s="47" t="n"/>
      <c r="AP436" s="47" t="n"/>
      <c r="AQ436" s="47" t="n"/>
      <c r="AR436" s="47" t="n"/>
      <c r="AS436" s="47" t="n"/>
      <c r="AT436" s="47" t="n"/>
      <c r="AU436" s="48" t="n"/>
      <c r="AV436" s="48" t="n"/>
      <c r="AW436" s="49">
        <f>IF($A436="","",IF($BW436&lt;&gt;"","FIX",IF($BX436&lt;&gt;"","CHECK","OK")))</f>
        <v/>
      </c>
      <c r="AX436" s="50">
        <f>IF($A436="","",IF($BW436&lt;&gt;"","FIX: "&amp;LEFT($BW436,LEN($BW436)-2)&amp;IF($BX436&lt;&gt;"","  ·  ",""),"")&amp;IF($BX436&lt;&gt;"","CHECK: "&amp;LEFT($BX436,LEN($BX436)-2),""))</f>
        <v/>
      </c>
      <c r="AY436" s="49">
        <f>IF(OR($A436="",$K436=""),"",$K436&amp;"'-"&amp;N($L436)&amp;CHAR(34)&amp;" x "&amp;$M436&amp;"'-"&amp;N($N436)&amp;CHAR(34))</f>
        <v/>
      </c>
      <c r="AZ436" s="49">
        <f>IF(OR($A436="",$K436=""),"",$K436&amp;N($L436)&amp;$M436&amp;N($N436))</f>
        <v/>
      </c>
      <c r="BA436" s="49">
        <f>IF(OR($A436="",$K436=""),"",$K436*12+N($L436))</f>
        <v/>
      </c>
      <c r="BB436" s="49">
        <f>IF(OR($A436="",$M436=""),"",$M436*12+N($N436))</f>
        <v/>
      </c>
      <c r="BC436" s="49">
        <f>IF($A436="","",IF(OR($C436="FRAME ONLY",$S436="BL"),0,IF($O436="Y",2,1)))</f>
        <v/>
      </c>
      <c r="BD436" s="51">
        <f>IF(OR(N($BC436)=0,$BA436=""),"",($BA436-2*EdgeClr-IF($BC436=2,MeetClr,0))/$BC436)</f>
        <v/>
      </c>
      <c r="BE436" s="51">
        <f>IF(OR(N($BC436)=0,$BB436=""),"",$BB436-HeadClr-Undercut)</f>
        <v/>
      </c>
      <c r="BF436" s="51">
        <f>IF($BA436="","",$BA436+2*FaceW+IF(N($Q436)&gt;0,($Q436+FaceW)*IF($R436="LR",2,1),0))</f>
        <v/>
      </c>
      <c r="BG436" s="51">
        <f>IF($BB436="","",$BB436+IF($AB436="Y",4,FaceW)+IF(N($P436)&gt;0,$P436+FaceW,0)+IF(OR($S436="4F",$S436="BL"),FaceW,0))</f>
        <v/>
      </c>
      <c r="BH436" s="51">
        <f>IF($BF436="","",$BF436+2*ROSide)</f>
        <v/>
      </c>
      <c r="BI436" s="51">
        <f>IF($BG436="","",$BG436+ROTop)</f>
        <v/>
      </c>
      <c r="BJ436" s="52">
        <f>IF(OR(N($BC436)=0,$BA436=""),"",$BA436/$BC436-ClearDeduct)</f>
        <v/>
      </c>
      <c r="BK436" s="49">
        <f>IF(OR(N($BC436)=0,$BE436=""),"",IF(OR($AC436="HGC",$AP436="HGC"),"CONT",IF($BE436&lt;=60,2,IF($BE436&lt;=90,3,IF($BE436&lt;=120,4,5)))))</f>
        <v/>
      </c>
      <c r="BL436" s="49">
        <f>IF(N($BC436)=0,"",IF(OR($AL436="",$AL436="FLUSH"),"FLUSH",IFERROR(LEFT($AL436,FIND("-",$AL436)-1),LEFT($AL436,2))))</f>
        <v/>
      </c>
      <c r="BM436" s="49">
        <f>IF($BL436="","",IFERROR(VALUE(MID($AL436,FIND("-",$AL436)+1,FIND(CHAR(34)&amp;"x",$AL436)-FIND("-",$AL436)-1)),0))</f>
        <v/>
      </c>
      <c r="BN436" s="49">
        <f>IF($BL436="","",IFERROR(VALUE(MID($AL436,FIND(CHAR(34)&amp;"x",$AL436)+2,FIND(CHAR(34),$AL436,FIND(CHAR(34)&amp;"x",$AL436)+2)-FIND(CHAR(34)&amp;"x",$AL436)-2)),0))</f>
        <v/>
      </c>
      <c r="BO436" s="53">
        <f>IF(OR($A436="",$H436="",$H436="NO LAB"),0,IFERROR(VALUE(LEFT($H436,FIND(" ",$H436)-1)),0))</f>
        <v/>
      </c>
      <c r="BP436" s="54">
        <f>IF(OR($A436="",$I436="",$I436="NON-RATED",N($J436)=0),"",IFERROR(VLOOKUP($I436&amp;"|"&amp;$J436,IBC,2,FALSE),"?"))</f>
        <v/>
      </c>
      <c r="BQ436" s="50">
        <f>IF(NOT(AND($A436&lt;&gt;"",$C436&lt;&gt;"DOOR ONLY")),"",TRIM(IFERROR(VLOOKUP($U436,CODES,2,FALSE),"")&amp;" "&amp;$AZ436&amp;" "&amp;IFERROR(VLOOKUP($Z436,CODES,2,FALSE),"")&amp;" "&amp;IFERROR(VLOOKUP($X436,CODES,2,FALSE),"")&amp;" "&amp;IFERROR(VLOOKUP($S436,CODES,2,FALSE),"")&amp;IF(N($P436)&gt;0," w/TRANSOM "&amp;$P436&amp;CHAR(34),"")&amp;IF(N($Q436)&gt;0," w/SIDELITE "&amp;$Q436&amp;CHAR(34)&amp;" "&amp;IF($R436="","R",$R436),"")&amp;IF($Y436="","  |  "," | "&amp;IFERROR(VLOOKUP($Y436,CODES,2,FALSE),"")&amp;" | ")&amp;IFERROR(VLOOKUP($AC436,CODES,2,FALSE),"")&amp;" "&amp;IFERROR(VLOOKUP($AD436,CODES,2,FALSE),"")&amp;IF(OR($AE436="",$AE436="-"),""," "&amp;$AE436)&amp;IF(OR($AF436="",$AF436="-"),""," "&amp;$AF436)&amp;IF($AB436="Y"," 4"&amp;CHAR(34)&amp;" HEAD","")&amp;" "&amp;IFERROR(VLOOKUP($H436,CODES,2,FALSE),"")))</f>
        <v/>
      </c>
      <c r="BR436" s="50">
        <f>IF(NOT(AND($A436&lt;&gt;"",N($BC436)&gt;0)),"",TRIM(IFERROR(VLOOKUP($AH436,CODES,2,FALSE),"")&amp;IF($AI436=""," "," "&amp;$AI436&amp;"GA ")&amp;$AZ436&amp;" "&amp;IF($AN436="",IFERROR(VLOOKUP($Z436,CODES,2,FALSE),""),IFERROR(VLOOKUP($AN436,CODES,2,FALSE),""))&amp;IF($BC436=2," PAIR","")&amp;" DOOR | "&amp;IF($AL436="","?",$AL436)&amp;" | "&amp;IF($AP436="",IFERROR(VLOOKUP($AC436,CODES,2,FALSE),""),IFERROR(VLOOKUP($AP436,CODES,2,FALSE),""))&amp;" "&amp;IFERROR(VLOOKUP($AQ436,CODES,2,FALSE),"")&amp;IF(OR($AR436="",$AR436="-"),""," SEAM "&amp;$AR436)&amp;IF($AS436="Y"," ASTRAGAL","")&amp;IF($AJ436=""," "," "&amp;$AJ436)&amp;IF($AK436=""," "," "&amp;$AK436)&amp;IF($AO436="",""," "&amp;$AO436)&amp;IF($AM436=""," "," SERIES "&amp;$AM436)&amp;" "&amp;IFERROR(VLOOKUP($H436,CODES,2,FALSE),"")))</f>
        <v/>
      </c>
      <c r="BS436" s="49">
        <f>IF(BV436="","",IF(COUNTIF($BV$6:BV436,BV436)=1,MAX($BS$5:BS435)+1,INDEX($BS$5:BS435,MATCH(BV436,$BV$5:BV435,0))))</f>
        <v/>
      </c>
      <c r="BT436" s="49">
        <f>IF(NOT(AND($A436&lt;&gt;"",$C436&lt;&gt;"DOOR ONLY")),"",MAX($BT$5:BT435)+1)</f>
        <v/>
      </c>
      <c r="BU436" s="49">
        <f>IF(NOT(AND($A436&lt;&gt;"",N($BC436)&gt;0)),"",MAX($BU$5:BU435)+1)</f>
        <v/>
      </c>
      <c r="BV436" s="49">
        <f>IF(OR($A436="",$BA436="",$BB436=""),"",$AZ436&amp;"|"&amp;$O436&amp;"|"&amp;$AL436&amp;"|"&amp;$S436&amp;"|"&amp;$P436&amp;"|"&amp;$Q436&amp;$R436&amp;"|"&amp;$C436&amp;"|"&amp;$AB436)</f>
        <v/>
      </c>
      <c r="BW436" s="49">
        <f>IF($A436="","",IF($B436="","qty, ","")&amp;IF($C436="","scope, ","")&amp;IF(OR($K436="",$M436=""),"size, ","")&amp;IF(AND($A436&lt;&gt;"",$C436&lt;&gt;"DOOR ONLY"),IF($U436="","jamb depth, ","")&amp;IF($X436="","construction, ","")&amp;IF($Y436="","anchor, ","")&amp;IF($S436="","frame type, ",""),"")&amp;IF(AND(N($BC436)&gt;0,$Z436=""),"hand, ","")&amp;IF(N($BC436)&gt;0,IF($AH436="","door material, ","")&amp;IF($AL436="","face type, ","")&amp;IF($AQ436="","lock prep, ","")&amp;IF(AND($AP436="",$AC436=""),"hinge prep, ",""),"")&amp;IF(AND($BO436&gt;0,$AH436="FRP"),"FRP cannot carry a label, ","")&amp;IF(AND($O436="Y",OR($Z436="L",$Z436="R",$Z436="LR",$Z436="RR")),"pair marked but hand is single, ","")&amp;IF(AND($O436&lt;&gt;"Y",OR($Z436="PR",AND(LEN($Z436)&gt;1,ISNUMBER(SEARCH("-",$Z436))))),"pair hand on a single door, ","")&amp;IF(AND(ISNUMBER($BP436),$BO436&lt;N($BP436)),"wall needs a "&amp;$BP436&amp;" min door, ","")&amp;IF(AND($BO436&gt;=180,AND(OR($BL436="FG",$BL436="HG",$BL436="FNV",$BL436="FV"),N($BM436)*N($BN436)&gt;100)),"180 min lite over 100 sq in, ","")&amp;IF(N($BD436)&gt;48,"leaf wider than 4'-0"&amp;CHAR(34)&amp;", ",""))</f>
        <v/>
      </c>
      <c r="BX436" s="49">
        <f>IF($A436="","",IF(AND($BO436&gt;0,AND($A436&lt;&gt;"",$C436&lt;&gt;"DOOR ONLY"),$X436="KD",$E436="EXTERIOR"),"KD label on an exterior opening, ","")&amp;IF(AND($E436="EXTERIOR",OR(AND(AND($A436&lt;&gt;"",$C436&lt;&gt;"DOOR ONLY"),$W436="CR"),AND(N($BC436)&gt;0,$AH436="CR"))),"exterior in CR steel (G9?), ","")&amp;IF(AND(ISNUMBER($BJ436),N($BJ436)&lt;32),"clear width ~"&amp;TEXT($BJ436,"0.0")&amp;CHAR(34)&amp;" under 32"&amp;CHAR(34)&amp;" (ADA), ","")&amp;IF(AND($BO436=90,AND(OR($BL436="FG",$BL436="HG",$BL436="FNV",$BL436="FV"),N($BM436)*N($BN436)&gt;100)),"90 min lite over 100 sq in (stair/exit), ","")&amp;IF(AND($BO436&gt;0,AND($A436&lt;&gt;"",$C436&lt;&gt;"DOOR ONLY"),OR($AF436="",$AF436="-")),"rated: closer reinf.?, ","")&amp;IF(OR($I436="CORRIDOR",$I436="SMOKE BARRIER"),"S label + smoke gasketing, ","")&amp;IF($BP436="?","wall type/hr not in IBC table, ","")&amp;IF(AND(N($BC436)&gt;0,$AU436=""),"no hardware set, ","")&amp;IF(AND($AU436&lt;&gt;"",ISNA(MATCH($AU436,HWSets,0))),"set "&amp;$AU436&amp;" not on Hardware sheet, ","")&amp;IF(N($BE436)&gt;96,"leaf over 8'-0"&amp;CHAR(34)&amp;" - check listing, ",""))</f>
        <v/>
      </c>
    </row>
    <row r="437" ht="15" customHeight="1">
      <c r="A437" s="44" t="n"/>
      <c r="B437" s="45" t="n"/>
      <c r="C437" s="45" t="n"/>
      <c r="D437" s="45" t="n"/>
      <c r="E437" s="45" t="n"/>
      <c r="F437" s="45" t="n"/>
      <c r="G437" s="45" t="n"/>
      <c r="H437" s="45" t="n"/>
      <c r="I437" s="45" t="n"/>
      <c r="J437" s="45" t="n"/>
      <c r="K437" s="45" t="n"/>
      <c r="L437" s="45" t="n"/>
      <c r="M437" s="45" t="n"/>
      <c r="N437" s="45" t="n"/>
      <c r="O437" s="45" t="n"/>
      <c r="P437" s="45" t="n"/>
      <c r="Q437" s="45" t="n"/>
      <c r="R437" s="45" t="n"/>
      <c r="S437" s="46" t="n"/>
      <c r="T437" s="46" t="n"/>
      <c r="U437" s="46" t="n"/>
      <c r="V437" s="46" t="n"/>
      <c r="W437" s="46" t="n"/>
      <c r="X437" s="46" t="n"/>
      <c r="Y437" s="46" t="n"/>
      <c r="Z437" s="46" t="n"/>
      <c r="AA437" s="46" t="n"/>
      <c r="AB437" s="46" t="n"/>
      <c r="AC437" s="46" t="n"/>
      <c r="AD437" s="46" t="n"/>
      <c r="AE437" s="46" t="n"/>
      <c r="AF437" s="46" t="n"/>
      <c r="AG437" s="46" t="n"/>
      <c r="AH437" s="47" t="n"/>
      <c r="AI437" s="47" t="n"/>
      <c r="AJ437" s="47" t="n"/>
      <c r="AK437" s="47" t="n"/>
      <c r="AL437" s="47" t="n"/>
      <c r="AM437" s="47" t="n"/>
      <c r="AN437" s="47" t="n"/>
      <c r="AO437" s="47" t="n"/>
      <c r="AP437" s="47" t="n"/>
      <c r="AQ437" s="47" t="n"/>
      <c r="AR437" s="47" t="n"/>
      <c r="AS437" s="47" t="n"/>
      <c r="AT437" s="47" t="n"/>
      <c r="AU437" s="48" t="n"/>
      <c r="AV437" s="48" t="n"/>
      <c r="AW437" s="49">
        <f>IF($A437="","",IF($BW437&lt;&gt;"","FIX",IF($BX437&lt;&gt;"","CHECK","OK")))</f>
        <v/>
      </c>
      <c r="AX437" s="50">
        <f>IF($A437="","",IF($BW437&lt;&gt;"","FIX: "&amp;LEFT($BW437,LEN($BW437)-2)&amp;IF($BX437&lt;&gt;"","  ·  ",""),"")&amp;IF($BX437&lt;&gt;"","CHECK: "&amp;LEFT($BX437,LEN($BX437)-2),""))</f>
        <v/>
      </c>
      <c r="AY437" s="49">
        <f>IF(OR($A437="",$K437=""),"",$K437&amp;"'-"&amp;N($L437)&amp;CHAR(34)&amp;" x "&amp;$M437&amp;"'-"&amp;N($N437)&amp;CHAR(34))</f>
        <v/>
      </c>
      <c r="AZ437" s="49">
        <f>IF(OR($A437="",$K437=""),"",$K437&amp;N($L437)&amp;$M437&amp;N($N437))</f>
        <v/>
      </c>
      <c r="BA437" s="49">
        <f>IF(OR($A437="",$K437=""),"",$K437*12+N($L437))</f>
        <v/>
      </c>
      <c r="BB437" s="49">
        <f>IF(OR($A437="",$M437=""),"",$M437*12+N($N437))</f>
        <v/>
      </c>
      <c r="BC437" s="49">
        <f>IF($A437="","",IF(OR($C437="FRAME ONLY",$S437="BL"),0,IF($O437="Y",2,1)))</f>
        <v/>
      </c>
      <c r="BD437" s="51">
        <f>IF(OR(N($BC437)=0,$BA437=""),"",($BA437-2*EdgeClr-IF($BC437=2,MeetClr,0))/$BC437)</f>
        <v/>
      </c>
      <c r="BE437" s="51">
        <f>IF(OR(N($BC437)=0,$BB437=""),"",$BB437-HeadClr-Undercut)</f>
        <v/>
      </c>
      <c r="BF437" s="51">
        <f>IF($BA437="","",$BA437+2*FaceW+IF(N($Q437)&gt;0,($Q437+FaceW)*IF($R437="LR",2,1),0))</f>
        <v/>
      </c>
      <c r="BG437" s="51">
        <f>IF($BB437="","",$BB437+IF($AB437="Y",4,FaceW)+IF(N($P437)&gt;0,$P437+FaceW,0)+IF(OR($S437="4F",$S437="BL"),FaceW,0))</f>
        <v/>
      </c>
      <c r="BH437" s="51">
        <f>IF($BF437="","",$BF437+2*ROSide)</f>
        <v/>
      </c>
      <c r="BI437" s="51">
        <f>IF($BG437="","",$BG437+ROTop)</f>
        <v/>
      </c>
      <c r="BJ437" s="52">
        <f>IF(OR(N($BC437)=0,$BA437=""),"",$BA437/$BC437-ClearDeduct)</f>
        <v/>
      </c>
      <c r="BK437" s="49">
        <f>IF(OR(N($BC437)=0,$BE437=""),"",IF(OR($AC437="HGC",$AP437="HGC"),"CONT",IF($BE437&lt;=60,2,IF($BE437&lt;=90,3,IF($BE437&lt;=120,4,5)))))</f>
        <v/>
      </c>
      <c r="BL437" s="49">
        <f>IF(N($BC437)=0,"",IF(OR($AL437="",$AL437="FLUSH"),"FLUSH",IFERROR(LEFT($AL437,FIND("-",$AL437)-1),LEFT($AL437,2))))</f>
        <v/>
      </c>
      <c r="BM437" s="49">
        <f>IF($BL437="","",IFERROR(VALUE(MID($AL437,FIND("-",$AL437)+1,FIND(CHAR(34)&amp;"x",$AL437)-FIND("-",$AL437)-1)),0))</f>
        <v/>
      </c>
      <c r="BN437" s="49">
        <f>IF($BL437="","",IFERROR(VALUE(MID($AL437,FIND(CHAR(34)&amp;"x",$AL437)+2,FIND(CHAR(34),$AL437,FIND(CHAR(34)&amp;"x",$AL437)+2)-FIND(CHAR(34)&amp;"x",$AL437)-2)),0))</f>
        <v/>
      </c>
      <c r="BO437" s="53">
        <f>IF(OR($A437="",$H437="",$H437="NO LAB"),0,IFERROR(VALUE(LEFT($H437,FIND(" ",$H437)-1)),0))</f>
        <v/>
      </c>
      <c r="BP437" s="54">
        <f>IF(OR($A437="",$I437="",$I437="NON-RATED",N($J437)=0),"",IFERROR(VLOOKUP($I437&amp;"|"&amp;$J437,IBC,2,FALSE),"?"))</f>
        <v/>
      </c>
      <c r="BQ437" s="50">
        <f>IF(NOT(AND($A437&lt;&gt;"",$C437&lt;&gt;"DOOR ONLY")),"",TRIM(IFERROR(VLOOKUP($U437,CODES,2,FALSE),"")&amp;" "&amp;$AZ437&amp;" "&amp;IFERROR(VLOOKUP($Z437,CODES,2,FALSE),"")&amp;" "&amp;IFERROR(VLOOKUP($X437,CODES,2,FALSE),"")&amp;" "&amp;IFERROR(VLOOKUP($S437,CODES,2,FALSE),"")&amp;IF(N($P437)&gt;0," w/TRANSOM "&amp;$P437&amp;CHAR(34),"")&amp;IF(N($Q437)&gt;0," w/SIDELITE "&amp;$Q437&amp;CHAR(34)&amp;" "&amp;IF($R437="","R",$R437),"")&amp;IF($Y437="","  |  "," | "&amp;IFERROR(VLOOKUP($Y437,CODES,2,FALSE),"")&amp;" | ")&amp;IFERROR(VLOOKUP($AC437,CODES,2,FALSE),"")&amp;" "&amp;IFERROR(VLOOKUP($AD437,CODES,2,FALSE),"")&amp;IF(OR($AE437="",$AE437="-"),""," "&amp;$AE437)&amp;IF(OR($AF437="",$AF437="-"),""," "&amp;$AF437)&amp;IF($AB437="Y"," 4"&amp;CHAR(34)&amp;" HEAD","")&amp;" "&amp;IFERROR(VLOOKUP($H437,CODES,2,FALSE),"")))</f>
        <v/>
      </c>
      <c r="BR437" s="50">
        <f>IF(NOT(AND($A437&lt;&gt;"",N($BC437)&gt;0)),"",TRIM(IFERROR(VLOOKUP($AH437,CODES,2,FALSE),"")&amp;IF($AI437=""," "," "&amp;$AI437&amp;"GA ")&amp;$AZ437&amp;" "&amp;IF($AN437="",IFERROR(VLOOKUP($Z437,CODES,2,FALSE),""),IFERROR(VLOOKUP($AN437,CODES,2,FALSE),""))&amp;IF($BC437=2," PAIR","")&amp;" DOOR | "&amp;IF($AL437="","?",$AL437)&amp;" | "&amp;IF($AP437="",IFERROR(VLOOKUP($AC437,CODES,2,FALSE),""),IFERROR(VLOOKUP($AP437,CODES,2,FALSE),""))&amp;" "&amp;IFERROR(VLOOKUP($AQ437,CODES,2,FALSE),"")&amp;IF(OR($AR437="",$AR437="-"),""," SEAM "&amp;$AR437)&amp;IF($AS437="Y"," ASTRAGAL","")&amp;IF($AJ437=""," "," "&amp;$AJ437)&amp;IF($AK437=""," "," "&amp;$AK437)&amp;IF($AO437="",""," "&amp;$AO437)&amp;IF($AM437=""," "," SERIES "&amp;$AM437)&amp;" "&amp;IFERROR(VLOOKUP($H437,CODES,2,FALSE),"")))</f>
        <v/>
      </c>
      <c r="BS437" s="49">
        <f>IF(BV437="","",IF(COUNTIF($BV$6:BV437,BV437)=1,MAX($BS$5:BS436)+1,INDEX($BS$5:BS436,MATCH(BV437,$BV$5:BV436,0))))</f>
        <v/>
      </c>
      <c r="BT437" s="49">
        <f>IF(NOT(AND($A437&lt;&gt;"",$C437&lt;&gt;"DOOR ONLY")),"",MAX($BT$5:BT436)+1)</f>
        <v/>
      </c>
      <c r="BU437" s="49">
        <f>IF(NOT(AND($A437&lt;&gt;"",N($BC437)&gt;0)),"",MAX($BU$5:BU436)+1)</f>
        <v/>
      </c>
      <c r="BV437" s="49">
        <f>IF(OR($A437="",$BA437="",$BB437=""),"",$AZ437&amp;"|"&amp;$O437&amp;"|"&amp;$AL437&amp;"|"&amp;$S437&amp;"|"&amp;$P437&amp;"|"&amp;$Q437&amp;$R437&amp;"|"&amp;$C437&amp;"|"&amp;$AB437)</f>
        <v/>
      </c>
      <c r="BW437" s="49">
        <f>IF($A437="","",IF($B437="","qty, ","")&amp;IF($C437="","scope, ","")&amp;IF(OR($K437="",$M437=""),"size, ","")&amp;IF(AND($A437&lt;&gt;"",$C437&lt;&gt;"DOOR ONLY"),IF($U437="","jamb depth, ","")&amp;IF($X437="","construction, ","")&amp;IF($Y437="","anchor, ","")&amp;IF($S437="","frame type, ",""),"")&amp;IF(AND(N($BC437)&gt;0,$Z437=""),"hand, ","")&amp;IF(N($BC437)&gt;0,IF($AH437="","door material, ","")&amp;IF($AL437="","face type, ","")&amp;IF($AQ437="","lock prep, ","")&amp;IF(AND($AP437="",$AC437=""),"hinge prep, ",""),"")&amp;IF(AND($BO437&gt;0,$AH437="FRP"),"FRP cannot carry a label, ","")&amp;IF(AND($O437="Y",OR($Z437="L",$Z437="R",$Z437="LR",$Z437="RR")),"pair marked but hand is single, ","")&amp;IF(AND($O437&lt;&gt;"Y",OR($Z437="PR",AND(LEN($Z437)&gt;1,ISNUMBER(SEARCH("-",$Z437))))),"pair hand on a single door, ","")&amp;IF(AND(ISNUMBER($BP437),$BO437&lt;N($BP437)),"wall needs a "&amp;$BP437&amp;" min door, ","")&amp;IF(AND($BO437&gt;=180,AND(OR($BL437="FG",$BL437="HG",$BL437="FNV",$BL437="FV"),N($BM437)*N($BN437)&gt;100)),"180 min lite over 100 sq in, ","")&amp;IF(N($BD437)&gt;48,"leaf wider than 4'-0"&amp;CHAR(34)&amp;", ",""))</f>
        <v/>
      </c>
      <c r="BX437" s="49">
        <f>IF($A437="","",IF(AND($BO437&gt;0,AND($A437&lt;&gt;"",$C437&lt;&gt;"DOOR ONLY"),$X437="KD",$E437="EXTERIOR"),"KD label on an exterior opening, ","")&amp;IF(AND($E437="EXTERIOR",OR(AND(AND($A437&lt;&gt;"",$C437&lt;&gt;"DOOR ONLY"),$W437="CR"),AND(N($BC437)&gt;0,$AH437="CR"))),"exterior in CR steel (G9?), ","")&amp;IF(AND(ISNUMBER($BJ437),N($BJ437)&lt;32),"clear width ~"&amp;TEXT($BJ437,"0.0")&amp;CHAR(34)&amp;" under 32"&amp;CHAR(34)&amp;" (ADA), ","")&amp;IF(AND($BO437=90,AND(OR($BL437="FG",$BL437="HG",$BL437="FNV",$BL437="FV"),N($BM437)*N($BN437)&gt;100)),"90 min lite over 100 sq in (stair/exit), ","")&amp;IF(AND($BO437&gt;0,AND($A437&lt;&gt;"",$C437&lt;&gt;"DOOR ONLY"),OR($AF437="",$AF437="-")),"rated: closer reinf.?, ","")&amp;IF(OR($I437="CORRIDOR",$I437="SMOKE BARRIER"),"S label + smoke gasketing, ","")&amp;IF($BP437="?","wall type/hr not in IBC table, ","")&amp;IF(AND(N($BC437)&gt;0,$AU437=""),"no hardware set, ","")&amp;IF(AND($AU437&lt;&gt;"",ISNA(MATCH($AU437,HWSets,0))),"set "&amp;$AU437&amp;" not on Hardware sheet, ","")&amp;IF(N($BE437)&gt;96,"leaf over 8'-0"&amp;CHAR(34)&amp;" - check listing, ",""))</f>
        <v/>
      </c>
    </row>
    <row r="438" ht="15" customHeight="1">
      <c r="A438" s="44" t="n"/>
      <c r="B438" s="45" t="n"/>
      <c r="C438" s="45" t="n"/>
      <c r="D438" s="45" t="n"/>
      <c r="E438" s="45" t="n"/>
      <c r="F438" s="45" t="n"/>
      <c r="G438" s="45" t="n"/>
      <c r="H438" s="45" t="n"/>
      <c r="I438" s="45" t="n"/>
      <c r="J438" s="45" t="n"/>
      <c r="K438" s="45" t="n"/>
      <c r="L438" s="45" t="n"/>
      <c r="M438" s="45" t="n"/>
      <c r="N438" s="45" t="n"/>
      <c r="O438" s="45" t="n"/>
      <c r="P438" s="45" t="n"/>
      <c r="Q438" s="45" t="n"/>
      <c r="R438" s="45" t="n"/>
      <c r="S438" s="46" t="n"/>
      <c r="T438" s="46" t="n"/>
      <c r="U438" s="46" t="n"/>
      <c r="V438" s="46" t="n"/>
      <c r="W438" s="46" t="n"/>
      <c r="X438" s="46" t="n"/>
      <c r="Y438" s="46" t="n"/>
      <c r="Z438" s="46" t="n"/>
      <c r="AA438" s="46" t="n"/>
      <c r="AB438" s="46" t="n"/>
      <c r="AC438" s="46" t="n"/>
      <c r="AD438" s="46" t="n"/>
      <c r="AE438" s="46" t="n"/>
      <c r="AF438" s="46" t="n"/>
      <c r="AG438" s="46" t="n"/>
      <c r="AH438" s="47" t="n"/>
      <c r="AI438" s="47" t="n"/>
      <c r="AJ438" s="47" t="n"/>
      <c r="AK438" s="47" t="n"/>
      <c r="AL438" s="47" t="n"/>
      <c r="AM438" s="47" t="n"/>
      <c r="AN438" s="47" t="n"/>
      <c r="AO438" s="47" t="n"/>
      <c r="AP438" s="47" t="n"/>
      <c r="AQ438" s="47" t="n"/>
      <c r="AR438" s="47" t="n"/>
      <c r="AS438" s="47" t="n"/>
      <c r="AT438" s="47" t="n"/>
      <c r="AU438" s="48" t="n"/>
      <c r="AV438" s="48" t="n"/>
      <c r="AW438" s="49">
        <f>IF($A438="","",IF($BW438&lt;&gt;"","FIX",IF($BX438&lt;&gt;"","CHECK","OK")))</f>
        <v/>
      </c>
      <c r="AX438" s="50">
        <f>IF($A438="","",IF($BW438&lt;&gt;"","FIX: "&amp;LEFT($BW438,LEN($BW438)-2)&amp;IF($BX438&lt;&gt;"","  ·  ",""),"")&amp;IF($BX438&lt;&gt;"","CHECK: "&amp;LEFT($BX438,LEN($BX438)-2),""))</f>
        <v/>
      </c>
      <c r="AY438" s="49">
        <f>IF(OR($A438="",$K438=""),"",$K438&amp;"'-"&amp;N($L438)&amp;CHAR(34)&amp;" x "&amp;$M438&amp;"'-"&amp;N($N438)&amp;CHAR(34))</f>
        <v/>
      </c>
      <c r="AZ438" s="49">
        <f>IF(OR($A438="",$K438=""),"",$K438&amp;N($L438)&amp;$M438&amp;N($N438))</f>
        <v/>
      </c>
      <c r="BA438" s="49">
        <f>IF(OR($A438="",$K438=""),"",$K438*12+N($L438))</f>
        <v/>
      </c>
      <c r="BB438" s="49">
        <f>IF(OR($A438="",$M438=""),"",$M438*12+N($N438))</f>
        <v/>
      </c>
      <c r="BC438" s="49">
        <f>IF($A438="","",IF(OR($C438="FRAME ONLY",$S438="BL"),0,IF($O438="Y",2,1)))</f>
        <v/>
      </c>
      <c r="BD438" s="51">
        <f>IF(OR(N($BC438)=0,$BA438=""),"",($BA438-2*EdgeClr-IF($BC438=2,MeetClr,0))/$BC438)</f>
        <v/>
      </c>
      <c r="BE438" s="51">
        <f>IF(OR(N($BC438)=0,$BB438=""),"",$BB438-HeadClr-Undercut)</f>
        <v/>
      </c>
      <c r="BF438" s="51">
        <f>IF($BA438="","",$BA438+2*FaceW+IF(N($Q438)&gt;0,($Q438+FaceW)*IF($R438="LR",2,1),0))</f>
        <v/>
      </c>
      <c r="BG438" s="51">
        <f>IF($BB438="","",$BB438+IF($AB438="Y",4,FaceW)+IF(N($P438)&gt;0,$P438+FaceW,0)+IF(OR($S438="4F",$S438="BL"),FaceW,0))</f>
        <v/>
      </c>
      <c r="BH438" s="51">
        <f>IF($BF438="","",$BF438+2*ROSide)</f>
        <v/>
      </c>
      <c r="BI438" s="51">
        <f>IF($BG438="","",$BG438+ROTop)</f>
        <v/>
      </c>
      <c r="BJ438" s="52">
        <f>IF(OR(N($BC438)=0,$BA438=""),"",$BA438/$BC438-ClearDeduct)</f>
        <v/>
      </c>
      <c r="BK438" s="49">
        <f>IF(OR(N($BC438)=0,$BE438=""),"",IF(OR($AC438="HGC",$AP438="HGC"),"CONT",IF($BE438&lt;=60,2,IF($BE438&lt;=90,3,IF($BE438&lt;=120,4,5)))))</f>
        <v/>
      </c>
      <c r="BL438" s="49">
        <f>IF(N($BC438)=0,"",IF(OR($AL438="",$AL438="FLUSH"),"FLUSH",IFERROR(LEFT($AL438,FIND("-",$AL438)-1),LEFT($AL438,2))))</f>
        <v/>
      </c>
      <c r="BM438" s="49">
        <f>IF($BL438="","",IFERROR(VALUE(MID($AL438,FIND("-",$AL438)+1,FIND(CHAR(34)&amp;"x",$AL438)-FIND("-",$AL438)-1)),0))</f>
        <v/>
      </c>
      <c r="BN438" s="49">
        <f>IF($BL438="","",IFERROR(VALUE(MID($AL438,FIND(CHAR(34)&amp;"x",$AL438)+2,FIND(CHAR(34),$AL438,FIND(CHAR(34)&amp;"x",$AL438)+2)-FIND(CHAR(34)&amp;"x",$AL438)-2)),0))</f>
        <v/>
      </c>
      <c r="BO438" s="53">
        <f>IF(OR($A438="",$H438="",$H438="NO LAB"),0,IFERROR(VALUE(LEFT($H438,FIND(" ",$H438)-1)),0))</f>
        <v/>
      </c>
      <c r="BP438" s="54">
        <f>IF(OR($A438="",$I438="",$I438="NON-RATED",N($J438)=0),"",IFERROR(VLOOKUP($I438&amp;"|"&amp;$J438,IBC,2,FALSE),"?"))</f>
        <v/>
      </c>
      <c r="BQ438" s="50">
        <f>IF(NOT(AND($A438&lt;&gt;"",$C438&lt;&gt;"DOOR ONLY")),"",TRIM(IFERROR(VLOOKUP($U438,CODES,2,FALSE),"")&amp;" "&amp;$AZ438&amp;" "&amp;IFERROR(VLOOKUP($Z438,CODES,2,FALSE),"")&amp;" "&amp;IFERROR(VLOOKUP($X438,CODES,2,FALSE),"")&amp;" "&amp;IFERROR(VLOOKUP($S438,CODES,2,FALSE),"")&amp;IF(N($P438)&gt;0," w/TRANSOM "&amp;$P438&amp;CHAR(34),"")&amp;IF(N($Q438)&gt;0," w/SIDELITE "&amp;$Q438&amp;CHAR(34)&amp;" "&amp;IF($R438="","R",$R438),"")&amp;IF($Y438="","  |  "," | "&amp;IFERROR(VLOOKUP($Y438,CODES,2,FALSE),"")&amp;" | ")&amp;IFERROR(VLOOKUP($AC438,CODES,2,FALSE),"")&amp;" "&amp;IFERROR(VLOOKUP($AD438,CODES,2,FALSE),"")&amp;IF(OR($AE438="",$AE438="-"),""," "&amp;$AE438)&amp;IF(OR($AF438="",$AF438="-"),""," "&amp;$AF438)&amp;IF($AB438="Y"," 4"&amp;CHAR(34)&amp;" HEAD","")&amp;" "&amp;IFERROR(VLOOKUP($H438,CODES,2,FALSE),"")))</f>
        <v/>
      </c>
      <c r="BR438" s="50">
        <f>IF(NOT(AND($A438&lt;&gt;"",N($BC438)&gt;0)),"",TRIM(IFERROR(VLOOKUP($AH438,CODES,2,FALSE),"")&amp;IF($AI438=""," "," "&amp;$AI438&amp;"GA ")&amp;$AZ438&amp;" "&amp;IF($AN438="",IFERROR(VLOOKUP($Z438,CODES,2,FALSE),""),IFERROR(VLOOKUP($AN438,CODES,2,FALSE),""))&amp;IF($BC438=2," PAIR","")&amp;" DOOR | "&amp;IF($AL438="","?",$AL438)&amp;" | "&amp;IF($AP438="",IFERROR(VLOOKUP($AC438,CODES,2,FALSE),""),IFERROR(VLOOKUP($AP438,CODES,2,FALSE),""))&amp;" "&amp;IFERROR(VLOOKUP($AQ438,CODES,2,FALSE),"")&amp;IF(OR($AR438="",$AR438="-"),""," SEAM "&amp;$AR438)&amp;IF($AS438="Y"," ASTRAGAL","")&amp;IF($AJ438=""," "," "&amp;$AJ438)&amp;IF($AK438=""," "," "&amp;$AK438)&amp;IF($AO438="",""," "&amp;$AO438)&amp;IF($AM438=""," "," SERIES "&amp;$AM438)&amp;" "&amp;IFERROR(VLOOKUP($H438,CODES,2,FALSE),"")))</f>
        <v/>
      </c>
      <c r="BS438" s="49">
        <f>IF(BV438="","",IF(COUNTIF($BV$6:BV438,BV438)=1,MAX($BS$5:BS437)+1,INDEX($BS$5:BS437,MATCH(BV438,$BV$5:BV437,0))))</f>
        <v/>
      </c>
      <c r="BT438" s="49">
        <f>IF(NOT(AND($A438&lt;&gt;"",$C438&lt;&gt;"DOOR ONLY")),"",MAX($BT$5:BT437)+1)</f>
        <v/>
      </c>
      <c r="BU438" s="49">
        <f>IF(NOT(AND($A438&lt;&gt;"",N($BC438)&gt;0)),"",MAX($BU$5:BU437)+1)</f>
        <v/>
      </c>
      <c r="BV438" s="49">
        <f>IF(OR($A438="",$BA438="",$BB438=""),"",$AZ438&amp;"|"&amp;$O438&amp;"|"&amp;$AL438&amp;"|"&amp;$S438&amp;"|"&amp;$P438&amp;"|"&amp;$Q438&amp;$R438&amp;"|"&amp;$C438&amp;"|"&amp;$AB438)</f>
        <v/>
      </c>
      <c r="BW438" s="49">
        <f>IF($A438="","",IF($B438="","qty, ","")&amp;IF($C438="","scope, ","")&amp;IF(OR($K438="",$M438=""),"size, ","")&amp;IF(AND($A438&lt;&gt;"",$C438&lt;&gt;"DOOR ONLY"),IF($U438="","jamb depth, ","")&amp;IF($X438="","construction, ","")&amp;IF($Y438="","anchor, ","")&amp;IF($S438="","frame type, ",""),"")&amp;IF(AND(N($BC438)&gt;0,$Z438=""),"hand, ","")&amp;IF(N($BC438)&gt;0,IF($AH438="","door material, ","")&amp;IF($AL438="","face type, ","")&amp;IF($AQ438="","lock prep, ","")&amp;IF(AND($AP438="",$AC438=""),"hinge prep, ",""),"")&amp;IF(AND($BO438&gt;0,$AH438="FRP"),"FRP cannot carry a label, ","")&amp;IF(AND($O438="Y",OR($Z438="L",$Z438="R",$Z438="LR",$Z438="RR")),"pair marked but hand is single, ","")&amp;IF(AND($O438&lt;&gt;"Y",OR($Z438="PR",AND(LEN($Z438)&gt;1,ISNUMBER(SEARCH("-",$Z438))))),"pair hand on a single door, ","")&amp;IF(AND(ISNUMBER($BP438),$BO438&lt;N($BP438)),"wall needs a "&amp;$BP438&amp;" min door, ","")&amp;IF(AND($BO438&gt;=180,AND(OR($BL438="FG",$BL438="HG",$BL438="FNV",$BL438="FV"),N($BM438)*N($BN438)&gt;100)),"180 min lite over 100 sq in, ","")&amp;IF(N($BD438)&gt;48,"leaf wider than 4'-0"&amp;CHAR(34)&amp;", ",""))</f>
        <v/>
      </c>
      <c r="BX438" s="49">
        <f>IF($A438="","",IF(AND($BO438&gt;0,AND($A438&lt;&gt;"",$C438&lt;&gt;"DOOR ONLY"),$X438="KD",$E438="EXTERIOR"),"KD label on an exterior opening, ","")&amp;IF(AND($E438="EXTERIOR",OR(AND(AND($A438&lt;&gt;"",$C438&lt;&gt;"DOOR ONLY"),$W438="CR"),AND(N($BC438)&gt;0,$AH438="CR"))),"exterior in CR steel (G9?), ","")&amp;IF(AND(ISNUMBER($BJ438),N($BJ438)&lt;32),"clear width ~"&amp;TEXT($BJ438,"0.0")&amp;CHAR(34)&amp;" under 32"&amp;CHAR(34)&amp;" (ADA), ","")&amp;IF(AND($BO438=90,AND(OR($BL438="FG",$BL438="HG",$BL438="FNV",$BL438="FV"),N($BM438)*N($BN438)&gt;100)),"90 min lite over 100 sq in (stair/exit), ","")&amp;IF(AND($BO438&gt;0,AND($A438&lt;&gt;"",$C438&lt;&gt;"DOOR ONLY"),OR($AF438="",$AF438="-")),"rated: closer reinf.?, ","")&amp;IF(OR($I438="CORRIDOR",$I438="SMOKE BARRIER"),"S label + smoke gasketing, ","")&amp;IF($BP438="?","wall type/hr not in IBC table, ","")&amp;IF(AND(N($BC438)&gt;0,$AU438=""),"no hardware set, ","")&amp;IF(AND($AU438&lt;&gt;"",ISNA(MATCH($AU438,HWSets,0))),"set "&amp;$AU438&amp;" not on Hardware sheet, ","")&amp;IF(N($BE438)&gt;96,"leaf over 8'-0"&amp;CHAR(34)&amp;" - check listing, ",""))</f>
        <v/>
      </c>
    </row>
    <row r="439" ht="15" customHeight="1">
      <c r="A439" s="44" t="n"/>
      <c r="B439" s="45" t="n"/>
      <c r="C439" s="45" t="n"/>
      <c r="D439" s="45" t="n"/>
      <c r="E439" s="45" t="n"/>
      <c r="F439" s="45" t="n"/>
      <c r="G439" s="45" t="n"/>
      <c r="H439" s="45" t="n"/>
      <c r="I439" s="45" t="n"/>
      <c r="J439" s="45" t="n"/>
      <c r="K439" s="45" t="n"/>
      <c r="L439" s="45" t="n"/>
      <c r="M439" s="45" t="n"/>
      <c r="N439" s="45" t="n"/>
      <c r="O439" s="45" t="n"/>
      <c r="P439" s="45" t="n"/>
      <c r="Q439" s="45" t="n"/>
      <c r="R439" s="45" t="n"/>
      <c r="S439" s="46" t="n"/>
      <c r="T439" s="46" t="n"/>
      <c r="U439" s="46" t="n"/>
      <c r="V439" s="46" t="n"/>
      <c r="W439" s="46" t="n"/>
      <c r="X439" s="46" t="n"/>
      <c r="Y439" s="46" t="n"/>
      <c r="Z439" s="46" t="n"/>
      <c r="AA439" s="46" t="n"/>
      <c r="AB439" s="46" t="n"/>
      <c r="AC439" s="46" t="n"/>
      <c r="AD439" s="46" t="n"/>
      <c r="AE439" s="46" t="n"/>
      <c r="AF439" s="46" t="n"/>
      <c r="AG439" s="46" t="n"/>
      <c r="AH439" s="47" t="n"/>
      <c r="AI439" s="47" t="n"/>
      <c r="AJ439" s="47" t="n"/>
      <c r="AK439" s="47" t="n"/>
      <c r="AL439" s="47" t="n"/>
      <c r="AM439" s="47" t="n"/>
      <c r="AN439" s="47" t="n"/>
      <c r="AO439" s="47" t="n"/>
      <c r="AP439" s="47" t="n"/>
      <c r="AQ439" s="47" t="n"/>
      <c r="AR439" s="47" t="n"/>
      <c r="AS439" s="47" t="n"/>
      <c r="AT439" s="47" t="n"/>
      <c r="AU439" s="48" t="n"/>
      <c r="AV439" s="48" t="n"/>
      <c r="AW439" s="49">
        <f>IF($A439="","",IF($BW439&lt;&gt;"","FIX",IF($BX439&lt;&gt;"","CHECK","OK")))</f>
        <v/>
      </c>
      <c r="AX439" s="50">
        <f>IF($A439="","",IF($BW439&lt;&gt;"","FIX: "&amp;LEFT($BW439,LEN($BW439)-2)&amp;IF($BX439&lt;&gt;"","  ·  ",""),"")&amp;IF($BX439&lt;&gt;"","CHECK: "&amp;LEFT($BX439,LEN($BX439)-2),""))</f>
        <v/>
      </c>
      <c r="AY439" s="49">
        <f>IF(OR($A439="",$K439=""),"",$K439&amp;"'-"&amp;N($L439)&amp;CHAR(34)&amp;" x "&amp;$M439&amp;"'-"&amp;N($N439)&amp;CHAR(34))</f>
        <v/>
      </c>
      <c r="AZ439" s="49">
        <f>IF(OR($A439="",$K439=""),"",$K439&amp;N($L439)&amp;$M439&amp;N($N439))</f>
        <v/>
      </c>
      <c r="BA439" s="49">
        <f>IF(OR($A439="",$K439=""),"",$K439*12+N($L439))</f>
        <v/>
      </c>
      <c r="BB439" s="49">
        <f>IF(OR($A439="",$M439=""),"",$M439*12+N($N439))</f>
        <v/>
      </c>
      <c r="BC439" s="49">
        <f>IF($A439="","",IF(OR($C439="FRAME ONLY",$S439="BL"),0,IF($O439="Y",2,1)))</f>
        <v/>
      </c>
      <c r="BD439" s="51">
        <f>IF(OR(N($BC439)=0,$BA439=""),"",($BA439-2*EdgeClr-IF($BC439=2,MeetClr,0))/$BC439)</f>
        <v/>
      </c>
      <c r="BE439" s="51">
        <f>IF(OR(N($BC439)=0,$BB439=""),"",$BB439-HeadClr-Undercut)</f>
        <v/>
      </c>
      <c r="BF439" s="51">
        <f>IF($BA439="","",$BA439+2*FaceW+IF(N($Q439)&gt;0,($Q439+FaceW)*IF($R439="LR",2,1),0))</f>
        <v/>
      </c>
      <c r="BG439" s="51">
        <f>IF($BB439="","",$BB439+IF($AB439="Y",4,FaceW)+IF(N($P439)&gt;0,$P439+FaceW,0)+IF(OR($S439="4F",$S439="BL"),FaceW,0))</f>
        <v/>
      </c>
      <c r="BH439" s="51">
        <f>IF($BF439="","",$BF439+2*ROSide)</f>
        <v/>
      </c>
      <c r="BI439" s="51">
        <f>IF($BG439="","",$BG439+ROTop)</f>
        <v/>
      </c>
      <c r="BJ439" s="52">
        <f>IF(OR(N($BC439)=0,$BA439=""),"",$BA439/$BC439-ClearDeduct)</f>
        <v/>
      </c>
      <c r="BK439" s="49">
        <f>IF(OR(N($BC439)=0,$BE439=""),"",IF(OR($AC439="HGC",$AP439="HGC"),"CONT",IF($BE439&lt;=60,2,IF($BE439&lt;=90,3,IF($BE439&lt;=120,4,5)))))</f>
        <v/>
      </c>
      <c r="BL439" s="49">
        <f>IF(N($BC439)=0,"",IF(OR($AL439="",$AL439="FLUSH"),"FLUSH",IFERROR(LEFT($AL439,FIND("-",$AL439)-1),LEFT($AL439,2))))</f>
        <v/>
      </c>
      <c r="BM439" s="49">
        <f>IF($BL439="","",IFERROR(VALUE(MID($AL439,FIND("-",$AL439)+1,FIND(CHAR(34)&amp;"x",$AL439)-FIND("-",$AL439)-1)),0))</f>
        <v/>
      </c>
      <c r="BN439" s="49">
        <f>IF($BL439="","",IFERROR(VALUE(MID($AL439,FIND(CHAR(34)&amp;"x",$AL439)+2,FIND(CHAR(34),$AL439,FIND(CHAR(34)&amp;"x",$AL439)+2)-FIND(CHAR(34)&amp;"x",$AL439)-2)),0))</f>
        <v/>
      </c>
      <c r="BO439" s="53">
        <f>IF(OR($A439="",$H439="",$H439="NO LAB"),0,IFERROR(VALUE(LEFT($H439,FIND(" ",$H439)-1)),0))</f>
        <v/>
      </c>
      <c r="BP439" s="54">
        <f>IF(OR($A439="",$I439="",$I439="NON-RATED",N($J439)=0),"",IFERROR(VLOOKUP($I439&amp;"|"&amp;$J439,IBC,2,FALSE),"?"))</f>
        <v/>
      </c>
      <c r="BQ439" s="50">
        <f>IF(NOT(AND($A439&lt;&gt;"",$C439&lt;&gt;"DOOR ONLY")),"",TRIM(IFERROR(VLOOKUP($U439,CODES,2,FALSE),"")&amp;" "&amp;$AZ439&amp;" "&amp;IFERROR(VLOOKUP($Z439,CODES,2,FALSE),"")&amp;" "&amp;IFERROR(VLOOKUP($X439,CODES,2,FALSE),"")&amp;" "&amp;IFERROR(VLOOKUP($S439,CODES,2,FALSE),"")&amp;IF(N($P439)&gt;0," w/TRANSOM "&amp;$P439&amp;CHAR(34),"")&amp;IF(N($Q439)&gt;0," w/SIDELITE "&amp;$Q439&amp;CHAR(34)&amp;" "&amp;IF($R439="","R",$R439),"")&amp;IF($Y439="","  |  "," | "&amp;IFERROR(VLOOKUP($Y439,CODES,2,FALSE),"")&amp;" | ")&amp;IFERROR(VLOOKUP($AC439,CODES,2,FALSE),"")&amp;" "&amp;IFERROR(VLOOKUP($AD439,CODES,2,FALSE),"")&amp;IF(OR($AE439="",$AE439="-"),""," "&amp;$AE439)&amp;IF(OR($AF439="",$AF439="-"),""," "&amp;$AF439)&amp;IF($AB439="Y"," 4"&amp;CHAR(34)&amp;" HEAD","")&amp;" "&amp;IFERROR(VLOOKUP($H439,CODES,2,FALSE),"")))</f>
        <v/>
      </c>
      <c r="BR439" s="50">
        <f>IF(NOT(AND($A439&lt;&gt;"",N($BC439)&gt;0)),"",TRIM(IFERROR(VLOOKUP($AH439,CODES,2,FALSE),"")&amp;IF($AI439=""," "," "&amp;$AI439&amp;"GA ")&amp;$AZ439&amp;" "&amp;IF($AN439="",IFERROR(VLOOKUP($Z439,CODES,2,FALSE),""),IFERROR(VLOOKUP($AN439,CODES,2,FALSE),""))&amp;IF($BC439=2," PAIR","")&amp;" DOOR | "&amp;IF($AL439="","?",$AL439)&amp;" | "&amp;IF($AP439="",IFERROR(VLOOKUP($AC439,CODES,2,FALSE),""),IFERROR(VLOOKUP($AP439,CODES,2,FALSE),""))&amp;" "&amp;IFERROR(VLOOKUP($AQ439,CODES,2,FALSE),"")&amp;IF(OR($AR439="",$AR439="-"),""," SEAM "&amp;$AR439)&amp;IF($AS439="Y"," ASTRAGAL","")&amp;IF($AJ439=""," "," "&amp;$AJ439)&amp;IF($AK439=""," "," "&amp;$AK439)&amp;IF($AO439="",""," "&amp;$AO439)&amp;IF($AM439=""," "," SERIES "&amp;$AM439)&amp;" "&amp;IFERROR(VLOOKUP($H439,CODES,2,FALSE),"")))</f>
        <v/>
      </c>
      <c r="BS439" s="49">
        <f>IF(BV439="","",IF(COUNTIF($BV$6:BV439,BV439)=1,MAX($BS$5:BS438)+1,INDEX($BS$5:BS438,MATCH(BV439,$BV$5:BV438,0))))</f>
        <v/>
      </c>
      <c r="BT439" s="49">
        <f>IF(NOT(AND($A439&lt;&gt;"",$C439&lt;&gt;"DOOR ONLY")),"",MAX($BT$5:BT438)+1)</f>
        <v/>
      </c>
      <c r="BU439" s="49">
        <f>IF(NOT(AND($A439&lt;&gt;"",N($BC439)&gt;0)),"",MAX($BU$5:BU438)+1)</f>
        <v/>
      </c>
      <c r="BV439" s="49">
        <f>IF(OR($A439="",$BA439="",$BB439=""),"",$AZ439&amp;"|"&amp;$O439&amp;"|"&amp;$AL439&amp;"|"&amp;$S439&amp;"|"&amp;$P439&amp;"|"&amp;$Q439&amp;$R439&amp;"|"&amp;$C439&amp;"|"&amp;$AB439)</f>
        <v/>
      </c>
      <c r="BW439" s="49">
        <f>IF($A439="","",IF($B439="","qty, ","")&amp;IF($C439="","scope, ","")&amp;IF(OR($K439="",$M439=""),"size, ","")&amp;IF(AND($A439&lt;&gt;"",$C439&lt;&gt;"DOOR ONLY"),IF($U439="","jamb depth, ","")&amp;IF($X439="","construction, ","")&amp;IF($Y439="","anchor, ","")&amp;IF($S439="","frame type, ",""),"")&amp;IF(AND(N($BC439)&gt;0,$Z439=""),"hand, ","")&amp;IF(N($BC439)&gt;0,IF($AH439="","door material, ","")&amp;IF($AL439="","face type, ","")&amp;IF($AQ439="","lock prep, ","")&amp;IF(AND($AP439="",$AC439=""),"hinge prep, ",""),"")&amp;IF(AND($BO439&gt;0,$AH439="FRP"),"FRP cannot carry a label, ","")&amp;IF(AND($O439="Y",OR($Z439="L",$Z439="R",$Z439="LR",$Z439="RR")),"pair marked but hand is single, ","")&amp;IF(AND($O439&lt;&gt;"Y",OR($Z439="PR",AND(LEN($Z439)&gt;1,ISNUMBER(SEARCH("-",$Z439))))),"pair hand on a single door, ","")&amp;IF(AND(ISNUMBER($BP439),$BO439&lt;N($BP439)),"wall needs a "&amp;$BP439&amp;" min door, ","")&amp;IF(AND($BO439&gt;=180,AND(OR($BL439="FG",$BL439="HG",$BL439="FNV",$BL439="FV"),N($BM439)*N($BN439)&gt;100)),"180 min lite over 100 sq in, ","")&amp;IF(N($BD439)&gt;48,"leaf wider than 4'-0"&amp;CHAR(34)&amp;", ",""))</f>
        <v/>
      </c>
      <c r="BX439" s="49">
        <f>IF($A439="","",IF(AND($BO439&gt;0,AND($A439&lt;&gt;"",$C439&lt;&gt;"DOOR ONLY"),$X439="KD",$E439="EXTERIOR"),"KD label on an exterior opening, ","")&amp;IF(AND($E439="EXTERIOR",OR(AND(AND($A439&lt;&gt;"",$C439&lt;&gt;"DOOR ONLY"),$W439="CR"),AND(N($BC439)&gt;0,$AH439="CR"))),"exterior in CR steel (G9?), ","")&amp;IF(AND(ISNUMBER($BJ439),N($BJ439)&lt;32),"clear width ~"&amp;TEXT($BJ439,"0.0")&amp;CHAR(34)&amp;" under 32"&amp;CHAR(34)&amp;" (ADA), ","")&amp;IF(AND($BO439=90,AND(OR($BL439="FG",$BL439="HG",$BL439="FNV",$BL439="FV"),N($BM439)*N($BN439)&gt;100)),"90 min lite over 100 sq in (stair/exit), ","")&amp;IF(AND($BO439&gt;0,AND($A439&lt;&gt;"",$C439&lt;&gt;"DOOR ONLY"),OR($AF439="",$AF439="-")),"rated: closer reinf.?, ","")&amp;IF(OR($I439="CORRIDOR",$I439="SMOKE BARRIER"),"S label + smoke gasketing, ","")&amp;IF($BP439="?","wall type/hr not in IBC table, ","")&amp;IF(AND(N($BC439)&gt;0,$AU439=""),"no hardware set, ","")&amp;IF(AND($AU439&lt;&gt;"",ISNA(MATCH($AU439,HWSets,0))),"set "&amp;$AU439&amp;" not on Hardware sheet, ","")&amp;IF(N($BE439)&gt;96,"leaf over 8'-0"&amp;CHAR(34)&amp;" - check listing, ",""))</f>
        <v/>
      </c>
    </row>
    <row r="440" ht="15" customHeight="1">
      <c r="A440" s="44" t="n"/>
      <c r="B440" s="45" t="n"/>
      <c r="C440" s="45" t="n"/>
      <c r="D440" s="45" t="n"/>
      <c r="E440" s="45" t="n"/>
      <c r="F440" s="45" t="n"/>
      <c r="G440" s="45" t="n"/>
      <c r="H440" s="45" t="n"/>
      <c r="I440" s="45" t="n"/>
      <c r="J440" s="45" t="n"/>
      <c r="K440" s="45" t="n"/>
      <c r="L440" s="45" t="n"/>
      <c r="M440" s="45" t="n"/>
      <c r="N440" s="45" t="n"/>
      <c r="O440" s="45" t="n"/>
      <c r="P440" s="45" t="n"/>
      <c r="Q440" s="45" t="n"/>
      <c r="R440" s="45" t="n"/>
      <c r="S440" s="46" t="n"/>
      <c r="T440" s="46" t="n"/>
      <c r="U440" s="46" t="n"/>
      <c r="V440" s="46" t="n"/>
      <c r="W440" s="46" t="n"/>
      <c r="X440" s="46" t="n"/>
      <c r="Y440" s="46" t="n"/>
      <c r="Z440" s="46" t="n"/>
      <c r="AA440" s="46" t="n"/>
      <c r="AB440" s="46" t="n"/>
      <c r="AC440" s="46" t="n"/>
      <c r="AD440" s="46" t="n"/>
      <c r="AE440" s="46" t="n"/>
      <c r="AF440" s="46" t="n"/>
      <c r="AG440" s="46" t="n"/>
      <c r="AH440" s="47" t="n"/>
      <c r="AI440" s="47" t="n"/>
      <c r="AJ440" s="47" t="n"/>
      <c r="AK440" s="47" t="n"/>
      <c r="AL440" s="47" t="n"/>
      <c r="AM440" s="47" t="n"/>
      <c r="AN440" s="47" t="n"/>
      <c r="AO440" s="47" t="n"/>
      <c r="AP440" s="47" t="n"/>
      <c r="AQ440" s="47" t="n"/>
      <c r="AR440" s="47" t="n"/>
      <c r="AS440" s="47" t="n"/>
      <c r="AT440" s="47" t="n"/>
      <c r="AU440" s="48" t="n"/>
      <c r="AV440" s="48" t="n"/>
      <c r="AW440" s="49">
        <f>IF($A440="","",IF($BW440&lt;&gt;"","FIX",IF($BX440&lt;&gt;"","CHECK","OK")))</f>
        <v/>
      </c>
      <c r="AX440" s="50">
        <f>IF($A440="","",IF($BW440&lt;&gt;"","FIX: "&amp;LEFT($BW440,LEN($BW440)-2)&amp;IF($BX440&lt;&gt;"","  ·  ",""),"")&amp;IF($BX440&lt;&gt;"","CHECK: "&amp;LEFT($BX440,LEN($BX440)-2),""))</f>
        <v/>
      </c>
      <c r="AY440" s="49">
        <f>IF(OR($A440="",$K440=""),"",$K440&amp;"'-"&amp;N($L440)&amp;CHAR(34)&amp;" x "&amp;$M440&amp;"'-"&amp;N($N440)&amp;CHAR(34))</f>
        <v/>
      </c>
      <c r="AZ440" s="49">
        <f>IF(OR($A440="",$K440=""),"",$K440&amp;N($L440)&amp;$M440&amp;N($N440))</f>
        <v/>
      </c>
      <c r="BA440" s="49">
        <f>IF(OR($A440="",$K440=""),"",$K440*12+N($L440))</f>
        <v/>
      </c>
      <c r="BB440" s="49">
        <f>IF(OR($A440="",$M440=""),"",$M440*12+N($N440))</f>
        <v/>
      </c>
      <c r="BC440" s="49">
        <f>IF($A440="","",IF(OR($C440="FRAME ONLY",$S440="BL"),0,IF($O440="Y",2,1)))</f>
        <v/>
      </c>
      <c r="BD440" s="51">
        <f>IF(OR(N($BC440)=0,$BA440=""),"",($BA440-2*EdgeClr-IF($BC440=2,MeetClr,0))/$BC440)</f>
        <v/>
      </c>
      <c r="BE440" s="51">
        <f>IF(OR(N($BC440)=0,$BB440=""),"",$BB440-HeadClr-Undercut)</f>
        <v/>
      </c>
      <c r="BF440" s="51">
        <f>IF($BA440="","",$BA440+2*FaceW+IF(N($Q440)&gt;0,($Q440+FaceW)*IF($R440="LR",2,1),0))</f>
        <v/>
      </c>
      <c r="BG440" s="51">
        <f>IF($BB440="","",$BB440+IF($AB440="Y",4,FaceW)+IF(N($P440)&gt;0,$P440+FaceW,0)+IF(OR($S440="4F",$S440="BL"),FaceW,0))</f>
        <v/>
      </c>
      <c r="BH440" s="51">
        <f>IF($BF440="","",$BF440+2*ROSide)</f>
        <v/>
      </c>
      <c r="BI440" s="51">
        <f>IF($BG440="","",$BG440+ROTop)</f>
        <v/>
      </c>
      <c r="BJ440" s="52">
        <f>IF(OR(N($BC440)=0,$BA440=""),"",$BA440/$BC440-ClearDeduct)</f>
        <v/>
      </c>
      <c r="BK440" s="49">
        <f>IF(OR(N($BC440)=0,$BE440=""),"",IF(OR($AC440="HGC",$AP440="HGC"),"CONT",IF($BE440&lt;=60,2,IF($BE440&lt;=90,3,IF($BE440&lt;=120,4,5)))))</f>
        <v/>
      </c>
      <c r="BL440" s="49">
        <f>IF(N($BC440)=0,"",IF(OR($AL440="",$AL440="FLUSH"),"FLUSH",IFERROR(LEFT($AL440,FIND("-",$AL440)-1),LEFT($AL440,2))))</f>
        <v/>
      </c>
      <c r="BM440" s="49">
        <f>IF($BL440="","",IFERROR(VALUE(MID($AL440,FIND("-",$AL440)+1,FIND(CHAR(34)&amp;"x",$AL440)-FIND("-",$AL440)-1)),0))</f>
        <v/>
      </c>
      <c r="BN440" s="49">
        <f>IF($BL440="","",IFERROR(VALUE(MID($AL440,FIND(CHAR(34)&amp;"x",$AL440)+2,FIND(CHAR(34),$AL440,FIND(CHAR(34)&amp;"x",$AL440)+2)-FIND(CHAR(34)&amp;"x",$AL440)-2)),0))</f>
        <v/>
      </c>
      <c r="BO440" s="53">
        <f>IF(OR($A440="",$H440="",$H440="NO LAB"),0,IFERROR(VALUE(LEFT($H440,FIND(" ",$H440)-1)),0))</f>
        <v/>
      </c>
      <c r="BP440" s="54">
        <f>IF(OR($A440="",$I440="",$I440="NON-RATED",N($J440)=0),"",IFERROR(VLOOKUP($I440&amp;"|"&amp;$J440,IBC,2,FALSE),"?"))</f>
        <v/>
      </c>
      <c r="BQ440" s="50">
        <f>IF(NOT(AND($A440&lt;&gt;"",$C440&lt;&gt;"DOOR ONLY")),"",TRIM(IFERROR(VLOOKUP($U440,CODES,2,FALSE),"")&amp;" "&amp;$AZ440&amp;" "&amp;IFERROR(VLOOKUP($Z440,CODES,2,FALSE),"")&amp;" "&amp;IFERROR(VLOOKUP($X440,CODES,2,FALSE),"")&amp;" "&amp;IFERROR(VLOOKUP($S440,CODES,2,FALSE),"")&amp;IF(N($P440)&gt;0," w/TRANSOM "&amp;$P440&amp;CHAR(34),"")&amp;IF(N($Q440)&gt;0," w/SIDELITE "&amp;$Q440&amp;CHAR(34)&amp;" "&amp;IF($R440="","R",$R440),"")&amp;IF($Y440="","  |  "," | "&amp;IFERROR(VLOOKUP($Y440,CODES,2,FALSE),"")&amp;" | ")&amp;IFERROR(VLOOKUP($AC440,CODES,2,FALSE),"")&amp;" "&amp;IFERROR(VLOOKUP($AD440,CODES,2,FALSE),"")&amp;IF(OR($AE440="",$AE440="-"),""," "&amp;$AE440)&amp;IF(OR($AF440="",$AF440="-"),""," "&amp;$AF440)&amp;IF($AB440="Y"," 4"&amp;CHAR(34)&amp;" HEAD","")&amp;" "&amp;IFERROR(VLOOKUP($H440,CODES,2,FALSE),"")))</f>
        <v/>
      </c>
      <c r="BR440" s="50">
        <f>IF(NOT(AND($A440&lt;&gt;"",N($BC440)&gt;0)),"",TRIM(IFERROR(VLOOKUP($AH440,CODES,2,FALSE),"")&amp;IF($AI440=""," "," "&amp;$AI440&amp;"GA ")&amp;$AZ440&amp;" "&amp;IF($AN440="",IFERROR(VLOOKUP($Z440,CODES,2,FALSE),""),IFERROR(VLOOKUP($AN440,CODES,2,FALSE),""))&amp;IF($BC440=2," PAIR","")&amp;" DOOR | "&amp;IF($AL440="","?",$AL440)&amp;" | "&amp;IF($AP440="",IFERROR(VLOOKUP($AC440,CODES,2,FALSE),""),IFERROR(VLOOKUP($AP440,CODES,2,FALSE),""))&amp;" "&amp;IFERROR(VLOOKUP($AQ440,CODES,2,FALSE),"")&amp;IF(OR($AR440="",$AR440="-"),""," SEAM "&amp;$AR440)&amp;IF($AS440="Y"," ASTRAGAL","")&amp;IF($AJ440=""," "," "&amp;$AJ440)&amp;IF($AK440=""," "," "&amp;$AK440)&amp;IF($AO440="",""," "&amp;$AO440)&amp;IF($AM440=""," "," SERIES "&amp;$AM440)&amp;" "&amp;IFERROR(VLOOKUP($H440,CODES,2,FALSE),"")))</f>
        <v/>
      </c>
      <c r="BS440" s="49">
        <f>IF(BV440="","",IF(COUNTIF($BV$6:BV440,BV440)=1,MAX($BS$5:BS439)+1,INDEX($BS$5:BS439,MATCH(BV440,$BV$5:BV439,0))))</f>
        <v/>
      </c>
      <c r="BT440" s="49">
        <f>IF(NOT(AND($A440&lt;&gt;"",$C440&lt;&gt;"DOOR ONLY")),"",MAX($BT$5:BT439)+1)</f>
        <v/>
      </c>
      <c r="BU440" s="49">
        <f>IF(NOT(AND($A440&lt;&gt;"",N($BC440)&gt;0)),"",MAX($BU$5:BU439)+1)</f>
        <v/>
      </c>
      <c r="BV440" s="49">
        <f>IF(OR($A440="",$BA440="",$BB440=""),"",$AZ440&amp;"|"&amp;$O440&amp;"|"&amp;$AL440&amp;"|"&amp;$S440&amp;"|"&amp;$P440&amp;"|"&amp;$Q440&amp;$R440&amp;"|"&amp;$C440&amp;"|"&amp;$AB440)</f>
        <v/>
      </c>
      <c r="BW440" s="49">
        <f>IF($A440="","",IF($B440="","qty, ","")&amp;IF($C440="","scope, ","")&amp;IF(OR($K440="",$M440=""),"size, ","")&amp;IF(AND($A440&lt;&gt;"",$C440&lt;&gt;"DOOR ONLY"),IF($U440="","jamb depth, ","")&amp;IF($X440="","construction, ","")&amp;IF($Y440="","anchor, ","")&amp;IF($S440="","frame type, ",""),"")&amp;IF(AND(N($BC440)&gt;0,$Z440=""),"hand, ","")&amp;IF(N($BC440)&gt;0,IF($AH440="","door material, ","")&amp;IF($AL440="","face type, ","")&amp;IF($AQ440="","lock prep, ","")&amp;IF(AND($AP440="",$AC440=""),"hinge prep, ",""),"")&amp;IF(AND($BO440&gt;0,$AH440="FRP"),"FRP cannot carry a label, ","")&amp;IF(AND($O440="Y",OR($Z440="L",$Z440="R",$Z440="LR",$Z440="RR")),"pair marked but hand is single, ","")&amp;IF(AND($O440&lt;&gt;"Y",OR($Z440="PR",AND(LEN($Z440)&gt;1,ISNUMBER(SEARCH("-",$Z440))))),"pair hand on a single door, ","")&amp;IF(AND(ISNUMBER($BP440),$BO440&lt;N($BP440)),"wall needs a "&amp;$BP440&amp;" min door, ","")&amp;IF(AND($BO440&gt;=180,AND(OR($BL440="FG",$BL440="HG",$BL440="FNV",$BL440="FV"),N($BM440)*N($BN440)&gt;100)),"180 min lite over 100 sq in, ","")&amp;IF(N($BD440)&gt;48,"leaf wider than 4'-0"&amp;CHAR(34)&amp;", ",""))</f>
        <v/>
      </c>
      <c r="BX440" s="49">
        <f>IF($A440="","",IF(AND($BO440&gt;0,AND($A440&lt;&gt;"",$C440&lt;&gt;"DOOR ONLY"),$X440="KD",$E440="EXTERIOR"),"KD label on an exterior opening, ","")&amp;IF(AND($E440="EXTERIOR",OR(AND(AND($A440&lt;&gt;"",$C440&lt;&gt;"DOOR ONLY"),$W440="CR"),AND(N($BC440)&gt;0,$AH440="CR"))),"exterior in CR steel (G9?), ","")&amp;IF(AND(ISNUMBER($BJ440),N($BJ440)&lt;32),"clear width ~"&amp;TEXT($BJ440,"0.0")&amp;CHAR(34)&amp;" under 32"&amp;CHAR(34)&amp;" (ADA), ","")&amp;IF(AND($BO440=90,AND(OR($BL440="FG",$BL440="HG",$BL440="FNV",$BL440="FV"),N($BM440)*N($BN440)&gt;100)),"90 min lite over 100 sq in (stair/exit), ","")&amp;IF(AND($BO440&gt;0,AND($A440&lt;&gt;"",$C440&lt;&gt;"DOOR ONLY"),OR($AF440="",$AF440="-")),"rated: closer reinf.?, ","")&amp;IF(OR($I440="CORRIDOR",$I440="SMOKE BARRIER"),"S label + smoke gasketing, ","")&amp;IF($BP440="?","wall type/hr not in IBC table, ","")&amp;IF(AND(N($BC440)&gt;0,$AU440=""),"no hardware set, ","")&amp;IF(AND($AU440&lt;&gt;"",ISNA(MATCH($AU440,HWSets,0))),"set "&amp;$AU440&amp;" not on Hardware sheet, ","")&amp;IF(N($BE440)&gt;96,"leaf over 8'-0"&amp;CHAR(34)&amp;" - check listing, ",""))</f>
        <v/>
      </c>
    </row>
    <row r="441" ht="15" customHeight="1">
      <c r="A441" s="44" t="n"/>
      <c r="B441" s="45" t="n"/>
      <c r="C441" s="45" t="n"/>
      <c r="D441" s="45" t="n"/>
      <c r="E441" s="45" t="n"/>
      <c r="F441" s="45" t="n"/>
      <c r="G441" s="45" t="n"/>
      <c r="H441" s="45" t="n"/>
      <c r="I441" s="45" t="n"/>
      <c r="J441" s="45" t="n"/>
      <c r="K441" s="45" t="n"/>
      <c r="L441" s="45" t="n"/>
      <c r="M441" s="45" t="n"/>
      <c r="N441" s="45" t="n"/>
      <c r="O441" s="45" t="n"/>
      <c r="P441" s="45" t="n"/>
      <c r="Q441" s="45" t="n"/>
      <c r="R441" s="45" t="n"/>
      <c r="S441" s="46" t="n"/>
      <c r="T441" s="46" t="n"/>
      <c r="U441" s="46" t="n"/>
      <c r="V441" s="46" t="n"/>
      <c r="W441" s="46" t="n"/>
      <c r="X441" s="46" t="n"/>
      <c r="Y441" s="46" t="n"/>
      <c r="Z441" s="46" t="n"/>
      <c r="AA441" s="46" t="n"/>
      <c r="AB441" s="46" t="n"/>
      <c r="AC441" s="46" t="n"/>
      <c r="AD441" s="46" t="n"/>
      <c r="AE441" s="46" t="n"/>
      <c r="AF441" s="46" t="n"/>
      <c r="AG441" s="46" t="n"/>
      <c r="AH441" s="47" t="n"/>
      <c r="AI441" s="47" t="n"/>
      <c r="AJ441" s="47" t="n"/>
      <c r="AK441" s="47" t="n"/>
      <c r="AL441" s="47" t="n"/>
      <c r="AM441" s="47" t="n"/>
      <c r="AN441" s="47" t="n"/>
      <c r="AO441" s="47" t="n"/>
      <c r="AP441" s="47" t="n"/>
      <c r="AQ441" s="47" t="n"/>
      <c r="AR441" s="47" t="n"/>
      <c r="AS441" s="47" t="n"/>
      <c r="AT441" s="47" t="n"/>
      <c r="AU441" s="48" t="n"/>
      <c r="AV441" s="48" t="n"/>
      <c r="AW441" s="49">
        <f>IF($A441="","",IF($BW441&lt;&gt;"","FIX",IF($BX441&lt;&gt;"","CHECK","OK")))</f>
        <v/>
      </c>
      <c r="AX441" s="50">
        <f>IF($A441="","",IF($BW441&lt;&gt;"","FIX: "&amp;LEFT($BW441,LEN($BW441)-2)&amp;IF($BX441&lt;&gt;"","  ·  ",""),"")&amp;IF($BX441&lt;&gt;"","CHECK: "&amp;LEFT($BX441,LEN($BX441)-2),""))</f>
        <v/>
      </c>
      <c r="AY441" s="49">
        <f>IF(OR($A441="",$K441=""),"",$K441&amp;"'-"&amp;N($L441)&amp;CHAR(34)&amp;" x "&amp;$M441&amp;"'-"&amp;N($N441)&amp;CHAR(34))</f>
        <v/>
      </c>
      <c r="AZ441" s="49">
        <f>IF(OR($A441="",$K441=""),"",$K441&amp;N($L441)&amp;$M441&amp;N($N441))</f>
        <v/>
      </c>
      <c r="BA441" s="49">
        <f>IF(OR($A441="",$K441=""),"",$K441*12+N($L441))</f>
        <v/>
      </c>
      <c r="BB441" s="49">
        <f>IF(OR($A441="",$M441=""),"",$M441*12+N($N441))</f>
        <v/>
      </c>
      <c r="BC441" s="49">
        <f>IF($A441="","",IF(OR($C441="FRAME ONLY",$S441="BL"),0,IF($O441="Y",2,1)))</f>
        <v/>
      </c>
      <c r="BD441" s="51">
        <f>IF(OR(N($BC441)=0,$BA441=""),"",($BA441-2*EdgeClr-IF($BC441=2,MeetClr,0))/$BC441)</f>
        <v/>
      </c>
      <c r="BE441" s="51">
        <f>IF(OR(N($BC441)=0,$BB441=""),"",$BB441-HeadClr-Undercut)</f>
        <v/>
      </c>
      <c r="BF441" s="51">
        <f>IF($BA441="","",$BA441+2*FaceW+IF(N($Q441)&gt;0,($Q441+FaceW)*IF($R441="LR",2,1),0))</f>
        <v/>
      </c>
      <c r="BG441" s="51">
        <f>IF($BB441="","",$BB441+IF($AB441="Y",4,FaceW)+IF(N($P441)&gt;0,$P441+FaceW,0)+IF(OR($S441="4F",$S441="BL"),FaceW,0))</f>
        <v/>
      </c>
      <c r="BH441" s="51">
        <f>IF($BF441="","",$BF441+2*ROSide)</f>
        <v/>
      </c>
      <c r="BI441" s="51">
        <f>IF($BG441="","",$BG441+ROTop)</f>
        <v/>
      </c>
      <c r="BJ441" s="52">
        <f>IF(OR(N($BC441)=0,$BA441=""),"",$BA441/$BC441-ClearDeduct)</f>
        <v/>
      </c>
      <c r="BK441" s="49">
        <f>IF(OR(N($BC441)=0,$BE441=""),"",IF(OR($AC441="HGC",$AP441="HGC"),"CONT",IF($BE441&lt;=60,2,IF($BE441&lt;=90,3,IF($BE441&lt;=120,4,5)))))</f>
        <v/>
      </c>
      <c r="BL441" s="49">
        <f>IF(N($BC441)=0,"",IF(OR($AL441="",$AL441="FLUSH"),"FLUSH",IFERROR(LEFT($AL441,FIND("-",$AL441)-1),LEFT($AL441,2))))</f>
        <v/>
      </c>
      <c r="BM441" s="49">
        <f>IF($BL441="","",IFERROR(VALUE(MID($AL441,FIND("-",$AL441)+1,FIND(CHAR(34)&amp;"x",$AL441)-FIND("-",$AL441)-1)),0))</f>
        <v/>
      </c>
      <c r="BN441" s="49">
        <f>IF($BL441="","",IFERROR(VALUE(MID($AL441,FIND(CHAR(34)&amp;"x",$AL441)+2,FIND(CHAR(34),$AL441,FIND(CHAR(34)&amp;"x",$AL441)+2)-FIND(CHAR(34)&amp;"x",$AL441)-2)),0))</f>
        <v/>
      </c>
      <c r="BO441" s="53">
        <f>IF(OR($A441="",$H441="",$H441="NO LAB"),0,IFERROR(VALUE(LEFT($H441,FIND(" ",$H441)-1)),0))</f>
        <v/>
      </c>
      <c r="BP441" s="54">
        <f>IF(OR($A441="",$I441="",$I441="NON-RATED",N($J441)=0),"",IFERROR(VLOOKUP($I441&amp;"|"&amp;$J441,IBC,2,FALSE),"?"))</f>
        <v/>
      </c>
      <c r="BQ441" s="50">
        <f>IF(NOT(AND($A441&lt;&gt;"",$C441&lt;&gt;"DOOR ONLY")),"",TRIM(IFERROR(VLOOKUP($U441,CODES,2,FALSE),"")&amp;" "&amp;$AZ441&amp;" "&amp;IFERROR(VLOOKUP($Z441,CODES,2,FALSE),"")&amp;" "&amp;IFERROR(VLOOKUP($X441,CODES,2,FALSE),"")&amp;" "&amp;IFERROR(VLOOKUP($S441,CODES,2,FALSE),"")&amp;IF(N($P441)&gt;0," w/TRANSOM "&amp;$P441&amp;CHAR(34),"")&amp;IF(N($Q441)&gt;0," w/SIDELITE "&amp;$Q441&amp;CHAR(34)&amp;" "&amp;IF($R441="","R",$R441),"")&amp;IF($Y441="","  |  "," | "&amp;IFERROR(VLOOKUP($Y441,CODES,2,FALSE),"")&amp;" | ")&amp;IFERROR(VLOOKUP($AC441,CODES,2,FALSE),"")&amp;" "&amp;IFERROR(VLOOKUP($AD441,CODES,2,FALSE),"")&amp;IF(OR($AE441="",$AE441="-"),""," "&amp;$AE441)&amp;IF(OR($AF441="",$AF441="-"),""," "&amp;$AF441)&amp;IF($AB441="Y"," 4"&amp;CHAR(34)&amp;" HEAD","")&amp;" "&amp;IFERROR(VLOOKUP($H441,CODES,2,FALSE),"")))</f>
        <v/>
      </c>
      <c r="BR441" s="50">
        <f>IF(NOT(AND($A441&lt;&gt;"",N($BC441)&gt;0)),"",TRIM(IFERROR(VLOOKUP($AH441,CODES,2,FALSE),"")&amp;IF($AI441=""," "," "&amp;$AI441&amp;"GA ")&amp;$AZ441&amp;" "&amp;IF($AN441="",IFERROR(VLOOKUP($Z441,CODES,2,FALSE),""),IFERROR(VLOOKUP($AN441,CODES,2,FALSE),""))&amp;IF($BC441=2," PAIR","")&amp;" DOOR | "&amp;IF($AL441="","?",$AL441)&amp;" | "&amp;IF($AP441="",IFERROR(VLOOKUP($AC441,CODES,2,FALSE),""),IFERROR(VLOOKUP($AP441,CODES,2,FALSE),""))&amp;" "&amp;IFERROR(VLOOKUP($AQ441,CODES,2,FALSE),"")&amp;IF(OR($AR441="",$AR441="-"),""," SEAM "&amp;$AR441)&amp;IF($AS441="Y"," ASTRAGAL","")&amp;IF($AJ441=""," "," "&amp;$AJ441)&amp;IF($AK441=""," "," "&amp;$AK441)&amp;IF($AO441="",""," "&amp;$AO441)&amp;IF($AM441=""," "," SERIES "&amp;$AM441)&amp;" "&amp;IFERROR(VLOOKUP($H441,CODES,2,FALSE),"")))</f>
        <v/>
      </c>
      <c r="BS441" s="49">
        <f>IF(BV441="","",IF(COUNTIF($BV$6:BV441,BV441)=1,MAX($BS$5:BS440)+1,INDEX($BS$5:BS440,MATCH(BV441,$BV$5:BV440,0))))</f>
        <v/>
      </c>
      <c r="BT441" s="49">
        <f>IF(NOT(AND($A441&lt;&gt;"",$C441&lt;&gt;"DOOR ONLY")),"",MAX($BT$5:BT440)+1)</f>
        <v/>
      </c>
      <c r="BU441" s="49">
        <f>IF(NOT(AND($A441&lt;&gt;"",N($BC441)&gt;0)),"",MAX($BU$5:BU440)+1)</f>
        <v/>
      </c>
      <c r="BV441" s="49">
        <f>IF(OR($A441="",$BA441="",$BB441=""),"",$AZ441&amp;"|"&amp;$O441&amp;"|"&amp;$AL441&amp;"|"&amp;$S441&amp;"|"&amp;$P441&amp;"|"&amp;$Q441&amp;$R441&amp;"|"&amp;$C441&amp;"|"&amp;$AB441)</f>
        <v/>
      </c>
      <c r="BW441" s="49">
        <f>IF($A441="","",IF($B441="","qty, ","")&amp;IF($C441="","scope, ","")&amp;IF(OR($K441="",$M441=""),"size, ","")&amp;IF(AND($A441&lt;&gt;"",$C441&lt;&gt;"DOOR ONLY"),IF($U441="","jamb depth, ","")&amp;IF($X441="","construction, ","")&amp;IF($Y441="","anchor, ","")&amp;IF($S441="","frame type, ",""),"")&amp;IF(AND(N($BC441)&gt;0,$Z441=""),"hand, ","")&amp;IF(N($BC441)&gt;0,IF($AH441="","door material, ","")&amp;IF($AL441="","face type, ","")&amp;IF($AQ441="","lock prep, ","")&amp;IF(AND($AP441="",$AC441=""),"hinge prep, ",""),"")&amp;IF(AND($BO441&gt;0,$AH441="FRP"),"FRP cannot carry a label, ","")&amp;IF(AND($O441="Y",OR($Z441="L",$Z441="R",$Z441="LR",$Z441="RR")),"pair marked but hand is single, ","")&amp;IF(AND($O441&lt;&gt;"Y",OR($Z441="PR",AND(LEN($Z441)&gt;1,ISNUMBER(SEARCH("-",$Z441))))),"pair hand on a single door, ","")&amp;IF(AND(ISNUMBER($BP441),$BO441&lt;N($BP441)),"wall needs a "&amp;$BP441&amp;" min door, ","")&amp;IF(AND($BO441&gt;=180,AND(OR($BL441="FG",$BL441="HG",$BL441="FNV",$BL441="FV"),N($BM441)*N($BN441)&gt;100)),"180 min lite over 100 sq in, ","")&amp;IF(N($BD441)&gt;48,"leaf wider than 4'-0"&amp;CHAR(34)&amp;", ",""))</f>
        <v/>
      </c>
      <c r="BX441" s="49">
        <f>IF($A441="","",IF(AND($BO441&gt;0,AND($A441&lt;&gt;"",$C441&lt;&gt;"DOOR ONLY"),$X441="KD",$E441="EXTERIOR"),"KD label on an exterior opening, ","")&amp;IF(AND($E441="EXTERIOR",OR(AND(AND($A441&lt;&gt;"",$C441&lt;&gt;"DOOR ONLY"),$W441="CR"),AND(N($BC441)&gt;0,$AH441="CR"))),"exterior in CR steel (G9?), ","")&amp;IF(AND(ISNUMBER($BJ441),N($BJ441)&lt;32),"clear width ~"&amp;TEXT($BJ441,"0.0")&amp;CHAR(34)&amp;" under 32"&amp;CHAR(34)&amp;" (ADA), ","")&amp;IF(AND($BO441=90,AND(OR($BL441="FG",$BL441="HG",$BL441="FNV",$BL441="FV"),N($BM441)*N($BN441)&gt;100)),"90 min lite over 100 sq in (stair/exit), ","")&amp;IF(AND($BO441&gt;0,AND($A441&lt;&gt;"",$C441&lt;&gt;"DOOR ONLY"),OR($AF441="",$AF441="-")),"rated: closer reinf.?, ","")&amp;IF(OR($I441="CORRIDOR",$I441="SMOKE BARRIER"),"S label + smoke gasketing, ","")&amp;IF($BP441="?","wall type/hr not in IBC table, ","")&amp;IF(AND(N($BC441)&gt;0,$AU441=""),"no hardware set, ","")&amp;IF(AND($AU441&lt;&gt;"",ISNA(MATCH($AU441,HWSets,0))),"set "&amp;$AU441&amp;" not on Hardware sheet, ","")&amp;IF(N($BE441)&gt;96,"leaf over 8'-0"&amp;CHAR(34)&amp;" - check listing, ",""))</f>
        <v/>
      </c>
    </row>
    <row r="442" ht="15" customHeight="1">
      <c r="A442" s="44" t="n"/>
      <c r="B442" s="45" t="n"/>
      <c r="C442" s="45" t="n"/>
      <c r="D442" s="45" t="n"/>
      <c r="E442" s="45" t="n"/>
      <c r="F442" s="45" t="n"/>
      <c r="G442" s="45" t="n"/>
      <c r="H442" s="45" t="n"/>
      <c r="I442" s="45" t="n"/>
      <c r="J442" s="45" t="n"/>
      <c r="K442" s="45" t="n"/>
      <c r="L442" s="45" t="n"/>
      <c r="M442" s="45" t="n"/>
      <c r="N442" s="45" t="n"/>
      <c r="O442" s="45" t="n"/>
      <c r="P442" s="45" t="n"/>
      <c r="Q442" s="45" t="n"/>
      <c r="R442" s="45" t="n"/>
      <c r="S442" s="46" t="n"/>
      <c r="T442" s="46" t="n"/>
      <c r="U442" s="46" t="n"/>
      <c r="V442" s="46" t="n"/>
      <c r="W442" s="46" t="n"/>
      <c r="X442" s="46" t="n"/>
      <c r="Y442" s="46" t="n"/>
      <c r="Z442" s="46" t="n"/>
      <c r="AA442" s="46" t="n"/>
      <c r="AB442" s="46" t="n"/>
      <c r="AC442" s="46" t="n"/>
      <c r="AD442" s="46" t="n"/>
      <c r="AE442" s="46" t="n"/>
      <c r="AF442" s="46" t="n"/>
      <c r="AG442" s="46" t="n"/>
      <c r="AH442" s="47" t="n"/>
      <c r="AI442" s="47" t="n"/>
      <c r="AJ442" s="47" t="n"/>
      <c r="AK442" s="47" t="n"/>
      <c r="AL442" s="47" t="n"/>
      <c r="AM442" s="47" t="n"/>
      <c r="AN442" s="47" t="n"/>
      <c r="AO442" s="47" t="n"/>
      <c r="AP442" s="47" t="n"/>
      <c r="AQ442" s="47" t="n"/>
      <c r="AR442" s="47" t="n"/>
      <c r="AS442" s="47" t="n"/>
      <c r="AT442" s="47" t="n"/>
      <c r="AU442" s="48" t="n"/>
      <c r="AV442" s="48" t="n"/>
      <c r="AW442" s="49">
        <f>IF($A442="","",IF($BW442&lt;&gt;"","FIX",IF($BX442&lt;&gt;"","CHECK","OK")))</f>
        <v/>
      </c>
      <c r="AX442" s="50">
        <f>IF($A442="","",IF($BW442&lt;&gt;"","FIX: "&amp;LEFT($BW442,LEN($BW442)-2)&amp;IF($BX442&lt;&gt;"","  ·  ",""),"")&amp;IF($BX442&lt;&gt;"","CHECK: "&amp;LEFT($BX442,LEN($BX442)-2),""))</f>
        <v/>
      </c>
      <c r="AY442" s="49">
        <f>IF(OR($A442="",$K442=""),"",$K442&amp;"'-"&amp;N($L442)&amp;CHAR(34)&amp;" x "&amp;$M442&amp;"'-"&amp;N($N442)&amp;CHAR(34))</f>
        <v/>
      </c>
      <c r="AZ442" s="49">
        <f>IF(OR($A442="",$K442=""),"",$K442&amp;N($L442)&amp;$M442&amp;N($N442))</f>
        <v/>
      </c>
      <c r="BA442" s="49">
        <f>IF(OR($A442="",$K442=""),"",$K442*12+N($L442))</f>
        <v/>
      </c>
      <c r="BB442" s="49">
        <f>IF(OR($A442="",$M442=""),"",$M442*12+N($N442))</f>
        <v/>
      </c>
      <c r="BC442" s="49">
        <f>IF($A442="","",IF(OR($C442="FRAME ONLY",$S442="BL"),0,IF($O442="Y",2,1)))</f>
        <v/>
      </c>
      <c r="BD442" s="51">
        <f>IF(OR(N($BC442)=0,$BA442=""),"",($BA442-2*EdgeClr-IF($BC442=2,MeetClr,0))/$BC442)</f>
        <v/>
      </c>
      <c r="BE442" s="51">
        <f>IF(OR(N($BC442)=0,$BB442=""),"",$BB442-HeadClr-Undercut)</f>
        <v/>
      </c>
      <c r="BF442" s="51">
        <f>IF($BA442="","",$BA442+2*FaceW+IF(N($Q442)&gt;0,($Q442+FaceW)*IF($R442="LR",2,1),0))</f>
        <v/>
      </c>
      <c r="BG442" s="51">
        <f>IF($BB442="","",$BB442+IF($AB442="Y",4,FaceW)+IF(N($P442)&gt;0,$P442+FaceW,0)+IF(OR($S442="4F",$S442="BL"),FaceW,0))</f>
        <v/>
      </c>
      <c r="BH442" s="51">
        <f>IF($BF442="","",$BF442+2*ROSide)</f>
        <v/>
      </c>
      <c r="BI442" s="51">
        <f>IF($BG442="","",$BG442+ROTop)</f>
        <v/>
      </c>
      <c r="BJ442" s="52">
        <f>IF(OR(N($BC442)=0,$BA442=""),"",$BA442/$BC442-ClearDeduct)</f>
        <v/>
      </c>
      <c r="BK442" s="49">
        <f>IF(OR(N($BC442)=0,$BE442=""),"",IF(OR($AC442="HGC",$AP442="HGC"),"CONT",IF($BE442&lt;=60,2,IF($BE442&lt;=90,3,IF($BE442&lt;=120,4,5)))))</f>
        <v/>
      </c>
      <c r="BL442" s="49">
        <f>IF(N($BC442)=0,"",IF(OR($AL442="",$AL442="FLUSH"),"FLUSH",IFERROR(LEFT($AL442,FIND("-",$AL442)-1),LEFT($AL442,2))))</f>
        <v/>
      </c>
      <c r="BM442" s="49">
        <f>IF($BL442="","",IFERROR(VALUE(MID($AL442,FIND("-",$AL442)+1,FIND(CHAR(34)&amp;"x",$AL442)-FIND("-",$AL442)-1)),0))</f>
        <v/>
      </c>
      <c r="BN442" s="49">
        <f>IF($BL442="","",IFERROR(VALUE(MID($AL442,FIND(CHAR(34)&amp;"x",$AL442)+2,FIND(CHAR(34),$AL442,FIND(CHAR(34)&amp;"x",$AL442)+2)-FIND(CHAR(34)&amp;"x",$AL442)-2)),0))</f>
        <v/>
      </c>
      <c r="BO442" s="53">
        <f>IF(OR($A442="",$H442="",$H442="NO LAB"),0,IFERROR(VALUE(LEFT($H442,FIND(" ",$H442)-1)),0))</f>
        <v/>
      </c>
      <c r="BP442" s="54">
        <f>IF(OR($A442="",$I442="",$I442="NON-RATED",N($J442)=0),"",IFERROR(VLOOKUP($I442&amp;"|"&amp;$J442,IBC,2,FALSE),"?"))</f>
        <v/>
      </c>
      <c r="BQ442" s="50">
        <f>IF(NOT(AND($A442&lt;&gt;"",$C442&lt;&gt;"DOOR ONLY")),"",TRIM(IFERROR(VLOOKUP($U442,CODES,2,FALSE),"")&amp;" "&amp;$AZ442&amp;" "&amp;IFERROR(VLOOKUP($Z442,CODES,2,FALSE),"")&amp;" "&amp;IFERROR(VLOOKUP($X442,CODES,2,FALSE),"")&amp;" "&amp;IFERROR(VLOOKUP($S442,CODES,2,FALSE),"")&amp;IF(N($P442)&gt;0," w/TRANSOM "&amp;$P442&amp;CHAR(34),"")&amp;IF(N($Q442)&gt;0," w/SIDELITE "&amp;$Q442&amp;CHAR(34)&amp;" "&amp;IF($R442="","R",$R442),"")&amp;IF($Y442="","  |  "," | "&amp;IFERROR(VLOOKUP($Y442,CODES,2,FALSE),"")&amp;" | ")&amp;IFERROR(VLOOKUP($AC442,CODES,2,FALSE),"")&amp;" "&amp;IFERROR(VLOOKUP($AD442,CODES,2,FALSE),"")&amp;IF(OR($AE442="",$AE442="-"),""," "&amp;$AE442)&amp;IF(OR($AF442="",$AF442="-"),""," "&amp;$AF442)&amp;IF($AB442="Y"," 4"&amp;CHAR(34)&amp;" HEAD","")&amp;" "&amp;IFERROR(VLOOKUP($H442,CODES,2,FALSE),"")))</f>
        <v/>
      </c>
      <c r="BR442" s="50">
        <f>IF(NOT(AND($A442&lt;&gt;"",N($BC442)&gt;0)),"",TRIM(IFERROR(VLOOKUP($AH442,CODES,2,FALSE),"")&amp;IF($AI442=""," "," "&amp;$AI442&amp;"GA ")&amp;$AZ442&amp;" "&amp;IF($AN442="",IFERROR(VLOOKUP($Z442,CODES,2,FALSE),""),IFERROR(VLOOKUP($AN442,CODES,2,FALSE),""))&amp;IF($BC442=2," PAIR","")&amp;" DOOR | "&amp;IF($AL442="","?",$AL442)&amp;" | "&amp;IF($AP442="",IFERROR(VLOOKUP($AC442,CODES,2,FALSE),""),IFERROR(VLOOKUP($AP442,CODES,2,FALSE),""))&amp;" "&amp;IFERROR(VLOOKUP($AQ442,CODES,2,FALSE),"")&amp;IF(OR($AR442="",$AR442="-"),""," SEAM "&amp;$AR442)&amp;IF($AS442="Y"," ASTRAGAL","")&amp;IF($AJ442=""," "," "&amp;$AJ442)&amp;IF($AK442=""," "," "&amp;$AK442)&amp;IF($AO442="",""," "&amp;$AO442)&amp;IF($AM442=""," "," SERIES "&amp;$AM442)&amp;" "&amp;IFERROR(VLOOKUP($H442,CODES,2,FALSE),"")))</f>
        <v/>
      </c>
      <c r="BS442" s="49">
        <f>IF(BV442="","",IF(COUNTIF($BV$6:BV442,BV442)=1,MAX($BS$5:BS441)+1,INDEX($BS$5:BS441,MATCH(BV442,$BV$5:BV441,0))))</f>
        <v/>
      </c>
      <c r="BT442" s="49">
        <f>IF(NOT(AND($A442&lt;&gt;"",$C442&lt;&gt;"DOOR ONLY")),"",MAX($BT$5:BT441)+1)</f>
        <v/>
      </c>
      <c r="BU442" s="49">
        <f>IF(NOT(AND($A442&lt;&gt;"",N($BC442)&gt;0)),"",MAX($BU$5:BU441)+1)</f>
        <v/>
      </c>
      <c r="BV442" s="49">
        <f>IF(OR($A442="",$BA442="",$BB442=""),"",$AZ442&amp;"|"&amp;$O442&amp;"|"&amp;$AL442&amp;"|"&amp;$S442&amp;"|"&amp;$P442&amp;"|"&amp;$Q442&amp;$R442&amp;"|"&amp;$C442&amp;"|"&amp;$AB442)</f>
        <v/>
      </c>
      <c r="BW442" s="49">
        <f>IF($A442="","",IF($B442="","qty, ","")&amp;IF($C442="","scope, ","")&amp;IF(OR($K442="",$M442=""),"size, ","")&amp;IF(AND($A442&lt;&gt;"",$C442&lt;&gt;"DOOR ONLY"),IF($U442="","jamb depth, ","")&amp;IF($X442="","construction, ","")&amp;IF($Y442="","anchor, ","")&amp;IF($S442="","frame type, ",""),"")&amp;IF(AND(N($BC442)&gt;0,$Z442=""),"hand, ","")&amp;IF(N($BC442)&gt;0,IF($AH442="","door material, ","")&amp;IF($AL442="","face type, ","")&amp;IF($AQ442="","lock prep, ","")&amp;IF(AND($AP442="",$AC442=""),"hinge prep, ",""),"")&amp;IF(AND($BO442&gt;0,$AH442="FRP"),"FRP cannot carry a label, ","")&amp;IF(AND($O442="Y",OR($Z442="L",$Z442="R",$Z442="LR",$Z442="RR")),"pair marked but hand is single, ","")&amp;IF(AND($O442&lt;&gt;"Y",OR($Z442="PR",AND(LEN($Z442)&gt;1,ISNUMBER(SEARCH("-",$Z442))))),"pair hand on a single door, ","")&amp;IF(AND(ISNUMBER($BP442),$BO442&lt;N($BP442)),"wall needs a "&amp;$BP442&amp;" min door, ","")&amp;IF(AND($BO442&gt;=180,AND(OR($BL442="FG",$BL442="HG",$BL442="FNV",$BL442="FV"),N($BM442)*N($BN442)&gt;100)),"180 min lite over 100 sq in, ","")&amp;IF(N($BD442)&gt;48,"leaf wider than 4'-0"&amp;CHAR(34)&amp;", ",""))</f>
        <v/>
      </c>
      <c r="BX442" s="49">
        <f>IF($A442="","",IF(AND($BO442&gt;0,AND($A442&lt;&gt;"",$C442&lt;&gt;"DOOR ONLY"),$X442="KD",$E442="EXTERIOR"),"KD label on an exterior opening, ","")&amp;IF(AND($E442="EXTERIOR",OR(AND(AND($A442&lt;&gt;"",$C442&lt;&gt;"DOOR ONLY"),$W442="CR"),AND(N($BC442)&gt;0,$AH442="CR"))),"exterior in CR steel (G9?), ","")&amp;IF(AND(ISNUMBER($BJ442),N($BJ442)&lt;32),"clear width ~"&amp;TEXT($BJ442,"0.0")&amp;CHAR(34)&amp;" under 32"&amp;CHAR(34)&amp;" (ADA), ","")&amp;IF(AND($BO442=90,AND(OR($BL442="FG",$BL442="HG",$BL442="FNV",$BL442="FV"),N($BM442)*N($BN442)&gt;100)),"90 min lite over 100 sq in (stair/exit), ","")&amp;IF(AND($BO442&gt;0,AND($A442&lt;&gt;"",$C442&lt;&gt;"DOOR ONLY"),OR($AF442="",$AF442="-")),"rated: closer reinf.?, ","")&amp;IF(OR($I442="CORRIDOR",$I442="SMOKE BARRIER"),"S label + smoke gasketing, ","")&amp;IF($BP442="?","wall type/hr not in IBC table, ","")&amp;IF(AND(N($BC442)&gt;0,$AU442=""),"no hardware set, ","")&amp;IF(AND($AU442&lt;&gt;"",ISNA(MATCH($AU442,HWSets,0))),"set "&amp;$AU442&amp;" not on Hardware sheet, ","")&amp;IF(N($BE442)&gt;96,"leaf over 8'-0"&amp;CHAR(34)&amp;" - check listing, ",""))</f>
        <v/>
      </c>
    </row>
    <row r="443" ht="15" customHeight="1">
      <c r="A443" s="44" t="n"/>
      <c r="B443" s="45" t="n"/>
      <c r="C443" s="45" t="n"/>
      <c r="D443" s="45" t="n"/>
      <c r="E443" s="45" t="n"/>
      <c r="F443" s="45" t="n"/>
      <c r="G443" s="45" t="n"/>
      <c r="H443" s="45" t="n"/>
      <c r="I443" s="45" t="n"/>
      <c r="J443" s="45" t="n"/>
      <c r="K443" s="45" t="n"/>
      <c r="L443" s="45" t="n"/>
      <c r="M443" s="45" t="n"/>
      <c r="N443" s="45" t="n"/>
      <c r="O443" s="45" t="n"/>
      <c r="P443" s="45" t="n"/>
      <c r="Q443" s="45" t="n"/>
      <c r="R443" s="45" t="n"/>
      <c r="S443" s="46" t="n"/>
      <c r="T443" s="46" t="n"/>
      <c r="U443" s="46" t="n"/>
      <c r="V443" s="46" t="n"/>
      <c r="W443" s="46" t="n"/>
      <c r="X443" s="46" t="n"/>
      <c r="Y443" s="46" t="n"/>
      <c r="Z443" s="46" t="n"/>
      <c r="AA443" s="46" t="n"/>
      <c r="AB443" s="46" t="n"/>
      <c r="AC443" s="46" t="n"/>
      <c r="AD443" s="46" t="n"/>
      <c r="AE443" s="46" t="n"/>
      <c r="AF443" s="46" t="n"/>
      <c r="AG443" s="46" t="n"/>
      <c r="AH443" s="47" t="n"/>
      <c r="AI443" s="47" t="n"/>
      <c r="AJ443" s="47" t="n"/>
      <c r="AK443" s="47" t="n"/>
      <c r="AL443" s="47" t="n"/>
      <c r="AM443" s="47" t="n"/>
      <c r="AN443" s="47" t="n"/>
      <c r="AO443" s="47" t="n"/>
      <c r="AP443" s="47" t="n"/>
      <c r="AQ443" s="47" t="n"/>
      <c r="AR443" s="47" t="n"/>
      <c r="AS443" s="47" t="n"/>
      <c r="AT443" s="47" t="n"/>
      <c r="AU443" s="48" t="n"/>
      <c r="AV443" s="48" t="n"/>
      <c r="AW443" s="49">
        <f>IF($A443="","",IF($BW443&lt;&gt;"","FIX",IF($BX443&lt;&gt;"","CHECK","OK")))</f>
        <v/>
      </c>
      <c r="AX443" s="50">
        <f>IF($A443="","",IF($BW443&lt;&gt;"","FIX: "&amp;LEFT($BW443,LEN($BW443)-2)&amp;IF($BX443&lt;&gt;"","  ·  ",""),"")&amp;IF($BX443&lt;&gt;"","CHECK: "&amp;LEFT($BX443,LEN($BX443)-2),""))</f>
        <v/>
      </c>
      <c r="AY443" s="49">
        <f>IF(OR($A443="",$K443=""),"",$K443&amp;"'-"&amp;N($L443)&amp;CHAR(34)&amp;" x "&amp;$M443&amp;"'-"&amp;N($N443)&amp;CHAR(34))</f>
        <v/>
      </c>
      <c r="AZ443" s="49">
        <f>IF(OR($A443="",$K443=""),"",$K443&amp;N($L443)&amp;$M443&amp;N($N443))</f>
        <v/>
      </c>
      <c r="BA443" s="49">
        <f>IF(OR($A443="",$K443=""),"",$K443*12+N($L443))</f>
        <v/>
      </c>
      <c r="BB443" s="49">
        <f>IF(OR($A443="",$M443=""),"",$M443*12+N($N443))</f>
        <v/>
      </c>
      <c r="BC443" s="49">
        <f>IF($A443="","",IF(OR($C443="FRAME ONLY",$S443="BL"),0,IF($O443="Y",2,1)))</f>
        <v/>
      </c>
      <c r="BD443" s="51">
        <f>IF(OR(N($BC443)=0,$BA443=""),"",($BA443-2*EdgeClr-IF($BC443=2,MeetClr,0))/$BC443)</f>
        <v/>
      </c>
      <c r="BE443" s="51">
        <f>IF(OR(N($BC443)=0,$BB443=""),"",$BB443-HeadClr-Undercut)</f>
        <v/>
      </c>
      <c r="BF443" s="51">
        <f>IF($BA443="","",$BA443+2*FaceW+IF(N($Q443)&gt;0,($Q443+FaceW)*IF($R443="LR",2,1),0))</f>
        <v/>
      </c>
      <c r="BG443" s="51">
        <f>IF($BB443="","",$BB443+IF($AB443="Y",4,FaceW)+IF(N($P443)&gt;0,$P443+FaceW,0)+IF(OR($S443="4F",$S443="BL"),FaceW,0))</f>
        <v/>
      </c>
      <c r="BH443" s="51">
        <f>IF($BF443="","",$BF443+2*ROSide)</f>
        <v/>
      </c>
      <c r="BI443" s="51">
        <f>IF($BG443="","",$BG443+ROTop)</f>
        <v/>
      </c>
      <c r="BJ443" s="52">
        <f>IF(OR(N($BC443)=0,$BA443=""),"",$BA443/$BC443-ClearDeduct)</f>
        <v/>
      </c>
      <c r="BK443" s="49">
        <f>IF(OR(N($BC443)=0,$BE443=""),"",IF(OR($AC443="HGC",$AP443="HGC"),"CONT",IF($BE443&lt;=60,2,IF($BE443&lt;=90,3,IF($BE443&lt;=120,4,5)))))</f>
        <v/>
      </c>
      <c r="BL443" s="49">
        <f>IF(N($BC443)=0,"",IF(OR($AL443="",$AL443="FLUSH"),"FLUSH",IFERROR(LEFT($AL443,FIND("-",$AL443)-1),LEFT($AL443,2))))</f>
        <v/>
      </c>
      <c r="BM443" s="49">
        <f>IF($BL443="","",IFERROR(VALUE(MID($AL443,FIND("-",$AL443)+1,FIND(CHAR(34)&amp;"x",$AL443)-FIND("-",$AL443)-1)),0))</f>
        <v/>
      </c>
      <c r="BN443" s="49">
        <f>IF($BL443="","",IFERROR(VALUE(MID($AL443,FIND(CHAR(34)&amp;"x",$AL443)+2,FIND(CHAR(34),$AL443,FIND(CHAR(34)&amp;"x",$AL443)+2)-FIND(CHAR(34)&amp;"x",$AL443)-2)),0))</f>
        <v/>
      </c>
      <c r="BO443" s="53">
        <f>IF(OR($A443="",$H443="",$H443="NO LAB"),0,IFERROR(VALUE(LEFT($H443,FIND(" ",$H443)-1)),0))</f>
        <v/>
      </c>
      <c r="BP443" s="54">
        <f>IF(OR($A443="",$I443="",$I443="NON-RATED",N($J443)=0),"",IFERROR(VLOOKUP($I443&amp;"|"&amp;$J443,IBC,2,FALSE),"?"))</f>
        <v/>
      </c>
      <c r="BQ443" s="50">
        <f>IF(NOT(AND($A443&lt;&gt;"",$C443&lt;&gt;"DOOR ONLY")),"",TRIM(IFERROR(VLOOKUP($U443,CODES,2,FALSE),"")&amp;" "&amp;$AZ443&amp;" "&amp;IFERROR(VLOOKUP($Z443,CODES,2,FALSE),"")&amp;" "&amp;IFERROR(VLOOKUP($X443,CODES,2,FALSE),"")&amp;" "&amp;IFERROR(VLOOKUP($S443,CODES,2,FALSE),"")&amp;IF(N($P443)&gt;0," w/TRANSOM "&amp;$P443&amp;CHAR(34),"")&amp;IF(N($Q443)&gt;0," w/SIDELITE "&amp;$Q443&amp;CHAR(34)&amp;" "&amp;IF($R443="","R",$R443),"")&amp;IF($Y443="","  |  "," | "&amp;IFERROR(VLOOKUP($Y443,CODES,2,FALSE),"")&amp;" | ")&amp;IFERROR(VLOOKUP($AC443,CODES,2,FALSE),"")&amp;" "&amp;IFERROR(VLOOKUP($AD443,CODES,2,FALSE),"")&amp;IF(OR($AE443="",$AE443="-"),""," "&amp;$AE443)&amp;IF(OR($AF443="",$AF443="-"),""," "&amp;$AF443)&amp;IF($AB443="Y"," 4"&amp;CHAR(34)&amp;" HEAD","")&amp;" "&amp;IFERROR(VLOOKUP($H443,CODES,2,FALSE),"")))</f>
        <v/>
      </c>
      <c r="BR443" s="50">
        <f>IF(NOT(AND($A443&lt;&gt;"",N($BC443)&gt;0)),"",TRIM(IFERROR(VLOOKUP($AH443,CODES,2,FALSE),"")&amp;IF($AI443=""," "," "&amp;$AI443&amp;"GA ")&amp;$AZ443&amp;" "&amp;IF($AN443="",IFERROR(VLOOKUP($Z443,CODES,2,FALSE),""),IFERROR(VLOOKUP($AN443,CODES,2,FALSE),""))&amp;IF($BC443=2," PAIR","")&amp;" DOOR | "&amp;IF($AL443="","?",$AL443)&amp;" | "&amp;IF($AP443="",IFERROR(VLOOKUP($AC443,CODES,2,FALSE),""),IFERROR(VLOOKUP($AP443,CODES,2,FALSE),""))&amp;" "&amp;IFERROR(VLOOKUP($AQ443,CODES,2,FALSE),"")&amp;IF(OR($AR443="",$AR443="-"),""," SEAM "&amp;$AR443)&amp;IF($AS443="Y"," ASTRAGAL","")&amp;IF($AJ443=""," "," "&amp;$AJ443)&amp;IF($AK443=""," "," "&amp;$AK443)&amp;IF($AO443="",""," "&amp;$AO443)&amp;IF($AM443=""," "," SERIES "&amp;$AM443)&amp;" "&amp;IFERROR(VLOOKUP($H443,CODES,2,FALSE),"")))</f>
        <v/>
      </c>
      <c r="BS443" s="49">
        <f>IF(BV443="","",IF(COUNTIF($BV$6:BV443,BV443)=1,MAX($BS$5:BS442)+1,INDEX($BS$5:BS442,MATCH(BV443,$BV$5:BV442,0))))</f>
        <v/>
      </c>
      <c r="BT443" s="49">
        <f>IF(NOT(AND($A443&lt;&gt;"",$C443&lt;&gt;"DOOR ONLY")),"",MAX($BT$5:BT442)+1)</f>
        <v/>
      </c>
      <c r="BU443" s="49">
        <f>IF(NOT(AND($A443&lt;&gt;"",N($BC443)&gt;0)),"",MAX($BU$5:BU442)+1)</f>
        <v/>
      </c>
      <c r="BV443" s="49">
        <f>IF(OR($A443="",$BA443="",$BB443=""),"",$AZ443&amp;"|"&amp;$O443&amp;"|"&amp;$AL443&amp;"|"&amp;$S443&amp;"|"&amp;$P443&amp;"|"&amp;$Q443&amp;$R443&amp;"|"&amp;$C443&amp;"|"&amp;$AB443)</f>
        <v/>
      </c>
      <c r="BW443" s="49">
        <f>IF($A443="","",IF($B443="","qty, ","")&amp;IF($C443="","scope, ","")&amp;IF(OR($K443="",$M443=""),"size, ","")&amp;IF(AND($A443&lt;&gt;"",$C443&lt;&gt;"DOOR ONLY"),IF($U443="","jamb depth, ","")&amp;IF($X443="","construction, ","")&amp;IF($Y443="","anchor, ","")&amp;IF($S443="","frame type, ",""),"")&amp;IF(AND(N($BC443)&gt;0,$Z443=""),"hand, ","")&amp;IF(N($BC443)&gt;0,IF($AH443="","door material, ","")&amp;IF($AL443="","face type, ","")&amp;IF($AQ443="","lock prep, ","")&amp;IF(AND($AP443="",$AC443=""),"hinge prep, ",""),"")&amp;IF(AND($BO443&gt;0,$AH443="FRP"),"FRP cannot carry a label, ","")&amp;IF(AND($O443="Y",OR($Z443="L",$Z443="R",$Z443="LR",$Z443="RR")),"pair marked but hand is single, ","")&amp;IF(AND($O443&lt;&gt;"Y",OR($Z443="PR",AND(LEN($Z443)&gt;1,ISNUMBER(SEARCH("-",$Z443))))),"pair hand on a single door, ","")&amp;IF(AND(ISNUMBER($BP443),$BO443&lt;N($BP443)),"wall needs a "&amp;$BP443&amp;" min door, ","")&amp;IF(AND($BO443&gt;=180,AND(OR($BL443="FG",$BL443="HG",$BL443="FNV",$BL443="FV"),N($BM443)*N($BN443)&gt;100)),"180 min lite over 100 sq in, ","")&amp;IF(N($BD443)&gt;48,"leaf wider than 4'-0"&amp;CHAR(34)&amp;", ",""))</f>
        <v/>
      </c>
      <c r="BX443" s="49">
        <f>IF($A443="","",IF(AND($BO443&gt;0,AND($A443&lt;&gt;"",$C443&lt;&gt;"DOOR ONLY"),$X443="KD",$E443="EXTERIOR"),"KD label on an exterior opening, ","")&amp;IF(AND($E443="EXTERIOR",OR(AND(AND($A443&lt;&gt;"",$C443&lt;&gt;"DOOR ONLY"),$W443="CR"),AND(N($BC443)&gt;0,$AH443="CR"))),"exterior in CR steel (G9?), ","")&amp;IF(AND(ISNUMBER($BJ443),N($BJ443)&lt;32),"clear width ~"&amp;TEXT($BJ443,"0.0")&amp;CHAR(34)&amp;" under 32"&amp;CHAR(34)&amp;" (ADA), ","")&amp;IF(AND($BO443=90,AND(OR($BL443="FG",$BL443="HG",$BL443="FNV",$BL443="FV"),N($BM443)*N($BN443)&gt;100)),"90 min lite over 100 sq in (stair/exit), ","")&amp;IF(AND($BO443&gt;0,AND($A443&lt;&gt;"",$C443&lt;&gt;"DOOR ONLY"),OR($AF443="",$AF443="-")),"rated: closer reinf.?, ","")&amp;IF(OR($I443="CORRIDOR",$I443="SMOKE BARRIER"),"S label + smoke gasketing, ","")&amp;IF($BP443="?","wall type/hr not in IBC table, ","")&amp;IF(AND(N($BC443)&gt;0,$AU443=""),"no hardware set, ","")&amp;IF(AND($AU443&lt;&gt;"",ISNA(MATCH($AU443,HWSets,0))),"set "&amp;$AU443&amp;" not on Hardware sheet, ","")&amp;IF(N($BE443)&gt;96,"leaf over 8'-0"&amp;CHAR(34)&amp;" - check listing, ",""))</f>
        <v/>
      </c>
    </row>
    <row r="444" ht="15" customHeight="1">
      <c r="A444" s="44" t="n"/>
      <c r="B444" s="45" t="n"/>
      <c r="C444" s="45" t="n"/>
      <c r="D444" s="45" t="n"/>
      <c r="E444" s="45" t="n"/>
      <c r="F444" s="45" t="n"/>
      <c r="G444" s="45" t="n"/>
      <c r="H444" s="45" t="n"/>
      <c r="I444" s="45" t="n"/>
      <c r="J444" s="45" t="n"/>
      <c r="K444" s="45" t="n"/>
      <c r="L444" s="45" t="n"/>
      <c r="M444" s="45" t="n"/>
      <c r="N444" s="45" t="n"/>
      <c r="O444" s="45" t="n"/>
      <c r="P444" s="45" t="n"/>
      <c r="Q444" s="45" t="n"/>
      <c r="R444" s="45" t="n"/>
      <c r="S444" s="46" t="n"/>
      <c r="T444" s="46" t="n"/>
      <c r="U444" s="46" t="n"/>
      <c r="V444" s="46" t="n"/>
      <c r="W444" s="46" t="n"/>
      <c r="X444" s="46" t="n"/>
      <c r="Y444" s="46" t="n"/>
      <c r="Z444" s="46" t="n"/>
      <c r="AA444" s="46" t="n"/>
      <c r="AB444" s="46" t="n"/>
      <c r="AC444" s="46" t="n"/>
      <c r="AD444" s="46" t="n"/>
      <c r="AE444" s="46" t="n"/>
      <c r="AF444" s="46" t="n"/>
      <c r="AG444" s="46" t="n"/>
      <c r="AH444" s="47" t="n"/>
      <c r="AI444" s="47" t="n"/>
      <c r="AJ444" s="47" t="n"/>
      <c r="AK444" s="47" t="n"/>
      <c r="AL444" s="47" t="n"/>
      <c r="AM444" s="47" t="n"/>
      <c r="AN444" s="47" t="n"/>
      <c r="AO444" s="47" t="n"/>
      <c r="AP444" s="47" t="n"/>
      <c r="AQ444" s="47" t="n"/>
      <c r="AR444" s="47" t="n"/>
      <c r="AS444" s="47" t="n"/>
      <c r="AT444" s="47" t="n"/>
      <c r="AU444" s="48" t="n"/>
      <c r="AV444" s="48" t="n"/>
      <c r="AW444" s="49">
        <f>IF($A444="","",IF($BW444&lt;&gt;"","FIX",IF($BX444&lt;&gt;"","CHECK","OK")))</f>
        <v/>
      </c>
      <c r="AX444" s="50">
        <f>IF($A444="","",IF($BW444&lt;&gt;"","FIX: "&amp;LEFT($BW444,LEN($BW444)-2)&amp;IF($BX444&lt;&gt;"","  ·  ",""),"")&amp;IF($BX444&lt;&gt;"","CHECK: "&amp;LEFT($BX444,LEN($BX444)-2),""))</f>
        <v/>
      </c>
      <c r="AY444" s="49">
        <f>IF(OR($A444="",$K444=""),"",$K444&amp;"'-"&amp;N($L444)&amp;CHAR(34)&amp;" x "&amp;$M444&amp;"'-"&amp;N($N444)&amp;CHAR(34))</f>
        <v/>
      </c>
      <c r="AZ444" s="49">
        <f>IF(OR($A444="",$K444=""),"",$K444&amp;N($L444)&amp;$M444&amp;N($N444))</f>
        <v/>
      </c>
      <c r="BA444" s="49">
        <f>IF(OR($A444="",$K444=""),"",$K444*12+N($L444))</f>
        <v/>
      </c>
      <c r="BB444" s="49">
        <f>IF(OR($A444="",$M444=""),"",$M444*12+N($N444))</f>
        <v/>
      </c>
      <c r="BC444" s="49">
        <f>IF($A444="","",IF(OR($C444="FRAME ONLY",$S444="BL"),0,IF($O444="Y",2,1)))</f>
        <v/>
      </c>
      <c r="BD444" s="51">
        <f>IF(OR(N($BC444)=0,$BA444=""),"",($BA444-2*EdgeClr-IF($BC444=2,MeetClr,0))/$BC444)</f>
        <v/>
      </c>
      <c r="BE444" s="51">
        <f>IF(OR(N($BC444)=0,$BB444=""),"",$BB444-HeadClr-Undercut)</f>
        <v/>
      </c>
      <c r="BF444" s="51">
        <f>IF($BA444="","",$BA444+2*FaceW+IF(N($Q444)&gt;0,($Q444+FaceW)*IF($R444="LR",2,1),0))</f>
        <v/>
      </c>
      <c r="BG444" s="51">
        <f>IF($BB444="","",$BB444+IF($AB444="Y",4,FaceW)+IF(N($P444)&gt;0,$P444+FaceW,0)+IF(OR($S444="4F",$S444="BL"),FaceW,0))</f>
        <v/>
      </c>
      <c r="BH444" s="51">
        <f>IF($BF444="","",$BF444+2*ROSide)</f>
        <v/>
      </c>
      <c r="BI444" s="51">
        <f>IF($BG444="","",$BG444+ROTop)</f>
        <v/>
      </c>
      <c r="BJ444" s="52">
        <f>IF(OR(N($BC444)=0,$BA444=""),"",$BA444/$BC444-ClearDeduct)</f>
        <v/>
      </c>
      <c r="BK444" s="49">
        <f>IF(OR(N($BC444)=0,$BE444=""),"",IF(OR($AC444="HGC",$AP444="HGC"),"CONT",IF($BE444&lt;=60,2,IF($BE444&lt;=90,3,IF($BE444&lt;=120,4,5)))))</f>
        <v/>
      </c>
      <c r="BL444" s="49">
        <f>IF(N($BC444)=0,"",IF(OR($AL444="",$AL444="FLUSH"),"FLUSH",IFERROR(LEFT($AL444,FIND("-",$AL444)-1),LEFT($AL444,2))))</f>
        <v/>
      </c>
      <c r="BM444" s="49">
        <f>IF($BL444="","",IFERROR(VALUE(MID($AL444,FIND("-",$AL444)+1,FIND(CHAR(34)&amp;"x",$AL444)-FIND("-",$AL444)-1)),0))</f>
        <v/>
      </c>
      <c r="BN444" s="49">
        <f>IF($BL444="","",IFERROR(VALUE(MID($AL444,FIND(CHAR(34)&amp;"x",$AL444)+2,FIND(CHAR(34),$AL444,FIND(CHAR(34)&amp;"x",$AL444)+2)-FIND(CHAR(34)&amp;"x",$AL444)-2)),0))</f>
        <v/>
      </c>
      <c r="BO444" s="53">
        <f>IF(OR($A444="",$H444="",$H444="NO LAB"),0,IFERROR(VALUE(LEFT($H444,FIND(" ",$H444)-1)),0))</f>
        <v/>
      </c>
      <c r="BP444" s="54">
        <f>IF(OR($A444="",$I444="",$I444="NON-RATED",N($J444)=0),"",IFERROR(VLOOKUP($I444&amp;"|"&amp;$J444,IBC,2,FALSE),"?"))</f>
        <v/>
      </c>
      <c r="BQ444" s="50">
        <f>IF(NOT(AND($A444&lt;&gt;"",$C444&lt;&gt;"DOOR ONLY")),"",TRIM(IFERROR(VLOOKUP($U444,CODES,2,FALSE),"")&amp;" "&amp;$AZ444&amp;" "&amp;IFERROR(VLOOKUP($Z444,CODES,2,FALSE),"")&amp;" "&amp;IFERROR(VLOOKUP($X444,CODES,2,FALSE),"")&amp;" "&amp;IFERROR(VLOOKUP($S444,CODES,2,FALSE),"")&amp;IF(N($P444)&gt;0," w/TRANSOM "&amp;$P444&amp;CHAR(34),"")&amp;IF(N($Q444)&gt;0," w/SIDELITE "&amp;$Q444&amp;CHAR(34)&amp;" "&amp;IF($R444="","R",$R444),"")&amp;IF($Y444="","  |  "," | "&amp;IFERROR(VLOOKUP($Y444,CODES,2,FALSE),"")&amp;" | ")&amp;IFERROR(VLOOKUP($AC444,CODES,2,FALSE),"")&amp;" "&amp;IFERROR(VLOOKUP($AD444,CODES,2,FALSE),"")&amp;IF(OR($AE444="",$AE444="-"),""," "&amp;$AE444)&amp;IF(OR($AF444="",$AF444="-"),""," "&amp;$AF444)&amp;IF($AB444="Y"," 4"&amp;CHAR(34)&amp;" HEAD","")&amp;" "&amp;IFERROR(VLOOKUP($H444,CODES,2,FALSE),"")))</f>
        <v/>
      </c>
      <c r="BR444" s="50">
        <f>IF(NOT(AND($A444&lt;&gt;"",N($BC444)&gt;0)),"",TRIM(IFERROR(VLOOKUP($AH444,CODES,2,FALSE),"")&amp;IF($AI444=""," "," "&amp;$AI444&amp;"GA ")&amp;$AZ444&amp;" "&amp;IF($AN444="",IFERROR(VLOOKUP($Z444,CODES,2,FALSE),""),IFERROR(VLOOKUP($AN444,CODES,2,FALSE),""))&amp;IF($BC444=2," PAIR","")&amp;" DOOR | "&amp;IF($AL444="","?",$AL444)&amp;" | "&amp;IF($AP444="",IFERROR(VLOOKUP($AC444,CODES,2,FALSE),""),IFERROR(VLOOKUP($AP444,CODES,2,FALSE),""))&amp;" "&amp;IFERROR(VLOOKUP($AQ444,CODES,2,FALSE),"")&amp;IF(OR($AR444="",$AR444="-"),""," SEAM "&amp;$AR444)&amp;IF($AS444="Y"," ASTRAGAL","")&amp;IF($AJ444=""," "," "&amp;$AJ444)&amp;IF($AK444=""," "," "&amp;$AK444)&amp;IF($AO444="",""," "&amp;$AO444)&amp;IF($AM444=""," "," SERIES "&amp;$AM444)&amp;" "&amp;IFERROR(VLOOKUP($H444,CODES,2,FALSE),"")))</f>
        <v/>
      </c>
      <c r="BS444" s="49">
        <f>IF(BV444="","",IF(COUNTIF($BV$6:BV444,BV444)=1,MAX($BS$5:BS443)+1,INDEX($BS$5:BS443,MATCH(BV444,$BV$5:BV443,0))))</f>
        <v/>
      </c>
      <c r="BT444" s="49">
        <f>IF(NOT(AND($A444&lt;&gt;"",$C444&lt;&gt;"DOOR ONLY")),"",MAX($BT$5:BT443)+1)</f>
        <v/>
      </c>
      <c r="BU444" s="49">
        <f>IF(NOT(AND($A444&lt;&gt;"",N($BC444)&gt;0)),"",MAX($BU$5:BU443)+1)</f>
        <v/>
      </c>
      <c r="BV444" s="49">
        <f>IF(OR($A444="",$BA444="",$BB444=""),"",$AZ444&amp;"|"&amp;$O444&amp;"|"&amp;$AL444&amp;"|"&amp;$S444&amp;"|"&amp;$P444&amp;"|"&amp;$Q444&amp;$R444&amp;"|"&amp;$C444&amp;"|"&amp;$AB444)</f>
        <v/>
      </c>
      <c r="BW444" s="49">
        <f>IF($A444="","",IF($B444="","qty, ","")&amp;IF($C444="","scope, ","")&amp;IF(OR($K444="",$M444=""),"size, ","")&amp;IF(AND($A444&lt;&gt;"",$C444&lt;&gt;"DOOR ONLY"),IF($U444="","jamb depth, ","")&amp;IF($X444="","construction, ","")&amp;IF($Y444="","anchor, ","")&amp;IF($S444="","frame type, ",""),"")&amp;IF(AND(N($BC444)&gt;0,$Z444=""),"hand, ","")&amp;IF(N($BC444)&gt;0,IF($AH444="","door material, ","")&amp;IF($AL444="","face type, ","")&amp;IF($AQ444="","lock prep, ","")&amp;IF(AND($AP444="",$AC444=""),"hinge prep, ",""),"")&amp;IF(AND($BO444&gt;0,$AH444="FRP"),"FRP cannot carry a label, ","")&amp;IF(AND($O444="Y",OR($Z444="L",$Z444="R",$Z444="LR",$Z444="RR")),"pair marked but hand is single, ","")&amp;IF(AND($O444&lt;&gt;"Y",OR($Z444="PR",AND(LEN($Z444)&gt;1,ISNUMBER(SEARCH("-",$Z444))))),"pair hand on a single door, ","")&amp;IF(AND(ISNUMBER($BP444),$BO444&lt;N($BP444)),"wall needs a "&amp;$BP444&amp;" min door, ","")&amp;IF(AND($BO444&gt;=180,AND(OR($BL444="FG",$BL444="HG",$BL444="FNV",$BL444="FV"),N($BM444)*N($BN444)&gt;100)),"180 min lite over 100 sq in, ","")&amp;IF(N($BD444)&gt;48,"leaf wider than 4'-0"&amp;CHAR(34)&amp;", ",""))</f>
        <v/>
      </c>
      <c r="BX444" s="49">
        <f>IF($A444="","",IF(AND($BO444&gt;0,AND($A444&lt;&gt;"",$C444&lt;&gt;"DOOR ONLY"),$X444="KD",$E444="EXTERIOR"),"KD label on an exterior opening, ","")&amp;IF(AND($E444="EXTERIOR",OR(AND(AND($A444&lt;&gt;"",$C444&lt;&gt;"DOOR ONLY"),$W444="CR"),AND(N($BC444)&gt;0,$AH444="CR"))),"exterior in CR steel (G9?), ","")&amp;IF(AND(ISNUMBER($BJ444),N($BJ444)&lt;32),"clear width ~"&amp;TEXT($BJ444,"0.0")&amp;CHAR(34)&amp;" under 32"&amp;CHAR(34)&amp;" (ADA), ","")&amp;IF(AND($BO444=90,AND(OR($BL444="FG",$BL444="HG",$BL444="FNV",$BL444="FV"),N($BM444)*N($BN444)&gt;100)),"90 min lite over 100 sq in (stair/exit), ","")&amp;IF(AND($BO444&gt;0,AND($A444&lt;&gt;"",$C444&lt;&gt;"DOOR ONLY"),OR($AF444="",$AF444="-")),"rated: closer reinf.?, ","")&amp;IF(OR($I444="CORRIDOR",$I444="SMOKE BARRIER"),"S label + smoke gasketing, ","")&amp;IF($BP444="?","wall type/hr not in IBC table, ","")&amp;IF(AND(N($BC444)&gt;0,$AU444=""),"no hardware set, ","")&amp;IF(AND($AU444&lt;&gt;"",ISNA(MATCH($AU444,HWSets,0))),"set "&amp;$AU444&amp;" not on Hardware sheet, ","")&amp;IF(N($BE444)&gt;96,"leaf over 8'-0"&amp;CHAR(34)&amp;" - check listing, ",""))</f>
        <v/>
      </c>
    </row>
    <row r="445" ht="15" customHeight="1">
      <c r="A445" s="44" t="n"/>
      <c r="B445" s="45" t="n"/>
      <c r="C445" s="45" t="n"/>
      <c r="D445" s="45" t="n"/>
      <c r="E445" s="45" t="n"/>
      <c r="F445" s="45" t="n"/>
      <c r="G445" s="45" t="n"/>
      <c r="H445" s="45" t="n"/>
      <c r="I445" s="45" t="n"/>
      <c r="J445" s="45" t="n"/>
      <c r="K445" s="45" t="n"/>
      <c r="L445" s="45" t="n"/>
      <c r="M445" s="45" t="n"/>
      <c r="N445" s="45" t="n"/>
      <c r="O445" s="45" t="n"/>
      <c r="P445" s="45" t="n"/>
      <c r="Q445" s="45" t="n"/>
      <c r="R445" s="45" t="n"/>
      <c r="S445" s="46" t="n"/>
      <c r="T445" s="46" t="n"/>
      <c r="U445" s="46" t="n"/>
      <c r="V445" s="46" t="n"/>
      <c r="W445" s="46" t="n"/>
      <c r="X445" s="46" t="n"/>
      <c r="Y445" s="46" t="n"/>
      <c r="Z445" s="46" t="n"/>
      <c r="AA445" s="46" t="n"/>
      <c r="AB445" s="46" t="n"/>
      <c r="AC445" s="46" t="n"/>
      <c r="AD445" s="46" t="n"/>
      <c r="AE445" s="46" t="n"/>
      <c r="AF445" s="46" t="n"/>
      <c r="AG445" s="46" t="n"/>
      <c r="AH445" s="47" t="n"/>
      <c r="AI445" s="47" t="n"/>
      <c r="AJ445" s="47" t="n"/>
      <c r="AK445" s="47" t="n"/>
      <c r="AL445" s="47" t="n"/>
      <c r="AM445" s="47" t="n"/>
      <c r="AN445" s="47" t="n"/>
      <c r="AO445" s="47" t="n"/>
      <c r="AP445" s="47" t="n"/>
      <c r="AQ445" s="47" t="n"/>
      <c r="AR445" s="47" t="n"/>
      <c r="AS445" s="47" t="n"/>
      <c r="AT445" s="47" t="n"/>
      <c r="AU445" s="48" t="n"/>
      <c r="AV445" s="48" t="n"/>
      <c r="AW445" s="49">
        <f>IF($A445="","",IF($BW445&lt;&gt;"","FIX",IF($BX445&lt;&gt;"","CHECK","OK")))</f>
        <v/>
      </c>
      <c r="AX445" s="50">
        <f>IF($A445="","",IF($BW445&lt;&gt;"","FIX: "&amp;LEFT($BW445,LEN($BW445)-2)&amp;IF($BX445&lt;&gt;"","  ·  ",""),"")&amp;IF($BX445&lt;&gt;"","CHECK: "&amp;LEFT($BX445,LEN($BX445)-2),""))</f>
        <v/>
      </c>
      <c r="AY445" s="49">
        <f>IF(OR($A445="",$K445=""),"",$K445&amp;"'-"&amp;N($L445)&amp;CHAR(34)&amp;" x "&amp;$M445&amp;"'-"&amp;N($N445)&amp;CHAR(34))</f>
        <v/>
      </c>
      <c r="AZ445" s="49">
        <f>IF(OR($A445="",$K445=""),"",$K445&amp;N($L445)&amp;$M445&amp;N($N445))</f>
        <v/>
      </c>
      <c r="BA445" s="49">
        <f>IF(OR($A445="",$K445=""),"",$K445*12+N($L445))</f>
        <v/>
      </c>
      <c r="BB445" s="49">
        <f>IF(OR($A445="",$M445=""),"",$M445*12+N($N445))</f>
        <v/>
      </c>
      <c r="BC445" s="49">
        <f>IF($A445="","",IF(OR($C445="FRAME ONLY",$S445="BL"),0,IF($O445="Y",2,1)))</f>
        <v/>
      </c>
      <c r="BD445" s="51">
        <f>IF(OR(N($BC445)=0,$BA445=""),"",($BA445-2*EdgeClr-IF($BC445=2,MeetClr,0))/$BC445)</f>
        <v/>
      </c>
      <c r="BE445" s="51">
        <f>IF(OR(N($BC445)=0,$BB445=""),"",$BB445-HeadClr-Undercut)</f>
        <v/>
      </c>
      <c r="BF445" s="51">
        <f>IF($BA445="","",$BA445+2*FaceW+IF(N($Q445)&gt;0,($Q445+FaceW)*IF($R445="LR",2,1),0))</f>
        <v/>
      </c>
      <c r="BG445" s="51">
        <f>IF($BB445="","",$BB445+IF($AB445="Y",4,FaceW)+IF(N($P445)&gt;0,$P445+FaceW,0)+IF(OR($S445="4F",$S445="BL"),FaceW,0))</f>
        <v/>
      </c>
      <c r="BH445" s="51">
        <f>IF($BF445="","",$BF445+2*ROSide)</f>
        <v/>
      </c>
      <c r="BI445" s="51">
        <f>IF($BG445="","",$BG445+ROTop)</f>
        <v/>
      </c>
      <c r="BJ445" s="52">
        <f>IF(OR(N($BC445)=0,$BA445=""),"",$BA445/$BC445-ClearDeduct)</f>
        <v/>
      </c>
      <c r="BK445" s="49">
        <f>IF(OR(N($BC445)=0,$BE445=""),"",IF(OR($AC445="HGC",$AP445="HGC"),"CONT",IF($BE445&lt;=60,2,IF($BE445&lt;=90,3,IF($BE445&lt;=120,4,5)))))</f>
        <v/>
      </c>
      <c r="BL445" s="49">
        <f>IF(N($BC445)=0,"",IF(OR($AL445="",$AL445="FLUSH"),"FLUSH",IFERROR(LEFT($AL445,FIND("-",$AL445)-1),LEFT($AL445,2))))</f>
        <v/>
      </c>
      <c r="BM445" s="49">
        <f>IF($BL445="","",IFERROR(VALUE(MID($AL445,FIND("-",$AL445)+1,FIND(CHAR(34)&amp;"x",$AL445)-FIND("-",$AL445)-1)),0))</f>
        <v/>
      </c>
      <c r="BN445" s="49">
        <f>IF($BL445="","",IFERROR(VALUE(MID($AL445,FIND(CHAR(34)&amp;"x",$AL445)+2,FIND(CHAR(34),$AL445,FIND(CHAR(34)&amp;"x",$AL445)+2)-FIND(CHAR(34)&amp;"x",$AL445)-2)),0))</f>
        <v/>
      </c>
      <c r="BO445" s="53">
        <f>IF(OR($A445="",$H445="",$H445="NO LAB"),0,IFERROR(VALUE(LEFT($H445,FIND(" ",$H445)-1)),0))</f>
        <v/>
      </c>
      <c r="BP445" s="54">
        <f>IF(OR($A445="",$I445="",$I445="NON-RATED",N($J445)=0),"",IFERROR(VLOOKUP($I445&amp;"|"&amp;$J445,IBC,2,FALSE),"?"))</f>
        <v/>
      </c>
      <c r="BQ445" s="50">
        <f>IF(NOT(AND($A445&lt;&gt;"",$C445&lt;&gt;"DOOR ONLY")),"",TRIM(IFERROR(VLOOKUP($U445,CODES,2,FALSE),"")&amp;" "&amp;$AZ445&amp;" "&amp;IFERROR(VLOOKUP($Z445,CODES,2,FALSE),"")&amp;" "&amp;IFERROR(VLOOKUP($X445,CODES,2,FALSE),"")&amp;" "&amp;IFERROR(VLOOKUP($S445,CODES,2,FALSE),"")&amp;IF(N($P445)&gt;0," w/TRANSOM "&amp;$P445&amp;CHAR(34),"")&amp;IF(N($Q445)&gt;0," w/SIDELITE "&amp;$Q445&amp;CHAR(34)&amp;" "&amp;IF($R445="","R",$R445),"")&amp;IF($Y445="","  |  "," | "&amp;IFERROR(VLOOKUP($Y445,CODES,2,FALSE),"")&amp;" | ")&amp;IFERROR(VLOOKUP($AC445,CODES,2,FALSE),"")&amp;" "&amp;IFERROR(VLOOKUP($AD445,CODES,2,FALSE),"")&amp;IF(OR($AE445="",$AE445="-"),""," "&amp;$AE445)&amp;IF(OR($AF445="",$AF445="-"),""," "&amp;$AF445)&amp;IF($AB445="Y"," 4"&amp;CHAR(34)&amp;" HEAD","")&amp;" "&amp;IFERROR(VLOOKUP($H445,CODES,2,FALSE),"")))</f>
        <v/>
      </c>
      <c r="BR445" s="50">
        <f>IF(NOT(AND($A445&lt;&gt;"",N($BC445)&gt;0)),"",TRIM(IFERROR(VLOOKUP($AH445,CODES,2,FALSE),"")&amp;IF($AI445=""," "," "&amp;$AI445&amp;"GA ")&amp;$AZ445&amp;" "&amp;IF($AN445="",IFERROR(VLOOKUP($Z445,CODES,2,FALSE),""),IFERROR(VLOOKUP($AN445,CODES,2,FALSE),""))&amp;IF($BC445=2," PAIR","")&amp;" DOOR | "&amp;IF($AL445="","?",$AL445)&amp;" | "&amp;IF($AP445="",IFERROR(VLOOKUP($AC445,CODES,2,FALSE),""),IFERROR(VLOOKUP($AP445,CODES,2,FALSE),""))&amp;" "&amp;IFERROR(VLOOKUP($AQ445,CODES,2,FALSE),"")&amp;IF(OR($AR445="",$AR445="-"),""," SEAM "&amp;$AR445)&amp;IF($AS445="Y"," ASTRAGAL","")&amp;IF($AJ445=""," "," "&amp;$AJ445)&amp;IF($AK445=""," "," "&amp;$AK445)&amp;IF($AO445="",""," "&amp;$AO445)&amp;IF($AM445=""," "," SERIES "&amp;$AM445)&amp;" "&amp;IFERROR(VLOOKUP($H445,CODES,2,FALSE),"")))</f>
        <v/>
      </c>
      <c r="BS445" s="49">
        <f>IF(BV445="","",IF(COUNTIF($BV$6:BV445,BV445)=1,MAX($BS$5:BS444)+1,INDEX($BS$5:BS444,MATCH(BV445,$BV$5:BV444,0))))</f>
        <v/>
      </c>
      <c r="BT445" s="49">
        <f>IF(NOT(AND($A445&lt;&gt;"",$C445&lt;&gt;"DOOR ONLY")),"",MAX($BT$5:BT444)+1)</f>
        <v/>
      </c>
      <c r="BU445" s="49">
        <f>IF(NOT(AND($A445&lt;&gt;"",N($BC445)&gt;0)),"",MAX($BU$5:BU444)+1)</f>
        <v/>
      </c>
      <c r="BV445" s="49">
        <f>IF(OR($A445="",$BA445="",$BB445=""),"",$AZ445&amp;"|"&amp;$O445&amp;"|"&amp;$AL445&amp;"|"&amp;$S445&amp;"|"&amp;$P445&amp;"|"&amp;$Q445&amp;$R445&amp;"|"&amp;$C445&amp;"|"&amp;$AB445)</f>
        <v/>
      </c>
      <c r="BW445" s="49">
        <f>IF($A445="","",IF($B445="","qty, ","")&amp;IF($C445="","scope, ","")&amp;IF(OR($K445="",$M445=""),"size, ","")&amp;IF(AND($A445&lt;&gt;"",$C445&lt;&gt;"DOOR ONLY"),IF($U445="","jamb depth, ","")&amp;IF($X445="","construction, ","")&amp;IF($Y445="","anchor, ","")&amp;IF($S445="","frame type, ",""),"")&amp;IF(AND(N($BC445)&gt;0,$Z445=""),"hand, ","")&amp;IF(N($BC445)&gt;0,IF($AH445="","door material, ","")&amp;IF($AL445="","face type, ","")&amp;IF($AQ445="","lock prep, ","")&amp;IF(AND($AP445="",$AC445=""),"hinge prep, ",""),"")&amp;IF(AND($BO445&gt;0,$AH445="FRP"),"FRP cannot carry a label, ","")&amp;IF(AND($O445="Y",OR($Z445="L",$Z445="R",$Z445="LR",$Z445="RR")),"pair marked but hand is single, ","")&amp;IF(AND($O445&lt;&gt;"Y",OR($Z445="PR",AND(LEN($Z445)&gt;1,ISNUMBER(SEARCH("-",$Z445))))),"pair hand on a single door, ","")&amp;IF(AND(ISNUMBER($BP445),$BO445&lt;N($BP445)),"wall needs a "&amp;$BP445&amp;" min door, ","")&amp;IF(AND($BO445&gt;=180,AND(OR($BL445="FG",$BL445="HG",$BL445="FNV",$BL445="FV"),N($BM445)*N($BN445)&gt;100)),"180 min lite over 100 sq in, ","")&amp;IF(N($BD445)&gt;48,"leaf wider than 4'-0"&amp;CHAR(34)&amp;", ",""))</f>
        <v/>
      </c>
      <c r="BX445" s="49">
        <f>IF($A445="","",IF(AND($BO445&gt;0,AND($A445&lt;&gt;"",$C445&lt;&gt;"DOOR ONLY"),$X445="KD",$E445="EXTERIOR"),"KD label on an exterior opening, ","")&amp;IF(AND($E445="EXTERIOR",OR(AND(AND($A445&lt;&gt;"",$C445&lt;&gt;"DOOR ONLY"),$W445="CR"),AND(N($BC445)&gt;0,$AH445="CR"))),"exterior in CR steel (G9?), ","")&amp;IF(AND(ISNUMBER($BJ445),N($BJ445)&lt;32),"clear width ~"&amp;TEXT($BJ445,"0.0")&amp;CHAR(34)&amp;" under 32"&amp;CHAR(34)&amp;" (ADA), ","")&amp;IF(AND($BO445=90,AND(OR($BL445="FG",$BL445="HG",$BL445="FNV",$BL445="FV"),N($BM445)*N($BN445)&gt;100)),"90 min lite over 100 sq in (stair/exit), ","")&amp;IF(AND($BO445&gt;0,AND($A445&lt;&gt;"",$C445&lt;&gt;"DOOR ONLY"),OR($AF445="",$AF445="-")),"rated: closer reinf.?, ","")&amp;IF(OR($I445="CORRIDOR",$I445="SMOKE BARRIER"),"S label + smoke gasketing, ","")&amp;IF($BP445="?","wall type/hr not in IBC table, ","")&amp;IF(AND(N($BC445)&gt;0,$AU445=""),"no hardware set, ","")&amp;IF(AND($AU445&lt;&gt;"",ISNA(MATCH($AU445,HWSets,0))),"set "&amp;$AU445&amp;" not on Hardware sheet, ","")&amp;IF(N($BE445)&gt;96,"leaf over 8'-0"&amp;CHAR(34)&amp;" - check listing, ",""))</f>
        <v/>
      </c>
    </row>
    <row r="446" ht="15" customHeight="1">
      <c r="A446" s="44" t="n"/>
      <c r="B446" s="45" t="n"/>
      <c r="C446" s="45" t="n"/>
      <c r="D446" s="45" t="n"/>
      <c r="E446" s="45" t="n"/>
      <c r="F446" s="45" t="n"/>
      <c r="G446" s="45" t="n"/>
      <c r="H446" s="45" t="n"/>
      <c r="I446" s="45" t="n"/>
      <c r="J446" s="45" t="n"/>
      <c r="K446" s="45" t="n"/>
      <c r="L446" s="45" t="n"/>
      <c r="M446" s="45" t="n"/>
      <c r="N446" s="45" t="n"/>
      <c r="O446" s="45" t="n"/>
      <c r="P446" s="45" t="n"/>
      <c r="Q446" s="45" t="n"/>
      <c r="R446" s="45" t="n"/>
      <c r="S446" s="46" t="n"/>
      <c r="T446" s="46" t="n"/>
      <c r="U446" s="46" t="n"/>
      <c r="V446" s="46" t="n"/>
      <c r="W446" s="46" t="n"/>
      <c r="X446" s="46" t="n"/>
      <c r="Y446" s="46" t="n"/>
      <c r="Z446" s="46" t="n"/>
      <c r="AA446" s="46" t="n"/>
      <c r="AB446" s="46" t="n"/>
      <c r="AC446" s="46" t="n"/>
      <c r="AD446" s="46" t="n"/>
      <c r="AE446" s="46" t="n"/>
      <c r="AF446" s="46" t="n"/>
      <c r="AG446" s="46" t="n"/>
      <c r="AH446" s="47" t="n"/>
      <c r="AI446" s="47" t="n"/>
      <c r="AJ446" s="47" t="n"/>
      <c r="AK446" s="47" t="n"/>
      <c r="AL446" s="47" t="n"/>
      <c r="AM446" s="47" t="n"/>
      <c r="AN446" s="47" t="n"/>
      <c r="AO446" s="47" t="n"/>
      <c r="AP446" s="47" t="n"/>
      <c r="AQ446" s="47" t="n"/>
      <c r="AR446" s="47" t="n"/>
      <c r="AS446" s="47" t="n"/>
      <c r="AT446" s="47" t="n"/>
      <c r="AU446" s="48" t="n"/>
      <c r="AV446" s="48" t="n"/>
      <c r="AW446" s="49">
        <f>IF($A446="","",IF($BW446&lt;&gt;"","FIX",IF($BX446&lt;&gt;"","CHECK","OK")))</f>
        <v/>
      </c>
      <c r="AX446" s="50">
        <f>IF($A446="","",IF($BW446&lt;&gt;"","FIX: "&amp;LEFT($BW446,LEN($BW446)-2)&amp;IF($BX446&lt;&gt;"","  ·  ",""),"")&amp;IF($BX446&lt;&gt;"","CHECK: "&amp;LEFT($BX446,LEN($BX446)-2),""))</f>
        <v/>
      </c>
      <c r="AY446" s="49">
        <f>IF(OR($A446="",$K446=""),"",$K446&amp;"'-"&amp;N($L446)&amp;CHAR(34)&amp;" x "&amp;$M446&amp;"'-"&amp;N($N446)&amp;CHAR(34))</f>
        <v/>
      </c>
      <c r="AZ446" s="49">
        <f>IF(OR($A446="",$K446=""),"",$K446&amp;N($L446)&amp;$M446&amp;N($N446))</f>
        <v/>
      </c>
      <c r="BA446" s="49">
        <f>IF(OR($A446="",$K446=""),"",$K446*12+N($L446))</f>
        <v/>
      </c>
      <c r="BB446" s="49">
        <f>IF(OR($A446="",$M446=""),"",$M446*12+N($N446))</f>
        <v/>
      </c>
      <c r="BC446" s="49">
        <f>IF($A446="","",IF(OR($C446="FRAME ONLY",$S446="BL"),0,IF($O446="Y",2,1)))</f>
        <v/>
      </c>
      <c r="BD446" s="51">
        <f>IF(OR(N($BC446)=0,$BA446=""),"",($BA446-2*EdgeClr-IF($BC446=2,MeetClr,0))/$BC446)</f>
        <v/>
      </c>
      <c r="BE446" s="51">
        <f>IF(OR(N($BC446)=0,$BB446=""),"",$BB446-HeadClr-Undercut)</f>
        <v/>
      </c>
      <c r="BF446" s="51">
        <f>IF($BA446="","",$BA446+2*FaceW+IF(N($Q446)&gt;0,($Q446+FaceW)*IF($R446="LR",2,1),0))</f>
        <v/>
      </c>
      <c r="BG446" s="51">
        <f>IF($BB446="","",$BB446+IF($AB446="Y",4,FaceW)+IF(N($P446)&gt;0,$P446+FaceW,0)+IF(OR($S446="4F",$S446="BL"),FaceW,0))</f>
        <v/>
      </c>
      <c r="BH446" s="51">
        <f>IF($BF446="","",$BF446+2*ROSide)</f>
        <v/>
      </c>
      <c r="BI446" s="51">
        <f>IF($BG446="","",$BG446+ROTop)</f>
        <v/>
      </c>
      <c r="BJ446" s="52">
        <f>IF(OR(N($BC446)=0,$BA446=""),"",$BA446/$BC446-ClearDeduct)</f>
        <v/>
      </c>
      <c r="BK446" s="49">
        <f>IF(OR(N($BC446)=0,$BE446=""),"",IF(OR($AC446="HGC",$AP446="HGC"),"CONT",IF($BE446&lt;=60,2,IF($BE446&lt;=90,3,IF($BE446&lt;=120,4,5)))))</f>
        <v/>
      </c>
      <c r="BL446" s="49">
        <f>IF(N($BC446)=0,"",IF(OR($AL446="",$AL446="FLUSH"),"FLUSH",IFERROR(LEFT($AL446,FIND("-",$AL446)-1),LEFT($AL446,2))))</f>
        <v/>
      </c>
      <c r="BM446" s="49">
        <f>IF($BL446="","",IFERROR(VALUE(MID($AL446,FIND("-",$AL446)+1,FIND(CHAR(34)&amp;"x",$AL446)-FIND("-",$AL446)-1)),0))</f>
        <v/>
      </c>
      <c r="BN446" s="49">
        <f>IF($BL446="","",IFERROR(VALUE(MID($AL446,FIND(CHAR(34)&amp;"x",$AL446)+2,FIND(CHAR(34),$AL446,FIND(CHAR(34)&amp;"x",$AL446)+2)-FIND(CHAR(34)&amp;"x",$AL446)-2)),0))</f>
        <v/>
      </c>
      <c r="BO446" s="53">
        <f>IF(OR($A446="",$H446="",$H446="NO LAB"),0,IFERROR(VALUE(LEFT($H446,FIND(" ",$H446)-1)),0))</f>
        <v/>
      </c>
      <c r="BP446" s="54">
        <f>IF(OR($A446="",$I446="",$I446="NON-RATED",N($J446)=0),"",IFERROR(VLOOKUP($I446&amp;"|"&amp;$J446,IBC,2,FALSE),"?"))</f>
        <v/>
      </c>
      <c r="BQ446" s="50">
        <f>IF(NOT(AND($A446&lt;&gt;"",$C446&lt;&gt;"DOOR ONLY")),"",TRIM(IFERROR(VLOOKUP($U446,CODES,2,FALSE),"")&amp;" "&amp;$AZ446&amp;" "&amp;IFERROR(VLOOKUP($Z446,CODES,2,FALSE),"")&amp;" "&amp;IFERROR(VLOOKUP($X446,CODES,2,FALSE),"")&amp;" "&amp;IFERROR(VLOOKUP($S446,CODES,2,FALSE),"")&amp;IF(N($P446)&gt;0," w/TRANSOM "&amp;$P446&amp;CHAR(34),"")&amp;IF(N($Q446)&gt;0," w/SIDELITE "&amp;$Q446&amp;CHAR(34)&amp;" "&amp;IF($R446="","R",$R446),"")&amp;IF($Y446="","  |  "," | "&amp;IFERROR(VLOOKUP($Y446,CODES,2,FALSE),"")&amp;" | ")&amp;IFERROR(VLOOKUP($AC446,CODES,2,FALSE),"")&amp;" "&amp;IFERROR(VLOOKUP($AD446,CODES,2,FALSE),"")&amp;IF(OR($AE446="",$AE446="-"),""," "&amp;$AE446)&amp;IF(OR($AF446="",$AF446="-"),""," "&amp;$AF446)&amp;IF($AB446="Y"," 4"&amp;CHAR(34)&amp;" HEAD","")&amp;" "&amp;IFERROR(VLOOKUP($H446,CODES,2,FALSE),"")))</f>
        <v/>
      </c>
      <c r="BR446" s="50">
        <f>IF(NOT(AND($A446&lt;&gt;"",N($BC446)&gt;0)),"",TRIM(IFERROR(VLOOKUP($AH446,CODES,2,FALSE),"")&amp;IF($AI446=""," "," "&amp;$AI446&amp;"GA ")&amp;$AZ446&amp;" "&amp;IF($AN446="",IFERROR(VLOOKUP($Z446,CODES,2,FALSE),""),IFERROR(VLOOKUP($AN446,CODES,2,FALSE),""))&amp;IF($BC446=2," PAIR","")&amp;" DOOR | "&amp;IF($AL446="","?",$AL446)&amp;" | "&amp;IF($AP446="",IFERROR(VLOOKUP($AC446,CODES,2,FALSE),""),IFERROR(VLOOKUP($AP446,CODES,2,FALSE),""))&amp;" "&amp;IFERROR(VLOOKUP($AQ446,CODES,2,FALSE),"")&amp;IF(OR($AR446="",$AR446="-"),""," SEAM "&amp;$AR446)&amp;IF($AS446="Y"," ASTRAGAL","")&amp;IF($AJ446=""," "," "&amp;$AJ446)&amp;IF($AK446=""," "," "&amp;$AK446)&amp;IF($AO446="",""," "&amp;$AO446)&amp;IF($AM446=""," "," SERIES "&amp;$AM446)&amp;" "&amp;IFERROR(VLOOKUP($H446,CODES,2,FALSE),"")))</f>
        <v/>
      </c>
      <c r="BS446" s="49">
        <f>IF(BV446="","",IF(COUNTIF($BV$6:BV446,BV446)=1,MAX($BS$5:BS445)+1,INDEX($BS$5:BS445,MATCH(BV446,$BV$5:BV445,0))))</f>
        <v/>
      </c>
      <c r="BT446" s="49">
        <f>IF(NOT(AND($A446&lt;&gt;"",$C446&lt;&gt;"DOOR ONLY")),"",MAX($BT$5:BT445)+1)</f>
        <v/>
      </c>
      <c r="BU446" s="49">
        <f>IF(NOT(AND($A446&lt;&gt;"",N($BC446)&gt;0)),"",MAX($BU$5:BU445)+1)</f>
        <v/>
      </c>
      <c r="BV446" s="49">
        <f>IF(OR($A446="",$BA446="",$BB446=""),"",$AZ446&amp;"|"&amp;$O446&amp;"|"&amp;$AL446&amp;"|"&amp;$S446&amp;"|"&amp;$P446&amp;"|"&amp;$Q446&amp;$R446&amp;"|"&amp;$C446&amp;"|"&amp;$AB446)</f>
        <v/>
      </c>
      <c r="BW446" s="49">
        <f>IF($A446="","",IF($B446="","qty, ","")&amp;IF($C446="","scope, ","")&amp;IF(OR($K446="",$M446=""),"size, ","")&amp;IF(AND($A446&lt;&gt;"",$C446&lt;&gt;"DOOR ONLY"),IF($U446="","jamb depth, ","")&amp;IF($X446="","construction, ","")&amp;IF($Y446="","anchor, ","")&amp;IF($S446="","frame type, ",""),"")&amp;IF(AND(N($BC446)&gt;0,$Z446=""),"hand, ","")&amp;IF(N($BC446)&gt;0,IF($AH446="","door material, ","")&amp;IF($AL446="","face type, ","")&amp;IF($AQ446="","lock prep, ","")&amp;IF(AND($AP446="",$AC446=""),"hinge prep, ",""),"")&amp;IF(AND($BO446&gt;0,$AH446="FRP"),"FRP cannot carry a label, ","")&amp;IF(AND($O446="Y",OR($Z446="L",$Z446="R",$Z446="LR",$Z446="RR")),"pair marked but hand is single, ","")&amp;IF(AND($O446&lt;&gt;"Y",OR($Z446="PR",AND(LEN($Z446)&gt;1,ISNUMBER(SEARCH("-",$Z446))))),"pair hand on a single door, ","")&amp;IF(AND(ISNUMBER($BP446),$BO446&lt;N($BP446)),"wall needs a "&amp;$BP446&amp;" min door, ","")&amp;IF(AND($BO446&gt;=180,AND(OR($BL446="FG",$BL446="HG",$BL446="FNV",$BL446="FV"),N($BM446)*N($BN446)&gt;100)),"180 min lite over 100 sq in, ","")&amp;IF(N($BD446)&gt;48,"leaf wider than 4'-0"&amp;CHAR(34)&amp;", ",""))</f>
        <v/>
      </c>
      <c r="BX446" s="49">
        <f>IF($A446="","",IF(AND($BO446&gt;0,AND($A446&lt;&gt;"",$C446&lt;&gt;"DOOR ONLY"),$X446="KD",$E446="EXTERIOR"),"KD label on an exterior opening, ","")&amp;IF(AND($E446="EXTERIOR",OR(AND(AND($A446&lt;&gt;"",$C446&lt;&gt;"DOOR ONLY"),$W446="CR"),AND(N($BC446)&gt;0,$AH446="CR"))),"exterior in CR steel (G9?), ","")&amp;IF(AND(ISNUMBER($BJ446),N($BJ446)&lt;32),"clear width ~"&amp;TEXT($BJ446,"0.0")&amp;CHAR(34)&amp;" under 32"&amp;CHAR(34)&amp;" (ADA), ","")&amp;IF(AND($BO446=90,AND(OR($BL446="FG",$BL446="HG",$BL446="FNV",$BL446="FV"),N($BM446)*N($BN446)&gt;100)),"90 min lite over 100 sq in (stair/exit), ","")&amp;IF(AND($BO446&gt;0,AND($A446&lt;&gt;"",$C446&lt;&gt;"DOOR ONLY"),OR($AF446="",$AF446="-")),"rated: closer reinf.?, ","")&amp;IF(OR($I446="CORRIDOR",$I446="SMOKE BARRIER"),"S label + smoke gasketing, ","")&amp;IF($BP446="?","wall type/hr not in IBC table, ","")&amp;IF(AND(N($BC446)&gt;0,$AU446=""),"no hardware set, ","")&amp;IF(AND($AU446&lt;&gt;"",ISNA(MATCH($AU446,HWSets,0))),"set "&amp;$AU446&amp;" not on Hardware sheet, ","")&amp;IF(N($BE446)&gt;96,"leaf over 8'-0"&amp;CHAR(34)&amp;" - check listing, ",""))</f>
        <v/>
      </c>
    </row>
    <row r="447" ht="15" customHeight="1">
      <c r="A447" s="44" t="n"/>
      <c r="B447" s="45" t="n"/>
      <c r="C447" s="45" t="n"/>
      <c r="D447" s="45" t="n"/>
      <c r="E447" s="45" t="n"/>
      <c r="F447" s="45" t="n"/>
      <c r="G447" s="45" t="n"/>
      <c r="H447" s="45" t="n"/>
      <c r="I447" s="45" t="n"/>
      <c r="J447" s="45" t="n"/>
      <c r="K447" s="45" t="n"/>
      <c r="L447" s="45" t="n"/>
      <c r="M447" s="45" t="n"/>
      <c r="N447" s="45" t="n"/>
      <c r="O447" s="45" t="n"/>
      <c r="P447" s="45" t="n"/>
      <c r="Q447" s="45" t="n"/>
      <c r="R447" s="45" t="n"/>
      <c r="S447" s="46" t="n"/>
      <c r="T447" s="46" t="n"/>
      <c r="U447" s="46" t="n"/>
      <c r="V447" s="46" t="n"/>
      <c r="W447" s="46" t="n"/>
      <c r="X447" s="46" t="n"/>
      <c r="Y447" s="46" t="n"/>
      <c r="Z447" s="46" t="n"/>
      <c r="AA447" s="46" t="n"/>
      <c r="AB447" s="46" t="n"/>
      <c r="AC447" s="46" t="n"/>
      <c r="AD447" s="46" t="n"/>
      <c r="AE447" s="46" t="n"/>
      <c r="AF447" s="46" t="n"/>
      <c r="AG447" s="46" t="n"/>
      <c r="AH447" s="47" t="n"/>
      <c r="AI447" s="47" t="n"/>
      <c r="AJ447" s="47" t="n"/>
      <c r="AK447" s="47" t="n"/>
      <c r="AL447" s="47" t="n"/>
      <c r="AM447" s="47" t="n"/>
      <c r="AN447" s="47" t="n"/>
      <c r="AO447" s="47" t="n"/>
      <c r="AP447" s="47" t="n"/>
      <c r="AQ447" s="47" t="n"/>
      <c r="AR447" s="47" t="n"/>
      <c r="AS447" s="47" t="n"/>
      <c r="AT447" s="47" t="n"/>
      <c r="AU447" s="48" t="n"/>
      <c r="AV447" s="48" t="n"/>
      <c r="AW447" s="49">
        <f>IF($A447="","",IF($BW447&lt;&gt;"","FIX",IF($BX447&lt;&gt;"","CHECK","OK")))</f>
        <v/>
      </c>
      <c r="AX447" s="50">
        <f>IF($A447="","",IF($BW447&lt;&gt;"","FIX: "&amp;LEFT($BW447,LEN($BW447)-2)&amp;IF($BX447&lt;&gt;"","  ·  ",""),"")&amp;IF($BX447&lt;&gt;"","CHECK: "&amp;LEFT($BX447,LEN($BX447)-2),""))</f>
        <v/>
      </c>
      <c r="AY447" s="49">
        <f>IF(OR($A447="",$K447=""),"",$K447&amp;"'-"&amp;N($L447)&amp;CHAR(34)&amp;" x "&amp;$M447&amp;"'-"&amp;N($N447)&amp;CHAR(34))</f>
        <v/>
      </c>
      <c r="AZ447" s="49">
        <f>IF(OR($A447="",$K447=""),"",$K447&amp;N($L447)&amp;$M447&amp;N($N447))</f>
        <v/>
      </c>
      <c r="BA447" s="49">
        <f>IF(OR($A447="",$K447=""),"",$K447*12+N($L447))</f>
        <v/>
      </c>
      <c r="BB447" s="49">
        <f>IF(OR($A447="",$M447=""),"",$M447*12+N($N447))</f>
        <v/>
      </c>
      <c r="BC447" s="49">
        <f>IF($A447="","",IF(OR($C447="FRAME ONLY",$S447="BL"),0,IF($O447="Y",2,1)))</f>
        <v/>
      </c>
      <c r="BD447" s="51">
        <f>IF(OR(N($BC447)=0,$BA447=""),"",($BA447-2*EdgeClr-IF($BC447=2,MeetClr,0))/$BC447)</f>
        <v/>
      </c>
      <c r="BE447" s="51">
        <f>IF(OR(N($BC447)=0,$BB447=""),"",$BB447-HeadClr-Undercut)</f>
        <v/>
      </c>
      <c r="BF447" s="51">
        <f>IF($BA447="","",$BA447+2*FaceW+IF(N($Q447)&gt;0,($Q447+FaceW)*IF($R447="LR",2,1),0))</f>
        <v/>
      </c>
      <c r="BG447" s="51">
        <f>IF($BB447="","",$BB447+IF($AB447="Y",4,FaceW)+IF(N($P447)&gt;0,$P447+FaceW,0)+IF(OR($S447="4F",$S447="BL"),FaceW,0))</f>
        <v/>
      </c>
      <c r="BH447" s="51">
        <f>IF($BF447="","",$BF447+2*ROSide)</f>
        <v/>
      </c>
      <c r="BI447" s="51">
        <f>IF($BG447="","",$BG447+ROTop)</f>
        <v/>
      </c>
      <c r="BJ447" s="52">
        <f>IF(OR(N($BC447)=0,$BA447=""),"",$BA447/$BC447-ClearDeduct)</f>
        <v/>
      </c>
      <c r="BK447" s="49">
        <f>IF(OR(N($BC447)=0,$BE447=""),"",IF(OR($AC447="HGC",$AP447="HGC"),"CONT",IF($BE447&lt;=60,2,IF($BE447&lt;=90,3,IF($BE447&lt;=120,4,5)))))</f>
        <v/>
      </c>
      <c r="BL447" s="49">
        <f>IF(N($BC447)=0,"",IF(OR($AL447="",$AL447="FLUSH"),"FLUSH",IFERROR(LEFT($AL447,FIND("-",$AL447)-1),LEFT($AL447,2))))</f>
        <v/>
      </c>
      <c r="BM447" s="49">
        <f>IF($BL447="","",IFERROR(VALUE(MID($AL447,FIND("-",$AL447)+1,FIND(CHAR(34)&amp;"x",$AL447)-FIND("-",$AL447)-1)),0))</f>
        <v/>
      </c>
      <c r="BN447" s="49">
        <f>IF($BL447="","",IFERROR(VALUE(MID($AL447,FIND(CHAR(34)&amp;"x",$AL447)+2,FIND(CHAR(34),$AL447,FIND(CHAR(34)&amp;"x",$AL447)+2)-FIND(CHAR(34)&amp;"x",$AL447)-2)),0))</f>
        <v/>
      </c>
      <c r="BO447" s="53">
        <f>IF(OR($A447="",$H447="",$H447="NO LAB"),0,IFERROR(VALUE(LEFT($H447,FIND(" ",$H447)-1)),0))</f>
        <v/>
      </c>
      <c r="BP447" s="54">
        <f>IF(OR($A447="",$I447="",$I447="NON-RATED",N($J447)=0),"",IFERROR(VLOOKUP($I447&amp;"|"&amp;$J447,IBC,2,FALSE),"?"))</f>
        <v/>
      </c>
      <c r="BQ447" s="50">
        <f>IF(NOT(AND($A447&lt;&gt;"",$C447&lt;&gt;"DOOR ONLY")),"",TRIM(IFERROR(VLOOKUP($U447,CODES,2,FALSE),"")&amp;" "&amp;$AZ447&amp;" "&amp;IFERROR(VLOOKUP($Z447,CODES,2,FALSE),"")&amp;" "&amp;IFERROR(VLOOKUP($X447,CODES,2,FALSE),"")&amp;" "&amp;IFERROR(VLOOKUP($S447,CODES,2,FALSE),"")&amp;IF(N($P447)&gt;0," w/TRANSOM "&amp;$P447&amp;CHAR(34),"")&amp;IF(N($Q447)&gt;0," w/SIDELITE "&amp;$Q447&amp;CHAR(34)&amp;" "&amp;IF($R447="","R",$R447),"")&amp;IF($Y447="","  |  "," | "&amp;IFERROR(VLOOKUP($Y447,CODES,2,FALSE),"")&amp;" | ")&amp;IFERROR(VLOOKUP($AC447,CODES,2,FALSE),"")&amp;" "&amp;IFERROR(VLOOKUP($AD447,CODES,2,FALSE),"")&amp;IF(OR($AE447="",$AE447="-"),""," "&amp;$AE447)&amp;IF(OR($AF447="",$AF447="-"),""," "&amp;$AF447)&amp;IF($AB447="Y"," 4"&amp;CHAR(34)&amp;" HEAD","")&amp;" "&amp;IFERROR(VLOOKUP($H447,CODES,2,FALSE),"")))</f>
        <v/>
      </c>
      <c r="BR447" s="50">
        <f>IF(NOT(AND($A447&lt;&gt;"",N($BC447)&gt;0)),"",TRIM(IFERROR(VLOOKUP($AH447,CODES,2,FALSE),"")&amp;IF($AI447=""," "," "&amp;$AI447&amp;"GA ")&amp;$AZ447&amp;" "&amp;IF($AN447="",IFERROR(VLOOKUP($Z447,CODES,2,FALSE),""),IFERROR(VLOOKUP($AN447,CODES,2,FALSE),""))&amp;IF($BC447=2," PAIR","")&amp;" DOOR | "&amp;IF($AL447="","?",$AL447)&amp;" | "&amp;IF($AP447="",IFERROR(VLOOKUP($AC447,CODES,2,FALSE),""),IFERROR(VLOOKUP($AP447,CODES,2,FALSE),""))&amp;" "&amp;IFERROR(VLOOKUP($AQ447,CODES,2,FALSE),"")&amp;IF(OR($AR447="",$AR447="-"),""," SEAM "&amp;$AR447)&amp;IF($AS447="Y"," ASTRAGAL","")&amp;IF($AJ447=""," "," "&amp;$AJ447)&amp;IF($AK447=""," "," "&amp;$AK447)&amp;IF($AO447="",""," "&amp;$AO447)&amp;IF($AM447=""," "," SERIES "&amp;$AM447)&amp;" "&amp;IFERROR(VLOOKUP($H447,CODES,2,FALSE),"")))</f>
        <v/>
      </c>
      <c r="BS447" s="49">
        <f>IF(BV447="","",IF(COUNTIF($BV$6:BV447,BV447)=1,MAX($BS$5:BS446)+1,INDEX($BS$5:BS446,MATCH(BV447,$BV$5:BV446,0))))</f>
        <v/>
      </c>
      <c r="BT447" s="49">
        <f>IF(NOT(AND($A447&lt;&gt;"",$C447&lt;&gt;"DOOR ONLY")),"",MAX($BT$5:BT446)+1)</f>
        <v/>
      </c>
      <c r="BU447" s="49">
        <f>IF(NOT(AND($A447&lt;&gt;"",N($BC447)&gt;0)),"",MAX($BU$5:BU446)+1)</f>
        <v/>
      </c>
      <c r="BV447" s="49">
        <f>IF(OR($A447="",$BA447="",$BB447=""),"",$AZ447&amp;"|"&amp;$O447&amp;"|"&amp;$AL447&amp;"|"&amp;$S447&amp;"|"&amp;$P447&amp;"|"&amp;$Q447&amp;$R447&amp;"|"&amp;$C447&amp;"|"&amp;$AB447)</f>
        <v/>
      </c>
      <c r="BW447" s="49">
        <f>IF($A447="","",IF($B447="","qty, ","")&amp;IF($C447="","scope, ","")&amp;IF(OR($K447="",$M447=""),"size, ","")&amp;IF(AND($A447&lt;&gt;"",$C447&lt;&gt;"DOOR ONLY"),IF($U447="","jamb depth, ","")&amp;IF($X447="","construction, ","")&amp;IF($Y447="","anchor, ","")&amp;IF($S447="","frame type, ",""),"")&amp;IF(AND(N($BC447)&gt;0,$Z447=""),"hand, ","")&amp;IF(N($BC447)&gt;0,IF($AH447="","door material, ","")&amp;IF($AL447="","face type, ","")&amp;IF($AQ447="","lock prep, ","")&amp;IF(AND($AP447="",$AC447=""),"hinge prep, ",""),"")&amp;IF(AND($BO447&gt;0,$AH447="FRP"),"FRP cannot carry a label, ","")&amp;IF(AND($O447="Y",OR($Z447="L",$Z447="R",$Z447="LR",$Z447="RR")),"pair marked but hand is single, ","")&amp;IF(AND($O447&lt;&gt;"Y",OR($Z447="PR",AND(LEN($Z447)&gt;1,ISNUMBER(SEARCH("-",$Z447))))),"pair hand on a single door, ","")&amp;IF(AND(ISNUMBER($BP447),$BO447&lt;N($BP447)),"wall needs a "&amp;$BP447&amp;" min door, ","")&amp;IF(AND($BO447&gt;=180,AND(OR($BL447="FG",$BL447="HG",$BL447="FNV",$BL447="FV"),N($BM447)*N($BN447)&gt;100)),"180 min lite over 100 sq in, ","")&amp;IF(N($BD447)&gt;48,"leaf wider than 4'-0"&amp;CHAR(34)&amp;", ",""))</f>
        <v/>
      </c>
      <c r="BX447" s="49">
        <f>IF($A447="","",IF(AND($BO447&gt;0,AND($A447&lt;&gt;"",$C447&lt;&gt;"DOOR ONLY"),$X447="KD",$E447="EXTERIOR"),"KD label on an exterior opening, ","")&amp;IF(AND($E447="EXTERIOR",OR(AND(AND($A447&lt;&gt;"",$C447&lt;&gt;"DOOR ONLY"),$W447="CR"),AND(N($BC447)&gt;0,$AH447="CR"))),"exterior in CR steel (G9?), ","")&amp;IF(AND(ISNUMBER($BJ447),N($BJ447)&lt;32),"clear width ~"&amp;TEXT($BJ447,"0.0")&amp;CHAR(34)&amp;" under 32"&amp;CHAR(34)&amp;" (ADA), ","")&amp;IF(AND($BO447=90,AND(OR($BL447="FG",$BL447="HG",$BL447="FNV",$BL447="FV"),N($BM447)*N($BN447)&gt;100)),"90 min lite over 100 sq in (stair/exit), ","")&amp;IF(AND($BO447&gt;0,AND($A447&lt;&gt;"",$C447&lt;&gt;"DOOR ONLY"),OR($AF447="",$AF447="-")),"rated: closer reinf.?, ","")&amp;IF(OR($I447="CORRIDOR",$I447="SMOKE BARRIER"),"S label + smoke gasketing, ","")&amp;IF($BP447="?","wall type/hr not in IBC table, ","")&amp;IF(AND(N($BC447)&gt;0,$AU447=""),"no hardware set, ","")&amp;IF(AND($AU447&lt;&gt;"",ISNA(MATCH($AU447,HWSets,0))),"set "&amp;$AU447&amp;" not on Hardware sheet, ","")&amp;IF(N($BE447)&gt;96,"leaf over 8'-0"&amp;CHAR(34)&amp;" - check listing, ",""))</f>
        <v/>
      </c>
    </row>
    <row r="448" ht="15" customHeight="1">
      <c r="A448" s="44" t="n"/>
      <c r="B448" s="45" t="n"/>
      <c r="C448" s="45" t="n"/>
      <c r="D448" s="45" t="n"/>
      <c r="E448" s="45" t="n"/>
      <c r="F448" s="45" t="n"/>
      <c r="G448" s="45" t="n"/>
      <c r="H448" s="45" t="n"/>
      <c r="I448" s="45" t="n"/>
      <c r="J448" s="45" t="n"/>
      <c r="K448" s="45" t="n"/>
      <c r="L448" s="45" t="n"/>
      <c r="M448" s="45" t="n"/>
      <c r="N448" s="45" t="n"/>
      <c r="O448" s="45" t="n"/>
      <c r="P448" s="45" t="n"/>
      <c r="Q448" s="45" t="n"/>
      <c r="R448" s="45" t="n"/>
      <c r="S448" s="46" t="n"/>
      <c r="T448" s="46" t="n"/>
      <c r="U448" s="46" t="n"/>
      <c r="V448" s="46" t="n"/>
      <c r="W448" s="46" t="n"/>
      <c r="X448" s="46" t="n"/>
      <c r="Y448" s="46" t="n"/>
      <c r="Z448" s="46" t="n"/>
      <c r="AA448" s="46" t="n"/>
      <c r="AB448" s="46" t="n"/>
      <c r="AC448" s="46" t="n"/>
      <c r="AD448" s="46" t="n"/>
      <c r="AE448" s="46" t="n"/>
      <c r="AF448" s="46" t="n"/>
      <c r="AG448" s="46" t="n"/>
      <c r="AH448" s="47" t="n"/>
      <c r="AI448" s="47" t="n"/>
      <c r="AJ448" s="47" t="n"/>
      <c r="AK448" s="47" t="n"/>
      <c r="AL448" s="47" t="n"/>
      <c r="AM448" s="47" t="n"/>
      <c r="AN448" s="47" t="n"/>
      <c r="AO448" s="47" t="n"/>
      <c r="AP448" s="47" t="n"/>
      <c r="AQ448" s="47" t="n"/>
      <c r="AR448" s="47" t="n"/>
      <c r="AS448" s="47" t="n"/>
      <c r="AT448" s="47" t="n"/>
      <c r="AU448" s="48" t="n"/>
      <c r="AV448" s="48" t="n"/>
      <c r="AW448" s="49">
        <f>IF($A448="","",IF($BW448&lt;&gt;"","FIX",IF($BX448&lt;&gt;"","CHECK","OK")))</f>
        <v/>
      </c>
      <c r="AX448" s="50">
        <f>IF($A448="","",IF($BW448&lt;&gt;"","FIX: "&amp;LEFT($BW448,LEN($BW448)-2)&amp;IF($BX448&lt;&gt;"","  ·  ",""),"")&amp;IF($BX448&lt;&gt;"","CHECK: "&amp;LEFT($BX448,LEN($BX448)-2),""))</f>
        <v/>
      </c>
      <c r="AY448" s="49">
        <f>IF(OR($A448="",$K448=""),"",$K448&amp;"'-"&amp;N($L448)&amp;CHAR(34)&amp;" x "&amp;$M448&amp;"'-"&amp;N($N448)&amp;CHAR(34))</f>
        <v/>
      </c>
      <c r="AZ448" s="49">
        <f>IF(OR($A448="",$K448=""),"",$K448&amp;N($L448)&amp;$M448&amp;N($N448))</f>
        <v/>
      </c>
      <c r="BA448" s="49">
        <f>IF(OR($A448="",$K448=""),"",$K448*12+N($L448))</f>
        <v/>
      </c>
      <c r="BB448" s="49">
        <f>IF(OR($A448="",$M448=""),"",$M448*12+N($N448))</f>
        <v/>
      </c>
      <c r="BC448" s="49">
        <f>IF($A448="","",IF(OR($C448="FRAME ONLY",$S448="BL"),0,IF($O448="Y",2,1)))</f>
        <v/>
      </c>
      <c r="BD448" s="51">
        <f>IF(OR(N($BC448)=0,$BA448=""),"",($BA448-2*EdgeClr-IF($BC448=2,MeetClr,0))/$BC448)</f>
        <v/>
      </c>
      <c r="BE448" s="51">
        <f>IF(OR(N($BC448)=0,$BB448=""),"",$BB448-HeadClr-Undercut)</f>
        <v/>
      </c>
      <c r="BF448" s="51">
        <f>IF($BA448="","",$BA448+2*FaceW+IF(N($Q448)&gt;0,($Q448+FaceW)*IF($R448="LR",2,1),0))</f>
        <v/>
      </c>
      <c r="BG448" s="51">
        <f>IF($BB448="","",$BB448+IF($AB448="Y",4,FaceW)+IF(N($P448)&gt;0,$P448+FaceW,0)+IF(OR($S448="4F",$S448="BL"),FaceW,0))</f>
        <v/>
      </c>
      <c r="BH448" s="51">
        <f>IF($BF448="","",$BF448+2*ROSide)</f>
        <v/>
      </c>
      <c r="BI448" s="51">
        <f>IF($BG448="","",$BG448+ROTop)</f>
        <v/>
      </c>
      <c r="BJ448" s="52">
        <f>IF(OR(N($BC448)=0,$BA448=""),"",$BA448/$BC448-ClearDeduct)</f>
        <v/>
      </c>
      <c r="BK448" s="49">
        <f>IF(OR(N($BC448)=0,$BE448=""),"",IF(OR($AC448="HGC",$AP448="HGC"),"CONT",IF($BE448&lt;=60,2,IF($BE448&lt;=90,3,IF($BE448&lt;=120,4,5)))))</f>
        <v/>
      </c>
      <c r="BL448" s="49">
        <f>IF(N($BC448)=0,"",IF(OR($AL448="",$AL448="FLUSH"),"FLUSH",IFERROR(LEFT($AL448,FIND("-",$AL448)-1),LEFT($AL448,2))))</f>
        <v/>
      </c>
      <c r="BM448" s="49">
        <f>IF($BL448="","",IFERROR(VALUE(MID($AL448,FIND("-",$AL448)+1,FIND(CHAR(34)&amp;"x",$AL448)-FIND("-",$AL448)-1)),0))</f>
        <v/>
      </c>
      <c r="BN448" s="49">
        <f>IF($BL448="","",IFERROR(VALUE(MID($AL448,FIND(CHAR(34)&amp;"x",$AL448)+2,FIND(CHAR(34),$AL448,FIND(CHAR(34)&amp;"x",$AL448)+2)-FIND(CHAR(34)&amp;"x",$AL448)-2)),0))</f>
        <v/>
      </c>
      <c r="BO448" s="53">
        <f>IF(OR($A448="",$H448="",$H448="NO LAB"),0,IFERROR(VALUE(LEFT($H448,FIND(" ",$H448)-1)),0))</f>
        <v/>
      </c>
      <c r="BP448" s="54">
        <f>IF(OR($A448="",$I448="",$I448="NON-RATED",N($J448)=0),"",IFERROR(VLOOKUP($I448&amp;"|"&amp;$J448,IBC,2,FALSE),"?"))</f>
        <v/>
      </c>
      <c r="BQ448" s="50">
        <f>IF(NOT(AND($A448&lt;&gt;"",$C448&lt;&gt;"DOOR ONLY")),"",TRIM(IFERROR(VLOOKUP($U448,CODES,2,FALSE),"")&amp;" "&amp;$AZ448&amp;" "&amp;IFERROR(VLOOKUP($Z448,CODES,2,FALSE),"")&amp;" "&amp;IFERROR(VLOOKUP($X448,CODES,2,FALSE),"")&amp;" "&amp;IFERROR(VLOOKUP($S448,CODES,2,FALSE),"")&amp;IF(N($P448)&gt;0," w/TRANSOM "&amp;$P448&amp;CHAR(34),"")&amp;IF(N($Q448)&gt;0," w/SIDELITE "&amp;$Q448&amp;CHAR(34)&amp;" "&amp;IF($R448="","R",$R448),"")&amp;IF($Y448="","  |  "," | "&amp;IFERROR(VLOOKUP($Y448,CODES,2,FALSE),"")&amp;" | ")&amp;IFERROR(VLOOKUP($AC448,CODES,2,FALSE),"")&amp;" "&amp;IFERROR(VLOOKUP($AD448,CODES,2,FALSE),"")&amp;IF(OR($AE448="",$AE448="-"),""," "&amp;$AE448)&amp;IF(OR($AF448="",$AF448="-"),""," "&amp;$AF448)&amp;IF($AB448="Y"," 4"&amp;CHAR(34)&amp;" HEAD","")&amp;" "&amp;IFERROR(VLOOKUP($H448,CODES,2,FALSE),"")))</f>
        <v/>
      </c>
      <c r="BR448" s="50">
        <f>IF(NOT(AND($A448&lt;&gt;"",N($BC448)&gt;0)),"",TRIM(IFERROR(VLOOKUP($AH448,CODES,2,FALSE),"")&amp;IF($AI448=""," "," "&amp;$AI448&amp;"GA ")&amp;$AZ448&amp;" "&amp;IF($AN448="",IFERROR(VLOOKUP($Z448,CODES,2,FALSE),""),IFERROR(VLOOKUP($AN448,CODES,2,FALSE),""))&amp;IF($BC448=2," PAIR","")&amp;" DOOR | "&amp;IF($AL448="","?",$AL448)&amp;" | "&amp;IF($AP448="",IFERROR(VLOOKUP($AC448,CODES,2,FALSE),""),IFERROR(VLOOKUP($AP448,CODES,2,FALSE),""))&amp;" "&amp;IFERROR(VLOOKUP($AQ448,CODES,2,FALSE),"")&amp;IF(OR($AR448="",$AR448="-"),""," SEAM "&amp;$AR448)&amp;IF($AS448="Y"," ASTRAGAL","")&amp;IF($AJ448=""," "," "&amp;$AJ448)&amp;IF($AK448=""," "," "&amp;$AK448)&amp;IF($AO448="",""," "&amp;$AO448)&amp;IF($AM448=""," "," SERIES "&amp;$AM448)&amp;" "&amp;IFERROR(VLOOKUP($H448,CODES,2,FALSE),"")))</f>
        <v/>
      </c>
      <c r="BS448" s="49">
        <f>IF(BV448="","",IF(COUNTIF($BV$6:BV448,BV448)=1,MAX($BS$5:BS447)+1,INDEX($BS$5:BS447,MATCH(BV448,$BV$5:BV447,0))))</f>
        <v/>
      </c>
      <c r="BT448" s="49">
        <f>IF(NOT(AND($A448&lt;&gt;"",$C448&lt;&gt;"DOOR ONLY")),"",MAX($BT$5:BT447)+1)</f>
        <v/>
      </c>
      <c r="BU448" s="49">
        <f>IF(NOT(AND($A448&lt;&gt;"",N($BC448)&gt;0)),"",MAX($BU$5:BU447)+1)</f>
        <v/>
      </c>
      <c r="BV448" s="49">
        <f>IF(OR($A448="",$BA448="",$BB448=""),"",$AZ448&amp;"|"&amp;$O448&amp;"|"&amp;$AL448&amp;"|"&amp;$S448&amp;"|"&amp;$P448&amp;"|"&amp;$Q448&amp;$R448&amp;"|"&amp;$C448&amp;"|"&amp;$AB448)</f>
        <v/>
      </c>
      <c r="BW448" s="49">
        <f>IF($A448="","",IF($B448="","qty, ","")&amp;IF($C448="","scope, ","")&amp;IF(OR($K448="",$M448=""),"size, ","")&amp;IF(AND($A448&lt;&gt;"",$C448&lt;&gt;"DOOR ONLY"),IF($U448="","jamb depth, ","")&amp;IF($X448="","construction, ","")&amp;IF($Y448="","anchor, ","")&amp;IF($S448="","frame type, ",""),"")&amp;IF(AND(N($BC448)&gt;0,$Z448=""),"hand, ","")&amp;IF(N($BC448)&gt;0,IF($AH448="","door material, ","")&amp;IF($AL448="","face type, ","")&amp;IF($AQ448="","lock prep, ","")&amp;IF(AND($AP448="",$AC448=""),"hinge prep, ",""),"")&amp;IF(AND($BO448&gt;0,$AH448="FRP"),"FRP cannot carry a label, ","")&amp;IF(AND($O448="Y",OR($Z448="L",$Z448="R",$Z448="LR",$Z448="RR")),"pair marked but hand is single, ","")&amp;IF(AND($O448&lt;&gt;"Y",OR($Z448="PR",AND(LEN($Z448)&gt;1,ISNUMBER(SEARCH("-",$Z448))))),"pair hand on a single door, ","")&amp;IF(AND(ISNUMBER($BP448),$BO448&lt;N($BP448)),"wall needs a "&amp;$BP448&amp;" min door, ","")&amp;IF(AND($BO448&gt;=180,AND(OR($BL448="FG",$BL448="HG",$BL448="FNV",$BL448="FV"),N($BM448)*N($BN448)&gt;100)),"180 min lite over 100 sq in, ","")&amp;IF(N($BD448)&gt;48,"leaf wider than 4'-0"&amp;CHAR(34)&amp;", ",""))</f>
        <v/>
      </c>
      <c r="BX448" s="49">
        <f>IF($A448="","",IF(AND($BO448&gt;0,AND($A448&lt;&gt;"",$C448&lt;&gt;"DOOR ONLY"),$X448="KD",$E448="EXTERIOR"),"KD label on an exterior opening, ","")&amp;IF(AND($E448="EXTERIOR",OR(AND(AND($A448&lt;&gt;"",$C448&lt;&gt;"DOOR ONLY"),$W448="CR"),AND(N($BC448)&gt;0,$AH448="CR"))),"exterior in CR steel (G9?), ","")&amp;IF(AND(ISNUMBER($BJ448),N($BJ448)&lt;32),"clear width ~"&amp;TEXT($BJ448,"0.0")&amp;CHAR(34)&amp;" under 32"&amp;CHAR(34)&amp;" (ADA), ","")&amp;IF(AND($BO448=90,AND(OR($BL448="FG",$BL448="HG",$BL448="FNV",$BL448="FV"),N($BM448)*N($BN448)&gt;100)),"90 min lite over 100 sq in (stair/exit), ","")&amp;IF(AND($BO448&gt;0,AND($A448&lt;&gt;"",$C448&lt;&gt;"DOOR ONLY"),OR($AF448="",$AF448="-")),"rated: closer reinf.?, ","")&amp;IF(OR($I448="CORRIDOR",$I448="SMOKE BARRIER"),"S label + smoke gasketing, ","")&amp;IF($BP448="?","wall type/hr not in IBC table, ","")&amp;IF(AND(N($BC448)&gt;0,$AU448=""),"no hardware set, ","")&amp;IF(AND($AU448&lt;&gt;"",ISNA(MATCH($AU448,HWSets,0))),"set "&amp;$AU448&amp;" not on Hardware sheet, ","")&amp;IF(N($BE448)&gt;96,"leaf over 8'-0"&amp;CHAR(34)&amp;" - check listing, ",""))</f>
        <v/>
      </c>
    </row>
    <row r="449" ht="15" customHeight="1">
      <c r="A449" s="44" t="n"/>
      <c r="B449" s="45" t="n"/>
      <c r="C449" s="45" t="n"/>
      <c r="D449" s="45" t="n"/>
      <c r="E449" s="45" t="n"/>
      <c r="F449" s="45" t="n"/>
      <c r="G449" s="45" t="n"/>
      <c r="H449" s="45" t="n"/>
      <c r="I449" s="45" t="n"/>
      <c r="J449" s="45" t="n"/>
      <c r="K449" s="45" t="n"/>
      <c r="L449" s="45" t="n"/>
      <c r="M449" s="45" t="n"/>
      <c r="N449" s="45" t="n"/>
      <c r="O449" s="45" t="n"/>
      <c r="P449" s="45" t="n"/>
      <c r="Q449" s="45" t="n"/>
      <c r="R449" s="45" t="n"/>
      <c r="S449" s="46" t="n"/>
      <c r="T449" s="46" t="n"/>
      <c r="U449" s="46" t="n"/>
      <c r="V449" s="46" t="n"/>
      <c r="W449" s="46" t="n"/>
      <c r="X449" s="46" t="n"/>
      <c r="Y449" s="46" t="n"/>
      <c r="Z449" s="46" t="n"/>
      <c r="AA449" s="46" t="n"/>
      <c r="AB449" s="46" t="n"/>
      <c r="AC449" s="46" t="n"/>
      <c r="AD449" s="46" t="n"/>
      <c r="AE449" s="46" t="n"/>
      <c r="AF449" s="46" t="n"/>
      <c r="AG449" s="46" t="n"/>
      <c r="AH449" s="47" t="n"/>
      <c r="AI449" s="47" t="n"/>
      <c r="AJ449" s="47" t="n"/>
      <c r="AK449" s="47" t="n"/>
      <c r="AL449" s="47" t="n"/>
      <c r="AM449" s="47" t="n"/>
      <c r="AN449" s="47" t="n"/>
      <c r="AO449" s="47" t="n"/>
      <c r="AP449" s="47" t="n"/>
      <c r="AQ449" s="47" t="n"/>
      <c r="AR449" s="47" t="n"/>
      <c r="AS449" s="47" t="n"/>
      <c r="AT449" s="47" t="n"/>
      <c r="AU449" s="48" t="n"/>
      <c r="AV449" s="48" t="n"/>
      <c r="AW449" s="49">
        <f>IF($A449="","",IF($BW449&lt;&gt;"","FIX",IF($BX449&lt;&gt;"","CHECK","OK")))</f>
        <v/>
      </c>
      <c r="AX449" s="50">
        <f>IF($A449="","",IF($BW449&lt;&gt;"","FIX: "&amp;LEFT($BW449,LEN($BW449)-2)&amp;IF($BX449&lt;&gt;"","  ·  ",""),"")&amp;IF($BX449&lt;&gt;"","CHECK: "&amp;LEFT($BX449,LEN($BX449)-2),""))</f>
        <v/>
      </c>
      <c r="AY449" s="49">
        <f>IF(OR($A449="",$K449=""),"",$K449&amp;"'-"&amp;N($L449)&amp;CHAR(34)&amp;" x "&amp;$M449&amp;"'-"&amp;N($N449)&amp;CHAR(34))</f>
        <v/>
      </c>
      <c r="AZ449" s="49">
        <f>IF(OR($A449="",$K449=""),"",$K449&amp;N($L449)&amp;$M449&amp;N($N449))</f>
        <v/>
      </c>
      <c r="BA449" s="49">
        <f>IF(OR($A449="",$K449=""),"",$K449*12+N($L449))</f>
        <v/>
      </c>
      <c r="BB449" s="49">
        <f>IF(OR($A449="",$M449=""),"",$M449*12+N($N449))</f>
        <v/>
      </c>
      <c r="BC449" s="49">
        <f>IF($A449="","",IF(OR($C449="FRAME ONLY",$S449="BL"),0,IF($O449="Y",2,1)))</f>
        <v/>
      </c>
      <c r="BD449" s="51">
        <f>IF(OR(N($BC449)=0,$BA449=""),"",($BA449-2*EdgeClr-IF($BC449=2,MeetClr,0))/$BC449)</f>
        <v/>
      </c>
      <c r="BE449" s="51">
        <f>IF(OR(N($BC449)=0,$BB449=""),"",$BB449-HeadClr-Undercut)</f>
        <v/>
      </c>
      <c r="BF449" s="51">
        <f>IF($BA449="","",$BA449+2*FaceW+IF(N($Q449)&gt;0,($Q449+FaceW)*IF($R449="LR",2,1),0))</f>
        <v/>
      </c>
      <c r="BG449" s="51">
        <f>IF($BB449="","",$BB449+IF($AB449="Y",4,FaceW)+IF(N($P449)&gt;0,$P449+FaceW,0)+IF(OR($S449="4F",$S449="BL"),FaceW,0))</f>
        <v/>
      </c>
      <c r="BH449" s="51">
        <f>IF($BF449="","",$BF449+2*ROSide)</f>
        <v/>
      </c>
      <c r="BI449" s="51">
        <f>IF($BG449="","",$BG449+ROTop)</f>
        <v/>
      </c>
      <c r="BJ449" s="52">
        <f>IF(OR(N($BC449)=0,$BA449=""),"",$BA449/$BC449-ClearDeduct)</f>
        <v/>
      </c>
      <c r="BK449" s="49">
        <f>IF(OR(N($BC449)=0,$BE449=""),"",IF(OR($AC449="HGC",$AP449="HGC"),"CONT",IF($BE449&lt;=60,2,IF($BE449&lt;=90,3,IF($BE449&lt;=120,4,5)))))</f>
        <v/>
      </c>
      <c r="BL449" s="49">
        <f>IF(N($BC449)=0,"",IF(OR($AL449="",$AL449="FLUSH"),"FLUSH",IFERROR(LEFT($AL449,FIND("-",$AL449)-1),LEFT($AL449,2))))</f>
        <v/>
      </c>
      <c r="BM449" s="49">
        <f>IF($BL449="","",IFERROR(VALUE(MID($AL449,FIND("-",$AL449)+1,FIND(CHAR(34)&amp;"x",$AL449)-FIND("-",$AL449)-1)),0))</f>
        <v/>
      </c>
      <c r="BN449" s="49">
        <f>IF($BL449="","",IFERROR(VALUE(MID($AL449,FIND(CHAR(34)&amp;"x",$AL449)+2,FIND(CHAR(34),$AL449,FIND(CHAR(34)&amp;"x",$AL449)+2)-FIND(CHAR(34)&amp;"x",$AL449)-2)),0))</f>
        <v/>
      </c>
      <c r="BO449" s="53">
        <f>IF(OR($A449="",$H449="",$H449="NO LAB"),0,IFERROR(VALUE(LEFT($H449,FIND(" ",$H449)-1)),0))</f>
        <v/>
      </c>
      <c r="BP449" s="54">
        <f>IF(OR($A449="",$I449="",$I449="NON-RATED",N($J449)=0),"",IFERROR(VLOOKUP($I449&amp;"|"&amp;$J449,IBC,2,FALSE),"?"))</f>
        <v/>
      </c>
      <c r="BQ449" s="50">
        <f>IF(NOT(AND($A449&lt;&gt;"",$C449&lt;&gt;"DOOR ONLY")),"",TRIM(IFERROR(VLOOKUP($U449,CODES,2,FALSE),"")&amp;" "&amp;$AZ449&amp;" "&amp;IFERROR(VLOOKUP($Z449,CODES,2,FALSE),"")&amp;" "&amp;IFERROR(VLOOKUP($X449,CODES,2,FALSE),"")&amp;" "&amp;IFERROR(VLOOKUP($S449,CODES,2,FALSE),"")&amp;IF(N($P449)&gt;0," w/TRANSOM "&amp;$P449&amp;CHAR(34),"")&amp;IF(N($Q449)&gt;0," w/SIDELITE "&amp;$Q449&amp;CHAR(34)&amp;" "&amp;IF($R449="","R",$R449),"")&amp;IF($Y449="","  |  "," | "&amp;IFERROR(VLOOKUP($Y449,CODES,2,FALSE),"")&amp;" | ")&amp;IFERROR(VLOOKUP($AC449,CODES,2,FALSE),"")&amp;" "&amp;IFERROR(VLOOKUP($AD449,CODES,2,FALSE),"")&amp;IF(OR($AE449="",$AE449="-"),""," "&amp;$AE449)&amp;IF(OR($AF449="",$AF449="-"),""," "&amp;$AF449)&amp;IF($AB449="Y"," 4"&amp;CHAR(34)&amp;" HEAD","")&amp;" "&amp;IFERROR(VLOOKUP($H449,CODES,2,FALSE),"")))</f>
        <v/>
      </c>
      <c r="BR449" s="50">
        <f>IF(NOT(AND($A449&lt;&gt;"",N($BC449)&gt;0)),"",TRIM(IFERROR(VLOOKUP($AH449,CODES,2,FALSE),"")&amp;IF($AI449=""," "," "&amp;$AI449&amp;"GA ")&amp;$AZ449&amp;" "&amp;IF($AN449="",IFERROR(VLOOKUP($Z449,CODES,2,FALSE),""),IFERROR(VLOOKUP($AN449,CODES,2,FALSE),""))&amp;IF($BC449=2," PAIR","")&amp;" DOOR | "&amp;IF($AL449="","?",$AL449)&amp;" | "&amp;IF($AP449="",IFERROR(VLOOKUP($AC449,CODES,2,FALSE),""),IFERROR(VLOOKUP($AP449,CODES,2,FALSE),""))&amp;" "&amp;IFERROR(VLOOKUP($AQ449,CODES,2,FALSE),"")&amp;IF(OR($AR449="",$AR449="-"),""," SEAM "&amp;$AR449)&amp;IF($AS449="Y"," ASTRAGAL","")&amp;IF($AJ449=""," "," "&amp;$AJ449)&amp;IF($AK449=""," "," "&amp;$AK449)&amp;IF($AO449="",""," "&amp;$AO449)&amp;IF($AM449=""," "," SERIES "&amp;$AM449)&amp;" "&amp;IFERROR(VLOOKUP($H449,CODES,2,FALSE),"")))</f>
        <v/>
      </c>
      <c r="BS449" s="49">
        <f>IF(BV449="","",IF(COUNTIF($BV$6:BV449,BV449)=1,MAX($BS$5:BS448)+1,INDEX($BS$5:BS448,MATCH(BV449,$BV$5:BV448,0))))</f>
        <v/>
      </c>
      <c r="BT449" s="49">
        <f>IF(NOT(AND($A449&lt;&gt;"",$C449&lt;&gt;"DOOR ONLY")),"",MAX($BT$5:BT448)+1)</f>
        <v/>
      </c>
      <c r="BU449" s="49">
        <f>IF(NOT(AND($A449&lt;&gt;"",N($BC449)&gt;0)),"",MAX($BU$5:BU448)+1)</f>
        <v/>
      </c>
      <c r="BV449" s="49">
        <f>IF(OR($A449="",$BA449="",$BB449=""),"",$AZ449&amp;"|"&amp;$O449&amp;"|"&amp;$AL449&amp;"|"&amp;$S449&amp;"|"&amp;$P449&amp;"|"&amp;$Q449&amp;$R449&amp;"|"&amp;$C449&amp;"|"&amp;$AB449)</f>
        <v/>
      </c>
      <c r="BW449" s="49">
        <f>IF($A449="","",IF($B449="","qty, ","")&amp;IF($C449="","scope, ","")&amp;IF(OR($K449="",$M449=""),"size, ","")&amp;IF(AND($A449&lt;&gt;"",$C449&lt;&gt;"DOOR ONLY"),IF($U449="","jamb depth, ","")&amp;IF($X449="","construction, ","")&amp;IF($Y449="","anchor, ","")&amp;IF($S449="","frame type, ",""),"")&amp;IF(AND(N($BC449)&gt;0,$Z449=""),"hand, ","")&amp;IF(N($BC449)&gt;0,IF($AH449="","door material, ","")&amp;IF($AL449="","face type, ","")&amp;IF($AQ449="","lock prep, ","")&amp;IF(AND($AP449="",$AC449=""),"hinge prep, ",""),"")&amp;IF(AND($BO449&gt;0,$AH449="FRP"),"FRP cannot carry a label, ","")&amp;IF(AND($O449="Y",OR($Z449="L",$Z449="R",$Z449="LR",$Z449="RR")),"pair marked but hand is single, ","")&amp;IF(AND($O449&lt;&gt;"Y",OR($Z449="PR",AND(LEN($Z449)&gt;1,ISNUMBER(SEARCH("-",$Z449))))),"pair hand on a single door, ","")&amp;IF(AND(ISNUMBER($BP449),$BO449&lt;N($BP449)),"wall needs a "&amp;$BP449&amp;" min door, ","")&amp;IF(AND($BO449&gt;=180,AND(OR($BL449="FG",$BL449="HG",$BL449="FNV",$BL449="FV"),N($BM449)*N($BN449)&gt;100)),"180 min lite over 100 sq in, ","")&amp;IF(N($BD449)&gt;48,"leaf wider than 4'-0"&amp;CHAR(34)&amp;", ",""))</f>
        <v/>
      </c>
      <c r="BX449" s="49">
        <f>IF($A449="","",IF(AND($BO449&gt;0,AND($A449&lt;&gt;"",$C449&lt;&gt;"DOOR ONLY"),$X449="KD",$E449="EXTERIOR"),"KD label on an exterior opening, ","")&amp;IF(AND($E449="EXTERIOR",OR(AND(AND($A449&lt;&gt;"",$C449&lt;&gt;"DOOR ONLY"),$W449="CR"),AND(N($BC449)&gt;0,$AH449="CR"))),"exterior in CR steel (G9?), ","")&amp;IF(AND(ISNUMBER($BJ449),N($BJ449)&lt;32),"clear width ~"&amp;TEXT($BJ449,"0.0")&amp;CHAR(34)&amp;" under 32"&amp;CHAR(34)&amp;" (ADA), ","")&amp;IF(AND($BO449=90,AND(OR($BL449="FG",$BL449="HG",$BL449="FNV",$BL449="FV"),N($BM449)*N($BN449)&gt;100)),"90 min lite over 100 sq in (stair/exit), ","")&amp;IF(AND($BO449&gt;0,AND($A449&lt;&gt;"",$C449&lt;&gt;"DOOR ONLY"),OR($AF449="",$AF449="-")),"rated: closer reinf.?, ","")&amp;IF(OR($I449="CORRIDOR",$I449="SMOKE BARRIER"),"S label + smoke gasketing, ","")&amp;IF($BP449="?","wall type/hr not in IBC table, ","")&amp;IF(AND(N($BC449)&gt;0,$AU449=""),"no hardware set, ","")&amp;IF(AND($AU449&lt;&gt;"",ISNA(MATCH($AU449,HWSets,0))),"set "&amp;$AU449&amp;" not on Hardware sheet, ","")&amp;IF(N($BE449)&gt;96,"leaf over 8'-0"&amp;CHAR(34)&amp;" - check listing, ",""))</f>
        <v/>
      </c>
    </row>
    <row r="450" ht="15" customHeight="1">
      <c r="A450" s="44" t="n"/>
      <c r="B450" s="45" t="n"/>
      <c r="C450" s="45" t="n"/>
      <c r="D450" s="45" t="n"/>
      <c r="E450" s="45" t="n"/>
      <c r="F450" s="45" t="n"/>
      <c r="G450" s="45" t="n"/>
      <c r="H450" s="45" t="n"/>
      <c r="I450" s="45" t="n"/>
      <c r="J450" s="45" t="n"/>
      <c r="K450" s="45" t="n"/>
      <c r="L450" s="45" t="n"/>
      <c r="M450" s="45" t="n"/>
      <c r="N450" s="45" t="n"/>
      <c r="O450" s="45" t="n"/>
      <c r="P450" s="45" t="n"/>
      <c r="Q450" s="45" t="n"/>
      <c r="R450" s="45" t="n"/>
      <c r="S450" s="46" t="n"/>
      <c r="T450" s="46" t="n"/>
      <c r="U450" s="46" t="n"/>
      <c r="V450" s="46" t="n"/>
      <c r="W450" s="46" t="n"/>
      <c r="X450" s="46" t="n"/>
      <c r="Y450" s="46" t="n"/>
      <c r="Z450" s="46" t="n"/>
      <c r="AA450" s="46" t="n"/>
      <c r="AB450" s="46" t="n"/>
      <c r="AC450" s="46" t="n"/>
      <c r="AD450" s="46" t="n"/>
      <c r="AE450" s="46" t="n"/>
      <c r="AF450" s="46" t="n"/>
      <c r="AG450" s="46" t="n"/>
      <c r="AH450" s="47" t="n"/>
      <c r="AI450" s="47" t="n"/>
      <c r="AJ450" s="47" t="n"/>
      <c r="AK450" s="47" t="n"/>
      <c r="AL450" s="47" t="n"/>
      <c r="AM450" s="47" t="n"/>
      <c r="AN450" s="47" t="n"/>
      <c r="AO450" s="47" t="n"/>
      <c r="AP450" s="47" t="n"/>
      <c r="AQ450" s="47" t="n"/>
      <c r="AR450" s="47" t="n"/>
      <c r="AS450" s="47" t="n"/>
      <c r="AT450" s="47" t="n"/>
      <c r="AU450" s="48" t="n"/>
      <c r="AV450" s="48" t="n"/>
      <c r="AW450" s="49">
        <f>IF($A450="","",IF($BW450&lt;&gt;"","FIX",IF($BX450&lt;&gt;"","CHECK","OK")))</f>
        <v/>
      </c>
      <c r="AX450" s="50">
        <f>IF($A450="","",IF($BW450&lt;&gt;"","FIX: "&amp;LEFT($BW450,LEN($BW450)-2)&amp;IF($BX450&lt;&gt;"","  ·  ",""),"")&amp;IF($BX450&lt;&gt;"","CHECK: "&amp;LEFT($BX450,LEN($BX450)-2),""))</f>
        <v/>
      </c>
      <c r="AY450" s="49">
        <f>IF(OR($A450="",$K450=""),"",$K450&amp;"'-"&amp;N($L450)&amp;CHAR(34)&amp;" x "&amp;$M450&amp;"'-"&amp;N($N450)&amp;CHAR(34))</f>
        <v/>
      </c>
      <c r="AZ450" s="49">
        <f>IF(OR($A450="",$K450=""),"",$K450&amp;N($L450)&amp;$M450&amp;N($N450))</f>
        <v/>
      </c>
      <c r="BA450" s="49">
        <f>IF(OR($A450="",$K450=""),"",$K450*12+N($L450))</f>
        <v/>
      </c>
      <c r="BB450" s="49">
        <f>IF(OR($A450="",$M450=""),"",$M450*12+N($N450))</f>
        <v/>
      </c>
      <c r="BC450" s="49">
        <f>IF($A450="","",IF(OR($C450="FRAME ONLY",$S450="BL"),0,IF($O450="Y",2,1)))</f>
        <v/>
      </c>
      <c r="BD450" s="51">
        <f>IF(OR(N($BC450)=0,$BA450=""),"",($BA450-2*EdgeClr-IF($BC450=2,MeetClr,0))/$BC450)</f>
        <v/>
      </c>
      <c r="BE450" s="51">
        <f>IF(OR(N($BC450)=0,$BB450=""),"",$BB450-HeadClr-Undercut)</f>
        <v/>
      </c>
      <c r="BF450" s="51">
        <f>IF($BA450="","",$BA450+2*FaceW+IF(N($Q450)&gt;0,($Q450+FaceW)*IF($R450="LR",2,1),0))</f>
        <v/>
      </c>
      <c r="BG450" s="51">
        <f>IF($BB450="","",$BB450+IF($AB450="Y",4,FaceW)+IF(N($P450)&gt;0,$P450+FaceW,0)+IF(OR($S450="4F",$S450="BL"),FaceW,0))</f>
        <v/>
      </c>
      <c r="BH450" s="51">
        <f>IF($BF450="","",$BF450+2*ROSide)</f>
        <v/>
      </c>
      <c r="BI450" s="51">
        <f>IF($BG450="","",$BG450+ROTop)</f>
        <v/>
      </c>
      <c r="BJ450" s="52">
        <f>IF(OR(N($BC450)=0,$BA450=""),"",$BA450/$BC450-ClearDeduct)</f>
        <v/>
      </c>
      <c r="BK450" s="49">
        <f>IF(OR(N($BC450)=0,$BE450=""),"",IF(OR($AC450="HGC",$AP450="HGC"),"CONT",IF($BE450&lt;=60,2,IF($BE450&lt;=90,3,IF($BE450&lt;=120,4,5)))))</f>
        <v/>
      </c>
      <c r="BL450" s="49">
        <f>IF(N($BC450)=0,"",IF(OR($AL450="",$AL450="FLUSH"),"FLUSH",IFERROR(LEFT($AL450,FIND("-",$AL450)-1),LEFT($AL450,2))))</f>
        <v/>
      </c>
      <c r="BM450" s="49">
        <f>IF($BL450="","",IFERROR(VALUE(MID($AL450,FIND("-",$AL450)+1,FIND(CHAR(34)&amp;"x",$AL450)-FIND("-",$AL450)-1)),0))</f>
        <v/>
      </c>
      <c r="BN450" s="49">
        <f>IF($BL450="","",IFERROR(VALUE(MID($AL450,FIND(CHAR(34)&amp;"x",$AL450)+2,FIND(CHAR(34),$AL450,FIND(CHAR(34)&amp;"x",$AL450)+2)-FIND(CHAR(34)&amp;"x",$AL450)-2)),0))</f>
        <v/>
      </c>
      <c r="BO450" s="53">
        <f>IF(OR($A450="",$H450="",$H450="NO LAB"),0,IFERROR(VALUE(LEFT($H450,FIND(" ",$H450)-1)),0))</f>
        <v/>
      </c>
      <c r="BP450" s="54">
        <f>IF(OR($A450="",$I450="",$I450="NON-RATED",N($J450)=0),"",IFERROR(VLOOKUP($I450&amp;"|"&amp;$J450,IBC,2,FALSE),"?"))</f>
        <v/>
      </c>
      <c r="BQ450" s="50">
        <f>IF(NOT(AND($A450&lt;&gt;"",$C450&lt;&gt;"DOOR ONLY")),"",TRIM(IFERROR(VLOOKUP($U450,CODES,2,FALSE),"")&amp;" "&amp;$AZ450&amp;" "&amp;IFERROR(VLOOKUP($Z450,CODES,2,FALSE),"")&amp;" "&amp;IFERROR(VLOOKUP($X450,CODES,2,FALSE),"")&amp;" "&amp;IFERROR(VLOOKUP($S450,CODES,2,FALSE),"")&amp;IF(N($P450)&gt;0," w/TRANSOM "&amp;$P450&amp;CHAR(34),"")&amp;IF(N($Q450)&gt;0," w/SIDELITE "&amp;$Q450&amp;CHAR(34)&amp;" "&amp;IF($R450="","R",$R450),"")&amp;IF($Y450="","  |  "," | "&amp;IFERROR(VLOOKUP($Y450,CODES,2,FALSE),"")&amp;" | ")&amp;IFERROR(VLOOKUP($AC450,CODES,2,FALSE),"")&amp;" "&amp;IFERROR(VLOOKUP($AD450,CODES,2,FALSE),"")&amp;IF(OR($AE450="",$AE450="-"),""," "&amp;$AE450)&amp;IF(OR($AF450="",$AF450="-"),""," "&amp;$AF450)&amp;IF($AB450="Y"," 4"&amp;CHAR(34)&amp;" HEAD","")&amp;" "&amp;IFERROR(VLOOKUP($H450,CODES,2,FALSE),"")))</f>
        <v/>
      </c>
      <c r="BR450" s="50">
        <f>IF(NOT(AND($A450&lt;&gt;"",N($BC450)&gt;0)),"",TRIM(IFERROR(VLOOKUP($AH450,CODES,2,FALSE),"")&amp;IF($AI450=""," "," "&amp;$AI450&amp;"GA ")&amp;$AZ450&amp;" "&amp;IF($AN450="",IFERROR(VLOOKUP($Z450,CODES,2,FALSE),""),IFERROR(VLOOKUP($AN450,CODES,2,FALSE),""))&amp;IF($BC450=2," PAIR","")&amp;" DOOR | "&amp;IF($AL450="","?",$AL450)&amp;" | "&amp;IF($AP450="",IFERROR(VLOOKUP($AC450,CODES,2,FALSE),""),IFERROR(VLOOKUP($AP450,CODES,2,FALSE),""))&amp;" "&amp;IFERROR(VLOOKUP($AQ450,CODES,2,FALSE),"")&amp;IF(OR($AR450="",$AR450="-"),""," SEAM "&amp;$AR450)&amp;IF($AS450="Y"," ASTRAGAL","")&amp;IF($AJ450=""," "," "&amp;$AJ450)&amp;IF($AK450=""," "," "&amp;$AK450)&amp;IF($AO450="",""," "&amp;$AO450)&amp;IF($AM450=""," "," SERIES "&amp;$AM450)&amp;" "&amp;IFERROR(VLOOKUP($H450,CODES,2,FALSE),"")))</f>
        <v/>
      </c>
      <c r="BS450" s="49">
        <f>IF(BV450="","",IF(COUNTIF($BV$6:BV450,BV450)=1,MAX($BS$5:BS449)+1,INDEX($BS$5:BS449,MATCH(BV450,$BV$5:BV449,0))))</f>
        <v/>
      </c>
      <c r="BT450" s="49">
        <f>IF(NOT(AND($A450&lt;&gt;"",$C450&lt;&gt;"DOOR ONLY")),"",MAX($BT$5:BT449)+1)</f>
        <v/>
      </c>
      <c r="BU450" s="49">
        <f>IF(NOT(AND($A450&lt;&gt;"",N($BC450)&gt;0)),"",MAX($BU$5:BU449)+1)</f>
        <v/>
      </c>
      <c r="BV450" s="49">
        <f>IF(OR($A450="",$BA450="",$BB450=""),"",$AZ450&amp;"|"&amp;$O450&amp;"|"&amp;$AL450&amp;"|"&amp;$S450&amp;"|"&amp;$P450&amp;"|"&amp;$Q450&amp;$R450&amp;"|"&amp;$C450&amp;"|"&amp;$AB450)</f>
        <v/>
      </c>
      <c r="BW450" s="49">
        <f>IF($A450="","",IF($B450="","qty, ","")&amp;IF($C450="","scope, ","")&amp;IF(OR($K450="",$M450=""),"size, ","")&amp;IF(AND($A450&lt;&gt;"",$C450&lt;&gt;"DOOR ONLY"),IF($U450="","jamb depth, ","")&amp;IF($X450="","construction, ","")&amp;IF($Y450="","anchor, ","")&amp;IF($S450="","frame type, ",""),"")&amp;IF(AND(N($BC450)&gt;0,$Z450=""),"hand, ","")&amp;IF(N($BC450)&gt;0,IF($AH450="","door material, ","")&amp;IF($AL450="","face type, ","")&amp;IF($AQ450="","lock prep, ","")&amp;IF(AND($AP450="",$AC450=""),"hinge prep, ",""),"")&amp;IF(AND($BO450&gt;0,$AH450="FRP"),"FRP cannot carry a label, ","")&amp;IF(AND($O450="Y",OR($Z450="L",$Z450="R",$Z450="LR",$Z450="RR")),"pair marked but hand is single, ","")&amp;IF(AND($O450&lt;&gt;"Y",OR($Z450="PR",AND(LEN($Z450)&gt;1,ISNUMBER(SEARCH("-",$Z450))))),"pair hand on a single door, ","")&amp;IF(AND(ISNUMBER($BP450),$BO450&lt;N($BP450)),"wall needs a "&amp;$BP450&amp;" min door, ","")&amp;IF(AND($BO450&gt;=180,AND(OR($BL450="FG",$BL450="HG",$BL450="FNV",$BL450="FV"),N($BM450)*N($BN450)&gt;100)),"180 min lite over 100 sq in, ","")&amp;IF(N($BD450)&gt;48,"leaf wider than 4'-0"&amp;CHAR(34)&amp;", ",""))</f>
        <v/>
      </c>
      <c r="BX450" s="49">
        <f>IF($A450="","",IF(AND($BO450&gt;0,AND($A450&lt;&gt;"",$C450&lt;&gt;"DOOR ONLY"),$X450="KD",$E450="EXTERIOR"),"KD label on an exterior opening, ","")&amp;IF(AND($E450="EXTERIOR",OR(AND(AND($A450&lt;&gt;"",$C450&lt;&gt;"DOOR ONLY"),$W450="CR"),AND(N($BC450)&gt;0,$AH450="CR"))),"exterior in CR steel (G9?), ","")&amp;IF(AND(ISNUMBER($BJ450),N($BJ450)&lt;32),"clear width ~"&amp;TEXT($BJ450,"0.0")&amp;CHAR(34)&amp;" under 32"&amp;CHAR(34)&amp;" (ADA), ","")&amp;IF(AND($BO450=90,AND(OR($BL450="FG",$BL450="HG",$BL450="FNV",$BL450="FV"),N($BM450)*N($BN450)&gt;100)),"90 min lite over 100 sq in (stair/exit), ","")&amp;IF(AND($BO450&gt;0,AND($A450&lt;&gt;"",$C450&lt;&gt;"DOOR ONLY"),OR($AF450="",$AF450="-")),"rated: closer reinf.?, ","")&amp;IF(OR($I450="CORRIDOR",$I450="SMOKE BARRIER"),"S label + smoke gasketing, ","")&amp;IF($BP450="?","wall type/hr not in IBC table, ","")&amp;IF(AND(N($BC450)&gt;0,$AU450=""),"no hardware set, ","")&amp;IF(AND($AU450&lt;&gt;"",ISNA(MATCH($AU450,HWSets,0))),"set "&amp;$AU450&amp;" not on Hardware sheet, ","")&amp;IF(N($BE450)&gt;96,"leaf over 8'-0"&amp;CHAR(34)&amp;" - check listing, ",""))</f>
        <v/>
      </c>
    </row>
    <row r="451" ht="15" customHeight="1">
      <c r="A451" s="44" t="n"/>
      <c r="B451" s="45" t="n"/>
      <c r="C451" s="45" t="n"/>
      <c r="D451" s="45" t="n"/>
      <c r="E451" s="45" t="n"/>
      <c r="F451" s="45" t="n"/>
      <c r="G451" s="45" t="n"/>
      <c r="H451" s="45" t="n"/>
      <c r="I451" s="45" t="n"/>
      <c r="J451" s="45" t="n"/>
      <c r="K451" s="45" t="n"/>
      <c r="L451" s="45" t="n"/>
      <c r="M451" s="45" t="n"/>
      <c r="N451" s="45" t="n"/>
      <c r="O451" s="45" t="n"/>
      <c r="P451" s="45" t="n"/>
      <c r="Q451" s="45" t="n"/>
      <c r="R451" s="45" t="n"/>
      <c r="S451" s="46" t="n"/>
      <c r="T451" s="46" t="n"/>
      <c r="U451" s="46" t="n"/>
      <c r="V451" s="46" t="n"/>
      <c r="W451" s="46" t="n"/>
      <c r="X451" s="46" t="n"/>
      <c r="Y451" s="46" t="n"/>
      <c r="Z451" s="46" t="n"/>
      <c r="AA451" s="46" t="n"/>
      <c r="AB451" s="46" t="n"/>
      <c r="AC451" s="46" t="n"/>
      <c r="AD451" s="46" t="n"/>
      <c r="AE451" s="46" t="n"/>
      <c r="AF451" s="46" t="n"/>
      <c r="AG451" s="46" t="n"/>
      <c r="AH451" s="47" t="n"/>
      <c r="AI451" s="47" t="n"/>
      <c r="AJ451" s="47" t="n"/>
      <c r="AK451" s="47" t="n"/>
      <c r="AL451" s="47" t="n"/>
      <c r="AM451" s="47" t="n"/>
      <c r="AN451" s="47" t="n"/>
      <c r="AO451" s="47" t="n"/>
      <c r="AP451" s="47" t="n"/>
      <c r="AQ451" s="47" t="n"/>
      <c r="AR451" s="47" t="n"/>
      <c r="AS451" s="47" t="n"/>
      <c r="AT451" s="47" t="n"/>
      <c r="AU451" s="48" t="n"/>
      <c r="AV451" s="48" t="n"/>
      <c r="AW451" s="49">
        <f>IF($A451="","",IF($BW451&lt;&gt;"","FIX",IF($BX451&lt;&gt;"","CHECK","OK")))</f>
        <v/>
      </c>
      <c r="AX451" s="50">
        <f>IF($A451="","",IF($BW451&lt;&gt;"","FIX: "&amp;LEFT($BW451,LEN($BW451)-2)&amp;IF($BX451&lt;&gt;"","  ·  ",""),"")&amp;IF($BX451&lt;&gt;"","CHECK: "&amp;LEFT($BX451,LEN($BX451)-2),""))</f>
        <v/>
      </c>
      <c r="AY451" s="49">
        <f>IF(OR($A451="",$K451=""),"",$K451&amp;"'-"&amp;N($L451)&amp;CHAR(34)&amp;" x "&amp;$M451&amp;"'-"&amp;N($N451)&amp;CHAR(34))</f>
        <v/>
      </c>
      <c r="AZ451" s="49">
        <f>IF(OR($A451="",$K451=""),"",$K451&amp;N($L451)&amp;$M451&amp;N($N451))</f>
        <v/>
      </c>
      <c r="BA451" s="49">
        <f>IF(OR($A451="",$K451=""),"",$K451*12+N($L451))</f>
        <v/>
      </c>
      <c r="BB451" s="49">
        <f>IF(OR($A451="",$M451=""),"",$M451*12+N($N451))</f>
        <v/>
      </c>
      <c r="BC451" s="49">
        <f>IF($A451="","",IF(OR($C451="FRAME ONLY",$S451="BL"),0,IF($O451="Y",2,1)))</f>
        <v/>
      </c>
      <c r="BD451" s="51">
        <f>IF(OR(N($BC451)=0,$BA451=""),"",($BA451-2*EdgeClr-IF($BC451=2,MeetClr,0))/$BC451)</f>
        <v/>
      </c>
      <c r="BE451" s="51">
        <f>IF(OR(N($BC451)=0,$BB451=""),"",$BB451-HeadClr-Undercut)</f>
        <v/>
      </c>
      <c r="BF451" s="51">
        <f>IF($BA451="","",$BA451+2*FaceW+IF(N($Q451)&gt;0,($Q451+FaceW)*IF($R451="LR",2,1),0))</f>
        <v/>
      </c>
      <c r="BG451" s="51">
        <f>IF($BB451="","",$BB451+IF($AB451="Y",4,FaceW)+IF(N($P451)&gt;0,$P451+FaceW,0)+IF(OR($S451="4F",$S451="BL"),FaceW,0))</f>
        <v/>
      </c>
      <c r="BH451" s="51">
        <f>IF($BF451="","",$BF451+2*ROSide)</f>
        <v/>
      </c>
      <c r="BI451" s="51">
        <f>IF($BG451="","",$BG451+ROTop)</f>
        <v/>
      </c>
      <c r="BJ451" s="52">
        <f>IF(OR(N($BC451)=0,$BA451=""),"",$BA451/$BC451-ClearDeduct)</f>
        <v/>
      </c>
      <c r="BK451" s="49">
        <f>IF(OR(N($BC451)=0,$BE451=""),"",IF(OR($AC451="HGC",$AP451="HGC"),"CONT",IF($BE451&lt;=60,2,IF($BE451&lt;=90,3,IF($BE451&lt;=120,4,5)))))</f>
        <v/>
      </c>
      <c r="BL451" s="49">
        <f>IF(N($BC451)=0,"",IF(OR($AL451="",$AL451="FLUSH"),"FLUSH",IFERROR(LEFT($AL451,FIND("-",$AL451)-1),LEFT($AL451,2))))</f>
        <v/>
      </c>
      <c r="BM451" s="49">
        <f>IF($BL451="","",IFERROR(VALUE(MID($AL451,FIND("-",$AL451)+1,FIND(CHAR(34)&amp;"x",$AL451)-FIND("-",$AL451)-1)),0))</f>
        <v/>
      </c>
      <c r="BN451" s="49">
        <f>IF($BL451="","",IFERROR(VALUE(MID($AL451,FIND(CHAR(34)&amp;"x",$AL451)+2,FIND(CHAR(34),$AL451,FIND(CHAR(34)&amp;"x",$AL451)+2)-FIND(CHAR(34)&amp;"x",$AL451)-2)),0))</f>
        <v/>
      </c>
      <c r="BO451" s="53">
        <f>IF(OR($A451="",$H451="",$H451="NO LAB"),0,IFERROR(VALUE(LEFT($H451,FIND(" ",$H451)-1)),0))</f>
        <v/>
      </c>
      <c r="BP451" s="54">
        <f>IF(OR($A451="",$I451="",$I451="NON-RATED",N($J451)=0),"",IFERROR(VLOOKUP($I451&amp;"|"&amp;$J451,IBC,2,FALSE),"?"))</f>
        <v/>
      </c>
      <c r="BQ451" s="50">
        <f>IF(NOT(AND($A451&lt;&gt;"",$C451&lt;&gt;"DOOR ONLY")),"",TRIM(IFERROR(VLOOKUP($U451,CODES,2,FALSE),"")&amp;" "&amp;$AZ451&amp;" "&amp;IFERROR(VLOOKUP($Z451,CODES,2,FALSE),"")&amp;" "&amp;IFERROR(VLOOKUP($X451,CODES,2,FALSE),"")&amp;" "&amp;IFERROR(VLOOKUP($S451,CODES,2,FALSE),"")&amp;IF(N($P451)&gt;0," w/TRANSOM "&amp;$P451&amp;CHAR(34),"")&amp;IF(N($Q451)&gt;0," w/SIDELITE "&amp;$Q451&amp;CHAR(34)&amp;" "&amp;IF($R451="","R",$R451),"")&amp;IF($Y451="","  |  "," | "&amp;IFERROR(VLOOKUP($Y451,CODES,2,FALSE),"")&amp;" | ")&amp;IFERROR(VLOOKUP($AC451,CODES,2,FALSE),"")&amp;" "&amp;IFERROR(VLOOKUP($AD451,CODES,2,FALSE),"")&amp;IF(OR($AE451="",$AE451="-"),""," "&amp;$AE451)&amp;IF(OR($AF451="",$AF451="-"),""," "&amp;$AF451)&amp;IF($AB451="Y"," 4"&amp;CHAR(34)&amp;" HEAD","")&amp;" "&amp;IFERROR(VLOOKUP($H451,CODES,2,FALSE),"")))</f>
        <v/>
      </c>
      <c r="BR451" s="50">
        <f>IF(NOT(AND($A451&lt;&gt;"",N($BC451)&gt;0)),"",TRIM(IFERROR(VLOOKUP($AH451,CODES,2,FALSE),"")&amp;IF($AI451=""," "," "&amp;$AI451&amp;"GA ")&amp;$AZ451&amp;" "&amp;IF($AN451="",IFERROR(VLOOKUP($Z451,CODES,2,FALSE),""),IFERROR(VLOOKUP($AN451,CODES,2,FALSE),""))&amp;IF($BC451=2," PAIR","")&amp;" DOOR | "&amp;IF($AL451="","?",$AL451)&amp;" | "&amp;IF($AP451="",IFERROR(VLOOKUP($AC451,CODES,2,FALSE),""),IFERROR(VLOOKUP($AP451,CODES,2,FALSE),""))&amp;" "&amp;IFERROR(VLOOKUP($AQ451,CODES,2,FALSE),"")&amp;IF(OR($AR451="",$AR451="-"),""," SEAM "&amp;$AR451)&amp;IF($AS451="Y"," ASTRAGAL","")&amp;IF($AJ451=""," "," "&amp;$AJ451)&amp;IF($AK451=""," "," "&amp;$AK451)&amp;IF($AO451="",""," "&amp;$AO451)&amp;IF($AM451=""," "," SERIES "&amp;$AM451)&amp;" "&amp;IFERROR(VLOOKUP($H451,CODES,2,FALSE),"")))</f>
        <v/>
      </c>
      <c r="BS451" s="49">
        <f>IF(BV451="","",IF(COUNTIF($BV$6:BV451,BV451)=1,MAX($BS$5:BS450)+1,INDEX($BS$5:BS450,MATCH(BV451,$BV$5:BV450,0))))</f>
        <v/>
      </c>
      <c r="BT451" s="49">
        <f>IF(NOT(AND($A451&lt;&gt;"",$C451&lt;&gt;"DOOR ONLY")),"",MAX($BT$5:BT450)+1)</f>
        <v/>
      </c>
      <c r="BU451" s="49">
        <f>IF(NOT(AND($A451&lt;&gt;"",N($BC451)&gt;0)),"",MAX($BU$5:BU450)+1)</f>
        <v/>
      </c>
      <c r="BV451" s="49">
        <f>IF(OR($A451="",$BA451="",$BB451=""),"",$AZ451&amp;"|"&amp;$O451&amp;"|"&amp;$AL451&amp;"|"&amp;$S451&amp;"|"&amp;$P451&amp;"|"&amp;$Q451&amp;$R451&amp;"|"&amp;$C451&amp;"|"&amp;$AB451)</f>
        <v/>
      </c>
      <c r="BW451" s="49">
        <f>IF($A451="","",IF($B451="","qty, ","")&amp;IF($C451="","scope, ","")&amp;IF(OR($K451="",$M451=""),"size, ","")&amp;IF(AND($A451&lt;&gt;"",$C451&lt;&gt;"DOOR ONLY"),IF($U451="","jamb depth, ","")&amp;IF($X451="","construction, ","")&amp;IF($Y451="","anchor, ","")&amp;IF($S451="","frame type, ",""),"")&amp;IF(AND(N($BC451)&gt;0,$Z451=""),"hand, ","")&amp;IF(N($BC451)&gt;0,IF($AH451="","door material, ","")&amp;IF($AL451="","face type, ","")&amp;IF($AQ451="","lock prep, ","")&amp;IF(AND($AP451="",$AC451=""),"hinge prep, ",""),"")&amp;IF(AND($BO451&gt;0,$AH451="FRP"),"FRP cannot carry a label, ","")&amp;IF(AND($O451="Y",OR($Z451="L",$Z451="R",$Z451="LR",$Z451="RR")),"pair marked but hand is single, ","")&amp;IF(AND($O451&lt;&gt;"Y",OR($Z451="PR",AND(LEN($Z451)&gt;1,ISNUMBER(SEARCH("-",$Z451))))),"pair hand on a single door, ","")&amp;IF(AND(ISNUMBER($BP451),$BO451&lt;N($BP451)),"wall needs a "&amp;$BP451&amp;" min door, ","")&amp;IF(AND($BO451&gt;=180,AND(OR($BL451="FG",$BL451="HG",$BL451="FNV",$BL451="FV"),N($BM451)*N($BN451)&gt;100)),"180 min lite over 100 sq in, ","")&amp;IF(N($BD451)&gt;48,"leaf wider than 4'-0"&amp;CHAR(34)&amp;", ",""))</f>
        <v/>
      </c>
      <c r="BX451" s="49">
        <f>IF($A451="","",IF(AND($BO451&gt;0,AND($A451&lt;&gt;"",$C451&lt;&gt;"DOOR ONLY"),$X451="KD",$E451="EXTERIOR"),"KD label on an exterior opening, ","")&amp;IF(AND($E451="EXTERIOR",OR(AND(AND($A451&lt;&gt;"",$C451&lt;&gt;"DOOR ONLY"),$W451="CR"),AND(N($BC451)&gt;0,$AH451="CR"))),"exterior in CR steel (G9?), ","")&amp;IF(AND(ISNUMBER($BJ451),N($BJ451)&lt;32),"clear width ~"&amp;TEXT($BJ451,"0.0")&amp;CHAR(34)&amp;" under 32"&amp;CHAR(34)&amp;" (ADA), ","")&amp;IF(AND($BO451=90,AND(OR($BL451="FG",$BL451="HG",$BL451="FNV",$BL451="FV"),N($BM451)*N($BN451)&gt;100)),"90 min lite over 100 sq in (stair/exit), ","")&amp;IF(AND($BO451&gt;0,AND($A451&lt;&gt;"",$C451&lt;&gt;"DOOR ONLY"),OR($AF451="",$AF451="-")),"rated: closer reinf.?, ","")&amp;IF(OR($I451="CORRIDOR",$I451="SMOKE BARRIER"),"S label + smoke gasketing, ","")&amp;IF($BP451="?","wall type/hr not in IBC table, ","")&amp;IF(AND(N($BC451)&gt;0,$AU451=""),"no hardware set, ","")&amp;IF(AND($AU451&lt;&gt;"",ISNA(MATCH($AU451,HWSets,0))),"set "&amp;$AU451&amp;" not on Hardware sheet, ","")&amp;IF(N($BE451)&gt;96,"leaf over 8'-0"&amp;CHAR(34)&amp;" - check listing, ",""))</f>
        <v/>
      </c>
    </row>
    <row r="452" ht="15" customHeight="1">
      <c r="A452" s="44" t="n"/>
      <c r="B452" s="45" t="n"/>
      <c r="C452" s="45" t="n"/>
      <c r="D452" s="45" t="n"/>
      <c r="E452" s="45" t="n"/>
      <c r="F452" s="45" t="n"/>
      <c r="G452" s="45" t="n"/>
      <c r="H452" s="45" t="n"/>
      <c r="I452" s="45" t="n"/>
      <c r="J452" s="45" t="n"/>
      <c r="K452" s="45" t="n"/>
      <c r="L452" s="45" t="n"/>
      <c r="M452" s="45" t="n"/>
      <c r="N452" s="45" t="n"/>
      <c r="O452" s="45" t="n"/>
      <c r="P452" s="45" t="n"/>
      <c r="Q452" s="45" t="n"/>
      <c r="R452" s="45" t="n"/>
      <c r="S452" s="46" t="n"/>
      <c r="T452" s="46" t="n"/>
      <c r="U452" s="46" t="n"/>
      <c r="V452" s="46" t="n"/>
      <c r="W452" s="46" t="n"/>
      <c r="X452" s="46" t="n"/>
      <c r="Y452" s="46" t="n"/>
      <c r="Z452" s="46" t="n"/>
      <c r="AA452" s="46" t="n"/>
      <c r="AB452" s="46" t="n"/>
      <c r="AC452" s="46" t="n"/>
      <c r="AD452" s="46" t="n"/>
      <c r="AE452" s="46" t="n"/>
      <c r="AF452" s="46" t="n"/>
      <c r="AG452" s="46" t="n"/>
      <c r="AH452" s="47" t="n"/>
      <c r="AI452" s="47" t="n"/>
      <c r="AJ452" s="47" t="n"/>
      <c r="AK452" s="47" t="n"/>
      <c r="AL452" s="47" t="n"/>
      <c r="AM452" s="47" t="n"/>
      <c r="AN452" s="47" t="n"/>
      <c r="AO452" s="47" t="n"/>
      <c r="AP452" s="47" t="n"/>
      <c r="AQ452" s="47" t="n"/>
      <c r="AR452" s="47" t="n"/>
      <c r="AS452" s="47" t="n"/>
      <c r="AT452" s="47" t="n"/>
      <c r="AU452" s="48" t="n"/>
      <c r="AV452" s="48" t="n"/>
      <c r="AW452" s="49">
        <f>IF($A452="","",IF($BW452&lt;&gt;"","FIX",IF($BX452&lt;&gt;"","CHECK","OK")))</f>
        <v/>
      </c>
      <c r="AX452" s="50">
        <f>IF($A452="","",IF($BW452&lt;&gt;"","FIX: "&amp;LEFT($BW452,LEN($BW452)-2)&amp;IF($BX452&lt;&gt;"","  ·  ",""),"")&amp;IF($BX452&lt;&gt;"","CHECK: "&amp;LEFT($BX452,LEN($BX452)-2),""))</f>
        <v/>
      </c>
      <c r="AY452" s="49">
        <f>IF(OR($A452="",$K452=""),"",$K452&amp;"'-"&amp;N($L452)&amp;CHAR(34)&amp;" x "&amp;$M452&amp;"'-"&amp;N($N452)&amp;CHAR(34))</f>
        <v/>
      </c>
      <c r="AZ452" s="49">
        <f>IF(OR($A452="",$K452=""),"",$K452&amp;N($L452)&amp;$M452&amp;N($N452))</f>
        <v/>
      </c>
      <c r="BA452" s="49">
        <f>IF(OR($A452="",$K452=""),"",$K452*12+N($L452))</f>
        <v/>
      </c>
      <c r="BB452" s="49">
        <f>IF(OR($A452="",$M452=""),"",$M452*12+N($N452))</f>
        <v/>
      </c>
      <c r="BC452" s="49">
        <f>IF($A452="","",IF(OR($C452="FRAME ONLY",$S452="BL"),0,IF($O452="Y",2,1)))</f>
        <v/>
      </c>
      <c r="BD452" s="51">
        <f>IF(OR(N($BC452)=0,$BA452=""),"",($BA452-2*EdgeClr-IF($BC452=2,MeetClr,0))/$BC452)</f>
        <v/>
      </c>
      <c r="BE452" s="51">
        <f>IF(OR(N($BC452)=0,$BB452=""),"",$BB452-HeadClr-Undercut)</f>
        <v/>
      </c>
      <c r="BF452" s="51">
        <f>IF($BA452="","",$BA452+2*FaceW+IF(N($Q452)&gt;0,($Q452+FaceW)*IF($R452="LR",2,1),0))</f>
        <v/>
      </c>
      <c r="BG452" s="51">
        <f>IF($BB452="","",$BB452+IF($AB452="Y",4,FaceW)+IF(N($P452)&gt;0,$P452+FaceW,0)+IF(OR($S452="4F",$S452="BL"),FaceW,0))</f>
        <v/>
      </c>
      <c r="BH452" s="51">
        <f>IF($BF452="","",$BF452+2*ROSide)</f>
        <v/>
      </c>
      <c r="BI452" s="51">
        <f>IF($BG452="","",$BG452+ROTop)</f>
        <v/>
      </c>
      <c r="BJ452" s="52">
        <f>IF(OR(N($BC452)=0,$BA452=""),"",$BA452/$BC452-ClearDeduct)</f>
        <v/>
      </c>
      <c r="BK452" s="49">
        <f>IF(OR(N($BC452)=0,$BE452=""),"",IF(OR($AC452="HGC",$AP452="HGC"),"CONT",IF($BE452&lt;=60,2,IF($BE452&lt;=90,3,IF($BE452&lt;=120,4,5)))))</f>
        <v/>
      </c>
      <c r="BL452" s="49">
        <f>IF(N($BC452)=0,"",IF(OR($AL452="",$AL452="FLUSH"),"FLUSH",IFERROR(LEFT($AL452,FIND("-",$AL452)-1),LEFT($AL452,2))))</f>
        <v/>
      </c>
      <c r="BM452" s="49">
        <f>IF($BL452="","",IFERROR(VALUE(MID($AL452,FIND("-",$AL452)+1,FIND(CHAR(34)&amp;"x",$AL452)-FIND("-",$AL452)-1)),0))</f>
        <v/>
      </c>
      <c r="BN452" s="49">
        <f>IF($BL452="","",IFERROR(VALUE(MID($AL452,FIND(CHAR(34)&amp;"x",$AL452)+2,FIND(CHAR(34),$AL452,FIND(CHAR(34)&amp;"x",$AL452)+2)-FIND(CHAR(34)&amp;"x",$AL452)-2)),0))</f>
        <v/>
      </c>
      <c r="BO452" s="53">
        <f>IF(OR($A452="",$H452="",$H452="NO LAB"),0,IFERROR(VALUE(LEFT($H452,FIND(" ",$H452)-1)),0))</f>
        <v/>
      </c>
      <c r="BP452" s="54">
        <f>IF(OR($A452="",$I452="",$I452="NON-RATED",N($J452)=0),"",IFERROR(VLOOKUP($I452&amp;"|"&amp;$J452,IBC,2,FALSE),"?"))</f>
        <v/>
      </c>
      <c r="BQ452" s="50">
        <f>IF(NOT(AND($A452&lt;&gt;"",$C452&lt;&gt;"DOOR ONLY")),"",TRIM(IFERROR(VLOOKUP($U452,CODES,2,FALSE),"")&amp;" "&amp;$AZ452&amp;" "&amp;IFERROR(VLOOKUP($Z452,CODES,2,FALSE),"")&amp;" "&amp;IFERROR(VLOOKUP($X452,CODES,2,FALSE),"")&amp;" "&amp;IFERROR(VLOOKUP($S452,CODES,2,FALSE),"")&amp;IF(N($P452)&gt;0," w/TRANSOM "&amp;$P452&amp;CHAR(34),"")&amp;IF(N($Q452)&gt;0," w/SIDELITE "&amp;$Q452&amp;CHAR(34)&amp;" "&amp;IF($R452="","R",$R452),"")&amp;IF($Y452="","  |  "," | "&amp;IFERROR(VLOOKUP($Y452,CODES,2,FALSE),"")&amp;" | ")&amp;IFERROR(VLOOKUP($AC452,CODES,2,FALSE),"")&amp;" "&amp;IFERROR(VLOOKUP($AD452,CODES,2,FALSE),"")&amp;IF(OR($AE452="",$AE452="-"),""," "&amp;$AE452)&amp;IF(OR($AF452="",$AF452="-"),""," "&amp;$AF452)&amp;IF($AB452="Y"," 4"&amp;CHAR(34)&amp;" HEAD","")&amp;" "&amp;IFERROR(VLOOKUP($H452,CODES,2,FALSE),"")))</f>
        <v/>
      </c>
      <c r="BR452" s="50">
        <f>IF(NOT(AND($A452&lt;&gt;"",N($BC452)&gt;0)),"",TRIM(IFERROR(VLOOKUP($AH452,CODES,2,FALSE),"")&amp;IF($AI452=""," "," "&amp;$AI452&amp;"GA ")&amp;$AZ452&amp;" "&amp;IF($AN452="",IFERROR(VLOOKUP($Z452,CODES,2,FALSE),""),IFERROR(VLOOKUP($AN452,CODES,2,FALSE),""))&amp;IF($BC452=2," PAIR","")&amp;" DOOR | "&amp;IF($AL452="","?",$AL452)&amp;" | "&amp;IF($AP452="",IFERROR(VLOOKUP($AC452,CODES,2,FALSE),""),IFERROR(VLOOKUP($AP452,CODES,2,FALSE),""))&amp;" "&amp;IFERROR(VLOOKUP($AQ452,CODES,2,FALSE),"")&amp;IF(OR($AR452="",$AR452="-"),""," SEAM "&amp;$AR452)&amp;IF($AS452="Y"," ASTRAGAL","")&amp;IF($AJ452=""," "," "&amp;$AJ452)&amp;IF($AK452=""," "," "&amp;$AK452)&amp;IF($AO452="",""," "&amp;$AO452)&amp;IF($AM452=""," "," SERIES "&amp;$AM452)&amp;" "&amp;IFERROR(VLOOKUP($H452,CODES,2,FALSE),"")))</f>
        <v/>
      </c>
      <c r="BS452" s="49">
        <f>IF(BV452="","",IF(COUNTIF($BV$6:BV452,BV452)=1,MAX($BS$5:BS451)+1,INDEX($BS$5:BS451,MATCH(BV452,$BV$5:BV451,0))))</f>
        <v/>
      </c>
      <c r="BT452" s="49">
        <f>IF(NOT(AND($A452&lt;&gt;"",$C452&lt;&gt;"DOOR ONLY")),"",MAX($BT$5:BT451)+1)</f>
        <v/>
      </c>
      <c r="BU452" s="49">
        <f>IF(NOT(AND($A452&lt;&gt;"",N($BC452)&gt;0)),"",MAX($BU$5:BU451)+1)</f>
        <v/>
      </c>
      <c r="BV452" s="49">
        <f>IF(OR($A452="",$BA452="",$BB452=""),"",$AZ452&amp;"|"&amp;$O452&amp;"|"&amp;$AL452&amp;"|"&amp;$S452&amp;"|"&amp;$P452&amp;"|"&amp;$Q452&amp;$R452&amp;"|"&amp;$C452&amp;"|"&amp;$AB452)</f>
        <v/>
      </c>
      <c r="BW452" s="49">
        <f>IF($A452="","",IF($B452="","qty, ","")&amp;IF($C452="","scope, ","")&amp;IF(OR($K452="",$M452=""),"size, ","")&amp;IF(AND($A452&lt;&gt;"",$C452&lt;&gt;"DOOR ONLY"),IF($U452="","jamb depth, ","")&amp;IF($X452="","construction, ","")&amp;IF($Y452="","anchor, ","")&amp;IF($S452="","frame type, ",""),"")&amp;IF(AND(N($BC452)&gt;0,$Z452=""),"hand, ","")&amp;IF(N($BC452)&gt;0,IF($AH452="","door material, ","")&amp;IF($AL452="","face type, ","")&amp;IF($AQ452="","lock prep, ","")&amp;IF(AND($AP452="",$AC452=""),"hinge prep, ",""),"")&amp;IF(AND($BO452&gt;0,$AH452="FRP"),"FRP cannot carry a label, ","")&amp;IF(AND($O452="Y",OR($Z452="L",$Z452="R",$Z452="LR",$Z452="RR")),"pair marked but hand is single, ","")&amp;IF(AND($O452&lt;&gt;"Y",OR($Z452="PR",AND(LEN($Z452)&gt;1,ISNUMBER(SEARCH("-",$Z452))))),"pair hand on a single door, ","")&amp;IF(AND(ISNUMBER($BP452),$BO452&lt;N($BP452)),"wall needs a "&amp;$BP452&amp;" min door, ","")&amp;IF(AND($BO452&gt;=180,AND(OR($BL452="FG",$BL452="HG",$BL452="FNV",$BL452="FV"),N($BM452)*N($BN452)&gt;100)),"180 min lite over 100 sq in, ","")&amp;IF(N($BD452)&gt;48,"leaf wider than 4'-0"&amp;CHAR(34)&amp;", ",""))</f>
        <v/>
      </c>
      <c r="BX452" s="49">
        <f>IF($A452="","",IF(AND($BO452&gt;0,AND($A452&lt;&gt;"",$C452&lt;&gt;"DOOR ONLY"),$X452="KD",$E452="EXTERIOR"),"KD label on an exterior opening, ","")&amp;IF(AND($E452="EXTERIOR",OR(AND(AND($A452&lt;&gt;"",$C452&lt;&gt;"DOOR ONLY"),$W452="CR"),AND(N($BC452)&gt;0,$AH452="CR"))),"exterior in CR steel (G9?), ","")&amp;IF(AND(ISNUMBER($BJ452),N($BJ452)&lt;32),"clear width ~"&amp;TEXT($BJ452,"0.0")&amp;CHAR(34)&amp;" under 32"&amp;CHAR(34)&amp;" (ADA), ","")&amp;IF(AND($BO452=90,AND(OR($BL452="FG",$BL452="HG",$BL452="FNV",$BL452="FV"),N($BM452)*N($BN452)&gt;100)),"90 min lite over 100 sq in (stair/exit), ","")&amp;IF(AND($BO452&gt;0,AND($A452&lt;&gt;"",$C452&lt;&gt;"DOOR ONLY"),OR($AF452="",$AF452="-")),"rated: closer reinf.?, ","")&amp;IF(OR($I452="CORRIDOR",$I452="SMOKE BARRIER"),"S label + smoke gasketing, ","")&amp;IF($BP452="?","wall type/hr not in IBC table, ","")&amp;IF(AND(N($BC452)&gt;0,$AU452=""),"no hardware set, ","")&amp;IF(AND($AU452&lt;&gt;"",ISNA(MATCH($AU452,HWSets,0))),"set "&amp;$AU452&amp;" not on Hardware sheet, ","")&amp;IF(N($BE452)&gt;96,"leaf over 8'-0"&amp;CHAR(34)&amp;" - check listing, ",""))</f>
        <v/>
      </c>
    </row>
    <row r="453" ht="15" customHeight="1">
      <c r="A453" s="44" t="n"/>
      <c r="B453" s="45" t="n"/>
      <c r="C453" s="45" t="n"/>
      <c r="D453" s="45" t="n"/>
      <c r="E453" s="45" t="n"/>
      <c r="F453" s="45" t="n"/>
      <c r="G453" s="45" t="n"/>
      <c r="H453" s="45" t="n"/>
      <c r="I453" s="45" t="n"/>
      <c r="J453" s="45" t="n"/>
      <c r="K453" s="45" t="n"/>
      <c r="L453" s="45" t="n"/>
      <c r="M453" s="45" t="n"/>
      <c r="N453" s="45" t="n"/>
      <c r="O453" s="45" t="n"/>
      <c r="P453" s="45" t="n"/>
      <c r="Q453" s="45" t="n"/>
      <c r="R453" s="45" t="n"/>
      <c r="S453" s="46" t="n"/>
      <c r="T453" s="46" t="n"/>
      <c r="U453" s="46" t="n"/>
      <c r="V453" s="46" t="n"/>
      <c r="W453" s="46" t="n"/>
      <c r="X453" s="46" t="n"/>
      <c r="Y453" s="46" t="n"/>
      <c r="Z453" s="46" t="n"/>
      <c r="AA453" s="46" t="n"/>
      <c r="AB453" s="46" t="n"/>
      <c r="AC453" s="46" t="n"/>
      <c r="AD453" s="46" t="n"/>
      <c r="AE453" s="46" t="n"/>
      <c r="AF453" s="46" t="n"/>
      <c r="AG453" s="46" t="n"/>
      <c r="AH453" s="47" t="n"/>
      <c r="AI453" s="47" t="n"/>
      <c r="AJ453" s="47" t="n"/>
      <c r="AK453" s="47" t="n"/>
      <c r="AL453" s="47" t="n"/>
      <c r="AM453" s="47" t="n"/>
      <c r="AN453" s="47" t="n"/>
      <c r="AO453" s="47" t="n"/>
      <c r="AP453" s="47" t="n"/>
      <c r="AQ453" s="47" t="n"/>
      <c r="AR453" s="47" t="n"/>
      <c r="AS453" s="47" t="n"/>
      <c r="AT453" s="47" t="n"/>
      <c r="AU453" s="48" t="n"/>
      <c r="AV453" s="48" t="n"/>
      <c r="AW453" s="49">
        <f>IF($A453="","",IF($BW453&lt;&gt;"","FIX",IF($BX453&lt;&gt;"","CHECK","OK")))</f>
        <v/>
      </c>
      <c r="AX453" s="50">
        <f>IF($A453="","",IF($BW453&lt;&gt;"","FIX: "&amp;LEFT($BW453,LEN($BW453)-2)&amp;IF($BX453&lt;&gt;"","  ·  ",""),"")&amp;IF($BX453&lt;&gt;"","CHECK: "&amp;LEFT($BX453,LEN($BX453)-2),""))</f>
        <v/>
      </c>
      <c r="AY453" s="49">
        <f>IF(OR($A453="",$K453=""),"",$K453&amp;"'-"&amp;N($L453)&amp;CHAR(34)&amp;" x "&amp;$M453&amp;"'-"&amp;N($N453)&amp;CHAR(34))</f>
        <v/>
      </c>
      <c r="AZ453" s="49">
        <f>IF(OR($A453="",$K453=""),"",$K453&amp;N($L453)&amp;$M453&amp;N($N453))</f>
        <v/>
      </c>
      <c r="BA453" s="49">
        <f>IF(OR($A453="",$K453=""),"",$K453*12+N($L453))</f>
        <v/>
      </c>
      <c r="BB453" s="49">
        <f>IF(OR($A453="",$M453=""),"",$M453*12+N($N453))</f>
        <v/>
      </c>
      <c r="BC453" s="49">
        <f>IF($A453="","",IF(OR($C453="FRAME ONLY",$S453="BL"),0,IF($O453="Y",2,1)))</f>
        <v/>
      </c>
      <c r="BD453" s="51">
        <f>IF(OR(N($BC453)=0,$BA453=""),"",($BA453-2*EdgeClr-IF($BC453=2,MeetClr,0))/$BC453)</f>
        <v/>
      </c>
      <c r="BE453" s="51">
        <f>IF(OR(N($BC453)=0,$BB453=""),"",$BB453-HeadClr-Undercut)</f>
        <v/>
      </c>
      <c r="BF453" s="51">
        <f>IF($BA453="","",$BA453+2*FaceW+IF(N($Q453)&gt;0,($Q453+FaceW)*IF($R453="LR",2,1),0))</f>
        <v/>
      </c>
      <c r="BG453" s="51">
        <f>IF($BB453="","",$BB453+IF($AB453="Y",4,FaceW)+IF(N($P453)&gt;0,$P453+FaceW,0)+IF(OR($S453="4F",$S453="BL"),FaceW,0))</f>
        <v/>
      </c>
      <c r="BH453" s="51">
        <f>IF($BF453="","",$BF453+2*ROSide)</f>
        <v/>
      </c>
      <c r="BI453" s="51">
        <f>IF($BG453="","",$BG453+ROTop)</f>
        <v/>
      </c>
      <c r="BJ453" s="52">
        <f>IF(OR(N($BC453)=0,$BA453=""),"",$BA453/$BC453-ClearDeduct)</f>
        <v/>
      </c>
      <c r="BK453" s="49">
        <f>IF(OR(N($BC453)=0,$BE453=""),"",IF(OR($AC453="HGC",$AP453="HGC"),"CONT",IF($BE453&lt;=60,2,IF($BE453&lt;=90,3,IF($BE453&lt;=120,4,5)))))</f>
        <v/>
      </c>
      <c r="BL453" s="49">
        <f>IF(N($BC453)=0,"",IF(OR($AL453="",$AL453="FLUSH"),"FLUSH",IFERROR(LEFT($AL453,FIND("-",$AL453)-1),LEFT($AL453,2))))</f>
        <v/>
      </c>
      <c r="BM453" s="49">
        <f>IF($BL453="","",IFERROR(VALUE(MID($AL453,FIND("-",$AL453)+1,FIND(CHAR(34)&amp;"x",$AL453)-FIND("-",$AL453)-1)),0))</f>
        <v/>
      </c>
      <c r="BN453" s="49">
        <f>IF($BL453="","",IFERROR(VALUE(MID($AL453,FIND(CHAR(34)&amp;"x",$AL453)+2,FIND(CHAR(34),$AL453,FIND(CHAR(34)&amp;"x",$AL453)+2)-FIND(CHAR(34)&amp;"x",$AL453)-2)),0))</f>
        <v/>
      </c>
      <c r="BO453" s="53">
        <f>IF(OR($A453="",$H453="",$H453="NO LAB"),0,IFERROR(VALUE(LEFT($H453,FIND(" ",$H453)-1)),0))</f>
        <v/>
      </c>
      <c r="BP453" s="54">
        <f>IF(OR($A453="",$I453="",$I453="NON-RATED",N($J453)=0),"",IFERROR(VLOOKUP($I453&amp;"|"&amp;$J453,IBC,2,FALSE),"?"))</f>
        <v/>
      </c>
      <c r="BQ453" s="50">
        <f>IF(NOT(AND($A453&lt;&gt;"",$C453&lt;&gt;"DOOR ONLY")),"",TRIM(IFERROR(VLOOKUP($U453,CODES,2,FALSE),"")&amp;" "&amp;$AZ453&amp;" "&amp;IFERROR(VLOOKUP($Z453,CODES,2,FALSE),"")&amp;" "&amp;IFERROR(VLOOKUP($X453,CODES,2,FALSE),"")&amp;" "&amp;IFERROR(VLOOKUP($S453,CODES,2,FALSE),"")&amp;IF(N($P453)&gt;0," w/TRANSOM "&amp;$P453&amp;CHAR(34),"")&amp;IF(N($Q453)&gt;0," w/SIDELITE "&amp;$Q453&amp;CHAR(34)&amp;" "&amp;IF($R453="","R",$R453),"")&amp;IF($Y453="","  |  "," | "&amp;IFERROR(VLOOKUP($Y453,CODES,2,FALSE),"")&amp;" | ")&amp;IFERROR(VLOOKUP($AC453,CODES,2,FALSE),"")&amp;" "&amp;IFERROR(VLOOKUP($AD453,CODES,2,FALSE),"")&amp;IF(OR($AE453="",$AE453="-"),""," "&amp;$AE453)&amp;IF(OR($AF453="",$AF453="-"),""," "&amp;$AF453)&amp;IF($AB453="Y"," 4"&amp;CHAR(34)&amp;" HEAD","")&amp;" "&amp;IFERROR(VLOOKUP($H453,CODES,2,FALSE),"")))</f>
        <v/>
      </c>
      <c r="BR453" s="50">
        <f>IF(NOT(AND($A453&lt;&gt;"",N($BC453)&gt;0)),"",TRIM(IFERROR(VLOOKUP($AH453,CODES,2,FALSE),"")&amp;IF($AI453=""," "," "&amp;$AI453&amp;"GA ")&amp;$AZ453&amp;" "&amp;IF($AN453="",IFERROR(VLOOKUP($Z453,CODES,2,FALSE),""),IFERROR(VLOOKUP($AN453,CODES,2,FALSE),""))&amp;IF($BC453=2," PAIR","")&amp;" DOOR | "&amp;IF($AL453="","?",$AL453)&amp;" | "&amp;IF($AP453="",IFERROR(VLOOKUP($AC453,CODES,2,FALSE),""),IFERROR(VLOOKUP($AP453,CODES,2,FALSE),""))&amp;" "&amp;IFERROR(VLOOKUP($AQ453,CODES,2,FALSE),"")&amp;IF(OR($AR453="",$AR453="-"),""," SEAM "&amp;$AR453)&amp;IF($AS453="Y"," ASTRAGAL","")&amp;IF($AJ453=""," "," "&amp;$AJ453)&amp;IF($AK453=""," "," "&amp;$AK453)&amp;IF($AO453="",""," "&amp;$AO453)&amp;IF($AM453=""," "," SERIES "&amp;$AM453)&amp;" "&amp;IFERROR(VLOOKUP($H453,CODES,2,FALSE),"")))</f>
        <v/>
      </c>
      <c r="BS453" s="49">
        <f>IF(BV453="","",IF(COUNTIF($BV$6:BV453,BV453)=1,MAX($BS$5:BS452)+1,INDEX($BS$5:BS452,MATCH(BV453,$BV$5:BV452,0))))</f>
        <v/>
      </c>
      <c r="BT453" s="49">
        <f>IF(NOT(AND($A453&lt;&gt;"",$C453&lt;&gt;"DOOR ONLY")),"",MAX($BT$5:BT452)+1)</f>
        <v/>
      </c>
      <c r="BU453" s="49">
        <f>IF(NOT(AND($A453&lt;&gt;"",N($BC453)&gt;0)),"",MAX($BU$5:BU452)+1)</f>
        <v/>
      </c>
      <c r="BV453" s="49">
        <f>IF(OR($A453="",$BA453="",$BB453=""),"",$AZ453&amp;"|"&amp;$O453&amp;"|"&amp;$AL453&amp;"|"&amp;$S453&amp;"|"&amp;$P453&amp;"|"&amp;$Q453&amp;$R453&amp;"|"&amp;$C453&amp;"|"&amp;$AB453)</f>
        <v/>
      </c>
      <c r="BW453" s="49">
        <f>IF($A453="","",IF($B453="","qty, ","")&amp;IF($C453="","scope, ","")&amp;IF(OR($K453="",$M453=""),"size, ","")&amp;IF(AND($A453&lt;&gt;"",$C453&lt;&gt;"DOOR ONLY"),IF($U453="","jamb depth, ","")&amp;IF($X453="","construction, ","")&amp;IF($Y453="","anchor, ","")&amp;IF($S453="","frame type, ",""),"")&amp;IF(AND(N($BC453)&gt;0,$Z453=""),"hand, ","")&amp;IF(N($BC453)&gt;0,IF($AH453="","door material, ","")&amp;IF($AL453="","face type, ","")&amp;IF($AQ453="","lock prep, ","")&amp;IF(AND($AP453="",$AC453=""),"hinge prep, ",""),"")&amp;IF(AND($BO453&gt;0,$AH453="FRP"),"FRP cannot carry a label, ","")&amp;IF(AND($O453="Y",OR($Z453="L",$Z453="R",$Z453="LR",$Z453="RR")),"pair marked but hand is single, ","")&amp;IF(AND($O453&lt;&gt;"Y",OR($Z453="PR",AND(LEN($Z453)&gt;1,ISNUMBER(SEARCH("-",$Z453))))),"pair hand on a single door, ","")&amp;IF(AND(ISNUMBER($BP453),$BO453&lt;N($BP453)),"wall needs a "&amp;$BP453&amp;" min door, ","")&amp;IF(AND($BO453&gt;=180,AND(OR($BL453="FG",$BL453="HG",$BL453="FNV",$BL453="FV"),N($BM453)*N($BN453)&gt;100)),"180 min lite over 100 sq in, ","")&amp;IF(N($BD453)&gt;48,"leaf wider than 4'-0"&amp;CHAR(34)&amp;", ",""))</f>
        <v/>
      </c>
      <c r="BX453" s="49">
        <f>IF($A453="","",IF(AND($BO453&gt;0,AND($A453&lt;&gt;"",$C453&lt;&gt;"DOOR ONLY"),$X453="KD",$E453="EXTERIOR"),"KD label on an exterior opening, ","")&amp;IF(AND($E453="EXTERIOR",OR(AND(AND($A453&lt;&gt;"",$C453&lt;&gt;"DOOR ONLY"),$W453="CR"),AND(N($BC453)&gt;0,$AH453="CR"))),"exterior in CR steel (G9?), ","")&amp;IF(AND(ISNUMBER($BJ453),N($BJ453)&lt;32),"clear width ~"&amp;TEXT($BJ453,"0.0")&amp;CHAR(34)&amp;" under 32"&amp;CHAR(34)&amp;" (ADA), ","")&amp;IF(AND($BO453=90,AND(OR($BL453="FG",$BL453="HG",$BL453="FNV",$BL453="FV"),N($BM453)*N($BN453)&gt;100)),"90 min lite over 100 sq in (stair/exit), ","")&amp;IF(AND($BO453&gt;0,AND($A453&lt;&gt;"",$C453&lt;&gt;"DOOR ONLY"),OR($AF453="",$AF453="-")),"rated: closer reinf.?, ","")&amp;IF(OR($I453="CORRIDOR",$I453="SMOKE BARRIER"),"S label + smoke gasketing, ","")&amp;IF($BP453="?","wall type/hr not in IBC table, ","")&amp;IF(AND(N($BC453)&gt;0,$AU453=""),"no hardware set, ","")&amp;IF(AND($AU453&lt;&gt;"",ISNA(MATCH($AU453,HWSets,0))),"set "&amp;$AU453&amp;" not on Hardware sheet, ","")&amp;IF(N($BE453)&gt;96,"leaf over 8'-0"&amp;CHAR(34)&amp;" - check listing, ",""))</f>
        <v/>
      </c>
    </row>
    <row r="454" ht="15" customHeight="1">
      <c r="A454" s="44" t="n"/>
      <c r="B454" s="45" t="n"/>
      <c r="C454" s="45" t="n"/>
      <c r="D454" s="45" t="n"/>
      <c r="E454" s="45" t="n"/>
      <c r="F454" s="45" t="n"/>
      <c r="G454" s="45" t="n"/>
      <c r="H454" s="45" t="n"/>
      <c r="I454" s="45" t="n"/>
      <c r="J454" s="45" t="n"/>
      <c r="K454" s="45" t="n"/>
      <c r="L454" s="45" t="n"/>
      <c r="M454" s="45" t="n"/>
      <c r="N454" s="45" t="n"/>
      <c r="O454" s="45" t="n"/>
      <c r="P454" s="45" t="n"/>
      <c r="Q454" s="45" t="n"/>
      <c r="R454" s="45" t="n"/>
      <c r="S454" s="46" t="n"/>
      <c r="T454" s="46" t="n"/>
      <c r="U454" s="46" t="n"/>
      <c r="V454" s="46" t="n"/>
      <c r="W454" s="46" t="n"/>
      <c r="X454" s="46" t="n"/>
      <c r="Y454" s="46" t="n"/>
      <c r="Z454" s="46" t="n"/>
      <c r="AA454" s="46" t="n"/>
      <c r="AB454" s="46" t="n"/>
      <c r="AC454" s="46" t="n"/>
      <c r="AD454" s="46" t="n"/>
      <c r="AE454" s="46" t="n"/>
      <c r="AF454" s="46" t="n"/>
      <c r="AG454" s="46" t="n"/>
      <c r="AH454" s="47" t="n"/>
      <c r="AI454" s="47" t="n"/>
      <c r="AJ454" s="47" t="n"/>
      <c r="AK454" s="47" t="n"/>
      <c r="AL454" s="47" t="n"/>
      <c r="AM454" s="47" t="n"/>
      <c r="AN454" s="47" t="n"/>
      <c r="AO454" s="47" t="n"/>
      <c r="AP454" s="47" t="n"/>
      <c r="AQ454" s="47" t="n"/>
      <c r="AR454" s="47" t="n"/>
      <c r="AS454" s="47" t="n"/>
      <c r="AT454" s="47" t="n"/>
      <c r="AU454" s="48" t="n"/>
      <c r="AV454" s="48" t="n"/>
      <c r="AW454" s="49">
        <f>IF($A454="","",IF($BW454&lt;&gt;"","FIX",IF($BX454&lt;&gt;"","CHECK","OK")))</f>
        <v/>
      </c>
      <c r="AX454" s="50">
        <f>IF($A454="","",IF($BW454&lt;&gt;"","FIX: "&amp;LEFT($BW454,LEN($BW454)-2)&amp;IF($BX454&lt;&gt;"","  ·  ",""),"")&amp;IF($BX454&lt;&gt;"","CHECK: "&amp;LEFT($BX454,LEN($BX454)-2),""))</f>
        <v/>
      </c>
      <c r="AY454" s="49">
        <f>IF(OR($A454="",$K454=""),"",$K454&amp;"'-"&amp;N($L454)&amp;CHAR(34)&amp;" x "&amp;$M454&amp;"'-"&amp;N($N454)&amp;CHAR(34))</f>
        <v/>
      </c>
      <c r="AZ454" s="49">
        <f>IF(OR($A454="",$K454=""),"",$K454&amp;N($L454)&amp;$M454&amp;N($N454))</f>
        <v/>
      </c>
      <c r="BA454" s="49">
        <f>IF(OR($A454="",$K454=""),"",$K454*12+N($L454))</f>
        <v/>
      </c>
      <c r="BB454" s="49">
        <f>IF(OR($A454="",$M454=""),"",$M454*12+N($N454))</f>
        <v/>
      </c>
      <c r="BC454" s="49">
        <f>IF($A454="","",IF(OR($C454="FRAME ONLY",$S454="BL"),0,IF($O454="Y",2,1)))</f>
        <v/>
      </c>
      <c r="BD454" s="51">
        <f>IF(OR(N($BC454)=0,$BA454=""),"",($BA454-2*EdgeClr-IF($BC454=2,MeetClr,0))/$BC454)</f>
        <v/>
      </c>
      <c r="BE454" s="51">
        <f>IF(OR(N($BC454)=0,$BB454=""),"",$BB454-HeadClr-Undercut)</f>
        <v/>
      </c>
      <c r="BF454" s="51">
        <f>IF($BA454="","",$BA454+2*FaceW+IF(N($Q454)&gt;0,($Q454+FaceW)*IF($R454="LR",2,1),0))</f>
        <v/>
      </c>
      <c r="BG454" s="51">
        <f>IF($BB454="","",$BB454+IF($AB454="Y",4,FaceW)+IF(N($P454)&gt;0,$P454+FaceW,0)+IF(OR($S454="4F",$S454="BL"),FaceW,0))</f>
        <v/>
      </c>
      <c r="BH454" s="51">
        <f>IF($BF454="","",$BF454+2*ROSide)</f>
        <v/>
      </c>
      <c r="BI454" s="51">
        <f>IF($BG454="","",$BG454+ROTop)</f>
        <v/>
      </c>
      <c r="BJ454" s="52">
        <f>IF(OR(N($BC454)=0,$BA454=""),"",$BA454/$BC454-ClearDeduct)</f>
        <v/>
      </c>
      <c r="BK454" s="49">
        <f>IF(OR(N($BC454)=0,$BE454=""),"",IF(OR($AC454="HGC",$AP454="HGC"),"CONT",IF($BE454&lt;=60,2,IF($BE454&lt;=90,3,IF($BE454&lt;=120,4,5)))))</f>
        <v/>
      </c>
      <c r="BL454" s="49">
        <f>IF(N($BC454)=0,"",IF(OR($AL454="",$AL454="FLUSH"),"FLUSH",IFERROR(LEFT($AL454,FIND("-",$AL454)-1),LEFT($AL454,2))))</f>
        <v/>
      </c>
      <c r="BM454" s="49">
        <f>IF($BL454="","",IFERROR(VALUE(MID($AL454,FIND("-",$AL454)+1,FIND(CHAR(34)&amp;"x",$AL454)-FIND("-",$AL454)-1)),0))</f>
        <v/>
      </c>
      <c r="BN454" s="49">
        <f>IF($BL454="","",IFERROR(VALUE(MID($AL454,FIND(CHAR(34)&amp;"x",$AL454)+2,FIND(CHAR(34),$AL454,FIND(CHAR(34)&amp;"x",$AL454)+2)-FIND(CHAR(34)&amp;"x",$AL454)-2)),0))</f>
        <v/>
      </c>
      <c r="BO454" s="53">
        <f>IF(OR($A454="",$H454="",$H454="NO LAB"),0,IFERROR(VALUE(LEFT($H454,FIND(" ",$H454)-1)),0))</f>
        <v/>
      </c>
      <c r="BP454" s="54">
        <f>IF(OR($A454="",$I454="",$I454="NON-RATED",N($J454)=0),"",IFERROR(VLOOKUP($I454&amp;"|"&amp;$J454,IBC,2,FALSE),"?"))</f>
        <v/>
      </c>
      <c r="BQ454" s="50">
        <f>IF(NOT(AND($A454&lt;&gt;"",$C454&lt;&gt;"DOOR ONLY")),"",TRIM(IFERROR(VLOOKUP($U454,CODES,2,FALSE),"")&amp;" "&amp;$AZ454&amp;" "&amp;IFERROR(VLOOKUP($Z454,CODES,2,FALSE),"")&amp;" "&amp;IFERROR(VLOOKUP($X454,CODES,2,FALSE),"")&amp;" "&amp;IFERROR(VLOOKUP($S454,CODES,2,FALSE),"")&amp;IF(N($P454)&gt;0," w/TRANSOM "&amp;$P454&amp;CHAR(34),"")&amp;IF(N($Q454)&gt;0," w/SIDELITE "&amp;$Q454&amp;CHAR(34)&amp;" "&amp;IF($R454="","R",$R454),"")&amp;IF($Y454="","  |  "," | "&amp;IFERROR(VLOOKUP($Y454,CODES,2,FALSE),"")&amp;" | ")&amp;IFERROR(VLOOKUP($AC454,CODES,2,FALSE),"")&amp;" "&amp;IFERROR(VLOOKUP($AD454,CODES,2,FALSE),"")&amp;IF(OR($AE454="",$AE454="-"),""," "&amp;$AE454)&amp;IF(OR($AF454="",$AF454="-"),""," "&amp;$AF454)&amp;IF($AB454="Y"," 4"&amp;CHAR(34)&amp;" HEAD","")&amp;" "&amp;IFERROR(VLOOKUP($H454,CODES,2,FALSE),"")))</f>
        <v/>
      </c>
      <c r="BR454" s="50">
        <f>IF(NOT(AND($A454&lt;&gt;"",N($BC454)&gt;0)),"",TRIM(IFERROR(VLOOKUP($AH454,CODES,2,FALSE),"")&amp;IF($AI454=""," "," "&amp;$AI454&amp;"GA ")&amp;$AZ454&amp;" "&amp;IF($AN454="",IFERROR(VLOOKUP($Z454,CODES,2,FALSE),""),IFERROR(VLOOKUP($AN454,CODES,2,FALSE),""))&amp;IF($BC454=2," PAIR","")&amp;" DOOR | "&amp;IF($AL454="","?",$AL454)&amp;" | "&amp;IF($AP454="",IFERROR(VLOOKUP($AC454,CODES,2,FALSE),""),IFERROR(VLOOKUP($AP454,CODES,2,FALSE),""))&amp;" "&amp;IFERROR(VLOOKUP($AQ454,CODES,2,FALSE),"")&amp;IF(OR($AR454="",$AR454="-"),""," SEAM "&amp;$AR454)&amp;IF($AS454="Y"," ASTRAGAL","")&amp;IF($AJ454=""," "," "&amp;$AJ454)&amp;IF($AK454=""," "," "&amp;$AK454)&amp;IF($AO454="",""," "&amp;$AO454)&amp;IF($AM454=""," "," SERIES "&amp;$AM454)&amp;" "&amp;IFERROR(VLOOKUP($H454,CODES,2,FALSE),"")))</f>
        <v/>
      </c>
      <c r="BS454" s="49">
        <f>IF(BV454="","",IF(COUNTIF($BV$6:BV454,BV454)=1,MAX($BS$5:BS453)+1,INDEX($BS$5:BS453,MATCH(BV454,$BV$5:BV453,0))))</f>
        <v/>
      </c>
      <c r="BT454" s="49">
        <f>IF(NOT(AND($A454&lt;&gt;"",$C454&lt;&gt;"DOOR ONLY")),"",MAX($BT$5:BT453)+1)</f>
        <v/>
      </c>
      <c r="BU454" s="49">
        <f>IF(NOT(AND($A454&lt;&gt;"",N($BC454)&gt;0)),"",MAX($BU$5:BU453)+1)</f>
        <v/>
      </c>
      <c r="BV454" s="49">
        <f>IF(OR($A454="",$BA454="",$BB454=""),"",$AZ454&amp;"|"&amp;$O454&amp;"|"&amp;$AL454&amp;"|"&amp;$S454&amp;"|"&amp;$P454&amp;"|"&amp;$Q454&amp;$R454&amp;"|"&amp;$C454&amp;"|"&amp;$AB454)</f>
        <v/>
      </c>
      <c r="BW454" s="49">
        <f>IF($A454="","",IF($B454="","qty, ","")&amp;IF($C454="","scope, ","")&amp;IF(OR($K454="",$M454=""),"size, ","")&amp;IF(AND($A454&lt;&gt;"",$C454&lt;&gt;"DOOR ONLY"),IF($U454="","jamb depth, ","")&amp;IF($X454="","construction, ","")&amp;IF($Y454="","anchor, ","")&amp;IF($S454="","frame type, ",""),"")&amp;IF(AND(N($BC454)&gt;0,$Z454=""),"hand, ","")&amp;IF(N($BC454)&gt;0,IF($AH454="","door material, ","")&amp;IF($AL454="","face type, ","")&amp;IF($AQ454="","lock prep, ","")&amp;IF(AND($AP454="",$AC454=""),"hinge prep, ",""),"")&amp;IF(AND($BO454&gt;0,$AH454="FRP"),"FRP cannot carry a label, ","")&amp;IF(AND($O454="Y",OR($Z454="L",$Z454="R",$Z454="LR",$Z454="RR")),"pair marked but hand is single, ","")&amp;IF(AND($O454&lt;&gt;"Y",OR($Z454="PR",AND(LEN($Z454)&gt;1,ISNUMBER(SEARCH("-",$Z454))))),"pair hand on a single door, ","")&amp;IF(AND(ISNUMBER($BP454),$BO454&lt;N($BP454)),"wall needs a "&amp;$BP454&amp;" min door, ","")&amp;IF(AND($BO454&gt;=180,AND(OR($BL454="FG",$BL454="HG",$BL454="FNV",$BL454="FV"),N($BM454)*N($BN454)&gt;100)),"180 min lite over 100 sq in, ","")&amp;IF(N($BD454)&gt;48,"leaf wider than 4'-0"&amp;CHAR(34)&amp;", ",""))</f>
        <v/>
      </c>
      <c r="BX454" s="49">
        <f>IF($A454="","",IF(AND($BO454&gt;0,AND($A454&lt;&gt;"",$C454&lt;&gt;"DOOR ONLY"),$X454="KD",$E454="EXTERIOR"),"KD label on an exterior opening, ","")&amp;IF(AND($E454="EXTERIOR",OR(AND(AND($A454&lt;&gt;"",$C454&lt;&gt;"DOOR ONLY"),$W454="CR"),AND(N($BC454)&gt;0,$AH454="CR"))),"exterior in CR steel (G9?), ","")&amp;IF(AND(ISNUMBER($BJ454),N($BJ454)&lt;32),"clear width ~"&amp;TEXT($BJ454,"0.0")&amp;CHAR(34)&amp;" under 32"&amp;CHAR(34)&amp;" (ADA), ","")&amp;IF(AND($BO454=90,AND(OR($BL454="FG",$BL454="HG",$BL454="FNV",$BL454="FV"),N($BM454)*N($BN454)&gt;100)),"90 min lite over 100 sq in (stair/exit), ","")&amp;IF(AND($BO454&gt;0,AND($A454&lt;&gt;"",$C454&lt;&gt;"DOOR ONLY"),OR($AF454="",$AF454="-")),"rated: closer reinf.?, ","")&amp;IF(OR($I454="CORRIDOR",$I454="SMOKE BARRIER"),"S label + smoke gasketing, ","")&amp;IF($BP454="?","wall type/hr not in IBC table, ","")&amp;IF(AND(N($BC454)&gt;0,$AU454=""),"no hardware set, ","")&amp;IF(AND($AU454&lt;&gt;"",ISNA(MATCH($AU454,HWSets,0))),"set "&amp;$AU454&amp;" not on Hardware sheet, ","")&amp;IF(N($BE454)&gt;96,"leaf over 8'-0"&amp;CHAR(34)&amp;" - check listing, ",""))</f>
        <v/>
      </c>
    </row>
    <row r="455" ht="15" customHeight="1">
      <c r="A455" s="44" t="n"/>
      <c r="B455" s="45" t="n"/>
      <c r="C455" s="45" t="n"/>
      <c r="D455" s="45" t="n"/>
      <c r="E455" s="45" t="n"/>
      <c r="F455" s="45" t="n"/>
      <c r="G455" s="45" t="n"/>
      <c r="H455" s="45" t="n"/>
      <c r="I455" s="45" t="n"/>
      <c r="J455" s="45" t="n"/>
      <c r="K455" s="45" t="n"/>
      <c r="L455" s="45" t="n"/>
      <c r="M455" s="45" t="n"/>
      <c r="N455" s="45" t="n"/>
      <c r="O455" s="45" t="n"/>
      <c r="P455" s="45" t="n"/>
      <c r="Q455" s="45" t="n"/>
      <c r="R455" s="45" t="n"/>
      <c r="S455" s="46" t="n"/>
      <c r="T455" s="46" t="n"/>
      <c r="U455" s="46" t="n"/>
      <c r="V455" s="46" t="n"/>
      <c r="W455" s="46" t="n"/>
      <c r="X455" s="46" t="n"/>
      <c r="Y455" s="46" t="n"/>
      <c r="Z455" s="46" t="n"/>
      <c r="AA455" s="46" t="n"/>
      <c r="AB455" s="46" t="n"/>
      <c r="AC455" s="46" t="n"/>
      <c r="AD455" s="46" t="n"/>
      <c r="AE455" s="46" t="n"/>
      <c r="AF455" s="46" t="n"/>
      <c r="AG455" s="46" t="n"/>
      <c r="AH455" s="47" t="n"/>
      <c r="AI455" s="47" t="n"/>
      <c r="AJ455" s="47" t="n"/>
      <c r="AK455" s="47" t="n"/>
      <c r="AL455" s="47" t="n"/>
      <c r="AM455" s="47" t="n"/>
      <c r="AN455" s="47" t="n"/>
      <c r="AO455" s="47" t="n"/>
      <c r="AP455" s="47" t="n"/>
      <c r="AQ455" s="47" t="n"/>
      <c r="AR455" s="47" t="n"/>
      <c r="AS455" s="47" t="n"/>
      <c r="AT455" s="47" t="n"/>
      <c r="AU455" s="48" t="n"/>
      <c r="AV455" s="48" t="n"/>
      <c r="AW455" s="49">
        <f>IF($A455="","",IF($BW455&lt;&gt;"","FIX",IF($BX455&lt;&gt;"","CHECK","OK")))</f>
        <v/>
      </c>
      <c r="AX455" s="50">
        <f>IF($A455="","",IF($BW455&lt;&gt;"","FIX: "&amp;LEFT($BW455,LEN($BW455)-2)&amp;IF($BX455&lt;&gt;"","  ·  ",""),"")&amp;IF($BX455&lt;&gt;"","CHECK: "&amp;LEFT($BX455,LEN($BX455)-2),""))</f>
        <v/>
      </c>
      <c r="AY455" s="49">
        <f>IF(OR($A455="",$K455=""),"",$K455&amp;"'-"&amp;N($L455)&amp;CHAR(34)&amp;" x "&amp;$M455&amp;"'-"&amp;N($N455)&amp;CHAR(34))</f>
        <v/>
      </c>
      <c r="AZ455" s="49">
        <f>IF(OR($A455="",$K455=""),"",$K455&amp;N($L455)&amp;$M455&amp;N($N455))</f>
        <v/>
      </c>
      <c r="BA455" s="49">
        <f>IF(OR($A455="",$K455=""),"",$K455*12+N($L455))</f>
        <v/>
      </c>
      <c r="BB455" s="49">
        <f>IF(OR($A455="",$M455=""),"",$M455*12+N($N455))</f>
        <v/>
      </c>
      <c r="BC455" s="49">
        <f>IF($A455="","",IF(OR($C455="FRAME ONLY",$S455="BL"),0,IF($O455="Y",2,1)))</f>
        <v/>
      </c>
      <c r="BD455" s="51">
        <f>IF(OR(N($BC455)=0,$BA455=""),"",($BA455-2*EdgeClr-IF($BC455=2,MeetClr,0))/$BC455)</f>
        <v/>
      </c>
      <c r="BE455" s="51">
        <f>IF(OR(N($BC455)=0,$BB455=""),"",$BB455-HeadClr-Undercut)</f>
        <v/>
      </c>
      <c r="BF455" s="51">
        <f>IF($BA455="","",$BA455+2*FaceW+IF(N($Q455)&gt;0,($Q455+FaceW)*IF($R455="LR",2,1),0))</f>
        <v/>
      </c>
      <c r="BG455" s="51">
        <f>IF($BB455="","",$BB455+IF($AB455="Y",4,FaceW)+IF(N($P455)&gt;0,$P455+FaceW,0)+IF(OR($S455="4F",$S455="BL"),FaceW,0))</f>
        <v/>
      </c>
      <c r="BH455" s="51">
        <f>IF($BF455="","",$BF455+2*ROSide)</f>
        <v/>
      </c>
      <c r="BI455" s="51">
        <f>IF($BG455="","",$BG455+ROTop)</f>
        <v/>
      </c>
      <c r="BJ455" s="52">
        <f>IF(OR(N($BC455)=0,$BA455=""),"",$BA455/$BC455-ClearDeduct)</f>
        <v/>
      </c>
      <c r="BK455" s="49">
        <f>IF(OR(N($BC455)=0,$BE455=""),"",IF(OR($AC455="HGC",$AP455="HGC"),"CONT",IF($BE455&lt;=60,2,IF($BE455&lt;=90,3,IF($BE455&lt;=120,4,5)))))</f>
        <v/>
      </c>
      <c r="BL455" s="49">
        <f>IF(N($BC455)=0,"",IF(OR($AL455="",$AL455="FLUSH"),"FLUSH",IFERROR(LEFT($AL455,FIND("-",$AL455)-1),LEFT($AL455,2))))</f>
        <v/>
      </c>
      <c r="BM455" s="49">
        <f>IF($BL455="","",IFERROR(VALUE(MID($AL455,FIND("-",$AL455)+1,FIND(CHAR(34)&amp;"x",$AL455)-FIND("-",$AL455)-1)),0))</f>
        <v/>
      </c>
      <c r="BN455" s="49">
        <f>IF($BL455="","",IFERROR(VALUE(MID($AL455,FIND(CHAR(34)&amp;"x",$AL455)+2,FIND(CHAR(34),$AL455,FIND(CHAR(34)&amp;"x",$AL455)+2)-FIND(CHAR(34)&amp;"x",$AL455)-2)),0))</f>
        <v/>
      </c>
      <c r="BO455" s="53">
        <f>IF(OR($A455="",$H455="",$H455="NO LAB"),0,IFERROR(VALUE(LEFT($H455,FIND(" ",$H455)-1)),0))</f>
        <v/>
      </c>
      <c r="BP455" s="54">
        <f>IF(OR($A455="",$I455="",$I455="NON-RATED",N($J455)=0),"",IFERROR(VLOOKUP($I455&amp;"|"&amp;$J455,IBC,2,FALSE),"?"))</f>
        <v/>
      </c>
      <c r="BQ455" s="50">
        <f>IF(NOT(AND($A455&lt;&gt;"",$C455&lt;&gt;"DOOR ONLY")),"",TRIM(IFERROR(VLOOKUP($U455,CODES,2,FALSE),"")&amp;" "&amp;$AZ455&amp;" "&amp;IFERROR(VLOOKUP($Z455,CODES,2,FALSE),"")&amp;" "&amp;IFERROR(VLOOKUP($X455,CODES,2,FALSE),"")&amp;" "&amp;IFERROR(VLOOKUP($S455,CODES,2,FALSE),"")&amp;IF(N($P455)&gt;0," w/TRANSOM "&amp;$P455&amp;CHAR(34),"")&amp;IF(N($Q455)&gt;0," w/SIDELITE "&amp;$Q455&amp;CHAR(34)&amp;" "&amp;IF($R455="","R",$R455),"")&amp;IF($Y455="","  |  "," | "&amp;IFERROR(VLOOKUP($Y455,CODES,2,FALSE),"")&amp;" | ")&amp;IFERROR(VLOOKUP($AC455,CODES,2,FALSE),"")&amp;" "&amp;IFERROR(VLOOKUP($AD455,CODES,2,FALSE),"")&amp;IF(OR($AE455="",$AE455="-"),""," "&amp;$AE455)&amp;IF(OR($AF455="",$AF455="-"),""," "&amp;$AF455)&amp;IF($AB455="Y"," 4"&amp;CHAR(34)&amp;" HEAD","")&amp;" "&amp;IFERROR(VLOOKUP($H455,CODES,2,FALSE),"")))</f>
        <v/>
      </c>
      <c r="BR455" s="50">
        <f>IF(NOT(AND($A455&lt;&gt;"",N($BC455)&gt;0)),"",TRIM(IFERROR(VLOOKUP($AH455,CODES,2,FALSE),"")&amp;IF($AI455=""," "," "&amp;$AI455&amp;"GA ")&amp;$AZ455&amp;" "&amp;IF($AN455="",IFERROR(VLOOKUP($Z455,CODES,2,FALSE),""),IFERROR(VLOOKUP($AN455,CODES,2,FALSE),""))&amp;IF($BC455=2," PAIR","")&amp;" DOOR | "&amp;IF($AL455="","?",$AL455)&amp;" | "&amp;IF($AP455="",IFERROR(VLOOKUP($AC455,CODES,2,FALSE),""),IFERROR(VLOOKUP($AP455,CODES,2,FALSE),""))&amp;" "&amp;IFERROR(VLOOKUP($AQ455,CODES,2,FALSE),"")&amp;IF(OR($AR455="",$AR455="-"),""," SEAM "&amp;$AR455)&amp;IF($AS455="Y"," ASTRAGAL","")&amp;IF($AJ455=""," "," "&amp;$AJ455)&amp;IF($AK455=""," "," "&amp;$AK455)&amp;IF($AO455="",""," "&amp;$AO455)&amp;IF($AM455=""," "," SERIES "&amp;$AM455)&amp;" "&amp;IFERROR(VLOOKUP($H455,CODES,2,FALSE),"")))</f>
        <v/>
      </c>
      <c r="BS455" s="49">
        <f>IF(BV455="","",IF(COUNTIF($BV$6:BV455,BV455)=1,MAX($BS$5:BS454)+1,INDEX($BS$5:BS454,MATCH(BV455,$BV$5:BV454,0))))</f>
        <v/>
      </c>
      <c r="BT455" s="49">
        <f>IF(NOT(AND($A455&lt;&gt;"",$C455&lt;&gt;"DOOR ONLY")),"",MAX($BT$5:BT454)+1)</f>
        <v/>
      </c>
      <c r="BU455" s="49">
        <f>IF(NOT(AND($A455&lt;&gt;"",N($BC455)&gt;0)),"",MAX($BU$5:BU454)+1)</f>
        <v/>
      </c>
      <c r="BV455" s="49">
        <f>IF(OR($A455="",$BA455="",$BB455=""),"",$AZ455&amp;"|"&amp;$O455&amp;"|"&amp;$AL455&amp;"|"&amp;$S455&amp;"|"&amp;$P455&amp;"|"&amp;$Q455&amp;$R455&amp;"|"&amp;$C455&amp;"|"&amp;$AB455)</f>
        <v/>
      </c>
      <c r="BW455" s="49">
        <f>IF($A455="","",IF($B455="","qty, ","")&amp;IF($C455="","scope, ","")&amp;IF(OR($K455="",$M455=""),"size, ","")&amp;IF(AND($A455&lt;&gt;"",$C455&lt;&gt;"DOOR ONLY"),IF($U455="","jamb depth, ","")&amp;IF($X455="","construction, ","")&amp;IF($Y455="","anchor, ","")&amp;IF($S455="","frame type, ",""),"")&amp;IF(AND(N($BC455)&gt;0,$Z455=""),"hand, ","")&amp;IF(N($BC455)&gt;0,IF($AH455="","door material, ","")&amp;IF($AL455="","face type, ","")&amp;IF($AQ455="","lock prep, ","")&amp;IF(AND($AP455="",$AC455=""),"hinge prep, ",""),"")&amp;IF(AND($BO455&gt;0,$AH455="FRP"),"FRP cannot carry a label, ","")&amp;IF(AND($O455="Y",OR($Z455="L",$Z455="R",$Z455="LR",$Z455="RR")),"pair marked but hand is single, ","")&amp;IF(AND($O455&lt;&gt;"Y",OR($Z455="PR",AND(LEN($Z455)&gt;1,ISNUMBER(SEARCH("-",$Z455))))),"pair hand on a single door, ","")&amp;IF(AND(ISNUMBER($BP455),$BO455&lt;N($BP455)),"wall needs a "&amp;$BP455&amp;" min door, ","")&amp;IF(AND($BO455&gt;=180,AND(OR($BL455="FG",$BL455="HG",$BL455="FNV",$BL455="FV"),N($BM455)*N($BN455)&gt;100)),"180 min lite over 100 sq in, ","")&amp;IF(N($BD455)&gt;48,"leaf wider than 4'-0"&amp;CHAR(34)&amp;", ",""))</f>
        <v/>
      </c>
      <c r="BX455" s="49">
        <f>IF($A455="","",IF(AND($BO455&gt;0,AND($A455&lt;&gt;"",$C455&lt;&gt;"DOOR ONLY"),$X455="KD",$E455="EXTERIOR"),"KD label on an exterior opening, ","")&amp;IF(AND($E455="EXTERIOR",OR(AND(AND($A455&lt;&gt;"",$C455&lt;&gt;"DOOR ONLY"),$W455="CR"),AND(N($BC455)&gt;0,$AH455="CR"))),"exterior in CR steel (G9?), ","")&amp;IF(AND(ISNUMBER($BJ455),N($BJ455)&lt;32),"clear width ~"&amp;TEXT($BJ455,"0.0")&amp;CHAR(34)&amp;" under 32"&amp;CHAR(34)&amp;" (ADA), ","")&amp;IF(AND($BO455=90,AND(OR($BL455="FG",$BL455="HG",$BL455="FNV",$BL455="FV"),N($BM455)*N($BN455)&gt;100)),"90 min lite over 100 sq in (stair/exit), ","")&amp;IF(AND($BO455&gt;0,AND($A455&lt;&gt;"",$C455&lt;&gt;"DOOR ONLY"),OR($AF455="",$AF455="-")),"rated: closer reinf.?, ","")&amp;IF(OR($I455="CORRIDOR",$I455="SMOKE BARRIER"),"S label + smoke gasketing, ","")&amp;IF($BP455="?","wall type/hr not in IBC table, ","")&amp;IF(AND(N($BC455)&gt;0,$AU455=""),"no hardware set, ","")&amp;IF(AND($AU455&lt;&gt;"",ISNA(MATCH($AU455,HWSets,0))),"set "&amp;$AU455&amp;" not on Hardware sheet, ","")&amp;IF(N($BE455)&gt;96,"leaf over 8'-0"&amp;CHAR(34)&amp;" - check listing, ",""))</f>
        <v/>
      </c>
    </row>
    <row r="456" ht="15" customHeight="1">
      <c r="A456" s="44" t="n"/>
      <c r="B456" s="45" t="n"/>
      <c r="C456" s="45" t="n"/>
      <c r="D456" s="45" t="n"/>
      <c r="E456" s="45" t="n"/>
      <c r="F456" s="45" t="n"/>
      <c r="G456" s="45" t="n"/>
      <c r="H456" s="45" t="n"/>
      <c r="I456" s="45" t="n"/>
      <c r="J456" s="45" t="n"/>
      <c r="K456" s="45" t="n"/>
      <c r="L456" s="45" t="n"/>
      <c r="M456" s="45" t="n"/>
      <c r="N456" s="45" t="n"/>
      <c r="O456" s="45" t="n"/>
      <c r="P456" s="45" t="n"/>
      <c r="Q456" s="45" t="n"/>
      <c r="R456" s="45" t="n"/>
      <c r="S456" s="46" t="n"/>
      <c r="T456" s="46" t="n"/>
      <c r="U456" s="46" t="n"/>
      <c r="V456" s="46" t="n"/>
      <c r="W456" s="46" t="n"/>
      <c r="X456" s="46" t="n"/>
      <c r="Y456" s="46" t="n"/>
      <c r="Z456" s="46" t="n"/>
      <c r="AA456" s="46" t="n"/>
      <c r="AB456" s="46" t="n"/>
      <c r="AC456" s="46" t="n"/>
      <c r="AD456" s="46" t="n"/>
      <c r="AE456" s="46" t="n"/>
      <c r="AF456" s="46" t="n"/>
      <c r="AG456" s="46" t="n"/>
      <c r="AH456" s="47" t="n"/>
      <c r="AI456" s="47" t="n"/>
      <c r="AJ456" s="47" t="n"/>
      <c r="AK456" s="47" t="n"/>
      <c r="AL456" s="47" t="n"/>
      <c r="AM456" s="47" t="n"/>
      <c r="AN456" s="47" t="n"/>
      <c r="AO456" s="47" t="n"/>
      <c r="AP456" s="47" t="n"/>
      <c r="AQ456" s="47" t="n"/>
      <c r="AR456" s="47" t="n"/>
      <c r="AS456" s="47" t="n"/>
      <c r="AT456" s="47" t="n"/>
      <c r="AU456" s="48" t="n"/>
      <c r="AV456" s="48" t="n"/>
      <c r="AW456" s="49">
        <f>IF($A456="","",IF($BW456&lt;&gt;"","FIX",IF($BX456&lt;&gt;"","CHECK","OK")))</f>
        <v/>
      </c>
      <c r="AX456" s="50">
        <f>IF($A456="","",IF($BW456&lt;&gt;"","FIX: "&amp;LEFT($BW456,LEN($BW456)-2)&amp;IF($BX456&lt;&gt;"","  ·  ",""),"")&amp;IF($BX456&lt;&gt;"","CHECK: "&amp;LEFT($BX456,LEN($BX456)-2),""))</f>
        <v/>
      </c>
      <c r="AY456" s="49">
        <f>IF(OR($A456="",$K456=""),"",$K456&amp;"'-"&amp;N($L456)&amp;CHAR(34)&amp;" x "&amp;$M456&amp;"'-"&amp;N($N456)&amp;CHAR(34))</f>
        <v/>
      </c>
      <c r="AZ456" s="49">
        <f>IF(OR($A456="",$K456=""),"",$K456&amp;N($L456)&amp;$M456&amp;N($N456))</f>
        <v/>
      </c>
      <c r="BA456" s="49">
        <f>IF(OR($A456="",$K456=""),"",$K456*12+N($L456))</f>
        <v/>
      </c>
      <c r="BB456" s="49">
        <f>IF(OR($A456="",$M456=""),"",$M456*12+N($N456))</f>
        <v/>
      </c>
      <c r="BC456" s="49">
        <f>IF($A456="","",IF(OR($C456="FRAME ONLY",$S456="BL"),0,IF($O456="Y",2,1)))</f>
        <v/>
      </c>
      <c r="BD456" s="51">
        <f>IF(OR(N($BC456)=0,$BA456=""),"",($BA456-2*EdgeClr-IF($BC456=2,MeetClr,0))/$BC456)</f>
        <v/>
      </c>
      <c r="BE456" s="51">
        <f>IF(OR(N($BC456)=0,$BB456=""),"",$BB456-HeadClr-Undercut)</f>
        <v/>
      </c>
      <c r="BF456" s="51">
        <f>IF($BA456="","",$BA456+2*FaceW+IF(N($Q456)&gt;0,($Q456+FaceW)*IF($R456="LR",2,1),0))</f>
        <v/>
      </c>
      <c r="BG456" s="51">
        <f>IF($BB456="","",$BB456+IF($AB456="Y",4,FaceW)+IF(N($P456)&gt;0,$P456+FaceW,0)+IF(OR($S456="4F",$S456="BL"),FaceW,0))</f>
        <v/>
      </c>
      <c r="BH456" s="51">
        <f>IF($BF456="","",$BF456+2*ROSide)</f>
        <v/>
      </c>
      <c r="BI456" s="51">
        <f>IF($BG456="","",$BG456+ROTop)</f>
        <v/>
      </c>
      <c r="BJ456" s="52">
        <f>IF(OR(N($BC456)=0,$BA456=""),"",$BA456/$BC456-ClearDeduct)</f>
        <v/>
      </c>
      <c r="BK456" s="49">
        <f>IF(OR(N($BC456)=0,$BE456=""),"",IF(OR($AC456="HGC",$AP456="HGC"),"CONT",IF($BE456&lt;=60,2,IF($BE456&lt;=90,3,IF($BE456&lt;=120,4,5)))))</f>
        <v/>
      </c>
      <c r="BL456" s="49">
        <f>IF(N($BC456)=0,"",IF(OR($AL456="",$AL456="FLUSH"),"FLUSH",IFERROR(LEFT($AL456,FIND("-",$AL456)-1),LEFT($AL456,2))))</f>
        <v/>
      </c>
      <c r="BM456" s="49">
        <f>IF($BL456="","",IFERROR(VALUE(MID($AL456,FIND("-",$AL456)+1,FIND(CHAR(34)&amp;"x",$AL456)-FIND("-",$AL456)-1)),0))</f>
        <v/>
      </c>
      <c r="BN456" s="49">
        <f>IF($BL456="","",IFERROR(VALUE(MID($AL456,FIND(CHAR(34)&amp;"x",$AL456)+2,FIND(CHAR(34),$AL456,FIND(CHAR(34)&amp;"x",$AL456)+2)-FIND(CHAR(34)&amp;"x",$AL456)-2)),0))</f>
        <v/>
      </c>
      <c r="BO456" s="53">
        <f>IF(OR($A456="",$H456="",$H456="NO LAB"),0,IFERROR(VALUE(LEFT($H456,FIND(" ",$H456)-1)),0))</f>
        <v/>
      </c>
      <c r="BP456" s="54">
        <f>IF(OR($A456="",$I456="",$I456="NON-RATED",N($J456)=0),"",IFERROR(VLOOKUP($I456&amp;"|"&amp;$J456,IBC,2,FALSE),"?"))</f>
        <v/>
      </c>
      <c r="BQ456" s="50">
        <f>IF(NOT(AND($A456&lt;&gt;"",$C456&lt;&gt;"DOOR ONLY")),"",TRIM(IFERROR(VLOOKUP($U456,CODES,2,FALSE),"")&amp;" "&amp;$AZ456&amp;" "&amp;IFERROR(VLOOKUP($Z456,CODES,2,FALSE),"")&amp;" "&amp;IFERROR(VLOOKUP($X456,CODES,2,FALSE),"")&amp;" "&amp;IFERROR(VLOOKUP($S456,CODES,2,FALSE),"")&amp;IF(N($P456)&gt;0," w/TRANSOM "&amp;$P456&amp;CHAR(34),"")&amp;IF(N($Q456)&gt;0," w/SIDELITE "&amp;$Q456&amp;CHAR(34)&amp;" "&amp;IF($R456="","R",$R456),"")&amp;IF($Y456="","  |  "," | "&amp;IFERROR(VLOOKUP($Y456,CODES,2,FALSE),"")&amp;" | ")&amp;IFERROR(VLOOKUP($AC456,CODES,2,FALSE),"")&amp;" "&amp;IFERROR(VLOOKUP($AD456,CODES,2,FALSE),"")&amp;IF(OR($AE456="",$AE456="-"),""," "&amp;$AE456)&amp;IF(OR($AF456="",$AF456="-"),""," "&amp;$AF456)&amp;IF($AB456="Y"," 4"&amp;CHAR(34)&amp;" HEAD","")&amp;" "&amp;IFERROR(VLOOKUP($H456,CODES,2,FALSE),"")))</f>
        <v/>
      </c>
      <c r="BR456" s="50">
        <f>IF(NOT(AND($A456&lt;&gt;"",N($BC456)&gt;0)),"",TRIM(IFERROR(VLOOKUP($AH456,CODES,2,FALSE),"")&amp;IF($AI456=""," "," "&amp;$AI456&amp;"GA ")&amp;$AZ456&amp;" "&amp;IF($AN456="",IFERROR(VLOOKUP($Z456,CODES,2,FALSE),""),IFERROR(VLOOKUP($AN456,CODES,2,FALSE),""))&amp;IF($BC456=2," PAIR","")&amp;" DOOR | "&amp;IF($AL456="","?",$AL456)&amp;" | "&amp;IF($AP456="",IFERROR(VLOOKUP($AC456,CODES,2,FALSE),""),IFERROR(VLOOKUP($AP456,CODES,2,FALSE),""))&amp;" "&amp;IFERROR(VLOOKUP($AQ456,CODES,2,FALSE),"")&amp;IF(OR($AR456="",$AR456="-"),""," SEAM "&amp;$AR456)&amp;IF($AS456="Y"," ASTRAGAL","")&amp;IF($AJ456=""," "," "&amp;$AJ456)&amp;IF($AK456=""," "," "&amp;$AK456)&amp;IF($AO456="",""," "&amp;$AO456)&amp;IF($AM456=""," "," SERIES "&amp;$AM456)&amp;" "&amp;IFERROR(VLOOKUP($H456,CODES,2,FALSE),"")))</f>
        <v/>
      </c>
      <c r="BS456" s="49">
        <f>IF(BV456="","",IF(COUNTIF($BV$6:BV456,BV456)=1,MAX($BS$5:BS455)+1,INDEX($BS$5:BS455,MATCH(BV456,$BV$5:BV455,0))))</f>
        <v/>
      </c>
      <c r="BT456" s="49">
        <f>IF(NOT(AND($A456&lt;&gt;"",$C456&lt;&gt;"DOOR ONLY")),"",MAX($BT$5:BT455)+1)</f>
        <v/>
      </c>
      <c r="BU456" s="49">
        <f>IF(NOT(AND($A456&lt;&gt;"",N($BC456)&gt;0)),"",MAX($BU$5:BU455)+1)</f>
        <v/>
      </c>
      <c r="BV456" s="49">
        <f>IF(OR($A456="",$BA456="",$BB456=""),"",$AZ456&amp;"|"&amp;$O456&amp;"|"&amp;$AL456&amp;"|"&amp;$S456&amp;"|"&amp;$P456&amp;"|"&amp;$Q456&amp;$R456&amp;"|"&amp;$C456&amp;"|"&amp;$AB456)</f>
        <v/>
      </c>
      <c r="BW456" s="49">
        <f>IF($A456="","",IF($B456="","qty, ","")&amp;IF($C456="","scope, ","")&amp;IF(OR($K456="",$M456=""),"size, ","")&amp;IF(AND($A456&lt;&gt;"",$C456&lt;&gt;"DOOR ONLY"),IF($U456="","jamb depth, ","")&amp;IF($X456="","construction, ","")&amp;IF($Y456="","anchor, ","")&amp;IF($S456="","frame type, ",""),"")&amp;IF(AND(N($BC456)&gt;0,$Z456=""),"hand, ","")&amp;IF(N($BC456)&gt;0,IF($AH456="","door material, ","")&amp;IF($AL456="","face type, ","")&amp;IF($AQ456="","lock prep, ","")&amp;IF(AND($AP456="",$AC456=""),"hinge prep, ",""),"")&amp;IF(AND($BO456&gt;0,$AH456="FRP"),"FRP cannot carry a label, ","")&amp;IF(AND($O456="Y",OR($Z456="L",$Z456="R",$Z456="LR",$Z456="RR")),"pair marked but hand is single, ","")&amp;IF(AND($O456&lt;&gt;"Y",OR($Z456="PR",AND(LEN($Z456)&gt;1,ISNUMBER(SEARCH("-",$Z456))))),"pair hand on a single door, ","")&amp;IF(AND(ISNUMBER($BP456),$BO456&lt;N($BP456)),"wall needs a "&amp;$BP456&amp;" min door, ","")&amp;IF(AND($BO456&gt;=180,AND(OR($BL456="FG",$BL456="HG",$BL456="FNV",$BL456="FV"),N($BM456)*N($BN456)&gt;100)),"180 min lite over 100 sq in, ","")&amp;IF(N($BD456)&gt;48,"leaf wider than 4'-0"&amp;CHAR(34)&amp;", ",""))</f>
        <v/>
      </c>
      <c r="BX456" s="49">
        <f>IF($A456="","",IF(AND($BO456&gt;0,AND($A456&lt;&gt;"",$C456&lt;&gt;"DOOR ONLY"),$X456="KD",$E456="EXTERIOR"),"KD label on an exterior opening, ","")&amp;IF(AND($E456="EXTERIOR",OR(AND(AND($A456&lt;&gt;"",$C456&lt;&gt;"DOOR ONLY"),$W456="CR"),AND(N($BC456)&gt;0,$AH456="CR"))),"exterior in CR steel (G9?), ","")&amp;IF(AND(ISNUMBER($BJ456),N($BJ456)&lt;32),"clear width ~"&amp;TEXT($BJ456,"0.0")&amp;CHAR(34)&amp;" under 32"&amp;CHAR(34)&amp;" (ADA), ","")&amp;IF(AND($BO456=90,AND(OR($BL456="FG",$BL456="HG",$BL456="FNV",$BL456="FV"),N($BM456)*N($BN456)&gt;100)),"90 min lite over 100 sq in (stair/exit), ","")&amp;IF(AND($BO456&gt;0,AND($A456&lt;&gt;"",$C456&lt;&gt;"DOOR ONLY"),OR($AF456="",$AF456="-")),"rated: closer reinf.?, ","")&amp;IF(OR($I456="CORRIDOR",$I456="SMOKE BARRIER"),"S label + smoke gasketing, ","")&amp;IF($BP456="?","wall type/hr not in IBC table, ","")&amp;IF(AND(N($BC456)&gt;0,$AU456=""),"no hardware set, ","")&amp;IF(AND($AU456&lt;&gt;"",ISNA(MATCH($AU456,HWSets,0))),"set "&amp;$AU456&amp;" not on Hardware sheet, ","")&amp;IF(N($BE456)&gt;96,"leaf over 8'-0"&amp;CHAR(34)&amp;" - check listing, ",""))</f>
        <v/>
      </c>
    </row>
    <row r="457" ht="15" customHeight="1">
      <c r="A457" s="44" t="n"/>
      <c r="B457" s="45" t="n"/>
      <c r="C457" s="45" t="n"/>
      <c r="D457" s="45" t="n"/>
      <c r="E457" s="45" t="n"/>
      <c r="F457" s="45" t="n"/>
      <c r="G457" s="45" t="n"/>
      <c r="H457" s="45" t="n"/>
      <c r="I457" s="45" t="n"/>
      <c r="J457" s="45" t="n"/>
      <c r="K457" s="45" t="n"/>
      <c r="L457" s="45" t="n"/>
      <c r="M457" s="45" t="n"/>
      <c r="N457" s="45" t="n"/>
      <c r="O457" s="45" t="n"/>
      <c r="P457" s="45" t="n"/>
      <c r="Q457" s="45" t="n"/>
      <c r="R457" s="45" t="n"/>
      <c r="S457" s="46" t="n"/>
      <c r="T457" s="46" t="n"/>
      <c r="U457" s="46" t="n"/>
      <c r="V457" s="46" t="n"/>
      <c r="W457" s="46" t="n"/>
      <c r="X457" s="46" t="n"/>
      <c r="Y457" s="46" t="n"/>
      <c r="Z457" s="46" t="n"/>
      <c r="AA457" s="46" t="n"/>
      <c r="AB457" s="46" t="n"/>
      <c r="AC457" s="46" t="n"/>
      <c r="AD457" s="46" t="n"/>
      <c r="AE457" s="46" t="n"/>
      <c r="AF457" s="46" t="n"/>
      <c r="AG457" s="46" t="n"/>
      <c r="AH457" s="47" t="n"/>
      <c r="AI457" s="47" t="n"/>
      <c r="AJ457" s="47" t="n"/>
      <c r="AK457" s="47" t="n"/>
      <c r="AL457" s="47" t="n"/>
      <c r="AM457" s="47" t="n"/>
      <c r="AN457" s="47" t="n"/>
      <c r="AO457" s="47" t="n"/>
      <c r="AP457" s="47" t="n"/>
      <c r="AQ457" s="47" t="n"/>
      <c r="AR457" s="47" t="n"/>
      <c r="AS457" s="47" t="n"/>
      <c r="AT457" s="47" t="n"/>
      <c r="AU457" s="48" t="n"/>
      <c r="AV457" s="48" t="n"/>
      <c r="AW457" s="49">
        <f>IF($A457="","",IF($BW457&lt;&gt;"","FIX",IF($BX457&lt;&gt;"","CHECK","OK")))</f>
        <v/>
      </c>
      <c r="AX457" s="50">
        <f>IF($A457="","",IF($BW457&lt;&gt;"","FIX: "&amp;LEFT($BW457,LEN($BW457)-2)&amp;IF($BX457&lt;&gt;"","  ·  ",""),"")&amp;IF($BX457&lt;&gt;"","CHECK: "&amp;LEFT($BX457,LEN($BX457)-2),""))</f>
        <v/>
      </c>
      <c r="AY457" s="49">
        <f>IF(OR($A457="",$K457=""),"",$K457&amp;"'-"&amp;N($L457)&amp;CHAR(34)&amp;" x "&amp;$M457&amp;"'-"&amp;N($N457)&amp;CHAR(34))</f>
        <v/>
      </c>
      <c r="AZ457" s="49">
        <f>IF(OR($A457="",$K457=""),"",$K457&amp;N($L457)&amp;$M457&amp;N($N457))</f>
        <v/>
      </c>
      <c r="BA457" s="49">
        <f>IF(OR($A457="",$K457=""),"",$K457*12+N($L457))</f>
        <v/>
      </c>
      <c r="BB457" s="49">
        <f>IF(OR($A457="",$M457=""),"",$M457*12+N($N457))</f>
        <v/>
      </c>
      <c r="BC457" s="49">
        <f>IF($A457="","",IF(OR($C457="FRAME ONLY",$S457="BL"),0,IF($O457="Y",2,1)))</f>
        <v/>
      </c>
      <c r="BD457" s="51">
        <f>IF(OR(N($BC457)=0,$BA457=""),"",($BA457-2*EdgeClr-IF($BC457=2,MeetClr,0))/$BC457)</f>
        <v/>
      </c>
      <c r="BE457" s="51">
        <f>IF(OR(N($BC457)=0,$BB457=""),"",$BB457-HeadClr-Undercut)</f>
        <v/>
      </c>
      <c r="BF457" s="51">
        <f>IF($BA457="","",$BA457+2*FaceW+IF(N($Q457)&gt;0,($Q457+FaceW)*IF($R457="LR",2,1),0))</f>
        <v/>
      </c>
      <c r="BG457" s="51">
        <f>IF($BB457="","",$BB457+IF($AB457="Y",4,FaceW)+IF(N($P457)&gt;0,$P457+FaceW,0)+IF(OR($S457="4F",$S457="BL"),FaceW,0))</f>
        <v/>
      </c>
      <c r="BH457" s="51">
        <f>IF($BF457="","",$BF457+2*ROSide)</f>
        <v/>
      </c>
      <c r="BI457" s="51">
        <f>IF($BG457="","",$BG457+ROTop)</f>
        <v/>
      </c>
      <c r="BJ457" s="52">
        <f>IF(OR(N($BC457)=0,$BA457=""),"",$BA457/$BC457-ClearDeduct)</f>
        <v/>
      </c>
      <c r="BK457" s="49">
        <f>IF(OR(N($BC457)=0,$BE457=""),"",IF(OR($AC457="HGC",$AP457="HGC"),"CONT",IF($BE457&lt;=60,2,IF($BE457&lt;=90,3,IF($BE457&lt;=120,4,5)))))</f>
        <v/>
      </c>
      <c r="BL457" s="49">
        <f>IF(N($BC457)=0,"",IF(OR($AL457="",$AL457="FLUSH"),"FLUSH",IFERROR(LEFT($AL457,FIND("-",$AL457)-1),LEFT($AL457,2))))</f>
        <v/>
      </c>
      <c r="BM457" s="49">
        <f>IF($BL457="","",IFERROR(VALUE(MID($AL457,FIND("-",$AL457)+1,FIND(CHAR(34)&amp;"x",$AL457)-FIND("-",$AL457)-1)),0))</f>
        <v/>
      </c>
      <c r="BN457" s="49">
        <f>IF($BL457="","",IFERROR(VALUE(MID($AL457,FIND(CHAR(34)&amp;"x",$AL457)+2,FIND(CHAR(34),$AL457,FIND(CHAR(34)&amp;"x",$AL457)+2)-FIND(CHAR(34)&amp;"x",$AL457)-2)),0))</f>
        <v/>
      </c>
      <c r="BO457" s="53">
        <f>IF(OR($A457="",$H457="",$H457="NO LAB"),0,IFERROR(VALUE(LEFT($H457,FIND(" ",$H457)-1)),0))</f>
        <v/>
      </c>
      <c r="BP457" s="54">
        <f>IF(OR($A457="",$I457="",$I457="NON-RATED",N($J457)=0),"",IFERROR(VLOOKUP($I457&amp;"|"&amp;$J457,IBC,2,FALSE),"?"))</f>
        <v/>
      </c>
      <c r="BQ457" s="50">
        <f>IF(NOT(AND($A457&lt;&gt;"",$C457&lt;&gt;"DOOR ONLY")),"",TRIM(IFERROR(VLOOKUP($U457,CODES,2,FALSE),"")&amp;" "&amp;$AZ457&amp;" "&amp;IFERROR(VLOOKUP($Z457,CODES,2,FALSE),"")&amp;" "&amp;IFERROR(VLOOKUP($X457,CODES,2,FALSE),"")&amp;" "&amp;IFERROR(VLOOKUP($S457,CODES,2,FALSE),"")&amp;IF(N($P457)&gt;0," w/TRANSOM "&amp;$P457&amp;CHAR(34),"")&amp;IF(N($Q457)&gt;0," w/SIDELITE "&amp;$Q457&amp;CHAR(34)&amp;" "&amp;IF($R457="","R",$R457),"")&amp;IF($Y457="","  |  "," | "&amp;IFERROR(VLOOKUP($Y457,CODES,2,FALSE),"")&amp;" | ")&amp;IFERROR(VLOOKUP($AC457,CODES,2,FALSE),"")&amp;" "&amp;IFERROR(VLOOKUP($AD457,CODES,2,FALSE),"")&amp;IF(OR($AE457="",$AE457="-"),""," "&amp;$AE457)&amp;IF(OR($AF457="",$AF457="-"),""," "&amp;$AF457)&amp;IF($AB457="Y"," 4"&amp;CHAR(34)&amp;" HEAD","")&amp;" "&amp;IFERROR(VLOOKUP($H457,CODES,2,FALSE),"")))</f>
        <v/>
      </c>
      <c r="BR457" s="50">
        <f>IF(NOT(AND($A457&lt;&gt;"",N($BC457)&gt;0)),"",TRIM(IFERROR(VLOOKUP($AH457,CODES,2,FALSE),"")&amp;IF($AI457=""," "," "&amp;$AI457&amp;"GA ")&amp;$AZ457&amp;" "&amp;IF($AN457="",IFERROR(VLOOKUP($Z457,CODES,2,FALSE),""),IFERROR(VLOOKUP($AN457,CODES,2,FALSE),""))&amp;IF($BC457=2," PAIR","")&amp;" DOOR | "&amp;IF($AL457="","?",$AL457)&amp;" | "&amp;IF($AP457="",IFERROR(VLOOKUP($AC457,CODES,2,FALSE),""),IFERROR(VLOOKUP($AP457,CODES,2,FALSE),""))&amp;" "&amp;IFERROR(VLOOKUP($AQ457,CODES,2,FALSE),"")&amp;IF(OR($AR457="",$AR457="-"),""," SEAM "&amp;$AR457)&amp;IF($AS457="Y"," ASTRAGAL","")&amp;IF($AJ457=""," "," "&amp;$AJ457)&amp;IF($AK457=""," "," "&amp;$AK457)&amp;IF($AO457="",""," "&amp;$AO457)&amp;IF($AM457=""," "," SERIES "&amp;$AM457)&amp;" "&amp;IFERROR(VLOOKUP($H457,CODES,2,FALSE),"")))</f>
        <v/>
      </c>
      <c r="BS457" s="49">
        <f>IF(BV457="","",IF(COUNTIF($BV$6:BV457,BV457)=1,MAX($BS$5:BS456)+1,INDEX($BS$5:BS456,MATCH(BV457,$BV$5:BV456,0))))</f>
        <v/>
      </c>
      <c r="BT457" s="49">
        <f>IF(NOT(AND($A457&lt;&gt;"",$C457&lt;&gt;"DOOR ONLY")),"",MAX($BT$5:BT456)+1)</f>
        <v/>
      </c>
      <c r="BU457" s="49">
        <f>IF(NOT(AND($A457&lt;&gt;"",N($BC457)&gt;0)),"",MAX($BU$5:BU456)+1)</f>
        <v/>
      </c>
      <c r="BV457" s="49">
        <f>IF(OR($A457="",$BA457="",$BB457=""),"",$AZ457&amp;"|"&amp;$O457&amp;"|"&amp;$AL457&amp;"|"&amp;$S457&amp;"|"&amp;$P457&amp;"|"&amp;$Q457&amp;$R457&amp;"|"&amp;$C457&amp;"|"&amp;$AB457)</f>
        <v/>
      </c>
      <c r="BW457" s="49">
        <f>IF($A457="","",IF($B457="","qty, ","")&amp;IF($C457="","scope, ","")&amp;IF(OR($K457="",$M457=""),"size, ","")&amp;IF(AND($A457&lt;&gt;"",$C457&lt;&gt;"DOOR ONLY"),IF($U457="","jamb depth, ","")&amp;IF($X457="","construction, ","")&amp;IF($Y457="","anchor, ","")&amp;IF($S457="","frame type, ",""),"")&amp;IF(AND(N($BC457)&gt;0,$Z457=""),"hand, ","")&amp;IF(N($BC457)&gt;0,IF($AH457="","door material, ","")&amp;IF($AL457="","face type, ","")&amp;IF($AQ457="","lock prep, ","")&amp;IF(AND($AP457="",$AC457=""),"hinge prep, ",""),"")&amp;IF(AND($BO457&gt;0,$AH457="FRP"),"FRP cannot carry a label, ","")&amp;IF(AND($O457="Y",OR($Z457="L",$Z457="R",$Z457="LR",$Z457="RR")),"pair marked but hand is single, ","")&amp;IF(AND($O457&lt;&gt;"Y",OR($Z457="PR",AND(LEN($Z457)&gt;1,ISNUMBER(SEARCH("-",$Z457))))),"pair hand on a single door, ","")&amp;IF(AND(ISNUMBER($BP457),$BO457&lt;N($BP457)),"wall needs a "&amp;$BP457&amp;" min door, ","")&amp;IF(AND($BO457&gt;=180,AND(OR($BL457="FG",$BL457="HG",$BL457="FNV",$BL457="FV"),N($BM457)*N($BN457)&gt;100)),"180 min lite over 100 sq in, ","")&amp;IF(N($BD457)&gt;48,"leaf wider than 4'-0"&amp;CHAR(34)&amp;", ",""))</f>
        <v/>
      </c>
      <c r="BX457" s="49">
        <f>IF($A457="","",IF(AND($BO457&gt;0,AND($A457&lt;&gt;"",$C457&lt;&gt;"DOOR ONLY"),$X457="KD",$E457="EXTERIOR"),"KD label on an exterior opening, ","")&amp;IF(AND($E457="EXTERIOR",OR(AND(AND($A457&lt;&gt;"",$C457&lt;&gt;"DOOR ONLY"),$W457="CR"),AND(N($BC457)&gt;0,$AH457="CR"))),"exterior in CR steel (G9?), ","")&amp;IF(AND(ISNUMBER($BJ457),N($BJ457)&lt;32),"clear width ~"&amp;TEXT($BJ457,"0.0")&amp;CHAR(34)&amp;" under 32"&amp;CHAR(34)&amp;" (ADA), ","")&amp;IF(AND($BO457=90,AND(OR($BL457="FG",$BL457="HG",$BL457="FNV",$BL457="FV"),N($BM457)*N($BN457)&gt;100)),"90 min lite over 100 sq in (stair/exit), ","")&amp;IF(AND($BO457&gt;0,AND($A457&lt;&gt;"",$C457&lt;&gt;"DOOR ONLY"),OR($AF457="",$AF457="-")),"rated: closer reinf.?, ","")&amp;IF(OR($I457="CORRIDOR",$I457="SMOKE BARRIER"),"S label + smoke gasketing, ","")&amp;IF($BP457="?","wall type/hr not in IBC table, ","")&amp;IF(AND(N($BC457)&gt;0,$AU457=""),"no hardware set, ","")&amp;IF(AND($AU457&lt;&gt;"",ISNA(MATCH($AU457,HWSets,0))),"set "&amp;$AU457&amp;" not on Hardware sheet, ","")&amp;IF(N($BE457)&gt;96,"leaf over 8'-0"&amp;CHAR(34)&amp;" - check listing, ",""))</f>
        <v/>
      </c>
    </row>
    <row r="458" ht="15" customHeight="1">
      <c r="A458" s="44" t="n"/>
      <c r="B458" s="45" t="n"/>
      <c r="C458" s="45" t="n"/>
      <c r="D458" s="45" t="n"/>
      <c r="E458" s="45" t="n"/>
      <c r="F458" s="45" t="n"/>
      <c r="G458" s="45" t="n"/>
      <c r="H458" s="45" t="n"/>
      <c r="I458" s="45" t="n"/>
      <c r="J458" s="45" t="n"/>
      <c r="K458" s="45" t="n"/>
      <c r="L458" s="45" t="n"/>
      <c r="M458" s="45" t="n"/>
      <c r="N458" s="45" t="n"/>
      <c r="O458" s="45" t="n"/>
      <c r="P458" s="45" t="n"/>
      <c r="Q458" s="45" t="n"/>
      <c r="R458" s="45" t="n"/>
      <c r="S458" s="46" t="n"/>
      <c r="T458" s="46" t="n"/>
      <c r="U458" s="46" t="n"/>
      <c r="V458" s="46" t="n"/>
      <c r="W458" s="46" t="n"/>
      <c r="X458" s="46" t="n"/>
      <c r="Y458" s="46" t="n"/>
      <c r="Z458" s="46" t="n"/>
      <c r="AA458" s="46" t="n"/>
      <c r="AB458" s="46" t="n"/>
      <c r="AC458" s="46" t="n"/>
      <c r="AD458" s="46" t="n"/>
      <c r="AE458" s="46" t="n"/>
      <c r="AF458" s="46" t="n"/>
      <c r="AG458" s="46" t="n"/>
      <c r="AH458" s="47" t="n"/>
      <c r="AI458" s="47" t="n"/>
      <c r="AJ458" s="47" t="n"/>
      <c r="AK458" s="47" t="n"/>
      <c r="AL458" s="47" t="n"/>
      <c r="AM458" s="47" t="n"/>
      <c r="AN458" s="47" t="n"/>
      <c r="AO458" s="47" t="n"/>
      <c r="AP458" s="47" t="n"/>
      <c r="AQ458" s="47" t="n"/>
      <c r="AR458" s="47" t="n"/>
      <c r="AS458" s="47" t="n"/>
      <c r="AT458" s="47" t="n"/>
      <c r="AU458" s="48" t="n"/>
      <c r="AV458" s="48" t="n"/>
      <c r="AW458" s="49">
        <f>IF($A458="","",IF($BW458&lt;&gt;"","FIX",IF($BX458&lt;&gt;"","CHECK","OK")))</f>
        <v/>
      </c>
      <c r="AX458" s="50">
        <f>IF($A458="","",IF($BW458&lt;&gt;"","FIX: "&amp;LEFT($BW458,LEN($BW458)-2)&amp;IF($BX458&lt;&gt;"","  ·  ",""),"")&amp;IF($BX458&lt;&gt;"","CHECK: "&amp;LEFT($BX458,LEN($BX458)-2),""))</f>
        <v/>
      </c>
      <c r="AY458" s="49">
        <f>IF(OR($A458="",$K458=""),"",$K458&amp;"'-"&amp;N($L458)&amp;CHAR(34)&amp;" x "&amp;$M458&amp;"'-"&amp;N($N458)&amp;CHAR(34))</f>
        <v/>
      </c>
      <c r="AZ458" s="49">
        <f>IF(OR($A458="",$K458=""),"",$K458&amp;N($L458)&amp;$M458&amp;N($N458))</f>
        <v/>
      </c>
      <c r="BA458" s="49">
        <f>IF(OR($A458="",$K458=""),"",$K458*12+N($L458))</f>
        <v/>
      </c>
      <c r="BB458" s="49">
        <f>IF(OR($A458="",$M458=""),"",$M458*12+N($N458))</f>
        <v/>
      </c>
      <c r="BC458" s="49">
        <f>IF($A458="","",IF(OR($C458="FRAME ONLY",$S458="BL"),0,IF($O458="Y",2,1)))</f>
        <v/>
      </c>
      <c r="BD458" s="51">
        <f>IF(OR(N($BC458)=0,$BA458=""),"",($BA458-2*EdgeClr-IF($BC458=2,MeetClr,0))/$BC458)</f>
        <v/>
      </c>
      <c r="BE458" s="51">
        <f>IF(OR(N($BC458)=0,$BB458=""),"",$BB458-HeadClr-Undercut)</f>
        <v/>
      </c>
      <c r="BF458" s="51">
        <f>IF($BA458="","",$BA458+2*FaceW+IF(N($Q458)&gt;0,($Q458+FaceW)*IF($R458="LR",2,1),0))</f>
        <v/>
      </c>
      <c r="BG458" s="51">
        <f>IF($BB458="","",$BB458+IF($AB458="Y",4,FaceW)+IF(N($P458)&gt;0,$P458+FaceW,0)+IF(OR($S458="4F",$S458="BL"),FaceW,0))</f>
        <v/>
      </c>
      <c r="BH458" s="51">
        <f>IF($BF458="","",$BF458+2*ROSide)</f>
        <v/>
      </c>
      <c r="BI458" s="51">
        <f>IF($BG458="","",$BG458+ROTop)</f>
        <v/>
      </c>
      <c r="BJ458" s="52">
        <f>IF(OR(N($BC458)=0,$BA458=""),"",$BA458/$BC458-ClearDeduct)</f>
        <v/>
      </c>
      <c r="BK458" s="49">
        <f>IF(OR(N($BC458)=0,$BE458=""),"",IF(OR($AC458="HGC",$AP458="HGC"),"CONT",IF($BE458&lt;=60,2,IF($BE458&lt;=90,3,IF($BE458&lt;=120,4,5)))))</f>
        <v/>
      </c>
      <c r="BL458" s="49">
        <f>IF(N($BC458)=0,"",IF(OR($AL458="",$AL458="FLUSH"),"FLUSH",IFERROR(LEFT($AL458,FIND("-",$AL458)-1),LEFT($AL458,2))))</f>
        <v/>
      </c>
      <c r="BM458" s="49">
        <f>IF($BL458="","",IFERROR(VALUE(MID($AL458,FIND("-",$AL458)+1,FIND(CHAR(34)&amp;"x",$AL458)-FIND("-",$AL458)-1)),0))</f>
        <v/>
      </c>
      <c r="BN458" s="49">
        <f>IF($BL458="","",IFERROR(VALUE(MID($AL458,FIND(CHAR(34)&amp;"x",$AL458)+2,FIND(CHAR(34),$AL458,FIND(CHAR(34)&amp;"x",$AL458)+2)-FIND(CHAR(34)&amp;"x",$AL458)-2)),0))</f>
        <v/>
      </c>
      <c r="BO458" s="53">
        <f>IF(OR($A458="",$H458="",$H458="NO LAB"),0,IFERROR(VALUE(LEFT($H458,FIND(" ",$H458)-1)),0))</f>
        <v/>
      </c>
      <c r="BP458" s="54">
        <f>IF(OR($A458="",$I458="",$I458="NON-RATED",N($J458)=0),"",IFERROR(VLOOKUP($I458&amp;"|"&amp;$J458,IBC,2,FALSE),"?"))</f>
        <v/>
      </c>
      <c r="BQ458" s="50">
        <f>IF(NOT(AND($A458&lt;&gt;"",$C458&lt;&gt;"DOOR ONLY")),"",TRIM(IFERROR(VLOOKUP($U458,CODES,2,FALSE),"")&amp;" "&amp;$AZ458&amp;" "&amp;IFERROR(VLOOKUP($Z458,CODES,2,FALSE),"")&amp;" "&amp;IFERROR(VLOOKUP($X458,CODES,2,FALSE),"")&amp;" "&amp;IFERROR(VLOOKUP($S458,CODES,2,FALSE),"")&amp;IF(N($P458)&gt;0," w/TRANSOM "&amp;$P458&amp;CHAR(34),"")&amp;IF(N($Q458)&gt;0," w/SIDELITE "&amp;$Q458&amp;CHAR(34)&amp;" "&amp;IF($R458="","R",$R458),"")&amp;IF($Y458="","  |  "," | "&amp;IFERROR(VLOOKUP($Y458,CODES,2,FALSE),"")&amp;" | ")&amp;IFERROR(VLOOKUP($AC458,CODES,2,FALSE),"")&amp;" "&amp;IFERROR(VLOOKUP($AD458,CODES,2,FALSE),"")&amp;IF(OR($AE458="",$AE458="-"),""," "&amp;$AE458)&amp;IF(OR($AF458="",$AF458="-"),""," "&amp;$AF458)&amp;IF($AB458="Y"," 4"&amp;CHAR(34)&amp;" HEAD","")&amp;" "&amp;IFERROR(VLOOKUP($H458,CODES,2,FALSE),"")))</f>
        <v/>
      </c>
      <c r="BR458" s="50">
        <f>IF(NOT(AND($A458&lt;&gt;"",N($BC458)&gt;0)),"",TRIM(IFERROR(VLOOKUP($AH458,CODES,2,FALSE),"")&amp;IF($AI458=""," "," "&amp;$AI458&amp;"GA ")&amp;$AZ458&amp;" "&amp;IF($AN458="",IFERROR(VLOOKUP($Z458,CODES,2,FALSE),""),IFERROR(VLOOKUP($AN458,CODES,2,FALSE),""))&amp;IF($BC458=2," PAIR","")&amp;" DOOR | "&amp;IF($AL458="","?",$AL458)&amp;" | "&amp;IF($AP458="",IFERROR(VLOOKUP($AC458,CODES,2,FALSE),""),IFERROR(VLOOKUP($AP458,CODES,2,FALSE),""))&amp;" "&amp;IFERROR(VLOOKUP($AQ458,CODES,2,FALSE),"")&amp;IF(OR($AR458="",$AR458="-"),""," SEAM "&amp;$AR458)&amp;IF($AS458="Y"," ASTRAGAL","")&amp;IF($AJ458=""," "," "&amp;$AJ458)&amp;IF($AK458=""," "," "&amp;$AK458)&amp;IF($AO458="",""," "&amp;$AO458)&amp;IF($AM458=""," "," SERIES "&amp;$AM458)&amp;" "&amp;IFERROR(VLOOKUP($H458,CODES,2,FALSE),"")))</f>
        <v/>
      </c>
      <c r="BS458" s="49">
        <f>IF(BV458="","",IF(COUNTIF($BV$6:BV458,BV458)=1,MAX($BS$5:BS457)+1,INDEX($BS$5:BS457,MATCH(BV458,$BV$5:BV457,0))))</f>
        <v/>
      </c>
      <c r="BT458" s="49">
        <f>IF(NOT(AND($A458&lt;&gt;"",$C458&lt;&gt;"DOOR ONLY")),"",MAX($BT$5:BT457)+1)</f>
        <v/>
      </c>
      <c r="BU458" s="49">
        <f>IF(NOT(AND($A458&lt;&gt;"",N($BC458)&gt;0)),"",MAX($BU$5:BU457)+1)</f>
        <v/>
      </c>
      <c r="BV458" s="49">
        <f>IF(OR($A458="",$BA458="",$BB458=""),"",$AZ458&amp;"|"&amp;$O458&amp;"|"&amp;$AL458&amp;"|"&amp;$S458&amp;"|"&amp;$P458&amp;"|"&amp;$Q458&amp;$R458&amp;"|"&amp;$C458&amp;"|"&amp;$AB458)</f>
        <v/>
      </c>
      <c r="BW458" s="49">
        <f>IF($A458="","",IF($B458="","qty, ","")&amp;IF($C458="","scope, ","")&amp;IF(OR($K458="",$M458=""),"size, ","")&amp;IF(AND($A458&lt;&gt;"",$C458&lt;&gt;"DOOR ONLY"),IF($U458="","jamb depth, ","")&amp;IF($X458="","construction, ","")&amp;IF($Y458="","anchor, ","")&amp;IF($S458="","frame type, ",""),"")&amp;IF(AND(N($BC458)&gt;0,$Z458=""),"hand, ","")&amp;IF(N($BC458)&gt;0,IF($AH458="","door material, ","")&amp;IF($AL458="","face type, ","")&amp;IF($AQ458="","lock prep, ","")&amp;IF(AND($AP458="",$AC458=""),"hinge prep, ",""),"")&amp;IF(AND($BO458&gt;0,$AH458="FRP"),"FRP cannot carry a label, ","")&amp;IF(AND($O458="Y",OR($Z458="L",$Z458="R",$Z458="LR",$Z458="RR")),"pair marked but hand is single, ","")&amp;IF(AND($O458&lt;&gt;"Y",OR($Z458="PR",AND(LEN($Z458)&gt;1,ISNUMBER(SEARCH("-",$Z458))))),"pair hand on a single door, ","")&amp;IF(AND(ISNUMBER($BP458),$BO458&lt;N($BP458)),"wall needs a "&amp;$BP458&amp;" min door, ","")&amp;IF(AND($BO458&gt;=180,AND(OR($BL458="FG",$BL458="HG",$BL458="FNV",$BL458="FV"),N($BM458)*N($BN458)&gt;100)),"180 min lite over 100 sq in, ","")&amp;IF(N($BD458)&gt;48,"leaf wider than 4'-0"&amp;CHAR(34)&amp;", ",""))</f>
        <v/>
      </c>
      <c r="BX458" s="49">
        <f>IF($A458="","",IF(AND($BO458&gt;0,AND($A458&lt;&gt;"",$C458&lt;&gt;"DOOR ONLY"),$X458="KD",$E458="EXTERIOR"),"KD label on an exterior opening, ","")&amp;IF(AND($E458="EXTERIOR",OR(AND(AND($A458&lt;&gt;"",$C458&lt;&gt;"DOOR ONLY"),$W458="CR"),AND(N($BC458)&gt;0,$AH458="CR"))),"exterior in CR steel (G9?), ","")&amp;IF(AND(ISNUMBER($BJ458),N($BJ458)&lt;32),"clear width ~"&amp;TEXT($BJ458,"0.0")&amp;CHAR(34)&amp;" under 32"&amp;CHAR(34)&amp;" (ADA), ","")&amp;IF(AND($BO458=90,AND(OR($BL458="FG",$BL458="HG",$BL458="FNV",$BL458="FV"),N($BM458)*N($BN458)&gt;100)),"90 min lite over 100 sq in (stair/exit), ","")&amp;IF(AND($BO458&gt;0,AND($A458&lt;&gt;"",$C458&lt;&gt;"DOOR ONLY"),OR($AF458="",$AF458="-")),"rated: closer reinf.?, ","")&amp;IF(OR($I458="CORRIDOR",$I458="SMOKE BARRIER"),"S label + smoke gasketing, ","")&amp;IF($BP458="?","wall type/hr not in IBC table, ","")&amp;IF(AND(N($BC458)&gt;0,$AU458=""),"no hardware set, ","")&amp;IF(AND($AU458&lt;&gt;"",ISNA(MATCH($AU458,HWSets,0))),"set "&amp;$AU458&amp;" not on Hardware sheet, ","")&amp;IF(N($BE458)&gt;96,"leaf over 8'-0"&amp;CHAR(34)&amp;" - check listing, ",""))</f>
        <v/>
      </c>
    </row>
    <row r="459" ht="15" customHeight="1">
      <c r="A459" s="44" t="n"/>
      <c r="B459" s="45" t="n"/>
      <c r="C459" s="45" t="n"/>
      <c r="D459" s="45" t="n"/>
      <c r="E459" s="45" t="n"/>
      <c r="F459" s="45" t="n"/>
      <c r="G459" s="45" t="n"/>
      <c r="H459" s="45" t="n"/>
      <c r="I459" s="45" t="n"/>
      <c r="J459" s="45" t="n"/>
      <c r="K459" s="45" t="n"/>
      <c r="L459" s="45" t="n"/>
      <c r="M459" s="45" t="n"/>
      <c r="N459" s="45" t="n"/>
      <c r="O459" s="45" t="n"/>
      <c r="P459" s="45" t="n"/>
      <c r="Q459" s="45" t="n"/>
      <c r="R459" s="45" t="n"/>
      <c r="S459" s="46" t="n"/>
      <c r="T459" s="46" t="n"/>
      <c r="U459" s="46" t="n"/>
      <c r="V459" s="46" t="n"/>
      <c r="W459" s="46" t="n"/>
      <c r="X459" s="46" t="n"/>
      <c r="Y459" s="46" t="n"/>
      <c r="Z459" s="46" t="n"/>
      <c r="AA459" s="46" t="n"/>
      <c r="AB459" s="46" t="n"/>
      <c r="AC459" s="46" t="n"/>
      <c r="AD459" s="46" t="n"/>
      <c r="AE459" s="46" t="n"/>
      <c r="AF459" s="46" t="n"/>
      <c r="AG459" s="46" t="n"/>
      <c r="AH459" s="47" t="n"/>
      <c r="AI459" s="47" t="n"/>
      <c r="AJ459" s="47" t="n"/>
      <c r="AK459" s="47" t="n"/>
      <c r="AL459" s="47" t="n"/>
      <c r="AM459" s="47" t="n"/>
      <c r="AN459" s="47" t="n"/>
      <c r="AO459" s="47" t="n"/>
      <c r="AP459" s="47" t="n"/>
      <c r="AQ459" s="47" t="n"/>
      <c r="AR459" s="47" t="n"/>
      <c r="AS459" s="47" t="n"/>
      <c r="AT459" s="47" t="n"/>
      <c r="AU459" s="48" t="n"/>
      <c r="AV459" s="48" t="n"/>
      <c r="AW459" s="49">
        <f>IF($A459="","",IF($BW459&lt;&gt;"","FIX",IF($BX459&lt;&gt;"","CHECK","OK")))</f>
        <v/>
      </c>
      <c r="AX459" s="50">
        <f>IF($A459="","",IF($BW459&lt;&gt;"","FIX: "&amp;LEFT($BW459,LEN($BW459)-2)&amp;IF($BX459&lt;&gt;"","  ·  ",""),"")&amp;IF($BX459&lt;&gt;"","CHECK: "&amp;LEFT($BX459,LEN($BX459)-2),""))</f>
        <v/>
      </c>
      <c r="AY459" s="49">
        <f>IF(OR($A459="",$K459=""),"",$K459&amp;"'-"&amp;N($L459)&amp;CHAR(34)&amp;" x "&amp;$M459&amp;"'-"&amp;N($N459)&amp;CHAR(34))</f>
        <v/>
      </c>
      <c r="AZ459" s="49">
        <f>IF(OR($A459="",$K459=""),"",$K459&amp;N($L459)&amp;$M459&amp;N($N459))</f>
        <v/>
      </c>
      <c r="BA459" s="49">
        <f>IF(OR($A459="",$K459=""),"",$K459*12+N($L459))</f>
        <v/>
      </c>
      <c r="BB459" s="49">
        <f>IF(OR($A459="",$M459=""),"",$M459*12+N($N459))</f>
        <v/>
      </c>
      <c r="BC459" s="49">
        <f>IF($A459="","",IF(OR($C459="FRAME ONLY",$S459="BL"),0,IF($O459="Y",2,1)))</f>
        <v/>
      </c>
      <c r="BD459" s="51">
        <f>IF(OR(N($BC459)=0,$BA459=""),"",($BA459-2*EdgeClr-IF($BC459=2,MeetClr,0))/$BC459)</f>
        <v/>
      </c>
      <c r="BE459" s="51">
        <f>IF(OR(N($BC459)=0,$BB459=""),"",$BB459-HeadClr-Undercut)</f>
        <v/>
      </c>
      <c r="BF459" s="51">
        <f>IF($BA459="","",$BA459+2*FaceW+IF(N($Q459)&gt;0,($Q459+FaceW)*IF($R459="LR",2,1),0))</f>
        <v/>
      </c>
      <c r="BG459" s="51">
        <f>IF($BB459="","",$BB459+IF($AB459="Y",4,FaceW)+IF(N($P459)&gt;0,$P459+FaceW,0)+IF(OR($S459="4F",$S459="BL"),FaceW,0))</f>
        <v/>
      </c>
      <c r="BH459" s="51">
        <f>IF($BF459="","",$BF459+2*ROSide)</f>
        <v/>
      </c>
      <c r="BI459" s="51">
        <f>IF($BG459="","",$BG459+ROTop)</f>
        <v/>
      </c>
      <c r="BJ459" s="52">
        <f>IF(OR(N($BC459)=0,$BA459=""),"",$BA459/$BC459-ClearDeduct)</f>
        <v/>
      </c>
      <c r="BK459" s="49">
        <f>IF(OR(N($BC459)=0,$BE459=""),"",IF(OR($AC459="HGC",$AP459="HGC"),"CONT",IF($BE459&lt;=60,2,IF($BE459&lt;=90,3,IF($BE459&lt;=120,4,5)))))</f>
        <v/>
      </c>
      <c r="BL459" s="49">
        <f>IF(N($BC459)=0,"",IF(OR($AL459="",$AL459="FLUSH"),"FLUSH",IFERROR(LEFT($AL459,FIND("-",$AL459)-1),LEFT($AL459,2))))</f>
        <v/>
      </c>
      <c r="BM459" s="49">
        <f>IF($BL459="","",IFERROR(VALUE(MID($AL459,FIND("-",$AL459)+1,FIND(CHAR(34)&amp;"x",$AL459)-FIND("-",$AL459)-1)),0))</f>
        <v/>
      </c>
      <c r="BN459" s="49">
        <f>IF($BL459="","",IFERROR(VALUE(MID($AL459,FIND(CHAR(34)&amp;"x",$AL459)+2,FIND(CHAR(34),$AL459,FIND(CHAR(34)&amp;"x",$AL459)+2)-FIND(CHAR(34)&amp;"x",$AL459)-2)),0))</f>
        <v/>
      </c>
      <c r="BO459" s="53">
        <f>IF(OR($A459="",$H459="",$H459="NO LAB"),0,IFERROR(VALUE(LEFT($H459,FIND(" ",$H459)-1)),0))</f>
        <v/>
      </c>
      <c r="BP459" s="54">
        <f>IF(OR($A459="",$I459="",$I459="NON-RATED",N($J459)=0),"",IFERROR(VLOOKUP($I459&amp;"|"&amp;$J459,IBC,2,FALSE),"?"))</f>
        <v/>
      </c>
      <c r="BQ459" s="50">
        <f>IF(NOT(AND($A459&lt;&gt;"",$C459&lt;&gt;"DOOR ONLY")),"",TRIM(IFERROR(VLOOKUP($U459,CODES,2,FALSE),"")&amp;" "&amp;$AZ459&amp;" "&amp;IFERROR(VLOOKUP($Z459,CODES,2,FALSE),"")&amp;" "&amp;IFERROR(VLOOKUP($X459,CODES,2,FALSE),"")&amp;" "&amp;IFERROR(VLOOKUP($S459,CODES,2,FALSE),"")&amp;IF(N($P459)&gt;0," w/TRANSOM "&amp;$P459&amp;CHAR(34),"")&amp;IF(N($Q459)&gt;0," w/SIDELITE "&amp;$Q459&amp;CHAR(34)&amp;" "&amp;IF($R459="","R",$R459),"")&amp;IF($Y459="","  |  "," | "&amp;IFERROR(VLOOKUP($Y459,CODES,2,FALSE),"")&amp;" | ")&amp;IFERROR(VLOOKUP($AC459,CODES,2,FALSE),"")&amp;" "&amp;IFERROR(VLOOKUP($AD459,CODES,2,FALSE),"")&amp;IF(OR($AE459="",$AE459="-"),""," "&amp;$AE459)&amp;IF(OR($AF459="",$AF459="-"),""," "&amp;$AF459)&amp;IF($AB459="Y"," 4"&amp;CHAR(34)&amp;" HEAD","")&amp;" "&amp;IFERROR(VLOOKUP($H459,CODES,2,FALSE),"")))</f>
        <v/>
      </c>
      <c r="BR459" s="50">
        <f>IF(NOT(AND($A459&lt;&gt;"",N($BC459)&gt;0)),"",TRIM(IFERROR(VLOOKUP($AH459,CODES,2,FALSE),"")&amp;IF($AI459=""," "," "&amp;$AI459&amp;"GA ")&amp;$AZ459&amp;" "&amp;IF($AN459="",IFERROR(VLOOKUP($Z459,CODES,2,FALSE),""),IFERROR(VLOOKUP($AN459,CODES,2,FALSE),""))&amp;IF($BC459=2," PAIR","")&amp;" DOOR | "&amp;IF($AL459="","?",$AL459)&amp;" | "&amp;IF($AP459="",IFERROR(VLOOKUP($AC459,CODES,2,FALSE),""),IFERROR(VLOOKUP($AP459,CODES,2,FALSE),""))&amp;" "&amp;IFERROR(VLOOKUP($AQ459,CODES,2,FALSE),"")&amp;IF(OR($AR459="",$AR459="-"),""," SEAM "&amp;$AR459)&amp;IF($AS459="Y"," ASTRAGAL","")&amp;IF($AJ459=""," "," "&amp;$AJ459)&amp;IF($AK459=""," "," "&amp;$AK459)&amp;IF($AO459="",""," "&amp;$AO459)&amp;IF($AM459=""," "," SERIES "&amp;$AM459)&amp;" "&amp;IFERROR(VLOOKUP($H459,CODES,2,FALSE),"")))</f>
        <v/>
      </c>
      <c r="BS459" s="49">
        <f>IF(BV459="","",IF(COUNTIF($BV$6:BV459,BV459)=1,MAX($BS$5:BS458)+1,INDEX($BS$5:BS458,MATCH(BV459,$BV$5:BV458,0))))</f>
        <v/>
      </c>
      <c r="BT459" s="49">
        <f>IF(NOT(AND($A459&lt;&gt;"",$C459&lt;&gt;"DOOR ONLY")),"",MAX($BT$5:BT458)+1)</f>
        <v/>
      </c>
      <c r="BU459" s="49">
        <f>IF(NOT(AND($A459&lt;&gt;"",N($BC459)&gt;0)),"",MAX($BU$5:BU458)+1)</f>
        <v/>
      </c>
      <c r="BV459" s="49">
        <f>IF(OR($A459="",$BA459="",$BB459=""),"",$AZ459&amp;"|"&amp;$O459&amp;"|"&amp;$AL459&amp;"|"&amp;$S459&amp;"|"&amp;$P459&amp;"|"&amp;$Q459&amp;$R459&amp;"|"&amp;$C459&amp;"|"&amp;$AB459)</f>
        <v/>
      </c>
      <c r="BW459" s="49">
        <f>IF($A459="","",IF($B459="","qty, ","")&amp;IF($C459="","scope, ","")&amp;IF(OR($K459="",$M459=""),"size, ","")&amp;IF(AND($A459&lt;&gt;"",$C459&lt;&gt;"DOOR ONLY"),IF($U459="","jamb depth, ","")&amp;IF($X459="","construction, ","")&amp;IF($Y459="","anchor, ","")&amp;IF($S459="","frame type, ",""),"")&amp;IF(AND(N($BC459)&gt;0,$Z459=""),"hand, ","")&amp;IF(N($BC459)&gt;0,IF($AH459="","door material, ","")&amp;IF($AL459="","face type, ","")&amp;IF($AQ459="","lock prep, ","")&amp;IF(AND($AP459="",$AC459=""),"hinge prep, ",""),"")&amp;IF(AND($BO459&gt;0,$AH459="FRP"),"FRP cannot carry a label, ","")&amp;IF(AND($O459="Y",OR($Z459="L",$Z459="R",$Z459="LR",$Z459="RR")),"pair marked but hand is single, ","")&amp;IF(AND($O459&lt;&gt;"Y",OR($Z459="PR",AND(LEN($Z459)&gt;1,ISNUMBER(SEARCH("-",$Z459))))),"pair hand on a single door, ","")&amp;IF(AND(ISNUMBER($BP459),$BO459&lt;N($BP459)),"wall needs a "&amp;$BP459&amp;" min door, ","")&amp;IF(AND($BO459&gt;=180,AND(OR($BL459="FG",$BL459="HG",$BL459="FNV",$BL459="FV"),N($BM459)*N($BN459)&gt;100)),"180 min lite over 100 sq in, ","")&amp;IF(N($BD459)&gt;48,"leaf wider than 4'-0"&amp;CHAR(34)&amp;", ",""))</f>
        <v/>
      </c>
      <c r="BX459" s="49">
        <f>IF($A459="","",IF(AND($BO459&gt;0,AND($A459&lt;&gt;"",$C459&lt;&gt;"DOOR ONLY"),$X459="KD",$E459="EXTERIOR"),"KD label on an exterior opening, ","")&amp;IF(AND($E459="EXTERIOR",OR(AND(AND($A459&lt;&gt;"",$C459&lt;&gt;"DOOR ONLY"),$W459="CR"),AND(N($BC459)&gt;0,$AH459="CR"))),"exterior in CR steel (G9?), ","")&amp;IF(AND(ISNUMBER($BJ459),N($BJ459)&lt;32),"clear width ~"&amp;TEXT($BJ459,"0.0")&amp;CHAR(34)&amp;" under 32"&amp;CHAR(34)&amp;" (ADA), ","")&amp;IF(AND($BO459=90,AND(OR($BL459="FG",$BL459="HG",$BL459="FNV",$BL459="FV"),N($BM459)*N($BN459)&gt;100)),"90 min lite over 100 sq in (stair/exit), ","")&amp;IF(AND($BO459&gt;0,AND($A459&lt;&gt;"",$C459&lt;&gt;"DOOR ONLY"),OR($AF459="",$AF459="-")),"rated: closer reinf.?, ","")&amp;IF(OR($I459="CORRIDOR",$I459="SMOKE BARRIER"),"S label + smoke gasketing, ","")&amp;IF($BP459="?","wall type/hr not in IBC table, ","")&amp;IF(AND(N($BC459)&gt;0,$AU459=""),"no hardware set, ","")&amp;IF(AND($AU459&lt;&gt;"",ISNA(MATCH($AU459,HWSets,0))),"set "&amp;$AU459&amp;" not on Hardware sheet, ","")&amp;IF(N($BE459)&gt;96,"leaf over 8'-0"&amp;CHAR(34)&amp;" - check listing, ",""))</f>
        <v/>
      </c>
    </row>
    <row r="460" ht="15" customHeight="1">
      <c r="A460" s="44" t="n"/>
      <c r="B460" s="45" t="n"/>
      <c r="C460" s="45" t="n"/>
      <c r="D460" s="45" t="n"/>
      <c r="E460" s="45" t="n"/>
      <c r="F460" s="45" t="n"/>
      <c r="G460" s="45" t="n"/>
      <c r="H460" s="45" t="n"/>
      <c r="I460" s="45" t="n"/>
      <c r="J460" s="45" t="n"/>
      <c r="K460" s="45" t="n"/>
      <c r="L460" s="45" t="n"/>
      <c r="M460" s="45" t="n"/>
      <c r="N460" s="45" t="n"/>
      <c r="O460" s="45" t="n"/>
      <c r="P460" s="45" t="n"/>
      <c r="Q460" s="45" t="n"/>
      <c r="R460" s="45" t="n"/>
      <c r="S460" s="46" t="n"/>
      <c r="T460" s="46" t="n"/>
      <c r="U460" s="46" t="n"/>
      <c r="V460" s="46" t="n"/>
      <c r="W460" s="46" t="n"/>
      <c r="X460" s="46" t="n"/>
      <c r="Y460" s="46" t="n"/>
      <c r="Z460" s="46" t="n"/>
      <c r="AA460" s="46" t="n"/>
      <c r="AB460" s="46" t="n"/>
      <c r="AC460" s="46" t="n"/>
      <c r="AD460" s="46" t="n"/>
      <c r="AE460" s="46" t="n"/>
      <c r="AF460" s="46" t="n"/>
      <c r="AG460" s="46" t="n"/>
      <c r="AH460" s="47" t="n"/>
      <c r="AI460" s="47" t="n"/>
      <c r="AJ460" s="47" t="n"/>
      <c r="AK460" s="47" t="n"/>
      <c r="AL460" s="47" t="n"/>
      <c r="AM460" s="47" t="n"/>
      <c r="AN460" s="47" t="n"/>
      <c r="AO460" s="47" t="n"/>
      <c r="AP460" s="47" t="n"/>
      <c r="AQ460" s="47" t="n"/>
      <c r="AR460" s="47" t="n"/>
      <c r="AS460" s="47" t="n"/>
      <c r="AT460" s="47" t="n"/>
      <c r="AU460" s="48" t="n"/>
      <c r="AV460" s="48" t="n"/>
      <c r="AW460" s="49">
        <f>IF($A460="","",IF($BW460&lt;&gt;"","FIX",IF($BX460&lt;&gt;"","CHECK","OK")))</f>
        <v/>
      </c>
      <c r="AX460" s="50">
        <f>IF($A460="","",IF($BW460&lt;&gt;"","FIX: "&amp;LEFT($BW460,LEN($BW460)-2)&amp;IF($BX460&lt;&gt;"","  ·  ",""),"")&amp;IF($BX460&lt;&gt;"","CHECK: "&amp;LEFT($BX460,LEN($BX460)-2),""))</f>
        <v/>
      </c>
      <c r="AY460" s="49">
        <f>IF(OR($A460="",$K460=""),"",$K460&amp;"'-"&amp;N($L460)&amp;CHAR(34)&amp;" x "&amp;$M460&amp;"'-"&amp;N($N460)&amp;CHAR(34))</f>
        <v/>
      </c>
      <c r="AZ460" s="49">
        <f>IF(OR($A460="",$K460=""),"",$K460&amp;N($L460)&amp;$M460&amp;N($N460))</f>
        <v/>
      </c>
      <c r="BA460" s="49">
        <f>IF(OR($A460="",$K460=""),"",$K460*12+N($L460))</f>
        <v/>
      </c>
      <c r="BB460" s="49">
        <f>IF(OR($A460="",$M460=""),"",$M460*12+N($N460))</f>
        <v/>
      </c>
      <c r="BC460" s="49">
        <f>IF($A460="","",IF(OR($C460="FRAME ONLY",$S460="BL"),0,IF($O460="Y",2,1)))</f>
        <v/>
      </c>
      <c r="BD460" s="51">
        <f>IF(OR(N($BC460)=0,$BA460=""),"",($BA460-2*EdgeClr-IF($BC460=2,MeetClr,0))/$BC460)</f>
        <v/>
      </c>
      <c r="BE460" s="51">
        <f>IF(OR(N($BC460)=0,$BB460=""),"",$BB460-HeadClr-Undercut)</f>
        <v/>
      </c>
      <c r="BF460" s="51">
        <f>IF($BA460="","",$BA460+2*FaceW+IF(N($Q460)&gt;0,($Q460+FaceW)*IF($R460="LR",2,1),0))</f>
        <v/>
      </c>
      <c r="BG460" s="51">
        <f>IF($BB460="","",$BB460+IF($AB460="Y",4,FaceW)+IF(N($P460)&gt;0,$P460+FaceW,0)+IF(OR($S460="4F",$S460="BL"),FaceW,0))</f>
        <v/>
      </c>
      <c r="BH460" s="51">
        <f>IF($BF460="","",$BF460+2*ROSide)</f>
        <v/>
      </c>
      <c r="BI460" s="51">
        <f>IF($BG460="","",$BG460+ROTop)</f>
        <v/>
      </c>
      <c r="BJ460" s="52">
        <f>IF(OR(N($BC460)=0,$BA460=""),"",$BA460/$BC460-ClearDeduct)</f>
        <v/>
      </c>
      <c r="BK460" s="49">
        <f>IF(OR(N($BC460)=0,$BE460=""),"",IF(OR($AC460="HGC",$AP460="HGC"),"CONT",IF($BE460&lt;=60,2,IF($BE460&lt;=90,3,IF($BE460&lt;=120,4,5)))))</f>
        <v/>
      </c>
      <c r="BL460" s="49">
        <f>IF(N($BC460)=0,"",IF(OR($AL460="",$AL460="FLUSH"),"FLUSH",IFERROR(LEFT($AL460,FIND("-",$AL460)-1),LEFT($AL460,2))))</f>
        <v/>
      </c>
      <c r="BM460" s="49">
        <f>IF($BL460="","",IFERROR(VALUE(MID($AL460,FIND("-",$AL460)+1,FIND(CHAR(34)&amp;"x",$AL460)-FIND("-",$AL460)-1)),0))</f>
        <v/>
      </c>
      <c r="BN460" s="49">
        <f>IF($BL460="","",IFERROR(VALUE(MID($AL460,FIND(CHAR(34)&amp;"x",$AL460)+2,FIND(CHAR(34),$AL460,FIND(CHAR(34)&amp;"x",$AL460)+2)-FIND(CHAR(34)&amp;"x",$AL460)-2)),0))</f>
        <v/>
      </c>
      <c r="BO460" s="53">
        <f>IF(OR($A460="",$H460="",$H460="NO LAB"),0,IFERROR(VALUE(LEFT($H460,FIND(" ",$H460)-1)),0))</f>
        <v/>
      </c>
      <c r="BP460" s="54">
        <f>IF(OR($A460="",$I460="",$I460="NON-RATED",N($J460)=0),"",IFERROR(VLOOKUP($I460&amp;"|"&amp;$J460,IBC,2,FALSE),"?"))</f>
        <v/>
      </c>
      <c r="BQ460" s="50">
        <f>IF(NOT(AND($A460&lt;&gt;"",$C460&lt;&gt;"DOOR ONLY")),"",TRIM(IFERROR(VLOOKUP($U460,CODES,2,FALSE),"")&amp;" "&amp;$AZ460&amp;" "&amp;IFERROR(VLOOKUP($Z460,CODES,2,FALSE),"")&amp;" "&amp;IFERROR(VLOOKUP($X460,CODES,2,FALSE),"")&amp;" "&amp;IFERROR(VLOOKUP($S460,CODES,2,FALSE),"")&amp;IF(N($P460)&gt;0," w/TRANSOM "&amp;$P460&amp;CHAR(34),"")&amp;IF(N($Q460)&gt;0," w/SIDELITE "&amp;$Q460&amp;CHAR(34)&amp;" "&amp;IF($R460="","R",$R460),"")&amp;IF($Y460="","  |  "," | "&amp;IFERROR(VLOOKUP($Y460,CODES,2,FALSE),"")&amp;" | ")&amp;IFERROR(VLOOKUP($AC460,CODES,2,FALSE),"")&amp;" "&amp;IFERROR(VLOOKUP($AD460,CODES,2,FALSE),"")&amp;IF(OR($AE460="",$AE460="-"),""," "&amp;$AE460)&amp;IF(OR($AF460="",$AF460="-"),""," "&amp;$AF460)&amp;IF($AB460="Y"," 4"&amp;CHAR(34)&amp;" HEAD","")&amp;" "&amp;IFERROR(VLOOKUP($H460,CODES,2,FALSE),"")))</f>
        <v/>
      </c>
      <c r="BR460" s="50">
        <f>IF(NOT(AND($A460&lt;&gt;"",N($BC460)&gt;0)),"",TRIM(IFERROR(VLOOKUP($AH460,CODES,2,FALSE),"")&amp;IF($AI460=""," "," "&amp;$AI460&amp;"GA ")&amp;$AZ460&amp;" "&amp;IF($AN460="",IFERROR(VLOOKUP($Z460,CODES,2,FALSE),""),IFERROR(VLOOKUP($AN460,CODES,2,FALSE),""))&amp;IF($BC460=2," PAIR","")&amp;" DOOR | "&amp;IF($AL460="","?",$AL460)&amp;" | "&amp;IF($AP460="",IFERROR(VLOOKUP($AC460,CODES,2,FALSE),""),IFERROR(VLOOKUP($AP460,CODES,2,FALSE),""))&amp;" "&amp;IFERROR(VLOOKUP($AQ460,CODES,2,FALSE),"")&amp;IF(OR($AR460="",$AR460="-"),""," SEAM "&amp;$AR460)&amp;IF($AS460="Y"," ASTRAGAL","")&amp;IF($AJ460=""," "," "&amp;$AJ460)&amp;IF($AK460=""," "," "&amp;$AK460)&amp;IF($AO460="",""," "&amp;$AO460)&amp;IF($AM460=""," "," SERIES "&amp;$AM460)&amp;" "&amp;IFERROR(VLOOKUP($H460,CODES,2,FALSE),"")))</f>
        <v/>
      </c>
      <c r="BS460" s="49">
        <f>IF(BV460="","",IF(COUNTIF($BV$6:BV460,BV460)=1,MAX($BS$5:BS459)+1,INDEX($BS$5:BS459,MATCH(BV460,$BV$5:BV459,0))))</f>
        <v/>
      </c>
      <c r="BT460" s="49">
        <f>IF(NOT(AND($A460&lt;&gt;"",$C460&lt;&gt;"DOOR ONLY")),"",MAX($BT$5:BT459)+1)</f>
        <v/>
      </c>
      <c r="BU460" s="49">
        <f>IF(NOT(AND($A460&lt;&gt;"",N($BC460)&gt;0)),"",MAX($BU$5:BU459)+1)</f>
        <v/>
      </c>
      <c r="BV460" s="49">
        <f>IF(OR($A460="",$BA460="",$BB460=""),"",$AZ460&amp;"|"&amp;$O460&amp;"|"&amp;$AL460&amp;"|"&amp;$S460&amp;"|"&amp;$P460&amp;"|"&amp;$Q460&amp;$R460&amp;"|"&amp;$C460&amp;"|"&amp;$AB460)</f>
        <v/>
      </c>
      <c r="BW460" s="49">
        <f>IF($A460="","",IF($B460="","qty, ","")&amp;IF($C460="","scope, ","")&amp;IF(OR($K460="",$M460=""),"size, ","")&amp;IF(AND($A460&lt;&gt;"",$C460&lt;&gt;"DOOR ONLY"),IF($U460="","jamb depth, ","")&amp;IF($X460="","construction, ","")&amp;IF($Y460="","anchor, ","")&amp;IF($S460="","frame type, ",""),"")&amp;IF(AND(N($BC460)&gt;0,$Z460=""),"hand, ","")&amp;IF(N($BC460)&gt;0,IF($AH460="","door material, ","")&amp;IF($AL460="","face type, ","")&amp;IF($AQ460="","lock prep, ","")&amp;IF(AND($AP460="",$AC460=""),"hinge prep, ",""),"")&amp;IF(AND($BO460&gt;0,$AH460="FRP"),"FRP cannot carry a label, ","")&amp;IF(AND($O460="Y",OR($Z460="L",$Z460="R",$Z460="LR",$Z460="RR")),"pair marked but hand is single, ","")&amp;IF(AND($O460&lt;&gt;"Y",OR($Z460="PR",AND(LEN($Z460)&gt;1,ISNUMBER(SEARCH("-",$Z460))))),"pair hand on a single door, ","")&amp;IF(AND(ISNUMBER($BP460),$BO460&lt;N($BP460)),"wall needs a "&amp;$BP460&amp;" min door, ","")&amp;IF(AND($BO460&gt;=180,AND(OR($BL460="FG",$BL460="HG",$BL460="FNV",$BL460="FV"),N($BM460)*N($BN460)&gt;100)),"180 min lite over 100 sq in, ","")&amp;IF(N($BD460)&gt;48,"leaf wider than 4'-0"&amp;CHAR(34)&amp;", ",""))</f>
        <v/>
      </c>
      <c r="BX460" s="49">
        <f>IF($A460="","",IF(AND($BO460&gt;0,AND($A460&lt;&gt;"",$C460&lt;&gt;"DOOR ONLY"),$X460="KD",$E460="EXTERIOR"),"KD label on an exterior opening, ","")&amp;IF(AND($E460="EXTERIOR",OR(AND(AND($A460&lt;&gt;"",$C460&lt;&gt;"DOOR ONLY"),$W460="CR"),AND(N($BC460)&gt;0,$AH460="CR"))),"exterior in CR steel (G9?), ","")&amp;IF(AND(ISNUMBER($BJ460),N($BJ460)&lt;32),"clear width ~"&amp;TEXT($BJ460,"0.0")&amp;CHAR(34)&amp;" under 32"&amp;CHAR(34)&amp;" (ADA), ","")&amp;IF(AND($BO460=90,AND(OR($BL460="FG",$BL460="HG",$BL460="FNV",$BL460="FV"),N($BM460)*N($BN460)&gt;100)),"90 min lite over 100 sq in (stair/exit), ","")&amp;IF(AND($BO460&gt;0,AND($A460&lt;&gt;"",$C460&lt;&gt;"DOOR ONLY"),OR($AF460="",$AF460="-")),"rated: closer reinf.?, ","")&amp;IF(OR($I460="CORRIDOR",$I460="SMOKE BARRIER"),"S label + smoke gasketing, ","")&amp;IF($BP460="?","wall type/hr not in IBC table, ","")&amp;IF(AND(N($BC460)&gt;0,$AU460=""),"no hardware set, ","")&amp;IF(AND($AU460&lt;&gt;"",ISNA(MATCH($AU460,HWSets,0))),"set "&amp;$AU460&amp;" not on Hardware sheet, ","")&amp;IF(N($BE460)&gt;96,"leaf over 8'-0"&amp;CHAR(34)&amp;" - check listing, ",""))</f>
        <v/>
      </c>
    </row>
    <row r="461" ht="15" customHeight="1">
      <c r="A461" s="44" t="n"/>
      <c r="B461" s="45" t="n"/>
      <c r="C461" s="45" t="n"/>
      <c r="D461" s="45" t="n"/>
      <c r="E461" s="45" t="n"/>
      <c r="F461" s="45" t="n"/>
      <c r="G461" s="45" t="n"/>
      <c r="H461" s="45" t="n"/>
      <c r="I461" s="45" t="n"/>
      <c r="J461" s="45" t="n"/>
      <c r="K461" s="45" t="n"/>
      <c r="L461" s="45" t="n"/>
      <c r="M461" s="45" t="n"/>
      <c r="N461" s="45" t="n"/>
      <c r="O461" s="45" t="n"/>
      <c r="P461" s="45" t="n"/>
      <c r="Q461" s="45" t="n"/>
      <c r="R461" s="45" t="n"/>
      <c r="S461" s="46" t="n"/>
      <c r="T461" s="46" t="n"/>
      <c r="U461" s="46" t="n"/>
      <c r="V461" s="46" t="n"/>
      <c r="W461" s="46" t="n"/>
      <c r="X461" s="46" t="n"/>
      <c r="Y461" s="46" t="n"/>
      <c r="Z461" s="46" t="n"/>
      <c r="AA461" s="46" t="n"/>
      <c r="AB461" s="46" t="n"/>
      <c r="AC461" s="46" t="n"/>
      <c r="AD461" s="46" t="n"/>
      <c r="AE461" s="46" t="n"/>
      <c r="AF461" s="46" t="n"/>
      <c r="AG461" s="46" t="n"/>
      <c r="AH461" s="47" t="n"/>
      <c r="AI461" s="47" t="n"/>
      <c r="AJ461" s="47" t="n"/>
      <c r="AK461" s="47" t="n"/>
      <c r="AL461" s="47" t="n"/>
      <c r="AM461" s="47" t="n"/>
      <c r="AN461" s="47" t="n"/>
      <c r="AO461" s="47" t="n"/>
      <c r="AP461" s="47" t="n"/>
      <c r="AQ461" s="47" t="n"/>
      <c r="AR461" s="47" t="n"/>
      <c r="AS461" s="47" t="n"/>
      <c r="AT461" s="47" t="n"/>
      <c r="AU461" s="48" t="n"/>
      <c r="AV461" s="48" t="n"/>
      <c r="AW461" s="49">
        <f>IF($A461="","",IF($BW461&lt;&gt;"","FIX",IF($BX461&lt;&gt;"","CHECK","OK")))</f>
        <v/>
      </c>
      <c r="AX461" s="50">
        <f>IF($A461="","",IF($BW461&lt;&gt;"","FIX: "&amp;LEFT($BW461,LEN($BW461)-2)&amp;IF($BX461&lt;&gt;"","  ·  ",""),"")&amp;IF($BX461&lt;&gt;"","CHECK: "&amp;LEFT($BX461,LEN($BX461)-2),""))</f>
        <v/>
      </c>
      <c r="AY461" s="49">
        <f>IF(OR($A461="",$K461=""),"",$K461&amp;"'-"&amp;N($L461)&amp;CHAR(34)&amp;" x "&amp;$M461&amp;"'-"&amp;N($N461)&amp;CHAR(34))</f>
        <v/>
      </c>
      <c r="AZ461" s="49">
        <f>IF(OR($A461="",$K461=""),"",$K461&amp;N($L461)&amp;$M461&amp;N($N461))</f>
        <v/>
      </c>
      <c r="BA461" s="49">
        <f>IF(OR($A461="",$K461=""),"",$K461*12+N($L461))</f>
        <v/>
      </c>
      <c r="BB461" s="49">
        <f>IF(OR($A461="",$M461=""),"",$M461*12+N($N461))</f>
        <v/>
      </c>
      <c r="BC461" s="49">
        <f>IF($A461="","",IF(OR($C461="FRAME ONLY",$S461="BL"),0,IF($O461="Y",2,1)))</f>
        <v/>
      </c>
      <c r="BD461" s="51">
        <f>IF(OR(N($BC461)=0,$BA461=""),"",($BA461-2*EdgeClr-IF($BC461=2,MeetClr,0))/$BC461)</f>
        <v/>
      </c>
      <c r="BE461" s="51">
        <f>IF(OR(N($BC461)=0,$BB461=""),"",$BB461-HeadClr-Undercut)</f>
        <v/>
      </c>
      <c r="BF461" s="51">
        <f>IF($BA461="","",$BA461+2*FaceW+IF(N($Q461)&gt;0,($Q461+FaceW)*IF($R461="LR",2,1),0))</f>
        <v/>
      </c>
      <c r="BG461" s="51">
        <f>IF($BB461="","",$BB461+IF($AB461="Y",4,FaceW)+IF(N($P461)&gt;0,$P461+FaceW,0)+IF(OR($S461="4F",$S461="BL"),FaceW,0))</f>
        <v/>
      </c>
      <c r="BH461" s="51">
        <f>IF($BF461="","",$BF461+2*ROSide)</f>
        <v/>
      </c>
      <c r="BI461" s="51">
        <f>IF($BG461="","",$BG461+ROTop)</f>
        <v/>
      </c>
      <c r="BJ461" s="52">
        <f>IF(OR(N($BC461)=0,$BA461=""),"",$BA461/$BC461-ClearDeduct)</f>
        <v/>
      </c>
      <c r="BK461" s="49">
        <f>IF(OR(N($BC461)=0,$BE461=""),"",IF(OR($AC461="HGC",$AP461="HGC"),"CONT",IF($BE461&lt;=60,2,IF($BE461&lt;=90,3,IF($BE461&lt;=120,4,5)))))</f>
        <v/>
      </c>
      <c r="BL461" s="49">
        <f>IF(N($BC461)=0,"",IF(OR($AL461="",$AL461="FLUSH"),"FLUSH",IFERROR(LEFT($AL461,FIND("-",$AL461)-1),LEFT($AL461,2))))</f>
        <v/>
      </c>
      <c r="BM461" s="49">
        <f>IF($BL461="","",IFERROR(VALUE(MID($AL461,FIND("-",$AL461)+1,FIND(CHAR(34)&amp;"x",$AL461)-FIND("-",$AL461)-1)),0))</f>
        <v/>
      </c>
      <c r="BN461" s="49">
        <f>IF($BL461="","",IFERROR(VALUE(MID($AL461,FIND(CHAR(34)&amp;"x",$AL461)+2,FIND(CHAR(34),$AL461,FIND(CHAR(34)&amp;"x",$AL461)+2)-FIND(CHAR(34)&amp;"x",$AL461)-2)),0))</f>
        <v/>
      </c>
      <c r="BO461" s="53">
        <f>IF(OR($A461="",$H461="",$H461="NO LAB"),0,IFERROR(VALUE(LEFT($H461,FIND(" ",$H461)-1)),0))</f>
        <v/>
      </c>
      <c r="BP461" s="54">
        <f>IF(OR($A461="",$I461="",$I461="NON-RATED",N($J461)=0),"",IFERROR(VLOOKUP($I461&amp;"|"&amp;$J461,IBC,2,FALSE),"?"))</f>
        <v/>
      </c>
      <c r="BQ461" s="50">
        <f>IF(NOT(AND($A461&lt;&gt;"",$C461&lt;&gt;"DOOR ONLY")),"",TRIM(IFERROR(VLOOKUP($U461,CODES,2,FALSE),"")&amp;" "&amp;$AZ461&amp;" "&amp;IFERROR(VLOOKUP($Z461,CODES,2,FALSE),"")&amp;" "&amp;IFERROR(VLOOKUP($X461,CODES,2,FALSE),"")&amp;" "&amp;IFERROR(VLOOKUP($S461,CODES,2,FALSE),"")&amp;IF(N($P461)&gt;0," w/TRANSOM "&amp;$P461&amp;CHAR(34),"")&amp;IF(N($Q461)&gt;0," w/SIDELITE "&amp;$Q461&amp;CHAR(34)&amp;" "&amp;IF($R461="","R",$R461),"")&amp;IF($Y461="","  |  "," | "&amp;IFERROR(VLOOKUP($Y461,CODES,2,FALSE),"")&amp;" | ")&amp;IFERROR(VLOOKUP($AC461,CODES,2,FALSE),"")&amp;" "&amp;IFERROR(VLOOKUP($AD461,CODES,2,FALSE),"")&amp;IF(OR($AE461="",$AE461="-"),""," "&amp;$AE461)&amp;IF(OR($AF461="",$AF461="-"),""," "&amp;$AF461)&amp;IF($AB461="Y"," 4"&amp;CHAR(34)&amp;" HEAD","")&amp;" "&amp;IFERROR(VLOOKUP($H461,CODES,2,FALSE),"")))</f>
        <v/>
      </c>
      <c r="BR461" s="50">
        <f>IF(NOT(AND($A461&lt;&gt;"",N($BC461)&gt;0)),"",TRIM(IFERROR(VLOOKUP($AH461,CODES,2,FALSE),"")&amp;IF($AI461=""," "," "&amp;$AI461&amp;"GA ")&amp;$AZ461&amp;" "&amp;IF($AN461="",IFERROR(VLOOKUP($Z461,CODES,2,FALSE),""),IFERROR(VLOOKUP($AN461,CODES,2,FALSE),""))&amp;IF($BC461=2," PAIR","")&amp;" DOOR | "&amp;IF($AL461="","?",$AL461)&amp;" | "&amp;IF($AP461="",IFERROR(VLOOKUP($AC461,CODES,2,FALSE),""),IFERROR(VLOOKUP($AP461,CODES,2,FALSE),""))&amp;" "&amp;IFERROR(VLOOKUP($AQ461,CODES,2,FALSE),"")&amp;IF(OR($AR461="",$AR461="-"),""," SEAM "&amp;$AR461)&amp;IF($AS461="Y"," ASTRAGAL","")&amp;IF($AJ461=""," "," "&amp;$AJ461)&amp;IF($AK461=""," "," "&amp;$AK461)&amp;IF($AO461="",""," "&amp;$AO461)&amp;IF($AM461=""," "," SERIES "&amp;$AM461)&amp;" "&amp;IFERROR(VLOOKUP($H461,CODES,2,FALSE),"")))</f>
        <v/>
      </c>
      <c r="BS461" s="49">
        <f>IF(BV461="","",IF(COUNTIF($BV$6:BV461,BV461)=1,MAX($BS$5:BS460)+1,INDEX($BS$5:BS460,MATCH(BV461,$BV$5:BV460,0))))</f>
        <v/>
      </c>
      <c r="BT461" s="49">
        <f>IF(NOT(AND($A461&lt;&gt;"",$C461&lt;&gt;"DOOR ONLY")),"",MAX($BT$5:BT460)+1)</f>
        <v/>
      </c>
      <c r="BU461" s="49">
        <f>IF(NOT(AND($A461&lt;&gt;"",N($BC461)&gt;0)),"",MAX($BU$5:BU460)+1)</f>
        <v/>
      </c>
      <c r="BV461" s="49">
        <f>IF(OR($A461="",$BA461="",$BB461=""),"",$AZ461&amp;"|"&amp;$O461&amp;"|"&amp;$AL461&amp;"|"&amp;$S461&amp;"|"&amp;$P461&amp;"|"&amp;$Q461&amp;$R461&amp;"|"&amp;$C461&amp;"|"&amp;$AB461)</f>
        <v/>
      </c>
      <c r="BW461" s="49">
        <f>IF($A461="","",IF($B461="","qty, ","")&amp;IF($C461="","scope, ","")&amp;IF(OR($K461="",$M461=""),"size, ","")&amp;IF(AND($A461&lt;&gt;"",$C461&lt;&gt;"DOOR ONLY"),IF($U461="","jamb depth, ","")&amp;IF($X461="","construction, ","")&amp;IF($Y461="","anchor, ","")&amp;IF($S461="","frame type, ",""),"")&amp;IF(AND(N($BC461)&gt;0,$Z461=""),"hand, ","")&amp;IF(N($BC461)&gt;0,IF($AH461="","door material, ","")&amp;IF($AL461="","face type, ","")&amp;IF($AQ461="","lock prep, ","")&amp;IF(AND($AP461="",$AC461=""),"hinge prep, ",""),"")&amp;IF(AND($BO461&gt;0,$AH461="FRP"),"FRP cannot carry a label, ","")&amp;IF(AND($O461="Y",OR($Z461="L",$Z461="R",$Z461="LR",$Z461="RR")),"pair marked but hand is single, ","")&amp;IF(AND($O461&lt;&gt;"Y",OR($Z461="PR",AND(LEN($Z461)&gt;1,ISNUMBER(SEARCH("-",$Z461))))),"pair hand on a single door, ","")&amp;IF(AND(ISNUMBER($BP461),$BO461&lt;N($BP461)),"wall needs a "&amp;$BP461&amp;" min door, ","")&amp;IF(AND($BO461&gt;=180,AND(OR($BL461="FG",$BL461="HG",$BL461="FNV",$BL461="FV"),N($BM461)*N($BN461)&gt;100)),"180 min lite over 100 sq in, ","")&amp;IF(N($BD461)&gt;48,"leaf wider than 4'-0"&amp;CHAR(34)&amp;", ",""))</f>
        <v/>
      </c>
      <c r="BX461" s="49">
        <f>IF($A461="","",IF(AND($BO461&gt;0,AND($A461&lt;&gt;"",$C461&lt;&gt;"DOOR ONLY"),$X461="KD",$E461="EXTERIOR"),"KD label on an exterior opening, ","")&amp;IF(AND($E461="EXTERIOR",OR(AND(AND($A461&lt;&gt;"",$C461&lt;&gt;"DOOR ONLY"),$W461="CR"),AND(N($BC461)&gt;0,$AH461="CR"))),"exterior in CR steel (G9?), ","")&amp;IF(AND(ISNUMBER($BJ461),N($BJ461)&lt;32),"clear width ~"&amp;TEXT($BJ461,"0.0")&amp;CHAR(34)&amp;" under 32"&amp;CHAR(34)&amp;" (ADA), ","")&amp;IF(AND($BO461=90,AND(OR($BL461="FG",$BL461="HG",$BL461="FNV",$BL461="FV"),N($BM461)*N($BN461)&gt;100)),"90 min lite over 100 sq in (stair/exit), ","")&amp;IF(AND($BO461&gt;0,AND($A461&lt;&gt;"",$C461&lt;&gt;"DOOR ONLY"),OR($AF461="",$AF461="-")),"rated: closer reinf.?, ","")&amp;IF(OR($I461="CORRIDOR",$I461="SMOKE BARRIER"),"S label + smoke gasketing, ","")&amp;IF($BP461="?","wall type/hr not in IBC table, ","")&amp;IF(AND(N($BC461)&gt;0,$AU461=""),"no hardware set, ","")&amp;IF(AND($AU461&lt;&gt;"",ISNA(MATCH($AU461,HWSets,0))),"set "&amp;$AU461&amp;" not on Hardware sheet, ","")&amp;IF(N($BE461)&gt;96,"leaf over 8'-0"&amp;CHAR(34)&amp;" - check listing, ",""))</f>
        <v/>
      </c>
    </row>
    <row r="462" ht="15" customHeight="1">
      <c r="A462" s="44" t="n"/>
      <c r="B462" s="45" t="n"/>
      <c r="C462" s="45" t="n"/>
      <c r="D462" s="45" t="n"/>
      <c r="E462" s="45" t="n"/>
      <c r="F462" s="45" t="n"/>
      <c r="G462" s="45" t="n"/>
      <c r="H462" s="45" t="n"/>
      <c r="I462" s="45" t="n"/>
      <c r="J462" s="45" t="n"/>
      <c r="K462" s="45" t="n"/>
      <c r="L462" s="45" t="n"/>
      <c r="M462" s="45" t="n"/>
      <c r="N462" s="45" t="n"/>
      <c r="O462" s="45" t="n"/>
      <c r="P462" s="45" t="n"/>
      <c r="Q462" s="45" t="n"/>
      <c r="R462" s="45" t="n"/>
      <c r="S462" s="46" t="n"/>
      <c r="T462" s="46" t="n"/>
      <c r="U462" s="46" t="n"/>
      <c r="V462" s="46" t="n"/>
      <c r="W462" s="46" t="n"/>
      <c r="X462" s="46" t="n"/>
      <c r="Y462" s="46" t="n"/>
      <c r="Z462" s="46" t="n"/>
      <c r="AA462" s="46" t="n"/>
      <c r="AB462" s="46" t="n"/>
      <c r="AC462" s="46" t="n"/>
      <c r="AD462" s="46" t="n"/>
      <c r="AE462" s="46" t="n"/>
      <c r="AF462" s="46" t="n"/>
      <c r="AG462" s="46" t="n"/>
      <c r="AH462" s="47" t="n"/>
      <c r="AI462" s="47" t="n"/>
      <c r="AJ462" s="47" t="n"/>
      <c r="AK462" s="47" t="n"/>
      <c r="AL462" s="47" t="n"/>
      <c r="AM462" s="47" t="n"/>
      <c r="AN462" s="47" t="n"/>
      <c r="AO462" s="47" t="n"/>
      <c r="AP462" s="47" t="n"/>
      <c r="AQ462" s="47" t="n"/>
      <c r="AR462" s="47" t="n"/>
      <c r="AS462" s="47" t="n"/>
      <c r="AT462" s="47" t="n"/>
      <c r="AU462" s="48" t="n"/>
      <c r="AV462" s="48" t="n"/>
      <c r="AW462" s="49">
        <f>IF($A462="","",IF($BW462&lt;&gt;"","FIX",IF($BX462&lt;&gt;"","CHECK","OK")))</f>
        <v/>
      </c>
      <c r="AX462" s="50">
        <f>IF($A462="","",IF($BW462&lt;&gt;"","FIX: "&amp;LEFT($BW462,LEN($BW462)-2)&amp;IF($BX462&lt;&gt;"","  ·  ",""),"")&amp;IF($BX462&lt;&gt;"","CHECK: "&amp;LEFT($BX462,LEN($BX462)-2),""))</f>
        <v/>
      </c>
      <c r="AY462" s="49">
        <f>IF(OR($A462="",$K462=""),"",$K462&amp;"'-"&amp;N($L462)&amp;CHAR(34)&amp;" x "&amp;$M462&amp;"'-"&amp;N($N462)&amp;CHAR(34))</f>
        <v/>
      </c>
      <c r="AZ462" s="49">
        <f>IF(OR($A462="",$K462=""),"",$K462&amp;N($L462)&amp;$M462&amp;N($N462))</f>
        <v/>
      </c>
      <c r="BA462" s="49">
        <f>IF(OR($A462="",$K462=""),"",$K462*12+N($L462))</f>
        <v/>
      </c>
      <c r="BB462" s="49">
        <f>IF(OR($A462="",$M462=""),"",$M462*12+N($N462))</f>
        <v/>
      </c>
      <c r="BC462" s="49">
        <f>IF($A462="","",IF(OR($C462="FRAME ONLY",$S462="BL"),0,IF($O462="Y",2,1)))</f>
        <v/>
      </c>
      <c r="BD462" s="51">
        <f>IF(OR(N($BC462)=0,$BA462=""),"",($BA462-2*EdgeClr-IF($BC462=2,MeetClr,0))/$BC462)</f>
        <v/>
      </c>
      <c r="BE462" s="51">
        <f>IF(OR(N($BC462)=0,$BB462=""),"",$BB462-HeadClr-Undercut)</f>
        <v/>
      </c>
      <c r="BF462" s="51">
        <f>IF($BA462="","",$BA462+2*FaceW+IF(N($Q462)&gt;0,($Q462+FaceW)*IF($R462="LR",2,1),0))</f>
        <v/>
      </c>
      <c r="BG462" s="51">
        <f>IF($BB462="","",$BB462+IF($AB462="Y",4,FaceW)+IF(N($P462)&gt;0,$P462+FaceW,0)+IF(OR($S462="4F",$S462="BL"),FaceW,0))</f>
        <v/>
      </c>
      <c r="BH462" s="51">
        <f>IF($BF462="","",$BF462+2*ROSide)</f>
        <v/>
      </c>
      <c r="BI462" s="51">
        <f>IF($BG462="","",$BG462+ROTop)</f>
        <v/>
      </c>
      <c r="BJ462" s="52">
        <f>IF(OR(N($BC462)=0,$BA462=""),"",$BA462/$BC462-ClearDeduct)</f>
        <v/>
      </c>
      <c r="BK462" s="49">
        <f>IF(OR(N($BC462)=0,$BE462=""),"",IF(OR($AC462="HGC",$AP462="HGC"),"CONT",IF($BE462&lt;=60,2,IF($BE462&lt;=90,3,IF($BE462&lt;=120,4,5)))))</f>
        <v/>
      </c>
      <c r="BL462" s="49">
        <f>IF(N($BC462)=0,"",IF(OR($AL462="",$AL462="FLUSH"),"FLUSH",IFERROR(LEFT($AL462,FIND("-",$AL462)-1),LEFT($AL462,2))))</f>
        <v/>
      </c>
      <c r="BM462" s="49">
        <f>IF($BL462="","",IFERROR(VALUE(MID($AL462,FIND("-",$AL462)+1,FIND(CHAR(34)&amp;"x",$AL462)-FIND("-",$AL462)-1)),0))</f>
        <v/>
      </c>
      <c r="BN462" s="49">
        <f>IF($BL462="","",IFERROR(VALUE(MID($AL462,FIND(CHAR(34)&amp;"x",$AL462)+2,FIND(CHAR(34),$AL462,FIND(CHAR(34)&amp;"x",$AL462)+2)-FIND(CHAR(34)&amp;"x",$AL462)-2)),0))</f>
        <v/>
      </c>
      <c r="BO462" s="53">
        <f>IF(OR($A462="",$H462="",$H462="NO LAB"),0,IFERROR(VALUE(LEFT($H462,FIND(" ",$H462)-1)),0))</f>
        <v/>
      </c>
      <c r="BP462" s="54">
        <f>IF(OR($A462="",$I462="",$I462="NON-RATED",N($J462)=0),"",IFERROR(VLOOKUP($I462&amp;"|"&amp;$J462,IBC,2,FALSE),"?"))</f>
        <v/>
      </c>
      <c r="BQ462" s="50">
        <f>IF(NOT(AND($A462&lt;&gt;"",$C462&lt;&gt;"DOOR ONLY")),"",TRIM(IFERROR(VLOOKUP($U462,CODES,2,FALSE),"")&amp;" "&amp;$AZ462&amp;" "&amp;IFERROR(VLOOKUP($Z462,CODES,2,FALSE),"")&amp;" "&amp;IFERROR(VLOOKUP($X462,CODES,2,FALSE),"")&amp;" "&amp;IFERROR(VLOOKUP($S462,CODES,2,FALSE),"")&amp;IF(N($P462)&gt;0," w/TRANSOM "&amp;$P462&amp;CHAR(34),"")&amp;IF(N($Q462)&gt;0," w/SIDELITE "&amp;$Q462&amp;CHAR(34)&amp;" "&amp;IF($R462="","R",$R462),"")&amp;IF($Y462="","  |  "," | "&amp;IFERROR(VLOOKUP($Y462,CODES,2,FALSE),"")&amp;" | ")&amp;IFERROR(VLOOKUP($AC462,CODES,2,FALSE),"")&amp;" "&amp;IFERROR(VLOOKUP($AD462,CODES,2,FALSE),"")&amp;IF(OR($AE462="",$AE462="-"),""," "&amp;$AE462)&amp;IF(OR($AF462="",$AF462="-"),""," "&amp;$AF462)&amp;IF($AB462="Y"," 4"&amp;CHAR(34)&amp;" HEAD","")&amp;" "&amp;IFERROR(VLOOKUP($H462,CODES,2,FALSE),"")))</f>
        <v/>
      </c>
      <c r="BR462" s="50">
        <f>IF(NOT(AND($A462&lt;&gt;"",N($BC462)&gt;0)),"",TRIM(IFERROR(VLOOKUP($AH462,CODES,2,FALSE),"")&amp;IF($AI462=""," "," "&amp;$AI462&amp;"GA ")&amp;$AZ462&amp;" "&amp;IF($AN462="",IFERROR(VLOOKUP($Z462,CODES,2,FALSE),""),IFERROR(VLOOKUP($AN462,CODES,2,FALSE),""))&amp;IF($BC462=2," PAIR","")&amp;" DOOR | "&amp;IF($AL462="","?",$AL462)&amp;" | "&amp;IF($AP462="",IFERROR(VLOOKUP($AC462,CODES,2,FALSE),""),IFERROR(VLOOKUP($AP462,CODES,2,FALSE),""))&amp;" "&amp;IFERROR(VLOOKUP($AQ462,CODES,2,FALSE),"")&amp;IF(OR($AR462="",$AR462="-"),""," SEAM "&amp;$AR462)&amp;IF($AS462="Y"," ASTRAGAL","")&amp;IF($AJ462=""," "," "&amp;$AJ462)&amp;IF($AK462=""," "," "&amp;$AK462)&amp;IF($AO462="",""," "&amp;$AO462)&amp;IF($AM462=""," "," SERIES "&amp;$AM462)&amp;" "&amp;IFERROR(VLOOKUP($H462,CODES,2,FALSE),"")))</f>
        <v/>
      </c>
      <c r="BS462" s="49">
        <f>IF(BV462="","",IF(COUNTIF($BV$6:BV462,BV462)=1,MAX($BS$5:BS461)+1,INDEX($BS$5:BS461,MATCH(BV462,$BV$5:BV461,0))))</f>
        <v/>
      </c>
      <c r="BT462" s="49">
        <f>IF(NOT(AND($A462&lt;&gt;"",$C462&lt;&gt;"DOOR ONLY")),"",MAX($BT$5:BT461)+1)</f>
        <v/>
      </c>
      <c r="BU462" s="49">
        <f>IF(NOT(AND($A462&lt;&gt;"",N($BC462)&gt;0)),"",MAX($BU$5:BU461)+1)</f>
        <v/>
      </c>
      <c r="BV462" s="49">
        <f>IF(OR($A462="",$BA462="",$BB462=""),"",$AZ462&amp;"|"&amp;$O462&amp;"|"&amp;$AL462&amp;"|"&amp;$S462&amp;"|"&amp;$P462&amp;"|"&amp;$Q462&amp;$R462&amp;"|"&amp;$C462&amp;"|"&amp;$AB462)</f>
        <v/>
      </c>
      <c r="BW462" s="49">
        <f>IF($A462="","",IF($B462="","qty, ","")&amp;IF($C462="","scope, ","")&amp;IF(OR($K462="",$M462=""),"size, ","")&amp;IF(AND($A462&lt;&gt;"",$C462&lt;&gt;"DOOR ONLY"),IF($U462="","jamb depth, ","")&amp;IF($X462="","construction, ","")&amp;IF($Y462="","anchor, ","")&amp;IF($S462="","frame type, ",""),"")&amp;IF(AND(N($BC462)&gt;0,$Z462=""),"hand, ","")&amp;IF(N($BC462)&gt;0,IF($AH462="","door material, ","")&amp;IF($AL462="","face type, ","")&amp;IF($AQ462="","lock prep, ","")&amp;IF(AND($AP462="",$AC462=""),"hinge prep, ",""),"")&amp;IF(AND($BO462&gt;0,$AH462="FRP"),"FRP cannot carry a label, ","")&amp;IF(AND($O462="Y",OR($Z462="L",$Z462="R",$Z462="LR",$Z462="RR")),"pair marked but hand is single, ","")&amp;IF(AND($O462&lt;&gt;"Y",OR($Z462="PR",AND(LEN($Z462)&gt;1,ISNUMBER(SEARCH("-",$Z462))))),"pair hand on a single door, ","")&amp;IF(AND(ISNUMBER($BP462),$BO462&lt;N($BP462)),"wall needs a "&amp;$BP462&amp;" min door, ","")&amp;IF(AND($BO462&gt;=180,AND(OR($BL462="FG",$BL462="HG",$BL462="FNV",$BL462="FV"),N($BM462)*N($BN462)&gt;100)),"180 min lite over 100 sq in, ","")&amp;IF(N($BD462)&gt;48,"leaf wider than 4'-0"&amp;CHAR(34)&amp;", ",""))</f>
        <v/>
      </c>
      <c r="BX462" s="49">
        <f>IF($A462="","",IF(AND($BO462&gt;0,AND($A462&lt;&gt;"",$C462&lt;&gt;"DOOR ONLY"),$X462="KD",$E462="EXTERIOR"),"KD label on an exterior opening, ","")&amp;IF(AND($E462="EXTERIOR",OR(AND(AND($A462&lt;&gt;"",$C462&lt;&gt;"DOOR ONLY"),$W462="CR"),AND(N($BC462)&gt;0,$AH462="CR"))),"exterior in CR steel (G9?), ","")&amp;IF(AND(ISNUMBER($BJ462),N($BJ462)&lt;32),"clear width ~"&amp;TEXT($BJ462,"0.0")&amp;CHAR(34)&amp;" under 32"&amp;CHAR(34)&amp;" (ADA), ","")&amp;IF(AND($BO462=90,AND(OR($BL462="FG",$BL462="HG",$BL462="FNV",$BL462="FV"),N($BM462)*N($BN462)&gt;100)),"90 min lite over 100 sq in (stair/exit), ","")&amp;IF(AND($BO462&gt;0,AND($A462&lt;&gt;"",$C462&lt;&gt;"DOOR ONLY"),OR($AF462="",$AF462="-")),"rated: closer reinf.?, ","")&amp;IF(OR($I462="CORRIDOR",$I462="SMOKE BARRIER"),"S label + smoke gasketing, ","")&amp;IF($BP462="?","wall type/hr not in IBC table, ","")&amp;IF(AND(N($BC462)&gt;0,$AU462=""),"no hardware set, ","")&amp;IF(AND($AU462&lt;&gt;"",ISNA(MATCH($AU462,HWSets,0))),"set "&amp;$AU462&amp;" not on Hardware sheet, ","")&amp;IF(N($BE462)&gt;96,"leaf over 8'-0"&amp;CHAR(34)&amp;" - check listing, ",""))</f>
        <v/>
      </c>
    </row>
    <row r="463" ht="15" customHeight="1">
      <c r="A463" s="44" t="n"/>
      <c r="B463" s="45" t="n"/>
      <c r="C463" s="45" t="n"/>
      <c r="D463" s="45" t="n"/>
      <c r="E463" s="45" t="n"/>
      <c r="F463" s="45" t="n"/>
      <c r="G463" s="45" t="n"/>
      <c r="H463" s="45" t="n"/>
      <c r="I463" s="45" t="n"/>
      <c r="J463" s="45" t="n"/>
      <c r="K463" s="45" t="n"/>
      <c r="L463" s="45" t="n"/>
      <c r="M463" s="45" t="n"/>
      <c r="N463" s="45" t="n"/>
      <c r="O463" s="45" t="n"/>
      <c r="P463" s="45" t="n"/>
      <c r="Q463" s="45" t="n"/>
      <c r="R463" s="45" t="n"/>
      <c r="S463" s="46" t="n"/>
      <c r="T463" s="46" t="n"/>
      <c r="U463" s="46" t="n"/>
      <c r="V463" s="46" t="n"/>
      <c r="W463" s="46" t="n"/>
      <c r="X463" s="46" t="n"/>
      <c r="Y463" s="46" t="n"/>
      <c r="Z463" s="46" t="n"/>
      <c r="AA463" s="46" t="n"/>
      <c r="AB463" s="46" t="n"/>
      <c r="AC463" s="46" t="n"/>
      <c r="AD463" s="46" t="n"/>
      <c r="AE463" s="46" t="n"/>
      <c r="AF463" s="46" t="n"/>
      <c r="AG463" s="46" t="n"/>
      <c r="AH463" s="47" t="n"/>
      <c r="AI463" s="47" t="n"/>
      <c r="AJ463" s="47" t="n"/>
      <c r="AK463" s="47" t="n"/>
      <c r="AL463" s="47" t="n"/>
      <c r="AM463" s="47" t="n"/>
      <c r="AN463" s="47" t="n"/>
      <c r="AO463" s="47" t="n"/>
      <c r="AP463" s="47" t="n"/>
      <c r="AQ463" s="47" t="n"/>
      <c r="AR463" s="47" t="n"/>
      <c r="AS463" s="47" t="n"/>
      <c r="AT463" s="47" t="n"/>
      <c r="AU463" s="48" t="n"/>
      <c r="AV463" s="48" t="n"/>
      <c r="AW463" s="49">
        <f>IF($A463="","",IF($BW463&lt;&gt;"","FIX",IF($BX463&lt;&gt;"","CHECK","OK")))</f>
        <v/>
      </c>
      <c r="AX463" s="50">
        <f>IF($A463="","",IF($BW463&lt;&gt;"","FIX: "&amp;LEFT($BW463,LEN($BW463)-2)&amp;IF($BX463&lt;&gt;"","  ·  ",""),"")&amp;IF($BX463&lt;&gt;"","CHECK: "&amp;LEFT($BX463,LEN($BX463)-2),""))</f>
        <v/>
      </c>
      <c r="AY463" s="49">
        <f>IF(OR($A463="",$K463=""),"",$K463&amp;"'-"&amp;N($L463)&amp;CHAR(34)&amp;" x "&amp;$M463&amp;"'-"&amp;N($N463)&amp;CHAR(34))</f>
        <v/>
      </c>
      <c r="AZ463" s="49">
        <f>IF(OR($A463="",$K463=""),"",$K463&amp;N($L463)&amp;$M463&amp;N($N463))</f>
        <v/>
      </c>
      <c r="BA463" s="49">
        <f>IF(OR($A463="",$K463=""),"",$K463*12+N($L463))</f>
        <v/>
      </c>
      <c r="BB463" s="49">
        <f>IF(OR($A463="",$M463=""),"",$M463*12+N($N463))</f>
        <v/>
      </c>
      <c r="BC463" s="49">
        <f>IF($A463="","",IF(OR($C463="FRAME ONLY",$S463="BL"),0,IF($O463="Y",2,1)))</f>
        <v/>
      </c>
      <c r="BD463" s="51">
        <f>IF(OR(N($BC463)=0,$BA463=""),"",($BA463-2*EdgeClr-IF($BC463=2,MeetClr,0))/$BC463)</f>
        <v/>
      </c>
      <c r="BE463" s="51">
        <f>IF(OR(N($BC463)=0,$BB463=""),"",$BB463-HeadClr-Undercut)</f>
        <v/>
      </c>
      <c r="BF463" s="51">
        <f>IF($BA463="","",$BA463+2*FaceW+IF(N($Q463)&gt;0,($Q463+FaceW)*IF($R463="LR",2,1),0))</f>
        <v/>
      </c>
      <c r="BG463" s="51">
        <f>IF($BB463="","",$BB463+IF($AB463="Y",4,FaceW)+IF(N($P463)&gt;0,$P463+FaceW,0)+IF(OR($S463="4F",$S463="BL"),FaceW,0))</f>
        <v/>
      </c>
      <c r="BH463" s="51">
        <f>IF($BF463="","",$BF463+2*ROSide)</f>
        <v/>
      </c>
      <c r="BI463" s="51">
        <f>IF($BG463="","",$BG463+ROTop)</f>
        <v/>
      </c>
      <c r="BJ463" s="52">
        <f>IF(OR(N($BC463)=0,$BA463=""),"",$BA463/$BC463-ClearDeduct)</f>
        <v/>
      </c>
      <c r="BK463" s="49">
        <f>IF(OR(N($BC463)=0,$BE463=""),"",IF(OR($AC463="HGC",$AP463="HGC"),"CONT",IF($BE463&lt;=60,2,IF($BE463&lt;=90,3,IF($BE463&lt;=120,4,5)))))</f>
        <v/>
      </c>
      <c r="BL463" s="49">
        <f>IF(N($BC463)=0,"",IF(OR($AL463="",$AL463="FLUSH"),"FLUSH",IFERROR(LEFT($AL463,FIND("-",$AL463)-1),LEFT($AL463,2))))</f>
        <v/>
      </c>
      <c r="BM463" s="49">
        <f>IF($BL463="","",IFERROR(VALUE(MID($AL463,FIND("-",$AL463)+1,FIND(CHAR(34)&amp;"x",$AL463)-FIND("-",$AL463)-1)),0))</f>
        <v/>
      </c>
      <c r="BN463" s="49">
        <f>IF($BL463="","",IFERROR(VALUE(MID($AL463,FIND(CHAR(34)&amp;"x",$AL463)+2,FIND(CHAR(34),$AL463,FIND(CHAR(34)&amp;"x",$AL463)+2)-FIND(CHAR(34)&amp;"x",$AL463)-2)),0))</f>
        <v/>
      </c>
      <c r="BO463" s="53">
        <f>IF(OR($A463="",$H463="",$H463="NO LAB"),0,IFERROR(VALUE(LEFT($H463,FIND(" ",$H463)-1)),0))</f>
        <v/>
      </c>
      <c r="BP463" s="54">
        <f>IF(OR($A463="",$I463="",$I463="NON-RATED",N($J463)=0),"",IFERROR(VLOOKUP($I463&amp;"|"&amp;$J463,IBC,2,FALSE),"?"))</f>
        <v/>
      </c>
      <c r="BQ463" s="50">
        <f>IF(NOT(AND($A463&lt;&gt;"",$C463&lt;&gt;"DOOR ONLY")),"",TRIM(IFERROR(VLOOKUP($U463,CODES,2,FALSE),"")&amp;" "&amp;$AZ463&amp;" "&amp;IFERROR(VLOOKUP($Z463,CODES,2,FALSE),"")&amp;" "&amp;IFERROR(VLOOKUP($X463,CODES,2,FALSE),"")&amp;" "&amp;IFERROR(VLOOKUP($S463,CODES,2,FALSE),"")&amp;IF(N($P463)&gt;0," w/TRANSOM "&amp;$P463&amp;CHAR(34),"")&amp;IF(N($Q463)&gt;0," w/SIDELITE "&amp;$Q463&amp;CHAR(34)&amp;" "&amp;IF($R463="","R",$R463),"")&amp;IF($Y463="","  |  "," | "&amp;IFERROR(VLOOKUP($Y463,CODES,2,FALSE),"")&amp;" | ")&amp;IFERROR(VLOOKUP($AC463,CODES,2,FALSE),"")&amp;" "&amp;IFERROR(VLOOKUP($AD463,CODES,2,FALSE),"")&amp;IF(OR($AE463="",$AE463="-"),""," "&amp;$AE463)&amp;IF(OR($AF463="",$AF463="-"),""," "&amp;$AF463)&amp;IF($AB463="Y"," 4"&amp;CHAR(34)&amp;" HEAD","")&amp;" "&amp;IFERROR(VLOOKUP($H463,CODES,2,FALSE),"")))</f>
        <v/>
      </c>
      <c r="BR463" s="50">
        <f>IF(NOT(AND($A463&lt;&gt;"",N($BC463)&gt;0)),"",TRIM(IFERROR(VLOOKUP($AH463,CODES,2,FALSE),"")&amp;IF($AI463=""," "," "&amp;$AI463&amp;"GA ")&amp;$AZ463&amp;" "&amp;IF($AN463="",IFERROR(VLOOKUP($Z463,CODES,2,FALSE),""),IFERROR(VLOOKUP($AN463,CODES,2,FALSE),""))&amp;IF($BC463=2," PAIR","")&amp;" DOOR | "&amp;IF($AL463="","?",$AL463)&amp;" | "&amp;IF($AP463="",IFERROR(VLOOKUP($AC463,CODES,2,FALSE),""),IFERROR(VLOOKUP($AP463,CODES,2,FALSE),""))&amp;" "&amp;IFERROR(VLOOKUP($AQ463,CODES,2,FALSE),"")&amp;IF(OR($AR463="",$AR463="-"),""," SEAM "&amp;$AR463)&amp;IF($AS463="Y"," ASTRAGAL","")&amp;IF($AJ463=""," "," "&amp;$AJ463)&amp;IF($AK463=""," "," "&amp;$AK463)&amp;IF($AO463="",""," "&amp;$AO463)&amp;IF($AM463=""," "," SERIES "&amp;$AM463)&amp;" "&amp;IFERROR(VLOOKUP($H463,CODES,2,FALSE),"")))</f>
        <v/>
      </c>
      <c r="BS463" s="49">
        <f>IF(BV463="","",IF(COUNTIF($BV$6:BV463,BV463)=1,MAX($BS$5:BS462)+1,INDEX($BS$5:BS462,MATCH(BV463,$BV$5:BV462,0))))</f>
        <v/>
      </c>
      <c r="BT463" s="49">
        <f>IF(NOT(AND($A463&lt;&gt;"",$C463&lt;&gt;"DOOR ONLY")),"",MAX($BT$5:BT462)+1)</f>
        <v/>
      </c>
      <c r="BU463" s="49">
        <f>IF(NOT(AND($A463&lt;&gt;"",N($BC463)&gt;0)),"",MAX($BU$5:BU462)+1)</f>
        <v/>
      </c>
      <c r="BV463" s="49">
        <f>IF(OR($A463="",$BA463="",$BB463=""),"",$AZ463&amp;"|"&amp;$O463&amp;"|"&amp;$AL463&amp;"|"&amp;$S463&amp;"|"&amp;$P463&amp;"|"&amp;$Q463&amp;$R463&amp;"|"&amp;$C463&amp;"|"&amp;$AB463)</f>
        <v/>
      </c>
      <c r="BW463" s="49">
        <f>IF($A463="","",IF($B463="","qty, ","")&amp;IF($C463="","scope, ","")&amp;IF(OR($K463="",$M463=""),"size, ","")&amp;IF(AND($A463&lt;&gt;"",$C463&lt;&gt;"DOOR ONLY"),IF($U463="","jamb depth, ","")&amp;IF($X463="","construction, ","")&amp;IF($Y463="","anchor, ","")&amp;IF($S463="","frame type, ",""),"")&amp;IF(AND(N($BC463)&gt;0,$Z463=""),"hand, ","")&amp;IF(N($BC463)&gt;0,IF($AH463="","door material, ","")&amp;IF($AL463="","face type, ","")&amp;IF($AQ463="","lock prep, ","")&amp;IF(AND($AP463="",$AC463=""),"hinge prep, ",""),"")&amp;IF(AND($BO463&gt;0,$AH463="FRP"),"FRP cannot carry a label, ","")&amp;IF(AND($O463="Y",OR($Z463="L",$Z463="R",$Z463="LR",$Z463="RR")),"pair marked but hand is single, ","")&amp;IF(AND($O463&lt;&gt;"Y",OR($Z463="PR",AND(LEN($Z463)&gt;1,ISNUMBER(SEARCH("-",$Z463))))),"pair hand on a single door, ","")&amp;IF(AND(ISNUMBER($BP463),$BO463&lt;N($BP463)),"wall needs a "&amp;$BP463&amp;" min door, ","")&amp;IF(AND($BO463&gt;=180,AND(OR($BL463="FG",$BL463="HG",$BL463="FNV",$BL463="FV"),N($BM463)*N($BN463)&gt;100)),"180 min lite over 100 sq in, ","")&amp;IF(N($BD463)&gt;48,"leaf wider than 4'-0"&amp;CHAR(34)&amp;", ",""))</f>
        <v/>
      </c>
      <c r="BX463" s="49">
        <f>IF($A463="","",IF(AND($BO463&gt;0,AND($A463&lt;&gt;"",$C463&lt;&gt;"DOOR ONLY"),$X463="KD",$E463="EXTERIOR"),"KD label on an exterior opening, ","")&amp;IF(AND($E463="EXTERIOR",OR(AND(AND($A463&lt;&gt;"",$C463&lt;&gt;"DOOR ONLY"),$W463="CR"),AND(N($BC463)&gt;0,$AH463="CR"))),"exterior in CR steel (G9?), ","")&amp;IF(AND(ISNUMBER($BJ463),N($BJ463)&lt;32),"clear width ~"&amp;TEXT($BJ463,"0.0")&amp;CHAR(34)&amp;" under 32"&amp;CHAR(34)&amp;" (ADA), ","")&amp;IF(AND($BO463=90,AND(OR($BL463="FG",$BL463="HG",$BL463="FNV",$BL463="FV"),N($BM463)*N($BN463)&gt;100)),"90 min lite over 100 sq in (stair/exit), ","")&amp;IF(AND($BO463&gt;0,AND($A463&lt;&gt;"",$C463&lt;&gt;"DOOR ONLY"),OR($AF463="",$AF463="-")),"rated: closer reinf.?, ","")&amp;IF(OR($I463="CORRIDOR",$I463="SMOKE BARRIER"),"S label + smoke gasketing, ","")&amp;IF($BP463="?","wall type/hr not in IBC table, ","")&amp;IF(AND(N($BC463)&gt;0,$AU463=""),"no hardware set, ","")&amp;IF(AND($AU463&lt;&gt;"",ISNA(MATCH($AU463,HWSets,0))),"set "&amp;$AU463&amp;" not on Hardware sheet, ","")&amp;IF(N($BE463)&gt;96,"leaf over 8'-0"&amp;CHAR(34)&amp;" - check listing, ",""))</f>
        <v/>
      </c>
    </row>
    <row r="464" ht="15" customHeight="1">
      <c r="A464" s="44" t="n"/>
      <c r="B464" s="45" t="n"/>
      <c r="C464" s="45" t="n"/>
      <c r="D464" s="45" t="n"/>
      <c r="E464" s="45" t="n"/>
      <c r="F464" s="45" t="n"/>
      <c r="G464" s="45" t="n"/>
      <c r="H464" s="45" t="n"/>
      <c r="I464" s="45" t="n"/>
      <c r="J464" s="45" t="n"/>
      <c r="K464" s="45" t="n"/>
      <c r="L464" s="45" t="n"/>
      <c r="M464" s="45" t="n"/>
      <c r="N464" s="45" t="n"/>
      <c r="O464" s="45" t="n"/>
      <c r="P464" s="45" t="n"/>
      <c r="Q464" s="45" t="n"/>
      <c r="R464" s="45" t="n"/>
      <c r="S464" s="46" t="n"/>
      <c r="T464" s="46" t="n"/>
      <c r="U464" s="46" t="n"/>
      <c r="V464" s="46" t="n"/>
      <c r="W464" s="46" t="n"/>
      <c r="X464" s="46" t="n"/>
      <c r="Y464" s="46" t="n"/>
      <c r="Z464" s="46" t="n"/>
      <c r="AA464" s="46" t="n"/>
      <c r="AB464" s="46" t="n"/>
      <c r="AC464" s="46" t="n"/>
      <c r="AD464" s="46" t="n"/>
      <c r="AE464" s="46" t="n"/>
      <c r="AF464" s="46" t="n"/>
      <c r="AG464" s="46" t="n"/>
      <c r="AH464" s="47" t="n"/>
      <c r="AI464" s="47" t="n"/>
      <c r="AJ464" s="47" t="n"/>
      <c r="AK464" s="47" t="n"/>
      <c r="AL464" s="47" t="n"/>
      <c r="AM464" s="47" t="n"/>
      <c r="AN464" s="47" t="n"/>
      <c r="AO464" s="47" t="n"/>
      <c r="AP464" s="47" t="n"/>
      <c r="AQ464" s="47" t="n"/>
      <c r="AR464" s="47" t="n"/>
      <c r="AS464" s="47" t="n"/>
      <c r="AT464" s="47" t="n"/>
      <c r="AU464" s="48" t="n"/>
      <c r="AV464" s="48" t="n"/>
      <c r="AW464" s="49">
        <f>IF($A464="","",IF($BW464&lt;&gt;"","FIX",IF($BX464&lt;&gt;"","CHECK","OK")))</f>
        <v/>
      </c>
      <c r="AX464" s="50">
        <f>IF($A464="","",IF($BW464&lt;&gt;"","FIX: "&amp;LEFT($BW464,LEN($BW464)-2)&amp;IF($BX464&lt;&gt;"","  ·  ",""),"")&amp;IF($BX464&lt;&gt;"","CHECK: "&amp;LEFT($BX464,LEN($BX464)-2),""))</f>
        <v/>
      </c>
      <c r="AY464" s="49">
        <f>IF(OR($A464="",$K464=""),"",$K464&amp;"'-"&amp;N($L464)&amp;CHAR(34)&amp;" x "&amp;$M464&amp;"'-"&amp;N($N464)&amp;CHAR(34))</f>
        <v/>
      </c>
      <c r="AZ464" s="49">
        <f>IF(OR($A464="",$K464=""),"",$K464&amp;N($L464)&amp;$M464&amp;N($N464))</f>
        <v/>
      </c>
      <c r="BA464" s="49">
        <f>IF(OR($A464="",$K464=""),"",$K464*12+N($L464))</f>
        <v/>
      </c>
      <c r="BB464" s="49">
        <f>IF(OR($A464="",$M464=""),"",$M464*12+N($N464))</f>
        <v/>
      </c>
      <c r="BC464" s="49">
        <f>IF($A464="","",IF(OR($C464="FRAME ONLY",$S464="BL"),0,IF($O464="Y",2,1)))</f>
        <v/>
      </c>
      <c r="BD464" s="51">
        <f>IF(OR(N($BC464)=0,$BA464=""),"",($BA464-2*EdgeClr-IF($BC464=2,MeetClr,0))/$BC464)</f>
        <v/>
      </c>
      <c r="BE464" s="51">
        <f>IF(OR(N($BC464)=0,$BB464=""),"",$BB464-HeadClr-Undercut)</f>
        <v/>
      </c>
      <c r="BF464" s="51">
        <f>IF($BA464="","",$BA464+2*FaceW+IF(N($Q464)&gt;0,($Q464+FaceW)*IF($R464="LR",2,1),0))</f>
        <v/>
      </c>
      <c r="BG464" s="51">
        <f>IF($BB464="","",$BB464+IF($AB464="Y",4,FaceW)+IF(N($P464)&gt;0,$P464+FaceW,0)+IF(OR($S464="4F",$S464="BL"),FaceW,0))</f>
        <v/>
      </c>
      <c r="BH464" s="51">
        <f>IF($BF464="","",$BF464+2*ROSide)</f>
        <v/>
      </c>
      <c r="BI464" s="51">
        <f>IF($BG464="","",$BG464+ROTop)</f>
        <v/>
      </c>
      <c r="BJ464" s="52">
        <f>IF(OR(N($BC464)=0,$BA464=""),"",$BA464/$BC464-ClearDeduct)</f>
        <v/>
      </c>
      <c r="BK464" s="49">
        <f>IF(OR(N($BC464)=0,$BE464=""),"",IF(OR($AC464="HGC",$AP464="HGC"),"CONT",IF($BE464&lt;=60,2,IF($BE464&lt;=90,3,IF($BE464&lt;=120,4,5)))))</f>
        <v/>
      </c>
      <c r="BL464" s="49">
        <f>IF(N($BC464)=0,"",IF(OR($AL464="",$AL464="FLUSH"),"FLUSH",IFERROR(LEFT($AL464,FIND("-",$AL464)-1),LEFT($AL464,2))))</f>
        <v/>
      </c>
      <c r="BM464" s="49">
        <f>IF($BL464="","",IFERROR(VALUE(MID($AL464,FIND("-",$AL464)+1,FIND(CHAR(34)&amp;"x",$AL464)-FIND("-",$AL464)-1)),0))</f>
        <v/>
      </c>
      <c r="BN464" s="49">
        <f>IF($BL464="","",IFERROR(VALUE(MID($AL464,FIND(CHAR(34)&amp;"x",$AL464)+2,FIND(CHAR(34),$AL464,FIND(CHAR(34)&amp;"x",$AL464)+2)-FIND(CHAR(34)&amp;"x",$AL464)-2)),0))</f>
        <v/>
      </c>
      <c r="BO464" s="53">
        <f>IF(OR($A464="",$H464="",$H464="NO LAB"),0,IFERROR(VALUE(LEFT($H464,FIND(" ",$H464)-1)),0))</f>
        <v/>
      </c>
      <c r="BP464" s="54">
        <f>IF(OR($A464="",$I464="",$I464="NON-RATED",N($J464)=0),"",IFERROR(VLOOKUP($I464&amp;"|"&amp;$J464,IBC,2,FALSE),"?"))</f>
        <v/>
      </c>
      <c r="BQ464" s="50">
        <f>IF(NOT(AND($A464&lt;&gt;"",$C464&lt;&gt;"DOOR ONLY")),"",TRIM(IFERROR(VLOOKUP($U464,CODES,2,FALSE),"")&amp;" "&amp;$AZ464&amp;" "&amp;IFERROR(VLOOKUP($Z464,CODES,2,FALSE),"")&amp;" "&amp;IFERROR(VLOOKUP($X464,CODES,2,FALSE),"")&amp;" "&amp;IFERROR(VLOOKUP($S464,CODES,2,FALSE),"")&amp;IF(N($P464)&gt;0," w/TRANSOM "&amp;$P464&amp;CHAR(34),"")&amp;IF(N($Q464)&gt;0," w/SIDELITE "&amp;$Q464&amp;CHAR(34)&amp;" "&amp;IF($R464="","R",$R464),"")&amp;IF($Y464="","  |  "," | "&amp;IFERROR(VLOOKUP($Y464,CODES,2,FALSE),"")&amp;" | ")&amp;IFERROR(VLOOKUP($AC464,CODES,2,FALSE),"")&amp;" "&amp;IFERROR(VLOOKUP($AD464,CODES,2,FALSE),"")&amp;IF(OR($AE464="",$AE464="-"),""," "&amp;$AE464)&amp;IF(OR($AF464="",$AF464="-"),""," "&amp;$AF464)&amp;IF($AB464="Y"," 4"&amp;CHAR(34)&amp;" HEAD","")&amp;" "&amp;IFERROR(VLOOKUP($H464,CODES,2,FALSE),"")))</f>
        <v/>
      </c>
      <c r="BR464" s="50">
        <f>IF(NOT(AND($A464&lt;&gt;"",N($BC464)&gt;0)),"",TRIM(IFERROR(VLOOKUP($AH464,CODES,2,FALSE),"")&amp;IF($AI464=""," "," "&amp;$AI464&amp;"GA ")&amp;$AZ464&amp;" "&amp;IF($AN464="",IFERROR(VLOOKUP($Z464,CODES,2,FALSE),""),IFERROR(VLOOKUP($AN464,CODES,2,FALSE),""))&amp;IF($BC464=2," PAIR","")&amp;" DOOR | "&amp;IF($AL464="","?",$AL464)&amp;" | "&amp;IF($AP464="",IFERROR(VLOOKUP($AC464,CODES,2,FALSE),""),IFERROR(VLOOKUP($AP464,CODES,2,FALSE),""))&amp;" "&amp;IFERROR(VLOOKUP($AQ464,CODES,2,FALSE),"")&amp;IF(OR($AR464="",$AR464="-"),""," SEAM "&amp;$AR464)&amp;IF($AS464="Y"," ASTRAGAL","")&amp;IF($AJ464=""," "," "&amp;$AJ464)&amp;IF($AK464=""," "," "&amp;$AK464)&amp;IF($AO464="",""," "&amp;$AO464)&amp;IF($AM464=""," "," SERIES "&amp;$AM464)&amp;" "&amp;IFERROR(VLOOKUP($H464,CODES,2,FALSE),"")))</f>
        <v/>
      </c>
      <c r="BS464" s="49">
        <f>IF(BV464="","",IF(COUNTIF($BV$6:BV464,BV464)=1,MAX($BS$5:BS463)+1,INDEX($BS$5:BS463,MATCH(BV464,$BV$5:BV463,0))))</f>
        <v/>
      </c>
      <c r="BT464" s="49">
        <f>IF(NOT(AND($A464&lt;&gt;"",$C464&lt;&gt;"DOOR ONLY")),"",MAX($BT$5:BT463)+1)</f>
        <v/>
      </c>
      <c r="BU464" s="49">
        <f>IF(NOT(AND($A464&lt;&gt;"",N($BC464)&gt;0)),"",MAX($BU$5:BU463)+1)</f>
        <v/>
      </c>
      <c r="BV464" s="49">
        <f>IF(OR($A464="",$BA464="",$BB464=""),"",$AZ464&amp;"|"&amp;$O464&amp;"|"&amp;$AL464&amp;"|"&amp;$S464&amp;"|"&amp;$P464&amp;"|"&amp;$Q464&amp;$R464&amp;"|"&amp;$C464&amp;"|"&amp;$AB464)</f>
        <v/>
      </c>
      <c r="BW464" s="49">
        <f>IF($A464="","",IF($B464="","qty, ","")&amp;IF($C464="","scope, ","")&amp;IF(OR($K464="",$M464=""),"size, ","")&amp;IF(AND($A464&lt;&gt;"",$C464&lt;&gt;"DOOR ONLY"),IF($U464="","jamb depth, ","")&amp;IF($X464="","construction, ","")&amp;IF($Y464="","anchor, ","")&amp;IF($S464="","frame type, ",""),"")&amp;IF(AND(N($BC464)&gt;0,$Z464=""),"hand, ","")&amp;IF(N($BC464)&gt;0,IF($AH464="","door material, ","")&amp;IF($AL464="","face type, ","")&amp;IF($AQ464="","lock prep, ","")&amp;IF(AND($AP464="",$AC464=""),"hinge prep, ",""),"")&amp;IF(AND($BO464&gt;0,$AH464="FRP"),"FRP cannot carry a label, ","")&amp;IF(AND($O464="Y",OR($Z464="L",$Z464="R",$Z464="LR",$Z464="RR")),"pair marked but hand is single, ","")&amp;IF(AND($O464&lt;&gt;"Y",OR($Z464="PR",AND(LEN($Z464)&gt;1,ISNUMBER(SEARCH("-",$Z464))))),"pair hand on a single door, ","")&amp;IF(AND(ISNUMBER($BP464),$BO464&lt;N($BP464)),"wall needs a "&amp;$BP464&amp;" min door, ","")&amp;IF(AND($BO464&gt;=180,AND(OR($BL464="FG",$BL464="HG",$BL464="FNV",$BL464="FV"),N($BM464)*N($BN464)&gt;100)),"180 min lite over 100 sq in, ","")&amp;IF(N($BD464)&gt;48,"leaf wider than 4'-0"&amp;CHAR(34)&amp;", ",""))</f>
        <v/>
      </c>
      <c r="BX464" s="49">
        <f>IF($A464="","",IF(AND($BO464&gt;0,AND($A464&lt;&gt;"",$C464&lt;&gt;"DOOR ONLY"),$X464="KD",$E464="EXTERIOR"),"KD label on an exterior opening, ","")&amp;IF(AND($E464="EXTERIOR",OR(AND(AND($A464&lt;&gt;"",$C464&lt;&gt;"DOOR ONLY"),$W464="CR"),AND(N($BC464)&gt;0,$AH464="CR"))),"exterior in CR steel (G9?), ","")&amp;IF(AND(ISNUMBER($BJ464),N($BJ464)&lt;32),"clear width ~"&amp;TEXT($BJ464,"0.0")&amp;CHAR(34)&amp;" under 32"&amp;CHAR(34)&amp;" (ADA), ","")&amp;IF(AND($BO464=90,AND(OR($BL464="FG",$BL464="HG",$BL464="FNV",$BL464="FV"),N($BM464)*N($BN464)&gt;100)),"90 min lite over 100 sq in (stair/exit), ","")&amp;IF(AND($BO464&gt;0,AND($A464&lt;&gt;"",$C464&lt;&gt;"DOOR ONLY"),OR($AF464="",$AF464="-")),"rated: closer reinf.?, ","")&amp;IF(OR($I464="CORRIDOR",$I464="SMOKE BARRIER"),"S label + smoke gasketing, ","")&amp;IF($BP464="?","wall type/hr not in IBC table, ","")&amp;IF(AND(N($BC464)&gt;0,$AU464=""),"no hardware set, ","")&amp;IF(AND($AU464&lt;&gt;"",ISNA(MATCH($AU464,HWSets,0))),"set "&amp;$AU464&amp;" not on Hardware sheet, ","")&amp;IF(N($BE464)&gt;96,"leaf over 8'-0"&amp;CHAR(34)&amp;" - check listing, ",""))</f>
        <v/>
      </c>
    </row>
    <row r="465" ht="15" customHeight="1">
      <c r="A465" s="44" t="n"/>
      <c r="B465" s="45" t="n"/>
      <c r="C465" s="45" t="n"/>
      <c r="D465" s="45" t="n"/>
      <c r="E465" s="45" t="n"/>
      <c r="F465" s="45" t="n"/>
      <c r="G465" s="45" t="n"/>
      <c r="H465" s="45" t="n"/>
      <c r="I465" s="45" t="n"/>
      <c r="J465" s="45" t="n"/>
      <c r="K465" s="45" t="n"/>
      <c r="L465" s="45" t="n"/>
      <c r="M465" s="45" t="n"/>
      <c r="N465" s="45" t="n"/>
      <c r="O465" s="45" t="n"/>
      <c r="P465" s="45" t="n"/>
      <c r="Q465" s="45" t="n"/>
      <c r="R465" s="45" t="n"/>
      <c r="S465" s="46" t="n"/>
      <c r="T465" s="46" t="n"/>
      <c r="U465" s="46" t="n"/>
      <c r="V465" s="46" t="n"/>
      <c r="W465" s="46" t="n"/>
      <c r="X465" s="46" t="n"/>
      <c r="Y465" s="46" t="n"/>
      <c r="Z465" s="46" t="n"/>
      <c r="AA465" s="46" t="n"/>
      <c r="AB465" s="46" t="n"/>
      <c r="AC465" s="46" t="n"/>
      <c r="AD465" s="46" t="n"/>
      <c r="AE465" s="46" t="n"/>
      <c r="AF465" s="46" t="n"/>
      <c r="AG465" s="46" t="n"/>
      <c r="AH465" s="47" t="n"/>
      <c r="AI465" s="47" t="n"/>
      <c r="AJ465" s="47" t="n"/>
      <c r="AK465" s="47" t="n"/>
      <c r="AL465" s="47" t="n"/>
      <c r="AM465" s="47" t="n"/>
      <c r="AN465" s="47" t="n"/>
      <c r="AO465" s="47" t="n"/>
      <c r="AP465" s="47" t="n"/>
      <c r="AQ465" s="47" t="n"/>
      <c r="AR465" s="47" t="n"/>
      <c r="AS465" s="47" t="n"/>
      <c r="AT465" s="47" t="n"/>
      <c r="AU465" s="48" t="n"/>
      <c r="AV465" s="48" t="n"/>
      <c r="AW465" s="49">
        <f>IF($A465="","",IF($BW465&lt;&gt;"","FIX",IF($BX465&lt;&gt;"","CHECK","OK")))</f>
        <v/>
      </c>
      <c r="AX465" s="50">
        <f>IF($A465="","",IF($BW465&lt;&gt;"","FIX: "&amp;LEFT($BW465,LEN($BW465)-2)&amp;IF($BX465&lt;&gt;"","  ·  ",""),"")&amp;IF($BX465&lt;&gt;"","CHECK: "&amp;LEFT($BX465,LEN($BX465)-2),""))</f>
        <v/>
      </c>
      <c r="AY465" s="49">
        <f>IF(OR($A465="",$K465=""),"",$K465&amp;"'-"&amp;N($L465)&amp;CHAR(34)&amp;" x "&amp;$M465&amp;"'-"&amp;N($N465)&amp;CHAR(34))</f>
        <v/>
      </c>
      <c r="AZ465" s="49">
        <f>IF(OR($A465="",$K465=""),"",$K465&amp;N($L465)&amp;$M465&amp;N($N465))</f>
        <v/>
      </c>
      <c r="BA465" s="49">
        <f>IF(OR($A465="",$K465=""),"",$K465*12+N($L465))</f>
        <v/>
      </c>
      <c r="BB465" s="49">
        <f>IF(OR($A465="",$M465=""),"",$M465*12+N($N465))</f>
        <v/>
      </c>
      <c r="BC465" s="49">
        <f>IF($A465="","",IF(OR($C465="FRAME ONLY",$S465="BL"),0,IF($O465="Y",2,1)))</f>
        <v/>
      </c>
      <c r="BD465" s="51">
        <f>IF(OR(N($BC465)=0,$BA465=""),"",($BA465-2*EdgeClr-IF($BC465=2,MeetClr,0))/$BC465)</f>
        <v/>
      </c>
      <c r="BE465" s="51">
        <f>IF(OR(N($BC465)=0,$BB465=""),"",$BB465-HeadClr-Undercut)</f>
        <v/>
      </c>
      <c r="BF465" s="51">
        <f>IF($BA465="","",$BA465+2*FaceW+IF(N($Q465)&gt;0,($Q465+FaceW)*IF($R465="LR",2,1),0))</f>
        <v/>
      </c>
      <c r="BG465" s="51">
        <f>IF($BB465="","",$BB465+IF($AB465="Y",4,FaceW)+IF(N($P465)&gt;0,$P465+FaceW,0)+IF(OR($S465="4F",$S465="BL"),FaceW,0))</f>
        <v/>
      </c>
      <c r="BH465" s="51">
        <f>IF($BF465="","",$BF465+2*ROSide)</f>
        <v/>
      </c>
      <c r="BI465" s="51">
        <f>IF($BG465="","",$BG465+ROTop)</f>
        <v/>
      </c>
      <c r="BJ465" s="52">
        <f>IF(OR(N($BC465)=0,$BA465=""),"",$BA465/$BC465-ClearDeduct)</f>
        <v/>
      </c>
      <c r="BK465" s="49">
        <f>IF(OR(N($BC465)=0,$BE465=""),"",IF(OR($AC465="HGC",$AP465="HGC"),"CONT",IF($BE465&lt;=60,2,IF($BE465&lt;=90,3,IF($BE465&lt;=120,4,5)))))</f>
        <v/>
      </c>
      <c r="BL465" s="49">
        <f>IF(N($BC465)=0,"",IF(OR($AL465="",$AL465="FLUSH"),"FLUSH",IFERROR(LEFT($AL465,FIND("-",$AL465)-1),LEFT($AL465,2))))</f>
        <v/>
      </c>
      <c r="BM465" s="49">
        <f>IF($BL465="","",IFERROR(VALUE(MID($AL465,FIND("-",$AL465)+1,FIND(CHAR(34)&amp;"x",$AL465)-FIND("-",$AL465)-1)),0))</f>
        <v/>
      </c>
      <c r="BN465" s="49">
        <f>IF($BL465="","",IFERROR(VALUE(MID($AL465,FIND(CHAR(34)&amp;"x",$AL465)+2,FIND(CHAR(34),$AL465,FIND(CHAR(34)&amp;"x",$AL465)+2)-FIND(CHAR(34)&amp;"x",$AL465)-2)),0))</f>
        <v/>
      </c>
      <c r="BO465" s="53">
        <f>IF(OR($A465="",$H465="",$H465="NO LAB"),0,IFERROR(VALUE(LEFT($H465,FIND(" ",$H465)-1)),0))</f>
        <v/>
      </c>
      <c r="BP465" s="54">
        <f>IF(OR($A465="",$I465="",$I465="NON-RATED",N($J465)=0),"",IFERROR(VLOOKUP($I465&amp;"|"&amp;$J465,IBC,2,FALSE),"?"))</f>
        <v/>
      </c>
      <c r="BQ465" s="50">
        <f>IF(NOT(AND($A465&lt;&gt;"",$C465&lt;&gt;"DOOR ONLY")),"",TRIM(IFERROR(VLOOKUP($U465,CODES,2,FALSE),"")&amp;" "&amp;$AZ465&amp;" "&amp;IFERROR(VLOOKUP($Z465,CODES,2,FALSE),"")&amp;" "&amp;IFERROR(VLOOKUP($X465,CODES,2,FALSE),"")&amp;" "&amp;IFERROR(VLOOKUP($S465,CODES,2,FALSE),"")&amp;IF(N($P465)&gt;0," w/TRANSOM "&amp;$P465&amp;CHAR(34),"")&amp;IF(N($Q465)&gt;0," w/SIDELITE "&amp;$Q465&amp;CHAR(34)&amp;" "&amp;IF($R465="","R",$R465),"")&amp;IF($Y465="","  |  "," | "&amp;IFERROR(VLOOKUP($Y465,CODES,2,FALSE),"")&amp;" | ")&amp;IFERROR(VLOOKUP($AC465,CODES,2,FALSE),"")&amp;" "&amp;IFERROR(VLOOKUP($AD465,CODES,2,FALSE),"")&amp;IF(OR($AE465="",$AE465="-"),""," "&amp;$AE465)&amp;IF(OR($AF465="",$AF465="-"),""," "&amp;$AF465)&amp;IF($AB465="Y"," 4"&amp;CHAR(34)&amp;" HEAD","")&amp;" "&amp;IFERROR(VLOOKUP($H465,CODES,2,FALSE),"")))</f>
        <v/>
      </c>
      <c r="BR465" s="50">
        <f>IF(NOT(AND($A465&lt;&gt;"",N($BC465)&gt;0)),"",TRIM(IFERROR(VLOOKUP($AH465,CODES,2,FALSE),"")&amp;IF($AI465=""," "," "&amp;$AI465&amp;"GA ")&amp;$AZ465&amp;" "&amp;IF($AN465="",IFERROR(VLOOKUP($Z465,CODES,2,FALSE),""),IFERROR(VLOOKUP($AN465,CODES,2,FALSE),""))&amp;IF($BC465=2," PAIR","")&amp;" DOOR | "&amp;IF($AL465="","?",$AL465)&amp;" | "&amp;IF($AP465="",IFERROR(VLOOKUP($AC465,CODES,2,FALSE),""),IFERROR(VLOOKUP($AP465,CODES,2,FALSE),""))&amp;" "&amp;IFERROR(VLOOKUP($AQ465,CODES,2,FALSE),"")&amp;IF(OR($AR465="",$AR465="-"),""," SEAM "&amp;$AR465)&amp;IF($AS465="Y"," ASTRAGAL","")&amp;IF($AJ465=""," "," "&amp;$AJ465)&amp;IF($AK465=""," "," "&amp;$AK465)&amp;IF($AO465="",""," "&amp;$AO465)&amp;IF($AM465=""," "," SERIES "&amp;$AM465)&amp;" "&amp;IFERROR(VLOOKUP($H465,CODES,2,FALSE),"")))</f>
        <v/>
      </c>
      <c r="BS465" s="49">
        <f>IF(BV465="","",IF(COUNTIF($BV$6:BV465,BV465)=1,MAX($BS$5:BS464)+1,INDEX($BS$5:BS464,MATCH(BV465,$BV$5:BV464,0))))</f>
        <v/>
      </c>
      <c r="BT465" s="49">
        <f>IF(NOT(AND($A465&lt;&gt;"",$C465&lt;&gt;"DOOR ONLY")),"",MAX($BT$5:BT464)+1)</f>
        <v/>
      </c>
      <c r="BU465" s="49">
        <f>IF(NOT(AND($A465&lt;&gt;"",N($BC465)&gt;0)),"",MAX($BU$5:BU464)+1)</f>
        <v/>
      </c>
      <c r="BV465" s="49">
        <f>IF(OR($A465="",$BA465="",$BB465=""),"",$AZ465&amp;"|"&amp;$O465&amp;"|"&amp;$AL465&amp;"|"&amp;$S465&amp;"|"&amp;$P465&amp;"|"&amp;$Q465&amp;$R465&amp;"|"&amp;$C465&amp;"|"&amp;$AB465)</f>
        <v/>
      </c>
      <c r="BW465" s="49">
        <f>IF($A465="","",IF($B465="","qty, ","")&amp;IF($C465="","scope, ","")&amp;IF(OR($K465="",$M465=""),"size, ","")&amp;IF(AND($A465&lt;&gt;"",$C465&lt;&gt;"DOOR ONLY"),IF($U465="","jamb depth, ","")&amp;IF($X465="","construction, ","")&amp;IF($Y465="","anchor, ","")&amp;IF($S465="","frame type, ",""),"")&amp;IF(AND(N($BC465)&gt;0,$Z465=""),"hand, ","")&amp;IF(N($BC465)&gt;0,IF($AH465="","door material, ","")&amp;IF($AL465="","face type, ","")&amp;IF($AQ465="","lock prep, ","")&amp;IF(AND($AP465="",$AC465=""),"hinge prep, ",""),"")&amp;IF(AND($BO465&gt;0,$AH465="FRP"),"FRP cannot carry a label, ","")&amp;IF(AND($O465="Y",OR($Z465="L",$Z465="R",$Z465="LR",$Z465="RR")),"pair marked but hand is single, ","")&amp;IF(AND($O465&lt;&gt;"Y",OR($Z465="PR",AND(LEN($Z465)&gt;1,ISNUMBER(SEARCH("-",$Z465))))),"pair hand on a single door, ","")&amp;IF(AND(ISNUMBER($BP465),$BO465&lt;N($BP465)),"wall needs a "&amp;$BP465&amp;" min door, ","")&amp;IF(AND($BO465&gt;=180,AND(OR($BL465="FG",$BL465="HG",$BL465="FNV",$BL465="FV"),N($BM465)*N($BN465)&gt;100)),"180 min lite over 100 sq in, ","")&amp;IF(N($BD465)&gt;48,"leaf wider than 4'-0"&amp;CHAR(34)&amp;", ",""))</f>
        <v/>
      </c>
      <c r="BX465" s="49">
        <f>IF($A465="","",IF(AND($BO465&gt;0,AND($A465&lt;&gt;"",$C465&lt;&gt;"DOOR ONLY"),$X465="KD",$E465="EXTERIOR"),"KD label on an exterior opening, ","")&amp;IF(AND($E465="EXTERIOR",OR(AND(AND($A465&lt;&gt;"",$C465&lt;&gt;"DOOR ONLY"),$W465="CR"),AND(N($BC465)&gt;0,$AH465="CR"))),"exterior in CR steel (G9?), ","")&amp;IF(AND(ISNUMBER($BJ465),N($BJ465)&lt;32),"clear width ~"&amp;TEXT($BJ465,"0.0")&amp;CHAR(34)&amp;" under 32"&amp;CHAR(34)&amp;" (ADA), ","")&amp;IF(AND($BO465=90,AND(OR($BL465="FG",$BL465="HG",$BL465="FNV",$BL465="FV"),N($BM465)*N($BN465)&gt;100)),"90 min lite over 100 sq in (stair/exit), ","")&amp;IF(AND($BO465&gt;0,AND($A465&lt;&gt;"",$C465&lt;&gt;"DOOR ONLY"),OR($AF465="",$AF465="-")),"rated: closer reinf.?, ","")&amp;IF(OR($I465="CORRIDOR",$I465="SMOKE BARRIER"),"S label + smoke gasketing, ","")&amp;IF($BP465="?","wall type/hr not in IBC table, ","")&amp;IF(AND(N($BC465)&gt;0,$AU465=""),"no hardware set, ","")&amp;IF(AND($AU465&lt;&gt;"",ISNA(MATCH($AU465,HWSets,0))),"set "&amp;$AU465&amp;" not on Hardware sheet, ","")&amp;IF(N($BE465)&gt;96,"leaf over 8'-0"&amp;CHAR(34)&amp;" - check listing, ",""))</f>
        <v/>
      </c>
    </row>
    <row r="466" ht="15" customHeight="1">
      <c r="A466" s="44" t="n"/>
      <c r="B466" s="45" t="n"/>
      <c r="C466" s="45" t="n"/>
      <c r="D466" s="45" t="n"/>
      <c r="E466" s="45" t="n"/>
      <c r="F466" s="45" t="n"/>
      <c r="G466" s="45" t="n"/>
      <c r="H466" s="45" t="n"/>
      <c r="I466" s="45" t="n"/>
      <c r="J466" s="45" t="n"/>
      <c r="K466" s="45" t="n"/>
      <c r="L466" s="45" t="n"/>
      <c r="M466" s="45" t="n"/>
      <c r="N466" s="45" t="n"/>
      <c r="O466" s="45" t="n"/>
      <c r="P466" s="45" t="n"/>
      <c r="Q466" s="45" t="n"/>
      <c r="R466" s="45" t="n"/>
      <c r="S466" s="46" t="n"/>
      <c r="T466" s="46" t="n"/>
      <c r="U466" s="46" t="n"/>
      <c r="V466" s="46" t="n"/>
      <c r="W466" s="46" t="n"/>
      <c r="X466" s="46" t="n"/>
      <c r="Y466" s="46" t="n"/>
      <c r="Z466" s="46" t="n"/>
      <c r="AA466" s="46" t="n"/>
      <c r="AB466" s="46" t="n"/>
      <c r="AC466" s="46" t="n"/>
      <c r="AD466" s="46" t="n"/>
      <c r="AE466" s="46" t="n"/>
      <c r="AF466" s="46" t="n"/>
      <c r="AG466" s="46" t="n"/>
      <c r="AH466" s="47" t="n"/>
      <c r="AI466" s="47" t="n"/>
      <c r="AJ466" s="47" t="n"/>
      <c r="AK466" s="47" t="n"/>
      <c r="AL466" s="47" t="n"/>
      <c r="AM466" s="47" t="n"/>
      <c r="AN466" s="47" t="n"/>
      <c r="AO466" s="47" t="n"/>
      <c r="AP466" s="47" t="n"/>
      <c r="AQ466" s="47" t="n"/>
      <c r="AR466" s="47" t="n"/>
      <c r="AS466" s="47" t="n"/>
      <c r="AT466" s="47" t="n"/>
      <c r="AU466" s="48" t="n"/>
      <c r="AV466" s="48" t="n"/>
      <c r="AW466" s="49">
        <f>IF($A466="","",IF($BW466&lt;&gt;"","FIX",IF($BX466&lt;&gt;"","CHECK","OK")))</f>
        <v/>
      </c>
      <c r="AX466" s="50">
        <f>IF($A466="","",IF($BW466&lt;&gt;"","FIX: "&amp;LEFT($BW466,LEN($BW466)-2)&amp;IF($BX466&lt;&gt;"","  ·  ",""),"")&amp;IF($BX466&lt;&gt;"","CHECK: "&amp;LEFT($BX466,LEN($BX466)-2),""))</f>
        <v/>
      </c>
      <c r="AY466" s="49">
        <f>IF(OR($A466="",$K466=""),"",$K466&amp;"'-"&amp;N($L466)&amp;CHAR(34)&amp;" x "&amp;$M466&amp;"'-"&amp;N($N466)&amp;CHAR(34))</f>
        <v/>
      </c>
      <c r="AZ466" s="49">
        <f>IF(OR($A466="",$K466=""),"",$K466&amp;N($L466)&amp;$M466&amp;N($N466))</f>
        <v/>
      </c>
      <c r="BA466" s="49">
        <f>IF(OR($A466="",$K466=""),"",$K466*12+N($L466))</f>
        <v/>
      </c>
      <c r="BB466" s="49">
        <f>IF(OR($A466="",$M466=""),"",$M466*12+N($N466))</f>
        <v/>
      </c>
      <c r="BC466" s="49">
        <f>IF($A466="","",IF(OR($C466="FRAME ONLY",$S466="BL"),0,IF($O466="Y",2,1)))</f>
        <v/>
      </c>
      <c r="BD466" s="51">
        <f>IF(OR(N($BC466)=0,$BA466=""),"",($BA466-2*EdgeClr-IF($BC466=2,MeetClr,0))/$BC466)</f>
        <v/>
      </c>
      <c r="BE466" s="51">
        <f>IF(OR(N($BC466)=0,$BB466=""),"",$BB466-HeadClr-Undercut)</f>
        <v/>
      </c>
      <c r="BF466" s="51">
        <f>IF($BA466="","",$BA466+2*FaceW+IF(N($Q466)&gt;0,($Q466+FaceW)*IF($R466="LR",2,1),0))</f>
        <v/>
      </c>
      <c r="BG466" s="51">
        <f>IF($BB466="","",$BB466+IF($AB466="Y",4,FaceW)+IF(N($P466)&gt;0,$P466+FaceW,0)+IF(OR($S466="4F",$S466="BL"),FaceW,0))</f>
        <v/>
      </c>
      <c r="BH466" s="51">
        <f>IF($BF466="","",$BF466+2*ROSide)</f>
        <v/>
      </c>
      <c r="BI466" s="51">
        <f>IF($BG466="","",$BG466+ROTop)</f>
        <v/>
      </c>
      <c r="BJ466" s="52">
        <f>IF(OR(N($BC466)=0,$BA466=""),"",$BA466/$BC466-ClearDeduct)</f>
        <v/>
      </c>
      <c r="BK466" s="49">
        <f>IF(OR(N($BC466)=0,$BE466=""),"",IF(OR($AC466="HGC",$AP466="HGC"),"CONT",IF($BE466&lt;=60,2,IF($BE466&lt;=90,3,IF($BE466&lt;=120,4,5)))))</f>
        <v/>
      </c>
      <c r="BL466" s="49">
        <f>IF(N($BC466)=0,"",IF(OR($AL466="",$AL466="FLUSH"),"FLUSH",IFERROR(LEFT($AL466,FIND("-",$AL466)-1),LEFT($AL466,2))))</f>
        <v/>
      </c>
      <c r="BM466" s="49">
        <f>IF($BL466="","",IFERROR(VALUE(MID($AL466,FIND("-",$AL466)+1,FIND(CHAR(34)&amp;"x",$AL466)-FIND("-",$AL466)-1)),0))</f>
        <v/>
      </c>
      <c r="BN466" s="49">
        <f>IF($BL466="","",IFERROR(VALUE(MID($AL466,FIND(CHAR(34)&amp;"x",$AL466)+2,FIND(CHAR(34),$AL466,FIND(CHAR(34)&amp;"x",$AL466)+2)-FIND(CHAR(34)&amp;"x",$AL466)-2)),0))</f>
        <v/>
      </c>
      <c r="BO466" s="53">
        <f>IF(OR($A466="",$H466="",$H466="NO LAB"),0,IFERROR(VALUE(LEFT($H466,FIND(" ",$H466)-1)),0))</f>
        <v/>
      </c>
      <c r="BP466" s="54">
        <f>IF(OR($A466="",$I466="",$I466="NON-RATED",N($J466)=0),"",IFERROR(VLOOKUP($I466&amp;"|"&amp;$J466,IBC,2,FALSE),"?"))</f>
        <v/>
      </c>
      <c r="BQ466" s="50">
        <f>IF(NOT(AND($A466&lt;&gt;"",$C466&lt;&gt;"DOOR ONLY")),"",TRIM(IFERROR(VLOOKUP($U466,CODES,2,FALSE),"")&amp;" "&amp;$AZ466&amp;" "&amp;IFERROR(VLOOKUP($Z466,CODES,2,FALSE),"")&amp;" "&amp;IFERROR(VLOOKUP($X466,CODES,2,FALSE),"")&amp;" "&amp;IFERROR(VLOOKUP($S466,CODES,2,FALSE),"")&amp;IF(N($P466)&gt;0," w/TRANSOM "&amp;$P466&amp;CHAR(34),"")&amp;IF(N($Q466)&gt;0," w/SIDELITE "&amp;$Q466&amp;CHAR(34)&amp;" "&amp;IF($R466="","R",$R466),"")&amp;IF($Y466="","  |  "," | "&amp;IFERROR(VLOOKUP($Y466,CODES,2,FALSE),"")&amp;" | ")&amp;IFERROR(VLOOKUP($AC466,CODES,2,FALSE),"")&amp;" "&amp;IFERROR(VLOOKUP($AD466,CODES,2,FALSE),"")&amp;IF(OR($AE466="",$AE466="-"),""," "&amp;$AE466)&amp;IF(OR($AF466="",$AF466="-"),""," "&amp;$AF466)&amp;IF($AB466="Y"," 4"&amp;CHAR(34)&amp;" HEAD","")&amp;" "&amp;IFERROR(VLOOKUP($H466,CODES,2,FALSE),"")))</f>
        <v/>
      </c>
      <c r="BR466" s="50">
        <f>IF(NOT(AND($A466&lt;&gt;"",N($BC466)&gt;0)),"",TRIM(IFERROR(VLOOKUP($AH466,CODES,2,FALSE),"")&amp;IF($AI466=""," "," "&amp;$AI466&amp;"GA ")&amp;$AZ466&amp;" "&amp;IF($AN466="",IFERROR(VLOOKUP($Z466,CODES,2,FALSE),""),IFERROR(VLOOKUP($AN466,CODES,2,FALSE),""))&amp;IF($BC466=2," PAIR","")&amp;" DOOR | "&amp;IF($AL466="","?",$AL466)&amp;" | "&amp;IF($AP466="",IFERROR(VLOOKUP($AC466,CODES,2,FALSE),""),IFERROR(VLOOKUP($AP466,CODES,2,FALSE),""))&amp;" "&amp;IFERROR(VLOOKUP($AQ466,CODES,2,FALSE),"")&amp;IF(OR($AR466="",$AR466="-"),""," SEAM "&amp;$AR466)&amp;IF($AS466="Y"," ASTRAGAL","")&amp;IF($AJ466=""," "," "&amp;$AJ466)&amp;IF($AK466=""," "," "&amp;$AK466)&amp;IF($AO466="",""," "&amp;$AO466)&amp;IF($AM466=""," "," SERIES "&amp;$AM466)&amp;" "&amp;IFERROR(VLOOKUP($H466,CODES,2,FALSE),"")))</f>
        <v/>
      </c>
      <c r="BS466" s="49">
        <f>IF(BV466="","",IF(COUNTIF($BV$6:BV466,BV466)=1,MAX($BS$5:BS465)+1,INDEX($BS$5:BS465,MATCH(BV466,$BV$5:BV465,0))))</f>
        <v/>
      </c>
      <c r="BT466" s="49">
        <f>IF(NOT(AND($A466&lt;&gt;"",$C466&lt;&gt;"DOOR ONLY")),"",MAX($BT$5:BT465)+1)</f>
        <v/>
      </c>
      <c r="BU466" s="49">
        <f>IF(NOT(AND($A466&lt;&gt;"",N($BC466)&gt;0)),"",MAX($BU$5:BU465)+1)</f>
        <v/>
      </c>
      <c r="BV466" s="49">
        <f>IF(OR($A466="",$BA466="",$BB466=""),"",$AZ466&amp;"|"&amp;$O466&amp;"|"&amp;$AL466&amp;"|"&amp;$S466&amp;"|"&amp;$P466&amp;"|"&amp;$Q466&amp;$R466&amp;"|"&amp;$C466&amp;"|"&amp;$AB466)</f>
        <v/>
      </c>
      <c r="BW466" s="49">
        <f>IF($A466="","",IF($B466="","qty, ","")&amp;IF($C466="","scope, ","")&amp;IF(OR($K466="",$M466=""),"size, ","")&amp;IF(AND($A466&lt;&gt;"",$C466&lt;&gt;"DOOR ONLY"),IF($U466="","jamb depth, ","")&amp;IF($X466="","construction, ","")&amp;IF($Y466="","anchor, ","")&amp;IF($S466="","frame type, ",""),"")&amp;IF(AND(N($BC466)&gt;0,$Z466=""),"hand, ","")&amp;IF(N($BC466)&gt;0,IF($AH466="","door material, ","")&amp;IF($AL466="","face type, ","")&amp;IF($AQ466="","lock prep, ","")&amp;IF(AND($AP466="",$AC466=""),"hinge prep, ",""),"")&amp;IF(AND($BO466&gt;0,$AH466="FRP"),"FRP cannot carry a label, ","")&amp;IF(AND($O466="Y",OR($Z466="L",$Z466="R",$Z466="LR",$Z466="RR")),"pair marked but hand is single, ","")&amp;IF(AND($O466&lt;&gt;"Y",OR($Z466="PR",AND(LEN($Z466)&gt;1,ISNUMBER(SEARCH("-",$Z466))))),"pair hand on a single door, ","")&amp;IF(AND(ISNUMBER($BP466),$BO466&lt;N($BP466)),"wall needs a "&amp;$BP466&amp;" min door, ","")&amp;IF(AND($BO466&gt;=180,AND(OR($BL466="FG",$BL466="HG",$BL466="FNV",$BL466="FV"),N($BM466)*N($BN466)&gt;100)),"180 min lite over 100 sq in, ","")&amp;IF(N($BD466)&gt;48,"leaf wider than 4'-0"&amp;CHAR(34)&amp;", ",""))</f>
        <v/>
      </c>
      <c r="BX466" s="49">
        <f>IF($A466="","",IF(AND($BO466&gt;0,AND($A466&lt;&gt;"",$C466&lt;&gt;"DOOR ONLY"),$X466="KD",$E466="EXTERIOR"),"KD label on an exterior opening, ","")&amp;IF(AND($E466="EXTERIOR",OR(AND(AND($A466&lt;&gt;"",$C466&lt;&gt;"DOOR ONLY"),$W466="CR"),AND(N($BC466)&gt;0,$AH466="CR"))),"exterior in CR steel (G9?), ","")&amp;IF(AND(ISNUMBER($BJ466),N($BJ466)&lt;32),"clear width ~"&amp;TEXT($BJ466,"0.0")&amp;CHAR(34)&amp;" under 32"&amp;CHAR(34)&amp;" (ADA), ","")&amp;IF(AND($BO466=90,AND(OR($BL466="FG",$BL466="HG",$BL466="FNV",$BL466="FV"),N($BM466)*N($BN466)&gt;100)),"90 min lite over 100 sq in (stair/exit), ","")&amp;IF(AND($BO466&gt;0,AND($A466&lt;&gt;"",$C466&lt;&gt;"DOOR ONLY"),OR($AF466="",$AF466="-")),"rated: closer reinf.?, ","")&amp;IF(OR($I466="CORRIDOR",$I466="SMOKE BARRIER"),"S label + smoke gasketing, ","")&amp;IF($BP466="?","wall type/hr not in IBC table, ","")&amp;IF(AND(N($BC466)&gt;0,$AU466=""),"no hardware set, ","")&amp;IF(AND($AU466&lt;&gt;"",ISNA(MATCH($AU466,HWSets,0))),"set "&amp;$AU466&amp;" not on Hardware sheet, ","")&amp;IF(N($BE466)&gt;96,"leaf over 8'-0"&amp;CHAR(34)&amp;" - check listing, ",""))</f>
        <v/>
      </c>
    </row>
    <row r="467" ht="15" customHeight="1">
      <c r="A467" s="44" t="n"/>
      <c r="B467" s="45" t="n"/>
      <c r="C467" s="45" t="n"/>
      <c r="D467" s="45" t="n"/>
      <c r="E467" s="45" t="n"/>
      <c r="F467" s="45" t="n"/>
      <c r="G467" s="45" t="n"/>
      <c r="H467" s="45" t="n"/>
      <c r="I467" s="45" t="n"/>
      <c r="J467" s="45" t="n"/>
      <c r="K467" s="45" t="n"/>
      <c r="L467" s="45" t="n"/>
      <c r="M467" s="45" t="n"/>
      <c r="N467" s="45" t="n"/>
      <c r="O467" s="45" t="n"/>
      <c r="P467" s="45" t="n"/>
      <c r="Q467" s="45" t="n"/>
      <c r="R467" s="45" t="n"/>
      <c r="S467" s="46" t="n"/>
      <c r="T467" s="46" t="n"/>
      <c r="U467" s="46" t="n"/>
      <c r="V467" s="46" t="n"/>
      <c r="W467" s="46" t="n"/>
      <c r="X467" s="46" t="n"/>
      <c r="Y467" s="46" t="n"/>
      <c r="Z467" s="46" t="n"/>
      <c r="AA467" s="46" t="n"/>
      <c r="AB467" s="46" t="n"/>
      <c r="AC467" s="46" t="n"/>
      <c r="AD467" s="46" t="n"/>
      <c r="AE467" s="46" t="n"/>
      <c r="AF467" s="46" t="n"/>
      <c r="AG467" s="46" t="n"/>
      <c r="AH467" s="47" t="n"/>
      <c r="AI467" s="47" t="n"/>
      <c r="AJ467" s="47" t="n"/>
      <c r="AK467" s="47" t="n"/>
      <c r="AL467" s="47" t="n"/>
      <c r="AM467" s="47" t="n"/>
      <c r="AN467" s="47" t="n"/>
      <c r="AO467" s="47" t="n"/>
      <c r="AP467" s="47" t="n"/>
      <c r="AQ467" s="47" t="n"/>
      <c r="AR467" s="47" t="n"/>
      <c r="AS467" s="47" t="n"/>
      <c r="AT467" s="47" t="n"/>
      <c r="AU467" s="48" t="n"/>
      <c r="AV467" s="48" t="n"/>
      <c r="AW467" s="49">
        <f>IF($A467="","",IF($BW467&lt;&gt;"","FIX",IF($BX467&lt;&gt;"","CHECK","OK")))</f>
        <v/>
      </c>
      <c r="AX467" s="50">
        <f>IF($A467="","",IF($BW467&lt;&gt;"","FIX: "&amp;LEFT($BW467,LEN($BW467)-2)&amp;IF($BX467&lt;&gt;"","  ·  ",""),"")&amp;IF($BX467&lt;&gt;"","CHECK: "&amp;LEFT($BX467,LEN($BX467)-2),""))</f>
        <v/>
      </c>
      <c r="AY467" s="49">
        <f>IF(OR($A467="",$K467=""),"",$K467&amp;"'-"&amp;N($L467)&amp;CHAR(34)&amp;" x "&amp;$M467&amp;"'-"&amp;N($N467)&amp;CHAR(34))</f>
        <v/>
      </c>
      <c r="AZ467" s="49">
        <f>IF(OR($A467="",$K467=""),"",$K467&amp;N($L467)&amp;$M467&amp;N($N467))</f>
        <v/>
      </c>
      <c r="BA467" s="49">
        <f>IF(OR($A467="",$K467=""),"",$K467*12+N($L467))</f>
        <v/>
      </c>
      <c r="BB467" s="49">
        <f>IF(OR($A467="",$M467=""),"",$M467*12+N($N467))</f>
        <v/>
      </c>
      <c r="BC467" s="49">
        <f>IF($A467="","",IF(OR($C467="FRAME ONLY",$S467="BL"),0,IF($O467="Y",2,1)))</f>
        <v/>
      </c>
      <c r="BD467" s="51">
        <f>IF(OR(N($BC467)=0,$BA467=""),"",($BA467-2*EdgeClr-IF($BC467=2,MeetClr,0))/$BC467)</f>
        <v/>
      </c>
      <c r="BE467" s="51">
        <f>IF(OR(N($BC467)=0,$BB467=""),"",$BB467-HeadClr-Undercut)</f>
        <v/>
      </c>
      <c r="BF467" s="51">
        <f>IF($BA467="","",$BA467+2*FaceW+IF(N($Q467)&gt;0,($Q467+FaceW)*IF($R467="LR",2,1),0))</f>
        <v/>
      </c>
      <c r="BG467" s="51">
        <f>IF($BB467="","",$BB467+IF($AB467="Y",4,FaceW)+IF(N($P467)&gt;0,$P467+FaceW,0)+IF(OR($S467="4F",$S467="BL"),FaceW,0))</f>
        <v/>
      </c>
      <c r="BH467" s="51">
        <f>IF($BF467="","",$BF467+2*ROSide)</f>
        <v/>
      </c>
      <c r="BI467" s="51">
        <f>IF($BG467="","",$BG467+ROTop)</f>
        <v/>
      </c>
      <c r="BJ467" s="52">
        <f>IF(OR(N($BC467)=0,$BA467=""),"",$BA467/$BC467-ClearDeduct)</f>
        <v/>
      </c>
      <c r="BK467" s="49">
        <f>IF(OR(N($BC467)=0,$BE467=""),"",IF(OR($AC467="HGC",$AP467="HGC"),"CONT",IF($BE467&lt;=60,2,IF($BE467&lt;=90,3,IF($BE467&lt;=120,4,5)))))</f>
        <v/>
      </c>
      <c r="BL467" s="49">
        <f>IF(N($BC467)=0,"",IF(OR($AL467="",$AL467="FLUSH"),"FLUSH",IFERROR(LEFT($AL467,FIND("-",$AL467)-1),LEFT($AL467,2))))</f>
        <v/>
      </c>
      <c r="BM467" s="49">
        <f>IF($BL467="","",IFERROR(VALUE(MID($AL467,FIND("-",$AL467)+1,FIND(CHAR(34)&amp;"x",$AL467)-FIND("-",$AL467)-1)),0))</f>
        <v/>
      </c>
      <c r="BN467" s="49">
        <f>IF($BL467="","",IFERROR(VALUE(MID($AL467,FIND(CHAR(34)&amp;"x",$AL467)+2,FIND(CHAR(34),$AL467,FIND(CHAR(34)&amp;"x",$AL467)+2)-FIND(CHAR(34)&amp;"x",$AL467)-2)),0))</f>
        <v/>
      </c>
      <c r="BO467" s="53">
        <f>IF(OR($A467="",$H467="",$H467="NO LAB"),0,IFERROR(VALUE(LEFT($H467,FIND(" ",$H467)-1)),0))</f>
        <v/>
      </c>
      <c r="BP467" s="54">
        <f>IF(OR($A467="",$I467="",$I467="NON-RATED",N($J467)=0),"",IFERROR(VLOOKUP($I467&amp;"|"&amp;$J467,IBC,2,FALSE),"?"))</f>
        <v/>
      </c>
      <c r="BQ467" s="50">
        <f>IF(NOT(AND($A467&lt;&gt;"",$C467&lt;&gt;"DOOR ONLY")),"",TRIM(IFERROR(VLOOKUP($U467,CODES,2,FALSE),"")&amp;" "&amp;$AZ467&amp;" "&amp;IFERROR(VLOOKUP($Z467,CODES,2,FALSE),"")&amp;" "&amp;IFERROR(VLOOKUP($X467,CODES,2,FALSE),"")&amp;" "&amp;IFERROR(VLOOKUP($S467,CODES,2,FALSE),"")&amp;IF(N($P467)&gt;0," w/TRANSOM "&amp;$P467&amp;CHAR(34),"")&amp;IF(N($Q467)&gt;0," w/SIDELITE "&amp;$Q467&amp;CHAR(34)&amp;" "&amp;IF($R467="","R",$R467),"")&amp;IF($Y467="","  |  "," | "&amp;IFERROR(VLOOKUP($Y467,CODES,2,FALSE),"")&amp;" | ")&amp;IFERROR(VLOOKUP($AC467,CODES,2,FALSE),"")&amp;" "&amp;IFERROR(VLOOKUP($AD467,CODES,2,FALSE),"")&amp;IF(OR($AE467="",$AE467="-"),""," "&amp;$AE467)&amp;IF(OR($AF467="",$AF467="-"),""," "&amp;$AF467)&amp;IF($AB467="Y"," 4"&amp;CHAR(34)&amp;" HEAD","")&amp;" "&amp;IFERROR(VLOOKUP($H467,CODES,2,FALSE),"")))</f>
        <v/>
      </c>
      <c r="BR467" s="50">
        <f>IF(NOT(AND($A467&lt;&gt;"",N($BC467)&gt;0)),"",TRIM(IFERROR(VLOOKUP($AH467,CODES,2,FALSE),"")&amp;IF($AI467=""," "," "&amp;$AI467&amp;"GA ")&amp;$AZ467&amp;" "&amp;IF($AN467="",IFERROR(VLOOKUP($Z467,CODES,2,FALSE),""),IFERROR(VLOOKUP($AN467,CODES,2,FALSE),""))&amp;IF($BC467=2," PAIR","")&amp;" DOOR | "&amp;IF($AL467="","?",$AL467)&amp;" | "&amp;IF($AP467="",IFERROR(VLOOKUP($AC467,CODES,2,FALSE),""),IFERROR(VLOOKUP($AP467,CODES,2,FALSE),""))&amp;" "&amp;IFERROR(VLOOKUP($AQ467,CODES,2,FALSE),"")&amp;IF(OR($AR467="",$AR467="-"),""," SEAM "&amp;$AR467)&amp;IF($AS467="Y"," ASTRAGAL","")&amp;IF($AJ467=""," "," "&amp;$AJ467)&amp;IF($AK467=""," "," "&amp;$AK467)&amp;IF($AO467="",""," "&amp;$AO467)&amp;IF($AM467=""," "," SERIES "&amp;$AM467)&amp;" "&amp;IFERROR(VLOOKUP($H467,CODES,2,FALSE),"")))</f>
        <v/>
      </c>
      <c r="BS467" s="49">
        <f>IF(BV467="","",IF(COUNTIF($BV$6:BV467,BV467)=1,MAX($BS$5:BS466)+1,INDEX($BS$5:BS466,MATCH(BV467,$BV$5:BV466,0))))</f>
        <v/>
      </c>
      <c r="BT467" s="49">
        <f>IF(NOT(AND($A467&lt;&gt;"",$C467&lt;&gt;"DOOR ONLY")),"",MAX($BT$5:BT466)+1)</f>
        <v/>
      </c>
      <c r="BU467" s="49">
        <f>IF(NOT(AND($A467&lt;&gt;"",N($BC467)&gt;0)),"",MAX($BU$5:BU466)+1)</f>
        <v/>
      </c>
      <c r="BV467" s="49">
        <f>IF(OR($A467="",$BA467="",$BB467=""),"",$AZ467&amp;"|"&amp;$O467&amp;"|"&amp;$AL467&amp;"|"&amp;$S467&amp;"|"&amp;$P467&amp;"|"&amp;$Q467&amp;$R467&amp;"|"&amp;$C467&amp;"|"&amp;$AB467)</f>
        <v/>
      </c>
      <c r="BW467" s="49">
        <f>IF($A467="","",IF($B467="","qty, ","")&amp;IF($C467="","scope, ","")&amp;IF(OR($K467="",$M467=""),"size, ","")&amp;IF(AND($A467&lt;&gt;"",$C467&lt;&gt;"DOOR ONLY"),IF($U467="","jamb depth, ","")&amp;IF($X467="","construction, ","")&amp;IF($Y467="","anchor, ","")&amp;IF($S467="","frame type, ",""),"")&amp;IF(AND(N($BC467)&gt;0,$Z467=""),"hand, ","")&amp;IF(N($BC467)&gt;0,IF($AH467="","door material, ","")&amp;IF($AL467="","face type, ","")&amp;IF($AQ467="","lock prep, ","")&amp;IF(AND($AP467="",$AC467=""),"hinge prep, ",""),"")&amp;IF(AND($BO467&gt;0,$AH467="FRP"),"FRP cannot carry a label, ","")&amp;IF(AND($O467="Y",OR($Z467="L",$Z467="R",$Z467="LR",$Z467="RR")),"pair marked but hand is single, ","")&amp;IF(AND($O467&lt;&gt;"Y",OR($Z467="PR",AND(LEN($Z467)&gt;1,ISNUMBER(SEARCH("-",$Z467))))),"pair hand on a single door, ","")&amp;IF(AND(ISNUMBER($BP467),$BO467&lt;N($BP467)),"wall needs a "&amp;$BP467&amp;" min door, ","")&amp;IF(AND($BO467&gt;=180,AND(OR($BL467="FG",$BL467="HG",$BL467="FNV",$BL467="FV"),N($BM467)*N($BN467)&gt;100)),"180 min lite over 100 sq in, ","")&amp;IF(N($BD467)&gt;48,"leaf wider than 4'-0"&amp;CHAR(34)&amp;", ",""))</f>
        <v/>
      </c>
      <c r="BX467" s="49">
        <f>IF($A467="","",IF(AND($BO467&gt;0,AND($A467&lt;&gt;"",$C467&lt;&gt;"DOOR ONLY"),$X467="KD",$E467="EXTERIOR"),"KD label on an exterior opening, ","")&amp;IF(AND($E467="EXTERIOR",OR(AND(AND($A467&lt;&gt;"",$C467&lt;&gt;"DOOR ONLY"),$W467="CR"),AND(N($BC467)&gt;0,$AH467="CR"))),"exterior in CR steel (G9?), ","")&amp;IF(AND(ISNUMBER($BJ467),N($BJ467)&lt;32),"clear width ~"&amp;TEXT($BJ467,"0.0")&amp;CHAR(34)&amp;" under 32"&amp;CHAR(34)&amp;" (ADA), ","")&amp;IF(AND($BO467=90,AND(OR($BL467="FG",$BL467="HG",$BL467="FNV",$BL467="FV"),N($BM467)*N($BN467)&gt;100)),"90 min lite over 100 sq in (stair/exit), ","")&amp;IF(AND($BO467&gt;0,AND($A467&lt;&gt;"",$C467&lt;&gt;"DOOR ONLY"),OR($AF467="",$AF467="-")),"rated: closer reinf.?, ","")&amp;IF(OR($I467="CORRIDOR",$I467="SMOKE BARRIER"),"S label + smoke gasketing, ","")&amp;IF($BP467="?","wall type/hr not in IBC table, ","")&amp;IF(AND(N($BC467)&gt;0,$AU467=""),"no hardware set, ","")&amp;IF(AND($AU467&lt;&gt;"",ISNA(MATCH($AU467,HWSets,0))),"set "&amp;$AU467&amp;" not on Hardware sheet, ","")&amp;IF(N($BE467)&gt;96,"leaf over 8'-0"&amp;CHAR(34)&amp;" - check listing, ",""))</f>
        <v/>
      </c>
    </row>
    <row r="468" ht="15" customHeight="1">
      <c r="A468" s="44" t="n"/>
      <c r="B468" s="45" t="n"/>
      <c r="C468" s="45" t="n"/>
      <c r="D468" s="45" t="n"/>
      <c r="E468" s="45" t="n"/>
      <c r="F468" s="45" t="n"/>
      <c r="G468" s="45" t="n"/>
      <c r="H468" s="45" t="n"/>
      <c r="I468" s="45" t="n"/>
      <c r="J468" s="45" t="n"/>
      <c r="K468" s="45" t="n"/>
      <c r="L468" s="45" t="n"/>
      <c r="M468" s="45" t="n"/>
      <c r="N468" s="45" t="n"/>
      <c r="O468" s="45" t="n"/>
      <c r="P468" s="45" t="n"/>
      <c r="Q468" s="45" t="n"/>
      <c r="R468" s="45" t="n"/>
      <c r="S468" s="46" t="n"/>
      <c r="T468" s="46" t="n"/>
      <c r="U468" s="46" t="n"/>
      <c r="V468" s="46" t="n"/>
      <c r="W468" s="46" t="n"/>
      <c r="X468" s="46" t="n"/>
      <c r="Y468" s="46" t="n"/>
      <c r="Z468" s="46" t="n"/>
      <c r="AA468" s="46" t="n"/>
      <c r="AB468" s="46" t="n"/>
      <c r="AC468" s="46" t="n"/>
      <c r="AD468" s="46" t="n"/>
      <c r="AE468" s="46" t="n"/>
      <c r="AF468" s="46" t="n"/>
      <c r="AG468" s="46" t="n"/>
      <c r="AH468" s="47" t="n"/>
      <c r="AI468" s="47" t="n"/>
      <c r="AJ468" s="47" t="n"/>
      <c r="AK468" s="47" t="n"/>
      <c r="AL468" s="47" t="n"/>
      <c r="AM468" s="47" t="n"/>
      <c r="AN468" s="47" t="n"/>
      <c r="AO468" s="47" t="n"/>
      <c r="AP468" s="47" t="n"/>
      <c r="AQ468" s="47" t="n"/>
      <c r="AR468" s="47" t="n"/>
      <c r="AS468" s="47" t="n"/>
      <c r="AT468" s="47" t="n"/>
      <c r="AU468" s="48" t="n"/>
      <c r="AV468" s="48" t="n"/>
      <c r="AW468" s="49">
        <f>IF($A468="","",IF($BW468&lt;&gt;"","FIX",IF($BX468&lt;&gt;"","CHECK","OK")))</f>
        <v/>
      </c>
      <c r="AX468" s="50">
        <f>IF($A468="","",IF($BW468&lt;&gt;"","FIX: "&amp;LEFT($BW468,LEN($BW468)-2)&amp;IF($BX468&lt;&gt;"","  ·  ",""),"")&amp;IF($BX468&lt;&gt;"","CHECK: "&amp;LEFT($BX468,LEN($BX468)-2),""))</f>
        <v/>
      </c>
      <c r="AY468" s="49">
        <f>IF(OR($A468="",$K468=""),"",$K468&amp;"'-"&amp;N($L468)&amp;CHAR(34)&amp;" x "&amp;$M468&amp;"'-"&amp;N($N468)&amp;CHAR(34))</f>
        <v/>
      </c>
      <c r="AZ468" s="49">
        <f>IF(OR($A468="",$K468=""),"",$K468&amp;N($L468)&amp;$M468&amp;N($N468))</f>
        <v/>
      </c>
      <c r="BA468" s="49">
        <f>IF(OR($A468="",$K468=""),"",$K468*12+N($L468))</f>
        <v/>
      </c>
      <c r="BB468" s="49">
        <f>IF(OR($A468="",$M468=""),"",$M468*12+N($N468))</f>
        <v/>
      </c>
      <c r="BC468" s="49">
        <f>IF($A468="","",IF(OR($C468="FRAME ONLY",$S468="BL"),0,IF($O468="Y",2,1)))</f>
        <v/>
      </c>
      <c r="BD468" s="51">
        <f>IF(OR(N($BC468)=0,$BA468=""),"",($BA468-2*EdgeClr-IF($BC468=2,MeetClr,0))/$BC468)</f>
        <v/>
      </c>
      <c r="BE468" s="51">
        <f>IF(OR(N($BC468)=0,$BB468=""),"",$BB468-HeadClr-Undercut)</f>
        <v/>
      </c>
      <c r="BF468" s="51">
        <f>IF($BA468="","",$BA468+2*FaceW+IF(N($Q468)&gt;0,($Q468+FaceW)*IF($R468="LR",2,1),0))</f>
        <v/>
      </c>
      <c r="BG468" s="51">
        <f>IF($BB468="","",$BB468+IF($AB468="Y",4,FaceW)+IF(N($P468)&gt;0,$P468+FaceW,0)+IF(OR($S468="4F",$S468="BL"),FaceW,0))</f>
        <v/>
      </c>
      <c r="BH468" s="51">
        <f>IF($BF468="","",$BF468+2*ROSide)</f>
        <v/>
      </c>
      <c r="BI468" s="51">
        <f>IF($BG468="","",$BG468+ROTop)</f>
        <v/>
      </c>
      <c r="BJ468" s="52">
        <f>IF(OR(N($BC468)=0,$BA468=""),"",$BA468/$BC468-ClearDeduct)</f>
        <v/>
      </c>
      <c r="BK468" s="49">
        <f>IF(OR(N($BC468)=0,$BE468=""),"",IF(OR($AC468="HGC",$AP468="HGC"),"CONT",IF($BE468&lt;=60,2,IF($BE468&lt;=90,3,IF($BE468&lt;=120,4,5)))))</f>
        <v/>
      </c>
      <c r="BL468" s="49">
        <f>IF(N($BC468)=0,"",IF(OR($AL468="",$AL468="FLUSH"),"FLUSH",IFERROR(LEFT($AL468,FIND("-",$AL468)-1),LEFT($AL468,2))))</f>
        <v/>
      </c>
      <c r="BM468" s="49">
        <f>IF($BL468="","",IFERROR(VALUE(MID($AL468,FIND("-",$AL468)+1,FIND(CHAR(34)&amp;"x",$AL468)-FIND("-",$AL468)-1)),0))</f>
        <v/>
      </c>
      <c r="BN468" s="49">
        <f>IF($BL468="","",IFERROR(VALUE(MID($AL468,FIND(CHAR(34)&amp;"x",$AL468)+2,FIND(CHAR(34),$AL468,FIND(CHAR(34)&amp;"x",$AL468)+2)-FIND(CHAR(34)&amp;"x",$AL468)-2)),0))</f>
        <v/>
      </c>
      <c r="BO468" s="53">
        <f>IF(OR($A468="",$H468="",$H468="NO LAB"),0,IFERROR(VALUE(LEFT($H468,FIND(" ",$H468)-1)),0))</f>
        <v/>
      </c>
      <c r="BP468" s="54">
        <f>IF(OR($A468="",$I468="",$I468="NON-RATED",N($J468)=0),"",IFERROR(VLOOKUP($I468&amp;"|"&amp;$J468,IBC,2,FALSE),"?"))</f>
        <v/>
      </c>
      <c r="BQ468" s="50">
        <f>IF(NOT(AND($A468&lt;&gt;"",$C468&lt;&gt;"DOOR ONLY")),"",TRIM(IFERROR(VLOOKUP($U468,CODES,2,FALSE),"")&amp;" "&amp;$AZ468&amp;" "&amp;IFERROR(VLOOKUP($Z468,CODES,2,FALSE),"")&amp;" "&amp;IFERROR(VLOOKUP($X468,CODES,2,FALSE),"")&amp;" "&amp;IFERROR(VLOOKUP($S468,CODES,2,FALSE),"")&amp;IF(N($P468)&gt;0," w/TRANSOM "&amp;$P468&amp;CHAR(34),"")&amp;IF(N($Q468)&gt;0," w/SIDELITE "&amp;$Q468&amp;CHAR(34)&amp;" "&amp;IF($R468="","R",$R468),"")&amp;IF($Y468="","  |  "," | "&amp;IFERROR(VLOOKUP($Y468,CODES,2,FALSE),"")&amp;" | ")&amp;IFERROR(VLOOKUP($AC468,CODES,2,FALSE),"")&amp;" "&amp;IFERROR(VLOOKUP($AD468,CODES,2,FALSE),"")&amp;IF(OR($AE468="",$AE468="-"),""," "&amp;$AE468)&amp;IF(OR($AF468="",$AF468="-"),""," "&amp;$AF468)&amp;IF($AB468="Y"," 4"&amp;CHAR(34)&amp;" HEAD","")&amp;" "&amp;IFERROR(VLOOKUP($H468,CODES,2,FALSE),"")))</f>
        <v/>
      </c>
      <c r="BR468" s="50">
        <f>IF(NOT(AND($A468&lt;&gt;"",N($BC468)&gt;0)),"",TRIM(IFERROR(VLOOKUP($AH468,CODES,2,FALSE),"")&amp;IF($AI468=""," "," "&amp;$AI468&amp;"GA ")&amp;$AZ468&amp;" "&amp;IF($AN468="",IFERROR(VLOOKUP($Z468,CODES,2,FALSE),""),IFERROR(VLOOKUP($AN468,CODES,2,FALSE),""))&amp;IF($BC468=2," PAIR","")&amp;" DOOR | "&amp;IF($AL468="","?",$AL468)&amp;" | "&amp;IF($AP468="",IFERROR(VLOOKUP($AC468,CODES,2,FALSE),""),IFERROR(VLOOKUP($AP468,CODES,2,FALSE),""))&amp;" "&amp;IFERROR(VLOOKUP($AQ468,CODES,2,FALSE),"")&amp;IF(OR($AR468="",$AR468="-"),""," SEAM "&amp;$AR468)&amp;IF($AS468="Y"," ASTRAGAL","")&amp;IF($AJ468=""," "," "&amp;$AJ468)&amp;IF($AK468=""," "," "&amp;$AK468)&amp;IF($AO468="",""," "&amp;$AO468)&amp;IF($AM468=""," "," SERIES "&amp;$AM468)&amp;" "&amp;IFERROR(VLOOKUP($H468,CODES,2,FALSE),"")))</f>
        <v/>
      </c>
      <c r="BS468" s="49">
        <f>IF(BV468="","",IF(COUNTIF($BV$6:BV468,BV468)=1,MAX($BS$5:BS467)+1,INDEX($BS$5:BS467,MATCH(BV468,$BV$5:BV467,0))))</f>
        <v/>
      </c>
      <c r="BT468" s="49">
        <f>IF(NOT(AND($A468&lt;&gt;"",$C468&lt;&gt;"DOOR ONLY")),"",MAX($BT$5:BT467)+1)</f>
        <v/>
      </c>
      <c r="BU468" s="49">
        <f>IF(NOT(AND($A468&lt;&gt;"",N($BC468)&gt;0)),"",MAX($BU$5:BU467)+1)</f>
        <v/>
      </c>
      <c r="BV468" s="49">
        <f>IF(OR($A468="",$BA468="",$BB468=""),"",$AZ468&amp;"|"&amp;$O468&amp;"|"&amp;$AL468&amp;"|"&amp;$S468&amp;"|"&amp;$P468&amp;"|"&amp;$Q468&amp;$R468&amp;"|"&amp;$C468&amp;"|"&amp;$AB468)</f>
        <v/>
      </c>
      <c r="BW468" s="49">
        <f>IF($A468="","",IF($B468="","qty, ","")&amp;IF($C468="","scope, ","")&amp;IF(OR($K468="",$M468=""),"size, ","")&amp;IF(AND($A468&lt;&gt;"",$C468&lt;&gt;"DOOR ONLY"),IF($U468="","jamb depth, ","")&amp;IF($X468="","construction, ","")&amp;IF($Y468="","anchor, ","")&amp;IF($S468="","frame type, ",""),"")&amp;IF(AND(N($BC468)&gt;0,$Z468=""),"hand, ","")&amp;IF(N($BC468)&gt;0,IF($AH468="","door material, ","")&amp;IF($AL468="","face type, ","")&amp;IF($AQ468="","lock prep, ","")&amp;IF(AND($AP468="",$AC468=""),"hinge prep, ",""),"")&amp;IF(AND($BO468&gt;0,$AH468="FRP"),"FRP cannot carry a label, ","")&amp;IF(AND($O468="Y",OR($Z468="L",$Z468="R",$Z468="LR",$Z468="RR")),"pair marked but hand is single, ","")&amp;IF(AND($O468&lt;&gt;"Y",OR($Z468="PR",AND(LEN($Z468)&gt;1,ISNUMBER(SEARCH("-",$Z468))))),"pair hand on a single door, ","")&amp;IF(AND(ISNUMBER($BP468),$BO468&lt;N($BP468)),"wall needs a "&amp;$BP468&amp;" min door, ","")&amp;IF(AND($BO468&gt;=180,AND(OR($BL468="FG",$BL468="HG",$BL468="FNV",$BL468="FV"),N($BM468)*N($BN468)&gt;100)),"180 min lite over 100 sq in, ","")&amp;IF(N($BD468)&gt;48,"leaf wider than 4'-0"&amp;CHAR(34)&amp;", ",""))</f>
        <v/>
      </c>
      <c r="BX468" s="49">
        <f>IF($A468="","",IF(AND($BO468&gt;0,AND($A468&lt;&gt;"",$C468&lt;&gt;"DOOR ONLY"),$X468="KD",$E468="EXTERIOR"),"KD label on an exterior opening, ","")&amp;IF(AND($E468="EXTERIOR",OR(AND(AND($A468&lt;&gt;"",$C468&lt;&gt;"DOOR ONLY"),$W468="CR"),AND(N($BC468)&gt;0,$AH468="CR"))),"exterior in CR steel (G9?), ","")&amp;IF(AND(ISNUMBER($BJ468),N($BJ468)&lt;32),"clear width ~"&amp;TEXT($BJ468,"0.0")&amp;CHAR(34)&amp;" under 32"&amp;CHAR(34)&amp;" (ADA), ","")&amp;IF(AND($BO468=90,AND(OR($BL468="FG",$BL468="HG",$BL468="FNV",$BL468="FV"),N($BM468)*N($BN468)&gt;100)),"90 min lite over 100 sq in (stair/exit), ","")&amp;IF(AND($BO468&gt;0,AND($A468&lt;&gt;"",$C468&lt;&gt;"DOOR ONLY"),OR($AF468="",$AF468="-")),"rated: closer reinf.?, ","")&amp;IF(OR($I468="CORRIDOR",$I468="SMOKE BARRIER"),"S label + smoke gasketing, ","")&amp;IF($BP468="?","wall type/hr not in IBC table, ","")&amp;IF(AND(N($BC468)&gt;0,$AU468=""),"no hardware set, ","")&amp;IF(AND($AU468&lt;&gt;"",ISNA(MATCH($AU468,HWSets,0))),"set "&amp;$AU468&amp;" not on Hardware sheet, ","")&amp;IF(N($BE468)&gt;96,"leaf over 8'-0"&amp;CHAR(34)&amp;" - check listing, ",""))</f>
        <v/>
      </c>
    </row>
    <row r="469" ht="15" customHeight="1">
      <c r="A469" s="44" t="n"/>
      <c r="B469" s="45" t="n"/>
      <c r="C469" s="45" t="n"/>
      <c r="D469" s="45" t="n"/>
      <c r="E469" s="45" t="n"/>
      <c r="F469" s="45" t="n"/>
      <c r="G469" s="45" t="n"/>
      <c r="H469" s="45" t="n"/>
      <c r="I469" s="45" t="n"/>
      <c r="J469" s="45" t="n"/>
      <c r="K469" s="45" t="n"/>
      <c r="L469" s="45" t="n"/>
      <c r="M469" s="45" t="n"/>
      <c r="N469" s="45" t="n"/>
      <c r="O469" s="45" t="n"/>
      <c r="P469" s="45" t="n"/>
      <c r="Q469" s="45" t="n"/>
      <c r="R469" s="45" t="n"/>
      <c r="S469" s="46" t="n"/>
      <c r="T469" s="46" t="n"/>
      <c r="U469" s="46" t="n"/>
      <c r="V469" s="46" t="n"/>
      <c r="W469" s="46" t="n"/>
      <c r="X469" s="46" t="n"/>
      <c r="Y469" s="46" t="n"/>
      <c r="Z469" s="46" t="n"/>
      <c r="AA469" s="46" t="n"/>
      <c r="AB469" s="46" t="n"/>
      <c r="AC469" s="46" t="n"/>
      <c r="AD469" s="46" t="n"/>
      <c r="AE469" s="46" t="n"/>
      <c r="AF469" s="46" t="n"/>
      <c r="AG469" s="46" t="n"/>
      <c r="AH469" s="47" t="n"/>
      <c r="AI469" s="47" t="n"/>
      <c r="AJ469" s="47" t="n"/>
      <c r="AK469" s="47" t="n"/>
      <c r="AL469" s="47" t="n"/>
      <c r="AM469" s="47" t="n"/>
      <c r="AN469" s="47" t="n"/>
      <c r="AO469" s="47" t="n"/>
      <c r="AP469" s="47" t="n"/>
      <c r="AQ469" s="47" t="n"/>
      <c r="AR469" s="47" t="n"/>
      <c r="AS469" s="47" t="n"/>
      <c r="AT469" s="47" t="n"/>
      <c r="AU469" s="48" t="n"/>
      <c r="AV469" s="48" t="n"/>
      <c r="AW469" s="49">
        <f>IF($A469="","",IF($BW469&lt;&gt;"","FIX",IF($BX469&lt;&gt;"","CHECK","OK")))</f>
        <v/>
      </c>
      <c r="AX469" s="50">
        <f>IF($A469="","",IF($BW469&lt;&gt;"","FIX: "&amp;LEFT($BW469,LEN($BW469)-2)&amp;IF($BX469&lt;&gt;"","  ·  ",""),"")&amp;IF($BX469&lt;&gt;"","CHECK: "&amp;LEFT($BX469,LEN($BX469)-2),""))</f>
        <v/>
      </c>
      <c r="AY469" s="49">
        <f>IF(OR($A469="",$K469=""),"",$K469&amp;"'-"&amp;N($L469)&amp;CHAR(34)&amp;" x "&amp;$M469&amp;"'-"&amp;N($N469)&amp;CHAR(34))</f>
        <v/>
      </c>
      <c r="AZ469" s="49">
        <f>IF(OR($A469="",$K469=""),"",$K469&amp;N($L469)&amp;$M469&amp;N($N469))</f>
        <v/>
      </c>
      <c r="BA469" s="49">
        <f>IF(OR($A469="",$K469=""),"",$K469*12+N($L469))</f>
        <v/>
      </c>
      <c r="BB469" s="49">
        <f>IF(OR($A469="",$M469=""),"",$M469*12+N($N469))</f>
        <v/>
      </c>
      <c r="BC469" s="49">
        <f>IF($A469="","",IF(OR($C469="FRAME ONLY",$S469="BL"),0,IF($O469="Y",2,1)))</f>
        <v/>
      </c>
      <c r="BD469" s="51">
        <f>IF(OR(N($BC469)=0,$BA469=""),"",($BA469-2*EdgeClr-IF($BC469=2,MeetClr,0))/$BC469)</f>
        <v/>
      </c>
      <c r="BE469" s="51">
        <f>IF(OR(N($BC469)=0,$BB469=""),"",$BB469-HeadClr-Undercut)</f>
        <v/>
      </c>
      <c r="BF469" s="51">
        <f>IF($BA469="","",$BA469+2*FaceW+IF(N($Q469)&gt;0,($Q469+FaceW)*IF($R469="LR",2,1),0))</f>
        <v/>
      </c>
      <c r="BG469" s="51">
        <f>IF($BB469="","",$BB469+IF($AB469="Y",4,FaceW)+IF(N($P469)&gt;0,$P469+FaceW,0)+IF(OR($S469="4F",$S469="BL"),FaceW,0))</f>
        <v/>
      </c>
      <c r="BH469" s="51">
        <f>IF($BF469="","",$BF469+2*ROSide)</f>
        <v/>
      </c>
      <c r="BI469" s="51">
        <f>IF($BG469="","",$BG469+ROTop)</f>
        <v/>
      </c>
      <c r="BJ469" s="52">
        <f>IF(OR(N($BC469)=0,$BA469=""),"",$BA469/$BC469-ClearDeduct)</f>
        <v/>
      </c>
      <c r="BK469" s="49">
        <f>IF(OR(N($BC469)=0,$BE469=""),"",IF(OR($AC469="HGC",$AP469="HGC"),"CONT",IF($BE469&lt;=60,2,IF($BE469&lt;=90,3,IF($BE469&lt;=120,4,5)))))</f>
        <v/>
      </c>
      <c r="BL469" s="49">
        <f>IF(N($BC469)=0,"",IF(OR($AL469="",$AL469="FLUSH"),"FLUSH",IFERROR(LEFT($AL469,FIND("-",$AL469)-1),LEFT($AL469,2))))</f>
        <v/>
      </c>
      <c r="BM469" s="49">
        <f>IF($BL469="","",IFERROR(VALUE(MID($AL469,FIND("-",$AL469)+1,FIND(CHAR(34)&amp;"x",$AL469)-FIND("-",$AL469)-1)),0))</f>
        <v/>
      </c>
      <c r="BN469" s="49">
        <f>IF($BL469="","",IFERROR(VALUE(MID($AL469,FIND(CHAR(34)&amp;"x",$AL469)+2,FIND(CHAR(34),$AL469,FIND(CHAR(34)&amp;"x",$AL469)+2)-FIND(CHAR(34)&amp;"x",$AL469)-2)),0))</f>
        <v/>
      </c>
      <c r="BO469" s="53">
        <f>IF(OR($A469="",$H469="",$H469="NO LAB"),0,IFERROR(VALUE(LEFT($H469,FIND(" ",$H469)-1)),0))</f>
        <v/>
      </c>
      <c r="BP469" s="54">
        <f>IF(OR($A469="",$I469="",$I469="NON-RATED",N($J469)=0),"",IFERROR(VLOOKUP($I469&amp;"|"&amp;$J469,IBC,2,FALSE),"?"))</f>
        <v/>
      </c>
      <c r="BQ469" s="50">
        <f>IF(NOT(AND($A469&lt;&gt;"",$C469&lt;&gt;"DOOR ONLY")),"",TRIM(IFERROR(VLOOKUP($U469,CODES,2,FALSE),"")&amp;" "&amp;$AZ469&amp;" "&amp;IFERROR(VLOOKUP($Z469,CODES,2,FALSE),"")&amp;" "&amp;IFERROR(VLOOKUP($X469,CODES,2,FALSE),"")&amp;" "&amp;IFERROR(VLOOKUP($S469,CODES,2,FALSE),"")&amp;IF(N($P469)&gt;0," w/TRANSOM "&amp;$P469&amp;CHAR(34),"")&amp;IF(N($Q469)&gt;0," w/SIDELITE "&amp;$Q469&amp;CHAR(34)&amp;" "&amp;IF($R469="","R",$R469),"")&amp;IF($Y469="","  |  "," | "&amp;IFERROR(VLOOKUP($Y469,CODES,2,FALSE),"")&amp;" | ")&amp;IFERROR(VLOOKUP($AC469,CODES,2,FALSE),"")&amp;" "&amp;IFERROR(VLOOKUP($AD469,CODES,2,FALSE),"")&amp;IF(OR($AE469="",$AE469="-"),""," "&amp;$AE469)&amp;IF(OR($AF469="",$AF469="-"),""," "&amp;$AF469)&amp;IF($AB469="Y"," 4"&amp;CHAR(34)&amp;" HEAD","")&amp;" "&amp;IFERROR(VLOOKUP($H469,CODES,2,FALSE),"")))</f>
        <v/>
      </c>
      <c r="BR469" s="50">
        <f>IF(NOT(AND($A469&lt;&gt;"",N($BC469)&gt;0)),"",TRIM(IFERROR(VLOOKUP($AH469,CODES,2,FALSE),"")&amp;IF($AI469=""," "," "&amp;$AI469&amp;"GA ")&amp;$AZ469&amp;" "&amp;IF($AN469="",IFERROR(VLOOKUP($Z469,CODES,2,FALSE),""),IFERROR(VLOOKUP($AN469,CODES,2,FALSE),""))&amp;IF($BC469=2," PAIR","")&amp;" DOOR | "&amp;IF($AL469="","?",$AL469)&amp;" | "&amp;IF($AP469="",IFERROR(VLOOKUP($AC469,CODES,2,FALSE),""),IFERROR(VLOOKUP($AP469,CODES,2,FALSE),""))&amp;" "&amp;IFERROR(VLOOKUP($AQ469,CODES,2,FALSE),"")&amp;IF(OR($AR469="",$AR469="-"),""," SEAM "&amp;$AR469)&amp;IF($AS469="Y"," ASTRAGAL","")&amp;IF($AJ469=""," "," "&amp;$AJ469)&amp;IF($AK469=""," "," "&amp;$AK469)&amp;IF($AO469="",""," "&amp;$AO469)&amp;IF($AM469=""," "," SERIES "&amp;$AM469)&amp;" "&amp;IFERROR(VLOOKUP($H469,CODES,2,FALSE),"")))</f>
        <v/>
      </c>
      <c r="BS469" s="49">
        <f>IF(BV469="","",IF(COUNTIF($BV$6:BV469,BV469)=1,MAX($BS$5:BS468)+1,INDEX($BS$5:BS468,MATCH(BV469,$BV$5:BV468,0))))</f>
        <v/>
      </c>
      <c r="BT469" s="49">
        <f>IF(NOT(AND($A469&lt;&gt;"",$C469&lt;&gt;"DOOR ONLY")),"",MAX($BT$5:BT468)+1)</f>
        <v/>
      </c>
      <c r="BU469" s="49">
        <f>IF(NOT(AND($A469&lt;&gt;"",N($BC469)&gt;0)),"",MAX($BU$5:BU468)+1)</f>
        <v/>
      </c>
      <c r="BV469" s="49">
        <f>IF(OR($A469="",$BA469="",$BB469=""),"",$AZ469&amp;"|"&amp;$O469&amp;"|"&amp;$AL469&amp;"|"&amp;$S469&amp;"|"&amp;$P469&amp;"|"&amp;$Q469&amp;$R469&amp;"|"&amp;$C469&amp;"|"&amp;$AB469)</f>
        <v/>
      </c>
      <c r="BW469" s="49">
        <f>IF($A469="","",IF($B469="","qty, ","")&amp;IF($C469="","scope, ","")&amp;IF(OR($K469="",$M469=""),"size, ","")&amp;IF(AND($A469&lt;&gt;"",$C469&lt;&gt;"DOOR ONLY"),IF($U469="","jamb depth, ","")&amp;IF($X469="","construction, ","")&amp;IF($Y469="","anchor, ","")&amp;IF($S469="","frame type, ",""),"")&amp;IF(AND(N($BC469)&gt;0,$Z469=""),"hand, ","")&amp;IF(N($BC469)&gt;0,IF($AH469="","door material, ","")&amp;IF($AL469="","face type, ","")&amp;IF($AQ469="","lock prep, ","")&amp;IF(AND($AP469="",$AC469=""),"hinge prep, ",""),"")&amp;IF(AND($BO469&gt;0,$AH469="FRP"),"FRP cannot carry a label, ","")&amp;IF(AND($O469="Y",OR($Z469="L",$Z469="R",$Z469="LR",$Z469="RR")),"pair marked but hand is single, ","")&amp;IF(AND($O469&lt;&gt;"Y",OR($Z469="PR",AND(LEN($Z469)&gt;1,ISNUMBER(SEARCH("-",$Z469))))),"pair hand on a single door, ","")&amp;IF(AND(ISNUMBER($BP469),$BO469&lt;N($BP469)),"wall needs a "&amp;$BP469&amp;" min door, ","")&amp;IF(AND($BO469&gt;=180,AND(OR($BL469="FG",$BL469="HG",$BL469="FNV",$BL469="FV"),N($BM469)*N($BN469)&gt;100)),"180 min lite over 100 sq in, ","")&amp;IF(N($BD469)&gt;48,"leaf wider than 4'-0"&amp;CHAR(34)&amp;", ",""))</f>
        <v/>
      </c>
      <c r="BX469" s="49">
        <f>IF($A469="","",IF(AND($BO469&gt;0,AND($A469&lt;&gt;"",$C469&lt;&gt;"DOOR ONLY"),$X469="KD",$E469="EXTERIOR"),"KD label on an exterior opening, ","")&amp;IF(AND($E469="EXTERIOR",OR(AND(AND($A469&lt;&gt;"",$C469&lt;&gt;"DOOR ONLY"),$W469="CR"),AND(N($BC469)&gt;0,$AH469="CR"))),"exterior in CR steel (G9?), ","")&amp;IF(AND(ISNUMBER($BJ469),N($BJ469)&lt;32),"clear width ~"&amp;TEXT($BJ469,"0.0")&amp;CHAR(34)&amp;" under 32"&amp;CHAR(34)&amp;" (ADA), ","")&amp;IF(AND($BO469=90,AND(OR($BL469="FG",$BL469="HG",$BL469="FNV",$BL469="FV"),N($BM469)*N($BN469)&gt;100)),"90 min lite over 100 sq in (stair/exit), ","")&amp;IF(AND($BO469&gt;0,AND($A469&lt;&gt;"",$C469&lt;&gt;"DOOR ONLY"),OR($AF469="",$AF469="-")),"rated: closer reinf.?, ","")&amp;IF(OR($I469="CORRIDOR",$I469="SMOKE BARRIER"),"S label + smoke gasketing, ","")&amp;IF($BP469="?","wall type/hr not in IBC table, ","")&amp;IF(AND(N($BC469)&gt;0,$AU469=""),"no hardware set, ","")&amp;IF(AND($AU469&lt;&gt;"",ISNA(MATCH($AU469,HWSets,0))),"set "&amp;$AU469&amp;" not on Hardware sheet, ","")&amp;IF(N($BE469)&gt;96,"leaf over 8'-0"&amp;CHAR(34)&amp;" - check listing, ",""))</f>
        <v/>
      </c>
    </row>
    <row r="470" ht="15" customHeight="1">
      <c r="A470" s="44" t="n"/>
      <c r="B470" s="45" t="n"/>
      <c r="C470" s="45" t="n"/>
      <c r="D470" s="45" t="n"/>
      <c r="E470" s="45" t="n"/>
      <c r="F470" s="45" t="n"/>
      <c r="G470" s="45" t="n"/>
      <c r="H470" s="45" t="n"/>
      <c r="I470" s="45" t="n"/>
      <c r="J470" s="45" t="n"/>
      <c r="K470" s="45" t="n"/>
      <c r="L470" s="45" t="n"/>
      <c r="M470" s="45" t="n"/>
      <c r="N470" s="45" t="n"/>
      <c r="O470" s="45" t="n"/>
      <c r="P470" s="45" t="n"/>
      <c r="Q470" s="45" t="n"/>
      <c r="R470" s="45" t="n"/>
      <c r="S470" s="46" t="n"/>
      <c r="T470" s="46" t="n"/>
      <c r="U470" s="46" t="n"/>
      <c r="V470" s="46" t="n"/>
      <c r="W470" s="46" t="n"/>
      <c r="X470" s="46" t="n"/>
      <c r="Y470" s="46" t="n"/>
      <c r="Z470" s="46" t="n"/>
      <c r="AA470" s="46" t="n"/>
      <c r="AB470" s="46" t="n"/>
      <c r="AC470" s="46" t="n"/>
      <c r="AD470" s="46" t="n"/>
      <c r="AE470" s="46" t="n"/>
      <c r="AF470" s="46" t="n"/>
      <c r="AG470" s="46" t="n"/>
      <c r="AH470" s="47" t="n"/>
      <c r="AI470" s="47" t="n"/>
      <c r="AJ470" s="47" t="n"/>
      <c r="AK470" s="47" t="n"/>
      <c r="AL470" s="47" t="n"/>
      <c r="AM470" s="47" t="n"/>
      <c r="AN470" s="47" t="n"/>
      <c r="AO470" s="47" t="n"/>
      <c r="AP470" s="47" t="n"/>
      <c r="AQ470" s="47" t="n"/>
      <c r="AR470" s="47" t="n"/>
      <c r="AS470" s="47" t="n"/>
      <c r="AT470" s="47" t="n"/>
      <c r="AU470" s="48" t="n"/>
      <c r="AV470" s="48" t="n"/>
      <c r="AW470" s="49">
        <f>IF($A470="","",IF($BW470&lt;&gt;"","FIX",IF($BX470&lt;&gt;"","CHECK","OK")))</f>
        <v/>
      </c>
      <c r="AX470" s="50">
        <f>IF($A470="","",IF($BW470&lt;&gt;"","FIX: "&amp;LEFT($BW470,LEN($BW470)-2)&amp;IF($BX470&lt;&gt;"","  ·  ",""),"")&amp;IF($BX470&lt;&gt;"","CHECK: "&amp;LEFT($BX470,LEN($BX470)-2),""))</f>
        <v/>
      </c>
      <c r="AY470" s="49">
        <f>IF(OR($A470="",$K470=""),"",$K470&amp;"'-"&amp;N($L470)&amp;CHAR(34)&amp;" x "&amp;$M470&amp;"'-"&amp;N($N470)&amp;CHAR(34))</f>
        <v/>
      </c>
      <c r="AZ470" s="49">
        <f>IF(OR($A470="",$K470=""),"",$K470&amp;N($L470)&amp;$M470&amp;N($N470))</f>
        <v/>
      </c>
      <c r="BA470" s="49">
        <f>IF(OR($A470="",$K470=""),"",$K470*12+N($L470))</f>
        <v/>
      </c>
      <c r="BB470" s="49">
        <f>IF(OR($A470="",$M470=""),"",$M470*12+N($N470))</f>
        <v/>
      </c>
      <c r="BC470" s="49">
        <f>IF($A470="","",IF(OR($C470="FRAME ONLY",$S470="BL"),0,IF($O470="Y",2,1)))</f>
        <v/>
      </c>
      <c r="BD470" s="51">
        <f>IF(OR(N($BC470)=0,$BA470=""),"",($BA470-2*EdgeClr-IF($BC470=2,MeetClr,0))/$BC470)</f>
        <v/>
      </c>
      <c r="BE470" s="51">
        <f>IF(OR(N($BC470)=0,$BB470=""),"",$BB470-HeadClr-Undercut)</f>
        <v/>
      </c>
      <c r="BF470" s="51">
        <f>IF($BA470="","",$BA470+2*FaceW+IF(N($Q470)&gt;0,($Q470+FaceW)*IF($R470="LR",2,1),0))</f>
        <v/>
      </c>
      <c r="BG470" s="51">
        <f>IF($BB470="","",$BB470+IF($AB470="Y",4,FaceW)+IF(N($P470)&gt;0,$P470+FaceW,0)+IF(OR($S470="4F",$S470="BL"),FaceW,0))</f>
        <v/>
      </c>
      <c r="BH470" s="51">
        <f>IF($BF470="","",$BF470+2*ROSide)</f>
        <v/>
      </c>
      <c r="BI470" s="51">
        <f>IF($BG470="","",$BG470+ROTop)</f>
        <v/>
      </c>
      <c r="BJ470" s="52">
        <f>IF(OR(N($BC470)=0,$BA470=""),"",$BA470/$BC470-ClearDeduct)</f>
        <v/>
      </c>
      <c r="BK470" s="49">
        <f>IF(OR(N($BC470)=0,$BE470=""),"",IF(OR($AC470="HGC",$AP470="HGC"),"CONT",IF($BE470&lt;=60,2,IF($BE470&lt;=90,3,IF($BE470&lt;=120,4,5)))))</f>
        <v/>
      </c>
      <c r="BL470" s="49">
        <f>IF(N($BC470)=0,"",IF(OR($AL470="",$AL470="FLUSH"),"FLUSH",IFERROR(LEFT($AL470,FIND("-",$AL470)-1),LEFT($AL470,2))))</f>
        <v/>
      </c>
      <c r="BM470" s="49">
        <f>IF($BL470="","",IFERROR(VALUE(MID($AL470,FIND("-",$AL470)+1,FIND(CHAR(34)&amp;"x",$AL470)-FIND("-",$AL470)-1)),0))</f>
        <v/>
      </c>
      <c r="BN470" s="49">
        <f>IF($BL470="","",IFERROR(VALUE(MID($AL470,FIND(CHAR(34)&amp;"x",$AL470)+2,FIND(CHAR(34),$AL470,FIND(CHAR(34)&amp;"x",$AL470)+2)-FIND(CHAR(34)&amp;"x",$AL470)-2)),0))</f>
        <v/>
      </c>
      <c r="BO470" s="53">
        <f>IF(OR($A470="",$H470="",$H470="NO LAB"),0,IFERROR(VALUE(LEFT($H470,FIND(" ",$H470)-1)),0))</f>
        <v/>
      </c>
      <c r="BP470" s="54">
        <f>IF(OR($A470="",$I470="",$I470="NON-RATED",N($J470)=0),"",IFERROR(VLOOKUP($I470&amp;"|"&amp;$J470,IBC,2,FALSE),"?"))</f>
        <v/>
      </c>
      <c r="BQ470" s="50">
        <f>IF(NOT(AND($A470&lt;&gt;"",$C470&lt;&gt;"DOOR ONLY")),"",TRIM(IFERROR(VLOOKUP($U470,CODES,2,FALSE),"")&amp;" "&amp;$AZ470&amp;" "&amp;IFERROR(VLOOKUP($Z470,CODES,2,FALSE),"")&amp;" "&amp;IFERROR(VLOOKUP($X470,CODES,2,FALSE),"")&amp;" "&amp;IFERROR(VLOOKUP($S470,CODES,2,FALSE),"")&amp;IF(N($P470)&gt;0," w/TRANSOM "&amp;$P470&amp;CHAR(34),"")&amp;IF(N($Q470)&gt;0," w/SIDELITE "&amp;$Q470&amp;CHAR(34)&amp;" "&amp;IF($R470="","R",$R470),"")&amp;IF($Y470="","  |  "," | "&amp;IFERROR(VLOOKUP($Y470,CODES,2,FALSE),"")&amp;" | ")&amp;IFERROR(VLOOKUP($AC470,CODES,2,FALSE),"")&amp;" "&amp;IFERROR(VLOOKUP($AD470,CODES,2,FALSE),"")&amp;IF(OR($AE470="",$AE470="-"),""," "&amp;$AE470)&amp;IF(OR($AF470="",$AF470="-"),""," "&amp;$AF470)&amp;IF($AB470="Y"," 4"&amp;CHAR(34)&amp;" HEAD","")&amp;" "&amp;IFERROR(VLOOKUP($H470,CODES,2,FALSE),"")))</f>
        <v/>
      </c>
      <c r="BR470" s="50">
        <f>IF(NOT(AND($A470&lt;&gt;"",N($BC470)&gt;0)),"",TRIM(IFERROR(VLOOKUP($AH470,CODES,2,FALSE),"")&amp;IF($AI470=""," "," "&amp;$AI470&amp;"GA ")&amp;$AZ470&amp;" "&amp;IF($AN470="",IFERROR(VLOOKUP($Z470,CODES,2,FALSE),""),IFERROR(VLOOKUP($AN470,CODES,2,FALSE),""))&amp;IF($BC470=2," PAIR","")&amp;" DOOR | "&amp;IF($AL470="","?",$AL470)&amp;" | "&amp;IF($AP470="",IFERROR(VLOOKUP($AC470,CODES,2,FALSE),""),IFERROR(VLOOKUP($AP470,CODES,2,FALSE),""))&amp;" "&amp;IFERROR(VLOOKUP($AQ470,CODES,2,FALSE),"")&amp;IF(OR($AR470="",$AR470="-"),""," SEAM "&amp;$AR470)&amp;IF($AS470="Y"," ASTRAGAL","")&amp;IF($AJ470=""," "," "&amp;$AJ470)&amp;IF($AK470=""," "," "&amp;$AK470)&amp;IF($AO470="",""," "&amp;$AO470)&amp;IF($AM470=""," "," SERIES "&amp;$AM470)&amp;" "&amp;IFERROR(VLOOKUP($H470,CODES,2,FALSE),"")))</f>
        <v/>
      </c>
      <c r="BS470" s="49">
        <f>IF(BV470="","",IF(COUNTIF($BV$6:BV470,BV470)=1,MAX($BS$5:BS469)+1,INDEX($BS$5:BS469,MATCH(BV470,$BV$5:BV469,0))))</f>
        <v/>
      </c>
      <c r="BT470" s="49">
        <f>IF(NOT(AND($A470&lt;&gt;"",$C470&lt;&gt;"DOOR ONLY")),"",MAX($BT$5:BT469)+1)</f>
        <v/>
      </c>
      <c r="BU470" s="49">
        <f>IF(NOT(AND($A470&lt;&gt;"",N($BC470)&gt;0)),"",MAX($BU$5:BU469)+1)</f>
        <v/>
      </c>
      <c r="BV470" s="49">
        <f>IF(OR($A470="",$BA470="",$BB470=""),"",$AZ470&amp;"|"&amp;$O470&amp;"|"&amp;$AL470&amp;"|"&amp;$S470&amp;"|"&amp;$P470&amp;"|"&amp;$Q470&amp;$R470&amp;"|"&amp;$C470&amp;"|"&amp;$AB470)</f>
        <v/>
      </c>
      <c r="BW470" s="49">
        <f>IF($A470="","",IF($B470="","qty, ","")&amp;IF($C470="","scope, ","")&amp;IF(OR($K470="",$M470=""),"size, ","")&amp;IF(AND($A470&lt;&gt;"",$C470&lt;&gt;"DOOR ONLY"),IF($U470="","jamb depth, ","")&amp;IF($X470="","construction, ","")&amp;IF($Y470="","anchor, ","")&amp;IF($S470="","frame type, ",""),"")&amp;IF(AND(N($BC470)&gt;0,$Z470=""),"hand, ","")&amp;IF(N($BC470)&gt;0,IF($AH470="","door material, ","")&amp;IF($AL470="","face type, ","")&amp;IF($AQ470="","lock prep, ","")&amp;IF(AND($AP470="",$AC470=""),"hinge prep, ",""),"")&amp;IF(AND($BO470&gt;0,$AH470="FRP"),"FRP cannot carry a label, ","")&amp;IF(AND($O470="Y",OR($Z470="L",$Z470="R",$Z470="LR",$Z470="RR")),"pair marked but hand is single, ","")&amp;IF(AND($O470&lt;&gt;"Y",OR($Z470="PR",AND(LEN($Z470)&gt;1,ISNUMBER(SEARCH("-",$Z470))))),"pair hand on a single door, ","")&amp;IF(AND(ISNUMBER($BP470),$BO470&lt;N($BP470)),"wall needs a "&amp;$BP470&amp;" min door, ","")&amp;IF(AND($BO470&gt;=180,AND(OR($BL470="FG",$BL470="HG",$BL470="FNV",$BL470="FV"),N($BM470)*N($BN470)&gt;100)),"180 min lite over 100 sq in, ","")&amp;IF(N($BD470)&gt;48,"leaf wider than 4'-0"&amp;CHAR(34)&amp;", ",""))</f>
        <v/>
      </c>
      <c r="BX470" s="49">
        <f>IF($A470="","",IF(AND($BO470&gt;0,AND($A470&lt;&gt;"",$C470&lt;&gt;"DOOR ONLY"),$X470="KD",$E470="EXTERIOR"),"KD label on an exterior opening, ","")&amp;IF(AND($E470="EXTERIOR",OR(AND(AND($A470&lt;&gt;"",$C470&lt;&gt;"DOOR ONLY"),$W470="CR"),AND(N($BC470)&gt;0,$AH470="CR"))),"exterior in CR steel (G9?), ","")&amp;IF(AND(ISNUMBER($BJ470),N($BJ470)&lt;32),"clear width ~"&amp;TEXT($BJ470,"0.0")&amp;CHAR(34)&amp;" under 32"&amp;CHAR(34)&amp;" (ADA), ","")&amp;IF(AND($BO470=90,AND(OR($BL470="FG",$BL470="HG",$BL470="FNV",$BL470="FV"),N($BM470)*N($BN470)&gt;100)),"90 min lite over 100 sq in (stair/exit), ","")&amp;IF(AND($BO470&gt;0,AND($A470&lt;&gt;"",$C470&lt;&gt;"DOOR ONLY"),OR($AF470="",$AF470="-")),"rated: closer reinf.?, ","")&amp;IF(OR($I470="CORRIDOR",$I470="SMOKE BARRIER"),"S label + smoke gasketing, ","")&amp;IF($BP470="?","wall type/hr not in IBC table, ","")&amp;IF(AND(N($BC470)&gt;0,$AU470=""),"no hardware set, ","")&amp;IF(AND($AU470&lt;&gt;"",ISNA(MATCH($AU470,HWSets,0))),"set "&amp;$AU470&amp;" not on Hardware sheet, ","")&amp;IF(N($BE470)&gt;96,"leaf over 8'-0"&amp;CHAR(34)&amp;" - check listing, ",""))</f>
        <v/>
      </c>
    </row>
    <row r="471" ht="15" customHeight="1">
      <c r="A471" s="44" t="n"/>
      <c r="B471" s="45" t="n"/>
      <c r="C471" s="45" t="n"/>
      <c r="D471" s="45" t="n"/>
      <c r="E471" s="45" t="n"/>
      <c r="F471" s="45" t="n"/>
      <c r="G471" s="45" t="n"/>
      <c r="H471" s="45" t="n"/>
      <c r="I471" s="45" t="n"/>
      <c r="J471" s="45" t="n"/>
      <c r="K471" s="45" t="n"/>
      <c r="L471" s="45" t="n"/>
      <c r="M471" s="45" t="n"/>
      <c r="N471" s="45" t="n"/>
      <c r="O471" s="45" t="n"/>
      <c r="P471" s="45" t="n"/>
      <c r="Q471" s="45" t="n"/>
      <c r="R471" s="45" t="n"/>
      <c r="S471" s="46" t="n"/>
      <c r="T471" s="46" t="n"/>
      <c r="U471" s="46" t="n"/>
      <c r="V471" s="46" t="n"/>
      <c r="W471" s="46" t="n"/>
      <c r="X471" s="46" t="n"/>
      <c r="Y471" s="46" t="n"/>
      <c r="Z471" s="46" t="n"/>
      <c r="AA471" s="46" t="n"/>
      <c r="AB471" s="46" t="n"/>
      <c r="AC471" s="46" t="n"/>
      <c r="AD471" s="46" t="n"/>
      <c r="AE471" s="46" t="n"/>
      <c r="AF471" s="46" t="n"/>
      <c r="AG471" s="46" t="n"/>
      <c r="AH471" s="47" t="n"/>
      <c r="AI471" s="47" t="n"/>
      <c r="AJ471" s="47" t="n"/>
      <c r="AK471" s="47" t="n"/>
      <c r="AL471" s="47" t="n"/>
      <c r="AM471" s="47" t="n"/>
      <c r="AN471" s="47" t="n"/>
      <c r="AO471" s="47" t="n"/>
      <c r="AP471" s="47" t="n"/>
      <c r="AQ471" s="47" t="n"/>
      <c r="AR471" s="47" t="n"/>
      <c r="AS471" s="47" t="n"/>
      <c r="AT471" s="47" t="n"/>
      <c r="AU471" s="48" t="n"/>
      <c r="AV471" s="48" t="n"/>
      <c r="AW471" s="49">
        <f>IF($A471="","",IF($BW471&lt;&gt;"","FIX",IF($BX471&lt;&gt;"","CHECK","OK")))</f>
        <v/>
      </c>
      <c r="AX471" s="50">
        <f>IF($A471="","",IF($BW471&lt;&gt;"","FIX: "&amp;LEFT($BW471,LEN($BW471)-2)&amp;IF($BX471&lt;&gt;"","  ·  ",""),"")&amp;IF($BX471&lt;&gt;"","CHECK: "&amp;LEFT($BX471,LEN($BX471)-2),""))</f>
        <v/>
      </c>
      <c r="AY471" s="49">
        <f>IF(OR($A471="",$K471=""),"",$K471&amp;"'-"&amp;N($L471)&amp;CHAR(34)&amp;" x "&amp;$M471&amp;"'-"&amp;N($N471)&amp;CHAR(34))</f>
        <v/>
      </c>
      <c r="AZ471" s="49">
        <f>IF(OR($A471="",$K471=""),"",$K471&amp;N($L471)&amp;$M471&amp;N($N471))</f>
        <v/>
      </c>
      <c r="BA471" s="49">
        <f>IF(OR($A471="",$K471=""),"",$K471*12+N($L471))</f>
        <v/>
      </c>
      <c r="BB471" s="49">
        <f>IF(OR($A471="",$M471=""),"",$M471*12+N($N471))</f>
        <v/>
      </c>
      <c r="BC471" s="49">
        <f>IF($A471="","",IF(OR($C471="FRAME ONLY",$S471="BL"),0,IF($O471="Y",2,1)))</f>
        <v/>
      </c>
      <c r="BD471" s="51">
        <f>IF(OR(N($BC471)=0,$BA471=""),"",($BA471-2*EdgeClr-IF($BC471=2,MeetClr,0))/$BC471)</f>
        <v/>
      </c>
      <c r="BE471" s="51">
        <f>IF(OR(N($BC471)=0,$BB471=""),"",$BB471-HeadClr-Undercut)</f>
        <v/>
      </c>
      <c r="BF471" s="51">
        <f>IF($BA471="","",$BA471+2*FaceW+IF(N($Q471)&gt;0,($Q471+FaceW)*IF($R471="LR",2,1),0))</f>
        <v/>
      </c>
      <c r="BG471" s="51">
        <f>IF($BB471="","",$BB471+IF($AB471="Y",4,FaceW)+IF(N($P471)&gt;0,$P471+FaceW,0)+IF(OR($S471="4F",$S471="BL"),FaceW,0))</f>
        <v/>
      </c>
      <c r="BH471" s="51">
        <f>IF($BF471="","",$BF471+2*ROSide)</f>
        <v/>
      </c>
      <c r="BI471" s="51">
        <f>IF($BG471="","",$BG471+ROTop)</f>
        <v/>
      </c>
      <c r="BJ471" s="52">
        <f>IF(OR(N($BC471)=0,$BA471=""),"",$BA471/$BC471-ClearDeduct)</f>
        <v/>
      </c>
      <c r="BK471" s="49">
        <f>IF(OR(N($BC471)=0,$BE471=""),"",IF(OR($AC471="HGC",$AP471="HGC"),"CONT",IF($BE471&lt;=60,2,IF($BE471&lt;=90,3,IF($BE471&lt;=120,4,5)))))</f>
        <v/>
      </c>
      <c r="BL471" s="49">
        <f>IF(N($BC471)=0,"",IF(OR($AL471="",$AL471="FLUSH"),"FLUSH",IFERROR(LEFT($AL471,FIND("-",$AL471)-1),LEFT($AL471,2))))</f>
        <v/>
      </c>
      <c r="BM471" s="49">
        <f>IF($BL471="","",IFERROR(VALUE(MID($AL471,FIND("-",$AL471)+1,FIND(CHAR(34)&amp;"x",$AL471)-FIND("-",$AL471)-1)),0))</f>
        <v/>
      </c>
      <c r="BN471" s="49">
        <f>IF($BL471="","",IFERROR(VALUE(MID($AL471,FIND(CHAR(34)&amp;"x",$AL471)+2,FIND(CHAR(34),$AL471,FIND(CHAR(34)&amp;"x",$AL471)+2)-FIND(CHAR(34)&amp;"x",$AL471)-2)),0))</f>
        <v/>
      </c>
      <c r="BO471" s="53">
        <f>IF(OR($A471="",$H471="",$H471="NO LAB"),0,IFERROR(VALUE(LEFT($H471,FIND(" ",$H471)-1)),0))</f>
        <v/>
      </c>
      <c r="BP471" s="54">
        <f>IF(OR($A471="",$I471="",$I471="NON-RATED",N($J471)=0),"",IFERROR(VLOOKUP($I471&amp;"|"&amp;$J471,IBC,2,FALSE),"?"))</f>
        <v/>
      </c>
      <c r="BQ471" s="50">
        <f>IF(NOT(AND($A471&lt;&gt;"",$C471&lt;&gt;"DOOR ONLY")),"",TRIM(IFERROR(VLOOKUP($U471,CODES,2,FALSE),"")&amp;" "&amp;$AZ471&amp;" "&amp;IFERROR(VLOOKUP($Z471,CODES,2,FALSE),"")&amp;" "&amp;IFERROR(VLOOKUP($X471,CODES,2,FALSE),"")&amp;" "&amp;IFERROR(VLOOKUP($S471,CODES,2,FALSE),"")&amp;IF(N($P471)&gt;0," w/TRANSOM "&amp;$P471&amp;CHAR(34),"")&amp;IF(N($Q471)&gt;0," w/SIDELITE "&amp;$Q471&amp;CHAR(34)&amp;" "&amp;IF($R471="","R",$R471),"")&amp;IF($Y471="","  |  "," | "&amp;IFERROR(VLOOKUP($Y471,CODES,2,FALSE),"")&amp;" | ")&amp;IFERROR(VLOOKUP($AC471,CODES,2,FALSE),"")&amp;" "&amp;IFERROR(VLOOKUP($AD471,CODES,2,FALSE),"")&amp;IF(OR($AE471="",$AE471="-"),""," "&amp;$AE471)&amp;IF(OR($AF471="",$AF471="-"),""," "&amp;$AF471)&amp;IF($AB471="Y"," 4"&amp;CHAR(34)&amp;" HEAD","")&amp;" "&amp;IFERROR(VLOOKUP($H471,CODES,2,FALSE),"")))</f>
        <v/>
      </c>
      <c r="BR471" s="50">
        <f>IF(NOT(AND($A471&lt;&gt;"",N($BC471)&gt;0)),"",TRIM(IFERROR(VLOOKUP($AH471,CODES,2,FALSE),"")&amp;IF($AI471=""," "," "&amp;$AI471&amp;"GA ")&amp;$AZ471&amp;" "&amp;IF($AN471="",IFERROR(VLOOKUP($Z471,CODES,2,FALSE),""),IFERROR(VLOOKUP($AN471,CODES,2,FALSE),""))&amp;IF($BC471=2," PAIR","")&amp;" DOOR | "&amp;IF($AL471="","?",$AL471)&amp;" | "&amp;IF($AP471="",IFERROR(VLOOKUP($AC471,CODES,2,FALSE),""),IFERROR(VLOOKUP($AP471,CODES,2,FALSE),""))&amp;" "&amp;IFERROR(VLOOKUP($AQ471,CODES,2,FALSE),"")&amp;IF(OR($AR471="",$AR471="-"),""," SEAM "&amp;$AR471)&amp;IF($AS471="Y"," ASTRAGAL","")&amp;IF($AJ471=""," "," "&amp;$AJ471)&amp;IF($AK471=""," "," "&amp;$AK471)&amp;IF($AO471="",""," "&amp;$AO471)&amp;IF($AM471=""," "," SERIES "&amp;$AM471)&amp;" "&amp;IFERROR(VLOOKUP($H471,CODES,2,FALSE),"")))</f>
        <v/>
      </c>
      <c r="BS471" s="49">
        <f>IF(BV471="","",IF(COUNTIF($BV$6:BV471,BV471)=1,MAX($BS$5:BS470)+1,INDEX($BS$5:BS470,MATCH(BV471,$BV$5:BV470,0))))</f>
        <v/>
      </c>
      <c r="BT471" s="49">
        <f>IF(NOT(AND($A471&lt;&gt;"",$C471&lt;&gt;"DOOR ONLY")),"",MAX($BT$5:BT470)+1)</f>
        <v/>
      </c>
      <c r="BU471" s="49">
        <f>IF(NOT(AND($A471&lt;&gt;"",N($BC471)&gt;0)),"",MAX($BU$5:BU470)+1)</f>
        <v/>
      </c>
      <c r="BV471" s="49">
        <f>IF(OR($A471="",$BA471="",$BB471=""),"",$AZ471&amp;"|"&amp;$O471&amp;"|"&amp;$AL471&amp;"|"&amp;$S471&amp;"|"&amp;$P471&amp;"|"&amp;$Q471&amp;$R471&amp;"|"&amp;$C471&amp;"|"&amp;$AB471)</f>
        <v/>
      </c>
      <c r="BW471" s="49">
        <f>IF($A471="","",IF($B471="","qty, ","")&amp;IF($C471="","scope, ","")&amp;IF(OR($K471="",$M471=""),"size, ","")&amp;IF(AND($A471&lt;&gt;"",$C471&lt;&gt;"DOOR ONLY"),IF($U471="","jamb depth, ","")&amp;IF($X471="","construction, ","")&amp;IF($Y471="","anchor, ","")&amp;IF($S471="","frame type, ",""),"")&amp;IF(AND(N($BC471)&gt;0,$Z471=""),"hand, ","")&amp;IF(N($BC471)&gt;0,IF($AH471="","door material, ","")&amp;IF($AL471="","face type, ","")&amp;IF($AQ471="","lock prep, ","")&amp;IF(AND($AP471="",$AC471=""),"hinge prep, ",""),"")&amp;IF(AND($BO471&gt;0,$AH471="FRP"),"FRP cannot carry a label, ","")&amp;IF(AND($O471="Y",OR($Z471="L",$Z471="R",$Z471="LR",$Z471="RR")),"pair marked but hand is single, ","")&amp;IF(AND($O471&lt;&gt;"Y",OR($Z471="PR",AND(LEN($Z471)&gt;1,ISNUMBER(SEARCH("-",$Z471))))),"pair hand on a single door, ","")&amp;IF(AND(ISNUMBER($BP471),$BO471&lt;N($BP471)),"wall needs a "&amp;$BP471&amp;" min door, ","")&amp;IF(AND($BO471&gt;=180,AND(OR($BL471="FG",$BL471="HG",$BL471="FNV",$BL471="FV"),N($BM471)*N($BN471)&gt;100)),"180 min lite over 100 sq in, ","")&amp;IF(N($BD471)&gt;48,"leaf wider than 4'-0"&amp;CHAR(34)&amp;", ",""))</f>
        <v/>
      </c>
      <c r="BX471" s="49">
        <f>IF($A471="","",IF(AND($BO471&gt;0,AND($A471&lt;&gt;"",$C471&lt;&gt;"DOOR ONLY"),$X471="KD",$E471="EXTERIOR"),"KD label on an exterior opening, ","")&amp;IF(AND($E471="EXTERIOR",OR(AND(AND($A471&lt;&gt;"",$C471&lt;&gt;"DOOR ONLY"),$W471="CR"),AND(N($BC471)&gt;0,$AH471="CR"))),"exterior in CR steel (G9?), ","")&amp;IF(AND(ISNUMBER($BJ471),N($BJ471)&lt;32),"clear width ~"&amp;TEXT($BJ471,"0.0")&amp;CHAR(34)&amp;" under 32"&amp;CHAR(34)&amp;" (ADA), ","")&amp;IF(AND($BO471=90,AND(OR($BL471="FG",$BL471="HG",$BL471="FNV",$BL471="FV"),N($BM471)*N($BN471)&gt;100)),"90 min lite over 100 sq in (stair/exit), ","")&amp;IF(AND($BO471&gt;0,AND($A471&lt;&gt;"",$C471&lt;&gt;"DOOR ONLY"),OR($AF471="",$AF471="-")),"rated: closer reinf.?, ","")&amp;IF(OR($I471="CORRIDOR",$I471="SMOKE BARRIER"),"S label + smoke gasketing, ","")&amp;IF($BP471="?","wall type/hr not in IBC table, ","")&amp;IF(AND(N($BC471)&gt;0,$AU471=""),"no hardware set, ","")&amp;IF(AND($AU471&lt;&gt;"",ISNA(MATCH($AU471,HWSets,0))),"set "&amp;$AU471&amp;" not on Hardware sheet, ","")&amp;IF(N($BE471)&gt;96,"leaf over 8'-0"&amp;CHAR(34)&amp;" - check listing, ",""))</f>
        <v/>
      </c>
    </row>
    <row r="472" ht="15" customHeight="1">
      <c r="A472" s="44" t="n"/>
      <c r="B472" s="45" t="n"/>
      <c r="C472" s="45" t="n"/>
      <c r="D472" s="45" t="n"/>
      <c r="E472" s="45" t="n"/>
      <c r="F472" s="45" t="n"/>
      <c r="G472" s="45" t="n"/>
      <c r="H472" s="45" t="n"/>
      <c r="I472" s="45" t="n"/>
      <c r="J472" s="45" t="n"/>
      <c r="K472" s="45" t="n"/>
      <c r="L472" s="45" t="n"/>
      <c r="M472" s="45" t="n"/>
      <c r="N472" s="45" t="n"/>
      <c r="O472" s="45" t="n"/>
      <c r="P472" s="45" t="n"/>
      <c r="Q472" s="45" t="n"/>
      <c r="R472" s="45" t="n"/>
      <c r="S472" s="46" t="n"/>
      <c r="T472" s="46" t="n"/>
      <c r="U472" s="46" t="n"/>
      <c r="V472" s="46" t="n"/>
      <c r="W472" s="46" t="n"/>
      <c r="X472" s="46" t="n"/>
      <c r="Y472" s="46" t="n"/>
      <c r="Z472" s="46" t="n"/>
      <c r="AA472" s="46" t="n"/>
      <c r="AB472" s="46" t="n"/>
      <c r="AC472" s="46" t="n"/>
      <c r="AD472" s="46" t="n"/>
      <c r="AE472" s="46" t="n"/>
      <c r="AF472" s="46" t="n"/>
      <c r="AG472" s="46" t="n"/>
      <c r="AH472" s="47" t="n"/>
      <c r="AI472" s="47" t="n"/>
      <c r="AJ472" s="47" t="n"/>
      <c r="AK472" s="47" t="n"/>
      <c r="AL472" s="47" t="n"/>
      <c r="AM472" s="47" t="n"/>
      <c r="AN472" s="47" t="n"/>
      <c r="AO472" s="47" t="n"/>
      <c r="AP472" s="47" t="n"/>
      <c r="AQ472" s="47" t="n"/>
      <c r="AR472" s="47" t="n"/>
      <c r="AS472" s="47" t="n"/>
      <c r="AT472" s="47" t="n"/>
      <c r="AU472" s="48" t="n"/>
      <c r="AV472" s="48" t="n"/>
      <c r="AW472" s="49">
        <f>IF($A472="","",IF($BW472&lt;&gt;"","FIX",IF($BX472&lt;&gt;"","CHECK","OK")))</f>
        <v/>
      </c>
      <c r="AX472" s="50">
        <f>IF($A472="","",IF($BW472&lt;&gt;"","FIX: "&amp;LEFT($BW472,LEN($BW472)-2)&amp;IF($BX472&lt;&gt;"","  ·  ",""),"")&amp;IF($BX472&lt;&gt;"","CHECK: "&amp;LEFT($BX472,LEN($BX472)-2),""))</f>
        <v/>
      </c>
      <c r="AY472" s="49">
        <f>IF(OR($A472="",$K472=""),"",$K472&amp;"'-"&amp;N($L472)&amp;CHAR(34)&amp;" x "&amp;$M472&amp;"'-"&amp;N($N472)&amp;CHAR(34))</f>
        <v/>
      </c>
      <c r="AZ472" s="49">
        <f>IF(OR($A472="",$K472=""),"",$K472&amp;N($L472)&amp;$M472&amp;N($N472))</f>
        <v/>
      </c>
      <c r="BA472" s="49">
        <f>IF(OR($A472="",$K472=""),"",$K472*12+N($L472))</f>
        <v/>
      </c>
      <c r="BB472" s="49">
        <f>IF(OR($A472="",$M472=""),"",$M472*12+N($N472))</f>
        <v/>
      </c>
      <c r="BC472" s="49">
        <f>IF($A472="","",IF(OR($C472="FRAME ONLY",$S472="BL"),0,IF($O472="Y",2,1)))</f>
        <v/>
      </c>
      <c r="BD472" s="51">
        <f>IF(OR(N($BC472)=0,$BA472=""),"",($BA472-2*EdgeClr-IF($BC472=2,MeetClr,0))/$BC472)</f>
        <v/>
      </c>
      <c r="BE472" s="51">
        <f>IF(OR(N($BC472)=0,$BB472=""),"",$BB472-HeadClr-Undercut)</f>
        <v/>
      </c>
      <c r="BF472" s="51">
        <f>IF($BA472="","",$BA472+2*FaceW+IF(N($Q472)&gt;0,($Q472+FaceW)*IF($R472="LR",2,1),0))</f>
        <v/>
      </c>
      <c r="BG472" s="51">
        <f>IF($BB472="","",$BB472+IF($AB472="Y",4,FaceW)+IF(N($P472)&gt;0,$P472+FaceW,0)+IF(OR($S472="4F",$S472="BL"),FaceW,0))</f>
        <v/>
      </c>
      <c r="BH472" s="51">
        <f>IF($BF472="","",$BF472+2*ROSide)</f>
        <v/>
      </c>
      <c r="BI472" s="51">
        <f>IF($BG472="","",$BG472+ROTop)</f>
        <v/>
      </c>
      <c r="BJ472" s="52">
        <f>IF(OR(N($BC472)=0,$BA472=""),"",$BA472/$BC472-ClearDeduct)</f>
        <v/>
      </c>
      <c r="BK472" s="49">
        <f>IF(OR(N($BC472)=0,$BE472=""),"",IF(OR($AC472="HGC",$AP472="HGC"),"CONT",IF($BE472&lt;=60,2,IF($BE472&lt;=90,3,IF($BE472&lt;=120,4,5)))))</f>
        <v/>
      </c>
      <c r="BL472" s="49">
        <f>IF(N($BC472)=0,"",IF(OR($AL472="",$AL472="FLUSH"),"FLUSH",IFERROR(LEFT($AL472,FIND("-",$AL472)-1),LEFT($AL472,2))))</f>
        <v/>
      </c>
      <c r="BM472" s="49">
        <f>IF($BL472="","",IFERROR(VALUE(MID($AL472,FIND("-",$AL472)+1,FIND(CHAR(34)&amp;"x",$AL472)-FIND("-",$AL472)-1)),0))</f>
        <v/>
      </c>
      <c r="BN472" s="49">
        <f>IF($BL472="","",IFERROR(VALUE(MID($AL472,FIND(CHAR(34)&amp;"x",$AL472)+2,FIND(CHAR(34),$AL472,FIND(CHAR(34)&amp;"x",$AL472)+2)-FIND(CHAR(34)&amp;"x",$AL472)-2)),0))</f>
        <v/>
      </c>
      <c r="BO472" s="53">
        <f>IF(OR($A472="",$H472="",$H472="NO LAB"),0,IFERROR(VALUE(LEFT($H472,FIND(" ",$H472)-1)),0))</f>
        <v/>
      </c>
      <c r="BP472" s="54">
        <f>IF(OR($A472="",$I472="",$I472="NON-RATED",N($J472)=0),"",IFERROR(VLOOKUP($I472&amp;"|"&amp;$J472,IBC,2,FALSE),"?"))</f>
        <v/>
      </c>
      <c r="BQ472" s="50">
        <f>IF(NOT(AND($A472&lt;&gt;"",$C472&lt;&gt;"DOOR ONLY")),"",TRIM(IFERROR(VLOOKUP($U472,CODES,2,FALSE),"")&amp;" "&amp;$AZ472&amp;" "&amp;IFERROR(VLOOKUP($Z472,CODES,2,FALSE),"")&amp;" "&amp;IFERROR(VLOOKUP($X472,CODES,2,FALSE),"")&amp;" "&amp;IFERROR(VLOOKUP($S472,CODES,2,FALSE),"")&amp;IF(N($P472)&gt;0," w/TRANSOM "&amp;$P472&amp;CHAR(34),"")&amp;IF(N($Q472)&gt;0," w/SIDELITE "&amp;$Q472&amp;CHAR(34)&amp;" "&amp;IF($R472="","R",$R472),"")&amp;IF($Y472="","  |  "," | "&amp;IFERROR(VLOOKUP($Y472,CODES,2,FALSE),"")&amp;" | ")&amp;IFERROR(VLOOKUP($AC472,CODES,2,FALSE),"")&amp;" "&amp;IFERROR(VLOOKUP($AD472,CODES,2,FALSE),"")&amp;IF(OR($AE472="",$AE472="-"),""," "&amp;$AE472)&amp;IF(OR($AF472="",$AF472="-"),""," "&amp;$AF472)&amp;IF($AB472="Y"," 4"&amp;CHAR(34)&amp;" HEAD","")&amp;" "&amp;IFERROR(VLOOKUP($H472,CODES,2,FALSE),"")))</f>
        <v/>
      </c>
      <c r="BR472" s="50">
        <f>IF(NOT(AND($A472&lt;&gt;"",N($BC472)&gt;0)),"",TRIM(IFERROR(VLOOKUP($AH472,CODES,2,FALSE),"")&amp;IF($AI472=""," "," "&amp;$AI472&amp;"GA ")&amp;$AZ472&amp;" "&amp;IF($AN472="",IFERROR(VLOOKUP($Z472,CODES,2,FALSE),""),IFERROR(VLOOKUP($AN472,CODES,2,FALSE),""))&amp;IF($BC472=2," PAIR","")&amp;" DOOR | "&amp;IF($AL472="","?",$AL472)&amp;" | "&amp;IF($AP472="",IFERROR(VLOOKUP($AC472,CODES,2,FALSE),""),IFERROR(VLOOKUP($AP472,CODES,2,FALSE),""))&amp;" "&amp;IFERROR(VLOOKUP($AQ472,CODES,2,FALSE),"")&amp;IF(OR($AR472="",$AR472="-"),""," SEAM "&amp;$AR472)&amp;IF($AS472="Y"," ASTRAGAL","")&amp;IF($AJ472=""," "," "&amp;$AJ472)&amp;IF($AK472=""," "," "&amp;$AK472)&amp;IF($AO472="",""," "&amp;$AO472)&amp;IF($AM472=""," "," SERIES "&amp;$AM472)&amp;" "&amp;IFERROR(VLOOKUP($H472,CODES,2,FALSE),"")))</f>
        <v/>
      </c>
      <c r="BS472" s="49">
        <f>IF(BV472="","",IF(COUNTIF($BV$6:BV472,BV472)=1,MAX($BS$5:BS471)+1,INDEX($BS$5:BS471,MATCH(BV472,$BV$5:BV471,0))))</f>
        <v/>
      </c>
      <c r="BT472" s="49">
        <f>IF(NOT(AND($A472&lt;&gt;"",$C472&lt;&gt;"DOOR ONLY")),"",MAX($BT$5:BT471)+1)</f>
        <v/>
      </c>
      <c r="BU472" s="49">
        <f>IF(NOT(AND($A472&lt;&gt;"",N($BC472)&gt;0)),"",MAX($BU$5:BU471)+1)</f>
        <v/>
      </c>
      <c r="BV472" s="49">
        <f>IF(OR($A472="",$BA472="",$BB472=""),"",$AZ472&amp;"|"&amp;$O472&amp;"|"&amp;$AL472&amp;"|"&amp;$S472&amp;"|"&amp;$P472&amp;"|"&amp;$Q472&amp;$R472&amp;"|"&amp;$C472&amp;"|"&amp;$AB472)</f>
        <v/>
      </c>
      <c r="BW472" s="49">
        <f>IF($A472="","",IF($B472="","qty, ","")&amp;IF($C472="","scope, ","")&amp;IF(OR($K472="",$M472=""),"size, ","")&amp;IF(AND($A472&lt;&gt;"",$C472&lt;&gt;"DOOR ONLY"),IF($U472="","jamb depth, ","")&amp;IF($X472="","construction, ","")&amp;IF($Y472="","anchor, ","")&amp;IF($S472="","frame type, ",""),"")&amp;IF(AND(N($BC472)&gt;0,$Z472=""),"hand, ","")&amp;IF(N($BC472)&gt;0,IF($AH472="","door material, ","")&amp;IF($AL472="","face type, ","")&amp;IF($AQ472="","lock prep, ","")&amp;IF(AND($AP472="",$AC472=""),"hinge prep, ",""),"")&amp;IF(AND($BO472&gt;0,$AH472="FRP"),"FRP cannot carry a label, ","")&amp;IF(AND($O472="Y",OR($Z472="L",$Z472="R",$Z472="LR",$Z472="RR")),"pair marked but hand is single, ","")&amp;IF(AND($O472&lt;&gt;"Y",OR($Z472="PR",AND(LEN($Z472)&gt;1,ISNUMBER(SEARCH("-",$Z472))))),"pair hand on a single door, ","")&amp;IF(AND(ISNUMBER($BP472),$BO472&lt;N($BP472)),"wall needs a "&amp;$BP472&amp;" min door, ","")&amp;IF(AND($BO472&gt;=180,AND(OR($BL472="FG",$BL472="HG",$BL472="FNV",$BL472="FV"),N($BM472)*N($BN472)&gt;100)),"180 min lite over 100 sq in, ","")&amp;IF(N($BD472)&gt;48,"leaf wider than 4'-0"&amp;CHAR(34)&amp;", ",""))</f>
        <v/>
      </c>
      <c r="BX472" s="49">
        <f>IF($A472="","",IF(AND($BO472&gt;0,AND($A472&lt;&gt;"",$C472&lt;&gt;"DOOR ONLY"),$X472="KD",$E472="EXTERIOR"),"KD label on an exterior opening, ","")&amp;IF(AND($E472="EXTERIOR",OR(AND(AND($A472&lt;&gt;"",$C472&lt;&gt;"DOOR ONLY"),$W472="CR"),AND(N($BC472)&gt;0,$AH472="CR"))),"exterior in CR steel (G9?), ","")&amp;IF(AND(ISNUMBER($BJ472),N($BJ472)&lt;32),"clear width ~"&amp;TEXT($BJ472,"0.0")&amp;CHAR(34)&amp;" under 32"&amp;CHAR(34)&amp;" (ADA), ","")&amp;IF(AND($BO472=90,AND(OR($BL472="FG",$BL472="HG",$BL472="FNV",$BL472="FV"),N($BM472)*N($BN472)&gt;100)),"90 min lite over 100 sq in (stair/exit), ","")&amp;IF(AND($BO472&gt;0,AND($A472&lt;&gt;"",$C472&lt;&gt;"DOOR ONLY"),OR($AF472="",$AF472="-")),"rated: closer reinf.?, ","")&amp;IF(OR($I472="CORRIDOR",$I472="SMOKE BARRIER"),"S label + smoke gasketing, ","")&amp;IF($BP472="?","wall type/hr not in IBC table, ","")&amp;IF(AND(N($BC472)&gt;0,$AU472=""),"no hardware set, ","")&amp;IF(AND($AU472&lt;&gt;"",ISNA(MATCH($AU472,HWSets,0))),"set "&amp;$AU472&amp;" not on Hardware sheet, ","")&amp;IF(N($BE472)&gt;96,"leaf over 8'-0"&amp;CHAR(34)&amp;" - check listing, ",""))</f>
        <v/>
      </c>
    </row>
    <row r="473" ht="15" customHeight="1">
      <c r="A473" s="44" t="n"/>
      <c r="B473" s="45" t="n"/>
      <c r="C473" s="45" t="n"/>
      <c r="D473" s="45" t="n"/>
      <c r="E473" s="45" t="n"/>
      <c r="F473" s="45" t="n"/>
      <c r="G473" s="45" t="n"/>
      <c r="H473" s="45" t="n"/>
      <c r="I473" s="45" t="n"/>
      <c r="J473" s="45" t="n"/>
      <c r="K473" s="45" t="n"/>
      <c r="L473" s="45" t="n"/>
      <c r="M473" s="45" t="n"/>
      <c r="N473" s="45" t="n"/>
      <c r="O473" s="45" t="n"/>
      <c r="P473" s="45" t="n"/>
      <c r="Q473" s="45" t="n"/>
      <c r="R473" s="45" t="n"/>
      <c r="S473" s="46" t="n"/>
      <c r="T473" s="46" t="n"/>
      <c r="U473" s="46" t="n"/>
      <c r="V473" s="46" t="n"/>
      <c r="W473" s="46" t="n"/>
      <c r="X473" s="46" t="n"/>
      <c r="Y473" s="46" t="n"/>
      <c r="Z473" s="46" t="n"/>
      <c r="AA473" s="46" t="n"/>
      <c r="AB473" s="46" t="n"/>
      <c r="AC473" s="46" t="n"/>
      <c r="AD473" s="46" t="n"/>
      <c r="AE473" s="46" t="n"/>
      <c r="AF473" s="46" t="n"/>
      <c r="AG473" s="46" t="n"/>
      <c r="AH473" s="47" t="n"/>
      <c r="AI473" s="47" t="n"/>
      <c r="AJ473" s="47" t="n"/>
      <c r="AK473" s="47" t="n"/>
      <c r="AL473" s="47" t="n"/>
      <c r="AM473" s="47" t="n"/>
      <c r="AN473" s="47" t="n"/>
      <c r="AO473" s="47" t="n"/>
      <c r="AP473" s="47" t="n"/>
      <c r="AQ473" s="47" t="n"/>
      <c r="AR473" s="47" t="n"/>
      <c r="AS473" s="47" t="n"/>
      <c r="AT473" s="47" t="n"/>
      <c r="AU473" s="48" t="n"/>
      <c r="AV473" s="48" t="n"/>
      <c r="AW473" s="49">
        <f>IF($A473="","",IF($BW473&lt;&gt;"","FIX",IF($BX473&lt;&gt;"","CHECK","OK")))</f>
        <v/>
      </c>
      <c r="AX473" s="50">
        <f>IF($A473="","",IF($BW473&lt;&gt;"","FIX: "&amp;LEFT($BW473,LEN($BW473)-2)&amp;IF($BX473&lt;&gt;"","  ·  ",""),"")&amp;IF($BX473&lt;&gt;"","CHECK: "&amp;LEFT($BX473,LEN($BX473)-2),""))</f>
        <v/>
      </c>
      <c r="AY473" s="49">
        <f>IF(OR($A473="",$K473=""),"",$K473&amp;"'-"&amp;N($L473)&amp;CHAR(34)&amp;" x "&amp;$M473&amp;"'-"&amp;N($N473)&amp;CHAR(34))</f>
        <v/>
      </c>
      <c r="AZ473" s="49">
        <f>IF(OR($A473="",$K473=""),"",$K473&amp;N($L473)&amp;$M473&amp;N($N473))</f>
        <v/>
      </c>
      <c r="BA473" s="49">
        <f>IF(OR($A473="",$K473=""),"",$K473*12+N($L473))</f>
        <v/>
      </c>
      <c r="BB473" s="49">
        <f>IF(OR($A473="",$M473=""),"",$M473*12+N($N473))</f>
        <v/>
      </c>
      <c r="BC473" s="49">
        <f>IF($A473="","",IF(OR($C473="FRAME ONLY",$S473="BL"),0,IF($O473="Y",2,1)))</f>
        <v/>
      </c>
      <c r="BD473" s="51">
        <f>IF(OR(N($BC473)=0,$BA473=""),"",($BA473-2*EdgeClr-IF($BC473=2,MeetClr,0))/$BC473)</f>
        <v/>
      </c>
      <c r="BE473" s="51">
        <f>IF(OR(N($BC473)=0,$BB473=""),"",$BB473-HeadClr-Undercut)</f>
        <v/>
      </c>
      <c r="BF473" s="51">
        <f>IF($BA473="","",$BA473+2*FaceW+IF(N($Q473)&gt;0,($Q473+FaceW)*IF($R473="LR",2,1),0))</f>
        <v/>
      </c>
      <c r="BG473" s="51">
        <f>IF($BB473="","",$BB473+IF($AB473="Y",4,FaceW)+IF(N($P473)&gt;0,$P473+FaceW,0)+IF(OR($S473="4F",$S473="BL"),FaceW,0))</f>
        <v/>
      </c>
      <c r="BH473" s="51">
        <f>IF($BF473="","",$BF473+2*ROSide)</f>
        <v/>
      </c>
      <c r="BI473" s="51">
        <f>IF($BG473="","",$BG473+ROTop)</f>
        <v/>
      </c>
      <c r="BJ473" s="52">
        <f>IF(OR(N($BC473)=0,$BA473=""),"",$BA473/$BC473-ClearDeduct)</f>
        <v/>
      </c>
      <c r="BK473" s="49">
        <f>IF(OR(N($BC473)=0,$BE473=""),"",IF(OR($AC473="HGC",$AP473="HGC"),"CONT",IF($BE473&lt;=60,2,IF($BE473&lt;=90,3,IF($BE473&lt;=120,4,5)))))</f>
        <v/>
      </c>
      <c r="BL473" s="49">
        <f>IF(N($BC473)=0,"",IF(OR($AL473="",$AL473="FLUSH"),"FLUSH",IFERROR(LEFT($AL473,FIND("-",$AL473)-1),LEFT($AL473,2))))</f>
        <v/>
      </c>
      <c r="BM473" s="49">
        <f>IF($BL473="","",IFERROR(VALUE(MID($AL473,FIND("-",$AL473)+1,FIND(CHAR(34)&amp;"x",$AL473)-FIND("-",$AL473)-1)),0))</f>
        <v/>
      </c>
      <c r="BN473" s="49">
        <f>IF($BL473="","",IFERROR(VALUE(MID($AL473,FIND(CHAR(34)&amp;"x",$AL473)+2,FIND(CHAR(34),$AL473,FIND(CHAR(34)&amp;"x",$AL473)+2)-FIND(CHAR(34)&amp;"x",$AL473)-2)),0))</f>
        <v/>
      </c>
      <c r="BO473" s="53">
        <f>IF(OR($A473="",$H473="",$H473="NO LAB"),0,IFERROR(VALUE(LEFT($H473,FIND(" ",$H473)-1)),0))</f>
        <v/>
      </c>
      <c r="BP473" s="54">
        <f>IF(OR($A473="",$I473="",$I473="NON-RATED",N($J473)=0),"",IFERROR(VLOOKUP($I473&amp;"|"&amp;$J473,IBC,2,FALSE),"?"))</f>
        <v/>
      </c>
      <c r="BQ473" s="50">
        <f>IF(NOT(AND($A473&lt;&gt;"",$C473&lt;&gt;"DOOR ONLY")),"",TRIM(IFERROR(VLOOKUP($U473,CODES,2,FALSE),"")&amp;" "&amp;$AZ473&amp;" "&amp;IFERROR(VLOOKUP($Z473,CODES,2,FALSE),"")&amp;" "&amp;IFERROR(VLOOKUP($X473,CODES,2,FALSE),"")&amp;" "&amp;IFERROR(VLOOKUP($S473,CODES,2,FALSE),"")&amp;IF(N($P473)&gt;0," w/TRANSOM "&amp;$P473&amp;CHAR(34),"")&amp;IF(N($Q473)&gt;0," w/SIDELITE "&amp;$Q473&amp;CHAR(34)&amp;" "&amp;IF($R473="","R",$R473),"")&amp;IF($Y473="","  |  "," | "&amp;IFERROR(VLOOKUP($Y473,CODES,2,FALSE),"")&amp;" | ")&amp;IFERROR(VLOOKUP($AC473,CODES,2,FALSE),"")&amp;" "&amp;IFERROR(VLOOKUP($AD473,CODES,2,FALSE),"")&amp;IF(OR($AE473="",$AE473="-"),""," "&amp;$AE473)&amp;IF(OR($AF473="",$AF473="-"),""," "&amp;$AF473)&amp;IF($AB473="Y"," 4"&amp;CHAR(34)&amp;" HEAD","")&amp;" "&amp;IFERROR(VLOOKUP($H473,CODES,2,FALSE),"")))</f>
        <v/>
      </c>
      <c r="BR473" s="50">
        <f>IF(NOT(AND($A473&lt;&gt;"",N($BC473)&gt;0)),"",TRIM(IFERROR(VLOOKUP($AH473,CODES,2,FALSE),"")&amp;IF($AI473=""," "," "&amp;$AI473&amp;"GA ")&amp;$AZ473&amp;" "&amp;IF($AN473="",IFERROR(VLOOKUP($Z473,CODES,2,FALSE),""),IFERROR(VLOOKUP($AN473,CODES,2,FALSE),""))&amp;IF($BC473=2," PAIR","")&amp;" DOOR | "&amp;IF($AL473="","?",$AL473)&amp;" | "&amp;IF($AP473="",IFERROR(VLOOKUP($AC473,CODES,2,FALSE),""),IFERROR(VLOOKUP($AP473,CODES,2,FALSE),""))&amp;" "&amp;IFERROR(VLOOKUP($AQ473,CODES,2,FALSE),"")&amp;IF(OR($AR473="",$AR473="-"),""," SEAM "&amp;$AR473)&amp;IF($AS473="Y"," ASTRAGAL","")&amp;IF($AJ473=""," "," "&amp;$AJ473)&amp;IF($AK473=""," "," "&amp;$AK473)&amp;IF($AO473="",""," "&amp;$AO473)&amp;IF($AM473=""," "," SERIES "&amp;$AM473)&amp;" "&amp;IFERROR(VLOOKUP($H473,CODES,2,FALSE),"")))</f>
        <v/>
      </c>
      <c r="BS473" s="49">
        <f>IF(BV473="","",IF(COUNTIF($BV$6:BV473,BV473)=1,MAX($BS$5:BS472)+1,INDEX($BS$5:BS472,MATCH(BV473,$BV$5:BV472,0))))</f>
        <v/>
      </c>
      <c r="BT473" s="49">
        <f>IF(NOT(AND($A473&lt;&gt;"",$C473&lt;&gt;"DOOR ONLY")),"",MAX($BT$5:BT472)+1)</f>
        <v/>
      </c>
      <c r="BU473" s="49">
        <f>IF(NOT(AND($A473&lt;&gt;"",N($BC473)&gt;0)),"",MAX($BU$5:BU472)+1)</f>
        <v/>
      </c>
      <c r="BV473" s="49">
        <f>IF(OR($A473="",$BA473="",$BB473=""),"",$AZ473&amp;"|"&amp;$O473&amp;"|"&amp;$AL473&amp;"|"&amp;$S473&amp;"|"&amp;$P473&amp;"|"&amp;$Q473&amp;$R473&amp;"|"&amp;$C473&amp;"|"&amp;$AB473)</f>
        <v/>
      </c>
      <c r="BW473" s="49">
        <f>IF($A473="","",IF($B473="","qty, ","")&amp;IF($C473="","scope, ","")&amp;IF(OR($K473="",$M473=""),"size, ","")&amp;IF(AND($A473&lt;&gt;"",$C473&lt;&gt;"DOOR ONLY"),IF($U473="","jamb depth, ","")&amp;IF($X473="","construction, ","")&amp;IF($Y473="","anchor, ","")&amp;IF($S473="","frame type, ",""),"")&amp;IF(AND(N($BC473)&gt;0,$Z473=""),"hand, ","")&amp;IF(N($BC473)&gt;0,IF($AH473="","door material, ","")&amp;IF($AL473="","face type, ","")&amp;IF($AQ473="","lock prep, ","")&amp;IF(AND($AP473="",$AC473=""),"hinge prep, ",""),"")&amp;IF(AND($BO473&gt;0,$AH473="FRP"),"FRP cannot carry a label, ","")&amp;IF(AND($O473="Y",OR($Z473="L",$Z473="R",$Z473="LR",$Z473="RR")),"pair marked but hand is single, ","")&amp;IF(AND($O473&lt;&gt;"Y",OR($Z473="PR",AND(LEN($Z473)&gt;1,ISNUMBER(SEARCH("-",$Z473))))),"pair hand on a single door, ","")&amp;IF(AND(ISNUMBER($BP473),$BO473&lt;N($BP473)),"wall needs a "&amp;$BP473&amp;" min door, ","")&amp;IF(AND($BO473&gt;=180,AND(OR($BL473="FG",$BL473="HG",$BL473="FNV",$BL473="FV"),N($BM473)*N($BN473)&gt;100)),"180 min lite over 100 sq in, ","")&amp;IF(N($BD473)&gt;48,"leaf wider than 4'-0"&amp;CHAR(34)&amp;", ",""))</f>
        <v/>
      </c>
      <c r="BX473" s="49">
        <f>IF($A473="","",IF(AND($BO473&gt;0,AND($A473&lt;&gt;"",$C473&lt;&gt;"DOOR ONLY"),$X473="KD",$E473="EXTERIOR"),"KD label on an exterior opening, ","")&amp;IF(AND($E473="EXTERIOR",OR(AND(AND($A473&lt;&gt;"",$C473&lt;&gt;"DOOR ONLY"),$W473="CR"),AND(N($BC473)&gt;0,$AH473="CR"))),"exterior in CR steel (G9?), ","")&amp;IF(AND(ISNUMBER($BJ473),N($BJ473)&lt;32),"clear width ~"&amp;TEXT($BJ473,"0.0")&amp;CHAR(34)&amp;" under 32"&amp;CHAR(34)&amp;" (ADA), ","")&amp;IF(AND($BO473=90,AND(OR($BL473="FG",$BL473="HG",$BL473="FNV",$BL473="FV"),N($BM473)*N($BN473)&gt;100)),"90 min lite over 100 sq in (stair/exit), ","")&amp;IF(AND($BO473&gt;0,AND($A473&lt;&gt;"",$C473&lt;&gt;"DOOR ONLY"),OR($AF473="",$AF473="-")),"rated: closer reinf.?, ","")&amp;IF(OR($I473="CORRIDOR",$I473="SMOKE BARRIER"),"S label + smoke gasketing, ","")&amp;IF($BP473="?","wall type/hr not in IBC table, ","")&amp;IF(AND(N($BC473)&gt;0,$AU473=""),"no hardware set, ","")&amp;IF(AND($AU473&lt;&gt;"",ISNA(MATCH($AU473,HWSets,0))),"set "&amp;$AU473&amp;" not on Hardware sheet, ","")&amp;IF(N($BE473)&gt;96,"leaf over 8'-0"&amp;CHAR(34)&amp;" - check listing, ",""))</f>
        <v/>
      </c>
    </row>
    <row r="474" ht="15" customHeight="1">
      <c r="A474" s="44" t="n"/>
      <c r="B474" s="45" t="n"/>
      <c r="C474" s="45" t="n"/>
      <c r="D474" s="45" t="n"/>
      <c r="E474" s="45" t="n"/>
      <c r="F474" s="45" t="n"/>
      <c r="G474" s="45" t="n"/>
      <c r="H474" s="45" t="n"/>
      <c r="I474" s="45" t="n"/>
      <c r="J474" s="45" t="n"/>
      <c r="K474" s="45" t="n"/>
      <c r="L474" s="45" t="n"/>
      <c r="M474" s="45" t="n"/>
      <c r="N474" s="45" t="n"/>
      <c r="O474" s="45" t="n"/>
      <c r="P474" s="45" t="n"/>
      <c r="Q474" s="45" t="n"/>
      <c r="R474" s="45" t="n"/>
      <c r="S474" s="46" t="n"/>
      <c r="T474" s="46" t="n"/>
      <c r="U474" s="46" t="n"/>
      <c r="V474" s="46" t="n"/>
      <c r="W474" s="46" t="n"/>
      <c r="X474" s="46" t="n"/>
      <c r="Y474" s="46" t="n"/>
      <c r="Z474" s="46" t="n"/>
      <c r="AA474" s="46" t="n"/>
      <c r="AB474" s="46" t="n"/>
      <c r="AC474" s="46" t="n"/>
      <c r="AD474" s="46" t="n"/>
      <c r="AE474" s="46" t="n"/>
      <c r="AF474" s="46" t="n"/>
      <c r="AG474" s="46" t="n"/>
      <c r="AH474" s="47" t="n"/>
      <c r="AI474" s="47" t="n"/>
      <c r="AJ474" s="47" t="n"/>
      <c r="AK474" s="47" t="n"/>
      <c r="AL474" s="47" t="n"/>
      <c r="AM474" s="47" t="n"/>
      <c r="AN474" s="47" t="n"/>
      <c r="AO474" s="47" t="n"/>
      <c r="AP474" s="47" t="n"/>
      <c r="AQ474" s="47" t="n"/>
      <c r="AR474" s="47" t="n"/>
      <c r="AS474" s="47" t="n"/>
      <c r="AT474" s="47" t="n"/>
      <c r="AU474" s="48" t="n"/>
      <c r="AV474" s="48" t="n"/>
      <c r="AW474" s="49">
        <f>IF($A474="","",IF($BW474&lt;&gt;"","FIX",IF($BX474&lt;&gt;"","CHECK","OK")))</f>
        <v/>
      </c>
      <c r="AX474" s="50">
        <f>IF($A474="","",IF($BW474&lt;&gt;"","FIX: "&amp;LEFT($BW474,LEN($BW474)-2)&amp;IF($BX474&lt;&gt;"","  ·  ",""),"")&amp;IF($BX474&lt;&gt;"","CHECK: "&amp;LEFT($BX474,LEN($BX474)-2),""))</f>
        <v/>
      </c>
      <c r="AY474" s="49">
        <f>IF(OR($A474="",$K474=""),"",$K474&amp;"'-"&amp;N($L474)&amp;CHAR(34)&amp;" x "&amp;$M474&amp;"'-"&amp;N($N474)&amp;CHAR(34))</f>
        <v/>
      </c>
      <c r="AZ474" s="49">
        <f>IF(OR($A474="",$K474=""),"",$K474&amp;N($L474)&amp;$M474&amp;N($N474))</f>
        <v/>
      </c>
      <c r="BA474" s="49">
        <f>IF(OR($A474="",$K474=""),"",$K474*12+N($L474))</f>
        <v/>
      </c>
      <c r="BB474" s="49">
        <f>IF(OR($A474="",$M474=""),"",$M474*12+N($N474))</f>
        <v/>
      </c>
      <c r="BC474" s="49">
        <f>IF($A474="","",IF(OR($C474="FRAME ONLY",$S474="BL"),0,IF($O474="Y",2,1)))</f>
        <v/>
      </c>
      <c r="BD474" s="51">
        <f>IF(OR(N($BC474)=0,$BA474=""),"",($BA474-2*EdgeClr-IF($BC474=2,MeetClr,0))/$BC474)</f>
        <v/>
      </c>
      <c r="BE474" s="51">
        <f>IF(OR(N($BC474)=0,$BB474=""),"",$BB474-HeadClr-Undercut)</f>
        <v/>
      </c>
      <c r="BF474" s="51">
        <f>IF($BA474="","",$BA474+2*FaceW+IF(N($Q474)&gt;0,($Q474+FaceW)*IF($R474="LR",2,1),0))</f>
        <v/>
      </c>
      <c r="BG474" s="51">
        <f>IF($BB474="","",$BB474+IF($AB474="Y",4,FaceW)+IF(N($P474)&gt;0,$P474+FaceW,0)+IF(OR($S474="4F",$S474="BL"),FaceW,0))</f>
        <v/>
      </c>
      <c r="BH474" s="51">
        <f>IF($BF474="","",$BF474+2*ROSide)</f>
        <v/>
      </c>
      <c r="BI474" s="51">
        <f>IF($BG474="","",$BG474+ROTop)</f>
        <v/>
      </c>
      <c r="BJ474" s="52">
        <f>IF(OR(N($BC474)=0,$BA474=""),"",$BA474/$BC474-ClearDeduct)</f>
        <v/>
      </c>
      <c r="BK474" s="49">
        <f>IF(OR(N($BC474)=0,$BE474=""),"",IF(OR($AC474="HGC",$AP474="HGC"),"CONT",IF($BE474&lt;=60,2,IF($BE474&lt;=90,3,IF($BE474&lt;=120,4,5)))))</f>
        <v/>
      </c>
      <c r="BL474" s="49">
        <f>IF(N($BC474)=0,"",IF(OR($AL474="",$AL474="FLUSH"),"FLUSH",IFERROR(LEFT($AL474,FIND("-",$AL474)-1),LEFT($AL474,2))))</f>
        <v/>
      </c>
      <c r="BM474" s="49">
        <f>IF($BL474="","",IFERROR(VALUE(MID($AL474,FIND("-",$AL474)+1,FIND(CHAR(34)&amp;"x",$AL474)-FIND("-",$AL474)-1)),0))</f>
        <v/>
      </c>
      <c r="BN474" s="49">
        <f>IF($BL474="","",IFERROR(VALUE(MID($AL474,FIND(CHAR(34)&amp;"x",$AL474)+2,FIND(CHAR(34),$AL474,FIND(CHAR(34)&amp;"x",$AL474)+2)-FIND(CHAR(34)&amp;"x",$AL474)-2)),0))</f>
        <v/>
      </c>
      <c r="BO474" s="53">
        <f>IF(OR($A474="",$H474="",$H474="NO LAB"),0,IFERROR(VALUE(LEFT($H474,FIND(" ",$H474)-1)),0))</f>
        <v/>
      </c>
      <c r="BP474" s="54">
        <f>IF(OR($A474="",$I474="",$I474="NON-RATED",N($J474)=0),"",IFERROR(VLOOKUP($I474&amp;"|"&amp;$J474,IBC,2,FALSE),"?"))</f>
        <v/>
      </c>
      <c r="BQ474" s="50">
        <f>IF(NOT(AND($A474&lt;&gt;"",$C474&lt;&gt;"DOOR ONLY")),"",TRIM(IFERROR(VLOOKUP($U474,CODES,2,FALSE),"")&amp;" "&amp;$AZ474&amp;" "&amp;IFERROR(VLOOKUP($Z474,CODES,2,FALSE),"")&amp;" "&amp;IFERROR(VLOOKUP($X474,CODES,2,FALSE),"")&amp;" "&amp;IFERROR(VLOOKUP($S474,CODES,2,FALSE),"")&amp;IF(N($P474)&gt;0," w/TRANSOM "&amp;$P474&amp;CHAR(34),"")&amp;IF(N($Q474)&gt;0," w/SIDELITE "&amp;$Q474&amp;CHAR(34)&amp;" "&amp;IF($R474="","R",$R474),"")&amp;IF($Y474="","  |  "," | "&amp;IFERROR(VLOOKUP($Y474,CODES,2,FALSE),"")&amp;" | ")&amp;IFERROR(VLOOKUP($AC474,CODES,2,FALSE),"")&amp;" "&amp;IFERROR(VLOOKUP($AD474,CODES,2,FALSE),"")&amp;IF(OR($AE474="",$AE474="-"),""," "&amp;$AE474)&amp;IF(OR($AF474="",$AF474="-"),""," "&amp;$AF474)&amp;IF($AB474="Y"," 4"&amp;CHAR(34)&amp;" HEAD","")&amp;" "&amp;IFERROR(VLOOKUP($H474,CODES,2,FALSE),"")))</f>
        <v/>
      </c>
      <c r="BR474" s="50">
        <f>IF(NOT(AND($A474&lt;&gt;"",N($BC474)&gt;0)),"",TRIM(IFERROR(VLOOKUP($AH474,CODES,2,FALSE),"")&amp;IF($AI474=""," "," "&amp;$AI474&amp;"GA ")&amp;$AZ474&amp;" "&amp;IF($AN474="",IFERROR(VLOOKUP($Z474,CODES,2,FALSE),""),IFERROR(VLOOKUP($AN474,CODES,2,FALSE),""))&amp;IF($BC474=2," PAIR","")&amp;" DOOR | "&amp;IF($AL474="","?",$AL474)&amp;" | "&amp;IF($AP474="",IFERROR(VLOOKUP($AC474,CODES,2,FALSE),""),IFERROR(VLOOKUP($AP474,CODES,2,FALSE),""))&amp;" "&amp;IFERROR(VLOOKUP($AQ474,CODES,2,FALSE),"")&amp;IF(OR($AR474="",$AR474="-"),""," SEAM "&amp;$AR474)&amp;IF($AS474="Y"," ASTRAGAL","")&amp;IF($AJ474=""," "," "&amp;$AJ474)&amp;IF($AK474=""," "," "&amp;$AK474)&amp;IF($AO474="",""," "&amp;$AO474)&amp;IF($AM474=""," "," SERIES "&amp;$AM474)&amp;" "&amp;IFERROR(VLOOKUP($H474,CODES,2,FALSE),"")))</f>
        <v/>
      </c>
      <c r="BS474" s="49">
        <f>IF(BV474="","",IF(COUNTIF($BV$6:BV474,BV474)=1,MAX($BS$5:BS473)+1,INDEX($BS$5:BS473,MATCH(BV474,$BV$5:BV473,0))))</f>
        <v/>
      </c>
      <c r="BT474" s="49">
        <f>IF(NOT(AND($A474&lt;&gt;"",$C474&lt;&gt;"DOOR ONLY")),"",MAX($BT$5:BT473)+1)</f>
        <v/>
      </c>
      <c r="BU474" s="49">
        <f>IF(NOT(AND($A474&lt;&gt;"",N($BC474)&gt;0)),"",MAX($BU$5:BU473)+1)</f>
        <v/>
      </c>
      <c r="BV474" s="49">
        <f>IF(OR($A474="",$BA474="",$BB474=""),"",$AZ474&amp;"|"&amp;$O474&amp;"|"&amp;$AL474&amp;"|"&amp;$S474&amp;"|"&amp;$P474&amp;"|"&amp;$Q474&amp;$R474&amp;"|"&amp;$C474&amp;"|"&amp;$AB474)</f>
        <v/>
      </c>
      <c r="BW474" s="49">
        <f>IF($A474="","",IF($B474="","qty, ","")&amp;IF($C474="","scope, ","")&amp;IF(OR($K474="",$M474=""),"size, ","")&amp;IF(AND($A474&lt;&gt;"",$C474&lt;&gt;"DOOR ONLY"),IF($U474="","jamb depth, ","")&amp;IF($X474="","construction, ","")&amp;IF($Y474="","anchor, ","")&amp;IF($S474="","frame type, ",""),"")&amp;IF(AND(N($BC474)&gt;0,$Z474=""),"hand, ","")&amp;IF(N($BC474)&gt;0,IF($AH474="","door material, ","")&amp;IF($AL474="","face type, ","")&amp;IF($AQ474="","lock prep, ","")&amp;IF(AND($AP474="",$AC474=""),"hinge prep, ",""),"")&amp;IF(AND($BO474&gt;0,$AH474="FRP"),"FRP cannot carry a label, ","")&amp;IF(AND($O474="Y",OR($Z474="L",$Z474="R",$Z474="LR",$Z474="RR")),"pair marked but hand is single, ","")&amp;IF(AND($O474&lt;&gt;"Y",OR($Z474="PR",AND(LEN($Z474)&gt;1,ISNUMBER(SEARCH("-",$Z474))))),"pair hand on a single door, ","")&amp;IF(AND(ISNUMBER($BP474),$BO474&lt;N($BP474)),"wall needs a "&amp;$BP474&amp;" min door, ","")&amp;IF(AND($BO474&gt;=180,AND(OR($BL474="FG",$BL474="HG",$BL474="FNV",$BL474="FV"),N($BM474)*N($BN474)&gt;100)),"180 min lite over 100 sq in, ","")&amp;IF(N($BD474)&gt;48,"leaf wider than 4'-0"&amp;CHAR(34)&amp;", ",""))</f>
        <v/>
      </c>
      <c r="BX474" s="49">
        <f>IF($A474="","",IF(AND($BO474&gt;0,AND($A474&lt;&gt;"",$C474&lt;&gt;"DOOR ONLY"),$X474="KD",$E474="EXTERIOR"),"KD label on an exterior opening, ","")&amp;IF(AND($E474="EXTERIOR",OR(AND(AND($A474&lt;&gt;"",$C474&lt;&gt;"DOOR ONLY"),$W474="CR"),AND(N($BC474)&gt;0,$AH474="CR"))),"exterior in CR steel (G9?), ","")&amp;IF(AND(ISNUMBER($BJ474),N($BJ474)&lt;32),"clear width ~"&amp;TEXT($BJ474,"0.0")&amp;CHAR(34)&amp;" under 32"&amp;CHAR(34)&amp;" (ADA), ","")&amp;IF(AND($BO474=90,AND(OR($BL474="FG",$BL474="HG",$BL474="FNV",$BL474="FV"),N($BM474)*N($BN474)&gt;100)),"90 min lite over 100 sq in (stair/exit), ","")&amp;IF(AND($BO474&gt;0,AND($A474&lt;&gt;"",$C474&lt;&gt;"DOOR ONLY"),OR($AF474="",$AF474="-")),"rated: closer reinf.?, ","")&amp;IF(OR($I474="CORRIDOR",$I474="SMOKE BARRIER"),"S label + smoke gasketing, ","")&amp;IF($BP474="?","wall type/hr not in IBC table, ","")&amp;IF(AND(N($BC474)&gt;0,$AU474=""),"no hardware set, ","")&amp;IF(AND($AU474&lt;&gt;"",ISNA(MATCH($AU474,HWSets,0))),"set "&amp;$AU474&amp;" not on Hardware sheet, ","")&amp;IF(N($BE474)&gt;96,"leaf over 8'-0"&amp;CHAR(34)&amp;" - check listing, ",""))</f>
        <v/>
      </c>
    </row>
    <row r="475" ht="15" customHeight="1">
      <c r="A475" s="44" t="n"/>
      <c r="B475" s="45" t="n"/>
      <c r="C475" s="45" t="n"/>
      <c r="D475" s="45" t="n"/>
      <c r="E475" s="45" t="n"/>
      <c r="F475" s="45" t="n"/>
      <c r="G475" s="45" t="n"/>
      <c r="H475" s="45" t="n"/>
      <c r="I475" s="45" t="n"/>
      <c r="J475" s="45" t="n"/>
      <c r="K475" s="45" t="n"/>
      <c r="L475" s="45" t="n"/>
      <c r="M475" s="45" t="n"/>
      <c r="N475" s="45" t="n"/>
      <c r="O475" s="45" t="n"/>
      <c r="P475" s="45" t="n"/>
      <c r="Q475" s="45" t="n"/>
      <c r="R475" s="45" t="n"/>
      <c r="S475" s="46" t="n"/>
      <c r="T475" s="46" t="n"/>
      <c r="U475" s="46" t="n"/>
      <c r="V475" s="46" t="n"/>
      <c r="W475" s="46" t="n"/>
      <c r="X475" s="46" t="n"/>
      <c r="Y475" s="46" t="n"/>
      <c r="Z475" s="46" t="n"/>
      <c r="AA475" s="46" t="n"/>
      <c r="AB475" s="46" t="n"/>
      <c r="AC475" s="46" t="n"/>
      <c r="AD475" s="46" t="n"/>
      <c r="AE475" s="46" t="n"/>
      <c r="AF475" s="46" t="n"/>
      <c r="AG475" s="46" t="n"/>
      <c r="AH475" s="47" t="n"/>
      <c r="AI475" s="47" t="n"/>
      <c r="AJ475" s="47" t="n"/>
      <c r="AK475" s="47" t="n"/>
      <c r="AL475" s="47" t="n"/>
      <c r="AM475" s="47" t="n"/>
      <c r="AN475" s="47" t="n"/>
      <c r="AO475" s="47" t="n"/>
      <c r="AP475" s="47" t="n"/>
      <c r="AQ475" s="47" t="n"/>
      <c r="AR475" s="47" t="n"/>
      <c r="AS475" s="47" t="n"/>
      <c r="AT475" s="47" t="n"/>
      <c r="AU475" s="48" t="n"/>
      <c r="AV475" s="48" t="n"/>
      <c r="AW475" s="49">
        <f>IF($A475="","",IF($BW475&lt;&gt;"","FIX",IF($BX475&lt;&gt;"","CHECK","OK")))</f>
        <v/>
      </c>
      <c r="AX475" s="50">
        <f>IF($A475="","",IF($BW475&lt;&gt;"","FIX: "&amp;LEFT($BW475,LEN($BW475)-2)&amp;IF($BX475&lt;&gt;"","  ·  ",""),"")&amp;IF($BX475&lt;&gt;"","CHECK: "&amp;LEFT($BX475,LEN($BX475)-2),""))</f>
        <v/>
      </c>
      <c r="AY475" s="49">
        <f>IF(OR($A475="",$K475=""),"",$K475&amp;"'-"&amp;N($L475)&amp;CHAR(34)&amp;" x "&amp;$M475&amp;"'-"&amp;N($N475)&amp;CHAR(34))</f>
        <v/>
      </c>
      <c r="AZ475" s="49">
        <f>IF(OR($A475="",$K475=""),"",$K475&amp;N($L475)&amp;$M475&amp;N($N475))</f>
        <v/>
      </c>
      <c r="BA475" s="49">
        <f>IF(OR($A475="",$K475=""),"",$K475*12+N($L475))</f>
        <v/>
      </c>
      <c r="BB475" s="49">
        <f>IF(OR($A475="",$M475=""),"",$M475*12+N($N475))</f>
        <v/>
      </c>
      <c r="BC475" s="49">
        <f>IF($A475="","",IF(OR($C475="FRAME ONLY",$S475="BL"),0,IF($O475="Y",2,1)))</f>
        <v/>
      </c>
      <c r="BD475" s="51">
        <f>IF(OR(N($BC475)=0,$BA475=""),"",($BA475-2*EdgeClr-IF($BC475=2,MeetClr,0))/$BC475)</f>
        <v/>
      </c>
      <c r="BE475" s="51">
        <f>IF(OR(N($BC475)=0,$BB475=""),"",$BB475-HeadClr-Undercut)</f>
        <v/>
      </c>
      <c r="BF475" s="51">
        <f>IF($BA475="","",$BA475+2*FaceW+IF(N($Q475)&gt;0,($Q475+FaceW)*IF($R475="LR",2,1),0))</f>
        <v/>
      </c>
      <c r="BG475" s="51">
        <f>IF($BB475="","",$BB475+IF($AB475="Y",4,FaceW)+IF(N($P475)&gt;0,$P475+FaceW,0)+IF(OR($S475="4F",$S475="BL"),FaceW,0))</f>
        <v/>
      </c>
      <c r="BH475" s="51">
        <f>IF($BF475="","",$BF475+2*ROSide)</f>
        <v/>
      </c>
      <c r="BI475" s="51">
        <f>IF($BG475="","",$BG475+ROTop)</f>
        <v/>
      </c>
      <c r="BJ475" s="52">
        <f>IF(OR(N($BC475)=0,$BA475=""),"",$BA475/$BC475-ClearDeduct)</f>
        <v/>
      </c>
      <c r="BK475" s="49">
        <f>IF(OR(N($BC475)=0,$BE475=""),"",IF(OR($AC475="HGC",$AP475="HGC"),"CONT",IF($BE475&lt;=60,2,IF($BE475&lt;=90,3,IF($BE475&lt;=120,4,5)))))</f>
        <v/>
      </c>
      <c r="BL475" s="49">
        <f>IF(N($BC475)=0,"",IF(OR($AL475="",$AL475="FLUSH"),"FLUSH",IFERROR(LEFT($AL475,FIND("-",$AL475)-1),LEFT($AL475,2))))</f>
        <v/>
      </c>
      <c r="BM475" s="49">
        <f>IF($BL475="","",IFERROR(VALUE(MID($AL475,FIND("-",$AL475)+1,FIND(CHAR(34)&amp;"x",$AL475)-FIND("-",$AL475)-1)),0))</f>
        <v/>
      </c>
      <c r="BN475" s="49">
        <f>IF($BL475="","",IFERROR(VALUE(MID($AL475,FIND(CHAR(34)&amp;"x",$AL475)+2,FIND(CHAR(34),$AL475,FIND(CHAR(34)&amp;"x",$AL475)+2)-FIND(CHAR(34)&amp;"x",$AL475)-2)),0))</f>
        <v/>
      </c>
      <c r="BO475" s="53">
        <f>IF(OR($A475="",$H475="",$H475="NO LAB"),0,IFERROR(VALUE(LEFT($H475,FIND(" ",$H475)-1)),0))</f>
        <v/>
      </c>
      <c r="BP475" s="54">
        <f>IF(OR($A475="",$I475="",$I475="NON-RATED",N($J475)=0),"",IFERROR(VLOOKUP($I475&amp;"|"&amp;$J475,IBC,2,FALSE),"?"))</f>
        <v/>
      </c>
      <c r="BQ475" s="50">
        <f>IF(NOT(AND($A475&lt;&gt;"",$C475&lt;&gt;"DOOR ONLY")),"",TRIM(IFERROR(VLOOKUP($U475,CODES,2,FALSE),"")&amp;" "&amp;$AZ475&amp;" "&amp;IFERROR(VLOOKUP($Z475,CODES,2,FALSE),"")&amp;" "&amp;IFERROR(VLOOKUP($X475,CODES,2,FALSE),"")&amp;" "&amp;IFERROR(VLOOKUP($S475,CODES,2,FALSE),"")&amp;IF(N($P475)&gt;0," w/TRANSOM "&amp;$P475&amp;CHAR(34),"")&amp;IF(N($Q475)&gt;0," w/SIDELITE "&amp;$Q475&amp;CHAR(34)&amp;" "&amp;IF($R475="","R",$R475),"")&amp;IF($Y475="","  |  "," | "&amp;IFERROR(VLOOKUP($Y475,CODES,2,FALSE),"")&amp;" | ")&amp;IFERROR(VLOOKUP($AC475,CODES,2,FALSE),"")&amp;" "&amp;IFERROR(VLOOKUP($AD475,CODES,2,FALSE),"")&amp;IF(OR($AE475="",$AE475="-"),""," "&amp;$AE475)&amp;IF(OR($AF475="",$AF475="-"),""," "&amp;$AF475)&amp;IF($AB475="Y"," 4"&amp;CHAR(34)&amp;" HEAD","")&amp;" "&amp;IFERROR(VLOOKUP($H475,CODES,2,FALSE),"")))</f>
        <v/>
      </c>
      <c r="BR475" s="50">
        <f>IF(NOT(AND($A475&lt;&gt;"",N($BC475)&gt;0)),"",TRIM(IFERROR(VLOOKUP($AH475,CODES,2,FALSE),"")&amp;IF($AI475=""," "," "&amp;$AI475&amp;"GA ")&amp;$AZ475&amp;" "&amp;IF($AN475="",IFERROR(VLOOKUP($Z475,CODES,2,FALSE),""),IFERROR(VLOOKUP($AN475,CODES,2,FALSE),""))&amp;IF($BC475=2," PAIR","")&amp;" DOOR | "&amp;IF($AL475="","?",$AL475)&amp;" | "&amp;IF($AP475="",IFERROR(VLOOKUP($AC475,CODES,2,FALSE),""),IFERROR(VLOOKUP($AP475,CODES,2,FALSE),""))&amp;" "&amp;IFERROR(VLOOKUP($AQ475,CODES,2,FALSE),"")&amp;IF(OR($AR475="",$AR475="-"),""," SEAM "&amp;$AR475)&amp;IF($AS475="Y"," ASTRAGAL","")&amp;IF($AJ475=""," "," "&amp;$AJ475)&amp;IF($AK475=""," "," "&amp;$AK475)&amp;IF($AO475="",""," "&amp;$AO475)&amp;IF($AM475=""," "," SERIES "&amp;$AM475)&amp;" "&amp;IFERROR(VLOOKUP($H475,CODES,2,FALSE),"")))</f>
        <v/>
      </c>
      <c r="BS475" s="49">
        <f>IF(BV475="","",IF(COUNTIF($BV$6:BV475,BV475)=1,MAX($BS$5:BS474)+1,INDEX($BS$5:BS474,MATCH(BV475,$BV$5:BV474,0))))</f>
        <v/>
      </c>
      <c r="BT475" s="49">
        <f>IF(NOT(AND($A475&lt;&gt;"",$C475&lt;&gt;"DOOR ONLY")),"",MAX($BT$5:BT474)+1)</f>
        <v/>
      </c>
      <c r="BU475" s="49">
        <f>IF(NOT(AND($A475&lt;&gt;"",N($BC475)&gt;0)),"",MAX($BU$5:BU474)+1)</f>
        <v/>
      </c>
      <c r="BV475" s="49">
        <f>IF(OR($A475="",$BA475="",$BB475=""),"",$AZ475&amp;"|"&amp;$O475&amp;"|"&amp;$AL475&amp;"|"&amp;$S475&amp;"|"&amp;$P475&amp;"|"&amp;$Q475&amp;$R475&amp;"|"&amp;$C475&amp;"|"&amp;$AB475)</f>
        <v/>
      </c>
      <c r="BW475" s="49">
        <f>IF($A475="","",IF($B475="","qty, ","")&amp;IF($C475="","scope, ","")&amp;IF(OR($K475="",$M475=""),"size, ","")&amp;IF(AND($A475&lt;&gt;"",$C475&lt;&gt;"DOOR ONLY"),IF($U475="","jamb depth, ","")&amp;IF($X475="","construction, ","")&amp;IF($Y475="","anchor, ","")&amp;IF($S475="","frame type, ",""),"")&amp;IF(AND(N($BC475)&gt;0,$Z475=""),"hand, ","")&amp;IF(N($BC475)&gt;0,IF($AH475="","door material, ","")&amp;IF($AL475="","face type, ","")&amp;IF($AQ475="","lock prep, ","")&amp;IF(AND($AP475="",$AC475=""),"hinge prep, ",""),"")&amp;IF(AND($BO475&gt;0,$AH475="FRP"),"FRP cannot carry a label, ","")&amp;IF(AND($O475="Y",OR($Z475="L",$Z475="R",$Z475="LR",$Z475="RR")),"pair marked but hand is single, ","")&amp;IF(AND($O475&lt;&gt;"Y",OR($Z475="PR",AND(LEN($Z475)&gt;1,ISNUMBER(SEARCH("-",$Z475))))),"pair hand on a single door, ","")&amp;IF(AND(ISNUMBER($BP475),$BO475&lt;N($BP475)),"wall needs a "&amp;$BP475&amp;" min door, ","")&amp;IF(AND($BO475&gt;=180,AND(OR($BL475="FG",$BL475="HG",$BL475="FNV",$BL475="FV"),N($BM475)*N($BN475)&gt;100)),"180 min lite over 100 sq in, ","")&amp;IF(N($BD475)&gt;48,"leaf wider than 4'-0"&amp;CHAR(34)&amp;", ",""))</f>
        <v/>
      </c>
      <c r="BX475" s="49">
        <f>IF($A475="","",IF(AND($BO475&gt;0,AND($A475&lt;&gt;"",$C475&lt;&gt;"DOOR ONLY"),$X475="KD",$E475="EXTERIOR"),"KD label on an exterior opening, ","")&amp;IF(AND($E475="EXTERIOR",OR(AND(AND($A475&lt;&gt;"",$C475&lt;&gt;"DOOR ONLY"),$W475="CR"),AND(N($BC475)&gt;0,$AH475="CR"))),"exterior in CR steel (G9?), ","")&amp;IF(AND(ISNUMBER($BJ475),N($BJ475)&lt;32),"clear width ~"&amp;TEXT($BJ475,"0.0")&amp;CHAR(34)&amp;" under 32"&amp;CHAR(34)&amp;" (ADA), ","")&amp;IF(AND($BO475=90,AND(OR($BL475="FG",$BL475="HG",$BL475="FNV",$BL475="FV"),N($BM475)*N($BN475)&gt;100)),"90 min lite over 100 sq in (stair/exit), ","")&amp;IF(AND($BO475&gt;0,AND($A475&lt;&gt;"",$C475&lt;&gt;"DOOR ONLY"),OR($AF475="",$AF475="-")),"rated: closer reinf.?, ","")&amp;IF(OR($I475="CORRIDOR",$I475="SMOKE BARRIER"),"S label + smoke gasketing, ","")&amp;IF($BP475="?","wall type/hr not in IBC table, ","")&amp;IF(AND(N($BC475)&gt;0,$AU475=""),"no hardware set, ","")&amp;IF(AND($AU475&lt;&gt;"",ISNA(MATCH($AU475,HWSets,0))),"set "&amp;$AU475&amp;" not on Hardware sheet, ","")&amp;IF(N($BE475)&gt;96,"leaf over 8'-0"&amp;CHAR(34)&amp;" - check listing, ",""))</f>
        <v/>
      </c>
    </row>
    <row r="476" ht="15" customHeight="1">
      <c r="A476" s="44" t="n"/>
      <c r="B476" s="45" t="n"/>
      <c r="C476" s="45" t="n"/>
      <c r="D476" s="45" t="n"/>
      <c r="E476" s="45" t="n"/>
      <c r="F476" s="45" t="n"/>
      <c r="G476" s="45" t="n"/>
      <c r="H476" s="45" t="n"/>
      <c r="I476" s="45" t="n"/>
      <c r="J476" s="45" t="n"/>
      <c r="K476" s="45" t="n"/>
      <c r="L476" s="45" t="n"/>
      <c r="M476" s="45" t="n"/>
      <c r="N476" s="45" t="n"/>
      <c r="O476" s="45" t="n"/>
      <c r="P476" s="45" t="n"/>
      <c r="Q476" s="45" t="n"/>
      <c r="R476" s="45" t="n"/>
      <c r="S476" s="46" t="n"/>
      <c r="T476" s="46" t="n"/>
      <c r="U476" s="46" t="n"/>
      <c r="V476" s="46" t="n"/>
      <c r="W476" s="46" t="n"/>
      <c r="X476" s="46" t="n"/>
      <c r="Y476" s="46" t="n"/>
      <c r="Z476" s="46" t="n"/>
      <c r="AA476" s="46" t="n"/>
      <c r="AB476" s="46" t="n"/>
      <c r="AC476" s="46" t="n"/>
      <c r="AD476" s="46" t="n"/>
      <c r="AE476" s="46" t="n"/>
      <c r="AF476" s="46" t="n"/>
      <c r="AG476" s="46" t="n"/>
      <c r="AH476" s="47" t="n"/>
      <c r="AI476" s="47" t="n"/>
      <c r="AJ476" s="47" t="n"/>
      <c r="AK476" s="47" t="n"/>
      <c r="AL476" s="47" t="n"/>
      <c r="AM476" s="47" t="n"/>
      <c r="AN476" s="47" t="n"/>
      <c r="AO476" s="47" t="n"/>
      <c r="AP476" s="47" t="n"/>
      <c r="AQ476" s="47" t="n"/>
      <c r="AR476" s="47" t="n"/>
      <c r="AS476" s="47" t="n"/>
      <c r="AT476" s="47" t="n"/>
      <c r="AU476" s="48" t="n"/>
      <c r="AV476" s="48" t="n"/>
      <c r="AW476" s="49">
        <f>IF($A476="","",IF($BW476&lt;&gt;"","FIX",IF($BX476&lt;&gt;"","CHECK","OK")))</f>
        <v/>
      </c>
      <c r="AX476" s="50">
        <f>IF($A476="","",IF($BW476&lt;&gt;"","FIX: "&amp;LEFT($BW476,LEN($BW476)-2)&amp;IF($BX476&lt;&gt;"","  ·  ",""),"")&amp;IF($BX476&lt;&gt;"","CHECK: "&amp;LEFT($BX476,LEN($BX476)-2),""))</f>
        <v/>
      </c>
      <c r="AY476" s="49">
        <f>IF(OR($A476="",$K476=""),"",$K476&amp;"'-"&amp;N($L476)&amp;CHAR(34)&amp;" x "&amp;$M476&amp;"'-"&amp;N($N476)&amp;CHAR(34))</f>
        <v/>
      </c>
      <c r="AZ476" s="49">
        <f>IF(OR($A476="",$K476=""),"",$K476&amp;N($L476)&amp;$M476&amp;N($N476))</f>
        <v/>
      </c>
      <c r="BA476" s="49">
        <f>IF(OR($A476="",$K476=""),"",$K476*12+N($L476))</f>
        <v/>
      </c>
      <c r="BB476" s="49">
        <f>IF(OR($A476="",$M476=""),"",$M476*12+N($N476))</f>
        <v/>
      </c>
      <c r="BC476" s="49">
        <f>IF($A476="","",IF(OR($C476="FRAME ONLY",$S476="BL"),0,IF($O476="Y",2,1)))</f>
        <v/>
      </c>
      <c r="BD476" s="51">
        <f>IF(OR(N($BC476)=0,$BA476=""),"",($BA476-2*EdgeClr-IF($BC476=2,MeetClr,0))/$BC476)</f>
        <v/>
      </c>
      <c r="BE476" s="51">
        <f>IF(OR(N($BC476)=0,$BB476=""),"",$BB476-HeadClr-Undercut)</f>
        <v/>
      </c>
      <c r="BF476" s="51">
        <f>IF($BA476="","",$BA476+2*FaceW+IF(N($Q476)&gt;0,($Q476+FaceW)*IF($R476="LR",2,1),0))</f>
        <v/>
      </c>
      <c r="BG476" s="51">
        <f>IF($BB476="","",$BB476+IF($AB476="Y",4,FaceW)+IF(N($P476)&gt;0,$P476+FaceW,0)+IF(OR($S476="4F",$S476="BL"),FaceW,0))</f>
        <v/>
      </c>
      <c r="BH476" s="51">
        <f>IF($BF476="","",$BF476+2*ROSide)</f>
        <v/>
      </c>
      <c r="BI476" s="51">
        <f>IF($BG476="","",$BG476+ROTop)</f>
        <v/>
      </c>
      <c r="BJ476" s="52">
        <f>IF(OR(N($BC476)=0,$BA476=""),"",$BA476/$BC476-ClearDeduct)</f>
        <v/>
      </c>
      <c r="BK476" s="49">
        <f>IF(OR(N($BC476)=0,$BE476=""),"",IF(OR($AC476="HGC",$AP476="HGC"),"CONT",IF($BE476&lt;=60,2,IF($BE476&lt;=90,3,IF($BE476&lt;=120,4,5)))))</f>
        <v/>
      </c>
      <c r="BL476" s="49">
        <f>IF(N($BC476)=0,"",IF(OR($AL476="",$AL476="FLUSH"),"FLUSH",IFERROR(LEFT($AL476,FIND("-",$AL476)-1),LEFT($AL476,2))))</f>
        <v/>
      </c>
      <c r="BM476" s="49">
        <f>IF($BL476="","",IFERROR(VALUE(MID($AL476,FIND("-",$AL476)+1,FIND(CHAR(34)&amp;"x",$AL476)-FIND("-",$AL476)-1)),0))</f>
        <v/>
      </c>
      <c r="BN476" s="49">
        <f>IF($BL476="","",IFERROR(VALUE(MID($AL476,FIND(CHAR(34)&amp;"x",$AL476)+2,FIND(CHAR(34),$AL476,FIND(CHAR(34)&amp;"x",$AL476)+2)-FIND(CHAR(34)&amp;"x",$AL476)-2)),0))</f>
        <v/>
      </c>
      <c r="BO476" s="53">
        <f>IF(OR($A476="",$H476="",$H476="NO LAB"),0,IFERROR(VALUE(LEFT($H476,FIND(" ",$H476)-1)),0))</f>
        <v/>
      </c>
      <c r="BP476" s="54">
        <f>IF(OR($A476="",$I476="",$I476="NON-RATED",N($J476)=0),"",IFERROR(VLOOKUP($I476&amp;"|"&amp;$J476,IBC,2,FALSE),"?"))</f>
        <v/>
      </c>
      <c r="BQ476" s="50">
        <f>IF(NOT(AND($A476&lt;&gt;"",$C476&lt;&gt;"DOOR ONLY")),"",TRIM(IFERROR(VLOOKUP($U476,CODES,2,FALSE),"")&amp;" "&amp;$AZ476&amp;" "&amp;IFERROR(VLOOKUP($Z476,CODES,2,FALSE),"")&amp;" "&amp;IFERROR(VLOOKUP($X476,CODES,2,FALSE),"")&amp;" "&amp;IFERROR(VLOOKUP($S476,CODES,2,FALSE),"")&amp;IF(N($P476)&gt;0," w/TRANSOM "&amp;$P476&amp;CHAR(34),"")&amp;IF(N($Q476)&gt;0," w/SIDELITE "&amp;$Q476&amp;CHAR(34)&amp;" "&amp;IF($R476="","R",$R476),"")&amp;IF($Y476="","  |  "," | "&amp;IFERROR(VLOOKUP($Y476,CODES,2,FALSE),"")&amp;" | ")&amp;IFERROR(VLOOKUP($AC476,CODES,2,FALSE),"")&amp;" "&amp;IFERROR(VLOOKUP($AD476,CODES,2,FALSE),"")&amp;IF(OR($AE476="",$AE476="-"),""," "&amp;$AE476)&amp;IF(OR($AF476="",$AF476="-"),""," "&amp;$AF476)&amp;IF($AB476="Y"," 4"&amp;CHAR(34)&amp;" HEAD","")&amp;" "&amp;IFERROR(VLOOKUP($H476,CODES,2,FALSE),"")))</f>
        <v/>
      </c>
      <c r="BR476" s="50">
        <f>IF(NOT(AND($A476&lt;&gt;"",N($BC476)&gt;0)),"",TRIM(IFERROR(VLOOKUP($AH476,CODES,2,FALSE),"")&amp;IF($AI476=""," "," "&amp;$AI476&amp;"GA ")&amp;$AZ476&amp;" "&amp;IF($AN476="",IFERROR(VLOOKUP($Z476,CODES,2,FALSE),""),IFERROR(VLOOKUP($AN476,CODES,2,FALSE),""))&amp;IF($BC476=2," PAIR","")&amp;" DOOR | "&amp;IF($AL476="","?",$AL476)&amp;" | "&amp;IF($AP476="",IFERROR(VLOOKUP($AC476,CODES,2,FALSE),""),IFERROR(VLOOKUP($AP476,CODES,2,FALSE),""))&amp;" "&amp;IFERROR(VLOOKUP($AQ476,CODES,2,FALSE),"")&amp;IF(OR($AR476="",$AR476="-"),""," SEAM "&amp;$AR476)&amp;IF($AS476="Y"," ASTRAGAL","")&amp;IF($AJ476=""," "," "&amp;$AJ476)&amp;IF($AK476=""," "," "&amp;$AK476)&amp;IF($AO476="",""," "&amp;$AO476)&amp;IF($AM476=""," "," SERIES "&amp;$AM476)&amp;" "&amp;IFERROR(VLOOKUP($H476,CODES,2,FALSE),"")))</f>
        <v/>
      </c>
      <c r="BS476" s="49">
        <f>IF(BV476="","",IF(COUNTIF($BV$6:BV476,BV476)=1,MAX($BS$5:BS475)+1,INDEX($BS$5:BS475,MATCH(BV476,$BV$5:BV475,0))))</f>
        <v/>
      </c>
      <c r="BT476" s="49">
        <f>IF(NOT(AND($A476&lt;&gt;"",$C476&lt;&gt;"DOOR ONLY")),"",MAX($BT$5:BT475)+1)</f>
        <v/>
      </c>
      <c r="BU476" s="49">
        <f>IF(NOT(AND($A476&lt;&gt;"",N($BC476)&gt;0)),"",MAX($BU$5:BU475)+1)</f>
        <v/>
      </c>
      <c r="BV476" s="49">
        <f>IF(OR($A476="",$BA476="",$BB476=""),"",$AZ476&amp;"|"&amp;$O476&amp;"|"&amp;$AL476&amp;"|"&amp;$S476&amp;"|"&amp;$P476&amp;"|"&amp;$Q476&amp;$R476&amp;"|"&amp;$C476&amp;"|"&amp;$AB476)</f>
        <v/>
      </c>
      <c r="BW476" s="49">
        <f>IF($A476="","",IF($B476="","qty, ","")&amp;IF($C476="","scope, ","")&amp;IF(OR($K476="",$M476=""),"size, ","")&amp;IF(AND($A476&lt;&gt;"",$C476&lt;&gt;"DOOR ONLY"),IF($U476="","jamb depth, ","")&amp;IF($X476="","construction, ","")&amp;IF($Y476="","anchor, ","")&amp;IF($S476="","frame type, ",""),"")&amp;IF(AND(N($BC476)&gt;0,$Z476=""),"hand, ","")&amp;IF(N($BC476)&gt;0,IF($AH476="","door material, ","")&amp;IF($AL476="","face type, ","")&amp;IF($AQ476="","lock prep, ","")&amp;IF(AND($AP476="",$AC476=""),"hinge prep, ",""),"")&amp;IF(AND($BO476&gt;0,$AH476="FRP"),"FRP cannot carry a label, ","")&amp;IF(AND($O476="Y",OR($Z476="L",$Z476="R",$Z476="LR",$Z476="RR")),"pair marked but hand is single, ","")&amp;IF(AND($O476&lt;&gt;"Y",OR($Z476="PR",AND(LEN($Z476)&gt;1,ISNUMBER(SEARCH("-",$Z476))))),"pair hand on a single door, ","")&amp;IF(AND(ISNUMBER($BP476),$BO476&lt;N($BP476)),"wall needs a "&amp;$BP476&amp;" min door, ","")&amp;IF(AND($BO476&gt;=180,AND(OR($BL476="FG",$BL476="HG",$BL476="FNV",$BL476="FV"),N($BM476)*N($BN476)&gt;100)),"180 min lite over 100 sq in, ","")&amp;IF(N($BD476)&gt;48,"leaf wider than 4'-0"&amp;CHAR(34)&amp;", ",""))</f>
        <v/>
      </c>
      <c r="BX476" s="49">
        <f>IF($A476="","",IF(AND($BO476&gt;0,AND($A476&lt;&gt;"",$C476&lt;&gt;"DOOR ONLY"),$X476="KD",$E476="EXTERIOR"),"KD label on an exterior opening, ","")&amp;IF(AND($E476="EXTERIOR",OR(AND(AND($A476&lt;&gt;"",$C476&lt;&gt;"DOOR ONLY"),$W476="CR"),AND(N($BC476)&gt;0,$AH476="CR"))),"exterior in CR steel (G9?), ","")&amp;IF(AND(ISNUMBER($BJ476),N($BJ476)&lt;32),"clear width ~"&amp;TEXT($BJ476,"0.0")&amp;CHAR(34)&amp;" under 32"&amp;CHAR(34)&amp;" (ADA), ","")&amp;IF(AND($BO476=90,AND(OR($BL476="FG",$BL476="HG",$BL476="FNV",$BL476="FV"),N($BM476)*N($BN476)&gt;100)),"90 min lite over 100 sq in (stair/exit), ","")&amp;IF(AND($BO476&gt;0,AND($A476&lt;&gt;"",$C476&lt;&gt;"DOOR ONLY"),OR($AF476="",$AF476="-")),"rated: closer reinf.?, ","")&amp;IF(OR($I476="CORRIDOR",$I476="SMOKE BARRIER"),"S label + smoke gasketing, ","")&amp;IF($BP476="?","wall type/hr not in IBC table, ","")&amp;IF(AND(N($BC476)&gt;0,$AU476=""),"no hardware set, ","")&amp;IF(AND($AU476&lt;&gt;"",ISNA(MATCH($AU476,HWSets,0))),"set "&amp;$AU476&amp;" not on Hardware sheet, ","")&amp;IF(N($BE476)&gt;96,"leaf over 8'-0"&amp;CHAR(34)&amp;" - check listing, ",""))</f>
        <v/>
      </c>
    </row>
    <row r="477" ht="15" customHeight="1">
      <c r="A477" s="44" t="n"/>
      <c r="B477" s="45" t="n"/>
      <c r="C477" s="45" t="n"/>
      <c r="D477" s="45" t="n"/>
      <c r="E477" s="45" t="n"/>
      <c r="F477" s="45" t="n"/>
      <c r="G477" s="45" t="n"/>
      <c r="H477" s="45" t="n"/>
      <c r="I477" s="45" t="n"/>
      <c r="J477" s="45" t="n"/>
      <c r="K477" s="45" t="n"/>
      <c r="L477" s="45" t="n"/>
      <c r="M477" s="45" t="n"/>
      <c r="N477" s="45" t="n"/>
      <c r="O477" s="45" t="n"/>
      <c r="P477" s="45" t="n"/>
      <c r="Q477" s="45" t="n"/>
      <c r="R477" s="45" t="n"/>
      <c r="S477" s="46" t="n"/>
      <c r="T477" s="46" t="n"/>
      <c r="U477" s="46" t="n"/>
      <c r="V477" s="46" t="n"/>
      <c r="W477" s="46" t="n"/>
      <c r="X477" s="46" t="n"/>
      <c r="Y477" s="46" t="n"/>
      <c r="Z477" s="46" t="n"/>
      <c r="AA477" s="46" t="n"/>
      <c r="AB477" s="46" t="n"/>
      <c r="AC477" s="46" t="n"/>
      <c r="AD477" s="46" t="n"/>
      <c r="AE477" s="46" t="n"/>
      <c r="AF477" s="46" t="n"/>
      <c r="AG477" s="46" t="n"/>
      <c r="AH477" s="47" t="n"/>
      <c r="AI477" s="47" t="n"/>
      <c r="AJ477" s="47" t="n"/>
      <c r="AK477" s="47" t="n"/>
      <c r="AL477" s="47" t="n"/>
      <c r="AM477" s="47" t="n"/>
      <c r="AN477" s="47" t="n"/>
      <c r="AO477" s="47" t="n"/>
      <c r="AP477" s="47" t="n"/>
      <c r="AQ477" s="47" t="n"/>
      <c r="AR477" s="47" t="n"/>
      <c r="AS477" s="47" t="n"/>
      <c r="AT477" s="47" t="n"/>
      <c r="AU477" s="48" t="n"/>
      <c r="AV477" s="48" t="n"/>
      <c r="AW477" s="49">
        <f>IF($A477="","",IF($BW477&lt;&gt;"","FIX",IF($BX477&lt;&gt;"","CHECK","OK")))</f>
        <v/>
      </c>
      <c r="AX477" s="50">
        <f>IF($A477="","",IF($BW477&lt;&gt;"","FIX: "&amp;LEFT($BW477,LEN($BW477)-2)&amp;IF($BX477&lt;&gt;"","  ·  ",""),"")&amp;IF($BX477&lt;&gt;"","CHECK: "&amp;LEFT($BX477,LEN($BX477)-2),""))</f>
        <v/>
      </c>
      <c r="AY477" s="49">
        <f>IF(OR($A477="",$K477=""),"",$K477&amp;"'-"&amp;N($L477)&amp;CHAR(34)&amp;" x "&amp;$M477&amp;"'-"&amp;N($N477)&amp;CHAR(34))</f>
        <v/>
      </c>
      <c r="AZ477" s="49">
        <f>IF(OR($A477="",$K477=""),"",$K477&amp;N($L477)&amp;$M477&amp;N($N477))</f>
        <v/>
      </c>
      <c r="BA477" s="49">
        <f>IF(OR($A477="",$K477=""),"",$K477*12+N($L477))</f>
        <v/>
      </c>
      <c r="BB477" s="49">
        <f>IF(OR($A477="",$M477=""),"",$M477*12+N($N477))</f>
        <v/>
      </c>
      <c r="BC477" s="49">
        <f>IF($A477="","",IF(OR($C477="FRAME ONLY",$S477="BL"),0,IF($O477="Y",2,1)))</f>
        <v/>
      </c>
      <c r="BD477" s="51">
        <f>IF(OR(N($BC477)=0,$BA477=""),"",($BA477-2*EdgeClr-IF($BC477=2,MeetClr,0))/$BC477)</f>
        <v/>
      </c>
      <c r="BE477" s="51">
        <f>IF(OR(N($BC477)=0,$BB477=""),"",$BB477-HeadClr-Undercut)</f>
        <v/>
      </c>
      <c r="BF477" s="51">
        <f>IF($BA477="","",$BA477+2*FaceW+IF(N($Q477)&gt;0,($Q477+FaceW)*IF($R477="LR",2,1),0))</f>
        <v/>
      </c>
      <c r="BG477" s="51">
        <f>IF($BB477="","",$BB477+IF($AB477="Y",4,FaceW)+IF(N($P477)&gt;0,$P477+FaceW,0)+IF(OR($S477="4F",$S477="BL"),FaceW,0))</f>
        <v/>
      </c>
      <c r="BH477" s="51">
        <f>IF($BF477="","",$BF477+2*ROSide)</f>
        <v/>
      </c>
      <c r="BI477" s="51">
        <f>IF($BG477="","",$BG477+ROTop)</f>
        <v/>
      </c>
      <c r="BJ477" s="52">
        <f>IF(OR(N($BC477)=0,$BA477=""),"",$BA477/$BC477-ClearDeduct)</f>
        <v/>
      </c>
      <c r="BK477" s="49">
        <f>IF(OR(N($BC477)=0,$BE477=""),"",IF(OR($AC477="HGC",$AP477="HGC"),"CONT",IF($BE477&lt;=60,2,IF($BE477&lt;=90,3,IF($BE477&lt;=120,4,5)))))</f>
        <v/>
      </c>
      <c r="BL477" s="49">
        <f>IF(N($BC477)=0,"",IF(OR($AL477="",$AL477="FLUSH"),"FLUSH",IFERROR(LEFT($AL477,FIND("-",$AL477)-1),LEFT($AL477,2))))</f>
        <v/>
      </c>
      <c r="BM477" s="49">
        <f>IF($BL477="","",IFERROR(VALUE(MID($AL477,FIND("-",$AL477)+1,FIND(CHAR(34)&amp;"x",$AL477)-FIND("-",$AL477)-1)),0))</f>
        <v/>
      </c>
      <c r="BN477" s="49">
        <f>IF($BL477="","",IFERROR(VALUE(MID($AL477,FIND(CHAR(34)&amp;"x",$AL477)+2,FIND(CHAR(34),$AL477,FIND(CHAR(34)&amp;"x",$AL477)+2)-FIND(CHAR(34)&amp;"x",$AL477)-2)),0))</f>
        <v/>
      </c>
      <c r="BO477" s="53">
        <f>IF(OR($A477="",$H477="",$H477="NO LAB"),0,IFERROR(VALUE(LEFT($H477,FIND(" ",$H477)-1)),0))</f>
        <v/>
      </c>
      <c r="BP477" s="54">
        <f>IF(OR($A477="",$I477="",$I477="NON-RATED",N($J477)=0),"",IFERROR(VLOOKUP($I477&amp;"|"&amp;$J477,IBC,2,FALSE),"?"))</f>
        <v/>
      </c>
      <c r="BQ477" s="50">
        <f>IF(NOT(AND($A477&lt;&gt;"",$C477&lt;&gt;"DOOR ONLY")),"",TRIM(IFERROR(VLOOKUP($U477,CODES,2,FALSE),"")&amp;" "&amp;$AZ477&amp;" "&amp;IFERROR(VLOOKUP($Z477,CODES,2,FALSE),"")&amp;" "&amp;IFERROR(VLOOKUP($X477,CODES,2,FALSE),"")&amp;" "&amp;IFERROR(VLOOKUP($S477,CODES,2,FALSE),"")&amp;IF(N($P477)&gt;0," w/TRANSOM "&amp;$P477&amp;CHAR(34),"")&amp;IF(N($Q477)&gt;0," w/SIDELITE "&amp;$Q477&amp;CHAR(34)&amp;" "&amp;IF($R477="","R",$R477),"")&amp;IF($Y477="","  |  "," | "&amp;IFERROR(VLOOKUP($Y477,CODES,2,FALSE),"")&amp;" | ")&amp;IFERROR(VLOOKUP($AC477,CODES,2,FALSE),"")&amp;" "&amp;IFERROR(VLOOKUP($AD477,CODES,2,FALSE),"")&amp;IF(OR($AE477="",$AE477="-"),""," "&amp;$AE477)&amp;IF(OR($AF477="",$AF477="-"),""," "&amp;$AF477)&amp;IF($AB477="Y"," 4"&amp;CHAR(34)&amp;" HEAD","")&amp;" "&amp;IFERROR(VLOOKUP($H477,CODES,2,FALSE),"")))</f>
        <v/>
      </c>
      <c r="BR477" s="50">
        <f>IF(NOT(AND($A477&lt;&gt;"",N($BC477)&gt;0)),"",TRIM(IFERROR(VLOOKUP($AH477,CODES,2,FALSE),"")&amp;IF($AI477=""," "," "&amp;$AI477&amp;"GA ")&amp;$AZ477&amp;" "&amp;IF($AN477="",IFERROR(VLOOKUP($Z477,CODES,2,FALSE),""),IFERROR(VLOOKUP($AN477,CODES,2,FALSE),""))&amp;IF($BC477=2," PAIR","")&amp;" DOOR | "&amp;IF($AL477="","?",$AL477)&amp;" | "&amp;IF($AP477="",IFERROR(VLOOKUP($AC477,CODES,2,FALSE),""),IFERROR(VLOOKUP($AP477,CODES,2,FALSE),""))&amp;" "&amp;IFERROR(VLOOKUP($AQ477,CODES,2,FALSE),"")&amp;IF(OR($AR477="",$AR477="-"),""," SEAM "&amp;$AR477)&amp;IF($AS477="Y"," ASTRAGAL","")&amp;IF($AJ477=""," "," "&amp;$AJ477)&amp;IF($AK477=""," "," "&amp;$AK477)&amp;IF($AO477="",""," "&amp;$AO477)&amp;IF($AM477=""," "," SERIES "&amp;$AM477)&amp;" "&amp;IFERROR(VLOOKUP($H477,CODES,2,FALSE),"")))</f>
        <v/>
      </c>
      <c r="BS477" s="49">
        <f>IF(BV477="","",IF(COUNTIF($BV$6:BV477,BV477)=1,MAX($BS$5:BS476)+1,INDEX($BS$5:BS476,MATCH(BV477,$BV$5:BV476,0))))</f>
        <v/>
      </c>
      <c r="BT477" s="49">
        <f>IF(NOT(AND($A477&lt;&gt;"",$C477&lt;&gt;"DOOR ONLY")),"",MAX($BT$5:BT476)+1)</f>
        <v/>
      </c>
      <c r="BU477" s="49">
        <f>IF(NOT(AND($A477&lt;&gt;"",N($BC477)&gt;0)),"",MAX($BU$5:BU476)+1)</f>
        <v/>
      </c>
      <c r="BV477" s="49">
        <f>IF(OR($A477="",$BA477="",$BB477=""),"",$AZ477&amp;"|"&amp;$O477&amp;"|"&amp;$AL477&amp;"|"&amp;$S477&amp;"|"&amp;$P477&amp;"|"&amp;$Q477&amp;$R477&amp;"|"&amp;$C477&amp;"|"&amp;$AB477)</f>
        <v/>
      </c>
      <c r="BW477" s="49">
        <f>IF($A477="","",IF($B477="","qty, ","")&amp;IF($C477="","scope, ","")&amp;IF(OR($K477="",$M477=""),"size, ","")&amp;IF(AND($A477&lt;&gt;"",$C477&lt;&gt;"DOOR ONLY"),IF($U477="","jamb depth, ","")&amp;IF($X477="","construction, ","")&amp;IF($Y477="","anchor, ","")&amp;IF($S477="","frame type, ",""),"")&amp;IF(AND(N($BC477)&gt;0,$Z477=""),"hand, ","")&amp;IF(N($BC477)&gt;0,IF($AH477="","door material, ","")&amp;IF($AL477="","face type, ","")&amp;IF($AQ477="","lock prep, ","")&amp;IF(AND($AP477="",$AC477=""),"hinge prep, ",""),"")&amp;IF(AND($BO477&gt;0,$AH477="FRP"),"FRP cannot carry a label, ","")&amp;IF(AND($O477="Y",OR($Z477="L",$Z477="R",$Z477="LR",$Z477="RR")),"pair marked but hand is single, ","")&amp;IF(AND($O477&lt;&gt;"Y",OR($Z477="PR",AND(LEN($Z477)&gt;1,ISNUMBER(SEARCH("-",$Z477))))),"pair hand on a single door, ","")&amp;IF(AND(ISNUMBER($BP477),$BO477&lt;N($BP477)),"wall needs a "&amp;$BP477&amp;" min door, ","")&amp;IF(AND($BO477&gt;=180,AND(OR($BL477="FG",$BL477="HG",$BL477="FNV",$BL477="FV"),N($BM477)*N($BN477)&gt;100)),"180 min lite over 100 sq in, ","")&amp;IF(N($BD477)&gt;48,"leaf wider than 4'-0"&amp;CHAR(34)&amp;", ",""))</f>
        <v/>
      </c>
      <c r="BX477" s="49">
        <f>IF($A477="","",IF(AND($BO477&gt;0,AND($A477&lt;&gt;"",$C477&lt;&gt;"DOOR ONLY"),$X477="KD",$E477="EXTERIOR"),"KD label on an exterior opening, ","")&amp;IF(AND($E477="EXTERIOR",OR(AND(AND($A477&lt;&gt;"",$C477&lt;&gt;"DOOR ONLY"),$W477="CR"),AND(N($BC477)&gt;0,$AH477="CR"))),"exterior in CR steel (G9?), ","")&amp;IF(AND(ISNUMBER($BJ477),N($BJ477)&lt;32),"clear width ~"&amp;TEXT($BJ477,"0.0")&amp;CHAR(34)&amp;" under 32"&amp;CHAR(34)&amp;" (ADA), ","")&amp;IF(AND($BO477=90,AND(OR($BL477="FG",$BL477="HG",$BL477="FNV",$BL477="FV"),N($BM477)*N($BN477)&gt;100)),"90 min lite over 100 sq in (stair/exit), ","")&amp;IF(AND($BO477&gt;0,AND($A477&lt;&gt;"",$C477&lt;&gt;"DOOR ONLY"),OR($AF477="",$AF477="-")),"rated: closer reinf.?, ","")&amp;IF(OR($I477="CORRIDOR",$I477="SMOKE BARRIER"),"S label + smoke gasketing, ","")&amp;IF($BP477="?","wall type/hr not in IBC table, ","")&amp;IF(AND(N($BC477)&gt;0,$AU477=""),"no hardware set, ","")&amp;IF(AND($AU477&lt;&gt;"",ISNA(MATCH($AU477,HWSets,0))),"set "&amp;$AU477&amp;" not on Hardware sheet, ","")&amp;IF(N($BE477)&gt;96,"leaf over 8'-0"&amp;CHAR(34)&amp;" - check listing, ",""))</f>
        <v/>
      </c>
    </row>
    <row r="478" ht="15" customHeight="1">
      <c r="A478" s="44" t="n"/>
      <c r="B478" s="45" t="n"/>
      <c r="C478" s="45" t="n"/>
      <c r="D478" s="45" t="n"/>
      <c r="E478" s="45" t="n"/>
      <c r="F478" s="45" t="n"/>
      <c r="G478" s="45" t="n"/>
      <c r="H478" s="45" t="n"/>
      <c r="I478" s="45" t="n"/>
      <c r="J478" s="45" t="n"/>
      <c r="K478" s="45" t="n"/>
      <c r="L478" s="45" t="n"/>
      <c r="M478" s="45" t="n"/>
      <c r="N478" s="45" t="n"/>
      <c r="O478" s="45" t="n"/>
      <c r="P478" s="45" t="n"/>
      <c r="Q478" s="45" t="n"/>
      <c r="R478" s="45" t="n"/>
      <c r="S478" s="46" t="n"/>
      <c r="T478" s="46" t="n"/>
      <c r="U478" s="46" t="n"/>
      <c r="V478" s="46" t="n"/>
      <c r="W478" s="46" t="n"/>
      <c r="X478" s="46" t="n"/>
      <c r="Y478" s="46" t="n"/>
      <c r="Z478" s="46" t="n"/>
      <c r="AA478" s="46" t="n"/>
      <c r="AB478" s="46" t="n"/>
      <c r="AC478" s="46" t="n"/>
      <c r="AD478" s="46" t="n"/>
      <c r="AE478" s="46" t="n"/>
      <c r="AF478" s="46" t="n"/>
      <c r="AG478" s="46" t="n"/>
      <c r="AH478" s="47" t="n"/>
      <c r="AI478" s="47" t="n"/>
      <c r="AJ478" s="47" t="n"/>
      <c r="AK478" s="47" t="n"/>
      <c r="AL478" s="47" t="n"/>
      <c r="AM478" s="47" t="n"/>
      <c r="AN478" s="47" t="n"/>
      <c r="AO478" s="47" t="n"/>
      <c r="AP478" s="47" t="n"/>
      <c r="AQ478" s="47" t="n"/>
      <c r="AR478" s="47" t="n"/>
      <c r="AS478" s="47" t="n"/>
      <c r="AT478" s="47" t="n"/>
      <c r="AU478" s="48" t="n"/>
      <c r="AV478" s="48" t="n"/>
      <c r="AW478" s="49">
        <f>IF($A478="","",IF($BW478&lt;&gt;"","FIX",IF($BX478&lt;&gt;"","CHECK","OK")))</f>
        <v/>
      </c>
      <c r="AX478" s="50">
        <f>IF($A478="","",IF($BW478&lt;&gt;"","FIX: "&amp;LEFT($BW478,LEN($BW478)-2)&amp;IF($BX478&lt;&gt;"","  ·  ",""),"")&amp;IF($BX478&lt;&gt;"","CHECK: "&amp;LEFT($BX478,LEN($BX478)-2),""))</f>
        <v/>
      </c>
      <c r="AY478" s="49">
        <f>IF(OR($A478="",$K478=""),"",$K478&amp;"'-"&amp;N($L478)&amp;CHAR(34)&amp;" x "&amp;$M478&amp;"'-"&amp;N($N478)&amp;CHAR(34))</f>
        <v/>
      </c>
      <c r="AZ478" s="49">
        <f>IF(OR($A478="",$K478=""),"",$K478&amp;N($L478)&amp;$M478&amp;N($N478))</f>
        <v/>
      </c>
      <c r="BA478" s="49">
        <f>IF(OR($A478="",$K478=""),"",$K478*12+N($L478))</f>
        <v/>
      </c>
      <c r="BB478" s="49">
        <f>IF(OR($A478="",$M478=""),"",$M478*12+N($N478))</f>
        <v/>
      </c>
      <c r="BC478" s="49">
        <f>IF($A478="","",IF(OR($C478="FRAME ONLY",$S478="BL"),0,IF($O478="Y",2,1)))</f>
        <v/>
      </c>
      <c r="BD478" s="51">
        <f>IF(OR(N($BC478)=0,$BA478=""),"",($BA478-2*EdgeClr-IF($BC478=2,MeetClr,0))/$BC478)</f>
        <v/>
      </c>
      <c r="BE478" s="51">
        <f>IF(OR(N($BC478)=0,$BB478=""),"",$BB478-HeadClr-Undercut)</f>
        <v/>
      </c>
      <c r="BF478" s="51">
        <f>IF($BA478="","",$BA478+2*FaceW+IF(N($Q478)&gt;0,($Q478+FaceW)*IF($R478="LR",2,1),0))</f>
        <v/>
      </c>
      <c r="BG478" s="51">
        <f>IF($BB478="","",$BB478+IF($AB478="Y",4,FaceW)+IF(N($P478)&gt;0,$P478+FaceW,0)+IF(OR($S478="4F",$S478="BL"),FaceW,0))</f>
        <v/>
      </c>
      <c r="BH478" s="51">
        <f>IF($BF478="","",$BF478+2*ROSide)</f>
        <v/>
      </c>
      <c r="BI478" s="51">
        <f>IF($BG478="","",$BG478+ROTop)</f>
        <v/>
      </c>
      <c r="BJ478" s="52">
        <f>IF(OR(N($BC478)=0,$BA478=""),"",$BA478/$BC478-ClearDeduct)</f>
        <v/>
      </c>
      <c r="BK478" s="49">
        <f>IF(OR(N($BC478)=0,$BE478=""),"",IF(OR($AC478="HGC",$AP478="HGC"),"CONT",IF($BE478&lt;=60,2,IF($BE478&lt;=90,3,IF($BE478&lt;=120,4,5)))))</f>
        <v/>
      </c>
      <c r="BL478" s="49">
        <f>IF(N($BC478)=0,"",IF(OR($AL478="",$AL478="FLUSH"),"FLUSH",IFERROR(LEFT($AL478,FIND("-",$AL478)-1),LEFT($AL478,2))))</f>
        <v/>
      </c>
      <c r="BM478" s="49">
        <f>IF($BL478="","",IFERROR(VALUE(MID($AL478,FIND("-",$AL478)+1,FIND(CHAR(34)&amp;"x",$AL478)-FIND("-",$AL478)-1)),0))</f>
        <v/>
      </c>
      <c r="BN478" s="49">
        <f>IF($BL478="","",IFERROR(VALUE(MID($AL478,FIND(CHAR(34)&amp;"x",$AL478)+2,FIND(CHAR(34),$AL478,FIND(CHAR(34)&amp;"x",$AL478)+2)-FIND(CHAR(34)&amp;"x",$AL478)-2)),0))</f>
        <v/>
      </c>
      <c r="BO478" s="53">
        <f>IF(OR($A478="",$H478="",$H478="NO LAB"),0,IFERROR(VALUE(LEFT($H478,FIND(" ",$H478)-1)),0))</f>
        <v/>
      </c>
      <c r="BP478" s="54">
        <f>IF(OR($A478="",$I478="",$I478="NON-RATED",N($J478)=0),"",IFERROR(VLOOKUP($I478&amp;"|"&amp;$J478,IBC,2,FALSE),"?"))</f>
        <v/>
      </c>
      <c r="BQ478" s="50">
        <f>IF(NOT(AND($A478&lt;&gt;"",$C478&lt;&gt;"DOOR ONLY")),"",TRIM(IFERROR(VLOOKUP($U478,CODES,2,FALSE),"")&amp;" "&amp;$AZ478&amp;" "&amp;IFERROR(VLOOKUP($Z478,CODES,2,FALSE),"")&amp;" "&amp;IFERROR(VLOOKUP($X478,CODES,2,FALSE),"")&amp;" "&amp;IFERROR(VLOOKUP($S478,CODES,2,FALSE),"")&amp;IF(N($P478)&gt;0," w/TRANSOM "&amp;$P478&amp;CHAR(34),"")&amp;IF(N($Q478)&gt;0," w/SIDELITE "&amp;$Q478&amp;CHAR(34)&amp;" "&amp;IF($R478="","R",$R478),"")&amp;IF($Y478="","  |  "," | "&amp;IFERROR(VLOOKUP($Y478,CODES,2,FALSE),"")&amp;" | ")&amp;IFERROR(VLOOKUP($AC478,CODES,2,FALSE),"")&amp;" "&amp;IFERROR(VLOOKUP($AD478,CODES,2,FALSE),"")&amp;IF(OR($AE478="",$AE478="-"),""," "&amp;$AE478)&amp;IF(OR($AF478="",$AF478="-"),""," "&amp;$AF478)&amp;IF($AB478="Y"," 4"&amp;CHAR(34)&amp;" HEAD","")&amp;" "&amp;IFERROR(VLOOKUP($H478,CODES,2,FALSE),"")))</f>
        <v/>
      </c>
      <c r="BR478" s="50">
        <f>IF(NOT(AND($A478&lt;&gt;"",N($BC478)&gt;0)),"",TRIM(IFERROR(VLOOKUP($AH478,CODES,2,FALSE),"")&amp;IF($AI478=""," "," "&amp;$AI478&amp;"GA ")&amp;$AZ478&amp;" "&amp;IF($AN478="",IFERROR(VLOOKUP($Z478,CODES,2,FALSE),""),IFERROR(VLOOKUP($AN478,CODES,2,FALSE),""))&amp;IF($BC478=2," PAIR","")&amp;" DOOR | "&amp;IF($AL478="","?",$AL478)&amp;" | "&amp;IF($AP478="",IFERROR(VLOOKUP($AC478,CODES,2,FALSE),""),IFERROR(VLOOKUP($AP478,CODES,2,FALSE),""))&amp;" "&amp;IFERROR(VLOOKUP($AQ478,CODES,2,FALSE),"")&amp;IF(OR($AR478="",$AR478="-"),""," SEAM "&amp;$AR478)&amp;IF($AS478="Y"," ASTRAGAL","")&amp;IF($AJ478=""," "," "&amp;$AJ478)&amp;IF($AK478=""," "," "&amp;$AK478)&amp;IF($AO478="",""," "&amp;$AO478)&amp;IF($AM478=""," "," SERIES "&amp;$AM478)&amp;" "&amp;IFERROR(VLOOKUP($H478,CODES,2,FALSE),"")))</f>
        <v/>
      </c>
      <c r="BS478" s="49">
        <f>IF(BV478="","",IF(COUNTIF($BV$6:BV478,BV478)=1,MAX($BS$5:BS477)+1,INDEX($BS$5:BS477,MATCH(BV478,$BV$5:BV477,0))))</f>
        <v/>
      </c>
      <c r="BT478" s="49">
        <f>IF(NOT(AND($A478&lt;&gt;"",$C478&lt;&gt;"DOOR ONLY")),"",MAX($BT$5:BT477)+1)</f>
        <v/>
      </c>
      <c r="BU478" s="49">
        <f>IF(NOT(AND($A478&lt;&gt;"",N($BC478)&gt;0)),"",MAX($BU$5:BU477)+1)</f>
        <v/>
      </c>
      <c r="BV478" s="49">
        <f>IF(OR($A478="",$BA478="",$BB478=""),"",$AZ478&amp;"|"&amp;$O478&amp;"|"&amp;$AL478&amp;"|"&amp;$S478&amp;"|"&amp;$P478&amp;"|"&amp;$Q478&amp;$R478&amp;"|"&amp;$C478&amp;"|"&amp;$AB478)</f>
        <v/>
      </c>
      <c r="BW478" s="49">
        <f>IF($A478="","",IF($B478="","qty, ","")&amp;IF($C478="","scope, ","")&amp;IF(OR($K478="",$M478=""),"size, ","")&amp;IF(AND($A478&lt;&gt;"",$C478&lt;&gt;"DOOR ONLY"),IF($U478="","jamb depth, ","")&amp;IF($X478="","construction, ","")&amp;IF($Y478="","anchor, ","")&amp;IF($S478="","frame type, ",""),"")&amp;IF(AND(N($BC478)&gt;0,$Z478=""),"hand, ","")&amp;IF(N($BC478)&gt;0,IF($AH478="","door material, ","")&amp;IF($AL478="","face type, ","")&amp;IF($AQ478="","lock prep, ","")&amp;IF(AND($AP478="",$AC478=""),"hinge prep, ",""),"")&amp;IF(AND($BO478&gt;0,$AH478="FRP"),"FRP cannot carry a label, ","")&amp;IF(AND($O478="Y",OR($Z478="L",$Z478="R",$Z478="LR",$Z478="RR")),"pair marked but hand is single, ","")&amp;IF(AND($O478&lt;&gt;"Y",OR($Z478="PR",AND(LEN($Z478)&gt;1,ISNUMBER(SEARCH("-",$Z478))))),"pair hand on a single door, ","")&amp;IF(AND(ISNUMBER($BP478),$BO478&lt;N($BP478)),"wall needs a "&amp;$BP478&amp;" min door, ","")&amp;IF(AND($BO478&gt;=180,AND(OR($BL478="FG",$BL478="HG",$BL478="FNV",$BL478="FV"),N($BM478)*N($BN478)&gt;100)),"180 min lite over 100 sq in, ","")&amp;IF(N($BD478)&gt;48,"leaf wider than 4'-0"&amp;CHAR(34)&amp;", ",""))</f>
        <v/>
      </c>
      <c r="BX478" s="49">
        <f>IF($A478="","",IF(AND($BO478&gt;0,AND($A478&lt;&gt;"",$C478&lt;&gt;"DOOR ONLY"),$X478="KD",$E478="EXTERIOR"),"KD label on an exterior opening, ","")&amp;IF(AND($E478="EXTERIOR",OR(AND(AND($A478&lt;&gt;"",$C478&lt;&gt;"DOOR ONLY"),$W478="CR"),AND(N($BC478)&gt;0,$AH478="CR"))),"exterior in CR steel (G9?), ","")&amp;IF(AND(ISNUMBER($BJ478),N($BJ478)&lt;32),"clear width ~"&amp;TEXT($BJ478,"0.0")&amp;CHAR(34)&amp;" under 32"&amp;CHAR(34)&amp;" (ADA), ","")&amp;IF(AND($BO478=90,AND(OR($BL478="FG",$BL478="HG",$BL478="FNV",$BL478="FV"),N($BM478)*N($BN478)&gt;100)),"90 min lite over 100 sq in (stair/exit), ","")&amp;IF(AND($BO478&gt;0,AND($A478&lt;&gt;"",$C478&lt;&gt;"DOOR ONLY"),OR($AF478="",$AF478="-")),"rated: closer reinf.?, ","")&amp;IF(OR($I478="CORRIDOR",$I478="SMOKE BARRIER"),"S label + smoke gasketing, ","")&amp;IF($BP478="?","wall type/hr not in IBC table, ","")&amp;IF(AND(N($BC478)&gt;0,$AU478=""),"no hardware set, ","")&amp;IF(AND($AU478&lt;&gt;"",ISNA(MATCH($AU478,HWSets,0))),"set "&amp;$AU478&amp;" not on Hardware sheet, ","")&amp;IF(N($BE478)&gt;96,"leaf over 8'-0"&amp;CHAR(34)&amp;" - check listing, ",""))</f>
        <v/>
      </c>
    </row>
    <row r="479" ht="15" customHeight="1">
      <c r="A479" s="44" t="n"/>
      <c r="B479" s="45" t="n"/>
      <c r="C479" s="45" t="n"/>
      <c r="D479" s="45" t="n"/>
      <c r="E479" s="45" t="n"/>
      <c r="F479" s="45" t="n"/>
      <c r="G479" s="45" t="n"/>
      <c r="H479" s="45" t="n"/>
      <c r="I479" s="45" t="n"/>
      <c r="J479" s="45" t="n"/>
      <c r="K479" s="45" t="n"/>
      <c r="L479" s="45" t="n"/>
      <c r="M479" s="45" t="n"/>
      <c r="N479" s="45" t="n"/>
      <c r="O479" s="45" t="n"/>
      <c r="P479" s="45" t="n"/>
      <c r="Q479" s="45" t="n"/>
      <c r="R479" s="45" t="n"/>
      <c r="S479" s="46" t="n"/>
      <c r="T479" s="46" t="n"/>
      <c r="U479" s="46" t="n"/>
      <c r="V479" s="46" t="n"/>
      <c r="W479" s="46" t="n"/>
      <c r="X479" s="46" t="n"/>
      <c r="Y479" s="46" t="n"/>
      <c r="Z479" s="46" t="n"/>
      <c r="AA479" s="46" t="n"/>
      <c r="AB479" s="46" t="n"/>
      <c r="AC479" s="46" t="n"/>
      <c r="AD479" s="46" t="n"/>
      <c r="AE479" s="46" t="n"/>
      <c r="AF479" s="46" t="n"/>
      <c r="AG479" s="46" t="n"/>
      <c r="AH479" s="47" t="n"/>
      <c r="AI479" s="47" t="n"/>
      <c r="AJ479" s="47" t="n"/>
      <c r="AK479" s="47" t="n"/>
      <c r="AL479" s="47" t="n"/>
      <c r="AM479" s="47" t="n"/>
      <c r="AN479" s="47" t="n"/>
      <c r="AO479" s="47" t="n"/>
      <c r="AP479" s="47" t="n"/>
      <c r="AQ479" s="47" t="n"/>
      <c r="AR479" s="47" t="n"/>
      <c r="AS479" s="47" t="n"/>
      <c r="AT479" s="47" t="n"/>
      <c r="AU479" s="48" t="n"/>
      <c r="AV479" s="48" t="n"/>
      <c r="AW479" s="49">
        <f>IF($A479="","",IF($BW479&lt;&gt;"","FIX",IF($BX479&lt;&gt;"","CHECK","OK")))</f>
        <v/>
      </c>
      <c r="AX479" s="50">
        <f>IF($A479="","",IF($BW479&lt;&gt;"","FIX: "&amp;LEFT($BW479,LEN($BW479)-2)&amp;IF($BX479&lt;&gt;"","  ·  ",""),"")&amp;IF($BX479&lt;&gt;"","CHECK: "&amp;LEFT($BX479,LEN($BX479)-2),""))</f>
        <v/>
      </c>
      <c r="AY479" s="49">
        <f>IF(OR($A479="",$K479=""),"",$K479&amp;"'-"&amp;N($L479)&amp;CHAR(34)&amp;" x "&amp;$M479&amp;"'-"&amp;N($N479)&amp;CHAR(34))</f>
        <v/>
      </c>
      <c r="AZ479" s="49">
        <f>IF(OR($A479="",$K479=""),"",$K479&amp;N($L479)&amp;$M479&amp;N($N479))</f>
        <v/>
      </c>
      <c r="BA479" s="49">
        <f>IF(OR($A479="",$K479=""),"",$K479*12+N($L479))</f>
        <v/>
      </c>
      <c r="BB479" s="49">
        <f>IF(OR($A479="",$M479=""),"",$M479*12+N($N479))</f>
        <v/>
      </c>
      <c r="BC479" s="49">
        <f>IF($A479="","",IF(OR($C479="FRAME ONLY",$S479="BL"),0,IF($O479="Y",2,1)))</f>
        <v/>
      </c>
      <c r="BD479" s="51">
        <f>IF(OR(N($BC479)=0,$BA479=""),"",($BA479-2*EdgeClr-IF($BC479=2,MeetClr,0))/$BC479)</f>
        <v/>
      </c>
      <c r="BE479" s="51">
        <f>IF(OR(N($BC479)=0,$BB479=""),"",$BB479-HeadClr-Undercut)</f>
        <v/>
      </c>
      <c r="BF479" s="51">
        <f>IF($BA479="","",$BA479+2*FaceW+IF(N($Q479)&gt;0,($Q479+FaceW)*IF($R479="LR",2,1),0))</f>
        <v/>
      </c>
      <c r="BG479" s="51">
        <f>IF($BB479="","",$BB479+IF($AB479="Y",4,FaceW)+IF(N($P479)&gt;0,$P479+FaceW,0)+IF(OR($S479="4F",$S479="BL"),FaceW,0))</f>
        <v/>
      </c>
      <c r="BH479" s="51">
        <f>IF($BF479="","",$BF479+2*ROSide)</f>
        <v/>
      </c>
      <c r="BI479" s="51">
        <f>IF($BG479="","",$BG479+ROTop)</f>
        <v/>
      </c>
      <c r="BJ479" s="52">
        <f>IF(OR(N($BC479)=0,$BA479=""),"",$BA479/$BC479-ClearDeduct)</f>
        <v/>
      </c>
      <c r="BK479" s="49">
        <f>IF(OR(N($BC479)=0,$BE479=""),"",IF(OR($AC479="HGC",$AP479="HGC"),"CONT",IF($BE479&lt;=60,2,IF($BE479&lt;=90,3,IF($BE479&lt;=120,4,5)))))</f>
        <v/>
      </c>
      <c r="BL479" s="49">
        <f>IF(N($BC479)=0,"",IF(OR($AL479="",$AL479="FLUSH"),"FLUSH",IFERROR(LEFT($AL479,FIND("-",$AL479)-1),LEFT($AL479,2))))</f>
        <v/>
      </c>
      <c r="BM479" s="49">
        <f>IF($BL479="","",IFERROR(VALUE(MID($AL479,FIND("-",$AL479)+1,FIND(CHAR(34)&amp;"x",$AL479)-FIND("-",$AL479)-1)),0))</f>
        <v/>
      </c>
      <c r="BN479" s="49">
        <f>IF($BL479="","",IFERROR(VALUE(MID($AL479,FIND(CHAR(34)&amp;"x",$AL479)+2,FIND(CHAR(34),$AL479,FIND(CHAR(34)&amp;"x",$AL479)+2)-FIND(CHAR(34)&amp;"x",$AL479)-2)),0))</f>
        <v/>
      </c>
      <c r="BO479" s="53">
        <f>IF(OR($A479="",$H479="",$H479="NO LAB"),0,IFERROR(VALUE(LEFT($H479,FIND(" ",$H479)-1)),0))</f>
        <v/>
      </c>
      <c r="BP479" s="54">
        <f>IF(OR($A479="",$I479="",$I479="NON-RATED",N($J479)=0),"",IFERROR(VLOOKUP($I479&amp;"|"&amp;$J479,IBC,2,FALSE),"?"))</f>
        <v/>
      </c>
      <c r="BQ479" s="50">
        <f>IF(NOT(AND($A479&lt;&gt;"",$C479&lt;&gt;"DOOR ONLY")),"",TRIM(IFERROR(VLOOKUP($U479,CODES,2,FALSE),"")&amp;" "&amp;$AZ479&amp;" "&amp;IFERROR(VLOOKUP($Z479,CODES,2,FALSE),"")&amp;" "&amp;IFERROR(VLOOKUP($X479,CODES,2,FALSE),"")&amp;" "&amp;IFERROR(VLOOKUP($S479,CODES,2,FALSE),"")&amp;IF(N($P479)&gt;0," w/TRANSOM "&amp;$P479&amp;CHAR(34),"")&amp;IF(N($Q479)&gt;0," w/SIDELITE "&amp;$Q479&amp;CHAR(34)&amp;" "&amp;IF($R479="","R",$R479),"")&amp;IF($Y479="","  |  "," | "&amp;IFERROR(VLOOKUP($Y479,CODES,2,FALSE),"")&amp;" | ")&amp;IFERROR(VLOOKUP($AC479,CODES,2,FALSE),"")&amp;" "&amp;IFERROR(VLOOKUP($AD479,CODES,2,FALSE),"")&amp;IF(OR($AE479="",$AE479="-"),""," "&amp;$AE479)&amp;IF(OR($AF479="",$AF479="-"),""," "&amp;$AF479)&amp;IF($AB479="Y"," 4"&amp;CHAR(34)&amp;" HEAD","")&amp;" "&amp;IFERROR(VLOOKUP($H479,CODES,2,FALSE),"")))</f>
        <v/>
      </c>
      <c r="BR479" s="50">
        <f>IF(NOT(AND($A479&lt;&gt;"",N($BC479)&gt;0)),"",TRIM(IFERROR(VLOOKUP($AH479,CODES,2,FALSE),"")&amp;IF($AI479=""," "," "&amp;$AI479&amp;"GA ")&amp;$AZ479&amp;" "&amp;IF($AN479="",IFERROR(VLOOKUP($Z479,CODES,2,FALSE),""),IFERROR(VLOOKUP($AN479,CODES,2,FALSE),""))&amp;IF($BC479=2," PAIR","")&amp;" DOOR | "&amp;IF($AL479="","?",$AL479)&amp;" | "&amp;IF($AP479="",IFERROR(VLOOKUP($AC479,CODES,2,FALSE),""),IFERROR(VLOOKUP($AP479,CODES,2,FALSE),""))&amp;" "&amp;IFERROR(VLOOKUP($AQ479,CODES,2,FALSE),"")&amp;IF(OR($AR479="",$AR479="-"),""," SEAM "&amp;$AR479)&amp;IF($AS479="Y"," ASTRAGAL","")&amp;IF($AJ479=""," "," "&amp;$AJ479)&amp;IF($AK479=""," "," "&amp;$AK479)&amp;IF($AO479="",""," "&amp;$AO479)&amp;IF($AM479=""," "," SERIES "&amp;$AM479)&amp;" "&amp;IFERROR(VLOOKUP($H479,CODES,2,FALSE),"")))</f>
        <v/>
      </c>
      <c r="BS479" s="49">
        <f>IF(BV479="","",IF(COUNTIF($BV$6:BV479,BV479)=1,MAX($BS$5:BS478)+1,INDEX($BS$5:BS478,MATCH(BV479,$BV$5:BV478,0))))</f>
        <v/>
      </c>
      <c r="BT479" s="49">
        <f>IF(NOT(AND($A479&lt;&gt;"",$C479&lt;&gt;"DOOR ONLY")),"",MAX($BT$5:BT478)+1)</f>
        <v/>
      </c>
      <c r="BU479" s="49">
        <f>IF(NOT(AND($A479&lt;&gt;"",N($BC479)&gt;0)),"",MAX($BU$5:BU478)+1)</f>
        <v/>
      </c>
      <c r="BV479" s="49">
        <f>IF(OR($A479="",$BA479="",$BB479=""),"",$AZ479&amp;"|"&amp;$O479&amp;"|"&amp;$AL479&amp;"|"&amp;$S479&amp;"|"&amp;$P479&amp;"|"&amp;$Q479&amp;$R479&amp;"|"&amp;$C479&amp;"|"&amp;$AB479)</f>
        <v/>
      </c>
      <c r="BW479" s="49">
        <f>IF($A479="","",IF($B479="","qty, ","")&amp;IF($C479="","scope, ","")&amp;IF(OR($K479="",$M479=""),"size, ","")&amp;IF(AND($A479&lt;&gt;"",$C479&lt;&gt;"DOOR ONLY"),IF($U479="","jamb depth, ","")&amp;IF($X479="","construction, ","")&amp;IF($Y479="","anchor, ","")&amp;IF($S479="","frame type, ",""),"")&amp;IF(AND(N($BC479)&gt;0,$Z479=""),"hand, ","")&amp;IF(N($BC479)&gt;0,IF($AH479="","door material, ","")&amp;IF($AL479="","face type, ","")&amp;IF($AQ479="","lock prep, ","")&amp;IF(AND($AP479="",$AC479=""),"hinge prep, ",""),"")&amp;IF(AND($BO479&gt;0,$AH479="FRP"),"FRP cannot carry a label, ","")&amp;IF(AND($O479="Y",OR($Z479="L",$Z479="R",$Z479="LR",$Z479="RR")),"pair marked but hand is single, ","")&amp;IF(AND($O479&lt;&gt;"Y",OR($Z479="PR",AND(LEN($Z479)&gt;1,ISNUMBER(SEARCH("-",$Z479))))),"pair hand on a single door, ","")&amp;IF(AND(ISNUMBER($BP479),$BO479&lt;N($BP479)),"wall needs a "&amp;$BP479&amp;" min door, ","")&amp;IF(AND($BO479&gt;=180,AND(OR($BL479="FG",$BL479="HG",$BL479="FNV",$BL479="FV"),N($BM479)*N($BN479)&gt;100)),"180 min lite over 100 sq in, ","")&amp;IF(N($BD479)&gt;48,"leaf wider than 4'-0"&amp;CHAR(34)&amp;", ",""))</f>
        <v/>
      </c>
      <c r="BX479" s="49">
        <f>IF($A479="","",IF(AND($BO479&gt;0,AND($A479&lt;&gt;"",$C479&lt;&gt;"DOOR ONLY"),$X479="KD",$E479="EXTERIOR"),"KD label on an exterior opening, ","")&amp;IF(AND($E479="EXTERIOR",OR(AND(AND($A479&lt;&gt;"",$C479&lt;&gt;"DOOR ONLY"),$W479="CR"),AND(N($BC479)&gt;0,$AH479="CR"))),"exterior in CR steel (G9?), ","")&amp;IF(AND(ISNUMBER($BJ479),N($BJ479)&lt;32),"clear width ~"&amp;TEXT($BJ479,"0.0")&amp;CHAR(34)&amp;" under 32"&amp;CHAR(34)&amp;" (ADA), ","")&amp;IF(AND($BO479=90,AND(OR($BL479="FG",$BL479="HG",$BL479="FNV",$BL479="FV"),N($BM479)*N($BN479)&gt;100)),"90 min lite over 100 sq in (stair/exit), ","")&amp;IF(AND($BO479&gt;0,AND($A479&lt;&gt;"",$C479&lt;&gt;"DOOR ONLY"),OR($AF479="",$AF479="-")),"rated: closer reinf.?, ","")&amp;IF(OR($I479="CORRIDOR",$I479="SMOKE BARRIER"),"S label + smoke gasketing, ","")&amp;IF($BP479="?","wall type/hr not in IBC table, ","")&amp;IF(AND(N($BC479)&gt;0,$AU479=""),"no hardware set, ","")&amp;IF(AND($AU479&lt;&gt;"",ISNA(MATCH($AU479,HWSets,0))),"set "&amp;$AU479&amp;" not on Hardware sheet, ","")&amp;IF(N($BE479)&gt;96,"leaf over 8'-0"&amp;CHAR(34)&amp;" - check listing, ",""))</f>
        <v/>
      </c>
    </row>
    <row r="480" ht="15" customHeight="1">
      <c r="A480" s="44" t="n"/>
      <c r="B480" s="45" t="n"/>
      <c r="C480" s="45" t="n"/>
      <c r="D480" s="45" t="n"/>
      <c r="E480" s="45" t="n"/>
      <c r="F480" s="45" t="n"/>
      <c r="G480" s="45" t="n"/>
      <c r="H480" s="45" t="n"/>
      <c r="I480" s="45" t="n"/>
      <c r="J480" s="45" t="n"/>
      <c r="K480" s="45" t="n"/>
      <c r="L480" s="45" t="n"/>
      <c r="M480" s="45" t="n"/>
      <c r="N480" s="45" t="n"/>
      <c r="O480" s="45" t="n"/>
      <c r="P480" s="45" t="n"/>
      <c r="Q480" s="45" t="n"/>
      <c r="R480" s="45" t="n"/>
      <c r="S480" s="46" t="n"/>
      <c r="T480" s="46" t="n"/>
      <c r="U480" s="46" t="n"/>
      <c r="V480" s="46" t="n"/>
      <c r="W480" s="46" t="n"/>
      <c r="X480" s="46" t="n"/>
      <c r="Y480" s="46" t="n"/>
      <c r="Z480" s="46" t="n"/>
      <c r="AA480" s="46" t="n"/>
      <c r="AB480" s="46" t="n"/>
      <c r="AC480" s="46" t="n"/>
      <c r="AD480" s="46" t="n"/>
      <c r="AE480" s="46" t="n"/>
      <c r="AF480" s="46" t="n"/>
      <c r="AG480" s="46" t="n"/>
      <c r="AH480" s="47" t="n"/>
      <c r="AI480" s="47" t="n"/>
      <c r="AJ480" s="47" t="n"/>
      <c r="AK480" s="47" t="n"/>
      <c r="AL480" s="47" t="n"/>
      <c r="AM480" s="47" t="n"/>
      <c r="AN480" s="47" t="n"/>
      <c r="AO480" s="47" t="n"/>
      <c r="AP480" s="47" t="n"/>
      <c r="AQ480" s="47" t="n"/>
      <c r="AR480" s="47" t="n"/>
      <c r="AS480" s="47" t="n"/>
      <c r="AT480" s="47" t="n"/>
      <c r="AU480" s="48" t="n"/>
      <c r="AV480" s="48" t="n"/>
      <c r="AW480" s="49">
        <f>IF($A480="","",IF($BW480&lt;&gt;"","FIX",IF($BX480&lt;&gt;"","CHECK","OK")))</f>
        <v/>
      </c>
      <c r="AX480" s="50">
        <f>IF($A480="","",IF($BW480&lt;&gt;"","FIX: "&amp;LEFT($BW480,LEN($BW480)-2)&amp;IF($BX480&lt;&gt;"","  ·  ",""),"")&amp;IF($BX480&lt;&gt;"","CHECK: "&amp;LEFT($BX480,LEN($BX480)-2),""))</f>
        <v/>
      </c>
      <c r="AY480" s="49">
        <f>IF(OR($A480="",$K480=""),"",$K480&amp;"'-"&amp;N($L480)&amp;CHAR(34)&amp;" x "&amp;$M480&amp;"'-"&amp;N($N480)&amp;CHAR(34))</f>
        <v/>
      </c>
      <c r="AZ480" s="49">
        <f>IF(OR($A480="",$K480=""),"",$K480&amp;N($L480)&amp;$M480&amp;N($N480))</f>
        <v/>
      </c>
      <c r="BA480" s="49">
        <f>IF(OR($A480="",$K480=""),"",$K480*12+N($L480))</f>
        <v/>
      </c>
      <c r="BB480" s="49">
        <f>IF(OR($A480="",$M480=""),"",$M480*12+N($N480))</f>
        <v/>
      </c>
      <c r="BC480" s="49">
        <f>IF($A480="","",IF(OR($C480="FRAME ONLY",$S480="BL"),0,IF($O480="Y",2,1)))</f>
        <v/>
      </c>
      <c r="BD480" s="51">
        <f>IF(OR(N($BC480)=0,$BA480=""),"",($BA480-2*EdgeClr-IF($BC480=2,MeetClr,0))/$BC480)</f>
        <v/>
      </c>
      <c r="BE480" s="51">
        <f>IF(OR(N($BC480)=0,$BB480=""),"",$BB480-HeadClr-Undercut)</f>
        <v/>
      </c>
      <c r="BF480" s="51">
        <f>IF($BA480="","",$BA480+2*FaceW+IF(N($Q480)&gt;0,($Q480+FaceW)*IF($R480="LR",2,1),0))</f>
        <v/>
      </c>
      <c r="BG480" s="51">
        <f>IF($BB480="","",$BB480+IF($AB480="Y",4,FaceW)+IF(N($P480)&gt;0,$P480+FaceW,0)+IF(OR($S480="4F",$S480="BL"),FaceW,0))</f>
        <v/>
      </c>
      <c r="BH480" s="51">
        <f>IF($BF480="","",$BF480+2*ROSide)</f>
        <v/>
      </c>
      <c r="BI480" s="51">
        <f>IF($BG480="","",$BG480+ROTop)</f>
        <v/>
      </c>
      <c r="BJ480" s="52">
        <f>IF(OR(N($BC480)=0,$BA480=""),"",$BA480/$BC480-ClearDeduct)</f>
        <v/>
      </c>
      <c r="BK480" s="49">
        <f>IF(OR(N($BC480)=0,$BE480=""),"",IF(OR($AC480="HGC",$AP480="HGC"),"CONT",IF($BE480&lt;=60,2,IF($BE480&lt;=90,3,IF($BE480&lt;=120,4,5)))))</f>
        <v/>
      </c>
      <c r="BL480" s="49">
        <f>IF(N($BC480)=0,"",IF(OR($AL480="",$AL480="FLUSH"),"FLUSH",IFERROR(LEFT($AL480,FIND("-",$AL480)-1),LEFT($AL480,2))))</f>
        <v/>
      </c>
      <c r="BM480" s="49">
        <f>IF($BL480="","",IFERROR(VALUE(MID($AL480,FIND("-",$AL480)+1,FIND(CHAR(34)&amp;"x",$AL480)-FIND("-",$AL480)-1)),0))</f>
        <v/>
      </c>
      <c r="BN480" s="49">
        <f>IF($BL480="","",IFERROR(VALUE(MID($AL480,FIND(CHAR(34)&amp;"x",$AL480)+2,FIND(CHAR(34),$AL480,FIND(CHAR(34)&amp;"x",$AL480)+2)-FIND(CHAR(34)&amp;"x",$AL480)-2)),0))</f>
        <v/>
      </c>
      <c r="BO480" s="53">
        <f>IF(OR($A480="",$H480="",$H480="NO LAB"),0,IFERROR(VALUE(LEFT($H480,FIND(" ",$H480)-1)),0))</f>
        <v/>
      </c>
      <c r="BP480" s="54">
        <f>IF(OR($A480="",$I480="",$I480="NON-RATED",N($J480)=0),"",IFERROR(VLOOKUP($I480&amp;"|"&amp;$J480,IBC,2,FALSE),"?"))</f>
        <v/>
      </c>
      <c r="BQ480" s="50">
        <f>IF(NOT(AND($A480&lt;&gt;"",$C480&lt;&gt;"DOOR ONLY")),"",TRIM(IFERROR(VLOOKUP($U480,CODES,2,FALSE),"")&amp;" "&amp;$AZ480&amp;" "&amp;IFERROR(VLOOKUP($Z480,CODES,2,FALSE),"")&amp;" "&amp;IFERROR(VLOOKUP($X480,CODES,2,FALSE),"")&amp;" "&amp;IFERROR(VLOOKUP($S480,CODES,2,FALSE),"")&amp;IF(N($P480)&gt;0," w/TRANSOM "&amp;$P480&amp;CHAR(34),"")&amp;IF(N($Q480)&gt;0," w/SIDELITE "&amp;$Q480&amp;CHAR(34)&amp;" "&amp;IF($R480="","R",$R480),"")&amp;IF($Y480="","  |  "," | "&amp;IFERROR(VLOOKUP($Y480,CODES,2,FALSE),"")&amp;" | ")&amp;IFERROR(VLOOKUP($AC480,CODES,2,FALSE),"")&amp;" "&amp;IFERROR(VLOOKUP($AD480,CODES,2,FALSE),"")&amp;IF(OR($AE480="",$AE480="-"),""," "&amp;$AE480)&amp;IF(OR($AF480="",$AF480="-"),""," "&amp;$AF480)&amp;IF($AB480="Y"," 4"&amp;CHAR(34)&amp;" HEAD","")&amp;" "&amp;IFERROR(VLOOKUP($H480,CODES,2,FALSE),"")))</f>
        <v/>
      </c>
      <c r="BR480" s="50">
        <f>IF(NOT(AND($A480&lt;&gt;"",N($BC480)&gt;0)),"",TRIM(IFERROR(VLOOKUP($AH480,CODES,2,FALSE),"")&amp;IF($AI480=""," "," "&amp;$AI480&amp;"GA ")&amp;$AZ480&amp;" "&amp;IF($AN480="",IFERROR(VLOOKUP($Z480,CODES,2,FALSE),""),IFERROR(VLOOKUP($AN480,CODES,2,FALSE),""))&amp;IF($BC480=2," PAIR","")&amp;" DOOR | "&amp;IF($AL480="","?",$AL480)&amp;" | "&amp;IF($AP480="",IFERROR(VLOOKUP($AC480,CODES,2,FALSE),""),IFERROR(VLOOKUP($AP480,CODES,2,FALSE),""))&amp;" "&amp;IFERROR(VLOOKUP($AQ480,CODES,2,FALSE),"")&amp;IF(OR($AR480="",$AR480="-"),""," SEAM "&amp;$AR480)&amp;IF($AS480="Y"," ASTRAGAL","")&amp;IF($AJ480=""," "," "&amp;$AJ480)&amp;IF($AK480=""," "," "&amp;$AK480)&amp;IF($AO480="",""," "&amp;$AO480)&amp;IF($AM480=""," "," SERIES "&amp;$AM480)&amp;" "&amp;IFERROR(VLOOKUP($H480,CODES,2,FALSE),"")))</f>
        <v/>
      </c>
      <c r="BS480" s="49">
        <f>IF(BV480="","",IF(COUNTIF($BV$6:BV480,BV480)=1,MAX($BS$5:BS479)+1,INDEX($BS$5:BS479,MATCH(BV480,$BV$5:BV479,0))))</f>
        <v/>
      </c>
      <c r="BT480" s="49">
        <f>IF(NOT(AND($A480&lt;&gt;"",$C480&lt;&gt;"DOOR ONLY")),"",MAX($BT$5:BT479)+1)</f>
        <v/>
      </c>
      <c r="BU480" s="49">
        <f>IF(NOT(AND($A480&lt;&gt;"",N($BC480)&gt;0)),"",MAX($BU$5:BU479)+1)</f>
        <v/>
      </c>
      <c r="BV480" s="49">
        <f>IF(OR($A480="",$BA480="",$BB480=""),"",$AZ480&amp;"|"&amp;$O480&amp;"|"&amp;$AL480&amp;"|"&amp;$S480&amp;"|"&amp;$P480&amp;"|"&amp;$Q480&amp;$R480&amp;"|"&amp;$C480&amp;"|"&amp;$AB480)</f>
        <v/>
      </c>
      <c r="BW480" s="49">
        <f>IF($A480="","",IF($B480="","qty, ","")&amp;IF($C480="","scope, ","")&amp;IF(OR($K480="",$M480=""),"size, ","")&amp;IF(AND($A480&lt;&gt;"",$C480&lt;&gt;"DOOR ONLY"),IF($U480="","jamb depth, ","")&amp;IF($X480="","construction, ","")&amp;IF($Y480="","anchor, ","")&amp;IF($S480="","frame type, ",""),"")&amp;IF(AND(N($BC480)&gt;0,$Z480=""),"hand, ","")&amp;IF(N($BC480)&gt;0,IF($AH480="","door material, ","")&amp;IF($AL480="","face type, ","")&amp;IF($AQ480="","lock prep, ","")&amp;IF(AND($AP480="",$AC480=""),"hinge prep, ",""),"")&amp;IF(AND($BO480&gt;0,$AH480="FRP"),"FRP cannot carry a label, ","")&amp;IF(AND($O480="Y",OR($Z480="L",$Z480="R",$Z480="LR",$Z480="RR")),"pair marked but hand is single, ","")&amp;IF(AND($O480&lt;&gt;"Y",OR($Z480="PR",AND(LEN($Z480)&gt;1,ISNUMBER(SEARCH("-",$Z480))))),"pair hand on a single door, ","")&amp;IF(AND(ISNUMBER($BP480),$BO480&lt;N($BP480)),"wall needs a "&amp;$BP480&amp;" min door, ","")&amp;IF(AND($BO480&gt;=180,AND(OR($BL480="FG",$BL480="HG",$BL480="FNV",$BL480="FV"),N($BM480)*N($BN480)&gt;100)),"180 min lite over 100 sq in, ","")&amp;IF(N($BD480)&gt;48,"leaf wider than 4'-0"&amp;CHAR(34)&amp;", ",""))</f>
        <v/>
      </c>
      <c r="BX480" s="49">
        <f>IF($A480="","",IF(AND($BO480&gt;0,AND($A480&lt;&gt;"",$C480&lt;&gt;"DOOR ONLY"),$X480="KD",$E480="EXTERIOR"),"KD label on an exterior opening, ","")&amp;IF(AND($E480="EXTERIOR",OR(AND(AND($A480&lt;&gt;"",$C480&lt;&gt;"DOOR ONLY"),$W480="CR"),AND(N($BC480)&gt;0,$AH480="CR"))),"exterior in CR steel (G9?), ","")&amp;IF(AND(ISNUMBER($BJ480),N($BJ480)&lt;32),"clear width ~"&amp;TEXT($BJ480,"0.0")&amp;CHAR(34)&amp;" under 32"&amp;CHAR(34)&amp;" (ADA), ","")&amp;IF(AND($BO480=90,AND(OR($BL480="FG",$BL480="HG",$BL480="FNV",$BL480="FV"),N($BM480)*N($BN480)&gt;100)),"90 min lite over 100 sq in (stair/exit), ","")&amp;IF(AND($BO480&gt;0,AND($A480&lt;&gt;"",$C480&lt;&gt;"DOOR ONLY"),OR($AF480="",$AF480="-")),"rated: closer reinf.?, ","")&amp;IF(OR($I480="CORRIDOR",$I480="SMOKE BARRIER"),"S label + smoke gasketing, ","")&amp;IF($BP480="?","wall type/hr not in IBC table, ","")&amp;IF(AND(N($BC480)&gt;0,$AU480=""),"no hardware set, ","")&amp;IF(AND($AU480&lt;&gt;"",ISNA(MATCH($AU480,HWSets,0))),"set "&amp;$AU480&amp;" not on Hardware sheet, ","")&amp;IF(N($BE480)&gt;96,"leaf over 8'-0"&amp;CHAR(34)&amp;" - check listing, ",""))</f>
        <v/>
      </c>
    </row>
    <row r="481" ht="15" customHeight="1">
      <c r="A481" s="44" t="n"/>
      <c r="B481" s="45" t="n"/>
      <c r="C481" s="45" t="n"/>
      <c r="D481" s="45" t="n"/>
      <c r="E481" s="45" t="n"/>
      <c r="F481" s="45" t="n"/>
      <c r="G481" s="45" t="n"/>
      <c r="H481" s="45" t="n"/>
      <c r="I481" s="45" t="n"/>
      <c r="J481" s="45" t="n"/>
      <c r="K481" s="45" t="n"/>
      <c r="L481" s="45" t="n"/>
      <c r="M481" s="45" t="n"/>
      <c r="N481" s="45" t="n"/>
      <c r="O481" s="45" t="n"/>
      <c r="P481" s="45" t="n"/>
      <c r="Q481" s="45" t="n"/>
      <c r="R481" s="45" t="n"/>
      <c r="S481" s="46" t="n"/>
      <c r="T481" s="46" t="n"/>
      <c r="U481" s="46" t="n"/>
      <c r="V481" s="46" t="n"/>
      <c r="W481" s="46" t="n"/>
      <c r="X481" s="46" t="n"/>
      <c r="Y481" s="46" t="n"/>
      <c r="Z481" s="46" t="n"/>
      <c r="AA481" s="46" t="n"/>
      <c r="AB481" s="46" t="n"/>
      <c r="AC481" s="46" t="n"/>
      <c r="AD481" s="46" t="n"/>
      <c r="AE481" s="46" t="n"/>
      <c r="AF481" s="46" t="n"/>
      <c r="AG481" s="46" t="n"/>
      <c r="AH481" s="47" t="n"/>
      <c r="AI481" s="47" t="n"/>
      <c r="AJ481" s="47" t="n"/>
      <c r="AK481" s="47" t="n"/>
      <c r="AL481" s="47" t="n"/>
      <c r="AM481" s="47" t="n"/>
      <c r="AN481" s="47" t="n"/>
      <c r="AO481" s="47" t="n"/>
      <c r="AP481" s="47" t="n"/>
      <c r="AQ481" s="47" t="n"/>
      <c r="AR481" s="47" t="n"/>
      <c r="AS481" s="47" t="n"/>
      <c r="AT481" s="47" t="n"/>
      <c r="AU481" s="48" t="n"/>
      <c r="AV481" s="48" t="n"/>
      <c r="AW481" s="49">
        <f>IF($A481="","",IF($BW481&lt;&gt;"","FIX",IF($BX481&lt;&gt;"","CHECK","OK")))</f>
        <v/>
      </c>
      <c r="AX481" s="50">
        <f>IF($A481="","",IF($BW481&lt;&gt;"","FIX: "&amp;LEFT($BW481,LEN($BW481)-2)&amp;IF($BX481&lt;&gt;"","  ·  ",""),"")&amp;IF($BX481&lt;&gt;"","CHECK: "&amp;LEFT($BX481,LEN($BX481)-2),""))</f>
        <v/>
      </c>
      <c r="AY481" s="49">
        <f>IF(OR($A481="",$K481=""),"",$K481&amp;"'-"&amp;N($L481)&amp;CHAR(34)&amp;" x "&amp;$M481&amp;"'-"&amp;N($N481)&amp;CHAR(34))</f>
        <v/>
      </c>
      <c r="AZ481" s="49">
        <f>IF(OR($A481="",$K481=""),"",$K481&amp;N($L481)&amp;$M481&amp;N($N481))</f>
        <v/>
      </c>
      <c r="BA481" s="49">
        <f>IF(OR($A481="",$K481=""),"",$K481*12+N($L481))</f>
        <v/>
      </c>
      <c r="BB481" s="49">
        <f>IF(OR($A481="",$M481=""),"",$M481*12+N($N481))</f>
        <v/>
      </c>
      <c r="BC481" s="49">
        <f>IF($A481="","",IF(OR($C481="FRAME ONLY",$S481="BL"),0,IF($O481="Y",2,1)))</f>
        <v/>
      </c>
      <c r="BD481" s="51">
        <f>IF(OR(N($BC481)=0,$BA481=""),"",($BA481-2*EdgeClr-IF($BC481=2,MeetClr,0))/$BC481)</f>
        <v/>
      </c>
      <c r="BE481" s="51">
        <f>IF(OR(N($BC481)=0,$BB481=""),"",$BB481-HeadClr-Undercut)</f>
        <v/>
      </c>
      <c r="BF481" s="51">
        <f>IF($BA481="","",$BA481+2*FaceW+IF(N($Q481)&gt;0,($Q481+FaceW)*IF($R481="LR",2,1),0))</f>
        <v/>
      </c>
      <c r="BG481" s="51">
        <f>IF($BB481="","",$BB481+IF($AB481="Y",4,FaceW)+IF(N($P481)&gt;0,$P481+FaceW,0)+IF(OR($S481="4F",$S481="BL"),FaceW,0))</f>
        <v/>
      </c>
      <c r="BH481" s="51">
        <f>IF($BF481="","",$BF481+2*ROSide)</f>
        <v/>
      </c>
      <c r="BI481" s="51">
        <f>IF($BG481="","",$BG481+ROTop)</f>
        <v/>
      </c>
      <c r="BJ481" s="52">
        <f>IF(OR(N($BC481)=0,$BA481=""),"",$BA481/$BC481-ClearDeduct)</f>
        <v/>
      </c>
      <c r="BK481" s="49">
        <f>IF(OR(N($BC481)=0,$BE481=""),"",IF(OR($AC481="HGC",$AP481="HGC"),"CONT",IF($BE481&lt;=60,2,IF($BE481&lt;=90,3,IF($BE481&lt;=120,4,5)))))</f>
        <v/>
      </c>
      <c r="BL481" s="49">
        <f>IF(N($BC481)=0,"",IF(OR($AL481="",$AL481="FLUSH"),"FLUSH",IFERROR(LEFT($AL481,FIND("-",$AL481)-1),LEFT($AL481,2))))</f>
        <v/>
      </c>
      <c r="BM481" s="49">
        <f>IF($BL481="","",IFERROR(VALUE(MID($AL481,FIND("-",$AL481)+1,FIND(CHAR(34)&amp;"x",$AL481)-FIND("-",$AL481)-1)),0))</f>
        <v/>
      </c>
      <c r="BN481" s="49">
        <f>IF($BL481="","",IFERROR(VALUE(MID($AL481,FIND(CHAR(34)&amp;"x",$AL481)+2,FIND(CHAR(34),$AL481,FIND(CHAR(34)&amp;"x",$AL481)+2)-FIND(CHAR(34)&amp;"x",$AL481)-2)),0))</f>
        <v/>
      </c>
      <c r="BO481" s="53">
        <f>IF(OR($A481="",$H481="",$H481="NO LAB"),0,IFERROR(VALUE(LEFT($H481,FIND(" ",$H481)-1)),0))</f>
        <v/>
      </c>
      <c r="BP481" s="54">
        <f>IF(OR($A481="",$I481="",$I481="NON-RATED",N($J481)=0),"",IFERROR(VLOOKUP($I481&amp;"|"&amp;$J481,IBC,2,FALSE),"?"))</f>
        <v/>
      </c>
      <c r="BQ481" s="50">
        <f>IF(NOT(AND($A481&lt;&gt;"",$C481&lt;&gt;"DOOR ONLY")),"",TRIM(IFERROR(VLOOKUP($U481,CODES,2,FALSE),"")&amp;" "&amp;$AZ481&amp;" "&amp;IFERROR(VLOOKUP($Z481,CODES,2,FALSE),"")&amp;" "&amp;IFERROR(VLOOKUP($X481,CODES,2,FALSE),"")&amp;" "&amp;IFERROR(VLOOKUP($S481,CODES,2,FALSE),"")&amp;IF(N($P481)&gt;0," w/TRANSOM "&amp;$P481&amp;CHAR(34),"")&amp;IF(N($Q481)&gt;0," w/SIDELITE "&amp;$Q481&amp;CHAR(34)&amp;" "&amp;IF($R481="","R",$R481),"")&amp;IF($Y481="","  |  "," | "&amp;IFERROR(VLOOKUP($Y481,CODES,2,FALSE),"")&amp;" | ")&amp;IFERROR(VLOOKUP($AC481,CODES,2,FALSE),"")&amp;" "&amp;IFERROR(VLOOKUP($AD481,CODES,2,FALSE),"")&amp;IF(OR($AE481="",$AE481="-"),""," "&amp;$AE481)&amp;IF(OR($AF481="",$AF481="-"),""," "&amp;$AF481)&amp;IF($AB481="Y"," 4"&amp;CHAR(34)&amp;" HEAD","")&amp;" "&amp;IFERROR(VLOOKUP($H481,CODES,2,FALSE),"")))</f>
        <v/>
      </c>
      <c r="BR481" s="50">
        <f>IF(NOT(AND($A481&lt;&gt;"",N($BC481)&gt;0)),"",TRIM(IFERROR(VLOOKUP($AH481,CODES,2,FALSE),"")&amp;IF($AI481=""," "," "&amp;$AI481&amp;"GA ")&amp;$AZ481&amp;" "&amp;IF($AN481="",IFERROR(VLOOKUP($Z481,CODES,2,FALSE),""),IFERROR(VLOOKUP($AN481,CODES,2,FALSE),""))&amp;IF($BC481=2," PAIR","")&amp;" DOOR | "&amp;IF($AL481="","?",$AL481)&amp;" | "&amp;IF($AP481="",IFERROR(VLOOKUP($AC481,CODES,2,FALSE),""),IFERROR(VLOOKUP($AP481,CODES,2,FALSE),""))&amp;" "&amp;IFERROR(VLOOKUP($AQ481,CODES,2,FALSE),"")&amp;IF(OR($AR481="",$AR481="-"),""," SEAM "&amp;$AR481)&amp;IF($AS481="Y"," ASTRAGAL","")&amp;IF($AJ481=""," "," "&amp;$AJ481)&amp;IF($AK481=""," "," "&amp;$AK481)&amp;IF($AO481="",""," "&amp;$AO481)&amp;IF($AM481=""," "," SERIES "&amp;$AM481)&amp;" "&amp;IFERROR(VLOOKUP($H481,CODES,2,FALSE),"")))</f>
        <v/>
      </c>
      <c r="BS481" s="49">
        <f>IF(BV481="","",IF(COUNTIF($BV$6:BV481,BV481)=1,MAX($BS$5:BS480)+1,INDEX($BS$5:BS480,MATCH(BV481,$BV$5:BV480,0))))</f>
        <v/>
      </c>
      <c r="BT481" s="49">
        <f>IF(NOT(AND($A481&lt;&gt;"",$C481&lt;&gt;"DOOR ONLY")),"",MAX($BT$5:BT480)+1)</f>
        <v/>
      </c>
      <c r="BU481" s="49">
        <f>IF(NOT(AND($A481&lt;&gt;"",N($BC481)&gt;0)),"",MAX($BU$5:BU480)+1)</f>
        <v/>
      </c>
      <c r="BV481" s="49">
        <f>IF(OR($A481="",$BA481="",$BB481=""),"",$AZ481&amp;"|"&amp;$O481&amp;"|"&amp;$AL481&amp;"|"&amp;$S481&amp;"|"&amp;$P481&amp;"|"&amp;$Q481&amp;$R481&amp;"|"&amp;$C481&amp;"|"&amp;$AB481)</f>
        <v/>
      </c>
      <c r="BW481" s="49">
        <f>IF($A481="","",IF($B481="","qty, ","")&amp;IF($C481="","scope, ","")&amp;IF(OR($K481="",$M481=""),"size, ","")&amp;IF(AND($A481&lt;&gt;"",$C481&lt;&gt;"DOOR ONLY"),IF($U481="","jamb depth, ","")&amp;IF($X481="","construction, ","")&amp;IF($Y481="","anchor, ","")&amp;IF($S481="","frame type, ",""),"")&amp;IF(AND(N($BC481)&gt;0,$Z481=""),"hand, ","")&amp;IF(N($BC481)&gt;0,IF($AH481="","door material, ","")&amp;IF($AL481="","face type, ","")&amp;IF($AQ481="","lock prep, ","")&amp;IF(AND($AP481="",$AC481=""),"hinge prep, ",""),"")&amp;IF(AND($BO481&gt;0,$AH481="FRP"),"FRP cannot carry a label, ","")&amp;IF(AND($O481="Y",OR($Z481="L",$Z481="R",$Z481="LR",$Z481="RR")),"pair marked but hand is single, ","")&amp;IF(AND($O481&lt;&gt;"Y",OR($Z481="PR",AND(LEN($Z481)&gt;1,ISNUMBER(SEARCH("-",$Z481))))),"pair hand on a single door, ","")&amp;IF(AND(ISNUMBER($BP481),$BO481&lt;N($BP481)),"wall needs a "&amp;$BP481&amp;" min door, ","")&amp;IF(AND($BO481&gt;=180,AND(OR($BL481="FG",$BL481="HG",$BL481="FNV",$BL481="FV"),N($BM481)*N($BN481)&gt;100)),"180 min lite over 100 sq in, ","")&amp;IF(N($BD481)&gt;48,"leaf wider than 4'-0"&amp;CHAR(34)&amp;", ",""))</f>
        <v/>
      </c>
      <c r="BX481" s="49">
        <f>IF($A481="","",IF(AND($BO481&gt;0,AND($A481&lt;&gt;"",$C481&lt;&gt;"DOOR ONLY"),$X481="KD",$E481="EXTERIOR"),"KD label on an exterior opening, ","")&amp;IF(AND($E481="EXTERIOR",OR(AND(AND($A481&lt;&gt;"",$C481&lt;&gt;"DOOR ONLY"),$W481="CR"),AND(N($BC481)&gt;0,$AH481="CR"))),"exterior in CR steel (G9?), ","")&amp;IF(AND(ISNUMBER($BJ481),N($BJ481)&lt;32),"clear width ~"&amp;TEXT($BJ481,"0.0")&amp;CHAR(34)&amp;" under 32"&amp;CHAR(34)&amp;" (ADA), ","")&amp;IF(AND($BO481=90,AND(OR($BL481="FG",$BL481="HG",$BL481="FNV",$BL481="FV"),N($BM481)*N($BN481)&gt;100)),"90 min lite over 100 sq in (stair/exit), ","")&amp;IF(AND($BO481&gt;0,AND($A481&lt;&gt;"",$C481&lt;&gt;"DOOR ONLY"),OR($AF481="",$AF481="-")),"rated: closer reinf.?, ","")&amp;IF(OR($I481="CORRIDOR",$I481="SMOKE BARRIER"),"S label + smoke gasketing, ","")&amp;IF($BP481="?","wall type/hr not in IBC table, ","")&amp;IF(AND(N($BC481)&gt;0,$AU481=""),"no hardware set, ","")&amp;IF(AND($AU481&lt;&gt;"",ISNA(MATCH($AU481,HWSets,0))),"set "&amp;$AU481&amp;" not on Hardware sheet, ","")&amp;IF(N($BE481)&gt;96,"leaf over 8'-0"&amp;CHAR(34)&amp;" - check listing, ",""))</f>
        <v/>
      </c>
    </row>
    <row r="482" ht="15" customHeight="1">
      <c r="A482" s="44" t="n"/>
      <c r="B482" s="45" t="n"/>
      <c r="C482" s="45" t="n"/>
      <c r="D482" s="45" t="n"/>
      <c r="E482" s="45" t="n"/>
      <c r="F482" s="45" t="n"/>
      <c r="G482" s="45" t="n"/>
      <c r="H482" s="45" t="n"/>
      <c r="I482" s="45" t="n"/>
      <c r="J482" s="45" t="n"/>
      <c r="K482" s="45" t="n"/>
      <c r="L482" s="45" t="n"/>
      <c r="M482" s="45" t="n"/>
      <c r="N482" s="45" t="n"/>
      <c r="O482" s="45" t="n"/>
      <c r="P482" s="45" t="n"/>
      <c r="Q482" s="45" t="n"/>
      <c r="R482" s="45" t="n"/>
      <c r="S482" s="46" t="n"/>
      <c r="T482" s="46" t="n"/>
      <c r="U482" s="46" t="n"/>
      <c r="V482" s="46" t="n"/>
      <c r="W482" s="46" t="n"/>
      <c r="X482" s="46" t="n"/>
      <c r="Y482" s="46" t="n"/>
      <c r="Z482" s="46" t="n"/>
      <c r="AA482" s="46" t="n"/>
      <c r="AB482" s="46" t="n"/>
      <c r="AC482" s="46" t="n"/>
      <c r="AD482" s="46" t="n"/>
      <c r="AE482" s="46" t="n"/>
      <c r="AF482" s="46" t="n"/>
      <c r="AG482" s="46" t="n"/>
      <c r="AH482" s="47" t="n"/>
      <c r="AI482" s="47" t="n"/>
      <c r="AJ482" s="47" t="n"/>
      <c r="AK482" s="47" t="n"/>
      <c r="AL482" s="47" t="n"/>
      <c r="AM482" s="47" t="n"/>
      <c r="AN482" s="47" t="n"/>
      <c r="AO482" s="47" t="n"/>
      <c r="AP482" s="47" t="n"/>
      <c r="AQ482" s="47" t="n"/>
      <c r="AR482" s="47" t="n"/>
      <c r="AS482" s="47" t="n"/>
      <c r="AT482" s="47" t="n"/>
      <c r="AU482" s="48" t="n"/>
      <c r="AV482" s="48" t="n"/>
      <c r="AW482" s="49">
        <f>IF($A482="","",IF($BW482&lt;&gt;"","FIX",IF($BX482&lt;&gt;"","CHECK","OK")))</f>
        <v/>
      </c>
      <c r="AX482" s="50">
        <f>IF($A482="","",IF($BW482&lt;&gt;"","FIX: "&amp;LEFT($BW482,LEN($BW482)-2)&amp;IF($BX482&lt;&gt;"","  ·  ",""),"")&amp;IF($BX482&lt;&gt;"","CHECK: "&amp;LEFT($BX482,LEN($BX482)-2),""))</f>
        <v/>
      </c>
      <c r="AY482" s="49">
        <f>IF(OR($A482="",$K482=""),"",$K482&amp;"'-"&amp;N($L482)&amp;CHAR(34)&amp;" x "&amp;$M482&amp;"'-"&amp;N($N482)&amp;CHAR(34))</f>
        <v/>
      </c>
      <c r="AZ482" s="49">
        <f>IF(OR($A482="",$K482=""),"",$K482&amp;N($L482)&amp;$M482&amp;N($N482))</f>
        <v/>
      </c>
      <c r="BA482" s="49">
        <f>IF(OR($A482="",$K482=""),"",$K482*12+N($L482))</f>
        <v/>
      </c>
      <c r="BB482" s="49">
        <f>IF(OR($A482="",$M482=""),"",$M482*12+N($N482))</f>
        <v/>
      </c>
      <c r="BC482" s="49">
        <f>IF($A482="","",IF(OR($C482="FRAME ONLY",$S482="BL"),0,IF($O482="Y",2,1)))</f>
        <v/>
      </c>
      <c r="BD482" s="51">
        <f>IF(OR(N($BC482)=0,$BA482=""),"",($BA482-2*EdgeClr-IF($BC482=2,MeetClr,0))/$BC482)</f>
        <v/>
      </c>
      <c r="BE482" s="51">
        <f>IF(OR(N($BC482)=0,$BB482=""),"",$BB482-HeadClr-Undercut)</f>
        <v/>
      </c>
      <c r="BF482" s="51">
        <f>IF($BA482="","",$BA482+2*FaceW+IF(N($Q482)&gt;0,($Q482+FaceW)*IF($R482="LR",2,1),0))</f>
        <v/>
      </c>
      <c r="BG482" s="51">
        <f>IF($BB482="","",$BB482+IF($AB482="Y",4,FaceW)+IF(N($P482)&gt;0,$P482+FaceW,0)+IF(OR($S482="4F",$S482="BL"),FaceW,0))</f>
        <v/>
      </c>
      <c r="BH482" s="51">
        <f>IF($BF482="","",$BF482+2*ROSide)</f>
        <v/>
      </c>
      <c r="BI482" s="51">
        <f>IF($BG482="","",$BG482+ROTop)</f>
        <v/>
      </c>
      <c r="BJ482" s="52">
        <f>IF(OR(N($BC482)=0,$BA482=""),"",$BA482/$BC482-ClearDeduct)</f>
        <v/>
      </c>
      <c r="BK482" s="49">
        <f>IF(OR(N($BC482)=0,$BE482=""),"",IF(OR($AC482="HGC",$AP482="HGC"),"CONT",IF($BE482&lt;=60,2,IF($BE482&lt;=90,3,IF($BE482&lt;=120,4,5)))))</f>
        <v/>
      </c>
      <c r="BL482" s="49">
        <f>IF(N($BC482)=0,"",IF(OR($AL482="",$AL482="FLUSH"),"FLUSH",IFERROR(LEFT($AL482,FIND("-",$AL482)-1),LEFT($AL482,2))))</f>
        <v/>
      </c>
      <c r="BM482" s="49">
        <f>IF($BL482="","",IFERROR(VALUE(MID($AL482,FIND("-",$AL482)+1,FIND(CHAR(34)&amp;"x",$AL482)-FIND("-",$AL482)-1)),0))</f>
        <v/>
      </c>
      <c r="BN482" s="49">
        <f>IF($BL482="","",IFERROR(VALUE(MID($AL482,FIND(CHAR(34)&amp;"x",$AL482)+2,FIND(CHAR(34),$AL482,FIND(CHAR(34)&amp;"x",$AL482)+2)-FIND(CHAR(34)&amp;"x",$AL482)-2)),0))</f>
        <v/>
      </c>
      <c r="BO482" s="53">
        <f>IF(OR($A482="",$H482="",$H482="NO LAB"),0,IFERROR(VALUE(LEFT($H482,FIND(" ",$H482)-1)),0))</f>
        <v/>
      </c>
      <c r="BP482" s="54">
        <f>IF(OR($A482="",$I482="",$I482="NON-RATED",N($J482)=0),"",IFERROR(VLOOKUP($I482&amp;"|"&amp;$J482,IBC,2,FALSE),"?"))</f>
        <v/>
      </c>
      <c r="BQ482" s="50">
        <f>IF(NOT(AND($A482&lt;&gt;"",$C482&lt;&gt;"DOOR ONLY")),"",TRIM(IFERROR(VLOOKUP($U482,CODES,2,FALSE),"")&amp;" "&amp;$AZ482&amp;" "&amp;IFERROR(VLOOKUP($Z482,CODES,2,FALSE),"")&amp;" "&amp;IFERROR(VLOOKUP($X482,CODES,2,FALSE),"")&amp;" "&amp;IFERROR(VLOOKUP($S482,CODES,2,FALSE),"")&amp;IF(N($P482)&gt;0," w/TRANSOM "&amp;$P482&amp;CHAR(34),"")&amp;IF(N($Q482)&gt;0," w/SIDELITE "&amp;$Q482&amp;CHAR(34)&amp;" "&amp;IF($R482="","R",$R482),"")&amp;IF($Y482="","  |  "," | "&amp;IFERROR(VLOOKUP($Y482,CODES,2,FALSE),"")&amp;" | ")&amp;IFERROR(VLOOKUP($AC482,CODES,2,FALSE),"")&amp;" "&amp;IFERROR(VLOOKUP($AD482,CODES,2,FALSE),"")&amp;IF(OR($AE482="",$AE482="-"),""," "&amp;$AE482)&amp;IF(OR($AF482="",$AF482="-"),""," "&amp;$AF482)&amp;IF($AB482="Y"," 4"&amp;CHAR(34)&amp;" HEAD","")&amp;" "&amp;IFERROR(VLOOKUP($H482,CODES,2,FALSE),"")))</f>
        <v/>
      </c>
      <c r="BR482" s="50">
        <f>IF(NOT(AND($A482&lt;&gt;"",N($BC482)&gt;0)),"",TRIM(IFERROR(VLOOKUP($AH482,CODES,2,FALSE),"")&amp;IF($AI482=""," "," "&amp;$AI482&amp;"GA ")&amp;$AZ482&amp;" "&amp;IF($AN482="",IFERROR(VLOOKUP($Z482,CODES,2,FALSE),""),IFERROR(VLOOKUP($AN482,CODES,2,FALSE),""))&amp;IF($BC482=2," PAIR","")&amp;" DOOR | "&amp;IF($AL482="","?",$AL482)&amp;" | "&amp;IF($AP482="",IFERROR(VLOOKUP($AC482,CODES,2,FALSE),""),IFERROR(VLOOKUP($AP482,CODES,2,FALSE),""))&amp;" "&amp;IFERROR(VLOOKUP($AQ482,CODES,2,FALSE),"")&amp;IF(OR($AR482="",$AR482="-"),""," SEAM "&amp;$AR482)&amp;IF($AS482="Y"," ASTRAGAL","")&amp;IF($AJ482=""," "," "&amp;$AJ482)&amp;IF($AK482=""," "," "&amp;$AK482)&amp;IF($AO482="",""," "&amp;$AO482)&amp;IF($AM482=""," "," SERIES "&amp;$AM482)&amp;" "&amp;IFERROR(VLOOKUP($H482,CODES,2,FALSE),"")))</f>
        <v/>
      </c>
      <c r="BS482" s="49">
        <f>IF(BV482="","",IF(COUNTIF($BV$6:BV482,BV482)=1,MAX($BS$5:BS481)+1,INDEX($BS$5:BS481,MATCH(BV482,$BV$5:BV481,0))))</f>
        <v/>
      </c>
      <c r="BT482" s="49">
        <f>IF(NOT(AND($A482&lt;&gt;"",$C482&lt;&gt;"DOOR ONLY")),"",MAX($BT$5:BT481)+1)</f>
        <v/>
      </c>
      <c r="BU482" s="49">
        <f>IF(NOT(AND($A482&lt;&gt;"",N($BC482)&gt;0)),"",MAX($BU$5:BU481)+1)</f>
        <v/>
      </c>
      <c r="BV482" s="49">
        <f>IF(OR($A482="",$BA482="",$BB482=""),"",$AZ482&amp;"|"&amp;$O482&amp;"|"&amp;$AL482&amp;"|"&amp;$S482&amp;"|"&amp;$P482&amp;"|"&amp;$Q482&amp;$R482&amp;"|"&amp;$C482&amp;"|"&amp;$AB482)</f>
        <v/>
      </c>
      <c r="BW482" s="49">
        <f>IF($A482="","",IF($B482="","qty, ","")&amp;IF($C482="","scope, ","")&amp;IF(OR($K482="",$M482=""),"size, ","")&amp;IF(AND($A482&lt;&gt;"",$C482&lt;&gt;"DOOR ONLY"),IF($U482="","jamb depth, ","")&amp;IF($X482="","construction, ","")&amp;IF($Y482="","anchor, ","")&amp;IF($S482="","frame type, ",""),"")&amp;IF(AND(N($BC482)&gt;0,$Z482=""),"hand, ","")&amp;IF(N($BC482)&gt;0,IF($AH482="","door material, ","")&amp;IF($AL482="","face type, ","")&amp;IF($AQ482="","lock prep, ","")&amp;IF(AND($AP482="",$AC482=""),"hinge prep, ",""),"")&amp;IF(AND($BO482&gt;0,$AH482="FRP"),"FRP cannot carry a label, ","")&amp;IF(AND($O482="Y",OR($Z482="L",$Z482="R",$Z482="LR",$Z482="RR")),"pair marked but hand is single, ","")&amp;IF(AND($O482&lt;&gt;"Y",OR($Z482="PR",AND(LEN($Z482)&gt;1,ISNUMBER(SEARCH("-",$Z482))))),"pair hand on a single door, ","")&amp;IF(AND(ISNUMBER($BP482),$BO482&lt;N($BP482)),"wall needs a "&amp;$BP482&amp;" min door, ","")&amp;IF(AND($BO482&gt;=180,AND(OR($BL482="FG",$BL482="HG",$BL482="FNV",$BL482="FV"),N($BM482)*N($BN482)&gt;100)),"180 min lite over 100 sq in, ","")&amp;IF(N($BD482)&gt;48,"leaf wider than 4'-0"&amp;CHAR(34)&amp;", ",""))</f>
        <v/>
      </c>
      <c r="BX482" s="49">
        <f>IF($A482="","",IF(AND($BO482&gt;0,AND($A482&lt;&gt;"",$C482&lt;&gt;"DOOR ONLY"),$X482="KD",$E482="EXTERIOR"),"KD label on an exterior opening, ","")&amp;IF(AND($E482="EXTERIOR",OR(AND(AND($A482&lt;&gt;"",$C482&lt;&gt;"DOOR ONLY"),$W482="CR"),AND(N($BC482)&gt;0,$AH482="CR"))),"exterior in CR steel (G9?), ","")&amp;IF(AND(ISNUMBER($BJ482),N($BJ482)&lt;32),"clear width ~"&amp;TEXT($BJ482,"0.0")&amp;CHAR(34)&amp;" under 32"&amp;CHAR(34)&amp;" (ADA), ","")&amp;IF(AND($BO482=90,AND(OR($BL482="FG",$BL482="HG",$BL482="FNV",$BL482="FV"),N($BM482)*N($BN482)&gt;100)),"90 min lite over 100 sq in (stair/exit), ","")&amp;IF(AND($BO482&gt;0,AND($A482&lt;&gt;"",$C482&lt;&gt;"DOOR ONLY"),OR($AF482="",$AF482="-")),"rated: closer reinf.?, ","")&amp;IF(OR($I482="CORRIDOR",$I482="SMOKE BARRIER"),"S label + smoke gasketing, ","")&amp;IF($BP482="?","wall type/hr not in IBC table, ","")&amp;IF(AND(N($BC482)&gt;0,$AU482=""),"no hardware set, ","")&amp;IF(AND($AU482&lt;&gt;"",ISNA(MATCH($AU482,HWSets,0))),"set "&amp;$AU482&amp;" not on Hardware sheet, ","")&amp;IF(N($BE482)&gt;96,"leaf over 8'-0"&amp;CHAR(34)&amp;" - check listing, ",""))</f>
        <v/>
      </c>
    </row>
    <row r="483" ht="15" customHeight="1">
      <c r="A483" s="44" t="n"/>
      <c r="B483" s="45" t="n"/>
      <c r="C483" s="45" t="n"/>
      <c r="D483" s="45" t="n"/>
      <c r="E483" s="45" t="n"/>
      <c r="F483" s="45" t="n"/>
      <c r="G483" s="45" t="n"/>
      <c r="H483" s="45" t="n"/>
      <c r="I483" s="45" t="n"/>
      <c r="J483" s="45" t="n"/>
      <c r="K483" s="45" t="n"/>
      <c r="L483" s="45" t="n"/>
      <c r="M483" s="45" t="n"/>
      <c r="N483" s="45" t="n"/>
      <c r="O483" s="45" t="n"/>
      <c r="P483" s="45" t="n"/>
      <c r="Q483" s="45" t="n"/>
      <c r="R483" s="45" t="n"/>
      <c r="S483" s="46" t="n"/>
      <c r="T483" s="46" t="n"/>
      <c r="U483" s="46" t="n"/>
      <c r="V483" s="46" t="n"/>
      <c r="W483" s="46" t="n"/>
      <c r="X483" s="46" t="n"/>
      <c r="Y483" s="46" t="n"/>
      <c r="Z483" s="46" t="n"/>
      <c r="AA483" s="46" t="n"/>
      <c r="AB483" s="46" t="n"/>
      <c r="AC483" s="46" t="n"/>
      <c r="AD483" s="46" t="n"/>
      <c r="AE483" s="46" t="n"/>
      <c r="AF483" s="46" t="n"/>
      <c r="AG483" s="46" t="n"/>
      <c r="AH483" s="47" t="n"/>
      <c r="AI483" s="47" t="n"/>
      <c r="AJ483" s="47" t="n"/>
      <c r="AK483" s="47" t="n"/>
      <c r="AL483" s="47" t="n"/>
      <c r="AM483" s="47" t="n"/>
      <c r="AN483" s="47" t="n"/>
      <c r="AO483" s="47" t="n"/>
      <c r="AP483" s="47" t="n"/>
      <c r="AQ483" s="47" t="n"/>
      <c r="AR483" s="47" t="n"/>
      <c r="AS483" s="47" t="n"/>
      <c r="AT483" s="47" t="n"/>
      <c r="AU483" s="48" t="n"/>
      <c r="AV483" s="48" t="n"/>
      <c r="AW483" s="49">
        <f>IF($A483="","",IF($BW483&lt;&gt;"","FIX",IF($BX483&lt;&gt;"","CHECK","OK")))</f>
        <v/>
      </c>
      <c r="AX483" s="50">
        <f>IF($A483="","",IF($BW483&lt;&gt;"","FIX: "&amp;LEFT($BW483,LEN($BW483)-2)&amp;IF($BX483&lt;&gt;"","  ·  ",""),"")&amp;IF($BX483&lt;&gt;"","CHECK: "&amp;LEFT($BX483,LEN($BX483)-2),""))</f>
        <v/>
      </c>
      <c r="AY483" s="49">
        <f>IF(OR($A483="",$K483=""),"",$K483&amp;"'-"&amp;N($L483)&amp;CHAR(34)&amp;" x "&amp;$M483&amp;"'-"&amp;N($N483)&amp;CHAR(34))</f>
        <v/>
      </c>
      <c r="AZ483" s="49">
        <f>IF(OR($A483="",$K483=""),"",$K483&amp;N($L483)&amp;$M483&amp;N($N483))</f>
        <v/>
      </c>
      <c r="BA483" s="49">
        <f>IF(OR($A483="",$K483=""),"",$K483*12+N($L483))</f>
        <v/>
      </c>
      <c r="BB483" s="49">
        <f>IF(OR($A483="",$M483=""),"",$M483*12+N($N483))</f>
        <v/>
      </c>
      <c r="BC483" s="49">
        <f>IF($A483="","",IF(OR($C483="FRAME ONLY",$S483="BL"),0,IF($O483="Y",2,1)))</f>
        <v/>
      </c>
      <c r="BD483" s="51">
        <f>IF(OR(N($BC483)=0,$BA483=""),"",($BA483-2*EdgeClr-IF($BC483=2,MeetClr,0))/$BC483)</f>
        <v/>
      </c>
      <c r="BE483" s="51">
        <f>IF(OR(N($BC483)=0,$BB483=""),"",$BB483-HeadClr-Undercut)</f>
        <v/>
      </c>
      <c r="BF483" s="51">
        <f>IF($BA483="","",$BA483+2*FaceW+IF(N($Q483)&gt;0,($Q483+FaceW)*IF($R483="LR",2,1),0))</f>
        <v/>
      </c>
      <c r="BG483" s="51">
        <f>IF($BB483="","",$BB483+IF($AB483="Y",4,FaceW)+IF(N($P483)&gt;0,$P483+FaceW,0)+IF(OR($S483="4F",$S483="BL"),FaceW,0))</f>
        <v/>
      </c>
      <c r="BH483" s="51">
        <f>IF($BF483="","",$BF483+2*ROSide)</f>
        <v/>
      </c>
      <c r="BI483" s="51">
        <f>IF($BG483="","",$BG483+ROTop)</f>
        <v/>
      </c>
      <c r="BJ483" s="52">
        <f>IF(OR(N($BC483)=0,$BA483=""),"",$BA483/$BC483-ClearDeduct)</f>
        <v/>
      </c>
      <c r="BK483" s="49">
        <f>IF(OR(N($BC483)=0,$BE483=""),"",IF(OR($AC483="HGC",$AP483="HGC"),"CONT",IF($BE483&lt;=60,2,IF($BE483&lt;=90,3,IF($BE483&lt;=120,4,5)))))</f>
        <v/>
      </c>
      <c r="BL483" s="49">
        <f>IF(N($BC483)=0,"",IF(OR($AL483="",$AL483="FLUSH"),"FLUSH",IFERROR(LEFT($AL483,FIND("-",$AL483)-1),LEFT($AL483,2))))</f>
        <v/>
      </c>
      <c r="BM483" s="49">
        <f>IF($BL483="","",IFERROR(VALUE(MID($AL483,FIND("-",$AL483)+1,FIND(CHAR(34)&amp;"x",$AL483)-FIND("-",$AL483)-1)),0))</f>
        <v/>
      </c>
      <c r="BN483" s="49">
        <f>IF($BL483="","",IFERROR(VALUE(MID($AL483,FIND(CHAR(34)&amp;"x",$AL483)+2,FIND(CHAR(34),$AL483,FIND(CHAR(34)&amp;"x",$AL483)+2)-FIND(CHAR(34)&amp;"x",$AL483)-2)),0))</f>
        <v/>
      </c>
      <c r="BO483" s="53">
        <f>IF(OR($A483="",$H483="",$H483="NO LAB"),0,IFERROR(VALUE(LEFT($H483,FIND(" ",$H483)-1)),0))</f>
        <v/>
      </c>
      <c r="BP483" s="54">
        <f>IF(OR($A483="",$I483="",$I483="NON-RATED",N($J483)=0),"",IFERROR(VLOOKUP($I483&amp;"|"&amp;$J483,IBC,2,FALSE),"?"))</f>
        <v/>
      </c>
      <c r="BQ483" s="50">
        <f>IF(NOT(AND($A483&lt;&gt;"",$C483&lt;&gt;"DOOR ONLY")),"",TRIM(IFERROR(VLOOKUP($U483,CODES,2,FALSE),"")&amp;" "&amp;$AZ483&amp;" "&amp;IFERROR(VLOOKUP($Z483,CODES,2,FALSE),"")&amp;" "&amp;IFERROR(VLOOKUP($X483,CODES,2,FALSE),"")&amp;" "&amp;IFERROR(VLOOKUP($S483,CODES,2,FALSE),"")&amp;IF(N($P483)&gt;0," w/TRANSOM "&amp;$P483&amp;CHAR(34),"")&amp;IF(N($Q483)&gt;0," w/SIDELITE "&amp;$Q483&amp;CHAR(34)&amp;" "&amp;IF($R483="","R",$R483),"")&amp;IF($Y483="","  |  "," | "&amp;IFERROR(VLOOKUP($Y483,CODES,2,FALSE),"")&amp;" | ")&amp;IFERROR(VLOOKUP($AC483,CODES,2,FALSE),"")&amp;" "&amp;IFERROR(VLOOKUP($AD483,CODES,2,FALSE),"")&amp;IF(OR($AE483="",$AE483="-"),""," "&amp;$AE483)&amp;IF(OR($AF483="",$AF483="-"),""," "&amp;$AF483)&amp;IF($AB483="Y"," 4"&amp;CHAR(34)&amp;" HEAD","")&amp;" "&amp;IFERROR(VLOOKUP($H483,CODES,2,FALSE),"")))</f>
        <v/>
      </c>
      <c r="BR483" s="50">
        <f>IF(NOT(AND($A483&lt;&gt;"",N($BC483)&gt;0)),"",TRIM(IFERROR(VLOOKUP($AH483,CODES,2,FALSE),"")&amp;IF($AI483=""," "," "&amp;$AI483&amp;"GA ")&amp;$AZ483&amp;" "&amp;IF($AN483="",IFERROR(VLOOKUP($Z483,CODES,2,FALSE),""),IFERROR(VLOOKUP($AN483,CODES,2,FALSE),""))&amp;IF($BC483=2," PAIR","")&amp;" DOOR | "&amp;IF($AL483="","?",$AL483)&amp;" | "&amp;IF($AP483="",IFERROR(VLOOKUP($AC483,CODES,2,FALSE),""),IFERROR(VLOOKUP($AP483,CODES,2,FALSE),""))&amp;" "&amp;IFERROR(VLOOKUP($AQ483,CODES,2,FALSE),"")&amp;IF(OR($AR483="",$AR483="-"),""," SEAM "&amp;$AR483)&amp;IF($AS483="Y"," ASTRAGAL","")&amp;IF($AJ483=""," "," "&amp;$AJ483)&amp;IF($AK483=""," "," "&amp;$AK483)&amp;IF($AO483="",""," "&amp;$AO483)&amp;IF($AM483=""," "," SERIES "&amp;$AM483)&amp;" "&amp;IFERROR(VLOOKUP($H483,CODES,2,FALSE),"")))</f>
        <v/>
      </c>
      <c r="BS483" s="49">
        <f>IF(BV483="","",IF(COUNTIF($BV$6:BV483,BV483)=1,MAX($BS$5:BS482)+1,INDEX($BS$5:BS482,MATCH(BV483,$BV$5:BV482,0))))</f>
        <v/>
      </c>
      <c r="BT483" s="49">
        <f>IF(NOT(AND($A483&lt;&gt;"",$C483&lt;&gt;"DOOR ONLY")),"",MAX($BT$5:BT482)+1)</f>
        <v/>
      </c>
      <c r="BU483" s="49">
        <f>IF(NOT(AND($A483&lt;&gt;"",N($BC483)&gt;0)),"",MAX($BU$5:BU482)+1)</f>
        <v/>
      </c>
      <c r="BV483" s="49">
        <f>IF(OR($A483="",$BA483="",$BB483=""),"",$AZ483&amp;"|"&amp;$O483&amp;"|"&amp;$AL483&amp;"|"&amp;$S483&amp;"|"&amp;$P483&amp;"|"&amp;$Q483&amp;$R483&amp;"|"&amp;$C483&amp;"|"&amp;$AB483)</f>
        <v/>
      </c>
      <c r="BW483" s="49">
        <f>IF($A483="","",IF($B483="","qty, ","")&amp;IF($C483="","scope, ","")&amp;IF(OR($K483="",$M483=""),"size, ","")&amp;IF(AND($A483&lt;&gt;"",$C483&lt;&gt;"DOOR ONLY"),IF($U483="","jamb depth, ","")&amp;IF($X483="","construction, ","")&amp;IF($Y483="","anchor, ","")&amp;IF($S483="","frame type, ",""),"")&amp;IF(AND(N($BC483)&gt;0,$Z483=""),"hand, ","")&amp;IF(N($BC483)&gt;0,IF($AH483="","door material, ","")&amp;IF($AL483="","face type, ","")&amp;IF($AQ483="","lock prep, ","")&amp;IF(AND($AP483="",$AC483=""),"hinge prep, ",""),"")&amp;IF(AND($BO483&gt;0,$AH483="FRP"),"FRP cannot carry a label, ","")&amp;IF(AND($O483="Y",OR($Z483="L",$Z483="R",$Z483="LR",$Z483="RR")),"pair marked but hand is single, ","")&amp;IF(AND($O483&lt;&gt;"Y",OR($Z483="PR",AND(LEN($Z483)&gt;1,ISNUMBER(SEARCH("-",$Z483))))),"pair hand on a single door, ","")&amp;IF(AND(ISNUMBER($BP483),$BO483&lt;N($BP483)),"wall needs a "&amp;$BP483&amp;" min door, ","")&amp;IF(AND($BO483&gt;=180,AND(OR($BL483="FG",$BL483="HG",$BL483="FNV",$BL483="FV"),N($BM483)*N($BN483)&gt;100)),"180 min lite over 100 sq in, ","")&amp;IF(N($BD483)&gt;48,"leaf wider than 4'-0"&amp;CHAR(34)&amp;", ",""))</f>
        <v/>
      </c>
      <c r="BX483" s="49">
        <f>IF($A483="","",IF(AND($BO483&gt;0,AND($A483&lt;&gt;"",$C483&lt;&gt;"DOOR ONLY"),$X483="KD",$E483="EXTERIOR"),"KD label on an exterior opening, ","")&amp;IF(AND($E483="EXTERIOR",OR(AND(AND($A483&lt;&gt;"",$C483&lt;&gt;"DOOR ONLY"),$W483="CR"),AND(N($BC483)&gt;0,$AH483="CR"))),"exterior in CR steel (G9?), ","")&amp;IF(AND(ISNUMBER($BJ483),N($BJ483)&lt;32),"clear width ~"&amp;TEXT($BJ483,"0.0")&amp;CHAR(34)&amp;" under 32"&amp;CHAR(34)&amp;" (ADA), ","")&amp;IF(AND($BO483=90,AND(OR($BL483="FG",$BL483="HG",$BL483="FNV",$BL483="FV"),N($BM483)*N($BN483)&gt;100)),"90 min lite over 100 sq in (stair/exit), ","")&amp;IF(AND($BO483&gt;0,AND($A483&lt;&gt;"",$C483&lt;&gt;"DOOR ONLY"),OR($AF483="",$AF483="-")),"rated: closer reinf.?, ","")&amp;IF(OR($I483="CORRIDOR",$I483="SMOKE BARRIER"),"S label + smoke gasketing, ","")&amp;IF($BP483="?","wall type/hr not in IBC table, ","")&amp;IF(AND(N($BC483)&gt;0,$AU483=""),"no hardware set, ","")&amp;IF(AND($AU483&lt;&gt;"",ISNA(MATCH($AU483,HWSets,0))),"set "&amp;$AU483&amp;" not on Hardware sheet, ","")&amp;IF(N($BE483)&gt;96,"leaf over 8'-0"&amp;CHAR(34)&amp;" - check listing, ",""))</f>
        <v/>
      </c>
    </row>
    <row r="484" ht="15" customHeight="1">
      <c r="A484" s="44" t="n"/>
      <c r="B484" s="45" t="n"/>
      <c r="C484" s="45" t="n"/>
      <c r="D484" s="45" t="n"/>
      <c r="E484" s="45" t="n"/>
      <c r="F484" s="45" t="n"/>
      <c r="G484" s="45" t="n"/>
      <c r="H484" s="45" t="n"/>
      <c r="I484" s="45" t="n"/>
      <c r="J484" s="45" t="n"/>
      <c r="K484" s="45" t="n"/>
      <c r="L484" s="45" t="n"/>
      <c r="M484" s="45" t="n"/>
      <c r="N484" s="45" t="n"/>
      <c r="O484" s="45" t="n"/>
      <c r="P484" s="45" t="n"/>
      <c r="Q484" s="45" t="n"/>
      <c r="R484" s="45" t="n"/>
      <c r="S484" s="46" t="n"/>
      <c r="T484" s="46" t="n"/>
      <c r="U484" s="46" t="n"/>
      <c r="V484" s="46" t="n"/>
      <c r="W484" s="46" t="n"/>
      <c r="X484" s="46" t="n"/>
      <c r="Y484" s="46" t="n"/>
      <c r="Z484" s="46" t="n"/>
      <c r="AA484" s="46" t="n"/>
      <c r="AB484" s="46" t="n"/>
      <c r="AC484" s="46" t="n"/>
      <c r="AD484" s="46" t="n"/>
      <c r="AE484" s="46" t="n"/>
      <c r="AF484" s="46" t="n"/>
      <c r="AG484" s="46" t="n"/>
      <c r="AH484" s="47" t="n"/>
      <c r="AI484" s="47" t="n"/>
      <c r="AJ484" s="47" t="n"/>
      <c r="AK484" s="47" t="n"/>
      <c r="AL484" s="47" t="n"/>
      <c r="AM484" s="47" t="n"/>
      <c r="AN484" s="47" t="n"/>
      <c r="AO484" s="47" t="n"/>
      <c r="AP484" s="47" t="n"/>
      <c r="AQ484" s="47" t="n"/>
      <c r="AR484" s="47" t="n"/>
      <c r="AS484" s="47" t="n"/>
      <c r="AT484" s="47" t="n"/>
      <c r="AU484" s="48" t="n"/>
      <c r="AV484" s="48" t="n"/>
      <c r="AW484" s="49">
        <f>IF($A484="","",IF($BW484&lt;&gt;"","FIX",IF($BX484&lt;&gt;"","CHECK","OK")))</f>
        <v/>
      </c>
      <c r="AX484" s="50">
        <f>IF($A484="","",IF($BW484&lt;&gt;"","FIX: "&amp;LEFT($BW484,LEN($BW484)-2)&amp;IF($BX484&lt;&gt;"","  ·  ",""),"")&amp;IF($BX484&lt;&gt;"","CHECK: "&amp;LEFT($BX484,LEN($BX484)-2),""))</f>
        <v/>
      </c>
      <c r="AY484" s="49">
        <f>IF(OR($A484="",$K484=""),"",$K484&amp;"'-"&amp;N($L484)&amp;CHAR(34)&amp;" x "&amp;$M484&amp;"'-"&amp;N($N484)&amp;CHAR(34))</f>
        <v/>
      </c>
      <c r="AZ484" s="49">
        <f>IF(OR($A484="",$K484=""),"",$K484&amp;N($L484)&amp;$M484&amp;N($N484))</f>
        <v/>
      </c>
      <c r="BA484" s="49">
        <f>IF(OR($A484="",$K484=""),"",$K484*12+N($L484))</f>
        <v/>
      </c>
      <c r="BB484" s="49">
        <f>IF(OR($A484="",$M484=""),"",$M484*12+N($N484))</f>
        <v/>
      </c>
      <c r="BC484" s="49">
        <f>IF($A484="","",IF(OR($C484="FRAME ONLY",$S484="BL"),0,IF($O484="Y",2,1)))</f>
        <v/>
      </c>
      <c r="BD484" s="51">
        <f>IF(OR(N($BC484)=0,$BA484=""),"",($BA484-2*EdgeClr-IF($BC484=2,MeetClr,0))/$BC484)</f>
        <v/>
      </c>
      <c r="BE484" s="51">
        <f>IF(OR(N($BC484)=0,$BB484=""),"",$BB484-HeadClr-Undercut)</f>
        <v/>
      </c>
      <c r="BF484" s="51">
        <f>IF($BA484="","",$BA484+2*FaceW+IF(N($Q484)&gt;0,($Q484+FaceW)*IF($R484="LR",2,1),0))</f>
        <v/>
      </c>
      <c r="BG484" s="51">
        <f>IF($BB484="","",$BB484+IF($AB484="Y",4,FaceW)+IF(N($P484)&gt;0,$P484+FaceW,0)+IF(OR($S484="4F",$S484="BL"),FaceW,0))</f>
        <v/>
      </c>
      <c r="BH484" s="51">
        <f>IF($BF484="","",$BF484+2*ROSide)</f>
        <v/>
      </c>
      <c r="BI484" s="51">
        <f>IF($BG484="","",$BG484+ROTop)</f>
        <v/>
      </c>
      <c r="BJ484" s="52">
        <f>IF(OR(N($BC484)=0,$BA484=""),"",$BA484/$BC484-ClearDeduct)</f>
        <v/>
      </c>
      <c r="BK484" s="49">
        <f>IF(OR(N($BC484)=0,$BE484=""),"",IF(OR($AC484="HGC",$AP484="HGC"),"CONT",IF($BE484&lt;=60,2,IF($BE484&lt;=90,3,IF($BE484&lt;=120,4,5)))))</f>
        <v/>
      </c>
      <c r="BL484" s="49">
        <f>IF(N($BC484)=0,"",IF(OR($AL484="",$AL484="FLUSH"),"FLUSH",IFERROR(LEFT($AL484,FIND("-",$AL484)-1),LEFT($AL484,2))))</f>
        <v/>
      </c>
      <c r="BM484" s="49">
        <f>IF($BL484="","",IFERROR(VALUE(MID($AL484,FIND("-",$AL484)+1,FIND(CHAR(34)&amp;"x",$AL484)-FIND("-",$AL484)-1)),0))</f>
        <v/>
      </c>
      <c r="BN484" s="49">
        <f>IF($BL484="","",IFERROR(VALUE(MID($AL484,FIND(CHAR(34)&amp;"x",$AL484)+2,FIND(CHAR(34),$AL484,FIND(CHAR(34)&amp;"x",$AL484)+2)-FIND(CHAR(34)&amp;"x",$AL484)-2)),0))</f>
        <v/>
      </c>
      <c r="BO484" s="53">
        <f>IF(OR($A484="",$H484="",$H484="NO LAB"),0,IFERROR(VALUE(LEFT($H484,FIND(" ",$H484)-1)),0))</f>
        <v/>
      </c>
      <c r="BP484" s="54">
        <f>IF(OR($A484="",$I484="",$I484="NON-RATED",N($J484)=0),"",IFERROR(VLOOKUP($I484&amp;"|"&amp;$J484,IBC,2,FALSE),"?"))</f>
        <v/>
      </c>
      <c r="BQ484" s="50">
        <f>IF(NOT(AND($A484&lt;&gt;"",$C484&lt;&gt;"DOOR ONLY")),"",TRIM(IFERROR(VLOOKUP($U484,CODES,2,FALSE),"")&amp;" "&amp;$AZ484&amp;" "&amp;IFERROR(VLOOKUP($Z484,CODES,2,FALSE),"")&amp;" "&amp;IFERROR(VLOOKUP($X484,CODES,2,FALSE),"")&amp;" "&amp;IFERROR(VLOOKUP($S484,CODES,2,FALSE),"")&amp;IF(N($P484)&gt;0," w/TRANSOM "&amp;$P484&amp;CHAR(34),"")&amp;IF(N($Q484)&gt;0," w/SIDELITE "&amp;$Q484&amp;CHAR(34)&amp;" "&amp;IF($R484="","R",$R484),"")&amp;IF($Y484="","  |  "," | "&amp;IFERROR(VLOOKUP($Y484,CODES,2,FALSE),"")&amp;" | ")&amp;IFERROR(VLOOKUP($AC484,CODES,2,FALSE),"")&amp;" "&amp;IFERROR(VLOOKUP($AD484,CODES,2,FALSE),"")&amp;IF(OR($AE484="",$AE484="-"),""," "&amp;$AE484)&amp;IF(OR($AF484="",$AF484="-"),""," "&amp;$AF484)&amp;IF($AB484="Y"," 4"&amp;CHAR(34)&amp;" HEAD","")&amp;" "&amp;IFERROR(VLOOKUP($H484,CODES,2,FALSE),"")))</f>
        <v/>
      </c>
      <c r="BR484" s="50">
        <f>IF(NOT(AND($A484&lt;&gt;"",N($BC484)&gt;0)),"",TRIM(IFERROR(VLOOKUP($AH484,CODES,2,FALSE),"")&amp;IF($AI484=""," "," "&amp;$AI484&amp;"GA ")&amp;$AZ484&amp;" "&amp;IF($AN484="",IFERROR(VLOOKUP($Z484,CODES,2,FALSE),""),IFERROR(VLOOKUP($AN484,CODES,2,FALSE),""))&amp;IF($BC484=2," PAIR","")&amp;" DOOR | "&amp;IF($AL484="","?",$AL484)&amp;" | "&amp;IF($AP484="",IFERROR(VLOOKUP($AC484,CODES,2,FALSE),""),IFERROR(VLOOKUP($AP484,CODES,2,FALSE),""))&amp;" "&amp;IFERROR(VLOOKUP($AQ484,CODES,2,FALSE),"")&amp;IF(OR($AR484="",$AR484="-"),""," SEAM "&amp;$AR484)&amp;IF($AS484="Y"," ASTRAGAL","")&amp;IF($AJ484=""," "," "&amp;$AJ484)&amp;IF($AK484=""," "," "&amp;$AK484)&amp;IF($AO484="",""," "&amp;$AO484)&amp;IF($AM484=""," "," SERIES "&amp;$AM484)&amp;" "&amp;IFERROR(VLOOKUP($H484,CODES,2,FALSE),"")))</f>
        <v/>
      </c>
      <c r="BS484" s="49">
        <f>IF(BV484="","",IF(COUNTIF($BV$6:BV484,BV484)=1,MAX($BS$5:BS483)+1,INDEX($BS$5:BS483,MATCH(BV484,$BV$5:BV483,0))))</f>
        <v/>
      </c>
      <c r="BT484" s="49">
        <f>IF(NOT(AND($A484&lt;&gt;"",$C484&lt;&gt;"DOOR ONLY")),"",MAX($BT$5:BT483)+1)</f>
        <v/>
      </c>
      <c r="BU484" s="49">
        <f>IF(NOT(AND($A484&lt;&gt;"",N($BC484)&gt;0)),"",MAX($BU$5:BU483)+1)</f>
        <v/>
      </c>
      <c r="BV484" s="49">
        <f>IF(OR($A484="",$BA484="",$BB484=""),"",$AZ484&amp;"|"&amp;$O484&amp;"|"&amp;$AL484&amp;"|"&amp;$S484&amp;"|"&amp;$P484&amp;"|"&amp;$Q484&amp;$R484&amp;"|"&amp;$C484&amp;"|"&amp;$AB484)</f>
        <v/>
      </c>
      <c r="BW484" s="49">
        <f>IF($A484="","",IF($B484="","qty, ","")&amp;IF($C484="","scope, ","")&amp;IF(OR($K484="",$M484=""),"size, ","")&amp;IF(AND($A484&lt;&gt;"",$C484&lt;&gt;"DOOR ONLY"),IF($U484="","jamb depth, ","")&amp;IF($X484="","construction, ","")&amp;IF($Y484="","anchor, ","")&amp;IF($S484="","frame type, ",""),"")&amp;IF(AND(N($BC484)&gt;0,$Z484=""),"hand, ","")&amp;IF(N($BC484)&gt;0,IF($AH484="","door material, ","")&amp;IF($AL484="","face type, ","")&amp;IF($AQ484="","lock prep, ","")&amp;IF(AND($AP484="",$AC484=""),"hinge prep, ",""),"")&amp;IF(AND($BO484&gt;0,$AH484="FRP"),"FRP cannot carry a label, ","")&amp;IF(AND($O484="Y",OR($Z484="L",$Z484="R",$Z484="LR",$Z484="RR")),"pair marked but hand is single, ","")&amp;IF(AND($O484&lt;&gt;"Y",OR($Z484="PR",AND(LEN($Z484)&gt;1,ISNUMBER(SEARCH("-",$Z484))))),"pair hand on a single door, ","")&amp;IF(AND(ISNUMBER($BP484),$BO484&lt;N($BP484)),"wall needs a "&amp;$BP484&amp;" min door, ","")&amp;IF(AND($BO484&gt;=180,AND(OR($BL484="FG",$BL484="HG",$BL484="FNV",$BL484="FV"),N($BM484)*N($BN484)&gt;100)),"180 min lite over 100 sq in, ","")&amp;IF(N($BD484)&gt;48,"leaf wider than 4'-0"&amp;CHAR(34)&amp;", ",""))</f>
        <v/>
      </c>
      <c r="BX484" s="49">
        <f>IF($A484="","",IF(AND($BO484&gt;0,AND($A484&lt;&gt;"",$C484&lt;&gt;"DOOR ONLY"),$X484="KD",$E484="EXTERIOR"),"KD label on an exterior opening, ","")&amp;IF(AND($E484="EXTERIOR",OR(AND(AND($A484&lt;&gt;"",$C484&lt;&gt;"DOOR ONLY"),$W484="CR"),AND(N($BC484)&gt;0,$AH484="CR"))),"exterior in CR steel (G9?), ","")&amp;IF(AND(ISNUMBER($BJ484),N($BJ484)&lt;32),"clear width ~"&amp;TEXT($BJ484,"0.0")&amp;CHAR(34)&amp;" under 32"&amp;CHAR(34)&amp;" (ADA), ","")&amp;IF(AND($BO484=90,AND(OR($BL484="FG",$BL484="HG",$BL484="FNV",$BL484="FV"),N($BM484)*N($BN484)&gt;100)),"90 min lite over 100 sq in (stair/exit), ","")&amp;IF(AND($BO484&gt;0,AND($A484&lt;&gt;"",$C484&lt;&gt;"DOOR ONLY"),OR($AF484="",$AF484="-")),"rated: closer reinf.?, ","")&amp;IF(OR($I484="CORRIDOR",$I484="SMOKE BARRIER"),"S label + smoke gasketing, ","")&amp;IF($BP484="?","wall type/hr not in IBC table, ","")&amp;IF(AND(N($BC484)&gt;0,$AU484=""),"no hardware set, ","")&amp;IF(AND($AU484&lt;&gt;"",ISNA(MATCH($AU484,HWSets,0))),"set "&amp;$AU484&amp;" not on Hardware sheet, ","")&amp;IF(N($BE484)&gt;96,"leaf over 8'-0"&amp;CHAR(34)&amp;" - check listing, ",""))</f>
        <v/>
      </c>
    </row>
    <row r="485" ht="15" customHeight="1">
      <c r="A485" s="44" t="n"/>
      <c r="B485" s="45" t="n"/>
      <c r="C485" s="45" t="n"/>
      <c r="D485" s="45" t="n"/>
      <c r="E485" s="45" t="n"/>
      <c r="F485" s="45" t="n"/>
      <c r="G485" s="45" t="n"/>
      <c r="H485" s="45" t="n"/>
      <c r="I485" s="45" t="n"/>
      <c r="J485" s="45" t="n"/>
      <c r="K485" s="45" t="n"/>
      <c r="L485" s="45" t="n"/>
      <c r="M485" s="45" t="n"/>
      <c r="N485" s="45" t="n"/>
      <c r="O485" s="45" t="n"/>
      <c r="P485" s="45" t="n"/>
      <c r="Q485" s="45" t="n"/>
      <c r="R485" s="45" t="n"/>
      <c r="S485" s="46" t="n"/>
      <c r="T485" s="46" t="n"/>
      <c r="U485" s="46" t="n"/>
      <c r="V485" s="46" t="n"/>
      <c r="W485" s="46" t="n"/>
      <c r="X485" s="46" t="n"/>
      <c r="Y485" s="46" t="n"/>
      <c r="Z485" s="46" t="n"/>
      <c r="AA485" s="46" t="n"/>
      <c r="AB485" s="46" t="n"/>
      <c r="AC485" s="46" t="n"/>
      <c r="AD485" s="46" t="n"/>
      <c r="AE485" s="46" t="n"/>
      <c r="AF485" s="46" t="n"/>
      <c r="AG485" s="46" t="n"/>
      <c r="AH485" s="47" t="n"/>
      <c r="AI485" s="47" t="n"/>
      <c r="AJ485" s="47" t="n"/>
      <c r="AK485" s="47" t="n"/>
      <c r="AL485" s="47" t="n"/>
      <c r="AM485" s="47" t="n"/>
      <c r="AN485" s="47" t="n"/>
      <c r="AO485" s="47" t="n"/>
      <c r="AP485" s="47" t="n"/>
      <c r="AQ485" s="47" t="n"/>
      <c r="AR485" s="47" t="n"/>
      <c r="AS485" s="47" t="n"/>
      <c r="AT485" s="47" t="n"/>
      <c r="AU485" s="48" t="n"/>
      <c r="AV485" s="48" t="n"/>
      <c r="AW485" s="49">
        <f>IF($A485="","",IF($BW485&lt;&gt;"","FIX",IF($BX485&lt;&gt;"","CHECK","OK")))</f>
        <v/>
      </c>
      <c r="AX485" s="50">
        <f>IF($A485="","",IF($BW485&lt;&gt;"","FIX: "&amp;LEFT($BW485,LEN($BW485)-2)&amp;IF($BX485&lt;&gt;"","  ·  ",""),"")&amp;IF($BX485&lt;&gt;"","CHECK: "&amp;LEFT($BX485,LEN($BX485)-2),""))</f>
        <v/>
      </c>
      <c r="AY485" s="49">
        <f>IF(OR($A485="",$K485=""),"",$K485&amp;"'-"&amp;N($L485)&amp;CHAR(34)&amp;" x "&amp;$M485&amp;"'-"&amp;N($N485)&amp;CHAR(34))</f>
        <v/>
      </c>
      <c r="AZ485" s="49">
        <f>IF(OR($A485="",$K485=""),"",$K485&amp;N($L485)&amp;$M485&amp;N($N485))</f>
        <v/>
      </c>
      <c r="BA485" s="49">
        <f>IF(OR($A485="",$K485=""),"",$K485*12+N($L485))</f>
        <v/>
      </c>
      <c r="BB485" s="49">
        <f>IF(OR($A485="",$M485=""),"",$M485*12+N($N485))</f>
        <v/>
      </c>
      <c r="BC485" s="49">
        <f>IF($A485="","",IF(OR($C485="FRAME ONLY",$S485="BL"),0,IF($O485="Y",2,1)))</f>
        <v/>
      </c>
      <c r="BD485" s="51">
        <f>IF(OR(N($BC485)=0,$BA485=""),"",($BA485-2*EdgeClr-IF($BC485=2,MeetClr,0))/$BC485)</f>
        <v/>
      </c>
      <c r="BE485" s="51">
        <f>IF(OR(N($BC485)=0,$BB485=""),"",$BB485-HeadClr-Undercut)</f>
        <v/>
      </c>
      <c r="BF485" s="51">
        <f>IF($BA485="","",$BA485+2*FaceW+IF(N($Q485)&gt;0,($Q485+FaceW)*IF($R485="LR",2,1),0))</f>
        <v/>
      </c>
      <c r="BG485" s="51">
        <f>IF($BB485="","",$BB485+IF($AB485="Y",4,FaceW)+IF(N($P485)&gt;0,$P485+FaceW,0)+IF(OR($S485="4F",$S485="BL"),FaceW,0))</f>
        <v/>
      </c>
      <c r="BH485" s="51">
        <f>IF($BF485="","",$BF485+2*ROSide)</f>
        <v/>
      </c>
      <c r="BI485" s="51">
        <f>IF($BG485="","",$BG485+ROTop)</f>
        <v/>
      </c>
      <c r="BJ485" s="52">
        <f>IF(OR(N($BC485)=0,$BA485=""),"",$BA485/$BC485-ClearDeduct)</f>
        <v/>
      </c>
      <c r="BK485" s="49">
        <f>IF(OR(N($BC485)=0,$BE485=""),"",IF(OR($AC485="HGC",$AP485="HGC"),"CONT",IF($BE485&lt;=60,2,IF($BE485&lt;=90,3,IF($BE485&lt;=120,4,5)))))</f>
        <v/>
      </c>
      <c r="BL485" s="49">
        <f>IF(N($BC485)=0,"",IF(OR($AL485="",$AL485="FLUSH"),"FLUSH",IFERROR(LEFT($AL485,FIND("-",$AL485)-1),LEFT($AL485,2))))</f>
        <v/>
      </c>
      <c r="BM485" s="49">
        <f>IF($BL485="","",IFERROR(VALUE(MID($AL485,FIND("-",$AL485)+1,FIND(CHAR(34)&amp;"x",$AL485)-FIND("-",$AL485)-1)),0))</f>
        <v/>
      </c>
      <c r="BN485" s="49">
        <f>IF($BL485="","",IFERROR(VALUE(MID($AL485,FIND(CHAR(34)&amp;"x",$AL485)+2,FIND(CHAR(34),$AL485,FIND(CHAR(34)&amp;"x",$AL485)+2)-FIND(CHAR(34)&amp;"x",$AL485)-2)),0))</f>
        <v/>
      </c>
      <c r="BO485" s="53">
        <f>IF(OR($A485="",$H485="",$H485="NO LAB"),0,IFERROR(VALUE(LEFT($H485,FIND(" ",$H485)-1)),0))</f>
        <v/>
      </c>
      <c r="BP485" s="54">
        <f>IF(OR($A485="",$I485="",$I485="NON-RATED",N($J485)=0),"",IFERROR(VLOOKUP($I485&amp;"|"&amp;$J485,IBC,2,FALSE),"?"))</f>
        <v/>
      </c>
      <c r="BQ485" s="50">
        <f>IF(NOT(AND($A485&lt;&gt;"",$C485&lt;&gt;"DOOR ONLY")),"",TRIM(IFERROR(VLOOKUP($U485,CODES,2,FALSE),"")&amp;" "&amp;$AZ485&amp;" "&amp;IFERROR(VLOOKUP($Z485,CODES,2,FALSE),"")&amp;" "&amp;IFERROR(VLOOKUP($X485,CODES,2,FALSE),"")&amp;" "&amp;IFERROR(VLOOKUP($S485,CODES,2,FALSE),"")&amp;IF(N($P485)&gt;0," w/TRANSOM "&amp;$P485&amp;CHAR(34),"")&amp;IF(N($Q485)&gt;0," w/SIDELITE "&amp;$Q485&amp;CHAR(34)&amp;" "&amp;IF($R485="","R",$R485),"")&amp;IF($Y485="","  |  "," | "&amp;IFERROR(VLOOKUP($Y485,CODES,2,FALSE),"")&amp;" | ")&amp;IFERROR(VLOOKUP($AC485,CODES,2,FALSE),"")&amp;" "&amp;IFERROR(VLOOKUP($AD485,CODES,2,FALSE),"")&amp;IF(OR($AE485="",$AE485="-"),""," "&amp;$AE485)&amp;IF(OR($AF485="",$AF485="-"),""," "&amp;$AF485)&amp;IF($AB485="Y"," 4"&amp;CHAR(34)&amp;" HEAD","")&amp;" "&amp;IFERROR(VLOOKUP($H485,CODES,2,FALSE),"")))</f>
        <v/>
      </c>
      <c r="BR485" s="50">
        <f>IF(NOT(AND($A485&lt;&gt;"",N($BC485)&gt;0)),"",TRIM(IFERROR(VLOOKUP($AH485,CODES,2,FALSE),"")&amp;IF($AI485=""," "," "&amp;$AI485&amp;"GA ")&amp;$AZ485&amp;" "&amp;IF($AN485="",IFERROR(VLOOKUP($Z485,CODES,2,FALSE),""),IFERROR(VLOOKUP($AN485,CODES,2,FALSE),""))&amp;IF($BC485=2," PAIR","")&amp;" DOOR | "&amp;IF($AL485="","?",$AL485)&amp;" | "&amp;IF($AP485="",IFERROR(VLOOKUP($AC485,CODES,2,FALSE),""),IFERROR(VLOOKUP($AP485,CODES,2,FALSE),""))&amp;" "&amp;IFERROR(VLOOKUP($AQ485,CODES,2,FALSE),"")&amp;IF(OR($AR485="",$AR485="-"),""," SEAM "&amp;$AR485)&amp;IF($AS485="Y"," ASTRAGAL","")&amp;IF($AJ485=""," "," "&amp;$AJ485)&amp;IF($AK485=""," "," "&amp;$AK485)&amp;IF($AO485="",""," "&amp;$AO485)&amp;IF($AM485=""," "," SERIES "&amp;$AM485)&amp;" "&amp;IFERROR(VLOOKUP($H485,CODES,2,FALSE),"")))</f>
        <v/>
      </c>
      <c r="BS485" s="49">
        <f>IF(BV485="","",IF(COUNTIF($BV$6:BV485,BV485)=1,MAX($BS$5:BS484)+1,INDEX($BS$5:BS484,MATCH(BV485,$BV$5:BV484,0))))</f>
        <v/>
      </c>
      <c r="BT485" s="49">
        <f>IF(NOT(AND($A485&lt;&gt;"",$C485&lt;&gt;"DOOR ONLY")),"",MAX($BT$5:BT484)+1)</f>
        <v/>
      </c>
      <c r="BU485" s="49">
        <f>IF(NOT(AND($A485&lt;&gt;"",N($BC485)&gt;0)),"",MAX($BU$5:BU484)+1)</f>
        <v/>
      </c>
      <c r="BV485" s="49">
        <f>IF(OR($A485="",$BA485="",$BB485=""),"",$AZ485&amp;"|"&amp;$O485&amp;"|"&amp;$AL485&amp;"|"&amp;$S485&amp;"|"&amp;$P485&amp;"|"&amp;$Q485&amp;$R485&amp;"|"&amp;$C485&amp;"|"&amp;$AB485)</f>
        <v/>
      </c>
      <c r="BW485" s="49">
        <f>IF($A485="","",IF($B485="","qty, ","")&amp;IF($C485="","scope, ","")&amp;IF(OR($K485="",$M485=""),"size, ","")&amp;IF(AND($A485&lt;&gt;"",$C485&lt;&gt;"DOOR ONLY"),IF($U485="","jamb depth, ","")&amp;IF($X485="","construction, ","")&amp;IF($Y485="","anchor, ","")&amp;IF($S485="","frame type, ",""),"")&amp;IF(AND(N($BC485)&gt;0,$Z485=""),"hand, ","")&amp;IF(N($BC485)&gt;0,IF($AH485="","door material, ","")&amp;IF($AL485="","face type, ","")&amp;IF($AQ485="","lock prep, ","")&amp;IF(AND($AP485="",$AC485=""),"hinge prep, ",""),"")&amp;IF(AND($BO485&gt;0,$AH485="FRP"),"FRP cannot carry a label, ","")&amp;IF(AND($O485="Y",OR($Z485="L",$Z485="R",$Z485="LR",$Z485="RR")),"pair marked but hand is single, ","")&amp;IF(AND($O485&lt;&gt;"Y",OR($Z485="PR",AND(LEN($Z485)&gt;1,ISNUMBER(SEARCH("-",$Z485))))),"pair hand on a single door, ","")&amp;IF(AND(ISNUMBER($BP485),$BO485&lt;N($BP485)),"wall needs a "&amp;$BP485&amp;" min door, ","")&amp;IF(AND($BO485&gt;=180,AND(OR($BL485="FG",$BL485="HG",$BL485="FNV",$BL485="FV"),N($BM485)*N($BN485)&gt;100)),"180 min lite over 100 sq in, ","")&amp;IF(N($BD485)&gt;48,"leaf wider than 4'-0"&amp;CHAR(34)&amp;", ",""))</f>
        <v/>
      </c>
      <c r="BX485" s="49">
        <f>IF($A485="","",IF(AND($BO485&gt;0,AND($A485&lt;&gt;"",$C485&lt;&gt;"DOOR ONLY"),$X485="KD",$E485="EXTERIOR"),"KD label on an exterior opening, ","")&amp;IF(AND($E485="EXTERIOR",OR(AND(AND($A485&lt;&gt;"",$C485&lt;&gt;"DOOR ONLY"),$W485="CR"),AND(N($BC485)&gt;0,$AH485="CR"))),"exterior in CR steel (G9?), ","")&amp;IF(AND(ISNUMBER($BJ485),N($BJ485)&lt;32),"clear width ~"&amp;TEXT($BJ485,"0.0")&amp;CHAR(34)&amp;" under 32"&amp;CHAR(34)&amp;" (ADA), ","")&amp;IF(AND($BO485=90,AND(OR($BL485="FG",$BL485="HG",$BL485="FNV",$BL485="FV"),N($BM485)*N($BN485)&gt;100)),"90 min lite over 100 sq in (stair/exit), ","")&amp;IF(AND($BO485&gt;0,AND($A485&lt;&gt;"",$C485&lt;&gt;"DOOR ONLY"),OR($AF485="",$AF485="-")),"rated: closer reinf.?, ","")&amp;IF(OR($I485="CORRIDOR",$I485="SMOKE BARRIER"),"S label + smoke gasketing, ","")&amp;IF($BP485="?","wall type/hr not in IBC table, ","")&amp;IF(AND(N($BC485)&gt;0,$AU485=""),"no hardware set, ","")&amp;IF(AND($AU485&lt;&gt;"",ISNA(MATCH($AU485,HWSets,0))),"set "&amp;$AU485&amp;" not on Hardware sheet, ","")&amp;IF(N($BE485)&gt;96,"leaf over 8'-0"&amp;CHAR(34)&amp;" - check listing, ",""))</f>
        <v/>
      </c>
    </row>
    <row r="486" ht="15" customHeight="1">
      <c r="A486" s="44" t="n"/>
      <c r="B486" s="45" t="n"/>
      <c r="C486" s="45" t="n"/>
      <c r="D486" s="45" t="n"/>
      <c r="E486" s="45" t="n"/>
      <c r="F486" s="45" t="n"/>
      <c r="G486" s="45" t="n"/>
      <c r="H486" s="45" t="n"/>
      <c r="I486" s="45" t="n"/>
      <c r="J486" s="45" t="n"/>
      <c r="K486" s="45" t="n"/>
      <c r="L486" s="45" t="n"/>
      <c r="M486" s="45" t="n"/>
      <c r="N486" s="45" t="n"/>
      <c r="O486" s="45" t="n"/>
      <c r="P486" s="45" t="n"/>
      <c r="Q486" s="45" t="n"/>
      <c r="R486" s="45" t="n"/>
      <c r="S486" s="46" t="n"/>
      <c r="T486" s="46" t="n"/>
      <c r="U486" s="46" t="n"/>
      <c r="V486" s="46" t="n"/>
      <c r="W486" s="46" t="n"/>
      <c r="X486" s="46" t="n"/>
      <c r="Y486" s="46" t="n"/>
      <c r="Z486" s="46" t="n"/>
      <c r="AA486" s="46" t="n"/>
      <c r="AB486" s="46" t="n"/>
      <c r="AC486" s="46" t="n"/>
      <c r="AD486" s="46" t="n"/>
      <c r="AE486" s="46" t="n"/>
      <c r="AF486" s="46" t="n"/>
      <c r="AG486" s="46" t="n"/>
      <c r="AH486" s="47" t="n"/>
      <c r="AI486" s="47" t="n"/>
      <c r="AJ486" s="47" t="n"/>
      <c r="AK486" s="47" t="n"/>
      <c r="AL486" s="47" t="n"/>
      <c r="AM486" s="47" t="n"/>
      <c r="AN486" s="47" t="n"/>
      <c r="AO486" s="47" t="n"/>
      <c r="AP486" s="47" t="n"/>
      <c r="AQ486" s="47" t="n"/>
      <c r="AR486" s="47" t="n"/>
      <c r="AS486" s="47" t="n"/>
      <c r="AT486" s="47" t="n"/>
      <c r="AU486" s="48" t="n"/>
      <c r="AV486" s="48" t="n"/>
      <c r="AW486" s="49">
        <f>IF($A486="","",IF($BW486&lt;&gt;"","FIX",IF($BX486&lt;&gt;"","CHECK","OK")))</f>
        <v/>
      </c>
      <c r="AX486" s="50">
        <f>IF($A486="","",IF($BW486&lt;&gt;"","FIX: "&amp;LEFT($BW486,LEN($BW486)-2)&amp;IF($BX486&lt;&gt;"","  ·  ",""),"")&amp;IF($BX486&lt;&gt;"","CHECK: "&amp;LEFT($BX486,LEN($BX486)-2),""))</f>
        <v/>
      </c>
      <c r="AY486" s="49">
        <f>IF(OR($A486="",$K486=""),"",$K486&amp;"'-"&amp;N($L486)&amp;CHAR(34)&amp;" x "&amp;$M486&amp;"'-"&amp;N($N486)&amp;CHAR(34))</f>
        <v/>
      </c>
      <c r="AZ486" s="49">
        <f>IF(OR($A486="",$K486=""),"",$K486&amp;N($L486)&amp;$M486&amp;N($N486))</f>
        <v/>
      </c>
      <c r="BA486" s="49">
        <f>IF(OR($A486="",$K486=""),"",$K486*12+N($L486))</f>
        <v/>
      </c>
      <c r="BB486" s="49">
        <f>IF(OR($A486="",$M486=""),"",$M486*12+N($N486))</f>
        <v/>
      </c>
      <c r="BC486" s="49">
        <f>IF($A486="","",IF(OR($C486="FRAME ONLY",$S486="BL"),0,IF($O486="Y",2,1)))</f>
        <v/>
      </c>
      <c r="BD486" s="51">
        <f>IF(OR(N($BC486)=0,$BA486=""),"",($BA486-2*EdgeClr-IF($BC486=2,MeetClr,0))/$BC486)</f>
        <v/>
      </c>
      <c r="BE486" s="51">
        <f>IF(OR(N($BC486)=0,$BB486=""),"",$BB486-HeadClr-Undercut)</f>
        <v/>
      </c>
      <c r="BF486" s="51">
        <f>IF($BA486="","",$BA486+2*FaceW+IF(N($Q486)&gt;0,($Q486+FaceW)*IF($R486="LR",2,1),0))</f>
        <v/>
      </c>
      <c r="BG486" s="51">
        <f>IF($BB486="","",$BB486+IF($AB486="Y",4,FaceW)+IF(N($P486)&gt;0,$P486+FaceW,0)+IF(OR($S486="4F",$S486="BL"),FaceW,0))</f>
        <v/>
      </c>
      <c r="BH486" s="51">
        <f>IF($BF486="","",$BF486+2*ROSide)</f>
        <v/>
      </c>
      <c r="BI486" s="51">
        <f>IF($BG486="","",$BG486+ROTop)</f>
        <v/>
      </c>
      <c r="BJ486" s="52">
        <f>IF(OR(N($BC486)=0,$BA486=""),"",$BA486/$BC486-ClearDeduct)</f>
        <v/>
      </c>
      <c r="BK486" s="49">
        <f>IF(OR(N($BC486)=0,$BE486=""),"",IF(OR($AC486="HGC",$AP486="HGC"),"CONT",IF($BE486&lt;=60,2,IF($BE486&lt;=90,3,IF($BE486&lt;=120,4,5)))))</f>
        <v/>
      </c>
      <c r="BL486" s="49">
        <f>IF(N($BC486)=0,"",IF(OR($AL486="",$AL486="FLUSH"),"FLUSH",IFERROR(LEFT($AL486,FIND("-",$AL486)-1),LEFT($AL486,2))))</f>
        <v/>
      </c>
      <c r="BM486" s="49">
        <f>IF($BL486="","",IFERROR(VALUE(MID($AL486,FIND("-",$AL486)+1,FIND(CHAR(34)&amp;"x",$AL486)-FIND("-",$AL486)-1)),0))</f>
        <v/>
      </c>
      <c r="BN486" s="49">
        <f>IF($BL486="","",IFERROR(VALUE(MID($AL486,FIND(CHAR(34)&amp;"x",$AL486)+2,FIND(CHAR(34),$AL486,FIND(CHAR(34)&amp;"x",$AL486)+2)-FIND(CHAR(34)&amp;"x",$AL486)-2)),0))</f>
        <v/>
      </c>
      <c r="BO486" s="53">
        <f>IF(OR($A486="",$H486="",$H486="NO LAB"),0,IFERROR(VALUE(LEFT($H486,FIND(" ",$H486)-1)),0))</f>
        <v/>
      </c>
      <c r="BP486" s="54">
        <f>IF(OR($A486="",$I486="",$I486="NON-RATED",N($J486)=0),"",IFERROR(VLOOKUP($I486&amp;"|"&amp;$J486,IBC,2,FALSE),"?"))</f>
        <v/>
      </c>
      <c r="BQ486" s="50">
        <f>IF(NOT(AND($A486&lt;&gt;"",$C486&lt;&gt;"DOOR ONLY")),"",TRIM(IFERROR(VLOOKUP($U486,CODES,2,FALSE),"")&amp;" "&amp;$AZ486&amp;" "&amp;IFERROR(VLOOKUP($Z486,CODES,2,FALSE),"")&amp;" "&amp;IFERROR(VLOOKUP($X486,CODES,2,FALSE),"")&amp;" "&amp;IFERROR(VLOOKUP($S486,CODES,2,FALSE),"")&amp;IF(N($P486)&gt;0," w/TRANSOM "&amp;$P486&amp;CHAR(34),"")&amp;IF(N($Q486)&gt;0," w/SIDELITE "&amp;$Q486&amp;CHAR(34)&amp;" "&amp;IF($R486="","R",$R486),"")&amp;IF($Y486="","  |  "," | "&amp;IFERROR(VLOOKUP($Y486,CODES,2,FALSE),"")&amp;" | ")&amp;IFERROR(VLOOKUP($AC486,CODES,2,FALSE),"")&amp;" "&amp;IFERROR(VLOOKUP($AD486,CODES,2,FALSE),"")&amp;IF(OR($AE486="",$AE486="-"),""," "&amp;$AE486)&amp;IF(OR($AF486="",$AF486="-"),""," "&amp;$AF486)&amp;IF($AB486="Y"," 4"&amp;CHAR(34)&amp;" HEAD","")&amp;" "&amp;IFERROR(VLOOKUP($H486,CODES,2,FALSE),"")))</f>
        <v/>
      </c>
      <c r="BR486" s="50">
        <f>IF(NOT(AND($A486&lt;&gt;"",N($BC486)&gt;0)),"",TRIM(IFERROR(VLOOKUP($AH486,CODES,2,FALSE),"")&amp;IF($AI486=""," "," "&amp;$AI486&amp;"GA ")&amp;$AZ486&amp;" "&amp;IF($AN486="",IFERROR(VLOOKUP($Z486,CODES,2,FALSE),""),IFERROR(VLOOKUP($AN486,CODES,2,FALSE),""))&amp;IF($BC486=2," PAIR","")&amp;" DOOR | "&amp;IF($AL486="","?",$AL486)&amp;" | "&amp;IF($AP486="",IFERROR(VLOOKUP($AC486,CODES,2,FALSE),""),IFERROR(VLOOKUP($AP486,CODES,2,FALSE),""))&amp;" "&amp;IFERROR(VLOOKUP($AQ486,CODES,2,FALSE),"")&amp;IF(OR($AR486="",$AR486="-"),""," SEAM "&amp;$AR486)&amp;IF($AS486="Y"," ASTRAGAL","")&amp;IF($AJ486=""," "," "&amp;$AJ486)&amp;IF($AK486=""," "," "&amp;$AK486)&amp;IF($AO486="",""," "&amp;$AO486)&amp;IF($AM486=""," "," SERIES "&amp;$AM486)&amp;" "&amp;IFERROR(VLOOKUP($H486,CODES,2,FALSE),"")))</f>
        <v/>
      </c>
      <c r="BS486" s="49">
        <f>IF(BV486="","",IF(COUNTIF($BV$6:BV486,BV486)=1,MAX($BS$5:BS485)+1,INDEX($BS$5:BS485,MATCH(BV486,$BV$5:BV485,0))))</f>
        <v/>
      </c>
      <c r="BT486" s="49">
        <f>IF(NOT(AND($A486&lt;&gt;"",$C486&lt;&gt;"DOOR ONLY")),"",MAX($BT$5:BT485)+1)</f>
        <v/>
      </c>
      <c r="BU486" s="49">
        <f>IF(NOT(AND($A486&lt;&gt;"",N($BC486)&gt;0)),"",MAX($BU$5:BU485)+1)</f>
        <v/>
      </c>
      <c r="BV486" s="49">
        <f>IF(OR($A486="",$BA486="",$BB486=""),"",$AZ486&amp;"|"&amp;$O486&amp;"|"&amp;$AL486&amp;"|"&amp;$S486&amp;"|"&amp;$P486&amp;"|"&amp;$Q486&amp;$R486&amp;"|"&amp;$C486&amp;"|"&amp;$AB486)</f>
        <v/>
      </c>
      <c r="BW486" s="49">
        <f>IF($A486="","",IF($B486="","qty, ","")&amp;IF($C486="","scope, ","")&amp;IF(OR($K486="",$M486=""),"size, ","")&amp;IF(AND($A486&lt;&gt;"",$C486&lt;&gt;"DOOR ONLY"),IF($U486="","jamb depth, ","")&amp;IF($X486="","construction, ","")&amp;IF($Y486="","anchor, ","")&amp;IF($S486="","frame type, ",""),"")&amp;IF(AND(N($BC486)&gt;0,$Z486=""),"hand, ","")&amp;IF(N($BC486)&gt;0,IF($AH486="","door material, ","")&amp;IF($AL486="","face type, ","")&amp;IF($AQ486="","lock prep, ","")&amp;IF(AND($AP486="",$AC486=""),"hinge prep, ",""),"")&amp;IF(AND($BO486&gt;0,$AH486="FRP"),"FRP cannot carry a label, ","")&amp;IF(AND($O486="Y",OR($Z486="L",$Z486="R",$Z486="LR",$Z486="RR")),"pair marked but hand is single, ","")&amp;IF(AND($O486&lt;&gt;"Y",OR($Z486="PR",AND(LEN($Z486)&gt;1,ISNUMBER(SEARCH("-",$Z486))))),"pair hand on a single door, ","")&amp;IF(AND(ISNUMBER($BP486),$BO486&lt;N($BP486)),"wall needs a "&amp;$BP486&amp;" min door, ","")&amp;IF(AND($BO486&gt;=180,AND(OR($BL486="FG",$BL486="HG",$BL486="FNV",$BL486="FV"),N($BM486)*N($BN486)&gt;100)),"180 min lite over 100 sq in, ","")&amp;IF(N($BD486)&gt;48,"leaf wider than 4'-0"&amp;CHAR(34)&amp;", ",""))</f>
        <v/>
      </c>
      <c r="BX486" s="49">
        <f>IF($A486="","",IF(AND($BO486&gt;0,AND($A486&lt;&gt;"",$C486&lt;&gt;"DOOR ONLY"),$X486="KD",$E486="EXTERIOR"),"KD label on an exterior opening, ","")&amp;IF(AND($E486="EXTERIOR",OR(AND(AND($A486&lt;&gt;"",$C486&lt;&gt;"DOOR ONLY"),$W486="CR"),AND(N($BC486)&gt;0,$AH486="CR"))),"exterior in CR steel (G9?), ","")&amp;IF(AND(ISNUMBER($BJ486),N($BJ486)&lt;32),"clear width ~"&amp;TEXT($BJ486,"0.0")&amp;CHAR(34)&amp;" under 32"&amp;CHAR(34)&amp;" (ADA), ","")&amp;IF(AND($BO486=90,AND(OR($BL486="FG",$BL486="HG",$BL486="FNV",$BL486="FV"),N($BM486)*N($BN486)&gt;100)),"90 min lite over 100 sq in (stair/exit), ","")&amp;IF(AND($BO486&gt;0,AND($A486&lt;&gt;"",$C486&lt;&gt;"DOOR ONLY"),OR($AF486="",$AF486="-")),"rated: closer reinf.?, ","")&amp;IF(OR($I486="CORRIDOR",$I486="SMOKE BARRIER"),"S label + smoke gasketing, ","")&amp;IF($BP486="?","wall type/hr not in IBC table, ","")&amp;IF(AND(N($BC486)&gt;0,$AU486=""),"no hardware set, ","")&amp;IF(AND($AU486&lt;&gt;"",ISNA(MATCH($AU486,HWSets,0))),"set "&amp;$AU486&amp;" not on Hardware sheet, ","")&amp;IF(N($BE486)&gt;96,"leaf over 8'-0"&amp;CHAR(34)&amp;" - check listing, ",""))</f>
        <v/>
      </c>
    </row>
    <row r="487" ht="15" customHeight="1">
      <c r="A487" s="44" t="n"/>
      <c r="B487" s="45" t="n"/>
      <c r="C487" s="45" t="n"/>
      <c r="D487" s="45" t="n"/>
      <c r="E487" s="45" t="n"/>
      <c r="F487" s="45" t="n"/>
      <c r="G487" s="45" t="n"/>
      <c r="H487" s="45" t="n"/>
      <c r="I487" s="45" t="n"/>
      <c r="J487" s="45" t="n"/>
      <c r="K487" s="45" t="n"/>
      <c r="L487" s="45" t="n"/>
      <c r="M487" s="45" t="n"/>
      <c r="N487" s="45" t="n"/>
      <c r="O487" s="45" t="n"/>
      <c r="P487" s="45" t="n"/>
      <c r="Q487" s="45" t="n"/>
      <c r="R487" s="45" t="n"/>
      <c r="S487" s="46" t="n"/>
      <c r="T487" s="46" t="n"/>
      <c r="U487" s="46" t="n"/>
      <c r="V487" s="46" t="n"/>
      <c r="W487" s="46" t="n"/>
      <c r="X487" s="46" t="n"/>
      <c r="Y487" s="46" t="n"/>
      <c r="Z487" s="46" t="n"/>
      <c r="AA487" s="46" t="n"/>
      <c r="AB487" s="46" t="n"/>
      <c r="AC487" s="46" t="n"/>
      <c r="AD487" s="46" t="n"/>
      <c r="AE487" s="46" t="n"/>
      <c r="AF487" s="46" t="n"/>
      <c r="AG487" s="46" t="n"/>
      <c r="AH487" s="47" t="n"/>
      <c r="AI487" s="47" t="n"/>
      <c r="AJ487" s="47" t="n"/>
      <c r="AK487" s="47" t="n"/>
      <c r="AL487" s="47" t="n"/>
      <c r="AM487" s="47" t="n"/>
      <c r="AN487" s="47" t="n"/>
      <c r="AO487" s="47" t="n"/>
      <c r="AP487" s="47" t="n"/>
      <c r="AQ487" s="47" t="n"/>
      <c r="AR487" s="47" t="n"/>
      <c r="AS487" s="47" t="n"/>
      <c r="AT487" s="47" t="n"/>
      <c r="AU487" s="48" t="n"/>
      <c r="AV487" s="48" t="n"/>
      <c r="AW487" s="49">
        <f>IF($A487="","",IF($BW487&lt;&gt;"","FIX",IF($BX487&lt;&gt;"","CHECK","OK")))</f>
        <v/>
      </c>
      <c r="AX487" s="50">
        <f>IF($A487="","",IF($BW487&lt;&gt;"","FIX: "&amp;LEFT($BW487,LEN($BW487)-2)&amp;IF($BX487&lt;&gt;"","  ·  ",""),"")&amp;IF($BX487&lt;&gt;"","CHECK: "&amp;LEFT($BX487,LEN($BX487)-2),""))</f>
        <v/>
      </c>
      <c r="AY487" s="49">
        <f>IF(OR($A487="",$K487=""),"",$K487&amp;"'-"&amp;N($L487)&amp;CHAR(34)&amp;" x "&amp;$M487&amp;"'-"&amp;N($N487)&amp;CHAR(34))</f>
        <v/>
      </c>
      <c r="AZ487" s="49">
        <f>IF(OR($A487="",$K487=""),"",$K487&amp;N($L487)&amp;$M487&amp;N($N487))</f>
        <v/>
      </c>
      <c r="BA487" s="49">
        <f>IF(OR($A487="",$K487=""),"",$K487*12+N($L487))</f>
        <v/>
      </c>
      <c r="BB487" s="49">
        <f>IF(OR($A487="",$M487=""),"",$M487*12+N($N487))</f>
        <v/>
      </c>
      <c r="BC487" s="49">
        <f>IF($A487="","",IF(OR($C487="FRAME ONLY",$S487="BL"),0,IF($O487="Y",2,1)))</f>
        <v/>
      </c>
      <c r="BD487" s="51">
        <f>IF(OR(N($BC487)=0,$BA487=""),"",($BA487-2*EdgeClr-IF($BC487=2,MeetClr,0))/$BC487)</f>
        <v/>
      </c>
      <c r="BE487" s="51">
        <f>IF(OR(N($BC487)=0,$BB487=""),"",$BB487-HeadClr-Undercut)</f>
        <v/>
      </c>
      <c r="BF487" s="51">
        <f>IF($BA487="","",$BA487+2*FaceW+IF(N($Q487)&gt;0,($Q487+FaceW)*IF($R487="LR",2,1),0))</f>
        <v/>
      </c>
      <c r="BG487" s="51">
        <f>IF($BB487="","",$BB487+IF($AB487="Y",4,FaceW)+IF(N($P487)&gt;0,$P487+FaceW,0)+IF(OR($S487="4F",$S487="BL"),FaceW,0))</f>
        <v/>
      </c>
      <c r="BH487" s="51">
        <f>IF($BF487="","",$BF487+2*ROSide)</f>
        <v/>
      </c>
      <c r="BI487" s="51">
        <f>IF($BG487="","",$BG487+ROTop)</f>
        <v/>
      </c>
      <c r="BJ487" s="52">
        <f>IF(OR(N($BC487)=0,$BA487=""),"",$BA487/$BC487-ClearDeduct)</f>
        <v/>
      </c>
      <c r="BK487" s="49">
        <f>IF(OR(N($BC487)=0,$BE487=""),"",IF(OR($AC487="HGC",$AP487="HGC"),"CONT",IF($BE487&lt;=60,2,IF($BE487&lt;=90,3,IF($BE487&lt;=120,4,5)))))</f>
        <v/>
      </c>
      <c r="BL487" s="49">
        <f>IF(N($BC487)=0,"",IF(OR($AL487="",$AL487="FLUSH"),"FLUSH",IFERROR(LEFT($AL487,FIND("-",$AL487)-1),LEFT($AL487,2))))</f>
        <v/>
      </c>
      <c r="BM487" s="49">
        <f>IF($BL487="","",IFERROR(VALUE(MID($AL487,FIND("-",$AL487)+1,FIND(CHAR(34)&amp;"x",$AL487)-FIND("-",$AL487)-1)),0))</f>
        <v/>
      </c>
      <c r="BN487" s="49">
        <f>IF($BL487="","",IFERROR(VALUE(MID($AL487,FIND(CHAR(34)&amp;"x",$AL487)+2,FIND(CHAR(34),$AL487,FIND(CHAR(34)&amp;"x",$AL487)+2)-FIND(CHAR(34)&amp;"x",$AL487)-2)),0))</f>
        <v/>
      </c>
      <c r="BO487" s="53">
        <f>IF(OR($A487="",$H487="",$H487="NO LAB"),0,IFERROR(VALUE(LEFT($H487,FIND(" ",$H487)-1)),0))</f>
        <v/>
      </c>
      <c r="BP487" s="54">
        <f>IF(OR($A487="",$I487="",$I487="NON-RATED",N($J487)=0),"",IFERROR(VLOOKUP($I487&amp;"|"&amp;$J487,IBC,2,FALSE),"?"))</f>
        <v/>
      </c>
      <c r="BQ487" s="50">
        <f>IF(NOT(AND($A487&lt;&gt;"",$C487&lt;&gt;"DOOR ONLY")),"",TRIM(IFERROR(VLOOKUP($U487,CODES,2,FALSE),"")&amp;" "&amp;$AZ487&amp;" "&amp;IFERROR(VLOOKUP($Z487,CODES,2,FALSE),"")&amp;" "&amp;IFERROR(VLOOKUP($X487,CODES,2,FALSE),"")&amp;" "&amp;IFERROR(VLOOKUP($S487,CODES,2,FALSE),"")&amp;IF(N($P487)&gt;0," w/TRANSOM "&amp;$P487&amp;CHAR(34),"")&amp;IF(N($Q487)&gt;0," w/SIDELITE "&amp;$Q487&amp;CHAR(34)&amp;" "&amp;IF($R487="","R",$R487),"")&amp;IF($Y487="","  |  "," | "&amp;IFERROR(VLOOKUP($Y487,CODES,2,FALSE),"")&amp;" | ")&amp;IFERROR(VLOOKUP($AC487,CODES,2,FALSE),"")&amp;" "&amp;IFERROR(VLOOKUP($AD487,CODES,2,FALSE),"")&amp;IF(OR($AE487="",$AE487="-"),""," "&amp;$AE487)&amp;IF(OR($AF487="",$AF487="-"),""," "&amp;$AF487)&amp;IF($AB487="Y"," 4"&amp;CHAR(34)&amp;" HEAD","")&amp;" "&amp;IFERROR(VLOOKUP($H487,CODES,2,FALSE),"")))</f>
        <v/>
      </c>
      <c r="BR487" s="50">
        <f>IF(NOT(AND($A487&lt;&gt;"",N($BC487)&gt;0)),"",TRIM(IFERROR(VLOOKUP($AH487,CODES,2,FALSE),"")&amp;IF($AI487=""," "," "&amp;$AI487&amp;"GA ")&amp;$AZ487&amp;" "&amp;IF($AN487="",IFERROR(VLOOKUP($Z487,CODES,2,FALSE),""),IFERROR(VLOOKUP($AN487,CODES,2,FALSE),""))&amp;IF($BC487=2," PAIR","")&amp;" DOOR | "&amp;IF($AL487="","?",$AL487)&amp;" | "&amp;IF($AP487="",IFERROR(VLOOKUP($AC487,CODES,2,FALSE),""),IFERROR(VLOOKUP($AP487,CODES,2,FALSE),""))&amp;" "&amp;IFERROR(VLOOKUP($AQ487,CODES,2,FALSE),"")&amp;IF(OR($AR487="",$AR487="-"),""," SEAM "&amp;$AR487)&amp;IF($AS487="Y"," ASTRAGAL","")&amp;IF($AJ487=""," "," "&amp;$AJ487)&amp;IF($AK487=""," "," "&amp;$AK487)&amp;IF($AO487="",""," "&amp;$AO487)&amp;IF($AM487=""," "," SERIES "&amp;$AM487)&amp;" "&amp;IFERROR(VLOOKUP($H487,CODES,2,FALSE),"")))</f>
        <v/>
      </c>
      <c r="BS487" s="49">
        <f>IF(BV487="","",IF(COUNTIF($BV$6:BV487,BV487)=1,MAX($BS$5:BS486)+1,INDEX($BS$5:BS486,MATCH(BV487,$BV$5:BV486,0))))</f>
        <v/>
      </c>
      <c r="BT487" s="49">
        <f>IF(NOT(AND($A487&lt;&gt;"",$C487&lt;&gt;"DOOR ONLY")),"",MAX($BT$5:BT486)+1)</f>
        <v/>
      </c>
      <c r="BU487" s="49">
        <f>IF(NOT(AND($A487&lt;&gt;"",N($BC487)&gt;0)),"",MAX($BU$5:BU486)+1)</f>
        <v/>
      </c>
      <c r="BV487" s="49">
        <f>IF(OR($A487="",$BA487="",$BB487=""),"",$AZ487&amp;"|"&amp;$O487&amp;"|"&amp;$AL487&amp;"|"&amp;$S487&amp;"|"&amp;$P487&amp;"|"&amp;$Q487&amp;$R487&amp;"|"&amp;$C487&amp;"|"&amp;$AB487)</f>
        <v/>
      </c>
      <c r="BW487" s="49">
        <f>IF($A487="","",IF($B487="","qty, ","")&amp;IF($C487="","scope, ","")&amp;IF(OR($K487="",$M487=""),"size, ","")&amp;IF(AND($A487&lt;&gt;"",$C487&lt;&gt;"DOOR ONLY"),IF($U487="","jamb depth, ","")&amp;IF($X487="","construction, ","")&amp;IF($Y487="","anchor, ","")&amp;IF($S487="","frame type, ",""),"")&amp;IF(AND(N($BC487)&gt;0,$Z487=""),"hand, ","")&amp;IF(N($BC487)&gt;0,IF($AH487="","door material, ","")&amp;IF($AL487="","face type, ","")&amp;IF($AQ487="","lock prep, ","")&amp;IF(AND($AP487="",$AC487=""),"hinge prep, ",""),"")&amp;IF(AND($BO487&gt;0,$AH487="FRP"),"FRP cannot carry a label, ","")&amp;IF(AND($O487="Y",OR($Z487="L",$Z487="R",$Z487="LR",$Z487="RR")),"pair marked but hand is single, ","")&amp;IF(AND($O487&lt;&gt;"Y",OR($Z487="PR",AND(LEN($Z487)&gt;1,ISNUMBER(SEARCH("-",$Z487))))),"pair hand on a single door, ","")&amp;IF(AND(ISNUMBER($BP487),$BO487&lt;N($BP487)),"wall needs a "&amp;$BP487&amp;" min door, ","")&amp;IF(AND($BO487&gt;=180,AND(OR($BL487="FG",$BL487="HG",$BL487="FNV",$BL487="FV"),N($BM487)*N($BN487)&gt;100)),"180 min lite over 100 sq in, ","")&amp;IF(N($BD487)&gt;48,"leaf wider than 4'-0"&amp;CHAR(34)&amp;", ",""))</f>
        <v/>
      </c>
      <c r="BX487" s="49">
        <f>IF($A487="","",IF(AND($BO487&gt;0,AND($A487&lt;&gt;"",$C487&lt;&gt;"DOOR ONLY"),$X487="KD",$E487="EXTERIOR"),"KD label on an exterior opening, ","")&amp;IF(AND($E487="EXTERIOR",OR(AND(AND($A487&lt;&gt;"",$C487&lt;&gt;"DOOR ONLY"),$W487="CR"),AND(N($BC487)&gt;0,$AH487="CR"))),"exterior in CR steel (G9?), ","")&amp;IF(AND(ISNUMBER($BJ487),N($BJ487)&lt;32),"clear width ~"&amp;TEXT($BJ487,"0.0")&amp;CHAR(34)&amp;" under 32"&amp;CHAR(34)&amp;" (ADA), ","")&amp;IF(AND($BO487=90,AND(OR($BL487="FG",$BL487="HG",$BL487="FNV",$BL487="FV"),N($BM487)*N($BN487)&gt;100)),"90 min lite over 100 sq in (stair/exit), ","")&amp;IF(AND($BO487&gt;0,AND($A487&lt;&gt;"",$C487&lt;&gt;"DOOR ONLY"),OR($AF487="",$AF487="-")),"rated: closer reinf.?, ","")&amp;IF(OR($I487="CORRIDOR",$I487="SMOKE BARRIER"),"S label + smoke gasketing, ","")&amp;IF($BP487="?","wall type/hr not in IBC table, ","")&amp;IF(AND(N($BC487)&gt;0,$AU487=""),"no hardware set, ","")&amp;IF(AND($AU487&lt;&gt;"",ISNA(MATCH($AU487,HWSets,0))),"set "&amp;$AU487&amp;" not on Hardware sheet, ","")&amp;IF(N($BE487)&gt;96,"leaf over 8'-0"&amp;CHAR(34)&amp;" - check listing, ",""))</f>
        <v/>
      </c>
    </row>
    <row r="488" ht="15" customHeight="1">
      <c r="A488" s="44" t="n"/>
      <c r="B488" s="45" t="n"/>
      <c r="C488" s="45" t="n"/>
      <c r="D488" s="45" t="n"/>
      <c r="E488" s="45" t="n"/>
      <c r="F488" s="45" t="n"/>
      <c r="G488" s="45" t="n"/>
      <c r="H488" s="45" t="n"/>
      <c r="I488" s="45" t="n"/>
      <c r="J488" s="45" t="n"/>
      <c r="K488" s="45" t="n"/>
      <c r="L488" s="45" t="n"/>
      <c r="M488" s="45" t="n"/>
      <c r="N488" s="45" t="n"/>
      <c r="O488" s="45" t="n"/>
      <c r="P488" s="45" t="n"/>
      <c r="Q488" s="45" t="n"/>
      <c r="R488" s="45" t="n"/>
      <c r="S488" s="46" t="n"/>
      <c r="T488" s="46" t="n"/>
      <c r="U488" s="46" t="n"/>
      <c r="V488" s="46" t="n"/>
      <c r="W488" s="46" t="n"/>
      <c r="X488" s="46" t="n"/>
      <c r="Y488" s="46" t="n"/>
      <c r="Z488" s="46" t="n"/>
      <c r="AA488" s="46" t="n"/>
      <c r="AB488" s="46" t="n"/>
      <c r="AC488" s="46" t="n"/>
      <c r="AD488" s="46" t="n"/>
      <c r="AE488" s="46" t="n"/>
      <c r="AF488" s="46" t="n"/>
      <c r="AG488" s="46" t="n"/>
      <c r="AH488" s="47" t="n"/>
      <c r="AI488" s="47" t="n"/>
      <c r="AJ488" s="47" t="n"/>
      <c r="AK488" s="47" t="n"/>
      <c r="AL488" s="47" t="n"/>
      <c r="AM488" s="47" t="n"/>
      <c r="AN488" s="47" t="n"/>
      <c r="AO488" s="47" t="n"/>
      <c r="AP488" s="47" t="n"/>
      <c r="AQ488" s="47" t="n"/>
      <c r="AR488" s="47" t="n"/>
      <c r="AS488" s="47" t="n"/>
      <c r="AT488" s="47" t="n"/>
      <c r="AU488" s="48" t="n"/>
      <c r="AV488" s="48" t="n"/>
      <c r="AW488" s="49">
        <f>IF($A488="","",IF($BW488&lt;&gt;"","FIX",IF($BX488&lt;&gt;"","CHECK","OK")))</f>
        <v/>
      </c>
      <c r="AX488" s="50">
        <f>IF($A488="","",IF($BW488&lt;&gt;"","FIX: "&amp;LEFT($BW488,LEN($BW488)-2)&amp;IF($BX488&lt;&gt;"","  ·  ",""),"")&amp;IF($BX488&lt;&gt;"","CHECK: "&amp;LEFT($BX488,LEN($BX488)-2),""))</f>
        <v/>
      </c>
      <c r="AY488" s="49">
        <f>IF(OR($A488="",$K488=""),"",$K488&amp;"'-"&amp;N($L488)&amp;CHAR(34)&amp;" x "&amp;$M488&amp;"'-"&amp;N($N488)&amp;CHAR(34))</f>
        <v/>
      </c>
      <c r="AZ488" s="49">
        <f>IF(OR($A488="",$K488=""),"",$K488&amp;N($L488)&amp;$M488&amp;N($N488))</f>
        <v/>
      </c>
      <c r="BA488" s="49">
        <f>IF(OR($A488="",$K488=""),"",$K488*12+N($L488))</f>
        <v/>
      </c>
      <c r="BB488" s="49">
        <f>IF(OR($A488="",$M488=""),"",$M488*12+N($N488))</f>
        <v/>
      </c>
      <c r="BC488" s="49">
        <f>IF($A488="","",IF(OR($C488="FRAME ONLY",$S488="BL"),0,IF($O488="Y",2,1)))</f>
        <v/>
      </c>
      <c r="BD488" s="51">
        <f>IF(OR(N($BC488)=0,$BA488=""),"",($BA488-2*EdgeClr-IF($BC488=2,MeetClr,0))/$BC488)</f>
        <v/>
      </c>
      <c r="BE488" s="51">
        <f>IF(OR(N($BC488)=0,$BB488=""),"",$BB488-HeadClr-Undercut)</f>
        <v/>
      </c>
      <c r="BF488" s="51">
        <f>IF($BA488="","",$BA488+2*FaceW+IF(N($Q488)&gt;0,($Q488+FaceW)*IF($R488="LR",2,1),0))</f>
        <v/>
      </c>
      <c r="BG488" s="51">
        <f>IF($BB488="","",$BB488+IF($AB488="Y",4,FaceW)+IF(N($P488)&gt;0,$P488+FaceW,0)+IF(OR($S488="4F",$S488="BL"),FaceW,0))</f>
        <v/>
      </c>
      <c r="BH488" s="51">
        <f>IF($BF488="","",$BF488+2*ROSide)</f>
        <v/>
      </c>
      <c r="BI488" s="51">
        <f>IF($BG488="","",$BG488+ROTop)</f>
        <v/>
      </c>
      <c r="BJ488" s="52">
        <f>IF(OR(N($BC488)=0,$BA488=""),"",$BA488/$BC488-ClearDeduct)</f>
        <v/>
      </c>
      <c r="BK488" s="49">
        <f>IF(OR(N($BC488)=0,$BE488=""),"",IF(OR($AC488="HGC",$AP488="HGC"),"CONT",IF($BE488&lt;=60,2,IF($BE488&lt;=90,3,IF($BE488&lt;=120,4,5)))))</f>
        <v/>
      </c>
      <c r="BL488" s="49">
        <f>IF(N($BC488)=0,"",IF(OR($AL488="",$AL488="FLUSH"),"FLUSH",IFERROR(LEFT($AL488,FIND("-",$AL488)-1),LEFT($AL488,2))))</f>
        <v/>
      </c>
      <c r="BM488" s="49">
        <f>IF($BL488="","",IFERROR(VALUE(MID($AL488,FIND("-",$AL488)+1,FIND(CHAR(34)&amp;"x",$AL488)-FIND("-",$AL488)-1)),0))</f>
        <v/>
      </c>
      <c r="BN488" s="49">
        <f>IF($BL488="","",IFERROR(VALUE(MID($AL488,FIND(CHAR(34)&amp;"x",$AL488)+2,FIND(CHAR(34),$AL488,FIND(CHAR(34)&amp;"x",$AL488)+2)-FIND(CHAR(34)&amp;"x",$AL488)-2)),0))</f>
        <v/>
      </c>
      <c r="BO488" s="53">
        <f>IF(OR($A488="",$H488="",$H488="NO LAB"),0,IFERROR(VALUE(LEFT($H488,FIND(" ",$H488)-1)),0))</f>
        <v/>
      </c>
      <c r="BP488" s="54">
        <f>IF(OR($A488="",$I488="",$I488="NON-RATED",N($J488)=0),"",IFERROR(VLOOKUP($I488&amp;"|"&amp;$J488,IBC,2,FALSE),"?"))</f>
        <v/>
      </c>
      <c r="BQ488" s="50">
        <f>IF(NOT(AND($A488&lt;&gt;"",$C488&lt;&gt;"DOOR ONLY")),"",TRIM(IFERROR(VLOOKUP($U488,CODES,2,FALSE),"")&amp;" "&amp;$AZ488&amp;" "&amp;IFERROR(VLOOKUP($Z488,CODES,2,FALSE),"")&amp;" "&amp;IFERROR(VLOOKUP($X488,CODES,2,FALSE),"")&amp;" "&amp;IFERROR(VLOOKUP($S488,CODES,2,FALSE),"")&amp;IF(N($P488)&gt;0," w/TRANSOM "&amp;$P488&amp;CHAR(34),"")&amp;IF(N($Q488)&gt;0," w/SIDELITE "&amp;$Q488&amp;CHAR(34)&amp;" "&amp;IF($R488="","R",$R488),"")&amp;IF($Y488="","  |  "," | "&amp;IFERROR(VLOOKUP($Y488,CODES,2,FALSE),"")&amp;" | ")&amp;IFERROR(VLOOKUP($AC488,CODES,2,FALSE),"")&amp;" "&amp;IFERROR(VLOOKUP($AD488,CODES,2,FALSE),"")&amp;IF(OR($AE488="",$AE488="-"),""," "&amp;$AE488)&amp;IF(OR($AF488="",$AF488="-"),""," "&amp;$AF488)&amp;IF($AB488="Y"," 4"&amp;CHAR(34)&amp;" HEAD","")&amp;" "&amp;IFERROR(VLOOKUP($H488,CODES,2,FALSE),"")))</f>
        <v/>
      </c>
      <c r="BR488" s="50">
        <f>IF(NOT(AND($A488&lt;&gt;"",N($BC488)&gt;0)),"",TRIM(IFERROR(VLOOKUP($AH488,CODES,2,FALSE),"")&amp;IF($AI488=""," "," "&amp;$AI488&amp;"GA ")&amp;$AZ488&amp;" "&amp;IF($AN488="",IFERROR(VLOOKUP($Z488,CODES,2,FALSE),""),IFERROR(VLOOKUP($AN488,CODES,2,FALSE),""))&amp;IF($BC488=2," PAIR","")&amp;" DOOR | "&amp;IF($AL488="","?",$AL488)&amp;" | "&amp;IF($AP488="",IFERROR(VLOOKUP($AC488,CODES,2,FALSE),""),IFERROR(VLOOKUP($AP488,CODES,2,FALSE),""))&amp;" "&amp;IFERROR(VLOOKUP($AQ488,CODES,2,FALSE),"")&amp;IF(OR($AR488="",$AR488="-"),""," SEAM "&amp;$AR488)&amp;IF($AS488="Y"," ASTRAGAL","")&amp;IF($AJ488=""," "," "&amp;$AJ488)&amp;IF($AK488=""," "," "&amp;$AK488)&amp;IF($AO488="",""," "&amp;$AO488)&amp;IF($AM488=""," "," SERIES "&amp;$AM488)&amp;" "&amp;IFERROR(VLOOKUP($H488,CODES,2,FALSE),"")))</f>
        <v/>
      </c>
      <c r="BS488" s="49">
        <f>IF(BV488="","",IF(COUNTIF($BV$6:BV488,BV488)=1,MAX($BS$5:BS487)+1,INDEX($BS$5:BS487,MATCH(BV488,$BV$5:BV487,0))))</f>
        <v/>
      </c>
      <c r="BT488" s="49">
        <f>IF(NOT(AND($A488&lt;&gt;"",$C488&lt;&gt;"DOOR ONLY")),"",MAX($BT$5:BT487)+1)</f>
        <v/>
      </c>
      <c r="BU488" s="49">
        <f>IF(NOT(AND($A488&lt;&gt;"",N($BC488)&gt;0)),"",MAX($BU$5:BU487)+1)</f>
        <v/>
      </c>
      <c r="BV488" s="49">
        <f>IF(OR($A488="",$BA488="",$BB488=""),"",$AZ488&amp;"|"&amp;$O488&amp;"|"&amp;$AL488&amp;"|"&amp;$S488&amp;"|"&amp;$P488&amp;"|"&amp;$Q488&amp;$R488&amp;"|"&amp;$C488&amp;"|"&amp;$AB488)</f>
        <v/>
      </c>
      <c r="BW488" s="49">
        <f>IF($A488="","",IF($B488="","qty, ","")&amp;IF($C488="","scope, ","")&amp;IF(OR($K488="",$M488=""),"size, ","")&amp;IF(AND($A488&lt;&gt;"",$C488&lt;&gt;"DOOR ONLY"),IF($U488="","jamb depth, ","")&amp;IF($X488="","construction, ","")&amp;IF($Y488="","anchor, ","")&amp;IF($S488="","frame type, ",""),"")&amp;IF(AND(N($BC488)&gt;0,$Z488=""),"hand, ","")&amp;IF(N($BC488)&gt;0,IF($AH488="","door material, ","")&amp;IF($AL488="","face type, ","")&amp;IF($AQ488="","lock prep, ","")&amp;IF(AND($AP488="",$AC488=""),"hinge prep, ",""),"")&amp;IF(AND($BO488&gt;0,$AH488="FRP"),"FRP cannot carry a label, ","")&amp;IF(AND($O488="Y",OR($Z488="L",$Z488="R",$Z488="LR",$Z488="RR")),"pair marked but hand is single, ","")&amp;IF(AND($O488&lt;&gt;"Y",OR($Z488="PR",AND(LEN($Z488)&gt;1,ISNUMBER(SEARCH("-",$Z488))))),"pair hand on a single door, ","")&amp;IF(AND(ISNUMBER($BP488),$BO488&lt;N($BP488)),"wall needs a "&amp;$BP488&amp;" min door, ","")&amp;IF(AND($BO488&gt;=180,AND(OR($BL488="FG",$BL488="HG",$BL488="FNV",$BL488="FV"),N($BM488)*N($BN488)&gt;100)),"180 min lite over 100 sq in, ","")&amp;IF(N($BD488)&gt;48,"leaf wider than 4'-0"&amp;CHAR(34)&amp;", ",""))</f>
        <v/>
      </c>
      <c r="BX488" s="49">
        <f>IF($A488="","",IF(AND($BO488&gt;0,AND($A488&lt;&gt;"",$C488&lt;&gt;"DOOR ONLY"),$X488="KD",$E488="EXTERIOR"),"KD label on an exterior opening, ","")&amp;IF(AND($E488="EXTERIOR",OR(AND(AND($A488&lt;&gt;"",$C488&lt;&gt;"DOOR ONLY"),$W488="CR"),AND(N($BC488)&gt;0,$AH488="CR"))),"exterior in CR steel (G9?), ","")&amp;IF(AND(ISNUMBER($BJ488),N($BJ488)&lt;32),"clear width ~"&amp;TEXT($BJ488,"0.0")&amp;CHAR(34)&amp;" under 32"&amp;CHAR(34)&amp;" (ADA), ","")&amp;IF(AND($BO488=90,AND(OR($BL488="FG",$BL488="HG",$BL488="FNV",$BL488="FV"),N($BM488)*N($BN488)&gt;100)),"90 min lite over 100 sq in (stair/exit), ","")&amp;IF(AND($BO488&gt;0,AND($A488&lt;&gt;"",$C488&lt;&gt;"DOOR ONLY"),OR($AF488="",$AF488="-")),"rated: closer reinf.?, ","")&amp;IF(OR($I488="CORRIDOR",$I488="SMOKE BARRIER"),"S label + smoke gasketing, ","")&amp;IF($BP488="?","wall type/hr not in IBC table, ","")&amp;IF(AND(N($BC488)&gt;0,$AU488=""),"no hardware set, ","")&amp;IF(AND($AU488&lt;&gt;"",ISNA(MATCH($AU488,HWSets,0))),"set "&amp;$AU488&amp;" not on Hardware sheet, ","")&amp;IF(N($BE488)&gt;96,"leaf over 8'-0"&amp;CHAR(34)&amp;" - check listing, ",""))</f>
        <v/>
      </c>
    </row>
    <row r="489" ht="15" customHeight="1">
      <c r="A489" s="44" t="n"/>
      <c r="B489" s="45" t="n"/>
      <c r="C489" s="45" t="n"/>
      <c r="D489" s="45" t="n"/>
      <c r="E489" s="45" t="n"/>
      <c r="F489" s="45" t="n"/>
      <c r="G489" s="45" t="n"/>
      <c r="H489" s="45" t="n"/>
      <c r="I489" s="45" t="n"/>
      <c r="J489" s="45" t="n"/>
      <c r="K489" s="45" t="n"/>
      <c r="L489" s="45" t="n"/>
      <c r="M489" s="45" t="n"/>
      <c r="N489" s="45" t="n"/>
      <c r="O489" s="45" t="n"/>
      <c r="P489" s="45" t="n"/>
      <c r="Q489" s="45" t="n"/>
      <c r="R489" s="45" t="n"/>
      <c r="S489" s="46" t="n"/>
      <c r="T489" s="46" t="n"/>
      <c r="U489" s="46" t="n"/>
      <c r="V489" s="46" t="n"/>
      <c r="W489" s="46" t="n"/>
      <c r="X489" s="46" t="n"/>
      <c r="Y489" s="46" t="n"/>
      <c r="Z489" s="46" t="n"/>
      <c r="AA489" s="46" t="n"/>
      <c r="AB489" s="46" t="n"/>
      <c r="AC489" s="46" t="n"/>
      <c r="AD489" s="46" t="n"/>
      <c r="AE489" s="46" t="n"/>
      <c r="AF489" s="46" t="n"/>
      <c r="AG489" s="46" t="n"/>
      <c r="AH489" s="47" t="n"/>
      <c r="AI489" s="47" t="n"/>
      <c r="AJ489" s="47" t="n"/>
      <c r="AK489" s="47" t="n"/>
      <c r="AL489" s="47" t="n"/>
      <c r="AM489" s="47" t="n"/>
      <c r="AN489" s="47" t="n"/>
      <c r="AO489" s="47" t="n"/>
      <c r="AP489" s="47" t="n"/>
      <c r="AQ489" s="47" t="n"/>
      <c r="AR489" s="47" t="n"/>
      <c r="AS489" s="47" t="n"/>
      <c r="AT489" s="47" t="n"/>
      <c r="AU489" s="48" t="n"/>
      <c r="AV489" s="48" t="n"/>
      <c r="AW489" s="49">
        <f>IF($A489="","",IF($BW489&lt;&gt;"","FIX",IF($BX489&lt;&gt;"","CHECK","OK")))</f>
        <v/>
      </c>
      <c r="AX489" s="50">
        <f>IF($A489="","",IF($BW489&lt;&gt;"","FIX: "&amp;LEFT($BW489,LEN($BW489)-2)&amp;IF($BX489&lt;&gt;"","  ·  ",""),"")&amp;IF($BX489&lt;&gt;"","CHECK: "&amp;LEFT($BX489,LEN($BX489)-2),""))</f>
        <v/>
      </c>
      <c r="AY489" s="49">
        <f>IF(OR($A489="",$K489=""),"",$K489&amp;"'-"&amp;N($L489)&amp;CHAR(34)&amp;" x "&amp;$M489&amp;"'-"&amp;N($N489)&amp;CHAR(34))</f>
        <v/>
      </c>
      <c r="AZ489" s="49">
        <f>IF(OR($A489="",$K489=""),"",$K489&amp;N($L489)&amp;$M489&amp;N($N489))</f>
        <v/>
      </c>
      <c r="BA489" s="49">
        <f>IF(OR($A489="",$K489=""),"",$K489*12+N($L489))</f>
        <v/>
      </c>
      <c r="BB489" s="49">
        <f>IF(OR($A489="",$M489=""),"",$M489*12+N($N489))</f>
        <v/>
      </c>
      <c r="BC489" s="49">
        <f>IF($A489="","",IF(OR($C489="FRAME ONLY",$S489="BL"),0,IF($O489="Y",2,1)))</f>
        <v/>
      </c>
      <c r="BD489" s="51">
        <f>IF(OR(N($BC489)=0,$BA489=""),"",($BA489-2*EdgeClr-IF($BC489=2,MeetClr,0))/$BC489)</f>
        <v/>
      </c>
      <c r="BE489" s="51">
        <f>IF(OR(N($BC489)=0,$BB489=""),"",$BB489-HeadClr-Undercut)</f>
        <v/>
      </c>
      <c r="BF489" s="51">
        <f>IF($BA489="","",$BA489+2*FaceW+IF(N($Q489)&gt;0,($Q489+FaceW)*IF($R489="LR",2,1),0))</f>
        <v/>
      </c>
      <c r="BG489" s="51">
        <f>IF($BB489="","",$BB489+IF($AB489="Y",4,FaceW)+IF(N($P489)&gt;0,$P489+FaceW,0)+IF(OR($S489="4F",$S489="BL"),FaceW,0))</f>
        <v/>
      </c>
      <c r="BH489" s="51">
        <f>IF($BF489="","",$BF489+2*ROSide)</f>
        <v/>
      </c>
      <c r="BI489" s="51">
        <f>IF($BG489="","",$BG489+ROTop)</f>
        <v/>
      </c>
      <c r="BJ489" s="52">
        <f>IF(OR(N($BC489)=0,$BA489=""),"",$BA489/$BC489-ClearDeduct)</f>
        <v/>
      </c>
      <c r="BK489" s="49">
        <f>IF(OR(N($BC489)=0,$BE489=""),"",IF(OR($AC489="HGC",$AP489="HGC"),"CONT",IF($BE489&lt;=60,2,IF($BE489&lt;=90,3,IF($BE489&lt;=120,4,5)))))</f>
        <v/>
      </c>
      <c r="BL489" s="49">
        <f>IF(N($BC489)=0,"",IF(OR($AL489="",$AL489="FLUSH"),"FLUSH",IFERROR(LEFT($AL489,FIND("-",$AL489)-1),LEFT($AL489,2))))</f>
        <v/>
      </c>
      <c r="BM489" s="49">
        <f>IF($BL489="","",IFERROR(VALUE(MID($AL489,FIND("-",$AL489)+1,FIND(CHAR(34)&amp;"x",$AL489)-FIND("-",$AL489)-1)),0))</f>
        <v/>
      </c>
      <c r="BN489" s="49">
        <f>IF($BL489="","",IFERROR(VALUE(MID($AL489,FIND(CHAR(34)&amp;"x",$AL489)+2,FIND(CHAR(34),$AL489,FIND(CHAR(34)&amp;"x",$AL489)+2)-FIND(CHAR(34)&amp;"x",$AL489)-2)),0))</f>
        <v/>
      </c>
      <c r="BO489" s="53">
        <f>IF(OR($A489="",$H489="",$H489="NO LAB"),0,IFERROR(VALUE(LEFT($H489,FIND(" ",$H489)-1)),0))</f>
        <v/>
      </c>
      <c r="BP489" s="54">
        <f>IF(OR($A489="",$I489="",$I489="NON-RATED",N($J489)=0),"",IFERROR(VLOOKUP($I489&amp;"|"&amp;$J489,IBC,2,FALSE),"?"))</f>
        <v/>
      </c>
      <c r="BQ489" s="50">
        <f>IF(NOT(AND($A489&lt;&gt;"",$C489&lt;&gt;"DOOR ONLY")),"",TRIM(IFERROR(VLOOKUP($U489,CODES,2,FALSE),"")&amp;" "&amp;$AZ489&amp;" "&amp;IFERROR(VLOOKUP($Z489,CODES,2,FALSE),"")&amp;" "&amp;IFERROR(VLOOKUP($X489,CODES,2,FALSE),"")&amp;" "&amp;IFERROR(VLOOKUP($S489,CODES,2,FALSE),"")&amp;IF(N($P489)&gt;0," w/TRANSOM "&amp;$P489&amp;CHAR(34),"")&amp;IF(N($Q489)&gt;0," w/SIDELITE "&amp;$Q489&amp;CHAR(34)&amp;" "&amp;IF($R489="","R",$R489),"")&amp;IF($Y489="","  |  "," | "&amp;IFERROR(VLOOKUP($Y489,CODES,2,FALSE),"")&amp;" | ")&amp;IFERROR(VLOOKUP($AC489,CODES,2,FALSE),"")&amp;" "&amp;IFERROR(VLOOKUP($AD489,CODES,2,FALSE),"")&amp;IF(OR($AE489="",$AE489="-"),""," "&amp;$AE489)&amp;IF(OR($AF489="",$AF489="-"),""," "&amp;$AF489)&amp;IF($AB489="Y"," 4"&amp;CHAR(34)&amp;" HEAD","")&amp;" "&amp;IFERROR(VLOOKUP($H489,CODES,2,FALSE),"")))</f>
        <v/>
      </c>
      <c r="BR489" s="50">
        <f>IF(NOT(AND($A489&lt;&gt;"",N($BC489)&gt;0)),"",TRIM(IFERROR(VLOOKUP($AH489,CODES,2,FALSE),"")&amp;IF($AI489=""," "," "&amp;$AI489&amp;"GA ")&amp;$AZ489&amp;" "&amp;IF($AN489="",IFERROR(VLOOKUP($Z489,CODES,2,FALSE),""),IFERROR(VLOOKUP($AN489,CODES,2,FALSE),""))&amp;IF($BC489=2," PAIR","")&amp;" DOOR | "&amp;IF($AL489="","?",$AL489)&amp;" | "&amp;IF($AP489="",IFERROR(VLOOKUP($AC489,CODES,2,FALSE),""),IFERROR(VLOOKUP($AP489,CODES,2,FALSE),""))&amp;" "&amp;IFERROR(VLOOKUP($AQ489,CODES,2,FALSE),"")&amp;IF(OR($AR489="",$AR489="-"),""," SEAM "&amp;$AR489)&amp;IF($AS489="Y"," ASTRAGAL","")&amp;IF($AJ489=""," "," "&amp;$AJ489)&amp;IF($AK489=""," "," "&amp;$AK489)&amp;IF($AO489="",""," "&amp;$AO489)&amp;IF($AM489=""," "," SERIES "&amp;$AM489)&amp;" "&amp;IFERROR(VLOOKUP($H489,CODES,2,FALSE),"")))</f>
        <v/>
      </c>
      <c r="BS489" s="49">
        <f>IF(BV489="","",IF(COUNTIF($BV$6:BV489,BV489)=1,MAX($BS$5:BS488)+1,INDEX($BS$5:BS488,MATCH(BV489,$BV$5:BV488,0))))</f>
        <v/>
      </c>
      <c r="BT489" s="49">
        <f>IF(NOT(AND($A489&lt;&gt;"",$C489&lt;&gt;"DOOR ONLY")),"",MAX($BT$5:BT488)+1)</f>
        <v/>
      </c>
      <c r="BU489" s="49">
        <f>IF(NOT(AND($A489&lt;&gt;"",N($BC489)&gt;0)),"",MAX($BU$5:BU488)+1)</f>
        <v/>
      </c>
      <c r="BV489" s="49">
        <f>IF(OR($A489="",$BA489="",$BB489=""),"",$AZ489&amp;"|"&amp;$O489&amp;"|"&amp;$AL489&amp;"|"&amp;$S489&amp;"|"&amp;$P489&amp;"|"&amp;$Q489&amp;$R489&amp;"|"&amp;$C489&amp;"|"&amp;$AB489)</f>
        <v/>
      </c>
      <c r="BW489" s="49">
        <f>IF($A489="","",IF($B489="","qty, ","")&amp;IF($C489="","scope, ","")&amp;IF(OR($K489="",$M489=""),"size, ","")&amp;IF(AND($A489&lt;&gt;"",$C489&lt;&gt;"DOOR ONLY"),IF($U489="","jamb depth, ","")&amp;IF($X489="","construction, ","")&amp;IF($Y489="","anchor, ","")&amp;IF($S489="","frame type, ",""),"")&amp;IF(AND(N($BC489)&gt;0,$Z489=""),"hand, ","")&amp;IF(N($BC489)&gt;0,IF($AH489="","door material, ","")&amp;IF($AL489="","face type, ","")&amp;IF($AQ489="","lock prep, ","")&amp;IF(AND($AP489="",$AC489=""),"hinge prep, ",""),"")&amp;IF(AND($BO489&gt;0,$AH489="FRP"),"FRP cannot carry a label, ","")&amp;IF(AND($O489="Y",OR($Z489="L",$Z489="R",$Z489="LR",$Z489="RR")),"pair marked but hand is single, ","")&amp;IF(AND($O489&lt;&gt;"Y",OR($Z489="PR",AND(LEN($Z489)&gt;1,ISNUMBER(SEARCH("-",$Z489))))),"pair hand on a single door, ","")&amp;IF(AND(ISNUMBER($BP489),$BO489&lt;N($BP489)),"wall needs a "&amp;$BP489&amp;" min door, ","")&amp;IF(AND($BO489&gt;=180,AND(OR($BL489="FG",$BL489="HG",$BL489="FNV",$BL489="FV"),N($BM489)*N($BN489)&gt;100)),"180 min lite over 100 sq in, ","")&amp;IF(N($BD489)&gt;48,"leaf wider than 4'-0"&amp;CHAR(34)&amp;", ",""))</f>
        <v/>
      </c>
      <c r="BX489" s="49">
        <f>IF($A489="","",IF(AND($BO489&gt;0,AND($A489&lt;&gt;"",$C489&lt;&gt;"DOOR ONLY"),$X489="KD",$E489="EXTERIOR"),"KD label on an exterior opening, ","")&amp;IF(AND($E489="EXTERIOR",OR(AND(AND($A489&lt;&gt;"",$C489&lt;&gt;"DOOR ONLY"),$W489="CR"),AND(N($BC489)&gt;0,$AH489="CR"))),"exterior in CR steel (G9?), ","")&amp;IF(AND(ISNUMBER($BJ489),N($BJ489)&lt;32),"clear width ~"&amp;TEXT($BJ489,"0.0")&amp;CHAR(34)&amp;" under 32"&amp;CHAR(34)&amp;" (ADA), ","")&amp;IF(AND($BO489=90,AND(OR($BL489="FG",$BL489="HG",$BL489="FNV",$BL489="FV"),N($BM489)*N($BN489)&gt;100)),"90 min lite over 100 sq in (stair/exit), ","")&amp;IF(AND($BO489&gt;0,AND($A489&lt;&gt;"",$C489&lt;&gt;"DOOR ONLY"),OR($AF489="",$AF489="-")),"rated: closer reinf.?, ","")&amp;IF(OR($I489="CORRIDOR",$I489="SMOKE BARRIER"),"S label + smoke gasketing, ","")&amp;IF($BP489="?","wall type/hr not in IBC table, ","")&amp;IF(AND(N($BC489)&gt;0,$AU489=""),"no hardware set, ","")&amp;IF(AND($AU489&lt;&gt;"",ISNA(MATCH($AU489,HWSets,0))),"set "&amp;$AU489&amp;" not on Hardware sheet, ","")&amp;IF(N($BE489)&gt;96,"leaf over 8'-0"&amp;CHAR(34)&amp;" - check listing, ",""))</f>
        <v/>
      </c>
    </row>
    <row r="490" ht="15" customHeight="1">
      <c r="A490" s="44" t="n"/>
      <c r="B490" s="45" t="n"/>
      <c r="C490" s="45" t="n"/>
      <c r="D490" s="45" t="n"/>
      <c r="E490" s="45" t="n"/>
      <c r="F490" s="45" t="n"/>
      <c r="G490" s="45" t="n"/>
      <c r="H490" s="45" t="n"/>
      <c r="I490" s="45" t="n"/>
      <c r="J490" s="45" t="n"/>
      <c r="K490" s="45" t="n"/>
      <c r="L490" s="45" t="n"/>
      <c r="M490" s="45" t="n"/>
      <c r="N490" s="45" t="n"/>
      <c r="O490" s="45" t="n"/>
      <c r="P490" s="45" t="n"/>
      <c r="Q490" s="45" t="n"/>
      <c r="R490" s="45" t="n"/>
      <c r="S490" s="46" t="n"/>
      <c r="T490" s="46" t="n"/>
      <c r="U490" s="46" t="n"/>
      <c r="V490" s="46" t="n"/>
      <c r="W490" s="46" t="n"/>
      <c r="X490" s="46" t="n"/>
      <c r="Y490" s="46" t="n"/>
      <c r="Z490" s="46" t="n"/>
      <c r="AA490" s="46" t="n"/>
      <c r="AB490" s="46" t="n"/>
      <c r="AC490" s="46" t="n"/>
      <c r="AD490" s="46" t="n"/>
      <c r="AE490" s="46" t="n"/>
      <c r="AF490" s="46" t="n"/>
      <c r="AG490" s="46" t="n"/>
      <c r="AH490" s="47" t="n"/>
      <c r="AI490" s="47" t="n"/>
      <c r="AJ490" s="47" t="n"/>
      <c r="AK490" s="47" t="n"/>
      <c r="AL490" s="47" t="n"/>
      <c r="AM490" s="47" t="n"/>
      <c r="AN490" s="47" t="n"/>
      <c r="AO490" s="47" t="n"/>
      <c r="AP490" s="47" t="n"/>
      <c r="AQ490" s="47" t="n"/>
      <c r="AR490" s="47" t="n"/>
      <c r="AS490" s="47" t="n"/>
      <c r="AT490" s="47" t="n"/>
      <c r="AU490" s="48" t="n"/>
      <c r="AV490" s="48" t="n"/>
      <c r="AW490" s="49">
        <f>IF($A490="","",IF($BW490&lt;&gt;"","FIX",IF($BX490&lt;&gt;"","CHECK","OK")))</f>
        <v/>
      </c>
      <c r="AX490" s="50">
        <f>IF($A490="","",IF($BW490&lt;&gt;"","FIX: "&amp;LEFT($BW490,LEN($BW490)-2)&amp;IF($BX490&lt;&gt;"","  ·  ",""),"")&amp;IF($BX490&lt;&gt;"","CHECK: "&amp;LEFT($BX490,LEN($BX490)-2),""))</f>
        <v/>
      </c>
      <c r="AY490" s="49">
        <f>IF(OR($A490="",$K490=""),"",$K490&amp;"'-"&amp;N($L490)&amp;CHAR(34)&amp;" x "&amp;$M490&amp;"'-"&amp;N($N490)&amp;CHAR(34))</f>
        <v/>
      </c>
      <c r="AZ490" s="49">
        <f>IF(OR($A490="",$K490=""),"",$K490&amp;N($L490)&amp;$M490&amp;N($N490))</f>
        <v/>
      </c>
      <c r="BA490" s="49">
        <f>IF(OR($A490="",$K490=""),"",$K490*12+N($L490))</f>
        <v/>
      </c>
      <c r="BB490" s="49">
        <f>IF(OR($A490="",$M490=""),"",$M490*12+N($N490))</f>
        <v/>
      </c>
      <c r="BC490" s="49">
        <f>IF($A490="","",IF(OR($C490="FRAME ONLY",$S490="BL"),0,IF($O490="Y",2,1)))</f>
        <v/>
      </c>
      <c r="BD490" s="51">
        <f>IF(OR(N($BC490)=0,$BA490=""),"",($BA490-2*EdgeClr-IF($BC490=2,MeetClr,0))/$BC490)</f>
        <v/>
      </c>
      <c r="BE490" s="51">
        <f>IF(OR(N($BC490)=0,$BB490=""),"",$BB490-HeadClr-Undercut)</f>
        <v/>
      </c>
      <c r="BF490" s="51">
        <f>IF($BA490="","",$BA490+2*FaceW+IF(N($Q490)&gt;0,($Q490+FaceW)*IF($R490="LR",2,1),0))</f>
        <v/>
      </c>
      <c r="BG490" s="51">
        <f>IF($BB490="","",$BB490+IF($AB490="Y",4,FaceW)+IF(N($P490)&gt;0,$P490+FaceW,0)+IF(OR($S490="4F",$S490="BL"),FaceW,0))</f>
        <v/>
      </c>
      <c r="BH490" s="51">
        <f>IF($BF490="","",$BF490+2*ROSide)</f>
        <v/>
      </c>
      <c r="BI490" s="51">
        <f>IF($BG490="","",$BG490+ROTop)</f>
        <v/>
      </c>
      <c r="BJ490" s="52">
        <f>IF(OR(N($BC490)=0,$BA490=""),"",$BA490/$BC490-ClearDeduct)</f>
        <v/>
      </c>
      <c r="BK490" s="49">
        <f>IF(OR(N($BC490)=0,$BE490=""),"",IF(OR($AC490="HGC",$AP490="HGC"),"CONT",IF($BE490&lt;=60,2,IF($BE490&lt;=90,3,IF($BE490&lt;=120,4,5)))))</f>
        <v/>
      </c>
      <c r="BL490" s="49">
        <f>IF(N($BC490)=0,"",IF(OR($AL490="",$AL490="FLUSH"),"FLUSH",IFERROR(LEFT($AL490,FIND("-",$AL490)-1),LEFT($AL490,2))))</f>
        <v/>
      </c>
      <c r="BM490" s="49">
        <f>IF($BL490="","",IFERROR(VALUE(MID($AL490,FIND("-",$AL490)+1,FIND(CHAR(34)&amp;"x",$AL490)-FIND("-",$AL490)-1)),0))</f>
        <v/>
      </c>
      <c r="BN490" s="49">
        <f>IF($BL490="","",IFERROR(VALUE(MID($AL490,FIND(CHAR(34)&amp;"x",$AL490)+2,FIND(CHAR(34),$AL490,FIND(CHAR(34)&amp;"x",$AL490)+2)-FIND(CHAR(34)&amp;"x",$AL490)-2)),0))</f>
        <v/>
      </c>
      <c r="BO490" s="53">
        <f>IF(OR($A490="",$H490="",$H490="NO LAB"),0,IFERROR(VALUE(LEFT($H490,FIND(" ",$H490)-1)),0))</f>
        <v/>
      </c>
      <c r="BP490" s="54">
        <f>IF(OR($A490="",$I490="",$I490="NON-RATED",N($J490)=0),"",IFERROR(VLOOKUP($I490&amp;"|"&amp;$J490,IBC,2,FALSE),"?"))</f>
        <v/>
      </c>
      <c r="BQ490" s="50">
        <f>IF(NOT(AND($A490&lt;&gt;"",$C490&lt;&gt;"DOOR ONLY")),"",TRIM(IFERROR(VLOOKUP($U490,CODES,2,FALSE),"")&amp;" "&amp;$AZ490&amp;" "&amp;IFERROR(VLOOKUP($Z490,CODES,2,FALSE),"")&amp;" "&amp;IFERROR(VLOOKUP($X490,CODES,2,FALSE),"")&amp;" "&amp;IFERROR(VLOOKUP($S490,CODES,2,FALSE),"")&amp;IF(N($P490)&gt;0," w/TRANSOM "&amp;$P490&amp;CHAR(34),"")&amp;IF(N($Q490)&gt;0," w/SIDELITE "&amp;$Q490&amp;CHAR(34)&amp;" "&amp;IF($R490="","R",$R490),"")&amp;IF($Y490="","  |  "," | "&amp;IFERROR(VLOOKUP($Y490,CODES,2,FALSE),"")&amp;" | ")&amp;IFERROR(VLOOKUP($AC490,CODES,2,FALSE),"")&amp;" "&amp;IFERROR(VLOOKUP($AD490,CODES,2,FALSE),"")&amp;IF(OR($AE490="",$AE490="-"),""," "&amp;$AE490)&amp;IF(OR($AF490="",$AF490="-"),""," "&amp;$AF490)&amp;IF($AB490="Y"," 4"&amp;CHAR(34)&amp;" HEAD","")&amp;" "&amp;IFERROR(VLOOKUP($H490,CODES,2,FALSE),"")))</f>
        <v/>
      </c>
      <c r="BR490" s="50">
        <f>IF(NOT(AND($A490&lt;&gt;"",N($BC490)&gt;0)),"",TRIM(IFERROR(VLOOKUP($AH490,CODES,2,FALSE),"")&amp;IF($AI490=""," "," "&amp;$AI490&amp;"GA ")&amp;$AZ490&amp;" "&amp;IF($AN490="",IFERROR(VLOOKUP($Z490,CODES,2,FALSE),""),IFERROR(VLOOKUP($AN490,CODES,2,FALSE),""))&amp;IF($BC490=2," PAIR","")&amp;" DOOR | "&amp;IF($AL490="","?",$AL490)&amp;" | "&amp;IF($AP490="",IFERROR(VLOOKUP($AC490,CODES,2,FALSE),""),IFERROR(VLOOKUP($AP490,CODES,2,FALSE),""))&amp;" "&amp;IFERROR(VLOOKUP($AQ490,CODES,2,FALSE),"")&amp;IF(OR($AR490="",$AR490="-"),""," SEAM "&amp;$AR490)&amp;IF($AS490="Y"," ASTRAGAL","")&amp;IF($AJ490=""," "," "&amp;$AJ490)&amp;IF($AK490=""," "," "&amp;$AK490)&amp;IF($AO490="",""," "&amp;$AO490)&amp;IF($AM490=""," "," SERIES "&amp;$AM490)&amp;" "&amp;IFERROR(VLOOKUP($H490,CODES,2,FALSE),"")))</f>
        <v/>
      </c>
      <c r="BS490" s="49">
        <f>IF(BV490="","",IF(COUNTIF($BV$6:BV490,BV490)=1,MAX($BS$5:BS489)+1,INDEX($BS$5:BS489,MATCH(BV490,$BV$5:BV489,0))))</f>
        <v/>
      </c>
      <c r="BT490" s="49">
        <f>IF(NOT(AND($A490&lt;&gt;"",$C490&lt;&gt;"DOOR ONLY")),"",MAX($BT$5:BT489)+1)</f>
        <v/>
      </c>
      <c r="BU490" s="49">
        <f>IF(NOT(AND($A490&lt;&gt;"",N($BC490)&gt;0)),"",MAX($BU$5:BU489)+1)</f>
        <v/>
      </c>
      <c r="BV490" s="49">
        <f>IF(OR($A490="",$BA490="",$BB490=""),"",$AZ490&amp;"|"&amp;$O490&amp;"|"&amp;$AL490&amp;"|"&amp;$S490&amp;"|"&amp;$P490&amp;"|"&amp;$Q490&amp;$R490&amp;"|"&amp;$C490&amp;"|"&amp;$AB490)</f>
        <v/>
      </c>
      <c r="BW490" s="49">
        <f>IF($A490="","",IF($B490="","qty, ","")&amp;IF($C490="","scope, ","")&amp;IF(OR($K490="",$M490=""),"size, ","")&amp;IF(AND($A490&lt;&gt;"",$C490&lt;&gt;"DOOR ONLY"),IF($U490="","jamb depth, ","")&amp;IF($X490="","construction, ","")&amp;IF($Y490="","anchor, ","")&amp;IF($S490="","frame type, ",""),"")&amp;IF(AND(N($BC490)&gt;0,$Z490=""),"hand, ","")&amp;IF(N($BC490)&gt;0,IF($AH490="","door material, ","")&amp;IF($AL490="","face type, ","")&amp;IF($AQ490="","lock prep, ","")&amp;IF(AND($AP490="",$AC490=""),"hinge prep, ",""),"")&amp;IF(AND($BO490&gt;0,$AH490="FRP"),"FRP cannot carry a label, ","")&amp;IF(AND($O490="Y",OR($Z490="L",$Z490="R",$Z490="LR",$Z490="RR")),"pair marked but hand is single, ","")&amp;IF(AND($O490&lt;&gt;"Y",OR($Z490="PR",AND(LEN($Z490)&gt;1,ISNUMBER(SEARCH("-",$Z490))))),"pair hand on a single door, ","")&amp;IF(AND(ISNUMBER($BP490),$BO490&lt;N($BP490)),"wall needs a "&amp;$BP490&amp;" min door, ","")&amp;IF(AND($BO490&gt;=180,AND(OR($BL490="FG",$BL490="HG",$BL490="FNV",$BL490="FV"),N($BM490)*N($BN490)&gt;100)),"180 min lite over 100 sq in, ","")&amp;IF(N($BD490)&gt;48,"leaf wider than 4'-0"&amp;CHAR(34)&amp;", ",""))</f>
        <v/>
      </c>
      <c r="BX490" s="49">
        <f>IF($A490="","",IF(AND($BO490&gt;0,AND($A490&lt;&gt;"",$C490&lt;&gt;"DOOR ONLY"),$X490="KD",$E490="EXTERIOR"),"KD label on an exterior opening, ","")&amp;IF(AND($E490="EXTERIOR",OR(AND(AND($A490&lt;&gt;"",$C490&lt;&gt;"DOOR ONLY"),$W490="CR"),AND(N($BC490)&gt;0,$AH490="CR"))),"exterior in CR steel (G9?), ","")&amp;IF(AND(ISNUMBER($BJ490),N($BJ490)&lt;32),"clear width ~"&amp;TEXT($BJ490,"0.0")&amp;CHAR(34)&amp;" under 32"&amp;CHAR(34)&amp;" (ADA), ","")&amp;IF(AND($BO490=90,AND(OR($BL490="FG",$BL490="HG",$BL490="FNV",$BL490="FV"),N($BM490)*N($BN490)&gt;100)),"90 min lite over 100 sq in (stair/exit), ","")&amp;IF(AND($BO490&gt;0,AND($A490&lt;&gt;"",$C490&lt;&gt;"DOOR ONLY"),OR($AF490="",$AF490="-")),"rated: closer reinf.?, ","")&amp;IF(OR($I490="CORRIDOR",$I490="SMOKE BARRIER"),"S label + smoke gasketing, ","")&amp;IF($BP490="?","wall type/hr not in IBC table, ","")&amp;IF(AND(N($BC490)&gt;0,$AU490=""),"no hardware set, ","")&amp;IF(AND($AU490&lt;&gt;"",ISNA(MATCH($AU490,HWSets,0))),"set "&amp;$AU490&amp;" not on Hardware sheet, ","")&amp;IF(N($BE490)&gt;96,"leaf over 8'-0"&amp;CHAR(34)&amp;" - check listing, ",""))</f>
        <v/>
      </c>
    </row>
    <row r="491" ht="15" customHeight="1">
      <c r="A491" s="44" t="n"/>
      <c r="B491" s="45" t="n"/>
      <c r="C491" s="45" t="n"/>
      <c r="D491" s="45" t="n"/>
      <c r="E491" s="45" t="n"/>
      <c r="F491" s="45" t="n"/>
      <c r="G491" s="45" t="n"/>
      <c r="H491" s="45" t="n"/>
      <c r="I491" s="45" t="n"/>
      <c r="J491" s="45" t="n"/>
      <c r="K491" s="45" t="n"/>
      <c r="L491" s="45" t="n"/>
      <c r="M491" s="45" t="n"/>
      <c r="N491" s="45" t="n"/>
      <c r="O491" s="45" t="n"/>
      <c r="P491" s="45" t="n"/>
      <c r="Q491" s="45" t="n"/>
      <c r="R491" s="45" t="n"/>
      <c r="S491" s="46" t="n"/>
      <c r="T491" s="46" t="n"/>
      <c r="U491" s="46" t="n"/>
      <c r="V491" s="46" t="n"/>
      <c r="W491" s="46" t="n"/>
      <c r="X491" s="46" t="n"/>
      <c r="Y491" s="46" t="n"/>
      <c r="Z491" s="46" t="n"/>
      <c r="AA491" s="46" t="n"/>
      <c r="AB491" s="46" t="n"/>
      <c r="AC491" s="46" t="n"/>
      <c r="AD491" s="46" t="n"/>
      <c r="AE491" s="46" t="n"/>
      <c r="AF491" s="46" t="n"/>
      <c r="AG491" s="46" t="n"/>
      <c r="AH491" s="47" t="n"/>
      <c r="AI491" s="47" t="n"/>
      <c r="AJ491" s="47" t="n"/>
      <c r="AK491" s="47" t="n"/>
      <c r="AL491" s="47" t="n"/>
      <c r="AM491" s="47" t="n"/>
      <c r="AN491" s="47" t="n"/>
      <c r="AO491" s="47" t="n"/>
      <c r="AP491" s="47" t="n"/>
      <c r="AQ491" s="47" t="n"/>
      <c r="AR491" s="47" t="n"/>
      <c r="AS491" s="47" t="n"/>
      <c r="AT491" s="47" t="n"/>
      <c r="AU491" s="48" t="n"/>
      <c r="AV491" s="48" t="n"/>
      <c r="AW491" s="49">
        <f>IF($A491="","",IF($BW491&lt;&gt;"","FIX",IF($BX491&lt;&gt;"","CHECK","OK")))</f>
        <v/>
      </c>
      <c r="AX491" s="50">
        <f>IF($A491="","",IF($BW491&lt;&gt;"","FIX: "&amp;LEFT($BW491,LEN($BW491)-2)&amp;IF($BX491&lt;&gt;"","  ·  ",""),"")&amp;IF($BX491&lt;&gt;"","CHECK: "&amp;LEFT($BX491,LEN($BX491)-2),""))</f>
        <v/>
      </c>
      <c r="AY491" s="49">
        <f>IF(OR($A491="",$K491=""),"",$K491&amp;"'-"&amp;N($L491)&amp;CHAR(34)&amp;" x "&amp;$M491&amp;"'-"&amp;N($N491)&amp;CHAR(34))</f>
        <v/>
      </c>
      <c r="AZ491" s="49">
        <f>IF(OR($A491="",$K491=""),"",$K491&amp;N($L491)&amp;$M491&amp;N($N491))</f>
        <v/>
      </c>
      <c r="BA491" s="49">
        <f>IF(OR($A491="",$K491=""),"",$K491*12+N($L491))</f>
        <v/>
      </c>
      <c r="BB491" s="49">
        <f>IF(OR($A491="",$M491=""),"",$M491*12+N($N491))</f>
        <v/>
      </c>
      <c r="BC491" s="49">
        <f>IF($A491="","",IF(OR($C491="FRAME ONLY",$S491="BL"),0,IF($O491="Y",2,1)))</f>
        <v/>
      </c>
      <c r="BD491" s="51">
        <f>IF(OR(N($BC491)=0,$BA491=""),"",($BA491-2*EdgeClr-IF($BC491=2,MeetClr,0))/$BC491)</f>
        <v/>
      </c>
      <c r="BE491" s="51">
        <f>IF(OR(N($BC491)=0,$BB491=""),"",$BB491-HeadClr-Undercut)</f>
        <v/>
      </c>
      <c r="BF491" s="51">
        <f>IF($BA491="","",$BA491+2*FaceW+IF(N($Q491)&gt;0,($Q491+FaceW)*IF($R491="LR",2,1),0))</f>
        <v/>
      </c>
      <c r="BG491" s="51">
        <f>IF($BB491="","",$BB491+IF($AB491="Y",4,FaceW)+IF(N($P491)&gt;0,$P491+FaceW,0)+IF(OR($S491="4F",$S491="BL"),FaceW,0))</f>
        <v/>
      </c>
      <c r="BH491" s="51">
        <f>IF($BF491="","",$BF491+2*ROSide)</f>
        <v/>
      </c>
      <c r="BI491" s="51">
        <f>IF($BG491="","",$BG491+ROTop)</f>
        <v/>
      </c>
      <c r="BJ491" s="52">
        <f>IF(OR(N($BC491)=0,$BA491=""),"",$BA491/$BC491-ClearDeduct)</f>
        <v/>
      </c>
      <c r="BK491" s="49">
        <f>IF(OR(N($BC491)=0,$BE491=""),"",IF(OR($AC491="HGC",$AP491="HGC"),"CONT",IF($BE491&lt;=60,2,IF($BE491&lt;=90,3,IF($BE491&lt;=120,4,5)))))</f>
        <v/>
      </c>
      <c r="BL491" s="49">
        <f>IF(N($BC491)=0,"",IF(OR($AL491="",$AL491="FLUSH"),"FLUSH",IFERROR(LEFT($AL491,FIND("-",$AL491)-1),LEFT($AL491,2))))</f>
        <v/>
      </c>
      <c r="BM491" s="49">
        <f>IF($BL491="","",IFERROR(VALUE(MID($AL491,FIND("-",$AL491)+1,FIND(CHAR(34)&amp;"x",$AL491)-FIND("-",$AL491)-1)),0))</f>
        <v/>
      </c>
      <c r="BN491" s="49">
        <f>IF($BL491="","",IFERROR(VALUE(MID($AL491,FIND(CHAR(34)&amp;"x",$AL491)+2,FIND(CHAR(34),$AL491,FIND(CHAR(34)&amp;"x",$AL491)+2)-FIND(CHAR(34)&amp;"x",$AL491)-2)),0))</f>
        <v/>
      </c>
      <c r="BO491" s="53">
        <f>IF(OR($A491="",$H491="",$H491="NO LAB"),0,IFERROR(VALUE(LEFT($H491,FIND(" ",$H491)-1)),0))</f>
        <v/>
      </c>
      <c r="BP491" s="54">
        <f>IF(OR($A491="",$I491="",$I491="NON-RATED",N($J491)=0),"",IFERROR(VLOOKUP($I491&amp;"|"&amp;$J491,IBC,2,FALSE),"?"))</f>
        <v/>
      </c>
      <c r="BQ491" s="50">
        <f>IF(NOT(AND($A491&lt;&gt;"",$C491&lt;&gt;"DOOR ONLY")),"",TRIM(IFERROR(VLOOKUP($U491,CODES,2,FALSE),"")&amp;" "&amp;$AZ491&amp;" "&amp;IFERROR(VLOOKUP($Z491,CODES,2,FALSE),"")&amp;" "&amp;IFERROR(VLOOKUP($X491,CODES,2,FALSE),"")&amp;" "&amp;IFERROR(VLOOKUP($S491,CODES,2,FALSE),"")&amp;IF(N($P491)&gt;0," w/TRANSOM "&amp;$P491&amp;CHAR(34),"")&amp;IF(N($Q491)&gt;0," w/SIDELITE "&amp;$Q491&amp;CHAR(34)&amp;" "&amp;IF($R491="","R",$R491),"")&amp;IF($Y491="","  |  "," | "&amp;IFERROR(VLOOKUP($Y491,CODES,2,FALSE),"")&amp;" | ")&amp;IFERROR(VLOOKUP($AC491,CODES,2,FALSE),"")&amp;" "&amp;IFERROR(VLOOKUP($AD491,CODES,2,FALSE),"")&amp;IF(OR($AE491="",$AE491="-"),""," "&amp;$AE491)&amp;IF(OR($AF491="",$AF491="-"),""," "&amp;$AF491)&amp;IF($AB491="Y"," 4"&amp;CHAR(34)&amp;" HEAD","")&amp;" "&amp;IFERROR(VLOOKUP($H491,CODES,2,FALSE),"")))</f>
        <v/>
      </c>
      <c r="BR491" s="50">
        <f>IF(NOT(AND($A491&lt;&gt;"",N($BC491)&gt;0)),"",TRIM(IFERROR(VLOOKUP($AH491,CODES,2,FALSE),"")&amp;IF($AI491=""," "," "&amp;$AI491&amp;"GA ")&amp;$AZ491&amp;" "&amp;IF($AN491="",IFERROR(VLOOKUP($Z491,CODES,2,FALSE),""),IFERROR(VLOOKUP($AN491,CODES,2,FALSE),""))&amp;IF($BC491=2," PAIR","")&amp;" DOOR | "&amp;IF($AL491="","?",$AL491)&amp;" | "&amp;IF($AP491="",IFERROR(VLOOKUP($AC491,CODES,2,FALSE),""),IFERROR(VLOOKUP($AP491,CODES,2,FALSE),""))&amp;" "&amp;IFERROR(VLOOKUP($AQ491,CODES,2,FALSE),"")&amp;IF(OR($AR491="",$AR491="-"),""," SEAM "&amp;$AR491)&amp;IF($AS491="Y"," ASTRAGAL","")&amp;IF($AJ491=""," "," "&amp;$AJ491)&amp;IF($AK491=""," "," "&amp;$AK491)&amp;IF($AO491="",""," "&amp;$AO491)&amp;IF($AM491=""," "," SERIES "&amp;$AM491)&amp;" "&amp;IFERROR(VLOOKUP($H491,CODES,2,FALSE),"")))</f>
        <v/>
      </c>
      <c r="BS491" s="49">
        <f>IF(BV491="","",IF(COUNTIF($BV$6:BV491,BV491)=1,MAX($BS$5:BS490)+1,INDEX($BS$5:BS490,MATCH(BV491,$BV$5:BV490,0))))</f>
        <v/>
      </c>
      <c r="BT491" s="49">
        <f>IF(NOT(AND($A491&lt;&gt;"",$C491&lt;&gt;"DOOR ONLY")),"",MAX($BT$5:BT490)+1)</f>
        <v/>
      </c>
      <c r="BU491" s="49">
        <f>IF(NOT(AND($A491&lt;&gt;"",N($BC491)&gt;0)),"",MAX($BU$5:BU490)+1)</f>
        <v/>
      </c>
      <c r="BV491" s="49">
        <f>IF(OR($A491="",$BA491="",$BB491=""),"",$AZ491&amp;"|"&amp;$O491&amp;"|"&amp;$AL491&amp;"|"&amp;$S491&amp;"|"&amp;$P491&amp;"|"&amp;$Q491&amp;$R491&amp;"|"&amp;$C491&amp;"|"&amp;$AB491)</f>
        <v/>
      </c>
      <c r="BW491" s="49">
        <f>IF($A491="","",IF($B491="","qty, ","")&amp;IF($C491="","scope, ","")&amp;IF(OR($K491="",$M491=""),"size, ","")&amp;IF(AND($A491&lt;&gt;"",$C491&lt;&gt;"DOOR ONLY"),IF($U491="","jamb depth, ","")&amp;IF($X491="","construction, ","")&amp;IF($Y491="","anchor, ","")&amp;IF($S491="","frame type, ",""),"")&amp;IF(AND(N($BC491)&gt;0,$Z491=""),"hand, ","")&amp;IF(N($BC491)&gt;0,IF($AH491="","door material, ","")&amp;IF($AL491="","face type, ","")&amp;IF($AQ491="","lock prep, ","")&amp;IF(AND($AP491="",$AC491=""),"hinge prep, ",""),"")&amp;IF(AND($BO491&gt;0,$AH491="FRP"),"FRP cannot carry a label, ","")&amp;IF(AND($O491="Y",OR($Z491="L",$Z491="R",$Z491="LR",$Z491="RR")),"pair marked but hand is single, ","")&amp;IF(AND($O491&lt;&gt;"Y",OR($Z491="PR",AND(LEN($Z491)&gt;1,ISNUMBER(SEARCH("-",$Z491))))),"pair hand on a single door, ","")&amp;IF(AND(ISNUMBER($BP491),$BO491&lt;N($BP491)),"wall needs a "&amp;$BP491&amp;" min door, ","")&amp;IF(AND($BO491&gt;=180,AND(OR($BL491="FG",$BL491="HG",$BL491="FNV",$BL491="FV"),N($BM491)*N($BN491)&gt;100)),"180 min lite over 100 sq in, ","")&amp;IF(N($BD491)&gt;48,"leaf wider than 4'-0"&amp;CHAR(34)&amp;", ",""))</f>
        <v/>
      </c>
      <c r="BX491" s="49">
        <f>IF($A491="","",IF(AND($BO491&gt;0,AND($A491&lt;&gt;"",$C491&lt;&gt;"DOOR ONLY"),$X491="KD",$E491="EXTERIOR"),"KD label on an exterior opening, ","")&amp;IF(AND($E491="EXTERIOR",OR(AND(AND($A491&lt;&gt;"",$C491&lt;&gt;"DOOR ONLY"),$W491="CR"),AND(N($BC491)&gt;0,$AH491="CR"))),"exterior in CR steel (G9?), ","")&amp;IF(AND(ISNUMBER($BJ491),N($BJ491)&lt;32),"clear width ~"&amp;TEXT($BJ491,"0.0")&amp;CHAR(34)&amp;" under 32"&amp;CHAR(34)&amp;" (ADA), ","")&amp;IF(AND($BO491=90,AND(OR($BL491="FG",$BL491="HG",$BL491="FNV",$BL491="FV"),N($BM491)*N($BN491)&gt;100)),"90 min lite over 100 sq in (stair/exit), ","")&amp;IF(AND($BO491&gt;0,AND($A491&lt;&gt;"",$C491&lt;&gt;"DOOR ONLY"),OR($AF491="",$AF491="-")),"rated: closer reinf.?, ","")&amp;IF(OR($I491="CORRIDOR",$I491="SMOKE BARRIER"),"S label + smoke gasketing, ","")&amp;IF($BP491="?","wall type/hr not in IBC table, ","")&amp;IF(AND(N($BC491)&gt;0,$AU491=""),"no hardware set, ","")&amp;IF(AND($AU491&lt;&gt;"",ISNA(MATCH($AU491,HWSets,0))),"set "&amp;$AU491&amp;" not on Hardware sheet, ","")&amp;IF(N($BE491)&gt;96,"leaf over 8'-0"&amp;CHAR(34)&amp;" - check listing, ",""))</f>
        <v/>
      </c>
    </row>
    <row r="492" ht="15" customHeight="1">
      <c r="A492" s="44" t="n"/>
      <c r="B492" s="45" t="n"/>
      <c r="C492" s="45" t="n"/>
      <c r="D492" s="45" t="n"/>
      <c r="E492" s="45" t="n"/>
      <c r="F492" s="45" t="n"/>
      <c r="G492" s="45" t="n"/>
      <c r="H492" s="45" t="n"/>
      <c r="I492" s="45" t="n"/>
      <c r="J492" s="45" t="n"/>
      <c r="K492" s="45" t="n"/>
      <c r="L492" s="45" t="n"/>
      <c r="M492" s="45" t="n"/>
      <c r="N492" s="45" t="n"/>
      <c r="O492" s="45" t="n"/>
      <c r="P492" s="45" t="n"/>
      <c r="Q492" s="45" t="n"/>
      <c r="R492" s="45" t="n"/>
      <c r="S492" s="46" t="n"/>
      <c r="T492" s="46" t="n"/>
      <c r="U492" s="46" t="n"/>
      <c r="V492" s="46" t="n"/>
      <c r="W492" s="46" t="n"/>
      <c r="X492" s="46" t="n"/>
      <c r="Y492" s="46" t="n"/>
      <c r="Z492" s="46" t="n"/>
      <c r="AA492" s="46" t="n"/>
      <c r="AB492" s="46" t="n"/>
      <c r="AC492" s="46" t="n"/>
      <c r="AD492" s="46" t="n"/>
      <c r="AE492" s="46" t="n"/>
      <c r="AF492" s="46" t="n"/>
      <c r="AG492" s="46" t="n"/>
      <c r="AH492" s="47" t="n"/>
      <c r="AI492" s="47" t="n"/>
      <c r="AJ492" s="47" t="n"/>
      <c r="AK492" s="47" t="n"/>
      <c r="AL492" s="47" t="n"/>
      <c r="AM492" s="47" t="n"/>
      <c r="AN492" s="47" t="n"/>
      <c r="AO492" s="47" t="n"/>
      <c r="AP492" s="47" t="n"/>
      <c r="AQ492" s="47" t="n"/>
      <c r="AR492" s="47" t="n"/>
      <c r="AS492" s="47" t="n"/>
      <c r="AT492" s="47" t="n"/>
      <c r="AU492" s="48" t="n"/>
      <c r="AV492" s="48" t="n"/>
      <c r="AW492" s="49">
        <f>IF($A492="","",IF($BW492&lt;&gt;"","FIX",IF($BX492&lt;&gt;"","CHECK","OK")))</f>
        <v/>
      </c>
      <c r="AX492" s="50">
        <f>IF($A492="","",IF($BW492&lt;&gt;"","FIX: "&amp;LEFT($BW492,LEN($BW492)-2)&amp;IF($BX492&lt;&gt;"","  ·  ",""),"")&amp;IF($BX492&lt;&gt;"","CHECK: "&amp;LEFT($BX492,LEN($BX492)-2),""))</f>
        <v/>
      </c>
      <c r="AY492" s="49">
        <f>IF(OR($A492="",$K492=""),"",$K492&amp;"'-"&amp;N($L492)&amp;CHAR(34)&amp;" x "&amp;$M492&amp;"'-"&amp;N($N492)&amp;CHAR(34))</f>
        <v/>
      </c>
      <c r="AZ492" s="49">
        <f>IF(OR($A492="",$K492=""),"",$K492&amp;N($L492)&amp;$M492&amp;N($N492))</f>
        <v/>
      </c>
      <c r="BA492" s="49">
        <f>IF(OR($A492="",$K492=""),"",$K492*12+N($L492))</f>
        <v/>
      </c>
      <c r="BB492" s="49">
        <f>IF(OR($A492="",$M492=""),"",$M492*12+N($N492))</f>
        <v/>
      </c>
      <c r="BC492" s="49">
        <f>IF($A492="","",IF(OR($C492="FRAME ONLY",$S492="BL"),0,IF($O492="Y",2,1)))</f>
        <v/>
      </c>
      <c r="BD492" s="51">
        <f>IF(OR(N($BC492)=0,$BA492=""),"",($BA492-2*EdgeClr-IF($BC492=2,MeetClr,0))/$BC492)</f>
        <v/>
      </c>
      <c r="BE492" s="51">
        <f>IF(OR(N($BC492)=0,$BB492=""),"",$BB492-HeadClr-Undercut)</f>
        <v/>
      </c>
      <c r="BF492" s="51">
        <f>IF($BA492="","",$BA492+2*FaceW+IF(N($Q492)&gt;0,($Q492+FaceW)*IF($R492="LR",2,1),0))</f>
        <v/>
      </c>
      <c r="BG492" s="51">
        <f>IF($BB492="","",$BB492+IF($AB492="Y",4,FaceW)+IF(N($P492)&gt;0,$P492+FaceW,0)+IF(OR($S492="4F",$S492="BL"),FaceW,0))</f>
        <v/>
      </c>
      <c r="BH492" s="51">
        <f>IF($BF492="","",$BF492+2*ROSide)</f>
        <v/>
      </c>
      <c r="BI492" s="51">
        <f>IF($BG492="","",$BG492+ROTop)</f>
        <v/>
      </c>
      <c r="BJ492" s="52">
        <f>IF(OR(N($BC492)=0,$BA492=""),"",$BA492/$BC492-ClearDeduct)</f>
        <v/>
      </c>
      <c r="BK492" s="49">
        <f>IF(OR(N($BC492)=0,$BE492=""),"",IF(OR($AC492="HGC",$AP492="HGC"),"CONT",IF($BE492&lt;=60,2,IF($BE492&lt;=90,3,IF($BE492&lt;=120,4,5)))))</f>
        <v/>
      </c>
      <c r="BL492" s="49">
        <f>IF(N($BC492)=0,"",IF(OR($AL492="",$AL492="FLUSH"),"FLUSH",IFERROR(LEFT($AL492,FIND("-",$AL492)-1),LEFT($AL492,2))))</f>
        <v/>
      </c>
      <c r="BM492" s="49">
        <f>IF($BL492="","",IFERROR(VALUE(MID($AL492,FIND("-",$AL492)+1,FIND(CHAR(34)&amp;"x",$AL492)-FIND("-",$AL492)-1)),0))</f>
        <v/>
      </c>
      <c r="BN492" s="49">
        <f>IF($BL492="","",IFERROR(VALUE(MID($AL492,FIND(CHAR(34)&amp;"x",$AL492)+2,FIND(CHAR(34),$AL492,FIND(CHAR(34)&amp;"x",$AL492)+2)-FIND(CHAR(34)&amp;"x",$AL492)-2)),0))</f>
        <v/>
      </c>
      <c r="BO492" s="53">
        <f>IF(OR($A492="",$H492="",$H492="NO LAB"),0,IFERROR(VALUE(LEFT($H492,FIND(" ",$H492)-1)),0))</f>
        <v/>
      </c>
      <c r="BP492" s="54">
        <f>IF(OR($A492="",$I492="",$I492="NON-RATED",N($J492)=0),"",IFERROR(VLOOKUP($I492&amp;"|"&amp;$J492,IBC,2,FALSE),"?"))</f>
        <v/>
      </c>
      <c r="BQ492" s="50">
        <f>IF(NOT(AND($A492&lt;&gt;"",$C492&lt;&gt;"DOOR ONLY")),"",TRIM(IFERROR(VLOOKUP($U492,CODES,2,FALSE),"")&amp;" "&amp;$AZ492&amp;" "&amp;IFERROR(VLOOKUP($Z492,CODES,2,FALSE),"")&amp;" "&amp;IFERROR(VLOOKUP($X492,CODES,2,FALSE),"")&amp;" "&amp;IFERROR(VLOOKUP($S492,CODES,2,FALSE),"")&amp;IF(N($P492)&gt;0," w/TRANSOM "&amp;$P492&amp;CHAR(34),"")&amp;IF(N($Q492)&gt;0," w/SIDELITE "&amp;$Q492&amp;CHAR(34)&amp;" "&amp;IF($R492="","R",$R492),"")&amp;IF($Y492="","  |  "," | "&amp;IFERROR(VLOOKUP($Y492,CODES,2,FALSE),"")&amp;" | ")&amp;IFERROR(VLOOKUP($AC492,CODES,2,FALSE),"")&amp;" "&amp;IFERROR(VLOOKUP($AD492,CODES,2,FALSE),"")&amp;IF(OR($AE492="",$AE492="-"),""," "&amp;$AE492)&amp;IF(OR($AF492="",$AF492="-"),""," "&amp;$AF492)&amp;IF($AB492="Y"," 4"&amp;CHAR(34)&amp;" HEAD","")&amp;" "&amp;IFERROR(VLOOKUP($H492,CODES,2,FALSE),"")))</f>
        <v/>
      </c>
      <c r="BR492" s="50">
        <f>IF(NOT(AND($A492&lt;&gt;"",N($BC492)&gt;0)),"",TRIM(IFERROR(VLOOKUP($AH492,CODES,2,FALSE),"")&amp;IF($AI492=""," "," "&amp;$AI492&amp;"GA ")&amp;$AZ492&amp;" "&amp;IF($AN492="",IFERROR(VLOOKUP($Z492,CODES,2,FALSE),""),IFERROR(VLOOKUP($AN492,CODES,2,FALSE),""))&amp;IF($BC492=2," PAIR","")&amp;" DOOR | "&amp;IF($AL492="","?",$AL492)&amp;" | "&amp;IF($AP492="",IFERROR(VLOOKUP($AC492,CODES,2,FALSE),""),IFERROR(VLOOKUP($AP492,CODES,2,FALSE),""))&amp;" "&amp;IFERROR(VLOOKUP($AQ492,CODES,2,FALSE),"")&amp;IF(OR($AR492="",$AR492="-"),""," SEAM "&amp;$AR492)&amp;IF($AS492="Y"," ASTRAGAL","")&amp;IF($AJ492=""," "," "&amp;$AJ492)&amp;IF($AK492=""," "," "&amp;$AK492)&amp;IF($AO492="",""," "&amp;$AO492)&amp;IF($AM492=""," "," SERIES "&amp;$AM492)&amp;" "&amp;IFERROR(VLOOKUP($H492,CODES,2,FALSE),"")))</f>
        <v/>
      </c>
      <c r="BS492" s="49">
        <f>IF(BV492="","",IF(COUNTIF($BV$6:BV492,BV492)=1,MAX($BS$5:BS491)+1,INDEX($BS$5:BS491,MATCH(BV492,$BV$5:BV491,0))))</f>
        <v/>
      </c>
      <c r="BT492" s="49">
        <f>IF(NOT(AND($A492&lt;&gt;"",$C492&lt;&gt;"DOOR ONLY")),"",MAX($BT$5:BT491)+1)</f>
        <v/>
      </c>
      <c r="BU492" s="49">
        <f>IF(NOT(AND($A492&lt;&gt;"",N($BC492)&gt;0)),"",MAX($BU$5:BU491)+1)</f>
        <v/>
      </c>
      <c r="BV492" s="49">
        <f>IF(OR($A492="",$BA492="",$BB492=""),"",$AZ492&amp;"|"&amp;$O492&amp;"|"&amp;$AL492&amp;"|"&amp;$S492&amp;"|"&amp;$P492&amp;"|"&amp;$Q492&amp;$R492&amp;"|"&amp;$C492&amp;"|"&amp;$AB492)</f>
        <v/>
      </c>
      <c r="BW492" s="49">
        <f>IF($A492="","",IF($B492="","qty, ","")&amp;IF($C492="","scope, ","")&amp;IF(OR($K492="",$M492=""),"size, ","")&amp;IF(AND($A492&lt;&gt;"",$C492&lt;&gt;"DOOR ONLY"),IF($U492="","jamb depth, ","")&amp;IF($X492="","construction, ","")&amp;IF($Y492="","anchor, ","")&amp;IF($S492="","frame type, ",""),"")&amp;IF(AND(N($BC492)&gt;0,$Z492=""),"hand, ","")&amp;IF(N($BC492)&gt;0,IF($AH492="","door material, ","")&amp;IF($AL492="","face type, ","")&amp;IF($AQ492="","lock prep, ","")&amp;IF(AND($AP492="",$AC492=""),"hinge prep, ",""),"")&amp;IF(AND($BO492&gt;0,$AH492="FRP"),"FRP cannot carry a label, ","")&amp;IF(AND($O492="Y",OR($Z492="L",$Z492="R",$Z492="LR",$Z492="RR")),"pair marked but hand is single, ","")&amp;IF(AND($O492&lt;&gt;"Y",OR($Z492="PR",AND(LEN($Z492)&gt;1,ISNUMBER(SEARCH("-",$Z492))))),"pair hand on a single door, ","")&amp;IF(AND(ISNUMBER($BP492),$BO492&lt;N($BP492)),"wall needs a "&amp;$BP492&amp;" min door, ","")&amp;IF(AND($BO492&gt;=180,AND(OR($BL492="FG",$BL492="HG",$BL492="FNV",$BL492="FV"),N($BM492)*N($BN492)&gt;100)),"180 min lite over 100 sq in, ","")&amp;IF(N($BD492)&gt;48,"leaf wider than 4'-0"&amp;CHAR(34)&amp;", ",""))</f>
        <v/>
      </c>
      <c r="BX492" s="49">
        <f>IF($A492="","",IF(AND($BO492&gt;0,AND($A492&lt;&gt;"",$C492&lt;&gt;"DOOR ONLY"),$X492="KD",$E492="EXTERIOR"),"KD label on an exterior opening, ","")&amp;IF(AND($E492="EXTERIOR",OR(AND(AND($A492&lt;&gt;"",$C492&lt;&gt;"DOOR ONLY"),$W492="CR"),AND(N($BC492)&gt;0,$AH492="CR"))),"exterior in CR steel (G9?), ","")&amp;IF(AND(ISNUMBER($BJ492),N($BJ492)&lt;32),"clear width ~"&amp;TEXT($BJ492,"0.0")&amp;CHAR(34)&amp;" under 32"&amp;CHAR(34)&amp;" (ADA), ","")&amp;IF(AND($BO492=90,AND(OR($BL492="FG",$BL492="HG",$BL492="FNV",$BL492="FV"),N($BM492)*N($BN492)&gt;100)),"90 min lite over 100 sq in (stair/exit), ","")&amp;IF(AND($BO492&gt;0,AND($A492&lt;&gt;"",$C492&lt;&gt;"DOOR ONLY"),OR($AF492="",$AF492="-")),"rated: closer reinf.?, ","")&amp;IF(OR($I492="CORRIDOR",$I492="SMOKE BARRIER"),"S label + smoke gasketing, ","")&amp;IF($BP492="?","wall type/hr not in IBC table, ","")&amp;IF(AND(N($BC492)&gt;0,$AU492=""),"no hardware set, ","")&amp;IF(AND($AU492&lt;&gt;"",ISNA(MATCH($AU492,HWSets,0))),"set "&amp;$AU492&amp;" not on Hardware sheet, ","")&amp;IF(N($BE492)&gt;96,"leaf over 8'-0"&amp;CHAR(34)&amp;" - check listing, ",""))</f>
        <v/>
      </c>
    </row>
    <row r="493" ht="15" customHeight="1">
      <c r="A493" s="44" t="n"/>
      <c r="B493" s="45" t="n"/>
      <c r="C493" s="45" t="n"/>
      <c r="D493" s="45" t="n"/>
      <c r="E493" s="45" t="n"/>
      <c r="F493" s="45" t="n"/>
      <c r="G493" s="45" t="n"/>
      <c r="H493" s="45" t="n"/>
      <c r="I493" s="45" t="n"/>
      <c r="J493" s="45" t="n"/>
      <c r="K493" s="45" t="n"/>
      <c r="L493" s="45" t="n"/>
      <c r="M493" s="45" t="n"/>
      <c r="N493" s="45" t="n"/>
      <c r="O493" s="45" t="n"/>
      <c r="P493" s="45" t="n"/>
      <c r="Q493" s="45" t="n"/>
      <c r="R493" s="45" t="n"/>
      <c r="S493" s="46" t="n"/>
      <c r="T493" s="46" t="n"/>
      <c r="U493" s="46" t="n"/>
      <c r="V493" s="46" t="n"/>
      <c r="W493" s="46" t="n"/>
      <c r="X493" s="46" t="n"/>
      <c r="Y493" s="46" t="n"/>
      <c r="Z493" s="46" t="n"/>
      <c r="AA493" s="46" t="n"/>
      <c r="AB493" s="46" t="n"/>
      <c r="AC493" s="46" t="n"/>
      <c r="AD493" s="46" t="n"/>
      <c r="AE493" s="46" t="n"/>
      <c r="AF493" s="46" t="n"/>
      <c r="AG493" s="46" t="n"/>
      <c r="AH493" s="47" t="n"/>
      <c r="AI493" s="47" t="n"/>
      <c r="AJ493" s="47" t="n"/>
      <c r="AK493" s="47" t="n"/>
      <c r="AL493" s="47" t="n"/>
      <c r="AM493" s="47" t="n"/>
      <c r="AN493" s="47" t="n"/>
      <c r="AO493" s="47" t="n"/>
      <c r="AP493" s="47" t="n"/>
      <c r="AQ493" s="47" t="n"/>
      <c r="AR493" s="47" t="n"/>
      <c r="AS493" s="47" t="n"/>
      <c r="AT493" s="47" t="n"/>
      <c r="AU493" s="48" t="n"/>
      <c r="AV493" s="48" t="n"/>
      <c r="AW493" s="49">
        <f>IF($A493="","",IF($BW493&lt;&gt;"","FIX",IF($BX493&lt;&gt;"","CHECK","OK")))</f>
        <v/>
      </c>
      <c r="AX493" s="50">
        <f>IF($A493="","",IF($BW493&lt;&gt;"","FIX: "&amp;LEFT($BW493,LEN($BW493)-2)&amp;IF($BX493&lt;&gt;"","  ·  ",""),"")&amp;IF($BX493&lt;&gt;"","CHECK: "&amp;LEFT($BX493,LEN($BX493)-2),""))</f>
        <v/>
      </c>
      <c r="AY493" s="49">
        <f>IF(OR($A493="",$K493=""),"",$K493&amp;"'-"&amp;N($L493)&amp;CHAR(34)&amp;" x "&amp;$M493&amp;"'-"&amp;N($N493)&amp;CHAR(34))</f>
        <v/>
      </c>
      <c r="AZ493" s="49">
        <f>IF(OR($A493="",$K493=""),"",$K493&amp;N($L493)&amp;$M493&amp;N($N493))</f>
        <v/>
      </c>
      <c r="BA493" s="49">
        <f>IF(OR($A493="",$K493=""),"",$K493*12+N($L493))</f>
        <v/>
      </c>
      <c r="BB493" s="49">
        <f>IF(OR($A493="",$M493=""),"",$M493*12+N($N493))</f>
        <v/>
      </c>
      <c r="BC493" s="49">
        <f>IF($A493="","",IF(OR($C493="FRAME ONLY",$S493="BL"),0,IF($O493="Y",2,1)))</f>
        <v/>
      </c>
      <c r="BD493" s="51">
        <f>IF(OR(N($BC493)=0,$BA493=""),"",($BA493-2*EdgeClr-IF($BC493=2,MeetClr,0))/$BC493)</f>
        <v/>
      </c>
      <c r="BE493" s="51">
        <f>IF(OR(N($BC493)=0,$BB493=""),"",$BB493-HeadClr-Undercut)</f>
        <v/>
      </c>
      <c r="BF493" s="51">
        <f>IF($BA493="","",$BA493+2*FaceW+IF(N($Q493)&gt;0,($Q493+FaceW)*IF($R493="LR",2,1),0))</f>
        <v/>
      </c>
      <c r="BG493" s="51">
        <f>IF($BB493="","",$BB493+IF($AB493="Y",4,FaceW)+IF(N($P493)&gt;0,$P493+FaceW,0)+IF(OR($S493="4F",$S493="BL"),FaceW,0))</f>
        <v/>
      </c>
      <c r="BH493" s="51">
        <f>IF($BF493="","",$BF493+2*ROSide)</f>
        <v/>
      </c>
      <c r="BI493" s="51">
        <f>IF($BG493="","",$BG493+ROTop)</f>
        <v/>
      </c>
      <c r="BJ493" s="52">
        <f>IF(OR(N($BC493)=0,$BA493=""),"",$BA493/$BC493-ClearDeduct)</f>
        <v/>
      </c>
      <c r="BK493" s="49">
        <f>IF(OR(N($BC493)=0,$BE493=""),"",IF(OR($AC493="HGC",$AP493="HGC"),"CONT",IF($BE493&lt;=60,2,IF($BE493&lt;=90,3,IF($BE493&lt;=120,4,5)))))</f>
        <v/>
      </c>
      <c r="BL493" s="49">
        <f>IF(N($BC493)=0,"",IF(OR($AL493="",$AL493="FLUSH"),"FLUSH",IFERROR(LEFT($AL493,FIND("-",$AL493)-1),LEFT($AL493,2))))</f>
        <v/>
      </c>
      <c r="BM493" s="49">
        <f>IF($BL493="","",IFERROR(VALUE(MID($AL493,FIND("-",$AL493)+1,FIND(CHAR(34)&amp;"x",$AL493)-FIND("-",$AL493)-1)),0))</f>
        <v/>
      </c>
      <c r="BN493" s="49">
        <f>IF($BL493="","",IFERROR(VALUE(MID($AL493,FIND(CHAR(34)&amp;"x",$AL493)+2,FIND(CHAR(34),$AL493,FIND(CHAR(34)&amp;"x",$AL493)+2)-FIND(CHAR(34)&amp;"x",$AL493)-2)),0))</f>
        <v/>
      </c>
      <c r="BO493" s="53">
        <f>IF(OR($A493="",$H493="",$H493="NO LAB"),0,IFERROR(VALUE(LEFT($H493,FIND(" ",$H493)-1)),0))</f>
        <v/>
      </c>
      <c r="BP493" s="54">
        <f>IF(OR($A493="",$I493="",$I493="NON-RATED",N($J493)=0),"",IFERROR(VLOOKUP($I493&amp;"|"&amp;$J493,IBC,2,FALSE),"?"))</f>
        <v/>
      </c>
      <c r="BQ493" s="50">
        <f>IF(NOT(AND($A493&lt;&gt;"",$C493&lt;&gt;"DOOR ONLY")),"",TRIM(IFERROR(VLOOKUP($U493,CODES,2,FALSE),"")&amp;" "&amp;$AZ493&amp;" "&amp;IFERROR(VLOOKUP($Z493,CODES,2,FALSE),"")&amp;" "&amp;IFERROR(VLOOKUP($X493,CODES,2,FALSE),"")&amp;" "&amp;IFERROR(VLOOKUP($S493,CODES,2,FALSE),"")&amp;IF(N($P493)&gt;0," w/TRANSOM "&amp;$P493&amp;CHAR(34),"")&amp;IF(N($Q493)&gt;0," w/SIDELITE "&amp;$Q493&amp;CHAR(34)&amp;" "&amp;IF($R493="","R",$R493),"")&amp;IF($Y493="","  |  "," | "&amp;IFERROR(VLOOKUP($Y493,CODES,2,FALSE),"")&amp;" | ")&amp;IFERROR(VLOOKUP($AC493,CODES,2,FALSE),"")&amp;" "&amp;IFERROR(VLOOKUP($AD493,CODES,2,FALSE),"")&amp;IF(OR($AE493="",$AE493="-"),""," "&amp;$AE493)&amp;IF(OR($AF493="",$AF493="-"),""," "&amp;$AF493)&amp;IF($AB493="Y"," 4"&amp;CHAR(34)&amp;" HEAD","")&amp;" "&amp;IFERROR(VLOOKUP($H493,CODES,2,FALSE),"")))</f>
        <v/>
      </c>
      <c r="BR493" s="50">
        <f>IF(NOT(AND($A493&lt;&gt;"",N($BC493)&gt;0)),"",TRIM(IFERROR(VLOOKUP($AH493,CODES,2,FALSE),"")&amp;IF($AI493=""," "," "&amp;$AI493&amp;"GA ")&amp;$AZ493&amp;" "&amp;IF($AN493="",IFERROR(VLOOKUP($Z493,CODES,2,FALSE),""),IFERROR(VLOOKUP($AN493,CODES,2,FALSE),""))&amp;IF($BC493=2," PAIR","")&amp;" DOOR | "&amp;IF($AL493="","?",$AL493)&amp;" | "&amp;IF($AP493="",IFERROR(VLOOKUP($AC493,CODES,2,FALSE),""),IFERROR(VLOOKUP($AP493,CODES,2,FALSE),""))&amp;" "&amp;IFERROR(VLOOKUP($AQ493,CODES,2,FALSE),"")&amp;IF(OR($AR493="",$AR493="-"),""," SEAM "&amp;$AR493)&amp;IF($AS493="Y"," ASTRAGAL","")&amp;IF($AJ493=""," "," "&amp;$AJ493)&amp;IF($AK493=""," "," "&amp;$AK493)&amp;IF($AO493="",""," "&amp;$AO493)&amp;IF($AM493=""," "," SERIES "&amp;$AM493)&amp;" "&amp;IFERROR(VLOOKUP($H493,CODES,2,FALSE),"")))</f>
        <v/>
      </c>
      <c r="BS493" s="49">
        <f>IF(BV493="","",IF(COUNTIF($BV$6:BV493,BV493)=1,MAX($BS$5:BS492)+1,INDEX($BS$5:BS492,MATCH(BV493,$BV$5:BV492,0))))</f>
        <v/>
      </c>
      <c r="BT493" s="49">
        <f>IF(NOT(AND($A493&lt;&gt;"",$C493&lt;&gt;"DOOR ONLY")),"",MAX($BT$5:BT492)+1)</f>
        <v/>
      </c>
      <c r="BU493" s="49">
        <f>IF(NOT(AND($A493&lt;&gt;"",N($BC493)&gt;0)),"",MAX($BU$5:BU492)+1)</f>
        <v/>
      </c>
      <c r="BV493" s="49">
        <f>IF(OR($A493="",$BA493="",$BB493=""),"",$AZ493&amp;"|"&amp;$O493&amp;"|"&amp;$AL493&amp;"|"&amp;$S493&amp;"|"&amp;$P493&amp;"|"&amp;$Q493&amp;$R493&amp;"|"&amp;$C493&amp;"|"&amp;$AB493)</f>
        <v/>
      </c>
      <c r="BW493" s="49">
        <f>IF($A493="","",IF($B493="","qty, ","")&amp;IF($C493="","scope, ","")&amp;IF(OR($K493="",$M493=""),"size, ","")&amp;IF(AND($A493&lt;&gt;"",$C493&lt;&gt;"DOOR ONLY"),IF($U493="","jamb depth, ","")&amp;IF($X493="","construction, ","")&amp;IF($Y493="","anchor, ","")&amp;IF($S493="","frame type, ",""),"")&amp;IF(AND(N($BC493)&gt;0,$Z493=""),"hand, ","")&amp;IF(N($BC493)&gt;0,IF($AH493="","door material, ","")&amp;IF($AL493="","face type, ","")&amp;IF($AQ493="","lock prep, ","")&amp;IF(AND($AP493="",$AC493=""),"hinge prep, ",""),"")&amp;IF(AND($BO493&gt;0,$AH493="FRP"),"FRP cannot carry a label, ","")&amp;IF(AND($O493="Y",OR($Z493="L",$Z493="R",$Z493="LR",$Z493="RR")),"pair marked but hand is single, ","")&amp;IF(AND($O493&lt;&gt;"Y",OR($Z493="PR",AND(LEN($Z493)&gt;1,ISNUMBER(SEARCH("-",$Z493))))),"pair hand on a single door, ","")&amp;IF(AND(ISNUMBER($BP493),$BO493&lt;N($BP493)),"wall needs a "&amp;$BP493&amp;" min door, ","")&amp;IF(AND($BO493&gt;=180,AND(OR($BL493="FG",$BL493="HG",$BL493="FNV",$BL493="FV"),N($BM493)*N($BN493)&gt;100)),"180 min lite over 100 sq in, ","")&amp;IF(N($BD493)&gt;48,"leaf wider than 4'-0"&amp;CHAR(34)&amp;", ",""))</f>
        <v/>
      </c>
      <c r="BX493" s="49">
        <f>IF($A493="","",IF(AND($BO493&gt;0,AND($A493&lt;&gt;"",$C493&lt;&gt;"DOOR ONLY"),$X493="KD",$E493="EXTERIOR"),"KD label on an exterior opening, ","")&amp;IF(AND($E493="EXTERIOR",OR(AND(AND($A493&lt;&gt;"",$C493&lt;&gt;"DOOR ONLY"),$W493="CR"),AND(N($BC493)&gt;0,$AH493="CR"))),"exterior in CR steel (G9?), ","")&amp;IF(AND(ISNUMBER($BJ493),N($BJ493)&lt;32),"clear width ~"&amp;TEXT($BJ493,"0.0")&amp;CHAR(34)&amp;" under 32"&amp;CHAR(34)&amp;" (ADA), ","")&amp;IF(AND($BO493=90,AND(OR($BL493="FG",$BL493="HG",$BL493="FNV",$BL493="FV"),N($BM493)*N($BN493)&gt;100)),"90 min lite over 100 sq in (stair/exit), ","")&amp;IF(AND($BO493&gt;0,AND($A493&lt;&gt;"",$C493&lt;&gt;"DOOR ONLY"),OR($AF493="",$AF493="-")),"rated: closer reinf.?, ","")&amp;IF(OR($I493="CORRIDOR",$I493="SMOKE BARRIER"),"S label + smoke gasketing, ","")&amp;IF($BP493="?","wall type/hr not in IBC table, ","")&amp;IF(AND(N($BC493)&gt;0,$AU493=""),"no hardware set, ","")&amp;IF(AND($AU493&lt;&gt;"",ISNA(MATCH($AU493,HWSets,0))),"set "&amp;$AU493&amp;" not on Hardware sheet, ","")&amp;IF(N($BE493)&gt;96,"leaf over 8'-0"&amp;CHAR(34)&amp;" - check listing, ",""))</f>
        <v/>
      </c>
    </row>
    <row r="494" ht="15" customHeight="1">
      <c r="A494" s="44" t="n"/>
      <c r="B494" s="45" t="n"/>
      <c r="C494" s="45" t="n"/>
      <c r="D494" s="45" t="n"/>
      <c r="E494" s="45" t="n"/>
      <c r="F494" s="45" t="n"/>
      <c r="G494" s="45" t="n"/>
      <c r="H494" s="45" t="n"/>
      <c r="I494" s="45" t="n"/>
      <c r="J494" s="45" t="n"/>
      <c r="K494" s="45" t="n"/>
      <c r="L494" s="45" t="n"/>
      <c r="M494" s="45" t="n"/>
      <c r="N494" s="45" t="n"/>
      <c r="O494" s="45" t="n"/>
      <c r="P494" s="45" t="n"/>
      <c r="Q494" s="45" t="n"/>
      <c r="R494" s="45" t="n"/>
      <c r="S494" s="46" t="n"/>
      <c r="T494" s="46" t="n"/>
      <c r="U494" s="46" t="n"/>
      <c r="V494" s="46" t="n"/>
      <c r="W494" s="46" t="n"/>
      <c r="X494" s="46" t="n"/>
      <c r="Y494" s="46" t="n"/>
      <c r="Z494" s="46" t="n"/>
      <c r="AA494" s="46" t="n"/>
      <c r="AB494" s="46" t="n"/>
      <c r="AC494" s="46" t="n"/>
      <c r="AD494" s="46" t="n"/>
      <c r="AE494" s="46" t="n"/>
      <c r="AF494" s="46" t="n"/>
      <c r="AG494" s="46" t="n"/>
      <c r="AH494" s="47" t="n"/>
      <c r="AI494" s="47" t="n"/>
      <c r="AJ494" s="47" t="n"/>
      <c r="AK494" s="47" t="n"/>
      <c r="AL494" s="47" t="n"/>
      <c r="AM494" s="47" t="n"/>
      <c r="AN494" s="47" t="n"/>
      <c r="AO494" s="47" t="n"/>
      <c r="AP494" s="47" t="n"/>
      <c r="AQ494" s="47" t="n"/>
      <c r="AR494" s="47" t="n"/>
      <c r="AS494" s="47" t="n"/>
      <c r="AT494" s="47" t="n"/>
      <c r="AU494" s="48" t="n"/>
      <c r="AV494" s="48" t="n"/>
      <c r="AW494" s="49">
        <f>IF($A494="","",IF($BW494&lt;&gt;"","FIX",IF($BX494&lt;&gt;"","CHECK","OK")))</f>
        <v/>
      </c>
      <c r="AX494" s="50">
        <f>IF($A494="","",IF($BW494&lt;&gt;"","FIX: "&amp;LEFT($BW494,LEN($BW494)-2)&amp;IF($BX494&lt;&gt;"","  ·  ",""),"")&amp;IF($BX494&lt;&gt;"","CHECK: "&amp;LEFT($BX494,LEN($BX494)-2),""))</f>
        <v/>
      </c>
      <c r="AY494" s="49">
        <f>IF(OR($A494="",$K494=""),"",$K494&amp;"'-"&amp;N($L494)&amp;CHAR(34)&amp;" x "&amp;$M494&amp;"'-"&amp;N($N494)&amp;CHAR(34))</f>
        <v/>
      </c>
      <c r="AZ494" s="49">
        <f>IF(OR($A494="",$K494=""),"",$K494&amp;N($L494)&amp;$M494&amp;N($N494))</f>
        <v/>
      </c>
      <c r="BA494" s="49">
        <f>IF(OR($A494="",$K494=""),"",$K494*12+N($L494))</f>
        <v/>
      </c>
      <c r="BB494" s="49">
        <f>IF(OR($A494="",$M494=""),"",$M494*12+N($N494))</f>
        <v/>
      </c>
      <c r="BC494" s="49">
        <f>IF($A494="","",IF(OR($C494="FRAME ONLY",$S494="BL"),0,IF($O494="Y",2,1)))</f>
        <v/>
      </c>
      <c r="BD494" s="51">
        <f>IF(OR(N($BC494)=0,$BA494=""),"",($BA494-2*EdgeClr-IF($BC494=2,MeetClr,0))/$BC494)</f>
        <v/>
      </c>
      <c r="BE494" s="51">
        <f>IF(OR(N($BC494)=0,$BB494=""),"",$BB494-HeadClr-Undercut)</f>
        <v/>
      </c>
      <c r="BF494" s="51">
        <f>IF($BA494="","",$BA494+2*FaceW+IF(N($Q494)&gt;0,($Q494+FaceW)*IF($R494="LR",2,1),0))</f>
        <v/>
      </c>
      <c r="BG494" s="51">
        <f>IF($BB494="","",$BB494+IF($AB494="Y",4,FaceW)+IF(N($P494)&gt;0,$P494+FaceW,0)+IF(OR($S494="4F",$S494="BL"),FaceW,0))</f>
        <v/>
      </c>
      <c r="BH494" s="51">
        <f>IF($BF494="","",$BF494+2*ROSide)</f>
        <v/>
      </c>
      <c r="BI494" s="51">
        <f>IF($BG494="","",$BG494+ROTop)</f>
        <v/>
      </c>
      <c r="BJ494" s="52">
        <f>IF(OR(N($BC494)=0,$BA494=""),"",$BA494/$BC494-ClearDeduct)</f>
        <v/>
      </c>
      <c r="BK494" s="49">
        <f>IF(OR(N($BC494)=0,$BE494=""),"",IF(OR($AC494="HGC",$AP494="HGC"),"CONT",IF($BE494&lt;=60,2,IF($BE494&lt;=90,3,IF($BE494&lt;=120,4,5)))))</f>
        <v/>
      </c>
      <c r="BL494" s="49">
        <f>IF(N($BC494)=0,"",IF(OR($AL494="",$AL494="FLUSH"),"FLUSH",IFERROR(LEFT($AL494,FIND("-",$AL494)-1),LEFT($AL494,2))))</f>
        <v/>
      </c>
      <c r="BM494" s="49">
        <f>IF($BL494="","",IFERROR(VALUE(MID($AL494,FIND("-",$AL494)+1,FIND(CHAR(34)&amp;"x",$AL494)-FIND("-",$AL494)-1)),0))</f>
        <v/>
      </c>
      <c r="BN494" s="49">
        <f>IF($BL494="","",IFERROR(VALUE(MID($AL494,FIND(CHAR(34)&amp;"x",$AL494)+2,FIND(CHAR(34),$AL494,FIND(CHAR(34)&amp;"x",$AL494)+2)-FIND(CHAR(34)&amp;"x",$AL494)-2)),0))</f>
        <v/>
      </c>
      <c r="BO494" s="53">
        <f>IF(OR($A494="",$H494="",$H494="NO LAB"),0,IFERROR(VALUE(LEFT($H494,FIND(" ",$H494)-1)),0))</f>
        <v/>
      </c>
      <c r="BP494" s="54">
        <f>IF(OR($A494="",$I494="",$I494="NON-RATED",N($J494)=0),"",IFERROR(VLOOKUP($I494&amp;"|"&amp;$J494,IBC,2,FALSE),"?"))</f>
        <v/>
      </c>
      <c r="BQ494" s="50">
        <f>IF(NOT(AND($A494&lt;&gt;"",$C494&lt;&gt;"DOOR ONLY")),"",TRIM(IFERROR(VLOOKUP($U494,CODES,2,FALSE),"")&amp;" "&amp;$AZ494&amp;" "&amp;IFERROR(VLOOKUP($Z494,CODES,2,FALSE),"")&amp;" "&amp;IFERROR(VLOOKUP($X494,CODES,2,FALSE),"")&amp;" "&amp;IFERROR(VLOOKUP($S494,CODES,2,FALSE),"")&amp;IF(N($P494)&gt;0," w/TRANSOM "&amp;$P494&amp;CHAR(34),"")&amp;IF(N($Q494)&gt;0," w/SIDELITE "&amp;$Q494&amp;CHAR(34)&amp;" "&amp;IF($R494="","R",$R494),"")&amp;IF($Y494="","  |  "," | "&amp;IFERROR(VLOOKUP($Y494,CODES,2,FALSE),"")&amp;" | ")&amp;IFERROR(VLOOKUP($AC494,CODES,2,FALSE),"")&amp;" "&amp;IFERROR(VLOOKUP($AD494,CODES,2,FALSE),"")&amp;IF(OR($AE494="",$AE494="-"),""," "&amp;$AE494)&amp;IF(OR($AF494="",$AF494="-"),""," "&amp;$AF494)&amp;IF($AB494="Y"," 4"&amp;CHAR(34)&amp;" HEAD","")&amp;" "&amp;IFERROR(VLOOKUP($H494,CODES,2,FALSE),"")))</f>
        <v/>
      </c>
      <c r="BR494" s="50">
        <f>IF(NOT(AND($A494&lt;&gt;"",N($BC494)&gt;0)),"",TRIM(IFERROR(VLOOKUP($AH494,CODES,2,FALSE),"")&amp;IF($AI494=""," "," "&amp;$AI494&amp;"GA ")&amp;$AZ494&amp;" "&amp;IF($AN494="",IFERROR(VLOOKUP($Z494,CODES,2,FALSE),""),IFERROR(VLOOKUP($AN494,CODES,2,FALSE),""))&amp;IF($BC494=2," PAIR","")&amp;" DOOR | "&amp;IF($AL494="","?",$AL494)&amp;" | "&amp;IF($AP494="",IFERROR(VLOOKUP($AC494,CODES,2,FALSE),""),IFERROR(VLOOKUP($AP494,CODES,2,FALSE),""))&amp;" "&amp;IFERROR(VLOOKUP($AQ494,CODES,2,FALSE),"")&amp;IF(OR($AR494="",$AR494="-"),""," SEAM "&amp;$AR494)&amp;IF($AS494="Y"," ASTRAGAL","")&amp;IF($AJ494=""," "," "&amp;$AJ494)&amp;IF($AK494=""," "," "&amp;$AK494)&amp;IF($AO494="",""," "&amp;$AO494)&amp;IF($AM494=""," "," SERIES "&amp;$AM494)&amp;" "&amp;IFERROR(VLOOKUP($H494,CODES,2,FALSE),"")))</f>
        <v/>
      </c>
      <c r="BS494" s="49">
        <f>IF(BV494="","",IF(COUNTIF($BV$6:BV494,BV494)=1,MAX($BS$5:BS493)+1,INDEX($BS$5:BS493,MATCH(BV494,$BV$5:BV493,0))))</f>
        <v/>
      </c>
      <c r="BT494" s="49">
        <f>IF(NOT(AND($A494&lt;&gt;"",$C494&lt;&gt;"DOOR ONLY")),"",MAX($BT$5:BT493)+1)</f>
        <v/>
      </c>
      <c r="BU494" s="49">
        <f>IF(NOT(AND($A494&lt;&gt;"",N($BC494)&gt;0)),"",MAX($BU$5:BU493)+1)</f>
        <v/>
      </c>
      <c r="BV494" s="49">
        <f>IF(OR($A494="",$BA494="",$BB494=""),"",$AZ494&amp;"|"&amp;$O494&amp;"|"&amp;$AL494&amp;"|"&amp;$S494&amp;"|"&amp;$P494&amp;"|"&amp;$Q494&amp;$R494&amp;"|"&amp;$C494&amp;"|"&amp;$AB494)</f>
        <v/>
      </c>
      <c r="BW494" s="49">
        <f>IF($A494="","",IF($B494="","qty, ","")&amp;IF($C494="","scope, ","")&amp;IF(OR($K494="",$M494=""),"size, ","")&amp;IF(AND($A494&lt;&gt;"",$C494&lt;&gt;"DOOR ONLY"),IF($U494="","jamb depth, ","")&amp;IF($X494="","construction, ","")&amp;IF($Y494="","anchor, ","")&amp;IF($S494="","frame type, ",""),"")&amp;IF(AND(N($BC494)&gt;0,$Z494=""),"hand, ","")&amp;IF(N($BC494)&gt;0,IF($AH494="","door material, ","")&amp;IF($AL494="","face type, ","")&amp;IF($AQ494="","lock prep, ","")&amp;IF(AND($AP494="",$AC494=""),"hinge prep, ",""),"")&amp;IF(AND($BO494&gt;0,$AH494="FRP"),"FRP cannot carry a label, ","")&amp;IF(AND($O494="Y",OR($Z494="L",$Z494="R",$Z494="LR",$Z494="RR")),"pair marked but hand is single, ","")&amp;IF(AND($O494&lt;&gt;"Y",OR($Z494="PR",AND(LEN($Z494)&gt;1,ISNUMBER(SEARCH("-",$Z494))))),"pair hand on a single door, ","")&amp;IF(AND(ISNUMBER($BP494),$BO494&lt;N($BP494)),"wall needs a "&amp;$BP494&amp;" min door, ","")&amp;IF(AND($BO494&gt;=180,AND(OR($BL494="FG",$BL494="HG",$BL494="FNV",$BL494="FV"),N($BM494)*N($BN494)&gt;100)),"180 min lite over 100 sq in, ","")&amp;IF(N($BD494)&gt;48,"leaf wider than 4'-0"&amp;CHAR(34)&amp;", ",""))</f>
        <v/>
      </c>
      <c r="BX494" s="49">
        <f>IF($A494="","",IF(AND($BO494&gt;0,AND($A494&lt;&gt;"",$C494&lt;&gt;"DOOR ONLY"),$X494="KD",$E494="EXTERIOR"),"KD label on an exterior opening, ","")&amp;IF(AND($E494="EXTERIOR",OR(AND(AND($A494&lt;&gt;"",$C494&lt;&gt;"DOOR ONLY"),$W494="CR"),AND(N($BC494)&gt;0,$AH494="CR"))),"exterior in CR steel (G9?), ","")&amp;IF(AND(ISNUMBER($BJ494),N($BJ494)&lt;32),"clear width ~"&amp;TEXT($BJ494,"0.0")&amp;CHAR(34)&amp;" under 32"&amp;CHAR(34)&amp;" (ADA), ","")&amp;IF(AND($BO494=90,AND(OR($BL494="FG",$BL494="HG",$BL494="FNV",$BL494="FV"),N($BM494)*N($BN494)&gt;100)),"90 min lite over 100 sq in (stair/exit), ","")&amp;IF(AND($BO494&gt;0,AND($A494&lt;&gt;"",$C494&lt;&gt;"DOOR ONLY"),OR($AF494="",$AF494="-")),"rated: closer reinf.?, ","")&amp;IF(OR($I494="CORRIDOR",$I494="SMOKE BARRIER"),"S label + smoke gasketing, ","")&amp;IF($BP494="?","wall type/hr not in IBC table, ","")&amp;IF(AND(N($BC494)&gt;0,$AU494=""),"no hardware set, ","")&amp;IF(AND($AU494&lt;&gt;"",ISNA(MATCH($AU494,HWSets,0))),"set "&amp;$AU494&amp;" not on Hardware sheet, ","")&amp;IF(N($BE494)&gt;96,"leaf over 8'-0"&amp;CHAR(34)&amp;" - check listing, ",""))</f>
        <v/>
      </c>
    </row>
    <row r="495" ht="15" customHeight="1">
      <c r="A495" s="44" t="n"/>
      <c r="B495" s="45" t="n"/>
      <c r="C495" s="45" t="n"/>
      <c r="D495" s="45" t="n"/>
      <c r="E495" s="45" t="n"/>
      <c r="F495" s="45" t="n"/>
      <c r="G495" s="45" t="n"/>
      <c r="H495" s="45" t="n"/>
      <c r="I495" s="45" t="n"/>
      <c r="J495" s="45" t="n"/>
      <c r="K495" s="45" t="n"/>
      <c r="L495" s="45" t="n"/>
      <c r="M495" s="45" t="n"/>
      <c r="N495" s="45" t="n"/>
      <c r="O495" s="45" t="n"/>
      <c r="P495" s="45" t="n"/>
      <c r="Q495" s="45" t="n"/>
      <c r="R495" s="45" t="n"/>
      <c r="S495" s="46" t="n"/>
      <c r="T495" s="46" t="n"/>
      <c r="U495" s="46" t="n"/>
      <c r="V495" s="46" t="n"/>
      <c r="W495" s="46" t="n"/>
      <c r="X495" s="46" t="n"/>
      <c r="Y495" s="46" t="n"/>
      <c r="Z495" s="46" t="n"/>
      <c r="AA495" s="46" t="n"/>
      <c r="AB495" s="46" t="n"/>
      <c r="AC495" s="46" t="n"/>
      <c r="AD495" s="46" t="n"/>
      <c r="AE495" s="46" t="n"/>
      <c r="AF495" s="46" t="n"/>
      <c r="AG495" s="46" t="n"/>
      <c r="AH495" s="47" t="n"/>
      <c r="AI495" s="47" t="n"/>
      <c r="AJ495" s="47" t="n"/>
      <c r="AK495" s="47" t="n"/>
      <c r="AL495" s="47" t="n"/>
      <c r="AM495" s="47" t="n"/>
      <c r="AN495" s="47" t="n"/>
      <c r="AO495" s="47" t="n"/>
      <c r="AP495" s="47" t="n"/>
      <c r="AQ495" s="47" t="n"/>
      <c r="AR495" s="47" t="n"/>
      <c r="AS495" s="47" t="n"/>
      <c r="AT495" s="47" t="n"/>
      <c r="AU495" s="48" t="n"/>
      <c r="AV495" s="48" t="n"/>
      <c r="AW495" s="49">
        <f>IF($A495="","",IF($BW495&lt;&gt;"","FIX",IF($BX495&lt;&gt;"","CHECK","OK")))</f>
        <v/>
      </c>
      <c r="AX495" s="50">
        <f>IF($A495="","",IF($BW495&lt;&gt;"","FIX: "&amp;LEFT($BW495,LEN($BW495)-2)&amp;IF($BX495&lt;&gt;"","  ·  ",""),"")&amp;IF($BX495&lt;&gt;"","CHECK: "&amp;LEFT($BX495,LEN($BX495)-2),""))</f>
        <v/>
      </c>
      <c r="AY495" s="49">
        <f>IF(OR($A495="",$K495=""),"",$K495&amp;"'-"&amp;N($L495)&amp;CHAR(34)&amp;" x "&amp;$M495&amp;"'-"&amp;N($N495)&amp;CHAR(34))</f>
        <v/>
      </c>
      <c r="AZ495" s="49">
        <f>IF(OR($A495="",$K495=""),"",$K495&amp;N($L495)&amp;$M495&amp;N($N495))</f>
        <v/>
      </c>
      <c r="BA495" s="49">
        <f>IF(OR($A495="",$K495=""),"",$K495*12+N($L495))</f>
        <v/>
      </c>
      <c r="BB495" s="49">
        <f>IF(OR($A495="",$M495=""),"",$M495*12+N($N495))</f>
        <v/>
      </c>
      <c r="BC495" s="49">
        <f>IF($A495="","",IF(OR($C495="FRAME ONLY",$S495="BL"),0,IF($O495="Y",2,1)))</f>
        <v/>
      </c>
      <c r="BD495" s="51">
        <f>IF(OR(N($BC495)=0,$BA495=""),"",($BA495-2*EdgeClr-IF($BC495=2,MeetClr,0))/$BC495)</f>
        <v/>
      </c>
      <c r="BE495" s="51">
        <f>IF(OR(N($BC495)=0,$BB495=""),"",$BB495-HeadClr-Undercut)</f>
        <v/>
      </c>
      <c r="BF495" s="51">
        <f>IF($BA495="","",$BA495+2*FaceW+IF(N($Q495)&gt;0,($Q495+FaceW)*IF($R495="LR",2,1),0))</f>
        <v/>
      </c>
      <c r="BG495" s="51">
        <f>IF($BB495="","",$BB495+IF($AB495="Y",4,FaceW)+IF(N($P495)&gt;0,$P495+FaceW,0)+IF(OR($S495="4F",$S495="BL"),FaceW,0))</f>
        <v/>
      </c>
      <c r="BH495" s="51">
        <f>IF($BF495="","",$BF495+2*ROSide)</f>
        <v/>
      </c>
      <c r="BI495" s="51">
        <f>IF($BG495="","",$BG495+ROTop)</f>
        <v/>
      </c>
      <c r="BJ495" s="52">
        <f>IF(OR(N($BC495)=0,$BA495=""),"",$BA495/$BC495-ClearDeduct)</f>
        <v/>
      </c>
      <c r="BK495" s="49">
        <f>IF(OR(N($BC495)=0,$BE495=""),"",IF(OR($AC495="HGC",$AP495="HGC"),"CONT",IF($BE495&lt;=60,2,IF($BE495&lt;=90,3,IF($BE495&lt;=120,4,5)))))</f>
        <v/>
      </c>
      <c r="BL495" s="49">
        <f>IF(N($BC495)=0,"",IF(OR($AL495="",$AL495="FLUSH"),"FLUSH",IFERROR(LEFT($AL495,FIND("-",$AL495)-1),LEFT($AL495,2))))</f>
        <v/>
      </c>
      <c r="BM495" s="49">
        <f>IF($BL495="","",IFERROR(VALUE(MID($AL495,FIND("-",$AL495)+1,FIND(CHAR(34)&amp;"x",$AL495)-FIND("-",$AL495)-1)),0))</f>
        <v/>
      </c>
      <c r="BN495" s="49">
        <f>IF($BL495="","",IFERROR(VALUE(MID($AL495,FIND(CHAR(34)&amp;"x",$AL495)+2,FIND(CHAR(34),$AL495,FIND(CHAR(34)&amp;"x",$AL495)+2)-FIND(CHAR(34)&amp;"x",$AL495)-2)),0))</f>
        <v/>
      </c>
      <c r="BO495" s="53">
        <f>IF(OR($A495="",$H495="",$H495="NO LAB"),0,IFERROR(VALUE(LEFT($H495,FIND(" ",$H495)-1)),0))</f>
        <v/>
      </c>
      <c r="BP495" s="54">
        <f>IF(OR($A495="",$I495="",$I495="NON-RATED",N($J495)=0),"",IFERROR(VLOOKUP($I495&amp;"|"&amp;$J495,IBC,2,FALSE),"?"))</f>
        <v/>
      </c>
      <c r="BQ495" s="50">
        <f>IF(NOT(AND($A495&lt;&gt;"",$C495&lt;&gt;"DOOR ONLY")),"",TRIM(IFERROR(VLOOKUP($U495,CODES,2,FALSE),"")&amp;" "&amp;$AZ495&amp;" "&amp;IFERROR(VLOOKUP($Z495,CODES,2,FALSE),"")&amp;" "&amp;IFERROR(VLOOKUP($X495,CODES,2,FALSE),"")&amp;" "&amp;IFERROR(VLOOKUP($S495,CODES,2,FALSE),"")&amp;IF(N($P495)&gt;0," w/TRANSOM "&amp;$P495&amp;CHAR(34),"")&amp;IF(N($Q495)&gt;0," w/SIDELITE "&amp;$Q495&amp;CHAR(34)&amp;" "&amp;IF($R495="","R",$R495),"")&amp;IF($Y495="","  |  "," | "&amp;IFERROR(VLOOKUP($Y495,CODES,2,FALSE),"")&amp;" | ")&amp;IFERROR(VLOOKUP($AC495,CODES,2,FALSE),"")&amp;" "&amp;IFERROR(VLOOKUP($AD495,CODES,2,FALSE),"")&amp;IF(OR($AE495="",$AE495="-"),""," "&amp;$AE495)&amp;IF(OR($AF495="",$AF495="-"),""," "&amp;$AF495)&amp;IF($AB495="Y"," 4"&amp;CHAR(34)&amp;" HEAD","")&amp;" "&amp;IFERROR(VLOOKUP($H495,CODES,2,FALSE),"")))</f>
        <v/>
      </c>
      <c r="BR495" s="50">
        <f>IF(NOT(AND($A495&lt;&gt;"",N($BC495)&gt;0)),"",TRIM(IFERROR(VLOOKUP($AH495,CODES,2,FALSE),"")&amp;IF($AI495=""," "," "&amp;$AI495&amp;"GA ")&amp;$AZ495&amp;" "&amp;IF($AN495="",IFERROR(VLOOKUP($Z495,CODES,2,FALSE),""),IFERROR(VLOOKUP($AN495,CODES,2,FALSE),""))&amp;IF($BC495=2," PAIR","")&amp;" DOOR | "&amp;IF($AL495="","?",$AL495)&amp;" | "&amp;IF($AP495="",IFERROR(VLOOKUP($AC495,CODES,2,FALSE),""),IFERROR(VLOOKUP($AP495,CODES,2,FALSE),""))&amp;" "&amp;IFERROR(VLOOKUP($AQ495,CODES,2,FALSE),"")&amp;IF(OR($AR495="",$AR495="-"),""," SEAM "&amp;$AR495)&amp;IF($AS495="Y"," ASTRAGAL","")&amp;IF($AJ495=""," "," "&amp;$AJ495)&amp;IF($AK495=""," "," "&amp;$AK495)&amp;IF($AO495="",""," "&amp;$AO495)&amp;IF($AM495=""," "," SERIES "&amp;$AM495)&amp;" "&amp;IFERROR(VLOOKUP($H495,CODES,2,FALSE),"")))</f>
        <v/>
      </c>
      <c r="BS495" s="49">
        <f>IF(BV495="","",IF(COUNTIF($BV$6:BV495,BV495)=1,MAX($BS$5:BS494)+1,INDEX($BS$5:BS494,MATCH(BV495,$BV$5:BV494,0))))</f>
        <v/>
      </c>
      <c r="BT495" s="49">
        <f>IF(NOT(AND($A495&lt;&gt;"",$C495&lt;&gt;"DOOR ONLY")),"",MAX($BT$5:BT494)+1)</f>
        <v/>
      </c>
      <c r="BU495" s="49">
        <f>IF(NOT(AND($A495&lt;&gt;"",N($BC495)&gt;0)),"",MAX($BU$5:BU494)+1)</f>
        <v/>
      </c>
      <c r="BV495" s="49">
        <f>IF(OR($A495="",$BA495="",$BB495=""),"",$AZ495&amp;"|"&amp;$O495&amp;"|"&amp;$AL495&amp;"|"&amp;$S495&amp;"|"&amp;$P495&amp;"|"&amp;$Q495&amp;$R495&amp;"|"&amp;$C495&amp;"|"&amp;$AB495)</f>
        <v/>
      </c>
      <c r="BW495" s="49">
        <f>IF($A495="","",IF($B495="","qty, ","")&amp;IF($C495="","scope, ","")&amp;IF(OR($K495="",$M495=""),"size, ","")&amp;IF(AND($A495&lt;&gt;"",$C495&lt;&gt;"DOOR ONLY"),IF($U495="","jamb depth, ","")&amp;IF($X495="","construction, ","")&amp;IF($Y495="","anchor, ","")&amp;IF($S495="","frame type, ",""),"")&amp;IF(AND(N($BC495)&gt;0,$Z495=""),"hand, ","")&amp;IF(N($BC495)&gt;0,IF($AH495="","door material, ","")&amp;IF($AL495="","face type, ","")&amp;IF($AQ495="","lock prep, ","")&amp;IF(AND($AP495="",$AC495=""),"hinge prep, ",""),"")&amp;IF(AND($BO495&gt;0,$AH495="FRP"),"FRP cannot carry a label, ","")&amp;IF(AND($O495="Y",OR($Z495="L",$Z495="R",$Z495="LR",$Z495="RR")),"pair marked but hand is single, ","")&amp;IF(AND($O495&lt;&gt;"Y",OR($Z495="PR",AND(LEN($Z495)&gt;1,ISNUMBER(SEARCH("-",$Z495))))),"pair hand on a single door, ","")&amp;IF(AND(ISNUMBER($BP495),$BO495&lt;N($BP495)),"wall needs a "&amp;$BP495&amp;" min door, ","")&amp;IF(AND($BO495&gt;=180,AND(OR($BL495="FG",$BL495="HG",$BL495="FNV",$BL495="FV"),N($BM495)*N($BN495)&gt;100)),"180 min lite over 100 sq in, ","")&amp;IF(N($BD495)&gt;48,"leaf wider than 4'-0"&amp;CHAR(34)&amp;", ",""))</f>
        <v/>
      </c>
      <c r="BX495" s="49">
        <f>IF($A495="","",IF(AND($BO495&gt;0,AND($A495&lt;&gt;"",$C495&lt;&gt;"DOOR ONLY"),$X495="KD",$E495="EXTERIOR"),"KD label on an exterior opening, ","")&amp;IF(AND($E495="EXTERIOR",OR(AND(AND($A495&lt;&gt;"",$C495&lt;&gt;"DOOR ONLY"),$W495="CR"),AND(N($BC495)&gt;0,$AH495="CR"))),"exterior in CR steel (G9?), ","")&amp;IF(AND(ISNUMBER($BJ495),N($BJ495)&lt;32),"clear width ~"&amp;TEXT($BJ495,"0.0")&amp;CHAR(34)&amp;" under 32"&amp;CHAR(34)&amp;" (ADA), ","")&amp;IF(AND($BO495=90,AND(OR($BL495="FG",$BL495="HG",$BL495="FNV",$BL495="FV"),N($BM495)*N($BN495)&gt;100)),"90 min lite over 100 sq in (stair/exit), ","")&amp;IF(AND($BO495&gt;0,AND($A495&lt;&gt;"",$C495&lt;&gt;"DOOR ONLY"),OR($AF495="",$AF495="-")),"rated: closer reinf.?, ","")&amp;IF(OR($I495="CORRIDOR",$I495="SMOKE BARRIER"),"S label + smoke gasketing, ","")&amp;IF($BP495="?","wall type/hr not in IBC table, ","")&amp;IF(AND(N($BC495)&gt;0,$AU495=""),"no hardware set, ","")&amp;IF(AND($AU495&lt;&gt;"",ISNA(MATCH($AU495,HWSets,0))),"set "&amp;$AU495&amp;" not on Hardware sheet, ","")&amp;IF(N($BE495)&gt;96,"leaf over 8'-0"&amp;CHAR(34)&amp;" - check listing, ",""))</f>
        <v/>
      </c>
    </row>
    <row r="496" ht="15" customHeight="1">
      <c r="A496" s="44" t="n"/>
      <c r="B496" s="45" t="n"/>
      <c r="C496" s="45" t="n"/>
      <c r="D496" s="45" t="n"/>
      <c r="E496" s="45" t="n"/>
      <c r="F496" s="45" t="n"/>
      <c r="G496" s="45" t="n"/>
      <c r="H496" s="45" t="n"/>
      <c r="I496" s="45" t="n"/>
      <c r="J496" s="45" t="n"/>
      <c r="K496" s="45" t="n"/>
      <c r="L496" s="45" t="n"/>
      <c r="M496" s="45" t="n"/>
      <c r="N496" s="45" t="n"/>
      <c r="O496" s="45" t="n"/>
      <c r="P496" s="45" t="n"/>
      <c r="Q496" s="45" t="n"/>
      <c r="R496" s="45" t="n"/>
      <c r="S496" s="46" t="n"/>
      <c r="T496" s="46" t="n"/>
      <c r="U496" s="46" t="n"/>
      <c r="V496" s="46" t="n"/>
      <c r="W496" s="46" t="n"/>
      <c r="X496" s="46" t="n"/>
      <c r="Y496" s="46" t="n"/>
      <c r="Z496" s="46" t="n"/>
      <c r="AA496" s="46" t="n"/>
      <c r="AB496" s="46" t="n"/>
      <c r="AC496" s="46" t="n"/>
      <c r="AD496" s="46" t="n"/>
      <c r="AE496" s="46" t="n"/>
      <c r="AF496" s="46" t="n"/>
      <c r="AG496" s="46" t="n"/>
      <c r="AH496" s="47" t="n"/>
      <c r="AI496" s="47" t="n"/>
      <c r="AJ496" s="47" t="n"/>
      <c r="AK496" s="47" t="n"/>
      <c r="AL496" s="47" t="n"/>
      <c r="AM496" s="47" t="n"/>
      <c r="AN496" s="47" t="n"/>
      <c r="AO496" s="47" t="n"/>
      <c r="AP496" s="47" t="n"/>
      <c r="AQ496" s="47" t="n"/>
      <c r="AR496" s="47" t="n"/>
      <c r="AS496" s="47" t="n"/>
      <c r="AT496" s="47" t="n"/>
      <c r="AU496" s="48" t="n"/>
      <c r="AV496" s="48" t="n"/>
      <c r="AW496" s="49">
        <f>IF($A496="","",IF($BW496&lt;&gt;"","FIX",IF($BX496&lt;&gt;"","CHECK","OK")))</f>
        <v/>
      </c>
      <c r="AX496" s="50">
        <f>IF($A496="","",IF($BW496&lt;&gt;"","FIX: "&amp;LEFT($BW496,LEN($BW496)-2)&amp;IF($BX496&lt;&gt;"","  ·  ",""),"")&amp;IF($BX496&lt;&gt;"","CHECK: "&amp;LEFT($BX496,LEN($BX496)-2),""))</f>
        <v/>
      </c>
      <c r="AY496" s="49">
        <f>IF(OR($A496="",$K496=""),"",$K496&amp;"'-"&amp;N($L496)&amp;CHAR(34)&amp;" x "&amp;$M496&amp;"'-"&amp;N($N496)&amp;CHAR(34))</f>
        <v/>
      </c>
      <c r="AZ496" s="49">
        <f>IF(OR($A496="",$K496=""),"",$K496&amp;N($L496)&amp;$M496&amp;N($N496))</f>
        <v/>
      </c>
      <c r="BA496" s="49">
        <f>IF(OR($A496="",$K496=""),"",$K496*12+N($L496))</f>
        <v/>
      </c>
      <c r="BB496" s="49">
        <f>IF(OR($A496="",$M496=""),"",$M496*12+N($N496))</f>
        <v/>
      </c>
      <c r="BC496" s="49">
        <f>IF($A496="","",IF(OR($C496="FRAME ONLY",$S496="BL"),0,IF($O496="Y",2,1)))</f>
        <v/>
      </c>
      <c r="BD496" s="51">
        <f>IF(OR(N($BC496)=0,$BA496=""),"",($BA496-2*EdgeClr-IF($BC496=2,MeetClr,0))/$BC496)</f>
        <v/>
      </c>
      <c r="BE496" s="51">
        <f>IF(OR(N($BC496)=0,$BB496=""),"",$BB496-HeadClr-Undercut)</f>
        <v/>
      </c>
      <c r="BF496" s="51">
        <f>IF($BA496="","",$BA496+2*FaceW+IF(N($Q496)&gt;0,($Q496+FaceW)*IF($R496="LR",2,1),0))</f>
        <v/>
      </c>
      <c r="BG496" s="51">
        <f>IF($BB496="","",$BB496+IF($AB496="Y",4,FaceW)+IF(N($P496)&gt;0,$P496+FaceW,0)+IF(OR($S496="4F",$S496="BL"),FaceW,0))</f>
        <v/>
      </c>
      <c r="BH496" s="51">
        <f>IF($BF496="","",$BF496+2*ROSide)</f>
        <v/>
      </c>
      <c r="BI496" s="51">
        <f>IF($BG496="","",$BG496+ROTop)</f>
        <v/>
      </c>
      <c r="BJ496" s="52">
        <f>IF(OR(N($BC496)=0,$BA496=""),"",$BA496/$BC496-ClearDeduct)</f>
        <v/>
      </c>
      <c r="BK496" s="49">
        <f>IF(OR(N($BC496)=0,$BE496=""),"",IF(OR($AC496="HGC",$AP496="HGC"),"CONT",IF($BE496&lt;=60,2,IF($BE496&lt;=90,3,IF($BE496&lt;=120,4,5)))))</f>
        <v/>
      </c>
      <c r="BL496" s="49">
        <f>IF(N($BC496)=0,"",IF(OR($AL496="",$AL496="FLUSH"),"FLUSH",IFERROR(LEFT($AL496,FIND("-",$AL496)-1),LEFT($AL496,2))))</f>
        <v/>
      </c>
      <c r="BM496" s="49">
        <f>IF($BL496="","",IFERROR(VALUE(MID($AL496,FIND("-",$AL496)+1,FIND(CHAR(34)&amp;"x",$AL496)-FIND("-",$AL496)-1)),0))</f>
        <v/>
      </c>
      <c r="BN496" s="49">
        <f>IF($BL496="","",IFERROR(VALUE(MID($AL496,FIND(CHAR(34)&amp;"x",$AL496)+2,FIND(CHAR(34),$AL496,FIND(CHAR(34)&amp;"x",$AL496)+2)-FIND(CHAR(34)&amp;"x",$AL496)-2)),0))</f>
        <v/>
      </c>
      <c r="BO496" s="53">
        <f>IF(OR($A496="",$H496="",$H496="NO LAB"),0,IFERROR(VALUE(LEFT($H496,FIND(" ",$H496)-1)),0))</f>
        <v/>
      </c>
      <c r="BP496" s="54">
        <f>IF(OR($A496="",$I496="",$I496="NON-RATED",N($J496)=0),"",IFERROR(VLOOKUP($I496&amp;"|"&amp;$J496,IBC,2,FALSE),"?"))</f>
        <v/>
      </c>
      <c r="BQ496" s="50">
        <f>IF(NOT(AND($A496&lt;&gt;"",$C496&lt;&gt;"DOOR ONLY")),"",TRIM(IFERROR(VLOOKUP($U496,CODES,2,FALSE),"")&amp;" "&amp;$AZ496&amp;" "&amp;IFERROR(VLOOKUP($Z496,CODES,2,FALSE),"")&amp;" "&amp;IFERROR(VLOOKUP($X496,CODES,2,FALSE),"")&amp;" "&amp;IFERROR(VLOOKUP($S496,CODES,2,FALSE),"")&amp;IF(N($P496)&gt;0," w/TRANSOM "&amp;$P496&amp;CHAR(34),"")&amp;IF(N($Q496)&gt;0," w/SIDELITE "&amp;$Q496&amp;CHAR(34)&amp;" "&amp;IF($R496="","R",$R496),"")&amp;IF($Y496="","  |  "," | "&amp;IFERROR(VLOOKUP($Y496,CODES,2,FALSE),"")&amp;" | ")&amp;IFERROR(VLOOKUP($AC496,CODES,2,FALSE),"")&amp;" "&amp;IFERROR(VLOOKUP($AD496,CODES,2,FALSE),"")&amp;IF(OR($AE496="",$AE496="-"),""," "&amp;$AE496)&amp;IF(OR($AF496="",$AF496="-"),""," "&amp;$AF496)&amp;IF($AB496="Y"," 4"&amp;CHAR(34)&amp;" HEAD","")&amp;" "&amp;IFERROR(VLOOKUP($H496,CODES,2,FALSE),"")))</f>
        <v/>
      </c>
      <c r="BR496" s="50">
        <f>IF(NOT(AND($A496&lt;&gt;"",N($BC496)&gt;0)),"",TRIM(IFERROR(VLOOKUP($AH496,CODES,2,FALSE),"")&amp;IF($AI496=""," "," "&amp;$AI496&amp;"GA ")&amp;$AZ496&amp;" "&amp;IF($AN496="",IFERROR(VLOOKUP($Z496,CODES,2,FALSE),""),IFERROR(VLOOKUP($AN496,CODES,2,FALSE),""))&amp;IF($BC496=2," PAIR","")&amp;" DOOR | "&amp;IF($AL496="","?",$AL496)&amp;" | "&amp;IF($AP496="",IFERROR(VLOOKUP($AC496,CODES,2,FALSE),""),IFERROR(VLOOKUP($AP496,CODES,2,FALSE),""))&amp;" "&amp;IFERROR(VLOOKUP($AQ496,CODES,2,FALSE),"")&amp;IF(OR($AR496="",$AR496="-"),""," SEAM "&amp;$AR496)&amp;IF($AS496="Y"," ASTRAGAL","")&amp;IF($AJ496=""," "," "&amp;$AJ496)&amp;IF($AK496=""," "," "&amp;$AK496)&amp;IF($AO496="",""," "&amp;$AO496)&amp;IF($AM496=""," "," SERIES "&amp;$AM496)&amp;" "&amp;IFERROR(VLOOKUP($H496,CODES,2,FALSE),"")))</f>
        <v/>
      </c>
      <c r="BS496" s="49">
        <f>IF(BV496="","",IF(COUNTIF($BV$6:BV496,BV496)=1,MAX($BS$5:BS495)+1,INDEX($BS$5:BS495,MATCH(BV496,$BV$5:BV495,0))))</f>
        <v/>
      </c>
      <c r="BT496" s="49">
        <f>IF(NOT(AND($A496&lt;&gt;"",$C496&lt;&gt;"DOOR ONLY")),"",MAX($BT$5:BT495)+1)</f>
        <v/>
      </c>
      <c r="BU496" s="49">
        <f>IF(NOT(AND($A496&lt;&gt;"",N($BC496)&gt;0)),"",MAX($BU$5:BU495)+1)</f>
        <v/>
      </c>
      <c r="BV496" s="49">
        <f>IF(OR($A496="",$BA496="",$BB496=""),"",$AZ496&amp;"|"&amp;$O496&amp;"|"&amp;$AL496&amp;"|"&amp;$S496&amp;"|"&amp;$P496&amp;"|"&amp;$Q496&amp;$R496&amp;"|"&amp;$C496&amp;"|"&amp;$AB496)</f>
        <v/>
      </c>
      <c r="BW496" s="49">
        <f>IF($A496="","",IF($B496="","qty, ","")&amp;IF($C496="","scope, ","")&amp;IF(OR($K496="",$M496=""),"size, ","")&amp;IF(AND($A496&lt;&gt;"",$C496&lt;&gt;"DOOR ONLY"),IF($U496="","jamb depth, ","")&amp;IF($X496="","construction, ","")&amp;IF($Y496="","anchor, ","")&amp;IF($S496="","frame type, ",""),"")&amp;IF(AND(N($BC496)&gt;0,$Z496=""),"hand, ","")&amp;IF(N($BC496)&gt;0,IF($AH496="","door material, ","")&amp;IF($AL496="","face type, ","")&amp;IF($AQ496="","lock prep, ","")&amp;IF(AND($AP496="",$AC496=""),"hinge prep, ",""),"")&amp;IF(AND($BO496&gt;0,$AH496="FRP"),"FRP cannot carry a label, ","")&amp;IF(AND($O496="Y",OR($Z496="L",$Z496="R",$Z496="LR",$Z496="RR")),"pair marked but hand is single, ","")&amp;IF(AND($O496&lt;&gt;"Y",OR($Z496="PR",AND(LEN($Z496)&gt;1,ISNUMBER(SEARCH("-",$Z496))))),"pair hand on a single door, ","")&amp;IF(AND(ISNUMBER($BP496),$BO496&lt;N($BP496)),"wall needs a "&amp;$BP496&amp;" min door, ","")&amp;IF(AND($BO496&gt;=180,AND(OR($BL496="FG",$BL496="HG",$BL496="FNV",$BL496="FV"),N($BM496)*N($BN496)&gt;100)),"180 min lite over 100 sq in, ","")&amp;IF(N($BD496)&gt;48,"leaf wider than 4'-0"&amp;CHAR(34)&amp;", ",""))</f>
        <v/>
      </c>
      <c r="BX496" s="49">
        <f>IF($A496="","",IF(AND($BO496&gt;0,AND($A496&lt;&gt;"",$C496&lt;&gt;"DOOR ONLY"),$X496="KD",$E496="EXTERIOR"),"KD label on an exterior opening, ","")&amp;IF(AND($E496="EXTERIOR",OR(AND(AND($A496&lt;&gt;"",$C496&lt;&gt;"DOOR ONLY"),$W496="CR"),AND(N($BC496)&gt;0,$AH496="CR"))),"exterior in CR steel (G9?), ","")&amp;IF(AND(ISNUMBER($BJ496),N($BJ496)&lt;32),"clear width ~"&amp;TEXT($BJ496,"0.0")&amp;CHAR(34)&amp;" under 32"&amp;CHAR(34)&amp;" (ADA), ","")&amp;IF(AND($BO496=90,AND(OR($BL496="FG",$BL496="HG",$BL496="FNV",$BL496="FV"),N($BM496)*N($BN496)&gt;100)),"90 min lite over 100 sq in (stair/exit), ","")&amp;IF(AND($BO496&gt;0,AND($A496&lt;&gt;"",$C496&lt;&gt;"DOOR ONLY"),OR($AF496="",$AF496="-")),"rated: closer reinf.?, ","")&amp;IF(OR($I496="CORRIDOR",$I496="SMOKE BARRIER"),"S label + smoke gasketing, ","")&amp;IF($BP496="?","wall type/hr not in IBC table, ","")&amp;IF(AND(N($BC496)&gt;0,$AU496=""),"no hardware set, ","")&amp;IF(AND($AU496&lt;&gt;"",ISNA(MATCH($AU496,HWSets,0))),"set "&amp;$AU496&amp;" not on Hardware sheet, ","")&amp;IF(N($BE496)&gt;96,"leaf over 8'-0"&amp;CHAR(34)&amp;" - check listing, ",""))</f>
        <v/>
      </c>
    </row>
    <row r="497" ht="15" customHeight="1">
      <c r="A497" s="44" t="n"/>
      <c r="B497" s="45" t="n"/>
      <c r="C497" s="45" t="n"/>
      <c r="D497" s="45" t="n"/>
      <c r="E497" s="45" t="n"/>
      <c r="F497" s="45" t="n"/>
      <c r="G497" s="45" t="n"/>
      <c r="H497" s="45" t="n"/>
      <c r="I497" s="45" t="n"/>
      <c r="J497" s="45" t="n"/>
      <c r="K497" s="45" t="n"/>
      <c r="L497" s="45" t="n"/>
      <c r="M497" s="45" t="n"/>
      <c r="N497" s="45" t="n"/>
      <c r="O497" s="45" t="n"/>
      <c r="P497" s="45" t="n"/>
      <c r="Q497" s="45" t="n"/>
      <c r="R497" s="45" t="n"/>
      <c r="S497" s="46" t="n"/>
      <c r="T497" s="46" t="n"/>
      <c r="U497" s="46" t="n"/>
      <c r="V497" s="46" t="n"/>
      <c r="W497" s="46" t="n"/>
      <c r="X497" s="46" t="n"/>
      <c r="Y497" s="46" t="n"/>
      <c r="Z497" s="46" t="n"/>
      <c r="AA497" s="46" t="n"/>
      <c r="AB497" s="46" t="n"/>
      <c r="AC497" s="46" t="n"/>
      <c r="AD497" s="46" t="n"/>
      <c r="AE497" s="46" t="n"/>
      <c r="AF497" s="46" t="n"/>
      <c r="AG497" s="46" t="n"/>
      <c r="AH497" s="47" t="n"/>
      <c r="AI497" s="47" t="n"/>
      <c r="AJ497" s="47" t="n"/>
      <c r="AK497" s="47" t="n"/>
      <c r="AL497" s="47" t="n"/>
      <c r="AM497" s="47" t="n"/>
      <c r="AN497" s="47" t="n"/>
      <c r="AO497" s="47" t="n"/>
      <c r="AP497" s="47" t="n"/>
      <c r="AQ497" s="47" t="n"/>
      <c r="AR497" s="47" t="n"/>
      <c r="AS497" s="47" t="n"/>
      <c r="AT497" s="47" t="n"/>
      <c r="AU497" s="48" t="n"/>
      <c r="AV497" s="48" t="n"/>
      <c r="AW497" s="49">
        <f>IF($A497="","",IF($BW497&lt;&gt;"","FIX",IF($BX497&lt;&gt;"","CHECK","OK")))</f>
        <v/>
      </c>
      <c r="AX497" s="50">
        <f>IF($A497="","",IF($BW497&lt;&gt;"","FIX: "&amp;LEFT($BW497,LEN($BW497)-2)&amp;IF($BX497&lt;&gt;"","  ·  ",""),"")&amp;IF($BX497&lt;&gt;"","CHECK: "&amp;LEFT($BX497,LEN($BX497)-2),""))</f>
        <v/>
      </c>
      <c r="AY497" s="49">
        <f>IF(OR($A497="",$K497=""),"",$K497&amp;"'-"&amp;N($L497)&amp;CHAR(34)&amp;" x "&amp;$M497&amp;"'-"&amp;N($N497)&amp;CHAR(34))</f>
        <v/>
      </c>
      <c r="AZ497" s="49">
        <f>IF(OR($A497="",$K497=""),"",$K497&amp;N($L497)&amp;$M497&amp;N($N497))</f>
        <v/>
      </c>
      <c r="BA497" s="49">
        <f>IF(OR($A497="",$K497=""),"",$K497*12+N($L497))</f>
        <v/>
      </c>
      <c r="BB497" s="49">
        <f>IF(OR($A497="",$M497=""),"",$M497*12+N($N497))</f>
        <v/>
      </c>
      <c r="BC497" s="49">
        <f>IF($A497="","",IF(OR($C497="FRAME ONLY",$S497="BL"),0,IF($O497="Y",2,1)))</f>
        <v/>
      </c>
      <c r="BD497" s="51">
        <f>IF(OR(N($BC497)=0,$BA497=""),"",($BA497-2*EdgeClr-IF($BC497=2,MeetClr,0))/$BC497)</f>
        <v/>
      </c>
      <c r="BE497" s="51">
        <f>IF(OR(N($BC497)=0,$BB497=""),"",$BB497-HeadClr-Undercut)</f>
        <v/>
      </c>
      <c r="BF497" s="51">
        <f>IF($BA497="","",$BA497+2*FaceW+IF(N($Q497)&gt;0,($Q497+FaceW)*IF($R497="LR",2,1),0))</f>
        <v/>
      </c>
      <c r="BG497" s="51">
        <f>IF($BB497="","",$BB497+IF($AB497="Y",4,FaceW)+IF(N($P497)&gt;0,$P497+FaceW,0)+IF(OR($S497="4F",$S497="BL"),FaceW,0))</f>
        <v/>
      </c>
      <c r="BH497" s="51">
        <f>IF($BF497="","",$BF497+2*ROSide)</f>
        <v/>
      </c>
      <c r="BI497" s="51">
        <f>IF($BG497="","",$BG497+ROTop)</f>
        <v/>
      </c>
      <c r="BJ497" s="52">
        <f>IF(OR(N($BC497)=0,$BA497=""),"",$BA497/$BC497-ClearDeduct)</f>
        <v/>
      </c>
      <c r="BK497" s="49">
        <f>IF(OR(N($BC497)=0,$BE497=""),"",IF(OR($AC497="HGC",$AP497="HGC"),"CONT",IF($BE497&lt;=60,2,IF($BE497&lt;=90,3,IF($BE497&lt;=120,4,5)))))</f>
        <v/>
      </c>
      <c r="BL497" s="49">
        <f>IF(N($BC497)=0,"",IF(OR($AL497="",$AL497="FLUSH"),"FLUSH",IFERROR(LEFT($AL497,FIND("-",$AL497)-1),LEFT($AL497,2))))</f>
        <v/>
      </c>
      <c r="BM497" s="49">
        <f>IF($BL497="","",IFERROR(VALUE(MID($AL497,FIND("-",$AL497)+1,FIND(CHAR(34)&amp;"x",$AL497)-FIND("-",$AL497)-1)),0))</f>
        <v/>
      </c>
      <c r="BN497" s="49">
        <f>IF($BL497="","",IFERROR(VALUE(MID($AL497,FIND(CHAR(34)&amp;"x",$AL497)+2,FIND(CHAR(34),$AL497,FIND(CHAR(34)&amp;"x",$AL497)+2)-FIND(CHAR(34)&amp;"x",$AL497)-2)),0))</f>
        <v/>
      </c>
      <c r="BO497" s="53">
        <f>IF(OR($A497="",$H497="",$H497="NO LAB"),0,IFERROR(VALUE(LEFT($H497,FIND(" ",$H497)-1)),0))</f>
        <v/>
      </c>
      <c r="BP497" s="54">
        <f>IF(OR($A497="",$I497="",$I497="NON-RATED",N($J497)=0),"",IFERROR(VLOOKUP($I497&amp;"|"&amp;$J497,IBC,2,FALSE),"?"))</f>
        <v/>
      </c>
      <c r="BQ497" s="50">
        <f>IF(NOT(AND($A497&lt;&gt;"",$C497&lt;&gt;"DOOR ONLY")),"",TRIM(IFERROR(VLOOKUP($U497,CODES,2,FALSE),"")&amp;" "&amp;$AZ497&amp;" "&amp;IFERROR(VLOOKUP($Z497,CODES,2,FALSE),"")&amp;" "&amp;IFERROR(VLOOKUP($X497,CODES,2,FALSE),"")&amp;" "&amp;IFERROR(VLOOKUP($S497,CODES,2,FALSE),"")&amp;IF(N($P497)&gt;0," w/TRANSOM "&amp;$P497&amp;CHAR(34),"")&amp;IF(N($Q497)&gt;0," w/SIDELITE "&amp;$Q497&amp;CHAR(34)&amp;" "&amp;IF($R497="","R",$R497),"")&amp;IF($Y497="","  |  "," | "&amp;IFERROR(VLOOKUP($Y497,CODES,2,FALSE),"")&amp;" | ")&amp;IFERROR(VLOOKUP($AC497,CODES,2,FALSE),"")&amp;" "&amp;IFERROR(VLOOKUP($AD497,CODES,2,FALSE),"")&amp;IF(OR($AE497="",$AE497="-"),""," "&amp;$AE497)&amp;IF(OR($AF497="",$AF497="-"),""," "&amp;$AF497)&amp;IF($AB497="Y"," 4"&amp;CHAR(34)&amp;" HEAD","")&amp;" "&amp;IFERROR(VLOOKUP($H497,CODES,2,FALSE),"")))</f>
        <v/>
      </c>
      <c r="BR497" s="50">
        <f>IF(NOT(AND($A497&lt;&gt;"",N($BC497)&gt;0)),"",TRIM(IFERROR(VLOOKUP($AH497,CODES,2,FALSE),"")&amp;IF($AI497=""," "," "&amp;$AI497&amp;"GA ")&amp;$AZ497&amp;" "&amp;IF($AN497="",IFERROR(VLOOKUP($Z497,CODES,2,FALSE),""),IFERROR(VLOOKUP($AN497,CODES,2,FALSE),""))&amp;IF($BC497=2," PAIR","")&amp;" DOOR | "&amp;IF($AL497="","?",$AL497)&amp;" | "&amp;IF($AP497="",IFERROR(VLOOKUP($AC497,CODES,2,FALSE),""),IFERROR(VLOOKUP($AP497,CODES,2,FALSE),""))&amp;" "&amp;IFERROR(VLOOKUP($AQ497,CODES,2,FALSE),"")&amp;IF(OR($AR497="",$AR497="-"),""," SEAM "&amp;$AR497)&amp;IF($AS497="Y"," ASTRAGAL","")&amp;IF($AJ497=""," "," "&amp;$AJ497)&amp;IF($AK497=""," "," "&amp;$AK497)&amp;IF($AO497="",""," "&amp;$AO497)&amp;IF($AM497=""," "," SERIES "&amp;$AM497)&amp;" "&amp;IFERROR(VLOOKUP($H497,CODES,2,FALSE),"")))</f>
        <v/>
      </c>
      <c r="BS497" s="49">
        <f>IF(BV497="","",IF(COUNTIF($BV$6:BV497,BV497)=1,MAX($BS$5:BS496)+1,INDEX($BS$5:BS496,MATCH(BV497,$BV$5:BV496,0))))</f>
        <v/>
      </c>
      <c r="BT497" s="49">
        <f>IF(NOT(AND($A497&lt;&gt;"",$C497&lt;&gt;"DOOR ONLY")),"",MAX($BT$5:BT496)+1)</f>
        <v/>
      </c>
      <c r="BU497" s="49">
        <f>IF(NOT(AND($A497&lt;&gt;"",N($BC497)&gt;0)),"",MAX($BU$5:BU496)+1)</f>
        <v/>
      </c>
      <c r="BV497" s="49">
        <f>IF(OR($A497="",$BA497="",$BB497=""),"",$AZ497&amp;"|"&amp;$O497&amp;"|"&amp;$AL497&amp;"|"&amp;$S497&amp;"|"&amp;$P497&amp;"|"&amp;$Q497&amp;$R497&amp;"|"&amp;$C497&amp;"|"&amp;$AB497)</f>
        <v/>
      </c>
      <c r="BW497" s="49">
        <f>IF($A497="","",IF($B497="","qty, ","")&amp;IF($C497="","scope, ","")&amp;IF(OR($K497="",$M497=""),"size, ","")&amp;IF(AND($A497&lt;&gt;"",$C497&lt;&gt;"DOOR ONLY"),IF($U497="","jamb depth, ","")&amp;IF($X497="","construction, ","")&amp;IF($Y497="","anchor, ","")&amp;IF($S497="","frame type, ",""),"")&amp;IF(AND(N($BC497)&gt;0,$Z497=""),"hand, ","")&amp;IF(N($BC497)&gt;0,IF($AH497="","door material, ","")&amp;IF($AL497="","face type, ","")&amp;IF($AQ497="","lock prep, ","")&amp;IF(AND($AP497="",$AC497=""),"hinge prep, ",""),"")&amp;IF(AND($BO497&gt;0,$AH497="FRP"),"FRP cannot carry a label, ","")&amp;IF(AND($O497="Y",OR($Z497="L",$Z497="R",$Z497="LR",$Z497="RR")),"pair marked but hand is single, ","")&amp;IF(AND($O497&lt;&gt;"Y",OR($Z497="PR",AND(LEN($Z497)&gt;1,ISNUMBER(SEARCH("-",$Z497))))),"pair hand on a single door, ","")&amp;IF(AND(ISNUMBER($BP497),$BO497&lt;N($BP497)),"wall needs a "&amp;$BP497&amp;" min door, ","")&amp;IF(AND($BO497&gt;=180,AND(OR($BL497="FG",$BL497="HG",$BL497="FNV",$BL497="FV"),N($BM497)*N($BN497)&gt;100)),"180 min lite over 100 sq in, ","")&amp;IF(N($BD497)&gt;48,"leaf wider than 4'-0"&amp;CHAR(34)&amp;", ",""))</f>
        <v/>
      </c>
      <c r="BX497" s="49">
        <f>IF($A497="","",IF(AND($BO497&gt;0,AND($A497&lt;&gt;"",$C497&lt;&gt;"DOOR ONLY"),$X497="KD",$E497="EXTERIOR"),"KD label on an exterior opening, ","")&amp;IF(AND($E497="EXTERIOR",OR(AND(AND($A497&lt;&gt;"",$C497&lt;&gt;"DOOR ONLY"),$W497="CR"),AND(N($BC497)&gt;0,$AH497="CR"))),"exterior in CR steel (G9?), ","")&amp;IF(AND(ISNUMBER($BJ497),N($BJ497)&lt;32),"clear width ~"&amp;TEXT($BJ497,"0.0")&amp;CHAR(34)&amp;" under 32"&amp;CHAR(34)&amp;" (ADA), ","")&amp;IF(AND($BO497=90,AND(OR($BL497="FG",$BL497="HG",$BL497="FNV",$BL497="FV"),N($BM497)*N($BN497)&gt;100)),"90 min lite over 100 sq in (stair/exit), ","")&amp;IF(AND($BO497&gt;0,AND($A497&lt;&gt;"",$C497&lt;&gt;"DOOR ONLY"),OR($AF497="",$AF497="-")),"rated: closer reinf.?, ","")&amp;IF(OR($I497="CORRIDOR",$I497="SMOKE BARRIER"),"S label + smoke gasketing, ","")&amp;IF($BP497="?","wall type/hr not in IBC table, ","")&amp;IF(AND(N($BC497)&gt;0,$AU497=""),"no hardware set, ","")&amp;IF(AND($AU497&lt;&gt;"",ISNA(MATCH($AU497,HWSets,0))),"set "&amp;$AU497&amp;" not on Hardware sheet, ","")&amp;IF(N($BE497)&gt;96,"leaf over 8'-0"&amp;CHAR(34)&amp;" - check listing, ",""))</f>
        <v/>
      </c>
    </row>
    <row r="498" ht="15" customHeight="1">
      <c r="A498" s="44" t="n"/>
      <c r="B498" s="45" t="n"/>
      <c r="C498" s="45" t="n"/>
      <c r="D498" s="45" t="n"/>
      <c r="E498" s="45" t="n"/>
      <c r="F498" s="45" t="n"/>
      <c r="G498" s="45" t="n"/>
      <c r="H498" s="45" t="n"/>
      <c r="I498" s="45" t="n"/>
      <c r="J498" s="45" t="n"/>
      <c r="K498" s="45" t="n"/>
      <c r="L498" s="45" t="n"/>
      <c r="M498" s="45" t="n"/>
      <c r="N498" s="45" t="n"/>
      <c r="O498" s="45" t="n"/>
      <c r="P498" s="45" t="n"/>
      <c r="Q498" s="45" t="n"/>
      <c r="R498" s="45" t="n"/>
      <c r="S498" s="46" t="n"/>
      <c r="T498" s="46" t="n"/>
      <c r="U498" s="46" t="n"/>
      <c r="V498" s="46" t="n"/>
      <c r="W498" s="46" t="n"/>
      <c r="X498" s="46" t="n"/>
      <c r="Y498" s="46" t="n"/>
      <c r="Z498" s="46" t="n"/>
      <c r="AA498" s="46" t="n"/>
      <c r="AB498" s="46" t="n"/>
      <c r="AC498" s="46" t="n"/>
      <c r="AD498" s="46" t="n"/>
      <c r="AE498" s="46" t="n"/>
      <c r="AF498" s="46" t="n"/>
      <c r="AG498" s="46" t="n"/>
      <c r="AH498" s="47" t="n"/>
      <c r="AI498" s="47" t="n"/>
      <c r="AJ498" s="47" t="n"/>
      <c r="AK498" s="47" t="n"/>
      <c r="AL498" s="47" t="n"/>
      <c r="AM498" s="47" t="n"/>
      <c r="AN498" s="47" t="n"/>
      <c r="AO498" s="47" t="n"/>
      <c r="AP498" s="47" t="n"/>
      <c r="AQ498" s="47" t="n"/>
      <c r="AR498" s="47" t="n"/>
      <c r="AS498" s="47" t="n"/>
      <c r="AT498" s="47" t="n"/>
      <c r="AU498" s="48" t="n"/>
      <c r="AV498" s="48" t="n"/>
      <c r="AW498" s="49">
        <f>IF($A498="","",IF($BW498&lt;&gt;"","FIX",IF($BX498&lt;&gt;"","CHECK","OK")))</f>
        <v/>
      </c>
      <c r="AX498" s="50">
        <f>IF($A498="","",IF($BW498&lt;&gt;"","FIX: "&amp;LEFT($BW498,LEN($BW498)-2)&amp;IF($BX498&lt;&gt;"","  ·  ",""),"")&amp;IF($BX498&lt;&gt;"","CHECK: "&amp;LEFT($BX498,LEN($BX498)-2),""))</f>
        <v/>
      </c>
      <c r="AY498" s="49">
        <f>IF(OR($A498="",$K498=""),"",$K498&amp;"'-"&amp;N($L498)&amp;CHAR(34)&amp;" x "&amp;$M498&amp;"'-"&amp;N($N498)&amp;CHAR(34))</f>
        <v/>
      </c>
      <c r="AZ498" s="49">
        <f>IF(OR($A498="",$K498=""),"",$K498&amp;N($L498)&amp;$M498&amp;N($N498))</f>
        <v/>
      </c>
      <c r="BA498" s="49">
        <f>IF(OR($A498="",$K498=""),"",$K498*12+N($L498))</f>
        <v/>
      </c>
      <c r="BB498" s="49">
        <f>IF(OR($A498="",$M498=""),"",$M498*12+N($N498))</f>
        <v/>
      </c>
      <c r="BC498" s="49">
        <f>IF($A498="","",IF(OR($C498="FRAME ONLY",$S498="BL"),0,IF($O498="Y",2,1)))</f>
        <v/>
      </c>
      <c r="BD498" s="51">
        <f>IF(OR(N($BC498)=0,$BA498=""),"",($BA498-2*EdgeClr-IF($BC498=2,MeetClr,0))/$BC498)</f>
        <v/>
      </c>
      <c r="BE498" s="51">
        <f>IF(OR(N($BC498)=0,$BB498=""),"",$BB498-HeadClr-Undercut)</f>
        <v/>
      </c>
      <c r="BF498" s="51">
        <f>IF($BA498="","",$BA498+2*FaceW+IF(N($Q498)&gt;0,($Q498+FaceW)*IF($R498="LR",2,1),0))</f>
        <v/>
      </c>
      <c r="BG498" s="51">
        <f>IF($BB498="","",$BB498+IF($AB498="Y",4,FaceW)+IF(N($P498)&gt;0,$P498+FaceW,0)+IF(OR($S498="4F",$S498="BL"),FaceW,0))</f>
        <v/>
      </c>
      <c r="BH498" s="51">
        <f>IF($BF498="","",$BF498+2*ROSide)</f>
        <v/>
      </c>
      <c r="BI498" s="51">
        <f>IF($BG498="","",$BG498+ROTop)</f>
        <v/>
      </c>
      <c r="BJ498" s="52">
        <f>IF(OR(N($BC498)=0,$BA498=""),"",$BA498/$BC498-ClearDeduct)</f>
        <v/>
      </c>
      <c r="BK498" s="49">
        <f>IF(OR(N($BC498)=0,$BE498=""),"",IF(OR($AC498="HGC",$AP498="HGC"),"CONT",IF($BE498&lt;=60,2,IF($BE498&lt;=90,3,IF($BE498&lt;=120,4,5)))))</f>
        <v/>
      </c>
      <c r="BL498" s="49">
        <f>IF(N($BC498)=0,"",IF(OR($AL498="",$AL498="FLUSH"),"FLUSH",IFERROR(LEFT($AL498,FIND("-",$AL498)-1),LEFT($AL498,2))))</f>
        <v/>
      </c>
      <c r="BM498" s="49">
        <f>IF($BL498="","",IFERROR(VALUE(MID($AL498,FIND("-",$AL498)+1,FIND(CHAR(34)&amp;"x",$AL498)-FIND("-",$AL498)-1)),0))</f>
        <v/>
      </c>
      <c r="BN498" s="49">
        <f>IF($BL498="","",IFERROR(VALUE(MID($AL498,FIND(CHAR(34)&amp;"x",$AL498)+2,FIND(CHAR(34),$AL498,FIND(CHAR(34)&amp;"x",$AL498)+2)-FIND(CHAR(34)&amp;"x",$AL498)-2)),0))</f>
        <v/>
      </c>
      <c r="BO498" s="53">
        <f>IF(OR($A498="",$H498="",$H498="NO LAB"),0,IFERROR(VALUE(LEFT($H498,FIND(" ",$H498)-1)),0))</f>
        <v/>
      </c>
      <c r="BP498" s="54">
        <f>IF(OR($A498="",$I498="",$I498="NON-RATED",N($J498)=0),"",IFERROR(VLOOKUP($I498&amp;"|"&amp;$J498,IBC,2,FALSE),"?"))</f>
        <v/>
      </c>
      <c r="BQ498" s="50">
        <f>IF(NOT(AND($A498&lt;&gt;"",$C498&lt;&gt;"DOOR ONLY")),"",TRIM(IFERROR(VLOOKUP($U498,CODES,2,FALSE),"")&amp;" "&amp;$AZ498&amp;" "&amp;IFERROR(VLOOKUP($Z498,CODES,2,FALSE),"")&amp;" "&amp;IFERROR(VLOOKUP($X498,CODES,2,FALSE),"")&amp;" "&amp;IFERROR(VLOOKUP($S498,CODES,2,FALSE),"")&amp;IF(N($P498)&gt;0," w/TRANSOM "&amp;$P498&amp;CHAR(34),"")&amp;IF(N($Q498)&gt;0," w/SIDELITE "&amp;$Q498&amp;CHAR(34)&amp;" "&amp;IF($R498="","R",$R498),"")&amp;IF($Y498="","  |  "," | "&amp;IFERROR(VLOOKUP($Y498,CODES,2,FALSE),"")&amp;" | ")&amp;IFERROR(VLOOKUP($AC498,CODES,2,FALSE),"")&amp;" "&amp;IFERROR(VLOOKUP($AD498,CODES,2,FALSE),"")&amp;IF(OR($AE498="",$AE498="-"),""," "&amp;$AE498)&amp;IF(OR($AF498="",$AF498="-"),""," "&amp;$AF498)&amp;IF($AB498="Y"," 4"&amp;CHAR(34)&amp;" HEAD","")&amp;" "&amp;IFERROR(VLOOKUP($H498,CODES,2,FALSE),"")))</f>
        <v/>
      </c>
      <c r="BR498" s="50">
        <f>IF(NOT(AND($A498&lt;&gt;"",N($BC498)&gt;0)),"",TRIM(IFERROR(VLOOKUP($AH498,CODES,2,FALSE),"")&amp;IF($AI498=""," "," "&amp;$AI498&amp;"GA ")&amp;$AZ498&amp;" "&amp;IF($AN498="",IFERROR(VLOOKUP($Z498,CODES,2,FALSE),""),IFERROR(VLOOKUP($AN498,CODES,2,FALSE),""))&amp;IF($BC498=2," PAIR","")&amp;" DOOR | "&amp;IF($AL498="","?",$AL498)&amp;" | "&amp;IF($AP498="",IFERROR(VLOOKUP($AC498,CODES,2,FALSE),""),IFERROR(VLOOKUP($AP498,CODES,2,FALSE),""))&amp;" "&amp;IFERROR(VLOOKUP($AQ498,CODES,2,FALSE),"")&amp;IF(OR($AR498="",$AR498="-"),""," SEAM "&amp;$AR498)&amp;IF($AS498="Y"," ASTRAGAL","")&amp;IF($AJ498=""," "," "&amp;$AJ498)&amp;IF($AK498=""," "," "&amp;$AK498)&amp;IF($AO498="",""," "&amp;$AO498)&amp;IF($AM498=""," "," SERIES "&amp;$AM498)&amp;" "&amp;IFERROR(VLOOKUP($H498,CODES,2,FALSE),"")))</f>
        <v/>
      </c>
      <c r="BS498" s="49">
        <f>IF(BV498="","",IF(COUNTIF($BV$6:BV498,BV498)=1,MAX($BS$5:BS497)+1,INDEX($BS$5:BS497,MATCH(BV498,$BV$5:BV497,0))))</f>
        <v/>
      </c>
      <c r="BT498" s="49">
        <f>IF(NOT(AND($A498&lt;&gt;"",$C498&lt;&gt;"DOOR ONLY")),"",MAX($BT$5:BT497)+1)</f>
        <v/>
      </c>
      <c r="BU498" s="49">
        <f>IF(NOT(AND($A498&lt;&gt;"",N($BC498)&gt;0)),"",MAX($BU$5:BU497)+1)</f>
        <v/>
      </c>
      <c r="BV498" s="49">
        <f>IF(OR($A498="",$BA498="",$BB498=""),"",$AZ498&amp;"|"&amp;$O498&amp;"|"&amp;$AL498&amp;"|"&amp;$S498&amp;"|"&amp;$P498&amp;"|"&amp;$Q498&amp;$R498&amp;"|"&amp;$C498&amp;"|"&amp;$AB498)</f>
        <v/>
      </c>
      <c r="BW498" s="49">
        <f>IF($A498="","",IF($B498="","qty, ","")&amp;IF($C498="","scope, ","")&amp;IF(OR($K498="",$M498=""),"size, ","")&amp;IF(AND($A498&lt;&gt;"",$C498&lt;&gt;"DOOR ONLY"),IF($U498="","jamb depth, ","")&amp;IF($X498="","construction, ","")&amp;IF($Y498="","anchor, ","")&amp;IF($S498="","frame type, ",""),"")&amp;IF(AND(N($BC498)&gt;0,$Z498=""),"hand, ","")&amp;IF(N($BC498)&gt;0,IF($AH498="","door material, ","")&amp;IF($AL498="","face type, ","")&amp;IF($AQ498="","lock prep, ","")&amp;IF(AND($AP498="",$AC498=""),"hinge prep, ",""),"")&amp;IF(AND($BO498&gt;0,$AH498="FRP"),"FRP cannot carry a label, ","")&amp;IF(AND($O498="Y",OR($Z498="L",$Z498="R",$Z498="LR",$Z498="RR")),"pair marked but hand is single, ","")&amp;IF(AND($O498&lt;&gt;"Y",OR($Z498="PR",AND(LEN($Z498)&gt;1,ISNUMBER(SEARCH("-",$Z498))))),"pair hand on a single door, ","")&amp;IF(AND(ISNUMBER($BP498),$BO498&lt;N($BP498)),"wall needs a "&amp;$BP498&amp;" min door, ","")&amp;IF(AND($BO498&gt;=180,AND(OR($BL498="FG",$BL498="HG",$BL498="FNV",$BL498="FV"),N($BM498)*N($BN498)&gt;100)),"180 min lite over 100 sq in, ","")&amp;IF(N($BD498)&gt;48,"leaf wider than 4'-0"&amp;CHAR(34)&amp;", ",""))</f>
        <v/>
      </c>
      <c r="BX498" s="49">
        <f>IF($A498="","",IF(AND($BO498&gt;0,AND($A498&lt;&gt;"",$C498&lt;&gt;"DOOR ONLY"),$X498="KD",$E498="EXTERIOR"),"KD label on an exterior opening, ","")&amp;IF(AND($E498="EXTERIOR",OR(AND(AND($A498&lt;&gt;"",$C498&lt;&gt;"DOOR ONLY"),$W498="CR"),AND(N($BC498)&gt;0,$AH498="CR"))),"exterior in CR steel (G9?), ","")&amp;IF(AND(ISNUMBER($BJ498),N($BJ498)&lt;32),"clear width ~"&amp;TEXT($BJ498,"0.0")&amp;CHAR(34)&amp;" under 32"&amp;CHAR(34)&amp;" (ADA), ","")&amp;IF(AND($BO498=90,AND(OR($BL498="FG",$BL498="HG",$BL498="FNV",$BL498="FV"),N($BM498)*N($BN498)&gt;100)),"90 min lite over 100 sq in (stair/exit), ","")&amp;IF(AND($BO498&gt;0,AND($A498&lt;&gt;"",$C498&lt;&gt;"DOOR ONLY"),OR($AF498="",$AF498="-")),"rated: closer reinf.?, ","")&amp;IF(OR($I498="CORRIDOR",$I498="SMOKE BARRIER"),"S label + smoke gasketing, ","")&amp;IF($BP498="?","wall type/hr not in IBC table, ","")&amp;IF(AND(N($BC498)&gt;0,$AU498=""),"no hardware set, ","")&amp;IF(AND($AU498&lt;&gt;"",ISNA(MATCH($AU498,HWSets,0))),"set "&amp;$AU498&amp;" not on Hardware sheet, ","")&amp;IF(N($BE498)&gt;96,"leaf over 8'-0"&amp;CHAR(34)&amp;" - check listing, ",""))</f>
        <v/>
      </c>
    </row>
    <row r="499" ht="15" customHeight="1">
      <c r="A499" s="44" t="n"/>
      <c r="B499" s="45" t="n"/>
      <c r="C499" s="45" t="n"/>
      <c r="D499" s="45" t="n"/>
      <c r="E499" s="45" t="n"/>
      <c r="F499" s="45" t="n"/>
      <c r="G499" s="45" t="n"/>
      <c r="H499" s="45" t="n"/>
      <c r="I499" s="45" t="n"/>
      <c r="J499" s="45" t="n"/>
      <c r="K499" s="45" t="n"/>
      <c r="L499" s="45" t="n"/>
      <c r="M499" s="45" t="n"/>
      <c r="N499" s="45" t="n"/>
      <c r="O499" s="45" t="n"/>
      <c r="P499" s="45" t="n"/>
      <c r="Q499" s="45" t="n"/>
      <c r="R499" s="45" t="n"/>
      <c r="S499" s="46" t="n"/>
      <c r="T499" s="46" t="n"/>
      <c r="U499" s="46" t="n"/>
      <c r="V499" s="46" t="n"/>
      <c r="W499" s="46" t="n"/>
      <c r="X499" s="46" t="n"/>
      <c r="Y499" s="46" t="n"/>
      <c r="Z499" s="46" t="n"/>
      <c r="AA499" s="46" t="n"/>
      <c r="AB499" s="46" t="n"/>
      <c r="AC499" s="46" t="n"/>
      <c r="AD499" s="46" t="n"/>
      <c r="AE499" s="46" t="n"/>
      <c r="AF499" s="46" t="n"/>
      <c r="AG499" s="46" t="n"/>
      <c r="AH499" s="47" t="n"/>
      <c r="AI499" s="47" t="n"/>
      <c r="AJ499" s="47" t="n"/>
      <c r="AK499" s="47" t="n"/>
      <c r="AL499" s="47" t="n"/>
      <c r="AM499" s="47" t="n"/>
      <c r="AN499" s="47" t="n"/>
      <c r="AO499" s="47" t="n"/>
      <c r="AP499" s="47" t="n"/>
      <c r="AQ499" s="47" t="n"/>
      <c r="AR499" s="47" t="n"/>
      <c r="AS499" s="47" t="n"/>
      <c r="AT499" s="47" t="n"/>
      <c r="AU499" s="48" t="n"/>
      <c r="AV499" s="48" t="n"/>
      <c r="AW499" s="49">
        <f>IF($A499="","",IF($BW499&lt;&gt;"","FIX",IF($BX499&lt;&gt;"","CHECK","OK")))</f>
        <v/>
      </c>
      <c r="AX499" s="50">
        <f>IF($A499="","",IF($BW499&lt;&gt;"","FIX: "&amp;LEFT($BW499,LEN($BW499)-2)&amp;IF($BX499&lt;&gt;"","  ·  ",""),"")&amp;IF($BX499&lt;&gt;"","CHECK: "&amp;LEFT($BX499,LEN($BX499)-2),""))</f>
        <v/>
      </c>
      <c r="AY499" s="49">
        <f>IF(OR($A499="",$K499=""),"",$K499&amp;"'-"&amp;N($L499)&amp;CHAR(34)&amp;" x "&amp;$M499&amp;"'-"&amp;N($N499)&amp;CHAR(34))</f>
        <v/>
      </c>
      <c r="AZ499" s="49">
        <f>IF(OR($A499="",$K499=""),"",$K499&amp;N($L499)&amp;$M499&amp;N($N499))</f>
        <v/>
      </c>
      <c r="BA499" s="49">
        <f>IF(OR($A499="",$K499=""),"",$K499*12+N($L499))</f>
        <v/>
      </c>
      <c r="BB499" s="49">
        <f>IF(OR($A499="",$M499=""),"",$M499*12+N($N499))</f>
        <v/>
      </c>
      <c r="BC499" s="49">
        <f>IF($A499="","",IF(OR($C499="FRAME ONLY",$S499="BL"),0,IF($O499="Y",2,1)))</f>
        <v/>
      </c>
      <c r="BD499" s="51">
        <f>IF(OR(N($BC499)=0,$BA499=""),"",($BA499-2*EdgeClr-IF($BC499=2,MeetClr,0))/$BC499)</f>
        <v/>
      </c>
      <c r="BE499" s="51">
        <f>IF(OR(N($BC499)=0,$BB499=""),"",$BB499-HeadClr-Undercut)</f>
        <v/>
      </c>
      <c r="BF499" s="51">
        <f>IF($BA499="","",$BA499+2*FaceW+IF(N($Q499)&gt;0,($Q499+FaceW)*IF($R499="LR",2,1),0))</f>
        <v/>
      </c>
      <c r="BG499" s="51">
        <f>IF($BB499="","",$BB499+IF($AB499="Y",4,FaceW)+IF(N($P499)&gt;0,$P499+FaceW,0)+IF(OR($S499="4F",$S499="BL"),FaceW,0))</f>
        <v/>
      </c>
      <c r="BH499" s="51">
        <f>IF($BF499="","",$BF499+2*ROSide)</f>
        <v/>
      </c>
      <c r="BI499" s="51">
        <f>IF($BG499="","",$BG499+ROTop)</f>
        <v/>
      </c>
      <c r="BJ499" s="52">
        <f>IF(OR(N($BC499)=0,$BA499=""),"",$BA499/$BC499-ClearDeduct)</f>
        <v/>
      </c>
      <c r="BK499" s="49">
        <f>IF(OR(N($BC499)=0,$BE499=""),"",IF(OR($AC499="HGC",$AP499="HGC"),"CONT",IF($BE499&lt;=60,2,IF($BE499&lt;=90,3,IF($BE499&lt;=120,4,5)))))</f>
        <v/>
      </c>
      <c r="BL499" s="49">
        <f>IF(N($BC499)=0,"",IF(OR($AL499="",$AL499="FLUSH"),"FLUSH",IFERROR(LEFT($AL499,FIND("-",$AL499)-1),LEFT($AL499,2))))</f>
        <v/>
      </c>
      <c r="BM499" s="49">
        <f>IF($BL499="","",IFERROR(VALUE(MID($AL499,FIND("-",$AL499)+1,FIND(CHAR(34)&amp;"x",$AL499)-FIND("-",$AL499)-1)),0))</f>
        <v/>
      </c>
      <c r="BN499" s="49">
        <f>IF($BL499="","",IFERROR(VALUE(MID($AL499,FIND(CHAR(34)&amp;"x",$AL499)+2,FIND(CHAR(34),$AL499,FIND(CHAR(34)&amp;"x",$AL499)+2)-FIND(CHAR(34)&amp;"x",$AL499)-2)),0))</f>
        <v/>
      </c>
      <c r="BO499" s="53">
        <f>IF(OR($A499="",$H499="",$H499="NO LAB"),0,IFERROR(VALUE(LEFT($H499,FIND(" ",$H499)-1)),0))</f>
        <v/>
      </c>
      <c r="BP499" s="54">
        <f>IF(OR($A499="",$I499="",$I499="NON-RATED",N($J499)=0),"",IFERROR(VLOOKUP($I499&amp;"|"&amp;$J499,IBC,2,FALSE),"?"))</f>
        <v/>
      </c>
      <c r="BQ499" s="50">
        <f>IF(NOT(AND($A499&lt;&gt;"",$C499&lt;&gt;"DOOR ONLY")),"",TRIM(IFERROR(VLOOKUP($U499,CODES,2,FALSE),"")&amp;" "&amp;$AZ499&amp;" "&amp;IFERROR(VLOOKUP($Z499,CODES,2,FALSE),"")&amp;" "&amp;IFERROR(VLOOKUP($X499,CODES,2,FALSE),"")&amp;" "&amp;IFERROR(VLOOKUP($S499,CODES,2,FALSE),"")&amp;IF(N($P499)&gt;0," w/TRANSOM "&amp;$P499&amp;CHAR(34),"")&amp;IF(N($Q499)&gt;0," w/SIDELITE "&amp;$Q499&amp;CHAR(34)&amp;" "&amp;IF($R499="","R",$R499),"")&amp;IF($Y499="","  |  "," | "&amp;IFERROR(VLOOKUP($Y499,CODES,2,FALSE),"")&amp;" | ")&amp;IFERROR(VLOOKUP($AC499,CODES,2,FALSE),"")&amp;" "&amp;IFERROR(VLOOKUP($AD499,CODES,2,FALSE),"")&amp;IF(OR($AE499="",$AE499="-"),""," "&amp;$AE499)&amp;IF(OR($AF499="",$AF499="-"),""," "&amp;$AF499)&amp;IF($AB499="Y"," 4"&amp;CHAR(34)&amp;" HEAD","")&amp;" "&amp;IFERROR(VLOOKUP($H499,CODES,2,FALSE),"")))</f>
        <v/>
      </c>
      <c r="BR499" s="50">
        <f>IF(NOT(AND($A499&lt;&gt;"",N($BC499)&gt;0)),"",TRIM(IFERROR(VLOOKUP($AH499,CODES,2,FALSE),"")&amp;IF($AI499=""," "," "&amp;$AI499&amp;"GA ")&amp;$AZ499&amp;" "&amp;IF($AN499="",IFERROR(VLOOKUP($Z499,CODES,2,FALSE),""),IFERROR(VLOOKUP($AN499,CODES,2,FALSE),""))&amp;IF($BC499=2," PAIR","")&amp;" DOOR | "&amp;IF($AL499="","?",$AL499)&amp;" | "&amp;IF($AP499="",IFERROR(VLOOKUP($AC499,CODES,2,FALSE),""),IFERROR(VLOOKUP($AP499,CODES,2,FALSE),""))&amp;" "&amp;IFERROR(VLOOKUP($AQ499,CODES,2,FALSE),"")&amp;IF(OR($AR499="",$AR499="-"),""," SEAM "&amp;$AR499)&amp;IF($AS499="Y"," ASTRAGAL","")&amp;IF($AJ499=""," "," "&amp;$AJ499)&amp;IF($AK499=""," "," "&amp;$AK499)&amp;IF($AO499="",""," "&amp;$AO499)&amp;IF($AM499=""," "," SERIES "&amp;$AM499)&amp;" "&amp;IFERROR(VLOOKUP($H499,CODES,2,FALSE),"")))</f>
        <v/>
      </c>
      <c r="BS499" s="49">
        <f>IF(BV499="","",IF(COUNTIF($BV$6:BV499,BV499)=1,MAX($BS$5:BS498)+1,INDEX($BS$5:BS498,MATCH(BV499,$BV$5:BV498,0))))</f>
        <v/>
      </c>
      <c r="BT499" s="49">
        <f>IF(NOT(AND($A499&lt;&gt;"",$C499&lt;&gt;"DOOR ONLY")),"",MAX($BT$5:BT498)+1)</f>
        <v/>
      </c>
      <c r="BU499" s="49">
        <f>IF(NOT(AND($A499&lt;&gt;"",N($BC499)&gt;0)),"",MAX($BU$5:BU498)+1)</f>
        <v/>
      </c>
      <c r="BV499" s="49">
        <f>IF(OR($A499="",$BA499="",$BB499=""),"",$AZ499&amp;"|"&amp;$O499&amp;"|"&amp;$AL499&amp;"|"&amp;$S499&amp;"|"&amp;$P499&amp;"|"&amp;$Q499&amp;$R499&amp;"|"&amp;$C499&amp;"|"&amp;$AB499)</f>
        <v/>
      </c>
      <c r="BW499" s="49">
        <f>IF($A499="","",IF($B499="","qty, ","")&amp;IF($C499="","scope, ","")&amp;IF(OR($K499="",$M499=""),"size, ","")&amp;IF(AND($A499&lt;&gt;"",$C499&lt;&gt;"DOOR ONLY"),IF($U499="","jamb depth, ","")&amp;IF($X499="","construction, ","")&amp;IF($Y499="","anchor, ","")&amp;IF($S499="","frame type, ",""),"")&amp;IF(AND(N($BC499)&gt;0,$Z499=""),"hand, ","")&amp;IF(N($BC499)&gt;0,IF($AH499="","door material, ","")&amp;IF($AL499="","face type, ","")&amp;IF($AQ499="","lock prep, ","")&amp;IF(AND($AP499="",$AC499=""),"hinge prep, ",""),"")&amp;IF(AND($BO499&gt;0,$AH499="FRP"),"FRP cannot carry a label, ","")&amp;IF(AND($O499="Y",OR($Z499="L",$Z499="R",$Z499="LR",$Z499="RR")),"pair marked but hand is single, ","")&amp;IF(AND($O499&lt;&gt;"Y",OR($Z499="PR",AND(LEN($Z499)&gt;1,ISNUMBER(SEARCH("-",$Z499))))),"pair hand on a single door, ","")&amp;IF(AND(ISNUMBER($BP499),$BO499&lt;N($BP499)),"wall needs a "&amp;$BP499&amp;" min door, ","")&amp;IF(AND($BO499&gt;=180,AND(OR($BL499="FG",$BL499="HG",$BL499="FNV",$BL499="FV"),N($BM499)*N($BN499)&gt;100)),"180 min lite over 100 sq in, ","")&amp;IF(N($BD499)&gt;48,"leaf wider than 4'-0"&amp;CHAR(34)&amp;", ",""))</f>
        <v/>
      </c>
      <c r="BX499" s="49">
        <f>IF($A499="","",IF(AND($BO499&gt;0,AND($A499&lt;&gt;"",$C499&lt;&gt;"DOOR ONLY"),$X499="KD",$E499="EXTERIOR"),"KD label on an exterior opening, ","")&amp;IF(AND($E499="EXTERIOR",OR(AND(AND($A499&lt;&gt;"",$C499&lt;&gt;"DOOR ONLY"),$W499="CR"),AND(N($BC499)&gt;0,$AH499="CR"))),"exterior in CR steel (G9?), ","")&amp;IF(AND(ISNUMBER($BJ499),N($BJ499)&lt;32),"clear width ~"&amp;TEXT($BJ499,"0.0")&amp;CHAR(34)&amp;" under 32"&amp;CHAR(34)&amp;" (ADA), ","")&amp;IF(AND($BO499=90,AND(OR($BL499="FG",$BL499="HG",$BL499="FNV",$BL499="FV"),N($BM499)*N($BN499)&gt;100)),"90 min lite over 100 sq in (stair/exit), ","")&amp;IF(AND($BO499&gt;0,AND($A499&lt;&gt;"",$C499&lt;&gt;"DOOR ONLY"),OR($AF499="",$AF499="-")),"rated: closer reinf.?, ","")&amp;IF(OR($I499="CORRIDOR",$I499="SMOKE BARRIER"),"S label + smoke gasketing, ","")&amp;IF($BP499="?","wall type/hr not in IBC table, ","")&amp;IF(AND(N($BC499)&gt;0,$AU499=""),"no hardware set, ","")&amp;IF(AND($AU499&lt;&gt;"",ISNA(MATCH($AU499,HWSets,0))),"set "&amp;$AU499&amp;" not on Hardware sheet, ","")&amp;IF(N($BE499)&gt;96,"leaf over 8'-0"&amp;CHAR(34)&amp;" - check listing, ",""))</f>
        <v/>
      </c>
    </row>
    <row r="500" ht="15" customHeight="1">
      <c r="A500" s="44" t="n"/>
      <c r="B500" s="45" t="n"/>
      <c r="C500" s="45" t="n"/>
      <c r="D500" s="45" t="n"/>
      <c r="E500" s="45" t="n"/>
      <c r="F500" s="45" t="n"/>
      <c r="G500" s="45" t="n"/>
      <c r="H500" s="45" t="n"/>
      <c r="I500" s="45" t="n"/>
      <c r="J500" s="45" t="n"/>
      <c r="K500" s="45" t="n"/>
      <c r="L500" s="45" t="n"/>
      <c r="M500" s="45" t="n"/>
      <c r="N500" s="45" t="n"/>
      <c r="O500" s="45" t="n"/>
      <c r="P500" s="45" t="n"/>
      <c r="Q500" s="45" t="n"/>
      <c r="R500" s="45" t="n"/>
      <c r="S500" s="46" t="n"/>
      <c r="T500" s="46" t="n"/>
      <c r="U500" s="46" t="n"/>
      <c r="V500" s="46" t="n"/>
      <c r="W500" s="46" t="n"/>
      <c r="X500" s="46" t="n"/>
      <c r="Y500" s="46" t="n"/>
      <c r="Z500" s="46" t="n"/>
      <c r="AA500" s="46" t="n"/>
      <c r="AB500" s="46" t="n"/>
      <c r="AC500" s="46" t="n"/>
      <c r="AD500" s="46" t="n"/>
      <c r="AE500" s="46" t="n"/>
      <c r="AF500" s="46" t="n"/>
      <c r="AG500" s="46" t="n"/>
      <c r="AH500" s="47" t="n"/>
      <c r="AI500" s="47" t="n"/>
      <c r="AJ500" s="47" t="n"/>
      <c r="AK500" s="47" t="n"/>
      <c r="AL500" s="47" t="n"/>
      <c r="AM500" s="47" t="n"/>
      <c r="AN500" s="47" t="n"/>
      <c r="AO500" s="47" t="n"/>
      <c r="AP500" s="47" t="n"/>
      <c r="AQ500" s="47" t="n"/>
      <c r="AR500" s="47" t="n"/>
      <c r="AS500" s="47" t="n"/>
      <c r="AT500" s="47" t="n"/>
      <c r="AU500" s="48" t="n"/>
      <c r="AV500" s="48" t="n"/>
      <c r="AW500" s="49">
        <f>IF($A500="","",IF($BW500&lt;&gt;"","FIX",IF($BX500&lt;&gt;"","CHECK","OK")))</f>
        <v/>
      </c>
      <c r="AX500" s="50">
        <f>IF($A500="","",IF($BW500&lt;&gt;"","FIX: "&amp;LEFT($BW500,LEN($BW500)-2)&amp;IF($BX500&lt;&gt;"","  ·  ",""),"")&amp;IF($BX500&lt;&gt;"","CHECK: "&amp;LEFT($BX500,LEN($BX500)-2),""))</f>
        <v/>
      </c>
      <c r="AY500" s="49">
        <f>IF(OR($A500="",$K500=""),"",$K500&amp;"'-"&amp;N($L500)&amp;CHAR(34)&amp;" x "&amp;$M500&amp;"'-"&amp;N($N500)&amp;CHAR(34))</f>
        <v/>
      </c>
      <c r="AZ500" s="49">
        <f>IF(OR($A500="",$K500=""),"",$K500&amp;N($L500)&amp;$M500&amp;N($N500))</f>
        <v/>
      </c>
      <c r="BA500" s="49">
        <f>IF(OR($A500="",$K500=""),"",$K500*12+N($L500))</f>
        <v/>
      </c>
      <c r="BB500" s="49">
        <f>IF(OR($A500="",$M500=""),"",$M500*12+N($N500))</f>
        <v/>
      </c>
      <c r="BC500" s="49">
        <f>IF($A500="","",IF(OR($C500="FRAME ONLY",$S500="BL"),0,IF($O500="Y",2,1)))</f>
        <v/>
      </c>
      <c r="BD500" s="51">
        <f>IF(OR(N($BC500)=0,$BA500=""),"",($BA500-2*EdgeClr-IF($BC500=2,MeetClr,0))/$BC500)</f>
        <v/>
      </c>
      <c r="BE500" s="51">
        <f>IF(OR(N($BC500)=0,$BB500=""),"",$BB500-HeadClr-Undercut)</f>
        <v/>
      </c>
      <c r="BF500" s="51">
        <f>IF($BA500="","",$BA500+2*FaceW+IF(N($Q500)&gt;0,($Q500+FaceW)*IF($R500="LR",2,1),0))</f>
        <v/>
      </c>
      <c r="BG500" s="51">
        <f>IF($BB500="","",$BB500+IF($AB500="Y",4,FaceW)+IF(N($P500)&gt;0,$P500+FaceW,0)+IF(OR($S500="4F",$S500="BL"),FaceW,0))</f>
        <v/>
      </c>
      <c r="BH500" s="51">
        <f>IF($BF500="","",$BF500+2*ROSide)</f>
        <v/>
      </c>
      <c r="BI500" s="51">
        <f>IF($BG500="","",$BG500+ROTop)</f>
        <v/>
      </c>
      <c r="BJ500" s="52">
        <f>IF(OR(N($BC500)=0,$BA500=""),"",$BA500/$BC500-ClearDeduct)</f>
        <v/>
      </c>
      <c r="BK500" s="49">
        <f>IF(OR(N($BC500)=0,$BE500=""),"",IF(OR($AC500="HGC",$AP500="HGC"),"CONT",IF($BE500&lt;=60,2,IF($BE500&lt;=90,3,IF($BE500&lt;=120,4,5)))))</f>
        <v/>
      </c>
      <c r="BL500" s="49">
        <f>IF(N($BC500)=0,"",IF(OR($AL500="",$AL500="FLUSH"),"FLUSH",IFERROR(LEFT($AL500,FIND("-",$AL500)-1),LEFT($AL500,2))))</f>
        <v/>
      </c>
      <c r="BM500" s="49">
        <f>IF($BL500="","",IFERROR(VALUE(MID($AL500,FIND("-",$AL500)+1,FIND(CHAR(34)&amp;"x",$AL500)-FIND("-",$AL500)-1)),0))</f>
        <v/>
      </c>
      <c r="BN500" s="49">
        <f>IF($BL500="","",IFERROR(VALUE(MID($AL500,FIND(CHAR(34)&amp;"x",$AL500)+2,FIND(CHAR(34),$AL500,FIND(CHAR(34)&amp;"x",$AL500)+2)-FIND(CHAR(34)&amp;"x",$AL500)-2)),0))</f>
        <v/>
      </c>
      <c r="BO500" s="53">
        <f>IF(OR($A500="",$H500="",$H500="NO LAB"),0,IFERROR(VALUE(LEFT($H500,FIND(" ",$H500)-1)),0))</f>
        <v/>
      </c>
      <c r="BP500" s="54">
        <f>IF(OR($A500="",$I500="",$I500="NON-RATED",N($J500)=0),"",IFERROR(VLOOKUP($I500&amp;"|"&amp;$J500,IBC,2,FALSE),"?"))</f>
        <v/>
      </c>
      <c r="BQ500" s="50">
        <f>IF(NOT(AND($A500&lt;&gt;"",$C500&lt;&gt;"DOOR ONLY")),"",TRIM(IFERROR(VLOOKUP($U500,CODES,2,FALSE),"")&amp;" "&amp;$AZ500&amp;" "&amp;IFERROR(VLOOKUP($Z500,CODES,2,FALSE),"")&amp;" "&amp;IFERROR(VLOOKUP($X500,CODES,2,FALSE),"")&amp;" "&amp;IFERROR(VLOOKUP($S500,CODES,2,FALSE),"")&amp;IF(N($P500)&gt;0," w/TRANSOM "&amp;$P500&amp;CHAR(34),"")&amp;IF(N($Q500)&gt;0," w/SIDELITE "&amp;$Q500&amp;CHAR(34)&amp;" "&amp;IF($R500="","R",$R500),"")&amp;IF($Y500="","  |  "," | "&amp;IFERROR(VLOOKUP($Y500,CODES,2,FALSE),"")&amp;" | ")&amp;IFERROR(VLOOKUP($AC500,CODES,2,FALSE),"")&amp;" "&amp;IFERROR(VLOOKUP($AD500,CODES,2,FALSE),"")&amp;IF(OR($AE500="",$AE500="-"),""," "&amp;$AE500)&amp;IF(OR($AF500="",$AF500="-"),""," "&amp;$AF500)&amp;IF($AB500="Y"," 4"&amp;CHAR(34)&amp;" HEAD","")&amp;" "&amp;IFERROR(VLOOKUP($H500,CODES,2,FALSE),"")))</f>
        <v/>
      </c>
      <c r="BR500" s="50">
        <f>IF(NOT(AND($A500&lt;&gt;"",N($BC500)&gt;0)),"",TRIM(IFERROR(VLOOKUP($AH500,CODES,2,FALSE),"")&amp;IF($AI500=""," "," "&amp;$AI500&amp;"GA ")&amp;$AZ500&amp;" "&amp;IF($AN500="",IFERROR(VLOOKUP($Z500,CODES,2,FALSE),""),IFERROR(VLOOKUP($AN500,CODES,2,FALSE),""))&amp;IF($BC500=2," PAIR","")&amp;" DOOR | "&amp;IF($AL500="","?",$AL500)&amp;" | "&amp;IF($AP500="",IFERROR(VLOOKUP($AC500,CODES,2,FALSE),""),IFERROR(VLOOKUP($AP500,CODES,2,FALSE),""))&amp;" "&amp;IFERROR(VLOOKUP($AQ500,CODES,2,FALSE),"")&amp;IF(OR($AR500="",$AR500="-"),""," SEAM "&amp;$AR500)&amp;IF($AS500="Y"," ASTRAGAL","")&amp;IF($AJ500=""," "," "&amp;$AJ500)&amp;IF($AK500=""," "," "&amp;$AK500)&amp;IF($AO500="",""," "&amp;$AO500)&amp;IF($AM500=""," "," SERIES "&amp;$AM500)&amp;" "&amp;IFERROR(VLOOKUP($H500,CODES,2,FALSE),"")))</f>
        <v/>
      </c>
      <c r="BS500" s="49">
        <f>IF(BV500="","",IF(COUNTIF($BV$6:BV500,BV500)=1,MAX($BS$5:BS499)+1,INDEX($BS$5:BS499,MATCH(BV500,$BV$5:BV499,0))))</f>
        <v/>
      </c>
      <c r="BT500" s="49">
        <f>IF(NOT(AND($A500&lt;&gt;"",$C500&lt;&gt;"DOOR ONLY")),"",MAX($BT$5:BT499)+1)</f>
        <v/>
      </c>
      <c r="BU500" s="49">
        <f>IF(NOT(AND($A500&lt;&gt;"",N($BC500)&gt;0)),"",MAX($BU$5:BU499)+1)</f>
        <v/>
      </c>
      <c r="BV500" s="49">
        <f>IF(OR($A500="",$BA500="",$BB500=""),"",$AZ500&amp;"|"&amp;$O500&amp;"|"&amp;$AL500&amp;"|"&amp;$S500&amp;"|"&amp;$P500&amp;"|"&amp;$Q500&amp;$R500&amp;"|"&amp;$C500&amp;"|"&amp;$AB500)</f>
        <v/>
      </c>
      <c r="BW500" s="49">
        <f>IF($A500="","",IF($B500="","qty, ","")&amp;IF($C500="","scope, ","")&amp;IF(OR($K500="",$M500=""),"size, ","")&amp;IF(AND($A500&lt;&gt;"",$C500&lt;&gt;"DOOR ONLY"),IF($U500="","jamb depth, ","")&amp;IF($X500="","construction, ","")&amp;IF($Y500="","anchor, ","")&amp;IF($S500="","frame type, ",""),"")&amp;IF(AND(N($BC500)&gt;0,$Z500=""),"hand, ","")&amp;IF(N($BC500)&gt;0,IF($AH500="","door material, ","")&amp;IF($AL500="","face type, ","")&amp;IF($AQ500="","lock prep, ","")&amp;IF(AND($AP500="",$AC500=""),"hinge prep, ",""),"")&amp;IF(AND($BO500&gt;0,$AH500="FRP"),"FRP cannot carry a label, ","")&amp;IF(AND($O500="Y",OR($Z500="L",$Z500="R",$Z500="LR",$Z500="RR")),"pair marked but hand is single, ","")&amp;IF(AND($O500&lt;&gt;"Y",OR($Z500="PR",AND(LEN($Z500)&gt;1,ISNUMBER(SEARCH("-",$Z500))))),"pair hand on a single door, ","")&amp;IF(AND(ISNUMBER($BP500),$BO500&lt;N($BP500)),"wall needs a "&amp;$BP500&amp;" min door, ","")&amp;IF(AND($BO500&gt;=180,AND(OR($BL500="FG",$BL500="HG",$BL500="FNV",$BL500="FV"),N($BM500)*N($BN500)&gt;100)),"180 min lite over 100 sq in, ","")&amp;IF(N($BD500)&gt;48,"leaf wider than 4'-0"&amp;CHAR(34)&amp;", ",""))</f>
        <v/>
      </c>
      <c r="BX500" s="49">
        <f>IF($A500="","",IF(AND($BO500&gt;0,AND($A500&lt;&gt;"",$C500&lt;&gt;"DOOR ONLY"),$X500="KD",$E500="EXTERIOR"),"KD label on an exterior opening, ","")&amp;IF(AND($E500="EXTERIOR",OR(AND(AND($A500&lt;&gt;"",$C500&lt;&gt;"DOOR ONLY"),$W500="CR"),AND(N($BC500)&gt;0,$AH500="CR"))),"exterior in CR steel (G9?), ","")&amp;IF(AND(ISNUMBER($BJ500),N($BJ500)&lt;32),"clear width ~"&amp;TEXT($BJ500,"0.0")&amp;CHAR(34)&amp;" under 32"&amp;CHAR(34)&amp;" (ADA), ","")&amp;IF(AND($BO500=90,AND(OR($BL500="FG",$BL500="HG",$BL500="FNV",$BL500="FV"),N($BM500)*N($BN500)&gt;100)),"90 min lite over 100 sq in (stair/exit), ","")&amp;IF(AND($BO500&gt;0,AND($A500&lt;&gt;"",$C500&lt;&gt;"DOOR ONLY"),OR($AF500="",$AF500="-")),"rated: closer reinf.?, ","")&amp;IF(OR($I500="CORRIDOR",$I500="SMOKE BARRIER"),"S label + smoke gasketing, ","")&amp;IF($BP500="?","wall type/hr not in IBC table, ","")&amp;IF(AND(N($BC500)&gt;0,$AU500=""),"no hardware set, ","")&amp;IF(AND($AU500&lt;&gt;"",ISNA(MATCH($AU500,HWSets,0))),"set "&amp;$AU500&amp;" not on Hardware sheet, ","")&amp;IF(N($BE500)&gt;96,"leaf over 8'-0"&amp;CHAR(34)&amp;" - check listing, ",""))</f>
        <v/>
      </c>
    </row>
    <row r="501" ht="15" customHeight="1">
      <c r="A501" s="44" t="n"/>
      <c r="B501" s="45" t="n"/>
      <c r="C501" s="45" t="n"/>
      <c r="D501" s="45" t="n"/>
      <c r="E501" s="45" t="n"/>
      <c r="F501" s="45" t="n"/>
      <c r="G501" s="45" t="n"/>
      <c r="H501" s="45" t="n"/>
      <c r="I501" s="45" t="n"/>
      <c r="J501" s="45" t="n"/>
      <c r="K501" s="45" t="n"/>
      <c r="L501" s="45" t="n"/>
      <c r="M501" s="45" t="n"/>
      <c r="N501" s="45" t="n"/>
      <c r="O501" s="45" t="n"/>
      <c r="P501" s="45" t="n"/>
      <c r="Q501" s="45" t="n"/>
      <c r="R501" s="45" t="n"/>
      <c r="S501" s="46" t="n"/>
      <c r="T501" s="46" t="n"/>
      <c r="U501" s="46" t="n"/>
      <c r="V501" s="46" t="n"/>
      <c r="W501" s="46" t="n"/>
      <c r="X501" s="46" t="n"/>
      <c r="Y501" s="46" t="n"/>
      <c r="Z501" s="46" t="n"/>
      <c r="AA501" s="46" t="n"/>
      <c r="AB501" s="46" t="n"/>
      <c r="AC501" s="46" t="n"/>
      <c r="AD501" s="46" t="n"/>
      <c r="AE501" s="46" t="n"/>
      <c r="AF501" s="46" t="n"/>
      <c r="AG501" s="46" t="n"/>
      <c r="AH501" s="47" t="n"/>
      <c r="AI501" s="47" t="n"/>
      <c r="AJ501" s="47" t="n"/>
      <c r="AK501" s="47" t="n"/>
      <c r="AL501" s="47" t="n"/>
      <c r="AM501" s="47" t="n"/>
      <c r="AN501" s="47" t="n"/>
      <c r="AO501" s="47" t="n"/>
      <c r="AP501" s="47" t="n"/>
      <c r="AQ501" s="47" t="n"/>
      <c r="AR501" s="47" t="n"/>
      <c r="AS501" s="47" t="n"/>
      <c r="AT501" s="47" t="n"/>
      <c r="AU501" s="48" t="n"/>
      <c r="AV501" s="48" t="n"/>
      <c r="AW501" s="49">
        <f>IF($A501="","",IF($BW501&lt;&gt;"","FIX",IF($BX501&lt;&gt;"","CHECK","OK")))</f>
        <v/>
      </c>
      <c r="AX501" s="50">
        <f>IF($A501="","",IF($BW501&lt;&gt;"","FIX: "&amp;LEFT($BW501,LEN($BW501)-2)&amp;IF($BX501&lt;&gt;"","  ·  ",""),"")&amp;IF($BX501&lt;&gt;"","CHECK: "&amp;LEFT($BX501,LEN($BX501)-2),""))</f>
        <v/>
      </c>
      <c r="AY501" s="49">
        <f>IF(OR($A501="",$K501=""),"",$K501&amp;"'-"&amp;N($L501)&amp;CHAR(34)&amp;" x "&amp;$M501&amp;"'-"&amp;N($N501)&amp;CHAR(34))</f>
        <v/>
      </c>
      <c r="AZ501" s="49">
        <f>IF(OR($A501="",$K501=""),"",$K501&amp;N($L501)&amp;$M501&amp;N($N501))</f>
        <v/>
      </c>
      <c r="BA501" s="49">
        <f>IF(OR($A501="",$K501=""),"",$K501*12+N($L501))</f>
        <v/>
      </c>
      <c r="BB501" s="49">
        <f>IF(OR($A501="",$M501=""),"",$M501*12+N($N501))</f>
        <v/>
      </c>
      <c r="BC501" s="49">
        <f>IF($A501="","",IF(OR($C501="FRAME ONLY",$S501="BL"),0,IF($O501="Y",2,1)))</f>
        <v/>
      </c>
      <c r="BD501" s="51">
        <f>IF(OR(N($BC501)=0,$BA501=""),"",($BA501-2*EdgeClr-IF($BC501=2,MeetClr,0))/$BC501)</f>
        <v/>
      </c>
      <c r="BE501" s="51">
        <f>IF(OR(N($BC501)=0,$BB501=""),"",$BB501-HeadClr-Undercut)</f>
        <v/>
      </c>
      <c r="BF501" s="51">
        <f>IF($BA501="","",$BA501+2*FaceW+IF(N($Q501)&gt;0,($Q501+FaceW)*IF($R501="LR",2,1),0))</f>
        <v/>
      </c>
      <c r="BG501" s="51">
        <f>IF($BB501="","",$BB501+IF($AB501="Y",4,FaceW)+IF(N($P501)&gt;0,$P501+FaceW,0)+IF(OR($S501="4F",$S501="BL"),FaceW,0))</f>
        <v/>
      </c>
      <c r="BH501" s="51">
        <f>IF($BF501="","",$BF501+2*ROSide)</f>
        <v/>
      </c>
      <c r="BI501" s="51">
        <f>IF($BG501="","",$BG501+ROTop)</f>
        <v/>
      </c>
      <c r="BJ501" s="52">
        <f>IF(OR(N($BC501)=0,$BA501=""),"",$BA501/$BC501-ClearDeduct)</f>
        <v/>
      </c>
      <c r="BK501" s="49">
        <f>IF(OR(N($BC501)=0,$BE501=""),"",IF(OR($AC501="HGC",$AP501="HGC"),"CONT",IF($BE501&lt;=60,2,IF($BE501&lt;=90,3,IF($BE501&lt;=120,4,5)))))</f>
        <v/>
      </c>
      <c r="BL501" s="49">
        <f>IF(N($BC501)=0,"",IF(OR($AL501="",$AL501="FLUSH"),"FLUSH",IFERROR(LEFT($AL501,FIND("-",$AL501)-1),LEFT($AL501,2))))</f>
        <v/>
      </c>
      <c r="BM501" s="49">
        <f>IF($BL501="","",IFERROR(VALUE(MID($AL501,FIND("-",$AL501)+1,FIND(CHAR(34)&amp;"x",$AL501)-FIND("-",$AL501)-1)),0))</f>
        <v/>
      </c>
      <c r="BN501" s="49">
        <f>IF($BL501="","",IFERROR(VALUE(MID($AL501,FIND(CHAR(34)&amp;"x",$AL501)+2,FIND(CHAR(34),$AL501,FIND(CHAR(34)&amp;"x",$AL501)+2)-FIND(CHAR(34)&amp;"x",$AL501)-2)),0))</f>
        <v/>
      </c>
      <c r="BO501" s="53">
        <f>IF(OR($A501="",$H501="",$H501="NO LAB"),0,IFERROR(VALUE(LEFT($H501,FIND(" ",$H501)-1)),0))</f>
        <v/>
      </c>
      <c r="BP501" s="54">
        <f>IF(OR($A501="",$I501="",$I501="NON-RATED",N($J501)=0),"",IFERROR(VLOOKUP($I501&amp;"|"&amp;$J501,IBC,2,FALSE),"?"))</f>
        <v/>
      </c>
      <c r="BQ501" s="50">
        <f>IF(NOT(AND($A501&lt;&gt;"",$C501&lt;&gt;"DOOR ONLY")),"",TRIM(IFERROR(VLOOKUP($U501,CODES,2,FALSE),"")&amp;" "&amp;$AZ501&amp;" "&amp;IFERROR(VLOOKUP($Z501,CODES,2,FALSE),"")&amp;" "&amp;IFERROR(VLOOKUP($X501,CODES,2,FALSE),"")&amp;" "&amp;IFERROR(VLOOKUP($S501,CODES,2,FALSE),"")&amp;IF(N($P501)&gt;0," w/TRANSOM "&amp;$P501&amp;CHAR(34),"")&amp;IF(N($Q501)&gt;0," w/SIDELITE "&amp;$Q501&amp;CHAR(34)&amp;" "&amp;IF($R501="","R",$R501),"")&amp;IF($Y501="","  |  "," | "&amp;IFERROR(VLOOKUP($Y501,CODES,2,FALSE),"")&amp;" | ")&amp;IFERROR(VLOOKUP($AC501,CODES,2,FALSE),"")&amp;" "&amp;IFERROR(VLOOKUP($AD501,CODES,2,FALSE),"")&amp;IF(OR($AE501="",$AE501="-"),""," "&amp;$AE501)&amp;IF(OR($AF501="",$AF501="-"),""," "&amp;$AF501)&amp;IF($AB501="Y"," 4"&amp;CHAR(34)&amp;" HEAD","")&amp;" "&amp;IFERROR(VLOOKUP($H501,CODES,2,FALSE),"")))</f>
        <v/>
      </c>
      <c r="BR501" s="50">
        <f>IF(NOT(AND($A501&lt;&gt;"",N($BC501)&gt;0)),"",TRIM(IFERROR(VLOOKUP($AH501,CODES,2,FALSE),"")&amp;IF($AI501=""," "," "&amp;$AI501&amp;"GA ")&amp;$AZ501&amp;" "&amp;IF($AN501="",IFERROR(VLOOKUP($Z501,CODES,2,FALSE),""),IFERROR(VLOOKUP($AN501,CODES,2,FALSE),""))&amp;IF($BC501=2," PAIR","")&amp;" DOOR | "&amp;IF($AL501="","?",$AL501)&amp;" | "&amp;IF($AP501="",IFERROR(VLOOKUP($AC501,CODES,2,FALSE),""),IFERROR(VLOOKUP($AP501,CODES,2,FALSE),""))&amp;" "&amp;IFERROR(VLOOKUP($AQ501,CODES,2,FALSE),"")&amp;IF(OR($AR501="",$AR501="-"),""," SEAM "&amp;$AR501)&amp;IF($AS501="Y"," ASTRAGAL","")&amp;IF($AJ501=""," "," "&amp;$AJ501)&amp;IF($AK501=""," "," "&amp;$AK501)&amp;IF($AO501="",""," "&amp;$AO501)&amp;IF($AM501=""," "," SERIES "&amp;$AM501)&amp;" "&amp;IFERROR(VLOOKUP($H501,CODES,2,FALSE),"")))</f>
        <v/>
      </c>
      <c r="BS501" s="49">
        <f>IF(BV501="","",IF(COUNTIF($BV$6:BV501,BV501)=1,MAX($BS$5:BS500)+1,INDEX($BS$5:BS500,MATCH(BV501,$BV$5:BV500,0))))</f>
        <v/>
      </c>
      <c r="BT501" s="49">
        <f>IF(NOT(AND($A501&lt;&gt;"",$C501&lt;&gt;"DOOR ONLY")),"",MAX($BT$5:BT500)+1)</f>
        <v/>
      </c>
      <c r="BU501" s="49">
        <f>IF(NOT(AND($A501&lt;&gt;"",N($BC501)&gt;0)),"",MAX($BU$5:BU500)+1)</f>
        <v/>
      </c>
      <c r="BV501" s="49">
        <f>IF(OR($A501="",$BA501="",$BB501=""),"",$AZ501&amp;"|"&amp;$O501&amp;"|"&amp;$AL501&amp;"|"&amp;$S501&amp;"|"&amp;$P501&amp;"|"&amp;$Q501&amp;$R501&amp;"|"&amp;$C501&amp;"|"&amp;$AB501)</f>
        <v/>
      </c>
      <c r="BW501" s="49">
        <f>IF($A501="","",IF($B501="","qty, ","")&amp;IF($C501="","scope, ","")&amp;IF(OR($K501="",$M501=""),"size, ","")&amp;IF(AND($A501&lt;&gt;"",$C501&lt;&gt;"DOOR ONLY"),IF($U501="","jamb depth, ","")&amp;IF($X501="","construction, ","")&amp;IF($Y501="","anchor, ","")&amp;IF($S501="","frame type, ",""),"")&amp;IF(AND(N($BC501)&gt;0,$Z501=""),"hand, ","")&amp;IF(N($BC501)&gt;0,IF($AH501="","door material, ","")&amp;IF($AL501="","face type, ","")&amp;IF($AQ501="","lock prep, ","")&amp;IF(AND($AP501="",$AC501=""),"hinge prep, ",""),"")&amp;IF(AND($BO501&gt;0,$AH501="FRP"),"FRP cannot carry a label, ","")&amp;IF(AND($O501="Y",OR($Z501="L",$Z501="R",$Z501="LR",$Z501="RR")),"pair marked but hand is single, ","")&amp;IF(AND($O501&lt;&gt;"Y",OR($Z501="PR",AND(LEN($Z501)&gt;1,ISNUMBER(SEARCH("-",$Z501))))),"pair hand on a single door, ","")&amp;IF(AND(ISNUMBER($BP501),$BO501&lt;N($BP501)),"wall needs a "&amp;$BP501&amp;" min door, ","")&amp;IF(AND($BO501&gt;=180,AND(OR($BL501="FG",$BL501="HG",$BL501="FNV",$BL501="FV"),N($BM501)*N($BN501)&gt;100)),"180 min lite over 100 sq in, ","")&amp;IF(N($BD501)&gt;48,"leaf wider than 4'-0"&amp;CHAR(34)&amp;", ",""))</f>
        <v/>
      </c>
      <c r="BX501" s="49">
        <f>IF($A501="","",IF(AND($BO501&gt;0,AND($A501&lt;&gt;"",$C501&lt;&gt;"DOOR ONLY"),$X501="KD",$E501="EXTERIOR"),"KD label on an exterior opening, ","")&amp;IF(AND($E501="EXTERIOR",OR(AND(AND($A501&lt;&gt;"",$C501&lt;&gt;"DOOR ONLY"),$W501="CR"),AND(N($BC501)&gt;0,$AH501="CR"))),"exterior in CR steel (G9?), ","")&amp;IF(AND(ISNUMBER($BJ501),N($BJ501)&lt;32),"clear width ~"&amp;TEXT($BJ501,"0.0")&amp;CHAR(34)&amp;" under 32"&amp;CHAR(34)&amp;" (ADA), ","")&amp;IF(AND($BO501=90,AND(OR($BL501="FG",$BL501="HG",$BL501="FNV",$BL501="FV"),N($BM501)*N($BN501)&gt;100)),"90 min lite over 100 sq in (stair/exit), ","")&amp;IF(AND($BO501&gt;0,AND($A501&lt;&gt;"",$C501&lt;&gt;"DOOR ONLY"),OR($AF501="",$AF501="-")),"rated: closer reinf.?, ","")&amp;IF(OR($I501="CORRIDOR",$I501="SMOKE BARRIER"),"S label + smoke gasketing, ","")&amp;IF($BP501="?","wall type/hr not in IBC table, ","")&amp;IF(AND(N($BC501)&gt;0,$AU501=""),"no hardware set, ","")&amp;IF(AND($AU501&lt;&gt;"",ISNA(MATCH($AU501,HWSets,0))),"set "&amp;$AU501&amp;" not on Hardware sheet, ","")&amp;IF(N($BE501)&gt;96,"leaf over 8'-0"&amp;CHAR(34)&amp;" - check listing, ",""))</f>
        <v/>
      </c>
    </row>
    <row r="502" ht="15" customHeight="1">
      <c r="A502" s="44" t="n"/>
      <c r="B502" s="45" t="n"/>
      <c r="C502" s="45" t="n"/>
      <c r="D502" s="45" t="n"/>
      <c r="E502" s="45" t="n"/>
      <c r="F502" s="45" t="n"/>
      <c r="G502" s="45" t="n"/>
      <c r="H502" s="45" t="n"/>
      <c r="I502" s="45" t="n"/>
      <c r="J502" s="45" t="n"/>
      <c r="K502" s="45" t="n"/>
      <c r="L502" s="45" t="n"/>
      <c r="M502" s="45" t="n"/>
      <c r="N502" s="45" t="n"/>
      <c r="O502" s="45" t="n"/>
      <c r="P502" s="45" t="n"/>
      <c r="Q502" s="45" t="n"/>
      <c r="R502" s="45" t="n"/>
      <c r="S502" s="46" t="n"/>
      <c r="T502" s="46" t="n"/>
      <c r="U502" s="46" t="n"/>
      <c r="V502" s="46" t="n"/>
      <c r="W502" s="46" t="n"/>
      <c r="X502" s="46" t="n"/>
      <c r="Y502" s="46" t="n"/>
      <c r="Z502" s="46" t="n"/>
      <c r="AA502" s="46" t="n"/>
      <c r="AB502" s="46" t="n"/>
      <c r="AC502" s="46" t="n"/>
      <c r="AD502" s="46" t="n"/>
      <c r="AE502" s="46" t="n"/>
      <c r="AF502" s="46" t="n"/>
      <c r="AG502" s="46" t="n"/>
      <c r="AH502" s="47" t="n"/>
      <c r="AI502" s="47" t="n"/>
      <c r="AJ502" s="47" t="n"/>
      <c r="AK502" s="47" t="n"/>
      <c r="AL502" s="47" t="n"/>
      <c r="AM502" s="47" t="n"/>
      <c r="AN502" s="47" t="n"/>
      <c r="AO502" s="47" t="n"/>
      <c r="AP502" s="47" t="n"/>
      <c r="AQ502" s="47" t="n"/>
      <c r="AR502" s="47" t="n"/>
      <c r="AS502" s="47" t="n"/>
      <c r="AT502" s="47" t="n"/>
      <c r="AU502" s="48" t="n"/>
      <c r="AV502" s="48" t="n"/>
      <c r="AW502" s="49">
        <f>IF($A502="","",IF($BW502&lt;&gt;"","FIX",IF($BX502&lt;&gt;"","CHECK","OK")))</f>
        <v/>
      </c>
      <c r="AX502" s="50">
        <f>IF($A502="","",IF($BW502&lt;&gt;"","FIX: "&amp;LEFT($BW502,LEN($BW502)-2)&amp;IF($BX502&lt;&gt;"","  ·  ",""),"")&amp;IF($BX502&lt;&gt;"","CHECK: "&amp;LEFT($BX502,LEN($BX502)-2),""))</f>
        <v/>
      </c>
      <c r="AY502" s="49">
        <f>IF(OR($A502="",$K502=""),"",$K502&amp;"'-"&amp;N($L502)&amp;CHAR(34)&amp;" x "&amp;$M502&amp;"'-"&amp;N($N502)&amp;CHAR(34))</f>
        <v/>
      </c>
      <c r="AZ502" s="49">
        <f>IF(OR($A502="",$K502=""),"",$K502&amp;N($L502)&amp;$M502&amp;N($N502))</f>
        <v/>
      </c>
      <c r="BA502" s="49">
        <f>IF(OR($A502="",$K502=""),"",$K502*12+N($L502))</f>
        <v/>
      </c>
      <c r="BB502" s="49">
        <f>IF(OR($A502="",$M502=""),"",$M502*12+N($N502))</f>
        <v/>
      </c>
      <c r="BC502" s="49">
        <f>IF($A502="","",IF(OR($C502="FRAME ONLY",$S502="BL"),0,IF($O502="Y",2,1)))</f>
        <v/>
      </c>
      <c r="BD502" s="51">
        <f>IF(OR(N($BC502)=0,$BA502=""),"",($BA502-2*EdgeClr-IF($BC502=2,MeetClr,0))/$BC502)</f>
        <v/>
      </c>
      <c r="BE502" s="51">
        <f>IF(OR(N($BC502)=0,$BB502=""),"",$BB502-HeadClr-Undercut)</f>
        <v/>
      </c>
      <c r="BF502" s="51">
        <f>IF($BA502="","",$BA502+2*FaceW+IF(N($Q502)&gt;0,($Q502+FaceW)*IF($R502="LR",2,1),0))</f>
        <v/>
      </c>
      <c r="BG502" s="51">
        <f>IF($BB502="","",$BB502+IF($AB502="Y",4,FaceW)+IF(N($P502)&gt;0,$P502+FaceW,0)+IF(OR($S502="4F",$S502="BL"),FaceW,0))</f>
        <v/>
      </c>
      <c r="BH502" s="51">
        <f>IF($BF502="","",$BF502+2*ROSide)</f>
        <v/>
      </c>
      <c r="BI502" s="51">
        <f>IF($BG502="","",$BG502+ROTop)</f>
        <v/>
      </c>
      <c r="BJ502" s="52">
        <f>IF(OR(N($BC502)=0,$BA502=""),"",$BA502/$BC502-ClearDeduct)</f>
        <v/>
      </c>
      <c r="BK502" s="49">
        <f>IF(OR(N($BC502)=0,$BE502=""),"",IF(OR($AC502="HGC",$AP502="HGC"),"CONT",IF($BE502&lt;=60,2,IF($BE502&lt;=90,3,IF($BE502&lt;=120,4,5)))))</f>
        <v/>
      </c>
      <c r="BL502" s="49">
        <f>IF(N($BC502)=0,"",IF(OR($AL502="",$AL502="FLUSH"),"FLUSH",IFERROR(LEFT($AL502,FIND("-",$AL502)-1),LEFT($AL502,2))))</f>
        <v/>
      </c>
      <c r="BM502" s="49">
        <f>IF($BL502="","",IFERROR(VALUE(MID($AL502,FIND("-",$AL502)+1,FIND(CHAR(34)&amp;"x",$AL502)-FIND("-",$AL502)-1)),0))</f>
        <v/>
      </c>
      <c r="BN502" s="49">
        <f>IF($BL502="","",IFERROR(VALUE(MID($AL502,FIND(CHAR(34)&amp;"x",$AL502)+2,FIND(CHAR(34),$AL502,FIND(CHAR(34)&amp;"x",$AL502)+2)-FIND(CHAR(34)&amp;"x",$AL502)-2)),0))</f>
        <v/>
      </c>
      <c r="BO502" s="53">
        <f>IF(OR($A502="",$H502="",$H502="NO LAB"),0,IFERROR(VALUE(LEFT($H502,FIND(" ",$H502)-1)),0))</f>
        <v/>
      </c>
      <c r="BP502" s="54">
        <f>IF(OR($A502="",$I502="",$I502="NON-RATED",N($J502)=0),"",IFERROR(VLOOKUP($I502&amp;"|"&amp;$J502,IBC,2,FALSE),"?"))</f>
        <v/>
      </c>
      <c r="BQ502" s="50">
        <f>IF(NOT(AND($A502&lt;&gt;"",$C502&lt;&gt;"DOOR ONLY")),"",TRIM(IFERROR(VLOOKUP($U502,CODES,2,FALSE),"")&amp;" "&amp;$AZ502&amp;" "&amp;IFERROR(VLOOKUP($Z502,CODES,2,FALSE),"")&amp;" "&amp;IFERROR(VLOOKUP($X502,CODES,2,FALSE),"")&amp;" "&amp;IFERROR(VLOOKUP($S502,CODES,2,FALSE),"")&amp;IF(N($P502)&gt;0," w/TRANSOM "&amp;$P502&amp;CHAR(34),"")&amp;IF(N($Q502)&gt;0," w/SIDELITE "&amp;$Q502&amp;CHAR(34)&amp;" "&amp;IF($R502="","R",$R502),"")&amp;IF($Y502="","  |  "," | "&amp;IFERROR(VLOOKUP($Y502,CODES,2,FALSE),"")&amp;" | ")&amp;IFERROR(VLOOKUP($AC502,CODES,2,FALSE),"")&amp;" "&amp;IFERROR(VLOOKUP($AD502,CODES,2,FALSE),"")&amp;IF(OR($AE502="",$AE502="-"),""," "&amp;$AE502)&amp;IF(OR($AF502="",$AF502="-"),""," "&amp;$AF502)&amp;IF($AB502="Y"," 4"&amp;CHAR(34)&amp;" HEAD","")&amp;" "&amp;IFERROR(VLOOKUP($H502,CODES,2,FALSE),"")))</f>
        <v/>
      </c>
      <c r="BR502" s="50">
        <f>IF(NOT(AND($A502&lt;&gt;"",N($BC502)&gt;0)),"",TRIM(IFERROR(VLOOKUP($AH502,CODES,2,FALSE),"")&amp;IF($AI502=""," "," "&amp;$AI502&amp;"GA ")&amp;$AZ502&amp;" "&amp;IF($AN502="",IFERROR(VLOOKUP($Z502,CODES,2,FALSE),""),IFERROR(VLOOKUP($AN502,CODES,2,FALSE),""))&amp;IF($BC502=2," PAIR","")&amp;" DOOR | "&amp;IF($AL502="","?",$AL502)&amp;" | "&amp;IF($AP502="",IFERROR(VLOOKUP($AC502,CODES,2,FALSE),""),IFERROR(VLOOKUP($AP502,CODES,2,FALSE),""))&amp;" "&amp;IFERROR(VLOOKUP($AQ502,CODES,2,FALSE),"")&amp;IF(OR($AR502="",$AR502="-"),""," SEAM "&amp;$AR502)&amp;IF($AS502="Y"," ASTRAGAL","")&amp;IF($AJ502=""," "," "&amp;$AJ502)&amp;IF($AK502=""," "," "&amp;$AK502)&amp;IF($AO502="",""," "&amp;$AO502)&amp;IF($AM502=""," "," SERIES "&amp;$AM502)&amp;" "&amp;IFERROR(VLOOKUP($H502,CODES,2,FALSE),"")))</f>
        <v/>
      </c>
      <c r="BS502" s="49">
        <f>IF(BV502="","",IF(COUNTIF($BV$6:BV502,BV502)=1,MAX($BS$5:BS501)+1,INDEX($BS$5:BS501,MATCH(BV502,$BV$5:BV501,0))))</f>
        <v/>
      </c>
      <c r="BT502" s="49">
        <f>IF(NOT(AND($A502&lt;&gt;"",$C502&lt;&gt;"DOOR ONLY")),"",MAX($BT$5:BT501)+1)</f>
        <v/>
      </c>
      <c r="BU502" s="49">
        <f>IF(NOT(AND($A502&lt;&gt;"",N($BC502)&gt;0)),"",MAX($BU$5:BU501)+1)</f>
        <v/>
      </c>
      <c r="BV502" s="49">
        <f>IF(OR($A502="",$BA502="",$BB502=""),"",$AZ502&amp;"|"&amp;$O502&amp;"|"&amp;$AL502&amp;"|"&amp;$S502&amp;"|"&amp;$P502&amp;"|"&amp;$Q502&amp;$R502&amp;"|"&amp;$C502&amp;"|"&amp;$AB502)</f>
        <v/>
      </c>
      <c r="BW502" s="49">
        <f>IF($A502="","",IF($B502="","qty, ","")&amp;IF($C502="","scope, ","")&amp;IF(OR($K502="",$M502=""),"size, ","")&amp;IF(AND($A502&lt;&gt;"",$C502&lt;&gt;"DOOR ONLY"),IF($U502="","jamb depth, ","")&amp;IF($X502="","construction, ","")&amp;IF($Y502="","anchor, ","")&amp;IF($S502="","frame type, ",""),"")&amp;IF(AND(N($BC502)&gt;0,$Z502=""),"hand, ","")&amp;IF(N($BC502)&gt;0,IF($AH502="","door material, ","")&amp;IF($AL502="","face type, ","")&amp;IF($AQ502="","lock prep, ","")&amp;IF(AND($AP502="",$AC502=""),"hinge prep, ",""),"")&amp;IF(AND($BO502&gt;0,$AH502="FRP"),"FRP cannot carry a label, ","")&amp;IF(AND($O502="Y",OR($Z502="L",$Z502="R",$Z502="LR",$Z502="RR")),"pair marked but hand is single, ","")&amp;IF(AND($O502&lt;&gt;"Y",OR($Z502="PR",AND(LEN($Z502)&gt;1,ISNUMBER(SEARCH("-",$Z502))))),"pair hand on a single door, ","")&amp;IF(AND(ISNUMBER($BP502),$BO502&lt;N($BP502)),"wall needs a "&amp;$BP502&amp;" min door, ","")&amp;IF(AND($BO502&gt;=180,AND(OR($BL502="FG",$BL502="HG",$BL502="FNV",$BL502="FV"),N($BM502)*N($BN502)&gt;100)),"180 min lite over 100 sq in, ","")&amp;IF(N($BD502)&gt;48,"leaf wider than 4'-0"&amp;CHAR(34)&amp;", ",""))</f>
        <v/>
      </c>
      <c r="BX502" s="49">
        <f>IF($A502="","",IF(AND($BO502&gt;0,AND($A502&lt;&gt;"",$C502&lt;&gt;"DOOR ONLY"),$X502="KD",$E502="EXTERIOR"),"KD label on an exterior opening, ","")&amp;IF(AND($E502="EXTERIOR",OR(AND(AND($A502&lt;&gt;"",$C502&lt;&gt;"DOOR ONLY"),$W502="CR"),AND(N($BC502)&gt;0,$AH502="CR"))),"exterior in CR steel (G9?), ","")&amp;IF(AND(ISNUMBER($BJ502),N($BJ502)&lt;32),"clear width ~"&amp;TEXT($BJ502,"0.0")&amp;CHAR(34)&amp;" under 32"&amp;CHAR(34)&amp;" (ADA), ","")&amp;IF(AND($BO502=90,AND(OR($BL502="FG",$BL502="HG",$BL502="FNV",$BL502="FV"),N($BM502)*N($BN502)&gt;100)),"90 min lite over 100 sq in (stair/exit), ","")&amp;IF(AND($BO502&gt;0,AND($A502&lt;&gt;"",$C502&lt;&gt;"DOOR ONLY"),OR($AF502="",$AF502="-")),"rated: closer reinf.?, ","")&amp;IF(OR($I502="CORRIDOR",$I502="SMOKE BARRIER"),"S label + smoke gasketing, ","")&amp;IF($BP502="?","wall type/hr not in IBC table, ","")&amp;IF(AND(N($BC502)&gt;0,$AU502=""),"no hardware set, ","")&amp;IF(AND($AU502&lt;&gt;"",ISNA(MATCH($AU502,HWSets,0))),"set "&amp;$AU502&amp;" not on Hardware sheet, ","")&amp;IF(N($BE502)&gt;96,"leaf over 8'-0"&amp;CHAR(34)&amp;" - check listing, ",""))</f>
        <v/>
      </c>
    </row>
    <row r="503" ht="15" customHeight="1">
      <c r="A503" s="44" t="n"/>
      <c r="B503" s="45" t="n"/>
      <c r="C503" s="45" t="n"/>
      <c r="D503" s="45" t="n"/>
      <c r="E503" s="45" t="n"/>
      <c r="F503" s="45" t="n"/>
      <c r="G503" s="45" t="n"/>
      <c r="H503" s="45" t="n"/>
      <c r="I503" s="45" t="n"/>
      <c r="J503" s="45" t="n"/>
      <c r="K503" s="45" t="n"/>
      <c r="L503" s="45" t="n"/>
      <c r="M503" s="45" t="n"/>
      <c r="N503" s="45" t="n"/>
      <c r="O503" s="45" t="n"/>
      <c r="P503" s="45" t="n"/>
      <c r="Q503" s="45" t="n"/>
      <c r="R503" s="45" t="n"/>
      <c r="S503" s="46" t="n"/>
      <c r="T503" s="46" t="n"/>
      <c r="U503" s="46" t="n"/>
      <c r="V503" s="46" t="n"/>
      <c r="W503" s="46" t="n"/>
      <c r="X503" s="46" t="n"/>
      <c r="Y503" s="46" t="n"/>
      <c r="Z503" s="46" t="n"/>
      <c r="AA503" s="46" t="n"/>
      <c r="AB503" s="46" t="n"/>
      <c r="AC503" s="46" t="n"/>
      <c r="AD503" s="46" t="n"/>
      <c r="AE503" s="46" t="n"/>
      <c r="AF503" s="46" t="n"/>
      <c r="AG503" s="46" t="n"/>
      <c r="AH503" s="47" t="n"/>
      <c r="AI503" s="47" t="n"/>
      <c r="AJ503" s="47" t="n"/>
      <c r="AK503" s="47" t="n"/>
      <c r="AL503" s="47" t="n"/>
      <c r="AM503" s="47" t="n"/>
      <c r="AN503" s="47" t="n"/>
      <c r="AO503" s="47" t="n"/>
      <c r="AP503" s="47" t="n"/>
      <c r="AQ503" s="47" t="n"/>
      <c r="AR503" s="47" t="n"/>
      <c r="AS503" s="47" t="n"/>
      <c r="AT503" s="47" t="n"/>
      <c r="AU503" s="48" t="n"/>
      <c r="AV503" s="48" t="n"/>
      <c r="AW503" s="49">
        <f>IF($A503="","",IF($BW503&lt;&gt;"","FIX",IF($BX503&lt;&gt;"","CHECK","OK")))</f>
        <v/>
      </c>
      <c r="AX503" s="50">
        <f>IF($A503="","",IF($BW503&lt;&gt;"","FIX: "&amp;LEFT($BW503,LEN($BW503)-2)&amp;IF($BX503&lt;&gt;"","  ·  ",""),"")&amp;IF($BX503&lt;&gt;"","CHECK: "&amp;LEFT($BX503,LEN($BX503)-2),""))</f>
        <v/>
      </c>
      <c r="AY503" s="49">
        <f>IF(OR($A503="",$K503=""),"",$K503&amp;"'-"&amp;N($L503)&amp;CHAR(34)&amp;" x "&amp;$M503&amp;"'-"&amp;N($N503)&amp;CHAR(34))</f>
        <v/>
      </c>
      <c r="AZ503" s="49">
        <f>IF(OR($A503="",$K503=""),"",$K503&amp;N($L503)&amp;$M503&amp;N($N503))</f>
        <v/>
      </c>
      <c r="BA503" s="49">
        <f>IF(OR($A503="",$K503=""),"",$K503*12+N($L503))</f>
        <v/>
      </c>
      <c r="BB503" s="49">
        <f>IF(OR($A503="",$M503=""),"",$M503*12+N($N503))</f>
        <v/>
      </c>
      <c r="BC503" s="49">
        <f>IF($A503="","",IF(OR($C503="FRAME ONLY",$S503="BL"),0,IF($O503="Y",2,1)))</f>
        <v/>
      </c>
      <c r="BD503" s="51">
        <f>IF(OR(N($BC503)=0,$BA503=""),"",($BA503-2*EdgeClr-IF($BC503=2,MeetClr,0))/$BC503)</f>
        <v/>
      </c>
      <c r="BE503" s="51">
        <f>IF(OR(N($BC503)=0,$BB503=""),"",$BB503-HeadClr-Undercut)</f>
        <v/>
      </c>
      <c r="BF503" s="51">
        <f>IF($BA503="","",$BA503+2*FaceW+IF(N($Q503)&gt;0,($Q503+FaceW)*IF($R503="LR",2,1),0))</f>
        <v/>
      </c>
      <c r="BG503" s="51">
        <f>IF($BB503="","",$BB503+IF($AB503="Y",4,FaceW)+IF(N($P503)&gt;0,$P503+FaceW,0)+IF(OR($S503="4F",$S503="BL"),FaceW,0))</f>
        <v/>
      </c>
      <c r="BH503" s="51">
        <f>IF($BF503="","",$BF503+2*ROSide)</f>
        <v/>
      </c>
      <c r="BI503" s="51">
        <f>IF($BG503="","",$BG503+ROTop)</f>
        <v/>
      </c>
      <c r="BJ503" s="52">
        <f>IF(OR(N($BC503)=0,$BA503=""),"",$BA503/$BC503-ClearDeduct)</f>
        <v/>
      </c>
      <c r="BK503" s="49">
        <f>IF(OR(N($BC503)=0,$BE503=""),"",IF(OR($AC503="HGC",$AP503="HGC"),"CONT",IF($BE503&lt;=60,2,IF($BE503&lt;=90,3,IF($BE503&lt;=120,4,5)))))</f>
        <v/>
      </c>
      <c r="BL503" s="49">
        <f>IF(N($BC503)=0,"",IF(OR($AL503="",$AL503="FLUSH"),"FLUSH",IFERROR(LEFT($AL503,FIND("-",$AL503)-1),LEFT($AL503,2))))</f>
        <v/>
      </c>
      <c r="BM503" s="49">
        <f>IF($BL503="","",IFERROR(VALUE(MID($AL503,FIND("-",$AL503)+1,FIND(CHAR(34)&amp;"x",$AL503)-FIND("-",$AL503)-1)),0))</f>
        <v/>
      </c>
      <c r="BN503" s="49">
        <f>IF($BL503="","",IFERROR(VALUE(MID($AL503,FIND(CHAR(34)&amp;"x",$AL503)+2,FIND(CHAR(34),$AL503,FIND(CHAR(34)&amp;"x",$AL503)+2)-FIND(CHAR(34)&amp;"x",$AL503)-2)),0))</f>
        <v/>
      </c>
      <c r="BO503" s="53">
        <f>IF(OR($A503="",$H503="",$H503="NO LAB"),0,IFERROR(VALUE(LEFT($H503,FIND(" ",$H503)-1)),0))</f>
        <v/>
      </c>
      <c r="BP503" s="54">
        <f>IF(OR($A503="",$I503="",$I503="NON-RATED",N($J503)=0),"",IFERROR(VLOOKUP($I503&amp;"|"&amp;$J503,IBC,2,FALSE),"?"))</f>
        <v/>
      </c>
      <c r="BQ503" s="50">
        <f>IF(NOT(AND($A503&lt;&gt;"",$C503&lt;&gt;"DOOR ONLY")),"",TRIM(IFERROR(VLOOKUP($U503,CODES,2,FALSE),"")&amp;" "&amp;$AZ503&amp;" "&amp;IFERROR(VLOOKUP($Z503,CODES,2,FALSE),"")&amp;" "&amp;IFERROR(VLOOKUP($X503,CODES,2,FALSE),"")&amp;" "&amp;IFERROR(VLOOKUP($S503,CODES,2,FALSE),"")&amp;IF(N($P503)&gt;0," w/TRANSOM "&amp;$P503&amp;CHAR(34),"")&amp;IF(N($Q503)&gt;0," w/SIDELITE "&amp;$Q503&amp;CHAR(34)&amp;" "&amp;IF($R503="","R",$R503),"")&amp;IF($Y503="","  |  "," | "&amp;IFERROR(VLOOKUP($Y503,CODES,2,FALSE),"")&amp;" | ")&amp;IFERROR(VLOOKUP($AC503,CODES,2,FALSE),"")&amp;" "&amp;IFERROR(VLOOKUP($AD503,CODES,2,FALSE),"")&amp;IF(OR($AE503="",$AE503="-"),""," "&amp;$AE503)&amp;IF(OR($AF503="",$AF503="-"),""," "&amp;$AF503)&amp;IF($AB503="Y"," 4"&amp;CHAR(34)&amp;" HEAD","")&amp;" "&amp;IFERROR(VLOOKUP($H503,CODES,2,FALSE),"")))</f>
        <v/>
      </c>
      <c r="BR503" s="50">
        <f>IF(NOT(AND($A503&lt;&gt;"",N($BC503)&gt;0)),"",TRIM(IFERROR(VLOOKUP($AH503,CODES,2,FALSE),"")&amp;IF($AI503=""," "," "&amp;$AI503&amp;"GA ")&amp;$AZ503&amp;" "&amp;IF($AN503="",IFERROR(VLOOKUP($Z503,CODES,2,FALSE),""),IFERROR(VLOOKUP($AN503,CODES,2,FALSE),""))&amp;IF($BC503=2," PAIR","")&amp;" DOOR | "&amp;IF($AL503="","?",$AL503)&amp;" | "&amp;IF($AP503="",IFERROR(VLOOKUP($AC503,CODES,2,FALSE),""),IFERROR(VLOOKUP($AP503,CODES,2,FALSE),""))&amp;" "&amp;IFERROR(VLOOKUP($AQ503,CODES,2,FALSE),"")&amp;IF(OR($AR503="",$AR503="-"),""," SEAM "&amp;$AR503)&amp;IF($AS503="Y"," ASTRAGAL","")&amp;IF($AJ503=""," "," "&amp;$AJ503)&amp;IF($AK503=""," "," "&amp;$AK503)&amp;IF($AO503="",""," "&amp;$AO503)&amp;IF($AM503=""," "," SERIES "&amp;$AM503)&amp;" "&amp;IFERROR(VLOOKUP($H503,CODES,2,FALSE),"")))</f>
        <v/>
      </c>
      <c r="BS503" s="49">
        <f>IF(BV503="","",IF(COUNTIF($BV$6:BV503,BV503)=1,MAX($BS$5:BS502)+1,INDEX($BS$5:BS502,MATCH(BV503,$BV$5:BV502,0))))</f>
        <v/>
      </c>
      <c r="BT503" s="49">
        <f>IF(NOT(AND($A503&lt;&gt;"",$C503&lt;&gt;"DOOR ONLY")),"",MAX($BT$5:BT502)+1)</f>
        <v/>
      </c>
      <c r="BU503" s="49">
        <f>IF(NOT(AND($A503&lt;&gt;"",N($BC503)&gt;0)),"",MAX($BU$5:BU502)+1)</f>
        <v/>
      </c>
      <c r="BV503" s="49">
        <f>IF(OR($A503="",$BA503="",$BB503=""),"",$AZ503&amp;"|"&amp;$O503&amp;"|"&amp;$AL503&amp;"|"&amp;$S503&amp;"|"&amp;$P503&amp;"|"&amp;$Q503&amp;$R503&amp;"|"&amp;$C503&amp;"|"&amp;$AB503)</f>
        <v/>
      </c>
      <c r="BW503" s="49">
        <f>IF($A503="","",IF($B503="","qty, ","")&amp;IF($C503="","scope, ","")&amp;IF(OR($K503="",$M503=""),"size, ","")&amp;IF(AND($A503&lt;&gt;"",$C503&lt;&gt;"DOOR ONLY"),IF($U503="","jamb depth, ","")&amp;IF($X503="","construction, ","")&amp;IF($Y503="","anchor, ","")&amp;IF($S503="","frame type, ",""),"")&amp;IF(AND(N($BC503)&gt;0,$Z503=""),"hand, ","")&amp;IF(N($BC503)&gt;0,IF($AH503="","door material, ","")&amp;IF($AL503="","face type, ","")&amp;IF($AQ503="","lock prep, ","")&amp;IF(AND($AP503="",$AC503=""),"hinge prep, ",""),"")&amp;IF(AND($BO503&gt;0,$AH503="FRP"),"FRP cannot carry a label, ","")&amp;IF(AND($O503="Y",OR($Z503="L",$Z503="R",$Z503="LR",$Z503="RR")),"pair marked but hand is single, ","")&amp;IF(AND($O503&lt;&gt;"Y",OR($Z503="PR",AND(LEN($Z503)&gt;1,ISNUMBER(SEARCH("-",$Z503))))),"pair hand on a single door, ","")&amp;IF(AND(ISNUMBER($BP503),$BO503&lt;N($BP503)),"wall needs a "&amp;$BP503&amp;" min door, ","")&amp;IF(AND($BO503&gt;=180,AND(OR($BL503="FG",$BL503="HG",$BL503="FNV",$BL503="FV"),N($BM503)*N($BN503)&gt;100)),"180 min lite over 100 sq in, ","")&amp;IF(N($BD503)&gt;48,"leaf wider than 4'-0"&amp;CHAR(34)&amp;", ",""))</f>
        <v/>
      </c>
      <c r="BX503" s="49">
        <f>IF($A503="","",IF(AND($BO503&gt;0,AND($A503&lt;&gt;"",$C503&lt;&gt;"DOOR ONLY"),$X503="KD",$E503="EXTERIOR"),"KD label on an exterior opening, ","")&amp;IF(AND($E503="EXTERIOR",OR(AND(AND($A503&lt;&gt;"",$C503&lt;&gt;"DOOR ONLY"),$W503="CR"),AND(N($BC503)&gt;0,$AH503="CR"))),"exterior in CR steel (G9?), ","")&amp;IF(AND(ISNUMBER($BJ503),N($BJ503)&lt;32),"clear width ~"&amp;TEXT($BJ503,"0.0")&amp;CHAR(34)&amp;" under 32"&amp;CHAR(34)&amp;" (ADA), ","")&amp;IF(AND($BO503=90,AND(OR($BL503="FG",$BL503="HG",$BL503="FNV",$BL503="FV"),N($BM503)*N($BN503)&gt;100)),"90 min lite over 100 sq in (stair/exit), ","")&amp;IF(AND($BO503&gt;0,AND($A503&lt;&gt;"",$C503&lt;&gt;"DOOR ONLY"),OR($AF503="",$AF503="-")),"rated: closer reinf.?, ","")&amp;IF(OR($I503="CORRIDOR",$I503="SMOKE BARRIER"),"S label + smoke gasketing, ","")&amp;IF($BP503="?","wall type/hr not in IBC table, ","")&amp;IF(AND(N($BC503)&gt;0,$AU503=""),"no hardware set, ","")&amp;IF(AND($AU503&lt;&gt;"",ISNA(MATCH($AU503,HWSets,0))),"set "&amp;$AU503&amp;" not on Hardware sheet, ","")&amp;IF(N($BE503)&gt;96,"leaf over 8'-0"&amp;CHAR(34)&amp;" - check listing, ",""))</f>
        <v/>
      </c>
    </row>
    <row r="504" ht="15" customHeight="1">
      <c r="A504" s="44" t="n"/>
      <c r="B504" s="45" t="n"/>
      <c r="C504" s="45" t="n"/>
      <c r="D504" s="45" t="n"/>
      <c r="E504" s="45" t="n"/>
      <c r="F504" s="45" t="n"/>
      <c r="G504" s="45" t="n"/>
      <c r="H504" s="45" t="n"/>
      <c r="I504" s="45" t="n"/>
      <c r="J504" s="45" t="n"/>
      <c r="K504" s="45" t="n"/>
      <c r="L504" s="45" t="n"/>
      <c r="M504" s="45" t="n"/>
      <c r="N504" s="45" t="n"/>
      <c r="O504" s="45" t="n"/>
      <c r="P504" s="45" t="n"/>
      <c r="Q504" s="45" t="n"/>
      <c r="R504" s="45" t="n"/>
      <c r="S504" s="46" t="n"/>
      <c r="T504" s="46" t="n"/>
      <c r="U504" s="46" t="n"/>
      <c r="V504" s="46" t="n"/>
      <c r="W504" s="46" t="n"/>
      <c r="X504" s="46" t="n"/>
      <c r="Y504" s="46" t="n"/>
      <c r="Z504" s="46" t="n"/>
      <c r="AA504" s="46" t="n"/>
      <c r="AB504" s="46" t="n"/>
      <c r="AC504" s="46" t="n"/>
      <c r="AD504" s="46" t="n"/>
      <c r="AE504" s="46" t="n"/>
      <c r="AF504" s="46" t="n"/>
      <c r="AG504" s="46" t="n"/>
      <c r="AH504" s="47" t="n"/>
      <c r="AI504" s="47" t="n"/>
      <c r="AJ504" s="47" t="n"/>
      <c r="AK504" s="47" t="n"/>
      <c r="AL504" s="47" t="n"/>
      <c r="AM504" s="47" t="n"/>
      <c r="AN504" s="47" t="n"/>
      <c r="AO504" s="47" t="n"/>
      <c r="AP504" s="47" t="n"/>
      <c r="AQ504" s="47" t="n"/>
      <c r="AR504" s="47" t="n"/>
      <c r="AS504" s="47" t="n"/>
      <c r="AT504" s="47" t="n"/>
      <c r="AU504" s="48" t="n"/>
      <c r="AV504" s="48" t="n"/>
      <c r="AW504" s="49">
        <f>IF($A504="","",IF($BW504&lt;&gt;"","FIX",IF($BX504&lt;&gt;"","CHECK","OK")))</f>
        <v/>
      </c>
      <c r="AX504" s="50">
        <f>IF($A504="","",IF($BW504&lt;&gt;"","FIX: "&amp;LEFT($BW504,LEN($BW504)-2)&amp;IF($BX504&lt;&gt;"","  ·  ",""),"")&amp;IF($BX504&lt;&gt;"","CHECK: "&amp;LEFT($BX504,LEN($BX504)-2),""))</f>
        <v/>
      </c>
      <c r="AY504" s="49">
        <f>IF(OR($A504="",$K504=""),"",$K504&amp;"'-"&amp;N($L504)&amp;CHAR(34)&amp;" x "&amp;$M504&amp;"'-"&amp;N($N504)&amp;CHAR(34))</f>
        <v/>
      </c>
      <c r="AZ504" s="49">
        <f>IF(OR($A504="",$K504=""),"",$K504&amp;N($L504)&amp;$M504&amp;N($N504))</f>
        <v/>
      </c>
      <c r="BA504" s="49">
        <f>IF(OR($A504="",$K504=""),"",$K504*12+N($L504))</f>
        <v/>
      </c>
      <c r="BB504" s="49">
        <f>IF(OR($A504="",$M504=""),"",$M504*12+N($N504))</f>
        <v/>
      </c>
      <c r="BC504" s="49">
        <f>IF($A504="","",IF(OR($C504="FRAME ONLY",$S504="BL"),0,IF($O504="Y",2,1)))</f>
        <v/>
      </c>
      <c r="BD504" s="51">
        <f>IF(OR(N($BC504)=0,$BA504=""),"",($BA504-2*EdgeClr-IF($BC504=2,MeetClr,0))/$BC504)</f>
        <v/>
      </c>
      <c r="BE504" s="51">
        <f>IF(OR(N($BC504)=0,$BB504=""),"",$BB504-HeadClr-Undercut)</f>
        <v/>
      </c>
      <c r="BF504" s="51">
        <f>IF($BA504="","",$BA504+2*FaceW+IF(N($Q504)&gt;0,($Q504+FaceW)*IF($R504="LR",2,1),0))</f>
        <v/>
      </c>
      <c r="BG504" s="51">
        <f>IF($BB504="","",$BB504+IF($AB504="Y",4,FaceW)+IF(N($P504)&gt;0,$P504+FaceW,0)+IF(OR($S504="4F",$S504="BL"),FaceW,0))</f>
        <v/>
      </c>
      <c r="BH504" s="51">
        <f>IF($BF504="","",$BF504+2*ROSide)</f>
        <v/>
      </c>
      <c r="BI504" s="51">
        <f>IF($BG504="","",$BG504+ROTop)</f>
        <v/>
      </c>
      <c r="BJ504" s="52">
        <f>IF(OR(N($BC504)=0,$BA504=""),"",$BA504/$BC504-ClearDeduct)</f>
        <v/>
      </c>
      <c r="BK504" s="49">
        <f>IF(OR(N($BC504)=0,$BE504=""),"",IF(OR($AC504="HGC",$AP504="HGC"),"CONT",IF($BE504&lt;=60,2,IF($BE504&lt;=90,3,IF($BE504&lt;=120,4,5)))))</f>
        <v/>
      </c>
      <c r="BL504" s="49">
        <f>IF(N($BC504)=0,"",IF(OR($AL504="",$AL504="FLUSH"),"FLUSH",IFERROR(LEFT($AL504,FIND("-",$AL504)-1),LEFT($AL504,2))))</f>
        <v/>
      </c>
      <c r="BM504" s="49">
        <f>IF($BL504="","",IFERROR(VALUE(MID($AL504,FIND("-",$AL504)+1,FIND(CHAR(34)&amp;"x",$AL504)-FIND("-",$AL504)-1)),0))</f>
        <v/>
      </c>
      <c r="BN504" s="49">
        <f>IF($BL504="","",IFERROR(VALUE(MID($AL504,FIND(CHAR(34)&amp;"x",$AL504)+2,FIND(CHAR(34),$AL504,FIND(CHAR(34)&amp;"x",$AL504)+2)-FIND(CHAR(34)&amp;"x",$AL504)-2)),0))</f>
        <v/>
      </c>
      <c r="BO504" s="53">
        <f>IF(OR($A504="",$H504="",$H504="NO LAB"),0,IFERROR(VALUE(LEFT($H504,FIND(" ",$H504)-1)),0))</f>
        <v/>
      </c>
      <c r="BP504" s="54">
        <f>IF(OR($A504="",$I504="",$I504="NON-RATED",N($J504)=0),"",IFERROR(VLOOKUP($I504&amp;"|"&amp;$J504,IBC,2,FALSE),"?"))</f>
        <v/>
      </c>
      <c r="BQ504" s="50">
        <f>IF(NOT(AND($A504&lt;&gt;"",$C504&lt;&gt;"DOOR ONLY")),"",TRIM(IFERROR(VLOOKUP($U504,CODES,2,FALSE),"")&amp;" "&amp;$AZ504&amp;" "&amp;IFERROR(VLOOKUP($Z504,CODES,2,FALSE),"")&amp;" "&amp;IFERROR(VLOOKUP($X504,CODES,2,FALSE),"")&amp;" "&amp;IFERROR(VLOOKUP($S504,CODES,2,FALSE),"")&amp;IF(N($P504)&gt;0," w/TRANSOM "&amp;$P504&amp;CHAR(34),"")&amp;IF(N($Q504)&gt;0," w/SIDELITE "&amp;$Q504&amp;CHAR(34)&amp;" "&amp;IF($R504="","R",$R504),"")&amp;IF($Y504="","  |  "," | "&amp;IFERROR(VLOOKUP($Y504,CODES,2,FALSE),"")&amp;" | ")&amp;IFERROR(VLOOKUP($AC504,CODES,2,FALSE),"")&amp;" "&amp;IFERROR(VLOOKUP($AD504,CODES,2,FALSE),"")&amp;IF(OR($AE504="",$AE504="-"),""," "&amp;$AE504)&amp;IF(OR($AF504="",$AF504="-"),""," "&amp;$AF504)&amp;IF($AB504="Y"," 4"&amp;CHAR(34)&amp;" HEAD","")&amp;" "&amp;IFERROR(VLOOKUP($H504,CODES,2,FALSE),"")))</f>
        <v/>
      </c>
      <c r="BR504" s="50">
        <f>IF(NOT(AND($A504&lt;&gt;"",N($BC504)&gt;0)),"",TRIM(IFERROR(VLOOKUP($AH504,CODES,2,FALSE),"")&amp;IF($AI504=""," "," "&amp;$AI504&amp;"GA ")&amp;$AZ504&amp;" "&amp;IF($AN504="",IFERROR(VLOOKUP($Z504,CODES,2,FALSE),""),IFERROR(VLOOKUP($AN504,CODES,2,FALSE),""))&amp;IF($BC504=2," PAIR","")&amp;" DOOR | "&amp;IF($AL504="","?",$AL504)&amp;" | "&amp;IF($AP504="",IFERROR(VLOOKUP($AC504,CODES,2,FALSE),""),IFERROR(VLOOKUP($AP504,CODES,2,FALSE),""))&amp;" "&amp;IFERROR(VLOOKUP($AQ504,CODES,2,FALSE),"")&amp;IF(OR($AR504="",$AR504="-"),""," SEAM "&amp;$AR504)&amp;IF($AS504="Y"," ASTRAGAL","")&amp;IF($AJ504=""," "," "&amp;$AJ504)&amp;IF($AK504=""," "," "&amp;$AK504)&amp;IF($AO504="",""," "&amp;$AO504)&amp;IF($AM504=""," "," SERIES "&amp;$AM504)&amp;" "&amp;IFERROR(VLOOKUP($H504,CODES,2,FALSE),"")))</f>
        <v/>
      </c>
      <c r="BS504" s="49">
        <f>IF(BV504="","",IF(COUNTIF($BV$6:BV504,BV504)=1,MAX($BS$5:BS503)+1,INDEX($BS$5:BS503,MATCH(BV504,$BV$5:BV503,0))))</f>
        <v/>
      </c>
      <c r="BT504" s="49">
        <f>IF(NOT(AND($A504&lt;&gt;"",$C504&lt;&gt;"DOOR ONLY")),"",MAX($BT$5:BT503)+1)</f>
        <v/>
      </c>
      <c r="BU504" s="49">
        <f>IF(NOT(AND($A504&lt;&gt;"",N($BC504)&gt;0)),"",MAX($BU$5:BU503)+1)</f>
        <v/>
      </c>
      <c r="BV504" s="49">
        <f>IF(OR($A504="",$BA504="",$BB504=""),"",$AZ504&amp;"|"&amp;$O504&amp;"|"&amp;$AL504&amp;"|"&amp;$S504&amp;"|"&amp;$P504&amp;"|"&amp;$Q504&amp;$R504&amp;"|"&amp;$C504&amp;"|"&amp;$AB504)</f>
        <v/>
      </c>
      <c r="BW504" s="49">
        <f>IF($A504="","",IF($B504="","qty, ","")&amp;IF($C504="","scope, ","")&amp;IF(OR($K504="",$M504=""),"size, ","")&amp;IF(AND($A504&lt;&gt;"",$C504&lt;&gt;"DOOR ONLY"),IF($U504="","jamb depth, ","")&amp;IF($X504="","construction, ","")&amp;IF($Y504="","anchor, ","")&amp;IF($S504="","frame type, ",""),"")&amp;IF(AND(N($BC504)&gt;0,$Z504=""),"hand, ","")&amp;IF(N($BC504)&gt;0,IF($AH504="","door material, ","")&amp;IF($AL504="","face type, ","")&amp;IF($AQ504="","lock prep, ","")&amp;IF(AND($AP504="",$AC504=""),"hinge prep, ",""),"")&amp;IF(AND($BO504&gt;0,$AH504="FRP"),"FRP cannot carry a label, ","")&amp;IF(AND($O504="Y",OR($Z504="L",$Z504="R",$Z504="LR",$Z504="RR")),"pair marked but hand is single, ","")&amp;IF(AND($O504&lt;&gt;"Y",OR($Z504="PR",AND(LEN($Z504)&gt;1,ISNUMBER(SEARCH("-",$Z504))))),"pair hand on a single door, ","")&amp;IF(AND(ISNUMBER($BP504),$BO504&lt;N($BP504)),"wall needs a "&amp;$BP504&amp;" min door, ","")&amp;IF(AND($BO504&gt;=180,AND(OR($BL504="FG",$BL504="HG",$BL504="FNV",$BL504="FV"),N($BM504)*N($BN504)&gt;100)),"180 min lite over 100 sq in, ","")&amp;IF(N($BD504)&gt;48,"leaf wider than 4'-0"&amp;CHAR(34)&amp;", ",""))</f>
        <v/>
      </c>
      <c r="BX504" s="49">
        <f>IF($A504="","",IF(AND($BO504&gt;0,AND($A504&lt;&gt;"",$C504&lt;&gt;"DOOR ONLY"),$X504="KD",$E504="EXTERIOR"),"KD label on an exterior opening, ","")&amp;IF(AND($E504="EXTERIOR",OR(AND(AND($A504&lt;&gt;"",$C504&lt;&gt;"DOOR ONLY"),$W504="CR"),AND(N($BC504)&gt;0,$AH504="CR"))),"exterior in CR steel (G9?), ","")&amp;IF(AND(ISNUMBER($BJ504),N($BJ504)&lt;32),"clear width ~"&amp;TEXT($BJ504,"0.0")&amp;CHAR(34)&amp;" under 32"&amp;CHAR(34)&amp;" (ADA), ","")&amp;IF(AND($BO504=90,AND(OR($BL504="FG",$BL504="HG",$BL504="FNV",$BL504="FV"),N($BM504)*N($BN504)&gt;100)),"90 min lite over 100 sq in (stair/exit), ","")&amp;IF(AND($BO504&gt;0,AND($A504&lt;&gt;"",$C504&lt;&gt;"DOOR ONLY"),OR($AF504="",$AF504="-")),"rated: closer reinf.?, ","")&amp;IF(OR($I504="CORRIDOR",$I504="SMOKE BARRIER"),"S label + smoke gasketing, ","")&amp;IF($BP504="?","wall type/hr not in IBC table, ","")&amp;IF(AND(N($BC504)&gt;0,$AU504=""),"no hardware set, ","")&amp;IF(AND($AU504&lt;&gt;"",ISNA(MATCH($AU504,HWSets,0))),"set "&amp;$AU504&amp;" not on Hardware sheet, ","")&amp;IF(N($BE504)&gt;96,"leaf over 8'-0"&amp;CHAR(34)&amp;" - check listing, ",""))</f>
        <v/>
      </c>
    </row>
    <row r="505" ht="15" customHeight="1">
      <c r="A505" s="44" t="n"/>
      <c r="B505" s="45" t="n"/>
      <c r="C505" s="45" t="n"/>
      <c r="D505" s="45" t="n"/>
      <c r="E505" s="45" t="n"/>
      <c r="F505" s="45" t="n"/>
      <c r="G505" s="45" t="n"/>
      <c r="H505" s="45" t="n"/>
      <c r="I505" s="45" t="n"/>
      <c r="J505" s="45" t="n"/>
      <c r="K505" s="45" t="n"/>
      <c r="L505" s="45" t="n"/>
      <c r="M505" s="45" t="n"/>
      <c r="N505" s="45" t="n"/>
      <c r="O505" s="45" t="n"/>
      <c r="P505" s="45" t="n"/>
      <c r="Q505" s="45" t="n"/>
      <c r="R505" s="45" t="n"/>
      <c r="S505" s="46" t="n"/>
      <c r="T505" s="46" t="n"/>
      <c r="U505" s="46" t="n"/>
      <c r="V505" s="46" t="n"/>
      <c r="W505" s="46" t="n"/>
      <c r="X505" s="46" t="n"/>
      <c r="Y505" s="46" t="n"/>
      <c r="Z505" s="46" t="n"/>
      <c r="AA505" s="46" t="n"/>
      <c r="AB505" s="46" t="n"/>
      <c r="AC505" s="46" t="n"/>
      <c r="AD505" s="46" t="n"/>
      <c r="AE505" s="46" t="n"/>
      <c r="AF505" s="46" t="n"/>
      <c r="AG505" s="46" t="n"/>
      <c r="AH505" s="47" t="n"/>
      <c r="AI505" s="47" t="n"/>
      <c r="AJ505" s="47" t="n"/>
      <c r="AK505" s="47" t="n"/>
      <c r="AL505" s="47" t="n"/>
      <c r="AM505" s="47" t="n"/>
      <c r="AN505" s="47" t="n"/>
      <c r="AO505" s="47" t="n"/>
      <c r="AP505" s="47" t="n"/>
      <c r="AQ505" s="47" t="n"/>
      <c r="AR505" s="47" t="n"/>
      <c r="AS505" s="47" t="n"/>
      <c r="AT505" s="47" t="n"/>
      <c r="AU505" s="48" t="n"/>
      <c r="AV505" s="48" t="n"/>
      <c r="AW505" s="49">
        <f>IF($A505="","",IF($BW505&lt;&gt;"","FIX",IF($BX505&lt;&gt;"","CHECK","OK")))</f>
        <v/>
      </c>
      <c r="AX505" s="50">
        <f>IF($A505="","",IF($BW505&lt;&gt;"","FIX: "&amp;LEFT($BW505,LEN($BW505)-2)&amp;IF($BX505&lt;&gt;"","  ·  ",""),"")&amp;IF($BX505&lt;&gt;"","CHECK: "&amp;LEFT($BX505,LEN($BX505)-2),""))</f>
        <v/>
      </c>
      <c r="AY505" s="49">
        <f>IF(OR($A505="",$K505=""),"",$K505&amp;"'-"&amp;N($L505)&amp;CHAR(34)&amp;" x "&amp;$M505&amp;"'-"&amp;N($N505)&amp;CHAR(34))</f>
        <v/>
      </c>
      <c r="AZ505" s="49">
        <f>IF(OR($A505="",$K505=""),"",$K505&amp;N($L505)&amp;$M505&amp;N($N505))</f>
        <v/>
      </c>
      <c r="BA505" s="49">
        <f>IF(OR($A505="",$K505=""),"",$K505*12+N($L505))</f>
        <v/>
      </c>
      <c r="BB505" s="49">
        <f>IF(OR($A505="",$M505=""),"",$M505*12+N($N505))</f>
        <v/>
      </c>
      <c r="BC505" s="49">
        <f>IF($A505="","",IF(OR($C505="FRAME ONLY",$S505="BL"),0,IF($O505="Y",2,1)))</f>
        <v/>
      </c>
      <c r="BD505" s="51">
        <f>IF(OR(N($BC505)=0,$BA505=""),"",($BA505-2*EdgeClr-IF($BC505=2,MeetClr,0))/$BC505)</f>
        <v/>
      </c>
      <c r="BE505" s="51">
        <f>IF(OR(N($BC505)=0,$BB505=""),"",$BB505-HeadClr-Undercut)</f>
        <v/>
      </c>
      <c r="BF505" s="51">
        <f>IF($BA505="","",$BA505+2*FaceW+IF(N($Q505)&gt;0,($Q505+FaceW)*IF($R505="LR",2,1),0))</f>
        <v/>
      </c>
      <c r="BG505" s="51">
        <f>IF($BB505="","",$BB505+IF($AB505="Y",4,FaceW)+IF(N($P505)&gt;0,$P505+FaceW,0)+IF(OR($S505="4F",$S505="BL"),FaceW,0))</f>
        <v/>
      </c>
      <c r="BH505" s="51">
        <f>IF($BF505="","",$BF505+2*ROSide)</f>
        <v/>
      </c>
      <c r="BI505" s="51">
        <f>IF($BG505="","",$BG505+ROTop)</f>
        <v/>
      </c>
      <c r="BJ505" s="52">
        <f>IF(OR(N($BC505)=0,$BA505=""),"",$BA505/$BC505-ClearDeduct)</f>
        <v/>
      </c>
      <c r="BK505" s="49">
        <f>IF(OR(N($BC505)=0,$BE505=""),"",IF(OR($AC505="HGC",$AP505="HGC"),"CONT",IF($BE505&lt;=60,2,IF($BE505&lt;=90,3,IF($BE505&lt;=120,4,5)))))</f>
        <v/>
      </c>
      <c r="BL505" s="49">
        <f>IF(N($BC505)=0,"",IF(OR($AL505="",$AL505="FLUSH"),"FLUSH",IFERROR(LEFT($AL505,FIND("-",$AL505)-1),LEFT($AL505,2))))</f>
        <v/>
      </c>
      <c r="BM505" s="49">
        <f>IF($BL505="","",IFERROR(VALUE(MID($AL505,FIND("-",$AL505)+1,FIND(CHAR(34)&amp;"x",$AL505)-FIND("-",$AL505)-1)),0))</f>
        <v/>
      </c>
      <c r="BN505" s="49">
        <f>IF($BL505="","",IFERROR(VALUE(MID($AL505,FIND(CHAR(34)&amp;"x",$AL505)+2,FIND(CHAR(34),$AL505,FIND(CHAR(34)&amp;"x",$AL505)+2)-FIND(CHAR(34)&amp;"x",$AL505)-2)),0))</f>
        <v/>
      </c>
      <c r="BO505" s="53">
        <f>IF(OR($A505="",$H505="",$H505="NO LAB"),0,IFERROR(VALUE(LEFT($H505,FIND(" ",$H505)-1)),0))</f>
        <v/>
      </c>
      <c r="BP505" s="54">
        <f>IF(OR($A505="",$I505="",$I505="NON-RATED",N($J505)=0),"",IFERROR(VLOOKUP($I505&amp;"|"&amp;$J505,IBC,2,FALSE),"?"))</f>
        <v/>
      </c>
      <c r="BQ505" s="50">
        <f>IF(NOT(AND($A505&lt;&gt;"",$C505&lt;&gt;"DOOR ONLY")),"",TRIM(IFERROR(VLOOKUP($U505,CODES,2,FALSE),"")&amp;" "&amp;$AZ505&amp;" "&amp;IFERROR(VLOOKUP($Z505,CODES,2,FALSE),"")&amp;" "&amp;IFERROR(VLOOKUP($X505,CODES,2,FALSE),"")&amp;" "&amp;IFERROR(VLOOKUP($S505,CODES,2,FALSE),"")&amp;IF(N($P505)&gt;0," w/TRANSOM "&amp;$P505&amp;CHAR(34),"")&amp;IF(N($Q505)&gt;0," w/SIDELITE "&amp;$Q505&amp;CHAR(34)&amp;" "&amp;IF($R505="","R",$R505),"")&amp;IF($Y505="","  |  "," | "&amp;IFERROR(VLOOKUP($Y505,CODES,2,FALSE),"")&amp;" | ")&amp;IFERROR(VLOOKUP($AC505,CODES,2,FALSE),"")&amp;" "&amp;IFERROR(VLOOKUP($AD505,CODES,2,FALSE),"")&amp;IF(OR($AE505="",$AE505="-"),""," "&amp;$AE505)&amp;IF(OR($AF505="",$AF505="-"),""," "&amp;$AF505)&amp;IF($AB505="Y"," 4"&amp;CHAR(34)&amp;" HEAD","")&amp;" "&amp;IFERROR(VLOOKUP($H505,CODES,2,FALSE),"")))</f>
        <v/>
      </c>
      <c r="BR505" s="50">
        <f>IF(NOT(AND($A505&lt;&gt;"",N($BC505)&gt;0)),"",TRIM(IFERROR(VLOOKUP($AH505,CODES,2,FALSE),"")&amp;IF($AI505=""," "," "&amp;$AI505&amp;"GA ")&amp;$AZ505&amp;" "&amp;IF($AN505="",IFERROR(VLOOKUP($Z505,CODES,2,FALSE),""),IFERROR(VLOOKUP($AN505,CODES,2,FALSE),""))&amp;IF($BC505=2," PAIR","")&amp;" DOOR | "&amp;IF($AL505="","?",$AL505)&amp;" | "&amp;IF($AP505="",IFERROR(VLOOKUP($AC505,CODES,2,FALSE),""),IFERROR(VLOOKUP($AP505,CODES,2,FALSE),""))&amp;" "&amp;IFERROR(VLOOKUP($AQ505,CODES,2,FALSE),"")&amp;IF(OR($AR505="",$AR505="-"),""," SEAM "&amp;$AR505)&amp;IF($AS505="Y"," ASTRAGAL","")&amp;IF($AJ505=""," "," "&amp;$AJ505)&amp;IF($AK505=""," "," "&amp;$AK505)&amp;IF($AO505="",""," "&amp;$AO505)&amp;IF($AM505=""," "," SERIES "&amp;$AM505)&amp;" "&amp;IFERROR(VLOOKUP($H505,CODES,2,FALSE),"")))</f>
        <v/>
      </c>
      <c r="BS505" s="49">
        <f>IF(BV505="","",IF(COUNTIF($BV$6:BV505,BV505)=1,MAX($BS$5:BS504)+1,INDEX($BS$5:BS504,MATCH(BV505,$BV$5:BV504,0))))</f>
        <v/>
      </c>
      <c r="BT505" s="49">
        <f>IF(NOT(AND($A505&lt;&gt;"",$C505&lt;&gt;"DOOR ONLY")),"",MAX($BT$5:BT504)+1)</f>
        <v/>
      </c>
      <c r="BU505" s="49">
        <f>IF(NOT(AND($A505&lt;&gt;"",N($BC505)&gt;0)),"",MAX($BU$5:BU504)+1)</f>
        <v/>
      </c>
      <c r="BV505" s="49">
        <f>IF(OR($A505="",$BA505="",$BB505=""),"",$AZ505&amp;"|"&amp;$O505&amp;"|"&amp;$AL505&amp;"|"&amp;$S505&amp;"|"&amp;$P505&amp;"|"&amp;$Q505&amp;$R505&amp;"|"&amp;$C505&amp;"|"&amp;$AB505)</f>
        <v/>
      </c>
      <c r="BW505" s="49">
        <f>IF($A505="","",IF($B505="","qty, ","")&amp;IF($C505="","scope, ","")&amp;IF(OR($K505="",$M505=""),"size, ","")&amp;IF(AND($A505&lt;&gt;"",$C505&lt;&gt;"DOOR ONLY"),IF($U505="","jamb depth, ","")&amp;IF($X505="","construction, ","")&amp;IF($Y505="","anchor, ","")&amp;IF($S505="","frame type, ",""),"")&amp;IF(AND(N($BC505)&gt;0,$Z505=""),"hand, ","")&amp;IF(N($BC505)&gt;0,IF($AH505="","door material, ","")&amp;IF($AL505="","face type, ","")&amp;IF($AQ505="","lock prep, ","")&amp;IF(AND($AP505="",$AC505=""),"hinge prep, ",""),"")&amp;IF(AND($BO505&gt;0,$AH505="FRP"),"FRP cannot carry a label, ","")&amp;IF(AND($O505="Y",OR($Z505="L",$Z505="R",$Z505="LR",$Z505="RR")),"pair marked but hand is single, ","")&amp;IF(AND($O505&lt;&gt;"Y",OR($Z505="PR",AND(LEN($Z505)&gt;1,ISNUMBER(SEARCH("-",$Z505))))),"pair hand on a single door, ","")&amp;IF(AND(ISNUMBER($BP505),$BO505&lt;N($BP505)),"wall needs a "&amp;$BP505&amp;" min door, ","")&amp;IF(AND($BO505&gt;=180,AND(OR($BL505="FG",$BL505="HG",$BL505="FNV",$BL505="FV"),N($BM505)*N($BN505)&gt;100)),"180 min lite over 100 sq in, ","")&amp;IF(N($BD505)&gt;48,"leaf wider than 4'-0"&amp;CHAR(34)&amp;", ",""))</f>
        <v/>
      </c>
      <c r="BX505" s="49">
        <f>IF($A505="","",IF(AND($BO505&gt;0,AND($A505&lt;&gt;"",$C505&lt;&gt;"DOOR ONLY"),$X505="KD",$E505="EXTERIOR"),"KD label on an exterior opening, ","")&amp;IF(AND($E505="EXTERIOR",OR(AND(AND($A505&lt;&gt;"",$C505&lt;&gt;"DOOR ONLY"),$W505="CR"),AND(N($BC505)&gt;0,$AH505="CR"))),"exterior in CR steel (G9?), ","")&amp;IF(AND(ISNUMBER($BJ505),N($BJ505)&lt;32),"clear width ~"&amp;TEXT($BJ505,"0.0")&amp;CHAR(34)&amp;" under 32"&amp;CHAR(34)&amp;" (ADA), ","")&amp;IF(AND($BO505=90,AND(OR($BL505="FG",$BL505="HG",$BL505="FNV",$BL505="FV"),N($BM505)*N($BN505)&gt;100)),"90 min lite over 100 sq in (stair/exit), ","")&amp;IF(AND($BO505&gt;0,AND($A505&lt;&gt;"",$C505&lt;&gt;"DOOR ONLY"),OR($AF505="",$AF505="-")),"rated: closer reinf.?, ","")&amp;IF(OR($I505="CORRIDOR",$I505="SMOKE BARRIER"),"S label + smoke gasketing, ","")&amp;IF($BP505="?","wall type/hr not in IBC table, ","")&amp;IF(AND(N($BC505)&gt;0,$AU505=""),"no hardware set, ","")&amp;IF(AND($AU505&lt;&gt;"",ISNA(MATCH($AU505,HWSets,0))),"set "&amp;$AU505&amp;" not on Hardware sheet, ","")&amp;IF(N($BE505)&gt;96,"leaf over 8'-0"&amp;CHAR(34)&amp;" - check listing, ",""))</f>
        <v/>
      </c>
    </row>
  </sheetData>
  <autoFilter ref="A5:BR505"/>
  <conditionalFormatting sqref="AW6:AW505">
    <cfRule type="cellIs" priority="1" operator="equal" dxfId="0">
      <formula>"OK"</formula>
    </cfRule>
    <cfRule type="cellIs" priority="2" operator="equal" dxfId="1">
      <formula>"FIX"</formula>
    </cfRule>
    <cfRule type="cellIs" priority="3" operator="equal" dxfId="2">
      <formula>"CHECK"</formula>
    </cfRule>
  </conditionalFormatting>
  <conditionalFormatting sqref="AX6:AX505">
    <cfRule type="expression" priority="4" dxfId="3">
      <formula>$AW6="FIX"</formula>
    </cfRule>
  </conditionalFormatting>
  <conditionalFormatting sqref="H6:H505">
    <cfRule type="expression" priority="5" dxfId="4">
      <formula>AND(ISNUMBER($BP6),$BO6&lt;$BP6)</formula>
    </cfRule>
    <cfRule type="expression" priority="6" dxfId="5">
      <formula>$BO6&gt;0</formula>
    </cfRule>
  </conditionalFormatting>
  <conditionalFormatting sqref="B6:B505">
    <cfRule type="expression" priority="7" dxfId="6">
      <formula>AND($A6&lt;&gt;"",$B6="")</formula>
    </cfRule>
  </conditionalFormatting>
  <conditionalFormatting sqref="C6:C505">
    <cfRule type="expression" priority="8" dxfId="6">
      <formula>AND($A6&lt;&gt;"",$C6="")</formula>
    </cfRule>
  </conditionalFormatting>
  <conditionalFormatting sqref="K6:K505">
    <cfRule type="expression" priority="9" dxfId="6">
      <formula>AND($A6&lt;&gt;"",$K6="")</formula>
    </cfRule>
  </conditionalFormatting>
  <conditionalFormatting sqref="M6:M505">
    <cfRule type="expression" priority="10" dxfId="6">
      <formula>AND($A6&lt;&gt;"",$M6="")</formula>
    </cfRule>
  </conditionalFormatting>
  <conditionalFormatting sqref="S6:S505">
    <cfRule type="expression" priority="11" dxfId="6">
      <formula>AND($A6&lt;&gt;"",$S6="",$C6&lt;&gt;"DOOR ONLY")</formula>
    </cfRule>
  </conditionalFormatting>
  <conditionalFormatting sqref="U6:U505">
    <cfRule type="expression" priority="12" dxfId="6">
      <formula>AND($A6&lt;&gt;"",$U6="",$C6&lt;&gt;"DOOR ONLY")</formula>
    </cfRule>
  </conditionalFormatting>
  <conditionalFormatting sqref="X6:X505">
    <cfRule type="expression" priority="13" dxfId="6">
      <formula>AND($A6&lt;&gt;"",$X6="",$C6&lt;&gt;"DOOR ONLY")</formula>
    </cfRule>
  </conditionalFormatting>
  <conditionalFormatting sqref="Y6:Y505">
    <cfRule type="expression" priority="14" dxfId="6">
      <formula>AND($A6&lt;&gt;"",$Y6="",$C6&lt;&gt;"DOOR ONLY")</formula>
    </cfRule>
  </conditionalFormatting>
  <conditionalFormatting sqref="Z6:Z505">
    <cfRule type="expression" priority="15" dxfId="6">
      <formula>AND($A6&lt;&gt;"",$Z6="",N($BC6)&gt;0)</formula>
    </cfRule>
  </conditionalFormatting>
  <conditionalFormatting sqref="AH6:AH505">
    <cfRule type="expression" priority="16" dxfId="6">
      <formula>AND($A6&lt;&gt;"",$AH6="",N($BC6)&gt;0)</formula>
    </cfRule>
  </conditionalFormatting>
  <conditionalFormatting sqref="AL6:AL505">
    <cfRule type="expression" priority="17" dxfId="6">
      <formula>AND($A6&lt;&gt;"",$AL6="",N($BC6)&gt;0)</formula>
    </cfRule>
  </conditionalFormatting>
  <conditionalFormatting sqref="AQ6:AQ505">
    <cfRule type="expression" priority="18" dxfId="6">
      <formula>AND($A6&lt;&gt;"",$AQ6="",N($BC6)&gt;0)</formula>
    </cfRule>
  </conditionalFormatting>
  <dataValidations count="42">
    <dataValidation sqref="C6:C505" showDropDown="0" showInputMessage="0" showErrorMessage="0" allowBlank="1" errorTitle="Not on the list" error="Pick from the list (edit the list on the Lists sheet)." type="list" errorStyle="warning">
      <formula1>=Scope</formula1>
    </dataValidation>
    <dataValidation sqref="D6:D505" showDropDown="0" showInputMessage="0" showErrorMessage="0" allowBlank="1" errorTitle="Not on the list" error="Pick from the list (edit the list on the Lists sheet)." type="list" errorStyle="warning">
      <formula1>=Floor</formula1>
    </dataValidation>
    <dataValidation sqref="E6:E505" showDropDown="0" showInputMessage="0" showErrorMessage="0" allowBlank="1" errorTitle="Not on the list" error="Pick from the list (edit the list on the Lists sheet)." type="list" errorStyle="warning">
      <formula1>=Category</formula1>
    </dataValidation>
    <dataValidation sqref="H6:H505" showDropDown="0" showInputMessage="0" showErrorMessage="0" allowBlank="1" errorTitle="Not on the list" error="Pick from the list (edit the list on the Lists sheet)." type="list" errorStyle="warning">
      <formula1>=FireRating</formula1>
    </dataValidation>
    <dataValidation sqref="I6:I505" showDropDown="0" showInputMessage="0" showErrorMessage="0" allowBlank="1" errorTitle="Not on the list" error="Pick from the list (edit the list on the Lists sheet)." type="list" errorStyle="warning">
      <formula1>=WallType</formula1>
    </dataValidation>
    <dataValidation sqref="J6:J505" showDropDown="0" showInputMessage="0" showErrorMessage="0" allowBlank="1" errorTitle="Not on the list" error="Pick from the list (edit the list on the Lists sheet)." type="list" errorStyle="warning">
      <formula1>=WallHR</formula1>
    </dataValidation>
    <dataValidation sqref="O6:O505" showDropDown="0" showInputMessage="0" showErrorMessage="0" allowBlank="1" errorTitle="Not on the list" error="Pick from the list (edit the list on the Lists sheet)." type="list" errorStyle="warning">
      <formula1>=YesNo</formula1>
    </dataValidation>
    <dataValidation sqref="R6:R505" showDropDown="0" showInputMessage="0" showErrorMessage="0" allowBlank="1" errorTitle="Not on the list" error="Pick from the list (edit the list on the Lists sheet)." type="list" errorStyle="warning">
      <formula1>=SLSide</formula1>
    </dataValidation>
    <dataValidation sqref="S6:S505" showDropDown="0" showInputMessage="0" showErrorMessage="0" allowBlank="1" errorTitle="Not on the list" error="Pick from the list (edit the list on the Lists sheet)." type="list" errorStyle="warning">
      <formula1>=FrameType</formula1>
    </dataValidation>
    <dataValidation sqref="T6:T505" showDropDown="0" showInputMessage="0" showErrorMessage="0" allowBlank="1" errorTitle="Not on the list" error="Pick from the list (edit the list on the Lists sheet)." type="list" errorStyle="warning">
      <formula1>=Profile</formula1>
    </dataValidation>
    <dataValidation sqref="U6:U505" showDropDown="0" showInputMessage="0" showErrorMessage="0" allowBlank="1" errorTitle="Not on the list" error="Pick from the list (edit the list on the Lists sheet)." type="list" errorStyle="warning">
      <formula1>=JambDepth</formula1>
    </dataValidation>
    <dataValidation sqref="V6:V505" showDropDown="0" showInputMessage="0" showErrorMessage="0" allowBlank="1" errorTitle="Not on the list" error="Pick from the list (edit the list on the Lists sheet)." type="list" errorStyle="warning">
      <formula1>=GaugeFrame</formula1>
    </dataValidation>
    <dataValidation sqref="W6:W505" showDropDown="0" showInputMessage="0" showErrorMessage="0" allowBlank="1" errorTitle="Not on the list" error="Pick from the list (edit the list on the Lists sheet)." type="list" errorStyle="warning">
      <formula1>=SteelType</formula1>
    </dataValidation>
    <dataValidation sqref="X6:X505" showDropDown="0" showInputMessage="0" showErrorMessage="0" allowBlank="1" errorTitle="Not on the list" error="Pick from the list (edit the list on the Lists sheet)." type="list" errorStyle="warning">
      <formula1>=Construction</formula1>
    </dataValidation>
    <dataValidation sqref="Y6:Y505" showDropDown="0" showInputMessage="0" showErrorMessage="0" allowBlank="1" errorTitle="Not on the list" error="Pick from the list (edit the list on the Lists sheet)." type="list" errorStyle="warning">
      <formula1>=AnchorType</formula1>
    </dataValidation>
    <dataValidation sqref="Z6:Z505" showDropDown="0" showInputMessage="0" showErrorMessage="0" allowBlank="1" errorTitle="Not on the list" error="Pick from the list (edit the list on the Lists sheet)." type="list" errorStyle="warning">
      <formula1>=Handing</formula1>
    </dataValidation>
    <dataValidation sqref="AA6:AA505" showDropDown="0" showInputMessage="0" showErrorMessage="0" allowBlank="1" errorTitle="Not on the list" error="Pick from the list (edit the list on the Lists sheet)." type="list" errorStyle="warning">
      <formula1>=Manufacturer</formula1>
    </dataValidation>
    <dataValidation sqref="AB6:AB505" showDropDown="0" showInputMessage="0" showErrorMessage="0" allowBlank="1" errorTitle="Not on the list" error="Pick from the list (edit the list on the Lists sheet)." type="list" errorStyle="warning">
      <formula1>=YesNo</formula1>
    </dataValidation>
    <dataValidation sqref="AC6:AC505" showDropDown="0" showInputMessage="0" showErrorMessage="0" allowBlank="1" errorTitle="Not on the list" error="Pick from the list (edit the list on the Lists sheet)." type="list" errorStyle="warning">
      <formula1>=HingePrep</formula1>
    </dataValidation>
    <dataValidation sqref="AD6:AD505" showDropDown="0" showInputMessage="0" showErrorMessage="0" allowBlank="1" errorTitle="Not on the list" error="Pick from the list (edit the list on the Lists sheet)." type="list" errorStyle="warning">
      <formula1>=StrikePrep</formula1>
    </dataValidation>
    <dataValidation sqref="AE6:AE505" showDropDown="0" showInputMessage="0" showErrorMessage="0" allowBlank="1" errorTitle="Not on the list" error="Pick from the list (edit the list on the Lists sheet)." type="list" errorStyle="warning">
      <formula1>=HeaderPrep</formula1>
    </dataValidation>
    <dataValidation sqref="AF6:AF505" showDropDown="0" showInputMessage="0" showErrorMessage="0" allowBlank="1" errorTitle="Not on the list" error="Pick from the list (edit the list on the Lists sheet)." type="list" errorStyle="warning">
      <formula1>=CloserPrep</formula1>
    </dataValidation>
    <dataValidation sqref="AH6:AH505" showDropDown="0" showInputMessage="0" showErrorMessage="0" allowBlank="1" errorTitle="Not on the list" error="Pick from the list (edit the list on the Lists sheet)." type="list" errorStyle="warning">
      <formula1>=DoorMaterial</formula1>
    </dataValidation>
    <dataValidation sqref="AI6:AI505" showDropDown="0" showInputMessage="0" showErrorMessage="0" allowBlank="1" errorTitle="Not on the list" error="Pick from the list (edit the list on the Lists sheet)." type="list" errorStyle="warning">
      <formula1>=GaugeDoor</formula1>
    </dataValidation>
    <dataValidation sqref="AJ6:AJ505" showDropDown="0" showInputMessage="0" showErrorMessage="0" allowBlank="1" errorTitle="Not on the list" error="Pick from the list (edit the list on the Lists sheet)." type="list" errorStyle="warning">
      <formula1>=WoodCore</formula1>
    </dataValidation>
    <dataValidation sqref="AK6:AK505" showDropDown="0" showInputMessage="0" showErrorMessage="0" allowBlank="1" errorTitle="Not on the list" error="Pick from the list (edit the list on the Lists sheet)." type="list" errorStyle="warning">
      <formula1>=WoodFinish</formula1>
    </dataValidation>
    <dataValidation sqref="AL6:AL505" showDropDown="0" showInputMessage="0" showErrorMessage="0" allowBlank="1" errorTitle="Not on the list" error="Pick from the list (edit the list on the Lists sheet)." type="list" errorStyle="warning">
      <formula1>=FaceType</formula1>
    </dataValidation>
    <dataValidation sqref="AM6:AM505" showDropDown="0" showInputMessage="0" showErrorMessage="0" allowBlank="1" errorTitle="Not on the list" error="Pick from the list (edit the list on the Lists sheet)." type="list" errorStyle="warning">
      <formula1>=Series</formula1>
    </dataValidation>
    <dataValidation sqref="AN6:AN505" showDropDown="0" showInputMessage="0" showErrorMessage="0" allowBlank="1" errorTitle="Not on the list" error="Pick from the list (edit the list on the Lists sheet)." type="list" errorStyle="warning">
      <formula1>=Handing</formula1>
    </dataValidation>
    <dataValidation sqref="AO6:AO505" showDropDown="0" showInputMessage="0" showErrorMessage="0" allowBlank="1" errorTitle="Not on the list" error="Pick from the list (edit the list on the Lists sheet)." type="list" errorStyle="warning">
      <formula1>=ManufLoc</formula1>
    </dataValidation>
    <dataValidation sqref="AP6:AP505" showDropDown="0" showInputMessage="0" showErrorMessage="0" allowBlank="1" errorTitle="Not on the list" error="Pick from the list (edit the list on the Lists sheet)." type="list" errorStyle="warning">
      <formula1>=HingePrep</formula1>
    </dataValidation>
    <dataValidation sqref="AQ6:AQ505" showDropDown="0" showInputMessage="0" showErrorMessage="0" allowBlank="1" errorTitle="Not on the list" error="Pick from the list (edit the list on the Lists sheet)." type="list" errorStyle="warning">
      <formula1>=LockPrep</formula1>
    </dataValidation>
    <dataValidation sqref="AR6:AR505" showDropDown="0" showInputMessage="0" showErrorMessage="0" allowBlank="1" errorTitle="Not on the list" error="Pick from the list (edit the list on the Lists sheet)." type="list" errorStyle="warning">
      <formula1>=Edge</formula1>
    </dataValidation>
    <dataValidation sqref="AS6:AS505" showDropDown="0" showInputMessage="0" showErrorMessage="0" allowBlank="1" errorTitle="Not on the list" error="Pick from the list (edit the list on the Lists sheet)." type="list" errorStyle="warning">
      <formula1>=Astragal</formula1>
    </dataValidation>
    <dataValidation sqref="AU6:AU505" showDropDown="0" showInputMessage="0" showErrorMessage="0" allowBlank="1" errorTitle="Not on the list" error="Pick from the list (edit the list on the Lists sheet)." type="list" errorStyle="warning">
      <formula1>=HWSets</formula1>
    </dataValidation>
    <dataValidation sqref="B6:B505" showDropDown="0" showInputMessage="0" showErrorMessage="0" allowBlank="1" error="Whole number" type="whole" operator="between">
      <formula1>0</formula1>
      <formula2>999</formula2>
    </dataValidation>
    <dataValidation sqref="K6:K505" showDropDown="0" showInputMessage="0" showErrorMessage="0" allowBlank="1" error="Feet, whole number" type="whole" operator="between">
      <formula1>0</formula1>
      <formula2>30</formula2>
    </dataValidation>
    <dataValidation sqref="M6:M505" showDropDown="0" showInputMessage="0" showErrorMessage="0" allowBlank="1" error="Feet, whole number" type="whole" operator="between">
      <formula1>0</formula1>
      <formula2>30</formula2>
    </dataValidation>
    <dataValidation sqref="L6:L505" showDropDown="0" showInputMessage="1" showErrorMessage="0" allowBlank="1" error="Inches 0 to 11-15/16 (type 0.5 for 1/2&quot;, 0.75 for 3/4&quot;)" prompt="Inches 0–11. Fractions as decimals: 0.5 = 1/2&quot;" type="decimal" operator="between">
      <formula1>0</formula1>
      <formula2>11.9375</formula2>
    </dataValidation>
    <dataValidation sqref="N6:N505" showDropDown="0" showInputMessage="1" showErrorMessage="0" allowBlank="1" error="Inches 0 to 11-15/16 (type 0.5 for 1/2&quot;, 0.75 for 3/4&quot;)" prompt="Inches 0–11. Fractions as decimals: 0.5 = 1/2&quot;" type="decimal" operator="between">
      <formula1>0</formula1>
      <formula2>11.9375</formula2>
    </dataValidation>
    <dataValidation sqref="P6:P505" showDropDown="0" showInputMessage="1" showErrorMessage="0" allowBlank="1" prompt="Glass opening size in inches. Leave blank if none." type="decimal" operator="between">
      <formula1>0</formula1>
      <formula2>120</formula2>
    </dataValidation>
    <dataValidation sqref="Q6:Q505" showDropDown="0" showInputMessage="1" showErrorMessage="0" allowBlank="1" prompt="Glass opening size in inches. Leave blank if none." type="decimal" operator="between">
      <formula1>0</formula1>
      <formula2>120</formula2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C07F00"/>
    <outlinePr summaryBelow="1" summaryRight="1"/>
    <pageSetUpPr fitToPage="1"/>
  </sheetPr>
  <dimension ref="B2:R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2">
      <c r="B2" s="23" t="inlineStr">
        <is>
          <t>ELEVATION</t>
        </is>
      </c>
    </row>
    <row r="3">
      <c r="B3" s="33" t="inlineStr">
        <is>
          <t>Pick a mark. The drawing, sizes and order lines follow the Takeoff row.</t>
        </is>
      </c>
    </row>
    <row r="4">
      <c r="B4" s="55" t="inlineStr">
        <is>
          <t>OPENING MARK  ▸</t>
        </is>
      </c>
      <c r="C4" s="56" t="inlineStr">
        <is>
          <t>101</t>
        </is>
      </c>
      <c r="E4" s="6">
        <f>IF(ElevCalc!$B$45,ElevCalc!$B$24&amp;IF(ElevCalc!$B$65=2," PAIR","")&amp;"   ·   "&amp;ElevCalc!$B$23&amp;"   ·   "&amp;IF(ElevCalc!$B$29="","",ElevCalc!$B$29&amp;" → "&amp;ElevCalc!$B$30),IF(Elevation!$C$4="","Pick a mark","Mark not found on the Takeoff"))</f>
        <v/>
      </c>
    </row>
    <row r="6">
      <c r="M6" s="57" t="inlineStr">
        <is>
          <t>Elevation type</t>
        </is>
      </c>
    </row>
    <row r="7">
      <c r="M7" s="8">
        <f>IF(ElevCalc!$B$45,"Type "&amp;ElevCalc!$B$28&amp;"  ·  "&amp;SUMIF(tk_ETYPE,ElevCalc!$B$28,tk_QTY)&amp;" openings alike","")</f>
        <v/>
      </c>
    </row>
    <row r="8">
      <c r="M8" s="57" t="inlineStr">
        <is>
          <t>Qty on this row</t>
        </is>
      </c>
    </row>
    <row r="9">
      <c r="M9" s="8">
        <f>ElevCalc!$B$27</f>
        <v/>
      </c>
    </row>
    <row r="10">
      <c r="M10" s="57" t="inlineStr">
        <is>
          <t>Frame type · construction</t>
        </is>
      </c>
    </row>
    <row r="11">
      <c r="M11" s="8">
        <f>IF(ElevCalc!$B$3="DOOR ONLY","door only — frame existing / by others",IF(ElevCalc!$B$45,ElevCalc!$B$4&amp;"  ·  "&amp;IFERROR(VLOOKUP(ElevCalc!$B$41,CODES,2,FALSE),ElevCalc!$B$41)&amp;"  ·  jamb "&amp;IFERROR(VLOOKUP(ElevCalc!$B$42,CODES,2,FALSE),ElevCalc!$B$42),""))</f>
        <v/>
      </c>
    </row>
    <row r="12">
      <c r="M12" s="57" t="inlineStr">
        <is>
          <t>Hand (door)</t>
        </is>
      </c>
    </row>
    <row r="13">
      <c r="M13" s="8">
        <f>ElevCalc!$B$70</f>
        <v/>
      </c>
    </row>
    <row r="14">
      <c r="M14" s="57" t="inlineStr">
        <is>
          <t>Leaves · leaf size</t>
        </is>
      </c>
    </row>
    <row r="15">
      <c r="M15" s="8">
        <f>IF(ElevCalc!$B$65&gt;0,ElevCalc!$B$65&amp;" × "&amp;INT(ROUND(ElevCalc!$B$66,4)/12)&amp;"'-"&amp;IF(ROUND(MOD(ElevCalc!$B$66,12),4)=0,"0",TRIM(TEXT(MOD(ElevCalc!$B$66,12),"# ?/??")))&amp;CHAR(34)&amp;" x "&amp;INT(ROUND(ElevCalc!$B$67,4)/12)&amp;"'-"&amp;IF(ROUND(MOD(ElevCalc!$B$67,12),4)=0,"0",TRIM(TEXT(MOD(ElevCalc!$B$67,12),"# ?/??")))&amp;CHAR(34),"no door")</f>
        <v/>
      </c>
    </row>
    <row r="16">
      <c r="M16" s="57" t="inlineStr">
        <is>
          <t>Frame overall (W x H)</t>
        </is>
      </c>
    </row>
    <row r="17">
      <c r="M17" s="8">
        <f>IF(ElevCalc!$B$45,INT(ROUND(ElevCalc!$B$57,4)/12)&amp;"'-"&amp;IF(ROUND(MOD(ElevCalc!$B$57,12),4)=0,"0",TRIM(TEXT(MOD(ElevCalc!$B$57,12),"# ?/??")))&amp;CHAR(34)&amp;" x "&amp;INT(ROUND(ElevCalc!$B$58,4)/12)&amp;"'-"&amp;IF(ROUND(MOD(ElevCalc!$B$58,12),4)=0,"0",TRIM(TEXT(MOD(ElevCalc!$B$58,12),"# ?/??")))&amp;CHAR(34),"")</f>
        <v/>
      </c>
    </row>
    <row r="18">
      <c r="M18" s="57" t="inlineStr">
        <is>
          <t>Rough opening (W x H)</t>
        </is>
      </c>
    </row>
    <row r="19">
      <c r="M19" s="8">
        <f>IF(ElevCalc!$B$45,INT(ROUND(N(ElevCalc!$B$36),4)/12)&amp;"'-"&amp;IF(ROUND(MOD(N(ElevCalc!$B$36),12),4)=0,"0",TRIM(TEXT(MOD(N(ElevCalc!$B$36),12),"# ?/??")))&amp;CHAR(34)&amp;" x "&amp;INT(ROUND(N(ElevCalc!$B$37),4)/12)&amp;"'-"&amp;IF(ROUND(MOD(N(ElevCalc!$B$37),12),4)=0,"0",TRIM(TEXT(MOD(N(ElevCalc!$B$37),12),"# ?/??")))&amp;CHAR(34),"")</f>
        <v/>
      </c>
    </row>
    <row r="20">
      <c r="M20" s="57" t="inlineStr">
        <is>
          <t>Clear width (approx.)</t>
        </is>
      </c>
    </row>
    <row r="21">
      <c r="M21" s="8">
        <f>IF(ISNUMBER(ElevCalc!$B$38),TEXT(ElevCalc!$B$38,"0.0")&amp;CHAR(34)&amp;IF(ElevCalc!$B$38&lt;32,"  ⚠ under 32"&amp;CHAR(34),"  ✓"),"")</f>
        <v/>
      </c>
    </row>
    <row r="22">
      <c r="M22" s="57" t="inlineStr">
        <is>
          <t>Lite / louver</t>
        </is>
      </c>
    </row>
    <row r="23">
      <c r="M23" s="8">
        <f>IF(ElevCalc!$B$81,ElevCalc!$B$9,IF(ElevCalc!$B$65&gt;0,"flush",""))</f>
        <v/>
      </c>
    </row>
    <row r="24">
      <c r="M24" s="57" t="inlineStr">
        <is>
          <t>Hinges per leaf</t>
        </is>
      </c>
    </row>
    <row r="25">
      <c r="M25" s="8">
        <f>ElevCalc!$B$39</f>
        <v/>
      </c>
    </row>
    <row r="26">
      <c r="M26" s="57" t="inlineStr">
        <is>
          <t>Lock prep · hardware set</t>
        </is>
      </c>
    </row>
    <row r="27">
      <c r="M27" s="8">
        <f>IF(ElevCalc!$B$45,ElevCalc!$B$44&amp;"  ·  set "&amp;ElevCalc!$B$31,"")</f>
        <v/>
      </c>
    </row>
    <row r="28">
      <c r="M28" s="57" t="inlineStr">
        <is>
          <t>Wall needs</t>
        </is>
      </c>
    </row>
    <row r="29">
      <c r="M29" s="8">
        <f>IF(ElevCalc!$B$40="","—",IF(ISNUMBER(ElevCalc!$B$40),ElevCalc!$B$40&amp;" min door","not in IBC table"))</f>
        <v/>
      </c>
    </row>
    <row r="30">
      <c r="M30" s="57" t="inlineStr">
        <is>
          <t>CHECK</t>
        </is>
      </c>
    </row>
    <row r="31">
      <c r="M31" s="58">
        <f>ElevCalc!$B$32</f>
        <v/>
      </c>
    </row>
    <row r="32">
      <c r="M32" s="57" t="inlineStr"/>
    </row>
    <row r="33" ht="30" customHeight="1">
      <c r="M33" s="8">
        <f>ElevCalc!$B$33</f>
        <v/>
      </c>
    </row>
    <row r="34">
      <c r="M34" s="57" t="inlineStr">
        <is>
          <t>Frame order line</t>
        </is>
      </c>
    </row>
    <row r="35" ht="30" customHeight="1">
      <c r="M35" s="8">
        <f>ElevCalc!$B$34</f>
        <v/>
      </c>
    </row>
    <row r="36">
      <c r="M36" s="57" t="inlineStr">
        <is>
          <t>Door order line</t>
        </is>
      </c>
    </row>
    <row r="37" ht="30" customHeight="1">
      <c r="M37" s="8">
        <f>ElevCalc!$B$35</f>
        <v/>
      </c>
    </row>
    <row r="42">
      <c r="B42" s="30" t="inlineStr">
        <is>
          <t>Drawn from the push side (outside / corridor). Grey dashed frame = existing / by others (door only). ■ hinges  ● lever at lock height  ▬ continuous hinge  ‒ ‒ swing (point = hinge side)  · blue = glass/louver.</t>
        </is>
      </c>
    </row>
  </sheetData>
  <mergeCells count="16">
    <mergeCell ref="M15:R15"/>
    <mergeCell ref="M21:R21"/>
    <mergeCell ref="M29:R29"/>
    <mergeCell ref="M23:R23"/>
    <mergeCell ref="M9:R9"/>
    <mergeCell ref="M19:R19"/>
    <mergeCell ref="M27:R27"/>
    <mergeCell ref="M33:R33"/>
    <mergeCell ref="M37:R37"/>
    <mergeCell ref="M13:R13"/>
    <mergeCell ref="M17:R17"/>
    <mergeCell ref="M31:R31"/>
    <mergeCell ref="M7:R7"/>
    <mergeCell ref="M25:R25"/>
    <mergeCell ref="M35:R35"/>
    <mergeCell ref="M11:R11"/>
  </mergeCells>
  <conditionalFormatting sqref="M31">
    <cfRule type="cellIs" priority="1" operator="equal" dxfId="7">
      <formula>"OK"</formula>
    </cfRule>
    <cfRule type="cellIs" priority="2" operator="equal" dxfId="4">
      <formula>"FIX"</formula>
    </cfRule>
    <cfRule type="cellIs" priority="3" operator="equal" dxfId="8">
      <formula>"CHECK"</formula>
    </cfRule>
  </conditionalFormatting>
  <dataValidations count="1">
    <dataValidation sqref="C4" showDropDown="0" showInputMessage="0" showErrorMessage="0" allowBlank="1" type="list">
      <formula1>=Takeoff!$A$6:$A$505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C07F00"/>
    <outlinePr summaryBelow="1" summaryRight="1"/>
    <pageSetUpPr fitToPage="1"/>
  </sheetPr>
  <dimension ref="B2:P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.300000000000001" customWidth="1" min="2" max="2"/>
    <col width="8.300000000000001" customWidth="1" min="3" max="3"/>
    <col width="8.300000000000001" customWidth="1" min="4" max="4"/>
    <col width="8.300000000000001" customWidth="1" min="5" max="5"/>
    <col width="8.300000000000001" customWidth="1" min="6" max="6"/>
    <col width="8.300000000000001" customWidth="1" min="7" max="7"/>
    <col width="8.300000000000001" customWidth="1" min="8" max="8"/>
    <col width="8.300000000000001" customWidth="1" min="9" max="9"/>
    <col width="8.300000000000001" customWidth="1" min="10" max="10"/>
    <col width="8.300000000000001" customWidth="1" min="11" max="11"/>
    <col width="8.300000000000001" customWidth="1" min="12" max="12"/>
    <col width="8.300000000000001" customWidth="1" min="13" max="13"/>
    <col width="8.300000000000001" customWidth="1" min="14" max="14"/>
    <col width="8.300000000000001" customWidth="1" min="15" max="15"/>
    <col width="8.300000000000001" customWidth="1" min="16" max="16"/>
    <col width="8.300000000000001" customWidth="1" min="17" max="17"/>
    <col width="8.300000000000001" customWidth="1" min="18" max="18"/>
    <col width="8.300000000000001" customWidth="1" min="19" max="19"/>
    <col width="8.300000000000001" customWidth="1" min="20" max="20"/>
    <col width="8.300000000000001" customWidth="1" min="21" max="21"/>
    <col width="8.300000000000001" customWidth="1" min="22" max="22"/>
    <col width="8.300000000000001" customWidth="1" min="23" max="23"/>
  </cols>
  <sheetData>
    <row r="2">
      <c r="B2" s="23">
        <f>IF(JobName="","ELEVATIONS",JobName&amp;" — ELEVATIONS")</f>
        <v/>
      </c>
    </row>
    <row r="3">
      <c r="B3" s="33" t="inlineStr">
        <is>
          <t>One drawing per elevation type (same size, pair, lite, frame type, transom/sidelite). Six to a page — change the page number to see more.</t>
        </is>
      </c>
    </row>
    <row r="4">
      <c r="B4" s="55" t="inlineStr">
        <is>
          <t>PAGE  ▸</t>
        </is>
      </c>
      <c r="C4" s="59" t="n">
        <v>1</v>
      </c>
      <c r="D4" s="60">
        <f>"of "&amp;MAX(1,ROUNDUP(MAX(tk_ETYPE)/6,0))&amp;"   ·   "&amp;MAX(tk_ETYPE)&amp;" types"</f>
        <v/>
      </c>
    </row>
    <row r="6">
      <c r="B6" s="61">
        <f>IF(ElevCalc!$G$45,"TYPE "&amp;((Elevations!$C$4-1)*6+1)&amp;"  ·  "&amp;ElevCalc!$G$24&amp;IF(ElevCalc!$G$65=2," PAIR",""),"")</f>
        <v/>
      </c>
      <c r="I6" s="61">
        <f>IF(ElevCalc!$L$45,"TYPE "&amp;((Elevations!$C$4-1)*6+2)&amp;"  ·  "&amp;ElevCalc!$L$24&amp;IF(ElevCalc!$L$65=2," PAIR",""),"")</f>
        <v/>
      </c>
      <c r="P6" s="61">
        <f>IF(ElevCalc!$Q$45,"TYPE "&amp;((Elevations!$C$4-1)*6+3)&amp;"  ·  "&amp;ElevCalc!$Q$24&amp;IF(ElevCalc!$Q$65=2," PAIR",""),"")</f>
        <v/>
      </c>
    </row>
    <row r="7">
      <c r="B7" s="62">
        <f>IF(ElevCalc!$G$45,ElevCalc!$G$4&amp;"  ·  "&amp;IF(ElevCalc!$G$65&gt;0,ElevCalc!$G$9,"no door")&amp;"  ·  "&amp;ElevCalc!$G$3,"")</f>
        <v/>
      </c>
      <c r="I7" s="62">
        <f>IF(ElevCalc!$L$45,ElevCalc!$L$4&amp;"  ·  "&amp;IF(ElevCalc!$L$65&gt;0,ElevCalc!$L$9,"no door")&amp;"  ·  "&amp;ElevCalc!$L$3,"")</f>
        <v/>
      </c>
      <c r="P7" s="62">
        <f>IF(ElevCalc!$Q$45,ElevCalc!$Q$4&amp;"  ·  "&amp;IF(ElevCalc!$Q$65&gt;0,ElevCalc!$Q$9,"no door")&amp;"  ·  "&amp;ElevCalc!$Q$3,"")</f>
        <v/>
      </c>
    </row>
    <row r="8">
      <c r="B8" s="63">
        <f>IF(ElevCalc!$G$45,SUMIF(tk_ETYPE,((Elevations!$C$4-1)*6+1),tk_QTY)&amp;" openings  ·  e.g. mark "&amp;ElevCalc!$G$2,"")</f>
        <v/>
      </c>
      <c r="I8" s="63">
        <f>IF(ElevCalc!$L$45,SUMIF(tk_ETYPE,((Elevations!$C$4-1)*6+2),tk_QTY)&amp;" openings  ·  e.g. mark "&amp;ElevCalc!$L$2,"")</f>
        <v/>
      </c>
      <c r="P8" s="63">
        <f>IF(ElevCalc!$Q$45,SUMIF(tk_ETYPE,((Elevations!$C$4-1)*6+3),tk_QTY)&amp;" openings  ·  e.g. mark "&amp;ElevCalc!$Q$2,"")</f>
        <v/>
      </c>
    </row>
    <row r="31">
      <c r="B31" s="61">
        <f>IF(ElevCalc!$V$45,"TYPE "&amp;((Elevations!$C$4-1)*6+4)&amp;"  ·  "&amp;ElevCalc!$V$24&amp;IF(ElevCalc!$V$65=2," PAIR",""),"")</f>
        <v/>
      </c>
      <c r="I31" s="61">
        <f>IF(ElevCalc!$AA$45,"TYPE "&amp;((Elevations!$C$4-1)*6+5)&amp;"  ·  "&amp;ElevCalc!$AA$24&amp;IF(ElevCalc!$AA$65=2," PAIR",""),"")</f>
        <v/>
      </c>
      <c r="P31" s="61">
        <f>IF(ElevCalc!$AF$45,"TYPE "&amp;((Elevations!$C$4-1)*6+6)&amp;"  ·  "&amp;ElevCalc!$AF$24&amp;IF(ElevCalc!$AF$65=2," PAIR",""),"")</f>
        <v/>
      </c>
    </row>
    <row r="32">
      <c r="B32" s="62">
        <f>IF(ElevCalc!$V$45,ElevCalc!$V$4&amp;"  ·  "&amp;IF(ElevCalc!$V$65&gt;0,ElevCalc!$V$9,"no door")&amp;"  ·  "&amp;ElevCalc!$V$3,"")</f>
        <v/>
      </c>
      <c r="I32" s="62">
        <f>IF(ElevCalc!$AA$45,ElevCalc!$AA$4&amp;"  ·  "&amp;IF(ElevCalc!$AA$65&gt;0,ElevCalc!$AA$9,"no door")&amp;"  ·  "&amp;ElevCalc!$AA$3,"")</f>
        <v/>
      </c>
      <c r="P32" s="62">
        <f>IF(ElevCalc!$AF$45,ElevCalc!$AF$4&amp;"  ·  "&amp;IF(ElevCalc!$AF$65&gt;0,ElevCalc!$AF$9,"no door")&amp;"  ·  "&amp;ElevCalc!$AF$3,"")</f>
        <v/>
      </c>
    </row>
    <row r="33">
      <c r="B33" s="63">
        <f>IF(ElevCalc!$V$45,SUMIF(tk_ETYPE,((Elevations!$C$4-1)*6+4),tk_QTY)&amp;" openings  ·  e.g. mark "&amp;ElevCalc!$V$2,"")</f>
        <v/>
      </c>
      <c r="I33" s="63">
        <f>IF(ElevCalc!$AA$45,SUMIF(tk_ETYPE,((Elevations!$C$4-1)*6+5),tk_QTY)&amp;" openings  ·  e.g. mark "&amp;ElevCalc!$AA$2,"")</f>
        <v/>
      </c>
      <c r="P33" s="63">
        <f>IF(ElevCalc!$AF$45,SUMIF(tk_ETYPE,((Elevations!$C$4-1)*6+6),tk_QTY)&amp;" openings  ·  e.g. mark "&amp;ElevCalc!$AF$2,"")</f>
        <v/>
      </c>
    </row>
  </sheetData>
  <dataValidations count="1">
    <dataValidation sqref="C4" showDropDown="0" showInputMessage="0" showErrorMessage="0" allowBlank="0" type="whole" operator="between">
      <formula1>1</formula1>
      <formula2>99</formula2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6B4A8E"/>
    <outlinePr summaryBelow="1" summaryRight="1"/>
    <pageSetUpPr/>
  </sheetPr>
  <dimension ref="B2:L4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7" customWidth="1" min="2" max="2"/>
    <col width="34" customWidth="1" min="3" max="3"/>
    <col width="10" customWidth="1" min="4" max="4"/>
    <col width="3" customWidth="1" min="5" max="5"/>
    <col width="6" customWidth="1" min="6" max="6"/>
    <col width="6" customWidth="1" min="7" max="7"/>
    <col width="16" customWidth="1" min="8" max="8"/>
    <col width="34" customWidth="1" min="9" max="9"/>
    <col width="8" customWidth="1" min="10" max="10"/>
    <col width="14" customWidth="1" min="11" max="11"/>
    <col width="10" customWidth="1" min="12" max="12"/>
  </cols>
  <sheetData>
    <row r="2">
      <c r="B2" s="23" t="inlineStr">
        <is>
          <t>HARDWARE SETS</t>
        </is>
      </c>
    </row>
    <row r="3">
      <c r="B3" s="24" t="inlineStr">
        <is>
          <t>List each set once on the right (one item per row). Openings pick the set on the Takeoff; opening counts and job quantities follow. The sets shown are examples.</t>
        </is>
      </c>
    </row>
    <row r="5">
      <c r="B5" s="64" t="inlineStr">
        <is>
          <t>SET</t>
        </is>
      </c>
      <c r="C5" s="64" t="inlineStr">
        <is>
          <t>DESCRIPTION</t>
        </is>
      </c>
      <c r="D5" s="64" t="inlineStr">
        <is>
          <t>OPENINGS</t>
        </is>
      </c>
      <c r="F5" s="64" t="inlineStr">
        <is>
          <t>SET</t>
        </is>
      </c>
      <c r="G5" s="64" t="inlineStr">
        <is>
          <t>QTY</t>
        </is>
      </c>
      <c r="H5" s="64" t="inlineStr">
        <is>
          <t>ITEM</t>
        </is>
      </c>
      <c r="I5" s="64" t="inlineStr">
        <is>
          <t>DESCRIPTION / MODEL</t>
        </is>
      </c>
      <c r="J5" s="64" t="inlineStr">
        <is>
          <t>FINISH</t>
        </is>
      </c>
      <c r="K5" s="64" t="inlineStr">
        <is>
          <t>MFR</t>
        </is>
      </c>
      <c r="L5" s="64" t="inlineStr">
        <is>
          <t>JOB QTY</t>
        </is>
      </c>
    </row>
    <row r="6">
      <c r="B6" s="65" t="inlineStr">
        <is>
          <t>1</t>
        </is>
      </c>
      <c r="C6" s="48" t="inlineStr">
        <is>
          <t>Office lock, closer</t>
        </is>
      </c>
      <c r="D6" s="66">
        <f>IF(B6="","",SUMIF(tk_HWSET,B6,tk_QTY))</f>
        <v/>
      </c>
      <c r="F6" s="67" t="inlineStr">
        <is>
          <t>1</t>
        </is>
      </c>
      <c r="G6" s="68" t="n">
        <v>3</v>
      </c>
      <c r="H6" s="68" t="inlineStr">
        <is>
          <t>HINGE</t>
        </is>
      </c>
      <c r="I6" s="68" t="inlineStr">
        <is>
          <t>5BB1 4.5x4.5</t>
        </is>
      </c>
      <c r="J6" s="68" t="inlineStr">
        <is>
          <t>652</t>
        </is>
      </c>
      <c r="K6" s="68" t="inlineStr">
        <is>
          <t>IVES</t>
        </is>
      </c>
      <c r="L6" s="49">
        <f>IF(F6="","",N(G6)*SUMIF(tk_HWSET,F6,tk_QTY))</f>
        <v/>
      </c>
    </row>
    <row r="7">
      <c r="B7" s="65" t="inlineStr">
        <is>
          <t>2</t>
        </is>
      </c>
      <c r="C7" s="48" t="inlineStr">
        <is>
          <t>Pair, rated exit device, closers</t>
        </is>
      </c>
      <c r="D7" s="66">
        <f>IF(B7="","",SUMIF(tk_HWSET,B7,tk_QTY))</f>
        <v/>
      </c>
      <c r="F7" s="67" t="inlineStr">
        <is>
          <t>1</t>
        </is>
      </c>
      <c r="G7" s="68" t="n">
        <v>1</v>
      </c>
      <c r="H7" s="68" t="inlineStr">
        <is>
          <t>LOCKSET</t>
        </is>
      </c>
      <c r="I7" s="68" t="inlineStr">
        <is>
          <t>ND50PD RHO office</t>
        </is>
      </c>
      <c r="J7" s="68" t="inlineStr">
        <is>
          <t>626</t>
        </is>
      </c>
      <c r="K7" s="68" t="inlineStr">
        <is>
          <t>SCHLAGE</t>
        </is>
      </c>
      <c r="L7" s="49">
        <f>IF(F7="","",N(G7)*SUMIF(tk_HWSET,F7,tk_QTY))</f>
        <v/>
      </c>
    </row>
    <row r="8">
      <c r="B8" s="65" t="inlineStr">
        <is>
          <t>3</t>
        </is>
      </c>
      <c r="C8" s="48" t="inlineStr">
        <is>
          <t>Exterior, exit device, weatherstrip</t>
        </is>
      </c>
      <c r="D8" s="66">
        <f>IF(B8="","",SUMIF(tk_HWSET,B8,tk_QTY))</f>
        <v/>
      </c>
      <c r="F8" s="67" t="inlineStr">
        <is>
          <t>1</t>
        </is>
      </c>
      <c r="G8" s="68" t="n">
        <v>1</v>
      </c>
      <c r="H8" s="68" t="inlineStr">
        <is>
          <t>CLOSER</t>
        </is>
      </c>
      <c r="I8" s="68" t="inlineStr">
        <is>
          <t>4040XP RW/PA</t>
        </is>
      </c>
      <c r="J8" s="68" t="inlineStr">
        <is>
          <t>689</t>
        </is>
      </c>
      <c r="K8" s="68" t="inlineStr">
        <is>
          <t>LCN</t>
        </is>
      </c>
      <c r="L8" s="49">
        <f>IF(F8="","",N(G8)*SUMIF(tk_HWSET,F8,tk_QTY))</f>
        <v/>
      </c>
    </row>
    <row r="9">
      <c r="B9" s="65" t="n"/>
      <c r="C9" s="48" t="n"/>
      <c r="D9" s="66">
        <f>IF(B9="","",SUMIF(tk_HWSET,B9,tk_QTY))</f>
        <v/>
      </c>
      <c r="F9" s="67" t="inlineStr">
        <is>
          <t>1</t>
        </is>
      </c>
      <c r="G9" s="68" t="n">
        <v>1</v>
      </c>
      <c r="H9" s="68" t="inlineStr">
        <is>
          <t>WALL STOP</t>
        </is>
      </c>
      <c r="I9" s="68" t="inlineStr">
        <is>
          <t>WS406/407CVX</t>
        </is>
      </c>
      <c r="J9" s="68" t="inlineStr">
        <is>
          <t>626</t>
        </is>
      </c>
      <c r="K9" s="68" t="inlineStr">
        <is>
          <t>IVES</t>
        </is>
      </c>
      <c r="L9" s="49">
        <f>IF(F9="","",N(G9)*SUMIF(tk_HWSET,F9,tk_QTY))</f>
        <v/>
      </c>
    </row>
    <row r="10">
      <c r="B10" s="65" t="n"/>
      <c r="C10" s="48" t="n"/>
      <c r="D10" s="66">
        <f>IF(B10="","",SUMIF(tk_HWSET,B10,tk_QTY))</f>
        <v/>
      </c>
      <c r="F10" s="67" t="inlineStr">
        <is>
          <t>1</t>
        </is>
      </c>
      <c r="G10" s="68" t="n">
        <v>3</v>
      </c>
      <c r="H10" s="68" t="inlineStr">
        <is>
          <t>SILENCER</t>
        </is>
      </c>
      <c r="I10" s="68" t="inlineStr">
        <is>
          <t>SR64</t>
        </is>
      </c>
      <c r="J10" s="68" t="inlineStr">
        <is>
          <t>GRY</t>
        </is>
      </c>
      <c r="K10" s="68" t="inlineStr">
        <is>
          <t>IVES</t>
        </is>
      </c>
      <c r="L10" s="49">
        <f>IF(F10="","",N(G10)*SUMIF(tk_HWSET,F10,tk_QTY))</f>
        <v/>
      </c>
    </row>
    <row r="11">
      <c r="B11" s="65" t="n"/>
      <c r="C11" s="48" t="n"/>
      <c r="D11" s="66">
        <f>IF(B11="","",SUMIF(tk_HWSET,B11,tk_QTY))</f>
        <v/>
      </c>
      <c r="F11" s="67" t="inlineStr">
        <is>
          <t>2</t>
        </is>
      </c>
      <c r="G11" s="68" t="n">
        <v>8</v>
      </c>
      <c r="H11" s="68" t="inlineStr">
        <is>
          <t>HINGE</t>
        </is>
      </c>
      <c r="I11" s="68" t="inlineStr">
        <is>
          <t>5BB1HW 4.5x4.5 NRP</t>
        </is>
      </c>
      <c r="J11" s="68" t="inlineStr">
        <is>
          <t>652</t>
        </is>
      </c>
      <c r="K11" s="68" t="inlineStr">
        <is>
          <t>IVES</t>
        </is>
      </c>
      <c r="L11" s="49">
        <f>IF(F11="","",N(G11)*SUMIF(tk_HWSET,F11,tk_QTY))</f>
        <v/>
      </c>
    </row>
    <row r="12">
      <c r="B12" s="65" t="n"/>
      <c r="C12" s="48" t="n"/>
      <c r="D12" s="66">
        <f>IF(B12="","",SUMIF(tk_HWSET,B12,tk_QTY))</f>
        <v/>
      </c>
      <c r="F12" s="67" t="inlineStr">
        <is>
          <t>2</t>
        </is>
      </c>
      <c r="G12" s="68" t="n">
        <v>1</v>
      </c>
      <c r="H12" s="68" t="inlineStr">
        <is>
          <t>EXIT DEVICE</t>
        </is>
      </c>
      <c r="I12" s="68" t="inlineStr">
        <is>
          <t>98-L-F x 996L (active)</t>
        </is>
      </c>
      <c r="J12" s="68" t="inlineStr">
        <is>
          <t>626</t>
        </is>
      </c>
      <c r="K12" s="68" t="inlineStr">
        <is>
          <t>VON DUPRIN</t>
        </is>
      </c>
      <c r="L12" s="49">
        <f>IF(F12="","",N(G12)*SUMIF(tk_HWSET,F12,tk_QTY))</f>
        <v/>
      </c>
    </row>
    <row r="13">
      <c r="B13" s="65" t="n"/>
      <c r="C13" s="48" t="n"/>
      <c r="D13" s="66">
        <f>IF(B13="","",SUMIF(tk_HWSET,B13,tk_QTY))</f>
        <v/>
      </c>
      <c r="F13" s="67" t="inlineStr">
        <is>
          <t>2</t>
        </is>
      </c>
      <c r="G13" s="68" t="n">
        <v>1</v>
      </c>
      <c r="H13" s="68" t="inlineStr">
        <is>
          <t>EXIT DEVICE</t>
        </is>
      </c>
      <c r="I13" s="68" t="inlineStr">
        <is>
          <t>9827-EO-F (inactive, SVR)</t>
        </is>
      </c>
      <c r="J13" s="68" t="inlineStr">
        <is>
          <t>626</t>
        </is>
      </c>
      <c r="K13" s="68" t="inlineStr">
        <is>
          <t>VON DUPRIN</t>
        </is>
      </c>
      <c r="L13" s="49">
        <f>IF(F13="","",N(G13)*SUMIF(tk_HWSET,F13,tk_QTY))</f>
        <v/>
      </c>
    </row>
    <row r="14">
      <c r="B14" s="65" t="n"/>
      <c r="C14" s="48" t="n"/>
      <c r="D14" s="66">
        <f>IF(B14="","",SUMIF(tk_HWSET,B14,tk_QTY))</f>
        <v/>
      </c>
      <c r="F14" s="67" t="inlineStr">
        <is>
          <t>2</t>
        </is>
      </c>
      <c r="G14" s="68" t="n">
        <v>2</v>
      </c>
      <c r="H14" s="68" t="inlineStr">
        <is>
          <t>CLOSER</t>
        </is>
      </c>
      <c r="I14" s="68" t="inlineStr">
        <is>
          <t>4040XP EDA</t>
        </is>
      </c>
      <c r="J14" s="68" t="inlineStr">
        <is>
          <t>689</t>
        </is>
      </c>
      <c r="K14" s="68" t="inlineStr">
        <is>
          <t>LCN</t>
        </is>
      </c>
      <c r="L14" s="49">
        <f>IF(F14="","",N(G14)*SUMIF(tk_HWSET,F14,tk_QTY))</f>
        <v/>
      </c>
    </row>
    <row r="15">
      <c r="B15" s="65" t="n"/>
      <c r="C15" s="48" t="n"/>
      <c r="D15" s="66">
        <f>IF(B15="","",SUMIF(tk_HWSET,B15,tk_QTY))</f>
        <v/>
      </c>
      <c r="F15" s="67" t="inlineStr">
        <is>
          <t>2</t>
        </is>
      </c>
      <c r="G15" s="68" t="n">
        <v>1</v>
      </c>
      <c r="H15" s="68" t="inlineStr">
        <is>
          <t>COORDINATOR</t>
        </is>
      </c>
      <c r="I15" s="68" t="inlineStr">
        <is>
          <t>COR x FL</t>
        </is>
      </c>
      <c r="J15" s="68" t="inlineStr">
        <is>
          <t>PC</t>
        </is>
      </c>
      <c r="K15" s="68" t="inlineStr">
        <is>
          <t>IVES</t>
        </is>
      </c>
      <c r="L15" s="49">
        <f>IF(F15="","",N(G15)*SUMIF(tk_HWSET,F15,tk_QTY))</f>
        <v/>
      </c>
    </row>
    <row r="16">
      <c r="B16" s="65" t="n"/>
      <c r="C16" s="48" t="n"/>
      <c r="D16" s="66">
        <f>IF(B16="","",SUMIF(tk_HWSET,B16,tk_QTY))</f>
        <v/>
      </c>
      <c r="F16" s="67" t="inlineStr">
        <is>
          <t>2</t>
        </is>
      </c>
      <c r="G16" s="68" t="n">
        <v>1</v>
      </c>
      <c r="H16" s="68" t="inlineStr">
        <is>
          <t>GASKETING</t>
        </is>
      </c>
      <c r="I16" s="68" t="inlineStr">
        <is>
          <t>S88D head &amp; jambs</t>
        </is>
      </c>
      <c r="J16" s="68" t="inlineStr">
        <is>
          <t>BLK</t>
        </is>
      </c>
      <c r="K16" s="68" t="inlineStr">
        <is>
          <t>PEMKO</t>
        </is>
      </c>
      <c r="L16" s="49">
        <f>IF(F16="","",N(G16)*SUMIF(tk_HWSET,F16,tk_QTY))</f>
        <v/>
      </c>
    </row>
    <row r="17">
      <c r="B17" s="65" t="n"/>
      <c r="C17" s="48" t="n"/>
      <c r="D17" s="66">
        <f>IF(B17="","",SUMIF(tk_HWSET,B17,tk_QTY))</f>
        <v/>
      </c>
      <c r="F17" s="67" t="inlineStr">
        <is>
          <t>3</t>
        </is>
      </c>
      <c r="G17" s="68" t="n">
        <v>1</v>
      </c>
      <c r="H17" s="68" t="inlineStr">
        <is>
          <t>CONT. HINGE</t>
        </is>
      </c>
      <c r="I17" s="68" t="inlineStr">
        <is>
          <t>112HD 83"</t>
        </is>
      </c>
      <c r="J17" s="68" t="inlineStr">
        <is>
          <t>628</t>
        </is>
      </c>
      <c r="K17" s="68" t="inlineStr">
        <is>
          <t>IVES</t>
        </is>
      </c>
      <c r="L17" s="49">
        <f>IF(F17="","",N(G17)*SUMIF(tk_HWSET,F17,tk_QTY))</f>
        <v/>
      </c>
    </row>
    <row r="18">
      <c r="B18" s="65" t="n"/>
      <c r="C18" s="48" t="n"/>
      <c r="D18" s="66">
        <f>IF(B18="","",SUMIF(tk_HWSET,B18,tk_QTY))</f>
        <v/>
      </c>
      <c r="F18" s="67" t="inlineStr">
        <is>
          <t>3</t>
        </is>
      </c>
      <c r="G18" s="68" t="n">
        <v>1</v>
      </c>
      <c r="H18" s="68" t="inlineStr">
        <is>
          <t>EXIT DEVICE</t>
        </is>
      </c>
      <c r="I18" s="68" t="inlineStr">
        <is>
          <t>99-L-NL 996L</t>
        </is>
      </c>
      <c r="J18" s="68" t="inlineStr">
        <is>
          <t>626</t>
        </is>
      </c>
      <c r="K18" s="68" t="inlineStr">
        <is>
          <t>VON DUPRIN</t>
        </is>
      </c>
      <c r="L18" s="49">
        <f>IF(F18="","",N(G18)*SUMIF(tk_HWSET,F18,tk_QTY))</f>
        <v/>
      </c>
    </row>
    <row r="19">
      <c r="B19" s="65" t="n"/>
      <c r="C19" s="48" t="n"/>
      <c r="D19" s="66">
        <f>IF(B19="","",SUMIF(tk_HWSET,B19,tk_QTY))</f>
        <v/>
      </c>
      <c r="F19" s="67" t="inlineStr">
        <is>
          <t>3</t>
        </is>
      </c>
      <c r="G19" s="68" t="n">
        <v>1</v>
      </c>
      <c r="H19" s="68" t="inlineStr">
        <is>
          <t>CLOSER</t>
        </is>
      </c>
      <c r="I19" s="68" t="inlineStr">
        <is>
          <t>4040XP SCUSH</t>
        </is>
      </c>
      <c r="J19" s="68" t="inlineStr">
        <is>
          <t>689</t>
        </is>
      </c>
      <c r="K19" s="68" t="inlineStr">
        <is>
          <t>LCN</t>
        </is>
      </c>
      <c r="L19" s="49">
        <f>IF(F19="","",N(G19)*SUMIF(tk_HWSET,F19,tk_QTY))</f>
        <v/>
      </c>
    </row>
    <row r="20">
      <c r="B20" s="65" t="n"/>
      <c r="C20" s="48" t="n"/>
      <c r="D20" s="66">
        <f>IF(B20="","",SUMIF(tk_HWSET,B20,tk_QTY))</f>
        <v/>
      </c>
      <c r="F20" s="67" t="inlineStr">
        <is>
          <t>3</t>
        </is>
      </c>
      <c r="G20" s="68" t="n">
        <v>1</v>
      </c>
      <c r="H20" s="68" t="inlineStr">
        <is>
          <t>THRESHOLD</t>
        </is>
      </c>
      <c r="I20" s="68" t="inlineStr">
        <is>
          <t>171A 36"</t>
        </is>
      </c>
      <c r="J20" s="68" t="inlineStr">
        <is>
          <t>AL</t>
        </is>
      </c>
      <c r="K20" s="68" t="inlineStr">
        <is>
          <t>PEMKO</t>
        </is>
      </c>
      <c r="L20" s="49">
        <f>IF(F20="","",N(G20)*SUMIF(tk_HWSET,F20,tk_QTY))</f>
        <v/>
      </c>
    </row>
    <row r="21">
      <c r="B21" s="65" t="n"/>
      <c r="C21" s="48" t="n"/>
      <c r="D21" s="66">
        <f>IF(B21="","",SUMIF(tk_HWSET,B21,tk_QTY))</f>
        <v/>
      </c>
      <c r="F21" s="67" t="inlineStr">
        <is>
          <t>3</t>
        </is>
      </c>
      <c r="G21" s="68" t="n">
        <v>1</v>
      </c>
      <c r="H21" s="68" t="inlineStr">
        <is>
          <t>WEATHERSTRIP</t>
        </is>
      </c>
      <c r="I21" s="68" t="inlineStr">
        <is>
          <t>303AS head &amp; jambs</t>
        </is>
      </c>
      <c r="J21" s="68" t="inlineStr">
        <is>
          <t>AL</t>
        </is>
      </c>
      <c r="K21" s="68" t="inlineStr">
        <is>
          <t>PEMKO</t>
        </is>
      </c>
      <c r="L21" s="49">
        <f>IF(F21="","",N(G21)*SUMIF(tk_HWSET,F21,tk_QTY))</f>
        <v/>
      </c>
    </row>
    <row r="22">
      <c r="B22" s="65" t="n"/>
      <c r="C22" s="48" t="n"/>
      <c r="D22" s="66">
        <f>IF(B22="","",SUMIF(tk_HWSET,B22,tk_QTY))</f>
        <v/>
      </c>
      <c r="F22" s="67" t="inlineStr">
        <is>
          <t>3</t>
        </is>
      </c>
      <c r="G22" s="68" t="n">
        <v>1</v>
      </c>
      <c r="H22" s="68" t="inlineStr">
        <is>
          <t>SWEEP</t>
        </is>
      </c>
      <c r="I22" s="68" t="inlineStr">
        <is>
          <t>315CN</t>
        </is>
      </c>
      <c r="J22" s="68" t="inlineStr">
        <is>
          <t>AL</t>
        </is>
      </c>
      <c r="K22" s="68" t="inlineStr">
        <is>
          <t>PEMKO</t>
        </is>
      </c>
      <c r="L22" s="49">
        <f>IF(F22="","",N(G22)*SUMIF(tk_HWSET,F22,tk_QTY))</f>
        <v/>
      </c>
    </row>
    <row r="23">
      <c r="B23" s="65" t="n"/>
      <c r="C23" s="48" t="n"/>
      <c r="D23" s="66">
        <f>IF(B23="","",SUMIF(tk_HWSET,B23,tk_QTY))</f>
        <v/>
      </c>
      <c r="F23" s="67" t="n"/>
      <c r="G23" s="68" t="n"/>
      <c r="H23" s="68" t="n"/>
      <c r="I23" s="68" t="n"/>
      <c r="J23" s="68" t="n"/>
      <c r="K23" s="68" t="n"/>
      <c r="L23" s="49">
        <f>IF(F23="","",N(G23)*SUMIF(tk_HWSET,F23,tk_QTY))</f>
        <v/>
      </c>
    </row>
    <row r="24">
      <c r="B24" s="65" t="n"/>
      <c r="C24" s="48" t="n"/>
      <c r="D24" s="66">
        <f>IF(B24="","",SUMIF(tk_HWSET,B24,tk_QTY))</f>
        <v/>
      </c>
      <c r="F24" s="67" t="n"/>
      <c r="G24" s="68" t="n"/>
      <c r="H24" s="68" t="n"/>
      <c r="I24" s="68" t="n"/>
      <c r="J24" s="68" t="n"/>
      <c r="K24" s="68" t="n"/>
      <c r="L24" s="49">
        <f>IF(F24="","",N(G24)*SUMIF(tk_HWSET,F24,tk_QTY))</f>
        <v/>
      </c>
    </row>
    <row r="25">
      <c r="B25" s="65" t="n"/>
      <c r="C25" s="48" t="n"/>
      <c r="D25" s="66">
        <f>IF(B25="","",SUMIF(tk_HWSET,B25,tk_QTY))</f>
        <v/>
      </c>
      <c r="F25" s="67" t="n"/>
      <c r="G25" s="68" t="n"/>
      <c r="H25" s="68" t="n"/>
      <c r="I25" s="68" t="n"/>
      <c r="J25" s="68" t="n"/>
      <c r="K25" s="68" t="n"/>
      <c r="L25" s="49">
        <f>IF(F25="","",N(G25)*SUMIF(tk_HWSET,F25,tk_QTY))</f>
        <v/>
      </c>
    </row>
    <row r="26">
      <c r="B26" s="65" t="n"/>
      <c r="C26" s="48" t="n"/>
      <c r="D26" s="66">
        <f>IF(B26="","",SUMIF(tk_HWSET,B26,tk_QTY))</f>
        <v/>
      </c>
      <c r="F26" s="67" t="n"/>
      <c r="G26" s="68" t="n"/>
      <c r="H26" s="68" t="n"/>
      <c r="I26" s="68" t="n"/>
      <c r="J26" s="68" t="n"/>
      <c r="K26" s="68" t="n"/>
      <c r="L26" s="49">
        <f>IF(F26="","",N(G26)*SUMIF(tk_HWSET,F26,tk_QTY))</f>
        <v/>
      </c>
    </row>
    <row r="27">
      <c r="B27" s="65" t="n"/>
      <c r="C27" s="48" t="n"/>
      <c r="D27" s="66">
        <f>IF(B27="","",SUMIF(tk_HWSET,B27,tk_QTY))</f>
        <v/>
      </c>
      <c r="F27" s="67" t="n"/>
      <c r="G27" s="68" t="n"/>
      <c r="H27" s="68" t="n"/>
      <c r="I27" s="68" t="n"/>
      <c r="J27" s="68" t="n"/>
      <c r="K27" s="68" t="n"/>
      <c r="L27" s="49">
        <f>IF(F27="","",N(G27)*SUMIF(tk_HWSET,F27,tk_QTY))</f>
        <v/>
      </c>
    </row>
    <row r="28">
      <c r="B28" s="65" t="n"/>
      <c r="C28" s="48" t="n"/>
      <c r="D28" s="66">
        <f>IF(B28="","",SUMIF(tk_HWSET,B28,tk_QTY))</f>
        <v/>
      </c>
      <c r="F28" s="67" t="n"/>
      <c r="G28" s="68" t="n"/>
      <c r="H28" s="68" t="n"/>
      <c r="I28" s="68" t="n"/>
      <c r="J28" s="68" t="n"/>
      <c r="K28" s="68" t="n"/>
      <c r="L28" s="49">
        <f>IF(F28="","",N(G28)*SUMIF(tk_HWSET,F28,tk_QTY))</f>
        <v/>
      </c>
    </row>
    <row r="29">
      <c r="B29" s="65" t="n"/>
      <c r="C29" s="48" t="n"/>
      <c r="D29" s="66">
        <f>IF(B29="","",SUMIF(tk_HWSET,B29,tk_QTY))</f>
        <v/>
      </c>
      <c r="F29" s="67" t="n"/>
      <c r="G29" s="68" t="n"/>
      <c r="H29" s="68" t="n"/>
      <c r="I29" s="68" t="n"/>
      <c r="J29" s="68" t="n"/>
      <c r="K29" s="68" t="n"/>
      <c r="L29" s="49">
        <f>IF(F29="","",N(G29)*SUMIF(tk_HWSET,F29,tk_QTY))</f>
        <v/>
      </c>
    </row>
    <row r="30">
      <c r="B30" s="65" t="n"/>
      <c r="C30" s="48" t="n"/>
      <c r="D30" s="66">
        <f>IF(B30="","",SUMIF(tk_HWSET,B30,tk_QTY))</f>
        <v/>
      </c>
      <c r="F30" s="67" t="n"/>
      <c r="G30" s="68" t="n"/>
      <c r="H30" s="68" t="n"/>
      <c r="I30" s="68" t="n"/>
      <c r="J30" s="68" t="n"/>
      <c r="K30" s="68" t="n"/>
      <c r="L30" s="49">
        <f>IF(F30="","",N(G30)*SUMIF(tk_HWSET,F30,tk_QTY))</f>
        <v/>
      </c>
    </row>
    <row r="31">
      <c r="B31" s="65" t="n"/>
      <c r="C31" s="48" t="n"/>
      <c r="D31" s="66">
        <f>IF(B31="","",SUMIF(tk_HWSET,B31,tk_QTY))</f>
        <v/>
      </c>
      <c r="F31" s="67" t="n"/>
      <c r="G31" s="68" t="n"/>
      <c r="H31" s="68" t="n"/>
      <c r="I31" s="68" t="n"/>
      <c r="J31" s="68" t="n"/>
      <c r="K31" s="68" t="n"/>
      <c r="L31" s="49">
        <f>IF(F31="","",N(G31)*SUMIF(tk_HWSET,F31,tk_QTY))</f>
        <v/>
      </c>
    </row>
    <row r="32">
      <c r="B32" s="65" t="n"/>
      <c r="C32" s="48" t="n"/>
      <c r="D32" s="66">
        <f>IF(B32="","",SUMIF(tk_HWSET,B32,tk_QTY))</f>
        <v/>
      </c>
      <c r="F32" s="67" t="n"/>
      <c r="G32" s="68" t="n"/>
      <c r="H32" s="68" t="n"/>
      <c r="I32" s="68" t="n"/>
      <c r="J32" s="68" t="n"/>
      <c r="K32" s="68" t="n"/>
      <c r="L32" s="49">
        <f>IF(F32="","",N(G32)*SUMIF(tk_HWSET,F32,tk_QTY))</f>
        <v/>
      </c>
    </row>
    <row r="33">
      <c r="B33" s="65" t="n"/>
      <c r="C33" s="48" t="n"/>
      <c r="D33" s="66">
        <f>IF(B33="","",SUMIF(tk_HWSET,B33,tk_QTY))</f>
        <v/>
      </c>
      <c r="F33" s="67" t="n"/>
      <c r="G33" s="68" t="n"/>
      <c r="H33" s="68" t="n"/>
      <c r="I33" s="68" t="n"/>
      <c r="J33" s="68" t="n"/>
      <c r="K33" s="68" t="n"/>
      <c r="L33" s="49">
        <f>IF(F33="","",N(G33)*SUMIF(tk_HWSET,F33,tk_QTY))</f>
        <v/>
      </c>
    </row>
    <row r="34">
      <c r="B34" s="65" t="n"/>
      <c r="C34" s="48" t="n"/>
      <c r="D34" s="66">
        <f>IF(B34="","",SUMIF(tk_HWSET,B34,tk_QTY))</f>
        <v/>
      </c>
      <c r="F34" s="67" t="n"/>
      <c r="G34" s="68" t="n"/>
      <c r="H34" s="68" t="n"/>
      <c r="I34" s="68" t="n"/>
      <c r="J34" s="68" t="n"/>
      <c r="K34" s="68" t="n"/>
      <c r="L34" s="49">
        <f>IF(F34="","",N(G34)*SUMIF(tk_HWSET,F34,tk_QTY))</f>
        <v/>
      </c>
    </row>
    <row r="35">
      <c r="B35" s="65" t="n"/>
      <c r="C35" s="48" t="n"/>
      <c r="D35" s="66">
        <f>IF(B35="","",SUMIF(tk_HWSET,B35,tk_QTY))</f>
        <v/>
      </c>
      <c r="F35" s="67" t="n"/>
      <c r="G35" s="68" t="n"/>
      <c r="H35" s="68" t="n"/>
      <c r="I35" s="68" t="n"/>
      <c r="J35" s="68" t="n"/>
      <c r="K35" s="68" t="n"/>
      <c r="L35" s="49">
        <f>IF(F35="","",N(G35)*SUMIF(tk_HWSET,F35,tk_QTY))</f>
        <v/>
      </c>
    </row>
    <row r="36">
      <c r="B36" s="65" t="n"/>
      <c r="C36" s="48" t="n"/>
      <c r="D36" s="66">
        <f>IF(B36="","",SUMIF(tk_HWSET,B36,tk_QTY))</f>
        <v/>
      </c>
      <c r="F36" s="67" t="n"/>
      <c r="G36" s="68" t="n"/>
      <c r="H36" s="68" t="n"/>
      <c r="I36" s="68" t="n"/>
      <c r="J36" s="68" t="n"/>
      <c r="K36" s="68" t="n"/>
      <c r="L36" s="49">
        <f>IF(F36="","",N(G36)*SUMIF(tk_HWSET,F36,tk_QTY))</f>
        <v/>
      </c>
    </row>
    <row r="37">
      <c r="B37" s="65" t="n"/>
      <c r="C37" s="48" t="n"/>
      <c r="D37" s="66">
        <f>IF(B37="","",SUMIF(tk_HWSET,B37,tk_QTY))</f>
        <v/>
      </c>
      <c r="F37" s="67" t="n"/>
      <c r="G37" s="68" t="n"/>
      <c r="H37" s="68" t="n"/>
      <c r="I37" s="68" t="n"/>
      <c r="J37" s="68" t="n"/>
      <c r="K37" s="68" t="n"/>
      <c r="L37" s="49">
        <f>IF(F37="","",N(G37)*SUMIF(tk_HWSET,F37,tk_QTY))</f>
        <v/>
      </c>
    </row>
    <row r="38">
      <c r="B38" s="65" t="n"/>
      <c r="C38" s="48" t="n"/>
      <c r="D38" s="66">
        <f>IF(B38="","",SUMIF(tk_HWSET,B38,tk_QTY))</f>
        <v/>
      </c>
      <c r="F38" s="67" t="n"/>
      <c r="G38" s="68" t="n"/>
      <c r="H38" s="68" t="n"/>
      <c r="I38" s="68" t="n"/>
      <c r="J38" s="68" t="n"/>
      <c r="K38" s="68" t="n"/>
      <c r="L38" s="49">
        <f>IF(F38="","",N(G38)*SUMIF(tk_HWSET,F38,tk_QTY))</f>
        <v/>
      </c>
    </row>
    <row r="39">
      <c r="B39" s="65" t="n"/>
      <c r="C39" s="48" t="n"/>
      <c r="D39" s="66">
        <f>IF(B39="","",SUMIF(tk_HWSET,B39,tk_QTY))</f>
        <v/>
      </c>
      <c r="F39" s="67" t="n"/>
      <c r="G39" s="68" t="n"/>
      <c r="H39" s="68" t="n"/>
      <c r="I39" s="68" t="n"/>
      <c r="J39" s="68" t="n"/>
      <c r="K39" s="68" t="n"/>
      <c r="L39" s="49">
        <f>IF(F39="","",N(G39)*SUMIF(tk_HWSET,F39,tk_QTY))</f>
        <v/>
      </c>
    </row>
    <row r="40">
      <c r="B40" s="65" t="n"/>
      <c r="C40" s="48" t="n"/>
      <c r="D40" s="66">
        <f>IF(B40="","",SUMIF(tk_HWSET,B40,tk_QTY))</f>
        <v/>
      </c>
      <c r="F40" s="67" t="n"/>
      <c r="G40" s="68" t="n"/>
      <c r="H40" s="68" t="n"/>
      <c r="I40" s="68" t="n"/>
      <c r="J40" s="68" t="n"/>
      <c r="K40" s="68" t="n"/>
      <c r="L40" s="49">
        <f>IF(F40="","",N(G40)*SUMIF(tk_HWSET,F40,tk_QTY))</f>
        <v/>
      </c>
    </row>
    <row r="41">
      <c r="B41" s="65" t="n"/>
      <c r="C41" s="48" t="n"/>
      <c r="D41" s="66">
        <f>IF(B41="","",SUMIF(tk_HWSET,B41,tk_QTY))</f>
        <v/>
      </c>
      <c r="F41" s="67" t="n"/>
      <c r="G41" s="68" t="n"/>
      <c r="H41" s="68" t="n"/>
      <c r="I41" s="68" t="n"/>
      <c r="J41" s="68" t="n"/>
      <c r="K41" s="68" t="n"/>
      <c r="L41" s="49">
        <f>IF(F41="","",N(G41)*SUMIF(tk_HWSET,F41,tk_QTY))</f>
        <v/>
      </c>
    </row>
    <row r="42">
      <c r="B42" s="65" t="n"/>
      <c r="C42" s="48" t="n"/>
      <c r="D42" s="66">
        <f>IF(B42="","",SUMIF(tk_HWSET,B42,tk_QTY))</f>
        <v/>
      </c>
      <c r="F42" s="67" t="n"/>
      <c r="G42" s="68" t="n"/>
      <c r="H42" s="68" t="n"/>
      <c r="I42" s="68" t="n"/>
      <c r="J42" s="68" t="n"/>
      <c r="K42" s="68" t="n"/>
      <c r="L42" s="49">
        <f>IF(F42="","",N(G42)*SUMIF(tk_HWSET,F42,tk_QTY))</f>
        <v/>
      </c>
    </row>
    <row r="43">
      <c r="B43" s="65" t="n"/>
      <c r="C43" s="48" t="n"/>
      <c r="D43" s="66">
        <f>IF(B43="","",SUMIF(tk_HWSET,B43,tk_QTY))</f>
        <v/>
      </c>
      <c r="F43" s="67" t="n"/>
      <c r="G43" s="68" t="n"/>
      <c r="H43" s="68" t="n"/>
      <c r="I43" s="68" t="n"/>
      <c r="J43" s="68" t="n"/>
      <c r="K43" s="68" t="n"/>
      <c r="L43" s="49">
        <f>IF(F43="","",N(G43)*SUMIF(tk_HWSET,F43,tk_QTY))</f>
        <v/>
      </c>
    </row>
    <row r="44">
      <c r="B44" s="65" t="n"/>
      <c r="C44" s="48" t="n"/>
      <c r="D44" s="66">
        <f>IF(B44="","",SUMIF(tk_HWSET,B44,tk_QTY))</f>
        <v/>
      </c>
      <c r="F44" s="67" t="n"/>
      <c r="G44" s="68" t="n"/>
      <c r="H44" s="68" t="n"/>
      <c r="I44" s="68" t="n"/>
      <c r="J44" s="68" t="n"/>
      <c r="K44" s="68" t="n"/>
      <c r="L44" s="49">
        <f>IF(F44="","",N(G44)*SUMIF(tk_HWSET,F44,tk_QTY))</f>
        <v/>
      </c>
    </row>
    <row r="45">
      <c r="B45" s="65" t="n"/>
      <c r="C45" s="48" t="n"/>
      <c r="D45" s="66">
        <f>IF(B45="","",SUMIF(tk_HWSET,B45,tk_QTY))</f>
        <v/>
      </c>
      <c r="F45" s="67" t="n"/>
      <c r="G45" s="68" t="n"/>
      <c r="H45" s="68" t="n"/>
      <c r="I45" s="68" t="n"/>
      <c r="J45" s="68" t="n"/>
      <c r="K45" s="68" t="n"/>
      <c r="L45" s="49">
        <f>IF(F45="","",N(G45)*SUMIF(tk_HWSET,F45,tk_QTY))</f>
        <v/>
      </c>
    </row>
    <row r="46">
      <c r="F46" s="67" t="n"/>
      <c r="G46" s="68" t="n"/>
      <c r="H46" s="68" t="n"/>
      <c r="I46" s="68" t="n"/>
      <c r="J46" s="68" t="n"/>
      <c r="K46" s="68" t="n"/>
      <c r="L46" s="49">
        <f>IF(F46="","",N(G46)*SUMIF(tk_HWSET,F46,tk_QTY))</f>
        <v/>
      </c>
    </row>
    <row r="47">
      <c r="F47" s="67" t="n"/>
      <c r="G47" s="68" t="n"/>
      <c r="H47" s="68" t="n"/>
      <c r="I47" s="68" t="n"/>
      <c r="J47" s="68" t="n"/>
      <c r="K47" s="68" t="n"/>
      <c r="L47" s="49">
        <f>IF(F47="","",N(G47)*SUMIF(tk_HWSET,F47,tk_QTY))</f>
        <v/>
      </c>
    </row>
    <row r="48">
      <c r="F48" s="67" t="n"/>
      <c r="G48" s="68" t="n"/>
      <c r="H48" s="68" t="n"/>
      <c r="I48" s="68" t="n"/>
      <c r="J48" s="68" t="n"/>
      <c r="K48" s="68" t="n"/>
      <c r="L48" s="49">
        <f>IF(F48="","",N(G48)*SUMIF(tk_HWSET,F48,tk_QTY))</f>
        <v/>
      </c>
    </row>
    <row r="49">
      <c r="F49" s="67" t="n"/>
      <c r="G49" s="68" t="n"/>
      <c r="H49" s="68" t="n"/>
      <c r="I49" s="68" t="n"/>
      <c r="J49" s="68" t="n"/>
      <c r="K49" s="68" t="n"/>
      <c r="L49" s="49">
        <f>IF(F49="","",N(G49)*SUMIF(tk_HWSET,F49,tk_QTY))</f>
        <v/>
      </c>
    </row>
    <row r="50">
      <c r="F50" s="67" t="n"/>
      <c r="G50" s="68" t="n"/>
      <c r="H50" s="68" t="n"/>
      <c r="I50" s="68" t="n"/>
      <c r="J50" s="68" t="n"/>
      <c r="K50" s="68" t="n"/>
      <c r="L50" s="49">
        <f>IF(F50="","",N(G50)*SUMIF(tk_HWSET,F50,tk_QTY))</f>
        <v/>
      </c>
    </row>
    <row r="51">
      <c r="F51" s="67" t="n"/>
      <c r="G51" s="68" t="n"/>
      <c r="H51" s="68" t="n"/>
      <c r="I51" s="68" t="n"/>
      <c r="J51" s="68" t="n"/>
      <c r="K51" s="68" t="n"/>
      <c r="L51" s="49">
        <f>IF(F51="","",N(G51)*SUMIF(tk_HWSET,F51,tk_QTY))</f>
        <v/>
      </c>
    </row>
    <row r="52">
      <c r="F52" s="67" t="n"/>
      <c r="G52" s="68" t="n"/>
      <c r="H52" s="68" t="n"/>
      <c r="I52" s="68" t="n"/>
      <c r="J52" s="68" t="n"/>
      <c r="K52" s="68" t="n"/>
      <c r="L52" s="49">
        <f>IF(F52="","",N(G52)*SUMIF(tk_HWSET,F52,tk_QTY))</f>
        <v/>
      </c>
    </row>
    <row r="53">
      <c r="F53" s="67" t="n"/>
      <c r="G53" s="68" t="n"/>
      <c r="H53" s="68" t="n"/>
      <c r="I53" s="68" t="n"/>
      <c r="J53" s="68" t="n"/>
      <c r="K53" s="68" t="n"/>
      <c r="L53" s="49">
        <f>IF(F53="","",N(G53)*SUMIF(tk_HWSET,F53,tk_QTY))</f>
        <v/>
      </c>
    </row>
    <row r="54">
      <c r="F54" s="67" t="n"/>
      <c r="G54" s="68" t="n"/>
      <c r="H54" s="68" t="n"/>
      <c r="I54" s="68" t="n"/>
      <c r="J54" s="68" t="n"/>
      <c r="K54" s="68" t="n"/>
      <c r="L54" s="49">
        <f>IF(F54="","",N(G54)*SUMIF(tk_HWSET,F54,tk_QTY))</f>
        <v/>
      </c>
    </row>
    <row r="55">
      <c r="F55" s="67" t="n"/>
      <c r="G55" s="68" t="n"/>
      <c r="H55" s="68" t="n"/>
      <c r="I55" s="68" t="n"/>
      <c r="J55" s="68" t="n"/>
      <c r="K55" s="68" t="n"/>
      <c r="L55" s="49">
        <f>IF(F55="","",N(G55)*SUMIF(tk_HWSET,F55,tk_QTY))</f>
        <v/>
      </c>
    </row>
    <row r="56">
      <c r="F56" s="67" t="n"/>
      <c r="G56" s="68" t="n"/>
      <c r="H56" s="68" t="n"/>
      <c r="I56" s="68" t="n"/>
      <c r="J56" s="68" t="n"/>
      <c r="K56" s="68" t="n"/>
      <c r="L56" s="49">
        <f>IF(F56="","",N(G56)*SUMIF(tk_HWSET,F56,tk_QTY))</f>
        <v/>
      </c>
    </row>
    <row r="57">
      <c r="F57" s="67" t="n"/>
      <c r="G57" s="68" t="n"/>
      <c r="H57" s="68" t="n"/>
      <c r="I57" s="68" t="n"/>
      <c r="J57" s="68" t="n"/>
      <c r="K57" s="68" t="n"/>
      <c r="L57" s="49">
        <f>IF(F57="","",N(G57)*SUMIF(tk_HWSET,F57,tk_QTY))</f>
        <v/>
      </c>
    </row>
    <row r="58">
      <c r="F58" s="67" t="n"/>
      <c r="G58" s="68" t="n"/>
      <c r="H58" s="68" t="n"/>
      <c r="I58" s="68" t="n"/>
      <c r="J58" s="68" t="n"/>
      <c r="K58" s="68" t="n"/>
      <c r="L58" s="49">
        <f>IF(F58="","",N(G58)*SUMIF(tk_HWSET,F58,tk_QTY))</f>
        <v/>
      </c>
    </row>
    <row r="59">
      <c r="F59" s="67" t="n"/>
      <c r="G59" s="68" t="n"/>
      <c r="H59" s="68" t="n"/>
      <c r="I59" s="68" t="n"/>
      <c r="J59" s="68" t="n"/>
      <c r="K59" s="68" t="n"/>
      <c r="L59" s="49">
        <f>IF(F59="","",N(G59)*SUMIF(tk_HWSET,F59,tk_QTY))</f>
        <v/>
      </c>
    </row>
    <row r="60">
      <c r="F60" s="67" t="n"/>
      <c r="G60" s="68" t="n"/>
      <c r="H60" s="68" t="n"/>
      <c r="I60" s="68" t="n"/>
      <c r="J60" s="68" t="n"/>
      <c r="K60" s="68" t="n"/>
      <c r="L60" s="49">
        <f>IF(F60="","",N(G60)*SUMIF(tk_HWSET,F60,tk_QTY))</f>
        <v/>
      </c>
    </row>
    <row r="61">
      <c r="F61" s="67" t="n"/>
      <c r="G61" s="68" t="n"/>
      <c r="H61" s="68" t="n"/>
      <c r="I61" s="68" t="n"/>
      <c r="J61" s="68" t="n"/>
      <c r="K61" s="68" t="n"/>
      <c r="L61" s="49">
        <f>IF(F61="","",N(G61)*SUMIF(tk_HWSET,F61,tk_QTY))</f>
        <v/>
      </c>
    </row>
    <row r="62">
      <c r="F62" s="67" t="n"/>
      <c r="G62" s="68" t="n"/>
      <c r="H62" s="68" t="n"/>
      <c r="I62" s="68" t="n"/>
      <c r="J62" s="68" t="n"/>
      <c r="K62" s="68" t="n"/>
      <c r="L62" s="49">
        <f>IF(F62="","",N(G62)*SUMIF(tk_HWSET,F62,tk_QTY))</f>
        <v/>
      </c>
    </row>
    <row r="63">
      <c r="F63" s="67" t="n"/>
      <c r="G63" s="68" t="n"/>
      <c r="H63" s="68" t="n"/>
      <c r="I63" s="68" t="n"/>
      <c r="J63" s="68" t="n"/>
      <c r="K63" s="68" t="n"/>
      <c r="L63" s="49">
        <f>IF(F63="","",N(G63)*SUMIF(tk_HWSET,F63,tk_QTY))</f>
        <v/>
      </c>
    </row>
    <row r="64">
      <c r="F64" s="67" t="n"/>
      <c r="G64" s="68" t="n"/>
      <c r="H64" s="68" t="n"/>
      <c r="I64" s="68" t="n"/>
      <c r="J64" s="68" t="n"/>
      <c r="K64" s="68" t="n"/>
      <c r="L64" s="49">
        <f>IF(F64="","",N(G64)*SUMIF(tk_HWSET,F64,tk_QTY))</f>
        <v/>
      </c>
    </row>
    <row r="65">
      <c r="F65" s="67" t="n"/>
      <c r="G65" s="68" t="n"/>
      <c r="H65" s="68" t="n"/>
      <c r="I65" s="68" t="n"/>
      <c r="J65" s="68" t="n"/>
      <c r="K65" s="68" t="n"/>
      <c r="L65" s="49">
        <f>IF(F65="","",N(G65)*SUMIF(tk_HWSET,F65,tk_QTY))</f>
        <v/>
      </c>
    </row>
    <row r="66">
      <c r="F66" s="67" t="n"/>
      <c r="G66" s="68" t="n"/>
      <c r="H66" s="68" t="n"/>
      <c r="I66" s="68" t="n"/>
      <c r="J66" s="68" t="n"/>
      <c r="K66" s="68" t="n"/>
      <c r="L66" s="49">
        <f>IF(F66="","",N(G66)*SUMIF(tk_HWSET,F66,tk_QTY))</f>
        <v/>
      </c>
    </row>
    <row r="67">
      <c r="F67" s="67" t="n"/>
      <c r="G67" s="68" t="n"/>
      <c r="H67" s="68" t="n"/>
      <c r="I67" s="68" t="n"/>
      <c r="J67" s="68" t="n"/>
      <c r="K67" s="68" t="n"/>
      <c r="L67" s="49">
        <f>IF(F67="","",N(G67)*SUMIF(tk_HWSET,F67,tk_QTY))</f>
        <v/>
      </c>
    </row>
    <row r="68">
      <c r="F68" s="67" t="n"/>
      <c r="G68" s="68" t="n"/>
      <c r="H68" s="68" t="n"/>
      <c r="I68" s="68" t="n"/>
      <c r="J68" s="68" t="n"/>
      <c r="K68" s="68" t="n"/>
      <c r="L68" s="49">
        <f>IF(F68="","",N(G68)*SUMIF(tk_HWSET,F68,tk_QTY))</f>
        <v/>
      </c>
    </row>
    <row r="69">
      <c r="F69" s="67" t="n"/>
      <c r="G69" s="68" t="n"/>
      <c r="H69" s="68" t="n"/>
      <c r="I69" s="68" t="n"/>
      <c r="J69" s="68" t="n"/>
      <c r="K69" s="68" t="n"/>
      <c r="L69" s="49">
        <f>IF(F69="","",N(G69)*SUMIF(tk_HWSET,F69,tk_QTY))</f>
        <v/>
      </c>
    </row>
    <row r="70">
      <c r="F70" s="67" t="n"/>
      <c r="G70" s="68" t="n"/>
      <c r="H70" s="68" t="n"/>
      <c r="I70" s="68" t="n"/>
      <c r="J70" s="68" t="n"/>
      <c r="K70" s="68" t="n"/>
      <c r="L70" s="49">
        <f>IF(F70="","",N(G70)*SUMIF(tk_HWSET,F70,tk_QTY))</f>
        <v/>
      </c>
    </row>
    <row r="71">
      <c r="F71" s="67" t="n"/>
      <c r="G71" s="68" t="n"/>
      <c r="H71" s="68" t="n"/>
      <c r="I71" s="68" t="n"/>
      <c r="J71" s="68" t="n"/>
      <c r="K71" s="68" t="n"/>
      <c r="L71" s="49">
        <f>IF(F71="","",N(G71)*SUMIF(tk_HWSET,F71,tk_QTY))</f>
        <v/>
      </c>
    </row>
    <row r="72">
      <c r="F72" s="67" t="n"/>
      <c r="G72" s="68" t="n"/>
      <c r="H72" s="68" t="n"/>
      <c r="I72" s="68" t="n"/>
      <c r="J72" s="68" t="n"/>
      <c r="K72" s="68" t="n"/>
      <c r="L72" s="49">
        <f>IF(F72="","",N(G72)*SUMIF(tk_HWSET,F72,tk_QTY))</f>
        <v/>
      </c>
    </row>
    <row r="73">
      <c r="F73" s="67" t="n"/>
      <c r="G73" s="68" t="n"/>
      <c r="H73" s="68" t="n"/>
      <c r="I73" s="68" t="n"/>
      <c r="J73" s="68" t="n"/>
      <c r="K73" s="68" t="n"/>
      <c r="L73" s="49">
        <f>IF(F73="","",N(G73)*SUMIF(tk_HWSET,F73,tk_QTY))</f>
        <v/>
      </c>
    </row>
    <row r="74">
      <c r="F74" s="67" t="n"/>
      <c r="G74" s="68" t="n"/>
      <c r="H74" s="68" t="n"/>
      <c r="I74" s="68" t="n"/>
      <c r="J74" s="68" t="n"/>
      <c r="K74" s="68" t="n"/>
      <c r="L74" s="49">
        <f>IF(F74="","",N(G74)*SUMIF(tk_HWSET,F74,tk_QTY))</f>
        <v/>
      </c>
    </row>
    <row r="75">
      <c r="F75" s="67" t="n"/>
      <c r="G75" s="68" t="n"/>
      <c r="H75" s="68" t="n"/>
      <c r="I75" s="68" t="n"/>
      <c r="J75" s="68" t="n"/>
      <c r="K75" s="68" t="n"/>
      <c r="L75" s="49">
        <f>IF(F75="","",N(G75)*SUMIF(tk_HWSET,F75,tk_QTY))</f>
        <v/>
      </c>
    </row>
    <row r="76">
      <c r="F76" s="67" t="n"/>
      <c r="G76" s="68" t="n"/>
      <c r="H76" s="68" t="n"/>
      <c r="I76" s="68" t="n"/>
      <c r="J76" s="68" t="n"/>
      <c r="K76" s="68" t="n"/>
      <c r="L76" s="49">
        <f>IF(F76="","",N(G76)*SUMIF(tk_HWSET,F76,tk_QTY))</f>
        <v/>
      </c>
    </row>
    <row r="77">
      <c r="F77" s="67" t="n"/>
      <c r="G77" s="68" t="n"/>
      <c r="H77" s="68" t="n"/>
      <c r="I77" s="68" t="n"/>
      <c r="J77" s="68" t="n"/>
      <c r="K77" s="68" t="n"/>
      <c r="L77" s="49">
        <f>IF(F77="","",N(G77)*SUMIF(tk_HWSET,F77,tk_QTY))</f>
        <v/>
      </c>
    </row>
    <row r="78">
      <c r="F78" s="67" t="n"/>
      <c r="G78" s="68" t="n"/>
      <c r="H78" s="68" t="n"/>
      <c r="I78" s="68" t="n"/>
      <c r="J78" s="68" t="n"/>
      <c r="K78" s="68" t="n"/>
      <c r="L78" s="49">
        <f>IF(F78="","",N(G78)*SUMIF(tk_HWSET,F78,tk_QTY))</f>
        <v/>
      </c>
    </row>
    <row r="79">
      <c r="F79" s="67" t="n"/>
      <c r="G79" s="68" t="n"/>
      <c r="H79" s="68" t="n"/>
      <c r="I79" s="68" t="n"/>
      <c r="J79" s="68" t="n"/>
      <c r="K79" s="68" t="n"/>
      <c r="L79" s="49">
        <f>IF(F79="","",N(G79)*SUMIF(tk_HWSET,F79,tk_QTY))</f>
        <v/>
      </c>
    </row>
    <row r="80">
      <c r="F80" s="67" t="n"/>
      <c r="G80" s="68" t="n"/>
      <c r="H80" s="68" t="n"/>
      <c r="I80" s="68" t="n"/>
      <c r="J80" s="68" t="n"/>
      <c r="K80" s="68" t="n"/>
      <c r="L80" s="49">
        <f>IF(F80="","",N(G80)*SUMIF(tk_HWSET,F80,tk_QTY))</f>
        <v/>
      </c>
    </row>
    <row r="81">
      <c r="F81" s="67" t="n"/>
      <c r="G81" s="68" t="n"/>
      <c r="H81" s="68" t="n"/>
      <c r="I81" s="68" t="n"/>
      <c r="J81" s="68" t="n"/>
      <c r="K81" s="68" t="n"/>
      <c r="L81" s="49">
        <f>IF(F81="","",N(G81)*SUMIF(tk_HWSET,F81,tk_QTY))</f>
        <v/>
      </c>
    </row>
    <row r="82">
      <c r="F82" s="67" t="n"/>
      <c r="G82" s="68" t="n"/>
      <c r="H82" s="68" t="n"/>
      <c r="I82" s="68" t="n"/>
      <c r="J82" s="68" t="n"/>
      <c r="K82" s="68" t="n"/>
      <c r="L82" s="49">
        <f>IF(F82="","",N(G82)*SUMIF(tk_HWSET,F82,tk_QTY))</f>
        <v/>
      </c>
    </row>
    <row r="83">
      <c r="F83" s="67" t="n"/>
      <c r="G83" s="68" t="n"/>
      <c r="H83" s="68" t="n"/>
      <c r="I83" s="68" t="n"/>
      <c r="J83" s="68" t="n"/>
      <c r="K83" s="68" t="n"/>
      <c r="L83" s="49">
        <f>IF(F83="","",N(G83)*SUMIF(tk_HWSET,F83,tk_QTY))</f>
        <v/>
      </c>
    </row>
    <row r="84">
      <c r="F84" s="67" t="n"/>
      <c r="G84" s="68" t="n"/>
      <c r="H84" s="68" t="n"/>
      <c r="I84" s="68" t="n"/>
      <c r="J84" s="68" t="n"/>
      <c r="K84" s="68" t="n"/>
      <c r="L84" s="49">
        <f>IF(F84="","",N(G84)*SUMIF(tk_HWSET,F84,tk_QTY))</f>
        <v/>
      </c>
    </row>
    <row r="85">
      <c r="F85" s="67" t="n"/>
      <c r="G85" s="68" t="n"/>
      <c r="H85" s="68" t="n"/>
      <c r="I85" s="68" t="n"/>
      <c r="J85" s="68" t="n"/>
      <c r="K85" s="68" t="n"/>
      <c r="L85" s="49">
        <f>IF(F85="","",N(G85)*SUMIF(tk_HWSET,F85,tk_QTY))</f>
        <v/>
      </c>
    </row>
    <row r="86">
      <c r="F86" s="67" t="n"/>
      <c r="G86" s="68" t="n"/>
      <c r="H86" s="68" t="n"/>
      <c r="I86" s="68" t="n"/>
      <c r="J86" s="68" t="n"/>
      <c r="K86" s="68" t="n"/>
      <c r="L86" s="49">
        <f>IF(F86="","",N(G86)*SUMIF(tk_HWSET,F86,tk_QTY))</f>
        <v/>
      </c>
    </row>
    <row r="87">
      <c r="F87" s="67" t="n"/>
      <c r="G87" s="68" t="n"/>
      <c r="H87" s="68" t="n"/>
      <c r="I87" s="68" t="n"/>
      <c r="J87" s="68" t="n"/>
      <c r="K87" s="68" t="n"/>
      <c r="L87" s="49">
        <f>IF(F87="","",N(G87)*SUMIF(tk_HWSET,F87,tk_QTY))</f>
        <v/>
      </c>
    </row>
    <row r="88">
      <c r="F88" s="67" t="n"/>
      <c r="G88" s="68" t="n"/>
      <c r="H88" s="68" t="n"/>
      <c r="I88" s="68" t="n"/>
      <c r="J88" s="68" t="n"/>
      <c r="K88" s="68" t="n"/>
      <c r="L88" s="49">
        <f>IF(F88="","",N(G88)*SUMIF(tk_HWSET,F88,tk_QTY))</f>
        <v/>
      </c>
    </row>
    <row r="89">
      <c r="F89" s="67" t="n"/>
      <c r="G89" s="68" t="n"/>
      <c r="H89" s="68" t="n"/>
      <c r="I89" s="68" t="n"/>
      <c r="J89" s="68" t="n"/>
      <c r="K89" s="68" t="n"/>
      <c r="L89" s="49">
        <f>IF(F89="","",N(G89)*SUMIF(tk_HWSET,F89,tk_QTY))</f>
        <v/>
      </c>
    </row>
    <row r="90">
      <c r="F90" s="67" t="n"/>
      <c r="G90" s="68" t="n"/>
      <c r="H90" s="68" t="n"/>
      <c r="I90" s="68" t="n"/>
      <c r="J90" s="68" t="n"/>
      <c r="K90" s="68" t="n"/>
      <c r="L90" s="49">
        <f>IF(F90="","",N(G90)*SUMIF(tk_HWSET,F90,tk_QTY))</f>
        <v/>
      </c>
    </row>
    <row r="91">
      <c r="F91" s="67" t="n"/>
      <c r="G91" s="68" t="n"/>
      <c r="H91" s="68" t="n"/>
      <c r="I91" s="68" t="n"/>
      <c r="J91" s="68" t="n"/>
      <c r="K91" s="68" t="n"/>
      <c r="L91" s="49">
        <f>IF(F91="","",N(G91)*SUMIF(tk_HWSET,F91,tk_QTY))</f>
        <v/>
      </c>
    </row>
    <row r="92">
      <c r="F92" s="67" t="n"/>
      <c r="G92" s="68" t="n"/>
      <c r="H92" s="68" t="n"/>
      <c r="I92" s="68" t="n"/>
      <c r="J92" s="68" t="n"/>
      <c r="K92" s="68" t="n"/>
      <c r="L92" s="49">
        <f>IF(F92="","",N(G92)*SUMIF(tk_HWSET,F92,tk_QTY))</f>
        <v/>
      </c>
    </row>
    <row r="93">
      <c r="F93" s="67" t="n"/>
      <c r="G93" s="68" t="n"/>
      <c r="H93" s="68" t="n"/>
      <c r="I93" s="68" t="n"/>
      <c r="J93" s="68" t="n"/>
      <c r="K93" s="68" t="n"/>
      <c r="L93" s="49">
        <f>IF(F93="","",N(G93)*SUMIF(tk_HWSET,F93,tk_QTY))</f>
        <v/>
      </c>
    </row>
    <row r="94">
      <c r="F94" s="67" t="n"/>
      <c r="G94" s="68" t="n"/>
      <c r="H94" s="68" t="n"/>
      <c r="I94" s="68" t="n"/>
      <c r="J94" s="68" t="n"/>
      <c r="K94" s="68" t="n"/>
      <c r="L94" s="49">
        <f>IF(F94="","",N(G94)*SUMIF(tk_HWSET,F94,tk_QTY))</f>
        <v/>
      </c>
    </row>
    <row r="95">
      <c r="F95" s="67" t="n"/>
      <c r="G95" s="68" t="n"/>
      <c r="H95" s="68" t="n"/>
      <c r="I95" s="68" t="n"/>
      <c r="J95" s="68" t="n"/>
      <c r="K95" s="68" t="n"/>
      <c r="L95" s="49">
        <f>IF(F95="","",N(G95)*SUMIF(tk_HWSET,F95,tk_QTY))</f>
        <v/>
      </c>
    </row>
    <row r="96">
      <c r="F96" s="67" t="n"/>
      <c r="G96" s="68" t="n"/>
      <c r="H96" s="68" t="n"/>
      <c r="I96" s="68" t="n"/>
      <c r="J96" s="68" t="n"/>
      <c r="K96" s="68" t="n"/>
      <c r="L96" s="49">
        <f>IF(F96="","",N(G96)*SUMIF(tk_HWSET,F96,tk_QTY))</f>
        <v/>
      </c>
    </row>
    <row r="97">
      <c r="F97" s="67" t="n"/>
      <c r="G97" s="68" t="n"/>
      <c r="H97" s="68" t="n"/>
      <c r="I97" s="68" t="n"/>
      <c r="J97" s="68" t="n"/>
      <c r="K97" s="68" t="n"/>
      <c r="L97" s="49">
        <f>IF(F97="","",N(G97)*SUMIF(tk_HWSET,F97,tk_QTY))</f>
        <v/>
      </c>
    </row>
    <row r="98">
      <c r="F98" s="67" t="n"/>
      <c r="G98" s="68" t="n"/>
      <c r="H98" s="68" t="n"/>
      <c r="I98" s="68" t="n"/>
      <c r="J98" s="68" t="n"/>
      <c r="K98" s="68" t="n"/>
      <c r="L98" s="49">
        <f>IF(F98="","",N(G98)*SUMIF(tk_HWSET,F98,tk_QTY))</f>
        <v/>
      </c>
    </row>
    <row r="99">
      <c r="F99" s="67" t="n"/>
      <c r="G99" s="68" t="n"/>
      <c r="H99" s="68" t="n"/>
      <c r="I99" s="68" t="n"/>
      <c r="J99" s="68" t="n"/>
      <c r="K99" s="68" t="n"/>
      <c r="L99" s="49">
        <f>IF(F99="","",N(G99)*SUMIF(tk_HWSET,F99,tk_QTY))</f>
        <v/>
      </c>
    </row>
    <row r="100">
      <c r="F100" s="67" t="n"/>
      <c r="G100" s="68" t="n"/>
      <c r="H100" s="68" t="n"/>
      <c r="I100" s="68" t="n"/>
      <c r="J100" s="68" t="n"/>
      <c r="K100" s="68" t="n"/>
      <c r="L100" s="49">
        <f>IF(F100="","",N(G100)*SUMIF(tk_HWSET,F100,tk_QTY))</f>
        <v/>
      </c>
    </row>
    <row r="101">
      <c r="F101" s="67" t="n"/>
      <c r="G101" s="68" t="n"/>
      <c r="H101" s="68" t="n"/>
      <c r="I101" s="68" t="n"/>
      <c r="J101" s="68" t="n"/>
      <c r="K101" s="68" t="n"/>
      <c r="L101" s="49">
        <f>IF(F101="","",N(G101)*SUMIF(tk_HWSET,F101,tk_QTY))</f>
        <v/>
      </c>
    </row>
    <row r="102">
      <c r="F102" s="67" t="n"/>
      <c r="G102" s="68" t="n"/>
      <c r="H102" s="68" t="n"/>
      <c r="I102" s="68" t="n"/>
      <c r="J102" s="68" t="n"/>
      <c r="K102" s="68" t="n"/>
      <c r="L102" s="49">
        <f>IF(F102="","",N(G102)*SUMIF(tk_HWSET,F102,tk_QTY))</f>
        <v/>
      </c>
    </row>
    <row r="103">
      <c r="F103" s="67" t="n"/>
      <c r="G103" s="68" t="n"/>
      <c r="H103" s="68" t="n"/>
      <c r="I103" s="68" t="n"/>
      <c r="J103" s="68" t="n"/>
      <c r="K103" s="68" t="n"/>
      <c r="L103" s="49">
        <f>IF(F103="","",N(G103)*SUMIF(tk_HWSET,F103,tk_QTY))</f>
        <v/>
      </c>
    </row>
    <row r="104">
      <c r="F104" s="67" t="n"/>
      <c r="G104" s="68" t="n"/>
      <c r="H104" s="68" t="n"/>
      <c r="I104" s="68" t="n"/>
      <c r="J104" s="68" t="n"/>
      <c r="K104" s="68" t="n"/>
      <c r="L104" s="49">
        <f>IF(F104="","",N(G104)*SUMIF(tk_HWSET,F104,tk_QTY))</f>
        <v/>
      </c>
    </row>
    <row r="105">
      <c r="F105" s="67" t="n"/>
      <c r="G105" s="68" t="n"/>
      <c r="H105" s="68" t="n"/>
      <c r="I105" s="68" t="n"/>
      <c r="J105" s="68" t="n"/>
      <c r="K105" s="68" t="n"/>
      <c r="L105" s="49">
        <f>IF(F105="","",N(G105)*SUMIF(tk_HWSET,F105,tk_QTY))</f>
        <v/>
      </c>
    </row>
    <row r="106">
      <c r="F106" s="67" t="n"/>
      <c r="G106" s="68" t="n"/>
      <c r="H106" s="68" t="n"/>
      <c r="I106" s="68" t="n"/>
      <c r="J106" s="68" t="n"/>
      <c r="K106" s="68" t="n"/>
      <c r="L106" s="49">
        <f>IF(F106="","",N(G106)*SUMIF(tk_HWSET,F106,tk_QTY))</f>
        <v/>
      </c>
    </row>
    <row r="107">
      <c r="F107" s="67" t="n"/>
      <c r="G107" s="68" t="n"/>
      <c r="H107" s="68" t="n"/>
      <c r="I107" s="68" t="n"/>
      <c r="J107" s="68" t="n"/>
      <c r="K107" s="68" t="n"/>
      <c r="L107" s="49">
        <f>IF(F107="","",N(G107)*SUMIF(tk_HWSET,F107,tk_QTY))</f>
        <v/>
      </c>
    </row>
    <row r="108">
      <c r="F108" s="67" t="n"/>
      <c r="G108" s="68" t="n"/>
      <c r="H108" s="68" t="n"/>
      <c r="I108" s="68" t="n"/>
      <c r="J108" s="68" t="n"/>
      <c r="K108" s="68" t="n"/>
      <c r="L108" s="49">
        <f>IF(F108="","",N(G108)*SUMIF(tk_HWSET,F108,tk_QTY))</f>
        <v/>
      </c>
    </row>
    <row r="109">
      <c r="F109" s="67" t="n"/>
      <c r="G109" s="68" t="n"/>
      <c r="H109" s="68" t="n"/>
      <c r="I109" s="68" t="n"/>
      <c r="J109" s="68" t="n"/>
      <c r="K109" s="68" t="n"/>
      <c r="L109" s="49">
        <f>IF(F109="","",N(G109)*SUMIF(tk_HWSET,F109,tk_QTY))</f>
        <v/>
      </c>
    </row>
    <row r="110">
      <c r="F110" s="67" t="n"/>
      <c r="G110" s="68" t="n"/>
      <c r="H110" s="68" t="n"/>
      <c r="I110" s="68" t="n"/>
      <c r="J110" s="68" t="n"/>
      <c r="K110" s="68" t="n"/>
      <c r="L110" s="49">
        <f>IF(F110="","",N(G110)*SUMIF(tk_HWSET,F110,tk_QTY))</f>
        <v/>
      </c>
    </row>
    <row r="111">
      <c r="F111" s="67" t="n"/>
      <c r="G111" s="68" t="n"/>
      <c r="H111" s="68" t="n"/>
      <c r="I111" s="68" t="n"/>
      <c r="J111" s="68" t="n"/>
      <c r="K111" s="68" t="n"/>
      <c r="L111" s="49">
        <f>IF(F111="","",N(G111)*SUMIF(tk_HWSET,F111,tk_QTY))</f>
        <v/>
      </c>
    </row>
    <row r="112">
      <c r="F112" s="67" t="n"/>
      <c r="G112" s="68" t="n"/>
      <c r="H112" s="68" t="n"/>
      <c r="I112" s="68" t="n"/>
      <c r="J112" s="68" t="n"/>
      <c r="K112" s="68" t="n"/>
      <c r="L112" s="49">
        <f>IF(F112="","",N(G112)*SUMIF(tk_HWSET,F112,tk_QTY))</f>
        <v/>
      </c>
    </row>
    <row r="113">
      <c r="F113" s="67" t="n"/>
      <c r="G113" s="68" t="n"/>
      <c r="H113" s="68" t="n"/>
      <c r="I113" s="68" t="n"/>
      <c r="J113" s="68" t="n"/>
      <c r="K113" s="68" t="n"/>
      <c r="L113" s="49">
        <f>IF(F113="","",N(G113)*SUMIF(tk_HWSET,F113,tk_QTY))</f>
        <v/>
      </c>
    </row>
    <row r="114">
      <c r="F114" s="67" t="n"/>
      <c r="G114" s="68" t="n"/>
      <c r="H114" s="68" t="n"/>
      <c r="I114" s="68" t="n"/>
      <c r="J114" s="68" t="n"/>
      <c r="K114" s="68" t="n"/>
      <c r="L114" s="49">
        <f>IF(F114="","",N(G114)*SUMIF(tk_HWSET,F114,tk_QTY))</f>
        <v/>
      </c>
    </row>
    <row r="115">
      <c r="F115" s="67" t="n"/>
      <c r="G115" s="68" t="n"/>
      <c r="H115" s="68" t="n"/>
      <c r="I115" s="68" t="n"/>
      <c r="J115" s="68" t="n"/>
      <c r="K115" s="68" t="n"/>
      <c r="L115" s="49">
        <f>IF(F115="","",N(G115)*SUMIF(tk_HWSET,F115,tk_QTY))</f>
        <v/>
      </c>
    </row>
    <row r="116">
      <c r="F116" s="67" t="n"/>
      <c r="G116" s="68" t="n"/>
      <c r="H116" s="68" t="n"/>
      <c r="I116" s="68" t="n"/>
      <c r="J116" s="68" t="n"/>
      <c r="K116" s="68" t="n"/>
      <c r="L116" s="49">
        <f>IF(F116="","",N(G116)*SUMIF(tk_HWSET,F116,tk_QTY))</f>
        <v/>
      </c>
    </row>
    <row r="117">
      <c r="F117" s="67" t="n"/>
      <c r="G117" s="68" t="n"/>
      <c r="H117" s="68" t="n"/>
      <c r="I117" s="68" t="n"/>
      <c r="J117" s="68" t="n"/>
      <c r="K117" s="68" t="n"/>
      <c r="L117" s="49">
        <f>IF(F117="","",N(G117)*SUMIF(tk_HWSET,F117,tk_QTY))</f>
        <v/>
      </c>
    </row>
    <row r="118">
      <c r="F118" s="67" t="n"/>
      <c r="G118" s="68" t="n"/>
      <c r="H118" s="68" t="n"/>
      <c r="I118" s="68" t="n"/>
      <c r="J118" s="68" t="n"/>
      <c r="K118" s="68" t="n"/>
      <c r="L118" s="49">
        <f>IF(F118="","",N(G118)*SUMIF(tk_HWSET,F118,tk_QTY))</f>
        <v/>
      </c>
    </row>
    <row r="119">
      <c r="F119" s="67" t="n"/>
      <c r="G119" s="68" t="n"/>
      <c r="H119" s="68" t="n"/>
      <c r="I119" s="68" t="n"/>
      <c r="J119" s="68" t="n"/>
      <c r="K119" s="68" t="n"/>
      <c r="L119" s="49">
        <f>IF(F119="","",N(G119)*SUMIF(tk_HWSET,F119,tk_QTY))</f>
        <v/>
      </c>
    </row>
    <row r="120">
      <c r="F120" s="67" t="n"/>
      <c r="G120" s="68" t="n"/>
      <c r="H120" s="68" t="n"/>
      <c r="I120" s="68" t="n"/>
      <c r="J120" s="68" t="n"/>
      <c r="K120" s="68" t="n"/>
      <c r="L120" s="49">
        <f>IF(F120="","",N(G120)*SUMIF(tk_HWSET,F120,tk_QTY))</f>
        <v/>
      </c>
    </row>
    <row r="121">
      <c r="F121" s="67" t="n"/>
      <c r="G121" s="68" t="n"/>
      <c r="H121" s="68" t="n"/>
      <c r="I121" s="68" t="n"/>
      <c r="J121" s="68" t="n"/>
      <c r="K121" s="68" t="n"/>
      <c r="L121" s="49">
        <f>IF(F121="","",N(G121)*SUMIF(tk_HWSET,F121,tk_QTY))</f>
        <v/>
      </c>
    </row>
    <row r="122">
      <c r="F122" s="67" t="n"/>
      <c r="G122" s="68" t="n"/>
      <c r="H122" s="68" t="n"/>
      <c r="I122" s="68" t="n"/>
      <c r="J122" s="68" t="n"/>
      <c r="K122" s="68" t="n"/>
      <c r="L122" s="49">
        <f>IF(F122="","",N(G122)*SUMIF(tk_HWSET,F122,tk_QTY))</f>
        <v/>
      </c>
    </row>
    <row r="123">
      <c r="F123" s="67" t="n"/>
      <c r="G123" s="68" t="n"/>
      <c r="H123" s="68" t="n"/>
      <c r="I123" s="68" t="n"/>
      <c r="J123" s="68" t="n"/>
      <c r="K123" s="68" t="n"/>
      <c r="L123" s="49">
        <f>IF(F123="","",N(G123)*SUMIF(tk_HWSET,F123,tk_QTY))</f>
        <v/>
      </c>
    </row>
    <row r="124">
      <c r="F124" s="67" t="n"/>
      <c r="G124" s="68" t="n"/>
      <c r="H124" s="68" t="n"/>
      <c r="I124" s="68" t="n"/>
      <c r="J124" s="68" t="n"/>
      <c r="K124" s="68" t="n"/>
      <c r="L124" s="49">
        <f>IF(F124="","",N(G124)*SUMIF(tk_HWSET,F124,tk_QTY))</f>
        <v/>
      </c>
    </row>
    <row r="125">
      <c r="F125" s="67" t="n"/>
      <c r="G125" s="68" t="n"/>
      <c r="H125" s="68" t="n"/>
      <c r="I125" s="68" t="n"/>
      <c r="J125" s="68" t="n"/>
      <c r="K125" s="68" t="n"/>
      <c r="L125" s="49">
        <f>IF(F125="","",N(G125)*SUMIF(tk_HWSET,F125,tk_QTY))</f>
        <v/>
      </c>
    </row>
    <row r="126">
      <c r="F126" s="67" t="n"/>
      <c r="G126" s="68" t="n"/>
      <c r="H126" s="68" t="n"/>
      <c r="I126" s="68" t="n"/>
      <c r="J126" s="68" t="n"/>
      <c r="K126" s="68" t="n"/>
      <c r="L126" s="49">
        <f>IF(F126="","",N(G126)*SUMIF(tk_HWSET,F126,tk_QTY))</f>
        <v/>
      </c>
    </row>
    <row r="127">
      <c r="F127" s="67" t="n"/>
      <c r="G127" s="68" t="n"/>
      <c r="H127" s="68" t="n"/>
      <c r="I127" s="68" t="n"/>
      <c r="J127" s="68" t="n"/>
      <c r="K127" s="68" t="n"/>
      <c r="L127" s="49">
        <f>IF(F127="","",N(G127)*SUMIF(tk_HWSET,F127,tk_QTY))</f>
        <v/>
      </c>
    </row>
    <row r="128">
      <c r="F128" s="67" t="n"/>
      <c r="G128" s="68" t="n"/>
      <c r="H128" s="68" t="n"/>
      <c r="I128" s="68" t="n"/>
      <c r="J128" s="68" t="n"/>
      <c r="K128" s="68" t="n"/>
      <c r="L128" s="49">
        <f>IF(F128="","",N(G128)*SUMIF(tk_HWSET,F128,tk_QTY))</f>
        <v/>
      </c>
    </row>
    <row r="129">
      <c r="F129" s="67" t="n"/>
      <c r="G129" s="68" t="n"/>
      <c r="H129" s="68" t="n"/>
      <c r="I129" s="68" t="n"/>
      <c r="J129" s="68" t="n"/>
      <c r="K129" s="68" t="n"/>
      <c r="L129" s="49">
        <f>IF(F129="","",N(G129)*SUMIF(tk_HWSET,F129,tk_QTY))</f>
        <v/>
      </c>
    </row>
    <row r="130">
      <c r="F130" s="67" t="n"/>
      <c r="G130" s="68" t="n"/>
      <c r="H130" s="68" t="n"/>
      <c r="I130" s="68" t="n"/>
      <c r="J130" s="68" t="n"/>
      <c r="K130" s="68" t="n"/>
      <c r="L130" s="49">
        <f>IF(F130="","",N(G130)*SUMIF(tk_HWSET,F130,tk_QTY))</f>
        <v/>
      </c>
    </row>
    <row r="131">
      <c r="F131" s="67" t="n"/>
      <c r="G131" s="68" t="n"/>
      <c r="H131" s="68" t="n"/>
      <c r="I131" s="68" t="n"/>
      <c r="J131" s="68" t="n"/>
      <c r="K131" s="68" t="n"/>
      <c r="L131" s="49">
        <f>IF(F131="","",N(G131)*SUMIF(tk_HWSET,F131,tk_QTY))</f>
        <v/>
      </c>
    </row>
    <row r="132">
      <c r="F132" s="67" t="n"/>
      <c r="G132" s="68" t="n"/>
      <c r="H132" s="68" t="n"/>
      <c r="I132" s="68" t="n"/>
      <c r="J132" s="68" t="n"/>
      <c r="K132" s="68" t="n"/>
      <c r="L132" s="49">
        <f>IF(F132="","",N(G132)*SUMIF(tk_HWSET,F132,tk_QTY))</f>
        <v/>
      </c>
    </row>
    <row r="133">
      <c r="F133" s="67" t="n"/>
      <c r="G133" s="68" t="n"/>
      <c r="H133" s="68" t="n"/>
      <c r="I133" s="68" t="n"/>
      <c r="J133" s="68" t="n"/>
      <c r="K133" s="68" t="n"/>
      <c r="L133" s="49">
        <f>IF(F133="","",N(G133)*SUMIF(tk_HWSET,F133,tk_QTY))</f>
        <v/>
      </c>
    </row>
    <row r="134">
      <c r="F134" s="67" t="n"/>
      <c r="G134" s="68" t="n"/>
      <c r="H134" s="68" t="n"/>
      <c r="I134" s="68" t="n"/>
      <c r="J134" s="68" t="n"/>
      <c r="K134" s="68" t="n"/>
      <c r="L134" s="49">
        <f>IF(F134="","",N(G134)*SUMIF(tk_HWSET,F134,tk_QTY))</f>
        <v/>
      </c>
    </row>
    <row r="135">
      <c r="F135" s="67" t="n"/>
      <c r="G135" s="68" t="n"/>
      <c r="H135" s="68" t="n"/>
      <c r="I135" s="68" t="n"/>
      <c r="J135" s="68" t="n"/>
      <c r="K135" s="68" t="n"/>
      <c r="L135" s="49">
        <f>IF(F135="","",N(G135)*SUMIF(tk_HWSET,F135,tk_QTY))</f>
        <v/>
      </c>
    </row>
    <row r="136">
      <c r="F136" s="67" t="n"/>
      <c r="G136" s="68" t="n"/>
      <c r="H136" s="68" t="n"/>
      <c r="I136" s="68" t="n"/>
      <c r="J136" s="68" t="n"/>
      <c r="K136" s="68" t="n"/>
      <c r="L136" s="49">
        <f>IF(F136="","",N(G136)*SUMIF(tk_HWSET,F136,tk_QTY))</f>
        <v/>
      </c>
    </row>
    <row r="137">
      <c r="F137" s="67" t="n"/>
      <c r="G137" s="68" t="n"/>
      <c r="H137" s="68" t="n"/>
      <c r="I137" s="68" t="n"/>
      <c r="J137" s="68" t="n"/>
      <c r="K137" s="68" t="n"/>
      <c r="L137" s="49">
        <f>IF(F137="","",N(G137)*SUMIF(tk_HWSET,F137,tk_QTY))</f>
        <v/>
      </c>
    </row>
    <row r="138">
      <c r="F138" s="67" t="n"/>
      <c r="G138" s="68" t="n"/>
      <c r="H138" s="68" t="n"/>
      <c r="I138" s="68" t="n"/>
      <c r="J138" s="68" t="n"/>
      <c r="K138" s="68" t="n"/>
      <c r="L138" s="49">
        <f>IF(F138="","",N(G138)*SUMIF(tk_HWSET,F138,tk_QTY))</f>
        <v/>
      </c>
    </row>
    <row r="139">
      <c r="F139" s="67" t="n"/>
      <c r="G139" s="68" t="n"/>
      <c r="H139" s="68" t="n"/>
      <c r="I139" s="68" t="n"/>
      <c r="J139" s="68" t="n"/>
      <c r="K139" s="68" t="n"/>
      <c r="L139" s="49">
        <f>IF(F139="","",N(G139)*SUMIF(tk_HWSET,F139,tk_QTY))</f>
        <v/>
      </c>
    </row>
    <row r="140">
      <c r="F140" s="67" t="n"/>
      <c r="G140" s="68" t="n"/>
      <c r="H140" s="68" t="n"/>
      <c r="I140" s="68" t="n"/>
      <c r="J140" s="68" t="n"/>
      <c r="K140" s="68" t="n"/>
      <c r="L140" s="49">
        <f>IF(F140="","",N(G140)*SUMIF(tk_HWSET,F140,tk_QTY))</f>
        <v/>
      </c>
    </row>
    <row r="141">
      <c r="F141" s="67" t="n"/>
      <c r="G141" s="68" t="n"/>
      <c r="H141" s="68" t="n"/>
      <c r="I141" s="68" t="n"/>
      <c r="J141" s="68" t="n"/>
      <c r="K141" s="68" t="n"/>
      <c r="L141" s="49">
        <f>IF(F141="","",N(G141)*SUMIF(tk_HWSET,F141,tk_QTY))</f>
        <v/>
      </c>
    </row>
    <row r="142">
      <c r="F142" s="67" t="n"/>
      <c r="G142" s="68" t="n"/>
      <c r="H142" s="68" t="n"/>
      <c r="I142" s="68" t="n"/>
      <c r="J142" s="68" t="n"/>
      <c r="K142" s="68" t="n"/>
      <c r="L142" s="49">
        <f>IF(F142="","",N(G142)*SUMIF(tk_HWSET,F142,tk_QTY))</f>
        <v/>
      </c>
    </row>
    <row r="143">
      <c r="F143" s="67" t="n"/>
      <c r="G143" s="68" t="n"/>
      <c r="H143" s="68" t="n"/>
      <c r="I143" s="68" t="n"/>
      <c r="J143" s="68" t="n"/>
      <c r="K143" s="68" t="n"/>
      <c r="L143" s="49">
        <f>IF(F143="","",N(G143)*SUMIF(tk_HWSET,F143,tk_QTY))</f>
        <v/>
      </c>
    </row>
    <row r="144">
      <c r="F144" s="67" t="n"/>
      <c r="G144" s="68" t="n"/>
      <c r="H144" s="68" t="n"/>
      <c r="I144" s="68" t="n"/>
      <c r="J144" s="68" t="n"/>
      <c r="K144" s="68" t="n"/>
      <c r="L144" s="49">
        <f>IF(F144="","",N(G144)*SUMIF(tk_HWSET,F144,tk_QTY))</f>
        <v/>
      </c>
    </row>
    <row r="145">
      <c r="F145" s="67" t="n"/>
      <c r="G145" s="68" t="n"/>
      <c r="H145" s="68" t="n"/>
      <c r="I145" s="68" t="n"/>
      <c r="J145" s="68" t="n"/>
      <c r="K145" s="68" t="n"/>
      <c r="L145" s="49">
        <f>IF(F145="","",N(G145)*SUMIF(tk_HWSET,F145,tk_QTY))</f>
        <v/>
      </c>
    </row>
    <row r="146">
      <c r="F146" s="67" t="n"/>
      <c r="G146" s="68" t="n"/>
      <c r="H146" s="68" t="n"/>
      <c r="I146" s="68" t="n"/>
      <c r="J146" s="68" t="n"/>
      <c r="K146" s="68" t="n"/>
      <c r="L146" s="49">
        <f>IF(F146="","",N(G146)*SUMIF(tk_HWSET,F146,tk_QTY))</f>
        <v/>
      </c>
    </row>
    <row r="147">
      <c r="F147" s="67" t="n"/>
      <c r="G147" s="68" t="n"/>
      <c r="H147" s="68" t="n"/>
      <c r="I147" s="68" t="n"/>
      <c r="J147" s="68" t="n"/>
      <c r="K147" s="68" t="n"/>
      <c r="L147" s="49">
        <f>IF(F147="","",N(G147)*SUMIF(tk_HWSET,F147,tk_QTY))</f>
        <v/>
      </c>
    </row>
    <row r="148">
      <c r="F148" s="67" t="n"/>
      <c r="G148" s="68" t="n"/>
      <c r="H148" s="68" t="n"/>
      <c r="I148" s="68" t="n"/>
      <c r="J148" s="68" t="n"/>
      <c r="K148" s="68" t="n"/>
      <c r="L148" s="49">
        <f>IF(F148="","",N(G148)*SUMIF(tk_HWSET,F148,tk_QTY))</f>
        <v/>
      </c>
    </row>
    <row r="149">
      <c r="F149" s="67" t="n"/>
      <c r="G149" s="68" t="n"/>
      <c r="H149" s="68" t="n"/>
      <c r="I149" s="68" t="n"/>
      <c r="J149" s="68" t="n"/>
      <c r="K149" s="68" t="n"/>
      <c r="L149" s="49">
        <f>IF(F149="","",N(G149)*SUMIF(tk_HWSET,F149,tk_QTY))</f>
        <v/>
      </c>
    </row>
    <row r="150">
      <c r="F150" s="67" t="n"/>
      <c r="G150" s="68" t="n"/>
      <c r="H150" s="68" t="n"/>
      <c r="I150" s="68" t="n"/>
      <c r="J150" s="68" t="n"/>
      <c r="K150" s="68" t="n"/>
      <c r="L150" s="49">
        <f>IF(F150="","",N(G150)*SUMIF(tk_HWSET,F150,tk_QTY))</f>
        <v/>
      </c>
    </row>
    <row r="151">
      <c r="F151" s="67" t="n"/>
      <c r="G151" s="68" t="n"/>
      <c r="H151" s="68" t="n"/>
      <c r="I151" s="68" t="n"/>
      <c r="J151" s="68" t="n"/>
      <c r="K151" s="68" t="n"/>
      <c r="L151" s="49">
        <f>IF(F151="","",N(G151)*SUMIF(tk_HWSET,F151,tk_QTY))</f>
        <v/>
      </c>
    </row>
    <row r="152">
      <c r="F152" s="67" t="n"/>
      <c r="G152" s="68" t="n"/>
      <c r="H152" s="68" t="n"/>
      <c r="I152" s="68" t="n"/>
      <c r="J152" s="68" t="n"/>
      <c r="K152" s="68" t="n"/>
      <c r="L152" s="49">
        <f>IF(F152="","",N(G152)*SUMIF(tk_HWSET,F152,tk_QTY))</f>
        <v/>
      </c>
    </row>
    <row r="153">
      <c r="F153" s="67" t="n"/>
      <c r="G153" s="68" t="n"/>
      <c r="H153" s="68" t="n"/>
      <c r="I153" s="68" t="n"/>
      <c r="J153" s="68" t="n"/>
      <c r="K153" s="68" t="n"/>
      <c r="L153" s="49">
        <f>IF(F153="","",N(G153)*SUMIF(tk_HWSET,F153,tk_QTY))</f>
        <v/>
      </c>
    </row>
    <row r="154">
      <c r="F154" s="67" t="n"/>
      <c r="G154" s="68" t="n"/>
      <c r="H154" s="68" t="n"/>
      <c r="I154" s="68" t="n"/>
      <c r="J154" s="68" t="n"/>
      <c r="K154" s="68" t="n"/>
      <c r="L154" s="49">
        <f>IF(F154="","",N(G154)*SUMIF(tk_HWSET,F154,tk_QTY))</f>
        <v/>
      </c>
    </row>
    <row r="155">
      <c r="F155" s="67" t="n"/>
      <c r="G155" s="68" t="n"/>
      <c r="H155" s="68" t="n"/>
      <c r="I155" s="68" t="n"/>
      <c r="J155" s="68" t="n"/>
      <c r="K155" s="68" t="n"/>
      <c r="L155" s="49">
        <f>IF(F155="","",N(G155)*SUMIF(tk_HWSET,F155,tk_QTY))</f>
        <v/>
      </c>
    </row>
    <row r="156">
      <c r="F156" s="67" t="n"/>
      <c r="G156" s="68" t="n"/>
      <c r="H156" s="68" t="n"/>
      <c r="I156" s="68" t="n"/>
      <c r="J156" s="68" t="n"/>
      <c r="K156" s="68" t="n"/>
      <c r="L156" s="49">
        <f>IF(F156="","",N(G156)*SUMIF(tk_HWSET,F156,tk_QTY))</f>
        <v/>
      </c>
    </row>
    <row r="157">
      <c r="F157" s="67" t="n"/>
      <c r="G157" s="68" t="n"/>
      <c r="H157" s="68" t="n"/>
      <c r="I157" s="68" t="n"/>
      <c r="J157" s="68" t="n"/>
      <c r="K157" s="68" t="n"/>
      <c r="L157" s="49">
        <f>IF(F157="","",N(G157)*SUMIF(tk_HWSET,F157,tk_QTY))</f>
        <v/>
      </c>
    </row>
    <row r="158">
      <c r="F158" s="67" t="n"/>
      <c r="G158" s="68" t="n"/>
      <c r="H158" s="68" t="n"/>
      <c r="I158" s="68" t="n"/>
      <c r="J158" s="68" t="n"/>
      <c r="K158" s="68" t="n"/>
      <c r="L158" s="49">
        <f>IF(F158="","",N(G158)*SUMIF(tk_HWSET,F158,tk_QTY))</f>
        <v/>
      </c>
    </row>
    <row r="159">
      <c r="F159" s="67" t="n"/>
      <c r="G159" s="68" t="n"/>
      <c r="H159" s="68" t="n"/>
      <c r="I159" s="68" t="n"/>
      <c r="J159" s="68" t="n"/>
      <c r="K159" s="68" t="n"/>
      <c r="L159" s="49">
        <f>IF(F159="","",N(G159)*SUMIF(tk_HWSET,F159,tk_QTY))</f>
        <v/>
      </c>
    </row>
    <row r="160">
      <c r="F160" s="67" t="n"/>
      <c r="G160" s="68" t="n"/>
      <c r="H160" s="68" t="n"/>
      <c r="I160" s="68" t="n"/>
      <c r="J160" s="68" t="n"/>
      <c r="K160" s="68" t="n"/>
      <c r="L160" s="49">
        <f>IF(F160="","",N(G160)*SUMIF(tk_HWSET,F160,tk_QTY))</f>
        <v/>
      </c>
    </row>
    <row r="161">
      <c r="F161" s="67" t="n"/>
      <c r="G161" s="68" t="n"/>
      <c r="H161" s="68" t="n"/>
      <c r="I161" s="68" t="n"/>
      <c r="J161" s="68" t="n"/>
      <c r="K161" s="68" t="n"/>
      <c r="L161" s="49">
        <f>IF(F161="","",N(G161)*SUMIF(tk_HWSET,F161,tk_QTY))</f>
        <v/>
      </c>
    </row>
    <row r="162">
      <c r="F162" s="67" t="n"/>
      <c r="G162" s="68" t="n"/>
      <c r="H162" s="68" t="n"/>
      <c r="I162" s="68" t="n"/>
      <c r="J162" s="68" t="n"/>
      <c r="K162" s="68" t="n"/>
      <c r="L162" s="49">
        <f>IF(F162="","",N(G162)*SUMIF(tk_HWSET,F162,tk_QTY))</f>
        <v/>
      </c>
    </row>
    <row r="163">
      <c r="F163" s="67" t="n"/>
      <c r="G163" s="68" t="n"/>
      <c r="H163" s="68" t="n"/>
      <c r="I163" s="68" t="n"/>
      <c r="J163" s="68" t="n"/>
      <c r="K163" s="68" t="n"/>
      <c r="L163" s="49">
        <f>IF(F163="","",N(G163)*SUMIF(tk_HWSET,F163,tk_QTY))</f>
        <v/>
      </c>
    </row>
    <row r="164">
      <c r="F164" s="67" t="n"/>
      <c r="G164" s="68" t="n"/>
      <c r="H164" s="68" t="n"/>
      <c r="I164" s="68" t="n"/>
      <c r="J164" s="68" t="n"/>
      <c r="K164" s="68" t="n"/>
      <c r="L164" s="49">
        <f>IF(F164="","",N(G164)*SUMIF(tk_HWSET,F164,tk_QTY))</f>
        <v/>
      </c>
    </row>
    <row r="165">
      <c r="F165" s="67" t="n"/>
      <c r="G165" s="68" t="n"/>
      <c r="H165" s="68" t="n"/>
      <c r="I165" s="68" t="n"/>
      <c r="J165" s="68" t="n"/>
      <c r="K165" s="68" t="n"/>
      <c r="L165" s="49">
        <f>IF(F165="","",N(G165)*SUMIF(tk_HWSET,F165,tk_QTY))</f>
        <v/>
      </c>
    </row>
    <row r="166">
      <c r="F166" s="67" t="n"/>
      <c r="G166" s="68" t="n"/>
      <c r="H166" s="68" t="n"/>
      <c r="I166" s="68" t="n"/>
      <c r="J166" s="68" t="n"/>
      <c r="K166" s="68" t="n"/>
      <c r="L166" s="49">
        <f>IF(F166="","",N(G166)*SUMIF(tk_HWSET,F166,tk_QTY))</f>
        <v/>
      </c>
    </row>
    <row r="167">
      <c r="F167" s="67" t="n"/>
      <c r="G167" s="68" t="n"/>
      <c r="H167" s="68" t="n"/>
      <c r="I167" s="68" t="n"/>
      <c r="J167" s="68" t="n"/>
      <c r="K167" s="68" t="n"/>
      <c r="L167" s="49">
        <f>IF(F167="","",N(G167)*SUMIF(tk_HWSET,F167,tk_QTY))</f>
        <v/>
      </c>
    </row>
    <row r="168">
      <c r="F168" s="67" t="n"/>
      <c r="G168" s="68" t="n"/>
      <c r="H168" s="68" t="n"/>
      <c r="I168" s="68" t="n"/>
      <c r="J168" s="68" t="n"/>
      <c r="K168" s="68" t="n"/>
      <c r="L168" s="49">
        <f>IF(F168="","",N(G168)*SUMIF(tk_HWSET,F168,tk_QTY))</f>
        <v/>
      </c>
    </row>
    <row r="169">
      <c r="F169" s="67" t="n"/>
      <c r="G169" s="68" t="n"/>
      <c r="H169" s="68" t="n"/>
      <c r="I169" s="68" t="n"/>
      <c r="J169" s="68" t="n"/>
      <c r="K169" s="68" t="n"/>
      <c r="L169" s="49">
        <f>IF(F169="","",N(G169)*SUMIF(tk_HWSET,F169,tk_QTY))</f>
        <v/>
      </c>
    </row>
    <row r="170">
      <c r="F170" s="67" t="n"/>
      <c r="G170" s="68" t="n"/>
      <c r="H170" s="68" t="n"/>
      <c r="I170" s="68" t="n"/>
      <c r="J170" s="68" t="n"/>
      <c r="K170" s="68" t="n"/>
      <c r="L170" s="49">
        <f>IF(F170="","",N(G170)*SUMIF(tk_HWSET,F170,tk_QTY))</f>
        <v/>
      </c>
    </row>
    <row r="171">
      <c r="F171" s="67" t="n"/>
      <c r="G171" s="68" t="n"/>
      <c r="H171" s="68" t="n"/>
      <c r="I171" s="68" t="n"/>
      <c r="J171" s="68" t="n"/>
      <c r="K171" s="68" t="n"/>
      <c r="L171" s="49">
        <f>IF(F171="","",N(G171)*SUMIF(tk_HWSET,F171,tk_QTY))</f>
        <v/>
      </c>
    </row>
    <row r="172">
      <c r="F172" s="67" t="n"/>
      <c r="G172" s="68" t="n"/>
      <c r="H172" s="68" t="n"/>
      <c r="I172" s="68" t="n"/>
      <c r="J172" s="68" t="n"/>
      <c r="K172" s="68" t="n"/>
      <c r="L172" s="49">
        <f>IF(F172="","",N(G172)*SUMIF(tk_HWSET,F172,tk_QTY))</f>
        <v/>
      </c>
    </row>
    <row r="173">
      <c r="F173" s="67" t="n"/>
      <c r="G173" s="68" t="n"/>
      <c r="H173" s="68" t="n"/>
      <c r="I173" s="68" t="n"/>
      <c r="J173" s="68" t="n"/>
      <c r="K173" s="68" t="n"/>
      <c r="L173" s="49">
        <f>IF(F173="","",N(G173)*SUMIF(tk_HWSET,F173,tk_QTY))</f>
        <v/>
      </c>
    </row>
    <row r="174">
      <c r="F174" s="67" t="n"/>
      <c r="G174" s="68" t="n"/>
      <c r="H174" s="68" t="n"/>
      <c r="I174" s="68" t="n"/>
      <c r="J174" s="68" t="n"/>
      <c r="K174" s="68" t="n"/>
      <c r="L174" s="49">
        <f>IF(F174="","",N(G174)*SUMIF(tk_HWSET,F174,tk_QTY))</f>
        <v/>
      </c>
    </row>
    <row r="175">
      <c r="F175" s="67" t="n"/>
      <c r="G175" s="68" t="n"/>
      <c r="H175" s="68" t="n"/>
      <c r="I175" s="68" t="n"/>
      <c r="J175" s="68" t="n"/>
      <c r="K175" s="68" t="n"/>
      <c r="L175" s="49">
        <f>IF(F175="","",N(G175)*SUMIF(tk_HWSET,F175,tk_QTY))</f>
        <v/>
      </c>
    </row>
    <row r="176">
      <c r="F176" s="67" t="n"/>
      <c r="G176" s="68" t="n"/>
      <c r="H176" s="68" t="n"/>
      <c r="I176" s="68" t="n"/>
      <c r="J176" s="68" t="n"/>
      <c r="K176" s="68" t="n"/>
      <c r="L176" s="49">
        <f>IF(F176="","",N(G176)*SUMIF(tk_HWSET,F176,tk_QTY))</f>
        <v/>
      </c>
    </row>
    <row r="177">
      <c r="F177" s="67" t="n"/>
      <c r="G177" s="68" t="n"/>
      <c r="H177" s="68" t="n"/>
      <c r="I177" s="68" t="n"/>
      <c r="J177" s="68" t="n"/>
      <c r="K177" s="68" t="n"/>
      <c r="L177" s="49">
        <f>IF(F177="","",N(G177)*SUMIF(tk_HWSET,F177,tk_QTY))</f>
        <v/>
      </c>
    </row>
    <row r="178">
      <c r="F178" s="67" t="n"/>
      <c r="G178" s="68" t="n"/>
      <c r="H178" s="68" t="n"/>
      <c r="I178" s="68" t="n"/>
      <c r="J178" s="68" t="n"/>
      <c r="K178" s="68" t="n"/>
      <c r="L178" s="49">
        <f>IF(F178="","",N(G178)*SUMIF(tk_HWSET,F178,tk_QTY))</f>
        <v/>
      </c>
    </row>
    <row r="179">
      <c r="F179" s="67" t="n"/>
      <c r="G179" s="68" t="n"/>
      <c r="H179" s="68" t="n"/>
      <c r="I179" s="68" t="n"/>
      <c r="J179" s="68" t="n"/>
      <c r="K179" s="68" t="n"/>
      <c r="L179" s="49">
        <f>IF(F179="","",N(G179)*SUMIF(tk_HWSET,F179,tk_QTY))</f>
        <v/>
      </c>
    </row>
    <row r="180">
      <c r="F180" s="67" t="n"/>
      <c r="G180" s="68" t="n"/>
      <c r="H180" s="68" t="n"/>
      <c r="I180" s="68" t="n"/>
      <c r="J180" s="68" t="n"/>
      <c r="K180" s="68" t="n"/>
      <c r="L180" s="49">
        <f>IF(F180="","",N(G180)*SUMIF(tk_HWSET,F180,tk_QTY))</f>
        <v/>
      </c>
    </row>
    <row r="181">
      <c r="F181" s="67" t="n"/>
      <c r="G181" s="68" t="n"/>
      <c r="H181" s="68" t="n"/>
      <c r="I181" s="68" t="n"/>
      <c r="J181" s="68" t="n"/>
      <c r="K181" s="68" t="n"/>
      <c r="L181" s="49">
        <f>IF(F181="","",N(G181)*SUMIF(tk_HWSET,F181,tk_QTY))</f>
        <v/>
      </c>
    </row>
    <row r="182">
      <c r="F182" s="67" t="n"/>
      <c r="G182" s="68" t="n"/>
      <c r="H182" s="68" t="n"/>
      <c r="I182" s="68" t="n"/>
      <c r="J182" s="68" t="n"/>
      <c r="K182" s="68" t="n"/>
      <c r="L182" s="49">
        <f>IF(F182="","",N(G182)*SUMIF(tk_HWSET,F182,tk_QTY))</f>
        <v/>
      </c>
    </row>
    <row r="183">
      <c r="F183" s="67" t="n"/>
      <c r="G183" s="68" t="n"/>
      <c r="H183" s="68" t="n"/>
      <c r="I183" s="68" t="n"/>
      <c r="J183" s="68" t="n"/>
      <c r="K183" s="68" t="n"/>
      <c r="L183" s="49">
        <f>IF(F183="","",N(G183)*SUMIF(tk_HWSET,F183,tk_QTY))</f>
        <v/>
      </c>
    </row>
    <row r="184">
      <c r="F184" s="67" t="n"/>
      <c r="G184" s="68" t="n"/>
      <c r="H184" s="68" t="n"/>
      <c r="I184" s="68" t="n"/>
      <c r="J184" s="68" t="n"/>
      <c r="K184" s="68" t="n"/>
      <c r="L184" s="49">
        <f>IF(F184="","",N(G184)*SUMIF(tk_HWSET,F184,tk_QTY))</f>
        <v/>
      </c>
    </row>
    <row r="185">
      <c r="F185" s="67" t="n"/>
      <c r="G185" s="68" t="n"/>
      <c r="H185" s="68" t="n"/>
      <c r="I185" s="68" t="n"/>
      <c r="J185" s="68" t="n"/>
      <c r="K185" s="68" t="n"/>
      <c r="L185" s="49">
        <f>IF(F185="","",N(G185)*SUMIF(tk_HWSET,F185,tk_QTY))</f>
        <v/>
      </c>
    </row>
    <row r="186">
      <c r="F186" s="67" t="n"/>
      <c r="G186" s="68" t="n"/>
      <c r="H186" s="68" t="n"/>
      <c r="I186" s="68" t="n"/>
      <c r="J186" s="68" t="n"/>
      <c r="K186" s="68" t="n"/>
      <c r="L186" s="49">
        <f>IF(F186="","",N(G186)*SUMIF(tk_HWSET,F186,tk_QTY))</f>
        <v/>
      </c>
    </row>
    <row r="187">
      <c r="F187" s="67" t="n"/>
      <c r="G187" s="68" t="n"/>
      <c r="H187" s="68" t="n"/>
      <c r="I187" s="68" t="n"/>
      <c r="J187" s="68" t="n"/>
      <c r="K187" s="68" t="n"/>
      <c r="L187" s="49">
        <f>IF(F187="","",N(G187)*SUMIF(tk_HWSET,F187,tk_QTY))</f>
        <v/>
      </c>
    </row>
    <row r="188">
      <c r="F188" s="67" t="n"/>
      <c r="G188" s="68" t="n"/>
      <c r="H188" s="68" t="n"/>
      <c r="I188" s="68" t="n"/>
      <c r="J188" s="68" t="n"/>
      <c r="K188" s="68" t="n"/>
      <c r="L188" s="49">
        <f>IF(F188="","",N(G188)*SUMIF(tk_HWSET,F188,tk_QTY))</f>
        <v/>
      </c>
    </row>
    <row r="189">
      <c r="F189" s="67" t="n"/>
      <c r="G189" s="68" t="n"/>
      <c r="H189" s="68" t="n"/>
      <c r="I189" s="68" t="n"/>
      <c r="J189" s="68" t="n"/>
      <c r="K189" s="68" t="n"/>
      <c r="L189" s="49">
        <f>IF(F189="","",N(G189)*SUMIF(tk_HWSET,F189,tk_QTY))</f>
        <v/>
      </c>
    </row>
    <row r="190">
      <c r="F190" s="67" t="n"/>
      <c r="G190" s="68" t="n"/>
      <c r="H190" s="68" t="n"/>
      <c r="I190" s="68" t="n"/>
      <c r="J190" s="68" t="n"/>
      <c r="K190" s="68" t="n"/>
      <c r="L190" s="49">
        <f>IF(F190="","",N(G190)*SUMIF(tk_HWSET,F190,tk_QTY))</f>
        <v/>
      </c>
    </row>
    <row r="191">
      <c r="F191" s="67" t="n"/>
      <c r="G191" s="68" t="n"/>
      <c r="H191" s="68" t="n"/>
      <c r="I191" s="68" t="n"/>
      <c r="J191" s="68" t="n"/>
      <c r="K191" s="68" t="n"/>
      <c r="L191" s="49">
        <f>IF(F191="","",N(G191)*SUMIF(tk_HWSET,F191,tk_QTY))</f>
        <v/>
      </c>
    </row>
    <row r="192">
      <c r="F192" s="67" t="n"/>
      <c r="G192" s="68" t="n"/>
      <c r="H192" s="68" t="n"/>
      <c r="I192" s="68" t="n"/>
      <c r="J192" s="68" t="n"/>
      <c r="K192" s="68" t="n"/>
      <c r="L192" s="49">
        <f>IF(F192="","",N(G192)*SUMIF(tk_HWSET,F192,tk_QTY))</f>
        <v/>
      </c>
    </row>
    <row r="193">
      <c r="F193" s="67" t="n"/>
      <c r="G193" s="68" t="n"/>
      <c r="H193" s="68" t="n"/>
      <c r="I193" s="68" t="n"/>
      <c r="J193" s="68" t="n"/>
      <c r="K193" s="68" t="n"/>
      <c r="L193" s="49">
        <f>IF(F193="","",N(G193)*SUMIF(tk_HWSET,F193,tk_QTY))</f>
        <v/>
      </c>
    </row>
    <row r="194">
      <c r="F194" s="67" t="n"/>
      <c r="G194" s="68" t="n"/>
      <c r="H194" s="68" t="n"/>
      <c r="I194" s="68" t="n"/>
      <c r="J194" s="68" t="n"/>
      <c r="K194" s="68" t="n"/>
      <c r="L194" s="49">
        <f>IF(F194="","",N(G194)*SUMIF(tk_HWSET,F194,tk_QTY))</f>
        <v/>
      </c>
    </row>
    <row r="195">
      <c r="F195" s="67" t="n"/>
      <c r="G195" s="68" t="n"/>
      <c r="H195" s="68" t="n"/>
      <c r="I195" s="68" t="n"/>
      <c r="J195" s="68" t="n"/>
      <c r="K195" s="68" t="n"/>
      <c r="L195" s="49">
        <f>IF(F195="","",N(G195)*SUMIF(tk_HWSET,F195,tk_QTY))</f>
        <v/>
      </c>
    </row>
    <row r="196">
      <c r="F196" s="67" t="n"/>
      <c r="G196" s="68" t="n"/>
      <c r="H196" s="68" t="n"/>
      <c r="I196" s="68" t="n"/>
      <c r="J196" s="68" t="n"/>
      <c r="K196" s="68" t="n"/>
      <c r="L196" s="49">
        <f>IF(F196="","",N(G196)*SUMIF(tk_HWSET,F196,tk_QTY))</f>
        <v/>
      </c>
    </row>
    <row r="197">
      <c r="F197" s="67" t="n"/>
      <c r="G197" s="68" t="n"/>
      <c r="H197" s="68" t="n"/>
      <c r="I197" s="68" t="n"/>
      <c r="J197" s="68" t="n"/>
      <c r="K197" s="68" t="n"/>
      <c r="L197" s="49">
        <f>IF(F197="","",N(G197)*SUMIF(tk_HWSET,F197,tk_QTY))</f>
        <v/>
      </c>
    </row>
    <row r="198">
      <c r="F198" s="67" t="n"/>
      <c r="G198" s="68" t="n"/>
      <c r="H198" s="68" t="n"/>
      <c r="I198" s="68" t="n"/>
      <c r="J198" s="68" t="n"/>
      <c r="K198" s="68" t="n"/>
      <c r="L198" s="49">
        <f>IF(F198="","",N(G198)*SUMIF(tk_HWSET,F198,tk_QTY))</f>
        <v/>
      </c>
    </row>
    <row r="199">
      <c r="F199" s="67" t="n"/>
      <c r="G199" s="68" t="n"/>
      <c r="H199" s="68" t="n"/>
      <c r="I199" s="68" t="n"/>
      <c r="J199" s="68" t="n"/>
      <c r="K199" s="68" t="n"/>
      <c r="L199" s="49">
        <f>IF(F199="","",N(G199)*SUMIF(tk_HWSET,F199,tk_QTY))</f>
        <v/>
      </c>
    </row>
    <row r="200">
      <c r="F200" s="67" t="n"/>
      <c r="G200" s="68" t="n"/>
      <c r="H200" s="68" t="n"/>
      <c r="I200" s="68" t="n"/>
      <c r="J200" s="68" t="n"/>
      <c r="K200" s="68" t="n"/>
      <c r="L200" s="49">
        <f>IF(F200="","",N(G200)*SUMIF(tk_HWSET,F200,tk_QTY))</f>
        <v/>
      </c>
    </row>
    <row r="201">
      <c r="F201" s="67" t="n"/>
      <c r="G201" s="68" t="n"/>
      <c r="H201" s="68" t="n"/>
      <c r="I201" s="68" t="n"/>
      <c r="J201" s="68" t="n"/>
      <c r="K201" s="68" t="n"/>
      <c r="L201" s="49">
        <f>IF(F201="","",N(G201)*SUMIF(tk_HWSET,F201,tk_QTY))</f>
        <v/>
      </c>
    </row>
    <row r="202">
      <c r="F202" s="67" t="n"/>
      <c r="G202" s="68" t="n"/>
      <c r="H202" s="68" t="n"/>
      <c r="I202" s="68" t="n"/>
      <c r="J202" s="68" t="n"/>
      <c r="K202" s="68" t="n"/>
      <c r="L202" s="49">
        <f>IF(F202="","",N(G202)*SUMIF(tk_HWSET,F202,tk_QTY))</f>
        <v/>
      </c>
    </row>
    <row r="203">
      <c r="F203" s="67" t="n"/>
      <c r="G203" s="68" t="n"/>
      <c r="H203" s="68" t="n"/>
      <c r="I203" s="68" t="n"/>
      <c r="J203" s="68" t="n"/>
      <c r="K203" s="68" t="n"/>
      <c r="L203" s="49">
        <f>IF(F203="","",N(G203)*SUMIF(tk_HWSET,F203,tk_QTY))</f>
        <v/>
      </c>
    </row>
    <row r="204">
      <c r="F204" s="67" t="n"/>
      <c r="G204" s="68" t="n"/>
      <c r="H204" s="68" t="n"/>
      <c r="I204" s="68" t="n"/>
      <c r="J204" s="68" t="n"/>
      <c r="K204" s="68" t="n"/>
      <c r="L204" s="49">
        <f>IF(F204="","",N(G204)*SUMIF(tk_HWSET,F204,tk_QTY))</f>
        <v/>
      </c>
    </row>
    <row r="205">
      <c r="F205" s="67" t="n"/>
      <c r="G205" s="68" t="n"/>
      <c r="H205" s="68" t="n"/>
      <c r="I205" s="68" t="n"/>
      <c r="J205" s="68" t="n"/>
      <c r="K205" s="68" t="n"/>
      <c r="L205" s="49">
        <f>IF(F205="","",N(G205)*SUMIF(tk_HWSET,F205,tk_QTY))</f>
        <v/>
      </c>
    </row>
    <row r="206">
      <c r="F206" s="67" t="n"/>
      <c r="G206" s="68" t="n"/>
      <c r="H206" s="68" t="n"/>
      <c r="I206" s="68" t="n"/>
      <c r="J206" s="68" t="n"/>
      <c r="K206" s="68" t="n"/>
      <c r="L206" s="49">
        <f>IF(F206="","",N(G206)*SUMIF(tk_HWSET,F206,tk_QTY))</f>
        <v/>
      </c>
    </row>
    <row r="207">
      <c r="F207" s="67" t="n"/>
      <c r="G207" s="68" t="n"/>
      <c r="H207" s="68" t="n"/>
      <c r="I207" s="68" t="n"/>
      <c r="J207" s="68" t="n"/>
      <c r="K207" s="68" t="n"/>
      <c r="L207" s="49">
        <f>IF(F207="","",N(G207)*SUMIF(tk_HWSET,F207,tk_QTY))</f>
        <v/>
      </c>
    </row>
    <row r="208">
      <c r="F208" s="67" t="n"/>
      <c r="G208" s="68" t="n"/>
      <c r="H208" s="68" t="n"/>
      <c r="I208" s="68" t="n"/>
      <c r="J208" s="68" t="n"/>
      <c r="K208" s="68" t="n"/>
      <c r="L208" s="49">
        <f>IF(F208="","",N(G208)*SUMIF(tk_HWSET,F208,tk_QTY))</f>
        <v/>
      </c>
    </row>
    <row r="209">
      <c r="F209" s="67" t="n"/>
      <c r="G209" s="68" t="n"/>
      <c r="H209" s="68" t="n"/>
      <c r="I209" s="68" t="n"/>
      <c r="J209" s="68" t="n"/>
      <c r="K209" s="68" t="n"/>
      <c r="L209" s="49">
        <f>IF(F209="","",N(G209)*SUMIF(tk_HWSET,F209,tk_QTY))</f>
        <v/>
      </c>
    </row>
    <row r="210">
      <c r="F210" s="67" t="n"/>
      <c r="G210" s="68" t="n"/>
      <c r="H210" s="68" t="n"/>
      <c r="I210" s="68" t="n"/>
      <c r="J210" s="68" t="n"/>
      <c r="K210" s="68" t="n"/>
      <c r="L210" s="49">
        <f>IF(F210="","",N(G210)*SUMIF(tk_HWSET,F210,tk_QTY))</f>
        <v/>
      </c>
    </row>
    <row r="211">
      <c r="F211" s="67" t="n"/>
      <c r="G211" s="68" t="n"/>
      <c r="H211" s="68" t="n"/>
      <c r="I211" s="68" t="n"/>
      <c r="J211" s="68" t="n"/>
      <c r="K211" s="68" t="n"/>
      <c r="L211" s="49">
        <f>IF(F211="","",N(G211)*SUMIF(tk_HWSET,F211,tk_QTY))</f>
        <v/>
      </c>
    </row>
    <row r="212">
      <c r="F212" s="67" t="n"/>
      <c r="G212" s="68" t="n"/>
      <c r="H212" s="68" t="n"/>
      <c r="I212" s="68" t="n"/>
      <c r="J212" s="68" t="n"/>
      <c r="K212" s="68" t="n"/>
      <c r="L212" s="49">
        <f>IF(F212="","",N(G212)*SUMIF(tk_HWSET,F212,tk_QTY))</f>
        <v/>
      </c>
    </row>
    <row r="213">
      <c r="F213" s="67" t="n"/>
      <c r="G213" s="68" t="n"/>
      <c r="H213" s="68" t="n"/>
      <c r="I213" s="68" t="n"/>
      <c r="J213" s="68" t="n"/>
      <c r="K213" s="68" t="n"/>
      <c r="L213" s="49">
        <f>IF(F213="","",N(G213)*SUMIF(tk_HWSET,F213,tk_QTY))</f>
        <v/>
      </c>
    </row>
    <row r="214">
      <c r="F214" s="67" t="n"/>
      <c r="G214" s="68" t="n"/>
      <c r="H214" s="68" t="n"/>
      <c r="I214" s="68" t="n"/>
      <c r="J214" s="68" t="n"/>
      <c r="K214" s="68" t="n"/>
      <c r="L214" s="49">
        <f>IF(F214="","",N(G214)*SUMIF(tk_HWSET,F214,tk_QTY))</f>
        <v/>
      </c>
    </row>
    <row r="215">
      <c r="F215" s="67" t="n"/>
      <c r="G215" s="68" t="n"/>
      <c r="H215" s="68" t="n"/>
      <c r="I215" s="68" t="n"/>
      <c r="J215" s="68" t="n"/>
      <c r="K215" s="68" t="n"/>
      <c r="L215" s="49">
        <f>IF(F215="","",N(G215)*SUMIF(tk_HWSET,F215,tk_QTY))</f>
        <v/>
      </c>
    </row>
    <row r="216">
      <c r="F216" s="67" t="n"/>
      <c r="G216" s="68" t="n"/>
      <c r="H216" s="68" t="n"/>
      <c r="I216" s="68" t="n"/>
      <c r="J216" s="68" t="n"/>
      <c r="K216" s="68" t="n"/>
      <c r="L216" s="49">
        <f>IF(F216="","",N(G216)*SUMIF(tk_HWSET,F216,tk_QTY))</f>
        <v/>
      </c>
    </row>
    <row r="217">
      <c r="F217" s="67" t="n"/>
      <c r="G217" s="68" t="n"/>
      <c r="H217" s="68" t="n"/>
      <c r="I217" s="68" t="n"/>
      <c r="J217" s="68" t="n"/>
      <c r="K217" s="68" t="n"/>
      <c r="L217" s="49">
        <f>IF(F217="","",N(G217)*SUMIF(tk_HWSET,F217,tk_QTY))</f>
        <v/>
      </c>
    </row>
    <row r="218">
      <c r="F218" s="67" t="n"/>
      <c r="G218" s="68" t="n"/>
      <c r="H218" s="68" t="n"/>
      <c r="I218" s="68" t="n"/>
      <c r="J218" s="68" t="n"/>
      <c r="K218" s="68" t="n"/>
      <c r="L218" s="49">
        <f>IF(F218="","",N(G218)*SUMIF(tk_HWSET,F218,tk_QTY))</f>
        <v/>
      </c>
    </row>
    <row r="219">
      <c r="F219" s="67" t="n"/>
      <c r="G219" s="68" t="n"/>
      <c r="H219" s="68" t="n"/>
      <c r="I219" s="68" t="n"/>
      <c r="J219" s="68" t="n"/>
      <c r="K219" s="68" t="n"/>
      <c r="L219" s="49">
        <f>IF(F219="","",N(G219)*SUMIF(tk_HWSET,F219,tk_QTY))</f>
        <v/>
      </c>
    </row>
    <row r="220">
      <c r="F220" s="67" t="n"/>
      <c r="G220" s="68" t="n"/>
      <c r="H220" s="68" t="n"/>
      <c r="I220" s="68" t="n"/>
      <c r="J220" s="68" t="n"/>
      <c r="K220" s="68" t="n"/>
      <c r="L220" s="49">
        <f>IF(F220="","",N(G220)*SUMIF(tk_HWSET,F220,tk_QTY))</f>
        <v/>
      </c>
    </row>
    <row r="221">
      <c r="F221" s="67" t="n"/>
      <c r="G221" s="68" t="n"/>
      <c r="H221" s="68" t="n"/>
      <c r="I221" s="68" t="n"/>
      <c r="J221" s="68" t="n"/>
      <c r="K221" s="68" t="n"/>
      <c r="L221" s="49">
        <f>IF(F221="","",N(G221)*SUMIF(tk_HWSET,F221,tk_QTY))</f>
        <v/>
      </c>
    </row>
    <row r="222">
      <c r="F222" s="67" t="n"/>
      <c r="G222" s="68" t="n"/>
      <c r="H222" s="68" t="n"/>
      <c r="I222" s="68" t="n"/>
      <c r="J222" s="68" t="n"/>
      <c r="K222" s="68" t="n"/>
      <c r="L222" s="49">
        <f>IF(F222="","",N(G222)*SUMIF(tk_HWSET,F222,tk_QTY))</f>
        <v/>
      </c>
    </row>
    <row r="223">
      <c r="F223" s="67" t="n"/>
      <c r="G223" s="68" t="n"/>
      <c r="H223" s="68" t="n"/>
      <c r="I223" s="68" t="n"/>
      <c r="J223" s="68" t="n"/>
      <c r="K223" s="68" t="n"/>
      <c r="L223" s="49">
        <f>IF(F223="","",N(G223)*SUMIF(tk_HWSET,F223,tk_QTY))</f>
        <v/>
      </c>
    </row>
    <row r="224">
      <c r="F224" s="67" t="n"/>
      <c r="G224" s="68" t="n"/>
      <c r="H224" s="68" t="n"/>
      <c r="I224" s="68" t="n"/>
      <c r="J224" s="68" t="n"/>
      <c r="K224" s="68" t="n"/>
      <c r="L224" s="49">
        <f>IF(F224="","",N(G224)*SUMIF(tk_HWSET,F224,tk_QTY))</f>
        <v/>
      </c>
    </row>
    <row r="225">
      <c r="F225" s="67" t="n"/>
      <c r="G225" s="68" t="n"/>
      <c r="H225" s="68" t="n"/>
      <c r="I225" s="68" t="n"/>
      <c r="J225" s="68" t="n"/>
      <c r="K225" s="68" t="n"/>
      <c r="L225" s="49">
        <f>IF(F225="","",N(G225)*SUMIF(tk_HWSET,F225,tk_QTY))</f>
        <v/>
      </c>
    </row>
    <row r="226">
      <c r="F226" s="67" t="n"/>
      <c r="G226" s="68" t="n"/>
      <c r="H226" s="68" t="n"/>
      <c r="I226" s="68" t="n"/>
      <c r="J226" s="68" t="n"/>
      <c r="K226" s="68" t="n"/>
      <c r="L226" s="49">
        <f>IF(F226="","",N(G226)*SUMIF(tk_HWSET,F226,tk_QTY))</f>
        <v/>
      </c>
    </row>
    <row r="227">
      <c r="F227" s="67" t="n"/>
      <c r="G227" s="68" t="n"/>
      <c r="H227" s="68" t="n"/>
      <c r="I227" s="68" t="n"/>
      <c r="J227" s="68" t="n"/>
      <c r="K227" s="68" t="n"/>
      <c r="L227" s="49">
        <f>IF(F227="","",N(G227)*SUMIF(tk_HWSET,F227,tk_QTY))</f>
        <v/>
      </c>
    </row>
    <row r="228">
      <c r="F228" s="67" t="n"/>
      <c r="G228" s="68" t="n"/>
      <c r="H228" s="68" t="n"/>
      <c r="I228" s="68" t="n"/>
      <c r="J228" s="68" t="n"/>
      <c r="K228" s="68" t="n"/>
      <c r="L228" s="49">
        <f>IF(F228="","",N(G228)*SUMIF(tk_HWSET,F228,tk_QTY))</f>
        <v/>
      </c>
    </row>
    <row r="229">
      <c r="F229" s="67" t="n"/>
      <c r="G229" s="68" t="n"/>
      <c r="H229" s="68" t="n"/>
      <c r="I229" s="68" t="n"/>
      <c r="J229" s="68" t="n"/>
      <c r="K229" s="68" t="n"/>
      <c r="L229" s="49">
        <f>IF(F229="","",N(G229)*SUMIF(tk_HWSET,F229,tk_QTY))</f>
        <v/>
      </c>
    </row>
    <row r="230">
      <c r="F230" s="67" t="n"/>
      <c r="G230" s="68" t="n"/>
      <c r="H230" s="68" t="n"/>
      <c r="I230" s="68" t="n"/>
      <c r="J230" s="68" t="n"/>
      <c r="K230" s="68" t="n"/>
      <c r="L230" s="49">
        <f>IF(F230="","",N(G230)*SUMIF(tk_HWSET,F230,tk_QTY))</f>
        <v/>
      </c>
    </row>
    <row r="231">
      <c r="F231" s="67" t="n"/>
      <c r="G231" s="68" t="n"/>
      <c r="H231" s="68" t="n"/>
      <c r="I231" s="68" t="n"/>
      <c r="J231" s="68" t="n"/>
      <c r="K231" s="68" t="n"/>
      <c r="L231" s="49">
        <f>IF(F231="","",N(G231)*SUMIF(tk_HWSET,F231,tk_QTY))</f>
        <v/>
      </c>
    </row>
    <row r="232">
      <c r="F232" s="67" t="n"/>
      <c r="G232" s="68" t="n"/>
      <c r="H232" s="68" t="n"/>
      <c r="I232" s="68" t="n"/>
      <c r="J232" s="68" t="n"/>
      <c r="K232" s="68" t="n"/>
      <c r="L232" s="49">
        <f>IF(F232="","",N(G232)*SUMIF(tk_HWSET,F232,tk_QTY))</f>
        <v/>
      </c>
    </row>
    <row r="233">
      <c r="F233" s="67" t="n"/>
      <c r="G233" s="68" t="n"/>
      <c r="H233" s="68" t="n"/>
      <c r="I233" s="68" t="n"/>
      <c r="J233" s="68" t="n"/>
      <c r="K233" s="68" t="n"/>
      <c r="L233" s="49">
        <f>IF(F233="","",N(G233)*SUMIF(tk_HWSET,F233,tk_QTY))</f>
        <v/>
      </c>
    </row>
    <row r="234">
      <c r="F234" s="67" t="n"/>
      <c r="G234" s="68" t="n"/>
      <c r="H234" s="68" t="n"/>
      <c r="I234" s="68" t="n"/>
      <c r="J234" s="68" t="n"/>
      <c r="K234" s="68" t="n"/>
      <c r="L234" s="49">
        <f>IF(F234="","",N(G234)*SUMIF(tk_HWSET,F234,tk_QTY))</f>
        <v/>
      </c>
    </row>
    <row r="235">
      <c r="F235" s="67" t="n"/>
      <c r="G235" s="68" t="n"/>
      <c r="H235" s="68" t="n"/>
      <c r="I235" s="68" t="n"/>
      <c r="J235" s="68" t="n"/>
      <c r="K235" s="68" t="n"/>
      <c r="L235" s="49">
        <f>IF(F235="","",N(G235)*SUMIF(tk_HWSET,F235,tk_QTY))</f>
        <v/>
      </c>
    </row>
    <row r="236">
      <c r="F236" s="67" t="n"/>
      <c r="G236" s="68" t="n"/>
      <c r="H236" s="68" t="n"/>
      <c r="I236" s="68" t="n"/>
      <c r="J236" s="68" t="n"/>
      <c r="K236" s="68" t="n"/>
      <c r="L236" s="49">
        <f>IF(F236="","",N(G236)*SUMIF(tk_HWSET,F236,tk_QTY))</f>
        <v/>
      </c>
    </row>
    <row r="237">
      <c r="F237" s="67" t="n"/>
      <c r="G237" s="68" t="n"/>
      <c r="H237" s="68" t="n"/>
      <c r="I237" s="68" t="n"/>
      <c r="J237" s="68" t="n"/>
      <c r="K237" s="68" t="n"/>
      <c r="L237" s="49">
        <f>IF(F237="","",N(G237)*SUMIF(tk_HWSET,F237,tk_QTY))</f>
        <v/>
      </c>
    </row>
    <row r="238">
      <c r="F238" s="67" t="n"/>
      <c r="G238" s="68" t="n"/>
      <c r="H238" s="68" t="n"/>
      <c r="I238" s="68" t="n"/>
      <c r="J238" s="68" t="n"/>
      <c r="K238" s="68" t="n"/>
      <c r="L238" s="49">
        <f>IF(F238="","",N(G238)*SUMIF(tk_HWSET,F238,tk_QTY))</f>
        <v/>
      </c>
    </row>
    <row r="239">
      <c r="F239" s="67" t="n"/>
      <c r="G239" s="68" t="n"/>
      <c r="H239" s="68" t="n"/>
      <c r="I239" s="68" t="n"/>
      <c r="J239" s="68" t="n"/>
      <c r="K239" s="68" t="n"/>
      <c r="L239" s="49">
        <f>IF(F239="","",N(G239)*SUMIF(tk_HWSET,F239,tk_QTY))</f>
        <v/>
      </c>
    </row>
    <row r="240">
      <c r="F240" s="67" t="n"/>
      <c r="G240" s="68" t="n"/>
      <c r="H240" s="68" t="n"/>
      <c r="I240" s="68" t="n"/>
      <c r="J240" s="68" t="n"/>
      <c r="K240" s="68" t="n"/>
      <c r="L240" s="49">
        <f>IF(F240="","",N(G240)*SUMIF(tk_HWSET,F240,tk_QTY))</f>
        <v/>
      </c>
    </row>
    <row r="241">
      <c r="F241" s="67" t="n"/>
      <c r="G241" s="68" t="n"/>
      <c r="H241" s="68" t="n"/>
      <c r="I241" s="68" t="n"/>
      <c r="J241" s="68" t="n"/>
      <c r="K241" s="68" t="n"/>
      <c r="L241" s="49">
        <f>IF(F241="","",N(G241)*SUMIF(tk_HWSET,F241,tk_QTY))</f>
        <v/>
      </c>
    </row>
    <row r="242">
      <c r="F242" s="67" t="n"/>
      <c r="G242" s="68" t="n"/>
      <c r="H242" s="68" t="n"/>
      <c r="I242" s="68" t="n"/>
      <c r="J242" s="68" t="n"/>
      <c r="K242" s="68" t="n"/>
      <c r="L242" s="49">
        <f>IF(F242="","",N(G242)*SUMIF(tk_HWSET,F242,tk_QTY))</f>
        <v/>
      </c>
    </row>
    <row r="243">
      <c r="F243" s="67" t="n"/>
      <c r="G243" s="68" t="n"/>
      <c r="H243" s="68" t="n"/>
      <c r="I243" s="68" t="n"/>
      <c r="J243" s="68" t="n"/>
      <c r="K243" s="68" t="n"/>
      <c r="L243" s="49">
        <f>IF(F243="","",N(G243)*SUMIF(tk_HWSET,F243,tk_QTY))</f>
        <v/>
      </c>
    </row>
    <row r="244">
      <c r="F244" s="67" t="n"/>
      <c r="G244" s="68" t="n"/>
      <c r="H244" s="68" t="n"/>
      <c r="I244" s="68" t="n"/>
      <c r="J244" s="68" t="n"/>
      <c r="K244" s="68" t="n"/>
      <c r="L244" s="49">
        <f>IF(F244="","",N(G244)*SUMIF(tk_HWSET,F244,tk_QTY))</f>
        <v/>
      </c>
    </row>
    <row r="245">
      <c r="F245" s="67" t="n"/>
      <c r="G245" s="68" t="n"/>
      <c r="H245" s="68" t="n"/>
      <c r="I245" s="68" t="n"/>
      <c r="J245" s="68" t="n"/>
      <c r="K245" s="68" t="n"/>
      <c r="L245" s="49">
        <f>IF(F245="","",N(G245)*SUMIF(tk_HWSET,F245,tk_QTY))</f>
        <v/>
      </c>
    </row>
    <row r="246">
      <c r="F246" s="67" t="n"/>
      <c r="G246" s="68" t="n"/>
      <c r="H246" s="68" t="n"/>
      <c r="I246" s="68" t="n"/>
      <c r="J246" s="68" t="n"/>
      <c r="K246" s="68" t="n"/>
      <c r="L246" s="49">
        <f>IF(F246="","",N(G246)*SUMIF(tk_HWSET,F246,tk_QTY))</f>
        <v/>
      </c>
    </row>
    <row r="247">
      <c r="F247" s="67" t="n"/>
      <c r="G247" s="68" t="n"/>
      <c r="H247" s="68" t="n"/>
      <c r="I247" s="68" t="n"/>
      <c r="J247" s="68" t="n"/>
      <c r="K247" s="68" t="n"/>
      <c r="L247" s="49">
        <f>IF(F247="","",N(G247)*SUMIF(tk_HWSET,F247,tk_QTY))</f>
        <v/>
      </c>
    </row>
    <row r="248">
      <c r="F248" s="67" t="n"/>
      <c r="G248" s="68" t="n"/>
      <c r="H248" s="68" t="n"/>
      <c r="I248" s="68" t="n"/>
      <c r="J248" s="68" t="n"/>
      <c r="K248" s="68" t="n"/>
      <c r="L248" s="49">
        <f>IF(F248="","",N(G248)*SUMIF(tk_HWSET,F248,tk_QTY))</f>
        <v/>
      </c>
    </row>
    <row r="249">
      <c r="F249" s="67" t="n"/>
      <c r="G249" s="68" t="n"/>
      <c r="H249" s="68" t="n"/>
      <c r="I249" s="68" t="n"/>
      <c r="J249" s="68" t="n"/>
      <c r="K249" s="68" t="n"/>
      <c r="L249" s="49">
        <f>IF(F249="","",N(G249)*SUMIF(tk_HWSET,F249,tk_QTY))</f>
        <v/>
      </c>
    </row>
    <row r="250">
      <c r="F250" s="67" t="n"/>
      <c r="G250" s="68" t="n"/>
      <c r="H250" s="68" t="n"/>
      <c r="I250" s="68" t="n"/>
      <c r="J250" s="68" t="n"/>
      <c r="K250" s="68" t="n"/>
      <c r="L250" s="49">
        <f>IF(F250="","",N(G250)*SUMIF(tk_HWSET,F250,tk_QTY))</f>
        <v/>
      </c>
    </row>
    <row r="251">
      <c r="F251" s="67" t="n"/>
      <c r="G251" s="68" t="n"/>
      <c r="H251" s="68" t="n"/>
      <c r="I251" s="68" t="n"/>
      <c r="J251" s="68" t="n"/>
      <c r="K251" s="68" t="n"/>
      <c r="L251" s="49">
        <f>IF(F251="","",N(G251)*SUMIF(tk_HWSET,F251,tk_QTY))</f>
        <v/>
      </c>
    </row>
    <row r="252">
      <c r="F252" s="67" t="n"/>
      <c r="G252" s="68" t="n"/>
      <c r="H252" s="68" t="n"/>
      <c r="I252" s="68" t="n"/>
      <c r="J252" s="68" t="n"/>
      <c r="K252" s="68" t="n"/>
      <c r="L252" s="49">
        <f>IF(F252="","",N(G252)*SUMIF(tk_HWSET,F252,tk_QTY))</f>
        <v/>
      </c>
    </row>
    <row r="253">
      <c r="F253" s="67" t="n"/>
      <c r="G253" s="68" t="n"/>
      <c r="H253" s="68" t="n"/>
      <c r="I253" s="68" t="n"/>
      <c r="J253" s="68" t="n"/>
      <c r="K253" s="68" t="n"/>
      <c r="L253" s="49">
        <f>IF(F253="","",N(G253)*SUMIF(tk_HWSET,F253,tk_QTY))</f>
        <v/>
      </c>
    </row>
    <row r="254">
      <c r="F254" s="67" t="n"/>
      <c r="G254" s="68" t="n"/>
      <c r="H254" s="68" t="n"/>
      <c r="I254" s="68" t="n"/>
      <c r="J254" s="68" t="n"/>
      <c r="K254" s="68" t="n"/>
      <c r="L254" s="49">
        <f>IF(F254="","",N(G254)*SUMIF(tk_HWSET,F254,tk_QTY))</f>
        <v/>
      </c>
    </row>
    <row r="255">
      <c r="F255" s="67" t="n"/>
      <c r="G255" s="68" t="n"/>
      <c r="H255" s="68" t="n"/>
      <c r="I255" s="68" t="n"/>
      <c r="J255" s="68" t="n"/>
      <c r="K255" s="68" t="n"/>
      <c r="L255" s="49">
        <f>IF(F255="","",N(G255)*SUMIF(tk_HWSET,F255,tk_QTY))</f>
        <v/>
      </c>
    </row>
    <row r="256">
      <c r="F256" s="67" t="n"/>
      <c r="G256" s="68" t="n"/>
      <c r="H256" s="68" t="n"/>
      <c r="I256" s="68" t="n"/>
      <c r="J256" s="68" t="n"/>
      <c r="K256" s="68" t="n"/>
      <c r="L256" s="49">
        <f>IF(F256="","",N(G256)*SUMIF(tk_HWSET,F256,tk_QTY))</f>
        <v/>
      </c>
    </row>
    <row r="257">
      <c r="F257" s="67" t="n"/>
      <c r="G257" s="68" t="n"/>
      <c r="H257" s="68" t="n"/>
      <c r="I257" s="68" t="n"/>
      <c r="J257" s="68" t="n"/>
      <c r="K257" s="68" t="n"/>
      <c r="L257" s="49">
        <f>IF(F257="","",N(G257)*SUMIF(tk_HWSET,F257,tk_QTY))</f>
        <v/>
      </c>
    </row>
    <row r="258">
      <c r="F258" s="67" t="n"/>
      <c r="G258" s="68" t="n"/>
      <c r="H258" s="68" t="n"/>
      <c r="I258" s="68" t="n"/>
      <c r="J258" s="68" t="n"/>
      <c r="K258" s="68" t="n"/>
      <c r="L258" s="49">
        <f>IF(F258="","",N(G258)*SUMIF(tk_HWSET,F258,tk_QTY))</f>
        <v/>
      </c>
    </row>
    <row r="259">
      <c r="F259" s="67" t="n"/>
      <c r="G259" s="68" t="n"/>
      <c r="H259" s="68" t="n"/>
      <c r="I259" s="68" t="n"/>
      <c r="J259" s="68" t="n"/>
      <c r="K259" s="68" t="n"/>
      <c r="L259" s="49">
        <f>IF(F259="","",N(G259)*SUMIF(tk_HWSET,F259,tk_QTY))</f>
        <v/>
      </c>
    </row>
    <row r="260">
      <c r="F260" s="67" t="n"/>
      <c r="G260" s="68" t="n"/>
      <c r="H260" s="68" t="n"/>
      <c r="I260" s="68" t="n"/>
      <c r="J260" s="68" t="n"/>
      <c r="K260" s="68" t="n"/>
      <c r="L260" s="49">
        <f>IF(F260="","",N(G260)*SUMIF(tk_HWSET,F260,tk_QTY))</f>
        <v/>
      </c>
    </row>
    <row r="261">
      <c r="F261" s="67" t="n"/>
      <c r="G261" s="68" t="n"/>
      <c r="H261" s="68" t="n"/>
      <c r="I261" s="68" t="n"/>
      <c r="J261" s="68" t="n"/>
      <c r="K261" s="68" t="n"/>
      <c r="L261" s="49">
        <f>IF(F261="","",N(G261)*SUMIF(tk_HWSET,F261,tk_QTY))</f>
        <v/>
      </c>
    </row>
    <row r="262">
      <c r="F262" s="67" t="n"/>
      <c r="G262" s="68" t="n"/>
      <c r="H262" s="68" t="n"/>
      <c r="I262" s="68" t="n"/>
      <c r="J262" s="68" t="n"/>
      <c r="K262" s="68" t="n"/>
      <c r="L262" s="49">
        <f>IF(F262="","",N(G262)*SUMIF(tk_HWSET,F262,tk_QTY))</f>
        <v/>
      </c>
    </row>
    <row r="263">
      <c r="F263" s="67" t="n"/>
      <c r="G263" s="68" t="n"/>
      <c r="H263" s="68" t="n"/>
      <c r="I263" s="68" t="n"/>
      <c r="J263" s="68" t="n"/>
      <c r="K263" s="68" t="n"/>
      <c r="L263" s="49">
        <f>IF(F263="","",N(G263)*SUMIF(tk_HWSET,F263,tk_QTY))</f>
        <v/>
      </c>
    </row>
    <row r="264">
      <c r="F264" s="67" t="n"/>
      <c r="G264" s="68" t="n"/>
      <c r="H264" s="68" t="n"/>
      <c r="I264" s="68" t="n"/>
      <c r="J264" s="68" t="n"/>
      <c r="K264" s="68" t="n"/>
      <c r="L264" s="49">
        <f>IF(F264="","",N(G264)*SUMIF(tk_HWSET,F264,tk_QTY))</f>
        <v/>
      </c>
    </row>
    <row r="265">
      <c r="F265" s="67" t="n"/>
      <c r="G265" s="68" t="n"/>
      <c r="H265" s="68" t="n"/>
      <c r="I265" s="68" t="n"/>
      <c r="J265" s="68" t="n"/>
      <c r="K265" s="68" t="n"/>
      <c r="L265" s="49">
        <f>IF(F265="","",N(G265)*SUMIF(tk_HWSET,F265,tk_QTY))</f>
        <v/>
      </c>
    </row>
    <row r="266">
      <c r="F266" s="67" t="n"/>
      <c r="G266" s="68" t="n"/>
      <c r="H266" s="68" t="n"/>
      <c r="I266" s="68" t="n"/>
      <c r="J266" s="68" t="n"/>
      <c r="K266" s="68" t="n"/>
      <c r="L266" s="49">
        <f>IF(F266="","",N(G266)*SUMIF(tk_HWSET,F266,tk_QTY))</f>
        <v/>
      </c>
    </row>
    <row r="267">
      <c r="F267" s="67" t="n"/>
      <c r="G267" s="68" t="n"/>
      <c r="H267" s="68" t="n"/>
      <c r="I267" s="68" t="n"/>
      <c r="J267" s="68" t="n"/>
      <c r="K267" s="68" t="n"/>
      <c r="L267" s="49">
        <f>IF(F267="","",N(G267)*SUMIF(tk_HWSET,F267,tk_QTY))</f>
        <v/>
      </c>
    </row>
    <row r="268">
      <c r="F268" s="67" t="n"/>
      <c r="G268" s="68" t="n"/>
      <c r="H268" s="68" t="n"/>
      <c r="I268" s="68" t="n"/>
      <c r="J268" s="68" t="n"/>
      <c r="K268" s="68" t="n"/>
      <c r="L268" s="49">
        <f>IF(F268="","",N(G268)*SUMIF(tk_HWSET,F268,tk_QTY))</f>
        <v/>
      </c>
    </row>
    <row r="269">
      <c r="F269" s="67" t="n"/>
      <c r="G269" s="68" t="n"/>
      <c r="H269" s="68" t="n"/>
      <c r="I269" s="68" t="n"/>
      <c r="J269" s="68" t="n"/>
      <c r="K269" s="68" t="n"/>
      <c r="L269" s="49">
        <f>IF(F269="","",N(G269)*SUMIF(tk_HWSET,F269,tk_QTY))</f>
        <v/>
      </c>
    </row>
    <row r="270">
      <c r="F270" s="67" t="n"/>
      <c r="G270" s="68" t="n"/>
      <c r="H270" s="68" t="n"/>
      <c r="I270" s="68" t="n"/>
      <c r="J270" s="68" t="n"/>
      <c r="K270" s="68" t="n"/>
      <c r="L270" s="49">
        <f>IF(F270="","",N(G270)*SUMIF(tk_HWSET,F270,tk_QTY))</f>
        <v/>
      </c>
    </row>
    <row r="271">
      <c r="F271" s="67" t="n"/>
      <c r="G271" s="68" t="n"/>
      <c r="H271" s="68" t="n"/>
      <c r="I271" s="68" t="n"/>
      <c r="J271" s="68" t="n"/>
      <c r="K271" s="68" t="n"/>
      <c r="L271" s="49">
        <f>IF(F271="","",N(G271)*SUMIF(tk_HWSET,F271,tk_QTY))</f>
        <v/>
      </c>
    </row>
    <row r="272">
      <c r="F272" s="67" t="n"/>
      <c r="G272" s="68" t="n"/>
      <c r="H272" s="68" t="n"/>
      <c r="I272" s="68" t="n"/>
      <c r="J272" s="68" t="n"/>
      <c r="K272" s="68" t="n"/>
      <c r="L272" s="49">
        <f>IF(F272="","",N(G272)*SUMIF(tk_HWSET,F272,tk_QTY))</f>
        <v/>
      </c>
    </row>
    <row r="273">
      <c r="F273" s="67" t="n"/>
      <c r="G273" s="68" t="n"/>
      <c r="H273" s="68" t="n"/>
      <c r="I273" s="68" t="n"/>
      <c r="J273" s="68" t="n"/>
      <c r="K273" s="68" t="n"/>
      <c r="L273" s="49">
        <f>IF(F273="","",N(G273)*SUMIF(tk_HWSET,F273,tk_QTY))</f>
        <v/>
      </c>
    </row>
    <row r="274">
      <c r="F274" s="67" t="n"/>
      <c r="G274" s="68" t="n"/>
      <c r="H274" s="68" t="n"/>
      <c r="I274" s="68" t="n"/>
      <c r="J274" s="68" t="n"/>
      <c r="K274" s="68" t="n"/>
      <c r="L274" s="49">
        <f>IF(F274="","",N(G274)*SUMIF(tk_HWSET,F274,tk_QTY))</f>
        <v/>
      </c>
    </row>
    <row r="275">
      <c r="F275" s="67" t="n"/>
      <c r="G275" s="68" t="n"/>
      <c r="H275" s="68" t="n"/>
      <c r="I275" s="68" t="n"/>
      <c r="J275" s="68" t="n"/>
      <c r="K275" s="68" t="n"/>
      <c r="L275" s="49">
        <f>IF(F275="","",N(G275)*SUMIF(tk_HWSET,F275,tk_QTY))</f>
        <v/>
      </c>
    </row>
    <row r="276">
      <c r="F276" s="67" t="n"/>
      <c r="G276" s="68" t="n"/>
      <c r="H276" s="68" t="n"/>
      <c r="I276" s="68" t="n"/>
      <c r="J276" s="68" t="n"/>
      <c r="K276" s="68" t="n"/>
      <c r="L276" s="49">
        <f>IF(F276="","",N(G276)*SUMIF(tk_HWSET,F276,tk_QTY))</f>
        <v/>
      </c>
    </row>
    <row r="277">
      <c r="F277" s="67" t="n"/>
      <c r="G277" s="68" t="n"/>
      <c r="H277" s="68" t="n"/>
      <c r="I277" s="68" t="n"/>
      <c r="J277" s="68" t="n"/>
      <c r="K277" s="68" t="n"/>
      <c r="L277" s="49">
        <f>IF(F277="","",N(G277)*SUMIF(tk_HWSET,F277,tk_QTY))</f>
        <v/>
      </c>
    </row>
    <row r="278">
      <c r="F278" s="67" t="n"/>
      <c r="G278" s="68" t="n"/>
      <c r="H278" s="68" t="n"/>
      <c r="I278" s="68" t="n"/>
      <c r="J278" s="68" t="n"/>
      <c r="K278" s="68" t="n"/>
      <c r="L278" s="49">
        <f>IF(F278="","",N(G278)*SUMIF(tk_HWSET,F278,tk_QTY))</f>
        <v/>
      </c>
    </row>
    <row r="279">
      <c r="F279" s="67" t="n"/>
      <c r="G279" s="68" t="n"/>
      <c r="H279" s="68" t="n"/>
      <c r="I279" s="68" t="n"/>
      <c r="J279" s="68" t="n"/>
      <c r="K279" s="68" t="n"/>
      <c r="L279" s="49">
        <f>IF(F279="","",N(G279)*SUMIF(tk_HWSET,F279,tk_QTY))</f>
        <v/>
      </c>
    </row>
    <row r="280">
      <c r="F280" s="67" t="n"/>
      <c r="G280" s="68" t="n"/>
      <c r="H280" s="68" t="n"/>
      <c r="I280" s="68" t="n"/>
      <c r="J280" s="68" t="n"/>
      <c r="K280" s="68" t="n"/>
      <c r="L280" s="49">
        <f>IF(F280="","",N(G280)*SUMIF(tk_HWSET,F280,tk_QTY))</f>
        <v/>
      </c>
    </row>
    <row r="281">
      <c r="F281" s="67" t="n"/>
      <c r="G281" s="68" t="n"/>
      <c r="H281" s="68" t="n"/>
      <c r="I281" s="68" t="n"/>
      <c r="J281" s="68" t="n"/>
      <c r="K281" s="68" t="n"/>
      <c r="L281" s="49">
        <f>IF(F281="","",N(G281)*SUMIF(tk_HWSET,F281,tk_QTY))</f>
        <v/>
      </c>
    </row>
    <row r="282">
      <c r="F282" s="67" t="n"/>
      <c r="G282" s="68" t="n"/>
      <c r="H282" s="68" t="n"/>
      <c r="I282" s="68" t="n"/>
      <c r="J282" s="68" t="n"/>
      <c r="K282" s="68" t="n"/>
      <c r="L282" s="49">
        <f>IF(F282="","",N(G282)*SUMIF(tk_HWSET,F282,tk_QTY))</f>
        <v/>
      </c>
    </row>
    <row r="283">
      <c r="F283" s="67" t="n"/>
      <c r="G283" s="68" t="n"/>
      <c r="H283" s="68" t="n"/>
      <c r="I283" s="68" t="n"/>
      <c r="J283" s="68" t="n"/>
      <c r="K283" s="68" t="n"/>
      <c r="L283" s="49">
        <f>IF(F283="","",N(G283)*SUMIF(tk_HWSET,F283,tk_QTY))</f>
        <v/>
      </c>
    </row>
    <row r="284">
      <c r="F284" s="67" t="n"/>
      <c r="G284" s="68" t="n"/>
      <c r="H284" s="68" t="n"/>
      <c r="I284" s="68" t="n"/>
      <c r="J284" s="68" t="n"/>
      <c r="K284" s="68" t="n"/>
      <c r="L284" s="49">
        <f>IF(F284="","",N(G284)*SUMIF(tk_HWSET,F284,tk_QTY))</f>
        <v/>
      </c>
    </row>
    <row r="285">
      <c r="F285" s="67" t="n"/>
      <c r="G285" s="68" t="n"/>
      <c r="H285" s="68" t="n"/>
      <c r="I285" s="68" t="n"/>
      <c r="J285" s="68" t="n"/>
      <c r="K285" s="68" t="n"/>
      <c r="L285" s="49">
        <f>IF(F285="","",N(G285)*SUMIF(tk_HWSET,F285,tk_QTY))</f>
        <v/>
      </c>
    </row>
    <row r="286">
      <c r="F286" s="67" t="n"/>
      <c r="G286" s="68" t="n"/>
      <c r="H286" s="68" t="n"/>
      <c r="I286" s="68" t="n"/>
      <c r="J286" s="68" t="n"/>
      <c r="K286" s="68" t="n"/>
      <c r="L286" s="49">
        <f>IF(F286="","",N(G286)*SUMIF(tk_HWSET,F286,tk_QTY))</f>
        <v/>
      </c>
    </row>
    <row r="287">
      <c r="F287" s="67" t="n"/>
      <c r="G287" s="68" t="n"/>
      <c r="H287" s="68" t="n"/>
      <c r="I287" s="68" t="n"/>
      <c r="J287" s="68" t="n"/>
      <c r="K287" s="68" t="n"/>
      <c r="L287" s="49">
        <f>IF(F287="","",N(G287)*SUMIF(tk_HWSET,F287,tk_QTY))</f>
        <v/>
      </c>
    </row>
    <row r="288">
      <c r="F288" s="67" t="n"/>
      <c r="G288" s="68" t="n"/>
      <c r="H288" s="68" t="n"/>
      <c r="I288" s="68" t="n"/>
      <c r="J288" s="68" t="n"/>
      <c r="K288" s="68" t="n"/>
      <c r="L288" s="49">
        <f>IF(F288="","",N(G288)*SUMIF(tk_HWSET,F288,tk_QTY))</f>
        <v/>
      </c>
    </row>
    <row r="289">
      <c r="F289" s="67" t="n"/>
      <c r="G289" s="68" t="n"/>
      <c r="H289" s="68" t="n"/>
      <c r="I289" s="68" t="n"/>
      <c r="J289" s="68" t="n"/>
      <c r="K289" s="68" t="n"/>
      <c r="L289" s="49">
        <f>IF(F289="","",N(G289)*SUMIF(tk_HWSET,F289,tk_QTY))</f>
        <v/>
      </c>
    </row>
    <row r="290">
      <c r="F290" s="67" t="n"/>
      <c r="G290" s="68" t="n"/>
      <c r="H290" s="68" t="n"/>
      <c r="I290" s="68" t="n"/>
      <c r="J290" s="68" t="n"/>
      <c r="K290" s="68" t="n"/>
      <c r="L290" s="49">
        <f>IF(F290="","",N(G290)*SUMIF(tk_HWSET,F290,tk_QTY))</f>
        <v/>
      </c>
    </row>
    <row r="291">
      <c r="F291" s="67" t="n"/>
      <c r="G291" s="68" t="n"/>
      <c r="H291" s="68" t="n"/>
      <c r="I291" s="68" t="n"/>
      <c r="J291" s="68" t="n"/>
      <c r="K291" s="68" t="n"/>
      <c r="L291" s="49">
        <f>IF(F291="","",N(G291)*SUMIF(tk_HWSET,F291,tk_QTY))</f>
        <v/>
      </c>
    </row>
    <row r="292">
      <c r="F292" s="67" t="n"/>
      <c r="G292" s="68" t="n"/>
      <c r="H292" s="68" t="n"/>
      <c r="I292" s="68" t="n"/>
      <c r="J292" s="68" t="n"/>
      <c r="K292" s="68" t="n"/>
      <c r="L292" s="49">
        <f>IF(F292="","",N(G292)*SUMIF(tk_HWSET,F292,tk_QTY))</f>
        <v/>
      </c>
    </row>
    <row r="293">
      <c r="F293" s="67" t="n"/>
      <c r="G293" s="68" t="n"/>
      <c r="H293" s="68" t="n"/>
      <c r="I293" s="68" t="n"/>
      <c r="J293" s="68" t="n"/>
      <c r="K293" s="68" t="n"/>
      <c r="L293" s="49">
        <f>IF(F293="","",N(G293)*SUMIF(tk_HWSET,F293,tk_QTY))</f>
        <v/>
      </c>
    </row>
    <row r="294">
      <c r="F294" s="67" t="n"/>
      <c r="G294" s="68" t="n"/>
      <c r="H294" s="68" t="n"/>
      <c r="I294" s="68" t="n"/>
      <c r="J294" s="68" t="n"/>
      <c r="K294" s="68" t="n"/>
      <c r="L294" s="49">
        <f>IF(F294="","",N(G294)*SUMIF(tk_HWSET,F294,tk_QTY))</f>
        <v/>
      </c>
    </row>
    <row r="295">
      <c r="F295" s="67" t="n"/>
      <c r="G295" s="68" t="n"/>
      <c r="H295" s="68" t="n"/>
      <c r="I295" s="68" t="n"/>
      <c r="J295" s="68" t="n"/>
      <c r="K295" s="68" t="n"/>
      <c r="L295" s="49">
        <f>IF(F295="","",N(G295)*SUMIF(tk_HWSET,F295,tk_QTY))</f>
        <v/>
      </c>
    </row>
    <row r="296">
      <c r="F296" s="67" t="n"/>
      <c r="G296" s="68" t="n"/>
      <c r="H296" s="68" t="n"/>
      <c r="I296" s="68" t="n"/>
      <c r="J296" s="68" t="n"/>
      <c r="K296" s="68" t="n"/>
      <c r="L296" s="49">
        <f>IF(F296="","",N(G296)*SUMIF(tk_HWSET,F296,tk_QTY))</f>
        <v/>
      </c>
    </row>
    <row r="297">
      <c r="F297" s="67" t="n"/>
      <c r="G297" s="68" t="n"/>
      <c r="H297" s="68" t="n"/>
      <c r="I297" s="68" t="n"/>
      <c r="J297" s="68" t="n"/>
      <c r="K297" s="68" t="n"/>
      <c r="L297" s="49">
        <f>IF(F297="","",N(G297)*SUMIF(tk_HWSET,F297,tk_QTY))</f>
        <v/>
      </c>
    </row>
    <row r="298">
      <c r="F298" s="67" t="n"/>
      <c r="G298" s="68" t="n"/>
      <c r="H298" s="68" t="n"/>
      <c r="I298" s="68" t="n"/>
      <c r="J298" s="68" t="n"/>
      <c r="K298" s="68" t="n"/>
      <c r="L298" s="49">
        <f>IF(F298="","",N(G298)*SUMIF(tk_HWSET,F298,tk_QTY))</f>
        <v/>
      </c>
    </row>
    <row r="299">
      <c r="F299" s="67" t="n"/>
      <c r="G299" s="68" t="n"/>
      <c r="H299" s="68" t="n"/>
      <c r="I299" s="68" t="n"/>
      <c r="J299" s="68" t="n"/>
      <c r="K299" s="68" t="n"/>
      <c r="L299" s="49">
        <f>IF(F299="","",N(G299)*SUMIF(tk_HWSET,F299,tk_QTY))</f>
        <v/>
      </c>
    </row>
    <row r="300">
      <c r="F300" s="67" t="n"/>
      <c r="G300" s="68" t="n"/>
      <c r="H300" s="68" t="n"/>
      <c r="I300" s="68" t="n"/>
      <c r="J300" s="68" t="n"/>
      <c r="K300" s="68" t="n"/>
      <c r="L300" s="49">
        <f>IF(F300="","",N(G300)*SUMIF(tk_HWSET,F300,tk_QTY))</f>
        <v/>
      </c>
    </row>
    <row r="301">
      <c r="F301" s="67" t="n"/>
      <c r="G301" s="68" t="n"/>
      <c r="H301" s="68" t="n"/>
      <c r="I301" s="68" t="n"/>
      <c r="J301" s="68" t="n"/>
      <c r="K301" s="68" t="n"/>
      <c r="L301" s="49">
        <f>IF(F301="","",N(G301)*SUMIF(tk_HWSET,F301,tk_QTY))</f>
        <v/>
      </c>
    </row>
    <row r="302">
      <c r="F302" s="67" t="n"/>
      <c r="G302" s="68" t="n"/>
      <c r="H302" s="68" t="n"/>
      <c r="I302" s="68" t="n"/>
      <c r="J302" s="68" t="n"/>
      <c r="K302" s="68" t="n"/>
      <c r="L302" s="49">
        <f>IF(F302="","",N(G302)*SUMIF(tk_HWSET,F302,tk_QTY))</f>
        <v/>
      </c>
    </row>
    <row r="303">
      <c r="F303" s="67" t="n"/>
      <c r="G303" s="68" t="n"/>
      <c r="H303" s="68" t="n"/>
      <c r="I303" s="68" t="n"/>
      <c r="J303" s="68" t="n"/>
      <c r="K303" s="68" t="n"/>
      <c r="L303" s="49">
        <f>IF(F303="","",N(G303)*SUMIF(tk_HWSET,F303,tk_QTY))</f>
        <v/>
      </c>
    </row>
    <row r="304">
      <c r="F304" s="67" t="n"/>
      <c r="G304" s="68" t="n"/>
      <c r="H304" s="68" t="n"/>
      <c r="I304" s="68" t="n"/>
      <c r="J304" s="68" t="n"/>
      <c r="K304" s="68" t="n"/>
      <c r="L304" s="49">
        <f>IF(F304="","",N(G304)*SUMIF(tk_HWSET,F304,tk_QTY))</f>
        <v/>
      </c>
    </row>
    <row r="305">
      <c r="F305" s="67" t="n"/>
      <c r="G305" s="68" t="n"/>
      <c r="H305" s="68" t="n"/>
      <c r="I305" s="68" t="n"/>
      <c r="J305" s="68" t="n"/>
      <c r="K305" s="68" t="n"/>
      <c r="L305" s="49">
        <f>IF(F305="","",N(G305)*SUMIF(tk_HWSET,F305,tk_QTY))</f>
        <v/>
      </c>
    </row>
    <row r="306">
      <c r="F306" s="67" t="n"/>
      <c r="G306" s="68" t="n"/>
      <c r="H306" s="68" t="n"/>
      <c r="I306" s="68" t="n"/>
      <c r="J306" s="68" t="n"/>
      <c r="K306" s="68" t="n"/>
      <c r="L306" s="49">
        <f>IF(F306="","",N(G306)*SUMIF(tk_HWSET,F306,tk_QTY))</f>
        <v/>
      </c>
    </row>
    <row r="307">
      <c r="F307" s="67" t="n"/>
      <c r="G307" s="68" t="n"/>
      <c r="H307" s="68" t="n"/>
      <c r="I307" s="68" t="n"/>
      <c r="J307" s="68" t="n"/>
      <c r="K307" s="68" t="n"/>
      <c r="L307" s="49">
        <f>IF(F307="","",N(G307)*SUMIF(tk_HWSET,F307,tk_QTY))</f>
        <v/>
      </c>
    </row>
    <row r="308">
      <c r="F308" s="67" t="n"/>
      <c r="G308" s="68" t="n"/>
      <c r="H308" s="68" t="n"/>
      <c r="I308" s="68" t="n"/>
      <c r="J308" s="68" t="n"/>
      <c r="K308" s="68" t="n"/>
      <c r="L308" s="49">
        <f>IF(F308="","",N(G308)*SUMIF(tk_HWSET,F308,tk_QTY))</f>
        <v/>
      </c>
    </row>
    <row r="309">
      <c r="F309" s="67" t="n"/>
      <c r="G309" s="68" t="n"/>
      <c r="H309" s="68" t="n"/>
      <c r="I309" s="68" t="n"/>
      <c r="J309" s="68" t="n"/>
      <c r="K309" s="68" t="n"/>
      <c r="L309" s="49">
        <f>IF(F309="","",N(G309)*SUMIF(tk_HWSET,F309,tk_QTY))</f>
        <v/>
      </c>
    </row>
    <row r="310">
      <c r="F310" s="67" t="n"/>
      <c r="G310" s="68" t="n"/>
      <c r="H310" s="68" t="n"/>
      <c r="I310" s="68" t="n"/>
      <c r="J310" s="68" t="n"/>
      <c r="K310" s="68" t="n"/>
      <c r="L310" s="49">
        <f>IF(F310="","",N(G310)*SUMIF(tk_HWSET,F310,tk_QTY))</f>
        <v/>
      </c>
    </row>
    <row r="311">
      <c r="F311" s="67" t="n"/>
      <c r="G311" s="68" t="n"/>
      <c r="H311" s="68" t="n"/>
      <c r="I311" s="68" t="n"/>
      <c r="J311" s="68" t="n"/>
      <c r="K311" s="68" t="n"/>
      <c r="L311" s="49">
        <f>IF(F311="","",N(G311)*SUMIF(tk_HWSET,F311,tk_QTY))</f>
        <v/>
      </c>
    </row>
    <row r="312">
      <c r="F312" s="67" t="n"/>
      <c r="G312" s="68" t="n"/>
      <c r="H312" s="68" t="n"/>
      <c r="I312" s="68" t="n"/>
      <c r="J312" s="68" t="n"/>
      <c r="K312" s="68" t="n"/>
      <c r="L312" s="49">
        <f>IF(F312="","",N(G312)*SUMIF(tk_HWSET,F312,tk_QTY))</f>
        <v/>
      </c>
    </row>
    <row r="313">
      <c r="F313" s="67" t="n"/>
      <c r="G313" s="68" t="n"/>
      <c r="H313" s="68" t="n"/>
      <c r="I313" s="68" t="n"/>
      <c r="J313" s="68" t="n"/>
      <c r="K313" s="68" t="n"/>
      <c r="L313" s="49">
        <f>IF(F313="","",N(G313)*SUMIF(tk_HWSET,F313,tk_QTY))</f>
        <v/>
      </c>
    </row>
    <row r="314">
      <c r="F314" s="67" t="n"/>
      <c r="G314" s="68" t="n"/>
      <c r="H314" s="68" t="n"/>
      <c r="I314" s="68" t="n"/>
      <c r="J314" s="68" t="n"/>
      <c r="K314" s="68" t="n"/>
      <c r="L314" s="49">
        <f>IF(F314="","",N(G314)*SUMIF(tk_HWSET,F314,tk_QTY))</f>
        <v/>
      </c>
    </row>
    <row r="315">
      <c r="F315" s="67" t="n"/>
      <c r="G315" s="68" t="n"/>
      <c r="H315" s="68" t="n"/>
      <c r="I315" s="68" t="n"/>
      <c r="J315" s="68" t="n"/>
      <c r="K315" s="68" t="n"/>
      <c r="L315" s="49">
        <f>IF(F315="","",N(G315)*SUMIF(tk_HWSET,F315,tk_QTY))</f>
        <v/>
      </c>
    </row>
    <row r="316">
      <c r="F316" s="67" t="n"/>
      <c r="G316" s="68" t="n"/>
      <c r="H316" s="68" t="n"/>
      <c r="I316" s="68" t="n"/>
      <c r="J316" s="68" t="n"/>
      <c r="K316" s="68" t="n"/>
      <c r="L316" s="49">
        <f>IF(F316="","",N(G316)*SUMIF(tk_HWSET,F316,tk_QTY))</f>
        <v/>
      </c>
    </row>
    <row r="317">
      <c r="F317" s="67" t="n"/>
      <c r="G317" s="68" t="n"/>
      <c r="H317" s="68" t="n"/>
      <c r="I317" s="68" t="n"/>
      <c r="J317" s="68" t="n"/>
      <c r="K317" s="68" t="n"/>
      <c r="L317" s="49">
        <f>IF(F317="","",N(G317)*SUMIF(tk_HWSET,F317,tk_QTY))</f>
        <v/>
      </c>
    </row>
    <row r="318">
      <c r="F318" s="67" t="n"/>
      <c r="G318" s="68" t="n"/>
      <c r="H318" s="68" t="n"/>
      <c r="I318" s="68" t="n"/>
      <c r="J318" s="68" t="n"/>
      <c r="K318" s="68" t="n"/>
      <c r="L318" s="49">
        <f>IF(F318="","",N(G318)*SUMIF(tk_HWSET,F318,tk_QTY))</f>
        <v/>
      </c>
    </row>
    <row r="319">
      <c r="F319" s="67" t="n"/>
      <c r="G319" s="68" t="n"/>
      <c r="H319" s="68" t="n"/>
      <c r="I319" s="68" t="n"/>
      <c r="J319" s="68" t="n"/>
      <c r="K319" s="68" t="n"/>
      <c r="L319" s="49">
        <f>IF(F319="","",N(G319)*SUMIF(tk_HWSET,F319,tk_QTY))</f>
        <v/>
      </c>
    </row>
    <row r="320">
      <c r="F320" s="67" t="n"/>
      <c r="G320" s="68" t="n"/>
      <c r="H320" s="68" t="n"/>
      <c r="I320" s="68" t="n"/>
      <c r="J320" s="68" t="n"/>
      <c r="K320" s="68" t="n"/>
      <c r="L320" s="49">
        <f>IF(F320="","",N(G320)*SUMIF(tk_HWSET,F320,tk_QTY))</f>
        <v/>
      </c>
    </row>
    <row r="321">
      <c r="F321" s="67" t="n"/>
      <c r="G321" s="68" t="n"/>
      <c r="H321" s="68" t="n"/>
      <c r="I321" s="68" t="n"/>
      <c r="J321" s="68" t="n"/>
      <c r="K321" s="68" t="n"/>
      <c r="L321" s="49">
        <f>IF(F321="","",N(G321)*SUMIF(tk_HWSET,F321,tk_QTY))</f>
        <v/>
      </c>
    </row>
    <row r="322">
      <c r="F322" s="67" t="n"/>
      <c r="G322" s="68" t="n"/>
      <c r="H322" s="68" t="n"/>
      <c r="I322" s="68" t="n"/>
      <c r="J322" s="68" t="n"/>
      <c r="K322" s="68" t="n"/>
      <c r="L322" s="49">
        <f>IF(F322="","",N(G322)*SUMIF(tk_HWSET,F322,tk_QTY))</f>
        <v/>
      </c>
    </row>
    <row r="323">
      <c r="F323" s="67" t="n"/>
      <c r="G323" s="68" t="n"/>
      <c r="H323" s="68" t="n"/>
      <c r="I323" s="68" t="n"/>
      <c r="J323" s="68" t="n"/>
      <c r="K323" s="68" t="n"/>
      <c r="L323" s="49">
        <f>IF(F323="","",N(G323)*SUMIF(tk_HWSET,F323,tk_QTY))</f>
        <v/>
      </c>
    </row>
    <row r="324">
      <c r="F324" s="67" t="n"/>
      <c r="G324" s="68" t="n"/>
      <c r="H324" s="68" t="n"/>
      <c r="I324" s="68" t="n"/>
      <c r="J324" s="68" t="n"/>
      <c r="K324" s="68" t="n"/>
      <c r="L324" s="49">
        <f>IF(F324="","",N(G324)*SUMIF(tk_HWSET,F324,tk_QTY))</f>
        <v/>
      </c>
    </row>
    <row r="325">
      <c r="F325" s="67" t="n"/>
      <c r="G325" s="68" t="n"/>
      <c r="H325" s="68" t="n"/>
      <c r="I325" s="68" t="n"/>
      <c r="J325" s="68" t="n"/>
      <c r="K325" s="68" t="n"/>
      <c r="L325" s="49">
        <f>IF(F325="","",N(G325)*SUMIF(tk_HWSET,F325,tk_QTY))</f>
        <v/>
      </c>
    </row>
    <row r="326">
      <c r="F326" s="67" t="n"/>
      <c r="G326" s="68" t="n"/>
      <c r="H326" s="68" t="n"/>
      <c r="I326" s="68" t="n"/>
      <c r="J326" s="68" t="n"/>
      <c r="K326" s="68" t="n"/>
      <c r="L326" s="49">
        <f>IF(F326="","",N(G326)*SUMIF(tk_HWSET,F326,tk_QTY))</f>
        <v/>
      </c>
    </row>
    <row r="327">
      <c r="F327" s="67" t="n"/>
      <c r="G327" s="68" t="n"/>
      <c r="H327" s="68" t="n"/>
      <c r="I327" s="68" t="n"/>
      <c r="J327" s="68" t="n"/>
      <c r="K327" s="68" t="n"/>
      <c r="L327" s="49">
        <f>IF(F327="","",N(G327)*SUMIF(tk_HWSET,F327,tk_QTY))</f>
        <v/>
      </c>
    </row>
    <row r="328">
      <c r="F328" s="67" t="n"/>
      <c r="G328" s="68" t="n"/>
      <c r="H328" s="68" t="n"/>
      <c r="I328" s="68" t="n"/>
      <c r="J328" s="68" t="n"/>
      <c r="K328" s="68" t="n"/>
      <c r="L328" s="49">
        <f>IF(F328="","",N(G328)*SUMIF(tk_HWSET,F328,tk_QTY))</f>
        <v/>
      </c>
    </row>
    <row r="329">
      <c r="F329" s="67" t="n"/>
      <c r="G329" s="68" t="n"/>
      <c r="H329" s="68" t="n"/>
      <c r="I329" s="68" t="n"/>
      <c r="J329" s="68" t="n"/>
      <c r="K329" s="68" t="n"/>
      <c r="L329" s="49">
        <f>IF(F329="","",N(G329)*SUMIF(tk_HWSET,F329,tk_QTY))</f>
        <v/>
      </c>
    </row>
    <row r="330">
      <c r="F330" s="67" t="n"/>
      <c r="G330" s="68" t="n"/>
      <c r="H330" s="68" t="n"/>
      <c r="I330" s="68" t="n"/>
      <c r="J330" s="68" t="n"/>
      <c r="K330" s="68" t="n"/>
      <c r="L330" s="49">
        <f>IF(F330="","",N(G330)*SUMIF(tk_HWSET,F330,tk_QTY))</f>
        <v/>
      </c>
    </row>
    <row r="331">
      <c r="F331" s="67" t="n"/>
      <c r="G331" s="68" t="n"/>
      <c r="H331" s="68" t="n"/>
      <c r="I331" s="68" t="n"/>
      <c r="J331" s="68" t="n"/>
      <c r="K331" s="68" t="n"/>
      <c r="L331" s="49">
        <f>IF(F331="","",N(G331)*SUMIF(tk_HWSET,F331,tk_QTY))</f>
        <v/>
      </c>
    </row>
    <row r="332">
      <c r="F332" s="67" t="n"/>
      <c r="G332" s="68" t="n"/>
      <c r="H332" s="68" t="n"/>
      <c r="I332" s="68" t="n"/>
      <c r="J332" s="68" t="n"/>
      <c r="K332" s="68" t="n"/>
      <c r="L332" s="49">
        <f>IF(F332="","",N(G332)*SUMIF(tk_HWSET,F332,tk_QTY))</f>
        <v/>
      </c>
    </row>
    <row r="333">
      <c r="F333" s="67" t="n"/>
      <c r="G333" s="68" t="n"/>
      <c r="H333" s="68" t="n"/>
      <c r="I333" s="68" t="n"/>
      <c r="J333" s="68" t="n"/>
      <c r="K333" s="68" t="n"/>
      <c r="L333" s="49">
        <f>IF(F333="","",N(G333)*SUMIF(tk_HWSET,F333,tk_QTY))</f>
        <v/>
      </c>
    </row>
    <row r="334">
      <c r="F334" s="67" t="n"/>
      <c r="G334" s="68" t="n"/>
      <c r="H334" s="68" t="n"/>
      <c r="I334" s="68" t="n"/>
      <c r="J334" s="68" t="n"/>
      <c r="K334" s="68" t="n"/>
      <c r="L334" s="49">
        <f>IF(F334="","",N(G334)*SUMIF(tk_HWSET,F334,tk_QTY))</f>
        <v/>
      </c>
    </row>
    <row r="335">
      <c r="F335" s="67" t="n"/>
      <c r="G335" s="68" t="n"/>
      <c r="H335" s="68" t="n"/>
      <c r="I335" s="68" t="n"/>
      <c r="J335" s="68" t="n"/>
      <c r="K335" s="68" t="n"/>
      <c r="L335" s="49">
        <f>IF(F335="","",N(G335)*SUMIF(tk_HWSET,F335,tk_QTY))</f>
        <v/>
      </c>
    </row>
    <row r="336">
      <c r="F336" s="67" t="n"/>
      <c r="G336" s="68" t="n"/>
      <c r="H336" s="68" t="n"/>
      <c r="I336" s="68" t="n"/>
      <c r="J336" s="68" t="n"/>
      <c r="K336" s="68" t="n"/>
      <c r="L336" s="49">
        <f>IF(F336="","",N(G336)*SUMIF(tk_HWSET,F336,tk_QTY))</f>
        <v/>
      </c>
    </row>
    <row r="337">
      <c r="F337" s="67" t="n"/>
      <c r="G337" s="68" t="n"/>
      <c r="H337" s="68" t="n"/>
      <c r="I337" s="68" t="n"/>
      <c r="J337" s="68" t="n"/>
      <c r="K337" s="68" t="n"/>
      <c r="L337" s="49">
        <f>IF(F337="","",N(G337)*SUMIF(tk_HWSET,F337,tk_QTY))</f>
        <v/>
      </c>
    </row>
    <row r="338">
      <c r="F338" s="67" t="n"/>
      <c r="G338" s="68" t="n"/>
      <c r="H338" s="68" t="n"/>
      <c r="I338" s="68" t="n"/>
      <c r="J338" s="68" t="n"/>
      <c r="K338" s="68" t="n"/>
      <c r="L338" s="49">
        <f>IF(F338="","",N(G338)*SUMIF(tk_HWSET,F338,tk_QTY))</f>
        <v/>
      </c>
    </row>
    <row r="339">
      <c r="F339" s="67" t="n"/>
      <c r="G339" s="68" t="n"/>
      <c r="H339" s="68" t="n"/>
      <c r="I339" s="68" t="n"/>
      <c r="J339" s="68" t="n"/>
      <c r="K339" s="68" t="n"/>
      <c r="L339" s="49">
        <f>IF(F339="","",N(G339)*SUMIF(tk_HWSET,F339,tk_QTY))</f>
        <v/>
      </c>
    </row>
    <row r="340">
      <c r="F340" s="67" t="n"/>
      <c r="G340" s="68" t="n"/>
      <c r="H340" s="68" t="n"/>
      <c r="I340" s="68" t="n"/>
      <c r="J340" s="68" t="n"/>
      <c r="K340" s="68" t="n"/>
      <c r="L340" s="49">
        <f>IF(F340="","",N(G340)*SUMIF(tk_HWSET,F340,tk_QTY))</f>
        <v/>
      </c>
    </row>
    <row r="341">
      <c r="F341" s="67" t="n"/>
      <c r="G341" s="68" t="n"/>
      <c r="H341" s="68" t="n"/>
      <c r="I341" s="68" t="n"/>
      <c r="J341" s="68" t="n"/>
      <c r="K341" s="68" t="n"/>
      <c r="L341" s="49">
        <f>IF(F341="","",N(G341)*SUMIF(tk_HWSET,F341,tk_QTY))</f>
        <v/>
      </c>
    </row>
    <row r="342">
      <c r="F342" s="67" t="n"/>
      <c r="G342" s="68" t="n"/>
      <c r="H342" s="68" t="n"/>
      <c r="I342" s="68" t="n"/>
      <c r="J342" s="68" t="n"/>
      <c r="K342" s="68" t="n"/>
      <c r="L342" s="49">
        <f>IF(F342="","",N(G342)*SUMIF(tk_HWSET,F342,tk_QTY))</f>
        <v/>
      </c>
    </row>
    <row r="343">
      <c r="F343" s="67" t="n"/>
      <c r="G343" s="68" t="n"/>
      <c r="H343" s="68" t="n"/>
      <c r="I343" s="68" t="n"/>
      <c r="J343" s="68" t="n"/>
      <c r="K343" s="68" t="n"/>
      <c r="L343" s="49">
        <f>IF(F343="","",N(G343)*SUMIF(tk_HWSET,F343,tk_QTY))</f>
        <v/>
      </c>
    </row>
    <row r="344">
      <c r="F344" s="67" t="n"/>
      <c r="G344" s="68" t="n"/>
      <c r="H344" s="68" t="n"/>
      <c r="I344" s="68" t="n"/>
      <c r="J344" s="68" t="n"/>
      <c r="K344" s="68" t="n"/>
      <c r="L344" s="49">
        <f>IF(F344="","",N(G344)*SUMIF(tk_HWSET,F344,tk_QTY))</f>
        <v/>
      </c>
    </row>
    <row r="345">
      <c r="F345" s="67" t="n"/>
      <c r="G345" s="68" t="n"/>
      <c r="H345" s="68" t="n"/>
      <c r="I345" s="68" t="n"/>
      <c r="J345" s="68" t="n"/>
      <c r="K345" s="68" t="n"/>
      <c r="L345" s="49">
        <f>IF(F345="","",N(G345)*SUMIF(tk_HWSET,F345,tk_QTY))</f>
        <v/>
      </c>
    </row>
    <row r="346">
      <c r="F346" s="67" t="n"/>
      <c r="G346" s="68" t="n"/>
      <c r="H346" s="68" t="n"/>
      <c r="I346" s="68" t="n"/>
      <c r="J346" s="68" t="n"/>
      <c r="K346" s="68" t="n"/>
      <c r="L346" s="49">
        <f>IF(F346="","",N(G346)*SUMIF(tk_HWSET,F346,tk_QTY))</f>
        <v/>
      </c>
    </row>
    <row r="347">
      <c r="F347" s="67" t="n"/>
      <c r="G347" s="68" t="n"/>
      <c r="H347" s="68" t="n"/>
      <c r="I347" s="68" t="n"/>
      <c r="J347" s="68" t="n"/>
      <c r="K347" s="68" t="n"/>
      <c r="L347" s="49">
        <f>IF(F347="","",N(G347)*SUMIF(tk_HWSET,F347,tk_QTY))</f>
        <v/>
      </c>
    </row>
    <row r="348">
      <c r="F348" s="67" t="n"/>
      <c r="G348" s="68" t="n"/>
      <c r="H348" s="68" t="n"/>
      <c r="I348" s="68" t="n"/>
      <c r="J348" s="68" t="n"/>
      <c r="K348" s="68" t="n"/>
      <c r="L348" s="49">
        <f>IF(F348="","",N(G348)*SUMIF(tk_HWSET,F348,tk_QTY))</f>
        <v/>
      </c>
    </row>
    <row r="349">
      <c r="F349" s="67" t="n"/>
      <c r="G349" s="68" t="n"/>
      <c r="H349" s="68" t="n"/>
      <c r="I349" s="68" t="n"/>
      <c r="J349" s="68" t="n"/>
      <c r="K349" s="68" t="n"/>
      <c r="L349" s="49">
        <f>IF(F349="","",N(G349)*SUMIF(tk_HWSET,F349,tk_QTY))</f>
        <v/>
      </c>
    </row>
    <row r="350">
      <c r="F350" s="67" t="n"/>
      <c r="G350" s="68" t="n"/>
      <c r="H350" s="68" t="n"/>
      <c r="I350" s="68" t="n"/>
      <c r="J350" s="68" t="n"/>
      <c r="K350" s="68" t="n"/>
      <c r="L350" s="49">
        <f>IF(F350="","",N(G350)*SUMIF(tk_HWSET,F350,tk_QTY))</f>
        <v/>
      </c>
    </row>
    <row r="351">
      <c r="F351" s="67" t="n"/>
      <c r="G351" s="68" t="n"/>
      <c r="H351" s="68" t="n"/>
      <c r="I351" s="68" t="n"/>
      <c r="J351" s="68" t="n"/>
      <c r="K351" s="68" t="n"/>
      <c r="L351" s="49">
        <f>IF(F351="","",N(G351)*SUMIF(tk_HWSET,F351,tk_QTY))</f>
        <v/>
      </c>
    </row>
    <row r="352">
      <c r="F352" s="67" t="n"/>
      <c r="G352" s="68" t="n"/>
      <c r="H352" s="68" t="n"/>
      <c r="I352" s="68" t="n"/>
      <c r="J352" s="68" t="n"/>
      <c r="K352" s="68" t="n"/>
      <c r="L352" s="49">
        <f>IF(F352="","",N(G352)*SUMIF(tk_HWSET,F352,tk_QTY))</f>
        <v/>
      </c>
    </row>
    <row r="353">
      <c r="F353" s="67" t="n"/>
      <c r="G353" s="68" t="n"/>
      <c r="H353" s="68" t="n"/>
      <c r="I353" s="68" t="n"/>
      <c r="J353" s="68" t="n"/>
      <c r="K353" s="68" t="n"/>
      <c r="L353" s="49">
        <f>IF(F353="","",N(G353)*SUMIF(tk_HWSET,F353,tk_QTY))</f>
        <v/>
      </c>
    </row>
    <row r="354">
      <c r="F354" s="67" t="n"/>
      <c r="G354" s="68" t="n"/>
      <c r="H354" s="68" t="n"/>
      <c r="I354" s="68" t="n"/>
      <c r="J354" s="68" t="n"/>
      <c r="K354" s="68" t="n"/>
      <c r="L354" s="49">
        <f>IF(F354="","",N(G354)*SUMIF(tk_HWSET,F354,tk_QTY))</f>
        <v/>
      </c>
    </row>
    <row r="355">
      <c r="F355" s="67" t="n"/>
      <c r="G355" s="68" t="n"/>
      <c r="H355" s="68" t="n"/>
      <c r="I355" s="68" t="n"/>
      <c r="J355" s="68" t="n"/>
      <c r="K355" s="68" t="n"/>
      <c r="L355" s="49">
        <f>IF(F355="","",N(G355)*SUMIF(tk_HWSET,F355,tk_QTY))</f>
        <v/>
      </c>
    </row>
    <row r="356">
      <c r="F356" s="67" t="n"/>
      <c r="G356" s="68" t="n"/>
      <c r="H356" s="68" t="n"/>
      <c r="I356" s="68" t="n"/>
      <c r="J356" s="68" t="n"/>
      <c r="K356" s="68" t="n"/>
      <c r="L356" s="49">
        <f>IF(F356="","",N(G356)*SUMIF(tk_HWSET,F356,tk_QTY))</f>
        <v/>
      </c>
    </row>
    <row r="357">
      <c r="F357" s="67" t="n"/>
      <c r="G357" s="68" t="n"/>
      <c r="H357" s="68" t="n"/>
      <c r="I357" s="68" t="n"/>
      <c r="J357" s="68" t="n"/>
      <c r="K357" s="68" t="n"/>
      <c r="L357" s="49">
        <f>IF(F357="","",N(G357)*SUMIF(tk_HWSET,F357,tk_QTY))</f>
        <v/>
      </c>
    </row>
    <row r="358">
      <c r="F358" s="67" t="n"/>
      <c r="G358" s="68" t="n"/>
      <c r="H358" s="68" t="n"/>
      <c r="I358" s="68" t="n"/>
      <c r="J358" s="68" t="n"/>
      <c r="K358" s="68" t="n"/>
      <c r="L358" s="49">
        <f>IF(F358="","",N(G358)*SUMIF(tk_HWSET,F358,tk_QTY))</f>
        <v/>
      </c>
    </row>
    <row r="359">
      <c r="F359" s="67" t="n"/>
      <c r="G359" s="68" t="n"/>
      <c r="H359" s="68" t="n"/>
      <c r="I359" s="68" t="n"/>
      <c r="J359" s="68" t="n"/>
      <c r="K359" s="68" t="n"/>
      <c r="L359" s="49">
        <f>IF(F359="","",N(G359)*SUMIF(tk_HWSET,F359,tk_QTY))</f>
        <v/>
      </c>
    </row>
    <row r="360">
      <c r="F360" s="67" t="n"/>
      <c r="G360" s="68" t="n"/>
      <c r="H360" s="68" t="n"/>
      <c r="I360" s="68" t="n"/>
      <c r="J360" s="68" t="n"/>
      <c r="K360" s="68" t="n"/>
      <c r="L360" s="49">
        <f>IF(F360="","",N(G360)*SUMIF(tk_HWSET,F360,tk_QTY))</f>
        <v/>
      </c>
    </row>
    <row r="361">
      <c r="F361" s="67" t="n"/>
      <c r="G361" s="68" t="n"/>
      <c r="H361" s="68" t="n"/>
      <c r="I361" s="68" t="n"/>
      <c r="J361" s="68" t="n"/>
      <c r="K361" s="68" t="n"/>
      <c r="L361" s="49">
        <f>IF(F361="","",N(G361)*SUMIF(tk_HWSET,F361,tk_QTY))</f>
        <v/>
      </c>
    </row>
    <row r="362">
      <c r="F362" s="67" t="n"/>
      <c r="G362" s="68" t="n"/>
      <c r="H362" s="68" t="n"/>
      <c r="I362" s="68" t="n"/>
      <c r="J362" s="68" t="n"/>
      <c r="K362" s="68" t="n"/>
      <c r="L362" s="49">
        <f>IF(F362="","",N(G362)*SUMIF(tk_HWSET,F362,tk_QTY))</f>
        <v/>
      </c>
    </row>
    <row r="363">
      <c r="F363" s="67" t="n"/>
      <c r="G363" s="68" t="n"/>
      <c r="H363" s="68" t="n"/>
      <c r="I363" s="68" t="n"/>
      <c r="J363" s="68" t="n"/>
      <c r="K363" s="68" t="n"/>
      <c r="L363" s="49">
        <f>IF(F363="","",N(G363)*SUMIF(tk_HWSET,F363,tk_QTY))</f>
        <v/>
      </c>
    </row>
    <row r="364">
      <c r="F364" s="67" t="n"/>
      <c r="G364" s="68" t="n"/>
      <c r="H364" s="68" t="n"/>
      <c r="I364" s="68" t="n"/>
      <c r="J364" s="68" t="n"/>
      <c r="K364" s="68" t="n"/>
      <c r="L364" s="49">
        <f>IF(F364="","",N(G364)*SUMIF(tk_HWSET,F364,tk_QTY))</f>
        <v/>
      </c>
    </row>
    <row r="365">
      <c r="F365" s="67" t="n"/>
      <c r="G365" s="68" t="n"/>
      <c r="H365" s="68" t="n"/>
      <c r="I365" s="68" t="n"/>
      <c r="J365" s="68" t="n"/>
      <c r="K365" s="68" t="n"/>
      <c r="L365" s="49">
        <f>IF(F365="","",N(G365)*SUMIF(tk_HWSET,F365,tk_QTY))</f>
        <v/>
      </c>
    </row>
    <row r="366">
      <c r="F366" s="67" t="n"/>
      <c r="G366" s="68" t="n"/>
      <c r="H366" s="68" t="n"/>
      <c r="I366" s="68" t="n"/>
      <c r="J366" s="68" t="n"/>
      <c r="K366" s="68" t="n"/>
      <c r="L366" s="49">
        <f>IF(F366="","",N(G366)*SUMIF(tk_HWSET,F366,tk_QTY))</f>
        <v/>
      </c>
    </row>
    <row r="367">
      <c r="F367" s="67" t="n"/>
      <c r="G367" s="68" t="n"/>
      <c r="H367" s="68" t="n"/>
      <c r="I367" s="68" t="n"/>
      <c r="J367" s="68" t="n"/>
      <c r="K367" s="68" t="n"/>
      <c r="L367" s="49">
        <f>IF(F367="","",N(G367)*SUMIF(tk_HWSET,F367,tk_QTY))</f>
        <v/>
      </c>
    </row>
    <row r="368">
      <c r="F368" s="67" t="n"/>
      <c r="G368" s="68" t="n"/>
      <c r="H368" s="68" t="n"/>
      <c r="I368" s="68" t="n"/>
      <c r="J368" s="68" t="n"/>
      <c r="K368" s="68" t="n"/>
      <c r="L368" s="49">
        <f>IF(F368="","",N(G368)*SUMIF(tk_HWSET,F368,tk_QTY))</f>
        <v/>
      </c>
    </row>
    <row r="369">
      <c r="F369" s="67" t="n"/>
      <c r="G369" s="68" t="n"/>
      <c r="H369" s="68" t="n"/>
      <c r="I369" s="68" t="n"/>
      <c r="J369" s="68" t="n"/>
      <c r="K369" s="68" t="n"/>
      <c r="L369" s="49">
        <f>IF(F369="","",N(G369)*SUMIF(tk_HWSET,F369,tk_QTY))</f>
        <v/>
      </c>
    </row>
    <row r="370">
      <c r="F370" s="67" t="n"/>
      <c r="G370" s="68" t="n"/>
      <c r="H370" s="68" t="n"/>
      <c r="I370" s="68" t="n"/>
      <c r="J370" s="68" t="n"/>
      <c r="K370" s="68" t="n"/>
      <c r="L370" s="49">
        <f>IF(F370="","",N(G370)*SUMIF(tk_HWSET,F370,tk_QTY))</f>
        <v/>
      </c>
    </row>
    <row r="371">
      <c r="F371" s="67" t="n"/>
      <c r="G371" s="68" t="n"/>
      <c r="H371" s="68" t="n"/>
      <c r="I371" s="68" t="n"/>
      <c r="J371" s="68" t="n"/>
      <c r="K371" s="68" t="n"/>
      <c r="L371" s="49">
        <f>IF(F371="","",N(G371)*SUMIF(tk_HWSET,F371,tk_QTY))</f>
        <v/>
      </c>
    </row>
    <row r="372">
      <c r="F372" s="67" t="n"/>
      <c r="G372" s="68" t="n"/>
      <c r="H372" s="68" t="n"/>
      <c r="I372" s="68" t="n"/>
      <c r="J372" s="68" t="n"/>
      <c r="K372" s="68" t="n"/>
      <c r="L372" s="49">
        <f>IF(F372="","",N(G372)*SUMIF(tk_HWSET,F372,tk_QTY))</f>
        <v/>
      </c>
    </row>
    <row r="373">
      <c r="F373" s="67" t="n"/>
      <c r="G373" s="68" t="n"/>
      <c r="H373" s="68" t="n"/>
      <c r="I373" s="68" t="n"/>
      <c r="J373" s="68" t="n"/>
      <c r="K373" s="68" t="n"/>
      <c r="L373" s="49">
        <f>IF(F373="","",N(G373)*SUMIF(tk_HWSET,F373,tk_QTY))</f>
        <v/>
      </c>
    </row>
    <row r="374">
      <c r="F374" s="67" t="n"/>
      <c r="G374" s="68" t="n"/>
      <c r="H374" s="68" t="n"/>
      <c r="I374" s="68" t="n"/>
      <c r="J374" s="68" t="n"/>
      <c r="K374" s="68" t="n"/>
      <c r="L374" s="49">
        <f>IF(F374="","",N(G374)*SUMIF(tk_HWSET,F374,tk_QTY))</f>
        <v/>
      </c>
    </row>
    <row r="375">
      <c r="F375" s="67" t="n"/>
      <c r="G375" s="68" t="n"/>
      <c r="H375" s="68" t="n"/>
      <c r="I375" s="68" t="n"/>
      <c r="J375" s="68" t="n"/>
      <c r="K375" s="68" t="n"/>
      <c r="L375" s="49">
        <f>IF(F375="","",N(G375)*SUMIF(tk_HWSET,F375,tk_QTY))</f>
        <v/>
      </c>
    </row>
    <row r="376">
      <c r="F376" s="67" t="n"/>
      <c r="G376" s="68" t="n"/>
      <c r="H376" s="68" t="n"/>
      <c r="I376" s="68" t="n"/>
      <c r="J376" s="68" t="n"/>
      <c r="K376" s="68" t="n"/>
      <c r="L376" s="49">
        <f>IF(F376="","",N(G376)*SUMIF(tk_HWSET,F376,tk_QTY))</f>
        <v/>
      </c>
    </row>
    <row r="377">
      <c r="F377" s="67" t="n"/>
      <c r="G377" s="68" t="n"/>
      <c r="H377" s="68" t="n"/>
      <c r="I377" s="68" t="n"/>
      <c r="J377" s="68" t="n"/>
      <c r="K377" s="68" t="n"/>
      <c r="L377" s="49">
        <f>IF(F377="","",N(G377)*SUMIF(tk_HWSET,F377,tk_QTY))</f>
        <v/>
      </c>
    </row>
    <row r="378">
      <c r="F378" s="67" t="n"/>
      <c r="G378" s="68" t="n"/>
      <c r="H378" s="68" t="n"/>
      <c r="I378" s="68" t="n"/>
      <c r="J378" s="68" t="n"/>
      <c r="K378" s="68" t="n"/>
      <c r="L378" s="49">
        <f>IF(F378="","",N(G378)*SUMIF(tk_HWSET,F378,tk_QTY))</f>
        <v/>
      </c>
    </row>
    <row r="379">
      <c r="F379" s="67" t="n"/>
      <c r="G379" s="68" t="n"/>
      <c r="H379" s="68" t="n"/>
      <c r="I379" s="68" t="n"/>
      <c r="J379" s="68" t="n"/>
      <c r="K379" s="68" t="n"/>
      <c r="L379" s="49">
        <f>IF(F379="","",N(G379)*SUMIF(tk_HWSET,F379,tk_QTY))</f>
        <v/>
      </c>
    </row>
    <row r="380">
      <c r="F380" s="67" t="n"/>
      <c r="G380" s="68" t="n"/>
      <c r="H380" s="68" t="n"/>
      <c r="I380" s="68" t="n"/>
      <c r="J380" s="68" t="n"/>
      <c r="K380" s="68" t="n"/>
      <c r="L380" s="49">
        <f>IF(F380="","",N(G380)*SUMIF(tk_HWSET,F380,tk_QTY))</f>
        <v/>
      </c>
    </row>
    <row r="381">
      <c r="F381" s="67" t="n"/>
      <c r="G381" s="68" t="n"/>
      <c r="H381" s="68" t="n"/>
      <c r="I381" s="68" t="n"/>
      <c r="J381" s="68" t="n"/>
      <c r="K381" s="68" t="n"/>
      <c r="L381" s="49">
        <f>IF(F381="","",N(G381)*SUMIF(tk_HWSET,F381,tk_QTY))</f>
        <v/>
      </c>
    </row>
    <row r="382">
      <c r="F382" s="67" t="n"/>
      <c r="G382" s="68" t="n"/>
      <c r="H382" s="68" t="n"/>
      <c r="I382" s="68" t="n"/>
      <c r="J382" s="68" t="n"/>
      <c r="K382" s="68" t="n"/>
      <c r="L382" s="49">
        <f>IF(F382="","",N(G382)*SUMIF(tk_HWSET,F382,tk_QTY))</f>
        <v/>
      </c>
    </row>
    <row r="383">
      <c r="F383" s="67" t="n"/>
      <c r="G383" s="68" t="n"/>
      <c r="H383" s="68" t="n"/>
      <c r="I383" s="68" t="n"/>
      <c r="J383" s="68" t="n"/>
      <c r="K383" s="68" t="n"/>
      <c r="L383" s="49">
        <f>IF(F383="","",N(G383)*SUMIF(tk_HWSET,F383,tk_QTY))</f>
        <v/>
      </c>
    </row>
    <row r="384">
      <c r="F384" s="67" t="n"/>
      <c r="G384" s="68" t="n"/>
      <c r="H384" s="68" t="n"/>
      <c r="I384" s="68" t="n"/>
      <c r="J384" s="68" t="n"/>
      <c r="K384" s="68" t="n"/>
      <c r="L384" s="49">
        <f>IF(F384="","",N(G384)*SUMIF(tk_HWSET,F384,tk_QTY))</f>
        <v/>
      </c>
    </row>
    <row r="385">
      <c r="F385" s="67" t="n"/>
      <c r="G385" s="68" t="n"/>
      <c r="H385" s="68" t="n"/>
      <c r="I385" s="68" t="n"/>
      <c r="J385" s="68" t="n"/>
      <c r="K385" s="68" t="n"/>
      <c r="L385" s="49">
        <f>IF(F385="","",N(G385)*SUMIF(tk_HWSET,F385,tk_QTY))</f>
        <v/>
      </c>
    </row>
    <row r="386">
      <c r="F386" s="67" t="n"/>
      <c r="G386" s="68" t="n"/>
      <c r="H386" s="68" t="n"/>
      <c r="I386" s="68" t="n"/>
      <c r="J386" s="68" t="n"/>
      <c r="K386" s="68" t="n"/>
      <c r="L386" s="49">
        <f>IF(F386="","",N(G386)*SUMIF(tk_HWSET,F386,tk_QTY))</f>
        <v/>
      </c>
    </row>
    <row r="387">
      <c r="F387" s="67" t="n"/>
      <c r="G387" s="68" t="n"/>
      <c r="H387" s="68" t="n"/>
      <c r="I387" s="68" t="n"/>
      <c r="J387" s="68" t="n"/>
      <c r="K387" s="68" t="n"/>
      <c r="L387" s="49">
        <f>IF(F387="","",N(G387)*SUMIF(tk_HWSET,F387,tk_QTY))</f>
        <v/>
      </c>
    </row>
    <row r="388">
      <c r="F388" s="67" t="n"/>
      <c r="G388" s="68" t="n"/>
      <c r="H388" s="68" t="n"/>
      <c r="I388" s="68" t="n"/>
      <c r="J388" s="68" t="n"/>
      <c r="K388" s="68" t="n"/>
      <c r="L388" s="49">
        <f>IF(F388="","",N(G388)*SUMIF(tk_HWSET,F388,tk_QTY))</f>
        <v/>
      </c>
    </row>
    <row r="389">
      <c r="F389" s="67" t="n"/>
      <c r="G389" s="68" t="n"/>
      <c r="H389" s="68" t="n"/>
      <c r="I389" s="68" t="n"/>
      <c r="J389" s="68" t="n"/>
      <c r="K389" s="68" t="n"/>
      <c r="L389" s="49">
        <f>IF(F389="","",N(G389)*SUMIF(tk_HWSET,F389,tk_QTY))</f>
        <v/>
      </c>
    </row>
    <row r="390">
      <c r="F390" s="67" t="n"/>
      <c r="G390" s="68" t="n"/>
      <c r="H390" s="68" t="n"/>
      <c r="I390" s="68" t="n"/>
      <c r="J390" s="68" t="n"/>
      <c r="K390" s="68" t="n"/>
      <c r="L390" s="49">
        <f>IF(F390="","",N(G390)*SUMIF(tk_HWSET,F390,tk_QTY))</f>
        <v/>
      </c>
    </row>
    <row r="391">
      <c r="F391" s="67" t="n"/>
      <c r="G391" s="68" t="n"/>
      <c r="H391" s="68" t="n"/>
      <c r="I391" s="68" t="n"/>
      <c r="J391" s="68" t="n"/>
      <c r="K391" s="68" t="n"/>
      <c r="L391" s="49">
        <f>IF(F391="","",N(G391)*SUMIF(tk_HWSET,F391,tk_QTY))</f>
        <v/>
      </c>
    </row>
    <row r="392">
      <c r="F392" s="67" t="n"/>
      <c r="G392" s="68" t="n"/>
      <c r="H392" s="68" t="n"/>
      <c r="I392" s="68" t="n"/>
      <c r="J392" s="68" t="n"/>
      <c r="K392" s="68" t="n"/>
      <c r="L392" s="49">
        <f>IF(F392="","",N(G392)*SUMIF(tk_HWSET,F392,tk_QTY))</f>
        <v/>
      </c>
    </row>
    <row r="393">
      <c r="F393" s="67" t="n"/>
      <c r="G393" s="68" t="n"/>
      <c r="H393" s="68" t="n"/>
      <c r="I393" s="68" t="n"/>
      <c r="J393" s="68" t="n"/>
      <c r="K393" s="68" t="n"/>
      <c r="L393" s="49">
        <f>IF(F393="","",N(G393)*SUMIF(tk_HWSET,F393,tk_QTY))</f>
        <v/>
      </c>
    </row>
    <row r="394">
      <c r="F394" s="67" t="n"/>
      <c r="G394" s="68" t="n"/>
      <c r="H394" s="68" t="n"/>
      <c r="I394" s="68" t="n"/>
      <c r="J394" s="68" t="n"/>
      <c r="K394" s="68" t="n"/>
      <c r="L394" s="49">
        <f>IF(F394="","",N(G394)*SUMIF(tk_HWSET,F394,tk_QTY))</f>
        <v/>
      </c>
    </row>
    <row r="395">
      <c r="F395" s="67" t="n"/>
      <c r="G395" s="68" t="n"/>
      <c r="H395" s="68" t="n"/>
      <c r="I395" s="68" t="n"/>
      <c r="J395" s="68" t="n"/>
      <c r="K395" s="68" t="n"/>
      <c r="L395" s="49">
        <f>IF(F395="","",N(G395)*SUMIF(tk_HWSET,F395,tk_QTY))</f>
        <v/>
      </c>
    </row>
    <row r="396">
      <c r="F396" s="67" t="n"/>
      <c r="G396" s="68" t="n"/>
      <c r="H396" s="68" t="n"/>
      <c r="I396" s="68" t="n"/>
      <c r="J396" s="68" t="n"/>
      <c r="K396" s="68" t="n"/>
      <c r="L396" s="49">
        <f>IF(F396="","",N(G396)*SUMIF(tk_HWSET,F396,tk_QTY))</f>
        <v/>
      </c>
    </row>
    <row r="397">
      <c r="F397" s="67" t="n"/>
      <c r="G397" s="68" t="n"/>
      <c r="H397" s="68" t="n"/>
      <c r="I397" s="68" t="n"/>
      <c r="J397" s="68" t="n"/>
      <c r="K397" s="68" t="n"/>
      <c r="L397" s="49">
        <f>IF(F397="","",N(G397)*SUMIF(tk_HWSET,F397,tk_QTY))</f>
        <v/>
      </c>
    </row>
    <row r="398">
      <c r="F398" s="67" t="n"/>
      <c r="G398" s="68" t="n"/>
      <c r="H398" s="68" t="n"/>
      <c r="I398" s="68" t="n"/>
      <c r="J398" s="68" t="n"/>
      <c r="K398" s="68" t="n"/>
      <c r="L398" s="49">
        <f>IF(F398="","",N(G398)*SUMIF(tk_HWSET,F398,tk_QTY))</f>
        <v/>
      </c>
    </row>
    <row r="399">
      <c r="F399" s="67" t="n"/>
      <c r="G399" s="68" t="n"/>
      <c r="H399" s="68" t="n"/>
      <c r="I399" s="68" t="n"/>
      <c r="J399" s="68" t="n"/>
      <c r="K399" s="68" t="n"/>
      <c r="L399" s="49">
        <f>IF(F399="","",N(G399)*SUMIF(tk_HWSET,F399,tk_QTY))</f>
        <v/>
      </c>
    </row>
    <row r="400">
      <c r="F400" s="67" t="n"/>
      <c r="G400" s="68" t="n"/>
      <c r="H400" s="68" t="n"/>
      <c r="I400" s="68" t="n"/>
      <c r="J400" s="68" t="n"/>
      <c r="K400" s="68" t="n"/>
      <c r="L400" s="49">
        <f>IF(F400="","",N(G400)*SUMIF(tk_HWSET,F400,tk_QTY))</f>
        <v/>
      </c>
    </row>
    <row r="401">
      <c r="F401" s="67" t="n"/>
      <c r="G401" s="68" t="n"/>
      <c r="H401" s="68" t="n"/>
      <c r="I401" s="68" t="n"/>
      <c r="J401" s="68" t="n"/>
      <c r="K401" s="68" t="n"/>
      <c r="L401" s="49">
        <f>IF(F401="","",N(G401)*SUMIF(tk_HWSET,F401,tk_QTY))</f>
        <v/>
      </c>
    </row>
    <row r="402">
      <c r="F402" s="67" t="n"/>
      <c r="G402" s="68" t="n"/>
      <c r="H402" s="68" t="n"/>
      <c r="I402" s="68" t="n"/>
      <c r="J402" s="68" t="n"/>
      <c r="K402" s="68" t="n"/>
      <c r="L402" s="49">
        <f>IF(F402="","",N(G402)*SUMIF(tk_HWSET,F402,tk_QTY))</f>
        <v/>
      </c>
    </row>
    <row r="403">
      <c r="F403" s="67" t="n"/>
      <c r="G403" s="68" t="n"/>
      <c r="H403" s="68" t="n"/>
      <c r="I403" s="68" t="n"/>
      <c r="J403" s="68" t="n"/>
      <c r="K403" s="68" t="n"/>
      <c r="L403" s="49">
        <f>IF(F403="","",N(G403)*SUMIF(tk_HWSET,F403,tk_QTY))</f>
        <v/>
      </c>
    </row>
    <row r="404">
      <c r="F404" s="67" t="n"/>
      <c r="G404" s="68" t="n"/>
      <c r="H404" s="68" t="n"/>
      <c r="I404" s="68" t="n"/>
      <c r="J404" s="68" t="n"/>
      <c r="K404" s="68" t="n"/>
      <c r="L404" s="49">
        <f>IF(F404="","",N(G404)*SUMIF(tk_HWSET,F404,tk_QTY))</f>
        <v/>
      </c>
    </row>
    <row r="405">
      <c r="F405" s="67" t="n"/>
      <c r="G405" s="68" t="n"/>
      <c r="H405" s="68" t="n"/>
      <c r="I405" s="68" t="n"/>
      <c r="J405" s="68" t="n"/>
      <c r="K405" s="68" t="n"/>
      <c r="L405" s="49">
        <f>IF(F405="","",N(G405)*SUMIF(tk_HWSET,F405,tk_QTY))</f>
        <v/>
      </c>
    </row>
  </sheetData>
  <dataValidations count="1">
    <dataValidation sqref="F6:F405" showDropDown="0" showInputMessage="0" showErrorMessage="0" allowBlank="1" type="list">
      <formula1>=HWSets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6B4F"/>
    <outlinePr summaryBelow="1" summaryRight="1"/>
    <pageSetUpPr fitToPage="1"/>
  </sheetPr>
  <dimension ref="A1:H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8" customWidth="1" min="3" max="3"/>
    <col width="14" customWidth="1" min="4" max="4"/>
    <col width="9" customWidth="1" min="5" max="5"/>
    <col width="18" customWidth="1" min="6" max="6"/>
    <col width="90" customWidth="1" min="7" max="7"/>
    <col width="30" customWidth="1" min="8" max="8"/>
  </cols>
  <sheetData>
    <row r="1">
      <c r="A1" s="31">
        <f>"FRAME ORDER"&amp;IF(JobName=""," "," — "&amp;JobName)</f>
        <v/>
      </c>
    </row>
    <row r="2">
      <c r="A2" s="60">
        <f>IF(JobNo="","","Job "&amp;JobNo)&amp;IF(JobSupplier="",""," · "&amp;JobSupplier)&amp;" · "&amp;TEXT(JobDate,"yyyy-mm-dd")&amp;IF(JobRev=""," "," · "&amp;JobRev)</f>
        <v/>
      </c>
    </row>
    <row r="3">
      <c r="A3" s="25">
        <f>COUNT(tk_FSEQ)&amp;" lines  ·  "&amp;SUMPRODUCT(tk_QTY,--(tk_FSEQ&lt;&gt;""))&amp;" pieces"</f>
        <v/>
      </c>
    </row>
    <row r="5">
      <c r="A5" s="69" t="inlineStr">
        <is>
          <t>MARK</t>
        </is>
      </c>
      <c r="B5" s="69" t="inlineStr">
        <is>
          <t>QTY</t>
        </is>
      </c>
      <c r="C5" s="69" t="inlineStr">
        <is>
          <t>ROOM</t>
        </is>
      </c>
      <c r="D5" s="69" t="inlineStr">
        <is>
          <t>SIZE</t>
        </is>
      </c>
      <c r="E5" s="69" t="inlineStr">
        <is>
          <t>RATING</t>
        </is>
      </c>
      <c r="F5" s="69" t="inlineStr">
        <is>
          <t>O/A W x H</t>
        </is>
      </c>
      <c r="G5" s="69" t="inlineStr">
        <is>
          <t>FRAME ORDER LINE</t>
        </is>
      </c>
      <c r="H5" s="69" t="inlineStr">
        <is>
          <t>NOTES</t>
        </is>
      </c>
    </row>
    <row r="6">
      <c r="A6" s="70">
        <f>IFERROR(""&amp;INDEX(tk_MARK,MATCH(1,tk_FSEQ,0)),"")</f>
        <v/>
      </c>
      <c r="B6" s="70">
        <f>IFERROR(INDEX(tk_QTY,MATCH(1,tk_FSEQ,0)),"")</f>
        <v/>
      </c>
      <c r="C6" s="70">
        <f>IFERROR(INDEX(tk_ROOMF,MATCH(1,tk_FSEQ,0))&amp;IF(INDEX(tk_ROOMT,MATCH(1,tk_FSEQ,0))="",""," → "&amp;INDEX(tk_ROOMT,MATCH(1,tk_FSEQ,0))),"")</f>
        <v/>
      </c>
      <c r="D6" s="70">
        <f>IFERROR(""&amp;INDEX(tk_SIZE,MATCH(1,tk_FSEQ,0)),"")</f>
        <v/>
      </c>
      <c r="E6" s="70">
        <f>IFERROR(""&amp;INDEX(tk_RATING,MATCH(1,tk_FSEQ,0)),"")</f>
        <v/>
      </c>
      <c r="F6" s="70">
        <f>IFERROR(TEXT(INDEX(tk_OAW,MATCH(1,tk_FSEQ,0)),"0.000")&amp;" x "&amp;TEXT(INDEX(tk_OAH,MATCH(1,tk_FSEQ,0)),"0.000"),"")</f>
        <v/>
      </c>
      <c r="G6" s="70">
        <f>IFERROR(""&amp;INDEX(tk_FLINE,MATCH(1,tk_FSEQ,0)),"")</f>
        <v/>
      </c>
      <c r="H6" s="70">
        <f>IFERROR(""&amp;INDEX(tk_FNOTES,MATCH(1,tk_FSEQ,0)),"")</f>
        <v/>
      </c>
    </row>
    <row r="7">
      <c r="A7" s="70">
        <f>IFERROR(""&amp;INDEX(tk_MARK,MATCH(2,tk_FSEQ,0)),"")</f>
        <v/>
      </c>
      <c r="B7" s="70">
        <f>IFERROR(INDEX(tk_QTY,MATCH(2,tk_FSEQ,0)),"")</f>
        <v/>
      </c>
      <c r="C7" s="70">
        <f>IFERROR(INDEX(tk_ROOMF,MATCH(2,tk_FSEQ,0))&amp;IF(INDEX(tk_ROOMT,MATCH(2,tk_FSEQ,0))="",""," → "&amp;INDEX(tk_ROOMT,MATCH(2,tk_FSEQ,0))),"")</f>
        <v/>
      </c>
      <c r="D7" s="70">
        <f>IFERROR(""&amp;INDEX(tk_SIZE,MATCH(2,tk_FSEQ,0)),"")</f>
        <v/>
      </c>
      <c r="E7" s="70">
        <f>IFERROR(""&amp;INDEX(tk_RATING,MATCH(2,tk_FSEQ,0)),"")</f>
        <v/>
      </c>
      <c r="F7" s="70">
        <f>IFERROR(TEXT(INDEX(tk_OAW,MATCH(2,tk_FSEQ,0)),"0.000")&amp;" x "&amp;TEXT(INDEX(tk_OAH,MATCH(2,tk_FSEQ,0)),"0.000"),"")</f>
        <v/>
      </c>
      <c r="G7" s="70">
        <f>IFERROR(""&amp;INDEX(tk_FLINE,MATCH(2,tk_FSEQ,0)),"")</f>
        <v/>
      </c>
      <c r="H7" s="70">
        <f>IFERROR(""&amp;INDEX(tk_FNOTES,MATCH(2,tk_FSEQ,0)),"")</f>
        <v/>
      </c>
    </row>
    <row r="8">
      <c r="A8" s="70">
        <f>IFERROR(""&amp;INDEX(tk_MARK,MATCH(3,tk_FSEQ,0)),"")</f>
        <v/>
      </c>
      <c r="B8" s="70">
        <f>IFERROR(INDEX(tk_QTY,MATCH(3,tk_FSEQ,0)),"")</f>
        <v/>
      </c>
      <c r="C8" s="70">
        <f>IFERROR(INDEX(tk_ROOMF,MATCH(3,tk_FSEQ,0))&amp;IF(INDEX(tk_ROOMT,MATCH(3,tk_FSEQ,0))="",""," → "&amp;INDEX(tk_ROOMT,MATCH(3,tk_FSEQ,0))),"")</f>
        <v/>
      </c>
      <c r="D8" s="70">
        <f>IFERROR(""&amp;INDEX(tk_SIZE,MATCH(3,tk_FSEQ,0)),"")</f>
        <v/>
      </c>
      <c r="E8" s="70">
        <f>IFERROR(""&amp;INDEX(tk_RATING,MATCH(3,tk_FSEQ,0)),"")</f>
        <v/>
      </c>
      <c r="F8" s="70">
        <f>IFERROR(TEXT(INDEX(tk_OAW,MATCH(3,tk_FSEQ,0)),"0.000")&amp;" x "&amp;TEXT(INDEX(tk_OAH,MATCH(3,tk_FSEQ,0)),"0.000"),"")</f>
        <v/>
      </c>
      <c r="G8" s="70">
        <f>IFERROR(""&amp;INDEX(tk_FLINE,MATCH(3,tk_FSEQ,0)),"")</f>
        <v/>
      </c>
      <c r="H8" s="70">
        <f>IFERROR(""&amp;INDEX(tk_FNOTES,MATCH(3,tk_FSEQ,0)),"")</f>
        <v/>
      </c>
    </row>
    <row r="9">
      <c r="A9" s="70">
        <f>IFERROR(""&amp;INDEX(tk_MARK,MATCH(4,tk_FSEQ,0)),"")</f>
        <v/>
      </c>
      <c r="B9" s="70">
        <f>IFERROR(INDEX(tk_QTY,MATCH(4,tk_FSEQ,0)),"")</f>
        <v/>
      </c>
      <c r="C9" s="70">
        <f>IFERROR(INDEX(tk_ROOMF,MATCH(4,tk_FSEQ,0))&amp;IF(INDEX(tk_ROOMT,MATCH(4,tk_FSEQ,0))="",""," → "&amp;INDEX(tk_ROOMT,MATCH(4,tk_FSEQ,0))),"")</f>
        <v/>
      </c>
      <c r="D9" s="70">
        <f>IFERROR(""&amp;INDEX(tk_SIZE,MATCH(4,tk_FSEQ,0)),"")</f>
        <v/>
      </c>
      <c r="E9" s="70">
        <f>IFERROR(""&amp;INDEX(tk_RATING,MATCH(4,tk_FSEQ,0)),"")</f>
        <v/>
      </c>
      <c r="F9" s="70">
        <f>IFERROR(TEXT(INDEX(tk_OAW,MATCH(4,tk_FSEQ,0)),"0.000")&amp;" x "&amp;TEXT(INDEX(tk_OAH,MATCH(4,tk_FSEQ,0)),"0.000"),"")</f>
        <v/>
      </c>
      <c r="G9" s="70">
        <f>IFERROR(""&amp;INDEX(tk_FLINE,MATCH(4,tk_FSEQ,0)),"")</f>
        <v/>
      </c>
      <c r="H9" s="70">
        <f>IFERROR(""&amp;INDEX(tk_FNOTES,MATCH(4,tk_FSEQ,0)),"")</f>
        <v/>
      </c>
    </row>
    <row r="10">
      <c r="A10" s="70">
        <f>IFERROR(""&amp;INDEX(tk_MARK,MATCH(5,tk_FSEQ,0)),"")</f>
        <v/>
      </c>
      <c r="B10" s="70">
        <f>IFERROR(INDEX(tk_QTY,MATCH(5,tk_FSEQ,0)),"")</f>
        <v/>
      </c>
      <c r="C10" s="70">
        <f>IFERROR(INDEX(tk_ROOMF,MATCH(5,tk_FSEQ,0))&amp;IF(INDEX(tk_ROOMT,MATCH(5,tk_FSEQ,0))="",""," → "&amp;INDEX(tk_ROOMT,MATCH(5,tk_FSEQ,0))),"")</f>
        <v/>
      </c>
      <c r="D10" s="70">
        <f>IFERROR(""&amp;INDEX(tk_SIZE,MATCH(5,tk_FSEQ,0)),"")</f>
        <v/>
      </c>
      <c r="E10" s="70">
        <f>IFERROR(""&amp;INDEX(tk_RATING,MATCH(5,tk_FSEQ,0)),"")</f>
        <v/>
      </c>
      <c r="F10" s="70">
        <f>IFERROR(TEXT(INDEX(tk_OAW,MATCH(5,tk_FSEQ,0)),"0.000")&amp;" x "&amp;TEXT(INDEX(tk_OAH,MATCH(5,tk_FSEQ,0)),"0.000"),"")</f>
        <v/>
      </c>
      <c r="G10" s="70">
        <f>IFERROR(""&amp;INDEX(tk_FLINE,MATCH(5,tk_FSEQ,0)),"")</f>
        <v/>
      </c>
      <c r="H10" s="70">
        <f>IFERROR(""&amp;INDEX(tk_FNOTES,MATCH(5,tk_FSEQ,0)),"")</f>
        <v/>
      </c>
    </row>
    <row r="11">
      <c r="A11" s="70">
        <f>IFERROR(""&amp;INDEX(tk_MARK,MATCH(6,tk_FSEQ,0)),"")</f>
        <v/>
      </c>
      <c r="B11" s="70">
        <f>IFERROR(INDEX(tk_QTY,MATCH(6,tk_FSEQ,0)),"")</f>
        <v/>
      </c>
      <c r="C11" s="70">
        <f>IFERROR(INDEX(tk_ROOMF,MATCH(6,tk_FSEQ,0))&amp;IF(INDEX(tk_ROOMT,MATCH(6,tk_FSEQ,0))="",""," → "&amp;INDEX(tk_ROOMT,MATCH(6,tk_FSEQ,0))),"")</f>
        <v/>
      </c>
      <c r="D11" s="70">
        <f>IFERROR(""&amp;INDEX(tk_SIZE,MATCH(6,tk_FSEQ,0)),"")</f>
        <v/>
      </c>
      <c r="E11" s="70">
        <f>IFERROR(""&amp;INDEX(tk_RATING,MATCH(6,tk_FSEQ,0)),"")</f>
        <v/>
      </c>
      <c r="F11" s="70">
        <f>IFERROR(TEXT(INDEX(tk_OAW,MATCH(6,tk_FSEQ,0)),"0.000")&amp;" x "&amp;TEXT(INDEX(tk_OAH,MATCH(6,tk_FSEQ,0)),"0.000"),"")</f>
        <v/>
      </c>
      <c r="G11" s="70">
        <f>IFERROR(""&amp;INDEX(tk_FLINE,MATCH(6,tk_FSEQ,0)),"")</f>
        <v/>
      </c>
      <c r="H11" s="70">
        <f>IFERROR(""&amp;INDEX(tk_FNOTES,MATCH(6,tk_FSEQ,0)),"")</f>
        <v/>
      </c>
    </row>
    <row r="12">
      <c r="A12" s="70">
        <f>IFERROR(""&amp;INDEX(tk_MARK,MATCH(7,tk_FSEQ,0)),"")</f>
        <v/>
      </c>
      <c r="B12" s="70">
        <f>IFERROR(INDEX(tk_QTY,MATCH(7,tk_FSEQ,0)),"")</f>
        <v/>
      </c>
      <c r="C12" s="70">
        <f>IFERROR(INDEX(tk_ROOMF,MATCH(7,tk_FSEQ,0))&amp;IF(INDEX(tk_ROOMT,MATCH(7,tk_FSEQ,0))="",""," → "&amp;INDEX(tk_ROOMT,MATCH(7,tk_FSEQ,0))),"")</f>
        <v/>
      </c>
      <c r="D12" s="70">
        <f>IFERROR(""&amp;INDEX(tk_SIZE,MATCH(7,tk_FSEQ,0)),"")</f>
        <v/>
      </c>
      <c r="E12" s="70">
        <f>IFERROR(""&amp;INDEX(tk_RATING,MATCH(7,tk_FSEQ,0)),"")</f>
        <v/>
      </c>
      <c r="F12" s="70">
        <f>IFERROR(TEXT(INDEX(tk_OAW,MATCH(7,tk_FSEQ,0)),"0.000")&amp;" x "&amp;TEXT(INDEX(tk_OAH,MATCH(7,tk_FSEQ,0)),"0.000"),"")</f>
        <v/>
      </c>
      <c r="G12" s="70">
        <f>IFERROR(""&amp;INDEX(tk_FLINE,MATCH(7,tk_FSEQ,0)),"")</f>
        <v/>
      </c>
      <c r="H12" s="70">
        <f>IFERROR(""&amp;INDEX(tk_FNOTES,MATCH(7,tk_FSEQ,0)),"")</f>
        <v/>
      </c>
    </row>
    <row r="13">
      <c r="A13" s="70">
        <f>IFERROR(""&amp;INDEX(tk_MARK,MATCH(8,tk_FSEQ,0)),"")</f>
        <v/>
      </c>
      <c r="B13" s="70">
        <f>IFERROR(INDEX(tk_QTY,MATCH(8,tk_FSEQ,0)),"")</f>
        <v/>
      </c>
      <c r="C13" s="70">
        <f>IFERROR(INDEX(tk_ROOMF,MATCH(8,tk_FSEQ,0))&amp;IF(INDEX(tk_ROOMT,MATCH(8,tk_FSEQ,0))="",""," → "&amp;INDEX(tk_ROOMT,MATCH(8,tk_FSEQ,0))),"")</f>
        <v/>
      </c>
      <c r="D13" s="70">
        <f>IFERROR(""&amp;INDEX(tk_SIZE,MATCH(8,tk_FSEQ,0)),"")</f>
        <v/>
      </c>
      <c r="E13" s="70">
        <f>IFERROR(""&amp;INDEX(tk_RATING,MATCH(8,tk_FSEQ,0)),"")</f>
        <v/>
      </c>
      <c r="F13" s="70">
        <f>IFERROR(TEXT(INDEX(tk_OAW,MATCH(8,tk_FSEQ,0)),"0.000")&amp;" x "&amp;TEXT(INDEX(tk_OAH,MATCH(8,tk_FSEQ,0)),"0.000"),"")</f>
        <v/>
      </c>
      <c r="G13" s="70">
        <f>IFERROR(""&amp;INDEX(tk_FLINE,MATCH(8,tk_FSEQ,0)),"")</f>
        <v/>
      </c>
      <c r="H13" s="70">
        <f>IFERROR(""&amp;INDEX(tk_FNOTES,MATCH(8,tk_FSEQ,0)),"")</f>
        <v/>
      </c>
    </row>
    <row r="14">
      <c r="A14" s="70">
        <f>IFERROR(""&amp;INDEX(tk_MARK,MATCH(9,tk_FSEQ,0)),"")</f>
        <v/>
      </c>
      <c r="B14" s="70">
        <f>IFERROR(INDEX(tk_QTY,MATCH(9,tk_FSEQ,0)),"")</f>
        <v/>
      </c>
      <c r="C14" s="70">
        <f>IFERROR(INDEX(tk_ROOMF,MATCH(9,tk_FSEQ,0))&amp;IF(INDEX(tk_ROOMT,MATCH(9,tk_FSEQ,0))="",""," → "&amp;INDEX(tk_ROOMT,MATCH(9,tk_FSEQ,0))),"")</f>
        <v/>
      </c>
      <c r="D14" s="70">
        <f>IFERROR(""&amp;INDEX(tk_SIZE,MATCH(9,tk_FSEQ,0)),"")</f>
        <v/>
      </c>
      <c r="E14" s="70">
        <f>IFERROR(""&amp;INDEX(tk_RATING,MATCH(9,tk_FSEQ,0)),"")</f>
        <v/>
      </c>
      <c r="F14" s="70">
        <f>IFERROR(TEXT(INDEX(tk_OAW,MATCH(9,tk_FSEQ,0)),"0.000")&amp;" x "&amp;TEXT(INDEX(tk_OAH,MATCH(9,tk_FSEQ,0)),"0.000"),"")</f>
        <v/>
      </c>
      <c r="G14" s="70">
        <f>IFERROR(""&amp;INDEX(tk_FLINE,MATCH(9,tk_FSEQ,0)),"")</f>
        <v/>
      </c>
      <c r="H14" s="70">
        <f>IFERROR(""&amp;INDEX(tk_FNOTES,MATCH(9,tk_FSEQ,0)),"")</f>
        <v/>
      </c>
    </row>
    <row r="15">
      <c r="A15" s="70">
        <f>IFERROR(""&amp;INDEX(tk_MARK,MATCH(10,tk_FSEQ,0)),"")</f>
        <v/>
      </c>
      <c r="B15" s="70">
        <f>IFERROR(INDEX(tk_QTY,MATCH(10,tk_FSEQ,0)),"")</f>
        <v/>
      </c>
      <c r="C15" s="70">
        <f>IFERROR(INDEX(tk_ROOMF,MATCH(10,tk_FSEQ,0))&amp;IF(INDEX(tk_ROOMT,MATCH(10,tk_FSEQ,0))="",""," → "&amp;INDEX(tk_ROOMT,MATCH(10,tk_FSEQ,0))),"")</f>
        <v/>
      </c>
      <c r="D15" s="70">
        <f>IFERROR(""&amp;INDEX(tk_SIZE,MATCH(10,tk_FSEQ,0)),"")</f>
        <v/>
      </c>
      <c r="E15" s="70">
        <f>IFERROR(""&amp;INDEX(tk_RATING,MATCH(10,tk_FSEQ,0)),"")</f>
        <v/>
      </c>
      <c r="F15" s="70">
        <f>IFERROR(TEXT(INDEX(tk_OAW,MATCH(10,tk_FSEQ,0)),"0.000")&amp;" x "&amp;TEXT(INDEX(tk_OAH,MATCH(10,tk_FSEQ,0)),"0.000"),"")</f>
        <v/>
      </c>
      <c r="G15" s="70">
        <f>IFERROR(""&amp;INDEX(tk_FLINE,MATCH(10,tk_FSEQ,0)),"")</f>
        <v/>
      </c>
      <c r="H15" s="70">
        <f>IFERROR(""&amp;INDEX(tk_FNOTES,MATCH(10,tk_FSEQ,0)),"")</f>
        <v/>
      </c>
    </row>
    <row r="16">
      <c r="A16" s="70">
        <f>IFERROR(""&amp;INDEX(tk_MARK,MATCH(11,tk_FSEQ,0)),"")</f>
        <v/>
      </c>
      <c r="B16" s="70">
        <f>IFERROR(INDEX(tk_QTY,MATCH(11,tk_FSEQ,0)),"")</f>
        <v/>
      </c>
      <c r="C16" s="70">
        <f>IFERROR(INDEX(tk_ROOMF,MATCH(11,tk_FSEQ,0))&amp;IF(INDEX(tk_ROOMT,MATCH(11,tk_FSEQ,0))="",""," → "&amp;INDEX(tk_ROOMT,MATCH(11,tk_FSEQ,0))),"")</f>
        <v/>
      </c>
      <c r="D16" s="70">
        <f>IFERROR(""&amp;INDEX(tk_SIZE,MATCH(11,tk_FSEQ,0)),"")</f>
        <v/>
      </c>
      <c r="E16" s="70">
        <f>IFERROR(""&amp;INDEX(tk_RATING,MATCH(11,tk_FSEQ,0)),"")</f>
        <v/>
      </c>
      <c r="F16" s="70">
        <f>IFERROR(TEXT(INDEX(tk_OAW,MATCH(11,tk_FSEQ,0)),"0.000")&amp;" x "&amp;TEXT(INDEX(tk_OAH,MATCH(11,tk_FSEQ,0)),"0.000"),"")</f>
        <v/>
      </c>
      <c r="G16" s="70">
        <f>IFERROR(""&amp;INDEX(tk_FLINE,MATCH(11,tk_FSEQ,0)),"")</f>
        <v/>
      </c>
      <c r="H16" s="70">
        <f>IFERROR(""&amp;INDEX(tk_FNOTES,MATCH(11,tk_FSEQ,0)),"")</f>
        <v/>
      </c>
    </row>
    <row r="17">
      <c r="A17" s="70">
        <f>IFERROR(""&amp;INDEX(tk_MARK,MATCH(12,tk_FSEQ,0)),"")</f>
        <v/>
      </c>
      <c r="B17" s="70">
        <f>IFERROR(INDEX(tk_QTY,MATCH(12,tk_FSEQ,0)),"")</f>
        <v/>
      </c>
      <c r="C17" s="70">
        <f>IFERROR(INDEX(tk_ROOMF,MATCH(12,tk_FSEQ,0))&amp;IF(INDEX(tk_ROOMT,MATCH(12,tk_FSEQ,0))="",""," → "&amp;INDEX(tk_ROOMT,MATCH(12,tk_FSEQ,0))),"")</f>
        <v/>
      </c>
      <c r="D17" s="70">
        <f>IFERROR(""&amp;INDEX(tk_SIZE,MATCH(12,tk_FSEQ,0)),"")</f>
        <v/>
      </c>
      <c r="E17" s="70">
        <f>IFERROR(""&amp;INDEX(tk_RATING,MATCH(12,tk_FSEQ,0)),"")</f>
        <v/>
      </c>
      <c r="F17" s="70">
        <f>IFERROR(TEXT(INDEX(tk_OAW,MATCH(12,tk_FSEQ,0)),"0.000")&amp;" x "&amp;TEXT(INDEX(tk_OAH,MATCH(12,tk_FSEQ,0)),"0.000"),"")</f>
        <v/>
      </c>
      <c r="G17" s="70">
        <f>IFERROR(""&amp;INDEX(tk_FLINE,MATCH(12,tk_FSEQ,0)),"")</f>
        <v/>
      </c>
      <c r="H17" s="70">
        <f>IFERROR(""&amp;INDEX(tk_FNOTES,MATCH(12,tk_FSEQ,0)),"")</f>
        <v/>
      </c>
    </row>
    <row r="18">
      <c r="A18" s="70">
        <f>IFERROR(""&amp;INDEX(tk_MARK,MATCH(13,tk_FSEQ,0)),"")</f>
        <v/>
      </c>
      <c r="B18" s="70">
        <f>IFERROR(INDEX(tk_QTY,MATCH(13,tk_FSEQ,0)),"")</f>
        <v/>
      </c>
      <c r="C18" s="70">
        <f>IFERROR(INDEX(tk_ROOMF,MATCH(13,tk_FSEQ,0))&amp;IF(INDEX(tk_ROOMT,MATCH(13,tk_FSEQ,0))="",""," → "&amp;INDEX(tk_ROOMT,MATCH(13,tk_FSEQ,0))),"")</f>
        <v/>
      </c>
      <c r="D18" s="70">
        <f>IFERROR(""&amp;INDEX(tk_SIZE,MATCH(13,tk_FSEQ,0)),"")</f>
        <v/>
      </c>
      <c r="E18" s="70">
        <f>IFERROR(""&amp;INDEX(tk_RATING,MATCH(13,tk_FSEQ,0)),"")</f>
        <v/>
      </c>
      <c r="F18" s="70">
        <f>IFERROR(TEXT(INDEX(tk_OAW,MATCH(13,tk_FSEQ,0)),"0.000")&amp;" x "&amp;TEXT(INDEX(tk_OAH,MATCH(13,tk_FSEQ,0)),"0.000"),"")</f>
        <v/>
      </c>
      <c r="G18" s="70">
        <f>IFERROR(""&amp;INDEX(tk_FLINE,MATCH(13,tk_FSEQ,0)),"")</f>
        <v/>
      </c>
      <c r="H18" s="70">
        <f>IFERROR(""&amp;INDEX(tk_FNOTES,MATCH(13,tk_FSEQ,0)),"")</f>
        <v/>
      </c>
    </row>
    <row r="19">
      <c r="A19" s="70">
        <f>IFERROR(""&amp;INDEX(tk_MARK,MATCH(14,tk_FSEQ,0)),"")</f>
        <v/>
      </c>
      <c r="B19" s="70">
        <f>IFERROR(INDEX(tk_QTY,MATCH(14,tk_FSEQ,0)),"")</f>
        <v/>
      </c>
      <c r="C19" s="70">
        <f>IFERROR(INDEX(tk_ROOMF,MATCH(14,tk_FSEQ,0))&amp;IF(INDEX(tk_ROOMT,MATCH(14,tk_FSEQ,0))="",""," → "&amp;INDEX(tk_ROOMT,MATCH(14,tk_FSEQ,0))),"")</f>
        <v/>
      </c>
      <c r="D19" s="70">
        <f>IFERROR(""&amp;INDEX(tk_SIZE,MATCH(14,tk_FSEQ,0)),"")</f>
        <v/>
      </c>
      <c r="E19" s="70">
        <f>IFERROR(""&amp;INDEX(tk_RATING,MATCH(14,tk_FSEQ,0)),"")</f>
        <v/>
      </c>
      <c r="F19" s="70">
        <f>IFERROR(TEXT(INDEX(tk_OAW,MATCH(14,tk_FSEQ,0)),"0.000")&amp;" x "&amp;TEXT(INDEX(tk_OAH,MATCH(14,tk_FSEQ,0)),"0.000"),"")</f>
        <v/>
      </c>
      <c r="G19" s="70">
        <f>IFERROR(""&amp;INDEX(tk_FLINE,MATCH(14,tk_FSEQ,0)),"")</f>
        <v/>
      </c>
      <c r="H19" s="70">
        <f>IFERROR(""&amp;INDEX(tk_FNOTES,MATCH(14,tk_FSEQ,0)),"")</f>
        <v/>
      </c>
    </row>
    <row r="20">
      <c r="A20" s="70">
        <f>IFERROR(""&amp;INDEX(tk_MARK,MATCH(15,tk_FSEQ,0)),"")</f>
        <v/>
      </c>
      <c r="B20" s="70">
        <f>IFERROR(INDEX(tk_QTY,MATCH(15,tk_FSEQ,0)),"")</f>
        <v/>
      </c>
      <c r="C20" s="70">
        <f>IFERROR(INDEX(tk_ROOMF,MATCH(15,tk_FSEQ,0))&amp;IF(INDEX(tk_ROOMT,MATCH(15,tk_FSEQ,0))="",""," → "&amp;INDEX(tk_ROOMT,MATCH(15,tk_FSEQ,0))),"")</f>
        <v/>
      </c>
      <c r="D20" s="70">
        <f>IFERROR(""&amp;INDEX(tk_SIZE,MATCH(15,tk_FSEQ,0)),"")</f>
        <v/>
      </c>
      <c r="E20" s="70">
        <f>IFERROR(""&amp;INDEX(tk_RATING,MATCH(15,tk_FSEQ,0)),"")</f>
        <v/>
      </c>
      <c r="F20" s="70">
        <f>IFERROR(TEXT(INDEX(tk_OAW,MATCH(15,tk_FSEQ,0)),"0.000")&amp;" x "&amp;TEXT(INDEX(tk_OAH,MATCH(15,tk_FSEQ,0)),"0.000"),"")</f>
        <v/>
      </c>
      <c r="G20" s="70">
        <f>IFERROR(""&amp;INDEX(tk_FLINE,MATCH(15,tk_FSEQ,0)),"")</f>
        <v/>
      </c>
      <c r="H20" s="70">
        <f>IFERROR(""&amp;INDEX(tk_FNOTES,MATCH(15,tk_FSEQ,0)),"")</f>
        <v/>
      </c>
    </row>
    <row r="21">
      <c r="A21" s="70">
        <f>IFERROR(""&amp;INDEX(tk_MARK,MATCH(16,tk_FSEQ,0)),"")</f>
        <v/>
      </c>
      <c r="B21" s="70">
        <f>IFERROR(INDEX(tk_QTY,MATCH(16,tk_FSEQ,0)),"")</f>
        <v/>
      </c>
      <c r="C21" s="70">
        <f>IFERROR(INDEX(tk_ROOMF,MATCH(16,tk_FSEQ,0))&amp;IF(INDEX(tk_ROOMT,MATCH(16,tk_FSEQ,0))="",""," → "&amp;INDEX(tk_ROOMT,MATCH(16,tk_FSEQ,0))),"")</f>
        <v/>
      </c>
      <c r="D21" s="70">
        <f>IFERROR(""&amp;INDEX(tk_SIZE,MATCH(16,tk_FSEQ,0)),"")</f>
        <v/>
      </c>
      <c r="E21" s="70">
        <f>IFERROR(""&amp;INDEX(tk_RATING,MATCH(16,tk_FSEQ,0)),"")</f>
        <v/>
      </c>
      <c r="F21" s="70">
        <f>IFERROR(TEXT(INDEX(tk_OAW,MATCH(16,tk_FSEQ,0)),"0.000")&amp;" x "&amp;TEXT(INDEX(tk_OAH,MATCH(16,tk_FSEQ,0)),"0.000"),"")</f>
        <v/>
      </c>
      <c r="G21" s="70">
        <f>IFERROR(""&amp;INDEX(tk_FLINE,MATCH(16,tk_FSEQ,0)),"")</f>
        <v/>
      </c>
      <c r="H21" s="70">
        <f>IFERROR(""&amp;INDEX(tk_FNOTES,MATCH(16,tk_FSEQ,0)),"")</f>
        <v/>
      </c>
    </row>
    <row r="22">
      <c r="A22" s="70">
        <f>IFERROR(""&amp;INDEX(tk_MARK,MATCH(17,tk_FSEQ,0)),"")</f>
        <v/>
      </c>
      <c r="B22" s="70">
        <f>IFERROR(INDEX(tk_QTY,MATCH(17,tk_FSEQ,0)),"")</f>
        <v/>
      </c>
      <c r="C22" s="70">
        <f>IFERROR(INDEX(tk_ROOMF,MATCH(17,tk_FSEQ,0))&amp;IF(INDEX(tk_ROOMT,MATCH(17,tk_FSEQ,0))="",""," → "&amp;INDEX(tk_ROOMT,MATCH(17,tk_FSEQ,0))),"")</f>
        <v/>
      </c>
      <c r="D22" s="70">
        <f>IFERROR(""&amp;INDEX(tk_SIZE,MATCH(17,tk_FSEQ,0)),"")</f>
        <v/>
      </c>
      <c r="E22" s="70">
        <f>IFERROR(""&amp;INDEX(tk_RATING,MATCH(17,tk_FSEQ,0)),"")</f>
        <v/>
      </c>
      <c r="F22" s="70">
        <f>IFERROR(TEXT(INDEX(tk_OAW,MATCH(17,tk_FSEQ,0)),"0.000")&amp;" x "&amp;TEXT(INDEX(tk_OAH,MATCH(17,tk_FSEQ,0)),"0.000"),"")</f>
        <v/>
      </c>
      <c r="G22" s="70">
        <f>IFERROR(""&amp;INDEX(tk_FLINE,MATCH(17,tk_FSEQ,0)),"")</f>
        <v/>
      </c>
      <c r="H22" s="70">
        <f>IFERROR(""&amp;INDEX(tk_FNOTES,MATCH(17,tk_FSEQ,0)),"")</f>
        <v/>
      </c>
    </row>
    <row r="23">
      <c r="A23" s="70">
        <f>IFERROR(""&amp;INDEX(tk_MARK,MATCH(18,tk_FSEQ,0)),"")</f>
        <v/>
      </c>
      <c r="B23" s="70">
        <f>IFERROR(INDEX(tk_QTY,MATCH(18,tk_FSEQ,0)),"")</f>
        <v/>
      </c>
      <c r="C23" s="70">
        <f>IFERROR(INDEX(tk_ROOMF,MATCH(18,tk_FSEQ,0))&amp;IF(INDEX(tk_ROOMT,MATCH(18,tk_FSEQ,0))="",""," → "&amp;INDEX(tk_ROOMT,MATCH(18,tk_FSEQ,0))),"")</f>
        <v/>
      </c>
      <c r="D23" s="70">
        <f>IFERROR(""&amp;INDEX(tk_SIZE,MATCH(18,tk_FSEQ,0)),"")</f>
        <v/>
      </c>
      <c r="E23" s="70">
        <f>IFERROR(""&amp;INDEX(tk_RATING,MATCH(18,tk_FSEQ,0)),"")</f>
        <v/>
      </c>
      <c r="F23" s="70">
        <f>IFERROR(TEXT(INDEX(tk_OAW,MATCH(18,tk_FSEQ,0)),"0.000")&amp;" x "&amp;TEXT(INDEX(tk_OAH,MATCH(18,tk_FSEQ,0)),"0.000"),"")</f>
        <v/>
      </c>
      <c r="G23" s="70">
        <f>IFERROR(""&amp;INDEX(tk_FLINE,MATCH(18,tk_FSEQ,0)),"")</f>
        <v/>
      </c>
      <c r="H23" s="70">
        <f>IFERROR(""&amp;INDEX(tk_FNOTES,MATCH(18,tk_FSEQ,0)),"")</f>
        <v/>
      </c>
    </row>
    <row r="24">
      <c r="A24" s="70">
        <f>IFERROR(""&amp;INDEX(tk_MARK,MATCH(19,tk_FSEQ,0)),"")</f>
        <v/>
      </c>
      <c r="B24" s="70">
        <f>IFERROR(INDEX(tk_QTY,MATCH(19,tk_FSEQ,0)),"")</f>
        <v/>
      </c>
      <c r="C24" s="70">
        <f>IFERROR(INDEX(tk_ROOMF,MATCH(19,tk_FSEQ,0))&amp;IF(INDEX(tk_ROOMT,MATCH(19,tk_FSEQ,0))="",""," → "&amp;INDEX(tk_ROOMT,MATCH(19,tk_FSEQ,0))),"")</f>
        <v/>
      </c>
      <c r="D24" s="70">
        <f>IFERROR(""&amp;INDEX(tk_SIZE,MATCH(19,tk_FSEQ,0)),"")</f>
        <v/>
      </c>
      <c r="E24" s="70">
        <f>IFERROR(""&amp;INDEX(tk_RATING,MATCH(19,tk_FSEQ,0)),"")</f>
        <v/>
      </c>
      <c r="F24" s="70">
        <f>IFERROR(TEXT(INDEX(tk_OAW,MATCH(19,tk_FSEQ,0)),"0.000")&amp;" x "&amp;TEXT(INDEX(tk_OAH,MATCH(19,tk_FSEQ,0)),"0.000"),"")</f>
        <v/>
      </c>
      <c r="G24" s="70">
        <f>IFERROR(""&amp;INDEX(tk_FLINE,MATCH(19,tk_FSEQ,0)),"")</f>
        <v/>
      </c>
      <c r="H24" s="70">
        <f>IFERROR(""&amp;INDEX(tk_FNOTES,MATCH(19,tk_FSEQ,0)),"")</f>
        <v/>
      </c>
    </row>
    <row r="25">
      <c r="A25" s="70">
        <f>IFERROR(""&amp;INDEX(tk_MARK,MATCH(20,tk_FSEQ,0)),"")</f>
        <v/>
      </c>
      <c r="B25" s="70">
        <f>IFERROR(INDEX(tk_QTY,MATCH(20,tk_FSEQ,0)),"")</f>
        <v/>
      </c>
      <c r="C25" s="70">
        <f>IFERROR(INDEX(tk_ROOMF,MATCH(20,tk_FSEQ,0))&amp;IF(INDEX(tk_ROOMT,MATCH(20,tk_FSEQ,0))="",""," → "&amp;INDEX(tk_ROOMT,MATCH(20,tk_FSEQ,0))),"")</f>
        <v/>
      </c>
      <c r="D25" s="70">
        <f>IFERROR(""&amp;INDEX(tk_SIZE,MATCH(20,tk_FSEQ,0)),"")</f>
        <v/>
      </c>
      <c r="E25" s="70">
        <f>IFERROR(""&amp;INDEX(tk_RATING,MATCH(20,tk_FSEQ,0)),"")</f>
        <v/>
      </c>
      <c r="F25" s="70">
        <f>IFERROR(TEXT(INDEX(tk_OAW,MATCH(20,tk_FSEQ,0)),"0.000")&amp;" x "&amp;TEXT(INDEX(tk_OAH,MATCH(20,tk_FSEQ,0)),"0.000"),"")</f>
        <v/>
      </c>
      <c r="G25" s="70">
        <f>IFERROR(""&amp;INDEX(tk_FLINE,MATCH(20,tk_FSEQ,0)),"")</f>
        <v/>
      </c>
      <c r="H25" s="70">
        <f>IFERROR(""&amp;INDEX(tk_FNOTES,MATCH(20,tk_FSEQ,0)),"")</f>
        <v/>
      </c>
    </row>
    <row r="26">
      <c r="A26" s="70">
        <f>IFERROR(""&amp;INDEX(tk_MARK,MATCH(21,tk_FSEQ,0)),"")</f>
        <v/>
      </c>
      <c r="B26" s="70">
        <f>IFERROR(INDEX(tk_QTY,MATCH(21,tk_FSEQ,0)),"")</f>
        <v/>
      </c>
      <c r="C26" s="70">
        <f>IFERROR(INDEX(tk_ROOMF,MATCH(21,tk_FSEQ,0))&amp;IF(INDEX(tk_ROOMT,MATCH(21,tk_FSEQ,0))="",""," → "&amp;INDEX(tk_ROOMT,MATCH(21,tk_FSEQ,0))),"")</f>
        <v/>
      </c>
      <c r="D26" s="70">
        <f>IFERROR(""&amp;INDEX(tk_SIZE,MATCH(21,tk_FSEQ,0)),"")</f>
        <v/>
      </c>
      <c r="E26" s="70">
        <f>IFERROR(""&amp;INDEX(tk_RATING,MATCH(21,tk_FSEQ,0)),"")</f>
        <v/>
      </c>
      <c r="F26" s="70">
        <f>IFERROR(TEXT(INDEX(tk_OAW,MATCH(21,tk_FSEQ,0)),"0.000")&amp;" x "&amp;TEXT(INDEX(tk_OAH,MATCH(21,tk_FSEQ,0)),"0.000"),"")</f>
        <v/>
      </c>
      <c r="G26" s="70">
        <f>IFERROR(""&amp;INDEX(tk_FLINE,MATCH(21,tk_FSEQ,0)),"")</f>
        <v/>
      </c>
      <c r="H26" s="70">
        <f>IFERROR(""&amp;INDEX(tk_FNOTES,MATCH(21,tk_FSEQ,0)),"")</f>
        <v/>
      </c>
    </row>
    <row r="27">
      <c r="A27" s="70">
        <f>IFERROR(""&amp;INDEX(tk_MARK,MATCH(22,tk_FSEQ,0)),"")</f>
        <v/>
      </c>
      <c r="B27" s="70">
        <f>IFERROR(INDEX(tk_QTY,MATCH(22,tk_FSEQ,0)),"")</f>
        <v/>
      </c>
      <c r="C27" s="70">
        <f>IFERROR(INDEX(tk_ROOMF,MATCH(22,tk_FSEQ,0))&amp;IF(INDEX(tk_ROOMT,MATCH(22,tk_FSEQ,0))="",""," → "&amp;INDEX(tk_ROOMT,MATCH(22,tk_FSEQ,0))),"")</f>
        <v/>
      </c>
      <c r="D27" s="70">
        <f>IFERROR(""&amp;INDEX(tk_SIZE,MATCH(22,tk_FSEQ,0)),"")</f>
        <v/>
      </c>
      <c r="E27" s="70">
        <f>IFERROR(""&amp;INDEX(tk_RATING,MATCH(22,tk_FSEQ,0)),"")</f>
        <v/>
      </c>
      <c r="F27" s="70">
        <f>IFERROR(TEXT(INDEX(tk_OAW,MATCH(22,tk_FSEQ,0)),"0.000")&amp;" x "&amp;TEXT(INDEX(tk_OAH,MATCH(22,tk_FSEQ,0)),"0.000"),"")</f>
        <v/>
      </c>
      <c r="G27" s="70">
        <f>IFERROR(""&amp;INDEX(tk_FLINE,MATCH(22,tk_FSEQ,0)),"")</f>
        <v/>
      </c>
      <c r="H27" s="70">
        <f>IFERROR(""&amp;INDEX(tk_FNOTES,MATCH(22,tk_FSEQ,0)),"")</f>
        <v/>
      </c>
    </row>
    <row r="28">
      <c r="A28" s="70">
        <f>IFERROR(""&amp;INDEX(tk_MARK,MATCH(23,tk_FSEQ,0)),"")</f>
        <v/>
      </c>
      <c r="B28" s="70">
        <f>IFERROR(INDEX(tk_QTY,MATCH(23,tk_FSEQ,0)),"")</f>
        <v/>
      </c>
      <c r="C28" s="70">
        <f>IFERROR(INDEX(tk_ROOMF,MATCH(23,tk_FSEQ,0))&amp;IF(INDEX(tk_ROOMT,MATCH(23,tk_FSEQ,0))="",""," → "&amp;INDEX(tk_ROOMT,MATCH(23,tk_FSEQ,0))),"")</f>
        <v/>
      </c>
      <c r="D28" s="70">
        <f>IFERROR(""&amp;INDEX(tk_SIZE,MATCH(23,tk_FSEQ,0)),"")</f>
        <v/>
      </c>
      <c r="E28" s="70">
        <f>IFERROR(""&amp;INDEX(tk_RATING,MATCH(23,tk_FSEQ,0)),"")</f>
        <v/>
      </c>
      <c r="F28" s="70">
        <f>IFERROR(TEXT(INDEX(tk_OAW,MATCH(23,tk_FSEQ,0)),"0.000")&amp;" x "&amp;TEXT(INDEX(tk_OAH,MATCH(23,tk_FSEQ,0)),"0.000"),"")</f>
        <v/>
      </c>
      <c r="G28" s="70">
        <f>IFERROR(""&amp;INDEX(tk_FLINE,MATCH(23,tk_FSEQ,0)),"")</f>
        <v/>
      </c>
      <c r="H28" s="70">
        <f>IFERROR(""&amp;INDEX(tk_FNOTES,MATCH(23,tk_FSEQ,0)),"")</f>
        <v/>
      </c>
    </row>
    <row r="29">
      <c r="A29" s="70">
        <f>IFERROR(""&amp;INDEX(tk_MARK,MATCH(24,tk_FSEQ,0)),"")</f>
        <v/>
      </c>
      <c r="B29" s="70">
        <f>IFERROR(INDEX(tk_QTY,MATCH(24,tk_FSEQ,0)),"")</f>
        <v/>
      </c>
      <c r="C29" s="70">
        <f>IFERROR(INDEX(tk_ROOMF,MATCH(24,tk_FSEQ,0))&amp;IF(INDEX(tk_ROOMT,MATCH(24,tk_FSEQ,0))="",""," → "&amp;INDEX(tk_ROOMT,MATCH(24,tk_FSEQ,0))),"")</f>
        <v/>
      </c>
      <c r="D29" s="70">
        <f>IFERROR(""&amp;INDEX(tk_SIZE,MATCH(24,tk_FSEQ,0)),"")</f>
        <v/>
      </c>
      <c r="E29" s="70">
        <f>IFERROR(""&amp;INDEX(tk_RATING,MATCH(24,tk_FSEQ,0)),"")</f>
        <v/>
      </c>
      <c r="F29" s="70">
        <f>IFERROR(TEXT(INDEX(tk_OAW,MATCH(24,tk_FSEQ,0)),"0.000")&amp;" x "&amp;TEXT(INDEX(tk_OAH,MATCH(24,tk_FSEQ,0)),"0.000"),"")</f>
        <v/>
      </c>
      <c r="G29" s="70">
        <f>IFERROR(""&amp;INDEX(tk_FLINE,MATCH(24,tk_FSEQ,0)),"")</f>
        <v/>
      </c>
      <c r="H29" s="70">
        <f>IFERROR(""&amp;INDEX(tk_FNOTES,MATCH(24,tk_FSEQ,0)),"")</f>
        <v/>
      </c>
    </row>
    <row r="30">
      <c r="A30" s="70">
        <f>IFERROR(""&amp;INDEX(tk_MARK,MATCH(25,tk_FSEQ,0)),"")</f>
        <v/>
      </c>
      <c r="B30" s="70">
        <f>IFERROR(INDEX(tk_QTY,MATCH(25,tk_FSEQ,0)),"")</f>
        <v/>
      </c>
      <c r="C30" s="70">
        <f>IFERROR(INDEX(tk_ROOMF,MATCH(25,tk_FSEQ,0))&amp;IF(INDEX(tk_ROOMT,MATCH(25,tk_FSEQ,0))="",""," → "&amp;INDEX(tk_ROOMT,MATCH(25,tk_FSEQ,0))),"")</f>
        <v/>
      </c>
      <c r="D30" s="70">
        <f>IFERROR(""&amp;INDEX(tk_SIZE,MATCH(25,tk_FSEQ,0)),"")</f>
        <v/>
      </c>
      <c r="E30" s="70">
        <f>IFERROR(""&amp;INDEX(tk_RATING,MATCH(25,tk_FSEQ,0)),"")</f>
        <v/>
      </c>
      <c r="F30" s="70">
        <f>IFERROR(TEXT(INDEX(tk_OAW,MATCH(25,tk_FSEQ,0)),"0.000")&amp;" x "&amp;TEXT(INDEX(tk_OAH,MATCH(25,tk_FSEQ,0)),"0.000"),"")</f>
        <v/>
      </c>
      <c r="G30" s="70">
        <f>IFERROR(""&amp;INDEX(tk_FLINE,MATCH(25,tk_FSEQ,0)),"")</f>
        <v/>
      </c>
      <c r="H30" s="70">
        <f>IFERROR(""&amp;INDEX(tk_FNOTES,MATCH(25,tk_FSEQ,0)),"")</f>
        <v/>
      </c>
    </row>
    <row r="31">
      <c r="A31" s="70">
        <f>IFERROR(""&amp;INDEX(tk_MARK,MATCH(26,tk_FSEQ,0)),"")</f>
        <v/>
      </c>
      <c r="B31" s="70">
        <f>IFERROR(INDEX(tk_QTY,MATCH(26,tk_FSEQ,0)),"")</f>
        <v/>
      </c>
      <c r="C31" s="70">
        <f>IFERROR(INDEX(tk_ROOMF,MATCH(26,tk_FSEQ,0))&amp;IF(INDEX(tk_ROOMT,MATCH(26,tk_FSEQ,0))="",""," → "&amp;INDEX(tk_ROOMT,MATCH(26,tk_FSEQ,0))),"")</f>
        <v/>
      </c>
      <c r="D31" s="70">
        <f>IFERROR(""&amp;INDEX(tk_SIZE,MATCH(26,tk_FSEQ,0)),"")</f>
        <v/>
      </c>
      <c r="E31" s="70">
        <f>IFERROR(""&amp;INDEX(tk_RATING,MATCH(26,tk_FSEQ,0)),"")</f>
        <v/>
      </c>
      <c r="F31" s="70">
        <f>IFERROR(TEXT(INDEX(tk_OAW,MATCH(26,tk_FSEQ,0)),"0.000")&amp;" x "&amp;TEXT(INDEX(tk_OAH,MATCH(26,tk_FSEQ,0)),"0.000"),"")</f>
        <v/>
      </c>
      <c r="G31" s="70">
        <f>IFERROR(""&amp;INDEX(tk_FLINE,MATCH(26,tk_FSEQ,0)),"")</f>
        <v/>
      </c>
      <c r="H31" s="70">
        <f>IFERROR(""&amp;INDEX(tk_FNOTES,MATCH(26,tk_FSEQ,0)),"")</f>
        <v/>
      </c>
    </row>
    <row r="32">
      <c r="A32" s="70">
        <f>IFERROR(""&amp;INDEX(tk_MARK,MATCH(27,tk_FSEQ,0)),"")</f>
        <v/>
      </c>
      <c r="B32" s="70">
        <f>IFERROR(INDEX(tk_QTY,MATCH(27,tk_FSEQ,0)),"")</f>
        <v/>
      </c>
      <c r="C32" s="70">
        <f>IFERROR(INDEX(tk_ROOMF,MATCH(27,tk_FSEQ,0))&amp;IF(INDEX(tk_ROOMT,MATCH(27,tk_FSEQ,0))="",""," → "&amp;INDEX(tk_ROOMT,MATCH(27,tk_FSEQ,0))),"")</f>
        <v/>
      </c>
      <c r="D32" s="70">
        <f>IFERROR(""&amp;INDEX(tk_SIZE,MATCH(27,tk_FSEQ,0)),"")</f>
        <v/>
      </c>
      <c r="E32" s="70">
        <f>IFERROR(""&amp;INDEX(tk_RATING,MATCH(27,tk_FSEQ,0)),"")</f>
        <v/>
      </c>
      <c r="F32" s="70">
        <f>IFERROR(TEXT(INDEX(tk_OAW,MATCH(27,tk_FSEQ,0)),"0.000")&amp;" x "&amp;TEXT(INDEX(tk_OAH,MATCH(27,tk_FSEQ,0)),"0.000"),"")</f>
        <v/>
      </c>
      <c r="G32" s="70">
        <f>IFERROR(""&amp;INDEX(tk_FLINE,MATCH(27,tk_FSEQ,0)),"")</f>
        <v/>
      </c>
      <c r="H32" s="70">
        <f>IFERROR(""&amp;INDEX(tk_FNOTES,MATCH(27,tk_FSEQ,0)),"")</f>
        <v/>
      </c>
    </row>
    <row r="33">
      <c r="A33" s="70">
        <f>IFERROR(""&amp;INDEX(tk_MARK,MATCH(28,tk_FSEQ,0)),"")</f>
        <v/>
      </c>
      <c r="B33" s="70">
        <f>IFERROR(INDEX(tk_QTY,MATCH(28,tk_FSEQ,0)),"")</f>
        <v/>
      </c>
      <c r="C33" s="70">
        <f>IFERROR(INDEX(tk_ROOMF,MATCH(28,tk_FSEQ,0))&amp;IF(INDEX(tk_ROOMT,MATCH(28,tk_FSEQ,0))="",""," → "&amp;INDEX(tk_ROOMT,MATCH(28,tk_FSEQ,0))),"")</f>
        <v/>
      </c>
      <c r="D33" s="70">
        <f>IFERROR(""&amp;INDEX(tk_SIZE,MATCH(28,tk_FSEQ,0)),"")</f>
        <v/>
      </c>
      <c r="E33" s="70">
        <f>IFERROR(""&amp;INDEX(tk_RATING,MATCH(28,tk_FSEQ,0)),"")</f>
        <v/>
      </c>
      <c r="F33" s="70">
        <f>IFERROR(TEXT(INDEX(tk_OAW,MATCH(28,tk_FSEQ,0)),"0.000")&amp;" x "&amp;TEXT(INDEX(tk_OAH,MATCH(28,tk_FSEQ,0)),"0.000"),"")</f>
        <v/>
      </c>
      <c r="G33" s="70">
        <f>IFERROR(""&amp;INDEX(tk_FLINE,MATCH(28,tk_FSEQ,0)),"")</f>
        <v/>
      </c>
      <c r="H33" s="70">
        <f>IFERROR(""&amp;INDEX(tk_FNOTES,MATCH(28,tk_FSEQ,0)),"")</f>
        <v/>
      </c>
    </row>
    <row r="34">
      <c r="A34" s="70">
        <f>IFERROR(""&amp;INDEX(tk_MARK,MATCH(29,tk_FSEQ,0)),"")</f>
        <v/>
      </c>
      <c r="B34" s="70">
        <f>IFERROR(INDEX(tk_QTY,MATCH(29,tk_FSEQ,0)),"")</f>
        <v/>
      </c>
      <c r="C34" s="70">
        <f>IFERROR(INDEX(tk_ROOMF,MATCH(29,tk_FSEQ,0))&amp;IF(INDEX(tk_ROOMT,MATCH(29,tk_FSEQ,0))="",""," → "&amp;INDEX(tk_ROOMT,MATCH(29,tk_FSEQ,0))),"")</f>
        <v/>
      </c>
      <c r="D34" s="70">
        <f>IFERROR(""&amp;INDEX(tk_SIZE,MATCH(29,tk_FSEQ,0)),"")</f>
        <v/>
      </c>
      <c r="E34" s="70">
        <f>IFERROR(""&amp;INDEX(tk_RATING,MATCH(29,tk_FSEQ,0)),"")</f>
        <v/>
      </c>
      <c r="F34" s="70">
        <f>IFERROR(TEXT(INDEX(tk_OAW,MATCH(29,tk_FSEQ,0)),"0.000")&amp;" x "&amp;TEXT(INDEX(tk_OAH,MATCH(29,tk_FSEQ,0)),"0.000"),"")</f>
        <v/>
      </c>
      <c r="G34" s="70">
        <f>IFERROR(""&amp;INDEX(tk_FLINE,MATCH(29,tk_FSEQ,0)),"")</f>
        <v/>
      </c>
      <c r="H34" s="70">
        <f>IFERROR(""&amp;INDEX(tk_FNOTES,MATCH(29,tk_FSEQ,0)),"")</f>
        <v/>
      </c>
    </row>
    <row r="35">
      <c r="A35" s="70">
        <f>IFERROR(""&amp;INDEX(tk_MARK,MATCH(30,tk_FSEQ,0)),"")</f>
        <v/>
      </c>
      <c r="B35" s="70">
        <f>IFERROR(INDEX(tk_QTY,MATCH(30,tk_FSEQ,0)),"")</f>
        <v/>
      </c>
      <c r="C35" s="70">
        <f>IFERROR(INDEX(tk_ROOMF,MATCH(30,tk_FSEQ,0))&amp;IF(INDEX(tk_ROOMT,MATCH(30,tk_FSEQ,0))="",""," → "&amp;INDEX(tk_ROOMT,MATCH(30,tk_FSEQ,0))),"")</f>
        <v/>
      </c>
      <c r="D35" s="70">
        <f>IFERROR(""&amp;INDEX(tk_SIZE,MATCH(30,tk_FSEQ,0)),"")</f>
        <v/>
      </c>
      <c r="E35" s="70">
        <f>IFERROR(""&amp;INDEX(tk_RATING,MATCH(30,tk_FSEQ,0)),"")</f>
        <v/>
      </c>
      <c r="F35" s="70">
        <f>IFERROR(TEXT(INDEX(tk_OAW,MATCH(30,tk_FSEQ,0)),"0.000")&amp;" x "&amp;TEXT(INDEX(tk_OAH,MATCH(30,tk_FSEQ,0)),"0.000"),"")</f>
        <v/>
      </c>
      <c r="G35" s="70">
        <f>IFERROR(""&amp;INDEX(tk_FLINE,MATCH(30,tk_FSEQ,0)),"")</f>
        <v/>
      </c>
      <c r="H35" s="70">
        <f>IFERROR(""&amp;INDEX(tk_FNOTES,MATCH(30,tk_FSEQ,0)),"")</f>
        <v/>
      </c>
    </row>
    <row r="36">
      <c r="A36" s="70">
        <f>IFERROR(""&amp;INDEX(tk_MARK,MATCH(31,tk_FSEQ,0)),"")</f>
        <v/>
      </c>
      <c r="B36" s="70">
        <f>IFERROR(INDEX(tk_QTY,MATCH(31,tk_FSEQ,0)),"")</f>
        <v/>
      </c>
      <c r="C36" s="70">
        <f>IFERROR(INDEX(tk_ROOMF,MATCH(31,tk_FSEQ,0))&amp;IF(INDEX(tk_ROOMT,MATCH(31,tk_FSEQ,0))="",""," → "&amp;INDEX(tk_ROOMT,MATCH(31,tk_FSEQ,0))),"")</f>
        <v/>
      </c>
      <c r="D36" s="70">
        <f>IFERROR(""&amp;INDEX(tk_SIZE,MATCH(31,tk_FSEQ,0)),"")</f>
        <v/>
      </c>
      <c r="E36" s="70">
        <f>IFERROR(""&amp;INDEX(tk_RATING,MATCH(31,tk_FSEQ,0)),"")</f>
        <v/>
      </c>
      <c r="F36" s="70">
        <f>IFERROR(TEXT(INDEX(tk_OAW,MATCH(31,tk_FSEQ,0)),"0.000")&amp;" x "&amp;TEXT(INDEX(tk_OAH,MATCH(31,tk_FSEQ,0)),"0.000"),"")</f>
        <v/>
      </c>
      <c r="G36" s="70">
        <f>IFERROR(""&amp;INDEX(tk_FLINE,MATCH(31,tk_FSEQ,0)),"")</f>
        <v/>
      </c>
      <c r="H36" s="70">
        <f>IFERROR(""&amp;INDEX(tk_FNOTES,MATCH(31,tk_FSEQ,0)),"")</f>
        <v/>
      </c>
    </row>
    <row r="37">
      <c r="A37" s="70">
        <f>IFERROR(""&amp;INDEX(tk_MARK,MATCH(32,tk_FSEQ,0)),"")</f>
        <v/>
      </c>
      <c r="B37" s="70">
        <f>IFERROR(INDEX(tk_QTY,MATCH(32,tk_FSEQ,0)),"")</f>
        <v/>
      </c>
      <c r="C37" s="70">
        <f>IFERROR(INDEX(tk_ROOMF,MATCH(32,tk_FSEQ,0))&amp;IF(INDEX(tk_ROOMT,MATCH(32,tk_FSEQ,0))="",""," → "&amp;INDEX(tk_ROOMT,MATCH(32,tk_FSEQ,0))),"")</f>
        <v/>
      </c>
      <c r="D37" s="70">
        <f>IFERROR(""&amp;INDEX(tk_SIZE,MATCH(32,tk_FSEQ,0)),"")</f>
        <v/>
      </c>
      <c r="E37" s="70">
        <f>IFERROR(""&amp;INDEX(tk_RATING,MATCH(32,tk_FSEQ,0)),"")</f>
        <v/>
      </c>
      <c r="F37" s="70">
        <f>IFERROR(TEXT(INDEX(tk_OAW,MATCH(32,tk_FSEQ,0)),"0.000")&amp;" x "&amp;TEXT(INDEX(tk_OAH,MATCH(32,tk_FSEQ,0)),"0.000"),"")</f>
        <v/>
      </c>
      <c r="G37" s="70">
        <f>IFERROR(""&amp;INDEX(tk_FLINE,MATCH(32,tk_FSEQ,0)),"")</f>
        <v/>
      </c>
      <c r="H37" s="70">
        <f>IFERROR(""&amp;INDEX(tk_FNOTES,MATCH(32,tk_FSEQ,0)),"")</f>
        <v/>
      </c>
    </row>
    <row r="38">
      <c r="A38" s="70">
        <f>IFERROR(""&amp;INDEX(tk_MARK,MATCH(33,tk_FSEQ,0)),"")</f>
        <v/>
      </c>
      <c r="B38" s="70">
        <f>IFERROR(INDEX(tk_QTY,MATCH(33,tk_FSEQ,0)),"")</f>
        <v/>
      </c>
      <c r="C38" s="70">
        <f>IFERROR(INDEX(tk_ROOMF,MATCH(33,tk_FSEQ,0))&amp;IF(INDEX(tk_ROOMT,MATCH(33,tk_FSEQ,0))="",""," → "&amp;INDEX(tk_ROOMT,MATCH(33,tk_FSEQ,0))),"")</f>
        <v/>
      </c>
      <c r="D38" s="70">
        <f>IFERROR(""&amp;INDEX(tk_SIZE,MATCH(33,tk_FSEQ,0)),"")</f>
        <v/>
      </c>
      <c r="E38" s="70">
        <f>IFERROR(""&amp;INDEX(tk_RATING,MATCH(33,tk_FSEQ,0)),"")</f>
        <v/>
      </c>
      <c r="F38" s="70">
        <f>IFERROR(TEXT(INDEX(tk_OAW,MATCH(33,tk_FSEQ,0)),"0.000")&amp;" x "&amp;TEXT(INDEX(tk_OAH,MATCH(33,tk_FSEQ,0)),"0.000"),"")</f>
        <v/>
      </c>
      <c r="G38" s="70">
        <f>IFERROR(""&amp;INDEX(tk_FLINE,MATCH(33,tk_FSEQ,0)),"")</f>
        <v/>
      </c>
      <c r="H38" s="70">
        <f>IFERROR(""&amp;INDEX(tk_FNOTES,MATCH(33,tk_FSEQ,0)),"")</f>
        <v/>
      </c>
    </row>
    <row r="39">
      <c r="A39" s="70">
        <f>IFERROR(""&amp;INDEX(tk_MARK,MATCH(34,tk_FSEQ,0)),"")</f>
        <v/>
      </c>
      <c r="B39" s="70">
        <f>IFERROR(INDEX(tk_QTY,MATCH(34,tk_FSEQ,0)),"")</f>
        <v/>
      </c>
      <c r="C39" s="70">
        <f>IFERROR(INDEX(tk_ROOMF,MATCH(34,tk_FSEQ,0))&amp;IF(INDEX(tk_ROOMT,MATCH(34,tk_FSEQ,0))="",""," → "&amp;INDEX(tk_ROOMT,MATCH(34,tk_FSEQ,0))),"")</f>
        <v/>
      </c>
      <c r="D39" s="70">
        <f>IFERROR(""&amp;INDEX(tk_SIZE,MATCH(34,tk_FSEQ,0)),"")</f>
        <v/>
      </c>
      <c r="E39" s="70">
        <f>IFERROR(""&amp;INDEX(tk_RATING,MATCH(34,tk_FSEQ,0)),"")</f>
        <v/>
      </c>
      <c r="F39" s="70">
        <f>IFERROR(TEXT(INDEX(tk_OAW,MATCH(34,tk_FSEQ,0)),"0.000")&amp;" x "&amp;TEXT(INDEX(tk_OAH,MATCH(34,tk_FSEQ,0)),"0.000"),"")</f>
        <v/>
      </c>
      <c r="G39" s="70">
        <f>IFERROR(""&amp;INDEX(tk_FLINE,MATCH(34,tk_FSEQ,0)),"")</f>
        <v/>
      </c>
      <c r="H39" s="70">
        <f>IFERROR(""&amp;INDEX(tk_FNOTES,MATCH(34,tk_FSEQ,0)),"")</f>
        <v/>
      </c>
    </row>
    <row r="40">
      <c r="A40" s="70">
        <f>IFERROR(""&amp;INDEX(tk_MARK,MATCH(35,tk_FSEQ,0)),"")</f>
        <v/>
      </c>
      <c r="B40" s="70">
        <f>IFERROR(INDEX(tk_QTY,MATCH(35,tk_FSEQ,0)),"")</f>
        <v/>
      </c>
      <c r="C40" s="70">
        <f>IFERROR(INDEX(tk_ROOMF,MATCH(35,tk_FSEQ,0))&amp;IF(INDEX(tk_ROOMT,MATCH(35,tk_FSEQ,0))="",""," → "&amp;INDEX(tk_ROOMT,MATCH(35,tk_FSEQ,0))),"")</f>
        <v/>
      </c>
      <c r="D40" s="70">
        <f>IFERROR(""&amp;INDEX(tk_SIZE,MATCH(35,tk_FSEQ,0)),"")</f>
        <v/>
      </c>
      <c r="E40" s="70">
        <f>IFERROR(""&amp;INDEX(tk_RATING,MATCH(35,tk_FSEQ,0)),"")</f>
        <v/>
      </c>
      <c r="F40" s="70">
        <f>IFERROR(TEXT(INDEX(tk_OAW,MATCH(35,tk_FSEQ,0)),"0.000")&amp;" x "&amp;TEXT(INDEX(tk_OAH,MATCH(35,tk_FSEQ,0)),"0.000"),"")</f>
        <v/>
      </c>
      <c r="G40" s="70">
        <f>IFERROR(""&amp;INDEX(tk_FLINE,MATCH(35,tk_FSEQ,0)),"")</f>
        <v/>
      </c>
      <c r="H40" s="70">
        <f>IFERROR(""&amp;INDEX(tk_FNOTES,MATCH(35,tk_FSEQ,0)),"")</f>
        <v/>
      </c>
    </row>
    <row r="41">
      <c r="A41" s="70">
        <f>IFERROR(""&amp;INDEX(tk_MARK,MATCH(36,tk_FSEQ,0)),"")</f>
        <v/>
      </c>
      <c r="B41" s="70">
        <f>IFERROR(INDEX(tk_QTY,MATCH(36,tk_FSEQ,0)),"")</f>
        <v/>
      </c>
      <c r="C41" s="70">
        <f>IFERROR(INDEX(tk_ROOMF,MATCH(36,tk_FSEQ,0))&amp;IF(INDEX(tk_ROOMT,MATCH(36,tk_FSEQ,0))="",""," → "&amp;INDEX(tk_ROOMT,MATCH(36,tk_FSEQ,0))),"")</f>
        <v/>
      </c>
      <c r="D41" s="70">
        <f>IFERROR(""&amp;INDEX(tk_SIZE,MATCH(36,tk_FSEQ,0)),"")</f>
        <v/>
      </c>
      <c r="E41" s="70">
        <f>IFERROR(""&amp;INDEX(tk_RATING,MATCH(36,tk_FSEQ,0)),"")</f>
        <v/>
      </c>
      <c r="F41" s="70">
        <f>IFERROR(TEXT(INDEX(tk_OAW,MATCH(36,tk_FSEQ,0)),"0.000")&amp;" x "&amp;TEXT(INDEX(tk_OAH,MATCH(36,tk_FSEQ,0)),"0.000"),"")</f>
        <v/>
      </c>
      <c r="G41" s="70">
        <f>IFERROR(""&amp;INDEX(tk_FLINE,MATCH(36,tk_FSEQ,0)),"")</f>
        <v/>
      </c>
      <c r="H41" s="70">
        <f>IFERROR(""&amp;INDEX(tk_FNOTES,MATCH(36,tk_FSEQ,0)),"")</f>
        <v/>
      </c>
    </row>
    <row r="42">
      <c r="A42" s="70">
        <f>IFERROR(""&amp;INDEX(tk_MARK,MATCH(37,tk_FSEQ,0)),"")</f>
        <v/>
      </c>
      <c r="B42" s="70">
        <f>IFERROR(INDEX(tk_QTY,MATCH(37,tk_FSEQ,0)),"")</f>
        <v/>
      </c>
      <c r="C42" s="70">
        <f>IFERROR(INDEX(tk_ROOMF,MATCH(37,tk_FSEQ,0))&amp;IF(INDEX(tk_ROOMT,MATCH(37,tk_FSEQ,0))="",""," → "&amp;INDEX(tk_ROOMT,MATCH(37,tk_FSEQ,0))),"")</f>
        <v/>
      </c>
      <c r="D42" s="70">
        <f>IFERROR(""&amp;INDEX(tk_SIZE,MATCH(37,tk_FSEQ,0)),"")</f>
        <v/>
      </c>
      <c r="E42" s="70">
        <f>IFERROR(""&amp;INDEX(tk_RATING,MATCH(37,tk_FSEQ,0)),"")</f>
        <v/>
      </c>
      <c r="F42" s="70">
        <f>IFERROR(TEXT(INDEX(tk_OAW,MATCH(37,tk_FSEQ,0)),"0.000")&amp;" x "&amp;TEXT(INDEX(tk_OAH,MATCH(37,tk_FSEQ,0)),"0.000"),"")</f>
        <v/>
      </c>
      <c r="G42" s="70">
        <f>IFERROR(""&amp;INDEX(tk_FLINE,MATCH(37,tk_FSEQ,0)),"")</f>
        <v/>
      </c>
      <c r="H42" s="70">
        <f>IFERROR(""&amp;INDEX(tk_FNOTES,MATCH(37,tk_FSEQ,0)),"")</f>
        <v/>
      </c>
    </row>
    <row r="43">
      <c r="A43" s="70">
        <f>IFERROR(""&amp;INDEX(tk_MARK,MATCH(38,tk_FSEQ,0)),"")</f>
        <v/>
      </c>
      <c r="B43" s="70">
        <f>IFERROR(INDEX(tk_QTY,MATCH(38,tk_FSEQ,0)),"")</f>
        <v/>
      </c>
      <c r="C43" s="70">
        <f>IFERROR(INDEX(tk_ROOMF,MATCH(38,tk_FSEQ,0))&amp;IF(INDEX(tk_ROOMT,MATCH(38,tk_FSEQ,0))="",""," → "&amp;INDEX(tk_ROOMT,MATCH(38,tk_FSEQ,0))),"")</f>
        <v/>
      </c>
      <c r="D43" s="70">
        <f>IFERROR(""&amp;INDEX(tk_SIZE,MATCH(38,tk_FSEQ,0)),"")</f>
        <v/>
      </c>
      <c r="E43" s="70">
        <f>IFERROR(""&amp;INDEX(tk_RATING,MATCH(38,tk_FSEQ,0)),"")</f>
        <v/>
      </c>
      <c r="F43" s="70">
        <f>IFERROR(TEXT(INDEX(tk_OAW,MATCH(38,tk_FSEQ,0)),"0.000")&amp;" x "&amp;TEXT(INDEX(tk_OAH,MATCH(38,tk_FSEQ,0)),"0.000"),"")</f>
        <v/>
      </c>
      <c r="G43" s="70">
        <f>IFERROR(""&amp;INDEX(tk_FLINE,MATCH(38,tk_FSEQ,0)),"")</f>
        <v/>
      </c>
      <c r="H43" s="70">
        <f>IFERROR(""&amp;INDEX(tk_FNOTES,MATCH(38,tk_FSEQ,0)),"")</f>
        <v/>
      </c>
    </row>
    <row r="44">
      <c r="A44" s="70">
        <f>IFERROR(""&amp;INDEX(tk_MARK,MATCH(39,tk_FSEQ,0)),"")</f>
        <v/>
      </c>
      <c r="B44" s="70">
        <f>IFERROR(INDEX(tk_QTY,MATCH(39,tk_FSEQ,0)),"")</f>
        <v/>
      </c>
      <c r="C44" s="70">
        <f>IFERROR(INDEX(tk_ROOMF,MATCH(39,tk_FSEQ,0))&amp;IF(INDEX(tk_ROOMT,MATCH(39,tk_FSEQ,0))="",""," → "&amp;INDEX(tk_ROOMT,MATCH(39,tk_FSEQ,0))),"")</f>
        <v/>
      </c>
      <c r="D44" s="70">
        <f>IFERROR(""&amp;INDEX(tk_SIZE,MATCH(39,tk_FSEQ,0)),"")</f>
        <v/>
      </c>
      <c r="E44" s="70">
        <f>IFERROR(""&amp;INDEX(tk_RATING,MATCH(39,tk_FSEQ,0)),"")</f>
        <v/>
      </c>
      <c r="F44" s="70">
        <f>IFERROR(TEXT(INDEX(tk_OAW,MATCH(39,tk_FSEQ,0)),"0.000")&amp;" x "&amp;TEXT(INDEX(tk_OAH,MATCH(39,tk_FSEQ,0)),"0.000"),"")</f>
        <v/>
      </c>
      <c r="G44" s="70">
        <f>IFERROR(""&amp;INDEX(tk_FLINE,MATCH(39,tk_FSEQ,0)),"")</f>
        <v/>
      </c>
      <c r="H44" s="70">
        <f>IFERROR(""&amp;INDEX(tk_FNOTES,MATCH(39,tk_FSEQ,0)),"")</f>
        <v/>
      </c>
    </row>
    <row r="45">
      <c r="A45" s="70">
        <f>IFERROR(""&amp;INDEX(tk_MARK,MATCH(40,tk_FSEQ,0)),"")</f>
        <v/>
      </c>
      <c r="B45" s="70">
        <f>IFERROR(INDEX(tk_QTY,MATCH(40,tk_FSEQ,0)),"")</f>
        <v/>
      </c>
      <c r="C45" s="70">
        <f>IFERROR(INDEX(tk_ROOMF,MATCH(40,tk_FSEQ,0))&amp;IF(INDEX(tk_ROOMT,MATCH(40,tk_FSEQ,0))="",""," → "&amp;INDEX(tk_ROOMT,MATCH(40,tk_FSEQ,0))),"")</f>
        <v/>
      </c>
      <c r="D45" s="70">
        <f>IFERROR(""&amp;INDEX(tk_SIZE,MATCH(40,tk_FSEQ,0)),"")</f>
        <v/>
      </c>
      <c r="E45" s="70">
        <f>IFERROR(""&amp;INDEX(tk_RATING,MATCH(40,tk_FSEQ,0)),"")</f>
        <v/>
      </c>
      <c r="F45" s="70">
        <f>IFERROR(TEXT(INDEX(tk_OAW,MATCH(40,tk_FSEQ,0)),"0.000")&amp;" x "&amp;TEXT(INDEX(tk_OAH,MATCH(40,tk_FSEQ,0)),"0.000"),"")</f>
        <v/>
      </c>
      <c r="G45" s="70">
        <f>IFERROR(""&amp;INDEX(tk_FLINE,MATCH(40,tk_FSEQ,0)),"")</f>
        <v/>
      </c>
      <c r="H45" s="70">
        <f>IFERROR(""&amp;INDEX(tk_FNOTES,MATCH(40,tk_FSEQ,0)),"")</f>
        <v/>
      </c>
    </row>
    <row r="46">
      <c r="A46" s="70">
        <f>IFERROR(""&amp;INDEX(tk_MARK,MATCH(41,tk_FSEQ,0)),"")</f>
        <v/>
      </c>
      <c r="B46" s="70">
        <f>IFERROR(INDEX(tk_QTY,MATCH(41,tk_FSEQ,0)),"")</f>
        <v/>
      </c>
      <c r="C46" s="70">
        <f>IFERROR(INDEX(tk_ROOMF,MATCH(41,tk_FSEQ,0))&amp;IF(INDEX(tk_ROOMT,MATCH(41,tk_FSEQ,0))="",""," → "&amp;INDEX(tk_ROOMT,MATCH(41,tk_FSEQ,0))),"")</f>
        <v/>
      </c>
      <c r="D46" s="70">
        <f>IFERROR(""&amp;INDEX(tk_SIZE,MATCH(41,tk_FSEQ,0)),"")</f>
        <v/>
      </c>
      <c r="E46" s="70">
        <f>IFERROR(""&amp;INDEX(tk_RATING,MATCH(41,tk_FSEQ,0)),"")</f>
        <v/>
      </c>
      <c r="F46" s="70">
        <f>IFERROR(TEXT(INDEX(tk_OAW,MATCH(41,tk_FSEQ,0)),"0.000")&amp;" x "&amp;TEXT(INDEX(tk_OAH,MATCH(41,tk_FSEQ,0)),"0.000"),"")</f>
        <v/>
      </c>
      <c r="G46" s="70">
        <f>IFERROR(""&amp;INDEX(tk_FLINE,MATCH(41,tk_FSEQ,0)),"")</f>
        <v/>
      </c>
      <c r="H46" s="70">
        <f>IFERROR(""&amp;INDEX(tk_FNOTES,MATCH(41,tk_FSEQ,0)),"")</f>
        <v/>
      </c>
    </row>
    <row r="47">
      <c r="A47" s="70">
        <f>IFERROR(""&amp;INDEX(tk_MARK,MATCH(42,tk_FSEQ,0)),"")</f>
        <v/>
      </c>
      <c r="B47" s="70">
        <f>IFERROR(INDEX(tk_QTY,MATCH(42,tk_FSEQ,0)),"")</f>
        <v/>
      </c>
      <c r="C47" s="70">
        <f>IFERROR(INDEX(tk_ROOMF,MATCH(42,tk_FSEQ,0))&amp;IF(INDEX(tk_ROOMT,MATCH(42,tk_FSEQ,0))="",""," → "&amp;INDEX(tk_ROOMT,MATCH(42,tk_FSEQ,0))),"")</f>
        <v/>
      </c>
      <c r="D47" s="70">
        <f>IFERROR(""&amp;INDEX(tk_SIZE,MATCH(42,tk_FSEQ,0)),"")</f>
        <v/>
      </c>
      <c r="E47" s="70">
        <f>IFERROR(""&amp;INDEX(tk_RATING,MATCH(42,tk_FSEQ,0)),"")</f>
        <v/>
      </c>
      <c r="F47" s="70">
        <f>IFERROR(TEXT(INDEX(tk_OAW,MATCH(42,tk_FSEQ,0)),"0.000")&amp;" x "&amp;TEXT(INDEX(tk_OAH,MATCH(42,tk_FSEQ,0)),"0.000"),"")</f>
        <v/>
      </c>
      <c r="G47" s="70">
        <f>IFERROR(""&amp;INDEX(tk_FLINE,MATCH(42,tk_FSEQ,0)),"")</f>
        <v/>
      </c>
      <c r="H47" s="70">
        <f>IFERROR(""&amp;INDEX(tk_FNOTES,MATCH(42,tk_FSEQ,0)),"")</f>
        <v/>
      </c>
    </row>
    <row r="48">
      <c r="A48" s="70">
        <f>IFERROR(""&amp;INDEX(tk_MARK,MATCH(43,tk_FSEQ,0)),"")</f>
        <v/>
      </c>
      <c r="B48" s="70">
        <f>IFERROR(INDEX(tk_QTY,MATCH(43,tk_FSEQ,0)),"")</f>
        <v/>
      </c>
      <c r="C48" s="70">
        <f>IFERROR(INDEX(tk_ROOMF,MATCH(43,tk_FSEQ,0))&amp;IF(INDEX(tk_ROOMT,MATCH(43,tk_FSEQ,0))="",""," → "&amp;INDEX(tk_ROOMT,MATCH(43,tk_FSEQ,0))),"")</f>
        <v/>
      </c>
      <c r="D48" s="70">
        <f>IFERROR(""&amp;INDEX(tk_SIZE,MATCH(43,tk_FSEQ,0)),"")</f>
        <v/>
      </c>
      <c r="E48" s="70">
        <f>IFERROR(""&amp;INDEX(tk_RATING,MATCH(43,tk_FSEQ,0)),"")</f>
        <v/>
      </c>
      <c r="F48" s="70">
        <f>IFERROR(TEXT(INDEX(tk_OAW,MATCH(43,tk_FSEQ,0)),"0.000")&amp;" x "&amp;TEXT(INDEX(tk_OAH,MATCH(43,tk_FSEQ,0)),"0.000"),"")</f>
        <v/>
      </c>
      <c r="G48" s="70">
        <f>IFERROR(""&amp;INDEX(tk_FLINE,MATCH(43,tk_FSEQ,0)),"")</f>
        <v/>
      </c>
      <c r="H48" s="70">
        <f>IFERROR(""&amp;INDEX(tk_FNOTES,MATCH(43,tk_FSEQ,0)),"")</f>
        <v/>
      </c>
    </row>
    <row r="49">
      <c r="A49" s="70">
        <f>IFERROR(""&amp;INDEX(tk_MARK,MATCH(44,tk_FSEQ,0)),"")</f>
        <v/>
      </c>
      <c r="B49" s="70">
        <f>IFERROR(INDEX(tk_QTY,MATCH(44,tk_FSEQ,0)),"")</f>
        <v/>
      </c>
      <c r="C49" s="70">
        <f>IFERROR(INDEX(tk_ROOMF,MATCH(44,tk_FSEQ,0))&amp;IF(INDEX(tk_ROOMT,MATCH(44,tk_FSEQ,0))="",""," → "&amp;INDEX(tk_ROOMT,MATCH(44,tk_FSEQ,0))),"")</f>
        <v/>
      </c>
      <c r="D49" s="70">
        <f>IFERROR(""&amp;INDEX(tk_SIZE,MATCH(44,tk_FSEQ,0)),"")</f>
        <v/>
      </c>
      <c r="E49" s="70">
        <f>IFERROR(""&amp;INDEX(tk_RATING,MATCH(44,tk_FSEQ,0)),"")</f>
        <v/>
      </c>
      <c r="F49" s="70">
        <f>IFERROR(TEXT(INDEX(tk_OAW,MATCH(44,tk_FSEQ,0)),"0.000")&amp;" x "&amp;TEXT(INDEX(tk_OAH,MATCH(44,tk_FSEQ,0)),"0.000"),"")</f>
        <v/>
      </c>
      <c r="G49" s="70">
        <f>IFERROR(""&amp;INDEX(tk_FLINE,MATCH(44,tk_FSEQ,0)),"")</f>
        <v/>
      </c>
      <c r="H49" s="70">
        <f>IFERROR(""&amp;INDEX(tk_FNOTES,MATCH(44,tk_FSEQ,0)),"")</f>
        <v/>
      </c>
    </row>
    <row r="50">
      <c r="A50" s="70">
        <f>IFERROR(""&amp;INDEX(tk_MARK,MATCH(45,tk_FSEQ,0)),"")</f>
        <v/>
      </c>
      <c r="B50" s="70">
        <f>IFERROR(INDEX(tk_QTY,MATCH(45,tk_FSEQ,0)),"")</f>
        <v/>
      </c>
      <c r="C50" s="70">
        <f>IFERROR(INDEX(tk_ROOMF,MATCH(45,tk_FSEQ,0))&amp;IF(INDEX(tk_ROOMT,MATCH(45,tk_FSEQ,0))="",""," → "&amp;INDEX(tk_ROOMT,MATCH(45,tk_FSEQ,0))),"")</f>
        <v/>
      </c>
      <c r="D50" s="70">
        <f>IFERROR(""&amp;INDEX(tk_SIZE,MATCH(45,tk_FSEQ,0)),"")</f>
        <v/>
      </c>
      <c r="E50" s="70">
        <f>IFERROR(""&amp;INDEX(tk_RATING,MATCH(45,tk_FSEQ,0)),"")</f>
        <v/>
      </c>
      <c r="F50" s="70">
        <f>IFERROR(TEXT(INDEX(tk_OAW,MATCH(45,tk_FSEQ,0)),"0.000")&amp;" x "&amp;TEXT(INDEX(tk_OAH,MATCH(45,tk_FSEQ,0)),"0.000"),"")</f>
        <v/>
      </c>
      <c r="G50" s="70">
        <f>IFERROR(""&amp;INDEX(tk_FLINE,MATCH(45,tk_FSEQ,0)),"")</f>
        <v/>
      </c>
      <c r="H50" s="70">
        <f>IFERROR(""&amp;INDEX(tk_FNOTES,MATCH(45,tk_FSEQ,0)),"")</f>
        <v/>
      </c>
    </row>
    <row r="51">
      <c r="A51" s="70">
        <f>IFERROR(""&amp;INDEX(tk_MARK,MATCH(46,tk_FSEQ,0)),"")</f>
        <v/>
      </c>
      <c r="B51" s="70">
        <f>IFERROR(INDEX(tk_QTY,MATCH(46,tk_FSEQ,0)),"")</f>
        <v/>
      </c>
      <c r="C51" s="70">
        <f>IFERROR(INDEX(tk_ROOMF,MATCH(46,tk_FSEQ,0))&amp;IF(INDEX(tk_ROOMT,MATCH(46,tk_FSEQ,0))="",""," → "&amp;INDEX(tk_ROOMT,MATCH(46,tk_FSEQ,0))),"")</f>
        <v/>
      </c>
      <c r="D51" s="70">
        <f>IFERROR(""&amp;INDEX(tk_SIZE,MATCH(46,tk_FSEQ,0)),"")</f>
        <v/>
      </c>
      <c r="E51" s="70">
        <f>IFERROR(""&amp;INDEX(tk_RATING,MATCH(46,tk_FSEQ,0)),"")</f>
        <v/>
      </c>
      <c r="F51" s="70">
        <f>IFERROR(TEXT(INDEX(tk_OAW,MATCH(46,tk_FSEQ,0)),"0.000")&amp;" x "&amp;TEXT(INDEX(tk_OAH,MATCH(46,tk_FSEQ,0)),"0.000"),"")</f>
        <v/>
      </c>
      <c r="G51" s="70">
        <f>IFERROR(""&amp;INDEX(tk_FLINE,MATCH(46,tk_FSEQ,0)),"")</f>
        <v/>
      </c>
      <c r="H51" s="70">
        <f>IFERROR(""&amp;INDEX(tk_FNOTES,MATCH(46,tk_FSEQ,0)),"")</f>
        <v/>
      </c>
    </row>
    <row r="52">
      <c r="A52" s="70">
        <f>IFERROR(""&amp;INDEX(tk_MARK,MATCH(47,tk_FSEQ,0)),"")</f>
        <v/>
      </c>
      <c r="B52" s="70">
        <f>IFERROR(INDEX(tk_QTY,MATCH(47,tk_FSEQ,0)),"")</f>
        <v/>
      </c>
      <c r="C52" s="70">
        <f>IFERROR(INDEX(tk_ROOMF,MATCH(47,tk_FSEQ,0))&amp;IF(INDEX(tk_ROOMT,MATCH(47,tk_FSEQ,0))="",""," → "&amp;INDEX(tk_ROOMT,MATCH(47,tk_FSEQ,0))),"")</f>
        <v/>
      </c>
      <c r="D52" s="70">
        <f>IFERROR(""&amp;INDEX(tk_SIZE,MATCH(47,tk_FSEQ,0)),"")</f>
        <v/>
      </c>
      <c r="E52" s="70">
        <f>IFERROR(""&amp;INDEX(tk_RATING,MATCH(47,tk_FSEQ,0)),"")</f>
        <v/>
      </c>
      <c r="F52" s="70">
        <f>IFERROR(TEXT(INDEX(tk_OAW,MATCH(47,tk_FSEQ,0)),"0.000")&amp;" x "&amp;TEXT(INDEX(tk_OAH,MATCH(47,tk_FSEQ,0)),"0.000"),"")</f>
        <v/>
      </c>
      <c r="G52" s="70">
        <f>IFERROR(""&amp;INDEX(tk_FLINE,MATCH(47,tk_FSEQ,0)),"")</f>
        <v/>
      </c>
      <c r="H52" s="70">
        <f>IFERROR(""&amp;INDEX(tk_FNOTES,MATCH(47,tk_FSEQ,0)),"")</f>
        <v/>
      </c>
    </row>
    <row r="53">
      <c r="A53" s="70">
        <f>IFERROR(""&amp;INDEX(tk_MARK,MATCH(48,tk_FSEQ,0)),"")</f>
        <v/>
      </c>
      <c r="B53" s="70">
        <f>IFERROR(INDEX(tk_QTY,MATCH(48,tk_FSEQ,0)),"")</f>
        <v/>
      </c>
      <c r="C53" s="70">
        <f>IFERROR(INDEX(tk_ROOMF,MATCH(48,tk_FSEQ,0))&amp;IF(INDEX(tk_ROOMT,MATCH(48,tk_FSEQ,0))="",""," → "&amp;INDEX(tk_ROOMT,MATCH(48,tk_FSEQ,0))),"")</f>
        <v/>
      </c>
      <c r="D53" s="70">
        <f>IFERROR(""&amp;INDEX(tk_SIZE,MATCH(48,tk_FSEQ,0)),"")</f>
        <v/>
      </c>
      <c r="E53" s="70">
        <f>IFERROR(""&amp;INDEX(tk_RATING,MATCH(48,tk_FSEQ,0)),"")</f>
        <v/>
      </c>
      <c r="F53" s="70">
        <f>IFERROR(TEXT(INDEX(tk_OAW,MATCH(48,tk_FSEQ,0)),"0.000")&amp;" x "&amp;TEXT(INDEX(tk_OAH,MATCH(48,tk_FSEQ,0)),"0.000"),"")</f>
        <v/>
      </c>
      <c r="G53" s="70">
        <f>IFERROR(""&amp;INDEX(tk_FLINE,MATCH(48,tk_FSEQ,0)),"")</f>
        <v/>
      </c>
      <c r="H53" s="70">
        <f>IFERROR(""&amp;INDEX(tk_FNOTES,MATCH(48,tk_FSEQ,0)),"")</f>
        <v/>
      </c>
    </row>
    <row r="54">
      <c r="A54" s="70">
        <f>IFERROR(""&amp;INDEX(tk_MARK,MATCH(49,tk_FSEQ,0)),"")</f>
        <v/>
      </c>
      <c r="B54" s="70">
        <f>IFERROR(INDEX(tk_QTY,MATCH(49,tk_FSEQ,0)),"")</f>
        <v/>
      </c>
      <c r="C54" s="70">
        <f>IFERROR(INDEX(tk_ROOMF,MATCH(49,tk_FSEQ,0))&amp;IF(INDEX(tk_ROOMT,MATCH(49,tk_FSEQ,0))="",""," → "&amp;INDEX(tk_ROOMT,MATCH(49,tk_FSEQ,0))),"")</f>
        <v/>
      </c>
      <c r="D54" s="70">
        <f>IFERROR(""&amp;INDEX(tk_SIZE,MATCH(49,tk_FSEQ,0)),"")</f>
        <v/>
      </c>
      <c r="E54" s="70">
        <f>IFERROR(""&amp;INDEX(tk_RATING,MATCH(49,tk_FSEQ,0)),"")</f>
        <v/>
      </c>
      <c r="F54" s="70">
        <f>IFERROR(TEXT(INDEX(tk_OAW,MATCH(49,tk_FSEQ,0)),"0.000")&amp;" x "&amp;TEXT(INDEX(tk_OAH,MATCH(49,tk_FSEQ,0)),"0.000"),"")</f>
        <v/>
      </c>
      <c r="G54" s="70">
        <f>IFERROR(""&amp;INDEX(tk_FLINE,MATCH(49,tk_FSEQ,0)),"")</f>
        <v/>
      </c>
      <c r="H54" s="70">
        <f>IFERROR(""&amp;INDEX(tk_FNOTES,MATCH(49,tk_FSEQ,0)),"")</f>
        <v/>
      </c>
    </row>
    <row r="55">
      <c r="A55" s="70">
        <f>IFERROR(""&amp;INDEX(tk_MARK,MATCH(50,tk_FSEQ,0)),"")</f>
        <v/>
      </c>
      <c r="B55" s="70">
        <f>IFERROR(INDEX(tk_QTY,MATCH(50,tk_FSEQ,0)),"")</f>
        <v/>
      </c>
      <c r="C55" s="70">
        <f>IFERROR(INDEX(tk_ROOMF,MATCH(50,tk_FSEQ,0))&amp;IF(INDEX(tk_ROOMT,MATCH(50,tk_FSEQ,0))="",""," → "&amp;INDEX(tk_ROOMT,MATCH(50,tk_FSEQ,0))),"")</f>
        <v/>
      </c>
      <c r="D55" s="70">
        <f>IFERROR(""&amp;INDEX(tk_SIZE,MATCH(50,tk_FSEQ,0)),"")</f>
        <v/>
      </c>
      <c r="E55" s="70">
        <f>IFERROR(""&amp;INDEX(tk_RATING,MATCH(50,tk_FSEQ,0)),"")</f>
        <v/>
      </c>
      <c r="F55" s="70">
        <f>IFERROR(TEXT(INDEX(tk_OAW,MATCH(50,tk_FSEQ,0)),"0.000")&amp;" x "&amp;TEXT(INDEX(tk_OAH,MATCH(50,tk_FSEQ,0)),"0.000"),"")</f>
        <v/>
      </c>
      <c r="G55" s="70">
        <f>IFERROR(""&amp;INDEX(tk_FLINE,MATCH(50,tk_FSEQ,0)),"")</f>
        <v/>
      </c>
      <c r="H55" s="70">
        <f>IFERROR(""&amp;INDEX(tk_FNOTES,MATCH(50,tk_FSEQ,0)),"")</f>
        <v/>
      </c>
    </row>
    <row r="56">
      <c r="A56" s="70">
        <f>IFERROR(""&amp;INDEX(tk_MARK,MATCH(51,tk_FSEQ,0)),"")</f>
        <v/>
      </c>
      <c r="B56" s="70">
        <f>IFERROR(INDEX(tk_QTY,MATCH(51,tk_FSEQ,0)),"")</f>
        <v/>
      </c>
      <c r="C56" s="70">
        <f>IFERROR(INDEX(tk_ROOMF,MATCH(51,tk_FSEQ,0))&amp;IF(INDEX(tk_ROOMT,MATCH(51,tk_FSEQ,0))="",""," → "&amp;INDEX(tk_ROOMT,MATCH(51,tk_FSEQ,0))),"")</f>
        <v/>
      </c>
      <c r="D56" s="70">
        <f>IFERROR(""&amp;INDEX(tk_SIZE,MATCH(51,tk_FSEQ,0)),"")</f>
        <v/>
      </c>
      <c r="E56" s="70">
        <f>IFERROR(""&amp;INDEX(tk_RATING,MATCH(51,tk_FSEQ,0)),"")</f>
        <v/>
      </c>
      <c r="F56" s="70">
        <f>IFERROR(TEXT(INDEX(tk_OAW,MATCH(51,tk_FSEQ,0)),"0.000")&amp;" x "&amp;TEXT(INDEX(tk_OAH,MATCH(51,tk_FSEQ,0)),"0.000"),"")</f>
        <v/>
      </c>
      <c r="G56" s="70">
        <f>IFERROR(""&amp;INDEX(tk_FLINE,MATCH(51,tk_FSEQ,0)),"")</f>
        <v/>
      </c>
      <c r="H56" s="70">
        <f>IFERROR(""&amp;INDEX(tk_FNOTES,MATCH(51,tk_FSEQ,0)),"")</f>
        <v/>
      </c>
    </row>
    <row r="57">
      <c r="A57" s="70">
        <f>IFERROR(""&amp;INDEX(tk_MARK,MATCH(52,tk_FSEQ,0)),"")</f>
        <v/>
      </c>
      <c r="B57" s="70">
        <f>IFERROR(INDEX(tk_QTY,MATCH(52,tk_FSEQ,0)),"")</f>
        <v/>
      </c>
      <c r="C57" s="70">
        <f>IFERROR(INDEX(tk_ROOMF,MATCH(52,tk_FSEQ,0))&amp;IF(INDEX(tk_ROOMT,MATCH(52,tk_FSEQ,0))="",""," → "&amp;INDEX(tk_ROOMT,MATCH(52,tk_FSEQ,0))),"")</f>
        <v/>
      </c>
      <c r="D57" s="70">
        <f>IFERROR(""&amp;INDEX(tk_SIZE,MATCH(52,tk_FSEQ,0)),"")</f>
        <v/>
      </c>
      <c r="E57" s="70">
        <f>IFERROR(""&amp;INDEX(tk_RATING,MATCH(52,tk_FSEQ,0)),"")</f>
        <v/>
      </c>
      <c r="F57" s="70">
        <f>IFERROR(TEXT(INDEX(tk_OAW,MATCH(52,tk_FSEQ,0)),"0.000")&amp;" x "&amp;TEXT(INDEX(tk_OAH,MATCH(52,tk_FSEQ,0)),"0.000"),"")</f>
        <v/>
      </c>
      <c r="G57" s="70">
        <f>IFERROR(""&amp;INDEX(tk_FLINE,MATCH(52,tk_FSEQ,0)),"")</f>
        <v/>
      </c>
      <c r="H57" s="70">
        <f>IFERROR(""&amp;INDEX(tk_FNOTES,MATCH(52,tk_FSEQ,0)),"")</f>
        <v/>
      </c>
    </row>
    <row r="58">
      <c r="A58" s="70">
        <f>IFERROR(""&amp;INDEX(tk_MARK,MATCH(53,tk_FSEQ,0)),"")</f>
        <v/>
      </c>
      <c r="B58" s="70">
        <f>IFERROR(INDEX(tk_QTY,MATCH(53,tk_FSEQ,0)),"")</f>
        <v/>
      </c>
      <c r="C58" s="70">
        <f>IFERROR(INDEX(tk_ROOMF,MATCH(53,tk_FSEQ,0))&amp;IF(INDEX(tk_ROOMT,MATCH(53,tk_FSEQ,0))="",""," → "&amp;INDEX(tk_ROOMT,MATCH(53,tk_FSEQ,0))),"")</f>
        <v/>
      </c>
      <c r="D58" s="70">
        <f>IFERROR(""&amp;INDEX(tk_SIZE,MATCH(53,tk_FSEQ,0)),"")</f>
        <v/>
      </c>
      <c r="E58" s="70">
        <f>IFERROR(""&amp;INDEX(tk_RATING,MATCH(53,tk_FSEQ,0)),"")</f>
        <v/>
      </c>
      <c r="F58" s="70">
        <f>IFERROR(TEXT(INDEX(tk_OAW,MATCH(53,tk_FSEQ,0)),"0.000")&amp;" x "&amp;TEXT(INDEX(tk_OAH,MATCH(53,tk_FSEQ,0)),"0.000"),"")</f>
        <v/>
      </c>
      <c r="G58" s="70">
        <f>IFERROR(""&amp;INDEX(tk_FLINE,MATCH(53,tk_FSEQ,0)),"")</f>
        <v/>
      </c>
      <c r="H58" s="70">
        <f>IFERROR(""&amp;INDEX(tk_FNOTES,MATCH(53,tk_FSEQ,0)),"")</f>
        <v/>
      </c>
    </row>
    <row r="59">
      <c r="A59" s="70">
        <f>IFERROR(""&amp;INDEX(tk_MARK,MATCH(54,tk_FSEQ,0)),"")</f>
        <v/>
      </c>
      <c r="B59" s="70">
        <f>IFERROR(INDEX(tk_QTY,MATCH(54,tk_FSEQ,0)),"")</f>
        <v/>
      </c>
      <c r="C59" s="70">
        <f>IFERROR(INDEX(tk_ROOMF,MATCH(54,tk_FSEQ,0))&amp;IF(INDEX(tk_ROOMT,MATCH(54,tk_FSEQ,0))="",""," → "&amp;INDEX(tk_ROOMT,MATCH(54,tk_FSEQ,0))),"")</f>
        <v/>
      </c>
      <c r="D59" s="70">
        <f>IFERROR(""&amp;INDEX(tk_SIZE,MATCH(54,tk_FSEQ,0)),"")</f>
        <v/>
      </c>
      <c r="E59" s="70">
        <f>IFERROR(""&amp;INDEX(tk_RATING,MATCH(54,tk_FSEQ,0)),"")</f>
        <v/>
      </c>
      <c r="F59" s="70">
        <f>IFERROR(TEXT(INDEX(tk_OAW,MATCH(54,tk_FSEQ,0)),"0.000")&amp;" x "&amp;TEXT(INDEX(tk_OAH,MATCH(54,tk_FSEQ,0)),"0.000"),"")</f>
        <v/>
      </c>
      <c r="G59" s="70">
        <f>IFERROR(""&amp;INDEX(tk_FLINE,MATCH(54,tk_FSEQ,0)),"")</f>
        <v/>
      </c>
      <c r="H59" s="70">
        <f>IFERROR(""&amp;INDEX(tk_FNOTES,MATCH(54,tk_FSEQ,0)),"")</f>
        <v/>
      </c>
    </row>
    <row r="60">
      <c r="A60" s="70">
        <f>IFERROR(""&amp;INDEX(tk_MARK,MATCH(55,tk_FSEQ,0)),"")</f>
        <v/>
      </c>
      <c r="B60" s="70">
        <f>IFERROR(INDEX(tk_QTY,MATCH(55,tk_FSEQ,0)),"")</f>
        <v/>
      </c>
      <c r="C60" s="70">
        <f>IFERROR(INDEX(tk_ROOMF,MATCH(55,tk_FSEQ,0))&amp;IF(INDEX(tk_ROOMT,MATCH(55,tk_FSEQ,0))="",""," → "&amp;INDEX(tk_ROOMT,MATCH(55,tk_FSEQ,0))),"")</f>
        <v/>
      </c>
      <c r="D60" s="70">
        <f>IFERROR(""&amp;INDEX(tk_SIZE,MATCH(55,tk_FSEQ,0)),"")</f>
        <v/>
      </c>
      <c r="E60" s="70">
        <f>IFERROR(""&amp;INDEX(tk_RATING,MATCH(55,tk_FSEQ,0)),"")</f>
        <v/>
      </c>
      <c r="F60" s="70">
        <f>IFERROR(TEXT(INDEX(tk_OAW,MATCH(55,tk_FSEQ,0)),"0.000")&amp;" x "&amp;TEXT(INDEX(tk_OAH,MATCH(55,tk_FSEQ,0)),"0.000"),"")</f>
        <v/>
      </c>
      <c r="G60" s="70">
        <f>IFERROR(""&amp;INDEX(tk_FLINE,MATCH(55,tk_FSEQ,0)),"")</f>
        <v/>
      </c>
      <c r="H60" s="70">
        <f>IFERROR(""&amp;INDEX(tk_FNOTES,MATCH(55,tk_FSEQ,0)),"")</f>
        <v/>
      </c>
    </row>
    <row r="61">
      <c r="A61" s="70">
        <f>IFERROR(""&amp;INDEX(tk_MARK,MATCH(56,tk_FSEQ,0)),"")</f>
        <v/>
      </c>
      <c r="B61" s="70">
        <f>IFERROR(INDEX(tk_QTY,MATCH(56,tk_FSEQ,0)),"")</f>
        <v/>
      </c>
      <c r="C61" s="70">
        <f>IFERROR(INDEX(tk_ROOMF,MATCH(56,tk_FSEQ,0))&amp;IF(INDEX(tk_ROOMT,MATCH(56,tk_FSEQ,0))="",""," → "&amp;INDEX(tk_ROOMT,MATCH(56,tk_FSEQ,0))),"")</f>
        <v/>
      </c>
      <c r="D61" s="70">
        <f>IFERROR(""&amp;INDEX(tk_SIZE,MATCH(56,tk_FSEQ,0)),"")</f>
        <v/>
      </c>
      <c r="E61" s="70">
        <f>IFERROR(""&amp;INDEX(tk_RATING,MATCH(56,tk_FSEQ,0)),"")</f>
        <v/>
      </c>
      <c r="F61" s="70">
        <f>IFERROR(TEXT(INDEX(tk_OAW,MATCH(56,tk_FSEQ,0)),"0.000")&amp;" x "&amp;TEXT(INDEX(tk_OAH,MATCH(56,tk_FSEQ,0)),"0.000"),"")</f>
        <v/>
      </c>
      <c r="G61" s="70">
        <f>IFERROR(""&amp;INDEX(tk_FLINE,MATCH(56,tk_FSEQ,0)),"")</f>
        <v/>
      </c>
      <c r="H61" s="70">
        <f>IFERROR(""&amp;INDEX(tk_FNOTES,MATCH(56,tk_FSEQ,0)),"")</f>
        <v/>
      </c>
    </row>
    <row r="62">
      <c r="A62" s="70">
        <f>IFERROR(""&amp;INDEX(tk_MARK,MATCH(57,tk_FSEQ,0)),"")</f>
        <v/>
      </c>
      <c r="B62" s="70">
        <f>IFERROR(INDEX(tk_QTY,MATCH(57,tk_FSEQ,0)),"")</f>
        <v/>
      </c>
      <c r="C62" s="70">
        <f>IFERROR(INDEX(tk_ROOMF,MATCH(57,tk_FSEQ,0))&amp;IF(INDEX(tk_ROOMT,MATCH(57,tk_FSEQ,0))="",""," → "&amp;INDEX(tk_ROOMT,MATCH(57,tk_FSEQ,0))),"")</f>
        <v/>
      </c>
      <c r="D62" s="70">
        <f>IFERROR(""&amp;INDEX(tk_SIZE,MATCH(57,tk_FSEQ,0)),"")</f>
        <v/>
      </c>
      <c r="E62" s="70">
        <f>IFERROR(""&amp;INDEX(tk_RATING,MATCH(57,tk_FSEQ,0)),"")</f>
        <v/>
      </c>
      <c r="F62" s="70">
        <f>IFERROR(TEXT(INDEX(tk_OAW,MATCH(57,tk_FSEQ,0)),"0.000")&amp;" x "&amp;TEXT(INDEX(tk_OAH,MATCH(57,tk_FSEQ,0)),"0.000"),"")</f>
        <v/>
      </c>
      <c r="G62" s="70">
        <f>IFERROR(""&amp;INDEX(tk_FLINE,MATCH(57,tk_FSEQ,0)),"")</f>
        <v/>
      </c>
      <c r="H62" s="70">
        <f>IFERROR(""&amp;INDEX(tk_FNOTES,MATCH(57,tk_FSEQ,0)),"")</f>
        <v/>
      </c>
    </row>
    <row r="63">
      <c r="A63" s="70">
        <f>IFERROR(""&amp;INDEX(tk_MARK,MATCH(58,tk_FSEQ,0)),"")</f>
        <v/>
      </c>
      <c r="B63" s="70">
        <f>IFERROR(INDEX(tk_QTY,MATCH(58,tk_FSEQ,0)),"")</f>
        <v/>
      </c>
      <c r="C63" s="70">
        <f>IFERROR(INDEX(tk_ROOMF,MATCH(58,tk_FSEQ,0))&amp;IF(INDEX(tk_ROOMT,MATCH(58,tk_FSEQ,0))="",""," → "&amp;INDEX(tk_ROOMT,MATCH(58,tk_FSEQ,0))),"")</f>
        <v/>
      </c>
      <c r="D63" s="70">
        <f>IFERROR(""&amp;INDEX(tk_SIZE,MATCH(58,tk_FSEQ,0)),"")</f>
        <v/>
      </c>
      <c r="E63" s="70">
        <f>IFERROR(""&amp;INDEX(tk_RATING,MATCH(58,tk_FSEQ,0)),"")</f>
        <v/>
      </c>
      <c r="F63" s="70">
        <f>IFERROR(TEXT(INDEX(tk_OAW,MATCH(58,tk_FSEQ,0)),"0.000")&amp;" x "&amp;TEXT(INDEX(tk_OAH,MATCH(58,tk_FSEQ,0)),"0.000"),"")</f>
        <v/>
      </c>
      <c r="G63" s="70">
        <f>IFERROR(""&amp;INDEX(tk_FLINE,MATCH(58,tk_FSEQ,0)),"")</f>
        <v/>
      </c>
      <c r="H63" s="70">
        <f>IFERROR(""&amp;INDEX(tk_FNOTES,MATCH(58,tk_FSEQ,0)),"")</f>
        <v/>
      </c>
    </row>
    <row r="64">
      <c r="A64" s="70">
        <f>IFERROR(""&amp;INDEX(tk_MARK,MATCH(59,tk_FSEQ,0)),"")</f>
        <v/>
      </c>
      <c r="B64" s="70">
        <f>IFERROR(INDEX(tk_QTY,MATCH(59,tk_FSEQ,0)),"")</f>
        <v/>
      </c>
      <c r="C64" s="70">
        <f>IFERROR(INDEX(tk_ROOMF,MATCH(59,tk_FSEQ,0))&amp;IF(INDEX(tk_ROOMT,MATCH(59,tk_FSEQ,0))="",""," → "&amp;INDEX(tk_ROOMT,MATCH(59,tk_FSEQ,0))),"")</f>
        <v/>
      </c>
      <c r="D64" s="70">
        <f>IFERROR(""&amp;INDEX(tk_SIZE,MATCH(59,tk_FSEQ,0)),"")</f>
        <v/>
      </c>
      <c r="E64" s="70">
        <f>IFERROR(""&amp;INDEX(tk_RATING,MATCH(59,tk_FSEQ,0)),"")</f>
        <v/>
      </c>
      <c r="F64" s="70">
        <f>IFERROR(TEXT(INDEX(tk_OAW,MATCH(59,tk_FSEQ,0)),"0.000")&amp;" x "&amp;TEXT(INDEX(tk_OAH,MATCH(59,tk_FSEQ,0)),"0.000"),"")</f>
        <v/>
      </c>
      <c r="G64" s="70">
        <f>IFERROR(""&amp;INDEX(tk_FLINE,MATCH(59,tk_FSEQ,0)),"")</f>
        <v/>
      </c>
      <c r="H64" s="70">
        <f>IFERROR(""&amp;INDEX(tk_FNOTES,MATCH(59,tk_FSEQ,0)),"")</f>
        <v/>
      </c>
    </row>
    <row r="65">
      <c r="A65" s="70">
        <f>IFERROR(""&amp;INDEX(tk_MARK,MATCH(60,tk_FSEQ,0)),"")</f>
        <v/>
      </c>
      <c r="B65" s="70">
        <f>IFERROR(INDEX(tk_QTY,MATCH(60,tk_FSEQ,0)),"")</f>
        <v/>
      </c>
      <c r="C65" s="70">
        <f>IFERROR(INDEX(tk_ROOMF,MATCH(60,tk_FSEQ,0))&amp;IF(INDEX(tk_ROOMT,MATCH(60,tk_FSEQ,0))="",""," → "&amp;INDEX(tk_ROOMT,MATCH(60,tk_FSEQ,0))),"")</f>
        <v/>
      </c>
      <c r="D65" s="70">
        <f>IFERROR(""&amp;INDEX(tk_SIZE,MATCH(60,tk_FSEQ,0)),"")</f>
        <v/>
      </c>
      <c r="E65" s="70">
        <f>IFERROR(""&amp;INDEX(tk_RATING,MATCH(60,tk_FSEQ,0)),"")</f>
        <v/>
      </c>
      <c r="F65" s="70">
        <f>IFERROR(TEXT(INDEX(tk_OAW,MATCH(60,tk_FSEQ,0)),"0.000")&amp;" x "&amp;TEXT(INDEX(tk_OAH,MATCH(60,tk_FSEQ,0)),"0.000"),"")</f>
        <v/>
      </c>
      <c r="G65" s="70">
        <f>IFERROR(""&amp;INDEX(tk_FLINE,MATCH(60,tk_FSEQ,0)),"")</f>
        <v/>
      </c>
      <c r="H65" s="70">
        <f>IFERROR(""&amp;INDEX(tk_FNOTES,MATCH(60,tk_FSEQ,0)),"")</f>
        <v/>
      </c>
    </row>
    <row r="66">
      <c r="A66" s="70">
        <f>IFERROR(""&amp;INDEX(tk_MARK,MATCH(61,tk_FSEQ,0)),"")</f>
        <v/>
      </c>
      <c r="B66" s="70">
        <f>IFERROR(INDEX(tk_QTY,MATCH(61,tk_FSEQ,0)),"")</f>
        <v/>
      </c>
      <c r="C66" s="70">
        <f>IFERROR(INDEX(tk_ROOMF,MATCH(61,tk_FSEQ,0))&amp;IF(INDEX(tk_ROOMT,MATCH(61,tk_FSEQ,0))="",""," → "&amp;INDEX(tk_ROOMT,MATCH(61,tk_FSEQ,0))),"")</f>
        <v/>
      </c>
      <c r="D66" s="70">
        <f>IFERROR(""&amp;INDEX(tk_SIZE,MATCH(61,tk_FSEQ,0)),"")</f>
        <v/>
      </c>
      <c r="E66" s="70">
        <f>IFERROR(""&amp;INDEX(tk_RATING,MATCH(61,tk_FSEQ,0)),"")</f>
        <v/>
      </c>
      <c r="F66" s="70">
        <f>IFERROR(TEXT(INDEX(tk_OAW,MATCH(61,tk_FSEQ,0)),"0.000")&amp;" x "&amp;TEXT(INDEX(tk_OAH,MATCH(61,tk_FSEQ,0)),"0.000"),"")</f>
        <v/>
      </c>
      <c r="G66" s="70">
        <f>IFERROR(""&amp;INDEX(tk_FLINE,MATCH(61,tk_FSEQ,0)),"")</f>
        <v/>
      </c>
      <c r="H66" s="70">
        <f>IFERROR(""&amp;INDEX(tk_FNOTES,MATCH(61,tk_FSEQ,0)),"")</f>
        <v/>
      </c>
    </row>
    <row r="67">
      <c r="A67" s="70">
        <f>IFERROR(""&amp;INDEX(tk_MARK,MATCH(62,tk_FSEQ,0)),"")</f>
        <v/>
      </c>
      <c r="B67" s="70">
        <f>IFERROR(INDEX(tk_QTY,MATCH(62,tk_FSEQ,0)),"")</f>
        <v/>
      </c>
      <c r="C67" s="70">
        <f>IFERROR(INDEX(tk_ROOMF,MATCH(62,tk_FSEQ,0))&amp;IF(INDEX(tk_ROOMT,MATCH(62,tk_FSEQ,0))="",""," → "&amp;INDEX(tk_ROOMT,MATCH(62,tk_FSEQ,0))),"")</f>
        <v/>
      </c>
      <c r="D67" s="70">
        <f>IFERROR(""&amp;INDEX(tk_SIZE,MATCH(62,tk_FSEQ,0)),"")</f>
        <v/>
      </c>
      <c r="E67" s="70">
        <f>IFERROR(""&amp;INDEX(tk_RATING,MATCH(62,tk_FSEQ,0)),"")</f>
        <v/>
      </c>
      <c r="F67" s="70">
        <f>IFERROR(TEXT(INDEX(tk_OAW,MATCH(62,tk_FSEQ,0)),"0.000")&amp;" x "&amp;TEXT(INDEX(tk_OAH,MATCH(62,tk_FSEQ,0)),"0.000"),"")</f>
        <v/>
      </c>
      <c r="G67" s="70">
        <f>IFERROR(""&amp;INDEX(tk_FLINE,MATCH(62,tk_FSEQ,0)),"")</f>
        <v/>
      </c>
      <c r="H67" s="70">
        <f>IFERROR(""&amp;INDEX(tk_FNOTES,MATCH(62,tk_FSEQ,0)),"")</f>
        <v/>
      </c>
    </row>
    <row r="68">
      <c r="A68" s="70">
        <f>IFERROR(""&amp;INDEX(tk_MARK,MATCH(63,tk_FSEQ,0)),"")</f>
        <v/>
      </c>
      <c r="B68" s="70">
        <f>IFERROR(INDEX(tk_QTY,MATCH(63,tk_FSEQ,0)),"")</f>
        <v/>
      </c>
      <c r="C68" s="70">
        <f>IFERROR(INDEX(tk_ROOMF,MATCH(63,tk_FSEQ,0))&amp;IF(INDEX(tk_ROOMT,MATCH(63,tk_FSEQ,0))="",""," → "&amp;INDEX(tk_ROOMT,MATCH(63,tk_FSEQ,0))),"")</f>
        <v/>
      </c>
      <c r="D68" s="70">
        <f>IFERROR(""&amp;INDEX(tk_SIZE,MATCH(63,tk_FSEQ,0)),"")</f>
        <v/>
      </c>
      <c r="E68" s="70">
        <f>IFERROR(""&amp;INDEX(tk_RATING,MATCH(63,tk_FSEQ,0)),"")</f>
        <v/>
      </c>
      <c r="F68" s="70">
        <f>IFERROR(TEXT(INDEX(tk_OAW,MATCH(63,tk_FSEQ,0)),"0.000")&amp;" x "&amp;TEXT(INDEX(tk_OAH,MATCH(63,tk_FSEQ,0)),"0.000"),"")</f>
        <v/>
      </c>
      <c r="G68" s="70">
        <f>IFERROR(""&amp;INDEX(tk_FLINE,MATCH(63,tk_FSEQ,0)),"")</f>
        <v/>
      </c>
      <c r="H68" s="70">
        <f>IFERROR(""&amp;INDEX(tk_FNOTES,MATCH(63,tk_FSEQ,0)),"")</f>
        <v/>
      </c>
    </row>
    <row r="69">
      <c r="A69" s="70">
        <f>IFERROR(""&amp;INDEX(tk_MARK,MATCH(64,tk_FSEQ,0)),"")</f>
        <v/>
      </c>
      <c r="B69" s="70">
        <f>IFERROR(INDEX(tk_QTY,MATCH(64,tk_FSEQ,0)),"")</f>
        <v/>
      </c>
      <c r="C69" s="70">
        <f>IFERROR(INDEX(tk_ROOMF,MATCH(64,tk_FSEQ,0))&amp;IF(INDEX(tk_ROOMT,MATCH(64,tk_FSEQ,0))="",""," → "&amp;INDEX(tk_ROOMT,MATCH(64,tk_FSEQ,0))),"")</f>
        <v/>
      </c>
      <c r="D69" s="70">
        <f>IFERROR(""&amp;INDEX(tk_SIZE,MATCH(64,tk_FSEQ,0)),"")</f>
        <v/>
      </c>
      <c r="E69" s="70">
        <f>IFERROR(""&amp;INDEX(tk_RATING,MATCH(64,tk_FSEQ,0)),"")</f>
        <v/>
      </c>
      <c r="F69" s="70">
        <f>IFERROR(TEXT(INDEX(tk_OAW,MATCH(64,tk_FSEQ,0)),"0.000")&amp;" x "&amp;TEXT(INDEX(tk_OAH,MATCH(64,tk_FSEQ,0)),"0.000"),"")</f>
        <v/>
      </c>
      <c r="G69" s="70">
        <f>IFERROR(""&amp;INDEX(tk_FLINE,MATCH(64,tk_FSEQ,0)),"")</f>
        <v/>
      </c>
      <c r="H69" s="70">
        <f>IFERROR(""&amp;INDEX(tk_FNOTES,MATCH(64,tk_FSEQ,0)),"")</f>
        <v/>
      </c>
    </row>
    <row r="70">
      <c r="A70" s="70">
        <f>IFERROR(""&amp;INDEX(tk_MARK,MATCH(65,tk_FSEQ,0)),"")</f>
        <v/>
      </c>
      <c r="B70" s="70">
        <f>IFERROR(INDEX(tk_QTY,MATCH(65,tk_FSEQ,0)),"")</f>
        <v/>
      </c>
      <c r="C70" s="70">
        <f>IFERROR(INDEX(tk_ROOMF,MATCH(65,tk_FSEQ,0))&amp;IF(INDEX(tk_ROOMT,MATCH(65,tk_FSEQ,0))="",""," → "&amp;INDEX(tk_ROOMT,MATCH(65,tk_FSEQ,0))),"")</f>
        <v/>
      </c>
      <c r="D70" s="70">
        <f>IFERROR(""&amp;INDEX(tk_SIZE,MATCH(65,tk_FSEQ,0)),"")</f>
        <v/>
      </c>
      <c r="E70" s="70">
        <f>IFERROR(""&amp;INDEX(tk_RATING,MATCH(65,tk_FSEQ,0)),"")</f>
        <v/>
      </c>
      <c r="F70" s="70">
        <f>IFERROR(TEXT(INDEX(tk_OAW,MATCH(65,tk_FSEQ,0)),"0.000")&amp;" x "&amp;TEXT(INDEX(tk_OAH,MATCH(65,tk_FSEQ,0)),"0.000"),"")</f>
        <v/>
      </c>
      <c r="G70" s="70">
        <f>IFERROR(""&amp;INDEX(tk_FLINE,MATCH(65,tk_FSEQ,0)),"")</f>
        <v/>
      </c>
      <c r="H70" s="70">
        <f>IFERROR(""&amp;INDEX(tk_FNOTES,MATCH(65,tk_FSEQ,0)),"")</f>
        <v/>
      </c>
    </row>
    <row r="71">
      <c r="A71" s="70">
        <f>IFERROR(""&amp;INDEX(tk_MARK,MATCH(66,tk_FSEQ,0)),"")</f>
        <v/>
      </c>
      <c r="B71" s="70">
        <f>IFERROR(INDEX(tk_QTY,MATCH(66,tk_FSEQ,0)),"")</f>
        <v/>
      </c>
      <c r="C71" s="70">
        <f>IFERROR(INDEX(tk_ROOMF,MATCH(66,tk_FSEQ,0))&amp;IF(INDEX(tk_ROOMT,MATCH(66,tk_FSEQ,0))="",""," → "&amp;INDEX(tk_ROOMT,MATCH(66,tk_FSEQ,0))),"")</f>
        <v/>
      </c>
      <c r="D71" s="70">
        <f>IFERROR(""&amp;INDEX(tk_SIZE,MATCH(66,tk_FSEQ,0)),"")</f>
        <v/>
      </c>
      <c r="E71" s="70">
        <f>IFERROR(""&amp;INDEX(tk_RATING,MATCH(66,tk_FSEQ,0)),"")</f>
        <v/>
      </c>
      <c r="F71" s="70">
        <f>IFERROR(TEXT(INDEX(tk_OAW,MATCH(66,tk_FSEQ,0)),"0.000")&amp;" x "&amp;TEXT(INDEX(tk_OAH,MATCH(66,tk_FSEQ,0)),"0.000"),"")</f>
        <v/>
      </c>
      <c r="G71" s="70">
        <f>IFERROR(""&amp;INDEX(tk_FLINE,MATCH(66,tk_FSEQ,0)),"")</f>
        <v/>
      </c>
      <c r="H71" s="70">
        <f>IFERROR(""&amp;INDEX(tk_FNOTES,MATCH(66,tk_FSEQ,0)),"")</f>
        <v/>
      </c>
    </row>
    <row r="72">
      <c r="A72" s="70">
        <f>IFERROR(""&amp;INDEX(tk_MARK,MATCH(67,tk_FSEQ,0)),"")</f>
        <v/>
      </c>
      <c r="B72" s="70">
        <f>IFERROR(INDEX(tk_QTY,MATCH(67,tk_FSEQ,0)),"")</f>
        <v/>
      </c>
      <c r="C72" s="70">
        <f>IFERROR(INDEX(tk_ROOMF,MATCH(67,tk_FSEQ,0))&amp;IF(INDEX(tk_ROOMT,MATCH(67,tk_FSEQ,0))="",""," → "&amp;INDEX(tk_ROOMT,MATCH(67,tk_FSEQ,0))),"")</f>
        <v/>
      </c>
      <c r="D72" s="70">
        <f>IFERROR(""&amp;INDEX(tk_SIZE,MATCH(67,tk_FSEQ,0)),"")</f>
        <v/>
      </c>
      <c r="E72" s="70">
        <f>IFERROR(""&amp;INDEX(tk_RATING,MATCH(67,tk_FSEQ,0)),"")</f>
        <v/>
      </c>
      <c r="F72" s="70">
        <f>IFERROR(TEXT(INDEX(tk_OAW,MATCH(67,tk_FSEQ,0)),"0.000")&amp;" x "&amp;TEXT(INDEX(tk_OAH,MATCH(67,tk_FSEQ,0)),"0.000"),"")</f>
        <v/>
      </c>
      <c r="G72" s="70">
        <f>IFERROR(""&amp;INDEX(tk_FLINE,MATCH(67,tk_FSEQ,0)),"")</f>
        <v/>
      </c>
      <c r="H72" s="70">
        <f>IFERROR(""&amp;INDEX(tk_FNOTES,MATCH(67,tk_FSEQ,0)),"")</f>
        <v/>
      </c>
    </row>
    <row r="73">
      <c r="A73" s="70">
        <f>IFERROR(""&amp;INDEX(tk_MARK,MATCH(68,tk_FSEQ,0)),"")</f>
        <v/>
      </c>
      <c r="B73" s="70">
        <f>IFERROR(INDEX(tk_QTY,MATCH(68,tk_FSEQ,0)),"")</f>
        <v/>
      </c>
      <c r="C73" s="70">
        <f>IFERROR(INDEX(tk_ROOMF,MATCH(68,tk_FSEQ,0))&amp;IF(INDEX(tk_ROOMT,MATCH(68,tk_FSEQ,0))="",""," → "&amp;INDEX(tk_ROOMT,MATCH(68,tk_FSEQ,0))),"")</f>
        <v/>
      </c>
      <c r="D73" s="70">
        <f>IFERROR(""&amp;INDEX(tk_SIZE,MATCH(68,tk_FSEQ,0)),"")</f>
        <v/>
      </c>
      <c r="E73" s="70">
        <f>IFERROR(""&amp;INDEX(tk_RATING,MATCH(68,tk_FSEQ,0)),"")</f>
        <v/>
      </c>
      <c r="F73" s="70">
        <f>IFERROR(TEXT(INDEX(tk_OAW,MATCH(68,tk_FSEQ,0)),"0.000")&amp;" x "&amp;TEXT(INDEX(tk_OAH,MATCH(68,tk_FSEQ,0)),"0.000"),"")</f>
        <v/>
      </c>
      <c r="G73" s="70">
        <f>IFERROR(""&amp;INDEX(tk_FLINE,MATCH(68,tk_FSEQ,0)),"")</f>
        <v/>
      </c>
      <c r="H73" s="70">
        <f>IFERROR(""&amp;INDEX(tk_FNOTES,MATCH(68,tk_FSEQ,0)),"")</f>
        <v/>
      </c>
    </row>
    <row r="74">
      <c r="A74" s="70">
        <f>IFERROR(""&amp;INDEX(tk_MARK,MATCH(69,tk_FSEQ,0)),"")</f>
        <v/>
      </c>
      <c r="B74" s="70">
        <f>IFERROR(INDEX(tk_QTY,MATCH(69,tk_FSEQ,0)),"")</f>
        <v/>
      </c>
      <c r="C74" s="70">
        <f>IFERROR(INDEX(tk_ROOMF,MATCH(69,tk_FSEQ,0))&amp;IF(INDEX(tk_ROOMT,MATCH(69,tk_FSEQ,0))="",""," → "&amp;INDEX(tk_ROOMT,MATCH(69,tk_FSEQ,0))),"")</f>
        <v/>
      </c>
      <c r="D74" s="70">
        <f>IFERROR(""&amp;INDEX(tk_SIZE,MATCH(69,tk_FSEQ,0)),"")</f>
        <v/>
      </c>
      <c r="E74" s="70">
        <f>IFERROR(""&amp;INDEX(tk_RATING,MATCH(69,tk_FSEQ,0)),"")</f>
        <v/>
      </c>
      <c r="F74" s="70">
        <f>IFERROR(TEXT(INDEX(tk_OAW,MATCH(69,tk_FSEQ,0)),"0.000")&amp;" x "&amp;TEXT(INDEX(tk_OAH,MATCH(69,tk_FSEQ,0)),"0.000"),"")</f>
        <v/>
      </c>
      <c r="G74" s="70">
        <f>IFERROR(""&amp;INDEX(tk_FLINE,MATCH(69,tk_FSEQ,0)),"")</f>
        <v/>
      </c>
      <c r="H74" s="70">
        <f>IFERROR(""&amp;INDEX(tk_FNOTES,MATCH(69,tk_FSEQ,0)),"")</f>
        <v/>
      </c>
    </row>
    <row r="75">
      <c r="A75" s="70">
        <f>IFERROR(""&amp;INDEX(tk_MARK,MATCH(70,tk_FSEQ,0)),"")</f>
        <v/>
      </c>
      <c r="B75" s="70">
        <f>IFERROR(INDEX(tk_QTY,MATCH(70,tk_FSEQ,0)),"")</f>
        <v/>
      </c>
      <c r="C75" s="70">
        <f>IFERROR(INDEX(tk_ROOMF,MATCH(70,tk_FSEQ,0))&amp;IF(INDEX(tk_ROOMT,MATCH(70,tk_FSEQ,0))="",""," → "&amp;INDEX(tk_ROOMT,MATCH(70,tk_FSEQ,0))),"")</f>
        <v/>
      </c>
      <c r="D75" s="70">
        <f>IFERROR(""&amp;INDEX(tk_SIZE,MATCH(70,tk_FSEQ,0)),"")</f>
        <v/>
      </c>
      <c r="E75" s="70">
        <f>IFERROR(""&amp;INDEX(tk_RATING,MATCH(70,tk_FSEQ,0)),"")</f>
        <v/>
      </c>
      <c r="F75" s="70">
        <f>IFERROR(TEXT(INDEX(tk_OAW,MATCH(70,tk_FSEQ,0)),"0.000")&amp;" x "&amp;TEXT(INDEX(tk_OAH,MATCH(70,tk_FSEQ,0)),"0.000"),"")</f>
        <v/>
      </c>
      <c r="G75" s="70">
        <f>IFERROR(""&amp;INDEX(tk_FLINE,MATCH(70,tk_FSEQ,0)),"")</f>
        <v/>
      </c>
      <c r="H75" s="70">
        <f>IFERROR(""&amp;INDEX(tk_FNOTES,MATCH(70,tk_FSEQ,0)),"")</f>
        <v/>
      </c>
    </row>
    <row r="76">
      <c r="A76" s="70">
        <f>IFERROR(""&amp;INDEX(tk_MARK,MATCH(71,tk_FSEQ,0)),"")</f>
        <v/>
      </c>
      <c r="B76" s="70">
        <f>IFERROR(INDEX(tk_QTY,MATCH(71,tk_FSEQ,0)),"")</f>
        <v/>
      </c>
      <c r="C76" s="70">
        <f>IFERROR(INDEX(tk_ROOMF,MATCH(71,tk_FSEQ,0))&amp;IF(INDEX(tk_ROOMT,MATCH(71,tk_FSEQ,0))="",""," → "&amp;INDEX(tk_ROOMT,MATCH(71,tk_FSEQ,0))),"")</f>
        <v/>
      </c>
      <c r="D76" s="70">
        <f>IFERROR(""&amp;INDEX(tk_SIZE,MATCH(71,tk_FSEQ,0)),"")</f>
        <v/>
      </c>
      <c r="E76" s="70">
        <f>IFERROR(""&amp;INDEX(tk_RATING,MATCH(71,tk_FSEQ,0)),"")</f>
        <v/>
      </c>
      <c r="F76" s="70">
        <f>IFERROR(TEXT(INDEX(tk_OAW,MATCH(71,tk_FSEQ,0)),"0.000")&amp;" x "&amp;TEXT(INDEX(tk_OAH,MATCH(71,tk_FSEQ,0)),"0.000"),"")</f>
        <v/>
      </c>
      <c r="G76" s="70">
        <f>IFERROR(""&amp;INDEX(tk_FLINE,MATCH(71,tk_FSEQ,0)),"")</f>
        <v/>
      </c>
      <c r="H76" s="70">
        <f>IFERROR(""&amp;INDEX(tk_FNOTES,MATCH(71,tk_FSEQ,0)),"")</f>
        <v/>
      </c>
    </row>
    <row r="77">
      <c r="A77" s="70">
        <f>IFERROR(""&amp;INDEX(tk_MARK,MATCH(72,tk_FSEQ,0)),"")</f>
        <v/>
      </c>
      <c r="B77" s="70">
        <f>IFERROR(INDEX(tk_QTY,MATCH(72,tk_FSEQ,0)),"")</f>
        <v/>
      </c>
      <c r="C77" s="70">
        <f>IFERROR(INDEX(tk_ROOMF,MATCH(72,tk_FSEQ,0))&amp;IF(INDEX(tk_ROOMT,MATCH(72,tk_FSEQ,0))="",""," → "&amp;INDEX(tk_ROOMT,MATCH(72,tk_FSEQ,0))),"")</f>
        <v/>
      </c>
      <c r="D77" s="70">
        <f>IFERROR(""&amp;INDEX(tk_SIZE,MATCH(72,tk_FSEQ,0)),"")</f>
        <v/>
      </c>
      <c r="E77" s="70">
        <f>IFERROR(""&amp;INDEX(tk_RATING,MATCH(72,tk_FSEQ,0)),"")</f>
        <v/>
      </c>
      <c r="F77" s="70">
        <f>IFERROR(TEXT(INDEX(tk_OAW,MATCH(72,tk_FSEQ,0)),"0.000")&amp;" x "&amp;TEXT(INDEX(tk_OAH,MATCH(72,tk_FSEQ,0)),"0.000"),"")</f>
        <v/>
      </c>
      <c r="G77" s="70">
        <f>IFERROR(""&amp;INDEX(tk_FLINE,MATCH(72,tk_FSEQ,0)),"")</f>
        <v/>
      </c>
      <c r="H77" s="70">
        <f>IFERROR(""&amp;INDEX(tk_FNOTES,MATCH(72,tk_FSEQ,0)),"")</f>
        <v/>
      </c>
    </row>
    <row r="78">
      <c r="A78" s="70">
        <f>IFERROR(""&amp;INDEX(tk_MARK,MATCH(73,tk_FSEQ,0)),"")</f>
        <v/>
      </c>
      <c r="B78" s="70">
        <f>IFERROR(INDEX(tk_QTY,MATCH(73,tk_FSEQ,0)),"")</f>
        <v/>
      </c>
      <c r="C78" s="70">
        <f>IFERROR(INDEX(tk_ROOMF,MATCH(73,tk_FSEQ,0))&amp;IF(INDEX(tk_ROOMT,MATCH(73,tk_FSEQ,0))="",""," → "&amp;INDEX(tk_ROOMT,MATCH(73,tk_FSEQ,0))),"")</f>
        <v/>
      </c>
      <c r="D78" s="70">
        <f>IFERROR(""&amp;INDEX(tk_SIZE,MATCH(73,tk_FSEQ,0)),"")</f>
        <v/>
      </c>
      <c r="E78" s="70">
        <f>IFERROR(""&amp;INDEX(tk_RATING,MATCH(73,tk_FSEQ,0)),"")</f>
        <v/>
      </c>
      <c r="F78" s="70">
        <f>IFERROR(TEXT(INDEX(tk_OAW,MATCH(73,tk_FSEQ,0)),"0.000")&amp;" x "&amp;TEXT(INDEX(tk_OAH,MATCH(73,tk_FSEQ,0)),"0.000"),"")</f>
        <v/>
      </c>
      <c r="G78" s="70">
        <f>IFERROR(""&amp;INDEX(tk_FLINE,MATCH(73,tk_FSEQ,0)),"")</f>
        <v/>
      </c>
      <c r="H78" s="70">
        <f>IFERROR(""&amp;INDEX(tk_FNOTES,MATCH(73,tk_FSEQ,0)),"")</f>
        <v/>
      </c>
    </row>
    <row r="79">
      <c r="A79" s="70">
        <f>IFERROR(""&amp;INDEX(tk_MARK,MATCH(74,tk_FSEQ,0)),"")</f>
        <v/>
      </c>
      <c r="B79" s="70">
        <f>IFERROR(INDEX(tk_QTY,MATCH(74,tk_FSEQ,0)),"")</f>
        <v/>
      </c>
      <c r="C79" s="70">
        <f>IFERROR(INDEX(tk_ROOMF,MATCH(74,tk_FSEQ,0))&amp;IF(INDEX(tk_ROOMT,MATCH(74,tk_FSEQ,0))="",""," → "&amp;INDEX(tk_ROOMT,MATCH(74,tk_FSEQ,0))),"")</f>
        <v/>
      </c>
      <c r="D79" s="70">
        <f>IFERROR(""&amp;INDEX(tk_SIZE,MATCH(74,tk_FSEQ,0)),"")</f>
        <v/>
      </c>
      <c r="E79" s="70">
        <f>IFERROR(""&amp;INDEX(tk_RATING,MATCH(74,tk_FSEQ,0)),"")</f>
        <v/>
      </c>
      <c r="F79" s="70">
        <f>IFERROR(TEXT(INDEX(tk_OAW,MATCH(74,tk_FSEQ,0)),"0.000")&amp;" x "&amp;TEXT(INDEX(tk_OAH,MATCH(74,tk_FSEQ,0)),"0.000"),"")</f>
        <v/>
      </c>
      <c r="G79" s="70">
        <f>IFERROR(""&amp;INDEX(tk_FLINE,MATCH(74,tk_FSEQ,0)),"")</f>
        <v/>
      </c>
      <c r="H79" s="70">
        <f>IFERROR(""&amp;INDEX(tk_FNOTES,MATCH(74,tk_FSEQ,0)),"")</f>
        <v/>
      </c>
    </row>
    <row r="80">
      <c r="A80" s="70">
        <f>IFERROR(""&amp;INDEX(tk_MARK,MATCH(75,tk_FSEQ,0)),"")</f>
        <v/>
      </c>
      <c r="B80" s="70">
        <f>IFERROR(INDEX(tk_QTY,MATCH(75,tk_FSEQ,0)),"")</f>
        <v/>
      </c>
      <c r="C80" s="70">
        <f>IFERROR(INDEX(tk_ROOMF,MATCH(75,tk_FSEQ,0))&amp;IF(INDEX(tk_ROOMT,MATCH(75,tk_FSEQ,0))="",""," → "&amp;INDEX(tk_ROOMT,MATCH(75,tk_FSEQ,0))),"")</f>
        <v/>
      </c>
      <c r="D80" s="70">
        <f>IFERROR(""&amp;INDEX(tk_SIZE,MATCH(75,tk_FSEQ,0)),"")</f>
        <v/>
      </c>
      <c r="E80" s="70">
        <f>IFERROR(""&amp;INDEX(tk_RATING,MATCH(75,tk_FSEQ,0)),"")</f>
        <v/>
      </c>
      <c r="F80" s="70">
        <f>IFERROR(TEXT(INDEX(tk_OAW,MATCH(75,tk_FSEQ,0)),"0.000")&amp;" x "&amp;TEXT(INDEX(tk_OAH,MATCH(75,tk_FSEQ,0)),"0.000"),"")</f>
        <v/>
      </c>
      <c r="G80" s="70">
        <f>IFERROR(""&amp;INDEX(tk_FLINE,MATCH(75,tk_FSEQ,0)),"")</f>
        <v/>
      </c>
      <c r="H80" s="70">
        <f>IFERROR(""&amp;INDEX(tk_FNOTES,MATCH(75,tk_FSEQ,0)),"")</f>
        <v/>
      </c>
    </row>
    <row r="81">
      <c r="A81" s="70">
        <f>IFERROR(""&amp;INDEX(tk_MARK,MATCH(76,tk_FSEQ,0)),"")</f>
        <v/>
      </c>
      <c r="B81" s="70">
        <f>IFERROR(INDEX(tk_QTY,MATCH(76,tk_FSEQ,0)),"")</f>
        <v/>
      </c>
      <c r="C81" s="70">
        <f>IFERROR(INDEX(tk_ROOMF,MATCH(76,tk_FSEQ,0))&amp;IF(INDEX(tk_ROOMT,MATCH(76,tk_FSEQ,0))="",""," → "&amp;INDEX(tk_ROOMT,MATCH(76,tk_FSEQ,0))),"")</f>
        <v/>
      </c>
      <c r="D81" s="70">
        <f>IFERROR(""&amp;INDEX(tk_SIZE,MATCH(76,tk_FSEQ,0)),"")</f>
        <v/>
      </c>
      <c r="E81" s="70">
        <f>IFERROR(""&amp;INDEX(tk_RATING,MATCH(76,tk_FSEQ,0)),"")</f>
        <v/>
      </c>
      <c r="F81" s="70">
        <f>IFERROR(TEXT(INDEX(tk_OAW,MATCH(76,tk_FSEQ,0)),"0.000")&amp;" x "&amp;TEXT(INDEX(tk_OAH,MATCH(76,tk_FSEQ,0)),"0.000"),"")</f>
        <v/>
      </c>
      <c r="G81" s="70">
        <f>IFERROR(""&amp;INDEX(tk_FLINE,MATCH(76,tk_FSEQ,0)),"")</f>
        <v/>
      </c>
      <c r="H81" s="70">
        <f>IFERROR(""&amp;INDEX(tk_FNOTES,MATCH(76,tk_FSEQ,0)),"")</f>
        <v/>
      </c>
    </row>
    <row r="82">
      <c r="A82" s="70">
        <f>IFERROR(""&amp;INDEX(tk_MARK,MATCH(77,tk_FSEQ,0)),"")</f>
        <v/>
      </c>
      <c r="B82" s="70">
        <f>IFERROR(INDEX(tk_QTY,MATCH(77,tk_FSEQ,0)),"")</f>
        <v/>
      </c>
      <c r="C82" s="70">
        <f>IFERROR(INDEX(tk_ROOMF,MATCH(77,tk_FSEQ,0))&amp;IF(INDEX(tk_ROOMT,MATCH(77,tk_FSEQ,0))="",""," → "&amp;INDEX(tk_ROOMT,MATCH(77,tk_FSEQ,0))),"")</f>
        <v/>
      </c>
      <c r="D82" s="70">
        <f>IFERROR(""&amp;INDEX(tk_SIZE,MATCH(77,tk_FSEQ,0)),"")</f>
        <v/>
      </c>
      <c r="E82" s="70">
        <f>IFERROR(""&amp;INDEX(tk_RATING,MATCH(77,tk_FSEQ,0)),"")</f>
        <v/>
      </c>
      <c r="F82" s="70">
        <f>IFERROR(TEXT(INDEX(tk_OAW,MATCH(77,tk_FSEQ,0)),"0.000")&amp;" x "&amp;TEXT(INDEX(tk_OAH,MATCH(77,tk_FSEQ,0)),"0.000"),"")</f>
        <v/>
      </c>
      <c r="G82" s="70">
        <f>IFERROR(""&amp;INDEX(tk_FLINE,MATCH(77,tk_FSEQ,0)),"")</f>
        <v/>
      </c>
      <c r="H82" s="70">
        <f>IFERROR(""&amp;INDEX(tk_FNOTES,MATCH(77,tk_FSEQ,0)),"")</f>
        <v/>
      </c>
    </row>
    <row r="83">
      <c r="A83" s="70">
        <f>IFERROR(""&amp;INDEX(tk_MARK,MATCH(78,tk_FSEQ,0)),"")</f>
        <v/>
      </c>
      <c r="B83" s="70">
        <f>IFERROR(INDEX(tk_QTY,MATCH(78,tk_FSEQ,0)),"")</f>
        <v/>
      </c>
      <c r="C83" s="70">
        <f>IFERROR(INDEX(tk_ROOMF,MATCH(78,tk_FSEQ,0))&amp;IF(INDEX(tk_ROOMT,MATCH(78,tk_FSEQ,0))="",""," → "&amp;INDEX(tk_ROOMT,MATCH(78,tk_FSEQ,0))),"")</f>
        <v/>
      </c>
      <c r="D83" s="70">
        <f>IFERROR(""&amp;INDEX(tk_SIZE,MATCH(78,tk_FSEQ,0)),"")</f>
        <v/>
      </c>
      <c r="E83" s="70">
        <f>IFERROR(""&amp;INDEX(tk_RATING,MATCH(78,tk_FSEQ,0)),"")</f>
        <v/>
      </c>
      <c r="F83" s="70">
        <f>IFERROR(TEXT(INDEX(tk_OAW,MATCH(78,tk_FSEQ,0)),"0.000")&amp;" x "&amp;TEXT(INDEX(tk_OAH,MATCH(78,tk_FSEQ,0)),"0.000"),"")</f>
        <v/>
      </c>
      <c r="G83" s="70">
        <f>IFERROR(""&amp;INDEX(tk_FLINE,MATCH(78,tk_FSEQ,0)),"")</f>
        <v/>
      </c>
      <c r="H83" s="70">
        <f>IFERROR(""&amp;INDEX(tk_FNOTES,MATCH(78,tk_FSEQ,0)),"")</f>
        <v/>
      </c>
    </row>
    <row r="84">
      <c r="A84" s="70">
        <f>IFERROR(""&amp;INDEX(tk_MARK,MATCH(79,tk_FSEQ,0)),"")</f>
        <v/>
      </c>
      <c r="B84" s="70">
        <f>IFERROR(INDEX(tk_QTY,MATCH(79,tk_FSEQ,0)),"")</f>
        <v/>
      </c>
      <c r="C84" s="70">
        <f>IFERROR(INDEX(tk_ROOMF,MATCH(79,tk_FSEQ,0))&amp;IF(INDEX(tk_ROOMT,MATCH(79,tk_FSEQ,0))="",""," → "&amp;INDEX(tk_ROOMT,MATCH(79,tk_FSEQ,0))),"")</f>
        <v/>
      </c>
      <c r="D84" s="70">
        <f>IFERROR(""&amp;INDEX(tk_SIZE,MATCH(79,tk_FSEQ,0)),"")</f>
        <v/>
      </c>
      <c r="E84" s="70">
        <f>IFERROR(""&amp;INDEX(tk_RATING,MATCH(79,tk_FSEQ,0)),"")</f>
        <v/>
      </c>
      <c r="F84" s="70">
        <f>IFERROR(TEXT(INDEX(tk_OAW,MATCH(79,tk_FSEQ,0)),"0.000")&amp;" x "&amp;TEXT(INDEX(tk_OAH,MATCH(79,tk_FSEQ,0)),"0.000"),"")</f>
        <v/>
      </c>
      <c r="G84" s="70">
        <f>IFERROR(""&amp;INDEX(tk_FLINE,MATCH(79,tk_FSEQ,0)),"")</f>
        <v/>
      </c>
      <c r="H84" s="70">
        <f>IFERROR(""&amp;INDEX(tk_FNOTES,MATCH(79,tk_FSEQ,0)),"")</f>
        <v/>
      </c>
    </row>
    <row r="85">
      <c r="A85" s="70">
        <f>IFERROR(""&amp;INDEX(tk_MARK,MATCH(80,tk_FSEQ,0)),"")</f>
        <v/>
      </c>
      <c r="B85" s="70">
        <f>IFERROR(INDEX(tk_QTY,MATCH(80,tk_FSEQ,0)),"")</f>
        <v/>
      </c>
      <c r="C85" s="70">
        <f>IFERROR(INDEX(tk_ROOMF,MATCH(80,tk_FSEQ,0))&amp;IF(INDEX(tk_ROOMT,MATCH(80,tk_FSEQ,0))="",""," → "&amp;INDEX(tk_ROOMT,MATCH(80,tk_FSEQ,0))),"")</f>
        <v/>
      </c>
      <c r="D85" s="70">
        <f>IFERROR(""&amp;INDEX(tk_SIZE,MATCH(80,tk_FSEQ,0)),"")</f>
        <v/>
      </c>
      <c r="E85" s="70">
        <f>IFERROR(""&amp;INDEX(tk_RATING,MATCH(80,tk_FSEQ,0)),"")</f>
        <v/>
      </c>
      <c r="F85" s="70">
        <f>IFERROR(TEXT(INDEX(tk_OAW,MATCH(80,tk_FSEQ,0)),"0.000")&amp;" x "&amp;TEXT(INDEX(tk_OAH,MATCH(80,tk_FSEQ,0)),"0.000"),"")</f>
        <v/>
      </c>
      <c r="G85" s="70">
        <f>IFERROR(""&amp;INDEX(tk_FLINE,MATCH(80,tk_FSEQ,0)),"")</f>
        <v/>
      </c>
      <c r="H85" s="70">
        <f>IFERROR(""&amp;INDEX(tk_FNOTES,MATCH(80,tk_FSEQ,0)),"")</f>
        <v/>
      </c>
    </row>
    <row r="86">
      <c r="A86" s="70">
        <f>IFERROR(""&amp;INDEX(tk_MARK,MATCH(81,tk_FSEQ,0)),"")</f>
        <v/>
      </c>
      <c r="B86" s="70">
        <f>IFERROR(INDEX(tk_QTY,MATCH(81,tk_FSEQ,0)),"")</f>
        <v/>
      </c>
      <c r="C86" s="70">
        <f>IFERROR(INDEX(tk_ROOMF,MATCH(81,tk_FSEQ,0))&amp;IF(INDEX(tk_ROOMT,MATCH(81,tk_FSEQ,0))="",""," → "&amp;INDEX(tk_ROOMT,MATCH(81,tk_FSEQ,0))),"")</f>
        <v/>
      </c>
      <c r="D86" s="70">
        <f>IFERROR(""&amp;INDEX(tk_SIZE,MATCH(81,tk_FSEQ,0)),"")</f>
        <v/>
      </c>
      <c r="E86" s="70">
        <f>IFERROR(""&amp;INDEX(tk_RATING,MATCH(81,tk_FSEQ,0)),"")</f>
        <v/>
      </c>
      <c r="F86" s="70">
        <f>IFERROR(TEXT(INDEX(tk_OAW,MATCH(81,tk_FSEQ,0)),"0.000")&amp;" x "&amp;TEXT(INDEX(tk_OAH,MATCH(81,tk_FSEQ,0)),"0.000"),"")</f>
        <v/>
      </c>
      <c r="G86" s="70">
        <f>IFERROR(""&amp;INDEX(tk_FLINE,MATCH(81,tk_FSEQ,0)),"")</f>
        <v/>
      </c>
      <c r="H86" s="70">
        <f>IFERROR(""&amp;INDEX(tk_FNOTES,MATCH(81,tk_FSEQ,0)),"")</f>
        <v/>
      </c>
    </row>
    <row r="87">
      <c r="A87" s="70">
        <f>IFERROR(""&amp;INDEX(tk_MARK,MATCH(82,tk_FSEQ,0)),"")</f>
        <v/>
      </c>
      <c r="B87" s="70">
        <f>IFERROR(INDEX(tk_QTY,MATCH(82,tk_FSEQ,0)),"")</f>
        <v/>
      </c>
      <c r="C87" s="70">
        <f>IFERROR(INDEX(tk_ROOMF,MATCH(82,tk_FSEQ,0))&amp;IF(INDEX(tk_ROOMT,MATCH(82,tk_FSEQ,0))="",""," → "&amp;INDEX(tk_ROOMT,MATCH(82,tk_FSEQ,0))),"")</f>
        <v/>
      </c>
      <c r="D87" s="70">
        <f>IFERROR(""&amp;INDEX(tk_SIZE,MATCH(82,tk_FSEQ,0)),"")</f>
        <v/>
      </c>
      <c r="E87" s="70">
        <f>IFERROR(""&amp;INDEX(tk_RATING,MATCH(82,tk_FSEQ,0)),"")</f>
        <v/>
      </c>
      <c r="F87" s="70">
        <f>IFERROR(TEXT(INDEX(tk_OAW,MATCH(82,tk_FSEQ,0)),"0.000")&amp;" x "&amp;TEXT(INDEX(tk_OAH,MATCH(82,tk_FSEQ,0)),"0.000"),"")</f>
        <v/>
      </c>
      <c r="G87" s="70">
        <f>IFERROR(""&amp;INDEX(tk_FLINE,MATCH(82,tk_FSEQ,0)),"")</f>
        <v/>
      </c>
      <c r="H87" s="70">
        <f>IFERROR(""&amp;INDEX(tk_FNOTES,MATCH(82,tk_FSEQ,0)),"")</f>
        <v/>
      </c>
    </row>
    <row r="88">
      <c r="A88" s="70">
        <f>IFERROR(""&amp;INDEX(tk_MARK,MATCH(83,tk_FSEQ,0)),"")</f>
        <v/>
      </c>
      <c r="B88" s="70">
        <f>IFERROR(INDEX(tk_QTY,MATCH(83,tk_FSEQ,0)),"")</f>
        <v/>
      </c>
      <c r="C88" s="70">
        <f>IFERROR(INDEX(tk_ROOMF,MATCH(83,tk_FSEQ,0))&amp;IF(INDEX(tk_ROOMT,MATCH(83,tk_FSEQ,0))="",""," → "&amp;INDEX(tk_ROOMT,MATCH(83,tk_FSEQ,0))),"")</f>
        <v/>
      </c>
      <c r="D88" s="70">
        <f>IFERROR(""&amp;INDEX(tk_SIZE,MATCH(83,tk_FSEQ,0)),"")</f>
        <v/>
      </c>
      <c r="E88" s="70">
        <f>IFERROR(""&amp;INDEX(tk_RATING,MATCH(83,tk_FSEQ,0)),"")</f>
        <v/>
      </c>
      <c r="F88" s="70">
        <f>IFERROR(TEXT(INDEX(tk_OAW,MATCH(83,tk_FSEQ,0)),"0.000")&amp;" x "&amp;TEXT(INDEX(tk_OAH,MATCH(83,tk_FSEQ,0)),"0.000"),"")</f>
        <v/>
      </c>
      <c r="G88" s="70">
        <f>IFERROR(""&amp;INDEX(tk_FLINE,MATCH(83,tk_FSEQ,0)),"")</f>
        <v/>
      </c>
      <c r="H88" s="70">
        <f>IFERROR(""&amp;INDEX(tk_FNOTES,MATCH(83,tk_FSEQ,0)),"")</f>
        <v/>
      </c>
    </row>
    <row r="89">
      <c r="A89" s="70">
        <f>IFERROR(""&amp;INDEX(tk_MARK,MATCH(84,tk_FSEQ,0)),"")</f>
        <v/>
      </c>
      <c r="B89" s="70">
        <f>IFERROR(INDEX(tk_QTY,MATCH(84,tk_FSEQ,0)),"")</f>
        <v/>
      </c>
      <c r="C89" s="70">
        <f>IFERROR(INDEX(tk_ROOMF,MATCH(84,tk_FSEQ,0))&amp;IF(INDEX(tk_ROOMT,MATCH(84,tk_FSEQ,0))="",""," → "&amp;INDEX(tk_ROOMT,MATCH(84,tk_FSEQ,0))),"")</f>
        <v/>
      </c>
      <c r="D89" s="70">
        <f>IFERROR(""&amp;INDEX(tk_SIZE,MATCH(84,tk_FSEQ,0)),"")</f>
        <v/>
      </c>
      <c r="E89" s="70">
        <f>IFERROR(""&amp;INDEX(tk_RATING,MATCH(84,tk_FSEQ,0)),"")</f>
        <v/>
      </c>
      <c r="F89" s="70">
        <f>IFERROR(TEXT(INDEX(tk_OAW,MATCH(84,tk_FSEQ,0)),"0.000")&amp;" x "&amp;TEXT(INDEX(tk_OAH,MATCH(84,tk_FSEQ,0)),"0.000"),"")</f>
        <v/>
      </c>
      <c r="G89" s="70">
        <f>IFERROR(""&amp;INDEX(tk_FLINE,MATCH(84,tk_FSEQ,0)),"")</f>
        <v/>
      </c>
      <c r="H89" s="70">
        <f>IFERROR(""&amp;INDEX(tk_FNOTES,MATCH(84,tk_FSEQ,0)),"")</f>
        <v/>
      </c>
    </row>
    <row r="90">
      <c r="A90" s="70">
        <f>IFERROR(""&amp;INDEX(tk_MARK,MATCH(85,tk_FSEQ,0)),"")</f>
        <v/>
      </c>
      <c r="B90" s="70">
        <f>IFERROR(INDEX(tk_QTY,MATCH(85,tk_FSEQ,0)),"")</f>
        <v/>
      </c>
      <c r="C90" s="70">
        <f>IFERROR(INDEX(tk_ROOMF,MATCH(85,tk_FSEQ,0))&amp;IF(INDEX(tk_ROOMT,MATCH(85,tk_FSEQ,0))="",""," → "&amp;INDEX(tk_ROOMT,MATCH(85,tk_FSEQ,0))),"")</f>
        <v/>
      </c>
      <c r="D90" s="70">
        <f>IFERROR(""&amp;INDEX(tk_SIZE,MATCH(85,tk_FSEQ,0)),"")</f>
        <v/>
      </c>
      <c r="E90" s="70">
        <f>IFERROR(""&amp;INDEX(tk_RATING,MATCH(85,tk_FSEQ,0)),"")</f>
        <v/>
      </c>
      <c r="F90" s="70">
        <f>IFERROR(TEXT(INDEX(tk_OAW,MATCH(85,tk_FSEQ,0)),"0.000")&amp;" x "&amp;TEXT(INDEX(tk_OAH,MATCH(85,tk_FSEQ,0)),"0.000"),"")</f>
        <v/>
      </c>
      <c r="G90" s="70">
        <f>IFERROR(""&amp;INDEX(tk_FLINE,MATCH(85,tk_FSEQ,0)),"")</f>
        <v/>
      </c>
      <c r="H90" s="70">
        <f>IFERROR(""&amp;INDEX(tk_FNOTES,MATCH(85,tk_FSEQ,0)),"")</f>
        <v/>
      </c>
    </row>
    <row r="91">
      <c r="A91" s="70">
        <f>IFERROR(""&amp;INDEX(tk_MARK,MATCH(86,tk_FSEQ,0)),"")</f>
        <v/>
      </c>
      <c r="B91" s="70">
        <f>IFERROR(INDEX(tk_QTY,MATCH(86,tk_FSEQ,0)),"")</f>
        <v/>
      </c>
      <c r="C91" s="70">
        <f>IFERROR(INDEX(tk_ROOMF,MATCH(86,tk_FSEQ,0))&amp;IF(INDEX(tk_ROOMT,MATCH(86,tk_FSEQ,0))="",""," → "&amp;INDEX(tk_ROOMT,MATCH(86,tk_FSEQ,0))),"")</f>
        <v/>
      </c>
      <c r="D91" s="70">
        <f>IFERROR(""&amp;INDEX(tk_SIZE,MATCH(86,tk_FSEQ,0)),"")</f>
        <v/>
      </c>
      <c r="E91" s="70">
        <f>IFERROR(""&amp;INDEX(tk_RATING,MATCH(86,tk_FSEQ,0)),"")</f>
        <v/>
      </c>
      <c r="F91" s="70">
        <f>IFERROR(TEXT(INDEX(tk_OAW,MATCH(86,tk_FSEQ,0)),"0.000")&amp;" x "&amp;TEXT(INDEX(tk_OAH,MATCH(86,tk_FSEQ,0)),"0.000"),"")</f>
        <v/>
      </c>
      <c r="G91" s="70">
        <f>IFERROR(""&amp;INDEX(tk_FLINE,MATCH(86,tk_FSEQ,0)),"")</f>
        <v/>
      </c>
      <c r="H91" s="70">
        <f>IFERROR(""&amp;INDEX(tk_FNOTES,MATCH(86,tk_FSEQ,0)),"")</f>
        <v/>
      </c>
    </row>
    <row r="92">
      <c r="A92" s="70">
        <f>IFERROR(""&amp;INDEX(tk_MARK,MATCH(87,tk_FSEQ,0)),"")</f>
        <v/>
      </c>
      <c r="B92" s="70">
        <f>IFERROR(INDEX(tk_QTY,MATCH(87,tk_FSEQ,0)),"")</f>
        <v/>
      </c>
      <c r="C92" s="70">
        <f>IFERROR(INDEX(tk_ROOMF,MATCH(87,tk_FSEQ,0))&amp;IF(INDEX(tk_ROOMT,MATCH(87,tk_FSEQ,0))="",""," → "&amp;INDEX(tk_ROOMT,MATCH(87,tk_FSEQ,0))),"")</f>
        <v/>
      </c>
      <c r="D92" s="70">
        <f>IFERROR(""&amp;INDEX(tk_SIZE,MATCH(87,tk_FSEQ,0)),"")</f>
        <v/>
      </c>
      <c r="E92" s="70">
        <f>IFERROR(""&amp;INDEX(tk_RATING,MATCH(87,tk_FSEQ,0)),"")</f>
        <v/>
      </c>
      <c r="F92" s="70">
        <f>IFERROR(TEXT(INDEX(tk_OAW,MATCH(87,tk_FSEQ,0)),"0.000")&amp;" x "&amp;TEXT(INDEX(tk_OAH,MATCH(87,tk_FSEQ,0)),"0.000"),"")</f>
        <v/>
      </c>
      <c r="G92" s="70">
        <f>IFERROR(""&amp;INDEX(tk_FLINE,MATCH(87,tk_FSEQ,0)),"")</f>
        <v/>
      </c>
      <c r="H92" s="70">
        <f>IFERROR(""&amp;INDEX(tk_FNOTES,MATCH(87,tk_FSEQ,0)),"")</f>
        <v/>
      </c>
    </row>
    <row r="93">
      <c r="A93" s="70">
        <f>IFERROR(""&amp;INDEX(tk_MARK,MATCH(88,tk_FSEQ,0)),"")</f>
        <v/>
      </c>
      <c r="B93" s="70">
        <f>IFERROR(INDEX(tk_QTY,MATCH(88,tk_FSEQ,0)),"")</f>
        <v/>
      </c>
      <c r="C93" s="70">
        <f>IFERROR(INDEX(tk_ROOMF,MATCH(88,tk_FSEQ,0))&amp;IF(INDEX(tk_ROOMT,MATCH(88,tk_FSEQ,0))="",""," → "&amp;INDEX(tk_ROOMT,MATCH(88,tk_FSEQ,0))),"")</f>
        <v/>
      </c>
      <c r="D93" s="70">
        <f>IFERROR(""&amp;INDEX(tk_SIZE,MATCH(88,tk_FSEQ,0)),"")</f>
        <v/>
      </c>
      <c r="E93" s="70">
        <f>IFERROR(""&amp;INDEX(tk_RATING,MATCH(88,tk_FSEQ,0)),"")</f>
        <v/>
      </c>
      <c r="F93" s="70">
        <f>IFERROR(TEXT(INDEX(tk_OAW,MATCH(88,tk_FSEQ,0)),"0.000")&amp;" x "&amp;TEXT(INDEX(tk_OAH,MATCH(88,tk_FSEQ,0)),"0.000"),"")</f>
        <v/>
      </c>
      <c r="G93" s="70">
        <f>IFERROR(""&amp;INDEX(tk_FLINE,MATCH(88,tk_FSEQ,0)),"")</f>
        <v/>
      </c>
      <c r="H93" s="70">
        <f>IFERROR(""&amp;INDEX(tk_FNOTES,MATCH(88,tk_FSEQ,0)),"")</f>
        <v/>
      </c>
    </row>
    <row r="94">
      <c r="A94" s="70">
        <f>IFERROR(""&amp;INDEX(tk_MARK,MATCH(89,tk_FSEQ,0)),"")</f>
        <v/>
      </c>
      <c r="B94" s="70">
        <f>IFERROR(INDEX(tk_QTY,MATCH(89,tk_FSEQ,0)),"")</f>
        <v/>
      </c>
      <c r="C94" s="70">
        <f>IFERROR(INDEX(tk_ROOMF,MATCH(89,tk_FSEQ,0))&amp;IF(INDEX(tk_ROOMT,MATCH(89,tk_FSEQ,0))="",""," → "&amp;INDEX(tk_ROOMT,MATCH(89,tk_FSEQ,0))),"")</f>
        <v/>
      </c>
      <c r="D94" s="70">
        <f>IFERROR(""&amp;INDEX(tk_SIZE,MATCH(89,tk_FSEQ,0)),"")</f>
        <v/>
      </c>
      <c r="E94" s="70">
        <f>IFERROR(""&amp;INDEX(tk_RATING,MATCH(89,tk_FSEQ,0)),"")</f>
        <v/>
      </c>
      <c r="F94" s="70">
        <f>IFERROR(TEXT(INDEX(tk_OAW,MATCH(89,tk_FSEQ,0)),"0.000")&amp;" x "&amp;TEXT(INDEX(tk_OAH,MATCH(89,tk_FSEQ,0)),"0.000"),"")</f>
        <v/>
      </c>
      <c r="G94" s="70">
        <f>IFERROR(""&amp;INDEX(tk_FLINE,MATCH(89,tk_FSEQ,0)),"")</f>
        <v/>
      </c>
      <c r="H94" s="70">
        <f>IFERROR(""&amp;INDEX(tk_FNOTES,MATCH(89,tk_FSEQ,0)),"")</f>
        <v/>
      </c>
    </row>
    <row r="95">
      <c r="A95" s="70">
        <f>IFERROR(""&amp;INDEX(tk_MARK,MATCH(90,tk_FSEQ,0)),"")</f>
        <v/>
      </c>
      <c r="B95" s="70">
        <f>IFERROR(INDEX(tk_QTY,MATCH(90,tk_FSEQ,0)),"")</f>
        <v/>
      </c>
      <c r="C95" s="70">
        <f>IFERROR(INDEX(tk_ROOMF,MATCH(90,tk_FSEQ,0))&amp;IF(INDEX(tk_ROOMT,MATCH(90,tk_FSEQ,0))="",""," → "&amp;INDEX(tk_ROOMT,MATCH(90,tk_FSEQ,0))),"")</f>
        <v/>
      </c>
      <c r="D95" s="70">
        <f>IFERROR(""&amp;INDEX(tk_SIZE,MATCH(90,tk_FSEQ,0)),"")</f>
        <v/>
      </c>
      <c r="E95" s="70">
        <f>IFERROR(""&amp;INDEX(tk_RATING,MATCH(90,tk_FSEQ,0)),"")</f>
        <v/>
      </c>
      <c r="F95" s="70">
        <f>IFERROR(TEXT(INDEX(tk_OAW,MATCH(90,tk_FSEQ,0)),"0.000")&amp;" x "&amp;TEXT(INDEX(tk_OAH,MATCH(90,tk_FSEQ,0)),"0.000"),"")</f>
        <v/>
      </c>
      <c r="G95" s="70">
        <f>IFERROR(""&amp;INDEX(tk_FLINE,MATCH(90,tk_FSEQ,0)),"")</f>
        <v/>
      </c>
      <c r="H95" s="70">
        <f>IFERROR(""&amp;INDEX(tk_FNOTES,MATCH(90,tk_FSEQ,0)),"")</f>
        <v/>
      </c>
    </row>
    <row r="96">
      <c r="A96" s="70">
        <f>IFERROR(""&amp;INDEX(tk_MARK,MATCH(91,tk_FSEQ,0)),"")</f>
        <v/>
      </c>
      <c r="B96" s="70">
        <f>IFERROR(INDEX(tk_QTY,MATCH(91,tk_FSEQ,0)),"")</f>
        <v/>
      </c>
      <c r="C96" s="70">
        <f>IFERROR(INDEX(tk_ROOMF,MATCH(91,tk_FSEQ,0))&amp;IF(INDEX(tk_ROOMT,MATCH(91,tk_FSEQ,0))="",""," → "&amp;INDEX(tk_ROOMT,MATCH(91,tk_FSEQ,0))),"")</f>
        <v/>
      </c>
      <c r="D96" s="70">
        <f>IFERROR(""&amp;INDEX(tk_SIZE,MATCH(91,tk_FSEQ,0)),"")</f>
        <v/>
      </c>
      <c r="E96" s="70">
        <f>IFERROR(""&amp;INDEX(tk_RATING,MATCH(91,tk_FSEQ,0)),"")</f>
        <v/>
      </c>
      <c r="F96" s="70">
        <f>IFERROR(TEXT(INDEX(tk_OAW,MATCH(91,tk_FSEQ,0)),"0.000")&amp;" x "&amp;TEXT(INDEX(tk_OAH,MATCH(91,tk_FSEQ,0)),"0.000"),"")</f>
        <v/>
      </c>
      <c r="G96" s="70">
        <f>IFERROR(""&amp;INDEX(tk_FLINE,MATCH(91,tk_FSEQ,0)),"")</f>
        <v/>
      </c>
      <c r="H96" s="70">
        <f>IFERROR(""&amp;INDEX(tk_FNOTES,MATCH(91,tk_FSEQ,0)),"")</f>
        <v/>
      </c>
    </row>
    <row r="97">
      <c r="A97" s="70">
        <f>IFERROR(""&amp;INDEX(tk_MARK,MATCH(92,tk_FSEQ,0)),"")</f>
        <v/>
      </c>
      <c r="B97" s="70">
        <f>IFERROR(INDEX(tk_QTY,MATCH(92,tk_FSEQ,0)),"")</f>
        <v/>
      </c>
      <c r="C97" s="70">
        <f>IFERROR(INDEX(tk_ROOMF,MATCH(92,tk_FSEQ,0))&amp;IF(INDEX(tk_ROOMT,MATCH(92,tk_FSEQ,0))="",""," → "&amp;INDEX(tk_ROOMT,MATCH(92,tk_FSEQ,0))),"")</f>
        <v/>
      </c>
      <c r="D97" s="70">
        <f>IFERROR(""&amp;INDEX(tk_SIZE,MATCH(92,tk_FSEQ,0)),"")</f>
        <v/>
      </c>
      <c r="E97" s="70">
        <f>IFERROR(""&amp;INDEX(tk_RATING,MATCH(92,tk_FSEQ,0)),"")</f>
        <v/>
      </c>
      <c r="F97" s="70">
        <f>IFERROR(TEXT(INDEX(tk_OAW,MATCH(92,tk_FSEQ,0)),"0.000")&amp;" x "&amp;TEXT(INDEX(tk_OAH,MATCH(92,tk_FSEQ,0)),"0.000"),"")</f>
        <v/>
      </c>
      <c r="G97" s="70">
        <f>IFERROR(""&amp;INDEX(tk_FLINE,MATCH(92,tk_FSEQ,0)),"")</f>
        <v/>
      </c>
      <c r="H97" s="70">
        <f>IFERROR(""&amp;INDEX(tk_FNOTES,MATCH(92,tk_FSEQ,0)),"")</f>
        <v/>
      </c>
    </row>
    <row r="98">
      <c r="A98" s="70">
        <f>IFERROR(""&amp;INDEX(tk_MARK,MATCH(93,tk_FSEQ,0)),"")</f>
        <v/>
      </c>
      <c r="B98" s="70">
        <f>IFERROR(INDEX(tk_QTY,MATCH(93,tk_FSEQ,0)),"")</f>
        <v/>
      </c>
      <c r="C98" s="70">
        <f>IFERROR(INDEX(tk_ROOMF,MATCH(93,tk_FSEQ,0))&amp;IF(INDEX(tk_ROOMT,MATCH(93,tk_FSEQ,0))="",""," → "&amp;INDEX(tk_ROOMT,MATCH(93,tk_FSEQ,0))),"")</f>
        <v/>
      </c>
      <c r="D98" s="70">
        <f>IFERROR(""&amp;INDEX(tk_SIZE,MATCH(93,tk_FSEQ,0)),"")</f>
        <v/>
      </c>
      <c r="E98" s="70">
        <f>IFERROR(""&amp;INDEX(tk_RATING,MATCH(93,tk_FSEQ,0)),"")</f>
        <v/>
      </c>
      <c r="F98" s="70">
        <f>IFERROR(TEXT(INDEX(tk_OAW,MATCH(93,tk_FSEQ,0)),"0.000")&amp;" x "&amp;TEXT(INDEX(tk_OAH,MATCH(93,tk_FSEQ,0)),"0.000"),"")</f>
        <v/>
      </c>
      <c r="G98" s="70">
        <f>IFERROR(""&amp;INDEX(tk_FLINE,MATCH(93,tk_FSEQ,0)),"")</f>
        <v/>
      </c>
      <c r="H98" s="70">
        <f>IFERROR(""&amp;INDEX(tk_FNOTES,MATCH(93,tk_FSEQ,0)),"")</f>
        <v/>
      </c>
    </row>
    <row r="99">
      <c r="A99" s="70">
        <f>IFERROR(""&amp;INDEX(tk_MARK,MATCH(94,tk_FSEQ,0)),"")</f>
        <v/>
      </c>
      <c r="B99" s="70">
        <f>IFERROR(INDEX(tk_QTY,MATCH(94,tk_FSEQ,0)),"")</f>
        <v/>
      </c>
      <c r="C99" s="70">
        <f>IFERROR(INDEX(tk_ROOMF,MATCH(94,tk_FSEQ,0))&amp;IF(INDEX(tk_ROOMT,MATCH(94,tk_FSEQ,0))="",""," → "&amp;INDEX(tk_ROOMT,MATCH(94,tk_FSEQ,0))),"")</f>
        <v/>
      </c>
      <c r="D99" s="70">
        <f>IFERROR(""&amp;INDEX(tk_SIZE,MATCH(94,tk_FSEQ,0)),"")</f>
        <v/>
      </c>
      <c r="E99" s="70">
        <f>IFERROR(""&amp;INDEX(tk_RATING,MATCH(94,tk_FSEQ,0)),"")</f>
        <v/>
      </c>
      <c r="F99" s="70">
        <f>IFERROR(TEXT(INDEX(tk_OAW,MATCH(94,tk_FSEQ,0)),"0.000")&amp;" x "&amp;TEXT(INDEX(tk_OAH,MATCH(94,tk_FSEQ,0)),"0.000"),"")</f>
        <v/>
      </c>
      <c r="G99" s="70">
        <f>IFERROR(""&amp;INDEX(tk_FLINE,MATCH(94,tk_FSEQ,0)),"")</f>
        <v/>
      </c>
      <c r="H99" s="70">
        <f>IFERROR(""&amp;INDEX(tk_FNOTES,MATCH(94,tk_FSEQ,0)),"")</f>
        <v/>
      </c>
    </row>
    <row r="100">
      <c r="A100" s="70">
        <f>IFERROR(""&amp;INDEX(tk_MARK,MATCH(95,tk_FSEQ,0)),"")</f>
        <v/>
      </c>
      <c r="B100" s="70">
        <f>IFERROR(INDEX(tk_QTY,MATCH(95,tk_FSEQ,0)),"")</f>
        <v/>
      </c>
      <c r="C100" s="70">
        <f>IFERROR(INDEX(tk_ROOMF,MATCH(95,tk_FSEQ,0))&amp;IF(INDEX(tk_ROOMT,MATCH(95,tk_FSEQ,0))="",""," → "&amp;INDEX(tk_ROOMT,MATCH(95,tk_FSEQ,0))),"")</f>
        <v/>
      </c>
      <c r="D100" s="70">
        <f>IFERROR(""&amp;INDEX(tk_SIZE,MATCH(95,tk_FSEQ,0)),"")</f>
        <v/>
      </c>
      <c r="E100" s="70">
        <f>IFERROR(""&amp;INDEX(tk_RATING,MATCH(95,tk_FSEQ,0)),"")</f>
        <v/>
      </c>
      <c r="F100" s="70">
        <f>IFERROR(TEXT(INDEX(tk_OAW,MATCH(95,tk_FSEQ,0)),"0.000")&amp;" x "&amp;TEXT(INDEX(tk_OAH,MATCH(95,tk_FSEQ,0)),"0.000"),"")</f>
        <v/>
      </c>
      <c r="G100" s="70">
        <f>IFERROR(""&amp;INDEX(tk_FLINE,MATCH(95,tk_FSEQ,0)),"")</f>
        <v/>
      </c>
      <c r="H100" s="70">
        <f>IFERROR(""&amp;INDEX(tk_FNOTES,MATCH(95,tk_FSEQ,0)),"")</f>
        <v/>
      </c>
    </row>
    <row r="101">
      <c r="A101" s="70">
        <f>IFERROR(""&amp;INDEX(tk_MARK,MATCH(96,tk_FSEQ,0)),"")</f>
        <v/>
      </c>
      <c r="B101" s="70">
        <f>IFERROR(INDEX(tk_QTY,MATCH(96,tk_FSEQ,0)),"")</f>
        <v/>
      </c>
      <c r="C101" s="70">
        <f>IFERROR(INDEX(tk_ROOMF,MATCH(96,tk_FSEQ,0))&amp;IF(INDEX(tk_ROOMT,MATCH(96,tk_FSEQ,0))="",""," → "&amp;INDEX(tk_ROOMT,MATCH(96,tk_FSEQ,0))),"")</f>
        <v/>
      </c>
      <c r="D101" s="70">
        <f>IFERROR(""&amp;INDEX(tk_SIZE,MATCH(96,tk_FSEQ,0)),"")</f>
        <v/>
      </c>
      <c r="E101" s="70">
        <f>IFERROR(""&amp;INDEX(tk_RATING,MATCH(96,tk_FSEQ,0)),"")</f>
        <v/>
      </c>
      <c r="F101" s="70">
        <f>IFERROR(TEXT(INDEX(tk_OAW,MATCH(96,tk_FSEQ,0)),"0.000")&amp;" x "&amp;TEXT(INDEX(tk_OAH,MATCH(96,tk_FSEQ,0)),"0.000"),"")</f>
        <v/>
      </c>
      <c r="G101" s="70">
        <f>IFERROR(""&amp;INDEX(tk_FLINE,MATCH(96,tk_FSEQ,0)),"")</f>
        <v/>
      </c>
      <c r="H101" s="70">
        <f>IFERROR(""&amp;INDEX(tk_FNOTES,MATCH(96,tk_FSEQ,0)),"")</f>
        <v/>
      </c>
    </row>
    <row r="102">
      <c r="A102" s="70">
        <f>IFERROR(""&amp;INDEX(tk_MARK,MATCH(97,tk_FSEQ,0)),"")</f>
        <v/>
      </c>
      <c r="B102" s="70">
        <f>IFERROR(INDEX(tk_QTY,MATCH(97,tk_FSEQ,0)),"")</f>
        <v/>
      </c>
      <c r="C102" s="70">
        <f>IFERROR(INDEX(tk_ROOMF,MATCH(97,tk_FSEQ,0))&amp;IF(INDEX(tk_ROOMT,MATCH(97,tk_FSEQ,0))="",""," → "&amp;INDEX(tk_ROOMT,MATCH(97,tk_FSEQ,0))),"")</f>
        <v/>
      </c>
      <c r="D102" s="70">
        <f>IFERROR(""&amp;INDEX(tk_SIZE,MATCH(97,tk_FSEQ,0)),"")</f>
        <v/>
      </c>
      <c r="E102" s="70">
        <f>IFERROR(""&amp;INDEX(tk_RATING,MATCH(97,tk_FSEQ,0)),"")</f>
        <v/>
      </c>
      <c r="F102" s="70">
        <f>IFERROR(TEXT(INDEX(tk_OAW,MATCH(97,tk_FSEQ,0)),"0.000")&amp;" x "&amp;TEXT(INDEX(tk_OAH,MATCH(97,tk_FSEQ,0)),"0.000"),"")</f>
        <v/>
      </c>
      <c r="G102" s="70">
        <f>IFERROR(""&amp;INDEX(tk_FLINE,MATCH(97,tk_FSEQ,0)),"")</f>
        <v/>
      </c>
      <c r="H102" s="70">
        <f>IFERROR(""&amp;INDEX(tk_FNOTES,MATCH(97,tk_FSEQ,0)),"")</f>
        <v/>
      </c>
    </row>
    <row r="103">
      <c r="A103" s="70">
        <f>IFERROR(""&amp;INDEX(tk_MARK,MATCH(98,tk_FSEQ,0)),"")</f>
        <v/>
      </c>
      <c r="B103" s="70">
        <f>IFERROR(INDEX(tk_QTY,MATCH(98,tk_FSEQ,0)),"")</f>
        <v/>
      </c>
      <c r="C103" s="70">
        <f>IFERROR(INDEX(tk_ROOMF,MATCH(98,tk_FSEQ,0))&amp;IF(INDEX(tk_ROOMT,MATCH(98,tk_FSEQ,0))="",""," → "&amp;INDEX(tk_ROOMT,MATCH(98,tk_FSEQ,0))),"")</f>
        <v/>
      </c>
      <c r="D103" s="70">
        <f>IFERROR(""&amp;INDEX(tk_SIZE,MATCH(98,tk_FSEQ,0)),"")</f>
        <v/>
      </c>
      <c r="E103" s="70">
        <f>IFERROR(""&amp;INDEX(tk_RATING,MATCH(98,tk_FSEQ,0)),"")</f>
        <v/>
      </c>
      <c r="F103" s="70">
        <f>IFERROR(TEXT(INDEX(tk_OAW,MATCH(98,tk_FSEQ,0)),"0.000")&amp;" x "&amp;TEXT(INDEX(tk_OAH,MATCH(98,tk_FSEQ,0)),"0.000"),"")</f>
        <v/>
      </c>
      <c r="G103" s="70">
        <f>IFERROR(""&amp;INDEX(tk_FLINE,MATCH(98,tk_FSEQ,0)),"")</f>
        <v/>
      </c>
      <c r="H103" s="70">
        <f>IFERROR(""&amp;INDEX(tk_FNOTES,MATCH(98,tk_FSEQ,0)),"")</f>
        <v/>
      </c>
    </row>
    <row r="104">
      <c r="A104" s="70">
        <f>IFERROR(""&amp;INDEX(tk_MARK,MATCH(99,tk_FSEQ,0)),"")</f>
        <v/>
      </c>
      <c r="B104" s="70">
        <f>IFERROR(INDEX(tk_QTY,MATCH(99,tk_FSEQ,0)),"")</f>
        <v/>
      </c>
      <c r="C104" s="70">
        <f>IFERROR(INDEX(tk_ROOMF,MATCH(99,tk_FSEQ,0))&amp;IF(INDEX(tk_ROOMT,MATCH(99,tk_FSEQ,0))="",""," → "&amp;INDEX(tk_ROOMT,MATCH(99,tk_FSEQ,0))),"")</f>
        <v/>
      </c>
      <c r="D104" s="70">
        <f>IFERROR(""&amp;INDEX(tk_SIZE,MATCH(99,tk_FSEQ,0)),"")</f>
        <v/>
      </c>
      <c r="E104" s="70">
        <f>IFERROR(""&amp;INDEX(tk_RATING,MATCH(99,tk_FSEQ,0)),"")</f>
        <v/>
      </c>
      <c r="F104" s="70">
        <f>IFERROR(TEXT(INDEX(tk_OAW,MATCH(99,tk_FSEQ,0)),"0.000")&amp;" x "&amp;TEXT(INDEX(tk_OAH,MATCH(99,tk_FSEQ,0)),"0.000"),"")</f>
        <v/>
      </c>
      <c r="G104" s="70">
        <f>IFERROR(""&amp;INDEX(tk_FLINE,MATCH(99,tk_FSEQ,0)),"")</f>
        <v/>
      </c>
      <c r="H104" s="70">
        <f>IFERROR(""&amp;INDEX(tk_FNOTES,MATCH(99,tk_FSEQ,0)),"")</f>
        <v/>
      </c>
    </row>
    <row r="105">
      <c r="A105" s="70">
        <f>IFERROR(""&amp;INDEX(tk_MARK,MATCH(100,tk_FSEQ,0)),"")</f>
        <v/>
      </c>
      <c r="B105" s="70">
        <f>IFERROR(INDEX(tk_QTY,MATCH(100,tk_FSEQ,0)),"")</f>
        <v/>
      </c>
      <c r="C105" s="70">
        <f>IFERROR(INDEX(tk_ROOMF,MATCH(100,tk_FSEQ,0))&amp;IF(INDEX(tk_ROOMT,MATCH(100,tk_FSEQ,0))="",""," → "&amp;INDEX(tk_ROOMT,MATCH(100,tk_FSEQ,0))),"")</f>
        <v/>
      </c>
      <c r="D105" s="70">
        <f>IFERROR(""&amp;INDEX(tk_SIZE,MATCH(100,tk_FSEQ,0)),"")</f>
        <v/>
      </c>
      <c r="E105" s="70">
        <f>IFERROR(""&amp;INDEX(tk_RATING,MATCH(100,tk_FSEQ,0)),"")</f>
        <v/>
      </c>
      <c r="F105" s="70">
        <f>IFERROR(TEXT(INDEX(tk_OAW,MATCH(100,tk_FSEQ,0)),"0.000")&amp;" x "&amp;TEXT(INDEX(tk_OAH,MATCH(100,tk_FSEQ,0)),"0.000"),"")</f>
        <v/>
      </c>
      <c r="G105" s="70">
        <f>IFERROR(""&amp;INDEX(tk_FLINE,MATCH(100,tk_FSEQ,0)),"")</f>
        <v/>
      </c>
      <c r="H105" s="70">
        <f>IFERROR(""&amp;INDEX(tk_FNOTES,MATCH(100,tk_FSEQ,0)),"")</f>
        <v/>
      </c>
    </row>
    <row r="106">
      <c r="A106" s="70">
        <f>IFERROR(""&amp;INDEX(tk_MARK,MATCH(101,tk_FSEQ,0)),"")</f>
        <v/>
      </c>
      <c r="B106" s="70">
        <f>IFERROR(INDEX(tk_QTY,MATCH(101,tk_FSEQ,0)),"")</f>
        <v/>
      </c>
      <c r="C106" s="70">
        <f>IFERROR(INDEX(tk_ROOMF,MATCH(101,tk_FSEQ,0))&amp;IF(INDEX(tk_ROOMT,MATCH(101,tk_FSEQ,0))="",""," → "&amp;INDEX(tk_ROOMT,MATCH(101,tk_FSEQ,0))),"")</f>
        <v/>
      </c>
      <c r="D106" s="70">
        <f>IFERROR(""&amp;INDEX(tk_SIZE,MATCH(101,tk_FSEQ,0)),"")</f>
        <v/>
      </c>
      <c r="E106" s="70">
        <f>IFERROR(""&amp;INDEX(tk_RATING,MATCH(101,tk_FSEQ,0)),"")</f>
        <v/>
      </c>
      <c r="F106" s="70">
        <f>IFERROR(TEXT(INDEX(tk_OAW,MATCH(101,tk_FSEQ,0)),"0.000")&amp;" x "&amp;TEXT(INDEX(tk_OAH,MATCH(101,tk_FSEQ,0)),"0.000"),"")</f>
        <v/>
      </c>
      <c r="G106" s="70">
        <f>IFERROR(""&amp;INDEX(tk_FLINE,MATCH(101,tk_FSEQ,0)),"")</f>
        <v/>
      </c>
      <c r="H106" s="70">
        <f>IFERROR(""&amp;INDEX(tk_FNOTES,MATCH(101,tk_FSEQ,0)),"")</f>
        <v/>
      </c>
    </row>
    <row r="107">
      <c r="A107" s="70">
        <f>IFERROR(""&amp;INDEX(tk_MARK,MATCH(102,tk_FSEQ,0)),"")</f>
        <v/>
      </c>
      <c r="B107" s="70">
        <f>IFERROR(INDEX(tk_QTY,MATCH(102,tk_FSEQ,0)),"")</f>
        <v/>
      </c>
      <c r="C107" s="70">
        <f>IFERROR(INDEX(tk_ROOMF,MATCH(102,tk_FSEQ,0))&amp;IF(INDEX(tk_ROOMT,MATCH(102,tk_FSEQ,0))="",""," → "&amp;INDEX(tk_ROOMT,MATCH(102,tk_FSEQ,0))),"")</f>
        <v/>
      </c>
      <c r="D107" s="70">
        <f>IFERROR(""&amp;INDEX(tk_SIZE,MATCH(102,tk_FSEQ,0)),"")</f>
        <v/>
      </c>
      <c r="E107" s="70">
        <f>IFERROR(""&amp;INDEX(tk_RATING,MATCH(102,tk_FSEQ,0)),"")</f>
        <v/>
      </c>
      <c r="F107" s="70">
        <f>IFERROR(TEXT(INDEX(tk_OAW,MATCH(102,tk_FSEQ,0)),"0.000")&amp;" x "&amp;TEXT(INDEX(tk_OAH,MATCH(102,tk_FSEQ,0)),"0.000"),"")</f>
        <v/>
      </c>
      <c r="G107" s="70">
        <f>IFERROR(""&amp;INDEX(tk_FLINE,MATCH(102,tk_FSEQ,0)),"")</f>
        <v/>
      </c>
      <c r="H107" s="70">
        <f>IFERROR(""&amp;INDEX(tk_FNOTES,MATCH(102,tk_FSEQ,0)),"")</f>
        <v/>
      </c>
    </row>
    <row r="108">
      <c r="A108" s="70">
        <f>IFERROR(""&amp;INDEX(tk_MARK,MATCH(103,tk_FSEQ,0)),"")</f>
        <v/>
      </c>
      <c r="B108" s="70">
        <f>IFERROR(INDEX(tk_QTY,MATCH(103,tk_FSEQ,0)),"")</f>
        <v/>
      </c>
      <c r="C108" s="70">
        <f>IFERROR(INDEX(tk_ROOMF,MATCH(103,tk_FSEQ,0))&amp;IF(INDEX(tk_ROOMT,MATCH(103,tk_FSEQ,0))="",""," → "&amp;INDEX(tk_ROOMT,MATCH(103,tk_FSEQ,0))),"")</f>
        <v/>
      </c>
      <c r="D108" s="70">
        <f>IFERROR(""&amp;INDEX(tk_SIZE,MATCH(103,tk_FSEQ,0)),"")</f>
        <v/>
      </c>
      <c r="E108" s="70">
        <f>IFERROR(""&amp;INDEX(tk_RATING,MATCH(103,tk_FSEQ,0)),"")</f>
        <v/>
      </c>
      <c r="F108" s="70">
        <f>IFERROR(TEXT(INDEX(tk_OAW,MATCH(103,tk_FSEQ,0)),"0.000")&amp;" x "&amp;TEXT(INDEX(tk_OAH,MATCH(103,tk_FSEQ,0)),"0.000"),"")</f>
        <v/>
      </c>
      <c r="G108" s="70">
        <f>IFERROR(""&amp;INDEX(tk_FLINE,MATCH(103,tk_FSEQ,0)),"")</f>
        <v/>
      </c>
      <c r="H108" s="70">
        <f>IFERROR(""&amp;INDEX(tk_FNOTES,MATCH(103,tk_FSEQ,0)),"")</f>
        <v/>
      </c>
    </row>
    <row r="109">
      <c r="A109" s="70">
        <f>IFERROR(""&amp;INDEX(tk_MARK,MATCH(104,tk_FSEQ,0)),"")</f>
        <v/>
      </c>
      <c r="B109" s="70">
        <f>IFERROR(INDEX(tk_QTY,MATCH(104,tk_FSEQ,0)),"")</f>
        <v/>
      </c>
      <c r="C109" s="70">
        <f>IFERROR(INDEX(tk_ROOMF,MATCH(104,tk_FSEQ,0))&amp;IF(INDEX(tk_ROOMT,MATCH(104,tk_FSEQ,0))="",""," → "&amp;INDEX(tk_ROOMT,MATCH(104,tk_FSEQ,0))),"")</f>
        <v/>
      </c>
      <c r="D109" s="70">
        <f>IFERROR(""&amp;INDEX(tk_SIZE,MATCH(104,tk_FSEQ,0)),"")</f>
        <v/>
      </c>
      <c r="E109" s="70">
        <f>IFERROR(""&amp;INDEX(tk_RATING,MATCH(104,tk_FSEQ,0)),"")</f>
        <v/>
      </c>
      <c r="F109" s="70">
        <f>IFERROR(TEXT(INDEX(tk_OAW,MATCH(104,tk_FSEQ,0)),"0.000")&amp;" x "&amp;TEXT(INDEX(tk_OAH,MATCH(104,tk_FSEQ,0)),"0.000"),"")</f>
        <v/>
      </c>
      <c r="G109" s="70">
        <f>IFERROR(""&amp;INDEX(tk_FLINE,MATCH(104,tk_FSEQ,0)),"")</f>
        <v/>
      </c>
      <c r="H109" s="70">
        <f>IFERROR(""&amp;INDEX(tk_FNOTES,MATCH(104,tk_FSEQ,0)),"")</f>
        <v/>
      </c>
    </row>
    <row r="110">
      <c r="A110" s="70">
        <f>IFERROR(""&amp;INDEX(tk_MARK,MATCH(105,tk_FSEQ,0)),"")</f>
        <v/>
      </c>
      <c r="B110" s="70">
        <f>IFERROR(INDEX(tk_QTY,MATCH(105,tk_FSEQ,0)),"")</f>
        <v/>
      </c>
      <c r="C110" s="70">
        <f>IFERROR(INDEX(tk_ROOMF,MATCH(105,tk_FSEQ,0))&amp;IF(INDEX(tk_ROOMT,MATCH(105,tk_FSEQ,0))="",""," → "&amp;INDEX(tk_ROOMT,MATCH(105,tk_FSEQ,0))),"")</f>
        <v/>
      </c>
      <c r="D110" s="70">
        <f>IFERROR(""&amp;INDEX(tk_SIZE,MATCH(105,tk_FSEQ,0)),"")</f>
        <v/>
      </c>
      <c r="E110" s="70">
        <f>IFERROR(""&amp;INDEX(tk_RATING,MATCH(105,tk_FSEQ,0)),"")</f>
        <v/>
      </c>
      <c r="F110" s="70">
        <f>IFERROR(TEXT(INDEX(tk_OAW,MATCH(105,tk_FSEQ,0)),"0.000")&amp;" x "&amp;TEXT(INDEX(tk_OAH,MATCH(105,tk_FSEQ,0)),"0.000"),"")</f>
        <v/>
      </c>
      <c r="G110" s="70">
        <f>IFERROR(""&amp;INDEX(tk_FLINE,MATCH(105,tk_FSEQ,0)),"")</f>
        <v/>
      </c>
      <c r="H110" s="70">
        <f>IFERROR(""&amp;INDEX(tk_FNOTES,MATCH(105,tk_FSEQ,0)),"")</f>
        <v/>
      </c>
    </row>
    <row r="111">
      <c r="A111" s="70">
        <f>IFERROR(""&amp;INDEX(tk_MARK,MATCH(106,tk_FSEQ,0)),"")</f>
        <v/>
      </c>
      <c r="B111" s="70">
        <f>IFERROR(INDEX(tk_QTY,MATCH(106,tk_FSEQ,0)),"")</f>
        <v/>
      </c>
      <c r="C111" s="70">
        <f>IFERROR(INDEX(tk_ROOMF,MATCH(106,tk_FSEQ,0))&amp;IF(INDEX(tk_ROOMT,MATCH(106,tk_FSEQ,0))="",""," → "&amp;INDEX(tk_ROOMT,MATCH(106,tk_FSEQ,0))),"")</f>
        <v/>
      </c>
      <c r="D111" s="70">
        <f>IFERROR(""&amp;INDEX(tk_SIZE,MATCH(106,tk_FSEQ,0)),"")</f>
        <v/>
      </c>
      <c r="E111" s="70">
        <f>IFERROR(""&amp;INDEX(tk_RATING,MATCH(106,tk_FSEQ,0)),"")</f>
        <v/>
      </c>
      <c r="F111" s="70">
        <f>IFERROR(TEXT(INDEX(tk_OAW,MATCH(106,tk_FSEQ,0)),"0.000")&amp;" x "&amp;TEXT(INDEX(tk_OAH,MATCH(106,tk_FSEQ,0)),"0.000"),"")</f>
        <v/>
      </c>
      <c r="G111" s="70">
        <f>IFERROR(""&amp;INDEX(tk_FLINE,MATCH(106,tk_FSEQ,0)),"")</f>
        <v/>
      </c>
      <c r="H111" s="70">
        <f>IFERROR(""&amp;INDEX(tk_FNOTES,MATCH(106,tk_FSEQ,0)),"")</f>
        <v/>
      </c>
    </row>
    <row r="112">
      <c r="A112" s="70">
        <f>IFERROR(""&amp;INDEX(tk_MARK,MATCH(107,tk_FSEQ,0)),"")</f>
        <v/>
      </c>
      <c r="B112" s="70">
        <f>IFERROR(INDEX(tk_QTY,MATCH(107,tk_FSEQ,0)),"")</f>
        <v/>
      </c>
      <c r="C112" s="70">
        <f>IFERROR(INDEX(tk_ROOMF,MATCH(107,tk_FSEQ,0))&amp;IF(INDEX(tk_ROOMT,MATCH(107,tk_FSEQ,0))="",""," → "&amp;INDEX(tk_ROOMT,MATCH(107,tk_FSEQ,0))),"")</f>
        <v/>
      </c>
      <c r="D112" s="70">
        <f>IFERROR(""&amp;INDEX(tk_SIZE,MATCH(107,tk_FSEQ,0)),"")</f>
        <v/>
      </c>
      <c r="E112" s="70">
        <f>IFERROR(""&amp;INDEX(tk_RATING,MATCH(107,tk_FSEQ,0)),"")</f>
        <v/>
      </c>
      <c r="F112" s="70">
        <f>IFERROR(TEXT(INDEX(tk_OAW,MATCH(107,tk_FSEQ,0)),"0.000")&amp;" x "&amp;TEXT(INDEX(tk_OAH,MATCH(107,tk_FSEQ,0)),"0.000"),"")</f>
        <v/>
      </c>
      <c r="G112" s="70">
        <f>IFERROR(""&amp;INDEX(tk_FLINE,MATCH(107,tk_FSEQ,0)),"")</f>
        <v/>
      </c>
      <c r="H112" s="70">
        <f>IFERROR(""&amp;INDEX(tk_FNOTES,MATCH(107,tk_FSEQ,0)),"")</f>
        <v/>
      </c>
    </row>
    <row r="113">
      <c r="A113" s="70">
        <f>IFERROR(""&amp;INDEX(tk_MARK,MATCH(108,tk_FSEQ,0)),"")</f>
        <v/>
      </c>
      <c r="B113" s="70">
        <f>IFERROR(INDEX(tk_QTY,MATCH(108,tk_FSEQ,0)),"")</f>
        <v/>
      </c>
      <c r="C113" s="70">
        <f>IFERROR(INDEX(tk_ROOMF,MATCH(108,tk_FSEQ,0))&amp;IF(INDEX(tk_ROOMT,MATCH(108,tk_FSEQ,0))="",""," → "&amp;INDEX(tk_ROOMT,MATCH(108,tk_FSEQ,0))),"")</f>
        <v/>
      </c>
      <c r="D113" s="70">
        <f>IFERROR(""&amp;INDEX(tk_SIZE,MATCH(108,tk_FSEQ,0)),"")</f>
        <v/>
      </c>
      <c r="E113" s="70">
        <f>IFERROR(""&amp;INDEX(tk_RATING,MATCH(108,tk_FSEQ,0)),"")</f>
        <v/>
      </c>
      <c r="F113" s="70">
        <f>IFERROR(TEXT(INDEX(tk_OAW,MATCH(108,tk_FSEQ,0)),"0.000")&amp;" x "&amp;TEXT(INDEX(tk_OAH,MATCH(108,tk_FSEQ,0)),"0.000"),"")</f>
        <v/>
      </c>
      <c r="G113" s="70">
        <f>IFERROR(""&amp;INDEX(tk_FLINE,MATCH(108,tk_FSEQ,0)),"")</f>
        <v/>
      </c>
      <c r="H113" s="70">
        <f>IFERROR(""&amp;INDEX(tk_FNOTES,MATCH(108,tk_FSEQ,0)),"")</f>
        <v/>
      </c>
    </row>
    <row r="114">
      <c r="A114" s="70">
        <f>IFERROR(""&amp;INDEX(tk_MARK,MATCH(109,tk_FSEQ,0)),"")</f>
        <v/>
      </c>
      <c r="B114" s="70">
        <f>IFERROR(INDEX(tk_QTY,MATCH(109,tk_FSEQ,0)),"")</f>
        <v/>
      </c>
      <c r="C114" s="70">
        <f>IFERROR(INDEX(tk_ROOMF,MATCH(109,tk_FSEQ,0))&amp;IF(INDEX(tk_ROOMT,MATCH(109,tk_FSEQ,0))="",""," → "&amp;INDEX(tk_ROOMT,MATCH(109,tk_FSEQ,0))),"")</f>
        <v/>
      </c>
      <c r="D114" s="70">
        <f>IFERROR(""&amp;INDEX(tk_SIZE,MATCH(109,tk_FSEQ,0)),"")</f>
        <v/>
      </c>
      <c r="E114" s="70">
        <f>IFERROR(""&amp;INDEX(tk_RATING,MATCH(109,tk_FSEQ,0)),"")</f>
        <v/>
      </c>
      <c r="F114" s="70">
        <f>IFERROR(TEXT(INDEX(tk_OAW,MATCH(109,tk_FSEQ,0)),"0.000")&amp;" x "&amp;TEXT(INDEX(tk_OAH,MATCH(109,tk_FSEQ,0)),"0.000"),"")</f>
        <v/>
      </c>
      <c r="G114" s="70">
        <f>IFERROR(""&amp;INDEX(tk_FLINE,MATCH(109,tk_FSEQ,0)),"")</f>
        <v/>
      </c>
      <c r="H114" s="70">
        <f>IFERROR(""&amp;INDEX(tk_FNOTES,MATCH(109,tk_FSEQ,0)),"")</f>
        <v/>
      </c>
    </row>
    <row r="115">
      <c r="A115" s="70">
        <f>IFERROR(""&amp;INDEX(tk_MARK,MATCH(110,tk_FSEQ,0)),"")</f>
        <v/>
      </c>
      <c r="B115" s="70">
        <f>IFERROR(INDEX(tk_QTY,MATCH(110,tk_FSEQ,0)),"")</f>
        <v/>
      </c>
      <c r="C115" s="70">
        <f>IFERROR(INDEX(tk_ROOMF,MATCH(110,tk_FSEQ,0))&amp;IF(INDEX(tk_ROOMT,MATCH(110,tk_FSEQ,0))="",""," → "&amp;INDEX(tk_ROOMT,MATCH(110,tk_FSEQ,0))),"")</f>
        <v/>
      </c>
      <c r="D115" s="70">
        <f>IFERROR(""&amp;INDEX(tk_SIZE,MATCH(110,tk_FSEQ,0)),"")</f>
        <v/>
      </c>
      <c r="E115" s="70">
        <f>IFERROR(""&amp;INDEX(tk_RATING,MATCH(110,tk_FSEQ,0)),"")</f>
        <v/>
      </c>
      <c r="F115" s="70">
        <f>IFERROR(TEXT(INDEX(tk_OAW,MATCH(110,tk_FSEQ,0)),"0.000")&amp;" x "&amp;TEXT(INDEX(tk_OAH,MATCH(110,tk_FSEQ,0)),"0.000"),"")</f>
        <v/>
      </c>
      <c r="G115" s="70">
        <f>IFERROR(""&amp;INDEX(tk_FLINE,MATCH(110,tk_FSEQ,0)),"")</f>
        <v/>
      </c>
      <c r="H115" s="70">
        <f>IFERROR(""&amp;INDEX(tk_FNOTES,MATCH(110,tk_FSEQ,0)),"")</f>
        <v/>
      </c>
    </row>
    <row r="116">
      <c r="A116" s="70">
        <f>IFERROR(""&amp;INDEX(tk_MARK,MATCH(111,tk_FSEQ,0)),"")</f>
        <v/>
      </c>
      <c r="B116" s="70">
        <f>IFERROR(INDEX(tk_QTY,MATCH(111,tk_FSEQ,0)),"")</f>
        <v/>
      </c>
      <c r="C116" s="70">
        <f>IFERROR(INDEX(tk_ROOMF,MATCH(111,tk_FSEQ,0))&amp;IF(INDEX(tk_ROOMT,MATCH(111,tk_FSEQ,0))="",""," → "&amp;INDEX(tk_ROOMT,MATCH(111,tk_FSEQ,0))),"")</f>
        <v/>
      </c>
      <c r="D116" s="70">
        <f>IFERROR(""&amp;INDEX(tk_SIZE,MATCH(111,tk_FSEQ,0)),"")</f>
        <v/>
      </c>
      <c r="E116" s="70">
        <f>IFERROR(""&amp;INDEX(tk_RATING,MATCH(111,tk_FSEQ,0)),"")</f>
        <v/>
      </c>
      <c r="F116" s="70">
        <f>IFERROR(TEXT(INDEX(tk_OAW,MATCH(111,tk_FSEQ,0)),"0.000")&amp;" x "&amp;TEXT(INDEX(tk_OAH,MATCH(111,tk_FSEQ,0)),"0.000"),"")</f>
        <v/>
      </c>
      <c r="G116" s="70">
        <f>IFERROR(""&amp;INDEX(tk_FLINE,MATCH(111,tk_FSEQ,0)),"")</f>
        <v/>
      </c>
      <c r="H116" s="70">
        <f>IFERROR(""&amp;INDEX(tk_FNOTES,MATCH(111,tk_FSEQ,0)),"")</f>
        <v/>
      </c>
    </row>
    <row r="117">
      <c r="A117" s="70">
        <f>IFERROR(""&amp;INDEX(tk_MARK,MATCH(112,tk_FSEQ,0)),"")</f>
        <v/>
      </c>
      <c r="B117" s="70">
        <f>IFERROR(INDEX(tk_QTY,MATCH(112,tk_FSEQ,0)),"")</f>
        <v/>
      </c>
      <c r="C117" s="70">
        <f>IFERROR(INDEX(tk_ROOMF,MATCH(112,tk_FSEQ,0))&amp;IF(INDEX(tk_ROOMT,MATCH(112,tk_FSEQ,0))="",""," → "&amp;INDEX(tk_ROOMT,MATCH(112,tk_FSEQ,0))),"")</f>
        <v/>
      </c>
      <c r="D117" s="70">
        <f>IFERROR(""&amp;INDEX(tk_SIZE,MATCH(112,tk_FSEQ,0)),"")</f>
        <v/>
      </c>
      <c r="E117" s="70">
        <f>IFERROR(""&amp;INDEX(tk_RATING,MATCH(112,tk_FSEQ,0)),"")</f>
        <v/>
      </c>
      <c r="F117" s="70">
        <f>IFERROR(TEXT(INDEX(tk_OAW,MATCH(112,tk_FSEQ,0)),"0.000")&amp;" x "&amp;TEXT(INDEX(tk_OAH,MATCH(112,tk_FSEQ,0)),"0.000"),"")</f>
        <v/>
      </c>
      <c r="G117" s="70">
        <f>IFERROR(""&amp;INDEX(tk_FLINE,MATCH(112,tk_FSEQ,0)),"")</f>
        <v/>
      </c>
      <c r="H117" s="70">
        <f>IFERROR(""&amp;INDEX(tk_FNOTES,MATCH(112,tk_FSEQ,0)),"")</f>
        <v/>
      </c>
    </row>
    <row r="118">
      <c r="A118" s="70">
        <f>IFERROR(""&amp;INDEX(tk_MARK,MATCH(113,tk_FSEQ,0)),"")</f>
        <v/>
      </c>
      <c r="B118" s="70">
        <f>IFERROR(INDEX(tk_QTY,MATCH(113,tk_FSEQ,0)),"")</f>
        <v/>
      </c>
      <c r="C118" s="70">
        <f>IFERROR(INDEX(tk_ROOMF,MATCH(113,tk_FSEQ,0))&amp;IF(INDEX(tk_ROOMT,MATCH(113,tk_FSEQ,0))="",""," → "&amp;INDEX(tk_ROOMT,MATCH(113,tk_FSEQ,0))),"")</f>
        <v/>
      </c>
      <c r="D118" s="70">
        <f>IFERROR(""&amp;INDEX(tk_SIZE,MATCH(113,tk_FSEQ,0)),"")</f>
        <v/>
      </c>
      <c r="E118" s="70">
        <f>IFERROR(""&amp;INDEX(tk_RATING,MATCH(113,tk_FSEQ,0)),"")</f>
        <v/>
      </c>
      <c r="F118" s="70">
        <f>IFERROR(TEXT(INDEX(tk_OAW,MATCH(113,tk_FSEQ,0)),"0.000")&amp;" x "&amp;TEXT(INDEX(tk_OAH,MATCH(113,tk_FSEQ,0)),"0.000"),"")</f>
        <v/>
      </c>
      <c r="G118" s="70">
        <f>IFERROR(""&amp;INDEX(tk_FLINE,MATCH(113,tk_FSEQ,0)),"")</f>
        <v/>
      </c>
      <c r="H118" s="70">
        <f>IFERROR(""&amp;INDEX(tk_FNOTES,MATCH(113,tk_FSEQ,0)),"")</f>
        <v/>
      </c>
    </row>
    <row r="119">
      <c r="A119" s="70">
        <f>IFERROR(""&amp;INDEX(tk_MARK,MATCH(114,tk_FSEQ,0)),"")</f>
        <v/>
      </c>
      <c r="B119" s="70">
        <f>IFERROR(INDEX(tk_QTY,MATCH(114,tk_FSEQ,0)),"")</f>
        <v/>
      </c>
      <c r="C119" s="70">
        <f>IFERROR(INDEX(tk_ROOMF,MATCH(114,tk_FSEQ,0))&amp;IF(INDEX(tk_ROOMT,MATCH(114,tk_FSEQ,0))="",""," → "&amp;INDEX(tk_ROOMT,MATCH(114,tk_FSEQ,0))),"")</f>
        <v/>
      </c>
      <c r="D119" s="70">
        <f>IFERROR(""&amp;INDEX(tk_SIZE,MATCH(114,tk_FSEQ,0)),"")</f>
        <v/>
      </c>
      <c r="E119" s="70">
        <f>IFERROR(""&amp;INDEX(tk_RATING,MATCH(114,tk_FSEQ,0)),"")</f>
        <v/>
      </c>
      <c r="F119" s="70">
        <f>IFERROR(TEXT(INDEX(tk_OAW,MATCH(114,tk_FSEQ,0)),"0.000")&amp;" x "&amp;TEXT(INDEX(tk_OAH,MATCH(114,tk_FSEQ,0)),"0.000"),"")</f>
        <v/>
      </c>
      <c r="G119" s="70">
        <f>IFERROR(""&amp;INDEX(tk_FLINE,MATCH(114,tk_FSEQ,0)),"")</f>
        <v/>
      </c>
      <c r="H119" s="70">
        <f>IFERROR(""&amp;INDEX(tk_FNOTES,MATCH(114,tk_FSEQ,0)),"")</f>
        <v/>
      </c>
    </row>
    <row r="120">
      <c r="A120" s="70">
        <f>IFERROR(""&amp;INDEX(tk_MARK,MATCH(115,tk_FSEQ,0)),"")</f>
        <v/>
      </c>
      <c r="B120" s="70">
        <f>IFERROR(INDEX(tk_QTY,MATCH(115,tk_FSEQ,0)),"")</f>
        <v/>
      </c>
      <c r="C120" s="70">
        <f>IFERROR(INDEX(tk_ROOMF,MATCH(115,tk_FSEQ,0))&amp;IF(INDEX(tk_ROOMT,MATCH(115,tk_FSEQ,0))="",""," → "&amp;INDEX(tk_ROOMT,MATCH(115,tk_FSEQ,0))),"")</f>
        <v/>
      </c>
      <c r="D120" s="70">
        <f>IFERROR(""&amp;INDEX(tk_SIZE,MATCH(115,tk_FSEQ,0)),"")</f>
        <v/>
      </c>
      <c r="E120" s="70">
        <f>IFERROR(""&amp;INDEX(tk_RATING,MATCH(115,tk_FSEQ,0)),"")</f>
        <v/>
      </c>
      <c r="F120" s="70">
        <f>IFERROR(TEXT(INDEX(tk_OAW,MATCH(115,tk_FSEQ,0)),"0.000")&amp;" x "&amp;TEXT(INDEX(tk_OAH,MATCH(115,tk_FSEQ,0)),"0.000"),"")</f>
        <v/>
      </c>
      <c r="G120" s="70">
        <f>IFERROR(""&amp;INDEX(tk_FLINE,MATCH(115,tk_FSEQ,0)),"")</f>
        <v/>
      </c>
      <c r="H120" s="70">
        <f>IFERROR(""&amp;INDEX(tk_FNOTES,MATCH(115,tk_FSEQ,0)),"")</f>
        <v/>
      </c>
    </row>
    <row r="121">
      <c r="A121" s="70">
        <f>IFERROR(""&amp;INDEX(tk_MARK,MATCH(116,tk_FSEQ,0)),"")</f>
        <v/>
      </c>
      <c r="B121" s="70">
        <f>IFERROR(INDEX(tk_QTY,MATCH(116,tk_FSEQ,0)),"")</f>
        <v/>
      </c>
      <c r="C121" s="70">
        <f>IFERROR(INDEX(tk_ROOMF,MATCH(116,tk_FSEQ,0))&amp;IF(INDEX(tk_ROOMT,MATCH(116,tk_FSEQ,0))="",""," → "&amp;INDEX(tk_ROOMT,MATCH(116,tk_FSEQ,0))),"")</f>
        <v/>
      </c>
      <c r="D121" s="70">
        <f>IFERROR(""&amp;INDEX(tk_SIZE,MATCH(116,tk_FSEQ,0)),"")</f>
        <v/>
      </c>
      <c r="E121" s="70">
        <f>IFERROR(""&amp;INDEX(tk_RATING,MATCH(116,tk_FSEQ,0)),"")</f>
        <v/>
      </c>
      <c r="F121" s="70">
        <f>IFERROR(TEXT(INDEX(tk_OAW,MATCH(116,tk_FSEQ,0)),"0.000")&amp;" x "&amp;TEXT(INDEX(tk_OAH,MATCH(116,tk_FSEQ,0)),"0.000"),"")</f>
        <v/>
      </c>
      <c r="G121" s="70">
        <f>IFERROR(""&amp;INDEX(tk_FLINE,MATCH(116,tk_FSEQ,0)),"")</f>
        <v/>
      </c>
      <c r="H121" s="70">
        <f>IFERROR(""&amp;INDEX(tk_FNOTES,MATCH(116,tk_FSEQ,0)),"")</f>
        <v/>
      </c>
    </row>
    <row r="122">
      <c r="A122" s="70">
        <f>IFERROR(""&amp;INDEX(tk_MARK,MATCH(117,tk_FSEQ,0)),"")</f>
        <v/>
      </c>
      <c r="B122" s="70">
        <f>IFERROR(INDEX(tk_QTY,MATCH(117,tk_FSEQ,0)),"")</f>
        <v/>
      </c>
      <c r="C122" s="70">
        <f>IFERROR(INDEX(tk_ROOMF,MATCH(117,tk_FSEQ,0))&amp;IF(INDEX(tk_ROOMT,MATCH(117,tk_FSEQ,0))="",""," → "&amp;INDEX(tk_ROOMT,MATCH(117,tk_FSEQ,0))),"")</f>
        <v/>
      </c>
      <c r="D122" s="70">
        <f>IFERROR(""&amp;INDEX(tk_SIZE,MATCH(117,tk_FSEQ,0)),"")</f>
        <v/>
      </c>
      <c r="E122" s="70">
        <f>IFERROR(""&amp;INDEX(tk_RATING,MATCH(117,tk_FSEQ,0)),"")</f>
        <v/>
      </c>
      <c r="F122" s="70">
        <f>IFERROR(TEXT(INDEX(tk_OAW,MATCH(117,tk_FSEQ,0)),"0.000")&amp;" x "&amp;TEXT(INDEX(tk_OAH,MATCH(117,tk_FSEQ,0)),"0.000"),"")</f>
        <v/>
      </c>
      <c r="G122" s="70">
        <f>IFERROR(""&amp;INDEX(tk_FLINE,MATCH(117,tk_FSEQ,0)),"")</f>
        <v/>
      </c>
      <c r="H122" s="70">
        <f>IFERROR(""&amp;INDEX(tk_FNOTES,MATCH(117,tk_FSEQ,0)),"")</f>
        <v/>
      </c>
    </row>
    <row r="123">
      <c r="A123" s="70">
        <f>IFERROR(""&amp;INDEX(tk_MARK,MATCH(118,tk_FSEQ,0)),"")</f>
        <v/>
      </c>
      <c r="B123" s="70">
        <f>IFERROR(INDEX(tk_QTY,MATCH(118,tk_FSEQ,0)),"")</f>
        <v/>
      </c>
      <c r="C123" s="70">
        <f>IFERROR(INDEX(tk_ROOMF,MATCH(118,tk_FSEQ,0))&amp;IF(INDEX(tk_ROOMT,MATCH(118,tk_FSEQ,0))="",""," → "&amp;INDEX(tk_ROOMT,MATCH(118,tk_FSEQ,0))),"")</f>
        <v/>
      </c>
      <c r="D123" s="70">
        <f>IFERROR(""&amp;INDEX(tk_SIZE,MATCH(118,tk_FSEQ,0)),"")</f>
        <v/>
      </c>
      <c r="E123" s="70">
        <f>IFERROR(""&amp;INDEX(tk_RATING,MATCH(118,tk_FSEQ,0)),"")</f>
        <v/>
      </c>
      <c r="F123" s="70">
        <f>IFERROR(TEXT(INDEX(tk_OAW,MATCH(118,tk_FSEQ,0)),"0.000")&amp;" x "&amp;TEXT(INDEX(tk_OAH,MATCH(118,tk_FSEQ,0)),"0.000"),"")</f>
        <v/>
      </c>
      <c r="G123" s="70">
        <f>IFERROR(""&amp;INDEX(tk_FLINE,MATCH(118,tk_FSEQ,0)),"")</f>
        <v/>
      </c>
      <c r="H123" s="70">
        <f>IFERROR(""&amp;INDEX(tk_FNOTES,MATCH(118,tk_FSEQ,0)),"")</f>
        <v/>
      </c>
    </row>
    <row r="124">
      <c r="A124" s="70">
        <f>IFERROR(""&amp;INDEX(tk_MARK,MATCH(119,tk_FSEQ,0)),"")</f>
        <v/>
      </c>
      <c r="B124" s="70">
        <f>IFERROR(INDEX(tk_QTY,MATCH(119,tk_FSEQ,0)),"")</f>
        <v/>
      </c>
      <c r="C124" s="70">
        <f>IFERROR(INDEX(tk_ROOMF,MATCH(119,tk_FSEQ,0))&amp;IF(INDEX(tk_ROOMT,MATCH(119,tk_FSEQ,0))="",""," → "&amp;INDEX(tk_ROOMT,MATCH(119,tk_FSEQ,0))),"")</f>
        <v/>
      </c>
      <c r="D124" s="70">
        <f>IFERROR(""&amp;INDEX(tk_SIZE,MATCH(119,tk_FSEQ,0)),"")</f>
        <v/>
      </c>
      <c r="E124" s="70">
        <f>IFERROR(""&amp;INDEX(tk_RATING,MATCH(119,tk_FSEQ,0)),"")</f>
        <v/>
      </c>
      <c r="F124" s="70">
        <f>IFERROR(TEXT(INDEX(tk_OAW,MATCH(119,tk_FSEQ,0)),"0.000")&amp;" x "&amp;TEXT(INDEX(tk_OAH,MATCH(119,tk_FSEQ,0)),"0.000"),"")</f>
        <v/>
      </c>
      <c r="G124" s="70">
        <f>IFERROR(""&amp;INDEX(tk_FLINE,MATCH(119,tk_FSEQ,0)),"")</f>
        <v/>
      </c>
      <c r="H124" s="70">
        <f>IFERROR(""&amp;INDEX(tk_FNOTES,MATCH(119,tk_FSEQ,0)),"")</f>
        <v/>
      </c>
    </row>
    <row r="125">
      <c r="A125" s="70">
        <f>IFERROR(""&amp;INDEX(tk_MARK,MATCH(120,tk_FSEQ,0)),"")</f>
        <v/>
      </c>
      <c r="B125" s="70">
        <f>IFERROR(INDEX(tk_QTY,MATCH(120,tk_FSEQ,0)),"")</f>
        <v/>
      </c>
      <c r="C125" s="70">
        <f>IFERROR(INDEX(tk_ROOMF,MATCH(120,tk_FSEQ,0))&amp;IF(INDEX(tk_ROOMT,MATCH(120,tk_FSEQ,0))="",""," → "&amp;INDEX(tk_ROOMT,MATCH(120,tk_FSEQ,0))),"")</f>
        <v/>
      </c>
      <c r="D125" s="70">
        <f>IFERROR(""&amp;INDEX(tk_SIZE,MATCH(120,tk_FSEQ,0)),"")</f>
        <v/>
      </c>
      <c r="E125" s="70">
        <f>IFERROR(""&amp;INDEX(tk_RATING,MATCH(120,tk_FSEQ,0)),"")</f>
        <v/>
      </c>
      <c r="F125" s="70">
        <f>IFERROR(TEXT(INDEX(tk_OAW,MATCH(120,tk_FSEQ,0)),"0.000")&amp;" x "&amp;TEXT(INDEX(tk_OAH,MATCH(120,tk_FSEQ,0)),"0.000"),"")</f>
        <v/>
      </c>
      <c r="G125" s="70">
        <f>IFERROR(""&amp;INDEX(tk_FLINE,MATCH(120,tk_FSEQ,0)),"")</f>
        <v/>
      </c>
      <c r="H125" s="70">
        <f>IFERROR(""&amp;INDEX(tk_FNOTES,MATCH(120,tk_FSEQ,0)),"")</f>
        <v/>
      </c>
    </row>
    <row r="126">
      <c r="A126" s="70">
        <f>IFERROR(""&amp;INDEX(tk_MARK,MATCH(121,tk_FSEQ,0)),"")</f>
        <v/>
      </c>
      <c r="B126" s="70">
        <f>IFERROR(INDEX(tk_QTY,MATCH(121,tk_FSEQ,0)),"")</f>
        <v/>
      </c>
      <c r="C126" s="70">
        <f>IFERROR(INDEX(tk_ROOMF,MATCH(121,tk_FSEQ,0))&amp;IF(INDEX(tk_ROOMT,MATCH(121,tk_FSEQ,0))="",""," → "&amp;INDEX(tk_ROOMT,MATCH(121,tk_FSEQ,0))),"")</f>
        <v/>
      </c>
      <c r="D126" s="70">
        <f>IFERROR(""&amp;INDEX(tk_SIZE,MATCH(121,tk_FSEQ,0)),"")</f>
        <v/>
      </c>
      <c r="E126" s="70">
        <f>IFERROR(""&amp;INDEX(tk_RATING,MATCH(121,tk_FSEQ,0)),"")</f>
        <v/>
      </c>
      <c r="F126" s="70">
        <f>IFERROR(TEXT(INDEX(tk_OAW,MATCH(121,tk_FSEQ,0)),"0.000")&amp;" x "&amp;TEXT(INDEX(tk_OAH,MATCH(121,tk_FSEQ,0)),"0.000"),"")</f>
        <v/>
      </c>
      <c r="G126" s="70">
        <f>IFERROR(""&amp;INDEX(tk_FLINE,MATCH(121,tk_FSEQ,0)),"")</f>
        <v/>
      </c>
      <c r="H126" s="70">
        <f>IFERROR(""&amp;INDEX(tk_FNOTES,MATCH(121,tk_FSEQ,0)),"")</f>
        <v/>
      </c>
    </row>
    <row r="127">
      <c r="A127" s="70">
        <f>IFERROR(""&amp;INDEX(tk_MARK,MATCH(122,tk_FSEQ,0)),"")</f>
        <v/>
      </c>
      <c r="B127" s="70">
        <f>IFERROR(INDEX(tk_QTY,MATCH(122,tk_FSEQ,0)),"")</f>
        <v/>
      </c>
      <c r="C127" s="70">
        <f>IFERROR(INDEX(tk_ROOMF,MATCH(122,tk_FSEQ,0))&amp;IF(INDEX(tk_ROOMT,MATCH(122,tk_FSEQ,0))="",""," → "&amp;INDEX(tk_ROOMT,MATCH(122,tk_FSEQ,0))),"")</f>
        <v/>
      </c>
      <c r="D127" s="70">
        <f>IFERROR(""&amp;INDEX(tk_SIZE,MATCH(122,tk_FSEQ,0)),"")</f>
        <v/>
      </c>
      <c r="E127" s="70">
        <f>IFERROR(""&amp;INDEX(tk_RATING,MATCH(122,tk_FSEQ,0)),"")</f>
        <v/>
      </c>
      <c r="F127" s="70">
        <f>IFERROR(TEXT(INDEX(tk_OAW,MATCH(122,tk_FSEQ,0)),"0.000")&amp;" x "&amp;TEXT(INDEX(tk_OAH,MATCH(122,tk_FSEQ,0)),"0.000"),"")</f>
        <v/>
      </c>
      <c r="G127" s="70">
        <f>IFERROR(""&amp;INDEX(tk_FLINE,MATCH(122,tk_FSEQ,0)),"")</f>
        <v/>
      </c>
      <c r="H127" s="70">
        <f>IFERROR(""&amp;INDEX(tk_FNOTES,MATCH(122,tk_FSEQ,0)),"")</f>
        <v/>
      </c>
    </row>
    <row r="128">
      <c r="A128" s="70">
        <f>IFERROR(""&amp;INDEX(tk_MARK,MATCH(123,tk_FSEQ,0)),"")</f>
        <v/>
      </c>
      <c r="B128" s="70">
        <f>IFERROR(INDEX(tk_QTY,MATCH(123,tk_FSEQ,0)),"")</f>
        <v/>
      </c>
      <c r="C128" s="70">
        <f>IFERROR(INDEX(tk_ROOMF,MATCH(123,tk_FSEQ,0))&amp;IF(INDEX(tk_ROOMT,MATCH(123,tk_FSEQ,0))="",""," → "&amp;INDEX(tk_ROOMT,MATCH(123,tk_FSEQ,0))),"")</f>
        <v/>
      </c>
      <c r="D128" s="70">
        <f>IFERROR(""&amp;INDEX(tk_SIZE,MATCH(123,tk_FSEQ,0)),"")</f>
        <v/>
      </c>
      <c r="E128" s="70">
        <f>IFERROR(""&amp;INDEX(tk_RATING,MATCH(123,tk_FSEQ,0)),"")</f>
        <v/>
      </c>
      <c r="F128" s="70">
        <f>IFERROR(TEXT(INDEX(tk_OAW,MATCH(123,tk_FSEQ,0)),"0.000")&amp;" x "&amp;TEXT(INDEX(tk_OAH,MATCH(123,tk_FSEQ,0)),"0.000"),"")</f>
        <v/>
      </c>
      <c r="G128" s="70">
        <f>IFERROR(""&amp;INDEX(tk_FLINE,MATCH(123,tk_FSEQ,0)),"")</f>
        <v/>
      </c>
      <c r="H128" s="70">
        <f>IFERROR(""&amp;INDEX(tk_FNOTES,MATCH(123,tk_FSEQ,0)),"")</f>
        <v/>
      </c>
    </row>
    <row r="129">
      <c r="A129" s="70">
        <f>IFERROR(""&amp;INDEX(tk_MARK,MATCH(124,tk_FSEQ,0)),"")</f>
        <v/>
      </c>
      <c r="B129" s="70">
        <f>IFERROR(INDEX(tk_QTY,MATCH(124,tk_FSEQ,0)),"")</f>
        <v/>
      </c>
      <c r="C129" s="70">
        <f>IFERROR(INDEX(tk_ROOMF,MATCH(124,tk_FSEQ,0))&amp;IF(INDEX(tk_ROOMT,MATCH(124,tk_FSEQ,0))="",""," → "&amp;INDEX(tk_ROOMT,MATCH(124,tk_FSEQ,0))),"")</f>
        <v/>
      </c>
      <c r="D129" s="70">
        <f>IFERROR(""&amp;INDEX(tk_SIZE,MATCH(124,tk_FSEQ,0)),"")</f>
        <v/>
      </c>
      <c r="E129" s="70">
        <f>IFERROR(""&amp;INDEX(tk_RATING,MATCH(124,tk_FSEQ,0)),"")</f>
        <v/>
      </c>
      <c r="F129" s="70">
        <f>IFERROR(TEXT(INDEX(tk_OAW,MATCH(124,tk_FSEQ,0)),"0.000")&amp;" x "&amp;TEXT(INDEX(tk_OAH,MATCH(124,tk_FSEQ,0)),"0.000"),"")</f>
        <v/>
      </c>
      <c r="G129" s="70">
        <f>IFERROR(""&amp;INDEX(tk_FLINE,MATCH(124,tk_FSEQ,0)),"")</f>
        <v/>
      </c>
      <c r="H129" s="70">
        <f>IFERROR(""&amp;INDEX(tk_FNOTES,MATCH(124,tk_FSEQ,0)),"")</f>
        <v/>
      </c>
    </row>
    <row r="130">
      <c r="A130" s="70">
        <f>IFERROR(""&amp;INDEX(tk_MARK,MATCH(125,tk_FSEQ,0)),"")</f>
        <v/>
      </c>
      <c r="B130" s="70">
        <f>IFERROR(INDEX(tk_QTY,MATCH(125,tk_FSEQ,0)),"")</f>
        <v/>
      </c>
      <c r="C130" s="70">
        <f>IFERROR(INDEX(tk_ROOMF,MATCH(125,tk_FSEQ,0))&amp;IF(INDEX(tk_ROOMT,MATCH(125,tk_FSEQ,0))="",""," → "&amp;INDEX(tk_ROOMT,MATCH(125,tk_FSEQ,0))),"")</f>
        <v/>
      </c>
      <c r="D130" s="70">
        <f>IFERROR(""&amp;INDEX(tk_SIZE,MATCH(125,tk_FSEQ,0)),"")</f>
        <v/>
      </c>
      <c r="E130" s="70">
        <f>IFERROR(""&amp;INDEX(tk_RATING,MATCH(125,tk_FSEQ,0)),"")</f>
        <v/>
      </c>
      <c r="F130" s="70">
        <f>IFERROR(TEXT(INDEX(tk_OAW,MATCH(125,tk_FSEQ,0)),"0.000")&amp;" x "&amp;TEXT(INDEX(tk_OAH,MATCH(125,tk_FSEQ,0)),"0.000"),"")</f>
        <v/>
      </c>
      <c r="G130" s="70">
        <f>IFERROR(""&amp;INDEX(tk_FLINE,MATCH(125,tk_FSEQ,0)),"")</f>
        <v/>
      </c>
      <c r="H130" s="70">
        <f>IFERROR(""&amp;INDEX(tk_FNOTES,MATCH(125,tk_FSEQ,0)),"")</f>
        <v/>
      </c>
    </row>
    <row r="131">
      <c r="A131" s="70">
        <f>IFERROR(""&amp;INDEX(tk_MARK,MATCH(126,tk_FSEQ,0)),"")</f>
        <v/>
      </c>
      <c r="B131" s="70">
        <f>IFERROR(INDEX(tk_QTY,MATCH(126,tk_FSEQ,0)),"")</f>
        <v/>
      </c>
      <c r="C131" s="70">
        <f>IFERROR(INDEX(tk_ROOMF,MATCH(126,tk_FSEQ,0))&amp;IF(INDEX(tk_ROOMT,MATCH(126,tk_FSEQ,0))="",""," → "&amp;INDEX(tk_ROOMT,MATCH(126,tk_FSEQ,0))),"")</f>
        <v/>
      </c>
      <c r="D131" s="70">
        <f>IFERROR(""&amp;INDEX(tk_SIZE,MATCH(126,tk_FSEQ,0)),"")</f>
        <v/>
      </c>
      <c r="E131" s="70">
        <f>IFERROR(""&amp;INDEX(tk_RATING,MATCH(126,tk_FSEQ,0)),"")</f>
        <v/>
      </c>
      <c r="F131" s="70">
        <f>IFERROR(TEXT(INDEX(tk_OAW,MATCH(126,tk_FSEQ,0)),"0.000")&amp;" x "&amp;TEXT(INDEX(tk_OAH,MATCH(126,tk_FSEQ,0)),"0.000"),"")</f>
        <v/>
      </c>
      <c r="G131" s="70">
        <f>IFERROR(""&amp;INDEX(tk_FLINE,MATCH(126,tk_FSEQ,0)),"")</f>
        <v/>
      </c>
      <c r="H131" s="70">
        <f>IFERROR(""&amp;INDEX(tk_FNOTES,MATCH(126,tk_FSEQ,0)),"")</f>
        <v/>
      </c>
    </row>
    <row r="132">
      <c r="A132" s="70">
        <f>IFERROR(""&amp;INDEX(tk_MARK,MATCH(127,tk_FSEQ,0)),"")</f>
        <v/>
      </c>
      <c r="B132" s="70">
        <f>IFERROR(INDEX(tk_QTY,MATCH(127,tk_FSEQ,0)),"")</f>
        <v/>
      </c>
      <c r="C132" s="70">
        <f>IFERROR(INDEX(tk_ROOMF,MATCH(127,tk_FSEQ,0))&amp;IF(INDEX(tk_ROOMT,MATCH(127,tk_FSEQ,0))="",""," → "&amp;INDEX(tk_ROOMT,MATCH(127,tk_FSEQ,0))),"")</f>
        <v/>
      </c>
      <c r="D132" s="70">
        <f>IFERROR(""&amp;INDEX(tk_SIZE,MATCH(127,tk_FSEQ,0)),"")</f>
        <v/>
      </c>
      <c r="E132" s="70">
        <f>IFERROR(""&amp;INDEX(tk_RATING,MATCH(127,tk_FSEQ,0)),"")</f>
        <v/>
      </c>
      <c r="F132" s="70">
        <f>IFERROR(TEXT(INDEX(tk_OAW,MATCH(127,tk_FSEQ,0)),"0.000")&amp;" x "&amp;TEXT(INDEX(tk_OAH,MATCH(127,tk_FSEQ,0)),"0.000"),"")</f>
        <v/>
      </c>
      <c r="G132" s="70">
        <f>IFERROR(""&amp;INDEX(tk_FLINE,MATCH(127,tk_FSEQ,0)),"")</f>
        <v/>
      </c>
      <c r="H132" s="70">
        <f>IFERROR(""&amp;INDEX(tk_FNOTES,MATCH(127,tk_FSEQ,0)),"")</f>
        <v/>
      </c>
    </row>
    <row r="133">
      <c r="A133" s="70">
        <f>IFERROR(""&amp;INDEX(tk_MARK,MATCH(128,tk_FSEQ,0)),"")</f>
        <v/>
      </c>
      <c r="B133" s="70">
        <f>IFERROR(INDEX(tk_QTY,MATCH(128,tk_FSEQ,0)),"")</f>
        <v/>
      </c>
      <c r="C133" s="70">
        <f>IFERROR(INDEX(tk_ROOMF,MATCH(128,tk_FSEQ,0))&amp;IF(INDEX(tk_ROOMT,MATCH(128,tk_FSEQ,0))="",""," → "&amp;INDEX(tk_ROOMT,MATCH(128,tk_FSEQ,0))),"")</f>
        <v/>
      </c>
      <c r="D133" s="70">
        <f>IFERROR(""&amp;INDEX(tk_SIZE,MATCH(128,tk_FSEQ,0)),"")</f>
        <v/>
      </c>
      <c r="E133" s="70">
        <f>IFERROR(""&amp;INDEX(tk_RATING,MATCH(128,tk_FSEQ,0)),"")</f>
        <v/>
      </c>
      <c r="F133" s="70">
        <f>IFERROR(TEXT(INDEX(tk_OAW,MATCH(128,tk_FSEQ,0)),"0.000")&amp;" x "&amp;TEXT(INDEX(tk_OAH,MATCH(128,tk_FSEQ,0)),"0.000"),"")</f>
        <v/>
      </c>
      <c r="G133" s="70">
        <f>IFERROR(""&amp;INDEX(tk_FLINE,MATCH(128,tk_FSEQ,0)),"")</f>
        <v/>
      </c>
      <c r="H133" s="70">
        <f>IFERROR(""&amp;INDEX(tk_FNOTES,MATCH(128,tk_FSEQ,0)),"")</f>
        <v/>
      </c>
    </row>
    <row r="134">
      <c r="A134" s="70">
        <f>IFERROR(""&amp;INDEX(tk_MARK,MATCH(129,tk_FSEQ,0)),"")</f>
        <v/>
      </c>
      <c r="B134" s="70">
        <f>IFERROR(INDEX(tk_QTY,MATCH(129,tk_FSEQ,0)),"")</f>
        <v/>
      </c>
      <c r="C134" s="70">
        <f>IFERROR(INDEX(tk_ROOMF,MATCH(129,tk_FSEQ,0))&amp;IF(INDEX(tk_ROOMT,MATCH(129,tk_FSEQ,0))="",""," → "&amp;INDEX(tk_ROOMT,MATCH(129,tk_FSEQ,0))),"")</f>
        <v/>
      </c>
      <c r="D134" s="70">
        <f>IFERROR(""&amp;INDEX(tk_SIZE,MATCH(129,tk_FSEQ,0)),"")</f>
        <v/>
      </c>
      <c r="E134" s="70">
        <f>IFERROR(""&amp;INDEX(tk_RATING,MATCH(129,tk_FSEQ,0)),"")</f>
        <v/>
      </c>
      <c r="F134" s="70">
        <f>IFERROR(TEXT(INDEX(tk_OAW,MATCH(129,tk_FSEQ,0)),"0.000")&amp;" x "&amp;TEXT(INDEX(tk_OAH,MATCH(129,tk_FSEQ,0)),"0.000"),"")</f>
        <v/>
      </c>
      <c r="G134" s="70">
        <f>IFERROR(""&amp;INDEX(tk_FLINE,MATCH(129,tk_FSEQ,0)),"")</f>
        <v/>
      </c>
      <c r="H134" s="70">
        <f>IFERROR(""&amp;INDEX(tk_FNOTES,MATCH(129,tk_FSEQ,0)),"")</f>
        <v/>
      </c>
    </row>
    <row r="135">
      <c r="A135" s="70">
        <f>IFERROR(""&amp;INDEX(tk_MARK,MATCH(130,tk_FSEQ,0)),"")</f>
        <v/>
      </c>
      <c r="B135" s="70">
        <f>IFERROR(INDEX(tk_QTY,MATCH(130,tk_FSEQ,0)),"")</f>
        <v/>
      </c>
      <c r="C135" s="70">
        <f>IFERROR(INDEX(tk_ROOMF,MATCH(130,tk_FSEQ,0))&amp;IF(INDEX(tk_ROOMT,MATCH(130,tk_FSEQ,0))="",""," → "&amp;INDEX(tk_ROOMT,MATCH(130,tk_FSEQ,0))),"")</f>
        <v/>
      </c>
      <c r="D135" s="70">
        <f>IFERROR(""&amp;INDEX(tk_SIZE,MATCH(130,tk_FSEQ,0)),"")</f>
        <v/>
      </c>
      <c r="E135" s="70">
        <f>IFERROR(""&amp;INDEX(tk_RATING,MATCH(130,tk_FSEQ,0)),"")</f>
        <v/>
      </c>
      <c r="F135" s="70">
        <f>IFERROR(TEXT(INDEX(tk_OAW,MATCH(130,tk_FSEQ,0)),"0.000")&amp;" x "&amp;TEXT(INDEX(tk_OAH,MATCH(130,tk_FSEQ,0)),"0.000"),"")</f>
        <v/>
      </c>
      <c r="G135" s="70">
        <f>IFERROR(""&amp;INDEX(tk_FLINE,MATCH(130,tk_FSEQ,0)),"")</f>
        <v/>
      </c>
      <c r="H135" s="70">
        <f>IFERROR(""&amp;INDEX(tk_FNOTES,MATCH(130,tk_FSEQ,0)),"")</f>
        <v/>
      </c>
    </row>
    <row r="136">
      <c r="A136" s="70">
        <f>IFERROR(""&amp;INDEX(tk_MARK,MATCH(131,tk_FSEQ,0)),"")</f>
        <v/>
      </c>
      <c r="B136" s="70">
        <f>IFERROR(INDEX(tk_QTY,MATCH(131,tk_FSEQ,0)),"")</f>
        <v/>
      </c>
      <c r="C136" s="70">
        <f>IFERROR(INDEX(tk_ROOMF,MATCH(131,tk_FSEQ,0))&amp;IF(INDEX(tk_ROOMT,MATCH(131,tk_FSEQ,0))="",""," → "&amp;INDEX(tk_ROOMT,MATCH(131,tk_FSEQ,0))),"")</f>
        <v/>
      </c>
      <c r="D136" s="70">
        <f>IFERROR(""&amp;INDEX(tk_SIZE,MATCH(131,tk_FSEQ,0)),"")</f>
        <v/>
      </c>
      <c r="E136" s="70">
        <f>IFERROR(""&amp;INDEX(tk_RATING,MATCH(131,tk_FSEQ,0)),"")</f>
        <v/>
      </c>
      <c r="F136" s="70">
        <f>IFERROR(TEXT(INDEX(tk_OAW,MATCH(131,tk_FSEQ,0)),"0.000")&amp;" x "&amp;TEXT(INDEX(tk_OAH,MATCH(131,tk_FSEQ,0)),"0.000"),"")</f>
        <v/>
      </c>
      <c r="G136" s="70">
        <f>IFERROR(""&amp;INDEX(tk_FLINE,MATCH(131,tk_FSEQ,0)),"")</f>
        <v/>
      </c>
      <c r="H136" s="70">
        <f>IFERROR(""&amp;INDEX(tk_FNOTES,MATCH(131,tk_FSEQ,0)),"")</f>
        <v/>
      </c>
    </row>
    <row r="137">
      <c r="A137" s="70">
        <f>IFERROR(""&amp;INDEX(tk_MARK,MATCH(132,tk_FSEQ,0)),"")</f>
        <v/>
      </c>
      <c r="B137" s="70">
        <f>IFERROR(INDEX(tk_QTY,MATCH(132,tk_FSEQ,0)),"")</f>
        <v/>
      </c>
      <c r="C137" s="70">
        <f>IFERROR(INDEX(tk_ROOMF,MATCH(132,tk_FSEQ,0))&amp;IF(INDEX(tk_ROOMT,MATCH(132,tk_FSEQ,0))="",""," → "&amp;INDEX(tk_ROOMT,MATCH(132,tk_FSEQ,0))),"")</f>
        <v/>
      </c>
      <c r="D137" s="70">
        <f>IFERROR(""&amp;INDEX(tk_SIZE,MATCH(132,tk_FSEQ,0)),"")</f>
        <v/>
      </c>
      <c r="E137" s="70">
        <f>IFERROR(""&amp;INDEX(tk_RATING,MATCH(132,tk_FSEQ,0)),"")</f>
        <v/>
      </c>
      <c r="F137" s="70">
        <f>IFERROR(TEXT(INDEX(tk_OAW,MATCH(132,tk_FSEQ,0)),"0.000")&amp;" x "&amp;TEXT(INDEX(tk_OAH,MATCH(132,tk_FSEQ,0)),"0.000"),"")</f>
        <v/>
      </c>
      <c r="G137" s="70">
        <f>IFERROR(""&amp;INDEX(tk_FLINE,MATCH(132,tk_FSEQ,0)),"")</f>
        <v/>
      </c>
      <c r="H137" s="70">
        <f>IFERROR(""&amp;INDEX(tk_FNOTES,MATCH(132,tk_FSEQ,0)),"")</f>
        <v/>
      </c>
    </row>
    <row r="138">
      <c r="A138" s="70">
        <f>IFERROR(""&amp;INDEX(tk_MARK,MATCH(133,tk_FSEQ,0)),"")</f>
        <v/>
      </c>
      <c r="B138" s="70">
        <f>IFERROR(INDEX(tk_QTY,MATCH(133,tk_FSEQ,0)),"")</f>
        <v/>
      </c>
      <c r="C138" s="70">
        <f>IFERROR(INDEX(tk_ROOMF,MATCH(133,tk_FSEQ,0))&amp;IF(INDEX(tk_ROOMT,MATCH(133,tk_FSEQ,0))="",""," → "&amp;INDEX(tk_ROOMT,MATCH(133,tk_FSEQ,0))),"")</f>
        <v/>
      </c>
      <c r="D138" s="70">
        <f>IFERROR(""&amp;INDEX(tk_SIZE,MATCH(133,tk_FSEQ,0)),"")</f>
        <v/>
      </c>
      <c r="E138" s="70">
        <f>IFERROR(""&amp;INDEX(tk_RATING,MATCH(133,tk_FSEQ,0)),"")</f>
        <v/>
      </c>
      <c r="F138" s="70">
        <f>IFERROR(TEXT(INDEX(tk_OAW,MATCH(133,tk_FSEQ,0)),"0.000")&amp;" x "&amp;TEXT(INDEX(tk_OAH,MATCH(133,tk_FSEQ,0)),"0.000"),"")</f>
        <v/>
      </c>
      <c r="G138" s="70">
        <f>IFERROR(""&amp;INDEX(tk_FLINE,MATCH(133,tk_FSEQ,0)),"")</f>
        <v/>
      </c>
      <c r="H138" s="70">
        <f>IFERROR(""&amp;INDEX(tk_FNOTES,MATCH(133,tk_FSEQ,0)),"")</f>
        <v/>
      </c>
    </row>
    <row r="139">
      <c r="A139" s="70">
        <f>IFERROR(""&amp;INDEX(tk_MARK,MATCH(134,tk_FSEQ,0)),"")</f>
        <v/>
      </c>
      <c r="B139" s="70">
        <f>IFERROR(INDEX(tk_QTY,MATCH(134,tk_FSEQ,0)),"")</f>
        <v/>
      </c>
      <c r="C139" s="70">
        <f>IFERROR(INDEX(tk_ROOMF,MATCH(134,tk_FSEQ,0))&amp;IF(INDEX(tk_ROOMT,MATCH(134,tk_FSEQ,0))="",""," → "&amp;INDEX(tk_ROOMT,MATCH(134,tk_FSEQ,0))),"")</f>
        <v/>
      </c>
      <c r="D139" s="70">
        <f>IFERROR(""&amp;INDEX(tk_SIZE,MATCH(134,tk_FSEQ,0)),"")</f>
        <v/>
      </c>
      <c r="E139" s="70">
        <f>IFERROR(""&amp;INDEX(tk_RATING,MATCH(134,tk_FSEQ,0)),"")</f>
        <v/>
      </c>
      <c r="F139" s="70">
        <f>IFERROR(TEXT(INDEX(tk_OAW,MATCH(134,tk_FSEQ,0)),"0.000")&amp;" x "&amp;TEXT(INDEX(tk_OAH,MATCH(134,tk_FSEQ,0)),"0.000"),"")</f>
        <v/>
      </c>
      <c r="G139" s="70">
        <f>IFERROR(""&amp;INDEX(tk_FLINE,MATCH(134,tk_FSEQ,0)),"")</f>
        <v/>
      </c>
      <c r="H139" s="70">
        <f>IFERROR(""&amp;INDEX(tk_FNOTES,MATCH(134,tk_FSEQ,0)),"")</f>
        <v/>
      </c>
    </row>
    <row r="140">
      <c r="A140" s="70">
        <f>IFERROR(""&amp;INDEX(tk_MARK,MATCH(135,tk_FSEQ,0)),"")</f>
        <v/>
      </c>
      <c r="B140" s="70">
        <f>IFERROR(INDEX(tk_QTY,MATCH(135,tk_FSEQ,0)),"")</f>
        <v/>
      </c>
      <c r="C140" s="70">
        <f>IFERROR(INDEX(tk_ROOMF,MATCH(135,tk_FSEQ,0))&amp;IF(INDEX(tk_ROOMT,MATCH(135,tk_FSEQ,0))="",""," → "&amp;INDEX(tk_ROOMT,MATCH(135,tk_FSEQ,0))),"")</f>
        <v/>
      </c>
      <c r="D140" s="70">
        <f>IFERROR(""&amp;INDEX(tk_SIZE,MATCH(135,tk_FSEQ,0)),"")</f>
        <v/>
      </c>
      <c r="E140" s="70">
        <f>IFERROR(""&amp;INDEX(tk_RATING,MATCH(135,tk_FSEQ,0)),"")</f>
        <v/>
      </c>
      <c r="F140" s="70">
        <f>IFERROR(TEXT(INDEX(tk_OAW,MATCH(135,tk_FSEQ,0)),"0.000")&amp;" x "&amp;TEXT(INDEX(tk_OAH,MATCH(135,tk_FSEQ,0)),"0.000"),"")</f>
        <v/>
      </c>
      <c r="G140" s="70">
        <f>IFERROR(""&amp;INDEX(tk_FLINE,MATCH(135,tk_FSEQ,0)),"")</f>
        <v/>
      </c>
      <c r="H140" s="70">
        <f>IFERROR(""&amp;INDEX(tk_FNOTES,MATCH(135,tk_FSEQ,0)),"")</f>
        <v/>
      </c>
    </row>
    <row r="141">
      <c r="A141" s="70">
        <f>IFERROR(""&amp;INDEX(tk_MARK,MATCH(136,tk_FSEQ,0)),"")</f>
        <v/>
      </c>
      <c r="B141" s="70">
        <f>IFERROR(INDEX(tk_QTY,MATCH(136,tk_FSEQ,0)),"")</f>
        <v/>
      </c>
      <c r="C141" s="70">
        <f>IFERROR(INDEX(tk_ROOMF,MATCH(136,tk_FSEQ,0))&amp;IF(INDEX(tk_ROOMT,MATCH(136,tk_FSEQ,0))="",""," → "&amp;INDEX(tk_ROOMT,MATCH(136,tk_FSEQ,0))),"")</f>
        <v/>
      </c>
      <c r="D141" s="70">
        <f>IFERROR(""&amp;INDEX(tk_SIZE,MATCH(136,tk_FSEQ,0)),"")</f>
        <v/>
      </c>
      <c r="E141" s="70">
        <f>IFERROR(""&amp;INDEX(tk_RATING,MATCH(136,tk_FSEQ,0)),"")</f>
        <v/>
      </c>
      <c r="F141" s="70">
        <f>IFERROR(TEXT(INDEX(tk_OAW,MATCH(136,tk_FSEQ,0)),"0.000")&amp;" x "&amp;TEXT(INDEX(tk_OAH,MATCH(136,tk_FSEQ,0)),"0.000"),"")</f>
        <v/>
      </c>
      <c r="G141" s="70">
        <f>IFERROR(""&amp;INDEX(tk_FLINE,MATCH(136,tk_FSEQ,0)),"")</f>
        <v/>
      </c>
      <c r="H141" s="70">
        <f>IFERROR(""&amp;INDEX(tk_FNOTES,MATCH(136,tk_FSEQ,0)),"")</f>
        <v/>
      </c>
    </row>
    <row r="142">
      <c r="A142" s="70">
        <f>IFERROR(""&amp;INDEX(tk_MARK,MATCH(137,tk_FSEQ,0)),"")</f>
        <v/>
      </c>
      <c r="B142" s="70">
        <f>IFERROR(INDEX(tk_QTY,MATCH(137,tk_FSEQ,0)),"")</f>
        <v/>
      </c>
      <c r="C142" s="70">
        <f>IFERROR(INDEX(tk_ROOMF,MATCH(137,tk_FSEQ,0))&amp;IF(INDEX(tk_ROOMT,MATCH(137,tk_FSEQ,0))="",""," → "&amp;INDEX(tk_ROOMT,MATCH(137,tk_FSEQ,0))),"")</f>
        <v/>
      </c>
      <c r="D142" s="70">
        <f>IFERROR(""&amp;INDEX(tk_SIZE,MATCH(137,tk_FSEQ,0)),"")</f>
        <v/>
      </c>
      <c r="E142" s="70">
        <f>IFERROR(""&amp;INDEX(tk_RATING,MATCH(137,tk_FSEQ,0)),"")</f>
        <v/>
      </c>
      <c r="F142" s="70">
        <f>IFERROR(TEXT(INDEX(tk_OAW,MATCH(137,tk_FSEQ,0)),"0.000")&amp;" x "&amp;TEXT(INDEX(tk_OAH,MATCH(137,tk_FSEQ,0)),"0.000"),"")</f>
        <v/>
      </c>
      <c r="G142" s="70">
        <f>IFERROR(""&amp;INDEX(tk_FLINE,MATCH(137,tk_FSEQ,0)),"")</f>
        <v/>
      </c>
      <c r="H142" s="70">
        <f>IFERROR(""&amp;INDEX(tk_FNOTES,MATCH(137,tk_FSEQ,0)),"")</f>
        <v/>
      </c>
    </row>
    <row r="143">
      <c r="A143" s="70">
        <f>IFERROR(""&amp;INDEX(tk_MARK,MATCH(138,tk_FSEQ,0)),"")</f>
        <v/>
      </c>
      <c r="B143" s="70">
        <f>IFERROR(INDEX(tk_QTY,MATCH(138,tk_FSEQ,0)),"")</f>
        <v/>
      </c>
      <c r="C143" s="70">
        <f>IFERROR(INDEX(tk_ROOMF,MATCH(138,tk_FSEQ,0))&amp;IF(INDEX(tk_ROOMT,MATCH(138,tk_FSEQ,0))="",""," → "&amp;INDEX(tk_ROOMT,MATCH(138,tk_FSEQ,0))),"")</f>
        <v/>
      </c>
      <c r="D143" s="70">
        <f>IFERROR(""&amp;INDEX(tk_SIZE,MATCH(138,tk_FSEQ,0)),"")</f>
        <v/>
      </c>
      <c r="E143" s="70">
        <f>IFERROR(""&amp;INDEX(tk_RATING,MATCH(138,tk_FSEQ,0)),"")</f>
        <v/>
      </c>
      <c r="F143" s="70">
        <f>IFERROR(TEXT(INDEX(tk_OAW,MATCH(138,tk_FSEQ,0)),"0.000")&amp;" x "&amp;TEXT(INDEX(tk_OAH,MATCH(138,tk_FSEQ,0)),"0.000"),"")</f>
        <v/>
      </c>
      <c r="G143" s="70">
        <f>IFERROR(""&amp;INDEX(tk_FLINE,MATCH(138,tk_FSEQ,0)),"")</f>
        <v/>
      </c>
      <c r="H143" s="70">
        <f>IFERROR(""&amp;INDEX(tk_FNOTES,MATCH(138,tk_FSEQ,0)),"")</f>
        <v/>
      </c>
    </row>
    <row r="144">
      <c r="A144" s="70">
        <f>IFERROR(""&amp;INDEX(tk_MARK,MATCH(139,tk_FSEQ,0)),"")</f>
        <v/>
      </c>
      <c r="B144" s="70">
        <f>IFERROR(INDEX(tk_QTY,MATCH(139,tk_FSEQ,0)),"")</f>
        <v/>
      </c>
      <c r="C144" s="70">
        <f>IFERROR(INDEX(tk_ROOMF,MATCH(139,tk_FSEQ,0))&amp;IF(INDEX(tk_ROOMT,MATCH(139,tk_FSEQ,0))="",""," → "&amp;INDEX(tk_ROOMT,MATCH(139,tk_FSEQ,0))),"")</f>
        <v/>
      </c>
      <c r="D144" s="70">
        <f>IFERROR(""&amp;INDEX(tk_SIZE,MATCH(139,tk_FSEQ,0)),"")</f>
        <v/>
      </c>
      <c r="E144" s="70">
        <f>IFERROR(""&amp;INDEX(tk_RATING,MATCH(139,tk_FSEQ,0)),"")</f>
        <v/>
      </c>
      <c r="F144" s="70">
        <f>IFERROR(TEXT(INDEX(tk_OAW,MATCH(139,tk_FSEQ,0)),"0.000")&amp;" x "&amp;TEXT(INDEX(tk_OAH,MATCH(139,tk_FSEQ,0)),"0.000"),"")</f>
        <v/>
      </c>
      <c r="G144" s="70">
        <f>IFERROR(""&amp;INDEX(tk_FLINE,MATCH(139,tk_FSEQ,0)),"")</f>
        <v/>
      </c>
      <c r="H144" s="70">
        <f>IFERROR(""&amp;INDEX(tk_FNOTES,MATCH(139,tk_FSEQ,0)),"")</f>
        <v/>
      </c>
    </row>
    <row r="145">
      <c r="A145" s="70">
        <f>IFERROR(""&amp;INDEX(tk_MARK,MATCH(140,tk_FSEQ,0)),"")</f>
        <v/>
      </c>
      <c r="B145" s="70">
        <f>IFERROR(INDEX(tk_QTY,MATCH(140,tk_FSEQ,0)),"")</f>
        <v/>
      </c>
      <c r="C145" s="70">
        <f>IFERROR(INDEX(tk_ROOMF,MATCH(140,tk_FSEQ,0))&amp;IF(INDEX(tk_ROOMT,MATCH(140,tk_FSEQ,0))="",""," → "&amp;INDEX(tk_ROOMT,MATCH(140,tk_FSEQ,0))),"")</f>
        <v/>
      </c>
      <c r="D145" s="70">
        <f>IFERROR(""&amp;INDEX(tk_SIZE,MATCH(140,tk_FSEQ,0)),"")</f>
        <v/>
      </c>
      <c r="E145" s="70">
        <f>IFERROR(""&amp;INDEX(tk_RATING,MATCH(140,tk_FSEQ,0)),"")</f>
        <v/>
      </c>
      <c r="F145" s="70">
        <f>IFERROR(TEXT(INDEX(tk_OAW,MATCH(140,tk_FSEQ,0)),"0.000")&amp;" x "&amp;TEXT(INDEX(tk_OAH,MATCH(140,tk_FSEQ,0)),"0.000"),"")</f>
        <v/>
      </c>
      <c r="G145" s="70">
        <f>IFERROR(""&amp;INDEX(tk_FLINE,MATCH(140,tk_FSEQ,0)),"")</f>
        <v/>
      </c>
      <c r="H145" s="70">
        <f>IFERROR(""&amp;INDEX(tk_FNOTES,MATCH(140,tk_FSEQ,0)),"")</f>
        <v/>
      </c>
    </row>
    <row r="146">
      <c r="A146" s="70">
        <f>IFERROR(""&amp;INDEX(tk_MARK,MATCH(141,tk_FSEQ,0)),"")</f>
        <v/>
      </c>
      <c r="B146" s="70">
        <f>IFERROR(INDEX(tk_QTY,MATCH(141,tk_FSEQ,0)),"")</f>
        <v/>
      </c>
      <c r="C146" s="70">
        <f>IFERROR(INDEX(tk_ROOMF,MATCH(141,tk_FSEQ,0))&amp;IF(INDEX(tk_ROOMT,MATCH(141,tk_FSEQ,0))="",""," → "&amp;INDEX(tk_ROOMT,MATCH(141,tk_FSEQ,0))),"")</f>
        <v/>
      </c>
      <c r="D146" s="70">
        <f>IFERROR(""&amp;INDEX(tk_SIZE,MATCH(141,tk_FSEQ,0)),"")</f>
        <v/>
      </c>
      <c r="E146" s="70">
        <f>IFERROR(""&amp;INDEX(tk_RATING,MATCH(141,tk_FSEQ,0)),"")</f>
        <v/>
      </c>
      <c r="F146" s="70">
        <f>IFERROR(TEXT(INDEX(tk_OAW,MATCH(141,tk_FSEQ,0)),"0.000")&amp;" x "&amp;TEXT(INDEX(tk_OAH,MATCH(141,tk_FSEQ,0)),"0.000"),"")</f>
        <v/>
      </c>
      <c r="G146" s="70">
        <f>IFERROR(""&amp;INDEX(tk_FLINE,MATCH(141,tk_FSEQ,0)),"")</f>
        <v/>
      </c>
      <c r="H146" s="70">
        <f>IFERROR(""&amp;INDEX(tk_FNOTES,MATCH(141,tk_FSEQ,0)),"")</f>
        <v/>
      </c>
    </row>
    <row r="147">
      <c r="A147" s="70">
        <f>IFERROR(""&amp;INDEX(tk_MARK,MATCH(142,tk_FSEQ,0)),"")</f>
        <v/>
      </c>
      <c r="B147" s="70">
        <f>IFERROR(INDEX(tk_QTY,MATCH(142,tk_FSEQ,0)),"")</f>
        <v/>
      </c>
      <c r="C147" s="70">
        <f>IFERROR(INDEX(tk_ROOMF,MATCH(142,tk_FSEQ,0))&amp;IF(INDEX(tk_ROOMT,MATCH(142,tk_FSEQ,0))="",""," → "&amp;INDEX(tk_ROOMT,MATCH(142,tk_FSEQ,0))),"")</f>
        <v/>
      </c>
      <c r="D147" s="70">
        <f>IFERROR(""&amp;INDEX(tk_SIZE,MATCH(142,tk_FSEQ,0)),"")</f>
        <v/>
      </c>
      <c r="E147" s="70">
        <f>IFERROR(""&amp;INDEX(tk_RATING,MATCH(142,tk_FSEQ,0)),"")</f>
        <v/>
      </c>
      <c r="F147" s="70">
        <f>IFERROR(TEXT(INDEX(tk_OAW,MATCH(142,tk_FSEQ,0)),"0.000")&amp;" x "&amp;TEXT(INDEX(tk_OAH,MATCH(142,tk_FSEQ,0)),"0.000"),"")</f>
        <v/>
      </c>
      <c r="G147" s="70">
        <f>IFERROR(""&amp;INDEX(tk_FLINE,MATCH(142,tk_FSEQ,0)),"")</f>
        <v/>
      </c>
      <c r="H147" s="70">
        <f>IFERROR(""&amp;INDEX(tk_FNOTES,MATCH(142,tk_FSEQ,0)),"")</f>
        <v/>
      </c>
    </row>
    <row r="148">
      <c r="A148" s="70">
        <f>IFERROR(""&amp;INDEX(tk_MARK,MATCH(143,tk_FSEQ,0)),"")</f>
        <v/>
      </c>
      <c r="B148" s="70">
        <f>IFERROR(INDEX(tk_QTY,MATCH(143,tk_FSEQ,0)),"")</f>
        <v/>
      </c>
      <c r="C148" s="70">
        <f>IFERROR(INDEX(tk_ROOMF,MATCH(143,tk_FSEQ,0))&amp;IF(INDEX(tk_ROOMT,MATCH(143,tk_FSEQ,0))="",""," → "&amp;INDEX(tk_ROOMT,MATCH(143,tk_FSEQ,0))),"")</f>
        <v/>
      </c>
      <c r="D148" s="70">
        <f>IFERROR(""&amp;INDEX(tk_SIZE,MATCH(143,tk_FSEQ,0)),"")</f>
        <v/>
      </c>
      <c r="E148" s="70">
        <f>IFERROR(""&amp;INDEX(tk_RATING,MATCH(143,tk_FSEQ,0)),"")</f>
        <v/>
      </c>
      <c r="F148" s="70">
        <f>IFERROR(TEXT(INDEX(tk_OAW,MATCH(143,tk_FSEQ,0)),"0.000")&amp;" x "&amp;TEXT(INDEX(tk_OAH,MATCH(143,tk_FSEQ,0)),"0.000"),"")</f>
        <v/>
      </c>
      <c r="G148" s="70">
        <f>IFERROR(""&amp;INDEX(tk_FLINE,MATCH(143,tk_FSEQ,0)),"")</f>
        <v/>
      </c>
      <c r="H148" s="70">
        <f>IFERROR(""&amp;INDEX(tk_FNOTES,MATCH(143,tk_FSEQ,0)),"")</f>
        <v/>
      </c>
    </row>
    <row r="149">
      <c r="A149" s="70">
        <f>IFERROR(""&amp;INDEX(tk_MARK,MATCH(144,tk_FSEQ,0)),"")</f>
        <v/>
      </c>
      <c r="B149" s="70">
        <f>IFERROR(INDEX(tk_QTY,MATCH(144,tk_FSEQ,0)),"")</f>
        <v/>
      </c>
      <c r="C149" s="70">
        <f>IFERROR(INDEX(tk_ROOMF,MATCH(144,tk_FSEQ,0))&amp;IF(INDEX(tk_ROOMT,MATCH(144,tk_FSEQ,0))="",""," → "&amp;INDEX(tk_ROOMT,MATCH(144,tk_FSEQ,0))),"")</f>
        <v/>
      </c>
      <c r="D149" s="70">
        <f>IFERROR(""&amp;INDEX(tk_SIZE,MATCH(144,tk_FSEQ,0)),"")</f>
        <v/>
      </c>
      <c r="E149" s="70">
        <f>IFERROR(""&amp;INDEX(tk_RATING,MATCH(144,tk_FSEQ,0)),"")</f>
        <v/>
      </c>
      <c r="F149" s="70">
        <f>IFERROR(TEXT(INDEX(tk_OAW,MATCH(144,tk_FSEQ,0)),"0.000")&amp;" x "&amp;TEXT(INDEX(tk_OAH,MATCH(144,tk_FSEQ,0)),"0.000"),"")</f>
        <v/>
      </c>
      <c r="G149" s="70">
        <f>IFERROR(""&amp;INDEX(tk_FLINE,MATCH(144,tk_FSEQ,0)),"")</f>
        <v/>
      </c>
      <c r="H149" s="70">
        <f>IFERROR(""&amp;INDEX(tk_FNOTES,MATCH(144,tk_FSEQ,0)),"")</f>
        <v/>
      </c>
    </row>
    <row r="150">
      <c r="A150" s="70">
        <f>IFERROR(""&amp;INDEX(tk_MARK,MATCH(145,tk_FSEQ,0)),"")</f>
        <v/>
      </c>
      <c r="B150" s="70">
        <f>IFERROR(INDEX(tk_QTY,MATCH(145,tk_FSEQ,0)),"")</f>
        <v/>
      </c>
      <c r="C150" s="70">
        <f>IFERROR(INDEX(tk_ROOMF,MATCH(145,tk_FSEQ,0))&amp;IF(INDEX(tk_ROOMT,MATCH(145,tk_FSEQ,0))="",""," → "&amp;INDEX(tk_ROOMT,MATCH(145,tk_FSEQ,0))),"")</f>
        <v/>
      </c>
      <c r="D150" s="70">
        <f>IFERROR(""&amp;INDEX(tk_SIZE,MATCH(145,tk_FSEQ,0)),"")</f>
        <v/>
      </c>
      <c r="E150" s="70">
        <f>IFERROR(""&amp;INDEX(tk_RATING,MATCH(145,tk_FSEQ,0)),"")</f>
        <v/>
      </c>
      <c r="F150" s="70">
        <f>IFERROR(TEXT(INDEX(tk_OAW,MATCH(145,tk_FSEQ,0)),"0.000")&amp;" x "&amp;TEXT(INDEX(tk_OAH,MATCH(145,tk_FSEQ,0)),"0.000"),"")</f>
        <v/>
      </c>
      <c r="G150" s="70">
        <f>IFERROR(""&amp;INDEX(tk_FLINE,MATCH(145,tk_FSEQ,0)),"")</f>
        <v/>
      </c>
      <c r="H150" s="70">
        <f>IFERROR(""&amp;INDEX(tk_FNOTES,MATCH(145,tk_FSEQ,0)),"")</f>
        <v/>
      </c>
    </row>
    <row r="151">
      <c r="A151" s="70">
        <f>IFERROR(""&amp;INDEX(tk_MARK,MATCH(146,tk_FSEQ,0)),"")</f>
        <v/>
      </c>
      <c r="B151" s="70">
        <f>IFERROR(INDEX(tk_QTY,MATCH(146,tk_FSEQ,0)),"")</f>
        <v/>
      </c>
      <c r="C151" s="70">
        <f>IFERROR(INDEX(tk_ROOMF,MATCH(146,tk_FSEQ,0))&amp;IF(INDEX(tk_ROOMT,MATCH(146,tk_FSEQ,0))="",""," → "&amp;INDEX(tk_ROOMT,MATCH(146,tk_FSEQ,0))),"")</f>
        <v/>
      </c>
      <c r="D151" s="70">
        <f>IFERROR(""&amp;INDEX(tk_SIZE,MATCH(146,tk_FSEQ,0)),"")</f>
        <v/>
      </c>
      <c r="E151" s="70">
        <f>IFERROR(""&amp;INDEX(tk_RATING,MATCH(146,tk_FSEQ,0)),"")</f>
        <v/>
      </c>
      <c r="F151" s="70">
        <f>IFERROR(TEXT(INDEX(tk_OAW,MATCH(146,tk_FSEQ,0)),"0.000")&amp;" x "&amp;TEXT(INDEX(tk_OAH,MATCH(146,tk_FSEQ,0)),"0.000"),"")</f>
        <v/>
      </c>
      <c r="G151" s="70">
        <f>IFERROR(""&amp;INDEX(tk_FLINE,MATCH(146,tk_FSEQ,0)),"")</f>
        <v/>
      </c>
      <c r="H151" s="70">
        <f>IFERROR(""&amp;INDEX(tk_FNOTES,MATCH(146,tk_FSEQ,0)),"")</f>
        <v/>
      </c>
    </row>
    <row r="152">
      <c r="A152" s="70">
        <f>IFERROR(""&amp;INDEX(tk_MARK,MATCH(147,tk_FSEQ,0)),"")</f>
        <v/>
      </c>
      <c r="B152" s="70">
        <f>IFERROR(INDEX(tk_QTY,MATCH(147,tk_FSEQ,0)),"")</f>
        <v/>
      </c>
      <c r="C152" s="70">
        <f>IFERROR(INDEX(tk_ROOMF,MATCH(147,tk_FSEQ,0))&amp;IF(INDEX(tk_ROOMT,MATCH(147,tk_FSEQ,0))="",""," → "&amp;INDEX(tk_ROOMT,MATCH(147,tk_FSEQ,0))),"")</f>
        <v/>
      </c>
      <c r="D152" s="70">
        <f>IFERROR(""&amp;INDEX(tk_SIZE,MATCH(147,tk_FSEQ,0)),"")</f>
        <v/>
      </c>
      <c r="E152" s="70">
        <f>IFERROR(""&amp;INDEX(tk_RATING,MATCH(147,tk_FSEQ,0)),"")</f>
        <v/>
      </c>
      <c r="F152" s="70">
        <f>IFERROR(TEXT(INDEX(tk_OAW,MATCH(147,tk_FSEQ,0)),"0.000")&amp;" x "&amp;TEXT(INDEX(tk_OAH,MATCH(147,tk_FSEQ,0)),"0.000"),"")</f>
        <v/>
      </c>
      <c r="G152" s="70">
        <f>IFERROR(""&amp;INDEX(tk_FLINE,MATCH(147,tk_FSEQ,0)),"")</f>
        <v/>
      </c>
      <c r="H152" s="70">
        <f>IFERROR(""&amp;INDEX(tk_FNOTES,MATCH(147,tk_FSEQ,0)),"")</f>
        <v/>
      </c>
    </row>
    <row r="153">
      <c r="A153" s="70">
        <f>IFERROR(""&amp;INDEX(tk_MARK,MATCH(148,tk_FSEQ,0)),"")</f>
        <v/>
      </c>
      <c r="B153" s="70">
        <f>IFERROR(INDEX(tk_QTY,MATCH(148,tk_FSEQ,0)),"")</f>
        <v/>
      </c>
      <c r="C153" s="70">
        <f>IFERROR(INDEX(tk_ROOMF,MATCH(148,tk_FSEQ,0))&amp;IF(INDEX(tk_ROOMT,MATCH(148,tk_FSEQ,0))="",""," → "&amp;INDEX(tk_ROOMT,MATCH(148,tk_FSEQ,0))),"")</f>
        <v/>
      </c>
      <c r="D153" s="70">
        <f>IFERROR(""&amp;INDEX(tk_SIZE,MATCH(148,tk_FSEQ,0)),"")</f>
        <v/>
      </c>
      <c r="E153" s="70">
        <f>IFERROR(""&amp;INDEX(tk_RATING,MATCH(148,tk_FSEQ,0)),"")</f>
        <v/>
      </c>
      <c r="F153" s="70">
        <f>IFERROR(TEXT(INDEX(tk_OAW,MATCH(148,tk_FSEQ,0)),"0.000")&amp;" x "&amp;TEXT(INDEX(tk_OAH,MATCH(148,tk_FSEQ,0)),"0.000"),"")</f>
        <v/>
      </c>
      <c r="G153" s="70">
        <f>IFERROR(""&amp;INDEX(tk_FLINE,MATCH(148,tk_FSEQ,0)),"")</f>
        <v/>
      </c>
      <c r="H153" s="70">
        <f>IFERROR(""&amp;INDEX(tk_FNOTES,MATCH(148,tk_FSEQ,0)),"")</f>
        <v/>
      </c>
    </row>
    <row r="154">
      <c r="A154" s="70">
        <f>IFERROR(""&amp;INDEX(tk_MARK,MATCH(149,tk_FSEQ,0)),"")</f>
        <v/>
      </c>
      <c r="B154" s="70">
        <f>IFERROR(INDEX(tk_QTY,MATCH(149,tk_FSEQ,0)),"")</f>
        <v/>
      </c>
      <c r="C154" s="70">
        <f>IFERROR(INDEX(tk_ROOMF,MATCH(149,tk_FSEQ,0))&amp;IF(INDEX(tk_ROOMT,MATCH(149,tk_FSEQ,0))="",""," → "&amp;INDEX(tk_ROOMT,MATCH(149,tk_FSEQ,0))),"")</f>
        <v/>
      </c>
      <c r="D154" s="70">
        <f>IFERROR(""&amp;INDEX(tk_SIZE,MATCH(149,tk_FSEQ,0)),"")</f>
        <v/>
      </c>
      <c r="E154" s="70">
        <f>IFERROR(""&amp;INDEX(tk_RATING,MATCH(149,tk_FSEQ,0)),"")</f>
        <v/>
      </c>
      <c r="F154" s="70">
        <f>IFERROR(TEXT(INDEX(tk_OAW,MATCH(149,tk_FSEQ,0)),"0.000")&amp;" x "&amp;TEXT(INDEX(tk_OAH,MATCH(149,tk_FSEQ,0)),"0.000"),"")</f>
        <v/>
      </c>
      <c r="G154" s="70">
        <f>IFERROR(""&amp;INDEX(tk_FLINE,MATCH(149,tk_FSEQ,0)),"")</f>
        <v/>
      </c>
      <c r="H154" s="70">
        <f>IFERROR(""&amp;INDEX(tk_FNOTES,MATCH(149,tk_FSEQ,0)),"")</f>
        <v/>
      </c>
    </row>
    <row r="155">
      <c r="A155" s="70">
        <f>IFERROR(""&amp;INDEX(tk_MARK,MATCH(150,tk_FSEQ,0)),"")</f>
        <v/>
      </c>
      <c r="B155" s="70">
        <f>IFERROR(INDEX(tk_QTY,MATCH(150,tk_FSEQ,0)),"")</f>
        <v/>
      </c>
      <c r="C155" s="70">
        <f>IFERROR(INDEX(tk_ROOMF,MATCH(150,tk_FSEQ,0))&amp;IF(INDEX(tk_ROOMT,MATCH(150,tk_FSEQ,0))="",""," → "&amp;INDEX(tk_ROOMT,MATCH(150,tk_FSEQ,0))),"")</f>
        <v/>
      </c>
      <c r="D155" s="70">
        <f>IFERROR(""&amp;INDEX(tk_SIZE,MATCH(150,tk_FSEQ,0)),"")</f>
        <v/>
      </c>
      <c r="E155" s="70">
        <f>IFERROR(""&amp;INDEX(tk_RATING,MATCH(150,tk_FSEQ,0)),"")</f>
        <v/>
      </c>
      <c r="F155" s="70">
        <f>IFERROR(TEXT(INDEX(tk_OAW,MATCH(150,tk_FSEQ,0)),"0.000")&amp;" x "&amp;TEXT(INDEX(tk_OAH,MATCH(150,tk_FSEQ,0)),"0.000"),"")</f>
        <v/>
      </c>
      <c r="G155" s="70">
        <f>IFERROR(""&amp;INDEX(tk_FLINE,MATCH(150,tk_FSEQ,0)),"")</f>
        <v/>
      </c>
      <c r="H155" s="70">
        <f>IFERROR(""&amp;INDEX(tk_FNOTES,MATCH(150,tk_FSEQ,0)),"")</f>
        <v/>
      </c>
    </row>
    <row r="156">
      <c r="A156" s="70">
        <f>IFERROR(""&amp;INDEX(tk_MARK,MATCH(151,tk_FSEQ,0)),"")</f>
        <v/>
      </c>
      <c r="B156" s="70">
        <f>IFERROR(INDEX(tk_QTY,MATCH(151,tk_FSEQ,0)),"")</f>
        <v/>
      </c>
      <c r="C156" s="70">
        <f>IFERROR(INDEX(tk_ROOMF,MATCH(151,tk_FSEQ,0))&amp;IF(INDEX(tk_ROOMT,MATCH(151,tk_FSEQ,0))="",""," → "&amp;INDEX(tk_ROOMT,MATCH(151,tk_FSEQ,0))),"")</f>
        <v/>
      </c>
      <c r="D156" s="70">
        <f>IFERROR(""&amp;INDEX(tk_SIZE,MATCH(151,tk_FSEQ,0)),"")</f>
        <v/>
      </c>
      <c r="E156" s="70">
        <f>IFERROR(""&amp;INDEX(tk_RATING,MATCH(151,tk_FSEQ,0)),"")</f>
        <v/>
      </c>
      <c r="F156" s="70">
        <f>IFERROR(TEXT(INDEX(tk_OAW,MATCH(151,tk_FSEQ,0)),"0.000")&amp;" x "&amp;TEXT(INDEX(tk_OAH,MATCH(151,tk_FSEQ,0)),"0.000"),"")</f>
        <v/>
      </c>
      <c r="G156" s="70">
        <f>IFERROR(""&amp;INDEX(tk_FLINE,MATCH(151,tk_FSEQ,0)),"")</f>
        <v/>
      </c>
      <c r="H156" s="70">
        <f>IFERROR(""&amp;INDEX(tk_FNOTES,MATCH(151,tk_FSEQ,0)),"")</f>
        <v/>
      </c>
    </row>
    <row r="157">
      <c r="A157" s="70">
        <f>IFERROR(""&amp;INDEX(tk_MARK,MATCH(152,tk_FSEQ,0)),"")</f>
        <v/>
      </c>
      <c r="B157" s="70">
        <f>IFERROR(INDEX(tk_QTY,MATCH(152,tk_FSEQ,0)),"")</f>
        <v/>
      </c>
      <c r="C157" s="70">
        <f>IFERROR(INDEX(tk_ROOMF,MATCH(152,tk_FSEQ,0))&amp;IF(INDEX(tk_ROOMT,MATCH(152,tk_FSEQ,0))="",""," → "&amp;INDEX(tk_ROOMT,MATCH(152,tk_FSEQ,0))),"")</f>
        <v/>
      </c>
      <c r="D157" s="70">
        <f>IFERROR(""&amp;INDEX(tk_SIZE,MATCH(152,tk_FSEQ,0)),"")</f>
        <v/>
      </c>
      <c r="E157" s="70">
        <f>IFERROR(""&amp;INDEX(tk_RATING,MATCH(152,tk_FSEQ,0)),"")</f>
        <v/>
      </c>
      <c r="F157" s="70">
        <f>IFERROR(TEXT(INDEX(tk_OAW,MATCH(152,tk_FSEQ,0)),"0.000")&amp;" x "&amp;TEXT(INDEX(tk_OAH,MATCH(152,tk_FSEQ,0)),"0.000"),"")</f>
        <v/>
      </c>
      <c r="G157" s="70">
        <f>IFERROR(""&amp;INDEX(tk_FLINE,MATCH(152,tk_FSEQ,0)),"")</f>
        <v/>
      </c>
      <c r="H157" s="70">
        <f>IFERROR(""&amp;INDEX(tk_FNOTES,MATCH(152,tk_FSEQ,0)),"")</f>
        <v/>
      </c>
    </row>
    <row r="158">
      <c r="A158" s="70">
        <f>IFERROR(""&amp;INDEX(tk_MARK,MATCH(153,tk_FSEQ,0)),"")</f>
        <v/>
      </c>
      <c r="B158" s="70">
        <f>IFERROR(INDEX(tk_QTY,MATCH(153,tk_FSEQ,0)),"")</f>
        <v/>
      </c>
      <c r="C158" s="70">
        <f>IFERROR(INDEX(tk_ROOMF,MATCH(153,tk_FSEQ,0))&amp;IF(INDEX(tk_ROOMT,MATCH(153,tk_FSEQ,0))="",""," → "&amp;INDEX(tk_ROOMT,MATCH(153,tk_FSEQ,0))),"")</f>
        <v/>
      </c>
      <c r="D158" s="70">
        <f>IFERROR(""&amp;INDEX(tk_SIZE,MATCH(153,tk_FSEQ,0)),"")</f>
        <v/>
      </c>
      <c r="E158" s="70">
        <f>IFERROR(""&amp;INDEX(tk_RATING,MATCH(153,tk_FSEQ,0)),"")</f>
        <v/>
      </c>
      <c r="F158" s="70">
        <f>IFERROR(TEXT(INDEX(tk_OAW,MATCH(153,tk_FSEQ,0)),"0.000")&amp;" x "&amp;TEXT(INDEX(tk_OAH,MATCH(153,tk_FSEQ,0)),"0.000"),"")</f>
        <v/>
      </c>
      <c r="G158" s="70">
        <f>IFERROR(""&amp;INDEX(tk_FLINE,MATCH(153,tk_FSEQ,0)),"")</f>
        <v/>
      </c>
      <c r="H158" s="70">
        <f>IFERROR(""&amp;INDEX(tk_FNOTES,MATCH(153,tk_FSEQ,0)),"")</f>
        <v/>
      </c>
    </row>
    <row r="159">
      <c r="A159" s="70">
        <f>IFERROR(""&amp;INDEX(tk_MARK,MATCH(154,tk_FSEQ,0)),"")</f>
        <v/>
      </c>
      <c r="B159" s="70">
        <f>IFERROR(INDEX(tk_QTY,MATCH(154,tk_FSEQ,0)),"")</f>
        <v/>
      </c>
      <c r="C159" s="70">
        <f>IFERROR(INDEX(tk_ROOMF,MATCH(154,tk_FSEQ,0))&amp;IF(INDEX(tk_ROOMT,MATCH(154,tk_FSEQ,0))="",""," → "&amp;INDEX(tk_ROOMT,MATCH(154,tk_FSEQ,0))),"")</f>
        <v/>
      </c>
      <c r="D159" s="70">
        <f>IFERROR(""&amp;INDEX(tk_SIZE,MATCH(154,tk_FSEQ,0)),"")</f>
        <v/>
      </c>
      <c r="E159" s="70">
        <f>IFERROR(""&amp;INDEX(tk_RATING,MATCH(154,tk_FSEQ,0)),"")</f>
        <v/>
      </c>
      <c r="F159" s="70">
        <f>IFERROR(TEXT(INDEX(tk_OAW,MATCH(154,tk_FSEQ,0)),"0.000")&amp;" x "&amp;TEXT(INDEX(tk_OAH,MATCH(154,tk_FSEQ,0)),"0.000"),"")</f>
        <v/>
      </c>
      <c r="G159" s="70">
        <f>IFERROR(""&amp;INDEX(tk_FLINE,MATCH(154,tk_FSEQ,0)),"")</f>
        <v/>
      </c>
      <c r="H159" s="70">
        <f>IFERROR(""&amp;INDEX(tk_FNOTES,MATCH(154,tk_FSEQ,0)),"")</f>
        <v/>
      </c>
    </row>
    <row r="160">
      <c r="A160" s="70">
        <f>IFERROR(""&amp;INDEX(tk_MARK,MATCH(155,tk_FSEQ,0)),"")</f>
        <v/>
      </c>
      <c r="B160" s="70">
        <f>IFERROR(INDEX(tk_QTY,MATCH(155,tk_FSEQ,0)),"")</f>
        <v/>
      </c>
      <c r="C160" s="70">
        <f>IFERROR(INDEX(tk_ROOMF,MATCH(155,tk_FSEQ,0))&amp;IF(INDEX(tk_ROOMT,MATCH(155,tk_FSEQ,0))="",""," → "&amp;INDEX(tk_ROOMT,MATCH(155,tk_FSEQ,0))),"")</f>
        <v/>
      </c>
      <c r="D160" s="70">
        <f>IFERROR(""&amp;INDEX(tk_SIZE,MATCH(155,tk_FSEQ,0)),"")</f>
        <v/>
      </c>
      <c r="E160" s="70">
        <f>IFERROR(""&amp;INDEX(tk_RATING,MATCH(155,tk_FSEQ,0)),"")</f>
        <v/>
      </c>
      <c r="F160" s="70">
        <f>IFERROR(TEXT(INDEX(tk_OAW,MATCH(155,tk_FSEQ,0)),"0.000")&amp;" x "&amp;TEXT(INDEX(tk_OAH,MATCH(155,tk_FSEQ,0)),"0.000"),"")</f>
        <v/>
      </c>
      <c r="G160" s="70">
        <f>IFERROR(""&amp;INDEX(tk_FLINE,MATCH(155,tk_FSEQ,0)),"")</f>
        <v/>
      </c>
      <c r="H160" s="70">
        <f>IFERROR(""&amp;INDEX(tk_FNOTES,MATCH(155,tk_FSEQ,0)),"")</f>
        <v/>
      </c>
    </row>
    <row r="161">
      <c r="A161" s="70">
        <f>IFERROR(""&amp;INDEX(tk_MARK,MATCH(156,tk_FSEQ,0)),"")</f>
        <v/>
      </c>
      <c r="B161" s="70">
        <f>IFERROR(INDEX(tk_QTY,MATCH(156,tk_FSEQ,0)),"")</f>
        <v/>
      </c>
      <c r="C161" s="70">
        <f>IFERROR(INDEX(tk_ROOMF,MATCH(156,tk_FSEQ,0))&amp;IF(INDEX(tk_ROOMT,MATCH(156,tk_FSEQ,0))="",""," → "&amp;INDEX(tk_ROOMT,MATCH(156,tk_FSEQ,0))),"")</f>
        <v/>
      </c>
      <c r="D161" s="70">
        <f>IFERROR(""&amp;INDEX(tk_SIZE,MATCH(156,tk_FSEQ,0)),"")</f>
        <v/>
      </c>
      <c r="E161" s="70">
        <f>IFERROR(""&amp;INDEX(tk_RATING,MATCH(156,tk_FSEQ,0)),"")</f>
        <v/>
      </c>
      <c r="F161" s="70">
        <f>IFERROR(TEXT(INDEX(tk_OAW,MATCH(156,tk_FSEQ,0)),"0.000")&amp;" x "&amp;TEXT(INDEX(tk_OAH,MATCH(156,tk_FSEQ,0)),"0.000"),"")</f>
        <v/>
      </c>
      <c r="G161" s="70">
        <f>IFERROR(""&amp;INDEX(tk_FLINE,MATCH(156,tk_FSEQ,0)),"")</f>
        <v/>
      </c>
      <c r="H161" s="70">
        <f>IFERROR(""&amp;INDEX(tk_FNOTES,MATCH(156,tk_FSEQ,0)),"")</f>
        <v/>
      </c>
    </row>
    <row r="162">
      <c r="A162" s="70">
        <f>IFERROR(""&amp;INDEX(tk_MARK,MATCH(157,tk_FSEQ,0)),"")</f>
        <v/>
      </c>
      <c r="B162" s="70">
        <f>IFERROR(INDEX(tk_QTY,MATCH(157,tk_FSEQ,0)),"")</f>
        <v/>
      </c>
      <c r="C162" s="70">
        <f>IFERROR(INDEX(tk_ROOMF,MATCH(157,tk_FSEQ,0))&amp;IF(INDEX(tk_ROOMT,MATCH(157,tk_FSEQ,0))="",""," → "&amp;INDEX(tk_ROOMT,MATCH(157,tk_FSEQ,0))),"")</f>
        <v/>
      </c>
      <c r="D162" s="70">
        <f>IFERROR(""&amp;INDEX(tk_SIZE,MATCH(157,tk_FSEQ,0)),"")</f>
        <v/>
      </c>
      <c r="E162" s="70">
        <f>IFERROR(""&amp;INDEX(tk_RATING,MATCH(157,tk_FSEQ,0)),"")</f>
        <v/>
      </c>
      <c r="F162" s="70">
        <f>IFERROR(TEXT(INDEX(tk_OAW,MATCH(157,tk_FSEQ,0)),"0.000")&amp;" x "&amp;TEXT(INDEX(tk_OAH,MATCH(157,tk_FSEQ,0)),"0.000"),"")</f>
        <v/>
      </c>
      <c r="G162" s="70">
        <f>IFERROR(""&amp;INDEX(tk_FLINE,MATCH(157,tk_FSEQ,0)),"")</f>
        <v/>
      </c>
      <c r="H162" s="70">
        <f>IFERROR(""&amp;INDEX(tk_FNOTES,MATCH(157,tk_FSEQ,0)),"")</f>
        <v/>
      </c>
    </row>
    <row r="163">
      <c r="A163" s="70">
        <f>IFERROR(""&amp;INDEX(tk_MARK,MATCH(158,tk_FSEQ,0)),"")</f>
        <v/>
      </c>
      <c r="B163" s="70">
        <f>IFERROR(INDEX(tk_QTY,MATCH(158,tk_FSEQ,0)),"")</f>
        <v/>
      </c>
      <c r="C163" s="70">
        <f>IFERROR(INDEX(tk_ROOMF,MATCH(158,tk_FSEQ,0))&amp;IF(INDEX(tk_ROOMT,MATCH(158,tk_FSEQ,0))="",""," → "&amp;INDEX(tk_ROOMT,MATCH(158,tk_FSEQ,0))),"")</f>
        <v/>
      </c>
      <c r="D163" s="70">
        <f>IFERROR(""&amp;INDEX(tk_SIZE,MATCH(158,tk_FSEQ,0)),"")</f>
        <v/>
      </c>
      <c r="E163" s="70">
        <f>IFERROR(""&amp;INDEX(tk_RATING,MATCH(158,tk_FSEQ,0)),"")</f>
        <v/>
      </c>
      <c r="F163" s="70">
        <f>IFERROR(TEXT(INDEX(tk_OAW,MATCH(158,tk_FSEQ,0)),"0.000")&amp;" x "&amp;TEXT(INDEX(tk_OAH,MATCH(158,tk_FSEQ,0)),"0.000"),"")</f>
        <v/>
      </c>
      <c r="G163" s="70">
        <f>IFERROR(""&amp;INDEX(tk_FLINE,MATCH(158,tk_FSEQ,0)),"")</f>
        <v/>
      </c>
      <c r="H163" s="70">
        <f>IFERROR(""&amp;INDEX(tk_FNOTES,MATCH(158,tk_FSEQ,0)),"")</f>
        <v/>
      </c>
    </row>
    <row r="164">
      <c r="A164" s="70">
        <f>IFERROR(""&amp;INDEX(tk_MARK,MATCH(159,tk_FSEQ,0)),"")</f>
        <v/>
      </c>
      <c r="B164" s="70">
        <f>IFERROR(INDEX(tk_QTY,MATCH(159,tk_FSEQ,0)),"")</f>
        <v/>
      </c>
      <c r="C164" s="70">
        <f>IFERROR(INDEX(tk_ROOMF,MATCH(159,tk_FSEQ,0))&amp;IF(INDEX(tk_ROOMT,MATCH(159,tk_FSEQ,0))="",""," → "&amp;INDEX(tk_ROOMT,MATCH(159,tk_FSEQ,0))),"")</f>
        <v/>
      </c>
      <c r="D164" s="70">
        <f>IFERROR(""&amp;INDEX(tk_SIZE,MATCH(159,tk_FSEQ,0)),"")</f>
        <v/>
      </c>
      <c r="E164" s="70">
        <f>IFERROR(""&amp;INDEX(tk_RATING,MATCH(159,tk_FSEQ,0)),"")</f>
        <v/>
      </c>
      <c r="F164" s="70">
        <f>IFERROR(TEXT(INDEX(tk_OAW,MATCH(159,tk_FSEQ,0)),"0.000")&amp;" x "&amp;TEXT(INDEX(tk_OAH,MATCH(159,tk_FSEQ,0)),"0.000"),"")</f>
        <v/>
      </c>
      <c r="G164" s="70">
        <f>IFERROR(""&amp;INDEX(tk_FLINE,MATCH(159,tk_FSEQ,0)),"")</f>
        <v/>
      </c>
      <c r="H164" s="70">
        <f>IFERROR(""&amp;INDEX(tk_FNOTES,MATCH(159,tk_FSEQ,0)),"")</f>
        <v/>
      </c>
    </row>
    <row r="165">
      <c r="A165" s="70">
        <f>IFERROR(""&amp;INDEX(tk_MARK,MATCH(160,tk_FSEQ,0)),"")</f>
        <v/>
      </c>
      <c r="B165" s="70">
        <f>IFERROR(INDEX(tk_QTY,MATCH(160,tk_FSEQ,0)),"")</f>
        <v/>
      </c>
      <c r="C165" s="70">
        <f>IFERROR(INDEX(tk_ROOMF,MATCH(160,tk_FSEQ,0))&amp;IF(INDEX(tk_ROOMT,MATCH(160,tk_FSEQ,0))="",""," → "&amp;INDEX(tk_ROOMT,MATCH(160,tk_FSEQ,0))),"")</f>
        <v/>
      </c>
      <c r="D165" s="70">
        <f>IFERROR(""&amp;INDEX(tk_SIZE,MATCH(160,tk_FSEQ,0)),"")</f>
        <v/>
      </c>
      <c r="E165" s="70">
        <f>IFERROR(""&amp;INDEX(tk_RATING,MATCH(160,tk_FSEQ,0)),"")</f>
        <v/>
      </c>
      <c r="F165" s="70">
        <f>IFERROR(TEXT(INDEX(tk_OAW,MATCH(160,tk_FSEQ,0)),"0.000")&amp;" x "&amp;TEXT(INDEX(tk_OAH,MATCH(160,tk_FSEQ,0)),"0.000"),"")</f>
        <v/>
      </c>
      <c r="G165" s="70">
        <f>IFERROR(""&amp;INDEX(tk_FLINE,MATCH(160,tk_FSEQ,0)),"")</f>
        <v/>
      </c>
      <c r="H165" s="70">
        <f>IFERROR(""&amp;INDEX(tk_FNOTES,MATCH(160,tk_FSEQ,0)),"")</f>
        <v/>
      </c>
    </row>
    <row r="166">
      <c r="A166" s="70">
        <f>IFERROR(""&amp;INDEX(tk_MARK,MATCH(161,tk_FSEQ,0)),"")</f>
        <v/>
      </c>
      <c r="B166" s="70">
        <f>IFERROR(INDEX(tk_QTY,MATCH(161,tk_FSEQ,0)),"")</f>
        <v/>
      </c>
      <c r="C166" s="70">
        <f>IFERROR(INDEX(tk_ROOMF,MATCH(161,tk_FSEQ,0))&amp;IF(INDEX(tk_ROOMT,MATCH(161,tk_FSEQ,0))="",""," → "&amp;INDEX(tk_ROOMT,MATCH(161,tk_FSEQ,0))),"")</f>
        <v/>
      </c>
      <c r="D166" s="70">
        <f>IFERROR(""&amp;INDEX(tk_SIZE,MATCH(161,tk_FSEQ,0)),"")</f>
        <v/>
      </c>
      <c r="E166" s="70">
        <f>IFERROR(""&amp;INDEX(tk_RATING,MATCH(161,tk_FSEQ,0)),"")</f>
        <v/>
      </c>
      <c r="F166" s="70">
        <f>IFERROR(TEXT(INDEX(tk_OAW,MATCH(161,tk_FSEQ,0)),"0.000")&amp;" x "&amp;TEXT(INDEX(tk_OAH,MATCH(161,tk_FSEQ,0)),"0.000"),"")</f>
        <v/>
      </c>
      <c r="G166" s="70">
        <f>IFERROR(""&amp;INDEX(tk_FLINE,MATCH(161,tk_FSEQ,0)),"")</f>
        <v/>
      </c>
      <c r="H166" s="70">
        <f>IFERROR(""&amp;INDEX(tk_FNOTES,MATCH(161,tk_FSEQ,0)),"")</f>
        <v/>
      </c>
    </row>
    <row r="167">
      <c r="A167" s="70">
        <f>IFERROR(""&amp;INDEX(tk_MARK,MATCH(162,tk_FSEQ,0)),"")</f>
        <v/>
      </c>
      <c r="B167" s="70">
        <f>IFERROR(INDEX(tk_QTY,MATCH(162,tk_FSEQ,0)),"")</f>
        <v/>
      </c>
      <c r="C167" s="70">
        <f>IFERROR(INDEX(tk_ROOMF,MATCH(162,tk_FSEQ,0))&amp;IF(INDEX(tk_ROOMT,MATCH(162,tk_FSEQ,0))="",""," → "&amp;INDEX(tk_ROOMT,MATCH(162,tk_FSEQ,0))),"")</f>
        <v/>
      </c>
      <c r="D167" s="70">
        <f>IFERROR(""&amp;INDEX(tk_SIZE,MATCH(162,tk_FSEQ,0)),"")</f>
        <v/>
      </c>
      <c r="E167" s="70">
        <f>IFERROR(""&amp;INDEX(tk_RATING,MATCH(162,tk_FSEQ,0)),"")</f>
        <v/>
      </c>
      <c r="F167" s="70">
        <f>IFERROR(TEXT(INDEX(tk_OAW,MATCH(162,tk_FSEQ,0)),"0.000")&amp;" x "&amp;TEXT(INDEX(tk_OAH,MATCH(162,tk_FSEQ,0)),"0.000"),"")</f>
        <v/>
      </c>
      <c r="G167" s="70">
        <f>IFERROR(""&amp;INDEX(tk_FLINE,MATCH(162,tk_FSEQ,0)),"")</f>
        <v/>
      </c>
      <c r="H167" s="70">
        <f>IFERROR(""&amp;INDEX(tk_FNOTES,MATCH(162,tk_FSEQ,0)),"")</f>
        <v/>
      </c>
    </row>
    <row r="168">
      <c r="A168" s="70">
        <f>IFERROR(""&amp;INDEX(tk_MARK,MATCH(163,tk_FSEQ,0)),"")</f>
        <v/>
      </c>
      <c r="B168" s="70">
        <f>IFERROR(INDEX(tk_QTY,MATCH(163,tk_FSEQ,0)),"")</f>
        <v/>
      </c>
      <c r="C168" s="70">
        <f>IFERROR(INDEX(tk_ROOMF,MATCH(163,tk_FSEQ,0))&amp;IF(INDEX(tk_ROOMT,MATCH(163,tk_FSEQ,0))="",""," → "&amp;INDEX(tk_ROOMT,MATCH(163,tk_FSEQ,0))),"")</f>
        <v/>
      </c>
      <c r="D168" s="70">
        <f>IFERROR(""&amp;INDEX(tk_SIZE,MATCH(163,tk_FSEQ,0)),"")</f>
        <v/>
      </c>
      <c r="E168" s="70">
        <f>IFERROR(""&amp;INDEX(tk_RATING,MATCH(163,tk_FSEQ,0)),"")</f>
        <v/>
      </c>
      <c r="F168" s="70">
        <f>IFERROR(TEXT(INDEX(tk_OAW,MATCH(163,tk_FSEQ,0)),"0.000")&amp;" x "&amp;TEXT(INDEX(tk_OAH,MATCH(163,tk_FSEQ,0)),"0.000"),"")</f>
        <v/>
      </c>
      <c r="G168" s="70">
        <f>IFERROR(""&amp;INDEX(tk_FLINE,MATCH(163,tk_FSEQ,0)),"")</f>
        <v/>
      </c>
      <c r="H168" s="70">
        <f>IFERROR(""&amp;INDEX(tk_FNOTES,MATCH(163,tk_FSEQ,0)),"")</f>
        <v/>
      </c>
    </row>
    <row r="169">
      <c r="A169" s="70">
        <f>IFERROR(""&amp;INDEX(tk_MARK,MATCH(164,tk_FSEQ,0)),"")</f>
        <v/>
      </c>
      <c r="B169" s="70">
        <f>IFERROR(INDEX(tk_QTY,MATCH(164,tk_FSEQ,0)),"")</f>
        <v/>
      </c>
      <c r="C169" s="70">
        <f>IFERROR(INDEX(tk_ROOMF,MATCH(164,tk_FSEQ,0))&amp;IF(INDEX(tk_ROOMT,MATCH(164,tk_FSEQ,0))="",""," → "&amp;INDEX(tk_ROOMT,MATCH(164,tk_FSEQ,0))),"")</f>
        <v/>
      </c>
      <c r="D169" s="70">
        <f>IFERROR(""&amp;INDEX(tk_SIZE,MATCH(164,tk_FSEQ,0)),"")</f>
        <v/>
      </c>
      <c r="E169" s="70">
        <f>IFERROR(""&amp;INDEX(tk_RATING,MATCH(164,tk_FSEQ,0)),"")</f>
        <v/>
      </c>
      <c r="F169" s="70">
        <f>IFERROR(TEXT(INDEX(tk_OAW,MATCH(164,tk_FSEQ,0)),"0.000")&amp;" x "&amp;TEXT(INDEX(tk_OAH,MATCH(164,tk_FSEQ,0)),"0.000"),"")</f>
        <v/>
      </c>
      <c r="G169" s="70">
        <f>IFERROR(""&amp;INDEX(tk_FLINE,MATCH(164,tk_FSEQ,0)),"")</f>
        <v/>
      </c>
      <c r="H169" s="70">
        <f>IFERROR(""&amp;INDEX(tk_FNOTES,MATCH(164,tk_FSEQ,0)),"")</f>
        <v/>
      </c>
    </row>
    <row r="170">
      <c r="A170" s="70">
        <f>IFERROR(""&amp;INDEX(tk_MARK,MATCH(165,tk_FSEQ,0)),"")</f>
        <v/>
      </c>
      <c r="B170" s="70">
        <f>IFERROR(INDEX(tk_QTY,MATCH(165,tk_FSEQ,0)),"")</f>
        <v/>
      </c>
      <c r="C170" s="70">
        <f>IFERROR(INDEX(tk_ROOMF,MATCH(165,tk_FSEQ,0))&amp;IF(INDEX(tk_ROOMT,MATCH(165,tk_FSEQ,0))="",""," → "&amp;INDEX(tk_ROOMT,MATCH(165,tk_FSEQ,0))),"")</f>
        <v/>
      </c>
      <c r="D170" s="70">
        <f>IFERROR(""&amp;INDEX(tk_SIZE,MATCH(165,tk_FSEQ,0)),"")</f>
        <v/>
      </c>
      <c r="E170" s="70">
        <f>IFERROR(""&amp;INDEX(tk_RATING,MATCH(165,tk_FSEQ,0)),"")</f>
        <v/>
      </c>
      <c r="F170" s="70">
        <f>IFERROR(TEXT(INDEX(tk_OAW,MATCH(165,tk_FSEQ,0)),"0.000")&amp;" x "&amp;TEXT(INDEX(tk_OAH,MATCH(165,tk_FSEQ,0)),"0.000"),"")</f>
        <v/>
      </c>
      <c r="G170" s="70">
        <f>IFERROR(""&amp;INDEX(tk_FLINE,MATCH(165,tk_FSEQ,0)),"")</f>
        <v/>
      </c>
      <c r="H170" s="70">
        <f>IFERROR(""&amp;INDEX(tk_FNOTES,MATCH(165,tk_FSEQ,0)),"")</f>
        <v/>
      </c>
    </row>
    <row r="171">
      <c r="A171" s="70">
        <f>IFERROR(""&amp;INDEX(tk_MARK,MATCH(166,tk_FSEQ,0)),"")</f>
        <v/>
      </c>
      <c r="B171" s="70">
        <f>IFERROR(INDEX(tk_QTY,MATCH(166,tk_FSEQ,0)),"")</f>
        <v/>
      </c>
      <c r="C171" s="70">
        <f>IFERROR(INDEX(tk_ROOMF,MATCH(166,tk_FSEQ,0))&amp;IF(INDEX(tk_ROOMT,MATCH(166,tk_FSEQ,0))="",""," → "&amp;INDEX(tk_ROOMT,MATCH(166,tk_FSEQ,0))),"")</f>
        <v/>
      </c>
      <c r="D171" s="70">
        <f>IFERROR(""&amp;INDEX(tk_SIZE,MATCH(166,tk_FSEQ,0)),"")</f>
        <v/>
      </c>
      <c r="E171" s="70">
        <f>IFERROR(""&amp;INDEX(tk_RATING,MATCH(166,tk_FSEQ,0)),"")</f>
        <v/>
      </c>
      <c r="F171" s="70">
        <f>IFERROR(TEXT(INDEX(tk_OAW,MATCH(166,tk_FSEQ,0)),"0.000")&amp;" x "&amp;TEXT(INDEX(tk_OAH,MATCH(166,tk_FSEQ,0)),"0.000"),"")</f>
        <v/>
      </c>
      <c r="G171" s="70">
        <f>IFERROR(""&amp;INDEX(tk_FLINE,MATCH(166,tk_FSEQ,0)),"")</f>
        <v/>
      </c>
      <c r="H171" s="70">
        <f>IFERROR(""&amp;INDEX(tk_FNOTES,MATCH(166,tk_FSEQ,0)),"")</f>
        <v/>
      </c>
    </row>
    <row r="172">
      <c r="A172" s="70">
        <f>IFERROR(""&amp;INDEX(tk_MARK,MATCH(167,tk_FSEQ,0)),"")</f>
        <v/>
      </c>
      <c r="B172" s="70">
        <f>IFERROR(INDEX(tk_QTY,MATCH(167,tk_FSEQ,0)),"")</f>
        <v/>
      </c>
      <c r="C172" s="70">
        <f>IFERROR(INDEX(tk_ROOMF,MATCH(167,tk_FSEQ,0))&amp;IF(INDEX(tk_ROOMT,MATCH(167,tk_FSEQ,0))="",""," → "&amp;INDEX(tk_ROOMT,MATCH(167,tk_FSEQ,0))),"")</f>
        <v/>
      </c>
      <c r="D172" s="70">
        <f>IFERROR(""&amp;INDEX(tk_SIZE,MATCH(167,tk_FSEQ,0)),"")</f>
        <v/>
      </c>
      <c r="E172" s="70">
        <f>IFERROR(""&amp;INDEX(tk_RATING,MATCH(167,tk_FSEQ,0)),"")</f>
        <v/>
      </c>
      <c r="F172" s="70">
        <f>IFERROR(TEXT(INDEX(tk_OAW,MATCH(167,tk_FSEQ,0)),"0.000")&amp;" x "&amp;TEXT(INDEX(tk_OAH,MATCH(167,tk_FSEQ,0)),"0.000"),"")</f>
        <v/>
      </c>
      <c r="G172" s="70">
        <f>IFERROR(""&amp;INDEX(tk_FLINE,MATCH(167,tk_FSEQ,0)),"")</f>
        <v/>
      </c>
      <c r="H172" s="70">
        <f>IFERROR(""&amp;INDEX(tk_FNOTES,MATCH(167,tk_FSEQ,0)),"")</f>
        <v/>
      </c>
    </row>
    <row r="173">
      <c r="A173" s="70">
        <f>IFERROR(""&amp;INDEX(tk_MARK,MATCH(168,tk_FSEQ,0)),"")</f>
        <v/>
      </c>
      <c r="B173" s="70">
        <f>IFERROR(INDEX(tk_QTY,MATCH(168,tk_FSEQ,0)),"")</f>
        <v/>
      </c>
      <c r="C173" s="70">
        <f>IFERROR(INDEX(tk_ROOMF,MATCH(168,tk_FSEQ,0))&amp;IF(INDEX(tk_ROOMT,MATCH(168,tk_FSEQ,0))="",""," → "&amp;INDEX(tk_ROOMT,MATCH(168,tk_FSEQ,0))),"")</f>
        <v/>
      </c>
      <c r="D173" s="70">
        <f>IFERROR(""&amp;INDEX(tk_SIZE,MATCH(168,tk_FSEQ,0)),"")</f>
        <v/>
      </c>
      <c r="E173" s="70">
        <f>IFERROR(""&amp;INDEX(tk_RATING,MATCH(168,tk_FSEQ,0)),"")</f>
        <v/>
      </c>
      <c r="F173" s="70">
        <f>IFERROR(TEXT(INDEX(tk_OAW,MATCH(168,tk_FSEQ,0)),"0.000")&amp;" x "&amp;TEXT(INDEX(tk_OAH,MATCH(168,tk_FSEQ,0)),"0.000"),"")</f>
        <v/>
      </c>
      <c r="G173" s="70">
        <f>IFERROR(""&amp;INDEX(tk_FLINE,MATCH(168,tk_FSEQ,0)),"")</f>
        <v/>
      </c>
      <c r="H173" s="70">
        <f>IFERROR(""&amp;INDEX(tk_FNOTES,MATCH(168,tk_FSEQ,0)),"")</f>
        <v/>
      </c>
    </row>
    <row r="174">
      <c r="A174" s="70">
        <f>IFERROR(""&amp;INDEX(tk_MARK,MATCH(169,tk_FSEQ,0)),"")</f>
        <v/>
      </c>
      <c r="B174" s="70">
        <f>IFERROR(INDEX(tk_QTY,MATCH(169,tk_FSEQ,0)),"")</f>
        <v/>
      </c>
      <c r="C174" s="70">
        <f>IFERROR(INDEX(tk_ROOMF,MATCH(169,tk_FSEQ,0))&amp;IF(INDEX(tk_ROOMT,MATCH(169,tk_FSEQ,0))="",""," → "&amp;INDEX(tk_ROOMT,MATCH(169,tk_FSEQ,0))),"")</f>
        <v/>
      </c>
      <c r="D174" s="70">
        <f>IFERROR(""&amp;INDEX(tk_SIZE,MATCH(169,tk_FSEQ,0)),"")</f>
        <v/>
      </c>
      <c r="E174" s="70">
        <f>IFERROR(""&amp;INDEX(tk_RATING,MATCH(169,tk_FSEQ,0)),"")</f>
        <v/>
      </c>
      <c r="F174" s="70">
        <f>IFERROR(TEXT(INDEX(tk_OAW,MATCH(169,tk_FSEQ,0)),"0.000")&amp;" x "&amp;TEXT(INDEX(tk_OAH,MATCH(169,tk_FSEQ,0)),"0.000"),"")</f>
        <v/>
      </c>
      <c r="G174" s="70">
        <f>IFERROR(""&amp;INDEX(tk_FLINE,MATCH(169,tk_FSEQ,0)),"")</f>
        <v/>
      </c>
      <c r="H174" s="70">
        <f>IFERROR(""&amp;INDEX(tk_FNOTES,MATCH(169,tk_FSEQ,0)),"")</f>
        <v/>
      </c>
    </row>
    <row r="175">
      <c r="A175" s="70">
        <f>IFERROR(""&amp;INDEX(tk_MARK,MATCH(170,tk_FSEQ,0)),"")</f>
        <v/>
      </c>
      <c r="B175" s="70">
        <f>IFERROR(INDEX(tk_QTY,MATCH(170,tk_FSEQ,0)),"")</f>
        <v/>
      </c>
      <c r="C175" s="70">
        <f>IFERROR(INDEX(tk_ROOMF,MATCH(170,tk_FSEQ,0))&amp;IF(INDEX(tk_ROOMT,MATCH(170,tk_FSEQ,0))="",""," → "&amp;INDEX(tk_ROOMT,MATCH(170,tk_FSEQ,0))),"")</f>
        <v/>
      </c>
      <c r="D175" s="70">
        <f>IFERROR(""&amp;INDEX(tk_SIZE,MATCH(170,tk_FSEQ,0)),"")</f>
        <v/>
      </c>
      <c r="E175" s="70">
        <f>IFERROR(""&amp;INDEX(tk_RATING,MATCH(170,tk_FSEQ,0)),"")</f>
        <v/>
      </c>
      <c r="F175" s="70">
        <f>IFERROR(TEXT(INDEX(tk_OAW,MATCH(170,tk_FSEQ,0)),"0.000")&amp;" x "&amp;TEXT(INDEX(tk_OAH,MATCH(170,tk_FSEQ,0)),"0.000"),"")</f>
        <v/>
      </c>
      <c r="G175" s="70">
        <f>IFERROR(""&amp;INDEX(tk_FLINE,MATCH(170,tk_FSEQ,0)),"")</f>
        <v/>
      </c>
      <c r="H175" s="70">
        <f>IFERROR(""&amp;INDEX(tk_FNOTES,MATCH(170,tk_FSEQ,0)),"")</f>
        <v/>
      </c>
    </row>
    <row r="176">
      <c r="A176" s="70">
        <f>IFERROR(""&amp;INDEX(tk_MARK,MATCH(171,tk_FSEQ,0)),"")</f>
        <v/>
      </c>
      <c r="B176" s="70">
        <f>IFERROR(INDEX(tk_QTY,MATCH(171,tk_FSEQ,0)),"")</f>
        <v/>
      </c>
      <c r="C176" s="70">
        <f>IFERROR(INDEX(tk_ROOMF,MATCH(171,tk_FSEQ,0))&amp;IF(INDEX(tk_ROOMT,MATCH(171,tk_FSEQ,0))="",""," → "&amp;INDEX(tk_ROOMT,MATCH(171,tk_FSEQ,0))),"")</f>
        <v/>
      </c>
      <c r="D176" s="70">
        <f>IFERROR(""&amp;INDEX(tk_SIZE,MATCH(171,tk_FSEQ,0)),"")</f>
        <v/>
      </c>
      <c r="E176" s="70">
        <f>IFERROR(""&amp;INDEX(tk_RATING,MATCH(171,tk_FSEQ,0)),"")</f>
        <v/>
      </c>
      <c r="F176" s="70">
        <f>IFERROR(TEXT(INDEX(tk_OAW,MATCH(171,tk_FSEQ,0)),"0.000")&amp;" x "&amp;TEXT(INDEX(tk_OAH,MATCH(171,tk_FSEQ,0)),"0.000"),"")</f>
        <v/>
      </c>
      <c r="G176" s="70">
        <f>IFERROR(""&amp;INDEX(tk_FLINE,MATCH(171,tk_FSEQ,0)),"")</f>
        <v/>
      </c>
      <c r="H176" s="70">
        <f>IFERROR(""&amp;INDEX(tk_FNOTES,MATCH(171,tk_FSEQ,0)),"")</f>
        <v/>
      </c>
    </row>
    <row r="177">
      <c r="A177" s="70">
        <f>IFERROR(""&amp;INDEX(tk_MARK,MATCH(172,tk_FSEQ,0)),"")</f>
        <v/>
      </c>
      <c r="B177" s="70">
        <f>IFERROR(INDEX(tk_QTY,MATCH(172,tk_FSEQ,0)),"")</f>
        <v/>
      </c>
      <c r="C177" s="70">
        <f>IFERROR(INDEX(tk_ROOMF,MATCH(172,tk_FSEQ,0))&amp;IF(INDEX(tk_ROOMT,MATCH(172,tk_FSEQ,0))="",""," → "&amp;INDEX(tk_ROOMT,MATCH(172,tk_FSEQ,0))),"")</f>
        <v/>
      </c>
      <c r="D177" s="70">
        <f>IFERROR(""&amp;INDEX(tk_SIZE,MATCH(172,tk_FSEQ,0)),"")</f>
        <v/>
      </c>
      <c r="E177" s="70">
        <f>IFERROR(""&amp;INDEX(tk_RATING,MATCH(172,tk_FSEQ,0)),"")</f>
        <v/>
      </c>
      <c r="F177" s="70">
        <f>IFERROR(TEXT(INDEX(tk_OAW,MATCH(172,tk_FSEQ,0)),"0.000")&amp;" x "&amp;TEXT(INDEX(tk_OAH,MATCH(172,tk_FSEQ,0)),"0.000"),"")</f>
        <v/>
      </c>
      <c r="G177" s="70">
        <f>IFERROR(""&amp;INDEX(tk_FLINE,MATCH(172,tk_FSEQ,0)),"")</f>
        <v/>
      </c>
      <c r="H177" s="70">
        <f>IFERROR(""&amp;INDEX(tk_FNOTES,MATCH(172,tk_FSEQ,0)),"")</f>
        <v/>
      </c>
    </row>
    <row r="178">
      <c r="A178" s="70">
        <f>IFERROR(""&amp;INDEX(tk_MARK,MATCH(173,tk_FSEQ,0)),"")</f>
        <v/>
      </c>
      <c r="B178" s="70">
        <f>IFERROR(INDEX(tk_QTY,MATCH(173,tk_FSEQ,0)),"")</f>
        <v/>
      </c>
      <c r="C178" s="70">
        <f>IFERROR(INDEX(tk_ROOMF,MATCH(173,tk_FSEQ,0))&amp;IF(INDEX(tk_ROOMT,MATCH(173,tk_FSEQ,0))="",""," → "&amp;INDEX(tk_ROOMT,MATCH(173,tk_FSEQ,0))),"")</f>
        <v/>
      </c>
      <c r="D178" s="70">
        <f>IFERROR(""&amp;INDEX(tk_SIZE,MATCH(173,tk_FSEQ,0)),"")</f>
        <v/>
      </c>
      <c r="E178" s="70">
        <f>IFERROR(""&amp;INDEX(tk_RATING,MATCH(173,tk_FSEQ,0)),"")</f>
        <v/>
      </c>
      <c r="F178" s="70">
        <f>IFERROR(TEXT(INDEX(tk_OAW,MATCH(173,tk_FSEQ,0)),"0.000")&amp;" x "&amp;TEXT(INDEX(tk_OAH,MATCH(173,tk_FSEQ,0)),"0.000"),"")</f>
        <v/>
      </c>
      <c r="G178" s="70">
        <f>IFERROR(""&amp;INDEX(tk_FLINE,MATCH(173,tk_FSEQ,0)),"")</f>
        <v/>
      </c>
      <c r="H178" s="70">
        <f>IFERROR(""&amp;INDEX(tk_FNOTES,MATCH(173,tk_FSEQ,0)),"")</f>
        <v/>
      </c>
    </row>
    <row r="179">
      <c r="A179" s="70">
        <f>IFERROR(""&amp;INDEX(tk_MARK,MATCH(174,tk_FSEQ,0)),"")</f>
        <v/>
      </c>
      <c r="B179" s="70">
        <f>IFERROR(INDEX(tk_QTY,MATCH(174,tk_FSEQ,0)),"")</f>
        <v/>
      </c>
      <c r="C179" s="70">
        <f>IFERROR(INDEX(tk_ROOMF,MATCH(174,tk_FSEQ,0))&amp;IF(INDEX(tk_ROOMT,MATCH(174,tk_FSEQ,0))="",""," → "&amp;INDEX(tk_ROOMT,MATCH(174,tk_FSEQ,0))),"")</f>
        <v/>
      </c>
      <c r="D179" s="70">
        <f>IFERROR(""&amp;INDEX(tk_SIZE,MATCH(174,tk_FSEQ,0)),"")</f>
        <v/>
      </c>
      <c r="E179" s="70">
        <f>IFERROR(""&amp;INDEX(tk_RATING,MATCH(174,tk_FSEQ,0)),"")</f>
        <v/>
      </c>
      <c r="F179" s="70">
        <f>IFERROR(TEXT(INDEX(tk_OAW,MATCH(174,tk_FSEQ,0)),"0.000")&amp;" x "&amp;TEXT(INDEX(tk_OAH,MATCH(174,tk_FSEQ,0)),"0.000"),"")</f>
        <v/>
      </c>
      <c r="G179" s="70">
        <f>IFERROR(""&amp;INDEX(tk_FLINE,MATCH(174,tk_FSEQ,0)),"")</f>
        <v/>
      </c>
      <c r="H179" s="70">
        <f>IFERROR(""&amp;INDEX(tk_FNOTES,MATCH(174,tk_FSEQ,0)),"")</f>
        <v/>
      </c>
    </row>
    <row r="180">
      <c r="A180" s="70">
        <f>IFERROR(""&amp;INDEX(tk_MARK,MATCH(175,tk_FSEQ,0)),"")</f>
        <v/>
      </c>
      <c r="B180" s="70">
        <f>IFERROR(INDEX(tk_QTY,MATCH(175,tk_FSEQ,0)),"")</f>
        <v/>
      </c>
      <c r="C180" s="70">
        <f>IFERROR(INDEX(tk_ROOMF,MATCH(175,tk_FSEQ,0))&amp;IF(INDEX(tk_ROOMT,MATCH(175,tk_FSEQ,0))="",""," → "&amp;INDEX(tk_ROOMT,MATCH(175,tk_FSEQ,0))),"")</f>
        <v/>
      </c>
      <c r="D180" s="70">
        <f>IFERROR(""&amp;INDEX(tk_SIZE,MATCH(175,tk_FSEQ,0)),"")</f>
        <v/>
      </c>
      <c r="E180" s="70">
        <f>IFERROR(""&amp;INDEX(tk_RATING,MATCH(175,tk_FSEQ,0)),"")</f>
        <v/>
      </c>
      <c r="F180" s="70">
        <f>IFERROR(TEXT(INDEX(tk_OAW,MATCH(175,tk_FSEQ,0)),"0.000")&amp;" x "&amp;TEXT(INDEX(tk_OAH,MATCH(175,tk_FSEQ,0)),"0.000"),"")</f>
        <v/>
      </c>
      <c r="G180" s="70">
        <f>IFERROR(""&amp;INDEX(tk_FLINE,MATCH(175,tk_FSEQ,0)),"")</f>
        <v/>
      </c>
      <c r="H180" s="70">
        <f>IFERROR(""&amp;INDEX(tk_FNOTES,MATCH(175,tk_FSEQ,0)),"")</f>
        <v/>
      </c>
    </row>
    <row r="181">
      <c r="A181" s="70">
        <f>IFERROR(""&amp;INDEX(tk_MARK,MATCH(176,tk_FSEQ,0)),"")</f>
        <v/>
      </c>
      <c r="B181" s="70">
        <f>IFERROR(INDEX(tk_QTY,MATCH(176,tk_FSEQ,0)),"")</f>
        <v/>
      </c>
      <c r="C181" s="70">
        <f>IFERROR(INDEX(tk_ROOMF,MATCH(176,tk_FSEQ,0))&amp;IF(INDEX(tk_ROOMT,MATCH(176,tk_FSEQ,0))="",""," → "&amp;INDEX(tk_ROOMT,MATCH(176,tk_FSEQ,0))),"")</f>
        <v/>
      </c>
      <c r="D181" s="70">
        <f>IFERROR(""&amp;INDEX(tk_SIZE,MATCH(176,tk_FSEQ,0)),"")</f>
        <v/>
      </c>
      <c r="E181" s="70">
        <f>IFERROR(""&amp;INDEX(tk_RATING,MATCH(176,tk_FSEQ,0)),"")</f>
        <v/>
      </c>
      <c r="F181" s="70">
        <f>IFERROR(TEXT(INDEX(tk_OAW,MATCH(176,tk_FSEQ,0)),"0.000")&amp;" x "&amp;TEXT(INDEX(tk_OAH,MATCH(176,tk_FSEQ,0)),"0.000"),"")</f>
        <v/>
      </c>
      <c r="G181" s="70">
        <f>IFERROR(""&amp;INDEX(tk_FLINE,MATCH(176,tk_FSEQ,0)),"")</f>
        <v/>
      </c>
      <c r="H181" s="70">
        <f>IFERROR(""&amp;INDEX(tk_FNOTES,MATCH(176,tk_FSEQ,0)),"")</f>
        <v/>
      </c>
    </row>
    <row r="182">
      <c r="A182" s="70">
        <f>IFERROR(""&amp;INDEX(tk_MARK,MATCH(177,tk_FSEQ,0)),"")</f>
        <v/>
      </c>
      <c r="B182" s="70">
        <f>IFERROR(INDEX(tk_QTY,MATCH(177,tk_FSEQ,0)),"")</f>
        <v/>
      </c>
      <c r="C182" s="70">
        <f>IFERROR(INDEX(tk_ROOMF,MATCH(177,tk_FSEQ,0))&amp;IF(INDEX(tk_ROOMT,MATCH(177,tk_FSEQ,0))="",""," → "&amp;INDEX(tk_ROOMT,MATCH(177,tk_FSEQ,0))),"")</f>
        <v/>
      </c>
      <c r="D182" s="70">
        <f>IFERROR(""&amp;INDEX(tk_SIZE,MATCH(177,tk_FSEQ,0)),"")</f>
        <v/>
      </c>
      <c r="E182" s="70">
        <f>IFERROR(""&amp;INDEX(tk_RATING,MATCH(177,tk_FSEQ,0)),"")</f>
        <v/>
      </c>
      <c r="F182" s="70">
        <f>IFERROR(TEXT(INDEX(tk_OAW,MATCH(177,tk_FSEQ,0)),"0.000")&amp;" x "&amp;TEXT(INDEX(tk_OAH,MATCH(177,tk_FSEQ,0)),"0.000"),"")</f>
        <v/>
      </c>
      <c r="G182" s="70">
        <f>IFERROR(""&amp;INDEX(tk_FLINE,MATCH(177,tk_FSEQ,0)),"")</f>
        <v/>
      </c>
      <c r="H182" s="70">
        <f>IFERROR(""&amp;INDEX(tk_FNOTES,MATCH(177,tk_FSEQ,0)),"")</f>
        <v/>
      </c>
    </row>
    <row r="183">
      <c r="A183" s="70">
        <f>IFERROR(""&amp;INDEX(tk_MARK,MATCH(178,tk_FSEQ,0)),"")</f>
        <v/>
      </c>
      <c r="B183" s="70">
        <f>IFERROR(INDEX(tk_QTY,MATCH(178,tk_FSEQ,0)),"")</f>
        <v/>
      </c>
      <c r="C183" s="70">
        <f>IFERROR(INDEX(tk_ROOMF,MATCH(178,tk_FSEQ,0))&amp;IF(INDEX(tk_ROOMT,MATCH(178,tk_FSEQ,0))="",""," → "&amp;INDEX(tk_ROOMT,MATCH(178,tk_FSEQ,0))),"")</f>
        <v/>
      </c>
      <c r="D183" s="70">
        <f>IFERROR(""&amp;INDEX(tk_SIZE,MATCH(178,tk_FSEQ,0)),"")</f>
        <v/>
      </c>
      <c r="E183" s="70">
        <f>IFERROR(""&amp;INDEX(tk_RATING,MATCH(178,tk_FSEQ,0)),"")</f>
        <v/>
      </c>
      <c r="F183" s="70">
        <f>IFERROR(TEXT(INDEX(tk_OAW,MATCH(178,tk_FSEQ,0)),"0.000")&amp;" x "&amp;TEXT(INDEX(tk_OAH,MATCH(178,tk_FSEQ,0)),"0.000"),"")</f>
        <v/>
      </c>
      <c r="G183" s="70">
        <f>IFERROR(""&amp;INDEX(tk_FLINE,MATCH(178,tk_FSEQ,0)),"")</f>
        <v/>
      </c>
      <c r="H183" s="70">
        <f>IFERROR(""&amp;INDEX(tk_FNOTES,MATCH(178,tk_FSEQ,0)),"")</f>
        <v/>
      </c>
    </row>
    <row r="184">
      <c r="A184" s="70">
        <f>IFERROR(""&amp;INDEX(tk_MARK,MATCH(179,tk_FSEQ,0)),"")</f>
        <v/>
      </c>
      <c r="B184" s="70">
        <f>IFERROR(INDEX(tk_QTY,MATCH(179,tk_FSEQ,0)),"")</f>
        <v/>
      </c>
      <c r="C184" s="70">
        <f>IFERROR(INDEX(tk_ROOMF,MATCH(179,tk_FSEQ,0))&amp;IF(INDEX(tk_ROOMT,MATCH(179,tk_FSEQ,0))="",""," → "&amp;INDEX(tk_ROOMT,MATCH(179,tk_FSEQ,0))),"")</f>
        <v/>
      </c>
      <c r="D184" s="70">
        <f>IFERROR(""&amp;INDEX(tk_SIZE,MATCH(179,tk_FSEQ,0)),"")</f>
        <v/>
      </c>
      <c r="E184" s="70">
        <f>IFERROR(""&amp;INDEX(tk_RATING,MATCH(179,tk_FSEQ,0)),"")</f>
        <v/>
      </c>
      <c r="F184" s="70">
        <f>IFERROR(TEXT(INDEX(tk_OAW,MATCH(179,tk_FSEQ,0)),"0.000")&amp;" x "&amp;TEXT(INDEX(tk_OAH,MATCH(179,tk_FSEQ,0)),"0.000"),"")</f>
        <v/>
      </c>
      <c r="G184" s="70">
        <f>IFERROR(""&amp;INDEX(tk_FLINE,MATCH(179,tk_FSEQ,0)),"")</f>
        <v/>
      </c>
      <c r="H184" s="70">
        <f>IFERROR(""&amp;INDEX(tk_FNOTES,MATCH(179,tk_FSEQ,0)),"")</f>
        <v/>
      </c>
    </row>
    <row r="185">
      <c r="A185" s="70">
        <f>IFERROR(""&amp;INDEX(tk_MARK,MATCH(180,tk_FSEQ,0)),"")</f>
        <v/>
      </c>
      <c r="B185" s="70">
        <f>IFERROR(INDEX(tk_QTY,MATCH(180,tk_FSEQ,0)),"")</f>
        <v/>
      </c>
      <c r="C185" s="70">
        <f>IFERROR(INDEX(tk_ROOMF,MATCH(180,tk_FSEQ,0))&amp;IF(INDEX(tk_ROOMT,MATCH(180,tk_FSEQ,0))="",""," → "&amp;INDEX(tk_ROOMT,MATCH(180,tk_FSEQ,0))),"")</f>
        <v/>
      </c>
      <c r="D185" s="70">
        <f>IFERROR(""&amp;INDEX(tk_SIZE,MATCH(180,tk_FSEQ,0)),"")</f>
        <v/>
      </c>
      <c r="E185" s="70">
        <f>IFERROR(""&amp;INDEX(tk_RATING,MATCH(180,tk_FSEQ,0)),"")</f>
        <v/>
      </c>
      <c r="F185" s="70">
        <f>IFERROR(TEXT(INDEX(tk_OAW,MATCH(180,tk_FSEQ,0)),"0.000")&amp;" x "&amp;TEXT(INDEX(tk_OAH,MATCH(180,tk_FSEQ,0)),"0.000"),"")</f>
        <v/>
      </c>
      <c r="G185" s="70">
        <f>IFERROR(""&amp;INDEX(tk_FLINE,MATCH(180,tk_FSEQ,0)),"")</f>
        <v/>
      </c>
      <c r="H185" s="70">
        <f>IFERROR(""&amp;INDEX(tk_FNOTES,MATCH(180,tk_FSEQ,0)),"")</f>
        <v/>
      </c>
    </row>
    <row r="186">
      <c r="A186" s="70">
        <f>IFERROR(""&amp;INDEX(tk_MARK,MATCH(181,tk_FSEQ,0)),"")</f>
        <v/>
      </c>
      <c r="B186" s="70">
        <f>IFERROR(INDEX(tk_QTY,MATCH(181,tk_FSEQ,0)),"")</f>
        <v/>
      </c>
      <c r="C186" s="70">
        <f>IFERROR(INDEX(tk_ROOMF,MATCH(181,tk_FSEQ,0))&amp;IF(INDEX(tk_ROOMT,MATCH(181,tk_FSEQ,0))="",""," → "&amp;INDEX(tk_ROOMT,MATCH(181,tk_FSEQ,0))),"")</f>
        <v/>
      </c>
      <c r="D186" s="70">
        <f>IFERROR(""&amp;INDEX(tk_SIZE,MATCH(181,tk_FSEQ,0)),"")</f>
        <v/>
      </c>
      <c r="E186" s="70">
        <f>IFERROR(""&amp;INDEX(tk_RATING,MATCH(181,tk_FSEQ,0)),"")</f>
        <v/>
      </c>
      <c r="F186" s="70">
        <f>IFERROR(TEXT(INDEX(tk_OAW,MATCH(181,tk_FSEQ,0)),"0.000")&amp;" x "&amp;TEXT(INDEX(tk_OAH,MATCH(181,tk_FSEQ,0)),"0.000"),"")</f>
        <v/>
      </c>
      <c r="G186" s="70">
        <f>IFERROR(""&amp;INDEX(tk_FLINE,MATCH(181,tk_FSEQ,0)),"")</f>
        <v/>
      </c>
      <c r="H186" s="70">
        <f>IFERROR(""&amp;INDEX(tk_FNOTES,MATCH(181,tk_FSEQ,0)),"")</f>
        <v/>
      </c>
    </row>
    <row r="187">
      <c r="A187" s="70">
        <f>IFERROR(""&amp;INDEX(tk_MARK,MATCH(182,tk_FSEQ,0)),"")</f>
        <v/>
      </c>
      <c r="B187" s="70">
        <f>IFERROR(INDEX(tk_QTY,MATCH(182,tk_FSEQ,0)),"")</f>
        <v/>
      </c>
      <c r="C187" s="70">
        <f>IFERROR(INDEX(tk_ROOMF,MATCH(182,tk_FSEQ,0))&amp;IF(INDEX(tk_ROOMT,MATCH(182,tk_FSEQ,0))="",""," → "&amp;INDEX(tk_ROOMT,MATCH(182,tk_FSEQ,0))),"")</f>
        <v/>
      </c>
      <c r="D187" s="70">
        <f>IFERROR(""&amp;INDEX(tk_SIZE,MATCH(182,tk_FSEQ,0)),"")</f>
        <v/>
      </c>
      <c r="E187" s="70">
        <f>IFERROR(""&amp;INDEX(tk_RATING,MATCH(182,tk_FSEQ,0)),"")</f>
        <v/>
      </c>
      <c r="F187" s="70">
        <f>IFERROR(TEXT(INDEX(tk_OAW,MATCH(182,tk_FSEQ,0)),"0.000")&amp;" x "&amp;TEXT(INDEX(tk_OAH,MATCH(182,tk_FSEQ,0)),"0.000"),"")</f>
        <v/>
      </c>
      <c r="G187" s="70">
        <f>IFERROR(""&amp;INDEX(tk_FLINE,MATCH(182,tk_FSEQ,0)),"")</f>
        <v/>
      </c>
      <c r="H187" s="70">
        <f>IFERROR(""&amp;INDEX(tk_FNOTES,MATCH(182,tk_FSEQ,0)),"")</f>
        <v/>
      </c>
    </row>
    <row r="188">
      <c r="A188" s="70">
        <f>IFERROR(""&amp;INDEX(tk_MARK,MATCH(183,tk_FSEQ,0)),"")</f>
        <v/>
      </c>
      <c r="B188" s="70">
        <f>IFERROR(INDEX(tk_QTY,MATCH(183,tk_FSEQ,0)),"")</f>
        <v/>
      </c>
      <c r="C188" s="70">
        <f>IFERROR(INDEX(tk_ROOMF,MATCH(183,tk_FSEQ,0))&amp;IF(INDEX(tk_ROOMT,MATCH(183,tk_FSEQ,0))="",""," → "&amp;INDEX(tk_ROOMT,MATCH(183,tk_FSEQ,0))),"")</f>
        <v/>
      </c>
      <c r="D188" s="70">
        <f>IFERROR(""&amp;INDEX(tk_SIZE,MATCH(183,tk_FSEQ,0)),"")</f>
        <v/>
      </c>
      <c r="E188" s="70">
        <f>IFERROR(""&amp;INDEX(tk_RATING,MATCH(183,tk_FSEQ,0)),"")</f>
        <v/>
      </c>
      <c r="F188" s="70">
        <f>IFERROR(TEXT(INDEX(tk_OAW,MATCH(183,tk_FSEQ,0)),"0.000")&amp;" x "&amp;TEXT(INDEX(tk_OAH,MATCH(183,tk_FSEQ,0)),"0.000"),"")</f>
        <v/>
      </c>
      <c r="G188" s="70">
        <f>IFERROR(""&amp;INDEX(tk_FLINE,MATCH(183,tk_FSEQ,0)),"")</f>
        <v/>
      </c>
      <c r="H188" s="70">
        <f>IFERROR(""&amp;INDEX(tk_FNOTES,MATCH(183,tk_FSEQ,0)),"")</f>
        <v/>
      </c>
    </row>
    <row r="189">
      <c r="A189" s="70">
        <f>IFERROR(""&amp;INDEX(tk_MARK,MATCH(184,tk_FSEQ,0)),"")</f>
        <v/>
      </c>
      <c r="B189" s="70">
        <f>IFERROR(INDEX(tk_QTY,MATCH(184,tk_FSEQ,0)),"")</f>
        <v/>
      </c>
      <c r="C189" s="70">
        <f>IFERROR(INDEX(tk_ROOMF,MATCH(184,tk_FSEQ,0))&amp;IF(INDEX(tk_ROOMT,MATCH(184,tk_FSEQ,0))="",""," → "&amp;INDEX(tk_ROOMT,MATCH(184,tk_FSEQ,0))),"")</f>
        <v/>
      </c>
      <c r="D189" s="70">
        <f>IFERROR(""&amp;INDEX(tk_SIZE,MATCH(184,tk_FSEQ,0)),"")</f>
        <v/>
      </c>
      <c r="E189" s="70">
        <f>IFERROR(""&amp;INDEX(tk_RATING,MATCH(184,tk_FSEQ,0)),"")</f>
        <v/>
      </c>
      <c r="F189" s="70">
        <f>IFERROR(TEXT(INDEX(tk_OAW,MATCH(184,tk_FSEQ,0)),"0.000")&amp;" x "&amp;TEXT(INDEX(tk_OAH,MATCH(184,tk_FSEQ,0)),"0.000"),"")</f>
        <v/>
      </c>
      <c r="G189" s="70">
        <f>IFERROR(""&amp;INDEX(tk_FLINE,MATCH(184,tk_FSEQ,0)),"")</f>
        <v/>
      </c>
      <c r="H189" s="70">
        <f>IFERROR(""&amp;INDEX(tk_FNOTES,MATCH(184,tk_FSEQ,0)),"")</f>
        <v/>
      </c>
    </row>
    <row r="190">
      <c r="A190" s="70">
        <f>IFERROR(""&amp;INDEX(tk_MARK,MATCH(185,tk_FSEQ,0)),"")</f>
        <v/>
      </c>
      <c r="B190" s="70">
        <f>IFERROR(INDEX(tk_QTY,MATCH(185,tk_FSEQ,0)),"")</f>
        <v/>
      </c>
      <c r="C190" s="70">
        <f>IFERROR(INDEX(tk_ROOMF,MATCH(185,tk_FSEQ,0))&amp;IF(INDEX(tk_ROOMT,MATCH(185,tk_FSEQ,0))="",""," → "&amp;INDEX(tk_ROOMT,MATCH(185,tk_FSEQ,0))),"")</f>
        <v/>
      </c>
      <c r="D190" s="70">
        <f>IFERROR(""&amp;INDEX(tk_SIZE,MATCH(185,tk_FSEQ,0)),"")</f>
        <v/>
      </c>
      <c r="E190" s="70">
        <f>IFERROR(""&amp;INDEX(tk_RATING,MATCH(185,tk_FSEQ,0)),"")</f>
        <v/>
      </c>
      <c r="F190" s="70">
        <f>IFERROR(TEXT(INDEX(tk_OAW,MATCH(185,tk_FSEQ,0)),"0.000")&amp;" x "&amp;TEXT(INDEX(tk_OAH,MATCH(185,tk_FSEQ,0)),"0.000"),"")</f>
        <v/>
      </c>
      <c r="G190" s="70">
        <f>IFERROR(""&amp;INDEX(tk_FLINE,MATCH(185,tk_FSEQ,0)),"")</f>
        <v/>
      </c>
      <c r="H190" s="70">
        <f>IFERROR(""&amp;INDEX(tk_FNOTES,MATCH(185,tk_FSEQ,0)),"")</f>
        <v/>
      </c>
    </row>
    <row r="191">
      <c r="A191" s="70">
        <f>IFERROR(""&amp;INDEX(tk_MARK,MATCH(186,tk_FSEQ,0)),"")</f>
        <v/>
      </c>
      <c r="B191" s="70">
        <f>IFERROR(INDEX(tk_QTY,MATCH(186,tk_FSEQ,0)),"")</f>
        <v/>
      </c>
      <c r="C191" s="70">
        <f>IFERROR(INDEX(tk_ROOMF,MATCH(186,tk_FSEQ,0))&amp;IF(INDEX(tk_ROOMT,MATCH(186,tk_FSEQ,0))="",""," → "&amp;INDEX(tk_ROOMT,MATCH(186,tk_FSEQ,0))),"")</f>
        <v/>
      </c>
      <c r="D191" s="70">
        <f>IFERROR(""&amp;INDEX(tk_SIZE,MATCH(186,tk_FSEQ,0)),"")</f>
        <v/>
      </c>
      <c r="E191" s="70">
        <f>IFERROR(""&amp;INDEX(tk_RATING,MATCH(186,tk_FSEQ,0)),"")</f>
        <v/>
      </c>
      <c r="F191" s="70">
        <f>IFERROR(TEXT(INDEX(tk_OAW,MATCH(186,tk_FSEQ,0)),"0.000")&amp;" x "&amp;TEXT(INDEX(tk_OAH,MATCH(186,tk_FSEQ,0)),"0.000"),"")</f>
        <v/>
      </c>
      <c r="G191" s="70">
        <f>IFERROR(""&amp;INDEX(tk_FLINE,MATCH(186,tk_FSEQ,0)),"")</f>
        <v/>
      </c>
      <c r="H191" s="70">
        <f>IFERROR(""&amp;INDEX(tk_FNOTES,MATCH(186,tk_FSEQ,0)),"")</f>
        <v/>
      </c>
    </row>
    <row r="192">
      <c r="A192" s="70">
        <f>IFERROR(""&amp;INDEX(tk_MARK,MATCH(187,tk_FSEQ,0)),"")</f>
        <v/>
      </c>
      <c r="B192" s="70">
        <f>IFERROR(INDEX(tk_QTY,MATCH(187,tk_FSEQ,0)),"")</f>
        <v/>
      </c>
      <c r="C192" s="70">
        <f>IFERROR(INDEX(tk_ROOMF,MATCH(187,tk_FSEQ,0))&amp;IF(INDEX(tk_ROOMT,MATCH(187,tk_FSEQ,0))="",""," → "&amp;INDEX(tk_ROOMT,MATCH(187,tk_FSEQ,0))),"")</f>
        <v/>
      </c>
      <c r="D192" s="70">
        <f>IFERROR(""&amp;INDEX(tk_SIZE,MATCH(187,tk_FSEQ,0)),"")</f>
        <v/>
      </c>
      <c r="E192" s="70">
        <f>IFERROR(""&amp;INDEX(tk_RATING,MATCH(187,tk_FSEQ,0)),"")</f>
        <v/>
      </c>
      <c r="F192" s="70">
        <f>IFERROR(TEXT(INDEX(tk_OAW,MATCH(187,tk_FSEQ,0)),"0.000")&amp;" x "&amp;TEXT(INDEX(tk_OAH,MATCH(187,tk_FSEQ,0)),"0.000"),"")</f>
        <v/>
      </c>
      <c r="G192" s="70">
        <f>IFERROR(""&amp;INDEX(tk_FLINE,MATCH(187,tk_FSEQ,0)),"")</f>
        <v/>
      </c>
      <c r="H192" s="70">
        <f>IFERROR(""&amp;INDEX(tk_FNOTES,MATCH(187,tk_FSEQ,0)),"")</f>
        <v/>
      </c>
    </row>
    <row r="193">
      <c r="A193" s="70">
        <f>IFERROR(""&amp;INDEX(tk_MARK,MATCH(188,tk_FSEQ,0)),"")</f>
        <v/>
      </c>
      <c r="B193" s="70">
        <f>IFERROR(INDEX(tk_QTY,MATCH(188,tk_FSEQ,0)),"")</f>
        <v/>
      </c>
      <c r="C193" s="70">
        <f>IFERROR(INDEX(tk_ROOMF,MATCH(188,tk_FSEQ,0))&amp;IF(INDEX(tk_ROOMT,MATCH(188,tk_FSEQ,0))="",""," → "&amp;INDEX(tk_ROOMT,MATCH(188,tk_FSEQ,0))),"")</f>
        <v/>
      </c>
      <c r="D193" s="70">
        <f>IFERROR(""&amp;INDEX(tk_SIZE,MATCH(188,tk_FSEQ,0)),"")</f>
        <v/>
      </c>
      <c r="E193" s="70">
        <f>IFERROR(""&amp;INDEX(tk_RATING,MATCH(188,tk_FSEQ,0)),"")</f>
        <v/>
      </c>
      <c r="F193" s="70">
        <f>IFERROR(TEXT(INDEX(tk_OAW,MATCH(188,tk_FSEQ,0)),"0.000")&amp;" x "&amp;TEXT(INDEX(tk_OAH,MATCH(188,tk_FSEQ,0)),"0.000"),"")</f>
        <v/>
      </c>
      <c r="G193" s="70">
        <f>IFERROR(""&amp;INDEX(tk_FLINE,MATCH(188,tk_FSEQ,0)),"")</f>
        <v/>
      </c>
      <c r="H193" s="70">
        <f>IFERROR(""&amp;INDEX(tk_FNOTES,MATCH(188,tk_FSEQ,0)),"")</f>
        <v/>
      </c>
    </row>
    <row r="194">
      <c r="A194" s="70">
        <f>IFERROR(""&amp;INDEX(tk_MARK,MATCH(189,tk_FSEQ,0)),"")</f>
        <v/>
      </c>
      <c r="B194" s="70">
        <f>IFERROR(INDEX(tk_QTY,MATCH(189,tk_FSEQ,0)),"")</f>
        <v/>
      </c>
      <c r="C194" s="70">
        <f>IFERROR(INDEX(tk_ROOMF,MATCH(189,tk_FSEQ,0))&amp;IF(INDEX(tk_ROOMT,MATCH(189,tk_FSEQ,0))="",""," → "&amp;INDEX(tk_ROOMT,MATCH(189,tk_FSEQ,0))),"")</f>
        <v/>
      </c>
      <c r="D194" s="70">
        <f>IFERROR(""&amp;INDEX(tk_SIZE,MATCH(189,tk_FSEQ,0)),"")</f>
        <v/>
      </c>
      <c r="E194" s="70">
        <f>IFERROR(""&amp;INDEX(tk_RATING,MATCH(189,tk_FSEQ,0)),"")</f>
        <v/>
      </c>
      <c r="F194" s="70">
        <f>IFERROR(TEXT(INDEX(tk_OAW,MATCH(189,tk_FSEQ,0)),"0.000")&amp;" x "&amp;TEXT(INDEX(tk_OAH,MATCH(189,tk_FSEQ,0)),"0.000"),"")</f>
        <v/>
      </c>
      <c r="G194" s="70">
        <f>IFERROR(""&amp;INDEX(tk_FLINE,MATCH(189,tk_FSEQ,0)),"")</f>
        <v/>
      </c>
      <c r="H194" s="70">
        <f>IFERROR(""&amp;INDEX(tk_FNOTES,MATCH(189,tk_FSEQ,0)),"")</f>
        <v/>
      </c>
    </row>
    <row r="195">
      <c r="A195" s="70">
        <f>IFERROR(""&amp;INDEX(tk_MARK,MATCH(190,tk_FSEQ,0)),"")</f>
        <v/>
      </c>
      <c r="B195" s="70">
        <f>IFERROR(INDEX(tk_QTY,MATCH(190,tk_FSEQ,0)),"")</f>
        <v/>
      </c>
      <c r="C195" s="70">
        <f>IFERROR(INDEX(tk_ROOMF,MATCH(190,tk_FSEQ,0))&amp;IF(INDEX(tk_ROOMT,MATCH(190,tk_FSEQ,0))="",""," → "&amp;INDEX(tk_ROOMT,MATCH(190,tk_FSEQ,0))),"")</f>
        <v/>
      </c>
      <c r="D195" s="70">
        <f>IFERROR(""&amp;INDEX(tk_SIZE,MATCH(190,tk_FSEQ,0)),"")</f>
        <v/>
      </c>
      <c r="E195" s="70">
        <f>IFERROR(""&amp;INDEX(tk_RATING,MATCH(190,tk_FSEQ,0)),"")</f>
        <v/>
      </c>
      <c r="F195" s="70">
        <f>IFERROR(TEXT(INDEX(tk_OAW,MATCH(190,tk_FSEQ,0)),"0.000")&amp;" x "&amp;TEXT(INDEX(tk_OAH,MATCH(190,tk_FSEQ,0)),"0.000"),"")</f>
        <v/>
      </c>
      <c r="G195" s="70">
        <f>IFERROR(""&amp;INDEX(tk_FLINE,MATCH(190,tk_FSEQ,0)),"")</f>
        <v/>
      </c>
      <c r="H195" s="70">
        <f>IFERROR(""&amp;INDEX(tk_FNOTES,MATCH(190,tk_FSEQ,0)),"")</f>
        <v/>
      </c>
    </row>
    <row r="196">
      <c r="A196" s="70">
        <f>IFERROR(""&amp;INDEX(tk_MARK,MATCH(191,tk_FSEQ,0)),"")</f>
        <v/>
      </c>
      <c r="B196" s="70">
        <f>IFERROR(INDEX(tk_QTY,MATCH(191,tk_FSEQ,0)),"")</f>
        <v/>
      </c>
      <c r="C196" s="70">
        <f>IFERROR(INDEX(tk_ROOMF,MATCH(191,tk_FSEQ,0))&amp;IF(INDEX(tk_ROOMT,MATCH(191,tk_FSEQ,0))="",""," → "&amp;INDEX(tk_ROOMT,MATCH(191,tk_FSEQ,0))),"")</f>
        <v/>
      </c>
      <c r="D196" s="70">
        <f>IFERROR(""&amp;INDEX(tk_SIZE,MATCH(191,tk_FSEQ,0)),"")</f>
        <v/>
      </c>
      <c r="E196" s="70">
        <f>IFERROR(""&amp;INDEX(tk_RATING,MATCH(191,tk_FSEQ,0)),"")</f>
        <v/>
      </c>
      <c r="F196" s="70">
        <f>IFERROR(TEXT(INDEX(tk_OAW,MATCH(191,tk_FSEQ,0)),"0.000")&amp;" x "&amp;TEXT(INDEX(tk_OAH,MATCH(191,tk_FSEQ,0)),"0.000"),"")</f>
        <v/>
      </c>
      <c r="G196" s="70">
        <f>IFERROR(""&amp;INDEX(tk_FLINE,MATCH(191,tk_FSEQ,0)),"")</f>
        <v/>
      </c>
      <c r="H196" s="70">
        <f>IFERROR(""&amp;INDEX(tk_FNOTES,MATCH(191,tk_FSEQ,0)),"")</f>
        <v/>
      </c>
    </row>
    <row r="197">
      <c r="A197" s="70">
        <f>IFERROR(""&amp;INDEX(tk_MARK,MATCH(192,tk_FSEQ,0)),"")</f>
        <v/>
      </c>
      <c r="B197" s="70">
        <f>IFERROR(INDEX(tk_QTY,MATCH(192,tk_FSEQ,0)),"")</f>
        <v/>
      </c>
      <c r="C197" s="70">
        <f>IFERROR(INDEX(tk_ROOMF,MATCH(192,tk_FSEQ,0))&amp;IF(INDEX(tk_ROOMT,MATCH(192,tk_FSEQ,0))="",""," → "&amp;INDEX(tk_ROOMT,MATCH(192,tk_FSEQ,0))),"")</f>
        <v/>
      </c>
      <c r="D197" s="70">
        <f>IFERROR(""&amp;INDEX(tk_SIZE,MATCH(192,tk_FSEQ,0)),"")</f>
        <v/>
      </c>
      <c r="E197" s="70">
        <f>IFERROR(""&amp;INDEX(tk_RATING,MATCH(192,tk_FSEQ,0)),"")</f>
        <v/>
      </c>
      <c r="F197" s="70">
        <f>IFERROR(TEXT(INDEX(tk_OAW,MATCH(192,tk_FSEQ,0)),"0.000")&amp;" x "&amp;TEXT(INDEX(tk_OAH,MATCH(192,tk_FSEQ,0)),"0.000"),"")</f>
        <v/>
      </c>
      <c r="G197" s="70">
        <f>IFERROR(""&amp;INDEX(tk_FLINE,MATCH(192,tk_FSEQ,0)),"")</f>
        <v/>
      </c>
      <c r="H197" s="70">
        <f>IFERROR(""&amp;INDEX(tk_FNOTES,MATCH(192,tk_FSEQ,0)),"")</f>
        <v/>
      </c>
    </row>
    <row r="198">
      <c r="A198" s="70">
        <f>IFERROR(""&amp;INDEX(tk_MARK,MATCH(193,tk_FSEQ,0)),"")</f>
        <v/>
      </c>
      <c r="B198" s="70">
        <f>IFERROR(INDEX(tk_QTY,MATCH(193,tk_FSEQ,0)),"")</f>
        <v/>
      </c>
      <c r="C198" s="70">
        <f>IFERROR(INDEX(tk_ROOMF,MATCH(193,tk_FSEQ,0))&amp;IF(INDEX(tk_ROOMT,MATCH(193,tk_FSEQ,0))="",""," → "&amp;INDEX(tk_ROOMT,MATCH(193,tk_FSEQ,0))),"")</f>
        <v/>
      </c>
      <c r="D198" s="70">
        <f>IFERROR(""&amp;INDEX(tk_SIZE,MATCH(193,tk_FSEQ,0)),"")</f>
        <v/>
      </c>
      <c r="E198" s="70">
        <f>IFERROR(""&amp;INDEX(tk_RATING,MATCH(193,tk_FSEQ,0)),"")</f>
        <v/>
      </c>
      <c r="F198" s="70">
        <f>IFERROR(TEXT(INDEX(tk_OAW,MATCH(193,tk_FSEQ,0)),"0.000")&amp;" x "&amp;TEXT(INDEX(tk_OAH,MATCH(193,tk_FSEQ,0)),"0.000"),"")</f>
        <v/>
      </c>
      <c r="G198" s="70">
        <f>IFERROR(""&amp;INDEX(tk_FLINE,MATCH(193,tk_FSEQ,0)),"")</f>
        <v/>
      </c>
      <c r="H198" s="70">
        <f>IFERROR(""&amp;INDEX(tk_FNOTES,MATCH(193,tk_FSEQ,0)),"")</f>
        <v/>
      </c>
    </row>
    <row r="199">
      <c r="A199" s="70">
        <f>IFERROR(""&amp;INDEX(tk_MARK,MATCH(194,tk_FSEQ,0)),"")</f>
        <v/>
      </c>
      <c r="B199" s="70">
        <f>IFERROR(INDEX(tk_QTY,MATCH(194,tk_FSEQ,0)),"")</f>
        <v/>
      </c>
      <c r="C199" s="70">
        <f>IFERROR(INDEX(tk_ROOMF,MATCH(194,tk_FSEQ,0))&amp;IF(INDEX(tk_ROOMT,MATCH(194,tk_FSEQ,0))="",""," → "&amp;INDEX(tk_ROOMT,MATCH(194,tk_FSEQ,0))),"")</f>
        <v/>
      </c>
      <c r="D199" s="70">
        <f>IFERROR(""&amp;INDEX(tk_SIZE,MATCH(194,tk_FSEQ,0)),"")</f>
        <v/>
      </c>
      <c r="E199" s="70">
        <f>IFERROR(""&amp;INDEX(tk_RATING,MATCH(194,tk_FSEQ,0)),"")</f>
        <v/>
      </c>
      <c r="F199" s="70">
        <f>IFERROR(TEXT(INDEX(tk_OAW,MATCH(194,tk_FSEQ,0)),"0.000")&amp;" x "&amp;TEXT(INDEX(tk_OAH,MATCH(194,tk_FSEQ,0)),"0.000"),"")</f>
        <v/>
      </c>
      <c r="G199" s="70">
        <f>IFERROR(""&amp;INDEX(tk_FLINE,MATCH(194,tk_FSEQ,0)),"")</f>
        <v/>
      </c>
      <c r="H199" s="70">
        <f>IFERROR(""&amp;INDEX(tk_FNOTES,MATCH(194,tk_FSEQ,0)),"")</f>
        <v/>
      </c>
    </row>
    <row r="200">
      <c r="A200" s="70">
        <f>IFERROR(""&amp;INDEX(tk_MARK,MATCH(195,tk_FSEQ,0)),"")</f>
        <v/>
      </c>
      <c r="B200" s="70">
        <f>IFERROR(INDEX(tk_QTY,MATCH(195,tk_FSEQ,0)),"")</f>
        <v/>
      </c>
      <c r="C200" s="70">
        <f>IFERROR(INDEX(tk_ROOMF,MATCH(195,tk_FSEQ,0))&amp;IF(INDEX(tk_ROOMT,MATCH(195,tk_FSEQ,0))="",""," → "&amp;INDEX(tk_ROOMT,MATCH(195,tk_FSEQ,0))),"")</f>
        <v/>
      </c>
      <c r="D200" s="70">
        <f>IFERROR(""&amp;INDEX(tk_SIZE,MATCH(195,tk_FSEQ,0)),"")</f>
        <v/>
      </c>
      <c r="E200" s="70">
        <f>IFERROR(""&amp;INDEX(tk_RATING,MATCH(195,tk_FSEQ,0)),"")</f>
        <v/>
      </c>
      <c r="F200" s="70">
        <f>IFERROR(TEXT(INDEX(tk_OAW,MATCH(195,tk_FSEQ,0)),"0.000")&amp;" x "&amp;TEXT(INDEX(tk_OAH,MATCH(195,tk_FSEQ,0)),"0.000"),"")</f>
        <v/>
      </c>
      <c r="G200" s="70">
        <f>IFERROR(""&amp;INDEX(tk_FLINE,MATCH(195,tk_FSEQ,0)),"")</f>
        <v/>
      </c>
      <c r="H200" s="70">
        <f>IFERROR(""&amp;INDEX(tk_FNOTES,MATCH(195,tk_FSEQ,0)),"")</f>
        <v/>
      </c>
    </row>
    <row r="201">
      <c r="A201" s="70">
        <f>IFERROR(""&amp;INDEX(tk_MARK,MATCH(196,tk_FSEQ,0)),"")</f>
        <v/>
      </c>
      <c r="B201" s="70">
        <f>IFERROR(INDEX(tk_QTY,MATCH(196,tk_FSEQ,0)),"")</f>
        <v/>
      </c>
      <c r="C201" s="70">
        <f>IFERROR(INDEX(tk_ROOMF,MATCH(196,tk_FSEQ,0))&amp;IF(INDEX(tk_ROOMT,MATCH(196,tk_FSEQ,0))="",""," → "&amp;INDEX(tk_ROOMT,MATCH(196,tk_FSEQ,0))),"")</f>
        <v/>
      </c>
      <c r="D201" s="70">
        <f>IFERROR(""&amp;INDEX(tk_SIZE,MATCH(196,tk_FSEQ,0)),"")</f>
        <v/>
      </c>
      <c r="E201" s="70">
        <f>IFERROR(""&amp;INDEX(tk_RATING,MATCH(196,tk_FSEQ,0)),"")</f>
        <v/>
      </c>
      <c r="F201" s="70">
        <f>IFERROR(TEXT(INDEX(tk_OAW,MATCH(196,tk_FSEQ,0)),"0.000")&amp;" x "&amp;TEXT(INDEX(tk_OAH,MATCH(196,tk_FSEQ,0)),"0.000"),"")</f>
        <v/>
      </c>
      <c r="G201" s="70">
        <f>IFERROR(""&amp;INDEX(tk_FLINE,MATCH(196,tk_FSEQ,0)),"")</f>
        <v/>
      </c>
      <c r="H201" s="70">
        <f>IFERROR(""&amp;INDEX(tk_FNOTES,MATCH(196,tk_FSEQ,0)),"")</f>
        <v/>
      </c>
    </row>
    <row r="202">
      <c r="A202" s="70">
        <f>IFERROR(""&amp;INDEX(tk_MARK,MATCH(197,tk_FSEQ,0)),"")</f>
        <v/>
      </c>
      <c r="B202" s="70">
        <f>IFERROR(INDEX(tk_QTY,MATCH(197,tk_FSEQ,0)),"")</f>
        <v/>
      </c>
      <c r="C202" s="70">
        <f>IFERROR(INDEX(tk_ROOMF,MATCH(197,tk_FSEQ,0))&amp;IF(INDEX(tk_ROOMT,MATCH(197,tk_FSEQ,0))="",""," → "&amp;INDEX(tk_ROOMT,MATCH(197,tk_FSEQ,0))),"")</f>
        <v/>
      </c>
      <c r="D202" s="70">
        <f>IFERROR(""&amp;INDEX(tk_SIZE,MATCH(197,tk_FSEQ,0)),"")</f>
        <v/>
      </c>
      <c r="E202" s="70">
        <f>IFERROR(""&amp;INDEX(tk_RATING,MATCH(197,tk_FSEQ,0)),"")</f>
        <v/>
      </c>
      <c r="F202" s="70">
        <f>IFERROR(TEXT(INDEX(tk_OAW,MATCH(197,tk_FSEQ,0)),"0.000")&amp;" x "&amp;TEXT(INDEX(tk_OAH,MATCH(197,tk_FSEQ,0)),"0.000"),"")</f>
        <v/>
      </c>
      <c r="G202" s="70">
        <f>IFERROR(""&amp;INDEX(tk_FLINE,MATCH(197,tk_FSEQ,0)),"")</f>
        <v/>
      </c>
      <c r="H202" s="70">
        <f>IFERROR(""&amp;INDEX(tk_FNOTES,MATCH(197,tk_FSEQ,0)),"")</f>
        <v/>
      </c>
    </row>
    <row r="203">
      <c r="A203" s="70">
        <f>IFERROR(""&amp;INDEX(tk_MARK,MATCH(198,tk_FSEQ,0)),"")</f>
        <v/>
      </c>
      <c r="B203" s="70">
        <f>IFERROR(INDEX(tk_QTY,MATCH(198,tk_FSEQ,0)),"")</f>
        <v/>
      </c>
      <c r="C203" s="70">
        <f>IFERROR(INDEX(tk_ROOMF,MATCH(198,tk_FSEQ,0))&amp;IF(INDEX(tk_ROOMT,MATCH(198,tk_FSEQ,0))="",""," → "&amp;INDEX(tk_ROOMT,MATCH(198,tk_FSEQ,0))),"")</f>
        <v/>
      </c>
      <c r="D203" s="70">
        <f>IFERROR(""&amp;INDEX(tk_SIZE,MATCH(198,tk_FSEQ,0)),"")</f>
        <v/>
      </c>
      <c r="E203" s="70">
        <f>IFERROR(""&amp;INDEX(tk_RATING,MATCH(198,tk_FSEQ,0)),"")</f>
        <v/>
      </c>
      <c r="F203" s="70">
        <f>IFERROR(TEXT(INDEX(tk_OAW,MATCH(198,tk_FSEQ,0)),"0.000")&amp;" x "&amp;TEXT(INDEX(tk_OAH,MATCH(198,tk_FSEQ,0)),"0.000"),"")</f>
        <v/>
      </c>
      <c r="G203" s="70">
        <f>IFERROR(""&amp;INDEX(tk_FLINE,MATCH(198,tk_FSEQ,0)),"")</f>
        <v/>
      </c>
      <c r="H203" s="70">
        <f>IFERROR(""&amp;INDEX(tk_FNOTES,MATCH(198,tk_FSEQ,0)),"")</f>
        <v/>
      </c>
    </row>
    <row r="204">
      <c r="A204" s="70">
        <f>IFERROR(""&amp;INDEX(tk_MARK,MATCH(199,tk_FSEQ,0)),"")</f>
        <v/>
      </c>
      <c r="B204" s="70">
        <f>IFERROR(INDEX(tk_QTY,MATCH(199,tk_FSEQ,0)),"")</f>
        <v/>
      </c>
      <c r="C204" s="70">
        <f>IFERROR(INDEX(tk_ROOMF,MATCH(199,tk_FSEQ,0))&amp;IF(INDEX(tk_ROOMT,MATCH(199,tk_FSEQ,0))="",""," → "&amp;INDEX(tk_ROOMT,MATCH(199,tk_FSEQ,0))),"")</f>
        <v/>
      </c>
      <c r="D204" s="70">
        <f>IFERROR(""&amp;INDEX(tk_SIZE,MATCH(199,tk_FSEQ,0)),"")</f>
        <v/>
      </c>
      <c r="E204" s="70">
        <f>IFERROR(""&amp;INDEX(tk_RATING,MATCH(199,tk_FSEQ,0)),"")</f>
        <v/>
      </c>
      <c r="F204" s="70">
        <f>IFERROR(TEXT(INDEX(tk_OAW,MATCH(199,tk_FSEQ,0)),"0.000")&amp;" x "&amp;TEXT(INDEX(tk_OAH,MATCH(199,tk_FSEQ,0)),"0.000"),"")</f>
        <v/>
      </c>
      <c r="G204" s="70">
        <f>IFERROR(""&amp;INDEX(tk_FLINE,MATCH(199,tk_FSEQ,0)),"")</f>
        <v/>
      </c>
      <c r="H204" s="70">
        <f>IFERROR(""&amp;INDEX(tk_FNOTES,MATCH(199,tk_FSEQ,0)),"")</f>
        <v/>
      </c>
    </row>
    <row r="205">
      <c r="A205" s="70">
        <f>IFERROR(""&amp;INDEX(tk_MARK,MATCH(200,tk_FSEQ,0)),"")</f>
        <v/>
      </c>
      <c r="B205" s="70">
        <f>IFERROR(INDEX(tk_QTY,MATCH(200,tk_FSEQ,0)),"")</f>
        <v/>
      </c>
      <c r="C205" s="70">
        <f>IFERROR(INDEX(tk_ROOMF,MATCH(200,tk_FSEQ,0))&amp;IF(INDEX(tk_ROOMT,MATCH(200,tk_FSEQ,0))="",""," → "&amp;INDEX(tk_ROOMT,MATCH(200,tk_FSEQ,0))),"")</f>
        <v/>
      </c>
      <c r="D205" s="70">
        <f>IFERROR(""&amp;INDEX(tk_SIZE,MATCH(200,tk_FSEQ,0)),"")</f>
        <v/>
      </c>
      <c r="E205" s="70">
        <f>IFERROR(""&amp;INDEX(tk_RATING,MATCH(200,tk_FSEQ,0)),"")</f>
        <v/>
      </c>
      <c r="F205" s="70">
        <f>IFERROR(TEXT(INDEX(tk_OAW,MATCH(200,tk_FSEQ,0)),"0.000")&amp;" x "&amp;TEXT(INDEX(tk_OAH,MATCH(200,tk_FSEQ,0)),"0.000"),"")</f>
        <v/>
      </c>
      <c r="G205" s="70">
        <f>IFERROR(""&amp;INDEX(tk_FLINE,MATCH(200,tk_FSEQ,0)),"")</f>
        <v/>
      </c>
      <c r="H205" s="70">
        <f>IFERROR(""&amp;INDEX(tk_FNOTES,MATCH(200,tk_FSEQ,0)),"")</f>
        <v/>
      </c>
    </row>
    <row r="206">
      <c r="A206" s="70">
        <f>IFERROR(""&amp;INDEX(tk_MARK,MATCH(201,tk_FSEQ,0)),"")</f>
        <v/>
      </c>
      <c r="B206" s="70">
        <f>IFERROR(INDEX(tk_QTY,MATCH(201,tk_FSEQ,0)),"")</f>
        <v/>
      </c>
      <c r="C206" s="70">
        <f>IFERROR(INDEX(tk_ROOMF,MATCH(201,tk_FSEQ,0))&amp;IF(INDEX(tk_ROOMT,MATCH(201,tk_FSEQ,0))="",""," → "&amp;INDEX(tk_ROOMT,MATCH(201,tk_FSEQ,0))),"")</f>
        <v/>
      </c>
      <c r="D206" s="70">
        <f>IFERROR(""&amp;INDEX(tk_SIZE,MATCH(201,tk_FSEQ,0)),"")</f>
        <v/>
      </c>
      <c r="E206" s="70">
        <f>IFERROR(""&amp;INDEX(tk_RATING,MATCH(201,tk_FSEQ,0)),"")</f>
        <v/>
      </c>
      <c r="F206" s="70">
        <f>IFERROR(TEXT(INDEX(tk_OAW,MATCH(201,tk_FSEQ,0)),"0.000")&amp;" x "&amp;TEXT(INDEX(tk_OAH,MATCH(201,tk_FSEQ,0)),"0.000"),"")</f>
        <v/>
      </c>
      <c r="G206" s="70">
        <f>IFERROR(""&amp;INDEX(tk_FLINE,MATCH(201,tk_FSEQ,0)),"")</f>
        <v/>
      </c>
      <c r="H206" s="70">
        <f>IFERROR(""&amp;INDEX(tk_FNOTES,MATCH(201,tk_FSEQ,0)),"")</f>
        <v/>
      </c>
    </row>
    <row r="207">
      <c r="A207" s="70">
        <f>IFERROR(""&amp;INDEX(tk_MARK,MATCH(202,tk_FSEQ,0)),"")</f>
        <v/>
      </c>
      <c r="B207" s="70">
        <f>IFERROR(INDEX(tk_QTY,MATCH(202,tk_FSEQ,0)),"")</f>
        <v/>
      </c>
      <c r="C207" s="70">
        <f>IFERROR(INDEX(tk_ROOMF,MATCH(202,tk_FSEQ,0))&amp;IF(INDEX(tk_ROOMT,MATCH(202,tk_FSEQ,0))="",""," → "&amp;INDEX(tk_ROOMT,MATCH(202,tk_FSEQ,0))),"")</f>
        <v/>
      </c>
      <c r="D207" s="70">
        <f>IFERROR(""&amp;INDEX(tk_SIZE,MATCH(202,tk_FSEQ,0)),"")</f>
        <v/>
      </c>
      <c r="E207" s="70">
        <f>IFERROR(""&amp;INDEX(tk_RATING,MATCH(202,tk_FSEQ,0)),"")</f>
        <v/>
      </c>
      <c r="F207" s="70">
        <f>IFERROR(TEXT(INDEX(tk_OAW,MATCH(202,tk_FSEQ,0)),"0.000")&amp;" x "&amp;TEXT(INDEX(tk_OAH,MATCH(202,tk_FSEQ,0)),"0.000"),"")</f>
        <v/>
      </c>
      <c r="G207" s="70">
        <f>IFERROR(""&amp;INDEX(tk_FLINE,MATCH(202,tk_FSEQ,0)),"")</f>
        <v/>
      </c>
      <c r="H207" s="70">
        <f>IFERROR(""&amp;INDEX(tk_FNOTES,MATCH(202,tk_FSEQ,0)),"")</f>
        <v/>
      </c>
    </row>
    <row r="208">
      <c r="A208" s="70">
        <f>IFERROR(""&amp;INDEX(tk_MARK,MATCH(203,tk_FSEQ,0)),"")</f>
        <v/>
      </c>
      <c r="B208" s="70">
        <f>IFERROR(INDEX(tk_QTY,MATCH(203,tk_FSEQ,0)),"")</f>
        <v/>
      </c>
      <c r="C208" s="70">
        <f>IFERROR(INDEX(tk_ROOMF,MATCH(203,tk_FSEQ,0))&amp;IF(INDEX(tk_ROOMT,MATCH(203,tk_FSEQ,0))="",""," → "&amp;INDEX(tk_ROOMT,MATCH(203,tk_FSEQ,0))),"")</f>
        <v/>
      </c>
      <c r="D208" s="70">
        <f>IFERROR(""&amp;INDEX(tk_SIZE,MATCH(203,tk_FSEQ,0)),"")</f>
        <v/>
      </c>
      <c r="E208" s="70">
        <f>IFERROR(""&amp;INDEX(tk_RATING,MATCH(203,tk_FSEQ,0)),"")</f>
        <v/>
      </c>
      <c r="F208" s="70">
        <f>IFERROR(TEXT(INDEX(tk_OAW,MATCH(203,tk_FSEQ,0)),"0.000")&amp;" x "&amp;TEXT(INDEX(tk_OAH,MATCH(203,tk_FSEQ,0)),"0.000"),"")</f>
        <v/>
      </c>
      <c r="G208" s="70">
        <f>IFERROR(""&amp;INDEX(tk_FLINE,MATCH(203,tk_FSEQ,0)),"")</f>
        <v/>
      </c>
      <c r="H208" s="70">
        <f>IFERROR(""&amp;INDEX(tk_FNOTES,MATCH(203,tk_FSEQ,0)),"")</f>
        <v/>
      </c>
    </row>
    <row r="209">
      <c r="A209" s="70">
        <f>IFERROR(""&amp;INDEX(tk_MARK,MATCH(204,tk_FSEQ,0)),"")</f>
        <v/>
      </c>
      <c r="B209" s="70">
        <f>IFERROR(INDEX(tk_QTY,MATCH(204,tk_FSEQ,0)),"")</f>
        <v/>
      </c>
      <c r="C209" s="70">
        <f>IFERROR(INDEX(tk_ROOMF,MATCH(204,tk_FSEQ,0))&amp;IF(INDEX(tk_ROOMT,MATCH(204,tk_FSEQ,0))="",""," → "&amp;INDEX(tk_ROOMT,MATCH(204,tk_FSEQ,0))),"")</f>
        <v/>
      </c>
      <c r="D209" s="70">
        <f>IFERROR(""&amp;INDEX(tk_SIZE,MATCH(204,tk_FSEQ,0)),"")</f>
        <v/>
      </c>
      <c r="E209" s="70">
        <f>IFERROR(""&amp;INDEX(tk_RATING,MATCH(204,tk_FSEQ,0)),"")</f>
        <v/>
      </c>
      <c r="F209" s="70">
        <f>IFERROR(TEXT(INDEX(tk_OAW,MATCH(204,tk_FSEQ,0)),"0.000")&amp;" x "&amp;TEXT(INDEX(tk_OAH,MATCH(204,tk_FSEQ,0)),"0.000"),"")</f>
        <v/>
      </c>
      <c r="G209" s="70">
        <f>IFERROR(""&amp;INDEX(tk_FLINE,MATCH(204,tk_FSEQ,0)),"")</f>
        <v/>
      </c>
      <c r="H209" s="70">
        <f>IFERROR(""&amp;INDEX(tk_FNOTES,MATCH(204,tk_FSEQ,0)),"")</f>
        <v/>
      </c>
    </row>
    <row r="210">
      <c r="A210" s="70">
        <f>IFERROR(""&amp;INDEX(tk_MARK,MATCH(205,tk_FSEQ,0)),"")</f>
        <v/>
      </c>
      <c r="B210" s="70">
        <f>IFERROR(INDEX(tk_QTY,MATCH(205,tk_FSEQ,0)),"")</f>
        <v/>
      </c>
      <c r="C210" s="70">
        <f>IFERROR(INDEX(tk_ROOMF,MATCH(205,tk_FSEQ,0))&amp;IF(INDEX(tk_ROOMT,MATCH(205,tk_FSEQ,0))="",""," → "&amp;INDEX(tk_ROOMT,MATCH(205,tk_FSEQ,0))),"")</f>
        <v/>
      </c>
      <c r="D210" s="70">
        <f>IFERROR(""&amp;INDEX(tk_SIZE,MATCH(205,tk_FSEQ,0)),"")</f>
        <v/>
      </c>
      <c r="E210" s="70">
        <f>IFERROR(""&amp;INDEX(tk_RATING,MATCH(205,tk_FSEQ,0)),"")</f>
        <v/>
      </c>
      <c r="F210" s="70">
        <f>IFERROR(TEXT(INDEX(tk_OAW,MATCH(205,tk_FSEQ,0)),"0.000")&amp;" x "&amp;TEXT(INDEX(tk_OAH,MATCH(205,tk_FSEQ,0)),"0.000"),"")</f>
        <v/>
      </c>
      <c r="G210" s="70">
        <f>IFERROR(""&amp;INDEX(tk_FLINE,MATCH(205,tk_FSEQ,0)),"")</f>
        <v/>
      </c>
      <c r="H210" s="70">
        <f>IFERROR(""&amp;INDEX(tk_FNOTES,MATCH(205,tk_FSEQ,0)),"")</f>
        <v/>
      </c>
    </row>
    <row r="211">
      <c r="A211" s="70">
        <f>IFERROR(""&amp;INDEX(tk_MARK,MATCH(206,tk_FSEQ,0)),"")</f>
        <v/>
      </c>
      <c r="B211" s="70">
        <f>IFERROR(INDEX(tk_QTY,MATCH(206,tk_FSEQ,0)),"")</f>
        <v/>
      </c>
      <c r="C211" s="70">
        <f>IFERROR(INDEX(tk_ROOMF,MATCH(206,tk_FSEQ,0))&amp;IF(INDEX(tk_ROOMT,MATCH(206,tk_FSEQ,0))="",""," → "&amp;INDEX(tk_ROOMT,MATCH(206,tk_FSEQ,0))),"")</f>
        <v/>
      </c>
      <c r="D211" s="70">
        <f>IFERROR(""&amp;INDEX(tk_SIZE,MATCH(206,tk_FSEQ,0)),"")</f>
        <v/>
      </c>
      <c r="E211" s="70">
        <f>IFERROR(""&amp;INDEX(tk_RATING,MATCH(206,tk_FSEQ,0)),"")</f>
        <v/>
      </c>
      <c r="F211" s="70">
        <f>IFERROR(TEXT(INDEX(tk_OAW,MATCH(206,tk_FSEQ,0)),"0.000")&amp;" x "&amp;TEXT(INDEX(tk_OAH,MATCH(206,tk_FSEQ,0)),"0.000"),"")</f>
        <v/>
      </c>
      <c r="G211" s="70">
        <f>IFERROR(""&amp;INDEX(tk_FLINE,MATCH(206,tk_FSEQ,0)),"")</f>
        <v/>
      </c>
      <c r="H211" s="70">
        <f>IFERROR(""&amp;INDEX(tk_FNOTES,MATCH(206,tk_FSEQ,0)),"")</f>
        <v/>
      </c>
    </row>
    <row r="212">
      <c r="A212" s="70">
        <f>IFERROR(""&amp;INDEX(tk_MARK,MATCH(207,tk_FSEQ,0)),"")</f>
        <v/>
      </c>
      <c r="B212" s="70">
        <f>IFERROR(INDEX(tk_QTY,MATCH(207,tk_FSEQ,0)),"")</f>
        <v/>
      </c>
      <c r="C212" s="70">
        <f>IFERROR(INDEX(tk_ROOMF,MATCH(207,tk_FSEQ,0))&amp;IF(INDEX(tk_ROOMT,MATCH(207,tk_FSEQ,0))="",""," → "&amp;INDEX(tk_ROOMT,MATCH(207,tk_FSEQ,0))),"")</f>
        <v/>
      </c>
      <c r="D212" s="70">
        <f>IFERROR(""&amp;INDEX(tk_SIZE,MATCH(207,tk_FSEQ,0)),"")</f>
        <v/>
      </c>
      <c r="E212" s="70">
        <f>IFERROR(""&amp;INDEX(tk_RATING,MATCH(207,tk_FSEQ,0)),"")</f>
        <v/>
      </c>
      <c r="F212" s="70">
        <f>IFERROR(TEXT(INDEX(tk_OAW,MATCH(207,tk_FSEQ,0)),"0.000")&amp;" x "&amp;TEXT(INDEX(tk_OAH,MATCH(207,tk_FSEQ,0)),"0.000"),"")</f>
        <v/>
      </c>
      <c r="G212" s="70">
        <f>IFERROR(""&amp;INDEX(tk_FLINE,MATCH(207,tk_FSEQ,0)),"")</f>
        <v/>
      </c>
      <c r="H212" s="70">
        <f>IFERROR(""&amp;INDEX(tk_FNOTES,MATCH(207,tk_FSEQ,0)),"")</f>
        <v/>
      </c>
    </row>
    <row r="213">
      <c r="A213" s="70">
        <f>IFERROR(""&amp;INDEX(tk_MARK,MATCH(208,tk_FSEQ,0)),"")</f>
        <v/>
      </c>
      <c r="B213" s="70">
        <f>IFERROR(INDEX(tk_QTY,MATCH(208,tk_FSEQ,0)),"")</f>
        <v/>
      </c>
      <c r="C213" s="70">
        <f>IFERROR(INDEX(tk_ROOMF,MATCH(208,tk_FSEQ,0))&amp;IF(INDEX(tk_ROOMT,MATCH(208,tk_FSEQ,0))="",""," → "&amp;INDEX(tk_ROOMT,MATCH(208,tk_FSEQ,0))),"")</f>
        <v/>
      </c>
      <c r="D213" s="70">
        <f>IFERROR(""&amp;INDEX(tk_SIZE,MATCH(208,tk_FSEQ,0)),"")</f>
        <v/>
      </c>
      <c r="E213" s="70">
        <f>IFERROR(""&amp;INDEX(tk_RATING,MATCH(208,tk_FSEQ,0)),"")</f>
        <v/>
      </c>
      <c r="F213" s="70">
        <f>IFERROR(TEXT(INDEX(tk_OAW,MATCH(208,tk_FSEQ,0)),"0.000")&amp;" x "&amp;TEXT(INDEX(tk_OAH,MATCH(208,tk_FSEQ,0)),"0.000"),"")</f>
        <v/>
      </c>
      <c r="G213" s="70">
        <f>IFERROR(""&amp;INDEX(tk_FLINE,MATCH(208,tk_FSEQ,0)),"")</f>
        <v/>
      </c>
      <c r="H213" s="70">
        <f>IFERROR(""&amp;INDEX(tk_FNOTES,MATCH(208,tk_FSEQ,0)),"")</f>
        <v/>
      </c>
    </row>
    <row r="214">
      <c r="A214" s="70">
        <f>IFERROR(""&amp;INDEX(tk_MARK,MATCH(209,tk_FSEQ,0)),"")</f>
        <v/>
      </c>
      <c r="B214" s="70">
        <f>IFERROR(INDEX(tk_QTY,MATCH(209,tk_FSEQ,0)),"")</f>
        <v/>
      </c>
      <c r="C214" s="70">
        <f>IFERROR(INDEX(tk_ROOMF,MATCH(209,tk_FSEQ,0))&amp;IF(INDEX(tk_ROOMT,MATCH(209,tk_FSEQ,0))="",""," → "&amp;INDEX(tk_ROOMT,MATCH(209,tk_FSEQ,0))),"")</f>
        <v/>
      </c>
      <c r="D214" s="70">
        <f>IFERROR(""&amp;INDEX(tk_SIZE,MATCH(209,tk_FSEQ,0)),"")</f>
        <v/>
      </c>
      <c r="E214" s="70">
        <f>IFERROR(""&amp;INDEX(tk_RATING,MATCH(209,tk_FSEQ,0)),"")</f>
        <v/>
      </c>
      <c r="F214" s="70">
        <f>IFERROR(TEXT(INDEX(tk_OAW,MATCH(209,tk_FSEQ,0)),"0.000")&amp;" x "&amp;TEXT(INDEX(tk_OAH,MATCH(209,tk_FSEQ,0)),"0.000"),"")</f>
        <v/>
      </c>
      <c r="G214" s="70">
        <f>IFERROR(""&amp;INDEX(tk_FLINE,MATCH(209,tk_FSEQ,0)),"")</f>
        <v/>
      </c>
      <c r="H214" s="70">
        <f>IFERROR(""&amp;INDEX(tk_FNOTES,MATCH(209,tk_FSEQ,0)),"")</f>
        <v/>
      </c>
    </row>
    <row r="215">
      <c r="A215" s="70">
        <f>IFERROR(""&amp;INDEX(tk_MARK,MATCH(210,tk_FSEQ,0)),"")</f>
        <v/>
      </c>
      <c r="B215" s="70">
        <f>IFERROR(INDEX(tk_QTY,MATCH(210,tk_FSEQ,0)),"")</f>
        <v/>
      </c>
      <c r="C215" s="70">
        <f>IFERROR(INDEX(tk_ROOMF,MATCH(210,tk_FSEQ,0))&amp;IF(INDEX(tk_ROOMT,MATCH(210,tk_FSEQ,0))="",""," → "&amp;INDEX(tk_ROOMT,MATCH(210,tk_FSEQ,0))),"")</f>
        <v/>
      </c>
      <c r="D215" s="70">
        <f>IFERROR(""&amp;INDEX(tk_SIZE,MATCH(210,tk_FSEQ,0)),"")</f>
        <v/>
      </c>
      <c r="E215" s="70">
        <f>IFERROR(""&amp;INDEX(tk_RATING,MATCH(210,tk_FSEQ,0)),"")</f>
        <v/>
      </c>
      <c r="F215" s="70">
        <f>IFERROR(TEXT(INDEX(tk_OAW,MATCH(210,tk_FSEQ,0)),"0.000")&amp;" x "&amp;TEXT(INDEX(tk_OAH,MATCH(210,tk_FSEQ,0)),"0.000"),"")</f>
        <v/>
      </c>
      <c r="G215" s="70">
        <f>IFERROR(""&amp;INDEX(tk_FLINE,MATCH(210,tk_FSEQ,0)),"")</f>
        <v/>
      </c>
      <c r="H215" s="70">
        <f>IFERROR(""&amp;INDEX(tk_FNOTES,MATCH(210,tk_FSEQ,0)),"")</f>
        <v/>
      </c>
    </row>
    <row r="216">
      <c r="A216" s="70">
        <f>IFERROR(""&amp;INDEX(tk_MARK,MATCH(211,tk_FSEQ,0)),"")</f>
        <v/>
      </c>
      <c r="B216" s="70">
        <f>IFERROR(INDEX(tk_QTY,MATCH(211,tk_FSEQ,0)),"")</f>
        <v/>
      </c>
      <c r="C216" s="70">
        <f>IFERROR(INDEX(tk_ROOMF,MATCH(211,tk_FSEQ,0))&amp;IF(INDEX(tk_ROOMT,MATCH(211,tk_FSEQ,0))="",""," → "&amp;INDEX(tk_ROOMT,MATCH(211,tk_FSEQ,0))),"")</f>
        <v/>
      </c>
      <c r="D216" s="70">
        <f>IFERROR(""&amp;INDEX(tk_SIZE,MATCH(211,tk_FSEQ,0)),"")</f>
        <v/>
      </c>
      <c r="E216" s="70">
        <f>IFERROR(""&amp;INDEX(tk_RATING,MATCH(211,tk_FSEQ,0)),"")</f>
        <v/>
      </c>
      <c r="F216" s="70">
        <f>IFERROR(TEXT(INDEX(tk_OAW,MATCH(211,tk_FSEQ,0)),"0.000")&amp;" x "&amp;TEXT(INDEX(tk_OAH,MATCH(211,tk_FSEQ,0)),"0.000"),"")</f>
        <v/>
      </c>
      <c r="G216" s="70">
        <f>IFERROR(""&amp;INDEX(tk_FLINE,MATCH(211,tk_FSEQ,0)),"")</f>
        <v/>
      </c>
      <c r="H216" s="70">
        <f>IFERROR(""&amp;INDEX(tk_FNOTES,MATCH(211,tk_FSEQ,0)),"")</f>
        <v/>
      </c>
    </row>
    <row r="217">
      <c r="A217" s="70">
        <f>IFERROR(""&amp;INDEX(tk_MARK,MATCH(212,tk_FSEQ,0)),"")</f>
        <v/>
      </c>
      <c r="B217" s="70">
        <f>IFERROR(INDEX(tk_QTY,MATCH(212,tk_FSEQ,0)),"")</f>
        <v/>
      </c>
      <c r="C217" s="70">
        <f>IFERROR(INDEX(tk_ROOMF,MATCH(212,tk_FSEQ,0))&amp;IF(INDEX(tk_ROOMT,MATCH(212,tk_FSEQ,0))="",""," → "&amp;INDEX(tk_ROOMT,MATCH(212,tk_FSEQ,0))),"")</f>
        <v/>
      </c>
      <c r="D217" s="70">
        <f>IFERROR(""&amp;INDEX(tk_SIZE,MATCH(212,tk_FSEQ,0)),"")</f>
        <v/>
      </c>
      <c r="E217" s="70">
        <f>IFERROR(""&amp;INDEX(tk_RATING,MATCH(212,tk_FSEQ,0)),"")</f>
        <v/>
      </c>
      <c r="F217" s="70">
        <f>IFERROR(TEXT(INDEX(tk_OAW,MATCH(212,tk_FSEQ,0)),"0.000")&amp;" x "&amp;TEXT(INDEX(tk_OAH,MATCH(212,tk_FSEQ,0)),"0.000"),"")</f>
        <v/>
      </c>
      <c r="G217" s="70">
        <f>IFERROR(""&amp;INDEX(tk_FLINE,MATCH(212,tk_FSEQ,0)),"")</f>
        <v/>
      </c>
      <c r="H217" s="70">
        <f>IFERROR(""&amp;INDEX(tk_FNOTES,MATCH(212,tk_FSEQ,0)),"")</f>
        <v/>
      </c>
    </row>
    <row r="218">
      <c r="A218" s="70">
        <f>IFERROR(""&amp;INDEX(tk_MARK,MATCH(213,tk_FSEQ,0)),"")</f>
        <v/>
      </c>
      <c r="B218" s="70">
        <f>IFERROR(INDEX(tk_QTY,MATCH(213,tk_FSEQ,0)),"")</f>
        <v/>
      </c>
      <c r="C218" s="70">
        <f>IFERROR(INDEX(tk_ROOMF,MATCH(213,tk_FSEQ,0))&amp;IF(INDEX(tk_ROOMT,MATCH(213,tk_FSEQ,0))="",""," → "&amp;INDEX(tk_ROOMT,MATCH(213,tk_FSEQ,0))),"")</f>
        <v/>
      </c>
      <c r="D218" s="70">
        <f>IFERROR(""&amp;INDEX(tk_SIZE,MATCH(213,tk_FSEQ,0)),"")</f>
        <v/>
      </c>
      <c r="E218" s="70">
        <f>IFERROR(""&amp;INDEX(tk_RATING,MATCH(213,tk_FSEQ,0)),"")</f>
        <v/>
      </c>
      <c r="F218" s="70">
        <f>IFERROR(TEXT(INDEX(tk_OAW,MATCH(213,tk_FSEQ,0)),"0.000")&amp;" x "&amp;TEXT(INDEX(tk_OAH,MATCH(213,tk_FSEQ,0)),"0.000"),"")</f>
        <v/>
      </c>
      <c r="G218" s="70">
        <f>IFERROR(""&amp;INDEX(tk_FLINE,MATCH(213,tk_FSEQ,0)),"")</f>
        <v/>
      </c>
      <c r="H218" s="70">
        <f>IFERROR(""&amp;INDEX(tk_FNOTES,MATCH(213,tk_FSEQ,0)),"")</f>
        <v/>
      </c>
    </row>
    <row r="219">
      <c r="A219" s="70">
        <f>IFERROR(""&amp;INDEX(tk_MARK,MATCH(214,tk_FSEQ,0)),"")</f>
        <v/>
      </c>
      <c r="B219" s="70">
        <f>IFERROR(INDEX(tk_QTY,MATCH(214,tk_FSEQ,0)),"")</f>
        <v/>
      </c>
      <c r="C219" s="70">
        <f>IFERROR(INDEX(tk_ROOMF,MATCH(214,tk_FSEQ,0))&amp;IF(INDEX(tk_ROOMT,MATCH(214,tk_FSEQ,0))="",""," → "&amp;INDEX(tk_ROOMT,MATCH(214,tk_FSEQ,0))),"")</f>
        <v/>
      </c>
      <c r="D219" s="70">
        <f>IFERROR(""&amp;INDEX(tk_SIZE,MATCH(214,tk_FSEQ,0)),"")</f>
        <v/>
      </c>
      <c r="E219" s="70">
        <f>IFERROR(""&amp;INDEX(tk_RATING,MATCH(214,tk_FSEQ,0)),"")</f>
        <v/>
      </c>
      <c r="F219" s="70">
        <f>IFERROR(TEXT(INDEX(tk_OAW,MATCH(214,tk_FSEQ,0)),"0.000")&amp;" x "&amp;TEXT(INDEX(tk_OAH,MATCH(214,tk_FSEQ,0)),"0.000"),"")</f>
        <v/>
      </c>
      <c r="G219" s="70">
        <f>IFERROR(""&amp;INDEX(tk_FLINE,MATCH(214,tk_FSEQ,0)),"")</f>
        <v/>
      </c>
      <c r="H219" s="70">
        <f>IFERROR(""&amp;INDEX(tk_FNOTES,MATCH(214,tk_FSEQ,0)),"")</f>
        <v/>
      </c>
    </row>
    <row r="220">
      <c r="A220" s="70">
        <f>IFERROR(""&amp;INDEX(tk_MARK,MATCH(215,tk_FSEQ,0)),"")</f>
        <v/>
      </c>
      <c r="B220" s="70">
        <f>IFERROR(INDEX(tk_QTY,MATCH(215,tk_FSEQ,0)),"")</f>
        <v/>
      </c>
      <c r="C220" s="70">
        <f>IFERROR(INDEX(tk_ROOMF,MATCH(215,tk_FSEQ,0))&amp;IF(INDEX(tk_ROOMT,MATCH(215,tk_FSEQ,0))="",""," → "&amp;INDEX(tk_ROOMT,MATCH(215,tk_FSEQ,0))),"")</f>
        <v/>
      </c>
      <c r="D220" s="70">
        <f>IFERROR(""&amp;INDEX(tk_SIZE,MATCH(215,tk_FSEQ,0)),"")</f>
        <v/>
      </c>
      <c r="E220" s="70">
        <f>IFERROR(""&amp;INDEX(tk_RATING,MATCH(215,tk_FSEQ,0)),"")</f>
        <v/>
      </c>
      <c r="F220" s="70">
        <f>IFERROR(TEXT(INDEX(tk_OAW,MATCH(215,tk_FSEQ,0)),"0.000")&amp;" x "&amp;TEXT(INDEX(tk_OAH,MATCH(215,tk_FSEQ,0)),"0.000"),"")</f>
        <v/>
      </c>
      <c r="G220" s="70">
        <f>IFERROR(""&amp;INDEX(tk_FLINE,MATCH(215,tk_FSEQ,0)),"")</f>
        <v/>
      </c>
      <c r="H220" s="70">
        <f>IFERROR(""&amp;INDEX(tk_FNOTES,MATCH(215,tk_FSEQ,0)),"")</f>
        <v/>
      </c>
    </row>
    <row r="221">
      <c r="A221" s="70">
        <f>IFERROR(""&amp;INDEX(tk_MARK,MATCH(216,tk_FSEQ,0)),"")</f>
        <v/>
      </c>
      <c r="B221" s="70">
        <f>IFERROR(INDEX(tk_QTY,MATCH(216,tk_FSEQ,0)),"")</f>
        <v/>
      </c>
      <c r="C221" s="70">
        <f>IFERROR(INDEX(tk_ROOMF,MATCH(216,tk_FSEQ,0))&amp;IF(INDEX(tk_ROOMT,MATCH(216,tk_FSEQ,0))="",""," → "&amp;INDEX(tk_ROOMT,MATCH(216,tk_FSEQ,0))),"")</f>
        <v/>
      </c>
      <c r="D221" s="70">
        <f>IFERROR(""&amp;INDEX(tk_SIZE,MATCH(216,tk_FSEQ,0)),"")</f>
        <v/>
      </c>
      <c r="E221" s="70">
        <f>IFERROR(""&amp;INDEX(tk_RATING,MATCH(216,tk_FSEQ,0)),"")</f>
        <v/>
      </c>
      <c r="F221" s="70">
        <f>IFERROR(TEXT(INDEX(tk_OAW,MATCH(216,tk_FSEQ,0)),"0.000")&amp;" x "&amp;TEXT(INDEX(tk_OAH,MATCH(216,tk_FSEQ,0)),"0.000"),"")</f>
        <v/>
      </c>
      <c r="G221" s="70">
        <f>IFERROR(""&amp;INDEX(tk_FLINE,MATCH(216,tk_FSEQ,0)),"")</f>
        <v/>
      </c>
      <c r="H221" s="70">
        <f>IFERROR(""&amp;INDEX(tk_FNOTES,MATCH(216,tk_FSEQ,0)),"")</f>
        <v/>
      </c>
    </row>
    <row r="222">
      <c r="A222" s="70">
        <f>IFERROR(""&amp;INDEX(tk_MARK,MATCH(217,tk_FSEQ,0)),"")</f>
        <v/>
      </c>
      <c r="B222" s="70">
        <f>IFERROR(INDEX(tk_QTY,MATCH(217,tk_FSEQ,0)),"")</f>
        <v/>
      </c>
      <c r="C222" s="70">
        <f>IFERROR(INDEX(tk_ROOMF,MATCH(217,tk_FSEQ,0))&amp;IF(INDEX(tk_ROOMT,MATCH(217,tk_FSEQ,0))="",""," → "&amp;INDEX(tk_ROOMT,MATCH(217,tk_FSEQ,0))),"")</f>
        <v/>
      </c>
      <c r="D222" s="70">
        <f>IFERROR(""&amp;INDEX(tk_SIZE,MATCH(217,tk_FSEQ,0)),"")</f>
        <v/>
      </c>
      <c r="E222" s="70">
        <f>IFERROR(""&amp;INDEX(tk_RATING,MATCH(217,tk_FSEQ,0)),"")</f>
        <v/>
      </c>
      <c r="F222" s="70">
        <f>IFERROR(TEXT(INDEX(tk_OAW,MATCH(217,tk_FSEQ,0)),"0.000")&amp;" x "&amp;TEXT(INDEX(tk_OAH,MATCH(217,tk_FSEQ,0)),"0.000"),"")</f>
        <v/>
      </c>
      <c r="G222" s="70">
        <f>IFERROR(""&amp;INDEX(tk_FLINE,MATCH(217,tk_FSEQ,0)),"")</f>
        <v/>
      </c>
      <c r="H222" s="70">
        <f>IFERROR(""&amp;INDEX(tk_FNOTES,MATCH(217,tk_FSEQ,0)),"")</f>
        <v/>
      </c>
    </row>
    <row r="223">
      <c r="A223" s="70">
        <f>IFERROR(""&amp;INDEX(tk_MARK,MATCH(218,tk_FSEQ,0)),"")</f>
        <v/>
      </c>
      <c r="B223" s="70">
        <f>IFERROR(INDEX(tk_QTY,MATCH(218,tk_FSEQ,0)),"")</f>
        <v/>
      </c>
      <c r="C223" s="70">
        <f>IFERROR(INDEX(tk_ROOMF,MATCH(218,tk_FSEQ,0))&amp;IF(INDEX(tk_ROOMT,MATCH(218,tk_FSEQ,0))="",""," → "&amp;INDEX(tk_ROOMT,MATCH(218,tk_FSEQ,0))),"")</f>
        <v/>
      </c>
      <c r="D223" s="70">
        <f>IFERROR(""&amp;INDEX(tk_SIZE,MATCH(218,tk_FSEQ,0)),"")</f>
        <v/>
      </c>
      <c r="E223" s="70">
        <f>IFERROR(""&amp;INDEX(tk_RATING,MATCH(218,tk_FSEQ,0)),"")</f>
        <v/>
      </c>
      <c r="F223" s="70">
        <f>IFERROR(TEXT(INDEX(tk_OAW,MATCH(218,tk_FSEQ,0)),"0.000")&amp;" x "&amp;TEXT(INDEX(tk_OAH,MATCH(218,tk_FSEQ,0)),"0.000"),"")</f>
        <v/>
      </c>
      <c r="G223" s="70">
        <f>IFERROR(""&amp;INDEX(tk_FLINE,MATCH(218,tk_FSEQ,0)),"")</f>
        <v/>
      </c>
      <c r="H223" s="70">
        <f>IFERROR(""&amp;INDEX(tk_FNOTES,MATCH(218,tk_FSEQ,0)),"")</f>
        <v/>
      </c>
    </row>
    <row r="224">
      <c r="A224" s="70">
        <f>IFERROR(""&amp;INDEX(tk_MARK,MATCH(219,tk_FSEQ,0)),"")</f>
        <v/>
      </c>
      <c r="B224" s="70">
        <f>IFERROR(INDEX(tk_QTY,MATCH(219,tk_FSEQ,0)),"")</f>
        <v/>
      </c>
      <c r="C224" s="70">
        <f>IFERROR(INDEX(tk_ROOMF,MATCH(219,tk_FSEQ,0))&amp;IF(INDEX(tk_ROOMT,MATCH(219,tk_FSEQ,0))="",""," → "&amp;INDEX(tk_ROOMT,MATCH(219,tk_FSEQ,0))),"")</f>
        <v/>
      </c>
      <c r="D224" s="70">
        <f>IFERROR(""&amp;INDEX(tk_SIZE,MATCH(219,tk_FSEQ,0)),"")</f>
        <v/>
      </c>
      <c r="E224" s="70">
        <f>IFERROR(""&amp;INDEX(tk_RATING,MATCH(219,tk_FSEQ,0)),"")</f>
        <v/>
      </c>
      <c r="F224" s="70">
        <f>IFERROR(TEXT(INDEX(tk_OAW,MATCH(219,tk_FSEQ,0)),"0.000")&amp;" x "&amp;TEXT(INDEX(tk_OAH,MATCH(219,tk_FSEQ,0)),"0.000"),"")</f>
        <v/>
      </c>
      <c r="G224" s="70">
        <f>IFERROR(""&amp;INDEX(tk_FLINE,MATCH(219,tk_FSEQ,0)),"")</f>
        <v/>
      </c>
      <c r="H224" s="70">
        <f>IFERROR(""&amp;INDEX(tk_FNOTES,MATCH(219,tk_FSEQ,0)),"")</f>
        <v/>
      </c>
    </row>
    <row r="225">
      <c r="A225" s="70">
        <f>IFERROR(""&amp;INDEX(tk_MARK,MATCH(220,tk_FSEQ,0)),"")</f>
        <v/>
      </c>
      <c r="B225" s="70">
        <f>IFERROR(INDEX(tk_QTY,MATCH(220,tk_FSEQ,0)),"")</f>
        <v/>
      </c>
      <c r="C225" s="70">
        <f>IFERROR(INDEX(tk_ROOMF,MATCH(220,tk_FSEQ,0))&amp;IF(INDEX(tk_ROOMT,MATCH(220,tk_FSEQ,0))="",""," → "&amp;INDEX(tk_ROOMT,MATCH(220,tk_FSEQ,0))),"")</f>
        <v/>
      </c>
      <c r="D225" s="70">
        <f>IFERROR(""&amp;INDEX(tk_SIZE,MATCH(220,tk_FSEQ,0)),"")</f>
        <v/>
      </c>
      <c r="E225" s="70">
        <f>IFERROR(""&amp;INDEX(tk_RATING,MATCH(220,tk_FSEQ,0)),"")</f>
        <v/>
      </c>
      <c r="F225" s="70">
        <f>IFERROR(TEXT(INDEX(tk_OAW,MATCH(220,tk_FSEQ,0)),"0.000")&amp;" x "&amp;TEXT(INDEX(tk_OAH,MATCH(220,tk_FSEQ,0)),"0.000"),"")</f>
        <v/>
      </c>
      <c r="G225" s="70">
        <f>IFERROR(""&amp;INDEX(tk_FLINE,MATCH(220,tk_FSEQ,0)),"")</f>
        <v/>
      </c>
      <c r="H225" s="70">
        <f>IFERROR(""&amp;INDEX(tk_FNOTES,MATCH(220,tk_FSEQ,0)),"")</f>
        <v/>
      </c>
    </row>
    <row r="226">
      <c r="A226" s="70">
        <f>IFERROR(""&amp;INDEX(tk_MARK,MATCH(221,tk_FSEQ,0)),"")</f>
        <v/>
      </c>
      <c r="B226" s="70">
        <f>IFERROR(INDEX(tk_QTY,MATCH(221,tk_FSEQ,0)),"")</f>
        <v/>
      </c>
      <c r="C226" s="70">
        <f>IFERROR(INDEX(tk_ROOMF,MATCH(221,tk_FSEQ,0))&amp;IF(INDEX(tk_ROOMT,MATCH(221,tk_FSEQ,0))="",""," → "&amp;INDEX(tk_ROOMT,MATCH(221,tk_FSEQ,0))),"")</f>
        <v/>
      </c>
      <c r="D226" s="70">
        <f>IFERROR(""&amp;INDEX(tk_SIZE,MATCH(221,tk_FSEQ,0)),"")</f>
        <v/>
      </c>
      <c r="E226" s="70">
        <f>IFERROR(""&amp;INDEX(tk_RATING,MATCH(221,tk_FSEQ,0)),"")</f>
        <v/>
      </c>
      <c r="F226" s="70">
        <f>IFERROR(TEXT(INDEX(tk_OAW,MATCH(221,tk_FSEQ,0)),"0.000")&amp;" x "&amp;TEXT(INDEX(tk_OAH,MATCH(221,tk_FSEQ,0)),"0.000"),"")</f>
        <v/>
      </c>
      <c r="G226" s="70">
        <f>IFERROR(""&amp;INDEX(tk_FLINE,MATCH(221,tk_FSEQ,0)),"")</f>
        <v/>
      </c>
      <c r="H226" s="70">
        <f>IFERROR(""&amp;INDEX(tk_FNOTES,MATCH(221,tk_FSEQ,0)),"")</f>
        <v/>
      </c>
    </row>
    <row r="227">
      <c r="A227" s="70">
        <f>IFERROR(""&amp;INDEX(tk_MARK,MATCH(222,tk_FSEQ,0)),"")</f>
        <v/>
      </c>
      <c r="B227" s="70">
        <f>IFERROR(INDEX(tk_QTY,MATCH(222,tk_FSEQ,0)),"")</f>
        <v/>
      </c>
      <c r="C227" s="70">
        <f>IFERROR(INDEX(tk_ROOMF,MATCH(222,tk_FSEQ,0))&amp;IF(INDEX(tk_ROOMT,MATCH(222,tk_FSEQ,0))="",""," → "&amp;INDEX(tk_ROOMT,MATCH(222,tk_FSEQ,0))),"")</f>
        <v/>
      </c>
      <c r="D227" s="70">
        <f>IFERROR(""&amp;INDEX(tk_SIZE,MATCH(222,tk_FSEQ,0)),"")</f>
        <v/>
      </c>
      <c r="E227" s="70">
        <f>IFERROR(""&amp;INDEX(tk_RATING,MATCH(222,tk_FSEQ,0)),"")</f>
        <v/>
      </c>
      <c r="F227" s="70">
        <f>IFERROR(TEXT(INDEX(tk_OAW,MATCH(222,tk_FSEQ,0)),"0.000")&amp;" x "&amp;TEXT(INDEX(tk_OAH,MATCH(222,tk_FSEQ,0)),"0.000"),"")</f>
        <v/>
      </c>
      <c r="G227" s="70">
        <f>IFERROR(""&amp;INDEX(tk_FLINE,MATCH(222,tk_FSEQ,0)),"")</f>
        <v/>
      </c>
      <c r="H227" s="70">
        <f>IFERROR(""&amp;INDEX(tk_FNOTES,MATCH(222,tk_FSEQ,0)),"")</f>
        <v/>
      </c>
    </row>
    <row r="228">
      <c r="A228" s="70">
        <f>IFERROR(""&amp;INDEX(tk_MARK,MATCH(223,tk_FSEQ,0)),"")</f>
        <v/>
      </c>
      <c r="B228" s="70">
        <f>IFERROR(INDEX(tk_QTY,MATCH(223,tk_FSEQ,0)),"")</f>
        <v/>
      </c>
      <c r="C228" s="70">
        <f>IFERROR(INDEX(tk_ROOMF,MATCH(223,tk_FSEQ,0))&amp;IF(INDEX(tk_ROOMT,MATCH(223,tk_FSEQ,0))="",""," → "&amp;INDEX(tk_ROOMT,MATCH(223,tk_FSEQ,0))),"")</f>
        <v/>
      </c>
      <c r="D228" s="70">
        <f>IFERROR(""&amp;INDEX(tk_SIZE,MATCH(223,tk_FSEQ,0)),"")</f>
        <v/>
      </c>
      <c r="E228" s="70">
        <f>IFERROR(""&amp;INDEX(tk_RATING,MATCH(223,tk_FSEQ,0)),"")</f>
        <v/>
      </c>
      <c r="F228" s="70">
        <f>IFERROR(TEXT(INDEX(tk_OAW,MATCH(223,tk_FSEQ,0)),"0.000")&amp;" x "&amp;TEXT(INDEX(tk_OAH,MATCH(223,tk_FSEQ,0)),"0.000"),"")</f>
        <v/>
      </c>
      <c r="G228" s="70">
        <f>IFERROR(""&amp;INDEX(tk_FLINE,MATCH(223,tk_FSEQ,0)),"")</f>
        <v/>
      </c>
      <c r="H228" s="70">
        <f>IFERROR(""&amp;INDEX(tk_FNOTES,MATCH(223,tk_FSEQ,0)),"")</f>
        <v/>
      </c>
    </row>
    <row r="229">
      <c r="A229" s="70">
        <f>IFERROR(""&amp;INDEX(tk_MARK,MATCH(224,tk_FSEQ,0)),"")</f>
        <v/>
      </c>
      <c r="B229" s="70">
        <f>IFERROR(INDEX(tk_QTY,MATCH(224,tk_FSEQ,0)),"")</f>
        <v/>
      </c>
      <c r="C229" s="70">
        <f>IFERROR(INDEX(tk_ROOMF,MATCH(224,tk_FSEQ,0))&amp;IF(INDEX(tk_ROOMT,MATCH(224,tk_FSEQ,0))="",""," → "&amp;INDEX(tk_ROOMT,MATCH(224,tk_FSEQ,0))),"")</f>
        <v/>
      </c>
      <c r="D229" s="70">
        <f>IFERROR(""&amp;INDEX(tk_SIZE,MATCH(224,tk_FSEQ,0)),"")</f>
        <v/>
      </c>
      <c r="E229" s="70">
        <f>IFERROR(""&amp;INDEX(tk_RATING,MATCH(224,tk_FSEQ,0)),"")</f>
        <v/>
      </c>
      <c r="F229" s="70">
        <f>IFERROR(TEXT(INDEX(tk_OAW,MATCH(224,tk_FSEQ,0)),"0.000")&amp;" x "&amp;TEXT(INDEX(tk_OAH,MATCH(224,tk_FSEQ,0)),"0.000"),"")</f>
        <v/>
      </c>
      <c r="G229" s="70">
        <f>IFERROR(""&amp;INDEX(tk_FLINE,MATCH(224,tk_FSEQ,0)),"")</f>
        <v/>
      </c>
      <c r="H229" s="70">
        <f>IFERROR(""&amp;INDEX(tk_FNOTES,MATCH(224,tk_FSEQ,0)),"")</f>
        <v/>
      </c>
    </row>
    <row r="230">
      <c r="A230" s="70">
        <f>IFERROR(""&amp;INDEX(tk_MARK,MATCH(225,tk_FSEQ,0)),"")</f>
        <v/>
      </c>
      <c r="B230" s="70">
        <f>IFERROR(INDEX(tk_QTY,MATCH(225,tk_FSEQ,0)),"")</f>
        <v/>
      </c>
      <c r="C230" s="70">
        <f>IFERROR(INDEX(tk_ROOMF,MATCH(225,tk_FSEQ,0))&amp;IF(INDEX(tk_ROOMT,MATCH(225,tk_FSEQ,0))="",""," → "&amp;INDEX(tk_ROOMT,MATCH(225,tk_FSEQ,0))),"")</f>
        <v/>
      </c>
      <c r="D230" s="70">
        <f>IFERROR(""&amp;INDEX(tk_SIZE,MATCH(225,tk_FSEQ,0)),"")</f>
        <v/>
      </c>
      <c r="E230" s="70">
        <f>IFERROR(""&amp;INDEX(tk_RATING,MATCH(225,tk_FSEQ,0)),"")</f>
        <v/>
      </c>
      <c r="F230" s="70">
        <f>IFERROR(TEXT(INDEX(tk_OAW,MATCH(225,tk_FSEQ,0)),"0.000")&amp;" x "&amp;TEXT(INDEX(tk_OAH,MATCH(225,tk_FSEQ,0)),"0.000"),"")</f>
        <v/>
      </c>
      <c r="G230" s="70">
        <f>IFERROR(""&amp;INDEX(tk_FLINE,MATCH(225,tk_FSEQ,0)),"")</f>
        <v/>
      </c>
      <c r="H230" s="70">
        <f>IFERROR(""&amp;INDEX(tk_FNOTES,MATCH(225,tk_FSEQ,0)),"")</f>
        <v/>
      </c>
    </row>
    <row r="231">
      <c r="A231" s="70">
        <f>IFERROR(""&amp;INDEX(tk_MARK,MATCH(226,tk_FSEQ,0)),"")</f>
        <v/>
      </c>
      <c r="B231" s="70">
        <f>IFERROR(INDEX(tk_QTY,MATCH(226,tk_FSEQ,0)),"")</f>
        <v/>
      </c>
      <c r="C231" s="70">
        <f>IFERROR(INDEX(tk_ROOMF,MATCH(226,tk_FSEQ,0))&amp;IF(INDEX(tk_ROOMT,MATCH(226,tk_FSEQ,0))="",""," → "&amp;INDEX(tk_ROOMT,MATCH(226,tk_FSEQ,0))),"")</f>
        <v/>
      </c>
      <c r="D231" s="70">
        <f>IFERROR(""&amp;INDEX(tk_SIZE,MATCH(226,tk_FSEQ,0)),"")</f>
        <v/>
      </c>
      <c r="E231" s="70">
        <f>IFERROR(""&amp;INDEX(tk_RATING,MATCH(226,tk_FSEQ,0)),"")</f>
        <v/>
      </c>
      <c r="F231" s="70">
        <f>IFERROR(TEXT(INDEX(tk_OAW,MATCH(226,tk_FSEQ,0)),"0.000")&amp;" x "&amp;TEXT(INDEX(tk_OAH,MATCH(226,tk_FSEQ,0)),"0.000"),"")</f>
        <v/>
      </c>
      <c r="G231" s="70">
        <f>IFERROR(""&amp;INDEX(tk_FLINE,MATCH(226,tk_FSEQ,0)),"")</f>
        <v/>
      </c>
      <c r="H231" s="70">
        <f>IFERROR(""&amp;INDEX(tk_FNOTES,MATCH(226,tk_FSEQ,0)),"")</f>
        <v/>
      </c>
    </row>
    <row r="232">
      <c r="A232" s="70">
        <f>IFERROR(""&amp;INDEX(tk_MARK,MATCH(227,tk_FSEQ,0)),"")</f>
        <v/>
      </c>
      <c r="B232" s="70">
        <f>IFERROR(INDEX(tk_QTY,MATCH(227,tk_FSEQ,0)),"")</f>
        <v/>
      </c>
      <c r="C232" s="70">
        <f>IFERROR(INDEX(tk_ROOMF,MATCH(227,tk_FSEQ,0))&amp;IF(INDEX(tk_ROOMT,MATCH(227,tk_FSEQ,0))="",""," → "&amp;INDEX(tk_ROOMT,MATCH(227,tk_FSEQ,0))),"")</f>
        <v/>
      </c>
      <c r="D232" s="70">
        <f>IFERROR(""&amp;INDEX(tk_SIZE,MATCH(227,tk_FSEQ,0)),"")</f>
        <v/>
      </c>
      <c r="E232" s="70">
        <f>IFERROR(""&amp;INDEX(tk_RATING,MATCH(227,tk_FSEQ,0)),"")</f>
        <v/>
      </c>
      <c r="F232" s="70">
        <f>IFERROR(TEXT(INDEX(tk_OAW,MATCH(227,tk_FSEQ,0)),"0.000")&amp;" x "&amp;TEXT(INDEX(tk_OAH,MATCH(227,tk_FSEQ,0)),"0.000"),"")</f>
        <v/>
      </c>
      <c r="G232" s="70">
        <f>IFERROR(""&amp;INDEX(tk_FLINE,MATCH(227,tk_FSEQ,0)),"")</f>
        <v/>
      </c>
      <c r="H232" s="70">
        <f>IFERROR(""&amp;INDEX(tk_FNOTES,MATCH(227,tk_FSEQ,0)),"")</f>
        <v/>
      </c>
    </row>
    <row r="233">
      <c r="A233" s="70">
        <f>IFERROR(""&amp;INDEX(tk_MARK,MATCH(228,tk_FSEQ,0)),"")</f>
        <v/>
      </c>
      <c r="B233" s="70">
        <f>IFERROR(INDEX(tk_QTY,MATCH(228,tk_FSEQ,0)),"")</f>
        <v/>
      </c>
      <c r="C233" s="70">
        <f>IFERROR(INDEX(tk_ROOMF,MATCH(228,tk_FSEQ,0))&amp;IF(INDEX(tk_ROOMT,MATCH(228,tk_FSEQ,0))="",""," → "&amp;INDEX(tk_ROOMT,MATCH(228,tk_FSEQ,0))),"")</f>
        <v/>
      </c>
      <c r="D233" s="70">
        <f>IFERROR(""&amp;INDEX(tk_SIZE,MATCH(228,tk_FSEQ,0)),"")</f>
        <v/>
      </c>
      <c r="E233" s="70">
        <f>IFERROR(""&amp;INDEX(tk_RATING,MATCH(228,tk_FSEQ,0)),"")</f>
        <v/>
      </c>
      <c r="F233" s="70">
        <f>IFERROR(TEXT(INDEX(tk_OAW,MATCH(228,tk_FSEQ,0)),"0.000")&amp;" x "&amp;TEXT(INDEX(tk_OAH,MATCH(228,tk_FSEQ,0)),"0.000"),"")</f>
        <v/>
      </c>
      <c r="G233" s="70">
        <f>IFERROR(""&amp;INDEX(tk_FLINE,MATCH(228,tk_FSEQ,0)),"")</f>
        <v/>
      </c>
      <c r="H233" s="70">
        <f>IFERROR(""&amp;INDEX(tk_FNOTES,MATCH(228,tk_FSEQ,0)),"")</f>
        <v/>
      </c>
    </row>
    <row r="234">
      <c r="A234" s="70">
        <f>IFERROR(""&amp;INDEX(tk_MARK,MATCH(229,tk_FSEQ,0)),"")</f>
        <v/>
      </c>
      <c r="B234" s="70">
        <f>IFERROR(INDEX(tk_QTY,MATCH(229,tk_FSEQ,0)),"")</f>
        <v/>
      </c>
      <c r="C234" s="70">
        <f>IFERROR(INDEX(tk_ROOMF,MATCH(229,tk_FSEQ,0))&amp;IF(INDEX(tk_ROOMT,MATCH(229,tk_FSEQ,0))="",""," → "&amp;INDEX(tk_ROOMT,MATCH(229,tk_FSEQ,0))),"")</f>
        <v/>
      </c>
      <c r="D234" s="70">
        <f>IFERROR(""&amp;INDEX(tk_SIZE,MATCH(229,tk_FSEQ,0)),"")</f>
        <v/>
      </c>
      <c r="E234" s="70">
        <f>IFERROR(""&amp;INDEX(tk_RATING,MATCH(229,tk_FSEQ,0)),"")</f>
        <v/>
      </c>
      <c r="F234" s="70">
        <f>IFERROR(TEXT(INDEX(tk_OAW,MATCH(229,tk_FSEQ,0)),"0.000")&amp;" x "&amp;TEXT(INDEX(tk_OAH,MATCH(229,tk_FSEQ,0)),"0.000"),"")</f>
        <v/>
      </c>
      <c r="G234" s="70">
        <f>IFERROR(""&amp;INDEX(tk_FLINE,MATCH(229,tk_FSEQ,0)),"")</f>
        <v/>
      </c>
      <c r="H234" s="70">
        <f>IFERROR(""&amp;INDEX(tk_FNOTES,MATCH(229,tk_FSEQ,0)),"")</f>
        <v/>
      </c>
    </row>
    <row r="235">
      <c r="A235" s="70">
        <f>IFERROR(""&amp;INDEX(tk_MARK,MATCH(230,tk_FSEQ,0)),"")</f>
        <v/>
      </c>
      <c r="B235" s="70">
        <f>IFERROR(INDEX(tk_QTY,MATCH(230,tk_FSEQ,0)),"")</f>
        <v/>
      </c>
      <c r="C235" s="70">
        <f>IFERROR(INDEX(tk_ROOMF,MATCH(230,tk_FSEQ,0))&amp;IF(INDEX(tk_ROOMT,MATCH(230,tk_FSEQ,0))="",""," → "&amp;INDEX(tk_ROOMT,MATCH(230,tk_FSEQ,0))),"")</f>
        <v/>
      </c>
      <c r="D235" s="70">
        <f>IFERROR(""&amp;INDEX(tk_SIZE,MATCH(230,tk_FSEQ,0)),"")</f>
        <v/>
      </c>
      <c r="E235" s="70">
        <f>IFERROR(""&amp;INDEX(tk_RATING,MATCH(230,tk_FSEQ,0)),"")</f>
        <v/>
      </c>
      <c r="F235" s="70">
        <f>IFERROR(TEXT(INDEX(tk_OAW,MATCH(230,tk_FSEQ,0)),"0.000")&amp;" x "&amp;TEXT(INDEX(tk_OAH,MATCH(230,tk_FSEQ,0)),"0.000"),"")</f>
        <v/>
      </c>
      <c r="G235" s="70">
        <f>IFERROR(""&amp;INDEX(tk_FLINE,MATCH(230,tk_FSEQ,0)),"")</f>
        <v/>
      </c>
      <c r="H235" s="70">
        <f>IFERROR(""&amp;INDEX(tk_FNOTES,MATCH(230,tk_FSEQ,0)),"")</f>
        <v/>
      </c>
    </row>
    <row r="236">
      <c r="A236" s="70">
        <f>IFERROR(""&amp;INDEX(tk_MARK,MATCH(231,tk_FSEQ,0)),"")</f>
        <v/>
      </c>
      <c r="B236" s="70">
        <f>IFERROR(INDEX(tk_QTY,MATCH(231,tk_FSEQ,0)),"")</f>
        <v/>
      </c>
      <c r="C236" s="70">
        <f>IFERROR(INDEX(tk_ROOMF,MATCH(231,tk_FSEQ,0))&amp;IF(INDEX(tk_ROOMT,MATCH(231,tk_FSEQ,0))="",""," → "&amp;INDEX(tk_ROOMT,MATCH(231,tk_FSEQ,0))),"")</f>
        <v/>
      </c>
      <c r="D236" s="70">
        <f>IFERROR(""&amp;INDEX(tk_SIZE,MATCH(231,tk_FSEQ,0)),"")</f>
        <v/>
      </c>
      <c r="E236" s="70">
        <f>IFERROR(""&amp;INDEX(tk_RATING,MATCH(231,tk_FSEQ,0)),"")</f>
        <v/>
      </c>
      <c r="F236" s="70">
        <f>IFERROR(TEXT(INDEX(tk_OAW,MATCH(231,tk_FSEQ,0)),"0.000")&amp;" x "&amp;TEXT(INDEX(tk_OAH,MATCH(231,tk_FSEQ,0)),"0.000"),"")</f>
        <v/>
      </c>
      <c r="G236" s="70">
        <f>IFERROR(""&amp;INDEX(tk_FLINE,MATCH(231,tk_FSEQ,0)),"")</f>
        <v/>
      </c>
      <c r="H236" s="70">
        <f>IFERROR(""&amp;INDEX(tk_FNOTES,MATCH(231,tk_FSEQ,0)),"")</f>
        <v/>
      </c>
    </row>
    <row r="237">
      <c r="A237" s="70">
        <f>IFERROR(""&amp;INDEX(tk_MARK,MATCH(232,tk_FSEQ,0)),"")</f>
        <v/>
      </c>
      <c r="B237" s="70">
        <f>IFERROR(INDEX(tk_QTY,MATCH(232,tk_FSEQ,0)),"")</f>
        <v/>
      </c>
      <c r="C237" s="70">
        <f>IFERROR(INDEX(tk_ROOMF,MATCH(232,tk_FSEQ,0))&amp;IF(INDEX(tk_ROOMT,MATCH(232,tk_FSEQ,0))="",""," → "&amp;INDEX(tk_ROOMT,MATCH(232,tk_FSEQ,0))),"")</f>
        <v/>
      </c>
      <c r="D237" s="70">
        <f>IFERROR(""&amp;INDEX(tk_SIZE,MATCH(232,tk_FSEQ,0)),"")</f>
        <v/>
      </c>
      <c r="E237" s="70">
        <f>IFERROR(""&amp;INDEX(tk_RATING,MATCH(232,tk_FSEQ,0)),"")</f>
        <v/>
      </c>
      <c r="F237" s="70">
        <f>IFERROR(TEXT(INDEX(tk_OAW,MATCH(232,tk_FSEQ,0)),"0.000")&amp;" x "&amp;TEXT(INDEX(tk_OAH,MATCH(232,tk_FSEQ,0)),"0.000"),"")</f>
        <v/>
      </c>
      <c r="G237" s="70">
        <f>IFERROR(""&amp;INDEX(tk_FLINE,MATCH(232,tk_FSEQ,0)),"")</f>
        <v/>
      </c>
      <c r="H237" s="70">
        <f>IFERROR(""&amp;INDEX(tk_FNOTES,MATCH(232,tk_FSEQ,0)),"")</f>
        <v/>
      </c>
    </row>
    <row r="238">
      <c r="A238" s="70">
        <f>IFERROR(""&amp;INDEX(tk_MARK,MATCH(233,tk_FSEQ,0)),"")</f>
        <v/>
      </c>
      <c r="B238" s="70">
        <f>IFERROR(INDEX(tk_QTY,MATCH(233,tk_FSEQ,0)),"")</f>
        <v/>
      </c>
      <c r="C238" s="70">
        <f>IFERROR(INDEX(tk_ROOMF,MATCH(233,tk_FSEQ,0))&amp;IF(INDEX(tk_ROOMT,MATCH(233,tk_FSEQ,0))="",""," → "&amp;INDEX(tk_ROOMT,MATCH(233,tk_FSEQ,0))),"")</f>
        <v/>
      </c>
      <c r="D238" s="70">
        <f>IFERROR(""&amp;INDEX(tk_SIZE,MATCH(233,tk_FSEQ,0)),"")</f>
        <v/>
      </c>
      <c r="E238" s="70">
        <f>IFERROR(""&amp;INDEX(tk_RATING,MATCH(233,tk_FSEQ,0)),"")</f>
        <v/>
      </c>
      <c r="F238" s="70">
        <f>IFERROR(TEXT(INDEX(tk_OAW,MATCH(233,tk_FSEQ,0)),"0.000")&amp;" x "&amp;TEXT(INDEX(tk_OAH,MATCH(233,tk_FSEQ,0)),"0.000"),"")</f>
        <v/>
      </c>
      <c r="G238" s="70">
        <f>IFERROR(""&amp;INDEX(tk_FLINE,MATCH(233,tk_FSEQ,0)),"")</f>
        <v/>
      </c>
      <c r="H238" s="70">
        <f>IFERROR(""&amp;INDEX(tk_FNOTES,MATCH(233,tk_FSEQ,0)),"")</f>
        <v/>
      </c>
    </row>
    <row r="239">
      <c r="A239" s="70">
        <f>IFERROR(""&amp;INDEX(tk_MARK,MATCH(234,tk_FSEQ,0)),"")</f>
        <v/>
      </c>
      <c r="B239" s="70">
        <f>IFERROR(INDEX(tk_QTY,MATCH(234,tk_FSEQ,0)),"")</f>
        <v/>
      </c>
      <c r="C239" s="70">
        <f>IFERROR(INDEX(tk_ROOMF,MATCH(234,tk_FSEQ,0))&amp;IF(INDEX(tk_ROOMT,MATCH(234,tk_FSEQ,0))="",""," → "&amp;INDEX(tk_ROOMT,MATCH(234,tk_FSEQ,0))),"")</f>
        <v/>
      </c>
      <c r="D239" s="70">
        <f>IFERROR(""&amp;INDEX(tk_SIZE,MATCH(234,tk_FSEQ,0)),"")</f>
        <v/>
      </c>
      <c r="E239" s="70">
        <f>IFERROR(""&amp;INDEX(tk_RATING,MATCH(234,tk_FSEQ,0)),"")</f>
        <v/>
      </c>
      <c r="F239" s="70">
        <f>IFERROR(TEXT(INDEX(tk_OAW,MATCH(234,tk_FSEQ,0)),"0.000")&amp;" x "&amp;TEXT(INDEX(tk_OAH,MATCH(234,tk_FSEQ,0)),"0.000"),"")</f>
        <v/>
      </c>
      <c r="G239" s="70">
        <f>IFERROR(""&amp;INDEX(tk_FLINE,MATCH(234,tk_FSEQ,0)),"")</f>
        <v/>
      </c>
      <c r="H239" s="70">
        <f>IFERROR(""&amp;INDEX(tk_FNOTES,MATCH(234,tk_FSEQ,0)),"")</f>
        <v/>
      </c>
    </row>
    <row r="240">
      <c r="A240" s="70">
        <f>IFERROR(""&amp;INDEX(tk_MARK,MATCH(235,tk_FSEQ,0)),"")</f>
        <v/>
      </c>
      <c r="B240" s="70">
        <f>IFERROR(INDEX(tk_QTY,MATCH(235,tk_FSEQ,0)),"")</f>
        <v/>
      </c>
      <c r="C240" s="70">
        <f>IFERROR(INDEX(tk_ROOMF,MATCH(235,tk_FSEQ,0))&amp;IF(INDEX(tk_ROOMT,MATCH(235,tk_FSEQ,0))="",""," → "&amp;INDEX(tk_ROOMT,MATCH(235,tk_FSEQ,0))),"")</f>
        <v/>
      </c>
      <c r="D240" s="70">
        <f>IFERROR(""&amp;INDEX(tk_SIZE,MATCH(235,tk_FSEQ,0)),"")</f>
        <v/>
      </c>
      <c r="E240" s="70">
        <f>IFERROR(""&amp;INDEX(tk_RATING,MATCH(235,tk_FSEQ,0)),"")</f>
        <v/>
      </c>
      <c r="F240" s="70">
        <f>IFERROR(TEXT(INDEX(tk_OAW,MATCH(235,tk_FSEQ,0)),"0.000")&amp;" x "&amp;TEXT(INDEX(tk_OAH,MATCH(235,tk_FSEQ,0)),"0.000"),"")</f>
        <v/>
      </c>
      <c r="G240" s="70">
        <f>IFERROR(""&amp;INDEX(tk_FLINE,MATCH(235,tk_FSEQ,0)),"")</f>
        <v/>
      </c>
      <c r="H240" s="70">
        <f>IFERROR(""&amp;INDEX(tk_FNOTES,MATCH(235,tk_FSEQ,0)),"")</f>
        <v/>
      </c>
    </row>
    <row r="241">
      <c r="A241" s="70">
        <f>IFERROR(""&amp;INDEX(tk_MARK,MATCH(236,tk_FSEQ,0)),"")</f>
        <v/>
      </c>
      <c r="B241" s="70">
        <f>IFERROR(INDEX(tk_QTY,MATCH(236,tk_FSEQ,0)),"")</f>
        <v/>
      </c>
      <c r="C241" s="70">
        <f>IFERROR(INDEX(tk_ROOMF,MATCH(236,tk_FSEQ,0))&amp;IF(INDEX(tk_ROOMT,MATCH(236,tk_FSEQ,0))="",""," → "&amp;INDEX(tk_ROOMT,MATCH(236,tk_FSEQ,0))),"")</f>
        <v/>
      </c>
      <c r="D241" s="70">
        <f>IFERROR(""&amp;INDEX(tk_SIZE,MATCH(236,tk_FSEQ,0)),"")</f>
        <v/>
      </c>
      <c r="E241" s="70">
        <f>IFERROR(""&amp;INDEX(tk_RATING,MATCH(236,tk_FSEQ,0)),"")</f>
        <v/>
      </c>
      <c r="F241" s="70">
        <f>IFERROR(TEXT(INDEX(tk_OAW,MATCH(236,tk_FSEQ,0)),"0.000")&amp;" x "&amp;TEXT(INDEX(tk_OAH,MATCH(236,tk_FSEQ,0)),"0.000"),"")</f>
        <v/>
      </c>
      <c r="G241" s="70">
        <f>IFERROR(""&amp;INDEX(tk_FLINE,MATCH(236,tk_FSEQ,0)),"")</f>
        <v/>
      </c>
      <c r="H241" s="70">
        <f>IFERROR(""&amp;INDEX(tk_FNOTES,MATCH(236,tk_FSEQ,0)),"")</f>
        <v/>
      </c>
    </row>
    <row r="242">
      <c r="A242" s="70">
        <f>IFERROR(""&amp;INDEX(tk_MARK,MATCH(237,tk_FSEQ,0)),"")</f>
        <v/>
      </c>
      <c r="B242" s="70">
        <f>IFERROR(INDEX(tk_QTY,MATCH(237,tk_FSEQ,0)),"")</f>
        <v/>
      </c>
      <c r="C242" s="70">
        <f>IFERROR(INDEX(tk_ROOMF,MATCH(237,tk_FSEQ,0))&amp;IF(INDEX(tk_ROOMT,MATCH(237,tk_FSEQ,0))="",""," → "&amp;INDEX(tk_ROOMT,MATCH(237,tk_FSEQ,0))),"")</f>
        <v/>
      </c>
      <c r="D242" s="70">
        <f>IFERROR(""&amp;INDEX(tk_SIZE,MATCH(237,tk_FSEQ,0)),"")</f>
        <v/>
      </c>
      <c r="E242" s="70">
        <f>IFERROR(""&amp;INDEX(tk_RATING,MATCH(237,tk_FSEQ,0)),"")</f>
        <v/>
      </c>
      <c r="F242" s="70">
        <f>IFERROR(TEXT(INDEX(tk_OAW,MATCH(237,tk_FSEQ,0)),"0.000")&amp;" x "&amp;TEXT(INDEX(tk_OAH,MATCH(237,tk_FSEQ,0)),"0.000"),"")</f>
        <v/>
      </c>
      <c r="G242" s="70">
        <f>IFERROR(""&amp;INDEX(tk_FLINE,MATCH(237,tk_FSEQ,0)),"")</f>
        <v/>
      </c>
      <c r="H242" s="70">
        <f>IFERROR(""&amp;INDEX(tk_FNOTES,MATCH(237,tk_FSEQ,0)),"")</f>
        <v/>
      </c>
    </row>
    <row r="243">
      <c r="A243" s="70">
        <f>IFERROR(""&amp;INDEX(tk_MARK,MATCH(238,tk_FSEQ,0)),"")</f>
        <v/>
      </c>
      <c r="B243" s="70">
        <f>IFERROR(INDEX(tk_QTY,MATCH(238,tk_FSEQ,0)),"")</f>
        <v/>
      </c>
      <c r="C243" s="70">
        <f>IFERROR(INDEX(tk_ROOMF,MATCH(238,tk_FSEQ,0))&amp;IF(INDEX(tk_ROOMT,MATCH(238,tk_FSEQ,0))="",""," → "&amp;INDEX(tk_ROOMT,MATCH(238,tk_FSEQ,0))),"")</f>
        <v/>
      </c>
      <c r="D243" s="70">
        <f>IFERROR(""&amp;INDEX(tk_SIZE,MATCH(238,tk_FSEQ,0)),"")</f>
        <v/>
      </c>
      <c r="E243" s="70">
        <f>IFERROR(""&amp;INDEX(tk_RATING,MATCH(238,tk_FSEQ,0)),"")</f>
        <v/>
      </c>
      <c r="F243" s="70">
        <f>IFERROR(TEXT(INDEX(tk_OAW,MATCH(238,tk_FSEQ,0)),"0.000")&amp;" x "&amp;TEXT(INDEX(tk_OAH,MATCH(238,tk_FSEQ,0)),"0.000"),"")</f>
        <v/>
      </c>
      <c r="G243" s="70">
        <f>IFERROR(""&amp;INDEX(tk_FLINE,MATCH(238,tk_FSEQ,0)),"")</f>
        <v/>
      </c>
      <c r="H243" s="70">
        <f>IFERROR(""&amp;INDEX(tk_FNOTES,MATCH(238,tk_FSEQ,0)),"")</f>
        <v/>
      </c>
    </row>
    <row r="244">
      <c r="A244" s="70">
        <f>IFERROR(""&amp;INDEX(tk_MARK,MATCH(239,tk_FSEQ,0)),"")</f>
        <v/>
      </c>
      <c r="B244" s="70">
        <f>IFERROR(INDEX(tk_QTY,MATCH(239,tk_FSEQ,0)),"")</f>
        <v/>
      </c>
      <c r="C244" s="70">
        <f>IFERROR(INDEX(tk_ROOMF,MATCH(239,tk_FSEQ,0))&amp;IF(INDEX(tk_ROOMT,MATCH(239,tk_FSEQ,0))="",""," → "&amp;INDEX(tk_ROOMT,MATCH(239,tk_FSEQ,0))),"")</f>
        <v/>
      </c>
      <c r="D244" s="70">
        <f>IFERROR(""&amp;INDEX(tk_SIZE,MATCH(239,tk_FSEQ,0)),"")</f>
        <v/>
      </c>
      <c r="E244" s="70">
        <f>IFERROR(""&amp;INDEX(tk_RATING,MATCH(239,tk_FSEQ,0)),"")</f>
        <v/>
      </c>
      <c r="F244" s="70">
        <f>IFERROR(TEXT(INDEX(tk_OAW,MATCH(239,tk_FSEQ,0)),"0.000")&amp;" x "&amp;TEXT(INDEX(tk_OAH,MATCH(239,tk_FSEQ,0)),"0.000"),"")</f>
        <v/>
      </c>
      <c r="G244" s="70">
        <f>IFERROR(""&amp;INDEX(tk_FLINE,MATCH(239,tk_FSEQ,0)),"")</f>
        <v/>
      </c>
      <c r="H244" s="70">
        <f>IFERROR(""&amp;INDEX(tk_FNOTES,MATCH(239,tk_FSEQ,0)),"")</f>
        <v/>
      </c>
    </row>
    <row r="245">
      <c r="A245" s="70">
        <f>IFERROR(""&amp;INDEX(tk_MARK,MATCH(240,tk_FSEQ,0)),"")</f>
        <v/>
      </c>
      <c r="B245" s="70">
        <f>IFERROR(INDEX(tk_QTY,MATCH(240,tk_FSEQ,0)),"")</f>
        <v/>
      </c>
      <c r="C245" s="70">
        <f>IFERROR(INDEX(tk_ROOMF,MATCH(240,tk_FSEQ,0))&amp;IF(INDEX(tk_ROOMT,MATCH(240,tk_FSEQ,0))="",""," → "&amp;INDEX(tk_ROOMT,MATCH(240,tk_FSEQ,0))),"")</f>
        <v/>
      </c>
      <c r="D245" s="70">
        <f>IFERROR(""&amp;INDEX(tk_SIZE,MATCH(240,tk_FSEQ,0)),"")</f>
        <v/>
      </c>
      <c r="E245" s="70">
        <f>IFERROR(""&amp;INDEX(tk_RATING,MATCH(240,tk_FSEQ,0)),"")</f>
        <v/>
      </c>
      <c r="F245" s="70">
        <f>IFERROR(TEXT(INDEX(tk_OAW,MATCH(240,tk_FSEQ,0)),"0.000")&amp;" x "&amp;TEXT(INDEX(tk_OAH,MATCH(240,tk_FSEQ,0)),"0.000"),"")</f>
        <v/>
      </c>
      <c r="G245" s="70">
        <f>IFERROR(""&amp;INDEX(tk_FLINE,MATCH(240,tk_FSEQ,0)),"")</f>
        <v/>
      </c>
      <c r="H245" s="70">
        <f>IFERROR(""&amp;INDEX(tk_FNOTES,MATCH(240,tk_FSEQ,0)),"")</f>
        <v/>
      </c>
    </row>
    <row r="246">
      <c r="A246" s="70">
        <f>IFERROR(""&amp;INDEX(tk_MARK,MATCH(241,tk_FSEQ,0)),"")</f>
        <v/>
      </c>
      <c r="B246" s="70">
        <f>IFERROR(INDEX(tk_QTY,MATCH(241,tk_FSEQ,0)),"")</f>
        <v/>
      </c>
      <c r="C246" s="70">
        <f>IFERROR(INDEX(tk_ROOMF,MATCH(241,tk_FSEQ,0))&amp;IF(INDEX(tk_ROOMT,MATCH(241,tk_FSEQ,0))="",""," → "&amp;INDEX(tk_ROOMT,MATCH(241,tk_FSEQ,0))),"")</f>
        <v/>
      </c>
      <c r="D246" s="70">
        <f>IFERROR(""&amp;INDEX(tk_SIZE,MATCH(241,tk_FSEQ,0)),"")</f>
        <v/>
      </c>
      <c r="E246" s="70">
        <f>IFERROR(""&amp;INDEX(tk_RATING,MATCH(241,tk_FSEQ,0)),"")</f>
        <v/>
      </c>
      <c r="F246" s="70">
        <f>IFERROR(TEXT(INDEX(tk_OAW,MATCH(241,tk_FSEQ,0)),"0.000")&amp;" x "&amp;TEXT(INDEX(tk_OAH,MATCH(241,tk_FSEQ,0)),"0.000"),"")</f>
        <v/>
      </c>
      <c r="G246" s="70">
        <f>IFERROR(""&amp;INDEX(tk_FLINE,MATCH(241,tk_FSEQ,0)),"")</f>
        <v/>
      </c>
      <c r="H246" s="70">
        <f>IFERROR(""&amp;INDEX(tk_FNOTES,MATCH(241,tk_FSEQ,0)),"")</f>
        <v/>
      </c>
    </row>
    <row r="247">
      <c r="A247" s="70">
        <f>IFERROR(""&amp;INDEX(tk_MARK,MATCH(242,tk_FSEQ,0)),"")</f>
        <v/>
      </c>
      <c r="B247" s="70">
        <f>IFERROR(INDEX(tk_QTY,MATCH(242,tk_FSEQ,0)),"")</f>
        <v/>
      </c>
      <c r="C247" s="70">
        <f>IFERROR(INDEX(tk_ROOMF,MATCH(242,tk_FSEQ,0))&amp;IF(INDEX(tk_ROOMT,MATCH(242,tk_FSEQ,0))="",""," → "&amp;INDEX(tk_ROOMT,MATCH(242,tk_FSEQ,0))),"")</f>
        <v/>
      </c>
      <c r="D247" s="70">
        <f>IFERROR(""&amp;INDEX(tk_SIZE,MATCH(242,tk_FSEQ,0)),"")</f>
        <v/>
      </c>
      <c r="E247" s="70">
        <f>IFERROR(""&amp;INDEX(tk_RATING,MATCH(242,tk_FSEQ,0)),"")</f>
        <v/>
      </c>
      <c r="F247" s="70">
        <f>IFERROR(TEXT(INDEX(tk_OAW,MATCH(242,tk_FSEQ,0)),"0.000")&amp;" x "&amp;TEXT(INDEX(tk_OAH,MATCH(242,tk_FSEQ,0)),"0.000"),"")</f>
        <v/>
      </c>
      <c r="G247" s="70">
        <f>IFERROR(""&amp;INDEX(tk_FLINE,MATCH(242,tk_FSEQ,0)),"")</f>
        <v/>
      </c>
      <c r="H247" s="70">
        <f>IFERROR(""&amp;INDEX(tk_FNOTES,MATCH(242,tk_FSEQ,0)),"")</f>
        <v/>
      </c>
    </row>
    <row r="248">
      <c r="A248" s="70">
        <f>IFERROR(""&amp;INDEX(tk_MARK,MATCH(243,tk_FSEQ,0)),"")</f>
        <v/>
      </c>
      <c r="B248" s="70">
        <f>IFERROR(INDEX(tk_QTY,MATCH(243,tk_FSEQ,0)),"")</f>
        <v/>
      </c>
      <c r="C248" s="70">
        <f>IFERROR(INDEX(tk_ROOMF,MATCH(243,tk_FSEQ,0))&amp;IF(INDEX(tk_ROOMT,MATCH(243,tk_FSEQ,0))="",""," → "&amp;INDEX(tk_ROOMT,MATCH(243,tk_FSEQ,0))),"")</f>
        <v/>
      </c>
      <c r="D248" s="70">
        <f>IFERROR(""&amp;INDEX(tk_SIZE,MATCH(243,tk_FSEQ,0)),"")</f>
        <v/>
      </c>
      <c r="E248" s="70">
        <f>IFERROR(""&amp;INDEX(tk_RATING,MATCH(243,tk_FSEQ,0)),"")</f>
        <v/>
      </c>
      <c r="F248" s="70">
        <f>IFERROR(TEXT(INDEX(tk_OAW,MATCH(243,tk_FSEQ,0)),"0.000")&amp;" x "&amp;TEXT(INDEX(tk_OAH,MATCH(243,tk_FSEQ,0)),"0.000"),"")</f>
        <v/>
      </c>
      <c r="G248" s="70">
        <f>IFERROR(""&amp;INDEX(tk_FLINE,MATCH(243,tk_FSEQ,0)),"")</f>
        <v/>
      </c>
      <c r="H248" s="70">
        <f>IFERROR(""&amp;INDEX(tk_FNOTES,MATCH(243,tk_FSEQ,0)),"")</f>
        <v/>
      </c>
    </row>
    <row r="249">
      <c r="A249" s="70">
        <f>IFERROR(""&amp;INDEX(tk_MARK,MATCH(244,tk_FSEQ,0)),"")</f>
        <v/>
      </c>
      <c r="B249" s="70">
        <f>IFERROR(INDEX(tk_QTY,MATCH(244,tk_FSEQ,0)),"")</f>
        <v/>
      </c>
      <c r="C249" s="70">
        <f>IFERROR(INDEX(tk_ROOMF,MATCH(244,tk_FSEQ,0))&amp;IF(INDEX(tk_ROOMT,MATCH(244,tk_FSEQ,0))="",""," → "&amp;INDEX(tk_ROOMT,MATCH(244,tk_FSEQ,0))),"")</f>
        <v/>
      </c>
      <c r="D249" s="70">
        <f>IFERROR(""&amp;INDEX(tk_SIZE,MATCH(244,tk_FSEQ,0)),"")</f>
        <v/>
      </c>
      <c r="E249" s="70">
        <f>IFERROR(""&amp;INDEX(tk_RATING,MATCH(244,tk_FSEQ,0)),"")</f>
        <v/>
      </c>
      <c r="F249" s="70">
        <f>IFERROR(TEXT(INDEX(tk_OAW,MATCH(244,tk_FSEQ,0)),"0.000")&amp;" x "&amp;TEXT(INDEX(tk_OAH,MATCH(244,tk_FSEQ,0)),"0.000"),"")</f>
        <v/>
      </c>
      <c r="G249" s="70">
        <f>IFERROR(""&amp;INDEX(tk_FLINE,MATCH(244,tk_FSEQ,0)),"")</f>
        <v/>
      </c>
      <c r="H249" s="70">
        <f>IFERROR(""&amp;INDEX(tk_FNOTES,MATCH(244,tk_FSEQ,0)),"")</f>
        <v/>
      </c>
    </row>
    <row r="250">
      <c r="A250" s="70">
        <f>IFERROR(""&amp;INDEX(tk_MARK,MATCH(245,tk_FSEQ,0)),"")</f>
        <v/>
      </c>
      <c r="B250" s="70">
        <f>IFERROR(INDEX(tk_QTY,MATCH(245,tk_FSEQ,0)),"")</f>
        <v/>
      </c>
      <c r="C250" s="70">
        <f>IFERROR(INDEX(tk_ROOMF,MATCH(245,tk_FSEQ,0))&amp;IF(INDEX(tk_ROOMT,MATCH(245,tk_FSEQ,0))="",""," → "&amp;INDEX(tk_ROOMT,MATCH(245,tk_FSEQ,0))),"")</f>
        <v/>
      </c>
      <c r="D250" s="70">
        <f>IFERROR(""&amp;INDEX(tk_SIZE,MATCH(245,tk_FSEQ,0)),"")</f>
        <v/>
      </c>
      <c r="E250" s="70">
        <f>IFERROR(""&amp;INDEX(tk_RATING,MATCH(245,tk_FSEQ,0)),"")</f>
        <v/>
      </c>
      <c r="F250" s="70">
        <f>IFERROR(TEXT(INDEX(tk_OAW,MATCH(245,tk_FSEQ,0)),"0.000")&amp;" x "&amp;TEXT(INDEX(tk_OAH,MATCH(245,tk_FSEQ,0)),"0.000"),"")</f>
        <v/>
      </c>
      <c r="G250" s="70">
        <f>IFERROR(""&amp;INDEX(tk_FLINE,MATCH(245,tk_FSEQ,0)),"")</f>
        <v/>
      </c>
      <c r="H250" s="70">
        <f>IFERROR(""&amp;INDEX(tk_FNOTES,MATCH(245,tk_FSEQ,0)),"")</f>
        <v/>
      </c>
    </row>
    <row r="251">
      <c r="A251" s="70">
        <f>IFERROR(""&amp;INDEX(tk_MARK,MATCH(246,tk_FSEQ,0)),"")</f>
        <v/>
      </c>
      <c r="B251" s="70">
        <f>IFERROR(INDEX(tk_QTY,MATCH(246,tk_FSEQ,0)),"")</f>
        <v/>
      </c>
      <c r="C251" s="70">
        <f>IFERROR(INDEX(tk_ROOMF,MATCH(246,tk_FSEQ,0))&amp;IF(INDEX(tk_ROOMT,MATCH(246,tk_FSEQ,0))="",""," → "&amp;INDEX(tk_ROOMT,MATCH(246,tk_FSEQ,0))),"")</f>
        <v/>
      </c>
      <c r="D251" s="70">
        <f>IFERROR(""&amp;INDEX(tk_SIZE,MATCH(246,tk_FSEQ,0)),"")</f>
        <v/>
      </c>
      <c r="E251" s="70">
        <f>IFERROR(""&amp;INDEX(tk_RATING,MATCH(246,tk_FSEQ,0)),"")</f>
        <v/>
      </c>
      <c r="F251" s="70">
        <f>IFERROR(TEXT(INDEX(tk_OAW,MATCH(246,tk_FSEQ,0)),"0.000")&amp;" x "&amp;TEXT(INDEX(tk_OAH,MATCH(246,tk_FSEQ,0)),"0.000"),"")</f>
        <v/>
      </c>
      <c r="G251" s="70">
        <f>IFERROR(""&amp;INDEX(tk_FLINE,MATCH(246,tk_FSEQ,0)),"")</f>
        <v/>
      </c>
      <c r="H251" s="70">
        <f>IFERROR(""&amp;INDEX(tk_FNOTES,MATCH(246,tk_FSEQ,0)),"")</f>
        <v/>
      </c>
    </row>
    <row r="252">
      <c r="A252" s="70">
        <f>IFERROR(""&amp;INDEX(tk_MARK,MATCH(247,tk_FSEQ,0)),"")</f>
        <v/>
      </c>
      <c r="B252" s="70">
        <f>IFERROR(INDEX(tk_QTY,MATCH(247,tk_FSEQ,0)),"")</f>
        <v/>
      </c>
      <c r="C252" s="70">
        <f>IFERROR(INDEX(tk_ROOMF,MATCH(247,tk_FSEQ,0))&amp;IF(INDEX(tk_ROOMT,MATCH(247,tk_FSEQ,0))="",""," → "&amp;INDEX(tk_ROOMT,MATCH(247,tk_FSEQ,0))),"")</f>
        <v/>
      </c>
      <c r="D252" s="70">
        <f>IFERROR(""&amp;INDEX(tk_SIZE,MATCH(247,tk_FSEQ,0)),"")</f>
        <v/>
      </c>
      <c r="E252" s="70">
        <f>IFERROR(""&amp;INDEX(tk_RATING,MATCH(247,tk_FSEQ,0)),"")</f>
        <v/>
      </c>
      <c r="F252" s="70">
        <f>IFERROR(TEXT(INDEX(tk_OAW,MATCH(247,tk_FSEQ,0)),"0.000")&amp;" x "&amp;TEXT(INDEX(tk_OAH,MATCH(247,tk_FSEQ,0)),"0.000"),"")</f>
        <v/>
      </c>
      <c r="G252" s="70">
        <f>IFERROR(""&amp;INDEX(tk_FLINE,MATCH(247,tk_FSEQ,0)),"")</f>
        <v/>
      </c>
      <c r="H252" s="70">
        <f>IFERROR(""&amp;INDEX(tk_FNOTES,MATCH(247,tk_FSEQ,0)),"")</f>
        <v/>
      </c>
    </row>
    <row r="253">
      <c r="A253" s="70">
        <f>IFERROR(""&amp;INDEX(tk_MARK,MATCH(248,tk_FSEQ,0)),"")</f>
        <v/>
      </c>
      <c r="B253" s="70">
        <f>IFERROR(INDEX(tk_QTY,MATCH(248,tk_FSEQ,0)),"")</f>
        <v/>
      </c>
      <c r="C253" s="70">
        <f>IFERROR(INDEX(tk_ROOMF,MATCH(248,tk_FSEQ,0))&amp;IF(INDEX(tk_ROOMT,MATCH(248,tk_FSEQ,0))="",""," → "&amp;INDEX(tk_ROOMT,MATCH(248,tk_FSEQ,0))),"")</f>
        <v/>
      </c>
      <c r="D253" s="70">
        <f>IFERROR(""&amp;INDEX(tk_SIZE,MATCH(248,tk_FSEQ,0)),"")</f>
        <v/>
      </c>
      <c r="E253" s="70">
        <f>IFERROR(""&amp;INDEX(tk_RATING,MATCH(248,tk_FSEQ,0)),"")</f>
        <v/>
      </c>
      <c r="F253" s="70">
        <f>IFERROR(TEXT(INDEX(tk_OAW,MATCH(248,tk_FSEQ,0)),"0.000")&amp;" x "&amp;TEXT(INDEX(tk_OAH,MATCH(248,tk_FSEQ,0)),"0.000"),"")</f>
        <v/>
      </c>
      <c r="G253" s="70">
        <f>IFERROR(""&amp;INDEX(tk_FLINE,MATCH(248,tk_FSEQ,0)),"")</f>
        <v/>
      </c>
      <c r="H253" s="70">
        <f>IFERROR(""&amp;INDEX(tk_FNOTES,MATCH(248,tk_FSEQ,0)),"")</f>
        <v/>
      </c>
    </row>
    <row r="254">
      <c r="A254" s="70">
        <f>IFERROR(""&amp;INDEX(tk_MARK,MATCH(249,tk_FSEQ,0)),"")</f>
        <v/>
      </c>
      <c r="B254" s="70">
        <f>IFERROR(INDEX(tk_QTY,MATCH(249,tk_FSEQ,0)),"")</f>
        <v/>
      </c>
      <c r="C254" s="70">
        <f>IFERROR(INDEX(tk_ROOMF,MATCH(249,tk_FSEQ,0))&amp;IF(INDEX(tk_ROOMT,MATCH(249,tk_FSEQ,0))="",""," → "&amp;INDEX(tk_ROOMT,MATCH(249,tk_FSEQ,0))),"")</f>
        <v/>
      </c>
      <c r="D254" s="70">
        <f>IFERROR(""&amp;INDEX(tk_SIZE,MATCH(249,tk_FSEQ,0)),"")</f>
        <v/>
      </c>
      <c r="E254" s="70">
        <f>IFERROR(""&amp;INDEX(tk_RATING,MATCH(249,tk_FSEQ,0)),"")</f>
        <v/>
      </c>
      <c r="F254" s="70">
        <f>IFERROR(TEXT(INDEX(tk_OAW,MATCH(249,tk_FSEQ,0)),"0.000")&amp;" x "&amp;TEXT(INDEX(tk_OAH,MATCH(249,tk_FSEQ,0)),"0.000"),"")</f>
        <v/>
      </c>
      <c r="G254" s="70">
        <f>IFERROR(""&amp;INDEX(tk_FLINE,MATCH(249,tk_FSEQ,0)),"")</f>
        <v/>
      </c>
      <c r="H254" s="70">
        <f>IFERROR(""&amp;INDEX(tk_FNOTES,MATCH(249,tk_FSEQ,0)),"")</f>
        <v/>
      </c>
    </row>
    <row r="255">
      <c r="A255" s="70">
        <f>IFERROR(""&amp;INDEX(tk_MARK,MATCH(250,tk_FSEQ,0)),"")</f>
        <v/>
      </c>
      <c r="B255" s="70">
        <f>IFERROR(INDEX(tk_QTY,MATCH(250,tk_FSEQ,0)),"")</f>
        <v/>
      </c>
      <c r="C255" s="70">
        <f>IFERROR(INDEX(tk_ROOMF,MATCH(250,tk_FSEQ,0))&amp;IF(INDEX(tk_ROOMT,MATCH(250,tk_FSEQ,0))="",""," → "&amp;INDEX(tk_ROOMT,MATCH(250,tk_FSEQ,0))),"")</f>
        <v/>
      </c>
      <c r="D255" s="70">
        <f>IFERROR(""&amp;INDEX(tk_SIZE,MATCH(250,tk_FSEQ,0)),"")</f>
        <v/>
      </c>
      <c r="E255" s="70">
        <f>IFERROR(""&amp;INDEX(tk_RATING,MATCH(250,tk_FSEQ,0)),"")</f>
        <v/>
      </c>
      <c r="F255" s="70">
        <f>IFERROR(TEXT(INDEX(tk_OAW,MATCH(250,tk_FSEQ,0)),"0.000")&amp;" x "&amp;TEXT(INDEX(tk_OAH,MATCH(250,tk_FSEQ,0)),"0.000"),"")</f>
        <v/>
      </c>
      <c r="G255" s="70">
        <f>IFERROR(""&amp;INDEX(tk_FLINE,MATCH(250,tk_FSEQ,0)),"")</f>
        <v/>
      </c>
      <c r="H255" s="70">
        <f>IFERROR(""&amp;INDEX(tk_FNOTES,MATCH(250,tk_FSEQ,0)),"")</f>
        <v/>
      </c>
    </row>
    <row r="256">
      <c r="A256" s="70">
        <f>IFERROR(""&amp;INDEX(tk_MARK,MATCH(251,tk_FSEQ,0)),"")</f>
        <v/>
      </c>
      <c r="B256" s="70">
        <f>IFERROR(INDEX(tk_QTY,MATCH(251,tk_FSEQ,0)),"")</f>
        <v/>
      </c>
      <c r="C256" s="70">
        <f>IFERROR(INDEX(tk_ROOMF,MATCH(251,tk_FSEQ,0))&amp;IF(INDEX(tk_ROOMT,MATCH(251,tk_FSEQ,0))="",""," → "&amp;INDEX(tk_ROOMT,MATCH(251,tk_FSEQ,0))),"")</f>
        <v/>
      </c>
      <c r="D256" s="70">
        <f>IFERROR(""&amp;INDEX(tk_SIZE,MATCH(251,tk_FSEQ,0)),"")</f>
        <v/>
      </c>
      <c r="E256" s="70">
        <f>IFERROR(""&amp;INDEX(tk_RATING,MATCH(251,tk_FSEQ,0)),"")</f>
        <v/>
      </c>
      <c r="F256" s="70">
        <f>IFERROR(TEXT(INDEX(tk_OAW,MATCH(251,tk_FSEQ,0)),"0.000")&amp;" x "&amp;TEXT(INDEX(tk_OAH,MATCH(251,tk_FSEQ,0)),"0.000"),"")</f>
        <v/>
      </c>
      <c r="G256" s="70">
        <f>IFERROR(""&amp;INDEX(tk_FLINE,MATCH(251,tk_FSEQ,0)),"")</f>
        <v/>
      </c>
      <c r="H256" s="70">
        <f>IFERROR(""&amp;INDEX(tk_FNOTES,MATCH(251,tk_FSEQ,0)),"")</f>
        <v/>
      </c>
    </row>
    <row r="257">
      <c r="A257" s="70">
        <f>IFERROR(""&amp;INDEX(tk_MARK,MATCH(252,tk_FSEQ,0)),"")</f>
        <v/>
      </c>
      <c r="B257" s="70">
        <f>IFERROR(INDEX(tk_QTY,MATCH(252,tk_FSEQ,0)),"")</f>
        <v/>
      </c>
      <c r="C257" s="70">
        <f>IFERROR(INDEX(tk_ROOMF,MATCH(252,tk_FSEQ,0))&amp;IF(INDEX(tk_ROOMT,MATCH(252,tk_FSEQ,0))="",""," → "&amp;INDEX(tk_ROOMT,MATCH(252,tk_FSEQ,0))),"")</f>
        <v/>
      </c>
      <c r="D257" s="70">
        <f>IFERROR(""&amp;INDEX(tk_SIZE,MATCH(252,tk_FSEQ,0)),"")</f>
        <v/>
      </c>
      <c r="E257" s="70">
        <f>IFERROR(""&amp;INDEX(tk_RATING,MATCH(252,tk_FSEQ,0)),"")</f>
        <v/>
      </c>
      <c r="F257" s="70">
        <f>IFERROR(TEXT(INDEX(tk_OAW,MATCH(252,tk_FSEQ,0)),"0.000")&amp;" x "&amp;TEXT(INDEX(tk_OAH,MATCH(252,tk_FSEQ,0)),"0.000"),"")</f>
        <v/>
      </c>
      <c r="G257" s="70">
        <f>IFERROR(""&amp;INDEX(tk_FLINE,MATCH(252,tk_FSEQ,0)),"")</f>
        <v/>
      </c>
      <c r="H257" s="70">
        <f>IFERROR(""&amp;INDEX(tk_FNOTES,MATCH(252,tk_FSEQ,0)),"")</f>
        <v/>
      </c>
    </row>
    <row r="258">
      <c r="A258" s="70">
        <f>IFERROR(""&amp;INDEX(tk_MARK,MATCH(253,tk_FSEQ,0)),"")</f>
        <v/>
      </c>
      <c r="B258" s="70">
        <f>IFERROR(INDEX(tk_QTY,MATCH(253,tk_FSEQ,0)),"")</f>
        <v/>
      </c>
      <c r="C258" s="70">
        <f>IFERROR(INDEX(tk_ROOMF,MATCH(253,tk_FSEQ,0))&amp;IF(INDEX(tk_ROOMT,MATCH(253,tk_FSEQ,0))="",""," → "&amp;INDEX(tk_ROOMT,MATCH(253,tk_FSEQ,0))),"")</f>
        <v/>
      </c>
      <c r="D258" s="70">
        <f>IFERROR(""&amp;INDEX(tk_SIZE,MATCH(253,tk_FSEQ,0)),"")</f>
        <v/>
      </c>
      <c r="E258" s="70">
        <f>IFERROR(""&amp;INDEX(tk_RATING,MATCH(253,tk_FSEQ,0)),"")</f>
        <v/>
      </c>
      <c r="F258" s="70">
        <f>IFERROR(TEXT(INDEX(tk_OAW,MATCH(253,tk_FSEQ,0)),"0.000")&amp;" x "&amp;TEXT(INDEX(tk_OAH,MATCH(253,tk_FSEQ,0)),"0.000"),"")</f>
        <v/>
      </c>
      <c r="G258" s="70">
        <f>IFERROR(""&amp;INDEX(tk_FLINE,MATCH(253,tk_FSEQ,0)),"")</f>
        <v/>
      </c>
      <c r="H258" s="70">
        <f>IFERROR(""&amp;INDEX(tk_FNOTES,MATCH(253,tk_FSEQ,0)),"")</f>
        <v/>
      </c>
    </row>
    <row r="259">
      <c r="A259" s="70">
        <f>IFERROR(""&amp;INDEX(tk_MARK,MATCH(254,tk_FSEQ,0)),"")</f>
        <v/>
      </c>
      <c r="B259" s="70">
        <f>IFERROR(INDEX(tk_QTY,MATCH(254,tk_FSEQ,0)),"")</f>
        <v/>
      </c>
      <c r="C259" s="70">
        <f>IFERROR(INDEX(tk_ROOMF,MATCH(254,tk_FSEQ,0))&amp;IF(INDEX(tk_ROOMT,MATCH(254,tk_FSEQ,0))="",""," → "&amp;INDEX(tk_ROOMT,MATCH(254,tk_FSEQ,0))),"")</f>
        <v/>
      </c>
      <c r="D259" s="70">
        <f>IFERROR(""&amp;INDEX(tk_SIZE,MATCH(254,tk_FSEQ,0)),"")</f>
        <v/>
      </c>
      <c r="E259" s="70">
        <f>IFERROR(""&amp;INDEX(tk_RATING,MATCH(254,tk_FSEQ,0)),"")</f>
        <v/>
      </c>
      <c r="F259" s="70">
        <f>IFERROR(TEXT(INDEX(tk_OAW,MATCH(254,tk_FSEQ,0)),"0.000")&amp;" x "&amp;TEXT(INDEX(tk_OAH,MATCH(254,tk_FSEQ,0)),"0.000"),"")</f>
        <v/>
      </c>
      <c r="G259" s="70">
        <f>IFERROR(""&amp;INDEX(tk_FLINE,MATCH(254,tk_FSEQ,0)),"")</f>
        <v/>
      </c>
      <c r="H259" s="70">
        <f>IFERROR(""&amp;INDEX(tk_FNOTES,MATCH(254,tk_FSEQ,0)),"")</f>
        <v/>
      </c>
    </row>
    <row r="260">
      <c r="A260" s="70">
        <f>IFERROR(""&amp;INDEX(tk_MARK,MATCH(255,tk_FSEQ,0)),"")</f>
        <v/>
      </c>
      <c r="B260" s="70">
        <f>IFERROR(INDEX(tk_QTY,MATCH(255,tk_FSEQ,0)),"")</f>
        <v/>
      </c>
      <c r="C260" s="70">
        <f>IFERROR(INDEX(tk_ROOMF,MATCH(255,tk_FSEQ,0))&amp;IF(INDEX(tk_ROOMT,MATCH(255,tk_FSEQ,0))="",""," → "&amp;INDEX(tk_ROOMT,MATCH(255,tk_FSEQ,0))),"")</f>
        <v/>
      </c>
      <c r="D260" s="70">
        <f>IFERROR(""&amp;INDEX(tk_SIZE,MATCH(255,tk_FSEQ,0)),"")</f>
        <v/>
      </c>
      <c r="E260" s="70">
        <f>IFERROR(""&amp;INDEX(tk_RATING,MATCH(255,tk_FSEQ,0)),"")</f>
        <v/>
      </c>
      <c r="F260" s="70">
        <f>IFERROR(TEXT(INDEX(tk_OAW,MATCH(255,tk_FSEQ,0)),"0.000")&amp;" x "&amp;TEXT(INDEX(tk_OAH,MATCH(255,tk_FSEQ,0)),"0.000"),"")</f>
        <v/>
      </c>
      <c r="G260" s="70">
        <f>IFERROR(""&amp;INDEX(tk_FLINE,MATCH(255,tk_FSEQ,0)),"")</f>
        <v/>
      </c>
      <c r="H260" s="70">
        <f>IFERROR(""&amp;INDEX(tk_FNOTES,MATCH(255,tk_FSEQ,0)),"")</f>
        <v/>
      </c>
    </row>
    <row r="261">
      <c r="A261" s="70">
        <f>IFERROR(""&amp;INDEX(tk_MARK,MATCH(256,tk_FSEQ,0)),"")</f>
        <v/>
      </c>
      <c r="B261" s="70">
        <f>IFERROR(INDEX(tk_QTY,MATCH(256,tk_FSEQ,0)),"")</f>
        <v/>
      </c>
      <c r="C261" s="70">
        <f>IFERROR(INDEX(tk_ROOMF,MATCH(256,tk_FSEQ,0))&amp;IF(INDEX(tk_ROOMT,MATCH(256,tk_FSEQ,0))="",""," → "&amp;INDEX(tk_ROOMT,MATCH(256,tk_FSEQ,0))),"")</f>
        <v/>
      </c>
      <c r="D261" s="70">
        <f>IFERROR(""&amp;INDEX(tk_SIZE,MATCH(256,tk_FSEQ,0)),"")</f>
        <v/>
      </c>
      <c r="E261" s="70">
        <f>IFERROR(""&amp;INDEX(tk_RATING,MATCH(256,tk_FSEQ,0)),"")</f>
        <v/>
      </c>
      <c r="F261" s="70">
        <f>IFERROR(TEXT(INDEX(tk_OAW,MATCH(256,tk_FSEQ,0)),"0.000")&amp;" x "&amp;TEXT(INDEX(tk_OAH,MATCH(256,tk_FSEQ,0)),"0.000"),"")</f>
        <v/>
      </c>
      <c r="G261" s="70">
        <f>IFERROR(""&amp;INDEX(tk_FLINE,MATCH(256,tk_FSEQ,0)),"")</f>
        <v/>
      </c>
      <c r="H261" s="70">
        <f>IFERROR(""&amp;INDEX(tk_FNOTES,MATCH(256,tk_FSEQ,0)),"")</f>
        <v/>
      </c>
    </row>
    <row r="262">
      <c r="A262" s="70">
        <f>IFERROR(""&amp;INDEX(tk_MARK,MATCH(257,tk_FSEQ,0)),"")</f>
        <v/>
      </c>
      <c r="B262" s="70">
        <f>IFERROR(INDEX(tk_QTY,MATCH(257,tk_FSEQ,0)),"")</f>
        <v/>
      </c>
      <c r="C262" s="70">
        <f>IFERROR(INDEX(tk_ROOMF,MATCH(257,tk_FSEQ,0))&amp;IF(INDEX(tk_ROOMT,MATCH(257,tk_FSEQ,0))="",""," → "&amp;INDEX(tk_ROOMT,MATCH(257,tk_FSEQ,0))),"")</f>
        <v/>
      </c>
      <c r="D262" s="70">
        <f>IFERROR(""&amp;INDEX(tk_SIZE,MATCH(257,tk_FSEQ,0)),"")</f>
        <v/>
      </c>
      <c r="E262" s="70">
        <f>IFERROR(""&amp;INDEX(tk_RATING,MATCH(257,tk_FSEQ,0)),"")</f>
        <v/>
      </c>
      <c r="F262" s="70">
        <f>IFERROR(TEXT(INDEX(tk_OAW,MATCH(257,tk_FSEQ,0)),"0.000")&amp;" x "&amp;TEXT(INDEX(tk_OAH,MATCH(257,tk_FSEQ,0)),"0.000"),"")</f>
        <v/>
      </c>
      <c r="G262" s="70">
        <f>IFERROR(""&amp;INDEX(tk_FLINE,MATCH(257,tk_FSEQ,0)),"")</f>
        <v/>
      </c>
      <c r="H262" s="70">
        <f>IFERROR(""&amp;INDEX(tk_FNOTES,MATCH(257,tk_FSEQ,0)),"")</f>
        <v/>
      </c>
    </row>
    <row r="263">
      <c r="A263" s="70">
        <f>IFERROR(""&amp;INDEX(tk_MARK,MATCH(258,tk_FSEQ,0)),"")</f>
        <v/>
      </c>
      <c r="B263" s="70">
        <f>IFERROR(INDEX(tk_QTY,MATCH(258,tk_FSEQ,0)),"")</f>
        <v/>
      </c>
      <c r="C263" s="70">
        <f>IFERROR(INDEX(tk_ROOMF,MATCH(258,tk_FSEQ,0))&amp;IF(INDEX(tk_ROOMT,MATCH(258,tk_FSEQ,0))="",""," → "&amp;INDEX(tk_ROOMT,MATCH(258,tk_FSEQ,0))),"")</f>
        <v/>
      </c>
      <c r="D263" s="70">
        <f>IFERROR(""&amp;INDEX(tk_SIZE,MATCH(258,tk_FSEQ,0)),"")</f>
        <v/>
      </c>
      <c r="E263" s="70">
        <f>IFERROR(""&amp;INDEX(tk_RATING,MATCH(258,tk_FSEQ,0)),"")</f>
        <v/>
      </c>
      <c r="F263" s="70">
        <f>IFERROR(TEXT(INDEX(tk_OAW,MATCH(258,tk_FSEQ,0)),"0.000")&amp;" x "&amp;TEXT(INDEX(tk_OAH,MATCH(258,tk_FSEQ,0)),"0.000"),"")</f>
        <v/>
      </c>
      <c r="G263" s="70">
        <f>IFERROR(""&amp;INDEX(tk_FLINE,MATCH(258,tk_FSEQ,0)),"")</f>
        <v/>
      </c>
      <c r="H263" s="70">
        <f>IFERROR(""&amp;INDEX(tk_FNOTES,MATCH(258,tk_FSEQ,0)),"")</f>
        <v/>
      </c>
    </row>
    <row r="264">
      <c r="A264" s="70">
        <f>IFERROR(""&amp;INDEX(tk_MARK,MATCH(259,tk_FSEQ,0)),"")</f>
        <v/>
      </c>
      <c r="B264" s="70">
        <f>IFERROR(INDEX(tk_QTY,MATCH(259,tk_FSEQ,0)),"")</f>
        <v/>
      </c>
      <c r="C264" s="70">
        <f>IFERROR(INDEX(tk_ROOMF,MATCH(259,tk_FSEQ,0))&amp;IF(INDEX(tk_ROOMT,MATCH(259,tk_FSEQ,0))="",""," → "&amp;INDEX(tk_ROOMT,MATCH(259,tk_FSEQ,0))),"")</f>
        <v/>
      </c>
      <c r="D264" s="70">
        <f>IFERROR(""&amp;INDEX(tk_SIZE,MATCH(259,tk_FSEQ,0)),"")</f>
        <v/>
      </c>
      <c r="E264" s="70">
        <f>IFERROR(""&amp;INDEX(tk_RATING,MATCH(259,tk_FSEQ,0)),"")</f>
        <v/>
      </c>
      <c r="F264" s="70">
        <f>IFERROR(TEXT(INDEX(tk_OAW,MATCH(259,tk_FSEQ,0)),"0.000")&amp;" x "&amp;TEXT(INDEX(tk_OAH,MATCH(259,tk_FSEQ,0)),"0.000"),"")</f>
        <v/>
      </c>
      <c r="G264" s="70">
        <f>IFERROR(""&amp;INDEX(tk_FLINE,MATCH(259,tk_FSEQ,0)),"")</f>
        <v/>
      </c>
      <c r="H264" s="70">
        <f>IFERROR(""&amp;INDEX(tk_FNOTES,MATCH(259,tk_FSEQ,0)),"")</f>
        <v/>
      </c>
    </row>
    <row r="265">
      <c r="A265" s="70">
        <f>IFERROR(""&amp;INDEX(tk_MARK,MATCH(260,tk_FSEQ,0)),"")</f>
        <v/>
      </c>
      <c r="B265" s="70">
        <f>IFERROR(INDEX(tk_QTY,MATCH(260,tk_FSEQ,0)),"")</f>
        <v/>
      </c>
      <c r="C265" s="70">
        <f>IFERROR(INDEX(tk_ROOMF,MATCH(260,tk_FSEQ,0))&amp;IF(INDEX(tk_ROOMT,MATCH(260,tk_FSEQ,0))="",""," → "&amp;INDEX(tk_ROOMT,MATCH(260,tk_FSEQ,0))),"")</f>
        <v/>
      </c>
      <c r="D265" s="70">
        <f>IFERROR(""&amp;INDEX(tk_SIZE,MATCH(260,tk_FSEQ,0)),"")</f>
        <v/>
      </c>
      <c r="E265" s="70">
        <f>IFERROR(""&amp;INDEX(tk_RATING,MATCH(260,tk_FSEQ,0)),"")</f>
        <v/>
      </c>
      <c r="F265" s="70">
        <f>IFERROR(TEXT(INDEX(tk_OAW,MATCH(260,tk_FSEQ,0)),"0.000")&amp;" x "&amp;TEXT(INDEX(tk_OAH,MATCH(260,tk_FSEQ,0)),"0.000"),"")</f>
        <v/>
      </c>
      <c r="G265" s="70">
        <f>IFERROR(""&amp;INDEX(tk_FLINE,MATCH(260,tk_FSEQ,0)),"")</f>
        <v/>
      </c>
      <c r="H265" s="70">
        <f>IFERROR(""&amp;INDEX(tk_FNOTES,MATCH(260,tk_FSEQ,0)),"")</f>
        <v/>
      </c>
    </row>
    <row r="266">
      <c r="A266" s="70">
        <f>IFERROR(""&amp;INDEX(tk_MARK,MATCH(261,tk_FSEQ,0)),"")</f>
        <v/>
      </c>
      <c r="B266" s="70">
        <f>IFERROR(INDEX(tk_QTY,MATCH(261,tk_FSEQ,0)),"")</f>
        <v/>
      </c>
      <c r="C266" s="70">
        <f>IFERROR(INDEX(tk_ROOMF,MATCH(261,tk_FSEQ,0))&amp;IF(INDEX(tk_ROOMT,MATCH(261,tk_FSEQ,0))="",""," → "&amp;INDEX(tk_ROOMT,MATCH(261,tk_FSEQ,0))),"")</f>
        <v/>
      </c>
      <c r="D266" s="70">
        <f>IFERROR(""&amp;INDEX(tk_SIZE,MATCH(261,tk_FSEQ,0)),"")</f>
        <v/>
      </c>
      <c r="E266" s="70">
        <f>IFERROR(""&amp;INDEX(tk_RATING,MATCH(261,tk_FSEQ,0)),"")</f>
        <v/>
      </c>
      <c r="F266" s="70">
        <f>IFERROR(TEXT(INDEX(tk_OAW,MATCH(261,tk_FSEQ,0)),"0.000")&amp;" x "&amp;TEXT(INDEX(tk_OAH,MATCH(261,tk_FSEQ,0)),"0.000"),"")</f>
        <v/>
      </c>
      <c r="G266" s="70">
        <f>IFERROR(""&amp;INDEX(tk_FLINE,MATCH(261,tk_FSEQ,0)),"")</f>
        <v/>
      </c>
      <c r="H266" s="70">
        <f>IFERROR(""&amp;INDEX(tk_FNOTES,MATCH(261,tk_FSEQ,0)),"")</f>
        <v/>
      </c>
    </row>
    <row r="267">
      <c r="A267" s="70">
        <f>IFERROR(""&amp;INDEX(tk_MARK,MATCH(262,tk_FSEQ,0)),"")</f>
        <v/>
      </c>
      <c r="B267" s="70">
        <f>IFERROR(INDEX(tk_QTY,MATCH(262,tk_FSEQ,0)),"")</f>
        <v/>
      </c>
      <c r="C267" s="70">
        <f>IFERROR(INDEX(tk_ROOMF,MATCH(262,tk_FSEQ,0))&amp;IF(INDEX(tk_ROOMT,MATCH(262,tk_FSEQ,0))="",""," → "&amp;INDEX(tk_ROOMT,MATCH(262,tk_FSEQ,0))),"")</f>
        <v/>
      </c>
      <c r="D267" s="70">
        <f>IFERROR(""&amp;INDEX(tk_SIZE,MATCH(262,tk_FSEQ,0)),"")</f>
        <v/>
      </c>
      <c r="E267" s="70">
        <f>IFERROR(""&amp;INDEX(tk_RATING,MATCH(262,tk_FSEQ,0)),"")</f>
        <v/>
      </c>
      <c r="F267" s="70">
        <f>IFERROR(TEXT(INDEX(tk_OAW,MATCH(262,tk_FSEQ,0)),"0.000")&amp;" x "&amp;TEXT(INDEX(tk_OAH,MATCH(262,tk_FSEQ,0)),"0.000"),"")</f>
        <v/>
      </c>
      <c r="G267" s="70">
        <f>IFERROR(""&amp;INDEX(tk_FLINE,MATCH(262,tk_FSEQ,0)),"")</f>
        <v/>
      </c>
      <c r="H267" s="70">
        <f>IFERROR(""&amp;INDEX(tk_FNOTES,MATCH(262,tk_FSEQ,0)),"")</f>
        <v/>
      </c>
    </row>
    <row r="268">
      <c r="A268" s="70">
        <f>IFERROR(""&amp;INDEX(tk_MARK,MATCH(263,tk_FSEQ,0)),"")</f>
        <v/>
      </c>
      <c r="B268" s="70">
        <f>IFERROR(INDEX(tk_QTY,MATCH(263,tk_FSEQ,0)),"")</f>
        <v/>
      </c>
      <c r="C268" s="70">
        <f>IFERROR(INDEX(tk_ROOMF,MATCH(263,tk_FSEQ,0))&amp;IF(INDEX(tk_ROOMT,MATCH(263,tk_FSEQ,0))="",""," → "&amp;INDEX(tk_ROOMT,MATCH(263,tk_FSEQ,0))),"")</f>
        <v/>
      </c>
      <c r="D268" s="70">
        <f>IFERROR(""&amp;INDEX(tk_SIZE,MATCH(263,tk_FSEQ,0)),"")</f>
        <v/>
      </c>
      <c r="E268" s="70">
        <f>IFERROR(""&amp;INDEX(tk_RATING,MATCH(263,tk_FSEQ,0)),"")</f>
        <v/>
      </c>
      <c r="F268" s="70">
        <f>IFERROR(TEXT(INDEX(tk_OAW,MATCH(263,tk_FSEQ,0)),"0.000")&amp;" x "&amp;TEXT(INDEX(tk_OAH,MATCH(263,tk_FSEQ,0)),"0.000"),"")</f>
        <v/>
      </c>
      <c r="G268" s="70">
        <f>IFERROR(""&amp;INDEX(tk_FLINE,MATCH(263,tk_FSEQ,0)),"")</f>
        <v/>
      </c>
      <c r="H268" s="70">
        <f>IFERROR(""&amp;INDEX(tk_FNOTES,MATCH(263,tk_FSEQ,0)),"")</f>
        <v/>
      </c>
    </row>
    <row r="269">
      <c r="A269" s="70">
        <f>IFERROR(""&amp;INDEX(tk_MARK,MATCH(264,tk_FSEQ,0)),"")</f>
        <v/>
      </c>
      <c r="B269" s="70">
        <f>IFERROR(INDEX(tk_QTY,MATCH(264,tk_FSEQ,0)),"")</f>
        <v/>
      </c>
      <c r="C269" s="70">
        <f>IFERROR(INDEX(tk_ROOMF,MATCH(264,tk_FSEQ,0))&amp;IF(INDEX(tk_ROOMT,MATCH(264,tk_FSEQ,0))="",""," → "&amp;INDEX(tk_ROOMT,MATCH(264,tk_FSEQ,0))),"")</f>
        <v/>
      </c>
      <c r="D269" s="70">
        <f>IFERROR(""&amp;INDEX(tk_SIZE,MATCH(264,tk_FSEQ,0)),"")</f>
        <v/>
      </c>
      <c r="E269" s="70">
        <f>IFERROR(""&amp;INDEX(tk_RATING,MATCH(264,tk_FSEQ,0)),"")</f>
        <v/>
      </c>
      <c r="F269" s="70">
        <f>IFERROR(TEXT(INDEX(tk_OAW,MATCH(264,tk_FSEQ,0)),"0.000")&amp;" x "&amp;TEXT(INDEX(tk_OAH,MATCH(264,tk_FSEQ,0)),"0.000"),"")</f>
        <v/>
      </c>
      <c r="G269" s="70">
        <f>IFERROR(""&amp;INDEX(tk_FLINE,MATCH(264,tk_FSEQ,0)),"")</f>
        <v/>
      </c>
      <c r="H269" s="70">
        <f>IFERROR(""&amp;INDEX(tk_FNOTES,MATCH(264,tk_FSEQ,0)),"")</f>
        <v/>
      </c>
    </row>
    <row r="270">
      <c r="A270" s="70">
        <f>IFERROR(""&amp;INDEX(tk_MARK,MATCH(265,tk_FSEQ,0)),"")</f>
        <v/>
      </c>
      <c r="B270" s="70">
        <f>IFERROR(INDEX(tk_QTY,MATCH(265,tk_FSEQ,0)),"")</f>
        <v/>
      </c>
      <c r="C270" s="70">
        <f>IFERROR(INDEX(tk_ROOMF,MATCH(265,tk_FSEQ,0))&amp;IF(INDEX(tk_ROOMT,MATCH(265,tk_FSEQ,0))="",""," → "&amp;INDEX(tk_ROOMT,MATCH(265,tk_FSEQ,0))),"")</f>
        <v/>
      </c>
      <c r="D270" s="70">
        <f>IFERROR(""&amp;INDEX(tk_SIZE,MATCH(265,tk_FSEQ,0)),"")</f>
        <v/>
      </c>
      <c r="E270" s="70">
        <f>IFERROR(""&amp;INDEX(tk_RATING,MATCH(265,tk_FSEQ,0)),"")</f>
        <v/>
      </c>
      <c r="F270" s="70">
        <f>IFERROR(TEXT(INDEX(tk_OAW,MATCH(265,tk_FSEQ,0)),"0.000")&amp;" x "&amp;TEXT(INDEX(tk_OAH,MATCH(265,tk_FSEQ,0)),"0.000"),"")</f>
        <v/>
      </c>
      <c r="G270" s="70">
        <f>IFERROR(""&amp;INDEX(tk_FLINE,MATCH(265,tk_FSEQ,0)),"")</f>
        <v/>
      </c>
      <c r="H270" s="70">
        <f>IFERROR(""&amp;INDEX(tk_FNOTES,MATCH(265,tk_FSEQ,0)),"")</f>
        <v/>
      </c>
    </row>
    <row r="271">
      <c r="A271" s="70">
        <f>IFERROR(""&amp;INDEX(tk_MARK,MATCH(266,tk_FSEQ,0)),"")</f>
        <v/>
      </c>
      <c r="B271" s="70">
        <f>IFERROR(INDEX(tk_QTY,MATCH(266,tk_FSEQ,0)),"")</f>
        <v/>
      </c>
      <c r="C271" s="70">
        <f>IFERROR(INDEX(tk_ROOMF,MATCH(266,tk_FSEQ,0))&amp;IF(INDEX(tk_ROOMT,MATCH(266,tk_FSEQ,0))="",""," → "&amp;INDEX(tk_ROOMT,MATCH(266,tk_FSEQ,0))),"")</f>
        <v/>
      </c>
      <c r="D271" s="70">
        <f>IFERROR(""&amp;INDEX(tk_SIZE,MATCH(266,tk_FSEQ,0)),"")</f>
        <v/>
      </c>
      <c r="E271" s="70">
        <f>IFERROR(""&amp;INDEX(tk_RATING,MATCH(266,tk_FSEQ,0)),"")</f>
        <v/>
      </c>
      <c r="F271" s="70">
        <f>IFERROR(TEXT(INDEX(tk_OAW,MATCH(266,tk_FSEQ,0)),"0.000")&amp;" x "&amp;TEXT(INDEX(tk_OAH,MATCH(266,tk_FSEQ,0)),"0.000"),"")</f>
        <v/>
      </c>
      <c r="G271" s="70">
        <f>IFERROR(""&amp;INDEX(tk_FLINE,MATCH(266,tk_FSEQ,0)),"")</f>
        <v/>
      </c>
      <c r="H271" s="70">
        <f>IFERROR(""&amp;INDEX(tk_FNOTES,MATCH(266,tk_FSEQ,0)),"")</f>
        <v/>
      </c>
    </row>
    <row r="272">
      <c r="A272" s="70">
        <f>IFERROR(""&amp;INDEX(tk_MARK,MATCH(267,tk_FSEQ,0)),"")</f>
        <v/>
      </c>
      <c r="B272" s="70">
        <f>IFERROR(INDEX(tk_QTY,MATCH(267,tk_FSEQ,0)),"")</f>
        <v/>
      </c>
      <c r="C272" s="70">
        <f>IFERROR(INDEX(tk_ROOMF,MATCH(267,tk_FSEQ,0))&amp;IF(INDEX(tk_ROOMT,MATCH(267,tk_FSEQ,0))="",""," → "&amp;INDEX(tk_ROOMT,MATCH(267,tk_FSEQ,0))),"")</f>
        <v/>
      </c>
      <c r="D272" s="70">
        <f>IFERROR(""&amp;INDEX(tk_SIZE,MATCH(267,tk_FSEQ,0)),"")</f>
        <v/>
      </c>
      <c r="E272" s="70">
        <f>IFERROR(""&amp;INDEX(tk_RATING,MATCH(267,tk_FSEQ,0)),"")</f>
        <v/>
      </c>
      <c r="F272" s="70">
        <f>IFERROR(TEXT(INDEX(tk_OAW,MATCH(267,tk_FSEQ,0)),"0.000")&amp;" x "&amp;TEXT(INDEX(tk_OAH,MATCH(267,tk_FSEQ,0)),"0.000"),"")</f>
        <v/>
      </c>
      <c r="G272" s="70">
        <f>IFERROR(""&amp;INDEX(tk_FLINE,MATCH(267,tk_FSEQ,0)),"")</f>
        <v/>
      </c>
      <c r="H272" s="70">
        <f>IFERROR(""&amp;INDEX(tk_FNOTES,MATCH(267,tk_FSEQ,0)),"")</f>
        <v/>
      </c>
    </row>
    <row r="273">
      <c r="A273" s="70">
        <f>IFERROR(""&amp;INDEX(tk_MARK,MATCH(268,tk_FSEQ,0)),"")</f>
        <v/>
      </c>
      <c r="B273" s="70">
        <f>IFERROR(INDEX(tk_QTY,MATCH(268,tk_FSEQ,0)),"")</f>
        <v/>
      </c>
      <c r="C273" s="70">
        <f>IFERROR(INDEX(tk_ROOMF,MATCH(268,tk_FSEQ,0))&amp;IF(INDEX(tk_ROOMT,MATCH(268,tk_FSEQ,0))="",""," → "&amp;INDEX(tk_ROOMT,MATCH(268,tk_FSEQ,0))),"")</f>
        <v/>
      </c>
      <c r="D273" s="70">
        <f>IFERROR(""&amp;INDEX(tk_SIZE,MATCH(268,tk_FSEQ,0)),"")</f>
        <v/>
      </c>
      <c r="E273" s="70">
        <f>IFERROR(""&amp;INDEX(tk_RATING,MATCH(268,tk_FSEQ,0)),"")</f>
        <v/>
      </c>
      <c r="F273" s="70">
        <f>IFERROR(TEXT(INDEX(tk_OAW,MATCH(268,tk_FSEQ,0)),"0.000")&amp;" x "&amp;TEXT(INDEX(tk_OAH,MATCH(268,tk_FSEQ,0)),"0.000"),"")</f>
        <v/>
      </c>
      <c r="G273" s="70">
        <f>IFERROR(""&amp;INDEX(tk_FLINE,MATCH(268,tk_FSEQ,0)),"")</f>
        <v/>
      </c>
      <c r="H273" s="70">
        <f>IFERROR(""&amp;INDEX(tk_FNOTES,MATCH(268,tk_FSEQ,0)),"")</f>
        <v/>
      </c>
    </row>
    <row r="274">
      <c r="A274" s="70">
        <f>IFERROR(""&amp;INDEX(tk_MARK,MATCH(269,tk_FSEQ,0)),"")</f>
        <v/>
      </c>
      <c r="B274" s="70">
        <f>IFERROR(INDEX(tk_QTY,MATCH(269,tk_FSEQ,0)),"")</f>
        <v/>
      </c>
      <c r="C274" s="70">
        <f>IFERROR(INDEX(tk_ROOMF,MATCH(269,tk_FSEQ,0))&amp;IF(INDEX(tk_ROOMT,MATCH(269,tk_FSEQ,0))="",""," → "&amp;INDEX(tk_ROOMT,MATCH(269,tk_FSEQ,0))),"")</f>
        <v/>
      </c>
      <c r="D274" s="70">
        <f>IFERROR(""&amp;INDEX(tk_SIZE,MATCH(269,tk_FSEQ,0)),"")</f>
        <v/>
      </c>
      <c r="E274" s="70">
        <f>IFERROR(""&amp;INDEX(tk_RATING,MATCH(269,tk_FSEQ,0)),"")</f>
        <v/>
      </c>
      <c r="F274" s="70">
        <f>IFERROR(TEXT(INDEX(tk_OAW,MATCH(269,tk_FSEQ,0)),"0.000")&amp;" x "&amp;TEXT(INDEX(tk_OAH,MATCH(269,tk_FSEQ,0)),"0.000"),"")</f>
        <v/>
      </c>
      <c r="G274" s="70">
        <f>IFERROR(""&amp;INDEX(tk_FLINE,MATCH(269,tk_FSEQ,0)),"")</f>
        <v/>
      </c>
      <c r="H274" s="70">
        <f>IFERROR(""&amp;INDEX(tk_FNOTES,MATCH(269,tk_FSEQ,0)),"")</f>
        <v/>
      </c>
    </row>
    <row r="275">
      <c r="A275" s="70">
        <f>IFERROR(""&amp;INDEX(tk_MARK,MATCH(270,tk_FSEQ,0)),"")</f>
        <v/>
      </c>
      <c r="B275" s="70">
        <f>IFERROR(INDEX(tk_QTY,MATCH(270,tk_FSEQ,0)),"")</f>
        <v/>
      </c>
      <c r="C275" s="70">
        <f>IFERROR(INDEX(tk_ROOMF,MATCH(270,tk_FSEQ,0))&amp;IF(INDEX(tk_ROOMT,MATCH(270,tk_FSEQ,0))="",""," → "&amp;INDEX(tk_ROOMT,MATCH(270,tk_FSEQ,0))),"")</f>
        <v/>
      </c>
      <c r="D275" s="70">
        <f>IFERROR(""&amp;INDEX(tk_SIZE,MATCH(270,tk_FSEQ,0)),"")</f>
        <v/>
      </c>
      <c r="E275" s="70">
        <f>IFERROR(""&amp;INDEX(tk_RATING,MATCH(270,tk_FSEQ,0)),"")</f>
        <v/>
      </c>
      <c r="F275" s="70">
        <f>IFERROR(TEXT(INDEX(tk_OAW,MATCH(270,tk_FSEQ,0)),"0.000")&amp;" x "&amp;TEXT(INDEX(tk_OAH,MATCH(270,tk_FSEQ,0)),"0.000"),"")</f>
        <v/>
      </c>
      <c r="G275" s="70">
        <f>IFERROR(""&amp;INDEX(tk_FLINE,MATCH(270,tk_FSEQ,0)),"")</f>
        <v/>
      </c>
      <c r="H275" s="70">
        <f>IFERROR(""&amp;INDEX(tk_FNOTES,MATCH(270,tk_FSEQ,0)),"")</f>
        <v/>
      </c>
    </row>
    <row r="276">
      <c r="A276" s="70">
        <f>IFERROR(""&amp;INDEX(tk_MARK,MATCH(271,tk_FSEQ,0)),"")</f>
        <v/>
      </c>
      <c r="B276" s="70">
        <f>IFERROR(INDEX(tk_QTY,MATCH(271,tk_FSEQ,0)),"")</f>
        <v/>
      </c>
      <c r="C276" s="70">
        <f>IFERROR(INDEX(tk_ROOMF,MATCH(271,tk_FSEQ,0))&amp;IF(INDEX(tk_ROOMT,MATCH(271,tk_FSEQ,0))="",""," → "&amp;INDEX(tk_ROOMT,MATCH(271,tk_FSEQ,0))),"")</f>
        <v/>
      </c>
      <c r="D276" s="70">
        <f>IFERROR(""&amp;INDEX(tk_SIZE,MATCH(271,tk_FSEQ,0)),"")</f>
        <v/>
      </c>
      <c r="E276" s="70">
        <f>IFERROR(""&amp;INDEX(tk_RATING,MATCH(271,tk_FSEQ,0)),"")</f>
        <v/>
      </c>
      <c r="F276" s="70">
        <f>IFERROR(TEXT(INDEX(tk_OAW,MATCH(271,tk_FSEQ,0)),"0.000")&amp;" x "&amp;TEXT(INDEX(tk_OAH,MATCH(271,tk_FSEQ,0)),"0.000"),"")</f>
        <v/>
      </c>
      <c r="G276" s="70">
        <f>IFERROR(""&amp;INDEX(tk_FLINE,MATCH(271,tk_FSEQ,0)),"")</f>
        <v/>
      </c>
      <c r="H276" s="70">
        <f>IFERROR(""&amp;INDEX(tk_FNOTES,MATCH(271,tk_FSEQ,0)),"")</f>
        <v/>
      </c>
    </row>
    <row r="277">
      <c r="A277" s="70">
        <f>IFERROR(""&amp;INDEX(tk_MARK,MATCH(272,tk_FSEQ,0)),"")</f>
        <v/>
      </c>
      <c r="B277" s="70">
        <f>IFERROR(INDEX(tk_QTY,MATCH(272,tk_FSEQ,0)),"")</f>
        <v/>
      </c>
      <c r="C277" s="70">
        <f>IFERROR(INDEX(tk_ROOMF,MATCH(272,tk_FSEQ,0))&amp;IF(INDEX(tk_ROOMT,MATCH(272,tk_FSEQ,0))="",""," → "&amp;INDEX(tk_ROOMT,MATCH(272,tk_FSEQ,0))),"")</f>
        <v/>
      </c>
      <c r="D277" s="70">
        <f>IFERROR(""&amp;INDEX(tk_SIZE,MATCH(272,tk_FSEQ,0)),"")</f>
        <v/>
      </c>
      <c r="E277" s="70">
        <f>IFERROR(""&amp;INDEX(tk_RATING,MATCH(272,tk_FSEQ,0)),"")</f>
        <v/>
      </c>
      <c r="F277" s="70">
        <f>IFERROR(TEXT(INDEX(tk_OAW,MATCH(272,tk_FSEQ,0)),"0.000")&amp;" x "&amp;TEXT(INDEX(tk_OAH,MATCH(272,tk_FSEQ,0)),"0.000"),"")</f>
        <v/>
      </c>
      <c r="G277" s="70">
        <f>IFERROR(""&amp;INDEX(tk_FLINE,MATCH(272,tk_FSEQ,0)),"")</f>
        <v/>
      </c>
      <c r="H277" s="70">
        <f>IFERROR(""&amp;INDEX(tk_FNOTES,MATCH(272,tk_FSEQ,0)),"")</f>
        <v/>
      </c>
    </row>
    <row r="278">
      <c r="A278" s="70">
        <f>IFERROR(""&amp;INDEX(tk_MARK,MATCH(273,tk_FSEQ,0)),"")</f>
        <v/>
      </c>
      <c r="B278" s="70">
        <f>IFERROR(INDEX(tk_QTY,MATCH(273,tk_FSEQ,0)),"")</f>
        <v/>
      </c>
      <c r="C278" s="70">
        <f>IFERROR(INDEX(tk_ROOMF,MATCH(273,tk_FSEQ,0))&amp;IF(INDEX(tk_ROOMT,MATCH(273,tk_FSEQ,0))="",""," → "&amp;INDEX(tk_ROOMT,MATCH(273,tk_FSEQ,0))),"")</f>
        <v/>
      </c>
      <c r="D278" s="70">
        <f>IFERROR(""&amp;INDEX(tk_SIZE,MATCH(273,tk_FSEQ,0)),"")</f>
        <v/>
      </c>
      <c r="E278" s="70">
        <f>IFERROR(""&amp;INDEX(tk_RATING,MATCH(273,tk_FSEQ,0)),"")</f>
        <v/>
      </c>
      <c r="F278" s="70">
        <f>IFERROR(TEXT(INDEX(tk_OAW,MATCH(273,tk_FSEQ,0)),"0.000")&amp;" x "&amp;TEXT(INDEX(tk_OAH,MATCH(273,tk_FSEQ,0)),"0.000"),"")</f>
        <v/>
      </c>
      <c r="G278" s="70">
        <f>IFERROR(""&amp;INDEX(tk_FLINE,MATCH(273,tk_FSEQ,0)),"")</f>
        <v/>
      </c>
      <c r="H278" s="70">
        <f>IFERROR(""&amp;INDEX(tk_FNOTES,MATCH(273,tk_FSEQ,0)),"")</f>
        <v/>
      </c>
    </row>
    <row r="279">
      <c r="A279" s="70">
        <f>IFERROR(""&amp;INDEX(tk_MARK,MATCH(274,tk_FSEQ,0)),"")</f>
        <v/>
      </c>
      <c r="B279" s="70">
        <f>IFERROR(INDEX(tk_QTY,MATCH(274,tk_FSEQ,0)),"")</f>
        <v/>
      </c>
      <c r="C279" s="70">
        <f>IFERROR(INDEX(tk_ROOMF,MATCH(274,tk_FSEQ,0))&amp;IF(INDEX(tk_ROOMT,MATCH(274,tk_FSEQ,0))="",""," → "&amp;INDEX(tk_ROOMT,MATCH(274,tk_FSEQ,0))),"")</f>
        <v/>
      </c>
      <c r="D279" s="70">
        <f>IFERROR(""&amp;INDEX(tk_SIZE,MATCH(274,tk_FSEQ,0)),"")</f>
        <v/>
      </c>
      <c r="E279" s="70">
        <f>IFERROR(""&amp;INDEX(tk_RATING,MATCH(274,tk_FSEQ,0)),"")</f>
        <v/>
      </c>
      <c r="F279" s="70">
        <f>IFERROR(TEXT(INDEX(tk_OAW,MATCH(274,tk_FSEQ,0)),"0.000")&amp;" x "&amp;TEXT(INDEX(tk_OAH,MATCH(274,tk_FSEQ,0)),"0.000"),"")</f>
        <v/>
      </c>
      <c r="G279" s="70">
        <f>IFERROR(""&amp;INDEX(tk_FLINE,MATCH(274,tk_FSEQ,0)),"")</f>
        <v/>
      </c>
      <c r="H279" s="70">
        <f>IFERROR(""&amp;INDEX(tk_FNOTES,MATCH(274,tk_FSEQ,0)),"")</f>
        <v/>
      </c>
    </row>
    <row r="280">
      <c r="A280" s="70">
        <f>IFERROR(""&amp;INDEX(tk_MARK,MATCH(275,tk_FSEQ,0)),"")</f>
        <v/>
      </c>
      <c r="B280" s="70">
        <f>IFERROR(INDEX(tk_QTY,MATCH(275,tk_FSEQ,0)),"")</f>
        <v/>
      </c>
      <c r="C280" s="70">
        <f>IFERROR(INDEX(tk_ROOMF,MATCH(275,tk_FSEQ,0))&amp;IF(INDEX(tk_ROOMT,MATCH(275,tk_FSEQ,0))="",""," → "&amp;INDEX(tk_ROOMT,MATCH(275,tk_FSEQ,0))),"")</f>
        <v/>
      </c>
      <c r="D280" s="70">
        <f>IFERROR(""&amp;INDEX(tk_SIZE,MATCH(275,tk_FSEQ,0)),"")</f>
        <v/>
      </c>
      <c r="E280" s="70">
        <f>IFERROR(""&amp;INDEX(tk_RATING,MATCH(275,tk_FSEQ,0)),"")</f>
        <v/>
      </c>
      <c r="F280" s="70">
        <f>IFERROR(TEXT(INDEX(tk_OAW,MATCH(275,tk_FSEQ,0)),"0.000")&amp;" x "&amp;TEXT(INDEX(tk_OAH,MATCH(275,tk_FSEQ,0)),"0.000"),"")</f>
        <v/>
      </c>
      <c r="G280" s="70">
        <f>IFERROR(""&amp;INDEX(tk_FLINE,MATCH(275,tk_FSEQ,0)),"")</f>
        <v/>
      </c>
      <c r="H280" s="70">
        <f>IFERROR(""&amp;INDEX(tk_FNOTES,MATCH(275,tk_FSEQ,0)),"")</f>
        <v/>
      </c>
    </row>
    <row r="281">
      <c r="A281" s="70">
        <f>IFERROR(""&amp;INDEX(tk_MARK,MATCH(276,tk_FSEQ,0)),"")</f>
        <v/>
      </c>
      <c r="B281" s="70">
        <f>IFERROR(INDEX(tk_QTY,MATCH(276,tk_FSEQ,0)),"")</f>
        <v/>
      </c>
      <c r="C281" s="70">
        <f>IFERROR(INDEX(tk_ROOMF,MATCH(276,tk_FSEQ,0))&amp;IF(INDEX(tk_ROOMT,MATCH(276,tk_FSEQ,0))="",""," → "&amp;INDEX(tk_ROOMT,MATCH(276,tk_FSEQ,0))),"")</f>
        <v/>
      </c>
      <c r="D281" s="70">
        <f>IFERROR(""&amp;INDEX(tk_SIZE,MATCH(276,tk_FSEQ,0)),"")</f>
        <v/>
      </c>
      <c r="E281" s="70">
        <f>IFERROR(""&amp;INDEX(tk_RATING,MATCH(276,tk_FSEQ,0)),"")</f>
        <v/>
      </c>
      <c r="F281" s="70">
        <f>IFERROR(TEXT(INDEX(tk_OAW,MATCH(276,tk_FSEQ,0)),"0.000")&amp;" x "&amp;TEXT(INDEX(tk_OAH,MATCH(276,tk_FSEQ,0)),"0.000"),"")</f>
        <v/>
      </c>
      <c r="G281" s="70">
        <f>IFERROR(""&amp;INDEX(tk_FLINE,MATCH(276,tk_FSEQ,0)),"")</f>
        <v/>
      </c>
      <c r="H281" s="70">
        <f>IFERROR(""&amp;INDEX(tk_FNOTES,MATCH(276,tk_FSEQ,0)),"")</f>
        <v/>
      </c>
    </row>
    <row r="282">
      <c r="A282" s="70">
        <f>IFERROR(""&amp;INDEX(tk_MARK,MATCH(277,tk_FSEQ,0)),"")</f>
        <v/>
      </c>
      <c r="B282" s="70">
        <f>IFERROR(INDEX(tk_QTY,MATCH(277,tk_FSEQ,0)),"")</f>
        <v/>
      </c>
      <c r="C282" s="70">
        <f>IFERROR(INDEX(tk_ROOMF,MATCH(277,tk_FSEQ,0))&amp;IF(INDEX(tk_ROOMT,MATCH(277,tk_FSEQ,0))="",""," → "&amp;INDEX(tk_ROOMT,MATCH(277,tk_FSEQ,0))),"")</f>
        <v/>
      </c>
      <c r="D282" s="70">
        <f>IFERROR(""&amp;INDEX(tk_SIZE,MATCH(277,tk_FSEQ,0)),"")</f>
        <v/>
      </c>
      <c r="E282" s="70">
        <f>IFERROR(""&amp;INDEX(tk_RATING,MATCH(277,tk_FSEQ,0)),"")</f>
        <v/>
      </c>
      <c r="F282" s="70">
        <f>IFERROR(TEXT(INDEX(tk_OAW,MATCH(277,tk_FSEQ,0)),"0.000")&amp;" x "&amp;TEXT(INDEX(tk_OAH,MATCH(277,tk_FSEQ,0)),"0.000"),"")</f>
        <v/>
      </c>
      <c r="G282" s="70">
        <f>IFERROR(""&amp;INDEX(tk_FLINE,MATCH(277,tk_FSEQ,0)),"")</f>
        <v/>
      </c>
      <c r="H282" s="70">
        <f>IFERROR(""&amp;INDEX(tk_FNOTES,MATCH(277,tk_FSEQ,0)),"")</f>
        <v/>
      </c>
    </row>
    <row r="283">
      <c r="A283" s="70">
        <f>IFERROR(""&amp;INDEX(tk_MARK,MATCH(278,tk_FSEQ,0)),"")</f>
        <v/>
      </c>
      <c r="B283" s="70">
        <f>IFERROR(INDEX(tk_QTY,MATCH(278,tk_FSEQ,0)),"")</f>
        <v/>
      </c>
      <c r="C283" s="70">
        <f>IFERROR(INDEX(tk_ROOMF,MATCH(278,tk_FSEQ,0))&amp;IF(INDEX(tk_ROOMT,MATCH(278,tk_FSEQ,0))="",""," → "&amp;INDEX(tk_ROOMT,MATCH(278,tk_FSEQ,0))),"")</f>
        <v/>
      </c>
      <c r="D283" s="70">
        <f>IFERROR(""&amp;INDEX(tk_SIZE,MATCH(278,tk_FSEQ,0)),"")</f>
        <v/>
      </c>
      <c r="E283" s="70">
        <f>IFERROR(""&amp;INDEX(tk_RATING,MATCH(278,tk_FSEQ,0)),"")</f>
        <v/>
      </c>
      <c r="F283" s="70">
        <f>IFERROR(TEXT(INDEX(tk_OAW,MATCH(278,tk_FSEQ,0)),"0.000")&amp;" x "&amp;TEXT(INDEX(tk_OAH,MATCH(278,tk_FSEQ,0)),"0.000"),"")</f>
        <v/>
      </c>
      <c r="G283" s="70">
        <f>IFERROR(""&amp;INDEX(tk_FLINE,MATCH(278,tk_FSEQ,0)),"")</f>
        <v/>
      </c>
      <c r="H283" s="70">
        <f>IFERROR(""&amp;INDEX(tk_FNOTES,MATCH(278,tk_FSEQ,0)),"")</f>
        <v/>
      </c>
    </row>
    <row r="284">
      <c r="A284" s="70">
        <f>IFERROR(""&amp;INDEX(tk_MARK,MATCH(279,tk_FSEQ,0)),"")</f>
        <v/>
      </c>
      <c r="B284" s="70">
        <f>IFERROR(INDEX(tk_QTY,MATCH(279,tk_FSEQ,0)),"")</f>
        <v/>
      </c>
      <c r="C284" s="70">
        <f>IFERROR(INDEX(tk_ROOMF,MATCH(279,tk_FSEQ,0))&amp;IF(INDEX(tk_ROOMT,MATCH(279,tk_FSEQ,0))="",""," → "&amp;INDEX(tk_ROOMT,MATCH(279,tk_FSEQ,0))),"")</f>
        <v/>
      </c>
      <c r="D284" s="70">
        <f>IFERROR(""&amp;INDEX(tk_SIZE,MATCH(279,tk_FSEQ,0)),"")</f>
        <v/>
      </c>
      <c r="E284" s="70">
        <f>IFERROR(""&amp;INDEX(tk_RATING,MATCH(279,tk_FSEQ,0)),"")</f>
        <v/>
      </c>
      <c r="F284" s="70">
        <f>IFERROR(TEXT(INDEX(tk_OAW,MATCH(279,tk_FSEQ,0)),"0.000")&amp;" x "&amp;TEXT(INDEX(tk_OAH,MATCH(279,tk_FSEQ,0)),"0.000"),"")</f>
        <v/>
      </c>
      <c r="G284" s="70">
        <f>IFERROR(""&amp;INDEX(tk_FLINE,MATCH(279,tk_FSEQ,0)),"")</f>
        <v/>
      </c>
      <c r="H284" s="70">
        <f>IFERROR(""&amp;INDEX(tk_FNOTES,MATCH(279,tk_FSEQ,0)),"")</f>
        <v/>
      </c>
    </row>
    <row r="285">
      <c r="A285" s="70">
        <f>IFERROR(""&amp;INDEX(tk_MARK,MATCH(280,tk_FSEQ,0)),"")</f>
        <v/>
      </c>
      <c r="B285" s="70">
        <f>IFERROR(INDEX(tk_QTY,MATCH(280,tk_FSEQ,0)),"")</f>
        <v/>
      </c>
      <c r="C285" s="70">
        <f>IFERROR(INDEX(tk_ROOMF,MATCH(280,tk_FSEQ,0))&amp;IF(INDEX(tk_ROOMT,MATCH(280,tk_FSEQ,0))="",""," → "&amp;INDEX(tk_ROOMT,MATCH(280,tk_FSEQ,0))),"")</f>
        <v/>
      </c>
      <c r="D285" s="70">
        <f>IFERROR(""&amp;INDEX(tk_SIZE,MATCH(280,tk_FSEQ,0)),"")</f>
        <v/>
      </c>
      <c r="E285" s="70">
        <f>IFERROR(""&amp;INDEX(tk_RATING,MATCH(280,tk_FSEQ,0)),"")</f>
        <v/>
      </c>
      <c r="F285" s="70">
        <f>IFERROR(TEXT(INDEX(tk_OAW,MATCH(280,tk_FSEQ,0)),"0.000")&amp;" x "&amp;TEXT(INDEX(tk_OAH,MATCH(280,tk_FSEQ,0)),"0.000"),"")</f>
        <v/>
      </c>
      <c r="G285" s="70">
        <f>IFERROR(""&amp;INDEX(tk_FLINE,MATCH(280,tk_FSEQ,0)),"")</f>
        <v/>
      </c>
      <c r="H285" s="70">
        <f>IFERROR(""&amp;INDEX(tk_FNOTES,MATCH(280,tk_FSEQ,0)),"")</f>
        <v/>
      </c>
    </row>
    <row r="286">
      <c r="A286" s="70">
        <f>IFERROR(""&amp;INDEX(tk_MARK,MATCH(281,tk_FSEQ,0)),"")</f>
        <v/>
      </c>
      <c r="B286" s="70">
        <f>IFERROR(INDEX(tk_QTY,MATCH(281,tk_FSEQ,0)),"")</f>
        <v/>
      </c>
      <c r="C286" s="70">
        <f>IFERROR(INDEX(tk_ROOMF,MATCH(281,tk_FSEQ,0))&amp;IF(INDEX(tk_ROOMT,MATCH(281,tk_FSEQ,0))="",""," → "&amp;INDEX(tk_ROOMT,MATCH(281,tk_FSEQ,0))),"")</f>
        <v/>
      </c>
      <c r="D286" s="70">
        <f>IFERROR(""&amp;INDEX(tk_SIZE,MATCH(281,tk_FSEQ,0)),"")</f>
        <v/>
      </c>
      <c r="E286" s="70">
        <f>IFERROR(""&amp;INDEX(tk_RATING,MATCH(281,tk_FSEQ,0)),"")</f>
        <v/>
      </c>
      <c r="F286" s="70">
        <f>IFERROR(TEXT(INDEX(tk_OAW,MATCH(281,tk_FSEQ,0)),"0.000")&amp;" x "&amp;TEXT(INDEX(tk_OAH,MATCH(281,tk_FSEQ,0)),"0.000"),"")</f>
        <v/>
      </c>
      <c r="G286" s="70">
        <f>IFERROR(""&amp;INDEX(tk_FLINE,MATCH(281,tk_FSEQ,0)),"")</f>
        <v/>
      </c>
      <c r="H286" s="70">
        <f>IFERROR(""&amp;INDEX(tk_FNOTES,MATCH(281,tk_FSEQ,0)),"")</f>
        <v/>
      </c>
    </row>
    <row r="287">
      <c r="A287" s="70">
        <f>IFERROR(""&amp;INDEX(tk_MARK,MATCH(282,tk_FSEQ,0)),"")</f>
        <v/>
      </c>
      <c r="B287" s="70">
        <f>IFERROR(INDEX(tk_QTY,MATCH(282,tk_FSEQ,0)),"")</f>
        <v/>
      </c>
      <c r="C287" s="70">
        <f>IFERROR(INDEX(tk_ROOMF,MATCH(282,tk_FSEQ,0))&amp;IF(INDEX(tk_ROOMT,MATCH(282,tk_FSEQ,0))="",""," → "&amp;INDEX(tk_ROOMT,MATCH(282,tk_FSEQ,0))),"")</f>
        <v/>
      </c>
      <c r="D287" s="70">
        <f>IFERROR(""&amp;INDEX(tk_SIZE,MATCH(282,tk_FSEQ,0)),"")</f>
        <v/>
      </c>
      <c r="E287" s="70">
        <f>IFERROR(""&amp;INDEX(tk_RATING,MATCH(282,tk_FSEQ,0)),"")</f>
        <v/>
      </c>
      <c r="F287" s="70">
        <f>IFERROR(TEXT(INDEX(tk_OAW,MATCH(282,tk_FSEQ,0)),"0.000")&amp;" x "&amp;TEXT(INDEX(tk_OAH,MATCH(282,tk_FSEQ,0)),"0.000"),"")</f>
        <v/>
      </c>
      <c r="G287" s="70">
        <f>IFERROR(""&amp;INDEX(tk_FLINE,MATCH(282,tk_FSEQ,0)),"")</f>
        <v/>
      </c>
      <c r="H287" s="70">
        <f>IFERROR(""&amp;INDEX(tk_FNOTES,MATCH(282,tk_FSEQ,0)),"")</f>
        <v/>
      </c>
    </row>
    <row r="288">
      <c r="A288" s="70">
        <f>IFERROR(""&amp;INDEX(tk_MARK,MATCH(283,tk_FSEQ,0)),"")</f>
        <v/>
      </c>
      <c r="B288" s="70">
        <f>IFERROR(INDEX(tk_QTY,MATCH(283,tk_FSEQ,0)),"")</f>
        <v/>
      </c>
      <c r="C288" s="70">
        <f>IFERROR(INDEX(tk_ROOMF,MATCH(283,tk_FSEQ,0))&amp;IF(INDEX(tk_ROOMT,MATCH(283,tk_FSEQ,0))="",""," → "&amp;INDEX(tk_ROOMT,MATCH(283,tk_FSEQ,0))),"")</f>
        <v/>
      </c>
      <c r="D288" s="70">
        <f>IFERROR(""&amp;INDEX(tk_SIZE,MATCH(283,tk_FSEQ,0)),"")</f>
        <v/>
      </c>
      <c r="E288" s="70">
        <f>IFERROR(""&amp;INDEX(tk_RATING,MATCH(283,tk_FSEQ,0)),"")</f>
        <v/>
      </c>
      <c r="F288" s="70">
        <f>IFERROR(TEXT(INDEX(tk_OAW,MATCH(283,tk_FSEQ,0)),"0.000")&amp;" x "&amp;TEXT(INDEX(tk_OAH,MATCH(283,tk_FSEQ,0)),"0.000"),"")</f>
        <v/>
      </c>
      <c r="G288" s="70">
        <f>IFERROR(""&amp;INDEX(tk_FLINE,MATCH(283,tk_FSEQ,0)),"")</f>
        <v/>
      </c>
      <c r="H288" s="70">
        <f>IFERROR(""&amp;INDEX(tk_FNOTES,MATCH(283,tk_FSEQ,0)),"")</f>
        <v/>
      </c>
    </row>
    <row r="289">
      <c r="A289" s="70">
        <f>IFERROR(""&amp;INDEX(tk_MARK,MATCH(284,tk_FSEQ,0)),"")</f>
        <v/>
      </c>
      <c r="B289" s="70">
        <f>IFERROR(INDEX(tk_QTY,MATCH(284,tk_FSEQ,0)),"")</f>
        <v/>
      </c>
      <c r="C289" s="70">
        <f>IFERROR(INDEX(tk_ROOMF,MATCH(284,tk_FSEQ,0))&amp;IF(INDEX(tk_ROOMT,MATCH(284,tk_FSEQ,0))="",""," → "&amp;INDEX(tk_ROOMT,MATCH(284,tk_FSEQ,0))),"")</f>
        <v/>
      </c>
      <c r="D289" s="70">
        <f>IFERROR(""&amp;INDEX(tk_SIZE,MATCH(284,tk_FSEQ,0)),"")</f>
        <v/>
      </c>
      <c r="E289" s="70">
        <f>IFERROR(""&amp;INDEX(tk_RATING,MATCH(284,tk_FSEQ,0)),"")</f>
        <v/>
      </c>
      <c r="F289" s="70">
        <f>IFERROR(TEXT(INDEX(tk_OAW,MATCH(284,tk_FSEQ,0)),"0.000")&amp;" x "&amp;TEXT(INDEX(tk_OAH,MATCH(284,tk_FSEQ,0)),"0.000"),"")</f>
        <v/>
      </c>
      <c r="G289" s="70">
        <f>IFERROR(""&amp;INDEX(tk_FLINE,MATCH(284,tk_FSEQ,0)),"")</f>
        <v/>
      </c>
      <c r="H289" s="70">
        <f>IFERROR(""&amp;INDEX(tk_FNOTES,MATCH(284,tk_FSEQ,0)),"")</f>
        <v/>
      </c>
    </row>
    <row r="290">
      <c r="A290" s="70">
        <f>IFERROR(""&amp;INDEX(tk_MARK,MATCH(285,tk_FSEQ,0)),"")</f>
        <v/>
      </c>
      <c r="B290" s="70">
        <f>IFERROR(INDEX(tk_QTY,MATCH(285,tk_FSEQ,0)),"")</f>
        <v/>
      </c>
      <c r="C290" s="70">
        <f>IFERROR(INDEX(tk_ROOMF,MATCH(285,tk_FSEQ,0))&amp;IF(INDEX(tk_ROOMT,MATCH(285,tk_FSEQ,0))="",""," → "&amp;INDEX(tk_ROOMT,MATCH(285,tk_FSEQ,0))),"")</f>
        <v/>
      </c>
      <c r="D290" s="70">
        <f>IFERROR(""&amp;INDEX(tk_SIZE,MATCH(285,tk_FSEQ,0)),"")</f>
        <v/>
      </c>
      <c r="E290" s="70">
        <f>IFERROR(""&amp;INDEX(tk_RATING,MATCH(285,tk_FSEQ,0)),"")</f>
        <v/>
      </c>
      <c r="F290" s="70">
        <f>IFERROR(TEXT(INDEX(tk_OAW,MATCH(285,tk_FSEQ,0)),"0.000")&amp;" x "&amp;TEXT(INDEX(tk_OAH,MATCH(285,tk_FSEQ,0)),"0.000"),"")</f>
        <v/>
      </c>
      <c r="G290" s="70">
        <f>IFERROR(""&amp;INDEX(tk_FLINE,MATCH(285,tk_FSEQ,0)),"")</f>
        <v/>
      </c>
      <c r="H290" s="70">
        <f>IFERROR(""&amp;INDEX(tk_FNOTES,MATCH(285,tk_FSEQ,0)),"")</f>
        <v/>
      </c>
    </row>
    <row r="291">
      <c r="A291" s="70">
        <f>IFERROR(""&amp;INDEX(tk_MARK,MATCH(286,tk_FSEQ,0)),"")</f>
        <v/>
      </c>
      <c r="B291" s="70">
        <f>IFERROR(INDEX(tk_QTY,MATCH(286,tk_FSEQ,0)),"")</f>
        <v/>
      </c>
      <c r="C291" s="70">
        <f>IFERROR(INDEX(tk_ROOMF,MATCH(286,tk_FSEQ,0))&amp;IF(INDEX(tk_ROOMT,MATCH(286,tk_FSEQ,0))="",""," → "&amp;INDEX(tk_ROOMT,MATCH(286,tk_FSEQ,0))),"")</f>
        <v/>
      </c>
      <c r="D291" s="70">
        <f>IFERROR(""&amp;INDEX(tk_SIZE,MATCH(286,tk_FSEQ,0)),"")</f>
        <v/>
      </c>
      <c r="E291" s="70">
        <f>IFERROR(""&amp;INDEX(tk_RATING,MATCH(286,tk_FSEQ,0)),"")</f>
        <v/>
      </c>
      <c r="F291" s="70">
        <f>IFERROR(TEXT(INDEX(tk_OAW,MATCH(286,tk_FSEQ,0)),"0.000")&amp;" x "&amp;TEXT(INDEX(tk_OAH,MATCH(286,tk_FSEQ,0)),"0.000"),"")</f>
        <v/>
      </c>
      <c r="G291" s="70">
        <f>IFERROR(""&amp;INDEX(tk_FLINE,MATCH(286,tk_FSEQ,0)),"")</f>
        <v/>
      </c>
      <c r="H291" s="70">
        <f>IFERROR(""&amp;INDEX(tk_FNOTES,MATCH(286,tk_FSEQ,0)),"")</f>
        <v/>
      </c>
    </row>
    <row r="292">
      <c r="A292" s="70">
        <f>IFERROR(""&amp;INDEX(tk_MARK,MATCH(287,tk_FSEQ,0)),"")</f>
        <v/>
      </c>
      <c r="B292" s="70">
        <f>IFERROR(INDEX(tk_QTY,MATCH(287,tk_FSEQ,0)),"")</f>
        <v/>
      </c>
      <c r="C292" s="70">
        <f>IFERROR(INDEX(tk_ROOMF,MATCH(287,tk_FSEQ,0))&amp;IF(INDEX(tk_ROOMT,MATCH(287,tk_FSEQ,0))="",""," → "&amp;INDEX(tk_ROOMT,MATCH(287,tk_FSEQ,0))),"")</f>
        <v/>
      </c>
      <c r="D292" s="70">
        <f>IFERROR(""&amp;INDEX(tk_SIZE,MATCH(287,tk_FSEQ,0)),"")</f>
        <v/>
      </c>
      <c r="E292" s="70">
        <f>IFERROR(""&amp;INDEX(tk_RATING,MATCH(287,tk_FSEQ,0)),"")</f>
        <v/>
      </c>
      <c r="F292" s="70">
        <f>IFERROR(TEXT(INDEX(tk_OAW,MATCH(287,tk_FSEQ,0)),"0.000")&amp;" x "&amp;TEXT(INDEX(tk_OAH,MATCH(287,tk_FSEQ,0)),"0.000"),"")</f>
        <v/>
      </c>
      <c r="G292" s="70">
        <f>IFERROR(""&amp;INDEX(tk_FLINE,MATCH(287,tk_FSEQ,0)),"")</f>
        <v/>
      </c>
      <c r="H292" s="70">
        <f>IFERROR(""&amp;INDEX(tk_FNOTES,MATCH(287,tk_FSEQ,0)),"")</f>
        <v/>
      </c>
    </row>
    <row r="293">
      <c r="A293" s="70">
        <f>IFERROR(""&amp;INDEX(tk_MARK,MATCH(288,tk_FSEQ,0)),"")</f>
        <v/>
      </c>
      <c r="B293" s="70">
        <f>IFERROR(INDEX(tk_QTY,MATCH(288,tk_FSEQ,0)),"")</f>
        <v/>
      </c>
      <c r="C293" s="70">
        <f>IFERROR(INDEX(tk_ROOMF,MATCH(288,tk_FSEQ,0))&amp;IF(INDEX(tk_ROOMT,MATCH(288,tk_FSEQ,0))="",""," → "&amp;INDEX(tk_ROOMT,MATCH(288,tk_FSEQ,0))),"")</f>
        <v/>
      </c>
      <c r="D293" s="70">
        <f>IFERROR(""&amp;INDEX(tk_SIZE,MATCH(288,tk_FSEQ,0)),"")</f>
        <v/>
      </c>
      <c r="E293" s="70">
        <f>IFERROR(""&amp;INDEX(tk_RATING,MATCH(288,tk_FSEQ,0)),"")</f>
        <v/>
      </c>
      <c r="F293" s="70">
        <f>IFERROR(TEXT(INDEX(tk_OAW,MATCH(288,tk_FSEQ,0)),"0.000")&amp;" x "&amp;TEXT(INDEX(tk_OAH,MATCH(288,tk_FSEQ,0)),"0.000"),"")</f>
        <v/>
      </c>
      <c r="G293" s="70">
        <f>IFERROR(""&amp;INDEX(tk_FLINE,MATCH(288,tk_FSEQ,0)),"")</f>
        <v/>
      </c>
      <c r="H293" s="70">
        <f>IFERROR(""&amp;INDEX(tk_FNOTES,MATCH(288,tk_FSEQ,0)),"")</f>
        <v/>
      </c>
    </row>
    <row r="294">
      <c r="A294" s="70">
        <f>IFERROR(""&amp;INDEX(tk_MARK,MATCH(289,tk_FSEQ,0)),"")</f>
        <v/>
      </c>
      <c r="B294" s="70">
        <f>IFERROR(INDEX(tk_QTY,MATCH(289,tk_FSEQ,0)),"")</f>
        <v/>
      </c>
      <c r="C294" s="70">
        <f>IFERROR(INDEX(tk_ROOMF,MATCH(289,tk_FSEQ,0))&amp;IF(INDEX(tk_ROOMT,MATCH(289,tk_FSEQ,0))="",""," → "&amp;INDEX(tk_ROOMT,MATCH(289,tk_FSEQ,0))),"")</f>
        <v/>
      </c>
      <c r="D294" s="70">
        <f>IFERROR(""&amp;INDEX(tk_SIZE,MATCH(289,tk_FSEQ,0)),"")</f>
        <v/>
      </c>
      <c r="E294" s="70">
        <f>IFERROR(""&amp;INDEX(tk_RATING,MATCH(289,tk_FSEQ,0)),"")</f>
        <v/>
      </c>
      <c r="F294" s="70">
        <f>IFERROR(TEXT(INDEX(tk_OAW,MATCH(289,tk_FSEQ,0)),"0.000")&amp;" x "&amp;TEXT(INDEX(tk_OAH,MATCH(289,tk_FSEQ,0)),"0.000"),"")</f>
        <v/>
      </c>
      <c r="G294" s="70">
        <f>IFERROR(""&amp;INDEX(tk_FLINE,MATCH(289,tk_FSEQ,0)),"")</f>
        <v/>
      </c>
      <c r="H294" s="70">
        <f>IFERROR(""&amp;INDEX(tk_FNOTES,MATCH(289,tk_FSEQ,0)),"")</f>
        <v/>
      </c>
    </row>
    <row r="295">
      <c r="A295" s="70">
        <f>IFERROR(""&amp;INDEX(tk_MARK,MATCH(290,tk_FSEQ,0)),"")</f>
        <v/>
      </c>
      <c r="B295" s="70">
        <f>IFERROR(INDEX(tk_QTY,MATCH(290,tk_FSEQ,0)),"")</f>
        <v/>
      </c>
      <c r="C295" s="70">
        <f>IFERROR(INDEX(tk_ROOMF,MATCH(290,tk_FSEQ,0))&amp;IF(INDEX(tk_ROOMT,MATCH(290,tk_FSEQ,0))="",""," → "&amp;INDEX(tk_ROOMT,MATCH(290,tk_FSEQ,0))),"")</f>
        <v/>
      </c>
      <c r="D295" s="70">
        <f>IFERROR(""&amp;INDEX(tk_SIZE,MATCH(290,tk_FSEQ,0)),"")</f>
        <v/>
      </c>
      <c r="E295" s="70">
        <f>IFERROR(""&amp;INDEX(tk_RATING,MATCH(290,tk_FSEQ,0)),"")</f>
        <v/>
      </c>
      <c r="F295" s="70">
        <f>IFERROR(TEXT(INDEX(tk_OAW,MATCH(290,tk_FSEQ,0)),"0.000")&amp;" x "&amp;TEXT(INDEX(tk_OAH,MATCH(290,tk_FSEQ,0)),"0.000"),"")</f>
        <v/>
      </c>
      <c r="G295" s="70">
        <f>IFERROR(""&amp;INDEX(tk_FLINE,MATCH(290,tk_FSEQ,0)),"")</f>
        <v/>
      </c>
      <c r="H295" s="70">
        <f>IFERROR(""&amp;INDEX(tk_FNOTES,MATCH(290,tk_FSEQ,0)),"")</f>
        <v/>
      </c>
    </row>
    <row r="296">
      <c r="A296" s="70">
        <f>IFERROR(""&amp;INDEX(tk_MARK,MATCH(291,tk_FSEQ,0)),"")</f>
        <v/>
      </c>
      <c r="B296" s="70">
        <f>IFERROR(INDEX(tk_QTY,MATCH(291,tk_FSEQ,0)),"")</f>
        <v/>
      </c>
      <c r="C296" s="70">
        <f>IFERROR(INDEX(tk_ROOMF,MATCH(291,tk_FSEQ,0))&amp;IF(INDEX(tk_ROOMT,MATCH(291,tk_FSEQ,0))="",""," → "&amp;INDEX(tk_ROOMT,MATCH(291,tk_FSEQ,0))),"")</f>
        <v/>
      </c>
      <c r="D296" s="70">
        <f>IFERROR(""&amp;INDEX(tk_SIZE,MATCH(291,tk_FSEQ,0)),"")</f>
        <v/>
      </c>
      <c r="E296" s="70">
        <f>IFERROR(""&amp;INDEX(tk_RATING,MATCH(291,tk_FSEQ,0)),"")</f>
        <v/>
      </c>
      <c r="F296" s="70">
        <f>IFERROR(TEXT(INDEX(tk_OAW,MATCH(291,tk_FSEQ,0)),"0.000")&amp;" x "&amp;TEXT(INDEX(tk_OAH,MATCH(291,tk_FSEQ,0)),"0.000"),"")</f>
        <v/>
      </c>
      <c r="G296" s="70">
        <f>IFERROR(""&amp;INDEX(tk_FLINE,MATCH(291,tk_FSEQ,0)),"")</f>
        <v/>
      </c>
      <c r="H296" s="70">
        <f>IFERROR(""&amp;INDEX(tk_FNOTES,MATCH(291,tk_FSEQ,0)),"")</f>
        <v/>
      </c>
    </row>
    <row r="297">
      <c r="A297" s="70">
        <f>IFERROR(""&amp;INDEX(tk_MARK,MATCH(292,tk_FSEQ,0)),"")</f>
        <v/>
      </c>
      <c r="B297" s="70">
        <f>IFERROR(INDEX(tk_QTY,MATCH(292,tk_FSEQ,0)),"")</f>
        <v/>
      </c>
      <c r="C297" s="70">
        <f>IFERROR(INDEX(tk_ROOMF,MATCH(292,tk_FSEQ,0))&amp;IF(INDEX(tk_ROOMT,MATCH(292,tk_FSEQ,0))="",""," → "&amp;INDEX(tk_ROOMT,MATCH(292,tk_FSEQ,0))),"")</f>
        <v/>
      </c>
      <c r="D297" s="70">
        <f>IFERROR(""&amp;INDEX(tk_SIZE,MATCH(292,tk_FSEQ,0)),"")</f>
        <v/>
      </c>
      <c r="E297" s="70">
        <f>IFERROR(""&amp;INDEX(tk_RATING,MATCH(292,tk_FSEQ,0)),"")</f>
        <v/>
      </c>
      <c r="F297" s="70">
        <f>IFERROR(TEXT(INDEX(tk_OAW,MATCH(292,tk_FSEQ,0)),"0.000")&amp;" x "&amp;TEXT(INDEX(tk_OAH,MATCH(292,tk_FSEQ,0)),"0.000"),"")</f>
        <v/>
      </c>
      <c r="G297" s="70">
        <f>IFERROR(""&amp;INDEX(tk_FLINE,MATCH(292,tk_FSEQ,0)),"")</f>
        <v/>
      </c>
      <c r="H297" s="70">
        <f>IFERROR(""&amp;INDEX(tk_FNOTES,MATCH(292,tk_FSEQ,0)),"")</f>
        <v/>
      </c>
    </row>
    <row r="298">
      <c r="A298" s="70">
        <f>IFERROR(""&amp;INDEX(tk_MARK,MATCH(293,tk_FSEQ,0)),"")</f>
        <v/>
      </c>
      <c r="B298" s="70">
        <f>IFERROR(INDEX(tk_QTY,MATCH(293,tk_FSEQ,0)),"")</f>
        <v/>
      </c>
      <c r="C298" s="70">
        <f>IFERROR(INDEX(tk_ROOMF,MATCH(293,tk_FSEQ,0))&amp;IF(INDEX(tk_ROOMT,MATCH(293,tk_FSEQ,0))="",""," → "&amp;INDEX(tk_ROOMT,MATCH(293,tk_FSEQ,0))),"")</f>
        <v/>
      </c>
      <c r="D298" s="70">
        <f>IFERROR(""&amp;INDEX(tk_SIZE,MATCH(293,tk_FSEQ,0)),"")</f>
        <v/>
      </c>
      <c r="E298" s="70">
        <f>IFERROR(""&amp;INDEX(tk_RATING,MATCH(293,tk_FSEQ,0)),"")</f>
        <v/>
      </c>
      <c r="F298" s="70">
        <f>IFERROR(TEXT(INDEX(tk_OAW,MATCH(293,tk_FSEQ,0)),"0.000")&amp;" x "&amp;TEXT(INDEX(tk_OAH,MATCH(293,tk_FSEQ,0)),"0.000"),"")</f>
        <v/>
      </c>
      <c r="G298" s="70">
        <f>IFERROR(""&amp;INDEX(tk_FLINE,MATCH(293,tk_FSEQ,0)),"")</f>
        <v/>
      </c>
      <c r="H298" s="70">
        <f>IFERROR(""&amp;INDEX(tk_FNOTES,MATCH(293,tk_FSEQ,0)),"")</f>
        <v/>
      </c>
    </row>
    <row r="299">
      <c r="A299" s="70">
        <f>IFERROR(""&amp;INDEX(tk_MARK,MATCH(294,tk_FSEQ,0)),"")</f>
        <v/>
      </c>
      <c r="B299" s="70">
        <f>IFERROR(INDEX(tk_QTY,MATCH(294,tk_FSEQ,0)),"")</f>
        <v/>
      </c>
      <c r="C299" s="70">
        <f>IFERROR(INDEX(tk_ROOMF,MATCH(294,tk_FSEQ,0))&amp;IF(INDEX(tk_ROOMT,MATCH(294,tk_FSEQ,0))="",""," → "&amp;INDEX(tk_ROOMT,MATCH(294,tk_FSEQ,0))),"")</f>
        <v/>
      </c>
      <c r="D299" s="70">
        <f>IFERROR(""&amp;INDEX(tk_SIZE,MATCH(294,tk_FSEQ,0)),"")</f>
        <v/>
      </c>
      <c r="E299" s="70">
        <f>IFERROR(""&amp;INDEX(tk_RATING,MATCH(294,tk_FSEQ,0)),"")</f>
        <v/>
      </c>
      <c r="F299" s="70">
        <f>IFERROR(TEXT(INDEX(tk_OAW,MATCH(294,tk_FSEQ,0)),"0.000")&amp;" x "&amp;TEXT(INDEX(tk_OAH,MATCH(294,tk_FSEQ,0)),"0.000"),"")</f>
        <v/>
      </c>
      <c r="G299" s="70">
        <f>IFERROR(""&amp;INDEX(tk_FLINE,MATCH(294,tk_FSEQ,0)),"")</f>
        <v/>
      </c>
      <c r="H299" s="70">
        <f>IFERROR(""&amp;INDEX(tk_FNOTES,MATCH(294,tk_FSEQ,0)),"")</f>
        <v/>
      </c>
    </row>
    <row r="300">
      <c r="A300" s="70">
        <f>IFERROR(""&amp;INDEX(tk_MARK,MATCH(295,tk_FSEQ,0)),"")</f>
        <v/>
      </c>
      <c r="B300" s="70">
        <f>IFERROR(INDEX(tk_QTY,MATCH(295,tk_FSEQ,0)),"")</f>
        <v/>
      </c>
      <c r="C300" s="70">
        <f>IFERROR(INDEX(tk_ROOMF,MATCH(295,tk_FSEQ,0))&amp;IF(INDEX(tk_ROOMT,MATCH(295,tk_FSEQ,0))="",""," → "&amp;INDEX(tk_ROOMT,MATCH(295,tk_FSEQ,0))),"")</f>
        <v/>
      </c>
      <c r="D300" s="70">
        <f>IFERROR(""&amp;INDEX(tk_SIZE,MATCH(295,tk_FSEQ,0)),"")</f>
        <v/>
      </c>
      <c r="E300" s="70">
        <f>IFERROR(""&amp;INDEX(tk_RATING,MATCH(295,tk_FSEQ,0)),"")</f>
        <v/>
      </c>
      <c r="F300" s="70">
        <f>IFERROR(TEXT(INDEX(tk_OAW,MATCH(295,tk_FSEQ,0)),"0.000")&amp;" x "&amp;TEXT(INDEX(tk_OAH,MATCH(295,tk_FSEQ,0)),"0.000"),"")</f>
        <v/>
      </c>
      <c r="G300" s="70">
        <f>IFERROR(""&amp;INDEX(tk_FLINE,MATCH(295,tk_FSEQ,0)),"")</f>
        <v/>
      </c>
      <c r="H300" s="70">
        <f>IFERROR(""&amp;INDEX(tk_FNOTES,MATCH(295,tk_FSEQ,0)),"")</f>
        <v/>
      </c>
    </row>
    <row r="301">
      <c r="A301" s="70">
        <f>IFERROR(""&amp;INDEX(tk_MARK,MATCH(296,tk_FSEQ,0)),"")</f>
        <v/>
      </c>
      <c r="B301" s="70">
        <f>IFERROR(INDEX(tk_QTY,MATCH(296,tk_FSEQ,0)),"")</f>
        <v/>
      </c>
      <c r="C301" s="70">
        <f>IFERROR(INDEX(tk_ROOMF,MATCH(296,tk_FSEQ,0))&amp;IF(INDEX(tk_ROOMT,MATCH(296,tk_FSEQ,0))="",""," → "&amp;INDEX(tk_ROOMT,MATCH(296,tk_FSEQ,0))),"")</f>
        <v/>
      </c>
      <c r="D301" s="70">
        <f>IFERROR(""&amp;INDEX(tk_SIZE,MATCH(296,tk_FSEQ,0)),"")</f>
        <v/>
      </c>
      <c r="E301" s="70">
        <f>IFERROR(""&amp;INDEX(tk_RATING,MATCH(296,tk_FSEQ,0)),"")</f>
        <v/>
      </c>
      <c r="F301" s="70">
        <f>IFERROR(TEXT(INDEX(tk_OAW,MATCH(296,tk_FSEQ,0)),"0.000")&amp;" x "&amp;TEXT(INDEX(tk_OAH,MATCH(296,tk_FSEQ,0)),"0.000"),"")</f>
        <v/>
      </c>
      <c r="G301" s="70">
        <f>IFERROR(""&amp;INDEX(tk_FLINE,MATCH(296,tk_FSEQ,0)),"")</f>
        <v/>
      </c>
      <c r="H301" s="70">
        <f>IFERROR(""&amp;INDEX(tk_FNOTES,MATCH(296,tk_FSEQ,0)),"")</f>
        <v/>
      </c>
    </row>
    <row r="302">
      <c r="A302" s="70">
        <f>IFERROR(""&amp;INDEX(tk_MARK,MATCH(297,tk_FSEQ,0)),"")</f>
        <v/>
      </c>
      <c r="B302" s="70">
        <f>IFERROR(INDEX(tk_QTY,MATCH(297,tk_FSEQ,0)),"")</f>
        <v/>
      </c>
      <c r="C302" s="70">
        <f>IFERROR(INDEX(tk_ROOMF,MATCH(297,tk_FSEQ,0))&amp;IF(INDEX(tk_ROOMT,MATCH(297,tk_FSEQ,0))="",""," → "&amp;INDEX(tk_ROOMT,MATCH(297,tk_FSEQ,0))),"")</f>
        <v/>
      </c>
      <c r="D302" s="70">
        <f>IFERROR(""&amp;INDEX(tk_SIZE,MATCH(297,tk_FSEQ,0)),"")</f>
        <v/>
      </c>
      <c r="E302" s="70">
        <f>IFERROR(""&amp;INDEX(tk_RATING,MATCH(297,tk_FSEQ,0)),"")</f>
        <v/>
      </c>
      <c r="F302" s="70">
        <f>IFERROR(TEXT(INDEX(tk_OAW,MATCH(297,tk_FSEQ,0)),"0.000")&amp;" x "&amp;TEXT(INDEX(tk_OAH,MATCH(297,tk_FSEQ,0)),"0.000"),"")</f>
        <v/>
      </c>
      <c r="G302" s="70">
        <f>IFERROR(""&amp;INDEX(tk_FLINE,MATCH(297,tk_FSEQ,0)),"")</f>
        <v/>
      </c>
      <c r="H302" s="70">
        <f>IFERROR(""&amp;INDEX(tk_FNOTES,MATCH(297,tk_FSEQ,0)),"")</f>
        <v/>
      </c>
    </row>
    <row r="303">
      <c r="A303" s="70">
        <f>IFERROR(""&amp;INDEX(tk_MARK,MATCH(298,tk_FSEQ,0)),"")</f>
        <v/>
      </c>
      <c r="B303" s="70">
        <f>IFERROR(INDEX(tk_QTY,MATCH(298,tk_FSEQ,0)),"")</f>
        <v/>
      </c>
      <c r="C303" s="70">
        <f>IFERROR(INDEX(tk_ROOMF,MATCH(298,tk_FSEQ,0))&amp;IF(INDEX(tk_ROOMT,MATCH(298,tk_FSEQ,0))="",""," → "&amp;INDEX(tk_ROOMT,MATCH(298,tk_FSEQ,0))),"")</f>
        <v/>
      </c>
      <c r="D303" s="70">
        <f>IFERROR(""&amp;INDEX(tk_SIZE,MATCH(298,tk_FSEQ,0)),"")</f>
        <v/>
      </c>
      <c r="E303" s="70">
        <f>IFERROR(""&amp;INDEX(tk_RATING,MATCH(298,tk_FSEQ,0)),"")</f>
        <v/>
      </c>
      <c r="F303" s="70">
        <f>IFERROR(TEXT(INDEX(tk_OAW,MATCH(298,tk_FSEQ,0)),"0.000")&amp;" x "&amp;TEXT(INDEX(tk_OAH,MATCH(298,tk_FSEQ,0)),"0.000"),"")</f>
        <v/>
      </c>
      <c r="G303" s="70">
        <f>IFERROR(""&amp;INDEX(tk_FLINE,MATCH(298,tk_FSEQ,0)),"")</f>
        <v/>
      </c>
      <c r="H303" s="70">
        <f>IFERROR(""&amp;INDEX(tk_FNOTES,MATCH(298,tk_FSEQ,0)),"")</f>
        <v/>
      </c>
    </row>
    <row r="304">
      <c r="A304" s="70">
        <f>IFERROR(""&amp;INDEX(tk_MARK,MATCH(299,tk_FSEQ,0)),"")</f>
        <v/>
      </c>
      <c r="B304" s="70">
        <f>IFERROR(INDEX(tk_QTY,MATCH(299,tk_FSEQ,0)),"")</f>
        <v/>
      </c>
      <c r="C304" s="70">
        <f>IFERROR(INDEX(tk_ROOMF,MATCH(299,tk_FSEQ,0))&amp;IF(INDEX(tk_ROOMT,MATCH(299,tk_FSEQ,0))="",""," → "&amp;INDEX(tk_ROOMT,MATCH(299,tk_FSEQ,0))),"")</f>
        <v/>
      </c>
      <c r="D304" s="70">
        <f>IFERROR(""&amp;INDEX(tk_SIZE,MATCH(299,tk_FSEQ,0)),"")</f>
        <v/>
      </c>
      <c r="E304" s="70">
        <f>IFERROR(""&amp;INDEX(tk_RATING,MATCH(299,tk_FSEQ,0)),"")</f>
        <v/>
      </c>
      <c r="F304" s="70">
        <f>IFERROR(TEXT(INDEX(tk_OAW,MATCH(299,tk_FSEQ,0)),"0.000")&amp;" x "&amp;TEXT(INDEX(tk_OAH,MATCH(299,tk_FSEQ,0)),"0.000"),"")</f>
        <v/>
      </c>
      <c r="G304" s="70">
        <f>IFERROR(""&amp;INDEX(tk_FLINE,MATCH(299,tk_FSEQ,0)),"")</f>
        <v/>
      </c>
      <c r="H304" s="70">
        <f>IFERROR(""&amp;INDEX(tk_FNOTES,MATCH(299,tk_FSEQ,0)),"")</f>
        <v/>
      </c>
    </row>
    <row r="305">
      <c r="A305" s="70">
        <f>IFERROR(""&amp;INDEX(tk_MARK,MATCH(300,tk_FSEQ,0)),"")</f>
        <v/>
      </c>
      <c r="B305" s="70">
        <f>IFERROR(INDEX(tk_QTY,MATCH(300,tk_FSEQ,0)),"")</f>
        <v/>
      </c>
      <c r="C305" s="70">
        <f>IFERROR(INDEX(tk_ROOMF,MATCH(300,tk_FSEQ,0))&amp;IF(INDEX(tk_ROOMT,MATCH(300,tk_FSEQ,0))="",""," → "&amp;INDEX(tk_ROOMT,MATCH(300,tk_FSEQ,0))),"")</f>
        <v/>
      </c>
      <c r="D305" s="70">
        <f>IFERROR(""&amp;INDEX(tk_SIZE,MATCH(300,tk_FSEQ,0)),"")</f>
        <v/>
      </c>
      <c r="E305" s="70">
        <f>IFERROR(""&amp;INDEX(tk_RATING,MATCH(300,tk_FSEQ,0)),"")</f>
        <v/>
      </c>
      <c r="F305" s="70">
        <f>IFERROR(TEXT(INDEX(tk_OAW,MATCH(300,tk_FSEQ,0)),"0.000")&amp;" x "&amp;TEXT(INDEX(tk_OAH,MATCH(300,tk_FSEQ,0)),"0.000"),"")</f>
        <v/>
      </c>
      <c r="G305" s="70">
        <f>IFERROR(""&amp;INDEX(tk_FLINE,MATCH(300,tk_FSEQ,0)),"")</f>
        <v/>
      </c>
      <c r="H305" s="70">
        <f>IFERROR(""&amp;INDEX(tk_FNOTES,MATCH(300,tk_FSEQ,0)),"")</f>
        <v/>
      </c>
    </row>
    <row r="306">
      <c r="A306" s="70">
        <f>IFERROR(""&amp;INDEX(tk_MARK,MATCH(301,tk_FSEQ,0)),"")</f>
        <v/>
      </c>
      <c r="B306" s="70">
        <f>IFERROR(INDEX(tk_QTY,MATCH(301,tk_FSEQ,0)),"")</f>
        <v/>
      </c>
      <c r="C306" s="70">
        <f>IFERROR(INDEX(tk_ROOMF,MATCH(301,tk_FSEQ,0))&amp;IF(INDEX(tk_ROOMT,MATCH(301,tk_FSEQ,0))="",""," → "&amp;INDEX(tk_ROOMT,MATCH(301,tk_FSEQ,0))),"")</f>
        <v/>
      </c>
      <c r="D306" s="70">
        <f>IFERROR(""&amp;INDEX(tk_SIZE,MATCH(301,tk_FSEQ,0)),"")</f>
        <v/>
      </c>
      <c r="E306" s="70">
        <f>IFERROR(""&amp;INDEX(tk_RATING,MATCH(301,tk_FSEQ,0)),"")</f>
        <v/>
      </c>
      <c r="F306" s="70">
        <f>IFERROR(TEXT(INDEX(tk_OAW,MATCH(301,tk_FSEQ,0)),"0.000")&amp;" x "&amp;TEXT(INDEX(tk_OAH,MATCH(301,tk_FSEQ,0)),"0.000"),"")</f>
        <v/>
      </c>
      <c r="G306" s="70">
        <f>IFERROR(""&amp;INDEX(tk_FLINE,MATCH(301,tk_FSEQ,0)),"")</f>
        <v/>
      </c>
      <c r="H306" s="70">
        <f>IFERROR(""&amp;INDEX(tk_FNOTES,MATCH(301,tk_FSEQ,0)),"")</f>
        <v/>
      </c>
    </row>
    <row r="307">
      <c r="A307" s="70">
        <f>IFERROR(""&amp;INDEX(tk_MARK,MATCH(302,tk_FSEQ,0)),"")</f>
        <v/>
      </c>
      <c r="B307" s="70">
        <f>IFERROR(INDEX(tk_QTY,MATCH(302,tk_FSEQ,0)),"")</f>
        <v/>
      </c>
      <c r="C307" s="70">
        <f>IFERROR(INDEX(tk_ROOMF,MATCH(302,tk_FSEQ,0))&amp;IF(INDEX(tk_ROOMT,MATCH(302,tk_FSEQ,0))="",""," → "&amp;INDEX(tk_ROOMT,MATCH(302,tk_FSEQ,0))),"")</f>
        <v/>
      </c>
      <c r="D307" s="70">
        <f>IFERROR(""&amp;INDEX(tk_SIZE,MATCH(302,tk_FSEQ,0)),"")</f>
        <v/>
      </c>
      <c r="E307" s="70">
        <f>IFERROR(""&amp;INDEX(tk_RATING,MATCH(302,tk_FSEQ,0)),"")</f>
        <v/>
      </c>
      <c r="F307" s="70">
        <f>IFERROR(TEXT(INDEX(tk_OAW,MATCH(302,tk_FSEQ,0)),"0.000")&amp;" x "&amp;TEXT(INDEX(tk_OAH,MATCH(302,tk_FSEQ,0)),"0.000"),"")</f>
        <v/>
      </c>
      <c r="G307" s="70">
        <f>IFERROR(""&amp;INDEX(tk_FLINE,MATCH(302,tk_FSEQ,0)),"")</f>
        <v/>
      </c>
      <c r="H307" s="70">
        <f>IFERROR(""&amp;INDEX(tk_FNOTES,MATCH(302,tk_FSEQ,0)),"")</f>
        <v/>
      </c>
    </row>
    <row r="308">
      <c r="A308" s="70">
        <f>IFERROR(""&amp;INDEX(tk_MARK,MATCH(303,tk_FSEQ,0)),"")</f>
        <v/>
      </c>
      <c r="B308" s="70">
        <f>IFERROR(INDEX(tk_QTY,MATCH(303,tk_FSEQ,0)),"")</f>
        <v/>
      </c>
      <c r="C308" s="70">
        <f>IFERROR(INDEX(tk_ROOMF,MATCH(303,tk_FSEQ,0))&amp;IF(INDEX(tk_ROOMT,MATCH(303,tk_FSEQ,0))="",""," → "&amp;INDEX(tk_ROOMT,MATCH(303,tk_FSEQ,0))),"")</f>
        <v/>
      </c>
      <c r="D308" s="70">
        <f>IFERROR(""&amp;INDEX(tk_SIZE,MATCH(303,tk_FSEQ,0)),"")</f>
        <v/>
      </c>
      <c r="E308" s="70">
        <f>IFERROR(""&amp;INDEX(tk_RATING,MATCH(303,tk_FSEQ,0)),"")</f>
        <v/>
      </c>
      <c r="F308" s="70">
        <f>IFERROR(TEXT(INDEX(tk_OAW,MATCH(303,tk_FSEQ,0)),"0.000")&amp;" x "&amp;TEXT(INDEX(tk_OAH,MATCH(303,tk_FSEQ,0)),"0.000"),"")</f>
        <v/>
      </c>
      <c r="G308" s="70">
        <f>IFERROR(""&amp;INDEX(tk_FLINE,MATCH(303,tk_FSEQ,0)),"")</f>
        <v/>
      </c>
      <c r="H308" s="70">
        <f>IFERROR(""&amp;INDEX(tk_FNOTES,MATCH(303,tk_FSEQ,0)),"")</f>
        <v/>
      </c>
    </row>
    <row r="309">
      <c r="A309" s="70">
        <f>IFERROR(""&amp;INDEX(tk_MARK,MATCH(304,tk_FSEQ,0)),"")</f>
        <v/>
      </c>
      <c r="B309" s="70">
        <f>IFERROR(INDEX(tk_QTY,MATCH(304,tk_FSEQ,0)),"")</f>
        <v/>
      </c>
      <c r="C309" s="70">
        <f>IFERROR(INDEX(tk_ROOMF,MATCH(304,tk_FSEQ,0))&amp;IF(INDEX(tk_ROOMT,MATCH(304,tk_FSEQ,0))="",""," → "&amp;INDEX(tk_ROOMT,MATCH(304,tk_FSEQ,0))),"")</f>
        <v/>
      </c>
      <c r="D309" s="70">
        <f>IFERROR(""&amp;INDEX(tk_SIZE,MATCH(304,tk_FSEQ,0)),"")</f>
        <v/>
      </c>
      <c r="E309" s="70">
        <f>IFERROR(""&amp;INDEX(tk_RATING,MATCH(304,tk_FSEQ,0)),"")</f>
        <v/>
      </c>
      <c r="F309" s="70">
        <f>IFERROR(TEXT(INDEX(tk_OAW,MATCH(304,tk_FSEQ,0)),"0.000")&amp;" x "&amp;TEXT(INDEX(tk_OAH,MATCH(304,tk_FSEQ,0)),"0.000"),"")</f>
        <v/>
      </c>
      <c r="G309" s="70">
        <f>IFERROR(""&amp;INDEX(tk_FLINE,MATCH(304,tk_FSEQ,0)),"")</f>
        <v/>
      </c>
      <c r="H309" s="70">
        <f>IFERROR(""&amp;INDEX(tk_FNOTES,MATCH(304,tk_FSEQ,0)),"")</f>
        <v/>
      </c>
    </row>
    <row r="310">
      <c r="A310" s="70">
        <f>IFERROR(""&amp;INDEX(tk_MARK,MATCH(305,tk_FSEQ,0)),"")</f>
        <v/>
      </c>
      <c r="B310" s="70">
        <f>IFERROR(INDEX(tk_QTY,MATCH(305,tk_FSEQ,0)),"")</f>
        <v/>
      </c>
      <c r="C310" s="70">
        <f>IFERROR(INDEX(tk_ROOMF,MATCH(305,tk_FSEQ,0))&amp;IF(INDEX(tk_ROOMT,MATCH(305,tk_FSEQ,0))="",""," → "&amp;INDEX(tk_ROOMT,MATCH(305,tk_FSEQ,0))),"")</f>
        <v/>
      </c>
      <c r="D310" s="70">
        <f>IFERROR(""&amp;INDEX(tk_SIZE,MATCH(305,tk_FSEQ,0)),"")</f>
        <v/>
      </c>
      <c r="E310" s="70">
        <f>IFERROR(""&amp;INDEX(tk_RATING,MATCH(305,tk_FSEQ,0)),"")</f>
        <v/>
      </c>
      <c r="F310" s="70">
        <f>IFERROR(TEXT(INDEX(tk_OAW,MATCH(305,tk_FSEQ,0)),"0.000")&amp;" x "&amp;TEXT(INDEX(tk_OAH,MATCH(305,tk_FSEQ,0)),"0.000"),"")</f>
        <v/>
      </c>
      <c r="G310" s="70">
        <f>IFERROR(""&amp;INDEX(tk_FLINE,MATCH(305,tk_FSEQ,0)),"")</f>
        <v/>
      </c>
      <c r="H310" s="70">
        <f>IFERROR(""&amp;INDEX(tk_FNOTES,MATCH(305,tk_FSEQ,0)),"")</f>
        <v/>
      </c>
    </row>
    <row r="311">
      <c r="A311" s="70">
        <f>IFERROR(""&amp;INDEX(tk_MARK,MATCH(306,tk_FSEQ,0)),"")</f>
        <v/>
      </c>
      <c r="B311" s="70">
        <f>IFERROR(INDEX(tk_QTY,MATCH(306,tk_FSEQ,0)),"")</f>
        <v/>
      </c>
      <c r="C311" s="70">
        <f>IFERROR(INDEX(tk_ROOMF,MATCH(306,tk_FSEQ,0))&amp;IF(INDEX(tk_ROOMT,MATCH(306,tk_FSEQ,0))="",""," → "&amp;INDEX(tk_ROOMT,MATCH(306,tk_FSEQ,0))),"")</f>
        <v/>
      </c>
      <c r="D311" s="70">
        <f>IFERROR(""&amp;INDEX(tk_SIZE,MATCH(306,tk_FSEQ,0)),"")</f>
        <v/>
      </c>
      <c r="E311" s="70">
        <f>IFERROR(""&amp;INDEX(tk_RATING,MATCH(306,tk_FSEQ,0)),"")</f>
        <v/>
      </c>
      <c r="F311" s="70">
        <f>IFERROR(TEXT(INDEX(tk_OAW,MATCH(306,tk_FSEQ,0)),"0.000")&amp;" x "&amp;TEXT(INDEX(tk_OAH,MATCH(306,tk_FSEQ,0)),"0.000"),"")</f>
        <v/>
      </c>
      <c r="G311" s="70">
        <f>IFERROR(""&amp;INDEX(tk_FLINE,MATCH(306,tk_FSEQ,0)),"")</f>
        <v/>
      </c>
      <c r="H311" s="70">
        <f>IFERROR(""&amp;INDEX(tk_FNOTES,MATCH(306,tk_FSEQ,0)),"")</f>
        <v/>
      </c>
    </row>
    <row r="312">
      <c r="A312" s="70">
        <f>IFERROR(""&amp;INDEX(tk_MARK,MATCH(307,tk_FSEQ,0)),"")</f>
        <v/>
      </c>
      <c r="B312" s="70">
        <f>IFERROR(INDEX(tk_QTY,MATCH(307,tk_FSEQ,0)),"")</f>
        <v/>
      </c>
      <c r="C312" s="70">
        <f>IFERROR(INDEX(tk_ROOMF,MATCH(307,tk_FSEQ,0))&amp;IF(INDEX(tk_ROOMT,MATCH(307,tk_FSEQ,0))="",""," → "&amp;INDEX(tk_ROOMT,MATCH(307,tk_FSEQ,0))),"")</f>
        <v/>
      </c>
      <c r="D312" s="70">
        <f>IFERROR(""&amp;INDEX(tk_SIZE,MATCH(307,tk_FSEQ,0)),"")</f>
        <v/>
      </c>
      <c r="E312" s="70">
        <f>IFERROR(""&amp;INDEX(tk_RATING,MATCH(307,tk_FSEQ,0)),"")</f>
        <v/>
      </c>
      <c r="F312" s="70">
        <f>IFERROR(TEXT(INDEX(tk_OAW,MATCH(307,tk_FSEQ,0)),"0.000")&amp;" x "&amp;TEXT(INDEX(tk_OAH,MATCH(307,tk_FSEQ,0)),"0.000"),"")</f>
        <v/>
      </c>
      <c r="G312" s="70">
        <f>IFERROR(""&amp;INDEX(tk_FLINE,MATCH(307,tk_FSEQ,0)),"")</f>
        <v/>
      </c>
      <c r="H312" s="70">
        <f>IFERROR(""&amp;INDEX(tk_FNOTES,MATCH(307,tk_FSEQ,0)),"")</f>
        <v/>
      </c>
    </row>
    <row r="313">
      <c r="A313" s="70">
        <f>IFERROR(""&amp;INDEX(tk_MARK,MATCH(308,tk_FSEQ,0)),"")</f>
        <v/>
      </c>
      <c r="B313" s="70">
        <f>IFERROR(INDEX(tk_QTY,MATCH(308,tk_FSEQ,0)),"")</f>
        <v/>
      </c>
      <c r="C313" s="70">
        <f>IFERROR(INDEX(tk_ROOMF,MATCH(308,tk_FSEQ,0))&amp;IF(INDEX(tk_ROOMT,MATCH(308,tk_FSEQ,0))="",""," → "&amp;INDEX(tk_ROOMT,MATCH(308,tk_FSEQ,0))),"")</f>
        <v/>
      </c>
      <c r="D313" s="70">
        <f>IFERROR(""&amp;INDEX(tk_SIZE,MATCH(308,tk_FSEQ,0)),"")</f>
        <v/>
      </c>
      <c r="E313" s="70">
        <f>IFERROR(""&amp;INDEX(tk_RATING,MATCH(308,tk_FSEQ,0)),"")</f>
        <v/>
      </c>
      <c r="F313" s="70">
        <f>IFERROR(TEXT(INDEX(tk_OAW,MATCH(308,tk_FSEQ,0)),"0.000")&amp;" x "&amp;TEXT(INDEX(tk_OAH,MATCH(308,tk_FSEQ,0)),"0.000"),"")</f>
        <v/>
      </c>
      <c r="G313" s="70">
        <f>IFERROR(""&amp;INDEX(tk_FLINE,MATCH(308,tk_FSEQ,0)),"")</f>
        <v/>
      </c>
      <c r="H313" s="70">
        <f>IFERROR(""&amp;INDEX(tk_FNOTES,MATCH(308,tk_FSEQ,0)),"")</f>
        <v/>
      </c>
    </row>
    <row r="314">
      <c r="A314" s="70">
        <f>IFERROR(""&amp;INDEX(tk_MARK,MATCH(309,tk_FSEQ,0)),"")</f>
        <v/>
      </c>
      <c r="B314" s="70">
        <f>IFERROR(INDEX(tk_QTY,MATCH(309,tk_FSEQ,0)),"")</f>
        <v/>
      </c>
      <c r="C314" s="70">
        <f>IFERROR(INDEX(tk_ROOMF,MATCH(309,tk_FSEQ,0))&amp;IF(INDEX(tk_ROOMT,MATCH(309,tk_FSEQ,0))="",""," → "&amp;INDEX(tk_ROOMT,MATCH(309,tk_FSEQ,0))),"")</f>
        <v/>
      </c>
      <c r="D314" s="70">
        <f>IFERROR(""&amp;INDEX(tk_SIZE,MATCH(309,tk_FSEQ,0)),"")</f>
        <v/>
      </c>
      <c r="E314" s="70">
        <f>IFERROR(""&amp;INDEX(tk_RATING,MATCH(309,tk_FSEQ,0)),"")</f>
        <v/>
      </c>
      <c r="F314" s="70">
        <f>IFERROR(TEXT(INDEX(tk_OAW,MATCH(309,tk_FSEQ,0)),"0.000")&amp;" x "&amp;TEXT(INDEX(tk_OAH,MATCH(309,tk_FSEQ,0)),"0.000"),"")</f>
        <v/>
      </c>
      <c r="G314" s="70">
        <f>IFERROR(""&amp;INDEX(tk_FLINE,MATCH(309,tk_FSEQ,0)),"")</f>
        <v/>
      </c>
      <c r="H314" s="70">
        <f>IFERROR(""&amp;INDEX(tk_FNOTES,MATCH(309,tk_FSEQ,0)),"")</f>
        <v/>
      </c>
    </row>
    <row r="315">
      <c r="A315" s="70">
        <f>IFERROR(""&amp;INDEX(tk_MARK,MATCH(310,tk_FSEQ,0)),"")</f>
        <v/>
      </c>
      <c r="B315" s="70">
        <f>IFERROR(INDEX(tk_QTY,MATCH(310,tk_FSEQ,0)),"")</f>
        <v/>
      </c>
      <c r="C315" s="70">
        <f>IFERROR(INDEX(tk_ROOMF,MATCH(310,tk_FSEQ,0))&amp;IF(INDEX(tk_ROOMT,MATCH(310,tk_FSEQ,0))="",""," → "&amp;INDEX(tk_ROOMT,MATCH(310,tk_FSEQ,0))),"")</f>
        <v/>
      </c>
      <c r="D315" s="70">
        <f>IFERROR(""&amp;INDEX(tk_SIZE,MATCH(310,tk_FSEQ,0)),"")</f>
        <v/>
      </c>
      <c r="E315" s="70">
        <f>IFERROR(""&amp;INDEX(tk_RATING,MATCH(310,tk_FSEQ,0)),"")</f>
        <v/>
      </c>
      <c r="F315" s="70">
        <f>IFERROR(TEXT(INDEX(tk_OAW,MATCH(310,tk_FSEQ,0)),"0.000")&amp;" x "&amp;TEXT(INDEX(tk_OAH,MATCH(310,tk_FSEQ,0)),"0.000"),"")</f>
        <v/>
      </c>
      <c r="G315" s="70">
        <f>IFERROR(""&amp;INDEX(tk_FLINE,MATCH(310,tk_FSEQ,0)),"")</f>
        <v/>
      </c>
      <c r="H315" s="70">
        <f>IFERROR(""&amp;INDEX(tk_FNOTES,MATCH(310,tk_FSEQ,0)),"")</f>
        <v/>
      </c>
    </row>
    <row r="316">
      <c r="A316" s="70">
        <f>IFERROR(""&amp;INDEX(tk_MARK,MATCH(311,tk_FSEQ,0)),"")</f>
        <v/>
      </c>
      <c r="B316" s="70">
        <f>IFERROR(INDEX(tk_QTY,MATCH(311,tk_FSEQ,0)),"")</f>
        <v/>
      </c>
      <c r="C316" s="70">
        <f>IFERROR(INDEX(tk_ROOMF,MATCH(311,tk_FSEQ,0))&amp;IF(INDEX(tk_ROOMT,MATCH(311,tk_FSEQ,0))="",""," → "&amp;INDEX(tk_ROOMT,MATCH(311,tk_FSEQ,0))),"")</f>
        <v/>
      </c>
      <c r="D316" s="70">
        <f>IFERROR(""&amp;INDEX(tk_SIZE,MATCH(311,tk_FSEQ,0)),"")</f>
        <v/>
      </c>
      <c r="E316" s="70">
        <f>IFERROR(""&amp;INDEX(tk_RATING,MATCH(311,tk_FSEQ,0)),"")</f>
        <v/>
      </c>
      <c r="F316" s="70">
        <f>IFERROR(TEXT(INDEX(tk_OAW,MATCH(311,tk_FSEQ,0)),"0.000")&amp;" x "&amp;TEXT(INDEX(tk_OAH,MATCH(311,tk_FSEQ,0)),"0.000"),"")</f>
        <v/>
      </c>
      <c r="G316" s="70">
        <f>IFERROR(""&amp;INDEX(tk_FLINE,MATCH(311,tk_FSEQ,0)),"")</f>
        <v/>
      </c>
      <c r="H316" s="70">
        <f>IFERROR(""&amp;INDEX(tk_FNOTES,MATCH(311,tk_FSEQ,0)),"")</f>
        <v/>
      </c>
    </row>
    <row r="317">
      <c r="A317" s="70">
        <f>IFERROR(""&amp;INDEX(tk_MARK,MATCH(312,tk_FSEQ,0)),"")</f>
        <v/>
      </c>
      <c r="B317" s="70">
        <f>IFERROR(INDEX(tk_QTY,MATCH(312,tk_FSEQ,0)),"")</f>
        <v/>
      </c>
      <c r="C317" s="70">
        <f>IFERROR(INDEX(tk_ROOMF,MATCH(312,tk_FSEQ,0))&amp;IF(INDEX(tk_ROOMT,MATCH(312,tk_FSEQ,0))="",""," → "&amp;INDEX(tk_ROOMT,MATCH(312,tk_FSEQ,0))),"")</f>
        <v/>
      </c>
      <c r="D317" s="70">
        <f>IFERROR(""&amp;INDEX(tk_SIZE,MATCH(312,tk_FSEQ,0)),"")</f>
        <v/>
      </c>
      <c r="E317" s="70">
        <f>IFERROR(""&amp;INDEX(tk_RATING,MATCH(312,tk_FSEQ,0)),"")</f>
        <v/>
      </c>
      <c r="F317" s="70">
        <f>IFERROR(TEXT(INDEX(tk_OAW,MATCH(312,tk_FSEQ,0)),"0.000")&amp;" x "&amp;TEXT(INDEX(tk_OAH,MATCH(312,tk_FSEQ,0)),"0.000"),"")</f>
        <v/>
      </c>
      <c r="G317" s="70">
        <f>IFERROR(""&amp;INDEX(tk_FLINE,MATCH(312,tk_FSEQ,0)),"")</f>
        <v/>
      </c>
      <c r="H317" s="70">
        <f>IFERROR(""&amp;INDEX(tk_FNOTES,MATCH(312,tk_FSEQ,0)),"")</f>
        <v/>
      </c>
    </row>
    <row r="318">
      <c r="A318" s="70">
        <f>IFERROR(""&amp;INDEX(tk_MARK,MATCH(313,tk_FSEQ,0)),"")</f>
        <v/>
      </c>
      <c r="B318" s="70">
        <f>IFERROR(INDEX(tk_QTY,MATCH(313,tk_FSEQ,0)),"")</f>
        <v/>
      </c>
      <c r="C318" s="70">
        <f>IFERROR(INDEX(tk_ROOMF,MATCH(313,tk_FSEQ,0))&amp;IF(INDEX(tk_ROOMT,MATCH(313,tk_FSEQ,0))="",""," → "&amp;INDEX(tk_ROOMT,MATCH(313,tk_FSEQ,0))),"")</f>
        <v/>
      </c>
      <c r="D318" s="70">
        <f>IFERROR(""&amp;INDEX(tk_SIZE,MATCH(313,tk_FSEQ,0)),"")</f>
        <v/>
      </c>
      <c r="E318" s="70">
        <f>IFERROR(""&amp;INDEX(tk_RATING,MATCH(313,tk_FSEQ,0)),"")</f>
        <v/>
      </c>
      <c r="F318" s="70">
        <f>IFERROR(TEXT(INDEX(tk_OAW,MATCH(313,tk_FSEQ,0)),"0.000")&amp;" x "&amp;TEXT(INDEX(tk_OAH,MATCH(313,tk_FSEQ,0)),"0.000"),"")</f>
        <v/>
      </c>
      <c r="G318" s="70">
        <f>IFERROR(""&amp;INDEX(tk_FLINE,MATCH(313,tk_FSEQ,0)),"")</f>
        <v/>
      </c>
      <c r="H318" s="70">
        <f>IFERROR(""&amp;INDEX(tk_FNOTES,MATCH(313,tk_FSEQ,0)),"")</f>
        <v/>
      </c>
    </row>
    <row r="319">
      <c r="A319" s="70">
        <f>IFERROR(""&amp;INDEX(tk_MARK,MATCH(314,tk_FSEQ,0)),"")</f>
        <v/>
      </c>
      <c r="B319" s="70">
        <f>IFERROR(INDEX(tk_QTY,MATCH(314,tk_FSEQ,0)),"")</f>
        <v/>
      </c>
      <c r="C319" s="70">
        <f>IFERROR(INDEX(tk_ROOMF,MATCH(314,tk_FSEQ,0))&amp;IF(INDEX(tk_ROOMT,MATCH(314,tk_FSEQ,0))="",""," → "&amp;INDEX(tk_ROOMT,MATCH(314,tk_FSEQ,0))),"")</f>
        <v/>
      </c>
      <c r="D319" s="70">
        <f>IFERROR(""&amp;INDEX(tk_SIZE,MATCH(314,tk_FSEQ,0)),"")</f>
        <v/>
      </c>
      <c r="E319" s="70">
        <f>IFERROR(""&amp;INDEX(tk_RATING,MATCH(314,tk_FSEQ,0)),"")</f>
        <v/>
      </c>
      <c r="F319" s="70">
        <f>IFERROR(TEXT(INDEX(tk_OAW,MATCH(314,tk_FSEQ,0)),"0.000")&amp;" x "&amp;TEXT(INDEX(tk_OAH,MATCH(314,tk_FSEQ,0)),"0.000"),"")</f>
        <v/>
      </c>
      <c r="G319" s="70">
        <f>IFERROR(""&amp;INDEX(tk_FLINE,MATCH(314,tk_FSEQ,0)),"")</f>
        <v/>
      </c>
      <c r="H319" s="70">
        <f>IFERROR(""&amp;INDEX(tk_FNOTES,MATCH(314,tk_FSEQ,0)),"")</f>
        <v/>
      </c>
    </row>
    <row r="320">
      <c r="A320" s="70">
        <f>IFERROR(""&amp;INDEX(tk_MARK,MATCH(315,tk_FSEQ,0)),"")</f>
        <v/>
      </c>
      <c r="B320" s="70">
        <f>IFERROR(INDEX(tk_QTY,MATCH(315,tk_FSEQ,0)),"")</f>
        <v/>
      </c>
      <c r="C320" s="70">
        <f>IFERROR(INDEX(tk_ROOMF,MATCH(315,tk_FSEQ,0))&amp;IF(INDEX(tk_ROOMT,MATCH(315,tk_FSEQ,0))="",""," → "&amp;INDEX(tk_ROOMT,MATCH(315,tk_FSEQ,0))),"")</f>
        <v/>
      </c>
      <c r="D320" s="70">
        <f>IFERROR(""&amp;INDEX(tk_SIZE,MATCH(315,tk_FSEQ,0)),"")</f>
        <v/>
      </c>
      <c r="E320" s="70">
        <f>IFERROR(""&amp;INDEX(tk_RATING,MATCH(315,tk_FSEQ,0)),"")</f>
        <v/>
      </c>
      <c r="F320" s="70">
        <f>IFERROR(TEXT(INDEX(tk_OAW,MATCH(315,tk_FSEQ,0)),"0.000")&amp;" x "&amp;TEXT(INDEX(tk_OAH,MATCH(315,tk_FSEQ,0)),"0.000"),"")</f>
        <v/>
      </c>
      <c r="G320" s="70">
        <f>IFERROR(""&amp;INDEX(tk_FLINE,MATCH(315,tk_FSEQ,0)),"")</f>
        <v/>
      </c>
      <c r="H320" s="70">
        <f>IFERROR(""&amp;INDEX(tk_FNOTES,MATCH(315,tk_FSEQ,0)),"")</f>
        <v/>
      </c>
    </row>
    <row r="321">
      <c r="A321" s="70">
        <f>IFERROR(""&amp;INDEX(tk_MARK,MATCH(316,tk_FSEQ,0)),"")</f>
        <v/>
      </c>
      <c r="B321" s="70">
        <f>IFERROR(INDEX(tk_QTY,MATCH(316,tk_FSEQ,0)),"")</f>
        <v/>
      </c>
      <c r="C321" s="70">
        <f>IFERROR(INDEX(tk_ROOMF,MATCH(316,tk_FSEQ,0))&amp;IF(INDEX(tk_ROOMT,MATCH(316,tk_FSEQ,0))="",""," → "&amp;INDEX(tk_ROOMT,MATCH(316,tk_FSEQ,0))),"")</f>
        <v/>
      </c>
      <c r="D321" s="70">
        <f>IFERROR(""&amp;INDEX(tk_SIZE,MATCH(316,tk_FSEQ,0)),"")</f>
        <v/>
      </c>
      <c r="E321" s="70">
        <f>IFERROR(""&amp;INDEX(tk_RATING,MATCH(316,tk_FSEQ,0)),"")</f>
        <v/>
      </c>
      <c r="F321" s="70">
        <f>IFERROR(TEXT(INDEX(tk_OAW,MATCH(316,tk_FSEQ,0)),"0.000")&amp;" x "&amp;TEXT(INDEX(tk_OAH,MATCH(316,tk_FSEQ,0)),"0.000"),"")</f>
        <v/>
      </c>
      <c r="G321" s="70">
        <f>IFERROR(""&amp;INDEX(tk_FLINE,MATCH(316,tk_FSEQ,0)),"")</f>
        <v/>
      </c>
      <c r="H321" s="70">
        <f>IFERROR(""&amp;INDEX(tk_FNOTES,MATCH(316,tk_FSEQ,0)),"")</f>
        <v/>
      </c>
    </row>
    <row r="322">
      <c r="A322" s="70">
        <f>IFERROR(""&amp;INDEX(tk_MARK,MATCH(317,tk_FSEQ,0)),"")</f>
        <v/>
      </c>
      <c r="B322" s="70">
        <f>IFERROR(INDEX(tk_QTY,MATCH(317,tk_FSEQ,0)),"")</f>
        <v/>
      </c>
      <c r="C322" s="70">
        <f>IFERROR(INDEX(tk_ROOMF,MATCH(317,tk_FSEQ,0))&amp;IF(INDEX(tk_ROOMT,MATCH(317,tk_FSEQ,0))="",""," → "&amp;INDEX(tk_ROOMT,MATCH(317,tk_FSEQ,0))),"")</f>
        <v/>
      </c>
      <c r="D322" s="70">
        <f>IFERROR(""&amp;INDEX(tk_SIZE,MATCH(317,tk_FSEQ,0)),"")</f>
        <v/>
      </c>
      <c r="E322" s="70">
        <f>IFERROR(""&amp;INDEX(tk_RATING,MATCH(317,tk_FSEQ,0)),"")</f>
        <v/>
      </c>
      <c r="F322" s="70">
        <f>IFERROR(TEXT(INDEX(tk_OAW,MATCH(317,tk_FSEQ,0)),"0.000")&amp;" x "&amp;TEXT(INDEX(tk_OAH,MATCH(317,tk_FSEQ,0)),"0.000"),"")</f>
        <v/>
      </c>
      <c r="G322" s="70">
        <f>IFERROR(""&amp;INDEX(tk_FLINE,MATCH(317,tk_FSEQ,0)),"")</f>
        <v/>
      </c>
      <c r="H322" s="70">
        <f>IFERROR(""&amp;INDEX(tk_FNOTES,MATCH(317,tk_FSEQ,0)),"")</f>
        <v/>
      </c>
    </row>
    <row r="323">
      <c r="A323" s="70">
        <f>IFERROR(""&amp;INDEX(tk_MARK,MATCH(318,tk_FSEQ,0)),"")</f>
        <v/>
      </c>
      <c r="B323" s="70">
        <f>IFERROR(INDEX(tk_QTY,MATCH(318,tk_FSEQ,0)),"")</f>
        <v/>
      </c>
      <c r="C323" s="70">
        <f>IFERROR(INDEX(tk_ROOMF,MATCH(318,tk_FSEQ,0))&amp;IF(INDEX(tk_ROOMT,MATCH(318,tk_FSEQ,0))="",""," → "&amp;INDEX(tk_ROOMT,MATCH(318,tk_FSEQ,0))),"")</f>
        <v/>
      </c>
      <c r="D323" s="70">
        <f>IFERROR(""&amp;INDEX(tk_SIZE,MATCH(318,tk_FSEQ,0)),"")</f>
        <v/>
      </c>
      <c r="E323" s="70">
        <f>IFERROR(""&amp;INDEX(tk_RATING,MATCH(318,tk_FSEQ,0)),"")</f>
        <v/>
      </c>
      <c r="F323" s="70">
        <f>IFERROR(TEXT(INDEX(tk_OAW,MATCH(318,tk_FSEQ,0)),"0.000")&amp;" x "&amp;TEXT(INDEX(tk_OAH,MATCH(318,tk_FSEQ,0)),"0.000"),"")</f>
        <v/>
      </c>
      <c r="G323" s="70">
        <f>IFERROR(""&amp;INDEX(tk_FLINE,MATCH(318,tk_FSEQ,0)),"")</f>
        <v/>
      </c>
      <c r="H323" s="70">
        <f>IFERROR(""&amp;INDEX(tk_FNOTES,MATCH(318,tk_FSEQ,0)),"")</f>
        <v/>
      </c>
    </row>
    <row r="324">
      <c r="A324" s="70">
        <f>IFERROR(""&amp;INDEX(tk_MARK,MATCH(319,tk_FSEQ,0)),"")</f>
        <v/>
      </c>
      <c r="B324" s="70">
        <f>IFERROR(INDEX(tk_QTY,MATCH(319,tk_FSEQ,0)),"")</f>
        <v/>
      </c>
      <c r="C324" s="70">
        <f>IFERROR(INDEX(tk_ROOMF,MATCH(319,tk_FSEQ,0))&amp;IF(INDEX(tk_ROOMT,MATCH(319,tk_FSEQ,0))="",""," → "&amp;INDEX(tk_ROOMT,MATCH(319,tk_FSEQ,0))),"")</f>
        <v/>
      </c>
      <c r="D324" s="70">
        <f>IFERROR(""&amp;INDEX(tk_SIZE,MATCH(319,tk_FSEQ,0)),"")</f>
        <v/>
      </c>
      <c r="E324" s="70">
        <f>IFERROR(""&amp;INDEX(tk_RATING,MATCH(319,tk_FSEQ,0)),"")</f>
        <v/>
      </c>
      <c r="F324" s="70">
        <f>IFERROR(TEXT(INDEX(tk_OAW,MATCH(319,tk_FSEQ,0)),"0.000")&amp;" x "&amp;TEXT(INDEX(tk_OAH,MATCH(319,tk_FSEQ,0)),"0.000"),"")</f>
        <v/>
      </c>
      <c r="G324" s="70">
        <f>IFERROR(""&amp;INDEX(tk_FLINE,MATCH(319,tk_FSEQ,0)),"")</f>
        <v/>
      </c>
      <c r="H324" s="70">
        <f>IFERROR(""&amp;INDEX(tk_FNOTES,MATCH(319,tk_FSEQ,0)),"")</f>
        <v/>
      </c>
    </row>
    <row r="325">
      <c r="A325" s="70">
        <f>IFERROR(""&amp;INDEX(tk_MARK,MATCH(320,tk_FSEQ,0)),"")</f>
        <v/>
      </c>
      <c r="B325" s="70">
        <f>IFERROR(INDEX(tk_QTY,MATCH(320,tk_FSEQ,0)),"")</f>
        <v/>
      </c>
      <c r="C325" s="70">
        <f>IFERROR(INDEX(tk_ROOMF,MATCH(320,tk_FSEQ,0))&amp;IF(INDEX(tk_ROOMT,MATCH(320,tk_FSEQ,0))="",""," → "&amp;INDEX(tk_ROOMT,MATCH(320,tk_FSEQ,0))),"")</f>
        <v/>
      </c>
      <c r="D325" s="70">
        <f>IFERROR(""&amp;INDEX(tk_SIZE,MATCH(320,tk_FSEQ,0)),"")</f>
        <v/>
      </c>
      <c r="E325" s="70">
        <f>IFERROR(""&amp;INDEX(tk_RATING,MATCH(320,tk_FSEQ,0)),"")</f>
        <v/>
      </c>
      <c r="F325" s="70">
        <f>IFERROR(TEXT(INDEX(tk_OAW,MATCH(320,tk_FSEQ,0)),"0.000")&amp;" x "&amp;TEXT(INDEX(tk_OAH,MATCH(320,tk_FSEQ,0)),"0.000"),"")</f>
        <v/>
      </c>
      <c r="G325" s="70">
        <f>IFERROR(""&amp;INDEX(tk_FLINE,MATCH(320,tk_FSEQ,0)),"")</f>
        <v/>
      </c>
      <c r="H325" s="70">
        <f>IFERROR(""&amp;INDEX(tk_FNOTES,MATCH(320,tk_FSEQ,0)),"")</f>
        <v/>
      </c>
    </row>
    <row r="326">
      <c r="A326" s="70">
        <f>IFERROR(""&amp;INDEX(tk_MARK,MATCH(321,tk_FSEQ,0)),"")</f>
        <v/>
      </c>
      <c r="B326" s="70">
        <f>IFERROR(INDEX(tk_QTY,MATCH(321,tk_FSEQ,0)),"")</f>
        <v/>
      </c>
      <c r="C326" s="70">
        <f>IFERROR(INDEX(tk_ROOMF,MATCH(321,tk_FSEQ,0))&amp;IF(INDEX(tk_ROOMT,MATCH(321,tk_FSEQ,0))="",""," → "&amp;INDEX(tk_ROOMT,MATCH(321,tk_FSEQ,0))),"")</f>
        <v/>
      </c>
      <c r="D326" s="70">
        <f>IFERROR(""&amp;INDEX(tk_SIZE,MATCH(321,tk_FSEQ,0)),"")</f>
        <v/>
      </c>
      <c r="E326" s="70">
        <f>IFERROR(""&amp;INDEX(tk_RATING,MATCH(321,tk_FSEQ,0)),"")</f>
        <v/>
      </c>
      <c r="F326" s="70">
        <f>IFERROR(TEXT(INDEX(tk_OAW,MATCH(321,tk_FSEQ,0)),"0.000")&amp;" x "&amp;TEXT(INDEX(tk_OAH,MATCH(321,tk_FSEQ,0)),"0.000"),"")</f>
        <v/>
      </c>
      <c r="G326" s="70">
        <f>IFERROR(""&amp;INDEX(tk_FLINE,MATCH(321,tk_FSEQ,0)),"")</f>
        <v/>
      </c>
      <c r="H326" s="70">
        <f>IFERROR(""&amp;INDEX(tk_FNOTES,MATCH(321,tk_FSEQ,0)),"")</f>
        <v/>
      </c>
    </row>
    <row r="327">
      <c r="A327" s="70">
        <f>IFERROR(""&amp;INDEX(tk_MARK,MATCH(322,tk_FSEQ,0)),"")</f>
        <v/>
      </c>
      <c r="B327" s="70">
        <f>IFERROR(INDEX(tk_QTY,MATCH(322,tk_FSEQ,0)),"")</f>
        <v/>
      </c>
      <c r="C327" s="70">
        <f>IFERROR(INDEX(tk_ROOMF,MATCH(322,tk_FSEQ,0))&amp;IF(INDEX(tk_ROOMT,MATCH(322,tk_FSEQ,0))="",""," → "&amp;INDEX(tk_ROOMT,MATCH(322,tk_FSEQ,0))),"")</f>
        <v/>
      </c>
      <c r="D327" s="70">
        <f>IFERROR(""&amp;INDEX(tk_SIZE,MATCH(322,tk_FSEQ,0)),"")</f>
        <v/>
      </c>
      <c r="E327" s="70">
        <f>IFERROR(""&amp;INDEX(tk_RATING,MATCH(322,tk_FSEQ,0)),"")</f>
        <v/>
      </c>
      <c r="F327" s="70">
        <f>IFERROR(TEXT(INDEX(tk_OAW,MATCH(322,tk_FSEQ,0)),"0.000")&amp;" x "&amp;TEXT(INDEX(tk_OAH,MATCH(322,tk_FSEQ,0)),"0.000"),"")</f>
        <v/>
      </c>
      <c r="G327" s="70">
        <f>IFERROR(""&amp;INDEX(tk_FLINE,MATCH(322,tk_FSEQ,0)),"")</f>
        <v/>
      </c>
      <c r="H327" s="70">
        <f>IFERROR(""&amp;INDEX(tk_FNOTES,MATCH(322,tk_FSEQ,0)),"")</f>
        <v/>
      </c>
    </row>
    <row r="328">
      <c r="A328" s="70">
        <f>IFERROR(""&amp;INDEX(tk_MARK,MATCH(323,tk_FSEQ,0)),"")</f>
        <v/>
      </c>
      <c r="B328" s="70">
        <f>IFERROR(INDEX(tk_QTY,MATCH(323,tk_FSEQ,0)),"")</f>
        <v/>
      </c>
      <c r="C328" s="70">
        <f>IFERROR(INDEX(tk_ROOMF,MATCH(323,tk_FSEQ,0))&amp;IF(INDEX(tk_ROOMT,MATCH(323,tk_FSEQ,0))="",""," → "&amp;INDEX(tk_ROOMT,MATCH(323,tk_FSEQ,0))),"")</f>
        <v/>
      </c>
      <c r="D328" s="70">
        <f>IFERROR(""&amp;INDEX(tk_SIZE,MATCH(323,tk_FSEQ,0)),"")</f>
        <v/>
      </c>
      <c r="E328" s="70">
        <f>IFERROR(""&amp;INDEX(tk_RATING,MATCH(323,tk_FSEQ,0)),"")</f>
        <v/>
      </c>
      <c r="F328" s="70">
        <f>IFERROR(TEXT(INDEX(tk_OAW,MATCH(323,tk_FSEQ,0)),"0.000")&amp;" x "&amp;TEXT(INDEX(tk_OAH,MATCH(323,tk_FSEQ,0)),"0.000"),"")</f>
        <v/>
      </c>
      <c r="G328" s="70">
        <f>IFERROR(""&amp;INDEX(tk_FLINE,MATCH(323,tk_FSEQ,0)),"")</f>
        <v/>
      </c>
      <c r="H328" s="70">
        <f>IFERROR(""&amp;INDEX(tk_FNOTES,MATCH(323,tk_FSEQ,0)),"")</f>
        <v/>
      </c>
    </row>
    <row r="329">
      <c r="A329" s="70">
        <f>IFERROR(""&amp;INDEX(tk_MARK,MATCH(324,tk_FSEQ,0)),"")</f>
        <v/>
      </c>
      <c r="B329" s="70">
        <f>IFERROR(INDEX(tk_QTY,MATCH(324,tk_FSEQ,0)),"")</f>
        <v/>
      </c>
      <c r="C329" s="70">
        <f>IFERROR(INDEX(tk_ROOMF,MATCH(324,tk_FSEQ,0))&amp;IF(INDEX(tk_ROOMT,MATCH(324,tk_FSEQ,0))="",""," → "&amp;INDEX(tk_ROOMT,MATCH(324,tk_FSEQ,0))),"")</f>
        <v/>
      </c>
      <c r="D329" s="70">
        <f>IFERROR(""&amp;INDEX(tk_SIZE,MATCH(324,tk_FSEQ,0)),"")</f>
        <v/>
      </c>
      <c r="E329" s="70">
        <f>IFERROR(""&amp;INDEX(tk_RATING,MATCH(324,tk_FSEQ,0)),"")</f>
        <v/>
      </c>
      <c r="F329" s="70">
        <f>IFERROR(TEXT(INDEX(tk_OAW,MATCH(324,tk_FSEQ,0)),"0.000")&amp;" x "&amp;TEXT(INDEX(tk_OAH,MATCH(324,tk_FSEQ,0)),"0.000"),"")</f>
        <v/>
      </c>
      <c r="G329" s="70">
        <f>IFERROR(""&amp;INDEX(tk_FLINE,MATCH(324,tk_FSEQ,0)),"")</f>
        <v/>
      </c>
      <c r="H329" s="70">
        <f>IFERROR(""&amp;INDEX(tk_FNOTES,MATCH(324,tk_FSEQ,0)),"")</f>
        <v/>
      </c>
    </row>
    <row r="330">
      <c r="A330" s="70">
        <f>IFERROR(""&amp;INDEX(tk_MARK,MATCH(325,tk_FSEQ,0)),"")</f>
        <v/>
      </c>
      <c r="B330" s="70">
        <f>IFERROR(INDEX(tk_QTY,MATCH(325,tk_FSEQ,0)),"")</f>
        <v/>
      </c>
      <c r="C330" s="70">
        <f>IFERROR(INDEX(tk_ROOMF,MATCH(325,tk_FSEQ,0))&amp;IF(INDEX(tk_ROOMT,MATCH(325,tk_FSEQ,0))="",""," → "&amp;INDEX(tk_ROOMT,MATCH(325,tk_FSEQ,0))),"")</f>
        <v/>
      </c>
      <c r="D330" s="70">
        <f>IFERROR(""&amp;INDEX(tk_SIZE,MATCH(325,tk_FSEQ,0)),"")</f>
        <v/>
      </c>
      <c r="E330" s="70">
        <f>IFERROR(""&amp;INDEX(tk_RATING,MATCH(325,tk_FSEQ,0)),"")</f>
        <v/>
      </c>
      <c r="F330" s="70">
        <f>IFERROR(TEXT(INDEX(tk_OAW,MATCH(325,tk_FSEQ,0)),"0.000")&amp;" x "&amp;TEXT(INDEX(tk_OAH,MATCH(325,tk_FSEQ,0)),"0.000"),"")</f>
        <v/>
      </c>
      <c r="G330" s="70">
        <f>IFERROR(""&amp;INDEX(tk_FLINE,MATCH(325,tk_FSEQ,0)),"")</f>
        <v/>
      </c>
      <c r="H330" s="70">
        <f>IFERROR(""&amp;INDEX(tk_FNOTES,MATCH(325,tk_FSEQ,0)),"")</f>
        <v/>
      </c>
    </row>
    <row r="331">
      <c r="A331" s="70">
        <f>IFERROR(""&amp;INDEX(tk_MARK,MATCH(326,tk_FSEQ,0)),"")</f>
        <v/>
      </c>
      <c r="B331" s="70">
        <f>IFERROR(INDEX(tk_QTY,MATCH(326,tk_FSEQ,0)),"")</f>
        <v/>
      </c>
      <c r="C331" s="70">
        <f>IFERROR(INDEX(tk_ROOMF,MATCH(326,tk_FSEQ,0))&amp;IF(INDEX(tk_ROOMT,MATCH(326,tk_FSEQ,0))="",""," → "&amp;INDEX(tk_ROOMT,MATCH(326,tk_FSEQ,0))),"")</f>
        <v/>
      </c>
      <c r="D331" s="70">
        <f>IFERROR(""&amp;INDEX(tk_SIZE,MATCH(326,tk_FSEQ,0)),"")</f>
        <v/>
      </c>
      <c r="E331" s="70">
        <f>IFERROR(""&amp;INDEX(tk_RATING,MATCH(326,tk_FSEQ,0)),"")</f>
        <v/>
      </c>
      <c r="F331" s="70">
        <f>IFERROR(TEXT(INDEX(tk_OAW,MATCH(326,tk_FSEQ,0)),"0.000")&amp;" x "&amp;TEXT(INDEX(tk_OAH,MATCH(326,tk_FSEQ,0)),"0.000"),"")</f>
        <v/>
      </c>
      <c r="G331" s="70">
        <f>IFERROR(""&amp;INDEX(tk_FLINE,MATCH(326,tk_FSEQ,0)),"")</f>
        <v/>
      </c>
      <c r="H331" s="70">
        <f>IFERROR(""&amp;INDEX(tk_FNOTES,MATCH(326,tk_FSEQ,0)),"")</f>
        <v/>
      </c>
    </row>
    <row r="332">
      <c r="A332" s="70">
        <f>IFERROR(""&amp;INDEX(tk_MARK,MATCH(327,tk_FSEQ,0)),"")</f>
        <v/>
      </c>
      <c r="B332" s="70">
        <f>IFERROR(INDEX(tk_QTY,MATCH(327,tk_FSEQ,0)),"")</f>
        <v/>
      </c>
      <c r="C332" s="70">
        <f>IFERROR(INDEX(tk_ROOMF,MATCH(327,tk_FSEQ,0))&amp;IF(INDEX(tk_ROOMT,MATCH(327,tk_FSEQ,0))="",""," → "&amp;INDEX(tk_ROOMT,MATCH(327,tk_FSEQ,0))),"")</f>
        <v/>
      </c>
      <c r="D332" s="70">
        <f>IFERROR(""&amp;INDEX(tk_SIZE,MATCH(327,tk_FSEQ,0)),"")</f>
        <v/>
      </c>
      <c r="E332" s="70">
        <f>IFERROR(""&amp;INDEX(tk_RATING,MATCH(327,tk_FSEQ,0)),"")</f>
        <v/>
      </c>
      <c r="F332" s="70">
        <f>IFERROR(TEXT(INDEX(tk_OAW,MATCH(327,tk_FSEQ,0)),"0.000")&amp;" x "&amp;TEXT(INDEX(tk_OAH,MATCH(327,tk_FSEQ,0)),"0.000"),"")</f>
        <v/>
      </c>
      <c r="G332" s="70">
        <f>IFERROR(""&amp;INDEX(tk_FLINE,MATCH(327,tk_FSEQ,0)),"")</f>
        <v/>
      </c>
      <c r="H332" s="70">
        <f>IFERROR(""&amp;INDEX(tk_FNOTES,MATCH(327,tk_FSEQ,0)),"")</f>
        <v/>
      </c>
    </row>
    <row r="333">
      <c r="A333" s="70">
        <f>IFERROR(""&amp;INDEX(tk_MARK,MATCH(328,tk_FSEQ,0)),"")</f>
        <v/>
      </c>
      <c r="B333" s="70">
        <f>IFERROR(INDEX(tk_QTY,MATCH(328,tk_FSEQ,0)),"")</f>
        <v/>
      </c>
      <c r="C333" s="70">
        <f>IFERROR(INDEX(tk_ROOMF,MATCH(328,tk_FSEQ,0))&amp;IF(INDEX(tk_ROOMT,MATCH(328,tk_FSEQ,0))="",""," → "&amp;INDEX(tk_ROOMT,MATCH(328,tk_FSEQ,0))),"")</f>
        <v/>
      </c>
      <c r="D333" s="70">
        <f>IFERROR(""&amp;INDEX(tk_SIZE,MATCH(328,tk_FSEQ,0)),"")</f>
        <v/>
      </c>
      <c r="E333" s="70">
        <f>IFERROR(""&amp;INDEX(tk_RATING,MATCH(328,tk_FSEQ,0)),"")</f>
        <v/>
      </c>
      <c r="F333" s="70">
        <f>IFERROR(TEXT(INDEX(tk_OAW,MATCH(328,tk_FSEQ,0)),"0.000")&amp;" x "&amp;TEXT(INDEX(tk_OAH,MATCH(328,tk_FSEQ,0)),"0.000"),"")</f>
        <v/>
      </c>
      <c r="G333" s="70">
        <f>IFERROR(""&amp;INDEX(tk_FLINE,MATCH(328,tk_FSEQ,0)),"")</f>
        <v/>
      </c>
      <c r="H333" s="70">
        <f>IFERROR(""&amp;INDEX(tk_FNOTES,MATCH(328,tk_FSEQ,0)),"")</f>
        <v/>
      </c>
    </row>
    <row r="334">
      <c r="A334" s="70">
        <f>IFERROR(""&amp;INDEX(tk_MARK,MATCH(329,tk_FSEQ,0)),"")</f>
        <v/>
      </c>
      <c r="B334" s="70">
        <f>IFERROR(INDEX(tk_QTY,MATCH(329,tk_FSEQ,0)),"")</f>
        <v/>
      </c>
      <c r="C334" s="70">
        <f>IFERROR(INDEX(tk_ROOMF,MATCH(329,tk_FSEQ,0))&amp;IF(INDEX(tk_ROOMT,MATCH(329,tk_FSEQ,0))="",""," → "&amp;INDEX(tk_ROOMT,MATCH(329,tk_FSEQ,0))),"")</f>
        <v/>
      </c>
      <c r="D334" s="70">
        <f>IFERROR(""&amp;INDEX(tk_SIZE,MATCH(329,tk_FSEQ,0)),"")</f>
        <v/>
      </c>
      <c r="E334" s="70">
        <f>IFERROR(""&amp;INDEX(tk_RATING,MATCH(329,tk_FSEQ,0)),"")</f>
        <v/>
      </c>
      <c r="F334" s="70">
        <f>IFERROR(TEXT(INDEX(tk_OAW,MATCH(329,tk_FSEQ,0)),"0.000")&amp;" x "&amp;TEXT(INDEX(tk_OAH,MATCH(329,tk_FSEQ,0)),"0.000"),"")</f>
        <v/>
      </c>
      <c r="G334" s="70">
        <f>IFERROR(""&amp;INDEX(tk_FLINE,MATCH(329,tk_FSEQ,0)),"")</f>
        <v/>
      </c>
      <c r="H334" s="70">
        <f>IFERROR(""&amp;INDEX(tk_FNOTES,MATCH(329,tk_FSEQ,0)),"")</f>
        <v/>
      </c>
    </row>
    <row r="335">
      <c r="A335" s="70">
        <f>IFERROR(""&amp;INDEX(tk_MARK,MATCH(330,tk_FSEQ,0)),"")</f>
        <v/>
      </c>
      <c r="B335" s="70">
        <f>IFERROR(INDEX(tk_QTY,MATCH(330,tk_FSEQ,0)),"")</f>
        <v/>
      </c>
      <c r="C335" s="70">
        <f>IFERROR(INDEX(tk_ROOMF,MATCH(330,tk_FSEQ,0))&amp;IF(INDEX(tk_ROOMT,MATCH(330,tk_FSEQ,0))="",""," → "&amp;INDEX(tk_ROOMT,MATCH(330,tk_FSEQ,0))),"")</f>
        <v/>
      </c>
      <c r="D335" s="70">
        <f>IFERROR(""&amp;INDEX(tk_SIZE,MATCH(330,tk_FSEQ,0)),"")</f>
        <v/>
      </c>
      <c r="E335" s="70">
        <f>IFERROR(""&amp;INDEX(tk_RATING,MATCH(330,tk_FSEQ,0)),"")</f>
        <v/>
      </c>
      <c r="F335" s="70">
        <f>IFERROR(TEXT(INDEX(tk_OAW,MATCH(330,tk_FSEQ,0)),"0.000")&amp;" x "&amp;TEXT(INDEX(tk_OAH,MATCH(330,tk_FSEQ,0)),"0.000"),"")</f>
        <v/>
      </c>
      <c r="G335" s="70">
        <f>IFERROR(""&amp;INDEX(tk_FLINE,MATCH(330,tk_FSEQ,0)),"")</f>
        <v/>
      </c>
      <c r="H335" s="70">
        <f>IFERROR(""&amp;INDEX(tk_FNOTES,MATCH(330,tk_FSEQ,0)),"")</f>
        <v/>
      </c>
    </row>
    <row r="336">
      <c r="A336" s="70">
        <f>IFERROR(""&amp;INDEX(tk_MARK,MATCH(331,tk_FSEQ,0)),"")</f>
        <v/>
      </c>
      <c r="B336" s="70">
        <f>IFERROR(INDEX(tk_QTY,MATCH(331,tk_FSEQ,0)),"")</f>
        <v/>
      </c>
      <c r="C336" s="70">
        <f>IFERROR(INDEX(tk_ROOMF,MATCH(331,tk_FSEQ,0))&amp;IF(INDEX(tk_ROOMT,MATCH(331,tk_FSEQ,0))="",""," → "&amp;INDEX(tk_ROOMT,MATCH(331,tk_FSEQ,0))),"")</f>
        <v/>
      </c>
      <c r="D336" s="70">
        <f>IFERROR(""&amp;INDEX(tk_SIZE,MATCH(331,tk_FSEQ,0)),"")</f>
        <v/>
      </c>
      <c r="E336" s="70">
        <f>IFERROR(""&amp;INDEX(tk_RATING,MATCH(331,tk_FSEQ,0)),"")</f>
        <v/>
      </c>
      <c r="F336" s="70">
        <f>IFERROR(TEXT(INDEX(tk_OAW,MATCH(331,tk_FSEQ,0)),"0.000")&amp;" x "&amp;TEXT(INDEX(tk_OAH,MATCH(331,tk_FSEQ,0)),"0.000"),"")</f>
        <v/>
      </c>
      <c r="G336" s="70">
        <f>IFERROR(""&amp;INDEX(tk_FLINE,MATCH(331,tk_FSEQ,0)),"")</f>
        <v/>
      </c>
      <c r="H336" s="70">
        <f>IFERROR(""&amp;INDEX(tk_FNOTES,MATCH(331,tk_FSEQ,0)),"")</f>
        <v/>
      </c>
    </row>
    <row r="337">
      <c r="A337" s="70">
        <f>IFERROR(""&amp;INDEX(tk_MARK,MATCH(332,tk_FSEQ,0)),"")</f>
        <v/>
      </c>
      <c r="B337" s="70">
        <f>IFERROR(INDEX(tk_QTY,MATCH(332,tk_FSEQ,0)),"")</f>
        <v/>
      </c>
      <c r="C337" s="70">
        <f>IFERROR(INDEX(tk_ROOMF,MATCH(332,tk_FSEQ,0))&amp;IF(INDEX(tk_ROOMT,MATCH(332,tk_FSEQ,0))="",""," → "&amp;INDEX(tk_ROOMT,MATCH(332,tk_FSEQ,0))),"")</f>
        <v/>
      </c>
      <c r="D337" s="70">
        <f>IFERROR(""&amp;INDEX(tk_SIZE,MATCH(332,tk_FSEQ,0)),"")</f>
        <v/>
      </c>
      <c r="E337" s="70">
        <f>IFERROR(""&amp;INDEX(tk_RATING,MATCH(332,tk_FSEQ,0)),"")</f>
        <v/>
      </c>
      <c r="F337" s="70">
        <f>IFERROR(TEXT(INDEX(tk_OAW,MATCH(332,tk_FSEQ,0)),"0.000")&amp;" x "&amp;TEXT(INDEX(tk_OAH,MATCH(332,tk_FSEQ,0)),"0.000"),"")</f>
        <v/>
      </c>
      <c r="G337" s="70">
        <f>IFERROR(""&amp;INDEX(tk_FLINE,MATCH(332,tk_FSEQ,0)),"")</f>
        <v/>
      </c>
      <c r="H337" s="70">
        <f>IFERROR(""&amp;INDEX(tk_FNOTES,MATCH(332,tk_FSEQ,0)),"")</f>
        <v/>
      </c>
    </row>
    <row r="338">
      <c r="A338" s="70">
        <f>IFERROR(""&amp;INDEX(tk_MARK,MATCH(333,tk_FSEQ,0)),"")</f>
        <v/>
      </c>
      <c r="B338" s="70">
        <f>IFERROR(INDEX(tk_QTY,MATCH(333,tk_FSEQ,0)),"")</f>
        <v/>
      </c>
      <c r="C338" s="70">
        <f>IFERROR(INDEX(tk_ROOMF,MATCH(333,tk_FSEQ,0))&amp;IF(INDEX(tk_ROOMT,MATCH(333,tk_FSEQ,0))="",""," → "&amp;INDEX(tk_ROOMT,MATCH(333,tk_FSEQ,0))),"")</f>
        <v/>
      </c>
      <c r="D338" s="70">
        <f>IFERROR(""&amp;INDEX(tk_SIZE,MATCH(333,tk_FSEQ,0)),"")</f>
        <v/>
      </c>
      <c r="E338" s="70">
        <f>IFERROR(""&amp;INDEX(tk_RATING,MATCH(333,tk_FSEQ,0)),"")</f>
        <v/>
      </c>
      <c r="F338" s="70">
        <f>IFERROR(TEXT(INDEX(tk_OAW,MATCH(333,tk_FSEQ,0)),"0.000")&amp;" x "&amp;TEXT(INDEX(tk_OAH,MATCH(333,tk_FSEQ,0)),"0.000"),"")</f>
        <v/>
      </c>
      <c r="G338" s="70">
        <f>IFERROR(""&amp;INDEX(tk_FLINE,MATCH(333,tk_FSEQ,0)),"")</f>
        <v/>
      </c>
      <c r="H338" s="70">
        <f>IFERROR(""&amp;INDEX(tk_FNOTES,MATCH(333,tk_FSEQ,0)),"")</f>
        <v/>
      </c>
    </row>
    <row r="339">
      <c r="A339" s="70">
        <f>IFERROR(""&amp;INDEX(tk_MARK,MATCH(334,tk_FSEQ,0)),"")</f>
        <v/>
      </c>
      <c r="B339" s="70">
        <f>IFERROR(INDEX(tk_QTY,MATCH(334,tk_FSEQ,0)),"")</f>
        <v/>
      </c>
      <c r="C339" s="70">
        <f>IFERROR(INDEX(tk_ROOMF,MATCH(334,tk_FSEQ,0))&amp;IF(INDEX(tk_ROOMT,MATCH(334,tk_FSEQ,0))="",""," → "&amp;INDEX(tk_ROOMT,MATCH(334,tk_FSEQ,0))),"")</f>
        <v/>
      </c>
      <c r="D339" s="70">
        <f>IFERROR(""&amp;INDEX(tk_SIZE,MATCH(334,tk_FSEQ,0)),"")</f>
        <v/>
      </c>
      <c r="E339" s="70">
        <f>IFERROR(""&amp;INDEX(tk_RATING,MATCH(334,tk_FSEQ,0)),"")</f>
        <v/>
      </c>
      <c r="F339" s="70">
        <f>IFERROR(TEXT(INDEX(tk_OAW,MATCH(334,tk_FSEQ,0)),"0.000")&amp;" x "&amp;TEXT(INDEX(tk_OAH,MATCH(334,tk_FSEQ,0)),"0.000"),"")</f>
        <v/>
      </c>
      <c r="G339" s="70">
        <f>IFERROR(""&amp;INDEX(tk_FLINE,MATCH(334,tk_FSEQ,0)),"")</f>
        <v/>
      </c>
      <c r="H339" s="70">
        <f>IFERROR(""&amp;INDEX(tk_FNOTES,MATCH(334,tk_FSEQ,0)),"")</f>
        <v/>
      </c>
    </row>
    <row r="340">
      <c r="A340" s="70">
        <f>IFERROR(""&amp;INDEX(tk_MARK,MATCH(335,tk_FSEQ,0)),"")</f>
        <v/>
      </c>
      <c r="B340" s="70">
        <f>IFERROR(INDEX(tk_QTY,MATCH(335,tk_FSEQ,0)),"")</f>
        <v/>
      </c>
      <c r="C340" s="70">
        <f>IFERROR(INDEX(tk_ROOMF,MATCH(335,tk_FSEQ,0))&amp;IF(INDEX(tk_ROOMT,MATCH(335,tk_FSEQ,0))="",""," → "&amp;INDEX(tk_ROOMT,MATCH(335,tk_FSEQ,0))),"")</f>
        <v/>
      </c>
      <c r="D340" s="70">
        <f>IFERROR(""&amp;INDEX(tk_SIZE,MATCH(335,tk_FSEQ,0)),"")</f>
        <v/>
      </c>
      <c r="E340" s="70">
        <f>IFERROR(""&amp;INDEX(tk_RATING,MATCH(335,tk_FSEQ,0)),"")</f>
        <v/>
      </c>
      <c r="F340" s="70">
        <f>IFERROR(TEXT(INDEX(tk_OAW,MATCH(335,tk_FSEQ,0)),"0.000")&amp;" x "&amp;TEXT(INDEX(tk_OAH,MATCH(335,tk_FSEQ,0)),"0.000"),"")</f>
        <v/>
      </c>
      <c r="G340" s="70">
        <f>IFERROR(""&amp;INDEX(tk_FLINE,MATCH(335,tk_FSEQ,0)),"")</f>
        <v/>
      </c>
      <c r="H340" s="70">
        <f>IFERROR(""&amp;INDEX(tk_FNOTES,MATCH(335,tk_FSEQ,0)),"")</f>
        <v/>
      </c>
    </row>
    <row r="341">
      <c r="A341" s="70">
        <f>IFERROR(""&amp;INDEX(tk_MARK,MATCH(336,tk_FSEQ,0)),"")</f>
        <v/>
      </c>
      <c r="B341" s="70">
        <f>IFERROR(INDEX(tk_QTY,MATCH(336,tk_FSEQ,0)),"")</f>
        <v/>
      </c>
      <c r="C341" s="70">
        <f>IFERROR(INDEX(tk_ROOMF,MATCH(336,tk_FSEQ,0))&amp;IF(INDEX(tk_ROOMT,MATCH(336,tk_FSEQ,0))="",""," → "&amp;INDEX(tk_ROOMT,MATCH(336,tk_FSEQ,0))),"")</f>
        <v/>
      </c>
      <c r="D341" s="70">
        <f>IFERROR(""&amp;INDEX(tk_SIZE,MATCH(336,tk_FSEQ,0)),"")</f>
        <v/>
      </c>
      <c r="E341" s="70">
        <f>IFERROR(""&amp;INDEX(tk_RATING,MATCH(336,tk_FSEQ,0)),"")</f>
        <v/>
      </c>
      <c r="F341" s="70">
        <f>IFERROR(TEXT(INDEX(tk_OAW,MATCH(336,tk_FSEQ,0)),"0.000")&amp;" x "&amp;TEXT(INDEX(tk_OAH,MATCH(336,tk_FSEQ,0)),"0.000"),"")</f>
        <v/>
      </c>
      <c r="G341" s="70">
        <f>IFERROR(""&amp;INDEX(tk_FLINE,MATCH(336,tk_FSEQ,0)),"")</f>
        <v/>
      </c>
      <c r="H341" s="70">
        <f>IFERROR(""&amp;INDEX(tk_FNOTES,MATCH(336,tk_FSEQ,0)),"")</f>
        <v/>
      </c>
    </row>
    <row r="342">
      <c r="A342" s="70">
        <f>IFERROR(""&amp;INDEX(tk_MARK,MATCH(337,tk_FSEQ,0)),"")</f>
        <v/>
      </c>
      <c r="B342" s="70">
        <f>IFERROR(INDEX(tk_QTY,MATCH(337,tk_FSEQ,0)),"")</f>
        <v/>
      </c>
      <c r="C342" s="70">
        <f>IFERROR(INDEX(tk_ROOMF,MATCH(337,tk_FSEQ,0))&amp;IF(INDEX(tk_ROOMT,MATCH(337,tk_FSEQ,0))="",""," → "&amp;INDEX(tk_ROOMT,MATCH(337,tk_FSEQ,0))),"")</f>
        <v/>
      </c>
      <c r="D342" s="70">
        <f>IFERROR(""&amp;INDEX(tk_SIZE,MATCH(337,tk_FSEQ,0)),"")</f>
        <v/>
      </c>
      <c r="E342" s="70">
        <f>IFERROR(""&amp;INDEX(tk_RATING,MATCH(337,tk_FSEQ,0)),"")</f>
        <v/>
      </c>
      <c r="F342" s="70">
        <f>IFERROR(TEXT(INDEX(tk_OAW,MATCH(337,tk_FSEQ,0)),"0.000")&amp;" x "&amp;TEXT(INDEX(tk_OAH,MATCH(337,tk_FSEQ,0)),"0.000"),"")</f>
        <v/>
      </c>
      <c r="G342" s="70">
        <f>IFERROR(""&amp;INDEX(tk_FLINE,MATCH(337,tk_FSEQ,0)),"")</f>
        <v/>
      </c>
      <c r="H342" s="70">
        <f>IFERROR(""&amp;INDEX(tk_FNOTES,MATCH(337,tk_FSEQ,0)),"")</f>
        <v/>
      </c>
    </row>
    <row r="343">
      <c r="A343" s="70">
        <f>IFERROR(""&amp;INDEX(tk_MARK,MATCH(338,tk_FSEQ,0)),"")</f>
        <v/>
      </c>
      <c r="B343" s="70">
        <f>IFERROR(INDEX(tk_QTY,MATCH(338,tk_FSEQ,0)),"")</f>
        <v/>
      </c>
      <c r="C343" s="70">
        <f>IFERROR(INDEX(tk_ROOMF,MATCH(338,tk_FSEQ,0))&amp;IF(INDEX(tk_ROOMT,MATCH(338,tk_FSEQ,0))="",""," → "&amp;INDEX(tk_ROOMT,MATCH(338,tk_FSEQ,0))),"")</f>
        <v/>
      </c>
      <c r="D343" s="70">
        <f>IFERROR(""&amp;INDEX(tk_SIZE,MATCH(338,tk_FSEQ,0)),"")</f>
        <v/>
      </c>
      <c r="E343" s="70">
        <f>IFERROR(""&amp;INDEX(tk_RATING,MATCH(338,tk_FSEQ,0)),"")</f>
        <v/>
      </c>
      <c r="F343" s="70">
        <f>IFERROR(TEXT(INDEX(tk_OAW,MATCH(338,tk_FSEQ,0)),"0.000")&amp;" x "&amp;TEXT(INDEX(tk_OAH,MATCH(338,tk_FSEQ,0)),"0.000"),"")</f>
        <v/>
      </c>
      <c r="G343" s="70">
        <f>IFERROR(""&amp;INDEX(tk_FLINE,MATCH(338,tk_FSEQ,0)),"")</f>
        <v/>
      </c>
      <c r="H343" s="70">
        <f>IFERROR(""&amp;INDEX(tk_FNOTES,MATCH(338,tk_FSEQ,0)),"")</f>
        <v/>
      </c>
    </row>
    <row r="344">
      <c r="A344" s="70">
        <f>IFERROR(""&amp;INDEX(tk_MARK,MATCH(339,tk_FSEQ,0)),"")</f>
        <v/>
      </c>
      <c r="B344" s="70">
        <f>IFERROR(INDEX(tk_QTY,MATCH(339,tk_FSEQ,0)),"")</f>
        <v/>
      </c>
      <c r="C344" s="70">
        <f>IFERROR(INDEX(tk_ROOMF,MATCH(339,tk_FSEQ,0))&amp;IF(INDEX(tk_ROOMT,MATCH(339,tk_FSEQ,0))="",""," → "&amp;INDEX(tk_ROOMT,MATCH(339,tk_FSEQ,0))),"")</f>
        <v/>
      </c>
      <c r="D344" s="70">
        <f>IFERROR(""&amp;INDEX(tk_SIZE,MATCH(339,tk_FSEQ,0)),"")</f>
        <v/>
      </c>
      <c r="E344" s="70">
        <f>IFERROR(""&amp;INDEX(tk_RATING,MATCH(339,tk_FSEQ,0)),"")</f>
        <v/>
      </c>
      <c r="F344" s="70">
        <f>IFERROR(TEXT(INDEX(tk_OAW,MATCH(339,tk_FSEQ,0)),"0.000")&amp;" x "&amp;TEXT(INDEX(tk_OAH,MATCH(339,tk_FSEQ,0)),"0.000"),"")</f>
        <v/>
      </c>
      <c r="G344" s="70">
        <f>IFERROR(""&amp;INDEX(tk_FLINE,MATCH(339,tk_FSEQ,0)),"")</f>
        <v/>
      </c>
      <c r="H344" s="70">
        <f>IFERROR(""&amp;INDEX(tk_FNOTES,MATCH(339,tk_FSEQ,0)),"")</f>
        <v/>
      </c>
    </row>
    <row r="345">
      <c r="A345" s="70">
        <f>IFERROR(""&amp;INDEX(tk_MARK,MATCH(340,tk_FSEQ,0)),"")</f>
        <v/>
      </c>
      <c r="B345" s="70">
        <f>IFERROR(INDEX(tk_QTY,MATCH(340,tk_FSEQ,0)),"")</f>
        <v/>
      </c>
      <c r="C345" s="70">
        <f>IFERROR(INDEX(tk_ROOMF,MATCH(340,tk_FSEQ,0))&amp;IF(INDEX(tk_ROOMT,MATCH(340,tk_FSEQ,0))="",""," → "&amp;INDEX(tk_ROOMT,MATCH(340,tk_FSEQ,0))),"")</f>
        <v/>
      </c>
      <c r="D345" s="70">
        <f>IFERROR(""&amp;INDEX(tk_SIZE,MATCH(340,tk_FSEQ,0)),"")</f>
        <v/>
      </c>
      <c r="E345" s="70">
        <f>IFERROR(""&amp;INDEX(tk_RATING,MATCH(340,tk_FSEQ,0)),"")</f>
        <v/>
      </c>
      <c r="F345" s="70">
        <f>IFERROR(TEXT(INDEX(tk_OAW,MATCH(340,tk_FSEQ,0)),"0.000")&amp;" x "&amp;TEXT(INDEX(tk_OAH,MATCH(340,tk_FSEQ,0)),"0.000"),"")</f>
        <v/>
      </c>
      <c r="G345" s="70">
        <f>IFERROR(""&amp;INDEX(tk_FLINE,MATCH(340,tk_FSEQ,0)),"")</f>
        <v/>
      </c>
      <c r="H345" s="70">
        <f>IFERROR(""&amp;INDEX(tk_FNOTES,MATCH(340,tk_FSEQ,0)),"")</f>
        <v/>
      </c>
    </row>
    <row r="346">
      <c r="A346" s="70">
        <f>IFERROR(""&amp;INDEX(tk_MARK,MATCH(341,tk_FSEQ,0)),"")</f>
        <v/>
      </c>
      <c r="B346" s="70">
        <f>IFERROR(INDEX(tk_QTY,MATCH(341,tk_FSEQ,0)),"")</f>
        <v/>
      </c>
      <c r="C346" s="70">
        <f>IFERROR(INDEX(tk_ROOMF,MATCH(341,tk_FSEQ,0))&amp;IF(INDEX(tk_ROOMT,MATCH(341,tk_FSEQ,0))="",""," → "&amp;INDEX(tk_ROOMT,MATCH(341,tk_FSEQ,0))),"")</f>
        <v/>
      </c>
      <c r="D346" s="70">
        <f>IFERROR(""&amp;INDEX(tk_SIZE,MATCH(341,tk_FSEQ,0)),"")</f>
        <v/>
      </c>
      <c r="E346" s="70">
        <f>IFERROR(""&amp;INDEX(tk_RATING,MATCH(341,tk_FSEQ,0)),"")</f>
        <v/>
      </c>
      <c r="F346" s="70">
        <f>IFERROR(TEXT(INDEX(tk_OAW,MATCH(341,tk_FSEQ,0)),"0.000")&amp;" x "&amp;TEXT(INDEX(tk_OAH,MATCH(341,tk_FSEQ,0)),"0.000"),"")</f>
        <v/>
      </c>
      <c r="G346" s="70">
        <f>IFERROR(""&amp;INDEX(tk_FLINE,MATCH(341,tk_FSEQ,0)),"")</f>
        <v/>
      </c>
      <c r="H346" s="70">
        <f>IFERROR(""&amp;INDEX(tk_FNOTES,MATCH(341,tk_FSEQ,0)),"")</f>
        <v/>
      </c>
    </row>
    <row r="347">
      <c r="A347" s="70">
        <f>IFERROR(""&amp;INDEX(tk_MARK,MATCH(342,tk_FSEQ,0)),"")</f>
        <v/>
      </c>
      <c r="B347" s="70">
        <f>IFERROR(INDEX(tk_QTY,MATCH(342,tk_FSEQ,0)),"")</f>
        <v/>
      </c>
      <c r="C347" s="70">
        <f>IFERROR(INDEX(tk_ROOMF,MATCH(342,tk_FSEQ,0))&amp;IF(INDEX(tk_ROOMT,MATCH(342,tk_FSEQ,0))="",""," → "&amp;INDEX(tk_ROOMT,MATCH(342,tk_FSEQ,0))),"")</f>
        <v/>
      </c>
      <c r="D347" s="70">
        <f>IFERROR(""&amp;INDEX(tk_SIZE,MATCH(342,tk_FSEQ,0)),"")</f>
        <v/>
      </c>
      <c r="E347" s="70">
        <f>IFERROR(""&amp;INDEX(tk_RATING,MATCH(342,tk_FSEQ,0)),"")</f>
        <v/>
      </c>
      <c r="F347" s="70">
        <f>IFERROR(TEXT(INDEX(tk_OAW,MATCH(342,tk_FSEQ,0)),"0.000")&amp;" x "&amp;TEXT(INDEX(tk_OAH,MATCH(342,tk_FSEQ,0)),"0.000"),"")</f>
        <v/>
      </c>
      <c r="G347" s="70">
        <f>IFERROR(""&amp;INDEX(tk_FLINE,MATCH(342,tk_FSEQ,0)),"")</f>
        <v/>
      </c>
      <c r="H347" s="70">
        <f>IFERROR(""&amp;INDEX(tk_FNOTES,MATCH(342,tk_FSEQ,0)),"")</f>
        <v/>
      </c>
    </row>
    <row r="348">
      <c r="A348" s="70">
        <f>IFERROR(""&amp;INDEX(tk_MARK,MATCH(343,tk_FSEQ,0)),"")</f>
        <v/>
      </c>
      <c r="B348" s="70">
        <f>IFERROR(INDEX(tk_QTY,MATCH(343,tk_FSEQ,0)),"")</f>
        <v/>
      </c>
      <c r="C348" s="70">
        <f>IFERROR(INDEX(tk_ROOMF,MATCH(343,tk_FSEQ,0))&amp;IF(INDEX(tk_ROOMT,MATCH(343,tk_FSEQ,0))="",""," → "&amp;INDEX(tk_ROOMT,MATCH(343,tk_FSEQ,0))),"")</f>
        <v/>
      </c>
      <c r="D348" s="70">
        <f>IFERROR(""&amp;INDEX(tk_SIZE,MATCH(343,tk_FSEQ,0)),"")</f>
        <v/>
      </c>
      <c r="E348" s="70">
        <f>IFERROR(""&amp;INDEX(tk_RATING,MATCH(343,tk_FSEQ,0)),"")</f>
        <v/>
      </c>
      <c r="F348" s="70">
        <f>IFERROR(TEXT(INDEX(tk_OAW,MATCH(343,tk_FSEQ,0)),"0.000")&amp;" x "&amp;TEXT(INDEX(tk_OAH,MATCH(343,tk_FSEQ,0)),"0.000"),"")</f>
        <v/>
      </c>
      <c r="G348" s="70">
        <f>IFERROR(""&amp;INDEX(tk_FLINE,MATCH(343,tk_FSEQ,0)),"")</f>
        <v/>
      </c>
      <c r="H348" s="70">
        <f>IFERROR(""&amp;INDEX(tk_FNOTES,MATCH(343,tk_FSEQ,0)),"")</f>
        <v/>
      </c>
    </row>
    <row r="349">
      <c r="A349" s="70">
        <f>IFERROR(""&amp;INDEX(tk_MARK,MATCH(344,tk_FSEQ,0)),"")</f>
        <v/>
      </c>
      <c r="B349" s="70">
        <f>IFERROR(INDEX(tk_QTY,MATCH(344,tk_FSEQ,0)),"")</f>
        <v/>
      </c>
      <c r="C349" s="70">
        <f>IFERROR(INDEX(tk_ROOMF,MATCH(344,tk_FSEQ,0))&amp;IF(INDEX(tk_ROOMT,MATCH(344,tk_FSEQ,0))="",""," → "&amp;INDEX(tk_ROOMT,MATCH(344,tk_FSEQ,0))),"")</f>
        <v/>
      </c>
      <c r="D349" s="70">
        <f>IFERROR(""&amp;INDEX(tk_SIZE,MATCH(344,tk_FSEQ,0)),"")</f>
        <v/>
      </c>
      <c r="E349" s="70">
        <f>IFERROR(""&amp;INDEX(tk_RATING,MATCH(344,tk_FSEQ,0)),"")</f>
        <v/>
      </c>
      <c r="F349" s="70">
        <f>IFERROR(TEXT(INDEX(tk_OAW,MATCH(344,tk_FSEQ,0)),"0.000")&amp;" x "&amp;TEXT(INDEX(tk_OAH,MATCH(344,tk_FSEQ,0)),"0.000"),"")</f>
        <v/>
      </c>
      <c r="G349" s="70">
        <f>IFERROR(""&amp;INDEX(tk_FLINE,MATCH(344,tk_FSEQ,0)),"")</f>
        <v/>
      </c>
      <c r="H349" s="70">
        <f>IFERROR(""&amp;INDEX(tk_FNOTES,MATCH(344,tk_FSEQ,0)),"")</f>
        <v/>
      </c>
    </row>
    <row r="350">
      <c r="A350" s="70">
        <f>IFERROR(""&amp;INDEX(tk_MARK,MATCH(345,tk_FSEQ,0)),"")</f>
        <v/>
      </c>
      <c r="B350" s="70">
        <f>IFERROR(INDEX(tk_QTY,MATCH(345,tk_FSEQ,0)),"")</f>
        <v/>
      </c>
      <c r="C350" s="70">
        <f>IFERROR(INDEX(tk_ROOMF,MATCH(345,tk_FSEQ,0))&amp;IF(INDEX(tk_ROOMT,MATCH(345,tk_FSEQ,0))="",""," → "&amp;INDEX(tk_ROOMT,MATCH(345,tk_FSEQ,0))),"")</f>
        <v/>
      </c>
      <c r="D350" s="70">
        <f>IFERROR(""&amp;INDEX(tk_SIZE,MATCH(345,tk_FSEQ,0)),"")</f>
        <v/>
      </c>
      <c r="E350" s="70">
        <f>IFERROR(""&amp;INDEX(tk_RATING,MATCH(345,tk_FSEQ,0)),"")</f>
        <v/>
      </c>
      <c r="F350" s="70">
        <f>IFERROR(TEXT(INDEX(tk_OAW,MATCH(345,tk_FSEQ,0)),"0.000")&amp;" x "&amp;TEXT(INDEX(tk_OAH,MATCH(345,tk_FSEQ,0)),"0.000"),"")</f>
        <v/>
      </c>
      <c r="G350" s="70">
        <f>IFERROR(""&amp;INDEX(tk_FLINE,MATCH(345,tk_FSEQ,0)),"")</f>
        <v/>
      </c>
      <c r="H350" s="70">
        <f>IFERROR(""&amp;INDEX(tk_FNOTES,MATCH(345,tk_FSEQ,0)),"")</f>
        <v/>
      </c>
    </row>
    <row r="351">
      <c r="A351" s="70">
        <f>IFERROR(""&amp;INDEX(tk_MARK,MATCH(346,tk_FSEQ,0)),"")</f>
        <v/>
      </c>
      <c r="B351" s="70">
        <f>IFERROR(INDEX(tk_QTY,MATCH(346,tk_FSEQ,0)),"")</f>
        <v/>
      </c>
      <c r="C351" s="70">
        <f>IFERROR(INDEX(tk_ROOMF,MATCH(346,tk_FSEQ,0))&amp;IF(INDEX(tk_ROOMT,MATCH(346,tk_FSEQ,0))="",""," → "&amp;INDEX(tk_ROOMT,MATCH(346,tk_FSEQ,0))),"")</f>
        <v/>
      </c>
      <c r="D351" s="70">
        <f>IFERROR(""&amp;INDEX(tk_SIZE,MATCH(346,tk_FSEQ,0)),"")</f>
        <v/>
      </c>
      <c r="E351" s="70">
        <f>IFERROR(""&amp;INDEX(tk_RATING,MATCH(346,tk_FSEQ,0)),"")</f>
        <v/>
      </c>
      <c r="F351" s="70">
        <f>IFERROR(TEXT(INDEX(tk_OAW,MATCH(346,tk_FSEQ,0)),"0.000")&amp;" x "&amp;TEXT(INDEX(tk_OAH,MATCH(346,tk_FSEQ,0)),"0.000"),"")</f>
        <v/>
      </c>
      <c r="G351" s="70">
        <f>IFERROR(""&amp;INDEX(tk_FLINE,MATCH(346,tk_FSEQ,0)),"")</f>
        <v/>
      </c>
      <c r="H351" s="70">
        <f>IFERROR(""&amp;INDEX(tk_FNOTES,MATCH(346,tk_FSEQ,0)),"")</f>
        <v/>
      </c>
    </row>
    <row r="352">
      <c r="A352" s="70">
        <f>IFERROR(""&amp;INDEX(tk_MARK,MATCH(347,tk_FSEQ,0)),"")</f>
        <v/>
      </c>
      <c r="B352" s="70">
        <f>IFERROR(INDEX(tk_QTY,MATCH(347,tk_FSEQ,0)),"")</f>
        <v/>
      </c>
      <c r="C352" s="70">
        <f>IFERROR(INDEX(tk_ROOMF,MATCH(347,tk_FSEQ,0))&amp;IF(INDEX(tk_ROOMT,MATCH(347,tk_FSEQ,0))="",""," → "&amp;INDEX(tk_ROOMT,MATCH(347,tk_FSEQ,0))),"")</f>
        <v/>
      </c>
      <c r="D352" s="70">
        <f>IFERROR(""&amp;INDEX(tk_SIZE,MATCH(347,tk_FSEQ,0)),"")</f>
        <v/>
      </c>
      <c r="E352" s="70">
        <f>IFERROR(""&amp;INDEX(tk_RATING,MATCH(347,tk_FSEQ,0)),"")</f>
        <v/>
      </c>
      <c r="F352" s="70">
        <f>IFERROR(TEXT(INDEX(tk_OAW,MATCH(347,tk_FSEQ,0)),"0.000")&amp;" x "&amp;TEXT(INDEX(tk_OAH,MATCH(347,tk_FSEQ,0)),"0.000"),"")</f>
        <v/>
      </c>
      <c r="G352" s="70">
        <f>IFERROR(""&amp;INDEX(tk_FLINE,MATCH(347,tk_FSEQ,0)),"")</f>
        <v/>
      </c>
      <c r="H352" s="70">
        <f>IFERROR(""&amp;INDEX(tk_FNOTES,MATCH(347,tk_FSEQ,0)),"")</f>
        <v/>
      </c>
    </row>
    <row r="353">
      <c r="A353" s="70">
        <f>IFERROR(""&amp;INDEX(tk_MARK,MATCH(348,tk_FSEQ,0)),"")</f>
        <v/>
      </c>
      <c r="B353" s="70">
        <f>IFERROR(INDEX(tk_QTY,MATCH(348,tk_FSEQ,0)),"")</f>
        <v/>
      </c>
      <c r="C353" s="70">
        <f>IFERROR(INDEX(tk_ROOMF,MATCH(348,tk_FSEQ,0))&amp;IF(INDEX(tk_ROOMT,MATCH(348,tk_FSEQ,0))="",""," → "&amp;INDEX(tk_ROOMT,MATCH(348,tk_FSEQ,0))),"")</f>
        <v/>
      </c>
      <c r="D353" s="70">
        <f>IFERROR(""&amp;INDEX(tk_SIZE,MATCH(348,tk_FSEQ,0)),"")</f>
        <v/>
      </c>
      <c r="E353" s="70">
        <f>IFERROR(""&amp;INDEX(tk_RATING,MATCH(348,tk_FSEQ,0)),"")</f>
        <v/>
      </c>
      <c r="F353" s="70">
        <f>IFERROR(TEXT(INDEX(tk_OAW,MATCH(348,tk_FSEQ,0)),"0.000")&amp;" x "&amp;TEXT(INDEX(tk_OAH,MATCH(348,tk_FSEQ,0)),"0.000"),"")</f>
        <v/>
      </c>
      <c r="G353" s="70">
        <f>IFERROR(""&amp;INDEX(tk_FLINE,MATCH(348,tk_FSEQ,0)),"")</f>
        <v/>
      </c>
      <c r="H353" s="70">
        <f>IFERROR(""&amp;INDEX(tk_FNOTES,MATCH(348,tk_FSEQ,0)),"")</f>
        <v/>
      </c>
    </row>
    <row r="354">
      <c r="A354" s="70">
        <f>IFERROR(""&amp;INDEX(tk_MARK,MATCH(349,tk_FSEQ,0)),"")</f>
        <v/>
      </c>
      <c r="B354" s="70">
        <f>IFERROR(INDEX(tk_QTY,MATCH(349,tk_FSEQ,0)),"")</f>
        <v/>
      </c>
      <c r="C354" s="70">
        <f>IFERROR(INDEX(tk_ROOMF,MATCH(349,tk_FSEQ,0))&amp;IF(INDEX(tk_ROOMT,MATCH(349,tk_FSEQ,0))="",""," → "&amp;INDEX(tk_ROOMT,MATCH(349,tk_FSEQ,0))),"")</f>
        <v/>
      </c>
      <c r="D354" s="70">
        <f>IFERROR(""&amp;INDEX(tk_SIZE,MATCH(349,tk_FSEQ,0)),"")</f>
        <v/>
      </c>
      <c r="E354" s="70">
        <f>IFERROR(""&amp;INDEX(tk_RATING,MATCH(349,tk_FSEQ,0)),"")</f>
        <v/>
      </c>
      <c r="F354" s="70">
        <f>IFERROR(TEXT(INDEX(tk_OAW,MATCH(349,tk_FSEQ,0)),"0.000")&amp;" x "&amp;TEXT(INDEX(tk_OAH,MATCH(349,tk_FSEQ,0)),"0.000"),"")</f>
        <v/>
      </c>
      <c r="G354" s="70">
        <f>IFERROR(""&amp;INDEX(tk_FLINE,MATCH(349,tk_FSEQ,0)),"")</f>
        <v/>
      </c>
      <c r="H354" s="70">
        <f>IFERROR(""&amp;INDEX(tk_FNOTES,MATCH(349,tk_FSEQ,0)),"")</f>
        <v/>
      </c>
    </row>
    <row r="355">
      <c r="A355" s="70">
        <f>IFERROR(""&amp;INDEX(tk_MARK,MATCH(350,tk_FSEQ,0)),"")</f>
        <v/>
      </c>
      <c r="B355" s="70">
        <f>IFERROR(INDEX(tk_QTY,MATCH(350,tk_FSEQ,0)),"")</f>
        <v/>
      </c>
      <c r="C355" s="70">
        <f>IFERROR(INDEX(tk_ROOMF,MATCH(350,tk_FSEQ,0))&amp;IF(INDEX(tk_ROOMT,MATCH(350,tk_FSEQ,0))="",""," → "&amp;INDEX(tk_ROOMT,MATCH(350,tk_FSEQ,0))),"")</f>
        <v/>
      </c>
      <c r="D355" s="70">
        <f>IFERROR(""&amp;INDEX(tk_SIZE,MATCH(350,tk_FSEQ,0)),"")</f>
        <v/>
      </c>
      <c r="E355" s="70">
        <f>IFERROR(""&amp;INDEX(tk_RATING,MATCH(350,tk_FSEQ,0)),"")</f>
        <v/>
      </c>
      <c r="F355" s="70">
        <f>IFERROR(TEXT(INDEX(tk_OAW,MATCH(350,tk_FSEQ,0)),"0.000")&amp;" x "&amp;TEXT(INDEX(tk_OAH,MATCH(350,tk_FSEQ,0)),"0.000"),"")</f>
        <v/>
      </c>
      <c r="G355" s="70">
        <f>IFERROR(""&amp;INDEX(tk_FLINE,MATCH(350,tk_FSEQ,0)),"")</f>
        <v/>
      </c>
      <c r="H355" s="70">
        <f>IFERROR(""&amp;INDEX(tk_FNOTES,MATCH(350,tk_FSEQ,0)),"")</f>
        <v/>
      </c>
    </row>
    <row r="356">
      <c r="A356" s="70">
        <f>IFERROR(""&amp;INDEX(tk_MARK,MATCH(351,tk_FSEQ,0)),"")</f>
        <v/>
      </c>
      <c r="B356" s="70">
        <f>IFERROR(INDEX(tk_QTY,MATCH(351,tk_FSEQ,0)),"")</f>
        <v/>
      </c>
      <c r="C356" s="70">
        <f>IFERROR(INDEX(tk_ROOMF,MATCH(351,tk_FSEQ,0))&amp;IF(INDEX(tk_ROOMT,MATCH(351,tk_FSEQ,0))="",""," → "&amp;INDEX(tk_ROOMT,MATCH(351,tk_FSEQ,0))),"")</f>
        <v/>
      </c>
      <c r="D356" s="70">
        <f>IFERROR(""&amp;INDEX(tk_SIZE,MATCH(351,tk_FSEQ,0)),"")</f>
        <v/>
      </c>
      <c r="E356" s="70">
        <f>IFERROR(""&amp;INDEX(tk_RATING,MATCH(351,tk_FSEQ,0)),"")</f>
        <v/>
      </c>
      <c r="F356" s="70">
        <f>IFERROR(TEXT(INDEX(tk_OAW,MATCH(351,tk_FSEQ,0)),"0.000")&amp;" x "&amp;TEXT(INDEX(tk_OAH,MATCH(351,tk_FSEQ,0)),"0.000"),"")</f>
        <v/>
      </c>
      <c r="G356" s="70">
        <f>IFERROR(""&amp;INDEX(tk_FLINE,MATCH(351,tk_FSEQ,0)),"")</f>
        <v/>
      </c>
      <c r="H356" s="70">
        <f>IFERROR(""&amp;INDEX(tk_FNOTES,MATCH(351,tk_FSEQ,0)),"")</f>
        <v/>
      </c>
    </row>
    <row r="357">
      <c r="A357" s="70">
        <f>IFERROR(""&amp;INDEX(tk_MARK,MATCH(352,tk_FSEQ,0)),"")</f>
        <v/>
      </c>
      <c r="B357" s="70">
        <f>IFERROR(INDEX(tk_QTY,MATCH(352,tk_FSEQ,0)),"")</f>
        <v/>
      </c>
      <c r="C357" s="70">
        <f>IFERROR(INDEX(tk_ROOMF,MATCH(352,tk_FSEQ,0))&amp;IF(INDEX(tk_ROOMT,MATCH(352,tk_FSEQ,0))="",""," → "&amp;INDEX(tk_ROOMT,MATCH(352,tk_FSEQ,0))),"")</f>
        <v/>
      </c>
      <c r="D357" s="70">
        <f>IFERROR(""&amp;INDEX(tk_SIZE,MATCH(352,tk_FSEQ,0)),"")</f>
        <v/>
      </c>
      <c r="E357" s="70">
        <f>IFERROR(""&amp;INDEX(tk_RATING,MATCH(352,tk_FSEQ,0)),"")</f>
        <v/>
      </c>
      <c r="F357" s="70">
        <f>IFERROR(TEXT(INDEX(tk_OAW,MATCH(352,tk_FSEQ,0)),"0.000")&amp;" x "&amp;TEXT(INDEX(tk_OAH,MATCH(352,tk_FSEQ,0)),"0.000"),"")</f>
        <v/>
      </c>
      <c r="G357" s="70">
        <f>IFERROR(""&amp;INDEX(tk_FLINE,MATCH(352,tk_FSEQ,0)),"")</f>
        <v/>
      </c>
      <c r="H357" s="70">
        <f>IFERROR(""&amp;INDEX(tk_FNOTES,MATCH(352,tk_FSEQ,0)),"")</f>
        <v/>
      </c>
    </row>
    <row r="358">
      <c r="A358" s="70">
        <f>IFERROR(""&amp;INDEX(tk_MARK,MATCH(353,tk_FSEQ,0)),"")</f>
        <v/>
      </c>
      <c r="B358" s="70">
        <f>IFERROR(INDEX(tk_QTY,MATCH(353,tk_FSEQ,0)),"")</f>
        <v/>
      </c>
      <c r="C358" s="70">
        <f>IFERROR(INDEX(tk_ROOMF,MATCH(353,tk_FSEQ,0))&amp;IF(INDEX(tk_ROOMT,MATCH(353,tk_FSEQ,0))="",""," → "&amp;INDEX(tk_ROOMT,MATCH(353,tk_FSEQ,0))),"")</f>
        <v/>
      </c>
      <c r="D358" s="70">
        <f>IFERROR(""&amp;INDEX(tk_SIZE,MATCH(353,tk_FSEQ,0)),"")</f>
        <v/>
      </c>
      <c r="E358" s="70">
        <f>IFERROR(""&amp;INDEX(tk_RATING,MATCH(353,tk_FSEQ,0)),"")</f>
        <v/>
      </c>
      <c r="F358" s="70">
        <f>IFERROR(TEXT(INDEX(tk_OAW,MATCH(353,tk_FSEQ,0)),"0.000")&amp;" x "&amp;TEXT(INDEX(tk_OAH,MATCH(353,tk_FSEQ,0)),"0.000"),"")</f>
        <v/>
      </c>
      <c r="G358" s="70">
        <f>IFERROR(""&amp;INDEX(tk_FLINE,MATCH(353,tk_FSEQ,0)),"")</f>
        <v/>
      </c>
      <c r="H358" s="70">
        <f>IFERROR(""&amp;INDEX(tk_FNOTES,MATCH(353,tk_FSEQ,0)),"")</f>
        <v/>
      </c>
    </row>
    <row r="359">
      <c r="A359" s="70">
        <f>IFERROR(""&amp;INDEX(tk_MARK,MATCH(354,tk_FSEQ,0)),"")</f>
        <v/>
      </c>
      <c r="B359" s="70">
        <f>IFERROR(INDEX(tk_QTY,MATCH(354,tk_FSEQ,0)),"")</f>
        <v/>
      </c>
      <c r="C359" s="70">
        <f>IFERROR(INDEX(tk_ROOMF,MATCH(354,tk_FSEQ,0))&amp;IF(INDEX(tk_ROOMT,MATCH(354,tk_FSEQ,0))="",""," → "&amp;INDEX(tk_ROOMT,MATCH(354,tk_FSEQ,0))),"")</f>
        <v/>
      </c>
      <c r="D359" s="70">
        <f>IFERROR(""&amp;INDEX(tk_SIZE,MATCH(354,tk_FSEQ,0)),"")</f>
        <v/>
      </c>
      <c r="E359" s="70">
        <f>IFERROR(""&amp;INDEX(tk_RATING,MATCH(354,tk_FSEQ,0)),"")</f>
        <v/>
      </c>
      <c r="F359" s="70">
        <f>IFERROR(TEXT(INDEX(tk_OAW,MATCH(354,tk_FSEQ,0)),"0.000")&amp;" x "&amp;TEXT(INDEX(tk_OAH,MATCH(354,tk_FSEQ,0)),"0.000"),"")</f>
        <v/>
      </c>
      <c r="G359" s="70">
        <f>IFERROR(""&amp;INDEX(tk_FLINE,MATCH(354,tk_FSEQ,0)),"")</f>
        <v/>
      </c>
      <c r="H359" s="70">
        <f>IFERROR(""&amp;INDEX(tk_FNOTES,MATCH(354,tk_FSEQ,0)),"")</f>
        <v/>
      </c>
    </row>
    <row r="360">
      <c r="A360" s="70">
        <f>IFERROR(""&amp;INDEX(tk_MARK,MATCH(355,tk_FSEQ,0)),"")</f>
        <v/>
      </c>
      <c r="B360" s="70">
        <f>IFERROR(INDEX(tk_QTY,MATCH(355,tk_FSEQ,0)),"")</f>
        <v/>
      </c>
      <c r="C360" s="70">
        <f>IFERROR(INDEX(tk_ROOMF,MATCH(355,tk_FSEQ,0))&amp;IF(INDEX(tk_ROOMT,MATCH(355,tk_FSEQ,0))="",""," → "&amp;INDEX(tk_ROOMT,MATCH(355,tk_FSEQ,0))),"")</f>
        <v/>
      </c>
      <c r="D360" s="70">
        <f>IFERROR(""&amp;INDEX(tk_SIZE,MATCH(355,tk_FSEQ,0)),"")</f>
        <v/>
      </c>
      <c r="E360" s="70">
        <f>IFERROR(""&amp;INDEX(tk_RATING,MATCH(355,tk_FSEQ,0)),"")</f>
        <v/>
      </c>
      <c r="F360" s="70">
        <f>IFERROR(TEXT(INDEX(tk_OAW,MATCH(355,tk_FSEQ,0)),"0.000")&amp;" x "&amp;TEXT(INDEX(tk_OAH,MATCH(355,tk_FSEQ,0)),"0.000"),"")</f>
        <v/>
      </c>
      <c r="G360" s="70">
        <f>IFERROR(""&amp;INDEX(tk_FLINE,MATCH(355,tk_FSEQ,0)),"")</f>
        <v/>
      </c>
      <c r="H360" s="70">
        <f>IFERROR(""&amp;INDEX(tk_FNOTES,MATCH(355,tk_FSEQ,0)),"")</f>
        <v/>
      </c>
    </row>
    <row r="361">
      <c r="A361" s="70">
        <f>IFERROR(""&amp;INDEX(tk_MARK,MATCH(356,tk_FSEQ,0)),"")</f>
        <v/>
      </c>
      <c r="B361" s="70">
        <f>IFERROR(INDEX(tk_QTY,MATCH(356,tk_FSEQ,0)),"")</f>
        <v/>
      </c>
      <c r="C361" s="70">
        <f>IFERROR(INDEX(tk_ROOMF,MATCH(356,tk_FSEQ,0))&amp;IF(INDEX(tk_ROOMT,MATCH(356,tk_FSEQ,0))="",""," → "&amp;INDEX(tk_ROOMT,MATCH(356,tk_FSEQ,0))),"")</f>
        <v/>
      </c>
      <c r="D361" s="70">
        <f>IFERROR(""&amp;INDEX(tk_SIZE,MATCH(356,tk_FSEQ,0)),"")</f>
        <v/>
      </c>
      <c r="E361" s="70">
        <f>IFERROR(""&amp;INDEX(tk_RATING,MATCH(356,tk_FSEQ,0)),"")</f>
        <v/>
      </c>
      <c r="F361" s="70">
        <f>IFERROR(TEXT(INDEX(tk_OAW,MATCH(356,tk_FSEQ,0)),"0.000")&amp;" x "&amp;TEXT(INDEX(tk_OAH,MATCH(356,tk_FSEQ,0)),"0.000"),"")</f>
        <v/>
      </c>
      <c r="G361" s="70">
        <f>IFERROR(""&amp;INDEX(tk_FLINE,MATCH(356,tk_FSEQ,0)),"")</f>
        <v/>
      </c>
      <c r="H361" s="70">
        <f>IFERROR(""&amp;INDEX(tk_FNOTES,MATCH(356,tk_FSEQ,0)),"")</f>
        <v/>
      </c>
    </row>
    <row r="362">
      <c r="A362" s="70">
        <f>IFERROR(""&amp;INDEX(tk_MARK,MATCH(357,tk_FSEQ,0)),"")</f>
        <v/>
      </c>
      <c r="B362" s="70">
        <f>IFERROR(INDEX(tk_QTY,MATCH(357,tk_FSEQ,0)),"")</f>
        <v/>
      </c>
      <c r="C362" s="70">
        <f>IFERROR(INDEX(tk_ROOMF,MATCH(357,tk_FSEQ,0))&amp;IF(INDEX(tk_ROOMT,MATCH(357,tk_FSEQ,0))="",""," → "&amp;INDEX(tk_ROOMT,MATCH(357,tk_FSEQ,0))),"")</f>
        <v/>
      </c>
      <c r="D362" s="70">
        <f>IFERROR(""&amp;INDEX(tk_SIZE,MATCH(357,tk_FSEQ,0)),"")</f>
        <v/>
      </c>
      <c r="E362" s="70">
        <f>IFERROR(""&amp;INDEX(tk_RATING,MATCH(357,tk_FSEQ,0)),"")</f>
        <v/>
      </c>
      <c r="F362" s="70">
        <f>IFERROR(TEXT(INDEX(tk_OAW,MATCH(357,tk_FSEQ,0)),"0.000")&amp;" x "&amp;TEXT(INDEX(tk_OAH,MATCH(357,tk_FSEQ,0)),"0.000"),"")</f>
        <v/>
      </c>
      <c r="G362" s="70">
        <f>IFERROR(""&amp;INDEX(tk_FLINE,MATCH(357,tk_FSEQ,0)),"")</f>
        <v/>
      </c>
      <c r="H362" s="70">
        <f>IFERROR(""&amp;INDEX(tk_FNOTES,MATCH(357,tk_FSEQ,0)),"")</f>
        <v/>
      </c>
    </row>
    <row r="363">
      <c r="A363" s="70">
        <f>IFERROR(""&amp;INDEX(tk_MARK,MATCH(358,tk_FSEQ,0)),"")</f>
        <v/>
      </c>
      <c r="B363" s="70">
        <f>IFERROR(INDEX(tk_QTY,MATCH(358,tk_FSEQ,0)),"")</f>
        <v/>
      </c>
      <c r="C363" s="70">
        <f>IFERROR(INDEX(tk_ROOMF,MATCH(358,tk_FSEQ,0))&amp;IF(INDEX(tk_ROOMT,MATCH(358,tk_FSEQ,0))="",""," → "&amp;INDEX(tk_ROOMT,MATCH(358,tk_FSEQ,0))),"")</f>
        <v/>
      </c>
      <c r="D363" s="70">
        <f>IFERROR(""&amp;INDEX(tk_SIZE,MATCH(358,tk_FSEQ,0)),"")</f>
        <v/>
      </c>
      <c r="E363" s="70">
        <f>IFERROR(""&amp;INDEX(tk_RATING,MATCH(358,tk_FSEQ,0)),"")</f>
        <v/>
      </c>
      <c r="F363" s="70">
        <f>IFERROR(TEXT(INDEX(tk_OAW,MATCH(358,tk_FSEQ,0)),"0.000")&amp;" x "&amp;TEXT(INDEX(tk_OAH,MATCH(358,tk_FSEQ,0)),"0.000"),"")</f>
        <v/>
      </c>
      <c r="G363" s="70">
        <f>IFERROR(""&amp;INDEX(tk_FLINE,MATCH(358,tk_FSEQ,0)),"")</f>
        <v/>
      </c>
      <c r="H363" s="70">
        <f>IFERROR(""&amp;INDEX(tk_FNOTES,MATCH(358,tk_FSEQ,0)),"")</f>
        <v/>
      </c>
    </row>
    <row r="364">
      <c r="A364" s="70">
        <f>IFERROR(""&amp;INDEX(tk_MARK,MATCH(359,tk_FSEQ,0)),"")</f>
        <v/>
      </c>
      <c r="B364" s="70">
        <f>IFERROR(INDEX(tk_QTY,MATCH(359,tk_FSEQ,0)),"")</f>
        <v/>
      </c>
      <c r="C364" s="70">
        <f>IFERROR(INDEX(tk_ROOMF,MATCH(359,tk_FSEQ,0))&amp;IF(INDEX(tk_ROOMT,MATCH(359,tk_FSEQ,0))="",""," → "&amp;INDEX(tk_ROOMT,MATCH(359,tk_FSEQ,0))),"")</f>
        <v/>
      </c>
      <c r="D364" s="70">
        <f>IFERROR(""&amp;INDEX(tk_SIZE,MATCH(359,tk_FSEQ,0)),"")</f>
        <v/>
      </c>
      <c r="E364" s="70">
        <f>IFERROR(""&amp;INDEX(tk_RATING,MATCH(359,tk_FSEQ,0)),"")</f>
        <v/>
      </c>
      <c r="F364" s="70">
        <f>IFERROR(TEXT(INDEX(tk_OAW,MATCH(359,tk_FSEQ,0)),"0.000")&amp;" x "&amp;TEXT(INDEX(tk_OAH,MATCH(359,tk_FSEQ,0)),"0.000"),"")</f>
        <v/>
      </c>
      <c r="G364" s="70">
        <f>IFERROR(""&amp;INDEX(tk_FLINE,MATCH(359,tk_FSEQ,0)),"")</f>
        <v/>
      </c>
      <c r="H364" s="70">
        <f>IFERROR(""&amp;INDEX(tk_FNOTES,MATCH(359,tk_FSEQ,0)),"")</f>
        <v/>
      </c>
    </row>
    <row r="365">
      <c r="A365" s="70">
        <f>IFERROR(""&amp;INDEX(tk_MARK,MATCH(360,tk_FSEQ,0)),"")</f>
        <v/>
      </c>
      <c r="B365" s="70">
        <f>IFERROR(INDEX(tk_QTY,MATCH(360,tk_FSEQ,0)),"")</f>
        <v/>
      </c>
      <c r="C365" s="70">
        <f>IFERROR(INDEX(tk_ROOMF,MATCH(360,tk_FSEQ,0))&amp;IF(INDEX(tk_ROOMT,MATCH(360,tk_FSEQ,0))="",""," → "&amp;INDEX(tk_ROOMT,MATCH(360,tk_FSEQ,0))),"")</f>
        <v/>
      </c>
      <c r="D365" s="70">
        <f>IFERROR(""&amp;INDEX(tk_SIZE,MATCH(360,tk_FSEQ,0)),"")</f>
        <v/>
      </c>
      <c r="E365" s="70">
        <f>IFERROR(""&amp;INDEX(tk_RATING,MATCH(360,tk_FSEQ,0)),"")</f>
        <v/>
      </c>
      <c r="F365" s="70">
        <f>IFERROR(TEXT(INDEX(tk_OAW,MATCH(360,tk_FSEQ,0)),"0.000")&amp;" x "&amp;TEXT(INDEX(tk_OAH,MATCH(360,tk_FSEQ,0)),"0.000"),"")</f>
        <v/>
      </c>
      <c r="G365" s="70">
        <f>IFERROR(""&amp;INDEX(tk_FLINE,MATCH(360,tk_FSEQ,0)),"")</f>
        <v/>
      </c>
      <c r="H365" s="70">
        <f>IFERROR(""&amp;INDEX(tk_FNOTES,MATCH(360,tk_FSEQ,0)),"")</f>
        <v/>
      </c>
    </row>
    <row r="366">
      <c r="A366" s="70">
        <f>IFERROR(""&amp;INDEX(tk_MARK,MATCH(361,tk_FSEQ,0)),"")</f>
        <v/>
      </c>
      <c r="B366" s="70">
        <f>IFERROR(INDEX(tk_QTY,MATCH(361,tk_FSEQ,0)),"")</f>
        <v/>
      </c>
      <c r="C366" s="70">
        <f>IFERROR(INDEX(tk_ROOMF,MATCH(361,tk_FSEQ,0))&amp;IF(INDEX(tk_ROOMT,MATCH(361,tk_FSEQ,0))="",""," → "&amp;INDEX(tk_ROOMT,MATCH(361,tk_FSEQ,0))),"")</f>
        <v/>
      </c>
      <c r="D366" s="70">
        <f>IFERROR(""&amp;INDEX(tk_SIZE,MATCH(361,tk_FSEQ,0)),"")</f>
        <v/>
      </c>
      <c r="E366" s="70">
        <f>IFERROR(""&amp;INDEX(tk_RATING,MATCH(361,tk_FSEQ,0)),"")</f>
        <v/>
      </c>
      <c r="F366" s="70">
        <f>IFERROR(TEXT(INDEX(tk_OAW,MATCH(361,tk_FSEQ,0)),"0.000")&amp;" x "&amp;TEXT(INDEX(tk_OAH,MATCH(361,tk_FSEQ,0)),"0.000"),"")</f>
        <v/>
      </c>
      <c r="G366" s="70">
        <f>IFERROR(""&amp;INDEX(tk_FLINE,MATCH(361,tk_FSEQ,0)),"")</f>
        <v/>
      </c>
      <c r="H366" s="70">
        <f>IFERROR(""&amp;INDEX(tk_FNOTES,MATCH(361,tk_FSEQ,0)),"")</f>
        <v/>
      </c>
    </row>
    <row r="367">
      <c r="A367" s="70">
        <f>IFERROR(""&amp;INDEX(tk_MARK,MATCH(362,tk_FSEQ,0)),"")</f>
        <v/>
      </c>
      <c r="B367" s="70">
        <f>IFERROR(INDEX(tk_QTY,MATCH(362,tk_FSEQ,0)),"")</f>
        <v/>
      </c>
      <c r="C367" s="70">
        <f>IFERROR(INDEX(tk_ROOMF,MATCH(362,tk_FSEQ,0))&amp;IF(INDEX(tk_ROOMT,MATCH(362,tk_FSEQ,0))="",""," → "&amp;INDEX(tk_ROOMT,MATCH(362,tk_FSEQ,0))),"")</f>
        <v/>
      </c>
      <c r="D367" s="70">
        <f>IFERROR(""&amp;INDEX(tk_SIZE,MATCH(362,tk_FSEQ,0)),"")</f>
        <v/>
      </c>
      <c r="E367" s="70">
        <f>IFERROR(""&amp;INDEX(tk_RATING,MATCH(362,tk_FSEQ,0)),"")</f>
        <v/>
      </c>
      <c r="F367" s="70">
        <f>IFERROR(TEXT(INDEX(tk_OAW,MATCH(362,tk_FSEQ,0)),"0.000")&amp;" x "&amp;TEXT(INDEX(tk_OAH,MATCH(362,tk_FSEQ,0)),"0.000"),"")</f>
        <v/>
      </c>
      <c r="G367" s="70">
        <f>IFERROR(""&amp;INDEX(tk_FLINE,MATCH(362,tk_FSEQ,0)),"")</f>
        <v/>
      </c>
      <c r="H367" s="70">
        <f>IFERROR(""&amp;INDEX(tk_FNOTES,MATCH(362,tk_FSEQ,0)),"")</f>
        <v/>
      </c>
    </row>
    <row r="368">
      <c r="A368" s="70">
        <f>IFERROR(""&amp;INDEX(tk_MARK,MATCH(363,tk_FSEQ,0)),"")</f>
        <v/>
      </c>
      <c r="B368" s="70">
        <f>IFERROR(INDEX(tk_QTY,MATCH(363,tk_FSEQ,0)),"")</f>
        <v/>
      </c>
      <c r="C368" s="70">
        <f>IFERROR(INDEX(tk_ROOMF,MATCH(363,tk_FSEQ,0))&amp;IF(INDEX(tk_ROOMT,MATCH(363,tk_FSEQ,0))="",""," → "&amp;INDEX(tk_ROOMT,MATCH(363,tk_FSEQ,0))),"")</f>
        <v/>
      </c>
      <c r="D368" s="70">
        <f>IFERROR(""&amp;INDEX(tk_SIZE,MATCH(363,tk_FSEQ,0)),"")</f>
        <v/>
      </c>
      <c r="E368" s="70">
        <f>IFERROR(""&amp;INDEX(tk_RATING,MATCH(363,tk_FSEQ,0)),"")</f>
        <v/>
      </c>
      <c r="F368" s="70">
        <f>IFERROR(TEXT(INDEX(tk_OAW,MATCH(363,tk_FSEQ,0)),"0.000")&amp;" x "&amp;TEXT(INDEX(tk_OAH,MATCH(363,tk_FSEQ,0)),"0.000"),"")</f>
        <v/>
      </c>
      <c r="G368" s="70">
        <f>IFERROR(""&amp;INDEX(tk_FLINE,MATCH(363,tk_FSEQ,0)),"")</f>
        <v/>
      </c>
      <c r="H368" s="70">
        <f>IFERROR(""&amp;INDEX(tk_FNOTES,MATCH(363,tk_FSEQ,0)),"")</f>
        <v/>
      </c>
    </row>
    <row r="369">
      <c r="A369" s="70">
        <f>IFERROR(""&amp;INDEX(tk_MARK,MATCH(364,tk_FSEQ,0)),"")</f>
        <v/>
      </c>
      <c r="B369" s="70">
        <f>IFERROR(INDEX(tk_QTY,MATCH(364,tk_FSEQ,0)),"")</f>
        <v/>
      </c>
      <c r="C369" s="70">
        <f>IFERROR(INDEX(tk_ROOMF,MATCH(364,tk_FSEQ,0))&amp;IF(INDEX(tk_ROOMT,MATCH(364,tk_FSEQ,0))="",""," → "&amp;INDEX(tk_ROOMT,MATCH(364,tk_FSEQ,0))),"")</f>
        <v/>
      </c>
      <c r="D369" s="70">
        <f>IFERROR(""&amp;INDEX(tk_SIZE,MATCH(364,tk_FSEQ,0)),"")</f>
        <v/>
      </c>
      <c r="E369" s="70">
        <f>IFERROR(""&amp;INDEX(tk_RATING,MATCH(364,tk_FSEQ,0)),"")</f>
        <v/>
      </c>
      <c r="F369" s="70">
        <f>IFERROR(TEXT(INDEX(tk_OAW,MATCH(364,tk_FSEQ,0)),"0.000")&amp;" x "&amp;TEXT(INDEX(tk_OAH,MATCH(364,tk_FSEQ,0)),"0.000"),"")</f>
        <v/>
      </c>
      <c r="G369" s="70">
        <f>IFERROR(""&amp;INDEX(tk_FLINE,MATCH(364,tk_FSEQ,0)),"")</f>
        <v/>
      </c>
      <c r="H369" s="70">
        <f>IFERROR(""&amp;INDEX(tk_FNOTES,MATCH(364,tk_FSEQ,0)),"")</f>
        <v/>
      </c>
    </row>
    <row r="370">
      <c r="A370" s="70">
        <f>IFERROR(""&amp;INDEX(tk_MARK,MATCH(365,tk_FSEQ,0)),"")</f>
        <v/>
      </c>
      <c r="B370" s="70">
        <f>IFERROR(INDEX(tk_QTY,MATCH(365,tk_FSEQ,0)),"")</f>
        <v/>
      </c>
      <c r="C370" s="70">
        <f>IFERROR(INDEX(tk_ROOMF,MATCH(365,tk_FSEQ,0))&amp;IF(INDEX(tk_ROOMT,MATCH(365,tk_FSEQ,0))="",""," → "&amp;INDEX(tk_ROOMT,MATCH(365,tk_FSEQ,0))),"")</f>
        <v/>
      </c>
      <c r="D370" s="70">
        <f>IFERROR(""&amp;INDEX(tk_SIZE,MATCH(365,tk_FSEQ,0)),"")</f>
        <v/>
      </c>
      <c r="E370" s="70">
        <f>IFERROR(""&amp;INDEX(tk_RATING,MATCH(365,tk_FSEQ,0)),"")</f>
        <v/>
      </c>
      <c r="F370" s="70">
        <f>IFERROR(TEXT(INDEX(tk_OAW,MATCH(365,tk_FSEQ,0)),"0.000")&amp;" x "&amp;TEXT(INDEX(tk_OAH,MATCH(365,tk_FSEQ,0)),"0.000"),"")</f>
        <v/>
      </c>
      <c r="G370" s="70">
        <f>IFERROR(""&amp;INDEX(tk_FLINE,MATCH(365,tk_FSEQ,0)),"")</f>
        <v/>
      </c>
      <c r="H370" s="70">
        <f>IFERROR(""&amp;INDEX(tk_FNOTES,MATCH(365,tk_FSEQ,0)),"")</f>
        <v/>
      </c>
    </row>
    <row r="371">
      <c r="A371" s="70">
        <f>IFERROR(""&amp;INDEX(tk_MARK,MATCH(366,tk_FSEQ,0)),"")</f>
        <v/>
      </c>
      <c r="B371" s="70">
        <f>IFERROR(INDEX(tk_QTY,MATCH(366,tk_FSEQ,0)),"")</f>
        <v/>
      </c>
      <c r="C371" s="70">
        <f>IFERROR(INDEX(tk_ROOMF,MATCH(366,tk_FSEQ,0))&amp;IF(INDEX(tk_ROOMT,MATCH(366,tk_FSEQ,0))="",""," → "&amp;INDEX(tk_ROOMT,MATCH(366,tk_FSEQ,0))),"")</f>
        <v/>
      </c>
      <c r="D371" s="70">
        <f>IFERROR(""&amp;INDEX(tk_SIZE,MATCH(366,tk_FSEQ,0)),"")</f>
        <v/>
      </c>
      <c r="E371" s="70">
        <f>IFERROR(""&amp;INDEX(tk_RATING,MATCH(366,tk_FSEQ,0)),"")</f>
        <v/>
      </c>
      <c r="F371" s="70">
        <f>IFERROR(TEXT(INDEX(tk_OAW,MATCH(366,tk_FSEQ,0)),"0.000")&amp;" x "&amp;TEXT(INDEX(tk_OAH,MATCH(366,tk_FSEQ,0)),"0.000"),"")</f>
        <v/>
      </c>
      <c r="G371" s="70">
        <f>IFERROR(""&amp;INDEX(tk_FLINE,MATCH(366,tk_FSEQ,0)),"")</f>
        <v/>
      </c>
      <c r="H371" s="70">
        <f>IFERROR(""&amp;INDEX(tk_FNOTES,MATCH(366,tk_FSEQ,0)),"")</f>
        <v/>
      </c>
    </row>
    <row r="372">
      <c r="A372" s="70">
        <f>IFERROR(""&amp;INDEX(tk_MARK,MATCH(367,tk_FSEQ,0)),"")</f>
        <v/>
      </c>
      <c r="B372" s="70">
        <f>IFERROR(INDEX(tk_QTY,MATCH(367,tk_FSEQ,0)),"")</f>
        <v/>
      </c>
      <c r="C372" s="70">
        <f>IFERROR(INDEX(tk_ROOMF,MATCH(367,tk_FSEQ,0))&amp;IF(INDEX(tk_ROOMT,MATCH(367,tk_FSEQ,0))="",""," → "&amp;INDEX(tk_ROOMT,MATCH(367,tk_FSEQ,0))),"")</f>
        <v/>
      </c>
      <c r="D372" s="70">
        <f>IFERROR(""&amp;INDEX(tk_SIZE,MATCH(367,tk_FSEQ,0)),"")</f>
        <v/>
      </c>
      <c r="E372" s="70">
        <f>IFERROR(""&amp;INDEX(tk_RATING,MATCH(367,tk_FSEQ,0)),"")</f>
        <v/>
      </c>
      <c r="F372" s="70">
        <f>IFERROR(TEXT(INDEX(tk_OAW,MATCH(367,tk_FSEQ,0)),"0.000")&amp;" x "&amp;TEXT(INDEX(tk_OAH,MATCH(367,tk_FSEQ,0)),"0.000"),"")</f>
        <v/>
      </c>
      <c r="G372" s="70">
        <f>IFERROR(""&amp;INDEX(tk_FLINE,MATCH(367,tk_FSEQ,0)),"")</f>
        <v/>
      </c>
      <c r="H372" s="70">
        <f>IFERROR(""&amp;INDEX(tk_FNOTES,MATCH(367,tk_FSEQ,0)),"")</f>
        <v/>
      </c>
    </row>
    <row r="373">
      <c r="A373" s="70">
        <f>IFERROR(""&amp;INDEX(tk_MARK,MATCH(368,tk_FSEQ,0)),"")</f>
        <v/>
      </c>
      <c r="B373" s="70">
        <f>IFERROR(INDEX(tk_QTY,MATCH(368,tk_FSEQ,0)),"")</f>
        <v/>
      </c>
      <c r="C373" s="70">
        <f>IFERROR(INDEX(tk_ROOMF,MATCH(368,tk_FSEQ,0))&amp;IF(INDEX(tk_ROOMT,MATCH(368,tk_FSEQ,0))="",""," → "&amp;INDEX(tk_ROOMT,MATCH(368,tk_FSEQ,0))),"")</f>
        <v/>
      </c>
      <c r="D373" s="70">
        <f>IFERROR(""&amp;INDEX(tk_SIZE,MATCH(368,tk_FSEQ,0)),"")</f>
        <v/>
      </c>
      <c r="E373" s="70">
        <f>IFERROR(""&amp;INDEX(tk_RATING,MATCH(368,tk_FSEQ,0)),"")</f>
        <v/>
      </c>
      <c r="F373" s="70">
        <f>IFERROR(TEXT(INDEX(tk_OAW,MATCH(368,tk_FSEQ,0)),"0.000")&amp;" x "&amp;TEXT(INDEX(tk_OAH,MATCH(368,tk_FSEQ,0)),"0.000"),"")</f>
        <v/>
      </c>
      <c r="G373" s="70">
        <f>IFERROR(""&amp;INDEX(tk_FLINE,MATCH(368,tk_FSEQ,0)),"")</f>
        <v/>
      </c>
      <c r="H373" s="70">
        <f>IFERROR(""&amp;INDEX(tk_FNOTES,MATCH(368,tk_FSEQ,0)),"")</f>
        <v/>
      </c>
    </row>
    <row r="374">
      <c r="A374" s="70">
        <f>IFERROR(""&amp;INDEX(tk_MARK,MATCH(369,tk_FSEQ,0)),"")</f>
        <v/>
      </c>
      <c r="B374" s="70">
        <f>IFERROR(INDEX(tk_QTY,MATCH(369,tk_FSEQ,0)),"")</f>
        <v/>
      </c>
      <c r="C374" s="70">
        <f>IFERROR(INDEX(tk_ROOMF,MATCH(369,tk_FSEQ,0))&amp;IF(INDEX(tk_ROOMT,MATCH(369,tk_FSEQ,0))="",""," → "&amp;INDEX(tk_ROOMT,MATCH(369,tk_FSEQ,0))),"")</f>
        <v/>
      </c>
      <c r="D374" s="70">
        <f>IFERROR(""&amp;INDEX(tk_SIZE,MATCH(369,tk_FSEQ,0)),"")</f>
        <v/>
      </c>
      <c r="E374" s="70">
        <f>IFERROR(""&amp;INDEX(tk_RATING,MATCH(369,tk_FSEQ,0)),"")</f>
        <v/>
      </c>
      <c r="F374" s="70">
        <f>IFERROR(TEXT(INDEX(tk_OAW,MATCH(369,tk_FSEQ,0)),"0.000")&amp;" x "&amp;TEXT(INDEX(tk_OAH,MATCH(369,tk_FSEQ,0)),"0.000"),"")</f>
        <v/>
      </c>
      <c r="G374" s="70">
        <f>IFERROR(""&amp;INDEX(tk_FLINE,MATCH(369,tk_FSEQ,0)),"")</f>
        <v/>
      </c>
      <c r="H374" s="70">
        <f>IFERROR(""&amp;INDEX(tk_FNOTES,MATCH(369,tk_FSEQ,0)),"")</f>
        <v/>
      </c>
    </row>
    <row r="375">
      <c r="A375" s="70">
        <f>IFERROR(""&amp;INDEX(tk_MARK,MATCH(370,tk_FSEQ,0)),"")</f>
        <v/>
      </c>
      <c r="B375" s="70">
        <f>IFERROR(INDEX(tk_QTY,MATCH(370,tk_FSEQ,0)),"")</f>
        <v/>
      </c>
      <c r="C375" s="70">
        <f>IFERROR(INDEX(tk_ROOMF,MATCH(370,tk_FSEQ,0))&amp;IF(INDEX(tk_ROOMT,MATCH(370,tk_FSEQ,0))="",""," → "&amp;INDEX(tk_ROOMT,MATCH(370,tk_FSEQ,0))),"")</f>
        <v/>
      </c>
      <c r="D375" s="70">
        <f>IFERROR(""&amp;INDEX(tk_SIZE,MATCH(370,tk_FSEQ,0)),"")</f>
        <v/>
      </c>
      <c r="E375" s="70">
        <f>IFERROR(""&amp;INDEX(tk_RATING,MATCH(370,tk_FSEQ,0)),"")</f>
        <v/>
      </c>
      <c r="F375" s="70">
        <f>IFERROR(TEXT(INDEX(tk_OAW,MATCH(370,tk_FSEQ,0)),"0.000")&amp;" x "&amp;TEXT(INDEX(tk_OAH,MATCH(370,tk_FSEQ,0)),"0.000"),"")</f>
        <v/>
      </c>
      <c r="G375" s="70">
        <f>IFERROR(""&amp;INDEX(tk_FLINE,MATCH(370,tk_FSEQ,0)),"")</f>
        <v/>
      </c>
      <c r="H375" s="70">
        <f>IFERROR(""&amp;INDEX(tk_FNOTES,MATCH(370,tk_FSEQ,0)),"")</f>
        <v/>
      </c>
    </row>
    <row r="376">
      <c r="A376" s="70">
        <f>IFERROR(""&amp;INDEX(tk_MARK,MATCH(371,tk_FSEQ,0)),"")</f>
        <v/>
      </c>
      <c r="B376" s="70">
        <f>IFERROR(INDEX(tk_QTY,MATCH(371,tk_FSEQ,0)),"")</f>
        <v/>
      </c>
      <c r="C376" s="70">
        <f>IFERROR(INDEX(tk_ROOMF,MATCH(371,tk_FSEQ,0))&amp;IF(INDEX(tk_ROOMT,MATCH(371,tk_FSEQ,0))="",""," → "&amp;INDEX(tk_ROOMT,MATCH(371,tk_FSEQ,0))),"")</f>
        <v/>
      </c>
      <c r="D376" s="70">
        <f>IFERROR(""&amp;INDEX(tk_SIZE,MATCH(371,tk_FSEQ,0)),"")</f>
        <v/>
      </c>
      <c r="E376" s="70">
        <f>IFERROR(""&amp;INDEX(tk_RATING,MATCH(371,tk_FSEQ,0)),"")</f>
        <v/>
      </c>
      <c r="F376" s="70">
        <f>IFERROR(TEXT(INDEX(tk_OAW,MATCH(371,tk_FSEQ,0)),"0.000")&amp;" x "&amp;TEXT(INDEX(tk_OAH,MATCH(371,tk_FSEQ,0)),"0.000"),"")</f>
        <v/>
      </c>
      <c r="G376" s="70">
        <f>IFERROR(""&amp;INDEX(tk_FLINE,MATCH(371,tk_FSEQ,0)),"")</f>
        <v/>
      </c>
      <c r="H376" s="70">
        <f>IFERROR(""&amp;INDEX(tk_FNOTES,MATCH(371,tk_FSEQ,0)),"")</f>
        <v/>
      </c>
    </row>
    <row r="377">
      <c r="A377" s="70">
        <f>IFERROR(""&amp;INDEX(tk_MARK,MATCH(372,tk_FSEQ,0)),"")</f>
        <v/>
      </c>
      <c r="B377" s="70">
        <f>IFERROR(INDEX(tk_QTY,MATCH(372,tk_FSEQ,0)),"")</f>
        <v/>
      </c>
      <c r="C377" s="70">
        <f>IFERROR(INDEX(tk_ROOMF,MATCH(372,tk_FSEQ,0))&amp;IF(INDEX(tk_ROOMT,MATCH(372,tk_FSEQ,0))="",""," → "&amp;INDEX(tk_ROOMT,MATCH(372,tk_FSEQ,0))),"")</f>
        <v/>
      </c>
      <c r="D377" s="70">
        <f>IFERROR(""&amp;INDEX(tk_SIZE,MATCH(372,tk_FSEQ,0)),"")</f>
        <v/>
      </c>
      <c r="E377" s="70">
        <f>IFERROR(""&amp;INDEX(tk_RATING,MATCH(372,tk_FSEQ,0)),"")</f>
        <v/>
      </c>
      <c r="F377" s="70">
        <f>IFERROR(TEXT(INDEX(tk_OAW,MATCH(372,tk_FSEQ,0)),"0.000")&amp;" x "&amp;TEXT(INDEX(tk_OAH,MATCH(372,tk_FSEQ,0)),"0.000"),"")</f>
        <v/>
      </c>
      <c r="G377" s="70">
        <f>IFERROR(""&amp;INDEX(tk_FLINE,MATCH(372,tk_FSEQ,0)),"")</f>
        <v/>
      </c>
      <c r="H377" s="70">
        <f>IFERROR(""&amp;INDEX(tk_FNOTES,MATCH(372,tk_FSEQ,0)),"")</f>
        <v/>
      </c>
    </row>
    <row r="378">
      <c r="A378" s="70">
        <f>IFERROR(""&amp;INDEX(tk_MARK,MATCH(373,tk_FSEQ,0)),"")</f>
        <v/>
      </c>
      <c r="B378" s="70">
        <f>IFERROR(INDEX(tk_QTY,MATCH(373,tk_FSEQ,0)),"")</f>
        <v/>
      </c>
      <c r="C378" s="70">
        <f>IFERROR(INDEX(tk_ROOMF,MATCH(373,tk_FSEQ,0))&amp;IF(INDEX(tk_ROOMT,MATCH(373,tk_FSEQ,0))="",""," → "&amp;INDEX(tk_ROOMT,MATCH(373,tk_FSEQ,0))),"")</f>
        <v/>
      </c>
      <c r="D378" s="70">
        <f>IFERROR(""&amp;INDEX(tk_SIZE,MATCH(373,tk_FSEQ,0)),"")</f>
        <v/>
      </c>
      <c r="E378" s="70">
        <f>IFERROR(""&amp;INDEX(tk_RATING,MATCH(373,tk_FSEQ,0)),"")</f>
        <v/>
      </c>
      <c r="F378" s="70">
        <f>IFERROR(TEXT(INDEX(tk_OAW,MATCH(373,tk_FSEQ,0)),"0.000")&amp;" x "&amp;TEXT(INDEX(tk_OAH,MATCH(373,tk_FSEQ,0)),"0.000"),"")</f>
        <v/>
      </c>
      <c r="G378" s="70">
        <f>IFERROR(""&amp;INDEX(tk_FLINE,MATCH(373,tk_FSEQ,0)),"")</f>
        <v/>
      </c>
      <c r="H378" s="70">
        <f>IFERROR(""&amp;INDEX(tk_FNOTES,MATCH(373,tk_FSEQ,0)),"")</f>
        <v/>
      </c>
    </row>
    <row r="379">
      <c r="A379" s="70">
        <f>IFERROR(""&amp;INDEX(tk_MARK,MATCH(374,tk_FSEQ,0)),"")</f>
        <v/>
      </c>
      <c r="B379" s="70">
        <f>IFERROR(INDEX(tk_QTY,MATCH(374,tk_FSEQ,0)),"")</f>
        <v/>
      </c>
      <c r="C379" s="70">
        <f>IFERROR(INDEX(tk_ROOMF,MATCH(374,tk_FSEQ,0))&amp;IF(INDEX(tk_ROOMT,MATCH(374,tk_FSEQ,0))="",""," → "&amp;INDEX(tk_ROOMT,MATCH(374,tk_FSEQ,0))),"")</f>
        <v/>
      </c>
      <c r="D379" s="70">
        <f>IFERROR(""&amp;INDEX(tk_SIZE,MATCH(374,tk_FSEQ,0)),"")</f>
        <v/>
      </c>
      <c r="E379" s="70">
        <f>IFERROR(""&amp;INDEX(tk_RATING,MATCH(374,tk_FSEQ,0)),"")</f>
        <v/>
      </c>
      <c r="F379" s="70">
        <f>IFERROR(TEXT(INDEX(tk_OAW,MATCH(374,tk_FSEQ,0)),"0.000")&amp;" x "&amp;TEXT(INDEX(tk_OAH,MATCH(374,tk_FSEQ,0)),"0.000"),"")</f>
        <v/>
      </c>
      <c r="G379" s="70">
        <f>IFERROR(""&amp;INDEX(tk_FLINE,MATCH(374,tk_FSEQ,0)),"")</f>
        <v/>
      </c>
      <c r="H379" s="70">
        <f>IFERROR(""&amp;INDEX(tk_FNOTES,MATCH(374,tk_FSEQ,0)),"")</f>
        <v/>
      </c>
    </row>
    <row r="380">
      <c r="A380" s="70">
        <f>IFERROR(""&amp;INDEX(tk_MARK,MATCH(375,tk_FSEQ,0)),"")</f>
        <v/>
      </c>
      <c r="B380" s="70">
        <f>IFERROR(INDEX(tk_QTY,MATCH(375,tk_FSEQ,0)),"")</f>
        <v/>
      </c>
      <c r="C380" s="70">
        <f>IFERROR(INDEX(tk_ROOMF,MATCH(375,tk_FSEQ,0))&amp;IF(INDEX(tk_ROOMT,MATCH(375,tk_FSEQ,0))="",""," → "&amp;INDEX(tk_ROOMT,MATCH(375,tk_FSEQ,0))),"")</f>
        <v/>
      </c>
      <c r="D380" s="70">
        <f>IFERROR(""&amp;INDEX(tk_SIZE,MATCH(375,tk_FSEQ,0)),"")</f>
        <v/>
      </c>
      <c r="E380" s="70">
        <f>IFERROR(""&amp;INDEX(tk_RATING,MATCH(375,tk_FSEQ,0)),"")</f>
        <v/>
      </c>
      <c r="F380" s="70">
        <f>IFERROR(TEXT(INDEX(tk_OAW,MATCH(375,tk_FSEQ,0)),"0.000")&amp;" x "&amp;TEXT(INDEX(tk_OAH,MATCH(375,tk_FSEQ,0)),"0.000"),"")</f>
        <v/>
      </c>
      <c r="G380" s="70">
        <f>IFERROR(""&amp;INDEX(tk_FLINE,MATCH(375,tk_FSEQ,0)),"")</f>
        <v/>
      </c>
      <c r="H380" s="70">
        <f>IFERROR(""&amp;INDEX(tk_FNOTES,MATCH(375,tk_FSEQ,0)),"")</f>
        <v/>
      </c>
    </row>
    <row r="381">
      <c r="A381" s="70">
        <f>IFERROR(""&amp;INDEX(tk_MARK,MATCH(376,tk_FSEQ,0)),"")</f>
        <v/>
      </c>
      <c r="B381" s="70">
        <f>IFERROR(INDEX(tk_QTY,MATCH(376,tk_FSEQ,0)),"")</f>
        <v/>
      </c>
      <c r="C381" s="70">
        <f>IFERROR(INDEX(tk_ROOMF,MATCH(376,tk_FSEQ,0))&amp;IF(INDEX(tk_ROOMT,MATCH(376,tk_FSEQ,0))="",""," → "&amp;INDEX(tk_ROOMT,MATCH(376,tk_FSEQ,0))),"")</f>
        <v/>
      </c>
      <c r="D381" s="70">
        <f>IFERROR(""&amp;INDEX(tk_SIZE,MATCH(376,tk_FSEQ,0)),"")</f>
        <v/>
      </c>
      <c r="E381" s="70">
        <f>IFERROR(""&amp;INDEX(tk_RATING,MATCH(376,tk_FSEQ,0)),"")</f>
        <v/>
      </c>
      <c r="F381" s="70">
        <f>IFERROR(TEXT(INDEX(tk_OAW,MATCH(376,tk_FSEQ,0)),"0.000")&amp;" x "&amp;TEXT(INDEX(tk_OAH,MATCH(376,tk_FSEQ,0)),"0.000"),"")</f>
        <v/>
      </c>
      <c r="G381" s="70">
        <f>IFERROR(""&amp;INDEX(tk_FLINE,MATCH(376,tk_FSEQ,0)),"")</f>
        <v/>
      </c>
      <c r="H381" s="70">
        <f>IFERROR(""&amp;INDEX(tk_FNOTES,MATCH(376,tk_FSEQ,0)),"")</f>
        <v/>
      </c>
    </row>
    <row r="382">
      <c r="A382" s="70">
        <f>IFERROR(""&amp;INDEX(tk_MARK,MATCH(377,tk_FSEQ,0)),"")</f>
        <v/>
      </c>
      <c r="B382" s="70">
        <f>IFERROR(INDEX(tk_QTY,MATCH(377,tk_FSEQ,0)),"")</f>
        <v/>
      </c>
      <c r="C382" s="70">
        <f>IFERROR(INDEX(tk_ROOMF,MATCH(377,tk_FSEQ,0))&amp;IF(INDEX(tk_ROOMT,MATCH(377,tk_FSEQ,0))="",""," → "&amp;INDEX(tk_ROOMT,MATCH(377,tk_FSEQ,0))),"")</f>
        <v/>
      </c>
      <c r="D382" s="70">
        <f>IFERROR(""&amp;INDEX(tk_SIZE,MATCH(377,tk_FSEQ,0)),"")</f>
        <v/>
      </c>
      <c r="E382" s="70">
        <f>IFERROR(""&amp;INDEX(tk_RATING,MATCH(377,tk_FSEQ,0)),"")</f>
        <v/>
      </c>
      <c r="F382" s="70">
        <f>IFERROR(TEXT(INDEX(tk_OAW,MATCH(377,tk_FSEQ,0)),"0.000")&amp;" x "&amp;TEXT(INDEX(tk_OAH,MATCH(377,tk_FSEQ,0)),"0.000"),"")</f>
        <v/>
      </c>
      <c r="G382" s="70">
        <f>IFERROR(""&amp;INDEX(tk_FLINE,MATCH(377,tk_FSEQ,0)),"")</f>
        <v/>
      </c>
      <c r="H382" s="70">
        <f>IFERROR(""&amp;INDEX(tk_FNOTES,MATCH(377,tk_FSEQ,0)),"")</f>
        <v/>
      </c>
    </row>
    <row r="383">
      <c r="A383" s="70">
        <f>IFERROR(""&amp;INDEX(tk_MARK,MATCH(378,tk_FSEQ,0)),"")</f>
        <v/>
      </c>
      <c r="B383" s="70">
        <f>IFERROR(INDEX(tk_QTY,MATCH(378,tk_FSEQ,0)),"")</f>
        <v/>
      </c>
      <c r="C383" s="70">
        <f>IFERROR(INDEX(tk_ROOMF,MATCH(378,tk_FSEQ,0))&amp;IF(INDEX(tk_ROOMT,MATCH(378,tk_FSEQ,0))="",""," → "&amp;INDEX(tk_ROOMT,MATCH(378,tk_FSEQ,0))),"")</f>
        <v/>
      </c>
      <c r="D383" s="70">
        <f>IFERROR(""&amp;INDEX(tk_SIZE,MATCH(378,tk_FSEQ,0)),"")</f>
        <v/>
      </c>
      <c r="E383" s="70">
        <f>IFERROR(""&amp;INDEX(tk_RATING,MATCH(378,tk_FSEQ,0)),"")</f>
        <v/>
      </c>
      <c r="F383" s="70">
        <f>IFERROR(TEXT(INDEX(tk_OAW,MATCH(378,tk_FSEQ,0)),"0.000")&amp;" x "&amp;TEXT(INDEX(tk_OAH,MATCH(378,tk_FSEQ,0)),"0.000"),"")</f>
        <v/>
      </c>
      <c r="G383" s="70">
        <f>IFERROR(""&amp;INDEX(tk_FLINE,MATCH(378,tk_FSEQ,0)),"")</f>
        <v/>
      </c>
      <c r="H383" s="70">
        <f>IFERROR(""&amp;INDEX(tk_FNOTES,MATCH(378,tk_FSEQ,0)),"")</f>
        <v/>
      </c>
    </row>
    <row r="384">
      <c r="A384" s="70">
        <f>IFERROR(""&amp;INDEX(tk_MARK,MATCH(379,tk_FSEQ,0)),"")</f>
        <v/>
      </c>
      <c r="B384" s="70">
        <f>IFERROR(INDEX(tk_QTY,MATCH(379,tk_FSEQ,0)),"")</f>
        <v/>
      </c>
      <c r="C384" s="70">
        <f>IFERROR(INDEX(tk_ROOMF,MATCH(379,tk_FSEQ,0))&amp;IF(INDEX(tk_ROOMT,MATCH(379,tk_FSEQ,0))="",""," → "&amp;INDEX(tk_ROOMT,MATCH(379,tk_FSEQ,0))),"")</f>
        <v/>
      </c>
      <c r="D384" s="70">
        <f>IFERROR(""&amp;INDEX(tk_SIZE,MATCH(379,tk_FSEQ,0)),"")</f>
        <v/>
      </c>
      <c r="E384" s="70">
        <f>IFERROR(""&amp;INDEX(tk_RATING,MATCH(379,tk_FSEQ,0)),"")</f>
        <v/>
      </c>
      <c r="F384" s="70">
        <f>IFERROR(TEXT(INDEX(tk_OAW,MATCH(379,tk_FSEQ,0)),"0.000")&amp;" x "&amp;TEXT(INDEX(tk_OAH,MATCH(379,tk_FSEQ,0)),"0.000"),"")</f>
        <v/>
      </c>
      <c r="G384" s="70">
        <f>IFERROR(""&amp;INDEX(tk_FLINE,MATCH(379,tk_FSEQ,0)),"")</f>
        <v/>
      </c>
      <c r="H384" s="70">
        <f>IFERROR(""&amp;INDEX(tk_FNOTES,MATCH(379,tk_FSEQ,0)),"")</f>
        <v/>
      </c>
    </row>
    <row r="385">
      <c r="A385" s="70">
        <f>IFERROR(""&amp;INDEX(tk_MARK,MATCH(380,tk_FSEQ,0)),"")</f>
        <v/>
      </c>
      <c r="B385" s="70">
        <f>IFERROR(INDEX(tk_QTY,MATCH(380,tk_FSEQ,0)),"")</f>
        <v/>
      </c>
      <c r="C385" s="70">
        <f>IFERROR(INDEX(tk_ROOMF,MATCH(380,tk_FSEQ,0))&amp;IF(INDEX(tk_ROOMT,MATCH(380,tk_FSEQ,0))="",""," → "&amp;INDEX(tk_ROOMT,MATCH(380,tk_FSEQ,0))),"")</f>
        <v/>
      </c>
      <c r="D385" s="70">
        <f>IFERROR(""&amp;INDEX(tk_SIZE,MATCH(380,tk_FSEQ,0)),"")</f>
        <v/>
      </c>
      <c r="E385" s="70">
        <f>IFERROR(""&amp;INDEX(tk_RATING,MATCH(380,tk_FSEQ,0)),"")</f>
        <v/>
      </c>
      <c r="F385" s="70">
        <f>IFERROR(TEXT(INDEX(tk_OAW,MATCH(380,tk_FSEQ,0)),"0.000")&amp;" x "&amp;TEXT(INDEX(tk_OAH,MATCH(380,tk_FSEQ,0)),"0.000"),"")</f>
        <v/>
      </c>
      <c r="G385" s="70">
        <f>IFERROR(""&amp;INDEX(tk_FLINE,MATCH(380,tk_FSEQ,0)),"")</f>
        <v/>
      </c>
      <c r="H385" s="70">
        <f>IFERROR(""&amp;INDEX(tk_FNOTES,MATCH(380,tk_FSEQ,0)),"")</f>
        <v/>
      </c>
    </row>
    <row r="386">
      <c r="A386" s="70">
        <f>IFERROR(""&amp;INDEX(tk_MARK,MATCH(381,tk_FSEQ,0)),"")</f>
        <v/>
      </c>
      <c r="B386" s="70">
        <f>IFERROR(INDEX(tk_QTY,MATCH(381,tk_FSEQ,0)),"")</f>
        <v/>
      </c>
      <c r="C386" s="70">
        <f>IFERROR(INDEX(tk_ROOMF,MATCH(381,tk_FSEQ,0))&amp;IF(INDEX(tk_ROOMT,MATCH(381,tk_FSEQ,0))="",""," → "&amp;INDEX(tk_ROOMT,MATCH(381,tk_FSEQ,0))),"")</f>
        <v/>
      </c>
      <c r="D386" s="70">
        <f>IFERROR(""&amp;INDEX(tk_SIZE,MATCH(381,tk_FSEQ,0)),"")</f>
        <v/>
      </c>
      <c r="E386" s="70">
        <f>IFERROR(""&amp;INDEX(tk_RATING,MATCH(381,tk_FSEQ,0)),"")</f>
        <v/>
      </c>
      <c r="F386" s="70">
        <f>IFERROR(TEXT(INDEX(tk_OAW,MATCH(381,tk_FSEQ,0)),"0.000")&amp;" x "&amp;TEXT(INDEX(tk_OAH,MATCH(381,tk_FSEQ,0)),"0.000"),"")</f>
        <v/>
      </c>
      <c r="G386" s="70">
        <f>IFERROR(""&amp;INDEX(tk_FLINE,MATCH(381,tk_FSEQ,0)),"")</f>
        <v/>
      </c>
      <c r="H386" s="70">
        <f>IFERROR(""&amp;INDEX(tk_FNOTES,MATCH(381,tk_FSEQ,0)),"")</f>
        <v/>
      </c>
    </row>
    <row r="387">
      <c r="A387" s="70">
        <f>IFERROR(""&amp;INDEX(tk_MARK,MATCH(382,tk_FSEQ,0)),"")</f>
        <v/>
      </c>
      <c r="B387" s="70">
        <f>IFERROR(INDEX(tk_QTY,MATCH(382,tk_FSEQ,0)),"")</f>
        <v/>
      </c>
      <c r="C387" s="70">
        <f>IFERROR(INDEX(tk_ROOMF,MATCH(382,tk_FSEQ,0))&amp;IF(INDEX(tk_ROOMT,MATCH(382,tk_FSEQ,0))="",""," → "&amp;INDEX(tk_ROOMT,MATCH(382,tk_FSEQ,0))),"")</f>
        <v/>
      </c>
      <c r="D387" s="70">
        <f>IFERROR(""&amp;INDEX(tk_SIZE,MATCH(382,tk_FSEQ,0)),"")</f>
        <v/>
      </c>
      <c r="E387" s="70">
        <f>IFERROR(""&amp;INDEX(tk_RATING,MATCH(382,tk_FSEQ,0)),"")</f>
        <v/>
      </c>
      <c r="F387" s="70">
        <f>IFERROR(TEXT(INDEX(tk_OAW,MATCH(382,tk_FSEQ,0)),"0.000")&amp;" x "&amp;TEXT(INDEX(tk_OAH,MATCH(382,tk_FSEQ,0)),"0.000"),"")</f>
        <v/>
      </c>
      <c r="G387" s="70">
        <f>IFERROR(""&amp;INDEX(tk_FLINE,MATCH(382,tk_FSEQ,0)),"")</f>
        <v/>
      </c>
      <c r="H387" s="70">
        <f>IFERROR(""&amp;INDEX(tk_FNOTES,MATCH(382,tk_FSEQ,0)),"")</f>
        <v/>
      </c>
    </row>
    <row r="388">
      <c r="A388" s="70">
        <f>IFERROR(""&amp;INDEX(tk_MARK,MATCH(383,tk_FSEQ,0)),"")</f>
        <v/>
      </c>
      <c r="B388" s="70">
        <f>IFERROR(INDEX(tk_QTY,MATCH(383,tk_FSEQ,0)),"")</f>
        <v/>
      </c>
      <c r="C388" s="70">
        <f>IFERROR(INDEX(tk_ROOMF,MATCH(383,tk_FSEQ,0))&amp;IF(INDEX(tk_ROOMT,MATCH(383,tk_FSEQ,0))="",""," → "&amp;INDEX(tk_ROOMT,MATCH(383,tk_FSEQ,0))),"")</f>
        <v/>
      </c>
      <c r="D388" s="70">
        <f>IFERROR(""&amp;INDEX(tk_SIZE,MATCH(383,tk_FSEQ,0)),"")</f>
        <v/>
      </c>
      <c r="E388" s="70">
        <f>IFERROR(""&amp;INDEX(tk_RATING,MATCH(383,tk_FSEQ,0)),"")</f>
        <v/>
      </c>
      <c r="F388" s="70">
        <f>IFERROR(TEXT(INDEX(tk_OAW,MATCH(383,tk_FSEQ,0)),"0.000")&amp;" x "&amp;TEXT(INDEX(tk_OAH,MATCH(383,tk_FSEQ,0)),"0.000"),"")</f>
        <v/>
      </c>
      <c r="G388" s="70">
        <f>IFERROR(""&amp;INDEX(tk_FLINE,MATCH(383,tk_FSEQ,0)),"")</f>
        <v/>
      </c>
      <c r="H388" s="70">
        <f>IFERROR(""&amp;INDEX(tk_FNOTES,MATCH(383,tk_FSEQ,0)),"")</f>
        <v/>
      </c>
    </row>
    <row r="389">
      <c r="A389" s="70">
        <f>IFERROR(""&amp;INDEX(tk_MARK,MATCH(384,tk_FSEQ,0)),"")</f>
        <v/>
      </c>
      <c r="B389" s="70">
        <f>IFERROR(INDEX(tk_QTY,MATCH(384,tk_FSEQ,0)),"")</f>
        <v/>
      </c>
      <c r="C389" s="70">
        <f>IFERROR(INDEX(tk_ROOMF,MATCH(384,tk_FSEQ,0))&amp;IF(INDEX(tk_ROOMT,MATCH(384,tk_FSEQ,0))="",""," → "&amp;INDEX(tk_ROOMT,MATCH(384,tk_FSEQ,0))),"")</f>
        <v/>
      </c>
      <c r="D389" s="70">
        <f>IFERROR(""&amp;INDEX(tk_SIZE,MATCH(384,tk_FSEQ,0)),"")</f>
        <v/>
      </c>
      <c r="E389" s="70">
        <f>IFERROR(""&amp;INDEX(tk_RATING,MATCH(384,tk_FSEQ,0)),"")</f>
        <v/>
      </c>
      <c r="F389" s="70">
        <f>IFERROR(TEXT(INDEX(tk_OAW,MATCH(384,tk_FSEQ,0)),"0.000")&amp;" x "&amp;TEXT(INDEX(tk_OAH,MATCH(384,tk_FSEQ,0)),"0.000"),"")</f>
        <v/>
      </c>
      <c r="G389" s="70">
        <f>IFERROR(""&amp;INDEX(tk_FLINE,MATCH(384,tk_FSEQ,0)),"")</f>
        <v/>
      </c>
      <c r="H389" s="70">
        <f>IFERROR(""&amp;INDEX(tk_FNOTES,MATCH(384,tk_FSEQ,0)),"")</f>
        <v/>
      </c>
    </row>
    <row r="390">
      <c r="A390" s="70">
        <f>IFERROR(""&amp;INDEX(tk_MARK,MATCH(385,tk_FSEQ,0)),"")</f>
        <v/>
      </c>
      <c r="B390" s="70">
        <f>IFERROR(INDEX(tk_QTY,MATCH(385,tk_FSEQ,0)),"")</f>
        <v/>
      </c>
      <c r="C390" s="70">
        <f>IFERROR(INDEX(tk_ROOMF,MATCH(385,tk_FSEQ,0))&amp;IF(INDEX(tk_ROOMT,MATCH(385,tk_FSEQ,0))="",""," → "&amp;INDEX(tk_ROOMT,MATCH(385,tk_FSEQ,0))),"")</f>
        <v/>
      </c>
      <c r="D390" s="70">
        <f>IFERROR(""&amp;INDEX(tk_SIZE,MATCH(385,tk_FSEQ,0)),"")</f>
        <v/>
      </c>
      <c r="E390" s="70">
        <f>IFERROR(""&amp;INDEX(tk_RATING,MATCH(385,tk_FSEQ,0)),"")</f>
        <v/>
      </c>
      <c r="F390" s="70">
        <f>IFERROR(TEXT(INDEX(tk_OAW,MATCH(385,tk_FSEQ,0)),"0.000")&amp;" x "&amp;TEXT(INDEX(tk_OAH,MATCH(385,tk_FSEQ,0)),"0.000"),"")</f>
        <v/>
      </c>
      <c r="G390" s="70">
        <f>IFERROR(""&amp;INDEX(tk_FLINE,MATCH(385,tk_FSEQ,0)),"")</f>
        <v/>
      </c>
      <c r="H390" s="70">
        <f>IFERROR(""&amp;INDEX(tk_FNOTES,MATCH(385,tk_FSEQ,0)),"")</f>
        <v/>
      </c>
    </row>
    <row r="391">
      <c r="A391" s="70">
        <f>IFERROR(""&amp;INDEX(tk_MARK,MATCH(386,tk_FSEQ,0)),"")</f>
        <v/>
      </c>
      <c r="B391" s="70">
        <f>IFERROR(INDEX(tk_QTY,MATCH(386,tk_FSEQ,0)),"")</f>
        <v/>
      </c>
      <c r="C391" s="70">
        <f>IFERROR(INDEX(tk_ROOMF,MATCH(386,tk_FSEQ,0))&amp;IF(INDEX(tk_ROOMT,MATCH(386,tk_FSEQ,0))="",""," → "&amp;INDEX(tk_ROOMT,MATCH(386,tk_FSEQ,0))),"")</f>
        <v/>
      </c>
      <c r="D391" s="70">
        <f>IFERROR(""&amp;INDEX(tk_SIZE,MATCH(386,tk_FSEQ,0)),"")</f>
        <v/>
      </c>
      <c r="E391" s="70">
        <f>IFERROR(""&amp;INDEX(tk_RATING,MATCH(386,tk_FSEQ,0)),"")</f>
        <v/>
      </c>
      <c r="F391" s="70">
        <f>IFERROR(TEXT(INDEX(tk_OAW,MATCH(386,tk_FSEQ,0)),"0.000")&amp;" x "&amp;TEXT(INDEX(tk_OAH,MATCH(386,tk_FSEQ,0)),"0.000"),"")</f>
        <v/>
      </c>
      <c r="G391" s="70">
        <f>IFERROR(""&amp;INDEX(tk_FLINE,MATCH(386,tk_FSEQ,0)),"")</f>
        <v/>
      </c>
      <c r="H391" s="70">
        <f>IFERROR(""&amp;INDEX(tk_FNOTES,MATCH(386,tk_FSEQ,0)),"")</f>
        <v/>
      </c>
    </row>
    <row r="392">
      <c r="A392" s="70">
        <f>IFERROR(""&amp;INDEX(tk_MARK,MATCH(387,tk_FSEQ,0)),"")</f>
        <v/>
      </c>
      <c r="B392" s="70">
        <f>IFERROR(INDEX(tk_QTY,MATCH(387,tk_FSEQ,0)),"")</f>
        <v/>
      </c>
      <c r="C392" s="70">
        <f>IFERROR(INDEX(tk_ROOMF,MATCH(387,tk_FSEQ,0))&amp;IF(INDEX(tk_ROOMT,MATCH(387,tk_FSEQ,0))="",""," → "&amp;INDEX(tk_ROOMT,MATCH(387,tk_FSEQ,0))),"")</f>
        <v/>
      </c>
      <c r="D392" s="70">
        <f>IFERROR(""&amp;INDEX(tk_SIZE,MATCH(387,tk_FSEQ,0)),"")</f>
        <v/>
      </c>
      <c r="E392" s="70">
        <f>IFERROR(""&amp;INDEX(tk_RATING,MATCH(387,tk_FSEQ,0)),"")</f>
        <v/>
      </c>
      <c r="F392" s="70">
        <f>IFERROR(TEXT(INDEX(tk_OAW,MATCH(387,tk_FSEQ,0)),"0.000")&amp;" x "&amp;TEXT(INDEX(tk_OAH,MATCH(387,tk_FSEQ,0)),"0.000"),"")</f>
        <v/>
      </c>
      <c r="G392" s="70">
        <f>IFERROR(""&amp;INDEX(tk_FLINE,MATCH(387,tk_FSEQ,0)),"")</f>
        <v/>
      </c>
      <c r="H392" s="70">
        <f>IFERROR(""&amp;INDEX(tk_FNOTES,MATCH(387,tk_FSEQ,0)),"")</f>
        <v/>
      </c>
    </row>
    <row r="393">
      <c r="A393" s="70">
        <f>IFERROR(""&amp;INDEX(tk_MARK,MATCH(388,tk_FSEQ,0)),"")</f>
        <v/>
      </c>
      <c r="B393" s="70">
        <f>IFERROR(INDEX(tk_QTY,MATCH(388,tk_FSEQ,0)),"")</f>
        <v/>
      </c>
      <c r="C393" s="70">
        <f>IFERROR(INDEX(tk_ROOMF,MATCH(388,tk_FSEQ,0))&amp;IF(INDEX(tk_ROOMT,MATCH(388,tk_FSEQ,0))="",""," → "&amp;INDEX(tk_ROOMT,MATCH(388,tk_FSEQ,0))),"")</f>
        <v/>
      </c>
      <c r="D393" s="70">
        <f>IFERROR(""&amp;INDEX(tk_SIZE,MATCH(388,tk_FSEQ,0)),"")</f>
        <v/>
      </c>
      <c r="E393" s="70">
        <f>IFERROR(""&amp;INDEX(tk_RATING,MATCH(388,tk_FSEQ,0)),"")</f>
        <v/>
      </c>
      <c r="F393" s="70">
        <f>IFERROR(TEXT(INDEX(tk_OAW,MATCH(388,tk_FSEQ,0)),"0.000")&amp;" x "&amp;TEXT(INDEX(tk_OAH,MATCH(388,tk_FSEQ,0)),"0.000"),"")</f>
        <v/>
      </c>
      <c r="G393" s="70">
        <f>IFERROR(""&amp;INDEX(tk_FLINE,MATCH(388,tk_FSEQ,0)),"")</f>
        <v/>
      </c>
      <c r="H393" s="70">
        <f>IFERROR(""&amp;INDEX(tk_FNOTES,MATCH(388,tk_FSEQ,0)),"")</f>
        <v/>
      </c>
    </row>
    <row r="394">
      <c r="A394" s="70">
        <f>IFERROR(""&amp;INDEX(tk_MARK,MATCH(389,tk_FSEQ,0)),"")</f>
        <v/>
      </c>
      <c r="B394" s="70">
        <f>IFERROR(INDEX(tk_QTY,MATCH(389,tk_FSEQ,0)),"")</f>
        <v/>
      </c>
      <c r="C394" s="70">
        <f>IFERROR(INDEX(tk_ROOMF,MATCH(389,tk_FSEQ,0))&amp;IF(INDEX(tk_ROOMT,MATCH(389,tk_FSEQ,0))="",""," → "&amp;INDEX(tk_ROOMT,MATCH(389,tk_FSEQ,0))),"")</f>
        <v/>
      </c>
      <c r="D394" s="70">
        <f>IFERROR(""&amp;INDEX(tk_SIZE,MATCH(389,tk_FSEQ,0)),"")</f>
        <v/>
      </c>
      <c r="E394" s="70">
        <f>IFERROR(""&amp;INDEX(tk_RATING,MATCH(389,tk_FSEQ,0)),"")</f>
        <v/>
      </c>
      <c r="F394" s="70">
        <f>IFERROR(TEXT(INDEX(tk_OAW,MATCH(389,tk_FSEQ,0)),"0.000")&amp;" x "&amp;TEXT(INDEX(tk_OAH,MATCH(389,tk_FSEQ,0)),"0.000"),"")</f>
        <v/>
      </c>
      <c r="G394" s="70">
        <f>IFERROR(""&amp;INDEX(tk_FLINE,MATCH(389,tk_FSEQ,0)),"")</f>
        <v/>
      </c>
      <c r="H394" s="70">
        <f>IFERROR(""&amp;INDEX(tk_FNOTES,MATCH(389,tk_FSEQ,0)),"")</f>
        <v/>
      </c>
    </row>
    <row r="395">
      <c r="A395" s="70">
        <f>IFERROR(""&amp;INDEX(tk_MARK,MATCH(390,tk_FSEQ,0)),"")</f>
        <v/>
      </c>
      <c r="B395" s="70">
        <f>IFERROR(INDEX(tk_QTY,MATCH(390,tk_FSEQ,0)),"")</f>
        <v/>
      </c>
      <c r="C395" s="70">
        <f>IFERROR(INDEX(tk_ROOMF,MATCH(390,tk_FSEQ,0))&amp;IF(INDEX(tk_ROOMT,MATCH(390,tk_FSEQ,0))="",""," → "&amp;INDEX(tk_ROOMT,MATCH(390,tk_FSEQ,0))),"")</f>
        <v/>
      </c>
      <c r="D395" s="70">
        <f>IFERROR(""&amp;INDEX(tk_SIZE,MATCH(390,tk_FSEQ,0)),"")</f>
        <v/>
      </c>
      <c r="E395" s="70">
        <f>IFERROR(""&amp;INDEX(tk_RATING,MATCH(390,tk_FSEQ,0)),"")</f>
        <v/>
      </c>
      <c r="F395" s="70">
        <f>IFERROR(TEXT(INDEX(tk_OAW,MATCH(390,tk_FSEQ,0)),"0.000")&amp;" x "&amp;TEXT(INDEX(tk_OAH,MATCH(390,tk_FSEQ,0)),"0.000"),"")</f>
        <v/>
      </c>
      <c r="G395" s="70">
        <f>IFERROR(""&amp;INDEX(tk_FLINE,MATCH(390,tk_FSEQ,0)),"")</f>
        <v/>
      </c>
      <c r="H395" s="70">
        <f>IFERROR(""&amp;INDEX(tk_FNOTES,MATCH(390,tk_FSEQ,0)),"")</f>
        <v/>
      </c>
    </row>
    <row r="396">
      <c r="A396" s="70">
        <f>IFERROR(""&amp;INDEX(tk_MARK,MATCH(391,tk_FSEQ,0)),"")</f>
        <v/>
      </c>
      <c r="B396" s="70">
        <f>IFERROR(INDEX(tk_QTY,MATCH(391,tk_FSEQ,0)),"")</f>
        <v/>
      </c>
      <c r="C396" s="70">
        <f>IFERROR(INDEX(tk_ROOMF,MATCH(391,tk_FSEQ,0))&amp;IF(INDEX(tk_ROOMT,MATCH(391,tk_FSEQ,0))="",""," → "&amp;INDEX(tk_ROOMT,MATCH(391,tk_FSEQ,0))),"")</f>
        <v/>
      </c>
      <c r="D396" s="70">
        <f>IFERROR(""&amp;INDEX(tk_SIZE,MATCH(391,tk_FSEQ,0)),"")</f>
        <v/>
      </c>
      <c r="E396" s="70">
        <f>IFERROR(""&amp;INDEX(tk_RATING,MATCH(391,tk_FSEQ,0)),"")</f>
        <v/>
      </c>
      <c r="F396" s="70">
        <f>IFERROR(TEXT(INDEX(tk_OAW,MATCH(391,tk_FSEQ,0)),"0.000")&amp;" x "&amp;TEXT(INDEX(tk_OAH,MATCH(391,tk_FSEQ,0)),"0.000"),"")</f>
        <v/>
      </c>
      <c r="G396" s="70">
        <f>IFERROR(""&amp;INDEX(tk_FLINE,MATCH(391,tk_FSEQ,0)),"")</f>
        <v/>
      </c>
      <c r="H396" s="70">
        <f>IFERROR(""&amp;INDEX(tk_FNOTES,MATCH(391,tk_FSEQ,0)),"")</f>
        <v/>
      </c>
    </row>
    <row r="397">
      <c r="A397" s="70">
        <f>IFERROR(""&amp;INDEX(tk_MARK,MATCH(392,tk_FSEQ,0)),"")</f>
        <v/>
      </c>
      <c r="B397" s="70">
        <f>IFERROR(INDEX(tk_QTY,MATCH(392,tk_FSEQ,0)),"")</f>
        <v/>
      </c>
      <c r="C397" s="70">
        <f>IFERROR(INDEX(tk_ROOMF,MATCH(392,tk_FSEQ,0))&amp;IF(INDEX(tk_ROOMT,MATCH(392,tk_FSEQ,0))="",""," → "&amp;INDEX(tk_ROOMT,MATCH(392,tk_FSEQ,0))),"")</f>
        <v/>
      </c>
      <c r="D397" s="70">
        <f>IFERROR(""&amp;INDEX(tk_SIZE,MATCH(392,tk_FSEQ,0)),"")</f>
        <v/>
      </c>
      <c r="E397" s="70">
        <f>IFERROR(""&amp;INDEX(tk_RATING,MATCH(392,tk_FSEQ,0)),"")</f>
        <v/>
      </c>
      <c r="F397" s="70">
        <f>IFERROR(TEXT(INDEX(tk_OAW,MATCH(392,tk_FSEQ,0)),"0.000")&amp;" x "&amp;TEXT(INDEX(tk_OAH,MATCH(392,tk_FSEQ,0)),"0.000"),"")</f>
        <v/>
      </c>
      <c r="G397" s="70">
        <f>IFERROR(""&amp;INDEX(tk_FLINE,MATCH(392,tk_FSEQ,0)),"")</f>
        <v/>
      </c>
      <c r="H397" s="70">
        <f>IFERROR(""&amp;INDEX(tk_FNOTES,MATCH(392,tk_FSEQ,0)),"")</f>
        <v/>
      </c>
    </row>
    <row r="398">
      <c r="A398" s="70">
        <f>IFERROR(""&amp;INDEX(tk_MARK,MATCH(393,tk_FSEQ,0)),"")</f>
        <v/>
      </c>
      <c r="B398" s="70">
        <f>IFERROR(INDEX(tk_QTY,MATCH(393,tk_FSEQ,0)),"")</f>
        <v/>
      </c>
      <c r="C398" s="70">
        <f>IFERROR(INDEX(tk_ROOMF,MATCH(393,tk_FSEQ,0))&amp;IF(INDEX(tk_ROOMT,MATCH(393,tk_FSEQ,0))="",""," → "&amp;INDEX(tk_ROOMT,MATCH(393,tk_FSEQ,0))),"")</f>
        <v/>
      </c>
      <c r="D398" s="70">
        <f>IFERROR(""&amp;INDEX(tk_SIZE,MATCH(393,tk_FSEQ,0)),"")</f>
        <v/>
      </c>
      <c r="E398" s="70">
        <f>IFERROR(""&amp;INDEX(tk_RATING,MATCH(393,tk_FSEQ,0)),"")</f>
        <v/>
      </c>
      <c r="F398" s="70">
        <f>IFERROR(TEXT(INDEX(tk_OAW,MATCH(393,tk_FSEQ,0)),"0.000")&amp;" x "&amp;TEXT(INDEX(tk_OAH,MATCH(393,tk_FSEQ,0)),"0.000"),"")</f>
        <v/>
      </c>
      <c r="G398" s="70">
        <f>IFERROR(""&amp;INDEX(tk_FLINE,MATCH(393,tk_FSEQ,0)),"")</f>
        <v/>
      </c>
      <c r="H398" s="70">
        <f>IFERROR(""&amp;INDEX(tk_FNOTES,MATCH(393,tk_FSEQ,0)),"")</f>
        <v/>
      </c>
    </row>
    <row r="399">
      <c r="A399" s="70">
        <f>IFERROR(""&amp;INDEX(tk_MARK,MATCH(394,tk_FSEQ,0)),"")</f>
        <v/>
      </c>
      <c r="B399" s="70">
        <f>IFERROR(INDEX(tk_QTY,MATCH(394,tk_FSEQ,0)),"")</f>
        <v/>
      </c>
      <c r="C399" s="70">
        <f>IFERROR(INDEX(tk_ROOMF,MATCH(394,tk_FSEQ,0))&amp;IF(INDEX(tk_ROOMT,MATCH(394,tk_FSEQ,0))="",""," → "&amp;INDEX(tk_ROOMT,MATCH(394,tk_FSEQ,0))),"")</f>
        <v/>
      </c>
      <c r="D399" s="70">
        <f>IFERROR(""&amp;INDEX(tk_SIZE,MATCH(394,tk_FSEQ,0)),"")</f>
        <v/>
      </c>
      <c r="E399" s="70">
        <f>IFERROR(""&amp;INDEX(tk_RATING,MATCH(394,tk_FSEQ,0)),"")</f>
        <v/>
      </c>
      <c r="F399" s="70">
        <f>IFERROR(TEXT(INDEX(tk_OAW,MATCH(394,tk_FSEQ,0)),"0.000")&amp;" x "&amp;TEXT(INDEX(tk_OAH,MATCH(394,tk_FSEQ,0)),"0.000"),"")</f>
        <v/>
      </c>
      <c r="G399" s="70">
        <f>IFERROR(""&amp;INDEX(tk_FLINE,MATCH(394,tk_FSEQ,0)),"")</f>
        <v/>
      </c>
      <c r="H399" s="70">
        <f>IFERROR(""&amp;INDEX(tk_FNOTES,MATCH(394,tk_FSEQ,0)),"")</f>
        <v/>
      </c>
    </row>
    <row r="400">
      <c r="A400" s="70">
        <f>IFERROR(""&amp;INDEX(tk_MARK,MATCH(395,tk_FSEQ,0)),"")</f>
        <v/>
      </c>
      <c r="B400" s="70">
        <f>IFERROR(INDEX(tk_QTY,MATCH(395,tk_FSEQ,0)),"")</f>
        <v/>
      </c>
      <c r="C400" s="70">
        <f>IFERROR(INDEX(tk_ROOMF,MATCH(395,tk_FSEQ,0))&amp;IF(INDEX(tk_ROOMT,MATCH(395,tk_FSEQ,0))="",""," → "&amp;INDEX(tk_ROOMT,MATCH(395,tk_FSEQ,0))),"")</f>
        <v/>
      </c>
      <c r="D400" s="70">
        <f>IFERROR(""&amp;INDEX(tk_SIZE,MATCH(395,tk_FSEQ,0)),"")</f>
        <v/>
      </c>
      <c r="E400" s="70">
        <f>IFERROR(""&amp;INDEX(tk_RATING,MATCH(395,tk_FSEQ,0)),"")</f>
        <v/>
      </c>
      <c r="F400" s="70">
        <f>IFERROR(TEXT(INDEX(tk_OAW,MATCH(395,tk_FSEQ,0)),"0.000")&amp;" x "&amp;TEXT(INDEX(tk_OAH,MATCH(395,tk_FSEQ,0)),"0.000"),"")</f>
        <v/>
      </c>
      <c r="G400" s="70">
        <f>IFERROR(""&amp;INDEX(tk_FLINE,MATCH(395,tk_FSEQ,0)),"")</f>
        <v/>
      </c>
      <c r="H400" s="70">
        <f>IFERROR(""&amp;INDEX(tk_FNOTES,MATCH(395,tk_FSEQ,0)),"")</f>
        <v/>
      </c>
    </row>
    <row r="401">
      <c r="A401" s="70">
        <f>IFERROR(""&amp;INDEX(tk_MARK,MATCH(396,tk_FSEQ,0)),"")</f>
        <v/>
      </c>
      <c r="B401" s="70">
        <f>IFERROR(INDEX(tk_QTY,MATCH(396,tk_FSEQ,0)),"")</f>
        <v/>
      </c>
      <c r="C401" s="70">
        <f>IFERROR(INDEX(tk_ROOMF,MATCH(396,tk_FSEQ,0))&amp;IF(INDEX(tk_ROOMT,MATCH(396,tk_FSEQ,0))="",""," → "&amp;INDEX(tk_ROOMT,MATCH(396,tk_FSEQ,0))),"")</f>
        <v/>
      </c>
      <c r="D401" s="70">
        <f>IFERROR(""&amp;INDEX(tk_SIZE,MATCH(396,tk_FSEQ,0)),"")</f>
        <v/>
      </c>
      <c r="E401" s="70">
        <f>IFERROR(""&amp;INDEX(tk_RATING,MATCH(396,tk_FSEQ,0)),"")</f>
        <v/>
      </c>
      <c r="F401" s="70">
        <f>IFERROR(TEXT(INDEX(tk_OAW,MATCH(396,tk_FSEQ,0)),"0.000")&amp;" x "&amp;TEXT(INDEX(tk_OAH,MATCH(396,tk_FSEQ,0)),"0.000"),"")</f>
        <v/>
      </c>
      <c r="G401" s="70">
        <f>IFERROR(""&amp;INDEX(tk_FLINE,MATCH(396,tk_FSEQ,0)),"")</f>
        <v/>
      </c>
      <c r="H401" s="70">
        <f>IFERROR(""&amp;INDEX(tk_FNOTES,MATCH(396,tk_FSEQ,0)),"")</f>
        <v/>
      </c>
    </row>
    <row r="402">
      <c r="A402" s="70">
        <f>IFERROR(""&amp;INDEX(tk_MARK,MATCH(397,tk_FSEQ,0)),"")</f>
        <v/>
      </c>
      <c r="B402" s="70">
        <f>IFERROR(INDEX(tk_QTY,MATCH(397,tk_FSEQ,0)),"")</f>
        <v/>
      </c>
      <c r="C402" s="70">
        <f>IFERROR(INDEX(tk_ROOMF,MATCH(397,tk_FSEQ,0))&amp;IF(INDEX(tk_ROOMT,MATCH(397,tk_FSEQ,0))="",""," → "&amp;INDEX(tk_ROOMT,MATCH(397,tk_FSEQ,0))),"")</f>
        <v/>
      </c>
      <c r="D402" s="70">
        <f>IFERROR(""&amp;INDEX(tk_SIZE,MATCH(397,tk_FSEQ,0)),"")</f>
        <v/>
      </c>
      <c r="E402" s="70">
        <f>IFERROR(""&amp;INDEX(tk_RATING,MATCH(397,tk_FSEQ,0)),"")</f>
        <v/>
      </c>
      <c r="F402" s="70">
        <f>IFERROR(TEXT(INDEX(tk_OAW,MATCH(397,tk_FSEQ,0)),"0.000")&amp;" x "&amp;TEXT(INDEX(tk_OAH,MATCH(397,tk_FSEQ,0)),"0.000"),"")</f>
        <v/>
      </c>
      <c r="G402" s="70">
        <f>IFERROR(""&amp;INDEX(tk_FLINE,MATCH(397,tk_FSEQ,0)),"")</f>
        <v/>
      </c>
      <c r="H402" s="70">
        <f>IFERROR(""&amp;INDEX(tk_FNOTES,MATCH(397,tk_FSEQ,0)),"")</f>
        <v/>
      </c>
    </row>
    <row r="403">
      <c r="A403" s="70">
        <f>IFERROR(""&amp;INDEX(tk_MARK,MATCH(398,tk_FSEQ,0)),"")</f>
        <v/>
      </c>
      <c r="B403" s="70">
        <f>IFERROR(INDEX(tk_QTY,MATCH(398,tk_FSEQ,0)),"")</f>
        <v/>
      </c>
      <c r="C403" s="70">
        <f>IFERROR(INDEX(tk_ROOMF,MATCH(398,tk_FSEQ,0))&amp;IF(INDEX(tk_ROOMT,MATCH(398,tk_FSEQ,0))="",""," → "&amp;INDEX(tk_ROOMT,MATCH(398,tk_FSEQ,0))),"")</f>
        <v/>
      </c>
      <c r="D403" s="70">
        <f>IFERROR(""&amp;INDEX(tk_SIZE,MATCH(398,tk_FSEQ,0)),"")</f>
        <v/>
      </c>
      <c r="E403" s="70">
        <f>IFERROR(""&amp;INDEX(tk_RATING,MATCH(398,tk_FSEQ,0)),"")</f>
        <v/>
      </c>
      <c r="F403" s="70">
        <f>IFERROR(TEXT(INDEX(tk_OAW,MATCH(398,tk_FSEQ,0)),"0.000")&amp;" x "&amp;TEXT(INDEX(tk_OAH,MATCH(398,tk_FSEQ,0)),"0.000"),"")</f>
        <v/>
      </c>
      <c r="G403" s="70">
        <f>IFERROR(""&amp;INDEX(tk_FLINE,MATCH(398,tk_FSEQ,0)),"")</f>
        <v/>
      </c>
      <c r="H403" s="70">
        <f>IFERROR(""&amp;INDEX(tk_FNOTES,MATCH(398,tk_FSEQ,0)),"")</f>
        <v/>
      </c>
    </row>
    <row r="404">
      <c r="A404" s="70">
        <f>IFERROR(""&amp;INDEX(tk_MARK,MATCH(399,tk_FSEQ,0)),"")</f>
        <v/>
      </c>
      <c r="B404" s="70">
        <f>IFERROR(INDEX(tk_QTY,MATCH(399,tk_FSEQ,0)),"")</f>
        <v/>
      </c>
      <c r="C404" s="70">
        <f>IFERROR(INDEX(tk_ROOMF,MATCH(399,tk_FSEQ,0))&amp;IF(INDEX(tk_ROOMT,MATCH(399,tk_FSEQ,0))="",""," → "&amp;INDEX(tk_ROOMT,MATCH(399,tk_FSEQ,0))),"")</f>
        <v/>
      </c>
      <c r="D404" s="70">
        <f>IFERROR(""&amp;INDEX(tk_SIZE,MATCH(399,tk_FSEQ,0)),"")</f>
        <v/>
      </c>
      <c r="E404" s="70">
        <f>IFERROR(""&amp;INDEX(tk_RATING,MATCH(399,tk_FSEQ,0)),"")</f>
        <v/>
      </c>
      <c r="F404" s="70">
        <f>IFERROR(TEXT(INDEX(tk_OAW,MATCH(399,tk_FSEQ,0)),"0.000")&amp;" x "&amp;TEXT(INDEX(tk_OAH,MATCH(399,tk_FSEQ,0)),"0.000"),"")</f>
        <v/>
      </c>
      <c r="G404" s="70">
        <f>IFERROR(""&amp;INDEX(tk_FLINE,MATCH(399,tk_FSEQ,0)),"")</f>
        <v/>
      </c>
      <c r="H404" s="70">
        <f>IFERROR(""&amp;INDEX(tk_FNOTES,MATCH(399,tk_FSEQ,0)),"")</f>
        <v/>
      </c>
    </row>
    <row r="405">
      <c r="A405" s="70">
        <f>IFERROR(""&amp;INDEX(tk_MARK,MATCH(400,tk_FSEQ,0)),"")</f>
        <v/>
      </c>
      <c r="B405" s="70">
        <f>IFERROR(INDEX(tk_QTY,MATCH(400,tk_FSEQ,0)),"")</f>
        <v/>
      </c>
      <c r="C405" s="70">
        <f>IFERROR(INDEX(tk_ROOMF,MATCH(400,tk_FSEQ,0))&amp;IF(INDEX(tk_ROOMT,MATCH(400,tk_FSEQ,0))="",""," → "&amp;INDEX(tk_ROOMT,MATCH(400,tk_FSEQ,0))),"")</f>
        <v/>
      </c>
      <c r="D405" s="70">
        <f>IFERROR(""&amp;INDEX(tk_SIZE,MATCH(400,tk_FSEQ,0)),"")</f>
        <v/>
      </c>
      <c r="E405" s="70">
        <f>IFERROR(""&amp;INDEX(tk_RATING,MATCH(400,tk_FSEQ,0)),"")</f>
        <v/>
      </c>
      <c r="F405" s="70">
        <f>IFERROR(TEXT(INDEX(tk_OAW,MATCH(400,tk_FSEQ,0)),"0.000")&amp;" x "&amp;TEXT(INDEX(tk_OAH,MATCH(400,tk_FSEQ,0)),"0.000"),"")</f>
        <v/>
      </c>
      <c r="G405" s="70">
        <f>IFERROR(""&amp;INDEX(tk_FLINE,MATCH(400,tk_FSEQ,0)),"")</f>
        <v/>
      </c>
      <c r="H405" s="70">
        <f>IFERROR(""&amp;INDEX(tk_FNOTES,MATCH(400,tk_FSEQ,0)),"")</f>
        <v/>
      </c>
    </row>
    <row r="406">
      <c r="A406" s="70">
        <f>IFERROR(""&amp;INDEX(tk_MARK,MATCH(401,tk_FSEQ,0)),"")</f>
        <v/>
      </c>
      <c r="B406" s="70">
        <f>IFERROR(INDEX(tk_QTY,MATCH(401,tk_FSEQ,0)),"")</f>
        <v/>
      </c>
      <c r="C406" s="70">
        <f>IFERROR(INDEX(tk_ROOMF,MATCH(401,tk_FSEQ,0))&amp;IF(INDEX(tk_ROOMT,MATCH(401,tk_FSEQ,0))="",""," → "&amp;INDEX(tk_ROOMT,MATCH(401,tk_FSEQ,0))),"")</f>
        <v/>
      </c>
      <c r="D406" s="70">
        <f>IFERROR(""&amp;INDEX(tk_SIZE,MATCH(401,tk_FSEQ,0)),"")</f>
        <v/>
      </c>
      <c r="E406" s="70">
        <f>IFERROR(""&amp;INDEX(tk_RATING,MATCH(401,tk_FSEQ,0)),"")</f>
        <v/>
      </c>
      <c r="F406" s="70">
        <f>IFERROR(TEXT(INDEX(tk_OAW,MATCH(401,tk_FSEQ,0)),"0.000")&amp;" x "&amp;TEXT(INDEX(tk_OAH,MATCH(401,tk_FSEQ,0)),"0.000"),"")</f>
        <v/>
      </c>
      <c r="G406" s="70">
        <f>IFERROR(""&amp;INDEX(tk_FLINE,MATCH(401,tk_FSEQ,0)),"")</f>
        <v/>
      </c>
      <c r="H406" s="70">
        <f>IFERROR(""&amp;INDEX(tk_FNOTES,MATCH(401,tk_FSEQ,0)),"")</f>
        <v/>
      </c>
    </row>
    <row r="407">
      <c r="A407" s="70">
        <f>IFERROR(""&amp;INDEX(tk_MARK,MATCH(402,tk_FSEQ,0)),"")</f>
        <v/>
      </c>
      <c r="B407" s="70">
        <f>IFERROR(INDEX(tk_QTY,MATCH(402,tk_FSEQ,0)),"")</f>
        <v/>
      </c>
      <c r="C407" s="70">
        <f>IFERROR(INDEX(tk_ROOMF,MATCH(402,tk_FSEQ,0))&amp;IF(INDEX(tk_ROOMT,MATCH(402,tk_FSEQ,0))="",""," → "&amp;INDEX(tk_ROOMT,MATCH(402,tk_FSEQ,0))),"")</f>
        <v/>
      </c>
      <c r="D407" s="70">
        <f>IFERROR(""&amp;INDEX(tk_SIZE,MATCH(402,tk_FSEQ,0)),"")</f>
        <v/>
      </c>
      <c r="E407" s="70">
        <f>IFERROR(""&amp;INDEX(tk_RATING,MATCH(402,tk_FSEQ,0)),"")</f>
        <v/>
      </c>
      <c r="F407" s="70">
        <f>IFERROR(TEXT(INDEX(tk_OAW,MATCH(402,tk_FSEQ,0)),"0.000")&amp;" x "&amp;TEXT(INDEX(tk_OAH,MATCH(402,tk_FSEQ,0)),"0.000"),"")</f>
        <v/>
      </c>
      <c r="G407" s="70">
        <f>IFERROR(""&amp;INDEX(tk_FLINE,MATCH(402,tk_FSEQ,0)),"")</f>
        <v/>
      </c>
      <c r="H407" s="70">
        <f>IFERROR(""&amp;INDEX(tk_FNOTES,MATCH(402,tk_FSEQ,0)),"")</f>
        <v/>
      </c>
    </row>
    <row r="408">
      <c r="A408" s="70">
        <f>IFERROR(""&amp;INDEX(tk_MARK,MATCH(403,tk_FSEQ,0)),"")</f>
        <v/>
      </c>
      <c r="B408" s="70">
        <f>IFERROR(INDEX(tk_QTY,MATCH(403,tk_FSEQ,0)),"")</f>
        <v/>
      </c>
      <c r="C408" s="70">
        <f>IFERROR(INDEX(tk_ROOMF,MATCH(403,tk_FSEQ,0))&amp;IF(INDEX(tk_ROOMT,MATCH(403,tk_FSEQ,0))="",""," → "&amp;INDEX(tk_ROOMT,MATCH(403,tk_FSEQ,0))),"")</f>
        <v/>
      </c>
      <c r="D408" s="70">
        <f>IFERROR(""&amp;INDEX(tk_SIZE,MATCH(403,tk_FSEQ,0)),"")</f>
        <v/>
      </c>
      <c r="E408" s="70">
        <f>IFERROR(""&amp;INDEX(tk_RATING,MATCH(403,tk_FSEQ,0)),"")</f>
        <v/>
      </c>
      <c r="F408" s="70">
        <f>IFERROR(TEXT(INDEX(tk_OAW,MATCH(403,tk_FSEQ,0)),"0.000")&amp;" x "&amp;TEXT(INDEX(tk_OAH,MATCH(403,tk_FSEQ,0)),"0.000"),"")</f>
        <v/>
      </c>
      <c r="G408" s="70">
        <f>IFERROR(""&amp;INDEX(tk_FLINE,MATCH(403,tk_FSEQ,0)),"")</f>
        <v/>
      </c>
      <c r="H408" s="70">
        <f>IFERROR(""&amp;INDEX(tk_FNOTES,MATCH(403,tk_FSEQ,0)),"")</f>
        <v/>
      </c>
    </row>
    <row r="409">
      <c r="A409" s="70">
        <f>IFERROR(""&amp;INDEX(tk_MARK,MATCH(404,tk_FSEQ,0)),"")</f>
        <v/>
      </c>
      <c r="B409" s="70">
        <f>IFERROR(INDEX(tk_QTY,MATCH(404,tk_FSEQ,0)),"")</f>
        <v/>
      </c>
      <c r="C409" s="70">
        <f>IFERROR(INDEX(tk_ROOMF,MATCH(404,tk_FSEQ,0))&amp;IF(INDEX(tk_ROOMT,MATCH(404,tk_FSEQ,0))="",""," → "&amp;INDEX(tk_ROOMT,MATCH(404,tk_FSEQ,0))),"")</f>
        <v/>
      </c>
      <c r="D409" s="70">
        <f>IFERROR(""&amp;INDEX(tk_SIZE,MATCH(404,tk_FSEQ,0)),"")</f>
        <v/>
      </c>
      <c r="E409" s="70">
        <f>IFERROR(""&amp;INDEX(tk_RATING,MATCH(404,tk_FSEQ,0)),"")</f>
        <v/>
      </c>
      <c r="F409" s="70">
        <f>IFERROR(TEXT(INDEX(tk_OAW,MATCH(404,tk_FSEQ,0)),"0.000")&amp;" x "&amp;TEXT(INDEX(tk_OAH,MATCH(404,tk_FSEQ,0)),"0.000"),"")</f>
        <v/>
      </c>
      <c r="G409" s="70">
        <f>IFERROR(""&amp;INDEX(tk_FLINE,MATCH(404,tk_FSEQ,0)),"")</f>
        <v/>
      </c>
      <c r="H409" s="70">
        <f>IFERROR(""&amp;INDEX(tk_FNOTES,MATCH(404,tk_FSEQ,0)),"")</f>
        <v/>
      </c>
    </row>
    <row r="410">
      <c r="A410" s="70">
        <f>IFERROR(""&amp;INDEX(tk_MARK,MATCH(405,tk_FSEQ,0)),"")</f>
        <v/>
      </c>
      <c r="B410" s="70">
        <f>IFERROR(INDEX(tk_QTY,MATCH(405,tk_FSEQ,0)),"")</f>
        <v/>
      </c>
      <c r="C410" s="70">
        <f>IFERROR(INDEX(tk_ROOMF,MATCH(405,tk_FSEQ,0))&amp;IF(INDEX(tk_ROOMT,MATCH(405,tk_FSEQ,0))="",""," → "&amp;INDEX(tk_ROOMT,MATCH(405,tk_FSEQ,0))),"")</f>
        <v/>
      </c>
      <c r="D410" s="70">
        <f>IFERROR(""&amp;INDEX(tk_SIZE,MATCH(405,tk_FSEQ,0)),"")</f>
        <v/>
      </c>
      <c r="E410" s="70">
        <f>IFERROR(""&amp;INDEX(tk_RATING,MATCH(405,tk_FSEQ,0)),"")</f>
        <v/>
      </c>
      <c r="F410" s="70">
        <f>IFERROR(TEXT(INDEX(tk_OAW,MATCH(405,tk_FSEQ,0)),"0.000")&amp;" x "&amp;TEXT(INDEX(tk_OAH,MATCH(405,tk_FSEQ,0)),"0.000"),"")</f>
        <v/>
      </c>
      <c r="G410" s="70">
        <f>IFERROR(""&amp;INDEX(tk_FLINE,MATCH(405,tk_FSEQ,0)),"")</f>
        <v/>
      </c>
      <c r="H410" s="70">
        <f>IFERROR(""&amp;INDEX(tk_FNOTES,MATCH(405,tk_FSEQ,0)),"")</f>
        <v/>
      </c>
    </row>
    <row r="411">
      <c r="A411" s="70">
        <f>IFERROR(""&amp;INDEX(tk_MARK,MATCH(406,tk_FSEQ,0)),"")</f>
        <v/>
      </c>
      <c r="B411" s="70">
        <f>IFERROR(INDEX(tk_QTY,MATCH(406,tk_FSEQ,0)),"")</f>
        <v/>
      </c>
      <c r="C411" s="70">
        <f>IFERROR(INDEX(tk_ROOMF,MATCH(406,tk_FSEQ,0))&amp;IF(INDEX(tk_ROOMT,MATCH(406,tk_FSEQ,0))="",""," → "&amp;INDEX(tk_ROOMT,MATCH(406,tk_FSEQ,0))),"")</f>
        <v/>
      </c>
      <c r="D411" s="70">
        <f>IFERROR(""&amp;INDEX(tk_SIZE,MATCH(406,tk_FSEQ,0)),"")</f>
        <v/>
      </c>
      <c r="E411" s="70">
        <f>IFERROR(""&amp;INDEX(tk_RATING,MATCH(406,tk_FSEQ,0)),"")</f>
        <v/>
      </c>
      <c r="F411" s="70">
        <f>IFERROR(TEXT(INDEX(tk_OAW,MATCH(406,tk_FSEQ,0)),"0.000")&amp;" x "&amp;TEXT(INDEX(tk_OAH,MATCH(406,tk_FSEQ,0)),"0.000"),"")</f>
        <v/>
      </c>
      <c r="G411" s="70">
        <f>IFERROR(""&amp;INDEX(tk_FLINE,MATCH(406,tk_FSEQ,0)),"")</f>
        <v/>
      </c>
      <c r="H411" s="70">
        <f>IFERROR(""&amp;INDEX(tk_FNOTES,MATCH(406,tk_FSEQ,0)),"")</f>
        <v/>
      </c>
    </row>
    <row r="412">
      <c r="A412" s="70">
        <f>IFERROR(""&amp;INDEX(tk_MARK,MATCH(407,tk_FSEQ,0)),"")</f>
        <v/>
      </c>
      <c r="B412" s="70">
        <f>IFERROR(INDEX(tk_QTY,MATCH(407,tk_FSEQ,0)),"")</f>
        <v/>
      </c>
      <c r="C412" s="70">
        <f>IFERROR(INDEX(tk_ROOMF,MATCH(407,tk_FSEQ,0))&amp;IF(INDEX(tk_ROOMT,MATCH(407,tk_FSEQ,0))="",""," → "&amp;INDEX(tk_ROOMT,MATCH(407,tk_FSEQ,0))),"")</f>
        <v/>
      </c>
      <c r="D412" s="70">
        <f>IFERROR(""&amp;INDEX(tk_SIZE,MATCH(407,tk_FSEQ,0)),"")</f>
        <v/>
      </c>
      <c r="E412" s="70">
        <f>IFERROR(""&amp;INDEX(tk_RATING,MATCH(407,tk_FSEQ,0)),"")</f>
        <v/>
      </c>
      <c r="F412" s="70">
        <f>IFERROR(TEXT(INDEX(tk_OAW,MATCH(407,tk_FSEQ,0)),"0.000")&amp;" x "&amp;TEXT(INDEX(tk_OAH,MATCH(407,tk_FSEQ,0)),"0.000"),"")</f>
        <v/>
      </c>
      <c r="G412" s="70">
        <f>IFERROR(""&amp;INDEX(tk_FLINE,MATCH(407,tk_FSEQ,0)),"")</f>
        <v/>
      </c>
      <c r="H412" s="70">
        <f>IFERROR(""&amp;INDEX(tk_FNOTES,MATCH(407,tk_FSEQ,0)),"")</f>
        <v/>
      </c>
    </row>
    <row r="413">
      <c r="A413" s="70">
        <f>IFERROR(""&amp;INDEX(tk_MARK,MATCH(408,tk_FSEQ,0)),"")</f>
        <v/>
      </c>
      <c r="B413" s="70">
        <f>IFERROR(INDEX(tk_QTY,MATCH(408,tk_FSEQ,0)),"")</f>
        <v/>
      </c>
      <c r="C413" s="70">
        <f>IFERROR(INDEX(tk_ROOMF,MATCH(408,tk_FSEQ,0))&amp;IF(INDEX(tk_ROOMT,MATCH(408,tk_FSEQ,0))="",""," → "&amp;INDEX(tk_ROOMT,MATCH(408,tk_FSEQ,0))),"")</f>
        <v/>
      </c>
      <c r="D413" s="70">
        <f>IFERROR(""&amp;INDEX(tk_SIZE,MATCH(408,tk_FSEQ,0)),"")</f>
        <v/>
      </c>
      <c r="E413" s="70">
        <f>IFERROR(""&amp;INDEX(tk_RATING,MATCH(408,tk_FSEQ,0)),"")</f>
        <v/>
      </c>
      <c r="F413" s="70">
        <f>IFERROR(TEXT(INDEX(tk_OAW,MATCH(408,tk_FSEQ,0)),"0.000")&amp;" x "&amp;TEXT(INDEX(tk_OAH,MATCH(408,tk_FSEQ,0)),"0.000"),"")</f>
        <v/>
      </c>
      <c r="G413" s="70">
        <f>IFERROR(""&amp;INDEX(tk_FLINE,MATCH(408,tk_FSEQ,0)),"")</f>
        <v/>
      </c>
      <c r="H413" s="70">
        <f>IFERROR(""&amp;INDEX(tk_FNOTES,MATCH(408,tk_FSEQ,0)),"")</f>
        <v/>
      </c>
    </row>
    <row r="414">
      <c r="A414" s="70">
        <f>IFERROR(""&amp;INDEX(tk_MARK,MATCH(409,tk_FSEQ,0)),"")</f>
        <v/>
      </c>
      <c r="B414" s="70">
        <f>IFERROR(INDEX(tk_QTY,MATCH(409,tk_FSEQ,0)),"")</f>
        <v/>
      </c>
      <c r="C414" s="70">
        <f>IFERROR(INDEX(tk_ROOMF,MATCH(409,tk_FSEQ,0))&amp;IF(INDEX(tk_ROOMT,MATCH(409,tk_FSEQ,0))="",""," → "&amp;INDEX(tk_ROOMT,MATCH(409,tk_FSEQ,0))),"")</f>
        <v/>
      </c>
      <c r="D414" s="70">
        <f>IFERROR(""&amp;INDEX(tk_SIZE,MATCH(409,tk_FSEQ,0)),"")</f>
        <v/>
      </c>
      <c r="E414" s="70">
        <f>IFERROR(""&amp;INDEX(tk_RATING,MATCH(409,tk_FSEQ,0)),"")</f>
        <v/>
      </c>
      <c r="F414" s="70">
        <f>IFERROR(TEXT(INDEX(tk_OAW,MATCH(409,tk_FSEQ,0)),"0.000")&amp;" x "&amp;TEXT(INDEX(tk_OAH,MATCH(409,tk_FSEQ,0)),"0.000"),"")</f>
        <v/>
      </c>
      <c r="G414" s="70">
        <f>IFERROR(""&amp;INDEX(tk_FLINE,MATCH(409,tk_FSEQ,0)),"")</f>
        <v/>
      </c>
      <c r="H414" s="70">
        <f>IFERROR(""&amp;INDEX(tk_FNOTES,MATCH(409,tk_FSEQ,0)),"")</f>
        <v/>
      </c>
    </row>
    <row r="415">
      <c r="A415" s="70">
        <f>IFERROR(""&amp;INDEX(tk_MARK,MATCH(410,tk_FSEQ,0)),"")</f>
        <v/>
      </c>
      <c r="B415" s="70">
        <f>IFERROR(INDEX(tk_QTY,MATCH(410,tk_FSEQ,0)),"")</f>
        <v/>
      </c>
      <c r="C415" s="70">
        <f>IFERROR(INDEX(tk_ROOMF,MATCH(410,tk_FSEQ,0))&amp;IF(INDEX(tk_ROOMT,MATCH(410,tk_FSEQ,0))="",""," → "&amp;INDEX(tk_ROOMT,MATCH(410,tk_FSEQ,0))),"")</f>
        <v/>
      </c>
      <c r="D415" s="70">
        <f>IFERROR(""&amp;INDEX(tk_SIZE,MATCH(410,tk_FSEQ,0)),"")</f>
        <v/>
      </c>
      <c r="E415" s="70">
        <f>IFERROR(""&amp;INDEX(tk_RATING,MATCH(410,tk_FSEQ,0)),"")</f>
        <v/>
      </c>
      <c r="F415" s="70">
        <f>IFERROR(TEXT(INDEX(tk_OAW,MATCH(410,tk_FSEQ,0)),"0.000")&amp;" x "&amp;TEXT(INDEX(tk_OAH,MATCH(410,tk_FSEQ,0)),"0.000"),"")</f>
        <v/>
      </c>
      <c r="G415" s="70">
        <f>IFERROR(""&amp;INDEX(tk_FLINE,MATCH(410,tk_FSEQ,0)),"")</f>
        <v/>
      </c>
      <c r="H415" s="70">
        <f>IFERROR(""&amp;INDEX(tk_FNOTES,MATCH(410,tk_FSEQ,0)),"")</f>
        <v/>
      </c>
    </row>
    <row r="416">
      <c r="A416" s="70">
        <f>IFERROR(""&amp;INDEX(tk_MARK,MATCH(411,tk_FSEQ,0)),"")</f>
        <v/>
      </c>
      <c r="B416" s="70">
        <f>IFERROR(INDEX(tk_QTY,MATCH(411,tk_FSEQ,0)),"")</f>
        <v/>
      </c>
      <c r="C416" s="70">
        <f>IFERROR(INDEX(tk_ROOMF,MATCH(411,tk_FSEQ,0))&amp;IF(INDEX(tk_ROOMT,MATCH(411,tk_FSEQ,0))="",""," → "&amp;INDEX(tk_ROOMT,MATCH(411,tk_FSEQ,0))),"")</f>
        <v/>
      </c>
      <c r="D416" s="70">
        <f>IFERROR(""&amp;INDEX(tk_SIZE,MATCH(411,tk_FSEQ,0)),"")</f>
        <v/>
      </c>
      <c r="E416" s="70">
        <f>IFERROR(""&amp;INDEX(tk_RATING,MATCH(411,tk_FSEQ,0)),"")</f>
        <v/>
      </c>
      <c r="F416" s="70">
        <f>IFERROR(TEXT(INDEX(tk_OAW,MATCH(411,tk_FSEQ,0)),"0.000")&amp;" x "&amp;TEXT(INDEX(tk_OAH,MATCH(411,tk_FSEQ,0)),"0.000"),"")</f>
        <v/>
      </c>
      <c r="G416" s="70">
        <f>IFERROR(""&amp;INDEX(tk_FLINE,MATCH(411,tk_FSEQ,0)),"")</f>
        <v/>
      </c>
      <c r="H416" s="70">
        <f>IFERROR(""&amp;INDEX(tk_FNOTES,MATCH(411,tk_FSEQ,0)),"")</f>
        <v/>
      </c>
    </row>
    <row r="417">
      <c r="A417" s="70">
        <f>IFERROR(""&amp;INDEX(tk_MARK,MATCH(412,tk_FSEQ,0)),"")</f>
        <v/>
      </c>
      <c r="B417" s="70">
        <f>IFERROR(INDEX(tk_QTY,MATCH(412,tk_FSEQ,0)),"")</f>
        <v/>
      </c>
      <c r="C417" s="70">
        <f>IFERROR(INDEX(tk_ROOMF,MATCH(412,tk_FSEQ,0))&amp;IF(INDEX(tk_ROOMT,MATCH(412,tk_FSEQ,0))="",""," → "&amp;INDEX(tk_ROOMT,MATCH(412,tk_FSEQ,0))),"")</f>
        <v/>
      </c>
      <c r="D417" s="70">
        <f>IFERROR(""&amp;INDEX(tk_SIZE,MATCH(412,tk_FSEQ,0)),"")</f>
        <v/>
      </c>
      <c r="E417" s="70">
        <f>IFERROR(""&amp;INDEX(tk_RATING,MATCH(412,tk_FSEQ,0)),"")</f>
        <v/>
      </c>
      <c r="F417" s="70">
        <f>IFERROR(TEXT(INDEX(tk_OAW,MATCH(412,tk_FSEQ,0)),"0.000")&amp;" x "&amp;TEXT(INDEX(tk_OAH,MATCH(412,tk_FSEQ,0)),"0.000"),"")</f>
        <v/>
      </c>
      <c r="G417" s="70">
        <f>IFERROR(""&amp;INDEX(tk_FLINE,MATCH(412,tk_FSEQ,0)),"")</f>
        <v/>
      </c>
      <c r="H417" s="70">
        <f>IFERROR(""&amp;INDEX(tk_FNOTES,MATCH(412,tk_FSEQ,0)),"")</f>
        <v/>
      </c>
    </row>
    <row r="418">
      <c r="A418" s="70">
        <f>IFERROR(""&amp;INDEX(tk_MARK,MATCH(413,tk_FSEQ,0)),"")</f>
        <v/>
      </c>
      <c r="B418" s="70">
        <f>IFERROR(INDEX(tk_QTY,MATCH(413,tk_FSEQ,0)),"")</f>
        <v/>
      </c>
      <c r="C418" s="70">
        <f>IFERROR(INDEX(tk_ROOMF,MATCH(413,tk_FSEQ,0))&amp;IF(INDEX(tk_ROOMT,MATCH(413,tk_FSEQ,0))="",""," → "&amp;INDEX(tk_ROOMT,MATCH(413,tk_FSEQ,0))),"")</f>
        <v/>
      </c>
      <c r="D418" s="70">
        <f>IFERROR(""&amp;INDEX(tk_SIZE,MATCH(413,tk_FSEQ,0)),"")</f>
        <v/>
      </c>
      <c r="E418" s="70">
        <f>IFERROR(""&amp;INDEX(tk_RATING,MATCH(413,tk_FSEQ,0)),"")</f>
        <v/>
      </c>
      <c r="F418" s="70">
        <f>IFERROR(TEXT(INDEX(tk_OAW,MATCH(413,tk_FSEQ,0)),"0.000")&amp;" x "&amp;TEXT(INDEX(tk_OAH,MATCH(413,tk_FSEQ,0)),"0.000"),"")</f>
        <v/>
      </c>
      <c r="G418" s="70">
        <f>IFERROR(""&amp;INDEX(tk_FLINE,MATCH(413,tk_FSEQ,0)),"")</f>
        <v/>
      </c>
      <c r="H418" s="70">
        <f>IFERROR(""&amp;INDEX(tk_FNOTES,MATCH(413,tk_FSEQ,0)),"")</f>
        <v/>
      </c>
    </row>
    <row r="419">
      <c r="A419" s="70">
        <f>IFERROR(""&amp;INDEX(tk_MARK,MATCH(414,tk_FSEQ,0)),"")</f>
        <v/>
      </c>
      <c r="B419" s="70">
        <f>IFERROR(INDEX(tk_QTY,MATCH(414,tk_FSEQ,0)),"")</f>
        <v/>
      </c>
      <c r="C419" s="70">
        <f>IFERROR(INDEX(tk_ROOMF,MATCH(414,tk_FSEQ,0))&amp;IF(INDEX(tk_ROOMT,MATCH(414,tk_FSEQ,0))="",""," → "&amp;INDEX(tk_ROOMT,MATCH(414,tk_FSEQ,0))),"")</f>
        <v/>
      </c>
      <c r="D419" s="70">
        <f>IFERROR(""&amp;INDEX(tk_SIZE,MATCH(414,tk_FSEQ,0)),"")</f>
        <v/>
      </c>
      <c r="E419" s="70">
        <f>IFERROR(""&amp;INDEX(tk_RATING,MATCH(414,tk_FSEQ,0)),"")</f>
        <v/>
      </c>
      <c r="F419" s="70">
        <f>IFERROR(TEXT(INDEX(tk_OAW,MATCH(414,tk_FSEQ,0)),"0.000")&amp;" x "&amp;TEXT(INDEX(tk_OAH,MATCH(414,tk_FSEQ,0)),"0.000"),"")</f>
        <v/>
      </c>
      <c r="G419" s="70">
        <f>IFERROR(""&amp;INDEX(tk_FLINE,MATCH(414,tk_FSEQ,0)),"")</f>
        <v/>
      </c>
      <c r="H419" s="70">
        <f>IFERROR(""&amp;INDEX(tk_FNOTES,MATCH(414,tk_FSEQ,0)),"")</f>
        <v/>
      </c>
    </row>
    <row r="420">
      <c r="A420" s="70">
        <f>IFERROR(""&amp;INDEX(tk_MARK,MATCH(415,tk_FSEQ,0)),"")</f>
        <v/>
      </c>
      <c r="B420" s="70">
        <f>IFERROR(INDEX(tk_QTY,MATCH(415,tk_FSEQ,0)),"")</f>
        <v/>
      </c>
      <c r="C420" s="70">
        <f>IFERROR(INDEX(tk_ROOMF,MATCH(415,tk_FSEQ,0))&amp;IF(INDEX(tk_ROOMT,MATCH(415,tk_FSEQ,0))="",""," → "&amp;INDEX(tk_ROOMT,MATCH(415,tk_FSEQ,0))),"")</f>
        <v/>
      </c>
      <c r="D420" s="70">
        <f>IFERROR(""&amp;INDEX(tk_SIZE,MATCH(415,tk_FSEQ,0)),"")</f>
        <v/>
      </c>
      <c r="E420" s="70">
        <f>IFERROR(""&amp;INDEX(tk_RATING,MATCH(415,tk_FSEQ,0)),"")</f>
        <v/>
      </c>
      <c r="F420" s="70">
        <f>IFERROR(TEXT(INDEX(tk_OAW,MATCH(415,tk_FSEQ,0)),"0.000")&amp;" x "&amp;TEXT(INDEX(tk_OAH,MATCH(415,tk_FSEQ,0)),"0.000"),"")</f>
        <v/>
      </c>
      <c r="G420" s="70">
        <f>IFERROR(""&amp;INDEX(tk_FLINE,MATCH(415,tk_FSEQ,0)),"")</f>
        <v/>
      </c>
      <c r="H420" s="70">
        <f>IFERROR(""&amp;INDEX(tk_FNOTES,MATCH(415,tk_FSEQ,0)),"")</f>
        <v/>
      </c>
    </row>
    <row r="421">
      <c r="A421" s="70">
        <f>IFERROR(""&amp;INDEX(tk_MARK,MATCH(416,tk_FSEQ,0)),"")</f>
        <v/>
      </c>
      <c r="B421" s="70">
        <f>IFERROR(INDEX(tk_QTY,MATCH(416,tk_FSEQ,0)),"")</f>
        <v/>
      </c>
      <c r="C421" s="70">
        <f>IFERROR(INDEX(tk_ROOMF,MATCH(416,tk_FSEQ,0))&amp;IF(INDEX(tk_ROOMT,MATCH(416,tk_FSEQ,0))="",""," → "&amp;INDEX(tk_ROOMT,MATCH(416,tk_FSEQ,0))),"")</f>
        <v/>
      </c>
      <c r="D421" s="70">
        <f>IFERROR(""&amp;INDEX(tk_SIZE,MATCH(416,tk_FSEQ,0)),"")</f>
        <v/>
      </c>
      <c r="E421" s="70">
        <f>IFERROR(""&amp;INDEX(tk_RATING,MATCH(416,tk_FSEQ,0)),"")</f>
        <v/>
      </c>
      <c r="F421" s="70">
        <f>IFERROR(TEXT(INDEX(tk_OAW,MATCH(416,tk_FSEQ,0)),"0.000")&amp;" x "&amp;TEXT(INDEX(tk_OAH,MATCH(416,tk_FSEQ,0)),"0.000"),"")</f>
        <v/>
      </c>
      <c r="G421" s="70">
        <f>IFERROR(""&amp;INDEX(tk_FLINE,MATCH(416,tk_FSEQ,0)),"")</f>
        <v/>
      </c>
      <c r="H421" s="70">
        <f>IFERROR(""&amp;INDEX(tk_FNOTES,MATCH(416,tk_FSEQ,0)),"")</f>
        <v/>
      </c>
    </row>
    <row r="422">
      <c r="A422" s="70">
        <f>IFERROR(""&amp;INDEX(tk_MARK,MATCH(417,tk_FSEQ,0)),"")</f>
        <v/>
      </c>
      <c r="B422" s="70">
        <f>IFERROR(INDEX(tk_QTY,MATCH(417,tk_FSEQ,0)),"")</f>
        <v/>
      </c>
      <c r="C422" s="70">
        <f>IFERROR(INDEX(tk_ROOMF,MATCH(417,tk_FSEQ,0))&amp;IF(INDEX(tk_ROOMT,MATCH(417,tk_FSEQ,0))="",""," → "&amp;INDEX(tk_ROOMT,MATCH(417,tk_FSEQ,0))),"")</f>
        <v/>
      </c>
      <c r="D422" s="70">
        <f>IFERROR(""&amp;INDEX(tk_SIZE,MATCH(417,tk_FSEQ,0)),"")</f>
        <v/>
      </c>
      <c r="E422" s="70">
        <f>IFERROR(""&amp;INDEX(tk_RATING,MATCH(417,tk_FSEQ,0)),"")</f>
        <v/>
      </c>
      <c r="F422" s="70">
        <f>IFERROR(TEXT(INDEX(tk_OAW,MATCH(417,tk_FSEQ,0)),"0.000")&amp;" x "&amp;TEXT(INDEX(tk_OAH,MATCH(417,tk_FSEQ,0)),"0.000"),"")</f>
        <v/>
      </c>
      <c r="G422" s="70">
        <f>IFERROR(""&amp;INDEX(tk_FLINE,MATCH(417,tk_FSEQ,0)),"")</f>
        <v/>
      </c>
      <c r="H422" s="70">
        <f>IFERROR(""&amp;INDEX(tk_FNOTES,MATCH(417,tk_FSEQ,0)),"")</f>
        <v/>
      </c>
    </row>
    <row r="423">
      <c r="A423" s="70">
        <f>IFERROR(""&amp;INDEX(tk_MARK,MATCH(418,tk_FSEQ,0)),"")</f>
        <v/>
      </c>
      <c r="B423" s="70">
        <f>IFERROR(INDEX(tk_QTY,MATCH(418,tk_FSEQ,0)),"")</f>
        <v/>
      </c>
      <c r="C423" s="70">
        <f>IFERROR(INDEX(tk_ROOMF,MATCH(418,tk_FSEQ,0))&amp;IF(INDEX(tk_ROOMT,MATCH(418,tk_FSEQ,0))="",""," → "&amp;INDEX(tk_ROOMT,MATCH(418,tk_FSEQ,0))),"")</f>
        <v/>
      </c>
      <c r="D423" s="70">
        <f>IFERROR(""&amp;INDEX(tk_SIZE,MATCH(418,tk_FSEQ,0)),"")</f>
        <v/>
      </c>
      <c r="E423" s="70">
        <f>IFERROR(""&amp;INDEX(tk_RATING,MATCH(418,tk_FSEQ,0)),"")</f>
        <v/>
      </c>
      <c r="F423" s="70">
        <f>IFERROR(TEXT(INDEX(tk_OAW,MATCH(418,tk_FSEQ,0)),"0.000")&amp;" x "&amp;TEXT(INDEX(tk_OAH,MATCH(418,tk_FSEQ,0)),"0.000"),"")</f>
        <v/>
      </c>
      <c r="G423" s="70">
        <f>IFERROR(""&amp;INDEX(tk_FLINE,MATCH(418,tk_FSEQ,0)),"")</f>
        <v/>
      </c>
      <c r="H423" s="70">
        <f>IFERROR(""&amp;INDEX(tk_FNOTES,MATCH(418,tk_FSEQ,0)),"")</f>
        <v/>
      </c>
    </row>
    <row r="424">
      <c r="A424" s="70">
        <f>IFERROR(""&amp;INDEX(tk_MARK,MATCH(419,tk_FSEQ,0)),"")</f>
        <v/>
      </c>
      <c r="B424" s="70">
        <f>IFERROR(INDEX(tk_QTY,MATCH(419,tk_FSEQ,0)),"")</f>
        <v/>
      </c>
      <c r="C424" s="70">
        <f>IFERROR(INDEX(tk_ROOMF,MATCH(419,tk_FSEQ,0))&amp;IF(INDEX(tk_ROOMT,MATCH(419,tk_FSEQ,0))="",""," → "&amp;INDEX(tk_ROOMT,MATCH(419,tk_FSEQ,0))),"")</f>
        <v/>
      </c>
      <c r="D424" s="70">
        <f>IFERROR(""&amp;INDEX(tk_SIZE,MATCH(419,tk_FSEQ,0)),"")</f>
        <v/>
      </c>
      <c r="E424" s="70">
        <f>IFERROR(""&amp;INDEX(tk_RATING,MATCH(419,tk_FSEQ,0)),"")</f>
        <v/>
      </c>
      <c r="F424" s="70">
        <f>IFERROR(TEXT(INDEX(tk_OAW,MATCH(419,tk_FSEQ,0)),"0.000")&amp;" x "&amp;TEXT(INDEX(tk_OAH,MATCH(419,tk_FSEQ,0)),"0.000"),"")</f>
        <v/>
      </c>
      <c r="G424" s="70">
        <f>IFERROR(""&amp;INDEX(tk_FLINE,MATCH(419,tk_FSEQ,0)),"")</f>
        <v/>
      </c>
      <c r="H424" s="70">
        <f>IFERROR(""&amp;INDEX(tk_FNOTES,MATCH(419,tk_FSEQ,0)),"")</f>
        <v/>
      </c>
    </row>
    <row r="425">
      <c r="A425" s="70">
        <f>IFERROR(""&amp;INDEX(tk_MARK,MATCH(420,tk_FSEQ,0)),"")</f>
        <v/>
      </c>
      <c r="B425" s="70">
        <f>IFERROR(INDEX(tk_QTY,MATCH(420,tk_FSEQ,0)),"")</f>
        <v/>
      </c>
      <c r="C425" s="70">
        <f>IFERROR(INDEX(tk_ROOMF,MATCH(420,tk_FSEQ,0))&amp;IF(INDEX(tk_ROOMT,MATCH(420,tk_FSEQ,0))="",""," → "&amp;INDEX(tk_ROOMT,MATCH(420,tk_FSEQ,0))),"")</f>
        <v/>
      </c>
      <c r="D425" s="70">
        <f>IFERROR(""&amp;INDEX(tk_SIZE,MATCH(420,tk_FSEQ,0)),"")</f>
        <v/>
      </c>
      <c r="E425" s="70">
        <f>IFERROR(""&amp;INDEX(tk_RATING,MATCH(420,tk_FSEQ,0)),"")</f>
        <v/>
      </c>
      <c r="F425" s="70">
        <f>IFERROR(TEXT(INDEX(tk_OAW,MATCH(420,tk_FSEQ,0)),"0.000")&amp;" x "&amp;TEXT(INDEX(tk_OAH,MATCH(420,tk_FSEQ,0)),"0.000"),"")</f>
        <v/>
      </c>
      <c r="G425" s="70">
        <f>IFERROR(""&amp;INDEX(tk_FLINE,MATCH(420,tk_FSEQ,0)),"")</f>
        <v/>
      </c>
      <c r="H425" s="70">
        <f>IFERROR(""&amp;INDEX(tk_FNOTES,MATCH(420,tk_FSEQ,0)),"")</f>
        <v/>
      </c>
    </row>
    <row r="426">
      <c r="A426" s="70">
        <f>IFERROR(""&amp;INDEX(tk_MARK,MATCH(421,tk_FSEQ,0)),"")</f>
        <v/>
      </c>
      <c r="B426" s="70">
        <f>IFERROR(INDEX(tk_QTY,MATCH(421,tk_FSEQ,0)),"")</f>
        <v/>
      </c>
      <c r="C426" s="70">
        <f>IFERROR(INDEX(tk_ROOMF,MATCH(421,tk_FSEQ,0))&amp;IF(INDEX(tk_ROOMT,MATCH(421,tk_FSEQ,0))="",""," → "&amp;INDEX(tk_ROOMT,MATCH(421,tk_FSEQ,0))),"")</f>
        <v/>
      </c>
      <c r="D426" s="70">
        <f>IFERROR(""&amp;INDEX(tk_SIZE,MATCH(421,tk_FSEQ,0)),"")</f>
        <v/>
      </c>
      <c r="E426" s="70">
        <f>IFERROR(""&amp;INDEX(tk_RATING,MATCH(421,tk_FSEQ,0)),"")</f>
        <v/>
      </c>
      <c r="F426" s="70">
        <f>IFERROR(TEXT(INDEX(tk_OAW,MATCH(421,tk_FSEQ,0)),"0.000")&amp;" x "&amp;TEXT(INDEX(tk_OAH,MATCH(421,tk_FSEQ,0)),"0.000"),"")</f>
        <v/>
      </c>
      <c r="G426" s="70">
        <f>IFERROR(""&amp;INDEX(tk_FLINE,MATCH(421,tk_FSEQ,0)),"")</f>
        <v/>
      </c>
      <c r="H426" s="70">
        <f>IFERROR(""&amp;INDEX(tk_FNOTES,MATCH(421,tk_FSEQ,0)),"")</f>
        <v/>
      </c>
    </row>
    <row r="427">
      <c r="A427" s="70">
        <f>IFERROR(""&amp;INDEX(tk_MARK,MATCH(422,tk_FSEQ,0)),"")</f>
        <v/>
      </c>
      <c r="B427" s="70">
        <f>IFERROR(INDEX(tk_QTY,MATCH(422,tk_FSEQ,0)),"")</f>
        <v/>
      </c>
      <c r="C427" s="70">
        <f>IFERROR(INDEX(tk_ROOMF,MATCH(422,tk_FSEQ,0))&amp;IF(INDEX(tk_ROOMT,MATCH(422,tk_FSEQ,0))="",""," → "&amp;INDEX(tk_ROOMT,MATCH(422,tk_FSEQ,0))),"")</f>
        <v/>
      </c>
      <c r="D427" s="70">
        <f>IFERROR(""&amp;INDEX(tk_SIZE,MATCH(422,tk_FSEQ,0)),"")</f>
        <v/>
      </c>
      <c r="E427" s="70">
        <f>IFERROR(""&amp;INDEX(tk_RATING,MATCH(422,tk_FSEQ,0)),"")</f>
        <v/>
      </c>
      <c r="F427" s="70">
        <f>IFERROR(TEXT(INDEX(tk_OAW,MATCH(422,tk_FSEQ,0)),"0.000")&amp;" x "&amp;TEXT(INDEX(tk_OAH,MATCH(422,tk_FSEQ,0)),"0.000"),"")</f>
        <v/>
      </c>
      <c r="G427" s="70">
        <f>IFERROR(""&amp;INDEX(tk_FLINE,MATCH(422,tk_FSEQ,0)),"")</f>
        <v/>
      </c>
      <c r="H427" s="70">
        <f>IFERROR(""&amp;INDEX(tk_FNOTES,MATCH(422,tk_FSEQ,0)),"")</f>
        <v/>
      </c>
    </row>
    <row r="428">
      <c r="A428" s="70">
        <f>IFERROR(""&amp;INDEX(tk_MARK,MATCH(423,tk_FSEQ,0)),"")</f>
        <v/>
      </c>
      <c r="B428" s="70">
        <f>IFERROR(INDEX(tk_QTY,MATCH(423,tk_FSEQ,0)),"")</f>
        <v/>
      </c>
      <c r="C428" s="70">
        <f>IFERROR(INDEX(tk_ROOMF,MATCH(423,tk_FSEQ,0))&amp;IF(INDEX(tk_ROOMT,MATCH(423,tk_FSEQ,0))="",""," → "&amp;INDEX(tk_ROOMT,MATCH(423,tk_FSEQ,0))),"")</f>
        <v/>
      </c>
      <c r="D428" s="70">
        <f>IFERROR(""&amp;INDEX(tk_SIZE,MATCH(423,tk_FSEQ,0)),"")</f>
        <v/>
      </c>
      <c r="E428" s="70">
        <f>IFERROR(""&amp;INDEX(tk_RATING,MATCH(423,tk_FSEQ,0)),"")</f>
        <v/>
      </c>
      <c r="F428" s="70">
        <f>IFERROR(TEXT(INDEX(tk_OAW,MATCH(423,tk_FSEQ,0)),"0.000")&amp;" x "&amp;TEXT(INDEX(tk_OAH,MATCH(423,tk_FSEQ,0)),"0.000"),"")</f>
        <v/>
      </c>
      <c r="G428" s="70">
        <f>IFERROR(""&amp;INDEX(tk_FLINE,MATCH(423,tk_FSEQ,0)),"")</f>
        <v/>
      </c>
      <c r="H428" s="70">
        <f>IFERROR(""&amp;INDEX(tk_FNOTES,MATCH(423,tk_FSEQ,0)),"")</f>
        <v/>
      </c>
    </row>
    <row r="429">
      <c r="A429" s="70">
        <f>IFERROR(""&amp;INDEX(tk_MARK,MATCH(424,tk_FSEQ,0)),"")</f>
        <v/>
      </c>
      <c r="B429" s="70">
        <f>IFERROR(INDEX(tk_QTY,MATCH(424,tk_FSEQ,0)),"")</f>
        <v/>
      </c>
      <c r="C429" s="70">
        <f>IFERROR(INDEX(tk_ROOMF,MATCH(424,tk_FSEQ,0))&amp;IF(INDEX(tk_ROOMT,MATCH(424,tk_FSEQ,0))="",""," → "&amp;INDEX(tk_ROOMT,MATCH(424,tk_FSEQ,0))),"")</f>
        <v/>
      </c>
      <c r="D429" s="70">
        <f>IFERROR(""&amp;INDEX(tk_SIZE,MATCH(424,tk_FSEQ,0)),"")</f>
        <v/>
      </c>
      <c r="E429" s="70">
        <f>IFERROR(""&amp;INDEX(tk_RATING,MATCH(424,tk_FSEQ,0)),"")</f>
        <v/>
      </c>
      <c r="F429" s="70">
        <f>IFERROR(TEXT(INDEX(tk_OAW,MATCH(424,tk_FSEQ,0)),"0.000")&amp;" x "&amp;TEXT(INDEX(tk_OAH,MATCH(424,tk_FSEQ,0)),"0.000"),"")</f>
        <v/>
      </c>
      <c r="G429" s="70">
        <f>IFERROR(""&amp;INDEX(tk_FLINE,MATCH(424,tk_FSEQ,0)),"")</f>
        <v/>
      </c>
      <c r="H429" s="70">
        <f>IFERROR(""&amp;INDEX(tk_FNOTES,MATCH(424,tk_FSEQ,0)),"")</f>
        <v/>
      </c>
    </row>
    <row r="430">
      <c r="A430" s="70">
        <f>IFERROR(""&amp;INDEX(tk_MARK,MATCH(425,tk_FSEQ,0)),"")</f>
        <v/>
      </c>
      <c r="B430" s="70">
        <f>IFERROR(INDEX(tk_QTY,MATCH(425,tk_FSEQ,0)),"")</f>
        <v/>
      </c>
      <c r="C430" s="70">
        <f>IFERROR(INDEX(tk_ROOMF,MATCH(425,tk_FSEQ,0))&amp;IF(INDEX(tk_ROOMT,MATCH(425,tk_FSEQ,0))="",""," → "&amp;INDEX(tk_ROOMT,MATCH(425,tk_FSEQ,0))),"")</f>
        <v/>
      </c>
      <c r="D430" s="70">
        <f>IFERROR(""&amp;INDEX(tk_SIZE,MATCH(425,tk_FSEQ,0)),"")</f>
        <v/>
      </c>
      <c r="E430" s="70">
        <f>IFERROR(""&amp;INDEX(tk_RATING,MATCH(425,tk_FSEQ,0)),"")</f>
        <v/>
      </c>
      <c r="F430" s="70">
        <f>IFERROR(TEXT(INDEX(tk_OAW,MATCH(425,tk_FSEQ,0)),"0.000")&amp;" x "&amp;TEXT(INDEX(tk_OAH,MATCH(425,tk_FSEQ,0)),"0.000"),"")</f>
        <v/>
      </c>
      <c r="G430" s="70">
        <f>IFERROR(""&amp;INDEX(tk_FLINE,MATCH(425,tk_FSEQ,0)),"")</f>
        <v/>
      </c>
      <c r="H430" s="70">
        <f>IFERROR(""&amp;INDEX(tk_FNOTES,MATCH(425,tk_FSEQ,0)),"")</f>
        <v/>
      </c>
    </row>
    <row r="431">
      <c r="A431" s="70">
        <f>IFERROR(""&amp;INDEX(tk_MARK,MATCH(426,tk_FSEQ,0)),"")</f>
        <v/>
      </c>
      <c r="B431" s="70">
        <f>IFERROR(INDEX(tk_QTY,MATCH(426,tk_FSEQ,0)),"")</f>
        <v/>
      </c>
      <c r="C431" s="70">
        <f>IFERROR(INDEX(tk_ROOMF,MATCH(426,tk_FSEQ,0))&amp;IF(INDEX(tk_ROOMT,MATCH(426,tk_FSEQ,0))="",""," → "&amp;INDEX(tk_ROOMT,MATCH(426,tk_FSEQ,0))),"")</f>
        <v/>
      </c>
      <c r="D431" s="70">
        <f>IFERROR(""&amp;INDEX(tk_SIZE,MATCH(426,tk_FSEQ,0)),"")</f>
        <v/>
      </c>
      <c r="E431" s="70">
        <f>IFERROR(""&amp;INDEX(tk_RATING,MATCH(426,tk_FSEQ,0)),"")</f>
        <v/>
      </c>
      <c r="F431" s="70">
        <f>IFERROR(TEXT(INDEX(tk_OAW,MATCH(426,tk_FSEQ,0)),"0.000")&amp;" x "&amp;TEXT(INDEX(tk_OAH,MATCH(426,tk_FSEQ,0)),"0.000"),"")</f>
        <v/>
      </c>
      <c r="G431" s="70">
        <f>IFERROR(""&amp;INDEX(tk_FLINE,MATCH(426,tk_FSEQ,0)),"")</f>
        <v/>
      </c>
      <c r="H431" s="70">
        <f>IFERROR(""&amp;INDEX(tk_FNOTES,MATCH(426,tk_FSEQ,0)),"")</f>
        <v/>
      </c>
    </row>
    <row r="432">
      <c r="A432" s="70">
        <f>IFERROR(""&amp;INDEX(tk_MARK,MATCH(427,tk_FSEQ,0)),"")</f>
        <v/>
      </c>
      <c r="B432" s="70">
        <f>IFERROR(INDEX(tk_QTY,MATCH(427,tk_FSEQ,0)),"")</f>
        <v/>
      </c>
      <c r="C432" s="70">
        <f>IFERROR(INDEX(tk_ROOMF,MATCH(427,tk_FSEQ,0))&amp;IF(INDEX(tk_ROOMT,MATCH(427,tk_FSEQ,0))="",""," → "&amp;INDEX(tk_ROOMT,MATCH(427,tk_FSEQ,0))),"")</f>
        <v/>
      </c>
      <c r="D432" s="70">
        <f>IFERROR(""&amp;INDEX(tk_SIZE,MATCH(427,tk_FSEQ,0)),"")</f>
        <v/>
      </c>
      <c r="E432" s="70">
        <f>IFERROR(""&amp;INDEX(tk_RATING,MATCH(427,tk_FSEQ,0)),"")</f>
        <v/>
      </c>
      <c r="F432" s="70">
        <f>IFERROR(TEXT(INDEX(tk_OAW,MATCH(427,tk_FSEQ,0)),"0.000")&amp;" x "&amp;TEXT(INDEX(tk_OAH,MATCH(427,tk_FSEQ,0)),"0.000"),"")</f>
        <v/>
      </c>
      <c r="G432" s="70">
        <f>IFERROR(""&amp;INDEX(tk_FLINE,MATCH(427,tk_FSEQ,0)),"")</f>
        <v/>
      </c>
      <c r="H432" s="70">
        <f>IFERROR(""&amp;INDEX(tk_FNOTES,MATCH(427,tk_FSEQ,0)),"")</f>
        <v/>
      </c>
    </row>
    <row r="433">
      <c r="A433" s="70">
        <f>IFERROR(""&amp;INDEX(tk_MARK,MATCH(428,tk_FSEQ,0)),"")</f>
        <v/>
      </c>
      <c r="B433" s="70">
        <f>IFERROR(INDEX(tk_QTY,MATCH(428,tk_FSEQ,0)),"")</f>
        <v/>
      </c>
      <c r="C433" s="70">
        <f>IFERROR(INDEX(tk_ROOMF,MATCH(428,tk_FSEQ,0))&amp;IF(INDEX(tk_ROOMT,MATCH(428,tk_FSEQ,0))="",""," → "&amp;INDEX(tk_ROOMT,MATCH(428,tk_FSEQ,0))),"")</f>
        <v/>
      </c>
      <c r="D433" s="70">
        <f>IFERROR(""&amp;INDEX(tk_SIZE,MATCH(428,tk_FSEQ,0)),"")</f>
        <v/>
      </c>
      <c r="E433" s="70">
        <f>IFERROR(""&amp;INDEX(tk_RATING,MATCH(428,tk_FSEQ,0)),"")</f>
        <v/>
      </c>
      <c r="F433" s="70">
        <f>IFERROR(TEXT(INDEX(tk_OAW,MATCH(428,tk_FSEQ,0)),"0.000")&amp;" x "&amp;TEXT(INDEX(tk_OAH,MATCH(428,tk_FSEQ,0)),"0.000"),"")</f>
        <v/>
      </c>
      <c r="G433" s="70">
        <f>IFERROR(""&amp;INDEX(tk_FLINE,MATCH(428,tk_FSEQ,0)),"")</f>
        <v/>
      </c>
      <c r="H433" s="70">
        <f>IFERROR(""&amp;INDEX(tk_FNOTES,MATCH(428,tk_FSEQ,0)),"")</f>
        <v/>
      </c>
    </row>
    <row r="434">
      <c r="A434" s="70">
        <f>IFERROR(""&amp;INDEX(tk_MARK,MATCH(429,tk_FSEQ,0)),"")</f>
        <v/>
      </c>
      <c r="B434" s="70">
        <f>IFERROR(INDEX(tk_QTY,MATCH(429,tk_FSEQ,0)),"")</f>
        <v/>
      </c>
      <c r="C434" s="70">
        <f>IFERROR(INDEX(tk_ROOMF,MATCH(429,tk_FSEQ,0))&amp;IF(INDEX(tk_ROOMT,MATCH(429,tk_FSEQ,0))="",""," → "&amp;INDEX(tk_ROOMT,MATCH(429,tk_FSEQ,0))),"")</f>
        <v/>
      </c>
      <c r="D434" s="70">
        <f>IFERROR(""&amp;INDEX(tk_SIZE,MATCH(429,tk_FSEQ,0)),"")</f>
        <v/>
      </c>
      <c r="E434" s="70">
        <f>IFERROR(""&amp;INDEX(tk_RATING,MATCH(429,tk_FSEQ,0)),"")</f>
        <v/>
      </c>
      <c r="F434" s="70">
        <f>IFERROR(TEXT(INDEX(tk_OAW,MATCH(429,tk_FSEQ,0)),"0.000")&amp;" x "&amp;TEXT(INDEX(tk_OAH,MATCH(429,tk_FSEQ,0)),"0.000"),"")</f>
        <v/>
      </c>
      <c r="G434" s="70">
        <f>IFERROR(""&amp;INDEX(tk_FLINE,MATCH(429,tk_FSEQ,0)),"")</f>
        <v/>
      </c>
      <c r="H434" s="70">
        <f>IFERROR(""&amp;INDEX(tk_FNOTES,MATCH(429,tk_FSEQ,0)),"")</f>
        <v/>
      </c>
    </row>
    <row r="435">
      <c r="A435" s="70">
        <f>IFERROR(""&amp;INDEX(tk_MARK,MATCH(430,tk_FSEQ,0)),"")</f>
        <v/>
      </c>
      <c r="B435" s="70">
        <f>IFERROR(INDEX(tk_QTY,MATCH(430,tk_FSEQ,0)),"")</f>
        <v/>
      </c>
      <c r="C435" s="70">
        <f>IFERROR(INDEX(tk_ROOMF,MATCH(430,tk_FSEQ,0))&amp;IF(INDEX(tk_ROOMT,MATCH(430,tk_FSEQ,0))="",""," → "&amp;INDEX(tk_ROOMT,MATCH(430,tk_FSEQ,0))),"")</f>
        <v/>
      </c>
      <c r="D435" s="70">
        <f>IFERROR(""&amp;INDEX(tk_SIZE,MATCH(430,tk_FSEQ,0)),"")</f>
        <v/>
      </c>
      <c r="E435" s="70">
        <f>IFERROR(""&amp;INDEX(tk_RATING,MATCH(430,tk_FSEQ,0)),"")</f>
        <v/>
      </c>
      <c r="F435" s="70">
        <f>IFERROR(TEXT(INDEX(tk_OAW,MATCH(430,tk_FSEQ,0)),"0.000")&amp;" x "&amp;TEXT(INDEX(tk_OAH,MATCH(430,tk_FSEQ,0)),"0.000"),"")</f>
        <v/>
      </c>
      <c r="G435" s="70">
        <f>IFERROR(""&amp;INDEX(tk_FLINE,MATCH(430,tk_FSEQ,0)),"")</f>
        <v/>
      </c>
      <c r="H435" s="70">
        <f>IFERROR(""&amp;INDEX(tk_FNOTES,MATCH(430,tk_FSEQ,0)),"")</f>
        <v/>
      </c>
    </row>
    <row r="436">
      <c r="A436" s="70">
        <f>IFERROR(""&amp;INDEX(tk_MARK,MATCH(431,tk_FSEQ,0)),"")</f>
        <v/>
      </c>
      <c r="B436" s="70">
        <f>IFERROR(INDEX(tk_QTY,MATCH(431,tk_FSEQ,0)),"")</f>
        <v/>
      </c>
      <c r="C436" s="70">
        <f>IFERROR(INDEX(tk_ROOMF,MATCH(431,tk_FSEQ,0))&amp;IF(INDEX(tk_ROOMT,MATCH(431,tk_FSEQ,0))="",""," → "&amp;INDEX(tk_ROOMT,MATCH(431,tk_FSEQ,0))),"")</f>
        <v/>
      </c>
      <c r="D436" s="70">
        <f>IFERROR(""&amp;INDEX(tk_SIZE,MATCH(431,tk_FSEQ,0)),"")</f>
        <v/>
      </c>
      <c r="E436" s="70">
        <f>IFERROR(""&amp;INDEX(tk_RATING,MATCH(431,tk_FSEQ,0)),"")</f>
        <v/>
      </c>
      <c r="F436" s="70">
        <f>IFERROR(TEXT(INDEX(tk_OAW,MATCH(431,tk_FSEQ,0)),"0.000")&amp;" x "&amp;TEXT(INDEX(tk_OAH,MATCH(431,tk_FSEQ,0)),"0.000"),"")</f>
        <v/>
      </c>
      <c r="G436" s="70">
        <f>IFERROR(""&amp;INDEX(tk_FLINE,MATCH(431,tk_FSEQ,0)),"")</f>
        <v/>
      </c>
      <c r="H436" s="70">
        <f>IFERROR(""&amp;INDEX(tk_FNOTES,MATCH(431,tk_FSEQ,0)),"")</f>
        <v/>
      </c>
    </row>
    <row r="437">
      <c r="A437" s="70">
        <f>IFERROR(""&amp;INDEX(tk_MARK,MATCH(432,tk_FSEQ,0)),"")</f>
        <v/>
      </c>
      <c r="B437" s="70">
        <f>IFERROR(INDEX(tk_QTY,MATCH(432,tk_FSEQ,0)),"")</f>
        <v/>
      </c>
      <c r="C437" s="70">
        <f>IFERROR(INDEX(tk_ROOMF,MATCH(432,tk_FSEQ,0))&amp;IF(INDEX(tk_ROOMT,MATCH(432,tk_FSEQ,0))="",""," → "&amp;INDEX(tk_ROOMT,MATCH(432,tk_FSEQ,0))),"")</f>
        <v/>
      </c>
      <c r="D437" s="70">
        <f>IFERROR(""&amp;INDEX(tk_SIZE,MATCH(432,tk_FSEQ,0)),"")</f>
        <v/>
      </c>
      <c r="E437" s="70">
        <f>IFERROR(""&amp;INDEX(tk_RATING,MATCH(432,tk_FSEQ,0)),"")</f>
        <v/>
      </c>
      <c r="F437" s="70">
        <f>IFERROR(TEXT(INDEX(tk_OAW,MATCH(432,tk_FSEQ,0)),"0.000")&amp;" x "&amp;TEXT(INDEX(tk_OAH,MATCH(432,tk_FSEQ,0)),"0.000"),"")</f>
        <v/>
      </c>
      <c r="G437" s="70">
        <f>IFERROR(""&amp;INDEX(tk_FLINE,MATCH(432,tk_FSEQ,0)),"")</f>
        <v/>
      </c>
      <c r="H437" s="70">
        <f>IFERROR(""&amp;INDEX(tk_FNOTES,MATCH(432,tk_FSEQ,0)),"")</f>
        <v/>
      </c>
    </row>
    <row r="438">
      <c r="A438" s="70">
        <f>IFERROR(""&amp;INDEX(tk_MARK,MATCH(433,tk_FSEQ,0)),"")</f>
        <v/>
      </c>
      <c r="B438" s="70">
        <f>IFERROR(INDEX(tk_QTY,MATCH(433,tk_FSEQ,0)),"")</f>
        <v/>
      </c>
      <c r="C438" s="70">
        <f>IFERROR(INDEX(tk_ROOMF,MATCH(433,tk_FSEQ,0))&amp;IF(INDEX(tk_ROOMT,MATCH(433,tk_FSEQ,0))="",""," → "&amp;INDEX(tk_ROOMT,MATCH(433,tk_FSEQ,0))),"")</f>
        <v/>
      </c>
      <c r="D438" s="70">
        <f>IFERROR(""&amp;INDEX(tk_SIZE,MATCH(433,tk_FSEQ,0)),"")</f>
        <v/>
      </c>
      <c r="E438" s="70">
        <f>IFERROR(""&amp;INDEX(tk_RATING,MATCH(433,tk_FSEQ,0)),"")</f>
        <v/>
      </c>
      <c r="F438" s="70">
        <f>IFERROR(TEXT(INDEX(tk_OAW,MATCH(433,tk_FSEQ,0)),"0.000")&amp;" x "&amp;TEXT(INDEX(tk_OAH,MATCH(433,tk_FSEQ,0)),"0.000"),"")</f>
        <v/>
      </c>
      <c r="G438" s="70">
        <f>IFERROR(""&amp;INDEX(tk_FLINE,MATCH(433,tk_FSEQ,0)),"")</f>
        <v/>
      </c>
      <c r="H438" s="70">
        <f>IFERROR(""&amp;INDEX(tk_FNOTES,MATCH(433,tk_FSEQ,0)),"")</f>
        <v/>
      </c>
    </row>
    <row r="439">
      <c r="A439" s="70">
        <f>IFERROR(""&amp;INDEX(tk_MARK,MATCH(434,tk_FSEQ,0)),"")</f>
        <v/>
      </c>
      <c r="B439" s="70">
        <f>IFERROR(INDEX(tk_QTY,MATCH(434,tk_FSEQ,0)),"")</f>
        <v/>
      </c>
      <c r="C439" s="70">
        <f>IFERROR(INDEX(tk_ROOMF,MATCH(434,tk_FSEQ,0))&amp;IF(INDEX(tk_ROOMT,MATCH(434,tk_FSEQ,0))="",""," → "&amp;INDEX(tk_ROOMT,MATCH(434,tk_FSEQ,0))),"")</f>
        <v/>
      </c>
      <c r="D439" s="70">
        <f>IFERROR(""&amp;INDEX(tk_SIZE,MATCH(434,tk_FSEQ,0)),"")</f>
        <v/>
      </c>
      <c r="E439" s="70">
        <f>IFERROR(""&amp;INDEX(tk_RATING,MATCH(434,tk_FSEQ,0)),"")</f>
        <v/>
      </c>
      <c r="F439" s="70">
        <f>IFERROR(TEXT(INDEX(tk_OAW,MATCH(434,tk_FSEQ,0)),"0.000")&amp;" x "&amp;TEXT(INDEX(tk_OAH,MATCH(434,tk_FSEQ,0)),"0.000"),"")</f>
        <v/>
      </c>
      <c r="G439" s="70">
        <f>IFERROR(""&amp;INDEX(tk_FLINE,MATCH(434,tk_FSEQ,0)),"")</f>
        <v/>
      </c>
      <c r="H439" s="70">
        <f>IFERROR(""&amp;INDEX(tk_FNOTES,MATCH(434,tk_FSEQ,0)),"")</f>
        <v/>
      </c>
    </row>
    <row r="440">
      <c r="A440" s="70">
        <f>IFERROR(""&amp;INDEX(tk_MARK,MATCH(435,tk_FSEQ,0)),"")</f>
        <v/>
      </c>
      <c r="B440" s="70">
        <f>IFERROR(INDEX(tk_QTY,MATCH(435,tk_FSEQ,0)),"")</f>
        <v/>
      </c>
      <c r="C440" s="70">
        <f>IFERROR(INDEX(tk_ROOMF,MATCH(435,tk_FSEQ,0))&amp;IF(INDEX(tk_ROOMT,MATCH(435,tk_FSEQ,0))="",""," → "&amp;INDEX(tk_ROOMT,MATCH(435,tk_FSEQ,0))),"")</f>
        <v/>
      </c>
      <c r="D440" s="70">
        <f>IFERROR(""&amp;INDEX(tk_SIZE,MATCH(435,tk_FSEQ,0)),"")</f>
        <v/>
      </c>
      <c r="E440" s="70">
        <f>IFERROR(""&amp;INDEX(tk_RATING,MATCH(435,tk_FSEQ,0)),"")</f>
        <v/>
      </c>
      <c r="F440" s="70">
        <f>IFERROR(TEXT(INDEX(tk_OAW,MATCH(435,tk_FSEQ,0)),"0.000")&amp;" x "&amp;TEXT(INDEX(tk_OAH,MATCH(435,tk_FSEQ,0)),"0.000"),"")</f>
        <v/>
      </c>
      <c r="G440" s="70">
        <f>IFERROR(""&amp;INDEX(tk_FLINE,MATCH(435,tk_FSEQ,0)),"")</f>
        <v/>
      </c>
      <c r="H440" s="70">
        <f>IFERROR(""&amp;INDEX(tk_FNOTES,MATCH(435,tk_FSEQ,0)),"")</f>
        <v/>
      </c>
    </row>
    <row r="441">
      <c r="A441" s="70">
        <f>IFERROR(""&amp;INDEX(tk_MARK,MATCH(436,tk_FSEQ,0)),"")</f>
        <v/>
      </c>
      <c r="B441" s="70">
        <f>IFERROR(INDEX(tk_QTY,MATCH(436,tk_FSEQ,0)),"")</f>
        <v/>
      </c>
      <c r="C441" s="70">
        <f>IFERROR(INDEX(tk_ROOMF,MATCH(436,tk_FSEQ,0))&amp;IF(INDEX(tk_ROOMT,MATCH(436,tk_FSEQ,0))="",""," → "&amp;INDEX(tk_ROOMT,MATCH(436,tk_FSEQ,0))),"")</f>
        <v/>
      </c>
      <c r="D441" s="70">
        <f>IFERROR(""&amp;INDEX(tk_SIZE,MATCH(436,tk_FSEQ,0)),"")</f>
        <v/>
      </c>
      <c r="E441" s="70">
        <f>IFERROR(""&amp;INDEX(tk_RATING,MATCH(436,tk_FSEQ,0)),"")</f>
        <v/>
      </c>
      <c r="F441" s="70">
        <f>IFERROR(TEXT(INDEX(tk_OAW,MATCH(436,tk_FSEQ,0)),"0.000")&amp;" x "&amp;TEXT(INDEX(tk_OAH,MATCH(436,tk_FSEQ,0)),"0.000"),"")</f>
        <v/>
      </c>
      <c r="G441" s="70">
        <f>IFERROR(""&amp;INDEX(tk_FLINE,MATCH(436,tk_FSEQ,0)),"")</f>
        <v/>
      </c>
      <c r="H441" s="70">
        <f>IFERROR(""&amp;INDEX(tk_FNOTES,MATCH(436,tk_FSEQ,0)),"")</f>
        <v/>
      </c>
    </row>
    <row r="442">
      <c r="A442" s="70">
        <f>IFERROR(""&amp;INDEX(tk_MARK,MATCH(437,tk_FSEQ,0)),"")</f>
        <v/>
      </c>
      <c r="B442" s="70">
        <f>IFERROR(INDEX(tk_QTY,MATCH(437,tk_FSEQ,0)),"")</f>
        <v/>
      </c>
      <c r="C442" s="70">
        <f>IFERROR(INDEX(tk_ROOMF,MATCH(437,tk_FSEQ,0))&amp;IF(INDEX(tk_ROOMT,MATCH(437,tk_FSEQ,0))="",""," → "&amp;INDEX(tk_ROOMT,MATCH(437,tk_FSEQ,0))),"")</f>
        <v/>
      </c>
      <c r="D442" s="70">
        <f>IFERROR(""&amp;INDEX(tk_SIZE,MATCH(437,tk_FSEQ,0)),"")</f>
        <v/>
      </c>
      <c r="E442" s="70">
        <f>IFERROR(""&amp;INDEX(tk_RATING,MATCH(437,tk_FSEQ,0)),"")</f>
        <v/>
      </c>
      <c r="F442" s="70">
        <f>IFERROR(TEXT(INDEX(tk_OAW,MATCH(437,tk_FSEQ,0)),"0.000")&amp;" x "&amp;TEXT(INDEX(tk_OAH,MATCH(437,tk_FSEQ,0)),"0.000"),"")</f>
        <v/>
      </c>
      <c r="G442" s="70">
        <f>IFERROR(""&amp;INDEX(tk_FLINE,MATCH(437,tk_FSEQ,0)),"")</f>
        <v/>
      </c>
      <c r="H442" s="70">
        <f>IFERROR(""&amp;INDEX(tk_FNOTES,MATCH(437,tk_FSEQ,0)),"")</f>
        <v/>
      </c>
    </row>
    <row r="443">
      <c r="A443" s="70">
        <f>IFERROR(""&amp;INDEX(tk_MARK,MATCH(438,tk_FSEQ,0)),"")</f>
        <v/>
      </c>
      <c r="B443" s="70">
        <f>IFERROR(INDEX(tk_QTY,MATCH(438,tk_FSEQ,0)),"")</f>
        <v/>
      </c>
      <c r="C443" s="70">
        <f>IFERROR(INDEX(tk_ROOMF,MATCH(438,tk_FSEQ,0))&amp;IF(INDEX(tk_ROOMT,MATCH(438,tk_FSEQ,0))="",""," → "&amp;INDEX(tk_ROOMT,MATCH(438,tk_FSEQ,0))),"")</f>
        <v/>
      </c>
      <c r="D443" s="70">
        <f>IFERROR(""&amp;INDEX(tk_SIZE,MATCH(438,tk_FSEQ,0)),"")</f>
        <v/>
      </c>
      <c r="E443" s="70">
        <f>IFERROR(""&amp;INDEX(tk_RATING,MATCH(438,tk_FSEQ,0)),"")</f>
        <v/>
      </c>
      <c r="F443" s="70">
        <f>IFERROR(TEXT(INDEX(tk_OAW,MATCH(438,tk_FSEQ,0)),"0.000")&amp;" x "&amp;TEXT(INDEX(tk_OAH,MATCH(438,tk_FSEQ,0)),"0.000"),"")</f>
        <v/>
      </c>
      <c r="G443" s="70">
        <f>IFERROR(""&amp;INDEX(tk_FLINE,MATCH(438,tk_FSEQ,0)),"")</f>
        <v/>
      </c>
      <c r="H443" s="70">
        <f>IFERROR(""&amp;INDEX(tk_FNOTES,MATCH(438,tk_FSEQ,0)),"")</f>
        <v/>
      </c>
    </row>
    <row r="444">
      <c r="A444" s="70">
        <f>IFERROR(""&amp;INDEX(tk_MARK,MATCH(439,tk_FSEQ,0)),"")</f>
        <v/>
      </c>
      <c r="B444" s="70">
        <f>IFERROR(INDEX(tk_QTY,MATCH(439,tk_FSEQ,0)),"")</f>
        <v/>
      </c>
      <c r="C444" s="70">
        <f>IFERROR(INDEX(tk_ROOMF,MATCH(439,tk_FSEQ,0))&amp;IF(INDEX(tk_ROOMT,MATCH(439,tk_FSEQ,0))="",""," → "&amp;INDEX(tk_ROOMT,MATCH(439,tk_FSEQ,0))),"")</f>
        <v/>
      </c>
      <c r="D444" s="70">
        <f>IFERROR(""&amp;INDEX(tk_SIZE,MATCH(439,tk_FSEQ,0)),"")</f>
        <v/>
      </c>
      <c r="E444" s="70">
        <f>IFERROR(""&amp;INDEX(tk_RATING,MATCH(439,tk_FSEQ,0)),"")</f>
        <v/>
      </c>
      <c r="F444" s="70">
        <f>IFERROR(TEXT(INDEX(tk_OAW,MATCH(439,tk_FSEQ,0)),"0.000")&amp;" x "&amp;TEXT(INDEX(tk_OAH,MATCH(439,tk_FSEQ,0)),"0.000"),"")</f>
        <v/>
      </c>
      <c r="G444" s="70">
        <f>IFERROR(""&amp;INDEX(tk_FLINE,MATCH(439,tk_FSEQ,0)),"")</f>
        <v/>
      </c>
      <c r="H444" s="70">
        <f>IFERROR(""&amp;INDEX(tk_FNOTES,MATCH(439,tk_FSEQ,0)),"")</f>
        <v/>
      </c>
    </row>
    <row r="445">
      <c r="A445" s="70">
        <f>IFERROR(""&amp;INDEX(tk_MARK,MATCH(440,tk_FSEQ,0)),"")</f>
        <v/>
      </c>
      <c r="B445" s="70">
        <f>IFERROR(INDEX(tk_QTY,MATCH(440,tk_FSEQ,0)),"")</f>
        <v/>
      </c>
      <c r="C445" s="70">
        <f>IFERROR(INDEX(tk_ROOMF,MATCH(440,tk_FSEQ,0))&amp;IF(INDEX(tk_ROOMT,MATCH(440,tk_FSEQ,0))="",""," → "&amp;INDEX(tk_ROOMT,MATCH(440,tk_FSEQ,0))),"")</f>
        <v/>
      </c>
      <c r="D445" s="70">
        <f>IFERROR(""&amp;INDEX(tk_SIZE,MATCH(440,tk_FSEQ,0)),"")</f>
        <v/>
      </c>
      <c r="E445" s="70">
        <f>IFERROR(""&amp;INDEX(tk_RATING,MATCH(440,tk_FSEQ,0)),"")</f>
        <v/>
      </c>
      <c r="F445" s="70">
        <f>IFERROR(TEXT(INDEX(tk_OAW,MATCH(440,tk_FSEQ,0)),"0.000")&amp;" x "&amp;TEXT(INDEX(tk_OAH,MATCH(440,tk_FSEQ,0)),"0.000"),"")</f>
        <v/>
      </c>
      <c r="G445" s="70">
        <f>IFERROR(""&amp;INDEX(tk_FLINE,MATCH(440,tk_FSEQ,0)),"")</f>
        <v/>
      </c>
      <c r="H445" s="70">
        <f>IFERROR(""&amp;INDEX(tk_FNOTES,MATCH(440,tk_FSEQ,0)),"")</f>
        <v/>
      </c>
    </row>
    <row r="446">
      <c r="A446" s="70">
        <f>IFERROR(""&amp;INDEX(tk_MARK,MATCH(441,tk_FSEQ,0)),"")</f>
        <v/>
      </c>
      <c r="B446" s="70">
        <f>IFERROR(INDEX(tk_QTY,MATCH(441,tk_FSEQ,0)),"")</f>
        <v/>
      </c>
      <c r="C446" s="70">
        <f>IFERROR(INDEX(tk_ROOMF,MATCH(441,tk_FSEQ,0))&amp;IF(INDEX(tk_ROOMT,MATCH(441,tk_FSEQ,0))="",""," → "&amp;INDEX(tk_ROOMT,MATCH(441,tk_FSEQ,0))),"")</f>
        <v/>
      </c>
      <c r="D446" s="70">
        <f>IFERROR(""&amp;INDEX(tk_SIZE,MATCH(441,tk_FSEQ,0)),"")</f>
        <v/>
      </c>
      <c r="E446" s="70">
        <f>IFERROR(""&amp;INDEX(tk_RATING,MATCH(441,tk_FSEQ,0)),"")</f>
        <v/>
      </c>
      <c r="F446" s="70">
        <f>IFERROR(TEXT(INDEX(tk_OAW,MATCH(441,tk_FSEQ,0)),"0.000")&amp;" x "&amp;TEXT(INDEX(tk_OAH,MATCH(441,tk_FSEQ,0)),"0.000"),"")</f>
        <v/>
      </c>
      <c r="G446" s="70">
        <f>IFERROR(""&amp;INDEX(tk_FLINE,MATCH(441,tk_FSEQ,0)),"")</f>
        <v/>
      </c>
      <c r="H446" s="70">
        <f>IFERROR(""&amp;INDEX(tk_FNOTES,MATCH(441,tk_FSEQ,0)),"")</f>
        <v/>
      </c>
    </row>
    <row r="447">
      <c r="A447" s="70">
        <f>IFERROR(""&amp;INDEX(tk_MARK,MATCH(442,tk_FSEQ,0)),"")</f>
        <v/>
      </c>
      <c r="B447" s="70">
        <f>IFERROR(INDEX(tk_QTY,MATCH(442,tk_FSEQ,0)),"")</f>
        <v/>
      </c>
      <c r="C447" s="70">
        <f>IFERROR(INDEX(tk_ROOMF,MATCH(442,tk_FSEQ,0))&amp;IF(INDEX(tk_ROOMT,MATCH(442,tk_FSEQ,0))="",""," → "&amp;INDEX(tk_ROOMT,MATCH(442,tk_FSEQ,0))),"")</f>
        <v/>
      </c>
      <c r="D447" s="70">
        <f>IFERROR(""&amp;INDEX(tk_SIZE,MATCH(442,tk_FSEQ,0)),"")</f>
        <v/>
      </c>
      <c r="E447" s="70">
        <f>IFERROR(""&amp;INDEX(tk_RATING,MATCH(442,tk_FSEQ,0)),"")</f>
        <v/>
      </c>
      <c r="F447" s="70">
        <f>IFERROR(TEXT(INDEX(tk_OAW,MATCH(442,tk_FSEQ,0)),"0.000")&amp;" x "&amp;TEXT(INDEX(tk_OAH,MATCH(442,tk_FSEQ,0)),"0.000"),"")</f>
        <v/>
      </c>
      <c r="G447" s="70">
        <f>IFERROR(""&amp;INDEX(tk_FLINE,MATCH(442,tk_FSEQ,0)),"")</f>
        <v/>
      </c>
      <c r="H447" s="70">
        <f>IFERROR(""&amp;INDEX(tk_FNOTES,MATCH(442,tk_FSEQ,0)),"")</f>
        <v/>
      </c>
    </row>
    <row r="448">
      <c r="A448" s="70">
        <f>IFERROR(""&amp;INDEX(tk_MARK,MATCH(443,tk_FSEQ,0)),"")</f>
        <v/>
      </c>
      <c r="B448" s="70">
        <f>IFERROR(INDEX(tk_QTY,MATCH(443,tk_FSEQ,0)),"")</f>
        <v/>
      </c>
      <c r="C448" s="70">
        <f>IFERROR(INDEX(tk_ROOMF,MATCH(443,tk_FSEQ,0))&amp;IF(INDEX(tk_ROOMT,MATCH(443,tk_FSEQ,0))="",""," → "&amp;INDEX(tk_ROOMT,MATCH(443,tk_FSEQ,0))),"")</f>
        <v/>
      </c>
      <c r="D448" s="70">
        <f>IFERROR(""&amp;INDEX(tk_SIZE,MATCH(443,tk_FSEQ,0)),"")</f>
        <v/>
      </c>
      <c r="E448" s="70">
        <f>IFERROR(""&amp;INDEX(tk_RATING,MATCH(443,tk_FSEQ,0)),"")</f>
        <v/>
      </c>
      <c r="F448" s="70">
        <f>IFERROR(TEXT(INDEX(tk_OAW,MATCH(443,tk_FSEQ,0)),"0.000")&amp;" x "&amp;TEXT(INDEX(tk_OAH,MATCH(443,tk_FSEQ,0)),"0.000"),"")</f>
        <v/>
      </c>
      <c r="G448" s="70">
        <f>IFERROR(""&amp;INDEX(tk_FLINE,MATCH(443,tk_FSEQ,0)),"")</f>
        <v/>
      </c>
      <c r="H448" s="70">
        <f>IFERROR(""&amp;INDEX(tk_FNOTES,MATCH(443,tk_FSEQ,0)),"")</f>
        <v/>
      </c>
    </row>
    <row r="449">
      <c r="A449" s="70">
        <f>IFERROR(""&amp;INDEX(tk_MARK,MATCH(444,tk_FSEQ,0)),"")</f>
        <v/>
      </c>
      <c r="B449" s="70">
        <f>IFERROR(INDEX(tk_QTY,MATCH(444,tk_FSEQ,0)),"")</f>
        <v/>
      </c>
      <c r="C449" s="70">
        <f>IFERROR(INDEX(tk_ROOMF,MATCH(444,tk_FSEQ,0))&amp;IF(INDEX(tk_ROOMT,MATCH(444,tk_FSEQ,0))="",""," → "&amp;INDEX(tk_ROOMT,MATCH(444,tk_FSEQ,0))),"")</f>
        <v/>
      </c>
      <c r="D449" s="70">
        <f>IFERROR(""&amp;INDEX(tk_SIZE,MATCH(444,tk_FSEQ,0)),"")</f>
        <v/>
      </c>
      <c r="E449" s="70">
        <f>IFERROR(""&amp;INDEX(tk_RATING,MATCH(444,tk_FSEQ,0)),"")</f>
        <v/>
      </c>
      <c r="F449" s="70">
        <f>IFERROR(TEXT(INDEX(tk_OAW,MATCH(444,tk_FSEQ,0)),"0.000")&amp;" x "&amp;TEXT(INDEX(tk_OAH,MATCH(444,tk_FSEQ,0)),"0.000"),"")</f>
        <v/>
      </c>
      <c r="G449" s="70">
        <f>IFERROR(""&amp;INDEX(tk_FLINE,MATCH(444,tk_FSEQ,0)),"")</f>
        <v/>
      </c>
      <c r="H449" s="70">
        <f>IFERROR(""&amp;INDEX(tk_FNOTES,MATCH(444,tk_FSEQ,0)),"")</f>
        <v/>
      </c>
    </row>
    <row r="450">
      <c r="A450" s="70">
        <f>IFERROR(""&amp;INDEX(tk_MARK,MATCH(445,tk_FSEQ,0)),"")</f>
        <v/>
      </c>
      <c r="B450" s="70">
        <f>IFERROR(INDEX(tk_QTY,MATCH(445,tk_FSEQ,0)),"")</f>
        <v/>
      </c>
      <c r="C450" s="70">
        <f>IFERROR(INDEX(tk_ROOMF,MATCH(445,tk_FSEQ,0))&amp;IF(INDEX(tk_ROOMT,MATCH(445,tk_FSEQ,0))="",""," → "&amp;INDEX(tk_ROOMT,MATCH(445,tk_FSEQ,0))),"")</f>
        <v/>
      </c>
      <c r="D450" s="70">
        <f>IFERROR(""&amp;INDEX(tk_SIZE,MATCH(445,tk_FSEQ,0)),"")</f>
        <v/>
      </c>
      <c r="E450" s="70">
        <f>IFERROR(""&amp;INDEX(tk_RATING,MATCH(445,tk_FSEQ,0)),"")</f>
        <v/>
      </c>
      <c r="F450" s="70">
        <f>IFERROR(TEXT(INDEX(tk_OAW,MATCH(445,tk_FSEQ,0)),"0.000")&amp;" x "&amp;TEXT(INDEX(tk_OAH,MATCH(445,tk_FSEQ,0)),"0.000"),"")</f>
        <v/>
      </c>
      <c r="G450" s="70">
        <f>IFERROR(""&amp;INDEX(tk_FLINE,MATCH(445,tk_FSEQ,0)),"")</f>
        <v/>
      </c>
      <c r="H450" s="70">
        <f>IFERROR(""&amp;INDEX(tk_FNOTES,MATCH(445,tk_FSEQ,0)),"")</f>
        <v/>
      </c>
    </row>
    <row r="451">
      <c r="A451" s="70">
        <f>IFERROR(""&amp;INDEX(tk_MARK,MATCH(446,tk_FSEQ,0)),"")</f>
        <v/>
      </c>
      <c r="B451" s="70">
        <f>IFERROR(INDEX(tk_QTY,MATCH(446,tk_FSEQ,0)),"")</f>
        <v/>
      </c>
      <c r="C451" s="70">
        <f>IFERROR(INDEX(tk_ROOMF,MATCH(446,tk_FSEQ,0))&amp;IF(INDEX(tk_ROOMT,MATCH(446,tk_FSEQ,0))="",""," → "&amp;INDEX(tk_ROOMT,MATCH(446,tk_FSEQ,0))),"")</f>
        <v/>
      </c>
      <c r="D451" s="70">
        <f>IFERROR(""&amp;INDEX(tk_SIZE,MATCH(446,tk_FSEQ,0)),"")</f>
        <v/>
      </c>
      <c r="E451" s="70">
        <f>IFERROR(""&amp;INDEX(tk_RATING,MATCH(446,tk_FSEQ,0)),"")</f>
        <v/>
      </c>
      <c r="F451" s="70">
        <f>IFERROR(TEXT(INDEX(tk_OAW,MATCH(446,tk_FSEQ,0)),"0.000")&amp;" x "&amp;TEXT(INDEX(tk_OAH,MATCH(446,tk_FSEQ,0)),"0.000"),"")</f>
        <v/>
      </c>
      <c r="G451" s="70">
        <f>IFERROR(""&amp;INDEX(tk_FLINE,MATCH(446,tk_FSEQ,0)),"")</f>
        <v/>
      </c>
      <c r="H451" s="70">
        <f>IFERROR(""&amp;INDEX(tk_FNOTES,MATCH(446,tk_FSEQ,0)),"")</f>
        <v/>
      </c>
    </row>
    <row r="452">
      <c r="A452" s="70">
        <f>IFERROR(""&amp;INDEX(tk_MARK,MATCH(447,tk_FSEQ,0)),"")</f>
        <v/>
      </c>
      <c r="B452" s="70">
        <f>IFERROR(INDEX(tk_QTY,MATCH(447,tk_FSEQ,0)),"")</f>
        <v/>
      </c>
      <c r="C452" s="70">
        <f>IFERROR(INDEX(tk_ROOMF,MATCH(447,tk_FSEQ,0))&amp;IF(INDEX(tk_ROOMT,MATCH(447,tk_FSEQ,0))="",""," → "&amp;INDEX(tk_ROOMT,MATCH(447,tk_FSEQ,0))),"")</f>
        <v/>
      </c>
      <c r="D452" s="70">
        <f>IFERROR(""&amp;INDEX(tk_SIZE,MATCH(447,tk_FSEQ,0)),"")</f>
        <v/>
      </c>
      <c r="E452" s="70">
        <f>IFERROR(""&amp;INDEX(tk_RATING,MATCH(447,tk_FSEQ,0)),"")</f>
        <v/>
      </c>
      <c r="F452" s="70">
        <f>IFERROR(TEXT(INDEX(tk_OAW,MATCH(447,tk_FSEQ,0)),"0.000")&amp;" x "&amp;TEXT(INDEX(tk_OAH,MATCH(447,tk_FSEQ,0)),"0.000"),"")</f>
        <v/>
      </c>
      <c r="G452" s="70">
        <f>IFERROR(""&amp;INDEX(tk_FLINE,MATCH(447,tk_FSEQ,0)),"")</f>
        <v/>
      </c>
      <c r="H452" s="70">
        <f>IFERROR(""&amp;INDEX(tk_FNOTES,MATCH(447,tk_FSEQ,0)),"")</f>
        <v/>
      </c>
    </row>
    <row r="453">
      <c r="A453" s="70">
        <f>IFERROR(""&amp;INDEX(tk_MARK,MATCH(448,tk_FSEQ,0)),"")</f>
        <v/>
      </c>
      <c r="B453" s="70">
        <f>IFERROR(INDEX(tk_QTY,MATCH(448,tk_FSEQ,0)),"")</f>
        <v/>
      </c>
      <c r="C453" s="70">
        <f>IFERROR(INDEX(tk_ROOMF,MATCH(448,tk_FSEQ,0))&amp;IF(INDEX(tk_ROOMT,MATCH(448,tk_FSEQ,0))="",""," → "&amp;INDEX(tk_ROOMT,MATCH(448,tk_FSEQ,0))),"")</f>
        <v/>
      </c>
      <c r="D453" s="70">
        <f>IFERROR(""&amp;INDEX(tk_SIZE,MATCH(448,tk_FSEQ,0)),"")</f>
        <v/>
      </c>
      <c r="E453" s="70">
        <f>IFERROR(""&amp;INDEX(tk_RATING,MATCH(448,tk_FSEQ,0)),"")</f>
        <v/>
      </c>
      <c r="F453" s="70">
        <f>IFERROR(TEXT(INDEX(tk_OAW,MATCH(448,tk_FSEQ,0)),"0.000")&amp;" x "&amp;TEXT(INDEX(tk_OAH,MATCH(448,tk_FSEQ,0)),"0.000"),"")</f>
        <v/>
      </c>
      <c r="G453" s="70">
        <f>IFERROR(""&amp;INDEX(tk_FLINE,MATCH(448,tk_FSEQ,0)),"")</f>
        <v/>
      </c>
      <c r="H453" s="70">
        <f>IFERROR(""&amp;INDEX(tk_FNOTES,MATCH(448,tk_FSEQ,0)),"")</f>
        <v/>
      </c>
    </row>
    <row r="454">
      <c r="A454" s="70">
        <f>IFERROR(""&amp;INDEX(tk_MARK,MATCH(449,tk_FSEQ,0)),"")</f>
        <v/>
      </c>
      <c r="B454" s="70">
        <f>IFERROR(INDEX(tk_QTY,MATCH(449,tk_FSEQ,0)),"")</f>
        <v/>
      </c>
      <c r="C454" s="70">
        <f>IFERROR(INDEX(tk_ROOMF,MATCH(449,tk_FSEQ,0))&amp;IF(INDEX(tk_ROOMT,MATCH(449,tk_FSEQ,0))="",""," → "&amp;INDEX(tk_ROOMT,MATCH(449,tk_FSEQ,0))),"")</f>
        <v/>
      </c>
      <c r="D454" s="70">
        <f>IFERROR(""&amp;INDEX(tk_SIZE,MATCH(449,tk_FSEQ,0)),"")</f>
        <v/>
      </c>
      <c r="E454" s="70">
        <f>IFERROR(""&amp;INDEX(tk_RATING,MATCH(449,tk_FSEQ,0)),"")</f>
        <v/>
      </c>
      <c r="F454" s="70">
        <f>IFERROR(TEXT(INDEX(tk_OAW,MATCH(449,tk_FSEQ,0)),"0.000")&amp;" x "&amp;TEXT(INDEX(tk_OAH,MATCH(449,tk_FSEQ,0)),"0.000"),"")</f>
        <v/>
      </c>
      <c r="G454" s="70">
        <f>IFERROR(""&amp;INDEX(tk_FLINE,MATCH(449,tk_FSEQ,0)),"")</f>
        <v/>
      </c>
      <c r="H454" s="70">
        <f>IFERROR(""&amp;INDEX(tk_FNOTES,MATCH(449,tk_FSEQ,0)),"")</f>
        <v/>
      </c>
    </row>
    <row r="455">
      <c r="A455" s="70">
        <f>IFERROR(""&amp;INDEX(tk_MARK,MATCH(450,tk_FSEQ,0)),"")</f>
        <v/>
      </c>
      <c r="B455" s="70">
        <f>IFERROR(INDEX(tk_QTY,MATCH(450,tk_FSEQ,0)),"")</f>
        <v/>
      </c>
      <c r="C455" s="70">
        <f>IFERROR(INDEX(tk_ROOMF,MATCH(450,tk_FSEQ,0))&amp;IF(INDEX(tk_ROOMT,MATCH(450,tk_FSEQ,0))="",""," → "&amp;INDEX(tk_ROOMT,MATCH(450,tk_FSEQ,0))),"")</f>
        <v/>
      </c>
      <c r="D455" s="70">
        <f>IFERROR(""&amp;INDEX(tk_SIZE,MATCH(450,tk_FSEQ,0)),"")</f>
        <v/>
      </c>
      <c r="E455" s="70">
        <f>IFERROR(""&amp;INDEX(tk_RATING,MATCH(450,tk_FSEQ,0)),"")</f>
        <v/>
      </c>
      <c r="F455" s="70">
        <f>IFERROR(TEXT(INDEX(tk_OAW,MATCH(450,tk_FSEQ,0)),"0.000")&amp;" x "&amp;TEXT(INDEX(tk_OAH,MATCH(450,tk_FSEQ,0)),"0.000"),"")</f>
        <v/>
      </c>
      <c r="G455" s="70">
        <f>IFERROR(""&amp;INDEX(tk_FLINE,MATCH(450,tk_FSEQ,0)),"")</f>
        <v/>
      </c>
      <c r="H455" s="70">
        <f>IFERROR(""&amp;INDEX(tk_FNOTES,MATCH(450,tk_FSEQ,0)),"")</f>
        <v/>
      </c>
    </row>
    <row r="456">
      <c r="A456" s="70">
        <f>IFERROR(""&amp;INDEX(tk_MARK,MATCH(451,tk_FSEQ,0)),"")</f>
        <v/>
      </c>
      <c r="B456" s="70">
        <f>IFERROR(INDEX(tk_QTY,MATCH(451,tk_FSEQ,0)),"")</f>
        <v/>
      </c>
      <c r="C456" s="70">
        <f>IFERROR(INDEX(tk_ROOMF,MATCH(451,tk_FSEQ,0))&amp;IF(INDEX(tk_ROOMT,MATCH(451,tk_FSEQ,0))="",""," → "&amp;INDEX(tk_ROOMT,MATCH(451,tk_FSEQ,0))),"")</f>
        <v/>
      </c>
      <c r="D456" s="70">
        <f>IFERROR(""&amp;INDEX(tk_SIZE,MATCH(451,tk_FSEQ,0)),"")</f>
        <v/>
      </c>
      <c r="E456" s="70">
        <f>IFERROR(""&amp;INDEX(tk_RATING,MATCH(451,tk_FSEQ,0)),"")</f>
        <v/>
      </c>
      <c r="F456" s="70">
        <f>IFERROR(TEXT(INDEX(tk_OAW,MATCH(451,tk_FSEQ,0)),"0.000")&amp;" x "&amp;TEXT(INDEX(tk_OAH,MATCH(451,tk_FSEQ,0)),"0.000"),"")</f>
        <v/>
      </c>
      <c r="G456" s="70">
        <f>IFERROR(""&amp;INDEX(tk_FLINE,MATCH(451,tk_FSEQ,0)),"")</f>
        <v/>
      </c>
      <c r="H456" s="70">
        <f>IFERROR(""&amp;INDEX(tk_FNOTES,MATCH(451,tk_FSEQ,0)),"")</f>
        <v/>
      </c>
    </row>
    <row r="457">
      <c r="A457" s="70">
        <f>IFERROR(""&amp;INDEX(tk_MARK,MATCH(452,tk_FSEQ,0)),"")</f>
        <v/>
      </c>
      <c r="B457" s="70">
        <f>IFERROR(INDEX(tk_QTY,MATCH(452,tk_FSEQ,0)),"")</f>
        <v/>
      </c>
      <c r="C457" s="70">
        <f>IFERROR(INDEX(tk_ROOMF,MATCH(452,tk_FSEQ,0))&amp;IF(INDEX(tk_ROOMT,MATCH(452,tk_FSEQ,0))="",""," → "&amp;INDEX(tk_ROOMT,MATCH(452,tk_FSEQ,0))),"")</f>
        <v/>
      </c>
      <c r="D457" s="70">
        <f>IFERROR(""&amp;INDEX(tk_SIZE,MATCH(452,tk_FSEQ,0)),"")</f>
        <v/>
      </c>
      <c r="E457" s="70">
        <f>IFERROR(""&amp;INDEX(tk_RATING,MATCH(452,tk_FSEQ,0)),"")</f>
        <v/>
      </c>
      <c r="F457" s="70">
        <f>IFERROR(TEXT(INDEX(tk_OAW,MATCH(452,tk_FSEQ,0)),"0.000")&amp;" x "&amp;TEXT(INDEX(tk_OAH,MATCH(452,tk_FSEQ,0)),"0.000"),"")</f>
        <v/>
      </c>
      <c r="G457" s="70">
        <f>IFERROR(""&amp;INDEX(tk_FLINE,MATCH(452,tk_FSEQ,0)),"")</f>
        <v/>
      </c>
      <c r="H457" s="70">
        <f>IFERROR(""&amp;INDEX(tk_FNOTES,MATCH(452,tk_FSEQ,0)),"")</f>
        <v/>
      </c>
    </row>
    <row r="458">
      <c r="A458" s="70">
        <f>IFERROR(""&amp;INDEX(tk_MARK,MATCH(453,tk_FSEQ,0)),"")</f>
        <v/>
      </c>
      <c r="B458" s="70">
        <f>IFERROR(INDEX(tk_QTY,MATCH(453,tk_FSEQ,0)),"")</f>
        <v/>
      </c>
      <c r="C458" s="70">
        <f>IFERROR(INDEX(tk_ROOMF,MATCH(453,tk_FSEQ,0))&amp;IF(INDEX(tk_ROOMT,MATCH(453,tk_FSEQ,0))="",""," → "&amp;INDEX(tk_ROOMT,MATCH(453,tk_FSEQ,0))),"")</f>
        <v/>
      </c>
      <c r="D458" s="70">
        <f>IFERROR(""&amp;INDEX(tk_SIZE,MATCH(453,tk_FSEQ,0)),"")</f>
        <v/>
      </c>
      <c r="E458" s="70">
        <f>IFERROR(""&amp;INDEX(tk_RATING,MATCH(453,tk_FSEQ,0)),"")</f>
        <v/>
      </c>
      <c r="F458" s="70">
        <f>IFERROR(TEXT(INDEX(tk_OAW,MATCH(453,tk_FSEQ,0)),"0.000")&amp;" x "&amp;TEXT(INDEX(tk_OAH,MATCH(453,tk_FSEQ,0)),"0.000"),"")</f>
        <v/>
      </c>
      <c r="G458" s="70">
        <f>IFERROR(""&amp;INDEX(tk_FLINE,MATCH(453,tk_FSEQ,0)),"")</f>
        <v/>
      </c>
      <c r="H458" s="70">
        <f>IFERROR(""&amp;INDEX(tk_FNOTES,MATCH(453,tk_FSEQ,0)),"")</f>
        <v/>
      </c>
    </row>
    <row r="459">
      <c r="A459" s="70">
        <f>IFERROR(""&amp;INDEX(tk_MARK,MATCH(454,tk_FSEQ,0)),"")</f>
        <v/>
      </c>
      <c r="B459" s="70">
        <f>IFERROR(INDEX(tk_QTY,MATCH(454,tk_FSEQ,0)),"")</f>
        <v/>
      </c>
      <c r="C459" s="70">
        <f>IFERROR(INDEX(tk_ROOMF,MATCH(454,tk_FSEQ,0))&amp;IF(INDEX(tk_ROOMT,MATCH(454,tk_FSEQ,0))="",""," → "&amp;INDEX(tk_ROOMT,MATCH(454,tk_FSEQ,0))),"")</f>
        <v/>
      </c>
      <c r="D459" s="70">
        <f>IFERROR(""&amp;INDEX(tk_SIZE,MATCH(454,tk_FSEQ,0)),"")</f>
        <v/>
      </c>
      <c r="E459" s="70">
        <f>IFERROR(""&amp;INDEX(tk_RATING,MATCH(454,tk_FSEQ,0)),"")</f>
        <v/>
      </c>
      <c r="F459" s="70">
        <f>IFERROR(TEXT(INDEX(tk_OAW,MATCH(454,tk_FSEQ,0)),"0.000")&amp;" x "&amp;TEXT(INDEX(tk_OAH,MATCH(454,tk_FSEQ,0)),"0.000"),"")</f>
        <v/>
      </c>
      <c r="G459" s="70">
        <f>IFERROR(""&amp;INDEX(tk_FLINE,MATCH(454,tk_FSEQ,0)),"")</f>
        <v/>
      </c>
      <c r="H459" s="70">
        <f>IFERROR(""&amp;INDEX(tk_FNOTES,MATCH(454,tk_FSEQ,0)),"")</f>
        <v/>
      </c>
    </row>
    <row r="460">
      <c r="A460" s="70">
        <f>IFERROR(""&amp;INDEX(tk_MARK,MATCH(455,tk_FSEQ,0)),"")</f>
        <v/>
      </c>
      <c r="B460" s="70">
        <f>IFERROR(INDEX(tk_QTY,MATCH(455,tk_FSEQ,0)),"")</f>
        <v/>
      </c>
      <c r="C460" s="70">
        <f>IFERROR(INDEX(tk_ROOMF,MATCH(455,tk_FSEQ,0))&amp;IF(INDEX(tk_ROOMT,MATCH(455,tk_FSEQ,0))="",""," → "&amp;INDEX(tk_ROOMT,MATCH(455,tk_FSEQ,0))),"")</f>
        <v/>
      </c>
      <c r="D460" s="70">
        <f>IFERROR(""&amp;INDEX(tk_SIZE,MATCH(455,tk_FSEQ,0)),"")</f>
        <v/>
      </c>
      <c r="E460" s="70">
        <f>IFERROR(""&amp;INDEX(tk_RATING,MATCH(455,tk_FSEQ,0)),"")</f>
        <v/>
      </c>
      <c r="F460" s="70">
        <f>IFERROR(TEXT(INDEX(tk_OAW,MATCH(455,tk_FSEQ,0)),"0.000")&amp;" x "&amp;TEXT(INDEX(tk_OAH,MATCH(455,tk_FSEQ,0)),"0.000"),"")</f>
        <v/>
      </c>
      <c r="G460" s="70">
        <f>IFERROR(""&amp;INDEX(tk_FLINE,MATCH(455,tk_FSEQ,0)),"")</f>
        <v/>
      </c>
      <c r="H460" s="70">
        <f>IFERROR(""&amp;INDEX(tk_FNOTES,MATCH(455,tk_FSEQ,0)),"")</f>
        <v/>
      </c>
    </row>
    <row r="461">
      <c r="A461" s="70">
        <f>IFERROR(""&amp;INDEX(tk_MARK,MATCH(456,tk_FSEQ,0)),"")</f>
        <v/>
      </c>
      <c r="B461" s="70">
        <f>IFERROR(INDEX(tk_QTY,MATCH(456,tk_FSEQ,0)),"")</f>
        <v/>
      </c>
      <c r="C461" s="70">
        <f>IFERROR(INDEX(tk_ROOMF,MATCH(456,tk_FSEQ,0))&amp;IF(INDEX(tk_ROOMT,MATCH(456,tk_FSEQ,0))="",""," → "&amp;INDEX(tk_ROOMT,MATCH(456,tk_FSEQ,0))),"")</f>
        <v/>
      </c>
      <c r="D461" s="70">
        <f>IFERROR(""&amp;INDEX(tk_SIZE,MATCH(456,tk_FSEQ,0)),"")</f>
        <v/>
      </c>
      <c r="E461" s="70">
        <f>IFERROR(""&amp;INDEX(tk_RATING,MATCH(456,tk_FSEQ,0)),"")</f>
        <v/>
      </c>
      <c r="F461" s="70">
        <f>IFERROR(TEXT(INDEX(tk_OAW,MATCH(456,tk_FSEQ,0)),"0.000")&amp;" x "&amp;TEXT(INDEX(tk_OAH,MATCH(456,tk_FSEQ,0)),"0.000"),"")</f>
        <v/>
      </c>
      <c r="G461" s="70">
        <f>IFERROR(""&amp;INDEX(tk_FLINE,MATCH(456,tk_FSEQ,0)),"")</f>
        <v/>
      </c>
      <c r="H461" s="70">
        <f>IFERROR(""&amp;INDEX(tk_FNOTES,MATCH(456,tk_FSEQ,0)),"")</f>
        <v/>
      </c>
    </row>
    <row r="462">
      <c r="A462" s="70">
        <f>IFERROR(""&amp;INDEX(tk_MARK,MATCH(457,tk_FSEQ,0)),"")</f>
        <v/>
      </c>
      <c r="B462" s="70">
        <f>IFERROR(INDEX(tk_QTY,MATCH(457,tk_FSEQ,0)),"")</f>
        <v/>
      </c>
      <c r="C462" s="70">
        <f>IFERROR(INDEX(tk_ROOMF,MATCH(457,tk_FSEQ,0))&amp;IF(INDEX(tk_ROOMT,MATCH(457,tk_FSEQ,0))="",""," → "&amp;INDEX(tk_ROOMT,MATCH(457,tk_FSEQ,0))),"")</f>
        <v/>
      </c>
      <c r="D462" s="70">
        <f>IFERROR(""&amp;INDEX(tk_SIZE,MATCH(457,tk_FSEQ,0)),"")</f>
        <v/>
      </c>
      <c r="E462" s="70">
        <f>IFERROR(""&amp;INDEX(tk_RATING,MATCH(457,tk_FSEQ,0)),"")</f>
        <v/>
      </c>
      <c r="F462" s="70">
        <f>IFERROR(TEXT(INDEX(tk_OAW,MATCH(457,tk_FSEQ,0)),"0.000")&amp;" x "&amp;TEXT(INDEX(tk_OAH,MATCH(457,tk_FSEQ,0)),"0.000"),"")</f>
        <v/>
      </c>
      <c r="G462" s="70">
        <f>IFERROR(""&amp;INDEX(tk_FLINE,MATCH(457,tk_FSEQ,0)),"")</f>
        <v/>
      </c>
      <c r="H462" s="70">
        <f>IFERROR(""&amp;INDEX(tk_FNOTES,MATCH(457,tk_FSEQ,0)),"")</f>
        <v/>
      </c>
    </row>
    <row r="463">
      <c r="A463" s="70">
        <f>IFERROR(""&amp;INDEX(tk_MARK,MATCH(458,tk_FSEQ,0)),"")</f>
        <v/>
      </c>
      <c r="B463" s="70">
        <f>IFERROR(INDEX(tk_QTY,MATCH(458,tk_FSEQ,0)),"")</f>
        <v/>
      </c>
      <c r="C463" s="70">
        <f>IFERROR(INDEX(tk_ROOMF,MATCH(458,tk_FSEQ,0))&amp;IF(INDEX(tk_ROOMT,MATCH(458,tk_FSEQ,0))="",""," → "&amp;INDEX(tk_ROOMT,MATCH(458,tk_FSEQ,0))),"")</f>
        <v/>
      </c>
      <c r="D463" s="70">
        <f>IFERROR(""&amp;INDEX(tk_SIZE,MATCH(458,tk_FSEQ,0)),"")</f>
        <v/>
      </c>
      <c r="E463" s="70">
        <f>IFERROR(""&amp;INDEX(tk_RATING,MATCH(458,tk_FSEQ,0)),"")</f>
        <v/>
      </c>
      <c r="F463" s="70">
        <f>IFERROR(TEXT(INDEX(tk_OAW,MATCH(458,tk_FSEQ,0)),"0.000")&amp;" x "&amp;TEXT(INDEX(tk_OAH,MATCH(458,tk_FSEQ,0)),"0.000"),"")</f>
        <v/>
      </c>
      <c r="G463" s="70">
        <f>IFERROR(""&amp;INDEX(tk_FLINE,MATCH(458,tk_FSEQ,0)),"")</f>
        <v/>
      </c>
      <c r="H463" s="70">
        <f>IFERROR(""&amp;INDEX(tk_FNOTES,MATCH(458,tk_FSEQ,0)),"")</f>
        <v/>
      </c>
    </row>
    <row r="464">
      <c r="A464" s="70">
        <f>IFERROR(""&amp;INDEX(tk_MARK,MATCH(459,tk_FSEQ,0)),"")</f>
        <v/>
      </c>
      <c r="B464" s="70">
        <f>IFERROR(INDEX(tk_QTY,MATCH(459,tk_FSEQ,0)),"")</f>
        <v/>
      </c>
      <c r="C464" s="70">
        <f>IFERROR(INDEX(tk_ROOMF,MATCH(459,tk_FSEQ,0))&amp;IF(INDEX(tk_ROOMT,MATCH(459,tk_FSEQ,0))="",""," → "&amp;INDEX(tk_ROOMT,MATCH(459,tk_FSEQ,0))),"")</f>
        <v/>
      </c>
      <c r="D464" s="70">
        <f>IFERROR(""&amp;INDEX(tk_SIZE,MATCH(459,tk_FSEQ,0)),"")</f>
        <v/>
      </c>
      <c r="E464" s="70">
        <f>IFERROR(""&amp;INDEX(tk_RATING,MATCH(459,tk_FSEQ,0)),"")</f>
        <v/>
      </c>
      <c r="F464" s="70">
        <f>IFERROR(TEXT(INDEX(tk_OAW,MATCH(459,tk_FSEQ,0)),"0.000")&amp;" x "&amp;TEXT(INDEX(tk_OAH,MATCH(459,tk_FSEQ,0)),"0.000"),"")</f>
        <v/>
      </c>
      <c r="G464" s="70">
        <f>IFERROR(""&amp;INDEX(tk_FLINE,MATCH(459,tk_FSEQ,0)),"")</f>
        <v/>
      </c>
      <c r="H464" s="70">
        <f>IFERROR(""&amp;INDEX(tk_FNOTES,MATCH(459,tk_FSEQ,0)),"")</f>
        <v/>
      </c>
    </row>
    <row r="465">
      <c r="A465" s="70">
        <f>IFERROR(""&amp;INDEX(tk_MARK,MATCH(460,tk_FSEQ,0)),"")</f>
        <v/>
      </c>
      <c r="B465" s="70">
        <f>IFERROR(INDEX(tk_QTY,MATCH(460,tk_FSEQ,0)),"")</f>
        <v/>
      </c>
      <c r="C465" s="70">
        <f>IFERROR(INDEX(tk_ROOMF,MATCH(460,tk_FSEQ,0))&amp;IF(INDEX(tk_ROOMT,MATCH(460,tk_FSEQ,0))="",""," → "&amp;INDEX(tk_ROOMT,MATCH(460,tk_FSEQ,0))),"")</f>
        <v/>
      </c>
      <c r="D465" s="70">
        <f>IFERROR(""&amp;INDEX(tk_SIZE,MATCH(460,tk_FSEQ,0)),"")</f>
        <v/>
      </c>
      <c r="E465" s="70">
        <f>IFERROR(""&amp;INDEX(tk_RATING,MATCH(460,tk_FSEQ,0)),"")</f>
        <v/>
      </c>
      <c r="F465" s="70">
        <f>IFERROR(TEXT(INDEX(tk_OAW,MATCH(460,tk_FSEQ,0)),"0.000")&amp;" x "&amp;TEXT(INDEX(tk_OAH,MATCH(460,tk_FSEQ,0)),"0.000"),"")</f>
        <v/>
      </c>
      <c r="G465" s="70">
        <f>IFERROR(""&amp;INDEX(tk_FLINE,MATCH(460,tk_FSEQ,0)),"")</f>
        <v/>
      </c>
      <c r="H465" s="70">
        <f>IFERROR(""&amp;INDEX(tk_FNOTES,MATCH(460,tk_FSEQ,0)),"")</f>
        <v/>
      </c>
    </row>
    <row r="466">
      <c r="A466" s="70">
        <f>IFERROR(""&amp;INDEX(tk_MARK,MATCH(461,tk_FSEQ,0)),"")</f>
        <v/>
      </c>
      <c r="B466" s="70">
        <f>IFERROR(INDEX(tk_QTY,MATCH(461,tk_FSEQ,0)),"")</f>
        <v/>
      </c>
      <c r="C466" s="70">
        <f>IFERROR(INDEX(tk_ROOMF,MATCH(461,tk_FSEQ,0))&amp;IF(INDEX(tk_ROOMT,MATCH(461,tk_FSEQ,0))="",""," → "&amp;INDEX(tk_ROOMT,MATCH(461,tk_FSEQ,0))),"")</f>
        <v/>
      </c>
      <c r="D466" s="70">
        <f>IFERROR(""&amp;INDEX(tk_SIZE,MATCH(461,tk_FSEQ,0)),"")</f>
        <v/>
      </c>
      <c r="E466" s="70">
        <f>IFERROR(""&amp;INDEX(tk_RATING,MATCH(461,tk_FSEQ,0)),"")</f>
        <v/>
      </c>
      <c r="F466" s="70">
        <f>IFERROR(TEXT(INDEX(tk_OAW,MATCH(461,tk_FSEQ,0)),"0.000")&amp;" x "&amp;TEXT(INDEX(tk_OAH,MATCH(461,tk_FSEQ,0)),"0.000"),"")</f>
        <v/>
      </c>
      <c r="G466" s="70">
        <f>IFERROR(""&amp;INDEX(tk_FLINE,MATCH(461,tk_FSEQ,0)),"")</f>
        <v/>
      </c>
      <c r="H466" s="70">
        <f>IFERROR(""&amp;INDEX(tk_FNOTES,MATCH(461,tk_FSEQ,0)),"")</f>
        <v/>
      </c>
    </row>
    <row r="467">
      <c r="A467" s="70">
        <f>IFERROR(""&amp;INDEX(tk_MARK,MATCH(462,tk_FSEQ,0)),"")</f>
        <v/>
      </c>
      <c r="B467" s="70">
        <f>IFERROR(INDEX(tk_QTY,MATCH(462,tk_FSEQ,0)),"")</f>
        <v/>
      </c>
      <c r="C467" s="70">
        <f>IFERROR(INDEX(tk_ROOMF,MATCH(462,tk_FSEQ,0))&amp;IF(INDEX(tk_ROOMT,MATCH(462,tk_FSEQ,0))="",""," → "&amp;INDEX(tk_ROOMT,MATCH(462,tk_FSEQ,0))),"")</f>
        <v/>
      </c>
      <c r="D467" s="70">
        <f>IFERROR(""&amp;INDEX(tk_SIZE,MATCH(462,tk_FSEQ,0)),"")</f>
        <v/>
      </c>
      <c r="E467" s="70">
        <f>IFERROR(""&amp;INDEX(tk_RATING,MATCH(462,tk_FSEQ,0)),"")</f>
        <v/>
      </c>
      <c r="F467" s="70">
        <f>IFERROR(TEXT(INDEX(tk_OAW,MATCH(462,tk_FSEQ,0)),"0.000")&amp;" x "&amp;TEXT(INDEX(tk_OAH,MATCH(462,tk_FSEQ,0)),"0.000"),"")</f>
        <v/>
      </c>
      <c r="G467" s="70">
        <f>IFERROR(""&amp;INDEX(tk_FLINE,MATCH(462,tk_FSEQ,0)),"")</f>
        <v/>
      </c>
      <c r="H467" s="70">
        <f>IFERROR(""&amp;INDEX(tk_FNOTES,MATCH(462,tk_FSEQ,0)),"")</f>
        <v/>
      </c>
    </row>
    <row r="468">
      <c r="A468" s="70">
        <f>IFERROR(""&amp;INDEX(tk_MARK,MATCH(463,tk_FSEQ,0)),"")</f>
        <v/>
      </c>
      <c r="B468" s="70">
        <f>IFERROR(INDEX(tk_QTY,MATCH(463,tk_FSEQ,0)),"")</f>
        <v/>
      </c>
      <c r="C468" s="70">
        <f>IFERROR(INDEX(tk_ROOMF,MATCH(463,tk_FSEQ,0))&amp;IF(INDEX(tk_ROOMT,MATCH(463,tk_FSEQ,0))="",""," → "&amp;INDEX(tk_ROOMT,MATCH(463,tk_FSEQ,0))),"")</f>
        <v/>
      </c>
      <c r="D468" s="70">
        <f>IFERROR(""&amp;INDEX(tk_SIZE,MATCH(463,tk_FSEQ,0)),"")</f>
        <v/>
      </c>
      <c r="E468" s="70">
        <f>IFERROR(""&amp;INDEX(tk_RATING,MATCH(463,tk_FSEQ,0)),"")</f>
        <v/>
      </c>
      <c r="F468" s="70">
        <f>IFERROR(TEXT(INDEX(tk_OAW,MATCH(463,tk_FSEQ,0)),"0.000")&amp;" x "&amp;TEXT(INDEX(tk_OAH,MATCH(463,tk_FSEQ,0)),"0.000"),"")</f>
        <v/>
      </c>
      <c r="G468" s="70">
        <f>IFERROR(""&amp;INDEX(tk_FLINE,MATCH(463,tk_FSEQ,0)),"")</f>
        <v/>
      </c>
      <c r="H468" s="70">
        <f>IFERROR(""&amp;INDEX(tk_FNOTES,MATCH(463,tk_FSEQ,0)),"")</f>
        <v/>
      </c>
    </row>
    <row r="469">
      <c r="A469" s="70">
        <f>IFERROR(""&amp;INDEX(tk_MARK,MATCH(464,tk_FSEQ,0)),"")</f>
        <v/>
      </c>
      <c r="B469" s="70">
        <f>IFERROR(INDEX(tk_QTY,MATCH(464,tk_FSEQ,0)),"")</f>
        <v/>
      </c>
      <c r="C469" s="70">
        <f>IFERROR(INDEX(tk_ROOMF,MATCH(464,tk_FSEQ,0))&amp;IF(INDEX(tk_ROOMT,MATCH(464,tk_FSEQ,0))="",""," → "&amp;INDEX(tk_ROOMT,MATCH(464,tk_FSEQ,0))),"")</f>
        <v/>
      </c>
      <c r="D469" s="70">
        <f>IFERROR(""&amp;INDEX(tk_SIZE,MATCH(464,tk_FSEQ,0)),"")</f>
        <v/>
      </c>
      <c r="E469" s="70">
        <f>IFERROR(""&amp;INDEX(tk_RATING,MATCH(464,tk_FSEQ,0)),"")</f>
        <v/>
      </c>
      <c r="F469" s="70">
        <f>IFERROR(TEXT(INDEX(tk_OAW,MATCH(464,tk_FSEQ,0)),"0.000")&amp;" x "&amp;TEXT(INDEX(tk_OAH,MATCH(464,tk_FSEQ,0)),"0.000"),"")</f>
        <v/>
      </c>
      <c r="G469" s="70">
        <f>IFERROR(""&amp;INDEX(tk_FLINE,MATCH(464,tk_FSEQ,0)),"")</f>
        <v/>
      </c>
      <c r="H469" s="70">
        <f>IFERROR(""&amp;INDEX(tk_FNOTES,MATCH(464,tk_FSEQ,0)),"")</f>
        <v/>
      </c>
    </row>
    <row r="470">
      <c r="A470" s="70">
        <f>IFERROR(""&amp;INDEX(tk_MARK,MATCH(465,tk_FSEQ,0)),"")</f>
        <v/>
      </c>
      <c r="B470" s="70">
        <f>IFERROR(INDEX(tk_QTY,MATCH(465,tk_FSEQ,0)),"")</f>
        <v/>
      </c>
      <c r="C470" s="70">
        <f>IFERROR(INDEX(tk_ROOMF,MATCH(465,tk_FSEQ,0))&amp;IF(INDEX(tk_ROOMT,MATCH(465,tk_FSEQ,0))="",""," → "&amp;INDEX(tk_ROOMT,MATCH(465,tk_FSEQ,0))),"")</f>
        <v/>
      </c>
      <c r="D470" s="70">
        <f>IFERROR(""&amp;INDEX(tk_SIZE,MATCH(465,tk_FSEQ,0)),"")</f>
        <v/>
      </c>
      <c r="E470" s="70">
        <f>IFERROR(""&amp;INDEX(tk_RATING,MATCH(465,tk_FSEQ,0)),"")</f>
        <v/>
      </c>
      <c r="F470" s="70">
        <f>IFERROR(TEXT(INDEX(tk_OAW,MATCH(465,tk_FSEQ,0)),"0.000")&amp;" x "&amp;TEXT(INDEX(tk_OAH,MATCH(465,tk_FSEQ,0)),"0.000"),"")</f>
        <v/>
      </c>
      <c r="G470" s="70">
        <f>IFERROR(""&amp;INDEX(tk_FLINE,MATCH(465,tk_FSEQ,0)),"")</f>
        <v/>
      </c>
      <c r="H470" s="70">
        <f>IFERROR(""&amp;INDEX(tk_FNOTES,MATCH(465,tk_FSEQ,0)),"")</f>
        <v/>
      </c>
    </row>
    <row r="471">
      <c r="A471" s="70">
        <f>IFERROR(""&amp;INDEX(tk_MARK,MATCH(466,tk_FSEQ,0)),"")</f>
        <v/>
      </c>
      <c r="B471" s="70">
        <f>IFERROR(INDEX(tk_QTY,MATCH(466,tk_FSEQ,0)),"")</f>
        <v/>
      </c>
      <c r="C471" s="70">
        <f>IFERROR(INDEX(tk_ROOMF,MATCH(466,tk_FSEQ,0))&amp;IF(INDEX(tk_ROOMT,MATCH(466,tk_FSEQ,0))="",""," → "&amp;INDEX(tk_ROOMT,MATCH(466,tk_FSEQ,0))),"")</f>
        <v/>
      </c>
      <c r="D471" s="70">
        <f>IFERROR(""&amp;INDEX(tk_SIZE,MATCH(466,tk_FSEQ,0)),"")</f>
        <v/>
      </c>
      <c r="E471" s="70">
        <f>IFERROR(""&amp;INDEX(tk_RATING,MATCH(466,tk_FSEQ,0)),"")</f>
        <v/>
      </c>
      <c r="F471" s="70">
        <f>IFERROR(TEXT(INDEX(tk_OAW,MATCH(466,tk_FSEQ,0)),"0.000")&amp;" x "&amp;TEXT(INDEX(tk_OAH,MATCH(466,tk_FSEQ,0)),"0.000"),"")</f>
        <v/>
      </c>
      <c r="G471" s="70">
        <f>IFERROR(""&amp;INDEX(tk_FLINE,MATCH(466,tk_FSEQ,0)),"")</f>
        <v/>
      </c>
      <c r="H471" s="70">
        <f>IFERROR(""&amp;INDEX(tk_FNOTES,MATCH(466,tk_FSEQ,0)),"")</f>
        <v/>
      </c>
    </row>
    <row r="472">
      <c r="A472" s="70">
        <f>IFERROR(""&amp;INDEX(tk_MARK,MATCH(467,tk_FSEQ,0)),"")</f>
        <v/>
      </c>
      <c r="B472" s="70">
        <f>IFERROR(INDEX(tk_QTY,MATCH(467,tk_FSEQ,0)),"")</f>
        <v/>
      </c>
      <c r="C472" s="70">
        <f>IFERROR(INDEX(tk_ROOMF,MATCH(467,tk_FSEQ,0))&amp;IF(INDEX(tk_ROOMT,MATCH(467,tk_FSEQ,0))="",""," → "&amp;INDEX(tk_ROOMT,MATCH(467,tk_FSEQ,0))),"")</f>
        <v/>
      </c>
      <c r="D472" s="70">
        <f>IFERROR(""&amp;INDEX(tk_SIZE,MATCH(467,tk_FSEQ,0)),"")</f>
        <v/>
      </c>
      <c r="E472" s="70">
        <f>IFERROR(""&amp;INDEX(tk_RATING,MATCH(467,tk_FSEQ,0)),"")</f>
        <v/>
      </c>
      <c r="F472" s="70">
        <f>IFERROR(TEXT(INDEX(tk_OAW,MATCH(467,tk_FSEQ,0)),"0.000")&amp;" x "&amp;TEXT(INDEX(tk_OAH,MATCH(467,tk_FSEQ,0)),"0.000"),"")</f>
        <v/>
      </c>
      <c r="G472" s="70">
        <f>IFERROR(""&amp;INDEX(tk_FLINE,MATCH(467,tk_FSEQ,0)),"")</f>
        <v/>
      </c>
      <c r="H472" s="70">
        <f>IFERROR(""&amp;INDEX(tk_FNOTES,MATCH(467,tk_FSEQ,0)),"")</f>
        <v/>
      </c>
    </row>
    <row r="473">
      <c r="A473" s="70">
        <f>IFERROR(""&amp;INDEX(tk_MARK,MATCH(468,tk_FSEQ,0)),"")</f>
        <v/>
      </c>
      <c r="B473" s="70">
        <f>IFERROR(INDEX(tk_QTY,MATCH(468,tk_FSEQ,0)),"")</f>
        <v/>
      </c>
      <c r="C473" s="70">
        <f>IFERROR(INDEX(tk_ROOMF,MATCH(468,tk_FSEQ,0))&amp;IF(INDEX(tk_ROOMT,MATCH(468,tk_FSEQ,0))="",""," → "&amp;INDEX(tk_ROOMT,MATCH(468,tk_FSEQ,0))),"")</f>
        <v/>
      </c>
      <c r="D473" s="70">
        <f>IFERROR(""&amp;INDEX(tk_SIZE,MATCH(468,tk_FSEQ,0)),"")</f>
        <v/>
      </c>
      <c r="E473" s="70">
        <f>IFERROR(""&amp;INDEX(tk_RATING,MATCH(468,tk_FSEQ,0)),"")</f>
        <v/>
      </c>
      <c r="F473" s="70">
        <f>IFERROR(TEXT(INDEX(tk_OAW,MATCH(468,tk_FSEQ,0)),"0.000")&amp;" x "&amp;TEXT(INDEX(tk_OAH,MATCH(468,tk_FSEQ,0)),"0.000"),"")</f>
        <v/>
      </c>
      <c r="G473" s="70">
        <f>IFERROR(""&amp;INDEX(tk_FLINE,MATCH(468,tk_FSEQ,0)),"")</f>
        <v/>
      </c>
      <c r="H473" s="70">
        <f>IFERROR(""&amp;INDEX(tk_FNOTES,MATCH(468,tk_FSEQ,0)),"")</f>
        <v/>
      </c>
    </row>
    <row r="474">
      <c r="A474" s="70">
        <f>IFERROR(""&amp;INDEX(tk_MARK,MATCH(469,tk_FSEQ,0)),"")</f>
        <v/>
      </c>
      <c r="B474" s="70">
        <f>IFERROR(INDEX(tk_QTY,MATCH(469,tk_FSEQ,0)),"")</f>
        <v/>
      </c>
      <c r="C474" s="70">
        <f>IFERROR(INDEX(tk_ROOMF,MATCH(469,tk_FSEQ,0))&amp;IF(INDEX(tk_ROOMT,MATCH(469,tk_FSEQ,0))="",""," → "&amp;INDEX(tk_ROOMT,MATCH(469,tk_FSEQ,0))),"")</f>
        <v/>
      </c>
      <c r="D474" s="70">
        <f>IFERROR(""&amp;INDEX(tk_SIZE,MATCH(469,tk_FSEQ,0)),"")</f>
        <v/>
      </c>
      <c r="E474" s="70">
        <f>IFERROR(""&amp;INDEX(tk_RATING,MATCH(469,tk_FSEQ,0)),"")</f>
        <v/>
      </c>
      <c r="F474" s="70">
        <f>IFERROR(TEXT(INDEX(tk_OAW,MATCH(469,tk_FSEQ,0)),"0.000")&amp;" x "&amp;TEXT(INDEX(tk_OAH,MATCH(469,tk_FSEQ,0)),"0.000"),"")</f>
        <v/>
      </c>
      <c r="G474" s="70">
        <f>IFERROR(""&amp;INDEX(tk_FLINE,MATCH(469,tk_FSEQ,0)),"")</f>
        <v/>
      </c>
      <c r="H474" s="70">
        <f>IFERROR(""&amp;INDEX(tk_FNOTES,MATCH(469,tk_FSEQ,0)),"")</f>
        <v/>
      </c>
    </row>
    <row r="475">
      <c r="A475" s="70">
        <f>IFERROR(""&amp;INDEX(tk_MARK,MATCH(470,tk_FSEQ,0)),"")</f>
        <v/>
      </c>
      <c r="B475" s="70">
        <f>IFERROR(INDEX(tk_QTY,MATCH(470,tk_FSEQ,0)),"")</f>
        <v/>
      </c>
      <c r="C475" s="70">
        <f>IFERROR(INDEX(tk_ROOMF,MATCH(470,tk_FSEQ,0))&amp;IF(INDEX(tk_ROOMT,MATCH(470,tk_FSEQ,0))="",""," → "&amp;INDEX(tk_ROOMT,MATCH(470,tk_FSEQ,0))),"")</f>
        <v/>
      </c>
      <c r="D475" s="70">
        <f>IFERROR(""&amp;INDEX(tk_SIZE,MATCH(470,tk_FSEQ,0)),"")</f>
        <v/>
      </c>
      <c r="E475" s="70">
        <f>IFERROR(""&amp;INDEX(tk_RATING,MATCH(470,tk_FSEQ,0)),"")</f>
        <v/>
      </c>
      <c r="F475" s="70">
        <f>IFERROR(TEXT(INDEX(tk_OAW,MATCH(470,tk_FSEQ,0)),"0.000")&amp;" x "&amp;TEXT(INDEX(tk_OAH,MATCH(470,tk_FSEQ,0)),"0.000"),"")</f>
        <v/>
      </c>
      <c r="G475" s="70">
        <f>IFERROR(""&amp;INDEX(tk_FLINE,MATCH(470,tk_FSEQ,0)),"")</f>
        <v/>
      </c>
      <c r="H475" s="70">
        <f>IFERROR(""&amp;INDEX(tk_FNOTES,MATCH(470,tk_FSEQ,0)),"")</f>
        <v/>
      </c>
    </row>
    <row r="476">
      <c r="A476" s="70">
        <f>IFERROR(""&amp;INDEX(tk_MARK,MATCH(471,tk_FSEQ,0)),"")</f>
        <v/>
      </c>
      <c r="B476" s="70">
        <f>IFERROR(INDEX(tk_QTY,MATCH(471,tk_FSEQ,0)),"")</f>
        <v/>
      </c>
      <c r="C476" s="70">
        <f>IFERROR(INDEX(tk_ROOMF,MATCH(471,tk_FSEQ,0))&amp;IF(INDEX(tk_ROOMT,MATCH(471,tk_FSEQ,0))="",""," → "&amp;INDEX(tk_ROOMT,MATCH(471,tk_FSEQ,0))),"")</f>
        <v/>
      </c>
      <c r="D476" s="70">
        <f>IFERROR(""&amp;INDEX(tk_SIZE,MATCH(471,tk_FSEQ,0)),"")</f>
        <v/>
      </c>
      <c r="E476" s="70">
        <f>IFERROR(""&amp;INDEX(tk_RATING,MATCH(471,tk_FSEQ,0)),"")</f>
        <v/>
      </c>
      <c r="F476" s="70">
        <f>IFERROR(TEXT(INDEX(tk_OAW,MATCH(471,tk_FSEQ,0)),"0.000")&amp;" x "&amp;TEXT(INDEX(tk_OAH,MATCH(471,tk_FSEQ,0)),"0.000"),"")</f>
        <v/>
      </c>
      <c r="G476" s="70">
        <f>IFERROR(""&amp;INDEX(tk_FLINE,MATCH(471,tk_FSEQ,0)),"")</f>
        <v/>
      </c>
      <c r="H476" s="70">
        <f>IFERROR(""&amp;INDEX(tk_FNOTES,MATCH(471,tk_FSEQ,0)),"")</f>
        <v/>
      </c>
    </row>
    <row r="477">
      <c r="A477" s="70">
        <f>IFERROR(""&amp;INDEX(tk_MARK,MATCH(472,tk_FSEQ,0)),"")</f>
        <v/>
      </c>
      <c r="B477" s="70">
        <f>IFERROR(INDEX(tk_QTY,MATCH(472,tk_FSEQ,0)),"")</f>
        <v/>
      </c>
      <c r="C477" s="70">
        <f>IFERROR(INDEX(tk_ROOMF,MATCH(472,tk_FSEQ,0))&amp;IF(INDEX(tk_ROOMT,MATCH(472,tk_FSEQ,0))="",""," → "&amp;INDEX(tk_ROOMT,MATCH(472,tk_FSEQ,0))),"")</f>
        <v/>
      </c>
      <c r="D477" s="70">
        <f>IFERROR(""&amp;INDEX(tk_SIZE,MATCH(472,tk_FSEQ,0)),"")</f>
        <v/>
      </c>
      <c r="E477" s="70">
        <f>IFERROR(""&amp;INDEX(tk_RATING,MATCH(472,tk_FSEQ,0)),"")</f>
        <v/>
      </c>
      <c r="F477" s="70">
        <f>IFERROR(TEXT(INDEX(tk_OAW,MATCH(472,tk_FSEQ,0)),"0.000")&amp;" x "&amp;TEXT(INDEX(tk_OAH,MATCH(472,tk_FSEQ,0)),"0.000"),"")</f>
        <v/>
      </c>
      <c r="G477" s="70">
        <f>IFERROR(""&amp;INDEX(tk_FLINE,MATCH(472,tk_FSEQ,0)),"")</f>
        <v/>
      </c>
      <c r="H477" s="70">
        <f>IFERROR(""&amp;INDEX(tk_FNOTES,MATCH(472,tk_FSEQ,0)),"")</f>
        <v/>
      </c>
    </row>
    <row r="478">
      <c r="A478" s="70">
        <f>IFERROR(""&amp;INDEX(tk_MARK,MATCH(473,tk_FSEQ,0)),"")</f>
        <v/>
      </c>
      <c r="B478" s="70">
        <f>IFERROR(INDEX(tk_QTY,MATCH(473,tk_FSEQ,0)),"")</f>
        <v/>
      </c>
      <c r="C478" s="70">
        <f>IFERROR(INDEX(tk_ROOMF,MATCH(473,tk_FSEQ,0))&amp;IF(INDEX(tk_ROOMT,MATCH(473,tk_FSEQ,0))="",""," → "&amp;INDEX(tk_ROOMT,MATCH(473,tk_FSEQ,0))),"")</f>
        <v/>
      </c>
      <c r="D478" s="70">
        <f>IFERROR(""&amp;INDEX(tk_SIZE,MATCH(473,tk_FSEQ,0)),"")</f>
        <v/>
      </c>
      <c r="E478" s="70">
        <f>IFERROR(""&amp;INDEX(tk_RATING,MATCH(473,tk_FSEQ,0)),"")</f>
        <v/>
      </c>
      <c r="F478" s="70">
        <f>IFERROR(TEXT(INDEX(tk_OAW,MATCH(473,tk_FSEQ,0)),"0.000")&amp;" x "&amp;TEXT(INDEX(tk_OAH,MATCH(473,tk_FSEQ,0)),"0.000"),"")</f>
        <v/>
      </c>
      <c r="G478" s="70">
        <f>IFERROR(""&amp;INDEX(tk_FLINE,MATCH(473,tk_FSEQ,0)),"")</f>
        <v/>
      </c>
      <c r="H478" s="70">
        <f>IFERROR(""&amp;INDEX(tk_FNOTES,MATCH(473,tk_FSEQ,0)),"")</f>
        <v/>
      </c>
    </row>
    <row r="479">
      <c r="A479" s="70">
        <f>IFERROR(""&amp;INDEX(tk_MARK,MATCH(474,tk_FSEQ,0)),"")</f>
        <v/>
      </c>
      <c r="B479" s="70">
        <f>IFERROR(INDEX(tk_QTY,MATCH(474,tk_FSEQ,0)),"")</f>
        <v/>
      </c>
      <c r="C479" s="70">
        <f>IFERROR(INDEX(tk_ROOMF,MATCH(474,tk_FSEQ,0))&amp;IF(INDEX(tk_ROOMT,MATCH(474,tk_FSEQ,0))="",""," → "&amp;INDEX(tk_ROOMT,MATCH(474,tk_FSEQ,0))),"")</f>
        <v/>
      </c>
      <c r="D479" s="70">
        <f>IFERROR(""&amp;INDEX(tk_SIZE,MATCH(474,tk_FSEQ,0)),"")</f>
        <v/>
      </c>
      <c r="E479" s="70">
        <f>IFERROR(""&amp;INDEX(tk_RATING,MATCH(474,tk_FSEQ,0)),"")</f>
        <v/>
      </c>
      <c r="F479" s="70">
        <f>IFERROR(TEXT(INDEX(tk_OAW,MATCH(474,tk_FSEQ,0)),"0.000")&amp;" x "&amp;TEXT(INDEX(tk_OAH,MATCH(474,tk_FSEQ,0)),"0.000"),"")</f>
        <v/>
      </c>
      <c r="G479" s="70">
        <f>IFERROR(""&amp;INDEX(tk_FLINE,MATCH(474,tk_FSEQ,0)),"")</f>
        <v/>
      </c>
      <c r="H479" s="70">
        <f>IFERROR(""&amp;INDEX(tk_FNOTES,MATCH(474,tk_FSEQ,0)),"")</f>
        <v/>
      </c>
    </row>
    <row r="480">
      <c r="A480" s="70">
        <f>IFERROR(""&amp;INDEX(tk_MARK,MATCH(475,tk_FSEQ,0)),"")</f>
        <v/>
      </c>
      <c r="B480" s="70">
        <f>IFERROR(INDEX(tk_QTY,MATCH(475,tk_FSEQ,0)),"")</f>
        <v/>
      </c>
      <c r="C480" s="70">
        <f>IFERROR(INDEX(tk_ROOMF,MATCH(475,tk_FSEQ,0))&amp;IF(INDEX(tk_ROOMT,MATCH(475,tk_FSEQ,0))="",""," → "&amp;INDEX(tk_ROOMT,MATCH(475,tk_FSEQ,0))),"")</f>
        <v/>
      </c>
      <c r="D480" s="70">
        <f>IFERROR(""&amp;INDEX(tk_SIZE,MATCH(475,tk_FSEQ,0)),"")</f>
        <v/>
      </c>
      <c r="E480" s="70">
        <f>IFERROR(""&amp;INDEX(tk_RATING,MATCH(475,tk_FSEQ,0)),"")</f>
        <v/>
      </c>
      <c r="F480" s="70">
        <f>IFERROR(TEXT(INDEX(tk_OAW,MATCH(475,tk_FSEQ,0)),"0.000")&amp;" x "&amp;TEXT(INDEX(tk_OAH,MATCH(475,tk_FSEQ,0)),"0.000"),"")</f>
        <v/>
      </c>
      <c r="G480" s="70">
        <f>IFERROR(""&amp;INDEX(tk_FLINE,MATCH(475,tk_FSEQ,0)),"")</f>
        <v/>
      </c>
      <c r="H480" s="70">
        <f>IFERROR(""&amp;INDEX(tk_FNOTES,MATCH(475,tk_FSEQ,0)),"")</f>
        <v/>
      </c>
    </row>
    <row r="481">
      <c r="A481" s="70">
        <f>IFERROR(""&amp;INDEX(tk_MARK,MATCH(476,tk_FSEQ,0)),"")</f>
        <v/>
      </c>
      <c r="B481" s="70">
        <f>IFERROR(INDEX(tk_QTY,MATCH(476,tk_FSEQ,0)),"")</f>
        <v/>
      </c>
      <c r="C481" s="70">
        <f>IFERROR(INDEX(tk_ROOMF,MATCH(476,tk_FSEQ,0))&amp;IF(INDEX(tk_ROOMT,MATCH(476,tk_FSEQ,0))="",""," → "&amp;INDEX(tk_ROOMT,MATCH(476,tk_FSEQ,0))),"")</f>
        <v/>
      </c>
      <c r="D481" s="70">
        <f>IFERROR(""&amp;INDEX(tk_SIZE,MATCH(476,tk_FSEQ,0)),"")</f>
        <v/>
      </c>
      <c r="E481" s="70">
        <f>IFERROR(""&amp;INDEX(tk_RATING,MATCH(476,tk_FSEQ,0)),"")</f>
        <v/>
      </c>
      <c r="F481" s="70">
        <f>IFERROR(TEXT(INDEX(tk_OAW,MATCH(476,tk_FSEQ,0)),"0.000")&amp;" x "&amp;TEXT(INDEX(tk_OAH,MATCH(476,tk_FSEQ,0)),"0.000"),"")</f>
        <v/>
      </c>
      <c r="G481" s="70">
        <f>IFERROR(""&amp;INDEX(tk_FLINE,MATCH(476,tk_FSEQ,0)),"")</f>
        <v/>
      </c>
      <c r="H481" s="70">
        <f>IFERROR(""&amp;INDEX(tk_FNOTES,MATCH(476,tk_FSEQ,0)),"")</f>
        <v/>
      </c>
    </row>
    <row r="482">
      <c r="A482" s="70">
        <f>IFERROR(""&amp;INDEX(tk_MARK,MATCH(477,tk_FSEQ,0)),"")</f>
        <v/>
      </c>
      <c r="B482" s="70">
        <f>IFERROR(INDEX(tk_QTY,MATCH(477,tk_FSEQ,0)),"")</f>
        <v/>
      </c>
      <c r="C482" s="70">
        <f>IFERROR(INDEX(tk_ROOMF,MATCH(477,tk_FSEQ,0))&amp;IF(INDEX(tk_ROOMT,MATCH(477,tk_FSEQ,0))="",""," → "&amp;INDEX(tk_ROOMT,MATCH(477,tk_FSEQ,0))),"")</f>
        <v/>
      </c>
      <c r="D482" s="70">
        <f>IFERROR(""&amp;INDEX(tk_SIZE,MATCH(477,tk_FSEQ,0)),"")</f>
        <v/>
      </c>
      <c r="E482" s="70">
        <f>IFERROR(""&amp;INDEX(tk_RATING,MATCH(477,tk_FSEQ,0)),"")</f>
        <v/>
      </c>
      <c r="F482" s="70">
        <f>IFERROR(TEXT(INDEX(tk_OAW,MATCH(477,tk_FSEQ,0)),"0.000")&amp;" x "&amp;TEXT(INDEX(tk_OAH,MATCH(477,tk_FSEQ,0)),"0.000"),"")</f>
        <v/>
      </c>
      <c r="G482" s="70">
        <f>IFERROR(""&amp;INDEX(tk_FLINE,MATCH(477,tk_FSEQ,0)),"")</f>
        <v/>
      </c>
      <c r="H482" s="70">
        <f>IFERROR(""&amp;INDEX(tk_FNOTES,MATCH(477,tk_FSEQ,0)),"")</f>
        <v/>
      </c>
    </row>
    <row r="483">
      <c r="A483" s="70">
        <f>IFERROR(""&amp;INDEX(tk_MARK,MATCH(478,tk_FSEQ,0)),"")</f>
        <v/>
      </c>
      <c r="B483" s="70">
        <f>IFERROR(INDEX(tk_QTY,MATCH(478,tk_FSEQ,0)),"")</f>
        <v/>
      </c>
      <c r="C483" s="70">
        <f>IFERROR(INDEX(tk_ROOMF,MATCH(478,tk_FSEQ,0))&amp;IF(INDEX(tk_ROOMT,MATCH(478,tk_FSEQ,0))="",""," → "&amp;INDEX(tk_ROOMT,MATCH(478,tk_FSEQ,0))),"")</f>
        <v/>
      </c>
      <c r="D483" s="70">
        <f>IFERROR(""&amp;INDEX(tk_SIZE,MATCH(478,tk_FSEQ,0)),"")</f>
        <v/>
      </c>
      <c r="E483" s="70">
        <f>IFERROR(""&amp;INDEX(tk_RATING,MATCH(478,tk_FSEQ,0)),"")</f>
        <v/>
      </c>
      <c r="F483" s="70">
        <f>IFERROR(TEXT(INDEX(tk_OAW,MATCH(478,tk_FSEQ,0)),"0.000")&amp;" x "&amp;TEXT(INDEX(tk_OAH,MATCH(478,tk_FSEQ,0)),"0.000"),"")</f>
        <v/>
      </c>
      <c r="G483" s="70">
        <f>IFERROR(""&amp;INDEX(tk_FLINE,MATCH(478,tk_FSEQ,0)),"")</f>
        <v/>
      </c>
      <c r="H483" s="70">
        <f>IFERROR(""&amp;INDEX(tk_FNOTES,MATCH(478,tk_FSEQ,0)),"")</f>
        <v/>
      </c>
    </row>
    <row r="484">
      <c r="A484" s="70">
        <f>IFERROR(""&amp;INDEX(tk_MARK,MATCH(479,tk_FSEQ,0)),"")</f>
        <v/>
      </c>
      <c r="B484" s="70">
        <f>IFERROR(INDEX(tk_QTY,MATCH(479,tk_FSEQ,0)),"")</f>
        <v/>
      </c>
      <c r="C484" s="70">
        <f>IFERROR(INDEX(tk_ROOMF,MATCH(479,tk_FSEQ,0))&amp;IF(INDEX(tk_ROOMT,MATCH(479,tk_FSEQ,0))="",""," → "&amp;INDEX(tk_ROOMT,MATCH(479,tk_FSEQ,0))),"")</f>
        <v/>
      </c>
      <c r="D484" s="70">
        <f>IFERROR(""&amp;INDEX(tk_SIZE,MATCH(479,tk_FSEQ,0)),"")</f>
        <v/>
      </c>
      <c r="E484" s="70">
        <f>IFERROR(""&amp;INDEX(tk_RATING,MATCH(479,tk_FSEQ,0)),"")</f>
        <v/>
      </c>
      <c r="F484" s="70">
        <f>IFERROR(TEXT(INDEX(tk_OAW,MATCH(479,tk_FSEQ,0)),"0.000")&amp;" x "&amp;TEXT(INDEX(tk_OAH,MATCH(479,tk_FSEQ,0)),"0.000"),"")</f>
        <v/>
      </c>
      <c r="G484" s="70">
        <f>IFERROR(""&amp;INDEX(tk_FLINE,MATCH(479,tk_FSEQ,0)),"")</f>
        <v/>
      </c>
      <c r="H484" s="70">
        <f>IFERROR(""&amp;INDEX(tk_FNOTES,MATCH(479,tk_FSEQ,0)),"")</f>
        <v/>
      </c>
    </row>
    <row r="485">
      <c r="A485" s="70">
        <f>IFERROR(""&amp;INDEX(tk_MARK,MATCH(480,tk_FSEQ,0)),"")</f>
        <v/>
      </c>
      <c r="B485" s="70">
        <f>IFERROR(INDEX(tk_QTY,MATCH(480,tk_FSEQ,0)),"")</f>
        <v/>
      </c>
      <c r="C485" s="70">
        <f>IFERROR(INDEX(tk_ROOMF,MATCH(480,tk_FSEQ,0))&amp;IF(INDEX(tk_ROOMT,MATCH(480,tk_FSEQ,0))="",""," → "&amp;INDEX(tk_ROOMT,MATCH(480,tk_FSEQ,0))),"")</f>
        <v/>
      </c>
      <c r="D485" s="70">
        <f>IFERROR(""&amp;INDEX(tk_SIZE,MATCH(480,tk_FSEQ,0)),"")</f>
        <v/>
      </c>
      <c r="E485" s="70">
        <f>IFERROR(""&amp;INDEX(tk_RATING,MATCH(480,tk_FSEQ,0)),"")</f>
        <v/>
      </c>
      <c r="F485" s="70">
        <f>IFERROR(TEXT(INDEX(tk_OAW,MATCH(480,tk_FSEQ,0)),"0.000")&amp;" x "&amp;TEXT(INDEX(tk_OAH,MATCH(480,tk_FSEQ,0)),"0.000"),"")</f>
        <v/>
      </c>
      <c r="G485" s="70">
        <f>IFERROR(""&amp;INDEX(tk_FLINE,MATCH(480,tk_FSEQ,0)),"")</f>
        <v/>
      </c>
      <c r="H485" s="70">
        <f>IFERROR(""&amp;INDEX(tk_FNOTES,MATCH(480,tk_FSEQ,0)),"")</f>
        <v/>
      </c>
    </row>
    <row r="486">
      <c r="A486" s="70">
        <f>IFERROR(""&amp;INDEX(tk_MARK,MATCH(481,tk_FSEQ,0)),"")</f>
        <v/>
      </c>
      <c r="B486" s="70">
        <f>IFERROR(INDEX(tk_QTY,MATCH(481,tk_FSEQ,0)),"")</f>
        <v/>
      </c>
      <c r="C486" s="70">
        <f>IFERROR(INDEX(tk_ROOMF,MATCH(481,tk_FSEQ,0))&amp;IF(INDEX(tk_ROOMT,MATCH(481,tk_FSEQ,0))="",""," → "&amp;INDEX(tk_ROOMT,MATCH(481,tk_FSEQ,0))),"")</f>
        <v/>
      </c>
      <c r="D486" s="70">
        <f>IFERROR(""&amp;INDEX(tk_SIZE,MATCH(481,tk_FSEQ,0)),"")</f>
        <v/>
      </c>
      <c r="E486" s="70">
        <f>IFERROR(""&amp;INDEX(tk_RATING,MATCH(481,tk_FSEQ,0)),"")</f>
        <v/>
      </c>
      <c r="F486" s="70">
        <f>IFERROR(TEXT(INDEX(tk_OAW,MATCH(481,tk_FSEQ,0)),"0.000")&amp;" x "&amp;TEXT(INDEX(tk_OAH,MATCH(481,tk_FSEQ,0)),"0.000"),"")</f>
        <v/>
      </c>
      <c r="G486" s="70">
        <f>IFERROR(""&amp;INDEX(tk_FLINE,MATCH(481,tk_FSEQ,0)),"")</f>
        <v/>
      </c>
      <c r="H486" s="70">
        <f>IFERROR(""&amp;INDEX(tk_FNOTES,MATCH(481,tk_FSEQ,0)),"")</f>
        <v/>
      </c>
    </row>
    <row r="487">
      <c r="A487" s="70">
        <f>IFERROR(""&amp;INDEX(tk_MARK,MATCH(482,tk_FSEQ,0)),"")</f>
        <v/>
      </c>
      <c r="B487" s="70">
        <f>IFERROR(INDEX(tk_QTY,MATCH(482,tk_FSEQ,0)),"")</f>
        <v/>
      </c>
      <c r="C487" s="70">
        <f>IFERROR(INDEX(tk_ROOMF,MATCH(482,tk_FSEQ,0))&amp;IF(INDEX(tk_ROOMT,MATCH(482,tk_FSEQ,0))="",""," → "&amp;INDEX(tk_ROOMT,MATCH(482,tk_FSEQ,0))),"")</f>
        <v/>
      </c>
      <c r="D487" s="70">
        <f>IFERROR(""&amp;INDEX(tk_SIZE,MATCH(482,tk_FSEQ,0)),"")</f>
        <v/>
      </c>
      <c r="E487" s="70">
        <f>IFERROR(""&amp;INDEX(tk_RATING,MATCH(482,tk_FSEQ,0)),"")</f>
        <v/>
      </c>
      <c r="F487" s="70">
        <f>IFERROR(TEXT(INDEX(tk_OAW,MATCH(482,tk_FSEQ,0)),"0.000")&amp;" x "&amp;TEXT(INDEX(tk_OAH,MATCH(482,tk_FSEQ,0)),"0.000"),"")</f>
        <v/>
      </c>
      <c r="G487" s="70">
        <f>IFERROR(""&amp;INDEX(tk_FLINE,MATCH(482,tk_FSEQ,0)),"")</f>
        <v/>
      </c>
      <c r="H487" s="70">
        <f>IFERROR(""&amp;INDEX(tk_FNOTES,MATCH(482,tk_FSEQ,0)),"")</f>
        <v/>
      </c>
    </row>
    <row r="488">
      <c r="A488" s="70">
        <f>IFERROR(""&amp;INDEX(tk_MARK,MATCH(483,tk_FSEQ,0)),"")</f>
        <v/>
      </c>
      <c r="B488" s="70">
        <f>IFERROR(INDEX(tk_QTY,MATCH(483,tk_FSEQ,0)),"")</f>
        <v/>
      </c>
      <c r="C488" s="70">
        <f>IFERROR(INDEX(tk_ROOMF,MATCH(483,tk_FSEQ,0))&amp;IF(INDEX(tk_ROOMT,MATCH(483,tk_FSEQ,0))="",""," → "&amp;INDEX(tk_ROOMT,MATCH(483,tk_FSEQ,0))),"")</f>
        <v/>
      </c>
      <c r="D488" s="70">
        <f>IFERROR(""&amp;INDEX(tk_SIZE,MATCH(483,tk_FSEQ,0)),"")</f>
        <v/>
      </c>
      <c r="E488" s="70">
        <f>IFERROR(""&amp;INDEX(tk_RATING,MATCH(483,tk_FSEQ,0)),"")</f>
        <v/>
      </c>
      <c r="F488" s="70">
        <f>IFERROR(TEXT(INDEX(tk_OAW,MATCH(483,tk_FSEQ,0)),"0.000")&amp;" x "&amp;TEXT(INDEX(tk_OAH,MATCH(483,tk_FSEQ,0)),"0.000"),"")</f>
        <v/>
      </c>
      <c r="G488" s="70">
        <f>IFERROR(""&amp;INDEX(tk_FLINE,MATCH(483,tk_FSEQ,0)),"")</f>
        <v/>
      </c>
      <c r="H488" s="70">
        <f>IFERROR(""&amp;INDEX(tk_FNOTES,MATCH(483,tk_FSEQ,0)),"")</f>
        <v/>
      </c>
    </row>
    <row r="489">
      <c r="A489" s="70">
        <f>IFERROR(""&amp;INDEX(tk_MARK,MATCH(484,tk_FSEQ,0)),"")</f>
        <v/>
      </c>
      <c r="B489" s="70">
        <f>IFERROR(INDEX(tk_QTY,MATCH(484,tk_FSEQ,0)),"")</f>
        <v/>
      </c>
      <c r="C489" s="70">
        <f>IFERROR(INDEX(tk_ROOMF,MATCH(484,tk_FSEQ,0))&amp;IF(INDEX(tk_ROOMT,MATCH(484,tk_FSEQ,0))="",""," → "&amp;INDEX(tk_ROOMT,MATCH(484,tk_FSEQ,0))),"")</f>
        <v/>
      </c>
      <c r="D489" s="70">
        <f>IFERROR(""&amp;INDEX(tk_SIZE,MATCH(484,tk_FSEQ,0)),"")</f>
        <v/>
      </c>
      <c r="E489" s="70">
        <f>IFERROR(""&amp;INDEX(tk_RATING,MATCH(484,tk_FSEQ,0)),"")</f>
        <v/>
      </c>
      <c r="F489" s="70">
        <f>IFERROR(TEXT(INDEX(tk_OAW,MATCH(484,tk_FSEQ,0)),"0.000")&amp;" x "&amp;TEXT(INDEX(tk_OAH,MATCH(484,tk_FSEQ,0)),"0.000"),"")</f>
        <v/>
      </c>
      <c r="G489" s="70">
        <f>IFERROR(""&amp;INDEX(tk_FLINE,MATCH(484,tk_FSEQ,0)),"")</f>
        <v/>
      </c>
      <c r="H489" s="70">
        <f>IFERROR(""&amp;INDEX(tk_FNOTES,MATCH(484,tk_FSEQ,0)),"")</f>
        <v/>
      </c>
    </row>
    <row r="490">
      <c r="A490" s="70">
        <f>IFERROR(""&amp;INDEX(tk_MARK,MATCH(485,tk_FSEQ,0)),"")</f>
        <v/>
      </c>
      <c r="B490" s="70">
        <f>IFERROR(INDEX(tk_QTY,MATCH(485,tk_FSEQ,0)),"")</f>
        <v/>
      </c>
      <c r="C490" s="70">
        <f>IFERROR(INDEX(tk_ROOMF,MATCH(485,tk_FSEQ,0))&amp;IF(INDEX(tk_ROOMT,MATCH(485,tk_FSEQ,0))="",""," → "&amp;INDEX(tk_ROOMT,MATCH(485,tk_FSEQ,0))),"")</f>
        <v/>
      </c>
      <c r="D490" s="70">
        <f>IFERROR(""&amp;INDEX(tk_SIZE,MATCH(485,tk_FSEQ,0)),"")</f>
        <v/>
      </c>
      <c r="E490" s="70">
        <f>IFERROR(""&amp;INDEX(tk_RATING,MATCH(485,tk_FSEQ,0)),"")</f>
        <v/>
      </c>
      <c r="F490" s="70">
        <f>IFERROR(TEXT(INDEX(tk_OAW,MATCH(485,tk_FSEQ,0)),"0.000")&amp;" x "&amp;TEXT(INDEX(tk_OAH,MATCH(485,tk_FSEQ,0)),"0.000"),"")</f>
        <v/>
      </c>
      <c r="G490" s="70">
        <f>IFERROR(""&amp;INDEX(tk_FLINE,MATCH(485,tk_FSEQ,0)),"")</f>
        <v/>
      </c>
      <c r="H490" s="70">
        <f>IFERROR(""&amp;INDEX(tk_FNOTES,MATCH(485,tk_FSEQ,0)),"")</f>
        <v/>
      </c>
    </row>
    <row r="491">
      <c r="A491" s="70">
        <f>IFERROR(""&amp;INDEX(tk_MARK,MATCH(486,tk_FSEQ,0)),"")</f>
        <v/>
      </c>
      <c r="B491" s="70">
        <f>IFERROR(INDEX(tk_QTY,MATCH(486,tk_FSEQ,0)),"")</f>
        <v/>
      </c>
      <c r="C491" s="70">
        <f>IFERROR(INDEX(tk_ROOMF,MATCH(486,tk_FSEQ,0))&amp;IF(INDEX(tk_ROOMT,MATCH(486,tk_FSEQ,0))="",""," → "&amp;INDEX(tk_ROOMT,MATCH(486,tk_FSEQ,0))),"")</f>
        <v/>
      </c>
      <c r="D491" s="70">
        <f>IFERROR(""&amp;INDEX(tk_SIZE,MATCH(486,tk_FSEQ,0)),"")</f>
        <v/>
      </c>
      <c r="E491" s="70">
        <f>IFERROR(""&amp;INDEX(tk_RATING,MATCH(486,tk_FSEQ,0)),"")</f>
        <v/>
      </c>
      <c r="F491" s="70">
        <f>IFERROR(TEXT(INDEX(tk_OAW,MATCH(486,tk_FSEQ,0)),"0.000")&amp;" x "&amp;TEXT(INDEX(tk_OAH,MATCH(486,tk_FSEQ,0)),"0.000"),"")</f>
        <v/>
      </c>
      <c r="G491" s="70">
        <f>IFERROR(""&amp;INDEX(tk_FLINE,MATCH(486,tk_FSEQ,0)),"")</f>
        <v/>
      </c>
      <c r="H491" s="70">
        <f>IFERROR(""&amp;INDEX(tk_FNOTES,MATCH(486,tk_FSEQ,0)),"")</f>
        <v/>
      </c>
    </row>
    <row r="492">
      <c r="A492" s="70">
        <f>IFERROR(""&amp;INDEX(tk_MARK,MATCH(487,tk_FSEQ,0)),"")</f>
        <v/>
      </c>
      <c r="B492" s="70">
        <f>IFERROR(INDEX(tk_QTY,MATCH(487,tk_FSEQ,0)),"")</f>
        <v/>
      </c>
      <c r="C492" s="70">
        <f>IFERROR(INDEX(tk_ROOMF,MATCH(487,tk_FSEQ,0))&amp;IF(INDEX(tk_ROOMT,MATCH(487,tk_FSEQ,0))="",""," → "&amp;INDEX(tk_ROOMT,MATCH(487,tk_FSEQ,0))),"")</f>
        <v/>
      </c>
      <c r="D492" s="70">
        <f>IFERROR(""&amp;INDEX(tk_SIZE,MATCH(487,tk_FSEQ,0)),"")</f>
        <v/>
      </c>
      <c r="E492" s="70">
        <f>IFERROR(""&amp;INDEX(tk_RATING,MATCH(487,tk_FSEQ,0)),"")</f>
        <v/>
      </c>
      <c r="F492" s="70">
        <f>IFERROR(TEXT(INDEX(tk_OAW,MATCH(487,tk_FSEQ,0)),"0.000")&amp;" x "&amp;TEXT(INDEX(tk_OAH,MATCH(487,tk_FSEQ,0)),"0.000"),"")</f>
        <v/>
      </c>
      <c r="G492" s="70">
        <f>IFERROR(""&amp;INDEX(tk_FLINE,MATCH(487,tk_FSEQ,0)),"")</f>
        <v/>
      </c>
      <c r="H492" s="70">
        <f>IFERROR(""&amp;INDEX(tk_FNOTES,MATCH(487,tk_FSEQ,0)),"")</f>
        <v/>
      </c>
    </row>
    <row r="493">
      <c r="A493" s="70">
        <f>IFERROR(""&amp;INDEX(tk_MARK,MATCH(488,tk_FSEQ,0)),"")</f>
        <v/>
      </c>
      <c r="B493" s="70">
        <f>IFERROR(INDEX(tk_QTY,MATCH(488,tk_FSEQ,0)),"")</f>
        <v/>
      </c>
      <c r="C493" s="70">
        <f>IFERROR(INDEX(tk_ROOMF,MATCH(488,tk_FSEQ,0))&amp;IF(INDEX(tk_ROOMT,MATCH(488,tk_FSEQ,0))="",""," → "&amp;INDEX(tk_ROOMT,MATCH(488,tk_FSEQ,0))),"")</f>
        <v/>
      </c>
      <c r="D493" s="70">
        <f>IFERROR(""&amp;INDEX(tk_SIZE,MATCH(488,tk_FSEQ,0)),"")</f>
        <v/>
      </c>
      <c r="E493" s="70">
        <f>IFERROR(""&amp;INDEX(tk_RATING,MATCH(488,tk_FSEQ,0)),"")</f>
        <v/>
      </c>
      <c r="F493" s="70">
        <f>IFERROR(TEXT(INDEX(tk_OAW,MATCH(488,tk_FSEQ,0)),"0.000")&amp;" x "&amp;TEXT(INDEX(tk_OAH,MATCH(488,tk_FSEQ,0)),"0.000"),"")</f>
        <v/>
      </c>
      <c r="G493" s="70">
        <f>IFERROR(""&amp;INDEX(tk_FLINE,MATCH(488,tk_FSEQ,0)),"")</f>
        <v/>
      </c>
      <c r="H493" s="70">
        <f>IFERROR(""&amp;INDEX(tk_FNOTES,MATCH(488,tk_FSEQ,0)),"")</f>
        <v/>
      </c>
    </row>
    <row r="494">
      <c r="A494" s="70">
        <f>IFERROR(""&amp;INDEX(tk_MARK,MATCH(489,tk_FSEQ,0)),"")</f>
        <v/>
      </c>
      <c r="B494" s="70">
        <f>IFERROR(INDEX(tk_QTY,MATCH(489,tk_FSEQ,0)),"")</f>
        <v/>
      </c>
      <c r="C494" s="70">
        <f>IFERROR(INDEX(tk_ROOMF,MATCH(489,tk_FSEQ,0))&amp;IF(INDEX(tk_ROOMT,MATCH(489,tk_FSEQ,0))="",""," → "&amp;INDEX(tk_ROOMT,MATCH(489,tk_FSEQ,0))),"")</f>
        <v/>
      </c>
      <c r="D494" s="70">
        <f>IFERROR(""&amp;INDEX(tk_SIZE,MATCH(489,tk_FSEQ,0)),"")</f>
        <v/>
      </c>
      <c r="E494" s="70">
        <f>IFERROR(""&amp;INDEX(tk_RATING,MATCH(489,tk_FSEQ,0)),"")</f>
        <v/>
      </c>
      <c r="F494" s="70">
        <f>IFERROR(TEXT(INDEX(tk_OAW,MATCH(489,tk_FSEQ,0)),"0.000")&amp;" x "&amp;TEXT(INDEX(tk_OAH,MATCH(489,tk_FSEQ,0)),"0.000"),"")</f>
        <v/>
      </c>
      <c r="G494" s="70">
        <f>IFERROR(""&amp;INDEX(tk_FLINE,MATCH(489,tk_FSEQ,0)),"")</f>
        <v/>
      </c>
      <c r="H494" s="70">
        <f>IFERROR(""&amp;INDEX(tk_FNOTES,MATCH(489,tk_FSEQ,0)),"")</f>
        <v/>
      </c>
    </row>
    <row r="495">
      <c r="A495" s="70">
        <f>IFERROR(""&amp;INDEX(tk_MARK,MATCH(490,tk_FSEQ,0)),"")</f>
        <v/>
      </c>
      <c r="B495" s="70">
        <f>IFERROR(INDEX(tk_QTY,MATCH(490,tk_FSEQ,0)),"")</f>
        <v/>
      </c>
      <c r="C495" s="70">
        <f>IFERROR(INDEX(tk_ROOMF,MATCH(490,tk_FSEQ,0))&amp;IF(INDEX(tk_ROOMT,MATCH(490,tk_FSEQ,0))="",""," → "&amp;INDEX(tk_ROOMT,MATCH(490,tk_FSEQ,0))),"")</f>
        <v/>
      </c>
      <c r="D495" s="70">
        <f>IFERROR(""&amp;INDEX(tk_SIZE,MATCH(490,tk_FSEQ,0)),"")</f>
        <v/>
      </c>
      <c r="E495" s="70">
        <f>IFERROR(""&amp;INDEX(tk_RATING,MATCH(490,tk_FSEQ,0)),"")</f>
        <v/>
      </c>
      <c r="F495" s="70">
        <f>IFERROR(TEXT(INDEX(tk_OAW,MATCH(490,tk_FSEQ,0)),"0.000")&amp;" x "&amp;TEXT(INDEX(tk_OAH,MATCH(490,tk_FSEQ,0)),"0.000"),"")</f>
        <v/>
      </c>
      <c r="G495" s="70">
        <f>IFERROR(""&amp;INDEX(tk_FLINE,MATCH(490,tk_FSEQ,0)),"")</f>
        <v/>
      </c>
      <c r="H495" s="70">
        <f>IFERROR(""&amp;INDEX(tk_FNOTES,MATCH(490,tk_FSEQ,0)),"")</f>
        <v/>
      </c>
    </row>
    <row r="496">
      <c r="A496" s="70">
        <f>IFERROR(""&amp;INDEX(tk_MARK,MATCH(491,tk_FSEQ,0)),"")</f>
        <v/>
      </c>
      <c r="B496" s="70">
        <f>IFERROR(INDEX(tk_QTY,MATCH(491,tk_FSEQ,0)),"")</f>
        <v/>
      </c>
      <c r="C496" s="70">
        <f>IFERROR(INDEX(tk_ROOMF,MATCH(491,tk_FSEQ,0))&amp;IF(INDEX(tk_ROOMT,MATCH(491,tk_FSEQ,0))="",""," → "&amp;INDEX(tk_ROOMT,MATCH(491,tk_FSEQ,0))),"")</f>
        <v/>
      </c>
      <c r="D496" s="70">
        <f>IFERROR(""&amp;INDEX(tk_SIZE,MATCH(491,tk_FSEQ,0)),"")</f>
        <v/>
      </c>
      <c r="E496" s="70">
        <f>IFERROR(""&amp;INDEX(tk_RATING,MATCH(491,tk_FSEQ,0)),"")</f>
        <v/>
      </c>
      <c r="F496" s="70">
        <f>IFERROR(TEXT(INDEX(tk_OAW,MATCH(491,tk_FSEQ,0)),"0.000")&amp;" x "&amp;TEXT(INDEX(tk_OAH,MATCH(491,tk_FSEQ,0)),"0.000"),"")</f>
        <v/>
      </c>
      <c r="G496" s="70">
        <f>IFERROR(""&amp;INDEX(tk_FLINE,MATCH(491,tk_FSEQ,0)),"")</f>
        <v/>
      </c>
      <c r="H496" s="70">
        <f>IFERROR(""&amp;INDEX(tk_FNOTES,MATCH(491,tk_FSEQ,0)),"")</f>
        <v/>
      </c>
    </row>
    <row r="497">
      <c r="A497" s="70">
        <f>IFERROR(""&amp;INDEX(tk_MARK,MATCH(492,tk_FSEQ,0)),"")</f>
        <v/>
      </c>
      <c r="B497" s="70">
        <f>IFERROR(INDEX(tk_QTY,MATCH(492,tk_FSEQ,0)),"")</f>
        <v/>
      </c>
      <c r="C497" s="70">
        <f>IFERROR(INDEX(tk_ROOMF,MATCH(492,tk_FSEQ,0))&amp;IF(INDEX(tk_ROOMT,MATCH(492,tk_FSEQ,0))="",""," → "&amp;INDEX(tk_ROOMT,MATCH(492,tk_FSEQ,0))),"")</f>
        <v/>
      </c>
      <c r="D497" s="70">
        <f>IFERROR(""&amp;INDEX(tk_SIZE,MATCH(492,tk_FSEQ,0)),"")</f>
        <v/>
      </c>
      <c r="E497" s="70">
        <f>IFERROR(""&amp;INDEX(tk_RATING,MATCH(492,tk_FSEQ,0)),"")</f>
        <v/>
      </c>
      <c r="F497" s="70">
        <f>IFERROR(TEXT(INDEX(tk_OAW,MATCH(492,tk_FSEQ,0)),"0.000")&amp;" x "&amp;TEXT(INDEX(tk_OAH,MATCH(492,tk_FSEQ,0)),"0.000"),"")</f>
        <v/>
      </c>
      <c r="G497" s="70">
        <f>IFERROR(""&amp;INDEX(tk_FLINE,MATCH(492,tk_FSEQ,0)),"")</f>
        <v/>
      </c>
      <c r="H497" s="70">
        <f>IFERROR(""&amp;INDEX(tk_FNOTES,MATCH(492,tk_FSEQ,0)),"")</f>
        <v/>
      </c>
    </row>
    <row r="498">
      <c r="A498" s="70">
        <f>IFERROR(""&amp;INDEX(tk_MARK,MATCH(493,tk_FSEQ,0)),"")</f>
        <v/>
      </c>
      <c r="B498" s="70">
        <f>IFERROR(INDEX(tk_QTY,MATCH(493,tk_FSEQ,0)),"")</f>
        <v/>
      </c>
      <c r="C498" s="70">
        <f>IFERROR(INDEX(tk_ROOMF,MATCH(493,tk_FSEQ,0))&amp;IF(INDEX(tk_ROOMT,MATCH(493,tk_FSEQ,0))="",""," → "&amp;INDEX(tk_ROOMT,MATCH(493,tk_FSEQ,0))),"")</f>
        <v/>
      </c>
      <c r="D498" s="70">
        <f>IFERROR(""&amp;INDEX(tk_SIZE,MATCH(493,tk_FSEQ,0)),"")</f>
        <v/>
      </c>
      <c r="E498" s="70">
        <f>IFERROR(""&amp;INDEX(tk_RATING,MATCH(493,tk_FSEQ,0)),"")</f>
        <v/>
      </c>
      <c r="F498" s="70">
        <f>IFERROR(TEXT(INDEX(tk_OAW,MATCH(493,tk_FSEQ,0)),"0.000")&amp;" x "&amp;TEXT(INDEX(tk_OAH,MATCH(493,tk_FSEQ,0)),"0.000"),"")</f>
        <v/>
      </c>
      <c r="G498" s="70">
        <f>IFERROR(""&amp;INDEX(tk_FLINE,MATCH(493,tk_FSEQ,0)),"")</f>
        <v/>
      </c>
      <c r="H498" s="70">
        <f>IFERROR(""&amp;INDEX(tk_FNOTES,MATCH(493,tk_FSEQ,0)),"")</f>
        <v/>
      </c>
    </row>
    <row r="499">
      <c r="A499" s="70">
        <f>IFERROR(""&amp;INDEX(tk_MARK,MATCH(494,tk_FSEQ,0)),"")</f>
        <v/>
      </c>
      <c r="B499" s="70">
        <f>IFERROR(INDEX(tk_QTY,MATCH(494,tk_FSEQ,0)),"")</f>
        <v/>
      </c>
      <c r="C499" s="70">
        <f>IFERROR(INDEX(tk_ROOMF,MATCH(494,tk_FSEQ,0))&amp;IF(INDEX(tk_ROOMT,MATCH(494,tk_FSEQ,0))="",""," → "&amp;INDEX(tk_ROOMT,MATCH(494,tk_FSEQ,0))),"")</f>
        <v/>
      </c>
      <c r="D499" s="70">
        <f>IFERROR(""&amp;INDEX(tk_SIZE,MATCH(494,tk_FSEQ,0)),"")</f>
        <v/>
      </c>
      <c r="E499" s="70">
        <f>IFERROR(""&amp;INDEX(tk_RATING,MATCH(494,tk_FSEQ,0)),"")</f>
        <v/>
      </c>
      <c r="F499" s="70">
        <f>IFERROR(TEXT(INDEX(tk_OAW,MATCH(494,tk_FSEQ,0)),"0.000")&amp;" x "&amp;TEXT(INDEX(tk_OAH,MATCH(494,tk_FSEQ,0)),"0.000"),"")</f>
        <v/>
      </c>
      <c r="G499" s="70">
        <f>IFERROR(""&amp;INDEX(tk_FLINE,MATCH(494,tk_FSEQ,0)),"")</f>
        <v/>
      </c>
      <c r="H499" s="70">
        <f>IFERROR(""&amp;INDEX(tk_FNOTES,MATCH(494,tk_FSEQ,0)),"")</f>
        <v/>
      </c>
    </row>
    <row r="500">
      <c r="A500" s="70">
        <f>IFERROR(""&amp;INDEX(tk_MARK,MATCH(495,tk_FSEQ,0)),"")</f>
        <v/>
      </c>
      <c r="B500" s="70">
        <f>IFERROR(INDEX(tk_QTY,MATCH(495,tk_FSEQ,0)),"")</f>
        <v/>
      </c>
      <c r="C500" s="70">
        <f>IFERROR(INDEX(tk_ROOMF,MATCH(495,tk_FSEQ,0))&amp;IF(INDEX(tk_ROOMT,MATCH(495,tk_FSEQ,0))="",""," → "&amp;INDEX(tk_ROOMT,MATCH(495,tk_FSEQ,0))),"")</f>
        <v/>
      </c>
      <c r="D500" s="70">
        <f>IFERROR(""&amp;INDEX(tk_SIZE,MATCH(495,tk_FSEQ,0)),"")</f>
        <v/>
      </c>
      <c r="E500" s="70">
        <f>IFERROR(""&amp;INDEX(tk_RATING,MATCH(495,tk_FSEQ,0)),"")</f>
        <v/>
      </c>
      <c r="F500" s="70">
        <f>IFERROR(TEXT(INDEX(tk_OAW,MATCH(495,tk_FSEQ,0)),"0.000")&amp;" x "&amp;TEXT(INDEX(tk_OAH,MATCH(495,tk_FSEQ,0)),"0.000"),"")</f>
        <v/>
      </c>
      <c r="G500" s="70">
        <f>IFERROR(""&amp;INDEX(tk_FLINE,MATCH(495,tk_FSEQ,0)),"")</f>
        <v/>
      </c>
      <c r="H500" s="70">
        <f>IFERROR(""&amp;INDEX(tk_FNOTES,MATCH(495,tk_FSEQ,0)),"")</f>
        <v/>
      </c>
    </row>
    <row r="501">
      <c r="A501" s="70">
        <f>IFERROR(""&amp;INDEX(tk_MARK,MATCH(496,tk_FSEQ,0)),"")</f>
        <v/>
      </c>
      <c r="B501" s="70">
        <f>IFERROR(INDEX(tk_QTY,MATCH(496,tk_FSEQ,0)),"")</f>
        <v/>
      </c>
      <c r="C501" s="70">
        <f>IFERROR(INDEX(tk_ROOMF,MATCH(496,tk_FSEQ,0))&amp;IF(INDEX(tk_ROOMT,MATCH(496,tk_FSEQ,0))="",""," → "&amp;INDEX(tk_ROOMT,MATCH(496,tk_FSEQ,0))),"")</f>
        <v/>
      </c>
      <c r="D501" s="70">
        <f>IFERROR(""&amp;INDEX(tk_SIZE,MATCH(496,tk_FSEQ,0)),"")</f>
        <v/>
      </c>
      <c r="E501" s="70">
        <f>IFERROR(""&amp;INDEX(tk_RATING,MATCH(496,tk_FSEQ,0)),"")</f>
        <v/>
      </c>
      <c r="F501" s="70">
        <f>IFERROR(TEXT(INDEX(tk_OAW,MATCH(496,tk_FSEQ,0)),"0.000")&amp;" x "&amp;TEXT(INDEX(tk_OAH,MATCH(496,tk_FSEQ,0)),"0.000"),"")</f>
        <v/>
      </c>
      <c r="G501" s="70">
        <f>IFERROR(""&amp;INDEX(tk_FLINE,MATCH(496,tk_FSEQ,0)),"")</f>
        <v/>
      </c>
      <c r="H501" s="70">
        <f>IFERROR(""&amp;INDEX(tk_FNOTES,MATCH(496,tk_FSEQ,0)),"")</f>
        <v/>
      </c>
    </row>
    <row r="502">
      <c r="A502" s="70">
        <f>IFERROR(""&amp;INDEX(tk_MARK,MATCH(497,tk_FSEQ,0)),"")</f>
        <v/>
      </c>
      <c r="B502" s="70">
        <f>IFERROR(INDEX(tk_QTY,MATCH(497,tk_FSEQ,0)),"")</f>
        <v/>
      </c>
      <c r="C502" s="70">
        <f>IFERROR(INDEX(tk_ROOMF,MATCH(497,tk_FSEQ,0))&amp;IF(INDEX(tk_ROOMT,MATCH(497,tk_FSEQ,0))="",""," → "&amp;INDEX(tk_ROOMT,MATCH(497,tk_FSEQ,0))),"")</f>
        <v/>
      </c>
      <c r="D502" s="70">
        <f>IFERROR(""&amp;INDEX(tk_SIZE,MATCH(497,tk_FSEQ,0)),"")</f>
        <v/>
      </c>
      <c r="E502" s="70">
        <f>IFERROR(""&amp;INDEX(tk_RATING,MATCH(497,tk_FSEQ,0)),"")</f>
        <v/>
      </c>
      <c r="F502" s="70">
        <f>IFERROR(TEXT(INDEX(tk_OAW,MATCH(497,tk_FSEQ,0)),"0.000")&amp;" x "&amp;TEXT(INDEX(tk_OAH,MATCH(497,tk_FSEQ,0)),"0.000"),"")</f>
        <v/>
      </c>
      <c r="G502" s="70">
        <f>IFERROR(""&amp;INDEX(tk_FLINE,MATCH(497,tk_FSEQ,0)),"")</f>
        <v/>
      </c>
      <c r="H502" s="70">
        <f>IFERROR(""&amp;INDEX(tk_FNOTES,MATCH(497,tk_FSEQ,0)),"")</f>
        <v/>
      </c>
    </row>
    <row r="503">
      <c r="A503" s="70">
        <f>IFERROR(""&amp;INDEX(tk_MARK,MATCH(498,tk_FSEQ,0)),"")</f>
        <v/>
      </c>
      <c r="B503" s="70">
        <f>IFERROR(INDEX(tk_QTY,MATCH(498,tk_FSEQ,0)),"")</f>
        <v/>
      </c>
      <c r="C503" s="70">
        <f>IFERROR(INDEX(tk_ROOMF,MATCH(498,tk_FSEQ,0))&amp;IF(INDEX(tk_ROOMT,MATCH(498,tk_FSEQ,0))="",""," → "&amp;INDEX(tk_ROOMT,MATCH(498,tk_FSEQ,0))),"")</f>
        <v/>
      </c>
      <c r="D503" s="70">
        <f>IFERROR(""&amp;INDEX(tk_SIZE,MATCH(498,tk_FSEQ,0)),"")</f>
        <v/>
      </c>
      <c r="E503" s="70">
        <f>IFERROR(""&amp;INDEX(tk_RATING,MATCH(498,tk_FSEQ,0)),"")</f>
        <v/>
      </c>
      <c r="F503" s="70">
        <f>IFERROR(TEXT(INDEX(tk_OAW,MATCH(498,tk_FSEQ,0)),"0.000")&amp;" x "&amp;TEXT(INDEX(tk_OAH,MATCH(498,tk_FSEQ,0)),"0.000"),"")</f>
        <v/>
      </c>
      <c r="G503" s="70">
        <f>IFERROR(""&amp;INDEX(tk_FLINE,MATCH(498,tk_FSEQ,0)),"")</f>
        <v/>
      </c>
      <c r="H503" s="70">
        <f>IFERROR(""&amp;INDEX(tk_FNOTES,MATCH(498,tk_FSEQ,0)),"")</f>
        <v/>
      </c>
    </row>
    <row r="504">
      <c r="A504" s="70">
        <f>IFERROR(""&amp;INDEX(tk_MARK,MATCH(499,tk_FSEQ,0)),"")</f>
        <v/>
      </c>
      <c r="B504" s="70">
        <f>IFERROR(INDEX(tk_QTY,MATCH(499,tk_FSEQ,0)),"")</f>
        <v/>
      </c>
      <c r="C504" s="70">
        <f>IFERROR(INDEX(tk_ROOMF,MATCH(499,tk_FSEQ,0))&amp;IF(INDEX(tk_ROOMT,MATCH(499,tk_FSEQ,0))="",""," → "&amp;INDEX(tk_ROOMT,MATCH(499,tk_FSEQ,0))),"")</f>
        <v/>
      </c>
      <c r="D504" s="70">
        <f>IFERROR(""&amp;INDEX(tk_SIZE,MATCH(499,tk_FSEQ,0)),"")</f>
        <v/>
      </c>
      <c r="E504" s="70">
        <f>IFERROR(""&amp;INDEX(tk_RATING,MATCH(499,tk_FSEQ,0)),"")</f>
        <v/>
      </c>
      <c r="F504" s="70">
        <f>IFERROR(TEXT(INDEX(tk_OAW,MATCH(499,tk_FSEQ,0)),"0.000")&amp;" x "&amp;TEXT(INDEX(tk_OAH,MATCH(499,tk_FSEQ,0)),"0.000"),"")</f>
        <v/>
      </c>
      <c r="G504" s="70">
        <f>IFERROR(""&amp;INDEX(tk_FLINE,MATCH(499,tk_FSEQ,0)),"")</f>
        <v/>
      </c>
      <c r="H504" s="70">
        <f>IFERROR(""&amp;INDEX(tk_FNOTES,MATCH(499,tk_FSEQ,0)),"")</f>
        <v/>
      </c>
    </row>
    <row r="505">
      <c r="A505" s="70">
        <f>IFERROR(""&amp;INDEX(tk_MARK,MATCH(500,tk_FSEQ,0)),"")</f>
        <v/>
      </c>
      <c r="B505" s="70">
        <f>IFERROR(INDEX(tk_QTY,MATCH(500,tk_FSEQ,0)),"")</f>
        <v/>
      </c>
      <c r="C505" s="70">
        <f>IFERROR(INDEX(tk_ROOMF,MATCH(500,tk_FSEQ,0))&amp;IF(INDEX(tk_ROOMT,MATCH(500,tk_FSEQ,0))="",""," → "&amp;INDEX(tk_ROOMT,MATCH(500,tk_FSEQ,0))),"")</f>
        <v/>
      </c>
      <c r="D505" s="70">
        <f>IFERROR(""&amp;INDEX(tk_SIZE,MATCH(500,tk_FSEQ,0)),"")</f>
        <v/>
      </c>
      <c r="E505" s="70">
        <f>IFERROR(""&amp;INDEX(tk_RATING,MATCH(500,tk_FSEQ,0)),"")</f>
        <v/>
      </c>
      <c r="F505" s="70">
        <f>IFERROR(TEXT(INDEX(tk_OAW,MATCH(500,tk_FSEQ,0)),"0.000")&amp;" x "&amp;TEXT(INDEX(tk_OAH,MATCH(500,tk_FSEQ,0)),"0.000"),"")</f>
        <v/>
      </c>
      <c r="G505" s="70">
        <f>IFERROR(""&amp;INDEX(tk_FLINE,MATCH(500,tk_FSEQ,0)),"")</f>
        <v/>
      </c>
      <c r="H505" s="70">
        <f>IFERROR(""&amp;INDEX(tk_FNOTES,MATCH(500,tk_FSEQ,0)),"")</f>
        <v/>
      </c>
    </row>
  </sheetData>
  <conditionalFormatting sqref="A6:H505">
    <cfRule type="expression" priority="1" dxfId="9">
      <formula>AND($A6&lt;&gt;"",MOD(ROW(),2)=0)</formula>
    </cfRule>
  </conditionalFormatting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7A4E1C"/>
    <outlinePr summaryBelow="1" summaryRight="1"/>
    <pageSetUpPr fitToPage="1"/>
  </sheetPr>
  <dimension ref="A1:H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8" customWidth="1" min="3" max="3"/>
    <col width="7" customWidth="1" min="4" max="4"/>
    <col width="9" customWidth="1" min="5" max="5"/>
    <col width="18" customWidth="1" min="6" max="6"/>
    <col width="90" customWidth="1" min="7" max="7"/>
    <col width="30" customWidth="1" min="8" max="8"/>
  </cols>
  <sheetData>
    <row r="1">
      <c r="A1" s="31">
        <f>"DOOR ORDER"&amp;IF(JobName=""," "," — "&amp;JobName)</f>
        <v/>
      </c>
    </row>
    <row r="2">
      <c r="A2" s="60">
        <f>IF(JobNo="","","Job "&amp;JobNo)&amp;IF(JobSupplier="",""," · "&amp;JobSupplier)&amp;" · "&amp;TEXT(JobDate,"yyyy-mm-dd")&amp;IF(JobRev=""," "," · "&amp;JobRev)</f>
        <v/>
      </c>
    </row>
    <row r="3">
      <c r="A3" s="25">
        <f>COUNT(tk_DSEQ)&amp;" lines  ·  "&amp;SUMPRODUCT(tk_QTY,--(tk_DSEQ&lt;&gt;""))&amp;" pieces"</f>
        <v/>
      </c>
    </row>
    <row r="5">
      <c r="A5" s="69" t="inlineStr">
        <is>
          <t>MARK</t>
        </is>
      </c>
      <c r="B5" s="69" t="inlineStr">
        <is>
          <t>QTY</t>
        </is>
      </c>
      <c r="C5" s="69" t="inlineStr">
        <is>
          <t>ROOM</t>
        </is>
      </c>
      <c r="D5" s="69" t="inlineStr">
        <is>
          <t>LEAVES</t>
        </is>
      </c>
      <c r="E5" s="69" t="inlineStr">
        <is>
          <t>RATING</t>
        </is>
      </c>
      <c r="F5" s="69" t="inlineStr">
        <is>
          <t>LEAF W x H</t>
        </is>
      </c>
      <c r="G5" s="69" t="inlineStr">
        <is>
          <t>DOOR ORDER LINE</t>
        </is>
      </c>
      <c r="H5" s="69" t="inlineStr">
        <is>
          <t>NOTES</t>
        </is>
      </c>
    </row>
    <row r="6">
      <c r="A6" s="70">
        <f>IFERROR(""&amp;INDEX(tk_MARK,MATCH(1,tk_DSEQ,0)),"")</f>
        <v/>
      </c>
      <c r="B6" s="70">
        <f>IFERROR(INDEX(tk_QTY,MATCH(1,tk_DSEQ,0)),"")</f>
        <v/>
      </c>
      <c r="C6" s="70">
        <f>IFERROR(INDEX(tk_ROOMF,MATCH(1,tk_DSEQ,0))&amp;IF(INDEX(tk_ROOMT,MATCH(1,tk_DSEQ,0))="",""," → "&amp;INDEX(tk_ROOMT,MATCH(1,tk_DSEQ,0))),"")</f>
        <v/>
      </c>
      <c r="D6" s="70">
        <f>IFERROR(INDEX(tk_LEAVES,MATCH(1,tk_DSEQ,0)),"")</f>
        <v/>
      </c>
      <c r="E6" s="70">
        <f>IFERROR(""&amp;INDEX(tk_RATING,MATCH(1,tk_DSEQ,0)),"")</f>
        <v/>
      </c>
      <c r="F6" s="70">
        <f>IFERROR(TEXT(INDEX(tk_LEAFW,MATCH(1,tk_DSEQ,0)),"0.000")&amp;" x "&amp;TEXT(INDEX(tk_LEAFH,MATCH(1,tk_DSEQ,0)),"0.000"),"")</f>
        <v/>
      </c>
      <c r="G6" s="70">
        <f>IFERROR(""&amp;INDEX(tk_DLINE,MATCH(1,tk_DSEQ,0)),"")</f>
        <v/>
      </c>
      <c r="H6" s="70">
        <f>IFERROR(""&amp;INDEX(tk_DNOTES,MATCH(1,tk_DSEQ,0)),"")</f>
        <v/>
      </c>
    </row>
    <row r="7">
      <c r="A7" s="70">
        <f>IFERROR(""&amp;INDEX(tk_MARK,MATCH(2,tk_DSEQ,0)),"")</f>
        <v/>
      </c>
      <c r="B7" s="70">
        <f>IFERROR(INDEX(tk_QTY,MATCH(2,tk_DSEQ,0)),"")</f>
        <v/>
      </c>
      <c r="C7" s="70">
        <f>IFERROR(INDEX(tk_ROOMF,MATCH(2,tk_DSEQ,0))&amp;IF(INDEX(tk_ROOMT,MATCH(2,tk_DSEQ,0))="",""," → "&amp;INDEX(tk_ROOMT,MATCH(2,tk_DSEQ,0))),"")</f>
        <v/>
      </c>
      <c r="D7" s="70">
        <f>IFERROR(INDEX(tk_LEAVES,MATCH(2,tk_DSEQ,0)),"")</f>
        <v/>
      </c>
      <c r="E7" s="70">
        <f>IFERROR(""&amp;INDEX(tk_RATING,MATCH(2,tk_DSEQ,0)),"")</f>
        <v/>
      </c>
      <c r="F7" s="70">
        <f>IFERROR(TEXT(INDEX(tk_LEAFW,MATCH(2,tk_DSEQ,0)),"0.000")&amp;" x "&amp;TEXT(INDEX(tk_LEAFH,MATCH(2,tk_DSEQ,0)),"0.000"),"")</f>
        <v/>
      </c>
      <c r="G7" s="70">
        <f>IFERROR(""&amp;INDEX(tk_DLINE,MATCH(2,tk_DSEQ,0)),"")</f>
        <v/>
      </c>
      <c r="H7" s="70">
        <f>IFERROR(""&amp;INDEX(tk_DNOTES,MATCH(2,tk_DSEQ,0)),"")</f>
        <v/>
      </c>
    </row>
    <row r="8">
      <c r="A8" s="70">
        <f>IFERROR(""&amp;INDEX(tk_MARK,MATCH(3,tk_DSEQ,0)),"")</f>
        <v/>
      </c>
      <c r="B8" s="70">
        <f>IFERROR(INDEX(tk_QTY,MATCH(3,tk_DSEQ,0)),"")</f>
        <v/>
      </c>
      <c r="C8" s="70">
        <f>IFERROR(INDEX(tk_ROOMF,MATCH(3,tk_DSEQ,0))&amp;IF(INDEX(tk_ROOMT,MATCH(3,tk_DSEQ,0))="",""," → "&amp;INDEX(tk_ROOMT,MATCH(3,tk_DSEQ,0))),"")</f>
        <v/>
      </c>
      <c r="D8" s="70">
        <f>IFERROR(INDEX(tk_LEAVES,MATCH(3,tk_DSEQ,0)),"")</f>
        <v/>
      </c>
      <c r="E8" s="70">
        <f>IFERROR(""&amp;INDEX(tk_RATING,MATCH(3,tk_DSEQ,0)),"")</f>
        <v/>
      </c>
      <c r="F8" s="70">
        <f>IFERROR(TEXT(INDEX(tk_LEAFW,MATCH(3,tk_DSEQ,0)),"0.000")&amp;" x "&amp;TEXT(INDEX(tk_LEAFH,MATCH(3,tk_DSEQ,0)),"0.000"),"")</f>
        <v/>
      </c>
      <c r="G8" s="70">
        <f>IFERROR(""&amp;INDEX(tk_DLINE,MATCH(3,tk_DSEQ,0)),"")</f>
        <v/>
      </c>
      <c r="H8" s="70">
        <f>IFERROR(""&amp;INDEX(tk_DNOTES,MATCH(3,tk_DSEQ,0)),"")</f>
        <v/>
      </c>
    </row>
    <row r="9">
      <c r="A9" s="70">
        <f>IFERROR(""&amp;INDEX(tk_MARK,MATCH(4,tk_DSEQ,0)),"")</f>
        <v/>
      </c>
      <c r="B9" s="70">
        <f>IFERROR(INDEX(tk_QTY,MATCH(4,tk_DSEQ,0)),"")</f>
        <v/>
      </c>
      <c r="C9" s="70">
        <f>IFERROR(INDEX(tk_ROOMF,MATCH(4,tk_DSEQ,0))&amp;IF(INDEX(tk_ROOMT,MATCH(4,tk_DSEQ,0))="",""," → "&amp;INDEX(tk_ROOMT,MATCH(4,tk_DSEQ,0))),"")</f>
        <v/>
      </c>
      <c r="D9" s="70">
        <f>IFERROR(INDEX(tk_LEAVES,MATCH(4,tk_DSEQ,0)),"")</f>
        <v/>
      </c>
      <c r="E9" s="70">
        <f>IFERROR(""&amp;INDEX(tk_RATING,MATCH(4,tk_DSEQ,0)),"")</f>
        <v/>
      </c>
      <c r="F9" s="70">
        <f>IFERROR(TEXT(INDEX(tk_LEAFW,MATCH(4,tk_DSEQ,0)),"0.000")&amp;" x "&amp;TEXT(INDEX(tk_LEAFH,MATCH(4,tk_DSEQ,0)),"0.000"),"")</f>
        <v/>
      </c>
      <c r="G9" s="70">
        <f>IFERROR(""&amp;INDEX(tk_DLINE,MATCH(4,tk_DSEQ,0)),"")</f>
        <v/>
      </c>
      <c r="H9" s="70">
        <f>IFERROR(""&amp;INDEX(tk_DNOTES,MATCH(4,tk_DSEQ,0)),"")</f>
        <v/>
      </c>
    </row>
    <row r="10">
      <c r="A10" s="70">
        <f>IFERROR(""&amp;INDEX(tk_MARK,MATCH(5,tk_DSEQ,0)),"")</f>
        <v/>
      </c>
      <c r="B10" s="70">
        <f>IFERROR(INDEX(tk_QTY,MATCH(5,tk_DSEQ,0)),"")</f>
        <v/>
      </c>
      <c r="C10" s="70">
        <f>IFERROR(INDEX(tk_ROOMF,MATCH(5,tk_DSEQ,0))&amp;IF(INDEX(tk_ROOMT,MATCH(5,tk_DSEQ,0))="",""," → "&amp;INDEX(tk_ROOMT,MATCH(5,tk_DSEQ,0))),"")</f>
        <v/>
      </c>
      <c r="D10" s="70">
        <f>IFERROR(INDEX(tk_LEAVES,MATCH(5,tk_DSEQ,0)),"")</f>
        <v/>
      </c>
      <c r="E10" s="70">
        <f>IFERROR(""&amp;INDEX(tk_RATING,MATCH(5,tk_DSEQ,0)),"")</f>
        <v/>
      </c>
      <c r="F10" s="70">
        <f>IFERROR(TEXT(INDEX(tk_LEAFW,MATCH(5,tk_DSEQ,0)),"0.000")&amp;" x "&amp;TEXT(INDEX(tk_LEAFH,MATCH(5,tk_DSEQ,0)),"0.000"),"")</f>
        <v/>
      </c>
      <c r="G10" s="70">
        <f>IFERROR(""&amp;INDEX(tk_DLINE,MATCH(5,tk_DSEQ,0)),"")</f>
        <v/>
      </c>
      <c r="H10" s="70">
        <f>IFERROR(""&amp;INDEX(tk_DNOTES,MATCH(5,tk_DSEQ,0)),"")</f>
        <v/>
      </c>
    </row>
    <row r="11">
      <c r="A11" s="70">
        <f>IFERROR(""&amp;INDEX(tk_MARK,MATCH(6,tk_DSEQ,0)),"")</f>
        <v/>
      </c>
      <c r="B11" s="70">
        <f>IFERROR(INDEX(tk_QTY,MATCH(6,tk_DSEQ,0)),"")</f>
        <v/>
      </c>
      <c r="C11" s="70">
        <f>IFERROR(INDEX(tk_ROOMF,MATCH(6,tk_DSEQ,0))&amp;IF(INDEX(tk_ROOMT,MATCH(6,tk_DSEQ,0))="",""," → "&amp;INDEX(tk_ROOMT,MATCH(6,tk_DSEQ,0))),"")</f>
        <v/>
      </c>
      <c r="D11" s="70">
        <f>IFERROR(INDEX(tk_LEAVES,MATCH(6,tk_DSEQ,0)),"")</f>
        <v/>
      </c>
      <c r="E11" s="70">
        <f>IFERROR(""&amp;INDEX(tk_RATING,MATCH(6,tk_DSEQ,0)),"")</f>
        <v/>
      </c>
      <c r="F11" s="70">
        <f>IFERROR(TEXT(INDEX(tk_LEAFW,MATCH(6,tk_DSEQ,0)),"0.000")&amp;" x "&amp;TEXT(INDEX(tk_LEAFH,MATCH(6,tk_DSEQ,0)),"0.000"),"")</f>
        <v/>
      </c>
      <c r="G11" s="70">
        <f>IFERROR(""&amp;INDEX(tk_DLINE,MATCH(6,tk_DSEQ,0)),"")</f>
        <v/>
      </c>
      <c r="H11" s="70">
        <f>IFERROR(""&amp;INDEX(tk_DNOTES,MATCH(6,tk_DSEQ,0)),"")</f>
        <v/>
      </c>
    </row>
    <row r="12">
      <c r="A12" s="70">
        <f>IFERROR(""&amp;INDEX(tk_MARK,MATCH(7,tk_DSEQ,0)),"")</f>
        <v/>
      </c>
      <c r="B12" s="70">
        <f>IFERROR(INDEX(tk_QTY,MATCH(7,tk_DSEQ,0)),"")</f>
        <v/>
      </c>
      <c r="C12" s="70">
        <f>IFERROR(INDEX(tk_ROOMF,MATCH(7,tk_DSEQ,0))&amp;IF(INDEX(tk_ROOMT,MATCH(7,tk_DSEQ,0))="",""," → "&amp;INDEX(tk_ROOMT,MATCH(7,tk_DSEQ,0))),"")</f>
        <v/>
      </c>
      <c r="D12" s="70">
        <f>IFERROR(INDEX(tk_LEAVES,MATCH(7,tk_DSEQ,0)),"")</f>
        <v/>
      </c>
      <c r="E12" s="70">
        <f>IFERROR(""&amp;INDEX(tk_RATING,MATCH(7,tk_DSEQ,0)),"")</f>
        <v/>
      </c>
      <c r="F12" s="70">
        <f>IFERROR(TEXT(INDEX(tk_LEAFW,MATCH(7,tk_DSEQ,0)),"0.000")&amp;" x "&amp;TEXT(INDEX(tk_LEAFH,MATCH(7,tk_DSEQ,0)),"0.000"),"")</f>
        <v/>
      </c>
      <c r="G12" s="70">
        <f>IFERROR(""&amp;INDEX(tk_DLINE,MATCH(7,tk_DSEQ,0)),"")</f>
        <v/>
      </c>
      <c r="H12" s="70">
        <f>IFERROR(""&amp;INDEX(tk_DNOTES,MATCH(7,tk_DSEQ,0)),"")</f>
        <v/>
      </c>
    </row>
    <row r="13">
      <c r="A13" s="70">
        <f>IFERROR(""&amp;INDEX(tk_MARK,MATCH(8,tk_DSEQ,0)),"")</f>
        <v/>
      </c>
      <c r="B13" s="70">
        <f>IFERROR(INDEX(tk_QTY,MATCH(8,tk_DSEQ,0)),"")</f>
        <v/>
      </c>
      <c r="C13" s="70">
        <f>IFERROR(INDEX(tk_ROOMF,MATCH(8,tk_DSEQ,0))&amp;IF(INDEX(tk_ROOMT,MATCH(8,tk_DSEQ,0))="",""," → "&amp;INDEX(tk_ROOMT,MATCH(8,tk_DSEQ,0))),"")</f>
        <v/>
      </c>
      <c r="D13" s="70">
        <f>IFERROR(INDEX(tk_LEAVES,MATCH(8,tk_DSEQ,0)),"")</f>
        <v/>
      </c>
      <c r="E13" s="70">
        <f>IFERROR(""&amp;INDEX(tk_RATING,MATCH(8,tk_DSEQ,0)),"")</f>
        <v/>
      </c>
      <c r="F13" s="70">
        <f>IFERROR(TEXT(INDEX(tk_LEAFW,MATCH(8,tk_DSEQ,0)),"0.000")&amp;" x "&amp;TEXT(INDEX(tk_LEAFH,MATCH(8,tk_DSEQ,0)),"0.000"),"")</f>
        <v/>
      </c>
      <c r="G13" s="70">
        <f>IFERROR(""&amp;INDEX(tk_DLINE,MATCH(8,tk_DSEQ,0)),"")</f>
        <v/>
      </c>
      <c r="H13" s="70">
        <f>IFERROR(""&amp;INDEX(tk_DNOTES,MATCH(8,tk_DSEQ,0)),"")</f>
        <v/>
      </c>
    </row>
    <row r="14">
      <c r="A14" s="70">
        <f>IFERROR(""&amp;INDEX(tk_MARK,MATCH(9,tk_DSEQ,0)),"")</f>
        <v/>
      </c>
      <c r="B14" s="70">
        <f>IFERROR(INDEX(tk_QTY,MATCH(9,tk_DSEQ,0)),"")</f>
        <v/>
      </c>
      <c r="C14" s="70">
        <f>IFERROR(INDEX(tk_ROOMF,MATCH(9,tk_DSEQ,0))&amp;IF(INDEX(tk_ROOMT,MATCH(9,tk_DSEQ,0))="",""," → "&amp;INDEX(tk_ROOMT,MATCH(9,tk_DSEQ,0))),"")</f>
        <v/>
      </c>
      <c r="D14" s="70">
        <f>IFERROR(INDEX(tk_LEAVES,MATCH(9,tk_DSEQ,0)),"")</f>
        <v/>
      </c>
      <c r="E14" s="70">
        <f>IFERROR(""&amp;INDEX(tk_RATING,MATCH(9,tk_DSEQ,0)),"")</f>
        <v/>
      </c>
      <c r="F14" s="70">
        <f>IFERROR(TEXT(INDEX(tk_LEAFW,MATCH(9,tk_DSEQ,0)),"0.000")&amp;" x "&amp;TEXT(INDEX(tk_LEAFH,MATCH(9,tk_DSEQ,0)),"0.000"),"")</f>
        <v/>
      </c>
      <c r="G14" s="70">
        <f>IFERROR(""&amp;INDEX(tk_DLINE,MATCH(9,tk_DSEQ,0)),"")</f>
        <v/>
      </c>
      <c r="H14" s="70">
        <f>IFERROR(""&amp;INDEX(tk_DNOTES,MATCH(9,tk_DSEQ,0)),"")</f>
        <v/>
      </c>
    </row>
    <row r="15">
      <c r="A15" s="70">
        <f>IFERROR(""&amp;INDEX(tk_MARK,MATCH(10,tk_DSEQ,0)),"")</f>
        <v/>
      </c>
      <c r="B15" s="70">
        <f>IFERROR(INDEX(tk_QTY,MATCH(10,tk_DSEQ,0)),"")</f>
        <v/>
      </c>
      <c r="C15" s="70">
        <f>IFERROR(INDEX(tk_ROOMF,MATCH(10,tk_DSEQ,0))&amp;IF(INDEX(tk_ROOMT,MATCH(10,tk_DSEQ,0))="",""," → "&amp;INDEX(tk_ROOMT,MATCH(10,tk_DSEQ,0))),"")</f>
        <v/>
      </c>
      <c r="D15" s="70">
        <f>IFERROR(INDEX(tk_LEAVES,MATCH(10,tk_DSEQ,0)),"")</f>
        <v/>
      </c>
      <c r="E15" s="70">
        <f>IFERROR(""&amp;INDEX(tk_RATING,MATCH(10,tk_DSEQ,0)),"")</f>
        <v/>
      </c>
      <c r="F15" s="70">
        <f>IFERROR(TEXT(INDEX(tk_LEAFW,MATCH(10,tk_DSEQ,0)),"0.000")&amp;" x "&amp;TEXT(INDEX(tk_LEAFH,MATCH(10,tk_DSEQ,0)),"0.000"),"")</f>
        <v/>
      </c>
      <c r="G15" s="70">
        <f>IFERROR(""&amp;INDEX(tk_DLINE,MATCH(10,tk_DSEQ,0)),"")</f>
        <v/>
      </c>
      <c r="H15" s="70">
        <f>IFERROR(""&amp;INDEX(tk_DNOTES,MATCH(10,tk_DSEQ,0)),"")</f>
        <v/>
      </c>
    </row>
    <row r="16">
      <c r="A16" s="70">
        <f>IFERROR(""&amp;INDEX(tk_MARK,MATCH(11,tk_DSEQ,0)),"")</f>
        <v/>
      </c>
      <c r="B16" s="70">
        <f>IFERROR(INDEX(tk_QTY,MATCH(11,tk_DSEQ,0)),"")</f>
        <v/>
      </c>
      <c r="C16" s="70">
        <f>IFERROR(INDEX(tk_ROOMF,MATCH(11,tk_DSEQ,0))&amp;IF(INDEX(tk_ROOMT,MATCH(11,tk_DSEQ,0))="",""," → "&amp;INDEX(tk_ROOMT,MATCH(11,tk_DSEQ,0))),"")</f>
        <v/>
      </c>
      <c r="D16" s="70">
        <f>IFERROR(INDEX(tk_LEAVES,MATCH(11,tk_DSEQ,0)),"")</f>
        <v/>
      </c>
      <c r="E16" s="70">
        <f>IFERROR(""&amp;INDEX(tk_RATING,MATCH(11,tk_DSEQ,0)),"")</f>
        <v/>
      </c>
      <c r="F16" s="70">
        <f>IFERROR(TEXT(INDEX(tk_LEAFW,MATCH(11,tk_DSEQ,0)),"0.000")&amp;" x "&amp;TEXT(INDEX(tk_LEAFH,MATCH(11,tk_DSEQ,0)),"0.000"),"")</f>
        <v/>
      </c>
      <c r="G16" s="70">
        <f>IFERROR(""&amp;INDEX(tk_DLINE,MATCH(11,tk_DSEQ,0)),"")</f>
        <v/>
      </c>
      <c r="H16" s="70">
        <f>IFERROR(""&amp;INDEX(tk_DNOTES,MATCH(11,tk_DSEQ,0)),"")</f>
        <v/>
      </c>
    </row>
    <row r="17">
      <c r="A17" s="70">
        <f>IFERROR(""&amp;INDEX(tk_MARK,MATCH(12,tk_DSEQ,0)),"")</f>
        <v/>
      </c>
      <c r="B17" s="70">
        <f>IFERROR(INDEX(tk_QTY,MATCH(12,tk_DSEQ,0)),"")</f>
        <v/>
      </c>
      <c r="C17" s="70">
        <f>IFERROR(INDEX(tk_ROOMF,MATCH(12,tk_DSEQ,0))&amp;IF(INDEX(tk_ROOMT,MATCH(12,tk_DSEQ,0))="",""," → "&amp;INDEX(tk_ROOMT,MATCH(12,tk_DSEQ,0))),"")</f>
        <v/>
      </c>
      <c r="D17" s="70">
        <f>IFERROR(INDEX(tk_LEAVES,MATCH(12,tk_DSEQ,0)),"")</f>
        <v/>
      </c>
      <c r="E17" s="70">
        <f>IFERROR(""&amp;INDEX(tk_RATING,MATCH(12,tk_DSEQ,0)),"")</f>
        <v/>
      </c>
      <c r="F17" s="70">
        <f>IFERROR(TEXT(INDEX(tk_LEAFW,MATCH(12,tk_DSEQ,0)),"0.000")&amp;" x "&amp;TEXT(INDEX(tk_LEAFH,MATCH(12,tk_DSEQ,0)),"0.000"),"")</f>
        <v/>
      </c>
      <c r="G17" s="70">
        <f>IFERROR(""&amp;INDEX(tk_DLINE,MATCH(12,tk_DSEQ,0)),"")</f>
        <v/>
      </c>
      <c r="H17" s="70">
        <f>IFERROR(""&amp;INDEX(tk_DNOTES,MATCH(12,tk_DSEQ,0)),"")</f>
        <v/>
      </c>
    </row>
    <row r="18">
      <c r="A18" s="70">
        <f>IFERROR(""&amp;INDEX(tk_MARK,MATCH(13,tk_DSEQ,0)),"")</f>
        <v/>
      </c>
      <c r="B18" s="70">
        <f>IFERROR(INDEX(tk_QTY,MATCH(13,tk_DSEQ,0)),"")</f>
        <v/>
      </c>
      <c r="C18" s="70">
        <f>IFERROR(INDEX(tk_ROOMF,MATCH(13,tk_DSEQ,0))&amp;IF(INDEX(tk_ROOMT,MATCH(13,tk_DSEQ,0))="",""," → "&amp;INDEX(tk_ROOMT,MATCH(13,tk_DSEQ,0))),"")</f>
        <v/>
      </c>
      <c r="D18" s="70">
        <f>IFERROR(INDEX(tk_LEAVES,MATCH(13,tk_DSEQ,0)),"")</f>
        <v/>
      </c>
      <c r="E18" s="70">
        <f>IFERROR(""&amp;INDEX(tk_RATING,MATCH(13,tk_DSEQ,0)),"")</f>
        <v/>
      </c>
      <c r="F18" s="70">
        <f>IFERROR(TEXT(INDEX(tk_LEAFW,MATCH(13,tk_DSEQ,0)),"0.000")&amp;" x "&amp;TEXT(INDEX(tk_LEAFH,MATCH(13,tk_DSEQ,0)),"0.000"),"")</f>
        <v/>
      </c>
      <c r="G18" s="70">
        <f>IFERROR(""&amp;INDEX(tk_DLINE,MATCH(13,tk_DSEQ,0)),"")</f>
        <v/>
      </c>
      <c r="H18" s="70">
        <f>IFERROR(""&amp;INDEX(tk_DNOTES,MATCH(13,tk_DSEQ,0)),"")</f>
        <v/>
      </c>
    </row>
    <row r="19">
      <c r="A19" s="70">
        <f>IFERROR(""&amp;INDEX(tk_MARK,MATCH(14,tk_DSEQ,0)),"")</f>
        <v/>
      </c>
      <c r="B19" s="70">
        <f>IFERROR(INDEX(tk_QTY,MATCH(14,tk_DSEQ,0)),"")</f>
        <v/>
      </c>
      <c r="C19" s="70">
        <f>IFERROR(INDEX(tk_ROOMF,MATCH(14,tk_DSEQ,0))&amp;IF(INDEX(tk_ROOMT,MATCH(14,tk_DSEQ,0))="",""," → "&amp;INDEX(tk_ROOMT,MATCH(14,tk_DSEQ,0))),"")</f>
        <v/>
      </c>
      <c r="D19" s="70">
        <f>IFERROR(INDEX(tk_LEAVES,MATCH(14,tk_DSEQ,0)),"")</f>
        <v/>
      </c>
      <c r="E19" s="70">
        <f>IFERROR(""&amp;INDEX(tk_RATING,MATCH(14,tk_DSEQ,0)),"")</f>
        <v/>
      </c>
      <c r="F19" s="70">
        <f>IFERROR(TEXT(INDEX(tk_LEAFW,MATCH(14,tk_DSEQ,0)),"0.000")&amp;" x "&amp;TEXT(INDEX(tk_LEAFH,MATCH(14,tk_DSEQ,0)),"0.000"),"")</f>
        <v/>
      </c>
      <c r="G19" s="70">
        <f>IFERROR(""&amp;INDEX(tk_DLINE,MATCH(14,tk_DSEQ,0)),"")</f>
        <v/>
      </c>
      <c r="H19" s="70">
        <f>IFERROR(""&amp;INDEX(tk_DNOTES,MATCH(14,tk_DSEQ,0)),"")</f>
        <v/>
      </c>
    </row>
    <row r="20">
      <c r="A20" s="70">
        <f>IFERROR(""&amp;INDEX(tk_MARK,MATCH(15,tk_DSEQ,0)),"")</f>
        <v/>
      </c>
      <c r="B20" s="70">
        <f>IFERROR(INDEX(tk_QTY,MATCH(15,tk_DSEQ,0)),"")</f>
        <v/>
      </c>
      <c r="C20" s="70">
        <f>IFERROR(INDEX(tk_ROOMF,MATCH(15,tk_DSEQ,0))&amp;IF(INDEX(tk_ROOMT,MATCH(15,tk_DSEQ,0))="",""," → "&amp;INDEX(tk_ROOMT,MATCH(15,tk_DSEQ,0))),"")</f>
        <v/>
      </c>
      <c r="D20" s="70">
        <f>IFERROR(INDEX(tk_LEAVES,MATCH(15,tk_DSEQ,0)),"")</f>
        <v/>
      </c>
      <c r="E20" s="70">
        <f>IFERROR(""&amp;INDEX(tk_RATING,MATCH(15,tk_DSEQ,0)),"")</f>
        <v/>
      </c>
      <c r="F20" s="70">
        <f>IFERROR(TEXT(INDEX(tk_LEAFW,MATCH(15,tk_DSEQ,0)),"0.000")&amp;" x "&amp;TEXT(INDEX(tk_LEAFH,MATCH(15,tk_DSEQ,0)),"0.000"),"")</f>
        <v/>
      </c>
      <c r="G20" s="70">
        <f>IFERROR(""&amp;INDEX(tk_DLINE,MATCH(15,tk_DSEQ,0)),"")</f>
        <v/>
      </c>
      <c r="H20" s="70">
        <f>IFERROR(""&amp;INDEX(tk_DNOTES,MATCH(15,tk_DSEQ,0)),"")</f>
        <v/>
      </c>
    </row>
    <row r="21">
      <c r="A21" s="70">
        <f>IFERROR(""&amp;INDEX(tk_MARK,MATCH(16,tk_DSEQ,0)),"")</f>
        <v/>
      </c>
      <c r="B21" s="70">
        <f>IFERROR(INDEX(tk_QTY,MATCH(16,tk_DSEQ,0)),"")</f>
        <v/>
      </c>
      <c r="C21" s="70">
        <f>IFERROR(INDEX(tk_ROOMF,MATCH(16,tk_DSEQ,0))&amp;IF(INDEX(tk_ROOMT,MATCH(16,tk_DSEQ,0))="",""," → "&amp;INDEX(tk_ROOMT,MATCH(16,tk_DSEQ,0))),"")</f>
        <v/>
      </c>
      <c r="D21" s="70">
        <f>IFERROR(INDEX(tk_LEAVES,MATCH(16,tk_DSEQ,0)),"")</f>
        <v/>
      </c>
      <c r="E21" s="70">
        <f>IFERROR(""&amp;INDEX(tk_RATING,MATCH(16,tk_DSEQ,0)),"")</f>
        <v/>
      </c>
      <c r="F21" s="70">
        <f>IFERROR(TEXT(INDEX(tk_LEAFW,MATCH(16,tk_DSEQ,0)),"0.000")&amp;" x "&amp;TEXT(INDEX(tk_LEAFH,MATCH(16,tk_DSEQ,0)),"0.000"),"")</f>
        <v/>
      </c>
      <c r="G21" s="70">
        <f>IFERROR(""&amp;INDEX(tk_DLINE,MATCH(16,tk_DSEQ,0)),"")</f>
        <v/>
      </c>
      <c r="H21" s="70">
        <f>IFERROR(""&amp;INDEX(tk_DNOTES,MATCH(16,tk_DSEQ,0)),"")</f>
        <v/>
      </c>
    </row>
    <row r="22">
      <c r="A22" s="70">
        <f>IFERROR(""&amp;INDEX(tk_MARK,MATCH(17,tk_DSEQ,0)),"")</f>
        <v/>
      </c>
      <c r="B22" s="70">
        <f>IFERROR(INDEX(tk_QTY,MATCH(17,tk_DSEQ,0)),"")</f>
        <v/>
      </c>
      <c r="C22" s="70">
        <f>IFERROR(INDEX(tk_ROOMF,MATCH(17,tk_DSEQ,0))&amp;IF(INDEX(tk_ROOMT,MATCH(17,tk_DSEQ,0))="",""," → "&amp;INDEX(tk_ROOMT,MATCH(17,tk_DSEQ,0))),"")</f>
        <v/>
      </c>
      <c r="D22" s="70">
        <f>IFERROR(INDEX(tk_LEAVES,MATCH(17,tk_DSEQ,0)),"")</f>
        <v/>
      </c>
      <c r="E22" s="70">
        <f>IFERROR(""&amp;INDEX(tk_RATING,MATCH(17,tk_DSEQ,0)),"")</f>
        <v/>
      </c>
      <c r="F22" s="70">
        <f>IFERROR(TEXT(INDEX(tk_LEAFW,MATCH(17,tk_DSEQ,0)),"0.000")&amp;" x "&amp;TEXT(INDEX(tk_LEAFH,MATCH(17,tk_DSEQ,0)),"0.000"),"")</f>
        <v/>
      </c>
      <c r="G22" s="70">
        <f>IFERROR(""&amp;INDEX(tk_DLINE,MATCH(17,tk_DSEQ,0)),"")</f>
        <v/>
      </c>
      <c r="H22" s="70">
        <f>IFERROR(""&amp;INDEX(tk_DNOTES,MATCH(17,tk_DSEQ,0)),"")</f>
        <v/>
      </c>
    </row>
    <row r="23">
      <c r="A23" s="70">
        <f>IFERROR(""&amp;INDEX(tk_MARK,MATCH(18,tk_DSEQ,0)),"")</f>
        <v/>
      </c>
      <c r="B23" s="70">
        <f>IFERROR(INDEX(tk_QTY,MATCH(18,tk_DSEQ,0)),"")</f>
        <v/>
      </c>
      <c r="C23" s="70">
        <f>IFERROR(INDEX(tk_ROOMF,MATCH(18,tk_DSEQ,0))&amp;IF(INDEX(tk_ROOMT,MATCH(18,tk_DSEQ,0))="",""," → "&amp;INDEX(tk_ROOMT,MATCH(18,tk_DSEQ,0))),"")</f>
        <v/>
      </c>
      <c r="D23" s="70">
        <f>IFERROR(INDEX(tk_LEAVES,MATCH(18,tk_DSEQ,0)),"")</f>
        <v/>
      </c>
      <c r="E23" s="70">
        <f>IFERROR(""&amp;INDEX(tk_RATING,MATCH(18,tk_DSEQ,0)),"")</f>
        <v/>
      </c>
      <c r="F23" s="70">
        <f>IFERROR(TEXT(INDEX(tk_LEAFW,MATCH(18,tk_DSEQ,0)),"0.000")&amp;" x "&amp;TEXT(INDEX(tk_LEAFH,MATCH(18,tk_DSEQ,0)),"0.000"),"")</f>
        <v/>
      </c>
      <c r="G23" s="70">
        <f>IFERROR(""&amp;INDEX(tk_DLINE,MATCH(18,tk_DSEQ,0)),"")</f>
        <v/>
      </c>
      <c r="H23" s="70">
        <f>IFERROR(""&amp;INDEX(tk_DNOTES,MATCH(18,tk_DSEQ,0)),"")</f>
        <v/>
      </c>
    </row>
    <row r="24">
      <c r="A24" s="70">
        <f>IFERROR(""&amp;INDEX(tk_MARK,MATCH(19,tk_DSEQ,0)),"")</f>
        <v/>
      </c>
      <c r="B24" s="70">
        <f>IFERROR(INDEX(tk_QTY,MATCH(19,tk_DSEQ,0)),"")</f>
        <v/>
      </c>
      <c r="C24" s="70">
        <f>IFERROR(INDEX(tk_ROOMF,MATCH(19,tk_DSEQ,0))&amp;IF(INDEX(tk_ROOMT,MATCH(19,tk_DSEQ,0))="",""," → "&amp;INDEX(tk_ROOMT,MATCH(19,tk_DSEQ,0))),"")</f>
        <v/>
      </c>
      <c r="D24" s="70">
        <f>IFERROR(INDEX(tk_LEAVES,MATCH(19,tk_DSEQ,0)),"")</f>
        <v/>
      </c>
      <c r="E24" s="70">
        <f>IFERROR(""&amp;INDEX(tk_RATING,MATCH(19,tk_DSEQ,0)),"")</f>
        <v/>
      </c>
      <c r="F24" s="70">
        <f>IFERROR(TEXT(INDEX(tk_LEAFW,MATCH(19,tk_DSEQ,0)),"0.000")&amp;" x "&amp;TEXT(INDEX(tk_LEAFH,MATCH(19,tk_DSEQ,0)),"0.000"),"")</f>
        <v/>
      </c>
      <c r="G24" s="70">
        <f>IFERROR(""&amp;INDEX(tk_DLINE,MATCH(19,tk_DSEQ,0)),"")</f>
        <v/>
      </c>
      <c r="H24" s="70">
        <f>IFERROR(""&amp;INDEX(tk_DNOTES,MATCH(19,tk_DSEQ,0)),"")</f>
        <v/>
      </c>
    </row>
    <row r="25">
      <c r="A25" s="70">
        <f>IFERROR(""&amp;INDEX(tk_MARK,MATCH(20,tk_DSEQ,0)),"")</f>
        <v/>
      </c>
      <c r="B25" s="70">
        <f>IFERROR(INDEX(tk_QTY,MATCH(20,tk_DSEQ,0)),"")</f>
        <v/>
      </c>
      <c r="C25" s="70">
        <f>IFERROR(INDEX(tk_ROOMF,MATCH(20,tk_DSEQ,0))&amp;IF(INDEX(tk_ROOMT,MATCH(20,tk_DSEQ,0))="",""," → "&amp;INDEX(tk_ROOMT,MATCH(20,tk_DSEQ,0))),"")</f>
        <v/>
      </c>
      <c r="D25" s="70">
        <f>IFERROR(INDEX(tk_LEAVES,MATCH(20,tk_DSEQ,0)),"")</f>
        <v/>
      </c>
      <c r="E25" s="70">
        <f>IFERROR(""&amp;INDEX(tk_RATING,MATCH(20,tk_DSEQ,0)),"")</f>
        <v/>
      </c>
      <c r="F25" s="70">
        <f>IFERROR(TEXT(INDEX(tk_LEAFW,MATCH(20,tk_DSEQ,0)),"0.000")&amp;" x "&amp;TEXT(INDEX(tk_LEAFH,MATCH(20,tk_DSEQ,0)),"0.000"),"")</f>
        <v/>
      </c>
      <c r="G25" s="70">
        <f>IFERROR(""&amp;INDEX(tk_DLINE,MATCH(20,tk_DSEQ,0)),"")</f>
        <v/>
      </c>
      <c r="H25" s="70">
        <f>IFERROR(""&amp;INDEX(tk_DNOTES,MATCH(20,tk_DSEQ,0)),"")</f>
        <v/>
      </c>
    </row>
    <row r="26">
      <c r="A26" s="70">
        <f>IFERROR(""&amp;INDEX(tk_MARK,MATCH(21,tk_DSEQ,0)),"")</f>
        <v/>
      </c>
      <c r="B26" s="70">
        <f>IFERROR(INDEX(tk_QTY,MATCH(21,tk_DSEQ,0)),"")</f>
        <v/>
      </c>
      <c r="C26" s="70">
        <f>IFERROR(INDEX(tk_ROOMF,MATCH(21,tk_DSEQ,0))&amp;IF(INDEX(tk_ROOMT,MATCH(21,tk_DSEQ,0))="",""," → "&amp;INDEX(tk_ROOMT,MATCH(21,tk_DSEQ,0))),"")</f>
        <v/>
      </c>
      <c r="D26" s="70">
        <f>IFERROR(INDEX(tk_LEAVES,MATCH(21,tk_DSEQ,0)),"")</f>
        <v/>
      </c>
      <c r="E26" s="70">
        <f>IFERROR(""&amp;INDEX(tk_RATING,MATCH(21,tk_DSEQ,0)),"")</f>
        <v/>
      </c>
      <c r="F26" s="70">
        <f>IFERROR(TEXT(INDEX(tk_LEAFW,MATCH(21,tk_DSEQ,0)),"0.000")&amp;" x "&amp;TEXT(INDEX(tk_LEAFH,MATCH(21,tk_DSEQ,0)),"0.000"),"")</f>
        <v/>
      </c>
      <c r="G26" s="70">
        <f>IFERROR(""&amp;INDEX(tk_DLINE,MATCH(21,tk_DSEQ,0)),"")</f>
        <v/>
      </c>
      <c r="H26" s="70">
        <f>IFERROR(""&amp;INDEX(tk_DNOTES,MATCH(21,tk_DSEQ,0)),"")</f>
        <v/>
      </c>
    </row>
    <row r="27">
      <c r="A27" s="70">
        <f>IFERROR(""&amp;INDEX(tk_MARK,MATCH(22,tk_DSEQ,0)),"")</f>
        <v/>
      </c>
      <c r="B27" s="70">
        <f>IFERROR(INDEX(tk_QTY,MATCH(22,tk_DSEQ,0)),"")</f>
        <v/>
      </c>
      <c r="C27" s="70">
        <f>IFERROR(INDEX(tk_ROOMF,MATCH(22,tk_DSEQ,0))&amp;IF(INDEX(tk_ROOMT,MATCH(22,tk_DSEQ,0))="",""," → "&amp;INDEX(tk_ROOMT,MATCH(22,tk_DSEQ,0))),"")</f>
        <v/>
      </c>
      <c r="D27" s="70">
        <f>IFERROR(INDEX(tk_LEAVES,MATCH(22,tk_DSEQ,0)),"")</f>
        <v/>
      </c>
      <c r="E27" s="70">
        <f>IFERROR(""&amp;INDEX(tk_RATING,MATCH(22,tk_DSEQ,0)),"")</f>
        <v/>
      </c>
      <c r="F27" s="70">
        <f>IFERROR(TEXT(INDEX(tk_LEAFW,MATCH(22,tk_DSEQ,0)),"0.000")&amp;" x "&amp;TEXT(INDEX(tk_LEAFH,MATCH(22,tk_DSEQ,0)),"0.000"),"")</f>
        <v/>
      </c>
      <c r="G27" s="70">
        <f>IFERROR(""&amp;INDEX(tk_DLINE,MATCH(22,tk_DSEQ,0)),"")</f>
        <v/>
      </c>
      <c r="H27" s="70">
        <f>IFERROR(""&amp;INDEX(tk_DNOTES,MATCH(22,tk_DSEQ,0)),"")</f>
        <v/>
      </c>
    </row>
    <row r="28">
      <c r="A28" s="70">
        <f>IFERROR(""&amp;INDEX(tk_MARK,MATCH(23,tk_DSEQ,0)),"")</f>
        <v/>
      </c>
      <c r="B28" s="70">
        <f>IFERROR(INDEX(tk_QTY,MATCH(23,tk_DSEQ,0)),"")</f>
        <v/>
      </c>
      <c r="C28" s="70">
        <f>IFERROR(INDEX(tk_ROOMF,MATCH(23,tk_DSEQ,0))&amp;IF(INDEX(tk_ROOMT,MATCH(23,tk_DSEQ,0))="",""," → "&amp;INDEX(tk_ROOMT,MATCH(23,tk_DSEQ,0))),"")</f>
        <v/>
      </c>
      <c r="D28" s="70">
        <f>IFERROR(INDEX(tk_LEAVES,MATCH(23,tk_DSEQ,0)),"")</f>
        <v/>
      </c>
      <c r="E28" s="70">
        <f>IFERROR(""&amp;INDEX(tk_RATING,MATCH(23,tk_DSEQ,0)),"")</f>
        <v/>
      </c>
      <c r="F28" s="70">
        <f>IFERROR(TEXT(INDEX(tk_LEAFW,MATCH(23,tk_DSEQ,0)),"0.000")&amp;" x "&amp;TEXT(INDEX(tk_LEAFH,MATCH(23,tk_DSEQ,0)),"0.000"),"")</f>
        <v/>
      </c>
      <c r="G28" s="70">
        <f>IFERROR(""&amp;INDEX(tk_DLINE,MATCH(23,tk_DSEQ,0)),"")</f>
        <v/>
      </c>
      <c r="H28" s="70">
        <f>IFERROR(""&amp;INDEX(tk_DNOTES,MATCH(23,tk_DSEQ,0)),"")</f>
        <v/>
      </c>
    </row>
    <row r="29">
      <c r="A29" s="70">
        <f>IFERROR(""&amp;INDEX(tk_MARK,MATCH(24,tk_DSEQ,0)),"")</f>
        <v/>
      </c>
      <c r="B29" s="70">
        <f>IFERROR(INDEX(tk_QTY,MATCH(24,tk_DSEQ,0)),"")</f>
        <v/>
      </c>
      <c r="C29" s="70">
        <f>IFERROR(INDEX(tk_ROOMF,MATCH(24,tk_DSEQ,0))&amp;IF(INDEX(tk_ROOMT,MATCH(24,tk_DSEQ,0))="",""," → "&amp;INDEX(tk_ROOMT,MATCH(24,tk_DSEQ,0))),"")</f>
        <v/>
      </c>
      <c r="D29" s="70">
        <f>IFERROR(INDEX(tk_LEAVES,MATCH(24,tk_DSEQ,0)),"")</f>
        <v/>
      </c>
      <c r="E29" s="70">
        <f>IFERROR(""&amp;INDEX(tk_RATING,MATCH(24,tk_DSEQ,0)),"")</f>
        <v/>
      </c>
      <c r="F29" s="70">
        <f>IFERROR(TEXT(INDEX(tk_LEAFW,MATCH(24,tk_DSEQ,0)),"0.000")&amp;" x "&amp;TEXT(INDEX(tk_LEAFH,MATCH(24,tk_DSEQ,0)),"0.000"),"")</f>
        <v/>
      </c>
      <c r="G29" s="70">
        <f>IFERROR(""&amp;INDEX(tk_DLINE,MATCH(24,tk_DSEQ,0)),"")</f>
        <v/>
      </c>
      <c r="H29" s="70">
        <f>IFERROR(""&amp;INDEX(tk_DNOTES,MATCH(24,tk_DSEQ,0)),"")</f>
        <v/>
      </c>
    </row>
    <row r="30">
      <c r="A30" s="70">
        <f>IFERROR(""&amp;INDEX(tk_MARK,MATCH(25,tk_DSEQ,0)),"")</f>
        <v/>
      </c>
      <c r="B30" s="70">
        <f>IFERROR(INDEX(tk_QTY,MATCH(25,tk_DSEQ,0)),"")</f>
        <v/>
      </c>
      <c r="C30" s="70">
        <f>IFERROR(INDEX(tk_ROOMF,MATCH(25,tk_DSEQ,0))&amp;IF(INDEX(tk_ROOMT,MATCH(25,tk_DSEQ,0))="",""," → "&amp;INDEX(tk_ROOMT,MATCH(25,tk_DSEQ,0))),"")</f>
        <v/>
      </c>
      <c r="D30" s="70">
        <f>IFERROR(INDEX(tk_LEAVES,MATCH(25,tk_DSEQ,0)),"")</f>
        <v/>
      </c>
      <c r="E30" s="70">
        <f>IFERROR(""&amp;INDEX(tk_RATING,MATCH(25,tk_DSEQ,0)),"")</f>
        <v/>
      </c>
      <c r="F30" s="70">
        <f>IFERROR(TEXT(INDEX(tk_LEAFW,MATCH(25,tk_DSEQ,0)),"0.000")&amp;" x "&amp;TEXT(INDEX(tk_LEAFH,MATCH(25,tk_DSEQ,0)),"0.000"),"")</f>
        <v/>
      </c>
      <c r="G30" s="70">
        <f>IFERROR(""&amp;INDEX(tk_DLINE,MATCH(25,tk_DSEQ,0)),"")</f>
        <v/>
      </c>
      <c r="H30" s="70">
        <f>IFERROR(""&amp;INDEX(tk_DNOTES,MATCH(25,tk_DSEQ,0)),"")</f>
        <v/>
      </c>
    </row>
    <row r="31">
      <c r="A31" s="70">
        <f>IFERROR(""&amp;INDEX(tk_MARK,MATCH(26,tk_DSEQ,0)),"")</f>
        <v/>
      </c>
      <c r="B31" s="70">
        <f>IFERROR(INDEX(tk_QTY,MATCH(26,tk_DSEQ,0)),"")</f>
        <v/>
      </c>
      <c r="C31" s="70">
        <f>IFERROR(INDEX(tk_ROOMF,MATCH(26,tk_DSEQ,0))&amp;IF(INDEX(tk_ROOMT,MATCH(26,tk_DSEQ,0))="",""," → "&amp;INDEX(tk_ROOMT,MATCH(26,tk_DSEQ,0))),"")</f>
        <v/>
      </c>
      <c r="D31" s="70">
        <f>IFERROR(INDEX(tk_LEAVES,MATCH(26,tk_DSEQ,0)),"")</f>
        <v/>
      </c>
      <c r="E31" s="70">
        <f>IFERROR(""&amp;INDEX(tk_RATING,MATCH(26,tk_DSEQ,0)),"")</f>
        <v/>
      </c>
      <c r="F31" s="70">
        <f>IFERROR(TEXT(INDEX(tk_LEAFW,MATCH(26,tk_DSEQ,0)),"0.000")&amp;" x "&amp;TEXT(INDEX(tk_LEAFH,MATCH(26,tk_DSEQ,0)),"0.000"),"")</f>
        <v/>
      </c>
      <c r="G31" s="70">
        <f>IFERROR(""&amp;INDEX(tk_DLINE,MATCH(26,tk_DSEQ,0)),"")</f>
        <v/>
      </c>
      <c r="H31" s="70">
        <f>IFERROR(""&amp;INDEX(tk_DNOTES,MATCH(26,tk_DSEQ,0)),"")</f>
        <v/>
      </c>
    </row>
    <row r="32">
      <c r="A32" s="70">
        <f>IFERROR(""&amp;INDEX(tk_MARK,MATCH(27,tk_DSEQ,0)),"")</f>
        <v/>
      </c>
      <c r="B32" s="70">
        <f>IFERROR(INDEX(tk_QTY,MATCH(27,tk_DSEQ,0)),"")</f>
        <v/>
      </c>
      <c r="C32" s="70">
        <f>IFERROR(INDEX(tk_ROOMF,MATCH(27,tk_DSEQ,0))&amp;IF(INDEX(tk_ROOMT,MATCH(27,tk_DSEQ,0))="",""," → "&amp;INDEX(tk_ROOMT,MATCH(27,tk_DSEQ,0))),"")</f>
        <v/>
      </c>
      <c r="D32" s="70">
        <f>IFERROR(INDEX(tk_LEAVES,MATCH(27,tk_DSEQ,0)),"")</f>
        <v/>
      </c>
      <c r="E32" s="70">
        <f>IFERROR(""&amp;INDEX(tk_RATING,MATCH(27,tk_DSEQ,0)),"")</f>
        <v/>
      </c>
      <c r="F32" s="70">
        <f>IFERROR(TEXT(INDEX(tk_LEAFW,MATCH(27,tk_DSEQ,0)),"0.000")&amp;" x "&amp;TEXT(INDEX(tk_LEAFH,MATCH(27,tk_DSEQ,0)),"0.000"),"")</f>
        <v/>
      </c>
      <c r="G32" s="70">
        <f>IFERROR(""&amp;INDEX(tk_DLINE,MATCH(27,tk_DSEQ,0)),"")</f>
        <v/>
      </c>
      <c r="H32" s="70">
        <f>IFERROR(""&amp;INDEX(tk_DNOTES,MATCH(27,tk_DSEQ,0)),"")</f>
        <v/>
      </c>
    </row>
    <row r="33">
      <c r="A33" s="70">
        <f>IFERROR(""&amp;INDEX(tk_MARK,MATCH(28,tk_DSEQ,0)),"")</f>
        <v/>
      </c>
      <c r="B33" s="70">
        <f>IFERROR(INDEX(tk_QTY,MATCH(28,tk_DSEQ,0)),"")</f>
        <v/>
      </c>
      <c r="C33" s="70">
        <f>IFERROR(INDEX(tk_ROOMF,MATCH(28,tk_DSEQ,0))&amp;IF(INDEX(tk_ROOMT,MATCH(28,tk_DSEQ,0))="",""," → "&amp;INDEX(tk_ROOMT,MATCH(28,tk_DSEQ,0))),"")</f>
        <v/>
      </c>
      <c r="D33" s="70">
        <f>IFERROR(INDEX(tk_LEAVES,MATCH(28,tk_DSEQ,0)),"")</f>
        <v/>
      </c>
      <c r="E33" s="70">
        <f>IFERROR(""&amp;INDEX(tk_RATING,MATCH(28,tk_DSEQ,0)),"")</f>
        <v/>
      </c>
      <c r="F33" s="70">
        <f>IFERROR(TEXT(INDEX(tk_LEAFW,MATCH(28,tk_DSEQ,0)),"0.000")&amp;" x "&amp;TEXT(INDEX(tk_LEAFH,MATCH(28,tk_DSEQ,0)),"0.000"),"")</f>
        <v/>
      </c>
      <c r="G33" s="70">
        <f>IFERROR(""&amp;INDEX(tk_DLINE,MATCH(28,tk_DSEQ,0)),"")</f>
        <v/>
      </c>
      <c r="H33" s="70">
        <f>IFERROR(""&amp;INDEX(tk_DNOTES,MATCH(28,tk_DSEQ,0)),"")</f>
        <v/>
      </c>
    </row>
    <row r="34">
      <c r="A34" s="70">
        <f>IFERROR(""&amp;INDEX(tk_MARK,MATCH(29,tk_DSEQ,0)),"")</f>
        <v/>
      </c>
      <c r="B34" s="70">
        <f>IFERROR(INDEX(tk_QTY,MATCH(29,tk_DSEQ,0)),"")</f>
        <v/>
      </c>
      <c r="C34" s="70">
        <f>IFERROR(INDEX(tk_ROOMF,MATCH(29,tk_DSEQ,0))&amp;IF(INDEX(tk_ROOMT,MATCH(29,tk_DSEQ,0))="",""," → "&amp;INDEX(tk_ROOMT,MATCH(29,tk_DSEQ,0))),"")</f>
        <v/>
      </c>
      <c r="D34" s="70">
        <f>IFERROR(INDEX(tk_LEAVES,MATCH(29,tk_DSEQ,0)),"")</f>
        <v/>
      </c>
      <c r="E34" s="70">
        <f>IFERROR(""&amp;INDEX(tk_RATING,MATCH(29,tk_DSEQ,0)),"")</f>
        <v/>
      </c>
      <c r="F34" s="70">
        <f>IFERROR(TEXT(INDEX(tk_LEAFW,MATCH(29,tk_DSEQ,0)),"0.000")&amp;" x "&amp;TEXT(INDEX(tk_LEAFH,MATCH(29,tk_DSEQ,0)),"0.000"),"")</f>
        <v/>
      </c>
      <c r="G34" s="70">
        <f>IFERROR(""&amp;INDEX(tk_DLINE,MATCH(29,tk_DSEQ,0)),"")</f>
        <v/>
      </c>
      <c r="H34" s="70">
        <f>IFERROR(""&amp;INDEX(tk_DNOTES,MATCH(29,tk_DSEQ,0)),"")</f>
        <v/>
      </c>
    </row>
    <row r="35">
      <c r="A35" s="70">
        <f>IFERROR(""&amp;INDEX(tk_MARK,MATCH(30,tk_DSEQ,0)),"")</f>
        <v/>
      </c>
      <c r="B35" s="70">
        <f>IFERROR(INDEX(tk_QTY,MATCH(30,tk_DSEQ,0)),"")</f>
        <v/>
      </c>
      <c r="C35" s="70">
        <f>IFERROR(INDEX(tk_ROOMF,MATCH(30,tk_DSEQ,0))&amp;IF(INDEX(tk_ROOMT,MATCH(30,tk_DSEQ,0))="",""," → "&amp;INDEX(tk_ROOMT,MATCH(30,tk_DSEQ,0))),"")</f>
        <v/>
      </c>
      <c r="D35" s="70">
        <f>IFERROR(INDEX(tk_LEAVES,MATCH(30,tk_DSEQ,0)),"")</f>
        <v/>
      </c>
      <c r="E35" s="70">
        <f>IFERROR(""&amp;INDEX(tk_RATING,MATCH(30,tk_DSEQ,0)),"")</f>
        <v/>
      </c>
      <c r="F35" s="70">
        <f>IFERROR(TEXT(INDEX(tk_LEAFW,MATCH(30,tk_DSEQ,0)),"0.000")&amp;" x "&amp;TEXT(INDEX(tk_LEAFH,MATCH(30,tk_DSEQ,0)),"0.000"),"")</f>
        <v/>
      </c>
      <c r="G35" s="70">
        <f>IFERROR(""&amp;INDEX(tk_DLINE,MATCH(30,tk_DSEQ,0)),"")</f>
        <v/>
      </c>
      <c r="H35" s="70">
        <f>IFERROR(""&amp;INDEX(tk_DNOTES,MATCH(30,tk_DSEQ,0)),"")</f>
        <v/>
      </c>
    </row>
    <row r="36">
      <c r="A36" s="70">
        <f>IFERROR(""&amp;INDEX(tk_MARK,MATCH(31,tk_DSEQ,0)),"")</f>
        <v/>
      </c>
      <c r="B36" s="70">
        <f>IFERROR(INDEX(tk_QTY,MATCH(31,tk_DSEQ,0)),"")</f>
        <v/>
      </c>
      <c r="C36" s="70">
        <f>IFERROR(INDEX(tk_ROOMF,MATCH(31,tk_DSEQ,0))&amp;IF(INDEX(tk_ROOMT,MATCH(31,tk_DSEQ,0))="",""," → "&amp;INDEX(tk_ROOMT,MATCH(31,tk_DSEQ,0))),"")</f>
        <v/>
      </c>
      <c r="D36" s="70">
        <f>IFERROR(INDEX(tk_LEAVES,MATCH(31,tk_DSEQ,0)),"")</f>
        <v/>
      </c>
      <c r="E36" s="70">
        <f>IFERROR(""&amp;INDEX(tk_RATING,MATCH(31,tk_DSEQ,0)),"")</f>
        <v/>
      </c>
      <c r="F36" s="70">
        <f>IFERROR(TEXT(INDEX(tk_LEAFW,MATCH(31,tk_DSEQ,0)),"0.000")&amp;" x "&amp;TEXT(INDEX(tk_LEAFH,MATCH(31,tk_DSEQ,0)),"0.000"),"")</f>
        <v/>
      </c>
      <c r="G36" s="70">
        <f>IFERROR(""&amp;INDEX(tk_DLINE,MATCH(31,tk_DSEQ,0)),"")</f>
        <v/>
      </c>
      <c r="H36" s="70">
        <f>IFERROR(""&amp;INDEX(tk_DNOTES,MATCH(31,tk_DSEQ,0)),"")</f>
        <v/>
      </c>
    </row>
    <row r="37">
      <c r="A37" s="70">
        <f>IFERROR(""&amp;INDEX(tk_MARK,MATCH(32,tk_DSEQ,0)),"")</f>
        <v/>
      </c>
      <c r="B37" s="70">
        <f>IFERROR(INDEX(tk_QTY,MATCH(32,tk_DSEQ,0)),"")</f>
        <v/>
      </c>
      <c r="C37" s="70">
        <f>IFERROR(INDEX(tk_ROOMF,MATCH(32,tk_DSEQ,0))&amp;IF(INDEX(tk_ROOMT,MATCH(32,tk_DSEQ,0))="",""," → "&amp;INDEX(tk_ROOMT,MATCH(32,tk_DSEQ,0))),"")</f>
        <v/>
      </c>
      <c r="D37" s="70">
        <f>IFERROR(INDEX(tk_LEAVES,MATCH(32,tk_DSEQ,0)),"")</f>
        <v/>
      </c>
      <c r="E37" s="70">
        <f>IFERROR(""&amp;INDEX(tk_RATING,MATCH(32,tk_DSEQ,0)),"")</f>
        <v/>
      </c>
      <c r="F37" s="70">
        <f>IFERROR(TEXT(INDEX(tk_LEAFW,MATCH(32,tk_DSEQ,0)),"0.000")&amp;" x "&amp;TEXT(INDEX(tk_LEAFH,MATCH(32,tk_DSEQ,0)),"0.000"),"")</f>
        <v/>
      </c>
      <c r="G37" s="70">
        <f>IFERROR(""&amp;INDEX(tk_DLINE,MATCH(32,tk_DSEQ,0)),"")</f>
        <v/>
      </c>
      <c r="H37" s="70">
        <f>IFERROR(""&amp;INDEX(tk_DNOTES,MATCH(32,tk_DSEQ,0)),"")</f>
        <v/>
      </c>
    </row>
    <row r="38">
      <c r="A38" s="70">
        <f>IFERROR(""&amp;INDEX(tk_MARK,MATCH(33,tk_DSEQ,0)),"")</f>
        <v/>
      </c>
      <c r="B38" s="70">
        <f>IFERROR(INDEX(tk_QTY,MATCH(33,tk_DSEQ,0)),"")</f>
        <v/>
      </c>
      <c r="C38" s="70">
        <f>IFERROR(INDEX(tk_ROOMF,MATCH(33,tk_DSEQ,0))&amp;IF(INDEX(tk_ROOMT,MATCH(33,tk_DSEQ,0))="",""," → "&amp;INDEX(tk_ROOMT,MATCH(33,tk_DSEQ,0))),"")</f>
        <v/>
      </c>
      <c r="D38" s="70">
        <f>IFERROR(INDEX(tk_LEAVES,MATCH(33,tk_DSEQ,0)),"")</f>
        <v/>
      </c>
      <c r="E38" s="70">
        <f>IFERROR(""&amp;INDEX(tk_RATING,MATCH(33,tk_DSEQ,0)),"")</f>
        <v/>
      </c>
      <c r="F38" s="70">
        <f>IFERROR(TEXT(INDEX(tk_LEAFW,MATCH(33,tk_DSEQ,0)),"0.000")&amp;" x "&amp;TEXT(INDEX(tk_LEAFH,MATCH(33,tk_DSEQ,0)),"0.000"),"")</f>
        <v/>
      </c>
      <c r="G38" s="70">
        <f>IFERROR(""&amp;INDEX(tk_DLINE,MATCH(33,tk_DSEQ,0)),"")</f>
        <v/>
      </c>
      <c r="H38" s="70">
        <f>IFERROR(""&amp;INDEX(tk_DNOTES,MATCH(33,tk_DSEQ,0)),"")</f>
        <v/>
      </c>
    </row>
    <row r="39">
      <c r="A39" s="70">
        <f>IFERROR(""&amp;INDEX(tk_MARK,MATCH(34,tk_DSEQ,0)),"")</f>
        <v/>
      </c>
      <c r="B39" s="70">
        <f>IFERROR(INDEX(tk_QTY,MATCH(34,tk_DSEQ,0)),"")</f>
        <v/>
      </c>
      <c r="C39" s="70">
        <f>IFERROR(INDEX(tk_ROOMF,MATCH(34,tk_DSEQ,0))&amp;IF(INDEX(tk_ROOMT,MATCH(34,tk_DSEQ,0))="",""," → "&amp;INDEX(tk_ROOMT,MATCH(34,tk_DSEQ,0))),"")</f>
        <v/>
      </c>
      <c r="D39" s="70">
        <f>IFERROR(INDEX(tk_LEAVES,MATCH(34,tk_DSEQ,0)),"")</f>
        <v/>
      </c>
      <c r="E39" s="70">
        <f>IFERROR(""&amp;INDEX(tk_RATING,MATCH(34,tk_DSEQ,0)),"")</f>
        <v/>
      </c>
      <c r="F39" s="70">
        <f>IFERROR(TEXT(INDEX(tk_LEAFW,MATCH(34,tk_DSEQ,0)),"0.000")&amp;" x "&amp;TEXT(INDEX(tk_LEAFH,MATCH(34,tk_DSEQ,0)),"0.000"),"")</f>
        <v/>
      </c>
      <c r="G39" s="70">
        <f>IFERROR(""&amp;INDEX(tk_DLINE,MATCH(34,tk_DSEQ,0)),"")</f>
        <v/>
      </c>
      <c r="H39" s="70">
        <f>IFERROR(""&amp;INDEX(tk_DNOTES,MATCH(34,tk_DSEQ,0)),"")</f>
        <v/>
      </c>
    </row>
    <row r="40">
      <c r="A40" s="70">
        <f>IFERROR(""&amp;INDEX(tk_MARK,MATCH(35,tk_DSEQ,0)),"")</f>
        <v/>
      </c>
      <c r="B40" s="70">
        <f>IFERROR(INDEX(tk_QTY,MATCH(35,tk_DSEQ,0)),"")</f>
        <v/>
      </c>
      <c r="C40" s="70">
        <f>IFERROR(INDEX(tk_ROOMF,MATCH(35,tk_DSEQ,0))&amp;IF(INDEX(tk_ROOMT,MATCH(35,tk_DSEQ,0))="",""," → "&amp;INDEX(tk_ROOMT,MATCH(35,tk_DSEQ,0))),"")</f>
        <v/>
      </c>
      <c r="D40" s="70">
        <f>IFERROR(INDEX(tk_LEAVES,MATCH(35,tk_DSEQ,0)),"")</f>
        <v/>
      </c>
      <c r="E40" s="70">
        <f>IFERROR(""&amp;INDEX(tk_RATING,MATCH(35,tk_DSEQ,0)),"")</f>
        <v/>
      </c>
      <c r="F40" s="70">
        <f>IFERROR(TEXT(INDEX(tk_LEAFW,MATCH(35,tk_DSEQ,0)),"0.000")&amp;" x "&amp;TEXT(INDEX(tk_LEAFH,MATCH(35,tk_DSEQ,0)),"0.000"),"")</f>
        <v/>
      </c>
      <c r="G40" s="70">
        <f>IFERROR(""&amp;INDEX(tk_DLINE,MATCH(35,tk_DSEQ,0)),"")</f>
        <v/>
      </c>
      <c r="H40" s="70">
        <f>IFERROR(""&amp;INDEX(tk_DNOTES,MATCH(35,tk_DSEQ,0)),"")</f>
        <v/>
      </c>
    </row>
    <row r="41">
      <c r="A41" s="70">
        <f>IFERROR(""&amp;INDEX(tk_MARK,MATCH(36,tk_DSEQ,0)),"")</f>
        <v/>
      </c>
      <c r="B41" s="70">
        <f>IFERROR(INDEX(tk_QTY,MATCH(36,tk_DSEQ,0)),"")</f>
        <v/>
      </c>
      <c r="C41" s="70">
        <f>IFERROR(INDEX(tk_ROOMF,MATCH(36,tk_DSEQ,0))&amp;IF(INDEX(tk_ROOMT,MATCH(36,tk_DSEQ,0))="",""," → "&amp;INDEX(tk_ROOMT,MATCH(36,tk_DSEQ,0))),"")</f>
        <v/>
      </c>
      <c r="D41" s="70">
        <f>IFERROR(INDEX(tk_LEAVES,MATCH(36,tk_DSEQ,0)),"")</f>
        <v/>
      </c>
      <c r="E41" s="70">
        <f>IFERROR(""&amp;INDEX(tk_RATING,MATCH(36,tk_DSEQ,0)),"")</f>
        <v/>
      </c>
      <c r="F41" s="70">
        <f>IFERROR(TEXT(INDEX(tk_LEAFW,MATCH(36,tk_DSEQ,0)),"0.000")&amp;" x "&amp;TEXT(INDEX(tk_LEAFH,MATCH(36,tk_DSEQ,0)),"0.000"),"")</f>
        <v/>
      </c>
      <c r="G41" s="70">
        <f>IFERROR(""&amp;INDEX(tk_DLINE,MATCH(36,tk_DSEQ,0)),"")</f>
        <v/>
      </c>
      <c r="H41" s="70">
        <f>IFERROR(""&amp;INDEX(tk_DNOTES,MATCH(36,tk_DSEQ,0)),"")</f>
        <v/>
      </c>
    </row>
    <row r="42">
      <c r="A42" s="70">
        <f>IFERROR(""&amp;INDEX(tk_MARK,MATCH(37,tk_DSEQ,0)),"")</f>
        <v/>
      </c>
      <c r="B42" s="70">
        <f>IFERROR(INDEX(tk_QTY,MATCH(37,tk_DSEQ,0)),"")</f>
        <v/>
      </c>
      <c r="C42" s="70">
        <f>IFERROR(INDEX(tk_ROOMF,MATCH(37,tk_DSEQ,0))&amp;IF(INDEX(tk_ROOMT,MATCH(37,tk_DSEQ,0))="",""," → "&amp;INDEX(tk_ROOMT,MATCH(37,tk_DSEQ,0))),"")</f>
        <v/>
      </c>
      <c r="D42" s="70">
        <f>IFERROR(INDEX(tk_LEAVES,MATCH(37,tk_DSEQ,0)),"")</f>
        <v/>
      </c>
      <c r="E42" s="70">
        <f>IFERROR(""&amp;INDEX(tk_RATING,MATCH(37,tk_DSEQ,0)),"")</f>
        <v/>
      </c>
      <c r="F42" s="70">
        <f>IFERROR(TEXT(INDEX(tk_LEAFW,MATCH(37,tk_DSEQ,0)),"0.000")&amp;" x "&amp;TEXT(INDEX(tk_LEAFH,MATCH(37,tk_DSEQ,0)),"0.000"),"")</f>
        <v/>
      </c>
      <c r="G42" s="70">
        <f>IFERROR(""&amp;INDEX(tk_DLINE,MATCH(37,tk_DSEQ,0)),"")</f>
        <v/>
      </c>
      <c r="H42" s="70">
        <f>IFERROR(""&amp;INDEX(tk_DNOTES,MATCH(37,tk_DSEQ,0)),"")</f>
        <v/>
      </c>
    </row>
    <row r="43">
      <c r="A43" s="70">
        <f>IFERROR(""&amp;INDEX(tk_MARK,MATCH(38,tk_DSEQ,0)),"")</f>
        <v/>
      </c>
      <c r="B43" s="70">
        <f>IFERROR(INDEX(tk_QTY,MATCH(38,tk_DSEQ,0)),"")</f>
        <v/>
      </c>
      <c r="C43" s="70">
        <f>IFERROR(INDEX(tk_ROOMF,MATCH(38,tk_DSEQ,0))&amp;IF(INDEX(tk_ROOMT,MATCH(38,tk_DSEQ,0))="",""," → "&amp;INDEX(tk_ROOMT,MATCH(38,tk_DSEQ,0))),"")</f>
        <v/>
      </c>
      <c r="D43" s="70">
        <f>IFERROR(INDEX(tk_LEAVES,MATCH(38,tk_DSEQ,0)),"")</f>
        <v/>
      </c>
      <c r="E43" s="70">
        <f>IFERROR(""&amp;INDEX(tk_RATING,MATCH(38,tk_DSEQ,0)),"")</f>
        <v/>
      </c>
      <c r="F43" s="70">
        <f>IFERROR(TEXT(INDEX(tk_LEAFW,MATCH(38,tk_DSEQ,0)),"0.000")&amp;" x "&amp;TEXT(INDEX(tk_LEAFH,MATCH(38,tk_DSEQ,0)),"0.000"),"")</f>
        <v/>
      </c>
      <c r="G43" s="70">
        <f>IFERROR(""&amp;INDEX(tk_DLINE,MATCH(38,tk_DSEQ,0)),"")</f>
        <v/>
      </c>
      <c r="H43" s="70">
        <f>IFERROR(""&amp;INDEX(tk_DNOTES,MATCH(38,tk_DSEQ,0)),"")</f>
        <v/>
      </c>
    </row>
    <row r="44">
      <c r="A44" s="70">
        <f>IFERROR(""&amp;INDEX(tk_MARK,MATCH(39,tk_DSEQ,0)),"")</f>
        <v/>
      </c>
      <c r="B44" s="70">
        <f>IFERROR(INDEX(tk_QTY,MATCH(39,tk_DSEQ,0)),"")</f>
        <v/>
      </c>
      <c r="C44" s="70">
        <f>IFERROR(INDEX(tk_ROOMF,MATCH(39,tk_DSEQ,0))&amp;IF(INDEX(tk_ROOMT,MATCH(39,tk_DSEQ,0))="",""," → "&amp;INDEX(tk_ROOMT,MATCH(39,tk_DSEQ,0))),"")</f>
        <v/>
      </c>
      <c r="D44" s="70">
        <f>IFERROR(INDEX(tk_LEAVES,MATCH(39,tk_DSEQ,0)),"")</f>
        <v/>
      </c>
      <c r="E44" s="70">
        <f>IFERROR(""&amp;INDEX(tk_RATING,MATCH(39,tk_DSEQ,0)),"")</f>
        <v/>
      </c>
      <c r="F44" s="70">
        <f>IFERROR(TEXT(INDEX(tk_LEAFW,MATCH(39,tk_DSEQ,0)),"0.000")&amp;" x "&amp;TEXT(INDEX(tk_LEAFH,MATCH(39,tk_DSEQ,0)),"0.000"),"")</f>
        <v/>
      </c>
      <c r="G44" s="70">
        <f>IFERROR(""&amp;INDEX(tk_DLINE,MATCH(39,tk_DSEQ,0)),"")</f>
        <v/>
      </c>
      <c r="H44" s="70">
        <f>IFERROR(""&amp;INDEX(tk_DNOTES,MATCH(39,tk_DSEQ,0)),"")</f>
        <v/>
      </c>
    </row>
    <row r="45">
      <c r="A45" s="70">
        <f>IFERROR(""&amp;INDEX(tk_MARK,MATCH(40,tk_DSEQ,0)),"")</f>
        <v/>
      </c>
      <c r="B45" s="70">
        <f>IFERROR(INDEX(tk_QTY,MATCH(40,tk_DSEQ,0)),"")</f>
        <v/>
      </c>
      <c r="C45" s="70">
        <f>IFERROR(INDEX(tk_ROOMF,MATCH(40,tk_DSEQ,0))&amp;IF(INDEX(tk_ROOMT,MATCH(40,tk_DSEQ,0))="",""," → "&amp;INDEX(tk_ROOMT,MATCH(40,tk_DSEQ,0))),"")</f>
        <v/>
      </c>
      <c r="D45" s="70">
        <f>IFERROR(INDEX(tk_LEAVES,MATCH(40,tk_DSEQ,0)),"")</f>
        <v/>
      </c>
      <c r="E45" s="70">
        <f>IFERROR(""&amp;INDEX(tk_RATING,MATCH(40,tk_DSEQ,0)),"")</f>
        <v/>
      </c>
      <c r="F45" s="70">
        <f>IFERROR(TEXT(INDEX(tk_LEAFW,MATCH(40,tk_DSEQ,0)),"0.000")&amp;" x "&amp;TEXT(INDEX(tk_LEAFH,MATCH(40,tk_DSEQ,0)),"0.000"),"")</f>
        <v/>
      </c>
      <c r="G45" s="70">
        <f>IFERROR(""&amp;INDEX(tk_DLINE,MATCH(40,tk_DSEQ,0)),"")</f>
        <v/>
      </c>
      <c r="H45" s="70">
        <f>IFERROR(""&amp;INDEX(tk_DNOTES,MATCH(40,tk_DSEQ,0)),"")</f>
        <v/>
      </c>
    </row>
    <row r="46">
      <c r="A46" s="70">
        <f>IFERROR(""&amp;INDEX(tk_MARK,MATCH(41,tk_DSEQ,0)),"")</f>
        <v/>
      </c>
      <c r="B46" s="70">
        <f>IFERROR(INDEX(tk_QTY,MATCH(41,tk_DSEQ,0)),"")</f>
        <v/>
      </c>
      <c r="C46" s="70">
        <f>IFERROR(INDEX(tk_ROOMF,MATCH(41,tk_DSEQ,0))&amp;IF(INDEX(tk_ROOMT,MATCH(41,tk_DSEQ,0))="",""," → "&amp;INDEX(tk_ROOMT,MATCH(41,tk_DSEQ,0))),"")</f>
        <v/>
      </c>
      <c r="D46" s="70">
        <f>IFERROR(INDEX(tk_LEAVES,MATCH(41,tk_DSEQ,0)),"")</f>
        <v/>
      </c>
      <c r="E46" s="70">
        <f>IFERROR(""&amp;INDEX(tk_RATING,MATCH(41,tk_DSEQ,0)),"")</f>
        <v/>
      </c>
      <c r="F46" s="70">
        <f>IFERROR(TEXT(INDEX(tk_LEAFW,MATCH(41,tk_DSEQ,0)),"0.000")&amp;" x "&amp;TEXT(INDEX(tk_LEAFH,MATCH(41,tk_DSEQ,0)),"0.000"),"")</f>
        <v/>
      </c>
      <c r="G46" s="70">
        <f>IFERROR(""&amp;INDEX(tk_DLINE,MATCH(41,tk_DSEQ,0)),"")</f>
        <v/>
      </c>
      <c r="H46" s="70">
        <f>IFERROR(""&amp;INDEX(tk_DNOTES,MATCH(41,tk_DSEQ,0)),"")</f>
        <v/>
      </c>
    </row>
    <row r="47">
      <c r="A47" s="70">
        <f>IFERROR(""&amp;INDEX(tk_MARK,MATCH(42,tk_DSEQ,0)),"")</f>
        <v/>
      </c>
      <c r="B47" s="70">
        <f>IFERROR(INDEX(tk_QTY,MATCH(42,tk_DSEQ,0)),"")</f>
        <v/>
      </c>
      <c r="C47" s="70">
        <f>IFERROR(INDEX(tk_ROOMF,MATCH(42,tk_DSEQ,0))&amp;IF(INDEX(tk_ROOMT,MATCH(42,tk_DSEQ,0))="",""," → "&amp;INDEX(tk_ROOMT,MATCH(42,tk_DSEQ,0))),"")</f>
        <v/>
      </c>
      <c r="D47" s="70">
        <f>IFERROR(INDEX(tk_LEAVES,MATCH(42,tk_DSEQ,0)),"")</f>
        <v/>
      </c>
      <c r="E47" s="70">
        <f>IFERROR(""&amp;INDEX(tk_RATING,MATCH(42,tk_DSEQ,0)),"")</f>
        <v/>
      </c>
      <c r="F47" s="70">
        <f>IFERROR(TEXT(INDEX(tk_LEAFW,MATCH(42,tk_DSEQ,0)),"0.000")&amp;" x "&amp;TEXT(INDEX(tk_LEAFH,MATCH(42,tk_DSEQ,0)),"0.000"),"")</f>
        <v/>
      </c>
      <c r="G47" s="70">
        <f>IFERROR(""&amp;INDEX(tk_DLINE,MATCH(42,tk_DSEQ,0)),"")</f>
        <v/>
      </c>
      <c r="H47" s="70">
        <f>IFERROR(""&amp;INDEX(tk_DNOTES,MATCH(42,tk_DSEQ,0)),"")</f>
        <v/>
      </c>
    </row>
    <row r="48">
      <c r="A48" s="70">
        <f>IFERROR(""&amp;INDEX(tk_MARK,MATCH(43,tk_DSEQ,0)),"")</f>
        <v/>
      </c>
      <c r="B48" s="70">
        <f>IFERROR(INDEX(tk_QTY,MATCH(43,tk_DSEQ,0)),"")</f>
        <v/>
      </c>
      <c r="C48" s="70">
        <f>IFERROR(INDEX(tk_ROOMF,MATCH(43,tk_DSEQ,0))&amp;IF(INDEX(tk_ROOMT,MATCH(43,tk_DSEQ,0))="",""," → "&amp;INDEX(tk_ROOMT,MATCH(43,tk_DSEQ,0))),"")</f>
        <v/>
      </c>
      <c r="D48" s="70">
        <f>IFERROR(INDEX(tk_LEAVES,MATCH(43,tk_DSEQ,0)),"")</f>
        <v/>
      </c>
      <c r="E48" s="70">
        <f>IFERROR(""&amp;INDEX(tk_RATING,MATCH(43,tk_DSEQ,0)),"")</f>
        <v/>
      </c>
      <c r="F48" s="70">
        <f>IFERROR(TEXT(INDEX(tk_LEAFW,MATCH(43,tk_DSEQ,0)),"0.000")&amp;" x "&amp;TEXT(INDEX(tk_LEAFH,MATCH(43,tk_DSEQ,0)),"0.000"),"")</f>
        <v/>
      </c>
      <c r="G48" s="70">
        <f>IFERROR(""&amp;INDEX(tk_DLINE,MATCH(43,tk_DSEQ,0)),"")</f>
        <v/>
      </c>
      <c r="H48" s="70">
        <f>IFERROR(""&amp;INDEX(tk_DNOTES,MATCH(43,tk_DSEQ,0)),"")</f>
        <v/>
      </c>
    </row>
    <row r="49">
      <c r="A49" s="70">
        <f>IFERROR(""&amp;INDEX(tk_MARK,MATCH(44,tk_DSEQ,0)),"")</f>
        <v/>
      </c>
      <c r="B49" s="70">
        <f>IFERROR(INDEX(tk_QTY,MATCH(44,tk_DSEQ,0)),"")</f>
        <v/>
      </c>
      <c r="C49" s="70">
        <f>IFERROR(INDEX(tk_ROOMF,MATCH(44,tk_DSEQ,0))&amp;IF(INDEX(tk_ROOMT,MATCH(44,tk_DSEQ,0))="",""," → "&amp;INDEX(tk_ROOMT,MATCH(44,tk_DSEQ,0))),"")</f>
        <v/>
      </c>
      <c r="D49" s="70">
        <f>IFERROR(INDEX(tk_LEAVES,MATCH(44,tk_DSEQ,0)),"")</f>
        <v/>
      </c>
      <c r="E49" s="70">
        <f>IFERROR(""&amp;INDEX(tk_RATING,MATCH(44,tk_DSEQ,0)),"")</f>
        <v/>
      </c>
      <c r="F49" s="70">
        <f>IFERROR(TEXT(INDEX(tk_LEAFW,MATCH(44,tk_DSEQ,0)),"0.000")&amp;" x "&amp;TEXT(INDEX(tk_LEAFH,MATCH(44,tk_DSEQ,0)),"0.000"),"")</f>
        <v/>
      </c>
      <c r="G49" s="70">
        <f>IFERROR(""&amp;INDEX(tk_DLINE,MATCH(44,tk_DSEQ,0)),"")</f>
        <v/>
      </c>
      <c r="H49" s="70">
        <f>IFERROR(""&amp;INDEX(tk_DNOTES,MATCH(44,tk_DSEQ,0)),"")</f>
        <v/>
      </c>
    </row>
    <row r="50">
      <c r="A50" s="70">
        <f>IFERROR(""&amp;INDEX(tk_MARK,MATCH(45,tk_DSEQ,0)),"")</f>
        <v/>
      </c>
      <c r="B50" s="70">
        <f>IFERROR(INDEX(tk_QTY,MATCH(45,tk_DSEQ,0)),"")</f>
        <v/>
      </c>
      <c r="C50" s="70">
        <f>IFERROR(INDEX(tk_ROOMF,MATCH(45,tk_DSEQ,0))&amp;IF(INDEX(tk_ROOMT,MATCH(45,tk_DSEQ,0))="",""," → "&amp;INDEX(tk_ROOMT,MATCH(45,tk_DSEQ,0))),"")</f>
        <v/>
      </c>
      <c r="D50" s="70">
        <f>IFERROR(INDEX(tk_LEAVES,MATCH(45,tk_DSEQ,0)),"")</f>
        <v/>
      </c>
      <c r="E50" s="70">
        <f>IFERROR(""&amp;INDEX(tk_RATING,MATCH(45,tk_DSEQ,0)),"")</f>
        <v/>
      </c>
      <c r="F50" s="70">
        <f>IFERROR(TEXT(INDEX(tk_LEAFW,MATCH(45,tk_DSEQ,0)),"0.000")&amp;" x "&amp;TEXT(INDEX(tk_LEAFH,MATCH(45,tk_DSEQ,0)),"0.000"),"")</f>
        <v/>
      </c>
      <c r="G50" s="70">
        <f>IFERROR(""&amp;INDEX(tk_DLINE,MATCH(45,tk_DSEQ,0)),"")</f>
        <v/>
      </c>
      <c r="H50" s="70">
        <f>IFERROR(""&amp;INDEX(tk_DNOTES,MATCH(45,tk_DSEQ,0)),"")</f>
        <v/>
      </c>
    </row>
    <row r="51">
      <c r="A51" s="70">
        <f>IFERROR(""&amp;INDEX(tk_MARK,MATCH(46,tk_DSEQ,0)),"")</f>
        <v/>
      </c>
      <c r="B51" s="70">
        <f>IFERROR(INDEX(tk_QTY,MATCH(46,tk_DSEQ,0)),"")</f>
        <v/>
      </c>
      <c r="C51" s="70">
        <f>IFERROR(INDEX(tk_ROOMF,MATCH(46,tk_DSEQ,0))&amp;IF(INDEX(tk_ROOMT,MATCH(46,tk_DSEQ,0))="",""," → "&amp;INDEX(tk_ROOMT,MATCH(46,tk_DSEQ,0))),"")</f>
        <v/>
      </c>
      <c r="D51" s="70">
        <f>IFERROR(INDEX(tk_LEAVES,MATCH(46,tk_DSEQ,0)),"")</f>
        <v/>
      </c>
      <c r="E51" s="70">
        <f>IFERROR(""&amp;INDEX(tk_RATING,MATCH(46,tk_DSEQ,0)),"")</f>
        <v/>
      </c>
      <c r="F51" s="70">
        <f>IFERROR(TEXT(INDEX(tk_LEAFW,MATCH(46,tk_DSEQ,0)),"0.000")&amp;" x "&amp;TEXT(INDEX(tk_LEAFH,MATCH(46,tk_DSEQ,0)),"0.000"),"")</f>
        <v/>
      </c>
      <c r="G51" s="70">
        <f>IFERROR(""&amp;INDEX(tk_DLINE,MATCH(46,tk_DSEQ,0)),"")</f>
        <v/>
      </c>
      <c r="H51" s="70">
        <f>IFERROR(""&amp;INDEX(tk_DNOTES,MATCH(46,tk_DSEQ,0)),"")</f>
        <v/>
      </c>
    </row>
    <row r="52">
      <c r="A52" s="70">
        <f>IFERROR(""&amp;INDEX(tk_MARK,MATCH(47,tk_DSEQ,0)),"")</f>
        <v/>
      </c>
      <c r="B52" s="70">
        <f>IFERROR(INDEX(tk_QTY,MATCH(47,tk_DSEQ,0)),"")</f>
        <v/>
      </c>
      <c r="C52" s="70">
        <f>IFERROR(INDEX(tk_ROOMF,MATCH(47,tk_DSEQ,0))&amp;IF(INDEX(tk_ROOMT,MATCH(47,tk_DSEQ,0))="",""," → "&amp;INDEX(tk_ROOMT,MATCH(47,tk_DSEQ,0))),"")</f>
        <v/>
      </c>
      <c r="D52" s="70">
        <f>IFERROR(INDEX(tk_LEAVES,MATCH(47,tk_DSEQ,0)),"")</f>
        <v/>
      </c>
      <c r="E52" s="70">
        <f>IFERROR(""&amp;INDEX(tk_RATING,MATCH(47,tk_DSEQ,0)),"")</f>
        <v/>
      </c>
      <c r="F52" s="70">
        <f>IFERROR(TEXT(INDEX(tk_LEAFW,MATCH(47,tk_DSEQ,0)),"0.000")&amp;" x "&amp;TEXT(INDEX(tk_LEAFH,MATCH(47,tk_DSEQ,0)),"0.000"),"")</f>
        <v/>
      </c>
      <c r="G52" s="70">
        <f>IFERROR(""&amp;INDEX(tk_DLINE,MATCH(47,tk_DSEQ,0)),"")</f>
        <v/>
      </c>
      <c r="H52" s="70">
        <f>IFERROR(""&amp;INDEX(tk_DNOTES,MATCH(47,tk_DSEQ,0)),"")</f>
        <v/>
      </c>
    </row>
    <row r="53">
      <c r="A53" s="70">
        <f>IFERROR(""&amp;INDEX(tk_MARK,MATCH(48,tk_DSEQ,0)),"")</f>
        <v/>
      </c>
      <c r="B53" s="70">
        <f>IFERROR(INDEX(tk_QTY,MATCH(48,tk_DSEQ,0)),"")</f>
        <v/>
      </c>
      <c r="C53" s="70">
        <f>IFERROR(INDEX(tk_ROOMF,MATCH(48,tk_DSEQ,0))&amp;IF(INDEX(tk_ROOMT,MATCH(48,tk_DSEQ,0))="",""," → "&amp;INDEX(tk_ROOMT,MATCH(48,tk_DSEQ,0))),"")</f>
        <v/>
      </c>
      <c r="D53" s="70">
        <f>IFERROR(INDEX(tk_LEAVES,MATCH(48,tk_DSEQ,0)),"")</f>
        <v/>
      </c>
      <c r="E53" s="70">
        <f>IFERROR(""&amp;INDEX(tk_RATING,MATCH(48,tk_DSEQ,0)),"")</f>
        <v/>
      </c>
      <c r="F53" s="70">
        <f>IFERROR(TEXT(INDEX(tk_LEAFW,MATCH(48,tk_DSEQ,0)),"0.000")&amp;" x "&amp;TEXT(INDEX(tk_LEAFH,MATCH(48,tk_DSEQ,0)),"0.000"),"")</f>
        <v/>
      </c>
      <c r="G53" s="70">
        <f>IFERROR(""&amp;INDEX(tk_DLINE,MATCH(48,tk_DSEQ,0)),"")</f>
        <v/>
      </c>
      <c r="H53" s="70">
        <f>IFERROR(""&amp;INDEX(tk_DNOTES,MATCH(48,tk_DSEQ,0)),"")</f>
        <v/>
      </c>
    </row>
    <row r="54">
      <c r="A54" s="70">
        <f>IFERROR(""&amp;INDEX(tk_MARK,MATCH(49,tk_DSEQ,0)),"")</f>
        <v/>
      </c>
      <c r="B54" s="70">
        <f>IFERROR(INDEX(tk_QTY,MATCH(49,tk_DSEQ,0)),"")</f>
        <v/>
      </c>
      <c r="C54" s="70">
        <f>IFERROR(INDEX(tk_ROOMF,MATCH(49,tk_DSEQ,0))&amp;IF(INDEX(tk_ROOMT,MATCH(49,tk_DSEQ,0))="",""," → "&amp;INDEX(tk_ROOMT,MATCH(49,tk_DSEQ,0))),"")</f>
        <v/>
      </c>
      <c r="D54" s="70">
        <f>IFERROR(INDEX(tk_LEAVES,MATCH(49,tk_DSEQ,0)),"")</f>
        <v/>
      </c>
      <c r="E54" s="70">
        <f>IFERROR(""&amp;INDEX(tk_RATING,MATCH(49,tk_DSEQ,0)),"")</f>
        <v/>
      </c>
      <c r="F54" s="70">
        <f>IFERROR(TEXT(INDEX(tk_LEAFW,MATCH(49,tk_DSEQ,0)),"0.000")&amp;" x "&amp;TEXT(INDEX(tk_LEAFH,MATCH(49,tk_DSEQ,0)),"0.000"),"")</f>
        <v/>
      </c>
      <c r="G54" s="70">
        <f>IFERROR(""&amp;INDEX(tk_DLINE,MATCH(49,tk_DSEQ,0)),"")</f>
        <v/>
      </c>
      <c r="H54" s="70">
        <f>IFERROR(""&amp;INDEX(tk_DNOTES,MATCH(49,tk_DSEQ,0)),"")</f>
        <v/>
      </c>
    </row>
    <row r="55">
      <c r="A55" s="70">
        <f>IFERROR(""&amp;INDEX(tk_MARK,MATCH(50,tk_DSEQ,0)),"")</f>
        <v/>
      </c>
      <c r="B55" s="70">
        <f>IFERROR(INDEX(tk_QTY,MATCH(50,tk_DSEQ,0)),"")</f>
        <v/>
      </c>
      <c r="C55" s="70">
        <f>IFERROR(INDEX(tk_ROOMF,MATCH(50,tk_DSEQ,0))&amp;IF(INDEX(tk_ROOMT,MATCH(50,tk_DSEQ,0))="",""," → "&amp;INDEX(tk_ROOMT,MATCH(50,tk_DSEQ,0))),"")</f>
        <v/>
      </c>
      <c r="D55" s="70">
        <f>IFERROR(INDEX(tk_LEAVES,MATCH(50,tk_DSEQ,0)),"")</f>
        <v/>
      </c>
      <c r="E55" s="70">
        <f>IFERROR(""&amp;INDEX(tk_RATING,MATCH(50,tk_DSEQ,0)),"")</f>
        <v/>
      </c>
      <c r="F55" s="70">
        <f>IFERROR(TEXT(INDEX(tk_LEAFW,MATCH(50,tk_DSEQ,0)),"0.000")&amp;" x "&amp;TEXT(INDEX(tk_LEAFH,MATCH(50,tk_DSEQ,0)),"0.000"),"")</f>
        <v/>
      </c>
      <c r="G55" s="70">
        <f>IFERROR(""&amp;INDEX(tk_DLINE,MATCH(50,tk_DSEQ,0)),"")</f>
        <v/>
      </c>
      <c r="H55" s="70">
        <f>IFERROR(""&amp;INDEX(tk_DNOTES,MATCH(50,tk_DSEQ,0)),"")</f>
        <v/>
      </c>
    </row>
    <row r="56">
      <c r="A56" s="70">
        <f>IFERROR(""&amp;INDEX(tk_MARK,MATCH(51,tk_DSEQ,0)),"")</f>
        <v/>
      </c>
      <c r="B56" s="70">
        <f>IFERROR(INDEX(tk_QTY,MATCH(51,tk_DSEQ,0)),"")</f>
        <v/>
      </c>
      <c r="C56" s="70">
        <f>IFERROR(INDEX(tk_ROOMF,MATCH(51,tk_DSEQ,0))&amp;IF(INDEX(tk_ROOMT,MATCH(51,tk_DSEQ,0))="",""," → "&amp;INDEX(tk_ROOMT,MATCH(51,tk_DSEQ,0))),"")</f>
        <v/>
      </c>
      <c r="D56" s="70">
        <f>IFERROR(INDEX(tk_LEAVES,MATCH(51,tk_DSEQ,0)),"")</f>
        <v/>
      </c>
      <c r="E56" s="70">
        <f>IFERROR(""&amp;INDEX(tk_RATING,MATCH(51,tk_DSEQ,0)),"")</f>
        <v/>
      </c>
      <c r="F56" s="70">
        <f>IFERROR(TEXT(INDEX(tk_LEAFW,MATCH(51,tk_DSEQ,0)),"0.000")&amp;" x "&amp;TEXT(INDEX(tk_LEAFH,MATCH(51,tk_DSEQ,0)),"0.000"),"")</f>
        <v/>
      </c>
      <c r="G56" s="70">
        <f>IFERROR(""&amp;INDEX(tk_DLINE,MATCH(51,tk_DSEQ,0)),"")</f>
        <v/>
      </c>
      <c r="H56" s="70">
        <f>IFERROR(""&amp;INDEX(tk_DNOTES,MATCH(51,tk_DSEQ,0)),"")</f>
        <v/>
      </c>
    </row>
    <row r="57">
      <c r="A57" s="70">
        <f>IFERROR(""&amp;INDEX(tk_MARK,MATCH(52,tk_DSEQ,0)),"")</f>
        <v/>
      </c>
      <c r="B57" s="70">
        <f>IFERROR(INDEX(tk_QTY,MATCH(52,tk_DSEQ,0)),"")</f>
        <v/>
      </c>
      <c r="C57" s="70">
        <f>IFERROR(INDEX(tk_ROOMF,MATCH(52,tk_DSEQ,0))&amp;IF(INDEX(tk_ROOMT,MATCH(52,tk_DSEQ,0))="",""," → "&amp;INDEX(tk_ROOMT,MATCH(52,tk_DSEQ,0))),"")</f>
        <v/>
      </c>
      <c r="D57" s="70">
        <f>IFERROR(INDEX(tk_LEAVES,MATCH(52,tk_DSEQ,0)),"")</f>
        <v/>
      </c>
      <c r="E57" s="70">
        <f>IFERROR(""&amp;INDEX(tk_RATING,MATCH(52,tk_DSEQ,0)),"")</f>
        <v/>
      </c>
      <c r="F57" s="70">
        <f>IFERROR(TEXT(INDEX(tk_LEAFW,MATCH(52,tk_DSEQ,0)),"0.000")&amp;" x "&amp;TEXT(INDEX(tk_LEAFH,MATCH(52,tk_DSEQ,0)),"0.000"),"")</f>
        <v/>
      </c>
      <c r="G57" s="70">
        <f>IFERROR(""&amp;INDEX(tk_DLINE,MATCH(52,tk_DSEQ,0)),"")</f>
        <v/>
      </c>
      <c r="H57" s="70">
        <f>IFERROR(""&amp;INDEX(tk_DNOTES,MATCH(52,tk_DSEQ,0)),"")</f>
        <v/>
      </c>
    </row>
    <row r="58">
      <c r="A58" s="70">
        <f>IFERROR(""&amp;INDEX(tk_MARK,MATCH(53,tk_DSEQ,0)),"")</f>
        <v/>
      </c>
      <c r="B58" s="70">
        <f>IFERROR(INDEX(tk_QTY,MATCH(53,tk_DSEQ,0)),"")</f>
        <v/>
      </c>
      <c r="C58" s="70">
        <f>IFERROR(INDEX(tk_ROOMF,MATCH(53,tk_DSEQ,0))&amp;IF(INDEX(tk_ROOMT,MATCH(53,tk_DSEQ,0))="",""," → "&amp;INDEX(tk_ROOMT,MATCH(53,tk_DSEQ,0))),"")</f>
        <v/>
      </c>
      <c r="D58" s="70">
        <f>IFERROR(INDEX(tk_LEAVES,MATCH(53,tk_DSEQ,0)),"")</f>
        <v/>
      </c>
      <c r="E58" s="70">
        <f>IFERROR(""&amp;INDEX(tk_RATING,MATCH(53,tk_DSEQ,0)),"")</f>
        <v/>
      </c>
      <c r="F58" s="70">
        <f>IFERROR(TEXT(INDEX(tk_LEAFW,MATCH(53,tk_DSEQ,0)),"0.000")&amp;" x "&amp;TEXT(INDEX(tk_LEAFH,MATCH(53,tk_DSEQ,0)),"0.000"),"")</f>
        <v/>
      </c>
      <c r="G58" s="70">
        <f>IFERROR(""&amp;INDEX(tk_DLINE,MATCH(53,tk_DSEQ,0)),"")</f>
        <v/>
      </c>
      <c r="H58" s="70">
        <f>IFERROR(""&amp;INDEX(tk_DNOTES,MATCH(53,tk_DSEQ,0)),"")</f>
        <v/>
      </c>
    </row>
    <row r="59">
      <c r="A59" s="70">
        <f>IFERROR(""&amp;INDEX(tk_MARK,MATCH(54,tk_DSEQ,0)),"")</f>
        <v/>
      </c>
      <c r="B59" s="70">
        <f>IFERROR(INDEX(tk_QTY,MATCH(54,tk_DSEQ,0)),"")</f>
        <v/>
      </c>
      <c r="C59" s="70">
        <f>IFERROR(INDEX(tk_ROOMF,MATCH(54,tk_DSEQ,0))&amp;IF(INDEX(tk_ROOMT,MATCH(54,tk_DSEQ,0))="",""," → "&amp;INDEX(tk_ROOMT,MATCH(54,tk_DSEQ,0))),"")</f>
        <v/>
      </c>
      <c r="D59" s="70">
        <f>IFERROR(INDEX(tk_LEAVES,MATCH(54,tk_DSEQ,0)),"")</f>
        <v/>
      </c>
      <c r="E59" s="70">
        <f>IFERROR(""&amp;INDEX(tk_RATING,MATCH(54,tk_DSEQ,0)),"")</f>
        <v/>
      </c>
      <c r="F59" s="70">
        <f>IFERROR(TEXT(INDEX(tk_LEAFW,MATCH(54,tk_DSEQ,0)),"0.000")&amp;" x "&amp;TEXT(INDEX(tk_LEAFH,MATCH(54,tk_DSEQ,0)),"0.000"),"")</f>
        <v/>
      </c>
      <c r="G59" s="70">
        <f>IFERROR(""&amp;INDEX(tk_DLINE,MATCH(54,tk_DSEQ,0)),"")</f>
        <v/>
      </c>
      <c r="H59" s="70">
        <f>IFERROR(""&amp;INDEX(tk_DNOTES,MATCH(54,tk_DSEQ,0)),"")</f>
        <v/>
      </c>
    </row>
    <row r="60">
      <c r="A60" s="70">
        <f>IFERROR(""&amp;INDEX(tk_MARK,MATCH(55,tk_DSEQ,0)),"")</f>
        <v/>
      </c>
      <c r="B60" s="70">
        <f>IFERROR(INDEX(tk_QTY,MATCH(55,tk_DSEQ,0)),"")</f>
        <v/>
      </c>
      <c r="C60" s="70">
        <f>IFERROR(INDEX(tk_ROOMF,MATCH(55,tk_DSEQ,0))&amp;IF(INDEX(tk_ROOMT,MATCH(55,tk_DSEQ,0))="",""," → "&amp;INDEX(tk_ROOMT,MATCH(55,tk_DSEQ,0))),"")</f>
        <v/>
      </c>
      <c r="D60" s="70">
        <f>IFERROR(INDEX(tk_LEAVES,MATCH(55,tk_DSEQ,0)),"")</f>
        <v/>
      </c>
      <c r="E60" s="70">
        <f>IFERROR(""&amp;INDEX(tk_RATING,MATCH(55,tk_DSEQ,0)),"")</f>
        <v/>
      </c>
      <c r="F60" s="70">
        <f>IFERROR(TEXT(INDEX(tk_LEAFW,MATCH(55,tk_DSEQ,0)),"0.000")&amp;" x "&amp;TEXT(INDEX(tk_LEAFH,MATCH(55,tk_DSEQ,0)),"0.000"),"")</f>
        <v/>
      </c>
      <c r="G60" s="70">
        <f>IFERROR(""&amp;INDEX(tk_DLINE,MATCH(55,tk_DSEQ,0)),"")</f>
        <v/>
      </c>
      <c r="H60" s="70">
        <f>IFERROR(""&amp;INDEX(tk_DNOTES,MATCH(55,tk_DSEQ,0)),"")</f>
        <v/>
      </c>
    </row>
    <row r="61">
      <c r="A61" s="70">
        <f>IFERROR(""&amp;INDEX(tk_MARK,MATCH(56,tk_DSEQ,0)),"")</f>
        <v/>
      </c>
      <c r="B61" s="70">
        <f>IFERROR(INDEX(tk_QTY,MATCH(56,tk_DSEQ,0)),"")</f>
        <v/>
      </c>
      <c r="C61" s="70">
        <f>IFERROR(INDEX(tk_ROOMF,MATCH(56,tk_DSEQ,0))&amp;IF(INDEX(tk_ROOMT,MATCH(56,tk_DSEQ,0))="",""," → "&amp;INDEX(tk_ROOMT,MATCH(56,tk_DSEQ,0))),"")</f>
        <v/>
      </c>
      <c r="D61" s="70">
        <f>IFERROR(INDEX(tk_LEAVES,MATCH(56,tk_DSEQ,0)),"")</f>
        <v/>
      </c>
      <c r="E61" s="70">
        <f>IFERROR(""&amp;INDEX(tk_RATING,MATCH(56,tk_DSEQ,0)),"")</f>
        <v/>
      </c>
      <c r="F61" s="70">
        <f>IFERROR(TEXT(INDEX(tk_LEAFW,MATCH(56,tk_DSEQ,0)),"0.000")&amp;" x "&amp;TEXT(INDEX(tk_LEAFH,MATCH(56,tk_DSEQ,0)),"0.000"),"")</f>
        <v/>
      </c>
      <c r="G61" s="70">
        <f>IFERROR(""&amp;INDEX(tk_DLINE,MATCH(56,tk_DSEQ,0)),"")</f>
        <v/>
      </c>
      <c r="H61" s="70">
        <f>IFERROR(""&amp;INDEX(tk_DNOTES,MATCH(56,tk_DSEQ,0)),"")</f>
        <v/>
      </c>
    </row>
    <row r="62">
      <c r="A62" s="70">
        <f>IFERROR(""&amp;INDEX(tk_MARK,MATCH(57,tk_DSEQ,0)),"")</f>
        <v/>
      </c>
      <c r="B62" s="70">
        <f>IFERROR(INDEX(tk_QTY,MATCH(57,tk_DSEQ,0)),"")</f>
        <v/>
      </c>
      <c r="C62" s="70">
        <f>IFERROR(INDEX(tk_ROOMF,MATCH(57,tk_DSEQ,0))&amp;IF(INDEX(tk_ROOMT,MATCH(57,tk_DSEQ,0))="",""," → "&amp;INDEX(tk_ROOMT,MATCH(57,tk_DSEQ,0))),"")</f>
        <v/>
      </c>
      <c r="D62" s="70">
        <f>IFERROR(INDEX(tk_LEAVES,MATCH(57,tk_DSEQ,0)),"")</f>
        <v/>
      </c>
      <c r="E62" s="70">
        <f>IFERROR(""&amp;INDEX(tk_RATING,MATCH(57,tk_DSEQ,0)),"")</f>
        <v/>
      </c>
      <c r="F62" s="70">
        <f>IFERROR(TEXT(INDEX(tk_LEAFW,MATCH(57,tk_DSEQ,0)),"0.000")&amp;" x "&amp;TEXT(INDEX(tk_LEAFH,MATCH(57,tk_DSEQ,0)),"0.000"),"")</f>
        <v/>
      </c>
      <c r="G62" s="70">
        <f>IFERROR(""&amp;INDEX(tk_DLINE,MATCH(57,tk_DSEQ,0)),"")</f>
        <v/>
      </c>
      <c r="H62" s="70">
        <f>IFERROR(""&amp;INDEX(tk_DNOTES,MATCH(57,tk_DSEQ,0)),"")</f>
        <v/>
      </c>
    </row>
    <row r="63">
      <c r="A63" s="70">
        <f>IFERROR(""&amp;INDEX(tk_MARK,MATCH(58,tk_DSEQ,0)),"")</f>
        <v/>
      </c>
      <c r="B63" s="70">
        <f>IFERROR(INDEX(tk_QTY,MATCH(58,tk_DSEQ,0)),"")</f>
        <v/>
      </c>
      <c r="C63" s="70">
        <f>IFERROR(INDEX(tk_ROOMF,MATCH(58,tk_DSEQ,0))&amp;IF(INDEX(tk_ROOMT,MATCH(58,tk_DSEQ,0))="",""," → "&amp;INDEX(tk_ROOMT,MATCH(58,tk_DSEQ,0))),"")</f>
        <v/>
      </c>
      <c r="D63" s="70">
        <f>IFERROR(INDEX(tk_LEAVES,MATCH(58,tk_DSEQ,0)),"")</f>
        <v/>
      </c>
      <c r="E63" s="70">
        <f>IFERROR(""&amp;INDEX(tk_RATING,MATCH(58,tk_DSEQ,0)),"")</f>
        <v/>
      </c>
      <c r="F63" s="70">
        <f>IFERROR(TEXT(INDEX(tk_LEAFW,MATCH(58,tk_DSEQ,0)),"0.000")&amp;" x "&amp;TEXT(INDEX(tk_LEAFH,MATCH(58,tk_DSEQ,0)),"0.000"),"")</f>
        <v/>
      </c>
      <c r="G63" s="70">
        <f>IFERROR(""&amp;INDEX(tk_DLINE,MATCH(58,tk_DSEQ,0)),"")</f>
        <v/>
      </c>
      <c r="H63" s="70">
        <f>IFERROR(""&amp;INDEX(tk_DNOTES,MATCH(58,tk_DSEQ,0)),"")</f>
        <v/>
      </c>
    </row>
    <row r="64">
      <c r="A64" s="70">
        <f>IFERROR(""&amp;INDEX(tk_MARK,MATCH(59,tk_DSEQ,0)),"")</f>
        <v/>
      </c>
      <c r="B64" s="70">
        <f>IFERROR(INDEX(tk_QTY,MATCH(59,tk_DSEQ,0)),"")</f>
        <v/>
      </c>
      <c r="C64" s="70">
        <f>IFERROR(INDEX(tk_ROOMF,MATCH(59,tk_DSEQ,0))&amp;IF(INDEX(tk_ROOMT,MATCH(59,tk_DSEQ,0))="",""," → "&amp;INDEX(tk_ROOMT,MATCH(59,tk_DSEQ,0))),"")</f>
        <v/>
      </c>
      <c r="D64" s="70">
        <f>IFERROR(INDEX(tk_LEAVES,MATCH(59,tk_DSEQ,0)),"")</f>
        <v/>
      </c>
      <c r="E64" s="70">
        <f>IFERROR(""&amp;INDEX(tk_RATING,MATCH(59,tk_DSEQ,0)),"")</f>
        <v/>
      </c>
      <c r="F64" s="70">
        <f>IFERROR(TEXT(INDEX(tk_LEAFW,MATCH(59,tk_DSEQ,0)),"0.000")&amp;" x "&amp;TEXT(INDEX(tk_LEAFH,MATCH(59,tk_DSEQ,0)),"0.000"),"")</f>
        <v/>
      </c>
      <c r="G64" s="70">
        <f>IFERROR(""&amp;INDEX(tk_DLINE,MATCH(59,tk_DSEQ,0)),"")</f>
        <v/>
      </c>
      <c r="H64" s="70">
        <f>IFERROR(""&amp;INDEX(tk_DNOTES,MATCH(59,tk_DSEQ,0)),"")</f>
        <v/>
      </c>
    </row>
    <row r="65">
      <c r="A65" s="70">
        <f>IFERROR(""&amp;INDEX(tk_MARK,MATCH(60,tk_DSEQ,0)),"")</f>
        <v/>
      </c>
      <c r="B65" s="70">
        <f>IFERROR(INDEX(tk_QTY,MATCH(60,tk_DSEQ,0)),"")</f>
        <v/>
      </c>
      <c r="C65" s="70">
        <f>IFERROR(INDEX(tk_ROOMF,MATCH(60,tk_DSEQ,0))&amp;IF(INDEX(tk_ROOMT,MATCH(60,tk_DSEQ,0))="",""," → "&amp;INDEX(tk_ROOMT,MATCH(60,tk_DSEQ,0))),"")</f>
        <v/>
      </c>
      <c r="D65" s="70">
        <f>IFERROR(INDEX(tk_LEAVES,MATCH(60,tk_DSEQ,0)),"")</f>
        <v/>
      </c>
      <c r="E65" s="70">
        <f>IFERROR(""&amp;INDEX(tk_RATING,MATCH(60,tk_DSEQ,0)),"")</f>
        <v/>
      </c>
      <c r="F65" s="70">
        <f>IFERROR(TEXT(INDEX(tk_LEAFW,MATCH(60,tk_DSEQ,0)),"0.000")&amp;" x "&amp;TEXT(INDEX(tk_LEAFH,MATCH(60,tk_DSEQ,0)),"0.000"),"")</f>
        <v/>
      </c>
      <c r="G65" s="70">
        <f>IFERROR(""&amp;INDEX(tk_DLINE,MATCH(60,tk_DSEQ,0)),"")</f>
        <v/>
      </c>
      <c r="H65" s="70">
        <f>IFERROR(""&amp;INDEX(tk_DNOTES,MATCH(60,tk_DSEQ,0)),"")</f>
        <v/>
      </c>
    </row>
    <row r="66">
      <c r="A66" s="70">
        <f>IFERROR(""&amp;INDEX(tk_MARK,MATCH(61,tk_DSEQ,0)),"")</f>
        <v/>
      </c>
      <c r="B66" s="70">
        <f>IFERROR(INDEX(tk_QTY,MATCH(61,tk_DSEQ,0)),"")</f>
        <v/>
      </c>
      <c r="C66" s="70">
        <f>IFERROR(INDEX(tk_ROOMF,MATCH(61,tk_DSEQ,0))&amp;IF(INDEX(tk_ROOMT,MATCH(61,tk_DSEQ,0))="",""," → "&amp;INDEX(tk_ROOMT,MATCH(61,tk_DSEQ,0))),"")</f>
        <v/>
      </c>
      <c r="D66" s="70">
        <f>IFERROR(INDEX(tk_LEAVES,MATCH(61,tk_DSEQ,0)),"")</f>
        <v/>
      </c>
      <c r="E66" s="70">
        <f>IFERROR(""&amp;INDEX(tk_RATING,MATCH(61,tk_DSEQ,0)),"")</f>
        <v/>
      </c>
      <c r="F66" s="70">
        <f>IFERROR(TEXT(INDEX(tk_LEAFW,MATCH(61,tk_DSEQ,0)),"0.000")&amp;" x "&amp;TEXT(INDEX(tk_LEAFH,MATCH(61,tk_DSEQ,0)),"0.000"),"")</f>
        <v/>
      </c>
      <c r="G66" s="70">
        <f>IFERROR(""&amp;INDEX(tk_DLINE,MATCH(61,tk_DSEQ,0)),"")</f>
        <v/>
      </c>
      <c r="H66" s="70">
        <f>IFERROR(""&amp;INDEX(tk_DNOTES,MATCH(61,tk_DSEQ,0)),"")</f>
        <v/>
      </c>
    </row>
    <row r="67">
      <c r="A67" s="70">
        <f>IFERROR(""&amp;INDEX(tk_MARK,MATCH(62,tk_DSEQ,0)),"")</f>
        <v/>
      </c>
      <c r="B67" s="70">
        <f>IFERROR(INDEX(tk_QTY,MATCH(62,tk_DSEQ,0)),"")</f>
        <v/>
      </c>
      <c r="C67" s="70">
        <f>IFERROR(INDEX(tk_ROOMF,MATCH(62,tk_DSEQ,0))&amp;IF(INDEX(tk_ROOMT,MATCH(62,tk_DSEQ,0))="",""," → "&amp;INDEX(tk_ROOMT,MATCH(62,tk_DSEQ,0))),"")</f>
        <v/>
      </c>
      <c r="D67" s="70">
        <f>IFERROR(INDEX(tk_LEAVES,MATCH(62,tk_DSEQ,0)),"")</f>
        <v/>
      </c>
      <c r="E67" s="70">
        <f>IFERROR(""&amp;INDEX(tk_RATING,MATCH(62,tk_DSEQ,0)),"")</f>
        <v/>
      </c>
      <c r="F67" s="70">
        <f>IFERROR(TEXT(INDEX(tk_LEAFW,MATCH(62,tk_DSEQ,0)),"0.000")&amp;" x "&amp;TEXT(INDEX(tk_LEAFH,MATCH(62,tk_DSEQ,0)),"0.000"),"")</f>
        <v/>
      </c>
      <c r="G67" s="70">
        <f>IFERROR(""&amp;INDEX(tk_DLINE,MATCH(62,tk_DSEQ,0)),"")</f>
        <v/>
      </c>
      <c r="H67" s="70">
        <f>IFERROR(""&amp;INDEX(tk_DNOTES,MATCH(62,tk_DSEQ,0)),"")</f>
        <v/>
      </c>
    </row>
    <row r="68">
      <c r="A68" s="70">
        <f>IFERROR(""&amp;INDEX(tk_MARK,MATCH(63,tk_DSEQ,0)),"")</f>
        <v/>
      </c>
      <c r="B68" s="70">
        <f>IFERROR(INDEX(tk_QTY,MATCH(63,tk_DSEQ,0)),"")</f>
        <v/>
      </c>
      <c r="C68" s="70">
        <f>IFERROR(INDEX(tk_ROOMF,MATCH(63,tk_DSEQ,0))&amp;IF(INDEX(tk_ROOMT,MATCH(63,tk_DSEQ,0))="",""," → "&amp;INDEX(tk_ROOMT,MATCH(63,tk_DSEQ,0))),"")</f>
        <v/>
      </c>
      <c r="D68" s="70">
        <f>IFERROR(INDEX(tk_LEAVES,MATCH(63,tk_DSEQ,0)),"")</f>
        <v/>
      </c>
      <c r="E68" s="70">
        <f>IFERROR(""&amp;INDEX(tk_RATING,MATCH(63,tk_DSEQ,0)),"")</f>
        <v/>
      </c>
      <c r="F68" s="70">
        <f>IFERROR(TEXT(INDEX(tk_LEAFW,MATCH(63,tk_DSEQ,0)),"0.000")&amp;" x "&amp;TEXT(INDEX(tk_LEAFH,MATCH(63,tk_DSEQ,0)),"0.000"),"")</f>
        <v/>
      </c>
      <c r="G68" s="70">
        <f>IFERROR(""&amp;INDEX(tk_DLINE,MATCH(63,tk_DSEQ,0)),"")</f>
        <v/>
      </c>
      <c r="H68" s="70">
        <f>IFERROR(""&amp;INDEX(tk_DNOTES,MATCH(63,tk_DSEQ,0)),"")</f>
        <v/>
      </c>
    </row>
    <row r="69">
      <c r="A69" s="70">
        <f>IFERROR(""&amp;INDEX(tk_MARK,MATCH(64,tk_DSEQ,0)),"")</f>
        <v/>
      </c>
      <c r="B69" s="70">
        <f>IFERROR(INDEX(tk_QTY,MATCH(64,tk_DSEQ,0)),"")</f>
        <v/>
      </c>
      <c r="C69" s="70">
        <f>IFERROR(INDEX(tk_ROOMF,MATCH(64,tk_DSEQ,0))&amp;IF(INDEX(tk_ROOMT,MATCH(64,tk_DSEQ,0))="",""," → "&amp;INDEX(tk_ROOMT,MATCH(64,tk_DSEQ,0))),"")</f>
        <v/>
      </c>
      <c r="D69" s="70">
        <f>IFERROR(INDEX(tk_LEAVES,MATCH(64,tk_DSEQ,0)),"")</f>
        <v/>
      </c>
      <c r="E69" s="70">
        <f>IFERROR(""&amp;INDEX(tk_RATING,MATCH(64,tk_DSEQ,0)),"")</f>
        <v/>
      </c>
      <c r="F69" s="70">
        <f>IFERROR(TEXT(INDEX(tk_LEAFW,MATCH(64,tk_DSEQ,0)),"0.000")&amp;" x "&amp;TEXT(INDEX(tk_LEAFH,MATCH(64,tk_DSEQ,0)),"0.000"),"")</f>
        <v/>
      </c>
      <c r="G69" s="70">
        <f>IFERROR(""&amp;INDEX(tk_DLINE,MATCH(64,tk_DSEQ,0)),"")</f>
        <v/>
      </c>
      <c r="H69" s="70">
        <f>IFERROR(""&amp;INDEX(tk_DNOTES,MATCH(64,tk_DSEQ,0)),"")</f>
        <v/>
      </c>
    </row>
    <row r="70">
      <c r="A70" s="70">
        <f>IFERROR(""&amp;INDEX(tk_MARK,MATCH(65,tk_DSEQ,0)),"")</f>
        <v/>
      </c>
      <c r="B70" s="70">
        <f>IFERROR(INDEX(tk_QTY,MATCH(65,tk_DSEQ,0)),"")</f>
        <v/>
      </c>
      <c r="C70" s="70">
        <f>IFERROR(INDEX(tk_ROOMF,MATCH(65,tk_DSEQ,0))&amp;IF(INDEX(tk_ROOMT,MATCH(65,tk_DSEQ,0))="",""," → "&amp;INDEX(tk_ROOMT,MATCH(65,tk_DSEQ,0))),"")</f>
        <v/>
      </c>
      <c r="D70" s="70">
        <f>IFERROR(INDEX(tk_LEAVES,MATCH(65,tk_DSEQ,0)),"")</f>
        <v/>
      </c>
      <c r="E70" s="70">
        <f>IFERROR(""&amp;INDEX(tk_RATING,MATCH(65,tk_DSEQ,0)),"")</f>
        <v/>
      </c>
      <c r="F70" s="70">
        <f>IFERROR(TEXT(INDEX(tk_LEAFW,MATCH(65,tk_DSEQ,0)),"0.000")&amp;" x "&amp;TEXT(INDEX(tk_LEAFH,MATCH(65,tk_DSEQ,0)),"0.000"),"")</f>
        <v/>
      </c>
      <c r="G70" s="70">
        <f>IFERROR(""&amp;INDEX(tk_DLINE,MATCH(65,tk_DSEQ,0)),"")</f>
        <v/>
      </c>
      <c r="H70" s="70">
        <f>IFERROR(""&amp;INDEX(tk_DNOTES,MATCH(65,tk_DSEQ,0)),"")</f>
        <v/>
      </c>
    </row>
    <row r="71">
      <c r="A71" s="70">
        <f>IFERROR(""&amp;INDEX(tk_MARK,MATCH(66,tk_DSEQ,0)),"")</f>
        <v/>
      </c>
      <c r="B71" s="70">
        <f>IFERROR(INDEX(tk_QTY,MATCH(66,tk_DSEQ,0)),"")</f>
        <v/>
      </c>
      <c r="C71" s="70">
        <f>IFERROR(INDEX(tk_ROOMF,MATCH(66,tk_DSEQ,0))&amp;IF(INDEX(tk_ROOMT,MATCH(66,tk_DSEQ,0))="",""," → "&amp;INDEX(tk_ROOMT,MATCH(66,tk_DSEQ,0))),"")</f>
        <v/>
      </c>
      <c r="D71" s="70">
        <f>IFERROR(INDEX(tk_LEAVES,MATCH(66,tk_DSEQ,0)),"")</f>
        <v/>
      </c>
      <c r="E71" s="70">
        <f>IFERROR(""&amp;INDEX(tk_RATING,MATCH(66,tk_DSEQ,0)),"")</f>
        <v/>
      </c>
      <c r="F71" s="70">
        <f>IFERROR(TEXT(INDEX(tk_LEAFW,MATCH(66,tk_DSEQ,0)),"0.000")&amp;" x "&amp;TEXT(INDEX(tk_LEAFH,MATCH(66,tk_DSEQ,0)),"0.000"),"")</f>
        <v/>
      </c>
      <c r="G71" s="70">
        <f>IFERROR(""&amp;INDEX(tk_DLINE,MATCH(66,tk_DSEQ,0)),"")</f>
        <v/>
      </c>
      <c r="H71" s="70">
        <f>IFERROR(""&amp;INDEX(tk_DNOTES,MATCH(66,tk_DSEQ,0)),"")</f>
        <v/>
      </c>
    </row>
    <row r="72">
      <c r="A72" s="70">
        <f>IFERROR(""&amp;INDEX(tk_MARK,MATCH(67,tk_DSEQ,0)),"")</f>
        <v/>
      </c>
      <c r="B72" s="70">
        <f>IFERROR(INDEX(tk_QTY,MATCH(67,tk_DSEQ,0)),"")</f>
        <v/>
      </c>
      <c r="C72" s="70">
        <f>IFERROR(INDEX(tk_ROOMF,MATCH(67,tk_DSEQ,0))&amp;IF(INDEX(tk_ROOMT,MATCH(67,tk_DSEQ,0))="",""," → "&amp;INDEX(tk_ROOMT,MATCH(67,tk_DSEQ,0))),"")</f>
        <v/>
      </c>
      <c r="D72" s="70">
        <f>IFERROR(INDEX(tk_LEAVES,MATCH(67,tk_DSEQ,0)),"")</f>
        <v/>
      </c>
      <c r="E72" s="70">
        <f>IFERROR(""&amp;INDEX(tk_RATING,MATCH(67,tk_DSEQ,0)),"")</f>
        <v/>
      </c>
      <c r="F72" s="70">
        <f>IFERROR(TEXT(INDEX(tk_LEAFW,MATCH(67,tk_DSEQ,0)),"0.000")&amp;" x "&amp;TEXT(INDEX(tk_LEAFH,MATCH(67,tk_DSEQ,0)),"0.000"),"")</f>
        <v/>
      </c>
      <c r="G72" s="70">
        <f>IFERROR(""&amp;INDEX(tk_DLINE,MATCH(67,tk_DSEQ,0)),"")</f>
        <v/>
      </c>
      <c r="H72" s="70">
        <f>IFERROR(""&amp;INDEX(tk_DNOTES,MATCH(67,tk_DSEQ,0)),"")</f>
        <v/>
      </c>
    </row>
    <row r="73">
      <c r="A73" s="70">
        <f>IFERROR(""&amp;INDEX(tk_MARK,MATCH(68,tk_DSEQ,0)),"")</f>
        <v/>
      </c>
      <c r="B73" s="70">
        <f>IFERROR(INDEX(tk_QTY,MATCH(68,tk_DSEQ,0)),"")</f>
        <v/>
      </c>
      <c r="C73" s="70">
        <f>IFERROR(INDEX(tk_ROOMF,MATCH(68,tk_DSEQ,0))&amp;IF(INDEX(tk_ROOMT,MATCH(68,tk_DSEQ,0))="",""," → "&amp;INDEX(tk_ROOMT,MATCH(68,tk_DSEQ,0))),"")</f>
        <v/>
      </c>
      <c r="D73" s="70">
        <f>IFERROR(INDEX(tk_LEAVES,MATCH(68,tk_DSEQ,0)),"")</f>
        <v/>
      </c>
      <c r="E73" s="70">
        <f>IFERROR(""&amp;INDEX(tk_RATING,MATCH(68,tk_DSEQ,0)),"")</f>
        <v/>
      </c>
      <c r="F73" s="70">
        <f>IFERROR(TEXT(INDEX(tk_LEAFW,MATCH(68,tk_DSEQ,0)),"0.000")&amp;" x "&amp;TEXT(INDEX(tk_LEAFH,MATCH(68,tk_DSEQ,0)),"0.000"),"")</f>
        <v/>
      </c>
      <c r="G73" s="70">
        <f>IFERROR(""&amp;INDEX(tk_DLINE,MATCH(68,tk_DSEQ,0)),"")</f>
        <v/>
      </c>
      <c r="H73" s="70">
        <f>IFERROR(""&amp;INDEX(tk_DNOTES,MATCH(68,tk_DSEQ,0)),"")</f>
        <v/>
      </c>
    </row>
    <row r="74">
      <c r="A74" s="70">
        <f>IFERROR(""&amp;INDEX(tk_MARK,MATCH(69,tk_DSEQ,0)),"")</f>
        <v/>
      </c>
      <c r="B74" s="70">
        <f>IFERROR(INDEX(tk_QTY,MATCH(69,tk_DSEQ,0)),"")</f>
        <v/>
      </c>
      <c r="C74" s="70">
        <f>IFERROR(INDEX(tk_ROOMF,MATCH(69,tk_DSEQ,0))&amp;IF(INDEX(tk_ROOMT,MATCH(69,tk_DSEQ,0))="",""," → "&amp;INDEX(tk_ROOMT,MATCH(69,tk_DSEQ,0))),"")</f>
        <v/>
      </c>
      <c r="D74" s="70">
        <f>IFERROR(INDEX(tk_LEAVES,MATCH(69,tk_DSEQ,0)),"")</f>
        <v/>
      </c>
      <c r="E74" s="70">
        <f>IFERROR(""&amp;INDEX(tk_RATING,MATCH(69,tk_DSEQ,0)),"")</f>
        <v/>
      </c>
      <c r="F74" s="70">
        <f>IFERROR(TEXT(INDEX(tk_LEAFW,MATCH(69,tk_DSEQ,0)),"0.000")&amp;" x "&amp;TEXT(INDEX(tk_LEAFH,MATCH(69,tk_DSEQ,0)),"0.000"),"")</f>
        <v/>
      </c>
      <c r="G74" s="70">
        <f>IFERROR(""&amp;INDEX(tk_DLINE,MATCH(69,tk_DSEQ,0)),"")</f>
        <v/>
      </c>
      <c r="H74" s="70">
        <f>IFERROR(""&amp;INDEX(tk_DNOTES,MATCH(69,tk_DSEQ,0)),"")</f>
        <v/>
      </c>
    </row>
    <row r="75">
      <c r="A75" s="70">
        <f>IFERROR(""&amp;INDEX(tk_MARK,MATCH(70,tk_DSEQ,0)),"")</f>
        <v/>
      </c>
      <c r="B75" s="70">
        <f>IFERROR(INDEX(tk_QTY,MATCH(70,tk_DSEQ,0)),"")</f>
        <v/>
      </c>
      <c r="C75" s="70">
        <f>IFERROR(INDEX(tk_ROOMF,MATCH(70,tk_DSEQ,0))&amp;IF(INDEX(tk_ROOMT,MATCH(70,tk_DSEQ,0))="",""," → "&amp;INDEX(tk_ROOMT,MATCH(70,tk_DSEQ,0))),"")</f>
        <v/>
      </c>
      <c r="D75" s="70">
        <f>IFERROR(INDEX(tk_LEAVES,MATCH(70,tk_DSEQ,0)),"")</f>
        <v/>
      </c>
      <c r="E75" s="70">
        <f>IFERROR(""&amp;INDEX(tk_RATING,MATCH(70,tk_DSEQ,0)),"")</f>
        <v/>
      </c>
      <c r="F75" s="70">
        <f>IFERROR(TEXT(INDEX(tk_LEAFW,MATCH(70,tk_DSEQ,0)),"0.000")&amp;" x "&amp;TEXT(INDEX(tk_LEAFH,MATCH(70,tk_DSEQ,0)),"0.000"),"")</f>
        <v/>
      </c>
      <c r="G75" s="70">
        <f>IFERROR(""&amp;INDEX(tk_DLINE,MATCH(70,tk_DSEQ,0)),"")</f>
        <v/>
      </c>
      <c r="H75" s="70">
        <f>IFERROR(""&amp;INDEX(tk_DNOTES,MATCH(70,tk_DSEQ,0)),"")</f>
        <v/>
      </c>
    </row>
    <row r="76">
      <c r="A76" s="70">
        <f>IFERROR(""&amp;INDEX(tk_MARK,MATCH(71,tk_DSEQ,0)),"")</f>
        <v/>
      </c>
      <c r="B76" s="70">
        <f>IFERROR(INDEX(tk_QTY,MATCH(71,tk_DSEQ,0)),"")</f>
        <v/>
      </c>
      <c r="C76" s="70">
        <f>IFERROR(INDEX(tk_ROOMF,MATCH(71,tk_DSEQ,0))&amp;IF(INDEX(tk_ROOMT,MATCH(71,tk_DSEQ,0))="",""," → "&amp;INDEX(tk_ROOMT,MATCH(71,tk_DSEQ,0))),"")</f>
        <v/>
      </c>
      <c r="D76" s="70">
        <f>IFERROR(INDEX(tk_LEAVES,MATCH(71,tk_DSEQ,0)),"")</f>
        <v/>
      </c>
      <c r="E76" s="70">
        <f>IFERROR(""&amp;INDEX(tk_RATING,MATCH(71,tk_DSEQ,0)),"")</f>
        <v/>
      </c>
      <c r="F76" s="70">
        <f>IFERROR(TEXT(INDEX(tk_LEAFW,MATCH(71,tk_DSEQ,0)),"0.000")&amp;" x "&amp;TEXT(INDEX(tk_LEAFH,MATCH(71,tk_DSEQ,0)),"0.000"),"")</f>
        <v/>
      </c>
      <c r="G76" s="70">
        <f>IFERROR(""&amp;INDEX(tk_DLINE,MATCH(71,tk_DSEQ,0)),"")</f>
        <v/>
      </c>
      <c r="H76" s="70">
        <f>IFERROR(""&amp;INDEX(tk_DNOTES,MATCH(71,tk_DSEQ,0)),"")</f>
        <v/>
      </c>
    </row>
    <row r="77">
      <c r="A77" s="70">
        <f>IFERROR(""&amp;INDEX(tk_MARK,MATCH(72,tk_DSEQ,0)),"")</f>
        <v/>
      </c>
      <c r="B77" s="70">
        <f>IFERROR(INDEX(tk_QTY,MATCH(72,tk_DSEQ,0)),"")</f>
        <v/>
      </c>
      <c r="C77" s="70">
        <f>IFERROR(INDEX(tk_ROOMF,MATCH(72,tk_DSEQ,0))&amp;IF(INDEX(tk_ROOMT,MATCH(72,tk_DSEQ,0))="",""," → "&amp;INDEX(tk_ROOMT,MATCH(72,tk_DSEQ,0))),"")</f>
        <v/>
      </c>
      <c r="D77" s="70">
        <f>IFERROR(INDEX(tk_LEAVES,MATCH(72,tk_DSEQ,0)),"")</f>
        <v/>
      </c>
      <c r="E77" s="70">
        <f>IFERROR(""&amp;INDEX(tk_RATING,MATCH(72,tk_DSEQ,0)),"")</f>
        <v/>
      </c>
      <c r="F77" s="70">
        <f>IFERROR(TEXT(INDEX(tk_LEAFW,MATCH(72,tk_DSEQ,0)),"0.000")&amp;" x "&amp;TEXT(INDEX(tk_LEAFH,MATCH(72,tk_DSEQ,0)),"0.000"),"")</f>
        <v/>
      </c>
      <c r="G77" s="70">
        <f>IFERROR(""&amp;INDEX(tk_DLINE,MATCH(72,tk_DSEQ,0)),"")</f>
        <v/>
      </c>
      <c r="H77" s="70">
        <f>IFERROR(""&amp;INDEX(tk_DNOTES,MATCH(72,tk_DSEQ,0)),"")</f>
        <v/>
      </c>
    </row>
    <row r="78">
      <c r="A78" s="70">
        <f>IFERROR(""&amp;INDEX(tk_MARK,MATCH(73,tk_DSEQ,0)),"")</f>
        <v/>
      </c>
      <c r="B78" s="70">
        <f>IFERROR(INDEX(tk_QTY,MATCH(73,tk_DSEQ,0)),"")</f>
        <v/>
      </c>
      <c r="C78" s="70">
        <f>IFERROR(INDEX(tk_ROOMF,MATCH(73,tk_DSEQ,0))&amp;IF(INDEX(tk_ROOMT,MATCH(73,tk_DSEQ,0))="",""," → "&amp;INDEX(tk_ROOMT,MATCH(73,tk_DSEQ,0))),"")</f>
        <v/>
      </c>
      <c r="D78" s="70">
        <f>IFERROR(INDEX(tk_LEAVES,MATCH(73,tk_DSEQ,0)),"")</f>
        <v/>
      </c>
      <c r="E78" s="70">
        <f>IFERROR(""&amp;INDEX(tk_RATING,MATCH(73,tk_DSEQ,0)),"")</f>
        <v/>
      </c>
      <c r="F78" s="70">
        <f>IFERROR(TEXT(INDEX(tk_LEAFW,MATCH(73,tk_DSEQ,0)),"0.000")&amp;" x "&amp;TEXT(INDEX(tk_LEAFH,MATCH(73,tk_DSEQ,0)),"0.000"),"")</f>
        <v/>
      </c>
      <c r="G78" s="70">
        <f>IFERROR(""&amp;INDEX(tk_DLINE,MATCH(73,tk_DSEQ,0)),"")</f>
        <v/>
      </c>
      <c r="H78" s="70">
        <f>IFERROR(""&amp;INDEX(tk_DNOTES,MATCH(73,tk_DSEQ,0)),"")</f>
        <v/>
      </c>
    </row>
    <row r="79">
      <c r="A79" s="70">
        <f>IFERROR(""&amp;INDEX(tk_MARK,MATCH(74,tk_DSEQ,0)),"")</f>
        <v/>
      </c>
      <c r="B79" s="70">
        <f>IFERROR(INDEX(tk_QTY,MATCH(74,tk_DSEQ,0)),"")</f>
        <v/>
      </c>
      <c r="C79" s="70">
        <f>IFERROR(INDEX(tk_ROOMF,MATCH(74,tk_DSEQ,0))&amp;IF(INDEX(tk_ROOMT,MATCH(74,tk_DSEQ,0))="",""," → "&amp;INDEX(tk_ROOMT,MATCH(74,tk_DSEQ,0))),"")</f>
        <v/>
      </c>
      <c r="D79" s="70">
        <f>IFERROR(INDEX(tk_LEAVES,MATCH(74,tk_DSEQ,0)),"")</f>
        <v/>
      </c>
      <c r="E79" s="70">
        <f>IFERROR(""&amp;INDEX(tk_RATING,MATCH(74,tk_DSEQ,0)),"")</f>
        <v/>
      </c>
      <c r="F79" s="70">
        <f>IFERROR(TEXT(INDEX(tk_LEAFW,MATCH(74,tk_DSEQ,0)),"0.000")&amp;" x "&amp;TEXT(INDEX(tk_LEAFH,MATCH(74,tk_DSEQ,0)),"0.000"),"")</f>
        <v/>
      </c>
      <c r="G79" s="70">
        <f>IFERROR(""&amp;INDEX(tk_DLINE,MATCH(74,tk_DSEQ,0)),"")</f>
        <v/>
      </c>
      <c r="H79" s="70">
        <f>IFERROR(""&amp;INDEX(tk_DNOTES,MATCH(74,tk_DSEQ,0)),"")</f>
        <v/>
      </c>
    </row>
    <row r="80">
      <c r="A80" s="70">
        <f>IFERROR(""&amp;INDEX(tk_MARK,MATCH(75,tk_DSEQ,0)),"")</f>
        <v/>
      </c>
      <c r="B80" s="70">
        <f>IFERROR(INDEX(tk_QTY,MATCH(75,tk_DSEQ,0)),"")</f>
        <v/>
      </c>
      <c r="C80" s="70">
        <f>IFERROR(INDEX(tk_ROOMF,MATCH(75,tk_DSEQ,0))&amp;IF(INDEX(tk_ROOMT,MATCH(75,tk_DSEQ,0))="",""," → "&amp;INDEX(tk_ROOMT,MATCH(75,tk_DSEQ,0))),"")</f>
        <v/>
      </c>
      <c r="D80" s="70">
        <f>IFERROR(INDEX(tk_LEAVES,MATCH(75,tk_DSEQ,0)),"")</f>
        <v/>
      </c>
      <c r="E80" s="70">
        <f>IFERROR(""&amp;INDEX(tk_RATING,MATCH(75,tk_DSEQ,0)),"")</f>
        <v/>
      </c>
      <c r="F80" s="70">
        <f>IFERROR(TEXT(INDEX(tk_LEAFW,MATCH(75,tk_DSEQ,0)),"0.000")&amp;" x "&amp;TEXT(INDEX(tk_LEAFH,MATCH(75,tk_DSEQ,0)),"0.000"),"")</f>
        <v/>
      </c>
      <c r="G80" s="70">
        <f>IFERROR(""&amp;INDEX(tk_DLINE,MATCH(75,tk_DSEQ,0)),"")</f>
        <v/>
      </c>
      <c r="H80" s="70">
        <f>IFERROR(""&amp;INDEX(tk_DNOTES,MATCH(75,tk_DSEQ,0)),"")</f>
        <v/>
      </c>
    </row>
    <row r="81">
      <c r="A81" s="70">
        <f>IFERROR(""&amp;INDEX(tk_MARK,MATCH(76,tk_DSEQ,0)),"")</f>
        <v/>
      </c>
      <c r="B81" s="70">
        <f>IFERROR(INDEX(tk_QTY,MATCH(76,tk_DSEQ,0)),"")</f>
        <v/>
      </c>
      <c r="C81" s="70">
        <f>IFERROR(INDEX(tk_ROOMF,MATCH(76,tk_DSEQ,0))&amp;IF(INDEX(tk_ROOMT,MATCH(76,tk_DSEQ,0))="",""," → "&amp;INDEX(tk_ROOMT,MATCH(76,tk_DSEQ,0))),"")</f>
        <v/>
      </c>
      <c r="D81" s="70">
        <f>IFERROR(INDEX(tk_LEAVES,MATCH(76,tk_DSEQ,0)),"")</f>
        <v/>
      </c>
      <c r="E81" s="70">
        <f>IFERROR(""&amp;INDEX(tk_RATING,MATCH(76,tk_DSEQ,0)),"")</f>
        <v/>
      </c>
      <c r="F81" s="70">
        <f>IFERROR(TEXT(INDEX(tk_LEAFW,MATCH(76,tk_DSEQ,0)),"0.000")&amp;" x "&amp;TEXT(INDEX(tk_LEAFH,MATCH(76,tk_DSEQ,0)),"0.000"),"")</f>
        <v/>
      </c>
      <c r="G81" s="70">
        <f>IFERROR(""&amp;INDEX(tk_DLINE,MATCH(76,tk_DSEQ,0)),"")</f>
        <v/>
      </c>
      <c r="H81" s="70">
        <f>IFERROR(""&amp;INDEX(tk_DNOTES,MATCH(76,tk_DSEQ,0)),"")</f>
        <v/>
      </c>
    </row>
    <row r="82">
      <c r="A82" s="70">
        <f>IFERROR(""&amp;INDEX(tk_MARK,MATCH(77,tk_DSEQ,0)),"")</f>
        <v/>
      </c>
      <c r="B82" s="70">
        <f>IFERROR(INDEX(tk_QTY,MATCH(77,tk_DSEQ,0)),"")</f>
        <v/>
      </c>
      <c r="C82" s="70">
        <f>IFERROR(INDEX(tk_ROOMF,MATCH(77,tk_DSEQ,0))&amp;IF(INDEX(tk_ROOMT,MATCH(77,tk_DSEQ,0))="",""," → "&amp;INDEX(tk_ROOMT,MATCH(77,tk_DSEQ,0))),"")</f>
        <v/>
      </c>
      <c r="D82" s="70">
        <f>IFERROR(INDEX(tk_LEAVES,MATCH(77,tk_DSEQ,0)),"")</f>
        <v/>
      </c>
      <c r="E82" s="70">
        <f>IFERROR(""&amp;INDEX(tk_RATING,MATCH(77,tk_DSEQ,0)),"")</f>
        <v/>
      </c>
      <c r="F82" s="70">
        <f>IFERROR(TEXT(INDEX(tk_LEAFW,MATCH(77,tk_DSEQ,0)),"0.000")&amp;" x "&amp;TEXT(INDEX(tk_LEAFH,MATCH(77,tk_DSEQ,0)),"0.000"),"")</f>
        <v/>
      </c>
      <c r="G82" s="70">
        <f>IFERROR(""&amp;INDEX(tk_DLINE,MATCH(77,tk_DSEQ,0)),"")</f>
        <v/>
      </c>
      <c r="H82" s="70">
        <f>IFERROR(""&amp;INDEX(tk_DNOTES,MATCH(77,tk_DSEQ,0)),"")</f>
        <v/>
      </c>
    </row>
    <row r="83">
      <c r="A83" s="70">
        <f>IFERROR(""&amp;INDEX(tk_MARK,MATCH(78,tk_DSEQ,0)),"")</f>
        <v/>
      </c>
      <c r="B83" s="70">
        <f>IFERROR(INDEX(tk_QTY,MATCH(78,tk_DSEQ,0)),"")</f>
        <v/>
      </c>
      <c r="C83" s="70">
        <f>IFERROR(INDEX(tk_ROOMF,MATCH(78,tk_DSEQ,0))&amp;IF(INDEX(tk_ROOMT,MATCH(78,tk_DSEQ,0))="",""," → "&amp;INDEX(tk_ROOMT,MATCH(78,tk_DSEQ,0))),"")</f>
        <v/>
      </c>
      <c r="D83" s="70">
        <f>IFERROR(INDEX(tk_LEAVES,MATCH(78,tk_DSEQ,0)),"")</f>
        <v/>
      </c>
      <c r="E83" s="70">
        <f>IFERROR(""&amp;INDEX(tk_RATING,MATCH(78,tk_DSEQ,0)),"")</f>
        <v/>
      </c>
      <c r="F83" s="70">
        <f>IFERROR(TEXT(INDEX(tk_LEAFW,MATCH(78,tk_DSEQ,0)),"0.000")&amp;" x "&amp;TEXT(INDEX(tk_LEAFH,MATCH(78,tk_DSEQ,0)),"0.000"),"")</f>
        <v/>
      </c>
      <c r="G83" s="70">
        <f>IFERROR(""&amp;INDEX(tk_DLINE,MATCH(78,tk_DSEQ,0)),"")</f>
        <v/>
      </c>
      <c r="H83" s="70">
        <f>IFERROR(""&amp;INDEX(tk_DNOTES,MATCH(78,tk_DSEQ,0)),"")</f>
        <v/>
      </c>
    </row>
    <row r="84">
      <c r="A84" s="70">
        <f>IFERROR(""&amp;INDEX(tk_MARK,MATCH(79,tk_DSEQ,0)),"")</f>
        <v/>
      </c>
      <c r="B84" s="70">
        <f>IFERROR(INDEX(tk_QTY,MATCH(79,tk_DSEQ,0)),"")</f>
        <v/>
      </c>
      <c r="C84" s="70">
        <f>IFERROR(INDEX(tk_ROOMF,MATCH(79,tk_DSEQ,0))&amp;IF(INDEX(tk_ROOMT,MATCH(79,tk_DSEQ,0))="",""," → "&amp;INDEX(tk_ROOMT,MATCH(79,tk_DSEQ,0))),"")</f>
        <v/>
      </c>
      <c r="D84" s="70">
        <f>IFERROR(INDEX(tk_LEAVES,MATCH(79,tk_DSEQ,0)),"")</f>
        <v/>
      </c>
      <c r="E84" s="70">
        <f>IFERROR(""&amp;INDEX(tk_RATING,MATCH(79,tk_DSEQ,0)),"")</f>
        <v/>
      </c>
      <c r="F84" s="70">
        <f>IFERROR(TEXT(INDEX(tk_LEAFW,MATCH(79,tk_DSEQ,0)),"0.000")&amp;" x "&amp;TEXT(INDEX(tk_LEAFH,MATCH(79,tk_DSEQ,0)),"0.000"),"")</f>
        <v/>
      </c>
      <c r="G84" s="70">
        <f>IFERROR(""&amp;INDEX(tk_DLINE,MATCH(79,tk_DSEQ,0)),"")</f>
        <v/>
      </c>
      <c r="H84" s="70">
        <f>IFERROR(""&amp;INDEX(tk_DNOTES,MATCH(79,tk_DSEQ,0)),"")</f>
        <v/>
      </c>
    </row>
    <row r="85">
      <c r="A85" s="70">
        <f>IFERROR(""&amp;INDEX(tk_MARK,MATCH(80,tk_DSEQ,0)),"")</f>
        <v/>
      </c>
      <c r="B85" s="70">
        <f>IFERROR(INDEX(tk_QTY,MATCH(80,tk_DSEQ,0)),"")</f>
        <v/>
      </c>
      <c r="C85" s="70">
        <f>IFERROR(INDEX(tk_ROOMF,MATCH(80,tk_DSEQ,0))&amp;IF(INDEX(tk_ROOMT,MATCH(80,tk_DSEQ,0))="",""," → "&amp;INDEX(tk_ROOMT,MATCH(80,tk_DSEQ,0))),"")</f>
        <v/>
      </c>
      <c r="D85" s="70">
        <f>IFERROR(INDEX(tk_LEAVES,MATCH(80,tk_DSEQ,0)),"")</f>
        <v/>
      </c>
      <c r="E85" s="70">
        <f>IFERROR(""&amp;INDEX(tk_RATING,MATCH(80,tk_DSEQ,0)),"")</f>
        <v/>
      </c>
      <c r="F85" s="70">
        <f>IFERROR(TEXT(INDEX(tk_LEAFW,MATCH(80,tk_DSEQ,0)),"0.000")&amp;" x "&amp;TEXT(INDEX(tk_LEAFH,MATCH(80,tk_DSEQ,0)),"0.000"),"")</f>
        <v/>
      </c>
      <c r="G85" s="70">
        <f>IFERROR(""&amp;INDEX(tk_DLINE,MATCH(80,tk_DSEQ,0)),"")</f>
        <v/>
      </c>
      <c r="H85" s="70">
        <f>IFERROR(""&amp;INDEX(tk_DNOTES,MATCH(80,tk_DSEQ,0)),"")</f>
        <v/>
      </c>
    </row>
    <row r="86">
      <c r="A86" s="70">
        <f>IFERROR(""&amp;INDEX(tk_MARK,MATCH(81,tk_DSEQ,0)),"")</f>
        <v/>
      </c>
      <c r="B86" s="70">
        <f>IFERROR(INDEX(tk_QTY,MATCH(81,tk_DSEQ,0)),"")</f>
        <v/>
      </c>
      <c r="C86" s="70">
        <f>IFERROR(INDEX(tk_ROOMF,MATCH(81,tk_DSEQ,0))&amp;IF(INDEX(tk_ROOMT,MATCH(81,tk_DSEQ,0))="",""," → "&amp;INDEX(tk_ROOMT,MATCH(81,tk_DSEQ,0))),"")</f>
        <v/>
      </c>
      <c r="D86" s="70">
        <f>IFERROR(INDEX(tk_LEAVES,MATCH(81,tk_DSEQ,0)),"")</f>
        <v/>
      </c>
      <c r="E86" s="70">
        <f>IFERROR(""&amp;INDEX(tk_RATING,MATCH(81,tk_DSEQ,0)),"")</f>
        <v/>
      </c>
      <c r="F86" s="70">
        <f>IFERROR(TEXT(INDEX(tk_LEAFW,MATCH(81,tk_DSEQ,0)),"0.000")&amp;" x "&amp;TEXT(INDEX(tk_LEAFH,MATCH(81,tk_DSEQ,0)),"0.000"),"")</f>
        <v/>
      </c>
      <c r="G86" s="70">
        <f>IFERROR(""&amp;INDEX(tk_DLINE,MATCH(81,tk_DSEQ,0)),"")</f>
        <v/>
      </c>
      <c r="H86" s="70">
        <f>IFERROR(""&amp;INDEX(tk_DNOTES,MATCH(81,tk_DSEQ,0)),"")</f>
        <v/>
      </c>
    </row>
    <row r="87">
      <c r="A87" s="70">
        <f>IFERROR(""&amp;INDEX(tk_MARK,MATCH(82,tk_DSEQ,0)),"")</f>
        <v/>
      </c>
      <c r="B87" s="70">
        <f>IFERROR(INDEX(tk_QTY,MATCH(82,tk_DSEQ,0)),"")</f>
        <v/>
      </c>
      <c r="C87" s="70">
        <f>IFERROR(INDEX(tk_ROOMF,MATCH(82,tk_DSEQ,0))&amp;IF(INDEX(tk_ROOMT,MATCH(82,tk_DSEQ,0))="",""," → "&amp;INDEX(tk_ROOMT,MATCH(82,tk_DSEQ,0))),"")</f>
        <v/>
      </c>
      <c r="D87" s="70">
        <f>IFERROR(INDEX(tk_LEAVES,MATCH(82,tk_DSEQ,0)),"")</f>
        <v/>
      </c>
      <c r="E87" s="70">
        <f>IFERROR(""&amp;INDEX(tk_RATING,MATCH(82,tk_DSEQ,0)),"")</f>
        <v/>
      </c>
      <c r="F87" s="70">
        <f>IFERROR(TEXT(INDEX(tk_LEAFW,MATCH(82,tk_DSEQ,0)),"0.000")&amp;" x "&amp;TEXT(INDEX(tk_LEAFH,MATCH(82,tk_DSEQ,0)),"0.000"),"")</f>
        <v/>
      </c>
      <c r="G87" s="70">
        <f>IFERROR(""&amp;INDEX(tk_DLINE,MATCH(82,tk_DSEQ,0)),"")</f>
        <v/>
      </c>
      <c r="H87" s="70">
        <f>IFERROR(""&amp;INDEX(tk_DNOTES,MATCH(82,tk_DSEQ,0)),"")</f>
        <v/>
      </c>
    </row>
    <row r="88">
      <c r="A88" s="70">
        <f>IFERROR(""&amp;INDEX(tk_MARK,MATCH(83,tk_DSEQ,0)),"")</f>
        <v/>
      </c>
      <c r="B88" s="70">
        <f>IFERROR(INDEX(tk_QTY,MATCH(83,tk_DSEQ,0)),"")</f>
        <v/>
      </c>
      <c r="C88" s="70">
        <f>IFERROR(INDEX(tk_ROOMF,MATCH(83,tk_DSEQ,0))&amp;IF(INDEX(tk_ROOMT,MATCH(83,tk_DSEQ,0))="",""," → "&amp;INDEX(tk_ROOMT,MATCH(83,tk_DSEQ,0))),"")</f>
        <v/>
      </c>
      <c r="D88" s="70">
        <f>IFERROR(INDEX(tk_LEAVES,MATCH(83,tk_DSEQ,0)),"")</f>
        <v/>
      </c>
      <c r="E88" s="70">
        <f>IFERROR(""&amp;INDEX(tk_RATING,MATCH(83,tk_DSEQ,0)),"")</f>
        <v/>
      </c>
      <c r="F88" s="70">
        <f>IFERROR(TEXT(INDEX(tk_LEAFW,MATCH(83,tk_DSEQ,0)),"0.000")&amp;" x "&amp;TEXT(INDEX(tk_LEAFH,MATCH(83,tk_DSEQ,0)),"0.000"),"")</f>
        <v/>
      </c>
      <c r="G88" s="70">
        <f>IFERROR(""&amp;INDEX(tk_DLINE,MATCH(83,tk_DSEQ,0)),"")</f>
        <v/>
      </c>
      <c r="H88" s="70">
        <f>IFERROR(""&amp;INDEX(tk_DNOTES,MATCH(83,tk_DSEQ,0)),"")</f>
        <v/>
      </c>
    </row>
    <row r="89">
      <c r="A89" s="70">
        <f>IFERROR(""&amp;INDEX(tk_MARK,MATCH(84,tk_DSEQ,0)),"")</f>
        <v/>
      </c>
      <c r="B89" s="70">
        <f>IFERROR(INDEX(tk_QTY,MATCH(84,tk_DSEQ,0)),"")</f>
        <v/>
      </c>
      <c r="C89" s="70">
        <f>IFERROR(INDEX(tk_ROOMF,MATCH(84,tk_DSEQ,0))&amp;IF(INDEX(tk_ROOMT,MATCH(84,tk_DSEQ,0))="",""," → "&amp;INDEX(tk_ROOMT,MATCH(84,tk_DSEQ,0))),"")</f>
        <v/>
      </c>
      <c r="D89" s="70">
        <f>IFERROR(INDEX(tk_LEAVES,MATCH(84,tk_DSEQ,0)),"")</f>
        <v/>
      </c>
      <c r="E89" s="70">
        <f>IFERROR(""&amp;INDEX(tk_RATING,MATCH(84,tk_DSEQ,0)),"")</f>
        <v/>
      </c>
      <c r="F89" s="70">
        <f>IFERROR(TEXT(INDEX(tk_LEAFW,MATCH(84,tk_DSEQ,0)),"0.000")&amp;" x "&amp;TEXT(INDEX(tk_LEAFH,MATCH(84,tk_DSEQ,0)),"0.000"),"")</f>
        <v/>
      </c>
      <c r="G89" s="70">
        <f>IFERROR(""&amp;INDEX(tk_DLINE,MATCH(84,tk_DSEQ,0)),"")</f>
        <v/>
      </c>
      <c r="H89" s="70">
        <f>IFERROR(""&amp;INDEX(tk_DNOTES,MATCH(84,tk_DSEQ,0)),"")</f>
        <v/>
      </c>
    </row>
    <row r="90">
      <c r="A90" s="70">
        <f>IFERROR(""&amp;INDEX(tk_MARK,MATCH(85,tk_DSEQ,0)),"")</f>
        <v/>
      </c>
      <c r="B90" s="70">
        <f>IFERROR(INDEX(tk_QTY,MATCH(85,tk_DSEQ,0)),"")</f>
        <v/>
      </c>
      <c r="C90" s="70">
        <f>IFERROR(INDEX(tk_ROOMF,MATCH(85,tk_DSEQ,0))&amp;IF(INDEX(tk_ROOMT,MATCH(85,tk_DSEQ,0))="",""," → "&amp;INDEX(tk_ROOMT,MATCH(85,tk_DSEQ,0))),"")</f>
        <v/>
      </c>
      <c r="D90" s="70">
        <f>IFERROR(INDEX(tk_LEAVES,MATCH(85,tk_DSEQ,0)),"")</f>
        <v/>
      </c>
      <c r="E90" s="70">
        <f>IFERROR(""&amp;INDEX(tk_RATING,MATCH(85,tk_DSEQ,0)),"")</f>
        <v/>
      </c>
      <c r="F90" s="70">
        <f>IFERROR(TEXT(INDEX(tk_LEAFW,MATCH(85,tk_DSEQ,0)),"0.000")&amp;" x "&amp;TEXT(INDEX(tk_LEAFH,MATCH(85,tk_DSEQ,0)),"0.000"),"")</f>
        <v/>
      </c>
      <c r="G90" s="70">
        <f>IFERROR(""&amp;INDEX(tk_DLINE,MATCH(85,tk_DSEQ,0)),"")</f>
        <v/>
      </c>
      <c r="H90" s="70">
        <f>IFERROR(""&amp;INDEX(tk_DNOTES,MATCH(85,tk_DSEQ,0)),"")</f>
        <v/>
      </c>
    </row>
    <row r="91">
      <c r="A91" s="70">
        <f>IFERROR(""&amp;INDEX(tk_MARK,MATCH(86,tk_DSEQ,0)),"")</f>
        <v/>
      </c>
      <c r="B91" s="70">
        <f>IFERROR(INDEX(tk_QTY,MATCH(86,tk_DSEQ,0)),"")</f>
        <v/>
      </c>
      <c r="C91" s="70">
        <f>IFERROR(INDEX(tk_ROOMF,MATCH(86,tk_DSEQ,0))&amp;IF(INDEX(tk_ROOMT,MATCH(86,tk_DSEQ,0))="",""," → "&amp;INDEX(tk_ROOMT,MATCH(86,tk_DSEQ,0))),"")</f>
        <v/>
      </c>
      <c r="D91" s="70">
        <f>IFERROR(INDEX(tk_LEAVES,MATCH(86,tk_DSEQ,0)),"")</f>
        <v/>
      </c>
      <c r="E91" s="70">
        <f>IFERROR(""&amp;INDEX(tk_RATING,MATCH(86,tk_DSEQ,0)),"")</f>
        <v/>
      </c>
      <c r="F91" s="70">
        <f>IFERROR(TEXT(INDEX(tk_LEAFW,MATCH(86,tk_DSEQ,0)),"0.000")&amp;" x "&amp;TEXT(INDEX(tk_LEAFH,MATCH(86,tk_DSEQ,0)),"0.000"),"")</f>
        <v/>
      </c>
      <c r="G91" s="70">
        <f>IFERROR(""&amp;INDEX(tk_DLINE,MATCH(86,tk_DSEQ,0)),"")</f>
        <v/>
      </c>
      <c r="H91" s="70">
        <f>IFERROR(""&amp;INDEX(tk_DNOTES,MATCH(86,tk_DSEQ,0)),"")</f>
        <v/>
      </c>
    </row>
    <row r="92">
      <c r="A92" s="70">
        <f>IFERROR(""&amp;INDEX(tk_MARK,MATCH(87,tk_DSEQ,0)),"")</f>
        <v/>
      </c>
      <c r="B92" s="70">
        <f>IFERROR(INDEX(tk_QTY,MATCH(87,tk_DSEQ,0)),"")</f>
        <v/>
      </c>
      <c r="C92" s="70">
        <f>IFERROR(INDEX(tk_ROOMF,MATCH(87,tk_DSEQ,0))&amp;IF(INDEX(tk_ROOMT,MATCH(87,tk_DSEQ,0))="",""," → "&amp;INDEX(tk_ROOMT,MATCH(87,tk_DSEQ,0))),"")</f>
        <v/>
      </c>
      <c r="D92" s="70">
        <f>IFERROR(INDEX(tk_LEAVES,MATCH(87,tk_DSEQ,0)),"")</f>
        <v/>
      </c>
      <c r="E92" s="70">
        <f>IFERROR(""&amp;INDEX(tk_RATING,MATCH(87,tk_DSEQ,0)),"")</f>
        <v/>
      </c>
      <c r="F92" s="70">
        <f>IFERROR(TEXT(INDEX(tk_LEAFW,MATCH(87,tk_DSEQ,0)),"0.000")&amp;" x "&amp;TEXT(INDEX(tk_LEAFH,MATCH(87,tk_DSEQ,0)),"0.000"),"")</f>
        <v/>
      </c>
      <c r="G92" s="70">
        <f>IFERROR(""&amp;INDEX(tk_DLINE,MATCH(87,tk_DSEQ,0)),"")</f>
        <v/>
      </c>
      <c r="H92" s="70">
        <f>IFERROR(""&amp;INDEX(tk_DNOTES,MATCH(87,tk_DSEQ,0)),"")</f>
        <v/>
      </c>
    </row>
    <row r="93">
      <c r="A93" s="70">
        <f>IFERROR(""&amp;INDEX(tk_MARK,MATCH(88,tk_DSEQ,0)),"")</f>
        <v/>
      </c>
      <c r="B93" s="70">
        <f>IFERROR(INDEX(tk_QTY,MATCH(88,tk_DSEQ,0)),"")</f>
        <v/>
      </c>
      <c r="C93" s="70">
        <f>IFERROR(INDEX(tk_ROOMF,MATCH(88,tk_DSEQ,0))&amp;IF(INDEX(tk_ROOMT,MATCH(88,tk_DSEQ,0))="",""," → "&amp;INDEX(tk_ROOMT,MATCH(88,tk_DSEQ,0))),"")</f>
        <v/>
      </c>
      <c r="D93" s="70">
        <f>IFERROR(INDEX(tk_LEAVES,MATCH(88,tk_DSEQ,0)),"")</f>
        <v/>
      </c>
      <c r="E93" s="70">
        <f>IFERROR(""&amp;INDEX(tk_RATING,MATCH(88,tk_DSEQ,0)),"")</f>
        <v/>
      </c>
      <c r="F93" s="70">
        <f>IFERROR(TEXT(INDEX(tk_LEAFW,MATCH(88,tk_DSEQ,0)),"0.000")&amp;" x "&amp;TEXT(INDEX(tk_LEAFH,MATCH(88,tk_DSEQ,0)),"0.000"),"")</f>
        <v/>
      </c>
      <c r="G93" s="70">
        <f>IFERROR(""&amp;INDEX(tk_DLINE,MATCH(88,tk_DSEQ,0)),"")</f>
        <v/>
      </c>
      <c r="H93" s="70">
        <f>IFERROR(""&amp;INDEX(tk_DNOTES,MATCH(88,tk_DSEQ,0)),"")</f>
        <v/>
      </c>
    </row>
    <row r="94">
      <c r="A94" s="70">
        <f>IFERROR(""&amp;INDEX(tk_MARK,MATCH(89,tk_DSEQ,0)),"")</f>
        <v/>
      </c>
      <c r="B94" s="70">
        <f>IFERROR(INDEX(tk_QTY,MATCH(89,tk_DSEQ,0)),"")</f>
        <v/>
      </c>
      <c r="C94" s="70">
        <f>IFERROR(INDEX(tk_ROOMF,MATCH(89,tk_DSEQ,0))&amp;IF(INDEX(tk_ROOMT,MATCH(89,tk_DSEQ,0))="",""," → "&amp;INDEX(tk_ROOMT,MATCH(89,tk_DSEQ,0))),"")</f>
        <v/>
      </c>
      <c r="D94" s="70">
        <f>IFERROR(INDEX(tk_LEAVES,MATCH(89,tk_DSEQ,0)),"")</f>
        <v/>
      </c>
      <c r="E94" s="70">
        <f>IFERROR(""&amp;INDEX(tk_RATING,MATCH(89,tk_DSEQ,0)),"")</f>
        <v/>
      </c>
      <c r="F94" s="70">
        <f>IFERROR(TEXT(INDEX(tk_LEAFW,MATCH(89,tk_DSEQ,0)),"0.000")&amp;" x "&amp;TEXT(INDEX(tk_LEAFH,MATCH(89,tk_DSEQ,0)),"0.000"),"")</f>
        <v/>
      </c>
      <c r="G94" s="70">
        <f>IFERROR(""&amp;INDEX(tk_DLINE,MATCH(89,tk_DSEQ,0)),"")</f>
        <v/>
      </c>
      <c r="H94" s="70">
        <f>IFERROR(""&amp;INDEX(tk_DNOTES,MATCH(89,tk_DSEQ,0)),"")</f>
        <v/>
      </c>
    </row>
    <row r="95">
      <c r="A95" s="70">
        <f>IFERROR(""&amp;INDEX(tk_MARK,MATCH(90,tk_DSEQ,0)),"")</f>
        <v/>
      </c>
      <c r="B95" s="70">
        <f>IFERROR(INDEX(tk_QTY,MATCH(90,tk_DSEQ,0)),"")</f>
        <v/>
      </c>
      <c r="C95" s="70">
        <f>IFERROR(INDEX(tk_ROOMF,MATCH(90,tk_DSEQ,0))&amp;IF(INDEX(tk_ROOMT,MATCH(90,tk_DSEQ,0))="",""," → "&amp;INDEX(tk_ROOMT,MATCH(90,tk_DSEQ,0))),"")</f>
        <v/>
      </c>
      <c r="D95" s="70">
        <f>IFERROR(INDEX(tk_LEAVES,MATCH(90,tk_DSEQ,0)),"")</f>
        <v/>
      </c>
      <c r="E95" s="70">
        <f>IFERROR(""&amp;INDEX(tk_RATING,MATCH(90,tk_DSEQ,0)),"")</f>
        <v/>
      </c>
      <c r="F95" s="70">
        <f>IFERROR(TEXT(INDEX(tk_LEAFW,MATCH(90,tk_DSEQ,0)),"0.000")&amp;" x "&amp;TEXT(INDEX(tk_LEAFH,MATCH(90,tk_DSEQ,0)),"0.000"),"")</f>
        <v/>
      </c>
      <c r="G95" s="70">
        <f>IFERROR(""&amp;INDEX(tk_DLINE,MATCH(90,tk_DSEQ,0)),"")</f>
        <v/>
      </c>
      <c r="H95" s="70">
        <f>IFERROR(""&amp;INDEX(tk_DNOTES,MATCH(90,tk_DSEQ,0)),"")</f>
        <v/>
      </c>
    </row>
    <row r="96">
      <c r="A96" s="70">
        <f>IFERROR(""&amp;INDEX(tk_MARK,MATCH(91,tk_DSEQ,0)),"")</f>
        <v/>
      </c>
      <c r="B96" s="70">
        <f>IFERROR(INDEX(tk_QTY,MATCH(91,tk_DSEQ,0)),"")</f>
        <v/>
      </c>
      <c r="C96" s="70">
        <f>IFERROR(INDEX(tk_ROOMF,MATCH(91,tk_DSEQ,0))&amp;IF(INDEX(tk_ROOMT,MATCH(91,tk_DSEQ,0))="",""," → "&amp;INDEX(tk_ROOMT,MATCH(91,tk_DSEQ,0))),"")</f>
        <v/>
      </c>
      <c r="D96" s="70">
        <f>IFERROR(INDEX(tk_LEAVES,MATCH(91,tk_DSEQ,0)),"")</f>
        <v/>
      </c>
      <c r="E96" s="70">
        <f>IFERROR(""&amp;INDEX(tk_RATING,MATCH(91,tk_DSEQ,0)),"")</f>
        <v/>
      </c>
      <c r="F96" s="70">
        <f>IFERROR(TEXT(INDEX(tk_LEAFW,MATCH(91,tk_DSEQ,0)),"0.000")&amp;" x "&amp;TEXT(INDEX(tk_LEAFH,MATCH(91,tk_DSEQ,0)),"0.000"),"")</f>
        <v/>
      </c>
      <c r="G96" s="70">
        <f>IFERROR(""&amp;INDEX(tk_DLINE,MATCH(91,tk_DSEQ,0)),"")</f>
        <v/>
      </c>
      <c r="H96" s="70">
        <f>IFERROR(""&amp;INDEX(tk_DNOTES,MATCH(91,tk_DSEQ,0)),"")</f>
        <v/>
      </c>
    </row>
    <row r="97">
      <c r="A97" s="70">
        <f>IFERROR(""&amp;INDEX(tk_MARK,MATCH(92,tk_DSEQ,0)),"")</f>
        <v/>
      </c>
      <c r="B97" s="70">
        <f>IFERROR(INDEX(tk_QTY,MATCH(92,tk_DSEQ,0)),"")</f>
        <v/>
      </c>
      <c r="C97" s="70">
        <f>IFERROR(INDEX(tk_ROOMF,MATCH(92,tk_DSEQ,0))&amp;IF(INDEX(tk_ROOMT,MATCH(92,tk_DSEQ,0))="",""," → "&amp;INDEX(tk_ROOMT,MATCH(92,tk_DSEQ,0))),"")</f>
        <v/>
      </c>
      <c r="D97" s="70">
        <f>IFERROR(INDEX(tk_LEAVES,MATCH(92,tk_DSEQ,0)),"")</f>
        <v/>
      </c>
      <c r="E97" s="70">
        <f>IFERROR(""&amp;INDEX(tk_RATING,MATCH(92,tk_DSEQ,0)),"")</f>
        <v/>
      </c>
      <c r="F97" s="70">
        <f>IFERROR(TEXT(INDEX(tk_LEAFW,MATCH(92,tk_DSEQ,0)),"0.000")&amp;" x "&amp;TEXT(INDEX(tk_LEAFH,MATCH(92,tk_DSEQ,0)),"0.000"),"")</f>
        <v/>
      </c>
      <c r="G97" s="70">
        <f>IFERROR(""&amp;INDEX(tk_DLINE,MATCH(92,tk_DSEQ,0)),"")</f>
        <v/>
      </c>
      <c r="H97" s="70">
        <f>IFERROR(""&amp;INDEX(tk_DNOTES,MATCH(92,tk_DSEQ,0)),"")</f>
        <v/>
      </c>
    </row>
    <row r="98">
      <c r="A98" s="70">
        <f>IFERROR(""&amp;INDEX(tk_MARK,MATCH(93,tk_DSEQ,0)),"")</f>
        <v/>
      </c>
      <c r="B98" s="70">
        <f>IFERROR(INDEX(tk_QTY,MATCH(93,tk_DSEQ,0)),"")</f>
        <v/>
      </c>
      <c r="C98" s="70">
        <f>IFERROR(INDEX(tk_ROOMF,MATCH(93,tk_DSEQ,0))&amp;IF(INDEX(tk_ROOMT,MATCH(93,tk_DSEQ,0))="",""," → "&amp;INDEX(tk_ROOMT,MATCH(93,tk_DSEQ,0))),"")</f>
        <v/>
      </c>
      <c r="D98" s="70">
        <f>IFERROR(INDEX(tk_LEAVES,MATCH(93,tk_DSEQ,0)),"")</f>
        <v/>
      </c>
      <c r="E98" s="70">
        <f>IFERROR(""&amp;INDEX(tk_RATING,MATCH(93,tk_DSEQ,0)),"")</f>
        <v/>
      </c>
      <c r="F98" s="70">
        <f>IFERROR(TEXT(INDEX(tk_LEAFW,MATCH(93,tk_DSEQ,0)),"0.000")&amp;" x "&amp;TEXT(INDEX(tk_LEAFH,MATCH(93,tk_DSEQ,0)),"0.000"),"")</f>
        <v/>
      </c>
      <c r="G98" s="70">
        <f>IFERROR(""&amp;INDEX(tk_DLINE,MATCH(93,tk_DSEQ,0)),"")</f>
        <v/>
      </c>
      <c r="H98" s="70">
        <f>IFERROR(""&amp;INDEX(tk_DNOTES,MATCH(93,tk_DSEQ,0)),"")</f>
        <v/>
      </c>
    </row>
    <row r="99">
      <c r="A99" s="70">
        <f>IFERROR(""&amp;INDEX(tk_MARK,MATCH(94,tk_DSEQ,0)),"")</f>
        <v/>
      </c>
      <c r="B99" s="70">
        <f>IFERROR(INDEX(tk_QTY,MATCH(94,tk_DSEQ,0)),"")</f>
        <v/>
      </c>
      <c r="C99" s="70">
        <f>IFERROR(INDEX(tk_ROOMF,MATCH(94,tk_DSEQ,0))&amp;IF(INDEX(tk_ROOMT,MATCH(94,tk_DSEQ,0))="",""," → "&amp;INDEX(tk_ROOMT,MATCH(94,tk_DSEQ,0))),"")</f>
        <v/>
      </c>
      <c r="D99" s="70">
        <f>IFERROR(INDEX(tk_LEAVES,MATCH(94,tk_DSEQ,0)),"")</f>
        <v/>
      </c>
      <c r="E99" s="70">
        <f>IFERROR(""&amp;INDEX(tk_RATING,MATCH(94,tk_DSEQ,0)),"")</f>
        <v/>
      </c>
      <c r="F99" s="70">
        <f>IFERROR(TEXT(INDEX(tk_LEAFW,MATCH(94,tk_DSEQ,0)),"0.000")&amp;" x "&amp;TEXT(INDEX(tk_LEAFH,MATCH(94,tk_DSEQ,0)),"0.000"),"")</f>
        <v/>
      </c>
      <c r="G99" s="70">
        <f>IFERROR(""&amp;INDEX(tk_DLINE,MATCH(94,tk_DSEQ,0)),"")</f>
        <v/>
      </c>
      <c r="H99" s="70">
        <f>IFERROR(""&amp;INDEX(tk_DNOTES,MATCH(94,tk_DSEQ,0)),"")</f>
        <v/>
      </c>
    </row>
    <row r="100">
      <c r="A100" s="70">
        <f>IFERROR(""&amp;INDEX(tk_MARK,MATCH(95,tk_DSEQ,0)),"")</f>
        <v/>
      </c>
      <c r="B100" s="70">
        <f>IFERROR(INDEX(tk_QTY,MATCH(95,tk_DSEQ,0)),"")</f>
        <v/>
      </c>
      <c r="C100" s="70">
        <f>IFERROR(INDEX(tk_ROOMF,MATCH(95,tk_DSEQ,0))&amp;IF(INDEX(tk_ROOMT,MATCH(95,tk_DSEQ,0))="",""," → "&amp;INDEX(tk_ROOMT,MATCH(95,tk_DSEQ,0))),"")</f>
        <v/>
      </c>
      <c r="D100" s="70">
        <f>IFERROR(INDEX(tk_LEAVES,MATCH(95,tk_DSEQ,0)),"")</f>
        <v/>
      </c>
      <c r="E100" s="70">
        <f>IFERROR(""&amp;INDEX(tk_RATING,MATCH(95,tk_DSEQ,0)),"")</f>
        <v/>
      </c>
      <c r="F100" s="70">
        <f>IFERROR(TEXT(INDEX(tk_LEAFW,MATCH(95,tk_DSEQ,0)),"0.000")&amp;" x "&amp;TEXT(INDEX(tk_LEAFH,MATCH(95,tk_DSEQ,0)),"0.000"),"")</f>
        <v/>
      </c>
      <c r="G100" s="70">
        <f>IFERROR(""&amp;INDEX(tk_DLINE,MATCH(95,tk_DSEQ,0)),"")</f>
        <v/>
      </c>
      <c r="H100" s="70">
        <f>IFERROR(""&amp;INDEX(tk_DNOTES,MATCH(95,tk_DSEQ,0)),"")</f>
        <v/>
      </c>
    </row>
    <row r="101">
      <c r="A101" s="70">
        <f>IFERROR(""&amp;INDEX(tk_MARK,MATCH(96,tk_DSEQ,0)),"")</f>
        <v/>
      </c>
      <c r="B101" s="70">
        <f>IFERROR(INDEX(tk_QTY,MATCH(96,tk_DSEQ,0)),"")</f>
        <v/>
      </c>
      <c r="C101" s="70">
        <f>IFERROR(INDEX(tk_ROOMF,MATCH(96,tk_DSEQ,0))&amp;IF(INDEX(tk_ROOMT,MATCH(96,tk_DSEQ,0))="",""," → "&amp;INDEX(tk_ROOMT,MATCH(96,tk_DSEQ,0))),"")</f>
        <v/>
      </c>
      <c r="D101" s="70">
        <f>IFERROR(INDEX(tk_LEAVES,MATCH(96,tk_DSEQ,0)),"")</f>
        <v/>
      </c>
      <c r="E101" s="70">
        <f>IFERROR(""&amp;INDEX(tk_RATING,MATCH(96,tk_DSEQ,0)),"")</f>
        <v/>
      </c>
      <c r="F101" s="70">
        <f>IFERROR(TEXT(INDEX(tk_LEAFW,MATCH(96,tk_DSEQ,0)),"0.000")&amp;" x "&amp;TEXT(INDEX(tk_LEAFH,MATCH(96,tk_DSEQ,0)),"0.000"),"")</f>
        <v/>
      </c>
      <c r="G101" s="70">
        <f>IFERROR(""&amp;INDEX(tk_DLINE,MATCH(96,tk_DSEQ,0)),"")</f>
        <v/>
      </c>
      <c r="H101" s="70">
        <f>IFERROR(""&amp;INDEX(tk_DNOTES,MATCH(96,tk_DSEQ,0)),"")</f>
        <v/>
      </c>
    </row>
    <row r="102">
      <c r="A102" s="70">
        <f>IFERROR(""&amp;INDEX(tk_MARK,MATCH(97,tk_DSEQ,0)),"")</f>
        <v/>
      </c>
      <c r="B102" s="70">
        <f>IFERROR(INDEX(tk_QTY,MATCH(97,tk_DSEQ,0)),"")</f>
        <v/>
      </c>
      <c r="C102" s="70">
        <f>IFERROR(INDEX(tk_ROOMF,MATCH(97,tk_DSEQ,0))&amp;IF(INDEX(tk_ROOMT,MATCH(97,tk_DSEQ,0))="",""," → "&amp;INDEX(tk_ROOMT,MATCH(97,tk_DSEQ,0))),"")</f>
        <v/>
      </c>
      <c r="D102" s="70">
        <f>IFERROR(INDEX(tk_LEAVES,MATCH(97,tk_DSEQ,0)),"")</f>
        <v/>
      </c>
      <c r="E102" s="70">
        <f>IFERROR(""&amp;INDEX(tk_RATING,MATCH(97,tk_DSEQ,0)),"")</f>
        <v/>
      </c>
      <c r="F102" s="70">
        <f>IFERROR(TEXT(INDEX(tk_LEAFW,MATCH(97,tk_DSEQ,0)),"0.000")&amp;" x "&amp;TEXT(INDEX(tk_LEAFH,MATCH(97,tk_DSEQ,0)),"0.000"),"")</f>
        <v/>
      </c>
      <c r="G102" s="70">
        <f>IFERROR(""&amp;INDEX(tk_DLINE,MATCH(97,tk_DSEQ,0)),"")</f>
        <v/>
      </c>
      <c r="H102" s="70">
        <f>IFERROR(""&amp;INDEX(tk_DNOTES,MATCH(97,tk_DSEQ,0)),"")</f>
        <v/>
      </c>
    </row>
    <row r="103">
      <c r="A103" s="70">
        <f>IFERROR(""&amp;INDEX(tk_MARK,MATCH(98,tk_DSEQ,0)),"")</f>
        <v/>
      </c>
      <c r="B103" s="70">
        <f>IFERROR(INDEX(tk_QTY,MATCH(98,tk_DSEQ,0)),"")</f>
        <v/>
      </c>
      <c r="C103" s="70">
        <f>IFERROR(INDEX(tk_ROOMF,MATCH(98,tk_DSEQ,0))&amp;IF(INDEX(tk_ROOMT,MATCH(98,tk_DSEQ,0))="",""," → "&amp;INDEX(tk_ROOMT,MATCH(98,tk_DSEQ,0))),"")</f>
        <v/>
      </c>
      <c r="D103" s="70">
        <f>IFERROR(INDEX(tk_LEAVES,MATCH(98,tk_DSEQ,0)),"")</f>
        <v/>
      </c>
      <c r="E103" s="70">
        <f>IFERROR(""&amp;INDEX(tk_RATING,MATCH(98,tk_DSEQ,0)),"")</f>
        <v/>
      </c>
      <c r="F103" s="70">
        <f>IFERROR(TEXT(INDEX(tk_LEAFW,MATCH(98,tk_DSEQ,0)),"0.000")&amp;" x "&amp;TEXT(INDEX(tk_LEAFH,MATCH(98,tk_DSEQ,0)),"0.000"),"")</f>
        <v/>
      </c>
      <c r="G103" s="70">
        <f>IFERROR(""&amp;INDEX(tk_DLINE,MATCH(98,tk_DSEQ,0)),"")</f>
        <v/>
      </c>
      <c r="H103" s="70">
        <f>IFERROR(""&amp;INDEX(tk_DNOTES,MATCH(98,tk_DSEQ,0)),"")</f>
        <v/>
      </c>
    </row>
    <row r="104">
      <c r="A104" s="70">
        <f>IFERROR(""&amp;INDEX(tk_MARK,MATCH(99,tk_DSEQ,0)),"")</f>
        <v/>
      </c>
      <c r="B104" s="70">
        <f>IFERROR(INDEX(tk_QTY,MATCH(99,tk_DSEQ,0)),"")</f>
        <v/>
      </c>
      <c r="C104" s="70">
        <f>IFERROR(INDEX(tk_ROOMF,MATCH(99,tk_DSEQ,0))&amp;IF(INDEX(tk_ROOMT,MATCH(99,tk_DSEQ,0))="",""," → "&amp;INDEX(tk_ROOMT,MATCH(99,tk_DSEQ,0))),"")</f>
        <v/>
      </c>
      <c r="D104" s="70">
        <f>IFERROR(INDEX(tk_LEAVES,MATCH(99,tk_DSEQ,0)),"")</f>
        <v/>
      </c>
      <c r="E104" s="70">
        <f>IFERROR(""&amp;INDEX(tk_RATING,MATCH(99,tk_DSEQ,0)),"")</f>
        <v/>
      </c>
      <c r="F104" s="70">
        <f>IFERROR(TEXT(INDEX(tk_LEAFW,MATCH(99,tk_DSEQ,0)),"0.000")&amp;" x "&amp;TEXT(INDEX(tk_LEAFH,MATCH(99,tk_DSEQ,0)),"0.000"),"")</f>
        <v/>
      </c>
      <c r="G104" s="70">
        <f>IFERROR(""&amp;INDEX(tk_DLINE,MATCH(99,tk_DSEQ,0)),"")</f>
        <v/>
      </c>
      <c r="H104" s="70">
        <f>IFERROR(""&amp;INDEX(tk_DNOTES,MATCH(99,tk_DSEQ,0)),"")</f>
        <v/>
      </c>
    </row>
    <row r="105">
      <c r="A105" s="70">
        <f>IFERROR(""&amp;INDEX(tk_MARK,MATCH(100,tk_DSEQ,0)),"")</f>
        <v/>
      </c>
      <c r="B105" s="70">
        <f>IFERROR(INDEX(tk_QTY,MATCH(100,tk_DSEQ,0)),"")</f>
        <v/>
      </c>
      <c r="C105" s="70">
        <f>IFERROR(INDEX(tk_ROOMF,MATCH(100,tk_DSEQ,0))&amp;IF(INDEX(tk_ROOMT,MATCH(100,tk_DSEQ,0))="",""," → "&amp;INDEX(tk_ROOMT,MATCH(100,tk_DSEQ,0))),"")</f>
        <v/>
      </c>
      <c r="D105" s="70">
        <f>IFERROR(INDEX(tk_LEAVES,MATCH(100,tk_DSEQ,0)),"")</f>
        <v/>
      </c>
      <c r="E105" s="70">
        <f>IFERROR(""&amp;INDEX(tk_RATING,MATCH(100,tk_DSEQ,0)),"")</f>
        <v/>
      </c>
      <c r="F105" s="70">
        <f>IFERROR(TEXT(INDEX(tk_LEAFW,MATCH(100,tk_DSEQ,0)),"0.000")&amp;" x "&amp;TEXT(INDEX(tk_LEAFH,MATCH(100,tk_DSEQ,0)),"0.000"),"")</f>
        <v/>
      </c>
      <c r="G105" s="70">
        <f>IFERROR(""&amp;INDEX(tk_DLINE,MATCH(100,tk_DSEQ,0)),"")</f>
        <v/>
      </c>
      <c r="H105" s="70">
        <f>IFERROR(""&amp;INDEX(tk_DNOTES,MATCH(100,tk_DSEQ,0)),"")</f>
        <v/>
      </c>
    </row>
    <row r="106">
      <c r="A106" s="70">
        <f>IFERROR(""&amp;INDEX(tk_MARK,MATCH(101,tk_DSEQ,0)),"")</f>
        <v/>
      </c>
      <c r="B106" s="70">
        <f>IFERROR(INDEX(tk_QTY,MATCH(101,tk_DSEQ,0)),"")</f>
        <v/>
      </c>
      <c r="C106" s="70">
        <f>IFERROR(INDEX(tk_ROOMF,MATCH(101,tk_DSEQ,0))&amp;IF(INDEX(tk_ROOMT,MATCH(101,tk_DSEQ,0))="",""," → "&amp;INDEX(tk_ROOMT,MATCH(101,tk_DSEQ,0))),"")</f>
        <v/>
      </c>
      <c r="D106" s="70">
        <f>IFERROR(INDEX(tk_LEAVES,MATCH(101,tk_DSEQ,0)),"")</f>
        <v/>
      </c>
      <c r="E106" s="70">
        <f>IFERROR(""&amp;INDEX(tk_RATING,MATCH(101,tk_DSEQ,0)),"")</f>
        <v/>
      </c>
      <c r="F106" s="70">
        <f>IFERROR(TEXT(INDEX(tk_LEAFW,MATCH(101,tk_DSEQ,0)),"0.000")&amp;" x "&amp;TEXT(INDEX(tk_LEAFH,MATCH(101,tk_DSEQ,0)),"0.000"),"")</f>
        <v/>
      </c>
      <c r="G106" s="70">
        <f>IFERROR(""&amp;INDEX(tk_DLINE,MATCH(101,tk_DSEQ,0)),"")</f>
        <v/>
      </c>
      <c r="H106" s="70">
        <f>IFERROR(""&amp;INDEX(tk_DNOTES,MATCH(101,tk_DSEQ,0)),"")</f>
        <v/>
      </c>
    </row>
    <row r="107">
      <c r="A107" s="70">
        <f>IFERROR(""&amp;INDEX(tk_MARK,MATCH(102,tk_DSEQ,0)),"")</f>
        <v/>
      </c>
      <c r="B107" s="70">
        <f>IFERROR(INDEX(tk_QTY,MATCH(102,tk_DSEQ,0)),"")</f>
        <v/>
      </c>
      <c r="C107" s="70">
        <f>IFERROR(INDEX(tk_ROOMF,MATCH(102,tk_DSEQ,0))&amp;IF(INDEX(tk_ROOMT,MATCH(102,tk_DSEQ,0))="",""," → "&amp;INDEX(tk_ROOMT,MATCH(102,tk_DSEQ,0))),"")</f>
        <v/>
      </c>
      <c r="D107" s="70">
        <f>IFERROR(INDEX(tk_LEAVES,MATCH(102,tk_DSEQ,0)),"")</f>
        <v/>
      </c>
      <c r="E107" s="70">
        <f>IFERROR(""&amp;INDEX(tk_RATING,MATCH(102,tk_DSEQ,0)),"")</f>
        <v/>
      </c>
      <c r="F107" s="70">
        <f>IFERROR(TEXT(INDEX(tk_LEAFW,MATCH(102,tk_DSEQ,0)),"0.000")&amp;" x "&amp;TEXT(INDEX(tk_LEAFH,MATCH(102,tk_DSEQ,0)),"0.000"),"")</f>
        <v/>
      </c>
      <c r="G107" s="70">
        <f>IFERROR(""&amp;INDEX(tk_DLINE,MATCH(102,tk_DSEQ,0)),"")</f>
        <v/>
      </c>
      <c r="H107" s="70">
        <f>IFERROR(""&amp;INDEX(tk_DNOTES,MATCH(102,tk_DSEQ,0)),"")</f>
        <v/>
      </c>
    </row>
    <row r="108">
      <c r="A108" s="70">
        <f>IFERROR(""&amp;INDEX(tk_MARK,MATCH(103,tk_DSEQ,0)),"")</f>
        <v/>
      </c>
      <c r="B108" s="70">
        <f>IFERROR(INDEX(tk_QTY,MATCH(103,tk_DSEQ,0)),"")</f>
        <v/>
      </c>
      <c r="C108" s="70">
        <f>IFERROR(INDEX(tk_ROOMF,MATCH(103,tk_DSEQ,0))&amp;IF(INDEX(tk_ROOMT,MATCH(103,tk_DSEQ,0))="",""," → "&amp;INDEX(tk_ROOMT,MATCH(103,tk_DSEQ,0))),"")</f>
        <v/>
      </c>
      <c r="D108" s="70">
        <f>IFERROR(INDEX(tk_LEAVES,MATCH(103,tk_DSEQ,0)),"")</f>
        <v/>
      </c>
      <c r="E108" s="70">
        <f>IFERROR(""&amp;INDEX(tk_RATING,MATCH(103,tk_DSEQ,0)),"")</f>
        <v/>
      </c>
      <c r="F108" s="70">
        <f>IFERROR(TEXT(INDEX(tk_LEAFW,MATCH(103,tk_DSEQ,0)),"0.000")&amp;" x "&amp;TEXT(INDEX(tk_LEAFH,MATCH(103,tk_DSEQ,0)),"0.000"),"")</f>
        <v/>
      </c>
      <c r="G108" s="70">
        <f>IFERROR(""&amp;INDEX(tk_DLINE,MATCH(103,tk_DSEQ,0)),"")</f>
        <v/>
      </c>
      <c r="H108" s="70">
        <f>IFERROR(""&amp;INDEX(tk_DNOTES,MATCH(103,tk_DSEQ,0)),"")</f>
        <v/>
      </c>
    </row>
    <row r="109">
      <c r="A109" s="70">
        <f>IFERROR(""&amp;INDEX(tk_MARK,MATCH(104,tk_DSEQ,0)),"")</f>
        <v/>
      </c>
      <c r="B109" s="70">
        <f>IFERROR(INDEX(tk_QTY,MATCH(104,tk_DSEQ,0)),"")</f>
        <v/>
      </c>
      <c r="C109" s="70">
        <f>IFERROR(INDEX(tk_ROOMF,MATCH(104,tk_DSEQ,0))&amp;IF(INDEX(tk_ROOMT,MATCH(104,tk_DSEQ,0))="",""," → "&amp;INDEX(tk_ROOMT,MATCH(104,tk_DSEQ,0))),"")</f>
        <v/>
      </c>
      <c r="D109" s="70">
        <f>IFERROR(INDEX(tk_LEAVES,MATCH(104,tk_DSEQ,0)),"")</f>
        <v/>
      </c>
      <c r="E109" s="70">
        <f>IFERROR(""&amp;INDEX(tk_RATING,MATCH(104,tk_DSEQ,0)),"")</f>
        <v/>
      </c>
      <c r="F109" s="70">
        <f>IFERROR(TEXT(INDEX(tk_LEAFW,MATCH(104,tk_DSEQ,0)),"0.000")&amp;" x "&amp;TEXT(INDEX(tk_LEAFH,MATCH(104,tk_DSEQ,0)),"0.000"),"")</f>
        <v/>
      </c>
      <c r="G109" s="70">
        <f>IFERROR(""&amp;INDEX(tk_DLINE,MATCH(104,tk_DSEQ,0)),"")</f>
        <v/>
      </c>
      <c r="H109" s="70">
        <f>IFERROR(""&amp;INDEX(tk_DNOTES,MATCH(104,tk_DSEQ,0)),"")</f>
        <v/>
      </c>
    </row>
    <row r="110">
      <c r="A110" s="70">
        <f>IFERROR(""&amp;INDEX(tk_MARK,MATCH(105,tk_DSEQ,0)),"")</f>
        <v/>
      </c>
      <c r="B110" s="70">
        <f>IFERROR(INDEX(tk_QTY,MATCH(105,tk_DSEQ,0)),"")</f>
        <v/>
      </c>
      <c r="C110" s="70">
        <f>IFERROR(INDEX(tk_ROOMF,MATCH(105,tk_DSEQ,0))&amp;IF(INDEX(tk_ROOMT,MATCH(105,tk_DSEQ,0))="",""," → "&amp;INDEX(tk_ROOMT,MATCH(105,tk_DSEQ,0))),"")</f>
        <v/>
      </c>
      <c r="D110" s="70">
        <f>IFERROR(INDEX(tk_LEAVES,MATCH(105,tk_DSEQ,0)),"")</f>
        <v/>
      </c>
      <c r="E110" s="70">
        <f>IFERROR(""&amp;INDEX(tk_RATING,MATCH(105,tk_DSEQ,0)),"")</f>
        <v/>
      </c>
      <c r="F110" s="70">
        <f>IFERROR(TEXT(INDEX(tk_LEAFW,MATCH(105,tk_DSEQ,0)),"0.000")&amp;" x "&amp;TEXT(INDEX(tk_LEAFH,MATCH(105,tk_DSEQ,0)),"0.000"),"")</f>
        <v/>
      </c>
      <c r="G110" s="70">
        <f>IFERROR(""&amp;INDEX(tk_DLINE,MATCH(105,tk_DSEQ,0)),"")</f>
        <v/>
      </c>
      <c r="H110" s="70">
        <f>IFERROR(""&amp;INDEX(tk_DNOTES,MATCH(105,tk_DSEQ,0)),"")</f>
        <v/>
      </c>
    </row>
    <row r="111">
      <c r="A111" s="70">
        <f>IFERROR(""&amp;INDEX(tk_MARK,MATCH(106,tk_DSEQ,0)),"")</f>
        <v/>
      </c>
      <c r="B111" s="70">
        <f>IFERROR(INDEX(tk_QTY,MATCH(106,tk_DSEQ,0)),"")</f>
        <v/>
      </c>
      <c r="C111" s="70">
        <f>IFERROR(INDEX(tk_ROOMF,MATCH(106,tk_DSEQ,0))&amp;IF(INDEX(tk_ROOMT,MATCH(106,tk_DSEQ,0))="",""," → "&amp;INDEX(tk_ROOMT,MATCH(106,tk_DSEQ,0))),"")</f>
        <v/>
      </c>
      <c r="D111" s="70">
        <f>IFERROR(INDEX(tk_LEAVES,MATCH(106,tk_DSEQ,0)),"")</f>
        <v/>
      </c>
      <c r="E111" s="70">
        <f>IFERROR(""&amp;INDEX(tk_RATING,MATCH(106,tk_DSEQ,0)),"")</f>
        <v/>
      </c>
      <c r="F111" s="70">
        <f>IFERROR(TEXT(INDEX(tk_LEAFW,MATCH(106,tk_DSEQ,0)),"0.000")&amp;" x "&amp;TEXT(INDEX(tk_LEAFH,MATCH(106,tk_DSEQ,0)),"0.000"),"")</f>
        <v/>
      </c>
      <c r="G111" s="70">
        <f>IFERROR(""&amp;INDEX(tk_DLINE,MATCH(106,tk_DSEQ,0)),"")</f>
        <v/>
      </c>
      <c r="H111" s="70">
        <f>IFERROR(""&amp;INDEX(tk_DNOTES,MATCH(106,tk_DSEQ,0)),"")</f>
        <v/>
      </c>
    </row>
    <row r="112">
      <c r="A112" s="70">
        <f>IFERROR(""&amp;INDEX(tk_MARK,MATCH(107,tk_DSEQ,0)),"")</f>
        <v/>
      </c>
      <c r="B112" s="70">
        <f>IFERROR(INDEX(tk_QTY,MATCH(107,tk_DSEQ,0)),"")</f>
        <v/>
      </c>
      <c r="C112" s="70">
        <f>IFERROR(INDEX(tk_ROOMF,MATCH(107,tk_DSEQ,0))&amp;IF(INDEX(tk_ROOMT,MATCH(107,tk_DSEQ,0))="",""," → "&amp;INDEX(tk_ROOMT,MATCH(107,tk_DSEQ,0))),"")</f>
        <v/>
      </c>
      <c r="D112" s="70">
        <f>IFERROR(INDEX(tk_LEAVES,MATCH(107,tk_DSEQ,0)),"")</f>
        <v/>
      </c>
      <c r="E112" s="70">
        <f>IFERROR(""&amp;INDEX(tk_RATING,MATCH(107,tk_DSEQ,0)),"")</f>
        <v/>
      </c>
      <c r="F112" s="70">
        <f>IFERROR(TEXT(INDEX(tk_LEAFW,MATCH(107,tk_DSEQ,0)),"0.000")&amp;" x "&amp;TEXT(INDEX(tk_LEAFH,MATCH(107,tk_DSEQ,0)),"0.000"),"")</f>
        <v/>
      </c>
      <c r="G112" s="70">
        <f>IFERROR(""&amp;INDEX(tk_DLINE,MATCH(107,tk_DSEQ,0)),"")</f>
        <v/>
      </c>
      <c r="H112" s="70">
        <f>IFERROR(""&amp;INDEX(tk_DNOTES,MATCH(107,tk_DSEQ,0)),"")</f>
        <v/>
      </c>
    </row>
    <row r="113">
      <c r="A113" s="70">
        <f>IFERROR(""&amp;INDEX(tk_MARK,MATCH(108,tk_DSEQ,0)),"")</f>
        <v/>
      </c>
      <c r="B113" s="70">
        <f>IFERROR(INDEX(tk_QTY,MATCH(108,tk_DSEQ,0)),"")</f>
        <v/>
      </c>
      <c r="C113" s="70">
        <f>IFERROR(INDEX(tk_ROOMF,MATCH(108,tk_DSEQ,0))&amp;IF(INDEX(tk_ROOMT,MATCH(108,tk_DSEQ,0))="",""," → "&amp;INDEX(tk_ROOMT,MATCH(108,tk_DSEQ,0))),"")</f>
        <v/>
      </c>
      <c r="D113" s="70">
        <f>IFERROR(INDEX(tk_LEAVES,MATCH(108,tk_DSEQ,0)),"")</f>
        <v/>
      </c>
      <c r="E113" s="70">
        <f>IFERROR(""&amp;INDEX(tk_RATING,MATCH(108,tk_DSEQ,0)),"")</f>
        <v/>
      </c>
      <c r="F113" s="70">
        <f>IFERROR(TEXT(INDEX(tk_LEAFW,MATCH(108,tk_DSEQ,0)),"0.000")&amp;" x "&amp;TEXT(INDEX(tk_LEAFH,MATCH(108,tk_DSEQ,0)),"0.000"),"")</f>
        <v/>
      </c>
      <c r="G113" s="70">
        <f>IFERROR(""&amp;INDEX(tk_DLINE,MATCH(108,tk_DSEQ,0)),"")</f>
        <v/>
      </c>
      <c r="H113" s="70">
        <f>IFERROR(""&amp;INDEX(tk_DNOTES,MATCH(108,tk_DSEQ,0)),"")</f>
        <v/>
      </c>
    </row>
    <row r="114">
      <c r="A114" s="70">
        <f>IFERROR(""&amp;INDEX(tk_MARK,MATCH(109,tk_DSEQ,0)),"")</f>
        <v/>
      </c>
      <c r="B114" s="70">
        <f>IFERROR(INDEX(tk_QTY,MATCH(109,tk_DSEQ,0)),"")</f>
        <v/>
      </c>
      <c r="C114" s="70">
        <f>IFERROR(INDEX(tk_ROOMF,MATCH(109,tk_DSEQ,0))&amp;IF(INDEX(tk_ROOMT,MATCH(109,tk_DSEQ,0))="",""," → "&amp;INDEX(tk_ROOMT,MATCH(109,tk_DSEQ,0))),"")</f>
        <v/>
      </c>
      <c r="D114" s="70">
        <f>IFERROR(INDEX(tk_LEAVES,MATCH(109,tk_DSEQ,0)),"")</f>
        <v/>
      </c>
      <c r="E114" s="70">
        <f>IFERROR(""&amp;INDEX(tk_RATING,MATCH(109,tk_DSEQ,0)),"")</f>
        <v/>
      </c>
      <c r="F114" s="70">
        <f>IFERROR(TEXT(INDEX(tk_LEAFW,MATCH(109,tk_DSEQ,0)),"0.000")&amp;" x "&amp;TEXT(INDEX(tk_LEAFH,MATCH(109,tk_DSEQ,0)),"0.000"),"")</f>
        <v/>
      </c>
      <c r="G114" s="70">
        <f>IFERROR(""&amp;INDEX(tk_DLINE,MATCH(109,tk_DSEQ,0)),"")</f>
        <v/>
      </c>
      <c r="H114" s="70">
        <f>IFERROR(""&amp;INDEX(tk_DNOTES,MATCH(109,tk_DSEQ,0)),"")</f>
        <v/>
      </c>
    </row>
    <row r="115">
      <c r="A115" s="70">
        <f>IFERROR(""&amp;INDEX(tk_MARK,MATCH(110,tk_DSEQ,0)),"")</f>
        <v/>
      </c>
      <c r="B115" s="70">
        <f>IFERROR(INDEX(tk_QTY,MATCH(110,tk_DSEQ,0)),"")</f>
        <v/>
      </c>
      <c r="C115" s="70">
        <f>IFERROR(INDEX(tk_ROOMF,MATCH(110,tk_DSEQ,0))&amp;IF(INDEX(tk_ROOMT,MATCH(110,tk_DSEQ,0))="",""," → "&amp;INDEX(tk_ROOMT,MATCH(110,tk_DSEQ,0))),"")</f>
        <v/>
      </c>
      <c r="D115" s="70">
        <f>IFERROR(INDEX(tk_LEAVES,MATCH(110,tk_DSEQ,0)),"")</f>
        <v/>
      </c>
      <c r="E115" s="70">
        <f>IFERROR(""&amp;INDEX(tk_RATING,MATCH(110,tk_DSEQ,0)),"")</f>
        <v/>
      </c>
      <c r="F115" s="70">
        <f>IFERROR(TEXT(INDEX(tk_LEAFW,MATCH(110,tk_DSEQ,0)),"0.000")&amp;" x "&amp;TEXT(INDEX(tk_LEAFH,MATCH(110,tk_DSEQ,0)),"0.000"),"")</f>
        <v/>
      </c>
      <c r="G115" s="70">
        <f>IFERROR(""&amp;INDEX(tk_DLINE,MATCH(110,tk_DSEQ,0)),"")</f>
        <v/>
      </c>
      <c r="H115" s="70">
        <f>IFERROR(""&amp;INDEX(tk_DNOTES,MATCH(110,tk_DSEQ,0)),"")</f>
        <v/>
      </c>
    </row>
    <row r="116">
      <c r="A116" s="70">
        <f>IFERROR(""&amp;INDEX(tk_MARK,MATCH(111,tk_DSEQ,0)),"")</f>
        <v/>
      </c>
      <c r="B116" s="70">
        <f>IFERROR(INDEX(tk_QTY,MATCH(111,tk_DSEQ,0)),"")</f>
        <v/>
      </c>
      <c r="C116" s="70">
        <f>IFERROR(INDEX(tk_ROOMF,MATCH(111,tk_DSEQ,0))&amp;IF(INDEX(tk_ROOMT,MATCH(111,tk_DSEQ,0))="",""," → "&amp;INDEX(tk_ROOMT,MATCH(111,tk_DSEQ,0))),"")</f>
        <v/>
      </c>
      <c r="D116" s="70">
        <f>IFERROR(INDEX(tk_LEAVES,MATCH(111,tk_DSEQ,0)),"")</f>
        <v/>
      </c>
      <c r="E116" s="70">
        <f>IFERROR(""&amp;INDEX(tk_RATING,MATCH(111,tk_DSEQ,0)),"")</f>
        <v/>
      </c>
      <c r="F116" s="70">
        <f>IFERROR(TEXT(INDEX(tk_LEAFW,MATCH(111,tk_DSEQ,0)),"0.000")&amp;" x "&amp;TEXT(INDEX(tk_LEAFH,MATCH(111,tk_DSEQ,0)),"0.000"),"")</f>
        <v/>
      </c>
      <c r="G116" s="70">
        <f>IFERROR(""&amp;INDEX(tk_DLINE,MATCH(111,tk_DSEQ,0)),"")</f>
        <v/>
      </c>
      <c r="H116" s="70">
        <f>IFERROR(""&amp;INDEX(tk_DNOTES,MATCH(111,tk_DSEQ,0)),"")</f>
        <v/>
      </c>
    </row>
    <row r="117">
      <c r="A117" s="70">
        <f>IFERROR(""&amp;INDEX(tk_MARK,MATCH(112,tk_DSEQ,0)),"")</f>
        <v/>
      </c>
      <c r="B117" s="70">
        <f>IFERROR(INDEX(tk_QTY,MATCH(112,tk_DSEQ,0)),"")</f>
        <v/>
      </c>
      <c r="C117" s="70">
        <f>IFERROR(INDEX(tk_ROOMF,MATCH(112,tk_DSEQ,0))&amp;IF(INDEX(tk_ROOMT,MATCH(112,tk_DSEQ,0))="",""," → "&amp;INDEX(tk_ROOMT,MATCH(112,tk_DSEQ,0))),"")</f>
        <v/>
      </c>
      <c r="D117" s="70">
        <f>IFERROR(INDEX(tk_LEAVES,MATCH(112,tk_DSEQ,0)),"")</f>
        <v/>
      </c>
      <c r="E117" s="70">
        <f>IFERROR(""&amp;INDEX(tk_RATING,MATCH(112,tk_DSEQ,0)),"")</f>
        <v/>
      </c>
      <c r="F117" s="70">
        <f>IFERROR(TEXT(INDEX(tk_LEAFW,MATCH(112,tk_DSEQ,0)),"0.000")&amp;" x "&amp;TEXT(INDEX(tk_LEAFH,MATCH(112,tk_DSEQ,0)),"0.000"),"")</f>
        <v/>
      </c>
      <c r="G117" s="70">
        <f>IFERROR(""&amp;INDEX(tk_DLINE,MATCH(112,tk_DSEQ,0)),"")</f>
        <v/>
      </c>
      <c r="H117" s="70">
        <f>IFERROR(""&amp;INDEX(tk_DNOTES,MATCH(112,tk_DSEQ,0)),"")</f>
        <v/>
      </c>
    </row>
    <row r="118">
      <c r="A118" s="70">
        <f>IFERROR(""&amp;INDEX(tk_MARK,MATCH(113,tk_DSEQ,0)),"")</f>
        <v/>
      </c>
      <c r="B118" s="70">
        <f>IFERROR(INDEX(tk_QTY,MATCH(113,tk_DSEQ,0)),"")</f>
        <v/>
      </c>
      <c r="C118" s="70">
        <f>IFERROR(INDEX(tk_ROOMF,MATCH(113,tk_DSEQ,0))&amp;IF(INDEX(tk_ROOMT,MATCH(113,tk_DSEQ,0))="",""," → "&amp;INDEX(tk_ROOMT,MATCH(113,tk_DSEQ,0))),"")</f>
        <v/>
      </c>
      <c r="D118" s="70">
        <f>IFERROR(INDEX(tk_LEAVES,MATCH(113,tk_DSEQ,0)),"")</f>
        <v/>
      </c>
      <c r="E118" s="70">
        <f>IFERROR(""&amp;INDEX(tk_RATING,MATCH(113,tk_DSEQ,0)),"")</f>
        <v/>
      </c>
      <c r="F118" s="70">
        <f>IFERROR(TEXT(INDEX(tk_LEAFW,MATCH(113,tk_DSEQ,0)),"0.000")&amp;" x "&amp;TEXT(INDEX(tk_LEAFH,MATCH(113,tk_DSEQ,0)),"0.000"),"")</f>
        <v/>
      </c>
      <c r="G118" s="70">
        <f>IFERROR(""&amp;INDEX(tk_DLINE,MATCH(113,tk_DSEQ,0)),"")</f>
        <v/>
      </c>
      <c r="H118" s="70">
        <f>IFERROR(""&amp;INDEX(tk_DNOTES,MATCH(113,tk_DSEQ,0)),"")</f>
        <v/>
      </c>
    </row>
    <row r="119">
      <c r="A119" s="70">
        <f>IFERROR(""&amp;INDEX(tk_MARK,MATCH(114,tk_DSEQ,0)),"")</f>
        <v/>
      </c>
      <c r="B119" s="70">
        <f>IFERROR(INDEX(tk_QTY,MATCH(114,tk_DSEQ,0)),"")</f>
        <v/>
      </c>
      <c r="C119" s="70">
        <f>IFERROR(INDEX(tk_ROOMF,MATCH(114,tk_DSEQ,0))&amp;IF(INDEX(tk_ROOMT,MATCH(114,tk_DSEQ,0))="",""," → "&amp;INDEX(tk_ROOMT,MATCH(114,tk_DSEQ,0))),"")</f>
        <v/>
      </c>
      <c r="D119" s="70">
        <f>IFERROR(INDEX(tk_LEAVES,MATCH(114,tk_DSEQ,0)),"")</f>
        <v/>
      </c>
      <c r="E119" s="70">
        <f>IFERROR(""&amp;INDEX(tk_RATING,MATCH(114,tk_DSEQ,0)),"")</f>
        <v/>
      </c>
      <c r="F119" s="70">
        <f>IFERROR(TEXT(INDEX(tk_LEAFW,MATCH(114,tk_DSEQ,0)),"0.000")&amp;" x "&amp;TEXT(INDEX(tk_LEAFH,MATCH(114,tk_DSEQ,0)),"0.000"),"")</f>
        <v/>
      </c>
      <c r="G119" s="70">
        <f>IFERROR(""&amp;INDEX(tk_DLINE,MATCH(114,tk_DSEQ,0)),"")</f>
        <v/>
      </c>
      <c r="H119" s="70">
        <f>IFERROR(""&amp;INDEX(tk_DNOTES,MATCH(114,tk_DSEQ,0)),"")</f>
        <v/>
      </c>
    </row>
    <row r="120">
      <c r="A120" s="70">
        <f>IFERROR(""&amp;INDEX(tk_MARK,MATCH(115,tk_DSEQ,0)),"")</f>
        <v/>
      </c>
      <c r="B120" s="70">
        <f>IFERROR(INDEX(tk_QTY,MATCH(115,tk_DSEQ,0)),"")</f>
        <v/>
      </c>
      <c r="C120" s="70">
        <f>IFERROR(INDEX(tk_ROOMF,MATCH(115,tk_DSEQ,0))&amp;IF(INDEX(tk_ROOMT,MATCH(115,tk_DSEQ,0))="",""," → "&amp;INDEX(tk_ROOMT,MATCH(115,tk_DSEQ,0))),"")</f>
        <v/>
      </c>
      <c r="D120" s="70">
        <f>IFERROR(INDEX(tk_LEAVES,MATCH(115,tk_DSEQ,0)),"")</f>
        <v/>
      </c>
      <c r="E120" s="70">
        <f>IFERROR(""&amp;INDEX(tk_RATING,MATCH(115,tk_DSEQ,0)),"")</f>
        <v/>
      </c>
      <c r="F120" s="70">
        <f>IFERROR(TEXT(INDEX(tk_LEAFW,MATCH(115,tk_DSEQ,0)),"0.000")&amp;" x "&amp;TEXT(INDEX(tk_LEAFH,MATCH(115,tk_DSEQ,0)),"0.000"),"")</f>
        <v/>
      </c>
      <c r="G120" s="70">
        <f>IFERROR(""&amp;INDEX(tk_DLINE,MATCH(115,tk_DSEQ,0)),"")</f>
        <v/>
      </c>
      <c r="H120" s="70">
        <f>IFERROR(""&amp;INDEX(tk_DNOTES,MATCH(115,tk_DSEQ,0)),"")</f>
        <v/>
      </c>
    </row>
    <row r="121">
      <c r="A121" s="70">
        <f>IFERROR(""&amp;INDEX(tk_MARK,MATCH(116,tk_DSEQ,0)),"")</f>
        <v/>
      </c>
      <c r="B121" s="70">
        <f>IFERROR(INDEX(tk_QTY,MATCH(116,tk_DSEQ,0)),"")</f>
        <v/>
      </c>
      <c r="C121" s="70">
        <f>IFERROR(INDEX(tk_ROOMF,MATCH(116,tk_DSEQ,0))&amp;IF(INDEX(tk_ROOMT,MATCH(116,tk_DSEQ,0))="",""," → "&amp;INDEX(tk_ROOMT,MATCH(116,tk_DSEQ,0))),"")</f>
        <v/>
      </c>
      <c r="D121" s="70">
        <f>IFERROR(INDEX(tk_LEAVES,MATCH(116,tk_DSEQ,0)),"")</f>
        <v/>
      </c>
      <c r="E121" s="70">
        <f>IFERROR(""&amp;INDEX(tk_RATING,MATCH(116,tk_DSEQ,0)),"")</f>
        <v/>
      </c>
      <c r="F121" s="70">
        <f>IFERROR(TEXT(INDEX(tk_LEAFW,MATCH(116,tk_DSEQ,0)),"0.000")&amp;" x "&amp;TEXT(INDEX(tk_LEAFH,MATCH(116,tk_DSEQ,0)),"0.000"),"")</f>
        <v/>
      </c>
      <c r="G121" s="70">
        <f>IFERROR(""&amp;INDEX(tk_DLINE,MATCH(116,tk_DSEQ,0)),"")</f>
        <v/>
      </c>
      <c r="H121" s="70">
        <f>IFERROR(""&amp;INDEX(tk_DNOTES,MATCH(116,tk_DSEQ,0)),"")</f>
        <v/>
      </c>
    </row>
    <row r="122">
      <c r="A122" s="70">
        <f>IFERROR(""&amp;INDEX(tk_MARK,MATCH(117,tk_DSEQ,0)),"")</f>
        <v/>
      </c>
      <c r="B122" s="70">
        <f>IFERROR(INDEX(tk_QTY,MATCH(117,tk_DSEQ,0)),"")</f>
        <v/>
      </c>
      <c r="C122" s="70">
        <f>IFERROR(INDEX(tk_ROOMF,MATCH(117,tk_DSEQ,0))&amp;IF(INDEX(tk_ROOMT,MATCH(117,tk_DSEQ,0))="",""," → "&amp;INDEX(tk_ROOMT,MATCH(117,tk_DSEQ,0))),"")</f>
        <v/>
      </c>
      <c r="D122" s="70">
        <f>IFERROR(INDEX(tk_LEAVES,MATCH(117,tk_DSEQ,0)),"")</f>
        <v/>
      </c>
      <c r="E122" s="70">
        <f>IFERROR(""&amp;INDEX(tk_RATING,MATCH(117,tk_DSEQ,0)),"")</f>
        <v/>
      </c>
      <c r="F122" s="70">
        <f>IFERROR(TEXT(INDEX(tk_LEAFW,MATCH(117,tk_DSEQ,0)),"0.000")&amp;" x "&amp;TEXT(INDEX(tk_LEAFH,MATCH(117,tk_DSEQ,0)),"0.000"),"")</f>
        <v/>
      </c>
      <c r="G122" s="70">
        <f>IFERROR(""&amp;INDEX(tk_DLINE,MATCH(117,tk_DSEQ,0)),"")</f>
        <v/>
      </c>
      <c r="H122" s="70">
        <f>IFERROR(""&amp;INDEX(tk_DNOTES,MATCH(117,tk_DSEQ,0)),"")</f>
        <v/>
      </c>
    </row>
    <row r="123">
      <c r="A123" s="70">
        <f>IFERROR(""&amp;INDEX(tk_MARK,MATCH(118,tk_DSEQ,0)),"")</f>
        <v/>
      </c>
      <c r="B123" s="70">
        <f>IFERROR(INDEX(tk_QTY,MATCH(118,tk_DSEQ,0)),"")</f>
        <v/>
      </c>
      <c r="C123" s="70">
        <f>IFERROR(INDEX(tk_ROOMF,MATCH(118,tk_DSEQ,0))&amp;IF(INDEX(tk_ROOMT,MATCH(118,tk_DSEQ,0))="",""," → "&amp;INDEX(tk_ROOMT,MATCH(118,tk_DSEQ,0))),"")</f>
        <v/>
      </c>
      <c r="D123" s="70">
        <f>IFERROR(INDEX(tk_LEAVES,MATCH(118,tk_DSEQ,0)),"")</f>
        <v/>
      </c>
      <c r="E123" s="70">
        <f>IFERROR(""&amp;INDEX(tk_RATING,MATCH(118,tk_DSEQ,0)),"")</f>
        <v/>
      </c>
      <c r="F123" s="70">
        <f>IFERROR(TEXT(INDEX(tk_LEAFW,MATCH(118,tk_DSEQ,0)),"0.000")&amp;" x "&amp;TEXT(INDEX(tk_LEAFH,MATCH(118,tk_DSEQ,0)),"0.000"),"")</f>
        <v/>
      </c>
      <c r="G123" s="70">
        <f>IFERROR(""&amp;INDEX(tk_DLINE,MATCH(118,tk_DSEQ,0)),"")</f>
        <v/>
      </c>
      <c r="H123" s="70">
        <f>IFERROR(""&amp;INDEX(tk_DNOTES,MATCH(118,tk_DSEQ,0)),"")</f>
        <v/>
      </c>
    </row>
    <row r="124">
      <c r="A124" s="70">
        <f>IFERROR(""&amp;INDEX(tk_MARK,MATCH(119,tk_DSEQ,0)),"")</f>
        <v/>
      </c>
      <c r="B124" s="70">
        <f>IFERROR(INDEX(tk_QTY,MATCH(119,tk_DSEQ,0)),"")</f>
        <v/>
      </c>
      <c r="C124" s="70">
        <f>IFERROR(INDEX(tk_ROOMF,MATCH(119,tk_DSEQ,0))&amp;IF(INDEX(tk_ROOMT,MATCH(119,tk_DSEQ,0))="",""," → "&amp;INDEX(tk_ROOMT,MATCH(119,tk_DSEQ,0))),"")</f>
        <v/>
      </c>
      <c r="D124" s="70">
        <f>IFERROR(INDEX(tk_LEAVES,MATCH(119,tk_DSEQ,0)),"")</f>
        <v/>
      </c>
      <c r="E124" s="70">
        <f>IFERROR(""&amp;INDEX(tk_RATING,MATCH(119,tk_DSEQ,0)),"")</f>
        <v/>
      </c>
      <c r="F124" s="70">
        <f>IFERROR(TEXT(INDEX(tk_LEAFW,MATCH(119,tk_DSEQ,0)),"0.000")&amp;" x "&amp;TEXT(INDEX(tk_LEAFH,MATCH(119,tk_DSEQ,0)),"0.000"),"")</f>
        <v/>
      </c>
      <c r="G124" s="70">
        <f>IFERROR(""&amp;INDEX(tk_DLINE,MATCH(119,tk_DSEQ,0)),"")</f>
        <v/>
      </c>
      <c r="H124" s="70">
        <f>IFERROR(""&amp;INDEX(tk_DNOTES,MATCH(119,tk_DSEQ,0)),"")</f>
        <v/>
      </c>
    </row>
    <row r="125">
      <c r="A125" s="70">
        <f>IFERROR(""&amp;INDEX(tk_MARK,MATCH(120,tk_DSEQ,0)),"")</f>
        <v/>
      </c>
      <c r="B125" s="70">
        <f>IFERROR(INDEX(tk_QTY,MATCH(120,tk_DSEQ,0)),"")</f>
        <v/>
      </c>
      <c r="C125" s="70">
        <f>IFERROR(INDEX(tk_ROOMF,MATCH(120,tk_DSEQ,0))&amp;IF(INDEX(tk_ROOMT,MATCH(120,tk_DSEQ,0))="",""," → "&amp;INDEX(tk_ROOMT,MATCH(120,tk_DSEQ,0))),"")</f>
        <v/>
      </c>
      <c r="D125" s="70">
        <f>IFERROR(INDEX(tk_LEAVES,MATCH(120,tk_DSEQ,0)),"")</f>
        <v/>
      </c>
      <c r="E125" s="70">
        <f>IFERROR(""&amp;INDEX(tk_RATING,MATCH(120,tk_DSEQ,0)),"")</f>
        <v/>
      </c>
      <c r="F125" s="70">
        <f>IFERROR(TEXT(INDEX(tk_LEAFW,MATCH(120,tk_DSEQ,0)),"0.000")&amp;" x "&amp;TEXT(INDEX(tk_LEAFH,MATCH(120,tk_DSEQ,0)),"0.000"),"")</f>
        <v/>
      </c>
      <c r="G125" s="70">
        <f>IFERROR(""&amp;INDEX(tk_DLINE,MATCH(120,tk_DSEQ,0)),"")</f>
        <v/>
      </c>
      <c r="H125" s="70">
        <f>IFERROR(""&amp;INDEX(tk_DNOTES,MATCH(120,tk_DSEQ,0)),"")</f>
        <v/>
      </c>
    </row>
    <row r="126">
      <c r="A126" s="70">
        <f>IFERROR(""&amp;INDEX(tk_MARK,MATCH(121,tk_DSEQ,0)),"")</f>
        <v/>
      </c>
      <c r="B126" s="70">
        <f>IFERROR(INDEX(tk_QTY,MATCH(121,tk_DSEQ,0)),"")</f>
        <v/>
      </c>
      <c r="C126" s="70">
        <f>IFERROR(INDEX(tk_ROOMF,MATCH(121,tk_DSEQ,0))&amp;IF(INDEX(tk_ROOMT,MATCH(121,tk_DSEQ,0))="",""," → "&amp;INDEX(tk_ROOMT,MATCH(121,tk_DSEQ,0))),"")</f>
        <v/>
      </c>
      <c r="D126" s="70">
        <f>IFERROR(INDEX(tk_LEAVES,MATCH(121,tk_DSEQ,0)),"")</f>
        <v/>
      </c>
      <c r="E126" s="70">
        <f>IFERROR(""&amp;INDEX(tk_RATING,MATCH(121,tk_DSEQ,0)),"")</f>
        <v/>
      </c>
      <c r="F126" s="70">
        <f>IFERROR(TEXT(INDEX(tk_LEAFW,MATCH(121,tk_DSEQ,0)),"0.000")&amp;" x "&amp;TEXT(INDEX(tk_LEAFH,MATCH(121,tk_DSEQ,0)),"0.000"),"")</f>
        <v/>
      </c>
      <c r="G126" s="70">
        <f>IFERROR(""&amp;INDEX(tk_DLINE,MATCH(121,tk_DSEQ,0)),"")</f>
        <v/>
      </c>
      <c r="H126" s="70">
        <f>IFERROR(""&amp;INDEX(tk_DNOTES,MATCH(121,tk_DSEQ,0)),"")</f>
        <v/>
      </c>
    </row>
    <row r="127">
      <c r="A127" s="70">
        <f>IFERROR(""&amp;INDEX(tk_MARK,MATCH(122,tk_DSEQ,0)),"")</f>
        <v/>
      </c>
      <c r="B127" s="70">
        <f>IFERROR(INDEX(tk_QTY,MATCH(122,tk_DSEQ,0)),"")</f>
        <v/>
      </c>
      <c r="C127" s="70">
        <f>IFERROR(INDEX(tk_ROOMF,MATCH(122,tk_DSEQ,0))&amp;IF(INDEX(tk_ROOMT,MATCH(122,tk_DSEQ,0))="",""," → "&amp;INDEX(tk_ROOMT,MATCH(122,tk_DSEQ,0))),"")</f>
        <v/>
      </c>
      <c r="D127" s="70">
        <f>IFERROR(INDEX(tk_LEAVES,MATCH(122,tk_DSEQ,0)),"")</f>
        <v/>
      </c>
      <c r="E127" s="70">
        <f>IFERROR(""&amp;INDEX(tk_RATING,MATCH(122,tk_DSEQ,0)),"")</f>
        <v/>
      </c>
      <c r="F127" s="70">
        <f>IFERROR(TEXT(INDEX(tk_LEAFW,MATCH(122,tk_DSEQ,0)),"0.000")&amp;" x "&amp;TEXT(INDEX(tk_LEAFH,MATCH(122,tk_DSEQ,0)),"0.000"),"")</f>
        <v/>
      </c>
      <c r="G127" s="70">
        <f>IFERROR(""&amp;INDEX(tk_DLINE,MATCH(122,tk_DSEQ,0)),"")</f>
        <v/>
      </c>
      <c r="H127" s="70">
        <f>IFERROR(""&amp;INDEX(tk_DNOTES,MATCH(122,tk_DSEQ,0)),"")</f>
        <v/>
      </c>
    </row>
    <row r="128">
      <c r="A128" s="70">
        <f>IFERROR(""&amp;INDEX(tk_MARK,MATCH(123,tk_DSEQ,0)),"")</f>
        <v/>
      </c>
      <c r="B128" s="70">
        <f>IFERROR(INDEX(tk_QTY,MATCH(123,tk_DSEQ,0)),"")</f>
        <v/>
      </c>
      <c r="C128" s="70">
        <f>IFERROR(INDEX(tk_ROOMF,MATCH(123,tk_DSEQ,0))&amp;IF(INDEX(tk_ROOMT,MATCH(123,tk_DSEQ,0))="",""," → "&amp;INDEX(tk_ROOMT,MATCH(123,tk_DSEQ,0))),"")</f>
        <v/>
      </c>
      <c r="D128" s="70">
        <f>IFERROR(INDEX(tk_LEAVES,MATCH(123,tk_DSEQ,0)),"")</f>
        <v/>
      </c>
      <c r="E128" s="70">
        <f>IFERROR(""&amp;INDEX(tk_RATING,MATCH(123,tk_DSEQ,0)),"")</f>
        <v/>
      </c>
      <c r="F128" s="70">
        <f>IFERROR(TEXT(INDEX(tk_LEAFW,MATCH(123,tk_DSEQ,0)),"0.000")&amp;" x "&amp;TEXT(INDEX(tk_LEAFH,MATCH(123,tk_DSEQ,0)),"0.000"),"")</f>
        <v/>
      </c>
      <c r="G128" s="70">
        <f>IFERROR(""&amp;INDEX(tk_DLINE,MATCH(123,tk_DSEQ,0)),"")</f>
        <v/>
      </c>
      <c r="H128" s="70">
        <f>IFERROR(""&amp;INDEX(tk_DNOTES,MATCH(123,tk_DSEQ,0)),"")</f>
        <v/>
      </c>
    </row>
    <row r="129">
      <c r="A129" s="70">
        <f>IFERROR(""&amp;INDEX(tk_MARK,MATCH(124,tk_DSEQ,0)),"")</f>
        <v/>
      </c>
      <c r="B129" s="70">
        <f>IFERROR(INDEX(tk_QTY,MATCH(124,tk_DSEQ,0)),"")</f>
        <v/>
      </c>
      <c r="C129" s="70">
        <f>IFERROR(INDEX(tk_ROOMF,MATCH(124,tk_DSEQ,0))&amp;IF(INDEX(tk_ROOMT,MATCH(124,tk_DSEQ,0))="",""," → "&amp;INDEX(tk_ROOMT,MATCH(124,tk_DSEQ,0))),"")</f>
        <v/>
      </c>
      <c r="D129" s="70">
        <f>IFERROR(INDEX(tk_LEAVES,MATCH(124,tk_DSEQ,0)),"")</f>
        <v/>
      </c>
      <c r="E129" s="70">
        <f>IFERROR(""&amp;INDEX(tk_RATING,MATCH(124,tk_DSEQ,0)),"")</f>
        <v/>
      </c>
      <c r="F129" s="70">
        <f>IFERROR(TEXT(INDEX(tk_LEAFW,MATCH(124,tk_DSEQ,0)),"0.000")&amp;" x "&amp;TEXT(INDEX(tk_LEAFH,MATCH(124,tk_DSEQ,0)),"0.000"),"")</f>
        <v/>
      </c>
      <c r="G129" s="70">
        <f>IFERROR(""&amp;INDEX(tk_DLINE,MATCH(124,tk_DSEQ,0)),"")</f>
        <v/>
      </c>
      <c r="H129" s="70">
        <f>IFERROR(""&amp;INDEX(tk_DNOTES,MATCH(124,tk_DSEQ,0)),"")</f>
        <v/>
      </c>
    </row>
    <row r="130">
      <c r="A130" s="70">
        <f>IFERROR(""&amp;INDEX(tk_MARK,MATCH(125,tk_DSEQ,0)),"")</f>
        <v/>
      </c>
      <c r="B130" s="70">
        <f>IFERROR(INDEX(tk_QTY,MATCH(125,tk_DSEQ,0)),"")</f>
        <v/>
      </c>
      <c r="C130" s="70">
        <f>IFERROR(INDEX(tk_ROOMF,MATCH(125,tk_DSEQ,0))&amp;IF(INDEX(tk_ROOMT,MATCH(125,tk_DSEQ,0))="",""," → "&amp;INDEX(tk_ROOMT,MATCH(125,tk_DSEQ,0))),"")</f>
        <v/>
      </c>
      <c r="D130" s="70">
        <f>IFERROR(INDEX(tk_LEAVES,MATCH(125,tk_DSEQ,0)),"")</f>
        <v/>
      </c>
      <c r="E130" s="70">
        <f>IFERROR(""&amp;INDEX(tk_RATING,MATCH(125,tk_DSEQ,0)),"")</f>
        <v/>
      </c>
      <c r="F130" s="70">
        <f>IFERROR(TEXT(INDEX(tk_LEAFW,MATCH(125,tk_DSEQ,0)),"0.000")&amp;" x "&amp;TEXT(INDEX(tk_LEAFH,MATCH(125,tk_DSEQ,0)),"0.000"),"")</f>
        <v/>
      </c>
      <c r="G130" s="70">
        <f>IFERROR(""&amp;INDEX(tk_DLINE,MATCH(125,tk_DSEQ,0)),"")</f>
        <v/>
      </c>
      <c r="H130" s="70">
        <f>IFERROR(""&amp;INDEX(tk_DNOTES,MATCH(125,tk_DSEQ,0)),"")</f>
        <v/>
      </c>
    </row>
    <row r="131">
      <c r="A131" s="70">
        <f>IFERROR(""&amp;INDEX(tk_MARK,MATCH(126,tk_DSEQ,0)),"")</f>
        <v/>
      </c>
      <c r="B131" s="70">
        <f>IFERROR(INDEX(tk_QTY,MATCH(126,tk_DSEQ,0)),"")</f>
        <v/>
      </c>
      <c r="C131" s="70">
        <f>IFERROR(INDEX(tk_ROOMF,MATCH(126,tk_DSEQ,0))&amp;IF(INDEX(tk_ROOMT,MATCH(126,tk_DSEQ,0))="",""," → "&amp;INDEX(tk_ROOMT,MATCH(126,tk_DSEQ,0))),"")</f>
        <v/>
      </c>
      <c r="D131" s="70">
        <f>IFERROR(INDEX(tk_LEAVES,MATCH(126,tk_DSEQ,0)),"")</f>
        <v/>
      </c>
      <c r="E131" s="70">
        <f>IFERROR(""&amp;INDEX(tk_RATING,MATCH(126,tk_DSEQ,0)),"")</f>
        <v/>
      </c>
      <c r="F131" s="70">
        <f>IFERROR(TEXT(INDEX(tk_LEAFW,MATCH(126,tk_DSEQ,0)),"0.000")&amp;" x "&amp;TEXT(INDEX(tk_LEAFH,MATCH(126,tk_DSEQ,0)),"0.000"),"")</f>
        <v/>
      </c>
      <c r="G131" s="70">
        <f>IFERROR(""&amp;INDEX(tk_DLINE,MATCH(126,tk_DSEQ,0)),"")</f>
        <v/>
      </c>
      <c r="H131" s="70">
        <f>IFERROR(""&amp;INDEX(tk_DNOTES,MATCH(126,tk_DSEQ,0)),"")</f>
        <v/>
      </c>
    </row>
    <row r="132">
      <c r="A132" s="70">
        <f>IFERROR(""&amp;INDEX(tk_MARK,MATCH(127,tk_DSEQ,0)),"")</f>
        <v/>
      </c>
      <c r="B132" s="70">
        <f>IFERROR(INDEX(tk_QTY,MATCH(127,tk_DSEQ,0)),"")</f>
        <v/>
      </c>
      <c r="C132" s="70">
        <f>IFERROR(INDEX(tk_ROOMF,MATCH(127,tk_DSEQ,0))&amp;IF(INDEX(tk_ROOMT,MATCH(127,tk_DSEQ,0))="",""," → "&amp;INDEX(tk_ROOMT,MATCH(127,tk_DSEQ,0))),"")</f>
        <v/>
      </c>
      <c r="D132" s="70">
        <f>IFERROR(INDEX(tk_LEAVES,MATCH(127,tk_DSEQ,0)),"")</f>
        <v/>
      </c>
      <c r="E132" s="70">
        <f>IFERROR(""&amp;INDEX(tk_RATING,MATCH(127,tk_DSEQ,0)),"")</f>
        <v/>
      </c>
      <c r="F132" s="70">
        <f>IFERROR(TEXT(INDEX(tk_LEAFW,MATCH(127,tk_DSEQ,0)),"0.000")&amp;" x "&amp;TEXT(INDEX(tk_LEAFH,MATCH(127,tk_DSEQ,0)),"0.000"),"")</f>
        <v/>
      </c>
      <c r="G132" s="70">
        <f>IFERROR(""&amp;INDEX(tk_DLINE,MATCH(127,tk_DSEQ,0)),"")</f>
        <v/>
      </c>
      <c r="H132" s="70">
        <f>IFERROR(""&amp;INDEX(tk_DNOTES,MATCH(127,tk_DSEQ,0)),"")</f>
        <v/>
      </c>
    </row>
    <row r="133">
      <c r="A133" s="70">
        <f>IFERROR(""&amp;INDEX(tk_MARK,MATCH(128,tk_DSEQ,0)),"")</f>
        <v/>
      </c>
      <c r="B133" s="70">
        <f>IFERROR(INDEX(tk_QTY,MATCH(128,tk_DSEQ,0)),"")</f>
        <v/>
      </c>
      <c r="C133" s="70">
        <f>IFERROR(INDEX(tk_ROOMF,MATCH(128,tk_DSEQ,0))&amp;IF(INDEX(tk_ROOMT,MATCH(128,tk_DSEQ,0))="",""," → "&amp;INDEX(tk_ROOMT,MATCH(128,tk_DSEQ,0))),"")</f>
        <v/>
      </c>
      <c r="D133" s="70">
        <f>IFERROR(INDEX(tk_LEAVES,MATCH(128,tk_DSEQ,0)),"")</f>
        <v/>
      </c>
      <c r="E133" s="70">
        <f>IFERROR(""&amp;INDEX(tk_RATING,MATCH(128,tk_DSEQ,0)),"")</f>
        <v/>
      </c>
      <c r="F133" s="70">
        <f>IFERROR(TEXT(INDEX(tk_LEAFW,MATCH(128,tk_DSEQ,0)),"0.000")&amp;" x "&amp;TEXT(INDEX(tk_LEAFH,MATCH(128,tk_DSEQ,0)),"0.000"),"")</f>
        <v/>
      </c>
      <c r="G133" s="70">
        <f>IFERROR(""&amp;INDEX(tk_DLINE,MATCH(128,tk_DSEQ,0)),"")</f>
        <v/>
      </c>
      <c r="H133" s="70">
        <f>IFERROR(""&amp;INDEX(tk_DNOTES,MATCH(128,tk_DSEQ,0)),"")</f>
        <v/>
      </c>
    </row>
    <row r="134">
      <c r="A134" s="70">
        <f>IFERROR(""&amp;INDEX(tk_MARK,MATCH(129,tk_DSEQ,0)),"")</f>
        <v/>
      </c>
      <c r="B134" s="70">
        <f>IFERROR(INDEX(tk_QTY,MATCH(129,tk_DSEQ,0)),"")</f>
        <v/>
      </c>
      <c r="C134" s="70">
        <f>IFERROR(INDEX(tk_ROOMF,MATCH(129,tk_DSEQ,0))&amp;IF(INDEX(tk_ROOMT,MATCH(129,tk_DSEQ,0))="",""," → "&amp;INDEX(tk_ROOMT,MATCH(129,tk_DSEQ,0))),"")</f>
        <v/>
      </c>
      <c r="D134" s="70">
        <f>IFERROR(INDEX(tk_LEAVES,MATCH(129,tk_DSEQ,0)),"")</f>
        <v/>
      </c>
      <c r="E134" s="70">
        <f>IFERROR(""&amp;INDEX(tk_RATING,MATCH(129,tk_DSEQ,0)),"")</f>
        <v/>
      </c>
      <c r="F134" s="70">
        <f>IFERROR(TEXT(INDEX(tk_LEAFW,MATCH(129,tk_DSEQ,0)),"0.000")&amp;" x "&amp;TEXT(INDEX(tk_LEAFH,MATCH(129,tk_DSEQ,0)),"0.000"),"")</f>
        <v/>
      </c>
      <c r="G134" s="70">
        <f>IFERROR(""&amp;INDEX(tk_DLINE,MATCH(129,tk_DSEQ,0)),"")</f>
        <v/>
      </c>
      <c r="H134" s="70">
        <f>IFERROR(""&amp;INDEX(tk_DNOTES,MATCH(129,tk_DSEQ,0)),"")</f>
        <v/>
      </c>
    </row>
    <row r="135">
      <c r="A135" s="70">
        <f>IFERROR(""&amp;INDEX(tk_MARK,MATCH(130,tk_DSEQ,0)),"")</f>
        <v/>
      </c>
      <c r="B135" s="70">
        <f>IFERROR(INDEX(tk_QTY,MATCH(130,tk_DSEQ,0)),"")</f>
        <v/>
      </c>
      <c r="C135" s="70">
        <f>IFERROR(INDEX(tk_ROOMF,MATCH(130,tk_DSEQ,0))&amp;IF(INDEX(tk_ROOMT,MATCH(130,tk_DSEQ,0))="",""," → "&amp;INDEX(tk_ROOMT,MATCH(130,tk_DSEQ,0))),"")</f>
        <v/>
      </c>
      <c r="D135" s="70">
        <f>IFERROR(INDEX(tk_LEAVES,MATCH(130,tk_DSEQ,0)),"")</f>
        <v/>
      </c>
      <c r="E135" s="70">
        <f>IFERROR(""&amp;INDEX(tk_RATING,MATCH(130,tk_DSEQ,0)),"")</f>
        <v/>
      </c>
      <c r="F135" s="70">
        <f>IFERROR(TEXT(INDEX(tk_LEAFW,MATCH(130,tk_DSEQ,0)),"0.000")&amp;" x "&amp;TEXT(INDEX(tk_LEAFH,MATCH(130,tk_DSEQ,0)),"0.000"),"")</f>
        <v/>
      </c>
      <c r="G135" s="70">
        <f>IFERROR(""&amp;INDEX(tk_DLINE,MATCH(130,tk_DSEQ,0)),"")</f>
        <v/>
      </c>
      <c r="H135" s="70">
        <f>IFERROR(""&amp;INDEX(tk_DNOTES,MATCH(130,tk_DSEQ,0)),"")</f>
        <v/>
      </c>
    </row>
    <row r="136">
      <c r="A136" s="70">
        <f>IFERROR(""&amp;INDEX(tk_MARK,MATCH(131,tk_DSEQ,0)),"")</f>
        <v/>
      </c>
      <c r="B136" s="70">
        <f>IFERROR(INDEX(tk_QTY,MATCH(131,tk_DSEQ,0)),"")</f>
        <v/>
      </c>
      <c r="C136" s="70">
        <f>IFERROR(INDEX(tk_ROOMF,MATCH(131,tk_DSEQ,0))&amp;IF(INDEX(tk_ROOMT,MATCH(131,tk_DSEQ,0))="",""," → "&amp;INDEX(tk_ROOMT,MATCH(131,tk_DSEQ,0))),"")</f>
        <v/>
      </c>
      <c r="D136" s="70">
        <f>IFERROR(INDEX(tk_LEAVES,MATCH(131,tk_DSEQ,0)),"")</f>
        <v/>
      </c>
      <c r="E136" s="70">
        <f>IFERROR(""&amp;INDEX(tk_RATING,MATCH(131,tk_DSEQ,0)),"")</f>
        <v/>
      </c>
      <c r="F136" s="70">
        <f>IFERROR(TEXT(INDEX(tk_LEAFW,MATCH(131,tk_DSEQ,0)),"0.000")&amp;" x "&amp;TEXT(INDEX(tk_LEAFH,MATCH(131,tk_DSEQ,0)),"0.000"),"")</f>
        <v/>
      </c>
      <c r="G136" s="70">
        <f>IFERROR(""&amp;INDEX(tk_DLINE,MATCH(131,tk_DSEQ,0)),"")</f>
        <v/>
      </c>
      <c r="H136" s="70">
        <f>IFERROR(""&amp;INDEX(tk_DNOTES,MATCH(131,tk_DSEQ,0)),"")</f>
        <v/>
      </c>
    </row>
    <row r="137">
      <c r="A137" s="70">
        <f>IFERROR(""&amp;INDEX(tk_MARK,MATCH(132,tk_DSEQ,0)),"")</f>
        <v/>
      </c>
      <c r="B137" s="70">
        <f>IFERROR(INDEX(tk_QTY,MATCH(132,tk_DSEQ,0)),"")</f>
        <v/>
      </c>
      <c r="C137" s="70">
        <f>IFERROR(INDEX(tk_ROOMF,MATCH(132,tk_DSEQ,0))&amp;IF(INDEX(tk_ROOMT,MATCH(132,tk_DSEQ,0))="",""," → "&amp;INDEX(tk_ROOMT,MATCH(132,tk_DSEQ,0))),"")</f>
        <v/>
      </c>
      <c r="D137" s="70">
        <f>IFERROR(INDEX(tk_LEAVES,MATCH(132,tk_DSEQ,0)),"")</f>
        <v/>
      </c>
      <c r="E137" s="70">
        <f>IFERROR(""&amp;INDEX(tk_RATING,MATCH(132,tk_DSEQ,0)),"")</f>
        <v/>
      </c>
      <c r="F137" s="70">
        <f>IFERROR(TEXT(INDEX(tk_LEAFW,MATCH(132,tk_DSEQ,0)),"0.000")&amp;" x "&amp;TEXT(INDEX(tk_LEAFH,MATCH(132,tk_DSEQ,0)),"0.000"),"")</f>
        <v/>
      </c>
      <c r="G137" s="70">
        <f>IFERROR(""&amp;INDEX(tk_DLINE,MATCH(132,tk_DSEQ,0)),"")</f>
        <v/>
      </c>
      <c r="H137" s="70">
        <f>IFERROR(""&amp;INDEX(tk_DNOTES,MATCH(132,tk_DSEQ,0)),"")</f>
        <v/>
      </c>
    </row>
    <row r="138">
      <c r="A138" s="70">
        <f>IFERROR(""&amp;INDEX(tk_MARK,MATCH(133,tk_DSEQ,0)),"")</f>
        <v/>
      </c>
      <c r="B138" s="70">
        <f>IFERROR(INDEX(tk_QTY,MATCH(133,tk_DSEQ,0)),"")</f>
        <v/>
      </c>
      <c r="C138" s="70">
        <f>IFERROR(INDEX(tk_ROOMF,MATCH(133,tk_DSEQ,0))&amp;IF(INDEX(tk_ROOMT,MATCH(133,tk_DSEQ,0))="",""," → "&amp;INDEX(tk_ROOMT,MATCH(133,tk_DSEQ,0))),"")</f>
        <v/>
      </c>
      <c r="D138" s="70">
        <f>IFERROR(INDEX(tk_LEAVES,MATCH(133,tk_DSEQ,0)),"")</f>
        <v/>
      </c>
      <c r="E138" s="70">
        <f>IFERROR(""&amp;INDEX(tk_RATING,MATCH(133,tk_DSEQ,0)),"")</f>
        <v/>
      </c>
      <c r="F138" s="70">
        <f>IFERROR(TEXT(INDEX(tk_LEAFW,MATCH(133,tk_DSEQ,0)),"0.000")&amp;" x "&amp;TEXT(INDEX(tk_LEAFH,MATCH(133,tk_DSEQ,0)),"0.000"),"")</f>
        <v/>
      </c>
      <c r="G138" s="70">
        <f>IFERROR(""&amp;INDEX(tk_DLINE,MATCH(133,tk_DSEQ,0)),"")</f>
        <v/>
      </c>
      <c r="H138" s="70">
        <f>IFERROR(""&amp;INDEX(tk_DNOTES,MATCH(133,tk_DSEQ,0)),"")</f>
        <v/>
      </c>
    </row>
    <row r="139">
      <c r="A139" s="70">
        <f>IFERROR(""&amp;INDEX(tk_MARK,MATCH(134,tk_DSEQ,0)),"")</f>
        <v/>
      </c>
      <c r="B139" s="70">
        <f>IFERROR(INDEX(tk_QTY,MATCH(134,tk_DSEQ,0)),"")</f>
        <v/>
      </c>
      <c r="C139" s="70">
        <f>IFERROR(INDEX(tk_ROOMF,MATCH(134,tk_DSEQ,0))&amp;IF(INDEX(tk_ROOMT,MATCH(134,tk_DSEQ,0))="",""," → "&amp;INDEX(tk_ROOMT,MATCH(134,tk_DSEQ,0))),"")</f>
        <v/>
      </c>
      <c r="D139" s="70">
        <f>IFERROR(INDEX(tk_LEAVES,MATCH(134,tk_DSEQ,0)),"")</f>
        <v/>
      </c>
      <c r="E139" s="70">
        <f>IFERROR(""&amp;INDEX(tk_RATING,MATCH(134,tk_DSEQ,0)),"")</f>
        <v/>
      </c>
      <c r="F139" s="70">
        <f>IFERROR(TEXT(INDEX(tk_LEAFW,MATCH(134,tk_DSEQ,0)),"0.000")&amp;" x "&amp;TEXT(INDEX(tk_LEAFH,MATCH(134,tk_DSEQ,0)),"0.000"),"")</f>
        <v/>
      </c>
      <c r="G139" s="70">
        <f>IFERROR(""&amp;INDEX(tk_DLINE,MATCH(134,tk_DSEQ,0)),"")</f>
        <v/>
      </c>
      <c r="H139" s="70">
        <f>IFERROR(""&amp;INDEX(tk_DNOTES,MATCH(134,tk_DSEQ,0)),"")</f>
        <v/>
      </c>
    </row>
    <row r="140">
      <c r="A140" s="70">
        <f>IFERROR(""&amp;INDEX(tk_MARK,MATCH(135,tk_DSEQ,0)),"")</f>
        <v/>
      </c>
      <c r="B140" s="70">
        <f>IFERROR(INDEX(tk_QTY,MATCH(135,tk_DSEQ,0)),"")</f>
        <v/>
      </c>
      <c r="C140" s="70">
        <f>IFERROR(INDEX(tk_ROOMF,MATCH(135,tk_DSEQ,0))&amp;IF(INDEX(tk_ROOMT,MATCH(135,tk_DSEQ,0))="",""," → "&amp;INDEX(tk_ROOMT,MATCH(135,tk_DSEQ,0))),"")</f>
        <v/>
      </c>
      <c r="D140" s="70">
        <f>IFERROR(INDEX(tk_LEAVES,MATCH(135,tk_DSEQ,0)),"")</f>
        <v/>
      </c>
      <c r="E140" s="70">
        <f>IFERROR(""&amp;INDEX(tk_RATING,MATCH(135,tk_DSEQ,0)),"")</f>
        <v/>
      </c>
      <c r="F140" s="70">
        <f>IFERROR(TEXT(INDEX(tk_LEAFW,MATCH(135,tk_DSEQ,0)),"0.000")&amp;" x "&amp;TEXT(INDEX(tk_LEAFH,MATCH(135,tk_DSEQ,0)),"0.000"),"")</f>
        <v/>
      </c>
      <c r="G140" s="70">
        <f>IFERROR(""&amp;INDEX(tk_DLINE,MATCH(135,tk_DSEQ,0)),"")</f>
        <v/>
      </c>
      <c r="H140" s="70">
        <f>IFERROR(""&amp;INDEX(tk_DNOTES,MATCH(135,tk_DSEQ,0)),"")</f>
        <v/>
      </c>
    </row>
    <row r="141">
      <c r="A141" s="70">
        <f>IFERROR(""&amp;INDEX(tk_MARK,MATCH(136,tk_DSEQ,0)),"")</f>
        <v/>
      </c>
      <c r="B141" s="70">
        <f>IFERROR(INDEX(tk_QTY,MATCH(136,tk_DSEQ,0)),"")</f>
        <v/>
      </c>
      <c r="C141" s="70">
        <f>IFERROR(INDEX(tk_ROOMF,MATCH(136,tk_DSEQ,0))&amp;IF(INDEX(tk_ROOMT,MATCH(136,tk_DSEQ,0))="",""," → "&amp;INDEX(tk_ROOMT,MATCH(136,tk_DSEQ,0))),"")</f>
        <v/>
      </c>
      <c r="D141" s="70">
        <f>IFERROR(INDEX(tk_LEAVES,MATCH(136,tk_DSEQ,0)),"")</f>
        <v/>
      </c>
      <c r="E141" s="70">
        <f>IFERROR(""&amp;INDEX(tk_RATING,MATCH(136,tk_DSEQ,0)),"")</f>
        <v/>
      </c>
      <c r="F141" s="70">
        <f>IFERROR(TEXT(INDEX(tk_LEAFW,MATCH(136,tk_DSEQ,0)),"0.000")&amp;" x "&amp;TEXT(INDEX(tk_LEAFH,MATCH(136,tk_DSEQ,0)),"0.000"),"")</f>
        <v/>
      </c>
      <c r="G141" s="70">
        <f>IFERROR(""&amp;INDEX(tk_DLINE,MATCH(136,tk_DSEQ,0)),"")</f>
        <v/>
      </c>
      <c r="H141" s="70">
        <f>IFERROR(""&amp;INDEX(tk_DNOTES,MATCH(136,tk_DSEQ,0)),"")</f>
        <v/>
      </c>
    </row>
    <row r="142">
      <c r="A142" s="70">
        <f>IFERROR(""&amp;INDEX(tk_MARK,MATCH(137,tk_DSEQ,0)),"")</f>
        <v/>
      </c>
      <c r="B142" s="70">
        <f>IFERROR(INDEX(tk_QTY,MATCH(137,tk_DSEQ,0)),"")</f>
        <v/>
      </c>
      <c r="C142" s="70">
        <f>IFERROR(INDEX(tk_ROOMF,MATCH(137,tk_DSEQ,0))&amp;IF(INDEX(tk_ROOMT,MATCH(137,tk_DSEQ,0))="",""," → "&amp;INDEX(tk_ROOMT,MATCH(137,tk_DSEQ,0))),"")</f>
        <v/>
      </c>
      <c r="D142" s="70">
        <f>IFERROR(INDEX(tk_LEAVES,MATCH(137,tk_DSEQ,0)),"")</f>
        <v/>
      </c>
      <c r="E142" s="70">
        <f>IFERROR(""&amp;INDEX(tk_RATING,MATCH(137,tk_DSEQ,0)),"")</f>
        <v/>
      </c>
      <c r="F142" s="70">
        <f>IFERROR(TEXT(INDEX(tk_LEAFW,MATCH(137,tk_DSEQ,0)),"0.000")&amp;" x "&amp;TEXT(INDEX(tk_LEAFH,MATCH(137,tk_DSEQ,0)),"0.000"),"")</f>
        <v/>
      </c>
      <c r="G142" s="70">
        <f>IFERROR(""&amp;INDEX(tk_DLINE,MATCH(137,tk_DSEQ,0)),"")</f>
        <v/>
      </c>
      <c r="H142" s="70">
        <f>IFERROR(""&amp;INDEX(tk_DNOTES,MATCH(137,tk_DSEQ,0)),"")</f>
        <v/>
      </c>
    </row>
    <row r="143">
      <c r="A143" s="70">
        <f>IFERROR(""&amp;INDEX(tk_MARK,MATCH(138,tk_DSEQ,0)),"")</f>
        <v/>
      </c>
      <c r="B143" s="70">
        <f>IFERROR(INDEX(tk_QTY,MATCH(138,tk_DSEQ,0)),"")</f>
        <v/>
      </c>
      <c r="C143" s="70">
        <f>IFERROR(INDEX(tk_ROOMF,MATCH(138,tk_DSEQ,0))&amp;IF(INDEX(tk_ROOMT,MATCH(138,tk_DSEQ,0))="",""," → "&amp;INDEX(tk_ROOMT,MATCH(138,tk_DSEQ,0))),"")</f>
        <v/>
      </c>
      <c r="D143" s="70">
        <f>IFERROR(INDEX(tk_LEAVES,MATCH(138,tk_DSEQ,0)),"")</f>
        <v/>
      </c>
      <c r="E143" s="70">
        <f>IFERROR(""&amp;INDEX(tk_RATING,MATCH(138,tk_DSEQ,0)),"")</f>
        <v/>
      </c>
      <c r="F143" s="70">
        <f>IFERROR(TEXT(INDEX(tk_LEAFW,MATCH(138,tk_DSEQ,0)),"0.000")&amp;" x "&amp;TEXT(INDEX(tk_LEAFH,MATCH(138,tk_DSEQ,0)),"0.000"),"")</f>
        <v/>
      </c>
      <c r="G143" s="70">
        <f>IFERROR(""&amp;INDEX(tk_DLINE,MATCH(138,tk_DSEQ,0)),"")</f>
        <v/>
      </c>
      <c r="H143" s="70">
        <f>IFERROR(""&amp;INDEX(tk_DNOTES,MATCH(138,tk_DSEQ,0)),"")</f>
        <v/>
      </c>
    </row>
    <row r="144">
      <c r="A144" s="70">
        <f>IFERROR(""&amp;INDEX(tk_MARK,MATCH(139,tk_DSEQ,0)),"")</f>
        <v/>
      </c>
      <c r="B144" s="70">
        <f>IFERROR(INDEX(tk_QTY,MATCH(139,tk_DSEQ,0)),"")</f>
        <v/>
      </c>
      <c r="C144" s="70">
        <f>IFERROR(INDEX(tk_ROOMF,MATCH(139,tk_DSEQ,0))&amp;IF(INDEX(tk_ROOMT,MATCH(139,tk_DSEQ,0))="",""," → "&amp;INDEX(tk_ROOMT,MATCH(139,tk_DSEQ,0))),"")</f>
        <v/>
      </c>
      <c r="D144" s="70">
        <f>IFERROR(INDEX(tk_LEAVES,MATCH(139,tk_DSEQ,0)),"")</f>
        <v/>
      </c>
      <c r="E144" s="70">
        <f>IFERROR(""&amp;INDEX(tk_RATING,MATCH(139,tk_DSEQ,0)),"")</f>
        <v/>
      </c>
      <c r="F144" s="70">
        <f>IFERROR(TEXT(INDEX(tk_LEAFW,MATCH(139,tk_DSEQ,0)),"0.000")&amp;" x "&amp;TEXT(INDEX(tk_LEAFH,MATCH(139,tk_DSEQ,0)),"0.000"),"")</f>
        <v/>
      </c>
      <c r="G144" s="70">
        <f>IFERROR(""&amp;INDEX(tk_DLINE,MATCH(139,tk_DSEQ,0)),"")</f>
        <v/>
      </c>
      <c r="H144" s="70">
        <f>IFERROR(""&amp;INDEX(tk_DNOTES,MATCH(139,tk_DSEQ,0)),"")</f>
        <v/>
      </c>
    </row>
    <row r="145">
      <c r="A145" s="70">
        <f>IFERROR(""&amp;INDEX(tk_MARK,MATCH(140,tk_DSEQ,0)),"")</f>
        <v/>
      </c>
      <c r="B145" s="70">
        <f>IFERROR(INDEX(tk_QTY,MATCH(140,tk_DSEQ,0)),"")</f>
        <v/>
      </c>
      <c r="C145" s="70">
        <f>IFERROR(INDEX(tk_ROOMF,MATCH(140,tk_DSEQ,0))&amp;IF(INDEX(tk_ROOMT,MATCH(140,tk_DSEQ,0))="",""," → "&amp;INDEX(tk_ROOMT,MATCH(140,tk_DSEQ,0))),"")</f>
        <v/>
      </c>
      <c r="D145" s="70">
        <f>IFERROR(INDEX(tk_LEAVES,MATCH(140,tk_DSEQ,0)),"")</f>
        <v/>
      </c>
      <c r="E145" s="70">
        <f>IFERROR(""&amp;INDEX(tk_RATING,MATCH(140,tk_DSEQ,0)),"")</f>
        <v/>
      </c>
      <c r="F145" s="70">
        <f>IFERROR(TEXT(INDEX(tk_LEAFW,MATCH(140,tk_DSEQ,0)),"0.000")&amp;" x "&amp;TEXT(INDEX(tk_LEAFH,MATCH(140,tk_DSEQ,0)),"0.000"),"")</f>
        <v/>
      </c>
      <c r="G145" s="70">
        <f>IFERROR(""&amp;INDEX(tk_DLINE,MATCH(140,tk_DSEQ,0)),"")</f>
        <v/>
      </c>
      <c r="H145" s="70">
        <f>IFERROR(""&amp;INDEX(tk_DNOTES,MATCH(140,tk_DSEQ,0)),"")</f>
        <v/>
      </c>
    </row>
    <row r="146">
      <c r="A146" s="70">
        <f>IFERROR(""&amp;INDEX(tk_MARK,MATCH(141,tk_DSEQ,0)),"")</f>
        <v/>
      </c>
      <c r="B146" s="70">
        <f>IFERROR(INDEX(tk_QTY,MATCH(141,tk_DSEQ,0)),"")</f>
        <v/>
      </c>
      <c r="C146" s="70">
        <f>IFERROR(INDEX(tk_ROOMF,MATCH(141,tk_DSEQ,0))&amp;IF(INDEX(tk_ROOMT,MATCH(141,tk_DSEQ,0))="",""," → "&amp;INDEX(tk_ROOMT,MATCH(141,tk_DSEQ,0))),"")</f>
        <v/>
      </c>
      <c r="D146" s="70">
        <f>IFERROR(INDEX(tk_LEAVES,MATCH(141,tk_DSEQ,0)),"")</f>
        <v/>
      </c>
      <c r="E146" s="70">
        <f>IFERROR(""&amp;INDEX(tk_RATING,MATCH(141,tk_DSEQ,0)),"")</f>
        <v/>
      </c>
      <c r="F146" s="70">
        <f>IFERROR(TEXT(INDEX(tk_LEAFW,MATCH(141,tk_DSEQ,0)),"0.000")&amp;" x "&amp;TEXT(INDEX(tk_LEAFH,MATCH(141,tk_DSEQ,0)),"0.000"),"")</f>
        <v/>
      </c>
      <c r="G146" s="70">
        <f>IFERROR(""&amp;INDEX(tk_DLINE,MATCH(141,tk_DSEQ,0)),"")</f>
        <v/>
      </c>
      <c r="H146" s="70">
        <f>IFERROR(""&amp;INDEX(tk_DNOTES,MATCH(141,tk_DSEQ,0)),"")</f>
        <v/>
      </c>
    </row>
    <row r="147">
      <c r="A147" s="70">
        <f>IFERROR(""&amp;INDEX(tk_MARK,MATCH(142,tk_DSEQ,0)),"")</f>
        <v/>
      </c>
      <c r="B147" s="70">
        <f>IFERROR(INDEX(tk_QTY,MATCH(142,tk_DSEQ,0)),"")</f>
        <v/>
      </c>
      <c r="C147" s="70">
        <f>IFERROR(INDEX(tk_ROOMF,MATCH(142,tk_DSEQ,0))&amp;IF(INDEX(tk_ROOMT,MATCH(142,tk_DSEQ,0))="",""," → "&amp;INDEX(tk_ROOMT,MATCH(142,tk_DSEQ,0))),"")</f>
        <v/>
      </c>
      <c r="D147" s="70">
        <f>IFERROR(INDEX(tk_LEAVES,MATCH(142,tk_DSEQ,0)),"")</f>
        <v/>
      </c>
      <c r="E147" s="70">
        <f>IFERROR(""&amp;INDEX(tk_RATING,MATCH(142,tk_DSEQ,0)),"")</f>
        <v/>
      </c>
      <c r="F147" s="70">
        <f>IFERROR(TEXT(INDEX(tk_LEAFW,MATCH(142,tk_DSEQ,0)),"0.000")&amp;" x "&amp;TEXT(INDEX(tk_LEAFH,MATCH(142,tk_DSEQ,0)),"0.000"),"")</f>
        <v/>
      </c>
      <c r="G147" s="70">
        <f>IFERROR(""&amp;INDEX(tk_DLINE,MATCH(142,tk_DSEQ,0)),"")</f>
        <v/>
      </c>
      <c r="H147" s="70">
        <f>IFERROR(""&amp;INDEX(tk_DNOTES,MATCH(142,tk_DSEQ,0)),"")</f>
        <v/>
      </c>
    </row>
    <row r="148">
      <c r="A148" s="70">
        <f>IFERROR(""&amp;INDEX(tk_MARK,MATCH(143,tk_DSEQ,0)),"")</f>
        <v/>
      </c>
      <c r="B148" s="70">
        <f>IFERROR(INDEX(tk_QTY,MATCH(143,tk_DSEQ,0)),"")</f>
        <v/>
      </c>
      <c r="C148" s="70">
        <f>IFERROR(INDEX(tk_ROOMF,MATCH(143,tk_DSEQ,0))&amp;IF(INDEX(tk_ROOMT,MATCH(143,tk_DSEQ,0))="",""," → "&amp;INDEX(tk_ROOMT,MATCH(143,tk_DSEQ,0))),"")</f>
        <v/>
      </c>
      <c r="D148" s="70">
        <f>IFERROR(INDEX(tk_LEAVES,MATCH(143,tk_DSEQ,0)),"")</f>
        <v/>
      </c>
      <c r="E148" s="70">
        <f>IFERROR(""&amp;INDEX(tk_RATING,MATCH(143,tk_DSEQ,0)),"")</f>
        <v/>
      </c>
      <c r="F148" s="70">
        <f>IFERROR(TEXT(INDEX(tk_LEAFW,MATCH(143,tk_DSEQ,0)),"0.000")&amp;" x "&amp;TEXT(INDEX(tk_LEAFH,MATCH(143,tk_DSEQ,0)),"0.000"),"")</f>
        <v/>
      </c>
      <c r="G148" s="70">
        <f>IFERROR(""&amp;INDEX(tk_DLINE,MATCH(143,tk_DSEQ,0)),"")</f>
        <v/>
      </c>
      <c r="H148" s="70">
        <f>IFERROR(""&amp;INDEX(tk_DNOTES,MATCH(143,tk_DSEQ,0)),"")</f>
        <v/>
      </c>
    </row>
    <row r="149">
      <c r="A149" s="70">
        <f>IFERROR(""&amp;INDEX(tk_MARK,MATCH(144,tk_DSEQ,0)),"")</f>
        <v/>
      </c>
      <c r="B149" s="70">
        <f>IFERROR(INDEX(tk_QTY,MATCH(144,tk_DSEQ,0)),"")</f>
        <v/>
      </c>
      <c r="C149" s="70">
        <f>IFERROR(INDEX(tk_ROOMF,MATCH(144,tk_DSEQ,0))&amp;IF(INDEX(tk_ROOMT,MATCH(144,tk_DSEQ,0))="",""," → "&amp;INDEX(tk_ROOMT,MATCH(144,tk_DSEQ,0))),"")</f>
        <v/>
      </c>
      <c r="D149" s="70">
        <f>IFERROR(INDEX(tk_LEAVES,MATCH(144,tk_DSEQ,0)),"")</f>
        <v/>
      </c>
      <c r="E149" s="70">
        <f>IFERROR(""&amp;INDEX(tk_RATING,MATCH(144,tk_DSEQ,0)),"")</f>
        <v/>
      </c>
      <c r="F149" s="70">
        <f>IFERROR(TEXT(INDEX(tk_LEAFW,MATCH(144,tk_DSEQ,0)),"0.000")&amp;" x "&amp;TEXT(INDEX(tk_LEAFH,MATCH(144,tk_DSEQ,0)),"0.000"),"")</f>
        <v/>
      </c>
      <c r="G149" s="70">
        <f>IFERROR(""&amp;INDEX(tk_DLINE,MATCH(144,tk_DSEQ,0)),"")</f>
        <v/>
      </c>
      <c r="H149" s="70">
        <f>IFERROR(""&amp;INDEX(tk_DNOTES,MATCH(144,tk_DSEQ,0)),"")</f>
        <v/>
      </c>
    </row>
    <row r="150">
      <c r="A150" s="70">
        <f>IFERROR(""&amp;INDEX(tk_MARK,MATCH(145,tk_DSEQ,0)),"")</f>
        <v/>
      </c>
      <c r="B150" s="70">
        <f>IFERROR(INDEX(tk_QTY,MATCH(145,tk_DSEQ,0)),"")</f>
        <v/>
      </c>
      <c r="C150" s="70">
        <f>IFERROR(INDEX(tk_ROOMF,MATCH(145,tk_DSEQ,0))&amp;IF(INDEX(tk_ROOMT,MATCH(145,tk_DSEQ,0))="",""," → "&amp;INDEX(tk_ROOMT,MATCH(145,tk_DSEQ,0))),"")</f>
        <v/>
      </c>
      <c r="D150" s="70">
        <f>IFERROR(INDEX(tk_LEAVES,MATCH(145,tk_DSEQ,0)),"")</f>
        <v/>
      </c>
      <c r="E150" s="70">
        <f>IFERROR(""&amp;INDEX(tk_RATING,MATCH(145,tk_DSEQ,0)),"")</f>
        <v/>
      </c>
      <c r="F150" s="70">
        <f>IFERROR(TEXT(INDEX(tk_LEAFW,MATCH(145,tk_DSEQ,0)),"0.000")&amp;" x "&amp;TEXT(INDEX(tk_LEAFH,MATCH(145,tk_DSEQ,0)),"0.000"),"")</f>
        <v/>
      </c>
      <c r="G150" s="70">
        <f>IFERROR(""&amp;INDEX(tk_DLINE,MATCH(145,tk_DSEQ,0)),"")</f>
        <v/>
      </c>
      <c r="H150" s="70">
        <f>IFERROR(""&amp;INDEX(tk_DNOTES,MATCH(145,tk_DSEQ,0)),"")</f>
        <v/>
      </c>
    </row>
    <row r="151">
      <c r="A151" s="70">
        <f>IFERROR(""&amp;INDEX(tk_MARK,MATCH(146,tk_DSEQ,0)),"")</f>
        <v/>
      </c>
      <c r="B151" s="70">
        <f>IFERROR(INDEX(tk_QTY,MATCH(146,tk_DSEQ,0)),"")</f>
        <v/>
      </c>
      <c r="C151" s="70">
        <f>IFERROR(INDEX(tk_ROOMF,MATCH(146,tk_DSEQ,0))&amp;IF(INDEX(tk_ROOMT,MATCH(146,tk_DSEQ,0))="",""," → "&amp;INDEX(tk_ROOMT,MATCH(146,tk_DSEQ,0))),"")</f>
        <v/>
      </c>
      <c r="D151" s="70">
        <f>IFERROR(INDEX(tk_LEAVES,MATCH(146,tk_DSEQ,0)),"")</f>
        <v/>
      </c>
      <c r="E151" s="70">
        <f>IFERROR(""&amp;INDEX(tk_RATING,MATCH(146,tk_DSEQ,0)),"")</f>
        <v/>
      </c>
      <c r="F151" s="70">
        <f>IFERROR(TEXT(INDEX(tk_LEAFW,MATCH(146,tk_DSEQ,0)),"0.000")&amp;" x "&amp;TEXT(INDEX(tk_LEAFH,MATCH(146,tk_DSEQ,0)),"0.000"),"")</f>
        <v/>
      </c>
      <c r="G151" s="70">
        <f>IFERROR(""&amp;INDEX(tk_DLINE,MATCH(146,tk_DSEQ,0)),"")</f>
        <v/>
      </c>
      <c r="H151" s="70">
        <f>IFERROR(""&amp;INDEX(tk_DNOTES,MATCH(146,tk_DSEQ,0)),"")</f>
        <v/>
      </c>
    </row>
    <row r="152">
      <c r="A152" s="70">
        <f>IFERROR(""&amp;INDEX(tk_MARK,MATCH(147,tk_DSEQ,0)),"")</f>
        <v/>
      </c>
      <c r="B152" s="70">
        <f>IFERROR(INDEX(tk_QTY,MATCH(147,tk_DSEQ,0)),"")</f>
        <v/>
      </c>
      <c r="C152" s="70">
        <f>IFERROR(INDEX(tk_ROOMF,MATCH(147,tk_DSEQ,0))&amp;IF(INDEX(tk_ROOMT,MATCH(147,tk_DSEQ,0))="",""," → "&amp;INDEX(tk_ROOMT,MATCH(147,tk_DSEQ,0))),"")</f>
        <v/>
      </c>
      <c r="D152" s="70">
        <f>IFERROR(INDEX(tk_LEAVES,MATCH(147,tk_DSEQ,0)),"")</f>
        <v/>
      </c>
      <c r="E152" s="70">
        <f>IFERROR(""&amp;INDEX(tk_RATING,MATCH(147,tk_DSEQ,0)),"")</f>
        <v/>
      </c>
      <c r="F152" s="70">
        <f>IFERROR(TEXT(INDEX(tk_LEAFW,MATCH(147,tk_DSEQ,0)),"0.000")&amp;" x "&amp;TEXT(INDEX(tk_LEAFH,MATCH(147,tk_DSEQ,0)),"0.000"),"")</f>
        <v/>
      </c>
      <c r="G152" s="70">
        <f>IFERROR(""&amp;INDEX(tk_DLINE,MATCH(147,tk_DSEQ,0)),"")</f>
        <v/>
      </c>
      <c r="H152" s="70">
        <f>IFERROR(""&amp;INDEX(tk_DNOTES,MATCH(147,tk_DSEQ,0)),"")</f>
        <v/>
      </c>
    </row>
    <row r="153">
      <c r="A153" s="70">
        <f>IFERROR(""&amp;INDEX(tk_MARK,MATCH(148,tk_DSEQ,0)),"")</f>
        <v/>
      </c>
      <c r="B153" s="70">
        <f>IFERROR(INDEX(tk_QTY,MATCH(148,tk_DSEQ,0)),"")</f>
        <v/>
      </c>
      <c r="C153" s="70">
        <f>IFERROR(INDEX(tk_ROOMF,MATCH(148,tk_DSEQ,0))&amp;IF(INDEX(tk_ROOMT,MATCH(148,tk_DSEQ,0))="",""," → "&amp;INDEX(tk_ROOMT,MATCH(148,tk_DSEQ,0))),"")</f>
        <v/>
      </c>
      <c r="D153" s="70">
        <f>IFERROR(INDEX(tk_LEAVES,MATCH(148,tk_DSEQ,0)),"")</f>
        <v/>
      </c>
      <c r="E153" s="70">
        <f>IFERROR(""&amp;INDEX(tk_RATING,MATCH(148,tk_DSEQ,0)),"")</f>
        <v/>
      </c>
      <c r="F153" s="70">
        <f>IFERROR(TEXT(INDEX(tk_LEAFW,MATCH(148,tk_DSEQ,0)),"0.000")&amp;" x "&amp;TEXT(INDEX(tk_LEAFH,MATCH(148,tk_DSEQ,0)),"0.000"),"")</f>
        <v/>
      </c>
      <c r="G153" s="70">
        <f>IFERROR(""&amp;INDEX(tk_DLINE,MATCH(148,tk_DSEQ,0)),"")</f>
        <v/>
      </c>
      <c r="H153" s="70">
        <f>IFERROR(""&amp;INDEX(tk_DNOTES,MATCH(148,tk_DSEQ,0)),"")</f>
        <v/>
      </c>
    </row>
    <row r="154">
      <c r="A154" s="70">
        <f>IFERROR(""&amp;INDEX(tk_MARK,MATCH(149,tk_DSEQ,0)),"")</f>
        <v/>
      </c>
      <c r="B154" s="70">
        <f>IFERROR(INDEX(tk_QTY,MATCH(149,tk_DSEQ,0)),"")</f>
        <v/>
      </c>
      <c r="C154" s="70">
        <f>IFERROR(INDEX(tk_ROOMF,MATCH(149,tk_DSEQ,0))&amp;IF(INDEX(tk_ROOMT,MATCH(149,tk_DSEQ,0))="",""," → "&amp;INDEX(tk_ROOMT,MATCH(149,tk_DSEQ,0))),"")</f>
        <v/>
      </c>
      <c r="D154" s="70">
        <f>IFERROR(INDEX(tk_LEAVES,MATCH(149,tk_DSEQ,0)),"")</f>
        <v/>
      </c>
      <c r="E154" s="70">
        <f>IFERROR(""&amp;INDEX(tk_RATING,MATCH(149,tk_DSEQ,0)),"")</f>
        <v/>
      </c>
      <c r="F154" s="70">
        <f>IFERROR(TEXT(INDEX(tk_LEAFW,MATCH(149,tk_DSEQ,0)),"0.000")&amp;" x "&amp;TEXT(INDEX(tk_LEAFH,MATCH(149,tk_DSEQ,0)),"0.000"),"")</f>
        <v/>
      </c>
      <c r="G154" s="70">
        <f>IFERROR(""&amp;INDEX(tk_DLINE,MATCH(149,tk_DSEQ,0)),"")</f>
        <v/>
      </c>
      <c r="H154" s="70">
        <f>IFERROR(""&amp;INDEX(tk_DNOTES,MATCH(149,tk_DSEQ,0)),"")</f>
        <v/>
      </c>
    </row>
    <row r="155">
      <c r="A155" s="70">
        <f>IFERROR(""&amp;INDEX(tk_MARK,MATCH(150,tk_DSEQ,0)),"")</f>
        <v/>
      </c>
      <c r="B155" s="70">
        <f>IFERROR(INDEX(tk_QTY,MATCH(150,tk_DSEQ,0)),"")</f>
        <v/>
      </c>
      <c r="C155" s="70">
        <f>IFERROR(INDEX(tk_ROOMF,MATCH(150,tk_DSEQ,0))&amp;IF(INDEX(tk_ROOMT,MATCH(150,tk_DSEQ,0))="",""," → "&amp;INDEX(tk_ROOMT,MATCH(150,tk_DSEQ,0))),"")</f>
        <v/>
      </c>
      <c r="D155" s="70">
        <f>IFERROR(INDEX(tk_LEAVES,MATCH(150,tk_DSEQ,0)),"")</f>
        <v/>
      </c>
      <c r="E155" s="70">
        <f>IFERROR(""&amp;INDEX(tk_RATING,MATCH(150,tk_DSEQ,0)),"")</f>
        <v/>
      </c>
      <c r="F155" s="70">
        <f>IFERROR(TEXT(INDEX(tk_LEAFW,MATCH(150,tk_DSEQ,0)),"0.000")&amp;" x "&amp;TEXT(INDEX(tk_LEAFH,MATCH(150,tk_DSEQ,0)),"0.000"),"")</f>
        <v/>
      </c>
      <c r="G155" s="70">
        <f>IFERROR(""&amp;INDEX(tk_DLINE,MATCH(150,tk_DSEQ,0)),"")</f>
        <v/>
      </c>
      <c r="H155" s="70">
        <f>IFERROR(""&amp;INDEX(tk_DNOTES,MATCH(150,tk_DSEQ,0)),"")</f>
        <v/>
      </c>
    </row>
    <row r="156">
      <c r="A156" s="70">
        <f>IFERROR(""&amp;INDEX(tk_MARK,MATCH(151,tk_DSEQ,0)),"")</f>
        <v/>
      </c>
      <c r="B156" s="70">
        <f>IFERROR(INDEX(tk_QTY,MATCH(151,tk_DSEQ,0)),"")</f>
        <v/>
      </c>
      <c r="C156" s="70">
        <f>IFERROR(INDEX(tk_ROOMF,MATCH(151,tk_DSEQ,0))&amp;IF(INDEX(tk_ROOMT,MATCH(151,tk_DSEQ,0))="",""," → "&amp;INDEX(tk_ROOMT,MATCH(151,tk_DSEQ,0))),"")</f>
        <v/>
      </c>
      <c r="D156" s="70">
        <f>IFERROR(INDEX(tk_LEAVES,MATCH(151,tk_DSEQ,0)),"")</f>
        <v/>
      </c>
      <c r="E156" s="70">
        <f>IFERROR(""&amp;INDEX(tk_RATING,MATCH(151,tk_DSEQ,0)),"")</f>
        <v/>
      </c>
      <c r="F156" s="70">
        <f>IFERROR(TEXT(INDEX(tk_LEAFW,MATCH(151,tk_DSEQ,0)),"0.000")&amp;" x "&amp;TEXT(INDEX(tk_LEAFH,MATCH(151,tk_DSEQ,0)),"0.000"),"")</f>
        <v/>
      </c>
      <c r="G156" s="70">
        <f>IFERROR(""&amp;INDEX(tk_DLINE,MATCH(151,tk_DSEQ,0)),"")</f>
        <v/>
      </c>
      <c r="H156" s="70">
        <f>IFERROR(""&amp;INDEX(tk_DNOTES,MATCH(151,tk_DSEQ,0)),"")</f>
        <v/>
      </c>
    </row>
    <row r="157">
      <c r="A157" s="70">
        <f>IFERROR(""&amp;INDEX(tk_MARK,MATCH(152,tk_DSEQ,0)),"")</f>
        <v/>
      </c>
      <c r="B157" s="70">
        <f>IFERROR(INDEX(tk_QTY,MATCH(152,tk_DSEQ,0)),"")</f>
        <v/>
      </c>
      <c r="C157" s="70">
        <f>IFERROR(INDEX(tk_ROOMF,MATCH(152,tk_DSEQ,0))&amp;IF(INDEX(tk_ROOMT,MATCH(152,tk_DSEQ,0))="",""," → "&amp;INDEX(tk_ROOMT,MATCH(152,tk_DSEQ,0))),"")</f>
        <v/>
      </c>
      <c r="D157" s="70">
        <f>IFERROR(INDEX(tk_LEAVES,MATCH(152,tk_DSEQ,0)),"")</f>
        <v/>
      </c>
      <c r="E157" s="70">
        <f>IFERROR(""&amp;INDEX(tk_RATING,MATCH(152,tk_DSEQ,0)),"")</f>
        <v/>
      </c>
      <c r="F157" s="70">
        <f>IFERROR(TEXT(INDEX(tk_LEAFW,MATCH(152,tk_DSEQ,0)),"0.000")&amp;" x "&amp;TEXT(INDEX(tk_LEAFH,MATCH(152,tk_DSEQ,0)),"0.000"),"")</f>
        <v/>
      </c>
      <c r="G157" s="70">
        <f>IFERROR(""&amp;INDEX(tk_DLINE,MATCH(152,tk_DSEQ,0)),"")</f>
        <v/>
      </c>
      <c r="H157" s="70">
        <f>IFERROR(""&amp;INDEX(tk_DNOTES,MATCH(152,tk_DSEQ,0)),"")</f>
        <v/>
      </c>
    </row>
    <row r="158">
      <c r="A158" s="70">
        <f>IFERROR(""&amp;INDEX(tk_MARK,MATCH(153,tk_DSEQ,0)),"")</f>
        <v/>
      </c>
      <c r="B158" s="70">
        <f>IFERROR(INDEX(tk_QTY,MATCH(153,tk_DSEQ,0)),"")</f>
        <v/>
      </c>
      <c r="C158" s="70">
        <f>IFERROR(INDEX(tk_ROOMF,MATCH(153,tk_DSEQ,0))&amp;IF(INDEX(tk_ROOMT,MATCH(153,tk_DSEQ,0))="",""," → "&amp;INDEX(tk_ROOMT,MATCH(153,tk_DSEQ,0))),"")</f>
        <v/>
      </c>
      <c r="D158" s="70">
        <f>IFERROR(INDEX(tk_LEAVES,MATCH(153,tk_DSEQ,0)),"")</f>
        <v/>
      </c>
      <c r="E158" s="70">
        <f>IFERROR(""&amp;INDEX(tk_RATING,MATCH(153,tk_DSEQ,0)),"")</f>
        <v/>
      </c>
      <c r="F158" s="70">
        <f>IFERROR(TEXT(INDEX(tk_LEAFW,MATCH(153,tk_DSEQ,0)),"0.000")&amp;" x "&amp;TEXT(INDEX(tk_LEAFH,MATCH(153,tk_DSEQ,0)),"0.000"),"")</f>
        <v/>
      </c>
      <c r="G158" s="70">
        <f>IFERROR(""&amp;INDEX(tk_DLINE,MATCH(153,tk_DSEQ,0)),"")</f>
        <v/>
      </c>
      <c r="H158" s="70">
        <f>IFERROR(""&amp;INDEX(tk_DNOTES,MATCH(153,tk_DSEQ,0)),"")</f>
        <v/>
      </c>
    </row>
    <row r="159">
      <c r="A159" s="70">
        <f>IFERROR(""&amp;INDEX(tk_MARK,MATCH(154,tk_DSEQ,0)),"")</f>
        <v/>
      </c>
      <c r="B159" s="70">
        <f>IFERROR(INDEX(tk_QTY,MATCH(154,tk_DSEQ,0)),"")</f>
        <v/>
      </c>
      <c r="C159" s="70">
        <f>IFERROR(INDEX(tk_ROOMF,MATCH(154,tk_DSEQ,0))&amp;IF(INDEX(tk_ROOMT,MATCH(154,tk_DSEQ,0))="",""," → "&amp;INDEX(tk_ROOMT,MATCH(154,tk_DSEQ,0))),"")</f>
        <v/>
      </c>
      <c r="D159" s="70">
        <f>IFERROR(INDEX(tk_LEAVES,MATCH(154,tk_DSEQ,0)),"")</f>
        <v/>
      </c>
      <c r="E159" s="70">
        <f>IFERROR(""&amp;INDEX(tk_RATING,MATCH(154,tk_DSEQ,0)),"")</f>
        <v/>
      </c>
      <c r="F159" s="70">
        <f>IFERROR(TEXT(INDEX(tk_LEAFW,MATCH(154,tk_DSEQ,0)),"0.000")&amp;" x "&amp;TEXT(INDEX(tk_LEAFH,MATCH(154,tk_DSEQ,0)),"0.000"),"")</f>
        <v/>
      </c>
      <c r="G159" s="70">
        <f>IFERROR(""&amp;INDEX(tk_DLINE,MATCH(154,tk_DSEQ,0)),"")</f>
        <v/>
      </c>
      <c r="H159" s="70">
        <f>IFERROR(""&amp;INDEX(tk_DNOTES,MATCH(154,tk_DSEQ,0)),"")</f>
        <v/>
      </c>
    </row>
    <row r="160">
      <c r="A160" s="70">
        <f>IFERROR(""&amp;INDEX(tk_MARK,MATCH(155,tk_DSEQ,0)),"")</f>
        <v/>
      </c>
      <c r="B160" s="70">
        <f>IFERROR(INDEX(tk_QTY,MATCH(155,tk_DSEQ,0)),"")</f>
        <v/>
      </c>
      <c r="C160" s="70">
        <f>IFERROR(INDEX(tk_ROOMF,MATCH(155,tk_DSEQ,0))&amp;IF(INDEX(tk_ROOMT,MATCH(155,tk_DSEQ,0))="",""," → "&amp;INDEX(tk_ROOMT,MATCH(155,tk_DSEQ,0))),"")</f>
        <v/>
      </c>
      <c r="D160" s="70">
        <f>IFERROR(INDEX(tk_LEAVES,MATCH(155,tk_DSEQ,0)),"")</f>
        <v/>
      </c>
      <c r="E160" s="70">
        <f>IFERROR(""&amp;INDEX(tk_RATING,MATCH(155,tk_DSEQ,0)),"")</f>
        <v/>
      </c>
      <c r="F160" s="70">
        <f>IFERROR(TEXT(INDEX(tk_LEAFW,MATCH(155,tk_DSEQ,0)),"0.000")&amp;" x "&amp;TEXT(INDEX(tk_LEAFH,MATCH(155,tk_DSEQ,0)),"0.000"),"")</f>
        <v/>
      </c>
      <c r="G160" s="70">
        <f>IFERROR(""&amp;INDEX(tk_DLINE,MATCH(155,tk_DSEQ,0)),"")</f>
        <v/>
      </c>
      <c r="H160" s="70">
        <f>IFERROR(""&amp;INDEX(tk_DNOTES,MATCH(155,tk_DSEQ,0)),"")</f>
        <v/>
      </c>
    </row>
    <row r="161">
      <c r="A161" s="70">
        <f>IFERROR(""&amp;INDEX(tk_MARK,MATCH(156,tk_DSEQ,0)),"")</f>
        <v/>
      </c>
      <c r="B161" s="70">
        <f>IFERROR(INDEX(tk_QTY,MATCH(156,tk_DSEQ,0)),"")</f>
        <v/>
      </c>
      <c r="C161" s="70">
        <f>IFERROR(INDEX(tk_ROOMF,MATCH(156,tk_DSEQ,0))&amp;IF(INDEX(tk_ROOMT,MATCH(156,tk_DSEQ,0))="",""," → "&amp;INDEX(tk_ROOMT,MATCH(156,tk_DSEQ,0))),"")</f>
        <v/>
      </c>
      <c r="D161" s="70">
        <f>IFERROR(INDEX(tk_LEAVES,MATCH(156,tk_DSEQ,0)),"")</f>
        <v/>
      </c>
      <c r="E161" s="70">
        <f>IFERROR(""&amp;INDEX(tk_RATING,MATCH(156,tk_DSEQ,0)),"")</f>
        <v/>
      </c>
      <c r="F161" s="70">
        <f>IFERROR(TEXT(INDEX(tk_LEAFW,MATCH(156,tk_DSEQ,0)),"0.000")&amp;" x "&amp;TEXT(INDEX(tk_LEAFH,MATCH(156,tk_DSEQ,0)),"0.000"),"")</f>
        <v/>
      </c>
      <c r="G161" s="70">
        <f>IFERROR(""&amp;INDEX(tk_DLINE,MATCH(156,tk_DSEQ,0)),"")</f>
        <v/>
      </c>
      <c r="H161" s="70">
        <f>IFERROR(""&amp;INDEX(tk_DNOTES,MATCH(156,tk_DSEQ,0)),"")</f>
        <v/>
      </c>
    </row>
    <row r="162">
      <c r="A162" s="70">
        <f>IFERROR(""&amp;INDEX(tk_MARK,MATCH(157,tk_DSEQ,0)),"")</f>
        <v/>
      </c>
      <c r="B162" s="70">
        <f>IFERROR(INDEX(tk_QTY,MATCH(157,tk_DSEQ,0)),"")</f>
        <v/>
      </c>
      <c r="C162" s="70">
        <f>IFERROR(INDEX(tk_ROOMF,MATCH(157,tk_DSEQ,0))&amp;IF(INDEX(tk_ROOMT,MATCH(157,tk_DSEQ,0))="",""," → "&amp;INDEX(tk_ROOMT,MATCH(157,tk_DSEQ,0))),"")</f>
        <v/>
      </c>
      <c r="D162" s="70">
        <f>IFERROR(INDEX(tk_LEAVES,MATCH(157,tk_DSEQ,0)),"")</f>
        <v/>
      </c>
      <c r="E162" s="70">
        <f>IFERROR(""&amp;INDEX(tk_RATING,MATCH(157,tk_DSEQ,0)),"")</f>
        <v/>
      </c>
      <c r="F162" s="70">
        <f>IFERROR(TEXT(INDEX(tk_LEAFW,MATCH(157,tk_DSEQ,0)),"0.000")&amp;" x "&amp;TEXT(INDEX(tk_LEAFH,MATCH(157,tk_DSEQ,0)),"0.000"),"")</f>
        <v/>
      </c>
      <c r="G162" s="70">
        <f>IFERROR(""&amp;INDEX(tk_DLINE,MATCH(157,tk_DSEQ,0)),"")</f>
        <v/>
      </c>
      <c r="H162" s="70">
        <f>IFERROR(""&amp;INDEX(tk_DNOTES,MATCH(157,tk_DSEQ,0)),"")</f>
        <v/>
      </c>
    </row>
    <row r="163">
      <c r="A163" s="70">
        <f>IFERROR(""&amp;INDEX(tk_MARK,MATCH(158,tk_DSEQ,0)),"")</f>
        <v/>
      </c>
      <c r="B163" s="70">
        <f>IFERROR(INDEX(tk_QTY,MATCH(158,tk_DSEQ,0)),"")</f>
        <v/>
      </c>
      <c r="C163" s="70">
        <f>IFERROR(INDEX(tk_ROOMF,MATCH(158,tk_DSEQ,0))&amp;IF(INDEX(tk_ROOMT,MATCH(158,tk_DSEQ,0))="",""," → "&amp;INDEX(tk_ROOMT,MATCH(158,tk_DSEQ,0))),"")</f>
        <v/>
      </c>
      <c r="D163" s="70">
        <f>IFERROR(INDEX(tk_LEAVES,MATCH(158,tk_DSEQ,0)),"")</f>
        <v/>
      </c>
      <c r="E163" s="70">
        <f>IFERROR(""&amp;INDEX(tk_RATING,MATCH(158,tk_DSEQ,0)),"")</f>
        <v/>
      </c>
      <c r="F163" s="70">
        <f>IFERROR(TEXT(INDEX(tk_LEAFW,MATCH(158,tk_DSEQ,0)),"0.000")&amp;" x "&amp;TEXT(INDEX(tk_LEAFH,MATCH(158,tk_DSEQ,0)),"0.000"),"")</f>
        <v/>
      </c>
      <c r="G163" s="70">
        <f>IFERROR(""&amp;INDEX(tk_DLINE,MATCH(158,tk_DSEQ,0)),"")</f>
        <v/>
      </c>
      <c r="H163" s="70">
        <f>IFERROR(""&amp;INDEX(tk_DNOTES,MATCH(158,tk_DSEQ,0)),"")</f>
        <v/>
      </c>
    </row>
    <row r="164">
      <c r="A164" s="70">
        <f>IFERROR(""&amp;INDEX(tk_MARK,MATCH(159,tk_DSEQ,0)),"")</f>
        <v/>
      </c>
      <c r="B164" s="70">
        <f>IFERROR(INDEX(tk_QTY,MATCH(159,tk_DSEQ,0)),"")</f>
        <v/>
      </c>
      <c r="C164" s="70">
        <f>IFERROR(INDEX(tk_ROOMF,MATCH(159,tk_DSEQ,0))&amp;IF(INDEX(tk_ROOMT,MATCH(159,tk_DSEQ,0))="",""," → "&amp;INDEX(tk_ROOMT,MATCH(159,tk_DSEQ,0))),"")</f>
        <v/>
      </c>
      <c r="D164" s="70">
        <f>IFERROR(INDEX(tk_LEAVES,MATCH(159,tk_DSEQ,0)),"")</f>
        <v/>
      </c>
      <c r="E164" s="70">
        <f>IFERROR(""&amp;INDEX(tk_RATING,MATCH(159,tk_DSEQ,0)),"")</f>
        <v/>
      </c>
      <c r="F164" s="70">
        <f>IFERROR(TEXT(INDEX(tk_LEAFW,MATCH(159,tk_DSEQ,0)),"0.000")&amp;" x "&amp;TEXT(INDEX(tk_LEAFH,MATCH(159,tk_DSEQ,0)),"0.000"),"")</f>
        <v/>
      </c>
      <c r="G164" s="70">
        <f>IFERROR(""&amp;INDEX(tk_DLINE,MATCH(159,tk_DSEQ,0)),"")</f>
        <v/>
      </c>
      <c r="H164" s="70">
        <f>IFERROR(""&amp;INDEX(tk_DNOTES,MATCH(159,tk_DSEQ,0)),"")</f>
        <v/>
      </c>
    </row>
    <row r="165">
      <c r="A165" s="70">
        <f>IFERROR(""&amp;INDEX(tk_MARK,MATCH(160,tk_DSEQ,0)),"")</f>
        <v/>
      </c>
      <c r="B165" s="70">
        <f>IFERROR(INDEX(tk_QTY,MATCH(160,tk_DSEQ,0)),"")</f>
        <v/>
      </c>
      <c r="C165" s="70">
        <f>IFERROR(INDEX(tk_ROOMF,MATCH(160,tk_DSEQ,0))&amp;IF(INDEX(tk_ROOMT,MATCH(160,tk_DSEQ,0))="",""," → "&amp;INDEX(tk_ROOMT,MATCH(160,tk_DSEQ,0))),"")</f>
        <v/>
      </c>
      <c r="D165" s="70">
        <f>IFERROR(INDEX(tk_LEAVES,MATCH(160,tk_DSEQ,0)),"")</f>
        <v/>
      </c>
      <c r="E165" s="70">
        <f>IFERROR(""&amp;INDEX(tk_RATING,MATCH(160,tk_DSEQ,0)),"")</f>
        <v/>
      </c>
      <c r="F165" s="70">
        <f>IFERROR(TEXT(INDEX(tk_LEAFW,MATCH(160,tk_DSEQ,0)),"0.000")&amp;" x "&amp;TEXT(INDEX(tk_LEAFH,MATCH(160,tk_DSEQ,0)),"0.000"),"")</f>
        <v/>
      </c>
      <c r="G165" s="70">
        <f>IFERROR(""&amp;INDEX(tk_DLINE,MATCH(160,tk_DSEQ,0)),"")</f>
        <v/>
      </c>
      <c r="H165" s="70">
        <f>IFERROR(""&amp;INDEX(tk_DNOTES,MATCH(160,tk_DSEQ,0)),"")</f>
        <v/>
      </c>
    </row>
    <row r="166">
      <c r="A166" s="70">
        <f>IFERROR(""&amp;INDEX(tk_MARK,MATCH(161,tk_DSEQ,0)),"")</f>
        <v/>
      </c>
      <c r="B166" s="70">
        <f>IFERROR(INDEX(tk_QTY,MATCH(161,tk_DSEQ,0)),"")</f>
        <v/>
      </c>
      <c r="C166" s="70">
        <f>IFERROR(INDEX(tk_ROOMF,MATCH(161,tk_DSEQ,0))&amp;IF(INDEX(tk_ROOMT,MATCH(161,tk_DSEQ,0))="",""," → "&amp;INDEX(tk_ROOMT,MATCH(161,tk_DSEQ,0))),"")</f>
        <v/>
      </c>
      <c r="D166" s="70">
        <f>IFERROR(INDEX(tk_LEAVES,MATCH(161,tk_DSEQ,0)),"")</f>
        <v/>
      </c>
      <c r="E166" s="70">
        <f>IFERROR(""&amp;INDEX(tk_RATING,MATCH(161,tk_DSEQ,0)),"")</f>
        <v/>
      </c>
      <c r="F166" s="70">
        <f>IFERROR(TEXT(INDEX(tk_LEAFW,MATCH(161,tk_DSEQ,0)),"0.000")&amp;" x "&amp;TEXT(INDEX(tk_LEAFH,MATCH(161,tk_DSEQ,0)),"0.000"),"")</f>
        <v/>
      </c>
      <c r="G166" s="70">
        <f>IFERROR(""&amp;INDEX(tk_DLINE,MATCH(161,tk_DSEQ,0)),"")</f>
        <v/>
      </c>
      <c r="H166" s="70">
        <f>IFERROR(""&amp;INDEX(tk_DNOTES,MATCH(161,tk_DSEQ,0)),"")</f>
        <v/>
      </c>
    </row>
    <row r="167">
      <c r="A167" s="70">
        <f>IFERROR(""&amp;INDEX(tk_MARK,MATCH(162,tk_DSEQ,0)),"")</f>
        <v/>
      </c>
      <c r="B167" s="70">
        <f>IFERROR(INDEX(tk_QTY,MATCH(162,tk_DSEQ,0)),"")</f>
        <v/>
      </c>
      <c r="C167" s="70">
        <f>IFERROR(INDEX(tk_ROOMF,MATCH(162,tk_DSEQ,0))&amp;IF(INDEX(tk_ROOMT,MATCH(162,tk_DSEQ,0))="",""," → "&amp;INDEX(tk_ROOMT,MATCH(162,tk_DSEQ,0))),"")</f>
        <v/>
      </c>
      <c r="D167" s="70">
        <f>IFERROR(INDEX(tk_LEAVES,MATCH(162,tk_DSEQ,0)),"")</f>
        <v/>
      </c>
      <c r="E167" s="70">
        <f>IFERROR(""&amp;INDEX(tk_RATING,MATCH(162,tk_DSEQ,0)),"")</f>
        <v/>
      </c>
      <c r="F167" s="70">
        <f>IFERROR(TEXT(INDEX(tk_LEAFW,MATCH(162,tk_DSEQ,0)),"0.000")&amp;" x "&amp;TEXT(INDEX(tk_LEAFH,MATCH(162,tk_DSEQ,0)),"0.000"),"")</f>
        <v/>
      </c>
      <c r="G167" s="70">
        <f>IFERROR(""&amp;INDEX(tk_DLINE,MATCH(162,tk_DSEQ,0)),"")</f>
        <v/>
      </c>
      <c r="H167" s="70">
        <f>IFERROR(""&amp;INDEX(tk_DNOTES,MATCH(162,tk_DSEQ,0)),"")</f>
        <v/>
      </c>
    </row>
    <row r="168">
      <c r="A168" s="70">
        <f>IFERROR(""&amp;INDEX(tk_MARK,MATCH(163,tk_DSEQ,0)),"")</f>
        <v/>
      </c>
      <c r="B168" s="70">
        <f>IFERROR(INDEX(tk_QTY,MATCH(163,tk_DSEQ,0)),"")</f>
        <v/>
      </c>
      <c r="C168" s="70">
        <f>IFERROR(INDEX(tk_ROOMF,MATCH(163,tk_DSEQ,0))&amp;IF(INDEX(tk_ROOMT,MATCH(163,tk_DSEQ,0))="",""," → "&amp;INDEX(tk_ROOMT,MATCH(163,tk_DSEQ,0))),"")</f>
        <v/>
      </c>
      <c r="D168" s="70">
        <f>IFERROR(INDEX(tk_LEAVES,MATCH(163,tk_DSEQ,0)),"")</f>
        <v/>
      </c>
      <c r="E168" s="70">
        <f>IFERROR(""&amp;INDEX(tk_RATING,MATCH(163,tk_DSEQ,0)),"")</f>
        <v/>
      </c>
      <c r="F168" s="70">
        <f>IFERROR(TEXT(INDEX(tk_LEAFW,MATCH(163,tk_DSEQ,0)),"0.000")&amp;" x "&amp;TEXT(INDEX(tk_LEAFH,MATCH(163,tk_DSEQ,0)),"0.000"),"")</f>
        <v/>
      </c>
      <c r="G168" s="70">
        <f>IFERROR(""&amp;INDEX(tk_DLINE,MATCH(163,tk_DSEQ,0)),"")</f>
        <v/>
      </c>
      <c r="H168" s="70">
        <f>IFERROR(""&amp;INDEX(tk_DNOTES,MATCH(163,tk_DSEQ,0)),"")</f>
        <v/>
      </c>
    </row>
    <row r="169">
      <c r="A169" s="70">
        <f>IFERROR(""&amp;INDEX(tk_MARK,MATCH(164,tk_DSEQ,0)),"")</f>
        <v/>
      </c>
      <c r="B169" s="70">
        <f>IFERROR(INDEX(tk_QTY,MATCH(164,tk_DSEQ,0)),"")</f>
        <v/>
      </c>
      <c r="C169" s="70">
        <f>IFERROR(INDEX(tk_ROOMF,MATCH(164,tk_DSEQ,0))&amp;IF(INDEX(tk_ROOMT,MATCH(164,tk_DSEQ,0))="",""," → "&amp;INDEX(tk_ROOMT,MATCH(164,tk_DSEQ,0))),"")</f>
        <v/>
      </c>
      <c r="D169" s="70">
        <f>IFERROR(INDEX(tk_LEAVES,MATCH(164,tk_DSEQ,0)),"")</f>
        <v/>
      </c>
      <c r="E169" s="70">
        <f>IFERROR(""&amp;INDEX(tk_RATING,MATCH(164,tk_DSEQ,0)),"")</f>
        <v/>
      </c>
      <c r="F169" s="70">
        <f>IFERROR(TEXT(INDEX(tk_LEAFW,MATCH(164,tk_DSEQ,0)),"0.000")&amp;" x "&amp;TEXT(INDEX(tk_LEAFH,MATCH(164,tk_DSEQ,0)),"0.000"),"")</f>
        <v/>
      </c>
      <c r="G169" s="70">
        <f>IFERROR(""&amp;INDEX(tk_DLINE,MATCH(164,tk_DSEQ,0)),"")</f>
        <v/>
      </c>
      <c r="H169" s="70">
        <f>IFERROR(""&amp;INDEX(tk_DNOTES,MATCH(164,tk_DSEQ,0)),"")</f>
        <v/>
      </c>
    </row>
    <row r="170">
      <c r="A170" s="70">
        <f>IFERROR(""&amp;INDEX(tk_MARK,MATCH(165,tk_DSEQ,0)),"")</f>
        <v/>
      </c>
      <c r="B170" s="70">
        <f>IFERROR(INDEX(tk_QTY,MATCH(165,tk_DSEQ,0)),"")</f>
        <v/>
      </c>
      <c r="C170" s="70">
        <f>IFERROR(INDEX(tk_ROOMF,MATCH(165,tk_DSEQ,0))&amp;IF(INDEX(tk_ROOMT,MATCH(165,tk_DSEQ,0))="",""," → "&amp;INDEX(tk_ROOMT,MATCH(165,tk_DSEQ,0))),"")</f>
        <v/>
      </c>
      <c r="D170" s="70">
        <f>IFERROR(INDEX(tk_LEAVES,MATCH(165,tk_DSEQ,0)),"")</f>
        <v/>
      </c>
      <c r="E170" s="70">
        <f>IFERROR(""&amp;INDEX(tk_RATING,MATCH(165,tk_DSEQ,0)),"")</f>
        <v/>
      </c>
      <c r="F170" s="70">
        <f>IFERROR(TEXT(INDEX(tk_LEAFW,MATCH(165,tk_DSEQ,0)),"0.000")&amp;" x "&amp;TEXT(INDEX(tk_LEAFH,MATCH(165,tk_DSEQ,0)),"0.000"),"")</f>
        <v/>
      </c>
      <c r="G170" s="70">
        <f>IFERROR(""&amp;INDEX(tk_DLINE,MATCH(165,tk_DSEQ,0)),"")</f>
        <v/>
      </c>
      <c r="H170" s="70">
        <f>IFERROR(""&amp;INDEX(tk_DNOTES,MATCH(165,tk_DSEQ,0)),"")</f>
        <v/>
      </c>
    </row>
    <row r="171">
      <c r="A171" s="70">
        <f>IFERROR(""&amp;INDEX(tk_MARK,MATCH(166,tk_DSEQ,0)),"")</f>
        <v/>
      </c>
      <c r="B171" s="70">
        <f>IFERROR(INDEX(tk_QTY,MATCH(166,tk_DSEQ,0)),"")</f>
        <v/>
      </c>
      <c r="C171" s="70">
        <f>IFERROR(INDEX(tk_ROOMF,MATCH(166,tk_DSEQ,0))&amp;IF(INDEX(tk_ROOMT,MATCH(166,tk_DSEQ,0))="",""," → "&amp;INDEX(tk_ROOMT,MATCH(166,tk_DSEQ,0))),"")</f>
        <v/>
      </c>
      <c r="D171" s="70">
        <f>IFERROR(INDEX(tk_LEAVES,MATCH(166,tk_DSEQ,0)),"")</f>
        <v/>
      </c>
      <c r="E171" s="70">
        <f>IFERROR(""&amp;INDEX(tk_RATING,MATCH(166,tk_DSEQ,0)),"")</f>
        <v/>
      </c>
      <c r="F171" s="70">
        <f>IFERROR(TEXT(INDEX(tk_LEAFW,MATCH(166,tk_DSEQ,0)),"0.000")&amp;" x "&amp;TEXT(INDEX(tk_LEAFH,MATCH(166,tk_DSEQ,0)),"0.000"),"")</f>
        <v/>
      </c>
      <c r="G171" s="70">
        <f>IFERROR(""&amp;INDEX(tk_DLINE,MATCH(166,tk_DSEQ,0)),"")</f>
        <v/>
      </c>
      <c r="H171" s="70">
        <f>IFERROR(""&amp;INDEX(tk_DNOTES,MATCH(166,tk_DSEQ,0)),"")</f>
        <v/>
      </c>
    </row>
    <row r="172">
      <c r="A172" s="70">
        <f>IFERROR(""&amp;INDEX(tk_MARK,MATCH(167,tk_DSEQ,0)),"")</f>
        <v/>
      </c>
      <c r="B172" s="70">
        <f>IFERROR(INDEX(tk_QTY,MATCH(167,tk_DSEQ,0)),"")</f>
        <v/>
      </c>
      <c r="C172" s="70">
        <f>IFERROR(INDEX(tk_ROOMF,MATCH(167,tk_DSEQ,0))&amp;IF(INDEX(tk_ROOMT,MATCH(167,tk_DSEQ,0))="",""," → "&amp;INDEX(tk_ROOMT,MATCH(167,tk_DSEQ,0))),"")</f>
        <v/>
      </c>
      <c r="D172" s="70">
        <f>IFERROR(INDEX(tk_LEAVES,MATCH(167,tk_DSEQ,0)),"")</f>
        <v/>
      </c>
      <c r="E172" s="70">
        <f>IFERROR(""&amp;INDEX(tk_RATING,MATCH(167,tk_DSEQ,0)),"")</f>
        <v/>
      </c>
      <c r="F172" s="70">
        <f>IFERROR(TEXT(INDEX(tk_LEAFW,MATCH(167,tk_DSEQ,0)),"0.000")&amp;" x "&amp;TEXT(INDEX(tk_LEAFH,MATCH(167,tk_DSEQ,0)),"0.000"),"")</f>
        <v/>
      </c>
      <c r="G172" s="70">
        <f>IFERROR(""&amp;INDEX(tk_DLINE,MATCH(167,tk_DSEQ,0)),"")</f>
        <v/>
      </c>
      <c r="H172" s="70">
        <f>IFERROR(""&amp;INDEX(tk_DNOTES,MATCH(167,tk_DSEQ,0)),"")</f>
        <v/>
      </c>
    </row>
    <row r="173">
      <c r="A173" s="70">
        <f>IFERROR(""&amp;INDEX(tk_MARK,MATCH(168,tk_DSEQ,0)),"")</f>
        <v/>
      </c>
      <c r="B173" s="70">
        <f>IFERROR(INDEX(tk_QTY,MATCH(168,tk_DSEQ,0)),"")</f>
        <v/>
      </c>
      <c r="C173" s="70">
        <f>IFERROR(INDEX(tk_ROOMF,MATCH(168,tk_DSEQ,0))&amp;IF(INDEX(tk_ROOMT,MATCH(168,tk_DSEQ,0))="",""," → "&amp;INDEX(tk_ROOMT,MATCH(168,tk_DSEQ,0))),"")</f>
        <v/>
      </c>
      <c r="D173" s="70">
        <f>IFERROR(INDEX(tk_LEAVES,MATCH(168,tk_DSEQ,0)),"")</f>
        <v/>
      </c>
      <c r="E173" s="70">
        <f>IFERROR(""&amp;INDEX(tk_RATING,MATCH(168,tk_DSEQ,0)),"")</f>
        <v/>
      </c>
      <c r="F173" s="70">
        <f>IFERROR(TEXT(INDEX(tk_LEAFW,MATCH(168,tk_DSEQ,0)),"0.000")&amp;" x "&amp;TEXT(INDEX(tk_LEAFH,MATCH(168,tk_DSEQ,0)),"0.000"),"")</f>
        <v/>
      </c>
      <c r="G173" s="70">
        <f>IFERROR(""&amp;INDEX(tk_DLINE,MATCH(168,tk_DSEQ,0)),"")</f>
        <v/>
      </c>
      <c r="H173" s="70">
        <f>IFERROR(""&amp;INDEX(tk_DNOTES,MATCH(168,tk_DSEQ,0)),"")</f>
        <v/>
      </c>
    </row>
    <row r="174">
      <c r="A174" s="70">
        <f>IFERROR(""&amp;INDEX(tk_MARK,MATCH(169,tk_DSEQ,0)),"")</f>
        <v/>
      </c>
      <c r="B174" s="70">
        <f>IFERROR(INDEX(tk_QTY,MATCH(169,tk_DSEQ,0)),"")</f>
        <v/>
      </c>
      <c r="C174" s="70">
        <f>IFERROR(INDEX(tk_ROOMF,MATCH(169,tk_DSEQ,0))&amp;IF(INDEX(tk_ROOMT,MATCH(169,tk_DSEQ,0))="",""," → "&amp;INDEX(tk_ROOMT,MATCH(169,tk_DSEQ,0))),"")</f>
        <v/>
      </c>
      <c r="D174" s="70">
        <f>IFERROR(INDEX(tk_LEAVES,MATCH(169,tk_DSEQ,0)),"")</f>
        <v/>
      </c>
      <c r="E174" s="70">
        <f>IFERROR(""&amp;INDEX(tk_RATING,MATCH(169,tk_DSEQ,0)),"")</f>
        <v/>
      </c>
      <c r="F174" s="70">
        <f>IFERROR(TEXT(INDEX(tk_LEAFW,MATCH(169,tk_DSEQ,0)),"0.000")&amp;" x "&amp;TEXT(INDEX(tk_LEAFH,MATCH(169,tk_DSEQ,0)),"0.000"),"")</f>
        <v/>
      </c>
      <c r="G174" s="70">
        <f>IFERROR(""&amp;INDEX(tk_DLINE,MATCH(169,tk_DSEQ,0)),"")</f>
        <v/>
      </c>
      <c r="H174" s="70">
        <f>IFERROR(""&amp;INDEX(tk_DNOTES,MATCH(169,tk_DSEQ,0)),"")</f>
        <v/>
      </c>
    </row>
    <row r="175">
      <c r="A175" s="70">
        <f>IFERROR(""&amp;INDEX(tk_MARK,MATCH(170,tk_DSEQ,0)),"")</f>
        <v/>
      </c>
      <c r="B175" s="70">
        <f>IFERROR(INDEX(tk_QTY,MATCH(170,tk_DSEQ,0)),"")</f>
        <v/>
      </c>
      <c r="C175" s="70">
        <f>IFERROR(INDEX(tk_ROOMF,MATCH(170,tk_DSEQ,0))&amp;IF(INDEX(tk_ROOMT,MATCH(170,tk_DSEQ,0))="",""," → "&amp;INDEX(tk_ROOMT,MATCH(170,tk_DSEQ,0))),"")</f>
        <v/>
      </c>
      <c r="D175" s="70">
        <f>IFERROR(INDEX(tk_LEAVES,MATCH(170,tk_DSEQ,0)),"")</f>
        <v/>
      </c>
      <c r="E175" s="70">
        <f>IFERROR(""&amp;INDEX(tk_RATING,MATCH(170,tk_DSEQ,0)),"")</f>
        <v/>
      </c>
      <c r="F175" s="70">
        <f>IFERROR(TEXT(INDEX(tk_LEAFW,MATCH(170,tk_DSEQ,0)),"0.000")&amp;" x "&amp;TEXT(INDEX(tk_LEAFH,MATCH(170,tk_DSEQ,0)),"0.000"),"")</f>
        <v/>
      </c>
      <c r="G175" s="70">
        <f>IFERROR(""&amp;INDEX(tk_DLINE,MATCH(170,tk_DSEQ,0)),"")</f>
        <v/>
      </c>
      <c r="H175" s="70">
        <f>IFERROR(""&amp;INDEX(tk_DNOTES,MATCH(170,tk_DSEQ,0)),"")</f>
        <v/>
      </c>
    </row>
    <row r="176">
      <c r="A176" s="70">
        <f>IFERROR(""&amp;INDEX(tk_MARK,MATCH(171,tk_DSEQ,0)),"")</f>
        <v/>
      </c>
      <c r="B176" s="70">
        <f>IFERROR(INDEX(tk_QTY,MATCH(171,tk_DSEQ,0)),"")</f>
        <v/>
      </c>
      <c r="C176" s="70">
        <f>IFERROR(INDEX(tk_ROOMF,MATCH(171,tk_DSEQ,0))&amp;IF(INDEX(tk_ROOMT,MATCH(171,tk_DSEQ,0))="",""," → "&amp;INDEX(tk_ROOMT,MATCH(171,tk_DSEQ,0))),"")</f>
        <v/>
      </c>
      <c r="D176" s="70">
        <f>IFERROR(INDEX(tk_LEAVES,MATCH(171,tk_DSEQ,0)),"")</f>
        <v/>
      </c>
      <c r="E176" s="70">
        <f>IFERROR(""&amp;INDEX(tk_RATING,MATCH(171,tk_DSEQ,0)),"")</f>
        <v/>
      </c>
      <c r="F176" s="70">
        <f>IFERROR(TEXT(INDEX(tk_LEAFW,MATCH(171,tk_DSEQ,0)),"0.000")&amp;" x "&amp;TEXT(INDEX(tk_LEAFH,MATCH(171,tk_DSEQ,0)),"0.000"),"")</f>
        <v/>
      </c>
      <c r="G176" s="70">
        <f>IFERROR(""&amp;INDEX(tk_DLINE,MATCH(171,tk_DSEQ,0)),"")</f>
        <v/>
      </c>
      <c r="H176" s="70">
        <f>IFERROR(""&amp;INDEX(tk_DNOTES,MATCH(171,tk_DSEQ,0)),"")</f>
        <v/>
      </c>
    </row>
    <row r="177">
      <c r="A177" s="70">
        <f>IFERROR(""&amp;INDEX(tk_MARK,MATCH(172,tk_DSEQ,0)),"")</f>
        <v/>
      </c>
      <c r="B177" s="70">
        <f>IFERROR(INDEX(tk_QTY,MATCH(172,tk_DSEQ,0)),"")</f>
        <v/>
      </c>
      <c r="C177" s="70">
        <f>IFERROR(INDEX(tk_ROOMF,MATCH(172,tk_DSEQ,0))&amp;IF(INDEX(tk_ROOMT,MATCH(172,tk_DSEQ,0))="",""," → "&amp;INDEX(tk_ROOMT,MATCH(172,tk_DSEQ,0))),"")</f>
        <v/>
      </c>
      <c r="D177" s="70">
        <f>IFERROR(INDEX(tk_LEAVES,MATCH(172,tk_DSEQ,0)),"")</f>
        <v/>
      </c>
      <c r="E177" s="70">
        <f>IFERROR(""&amp;INDEX(tk_RATING,MATCH(172,tk_DSEQ,0)),"")</f>
        <v/>
      </c>
      <c r="F177" s="70">
        <f>IFERROR(TEXT(INDEX(tk_LEAFW,MATCH(172,tk_DSEQ,0)),"0.000")&amp;" x "&amp;TEXT(INDEX(tk_LEAFH,MATCH(172,tk_DSEQ,0)),"0.000"),"")</f>
        <v/>
      </c>
      <c r="G177" s="70">
        <f>IFERROR(""&amp;INDEX(tk_DLINE,MATCH(172,tk_DSEQ,0)),"")</f>
        <v/>
      </c>
      <c r="H177" s="70">
        <f>IFERROR(""&amp;INDEX(tk_DNOTES,MATCH(172,tk_DSEQ,0)),"")</f>
        <v/>
      </c>
    </row>
    <row r="178">
      <c r="A178" s="70">
        <f>IFERROR(""&amp;INDEX(tk_MARK,MATCH(173,tk_DSEQ,0)),"")</f>
        <v/>
      </c>
      <c r="B178" s="70">
        <f>IFERROR(INDEX(tk_QTY,MATCH(173,tk_DSEQ,0)),"")</f>
        <v/>
      </c>
      <c r="C178" s="70">
        <f>IFERROR(INDEX(tk_ROOMF,MATCH(173,tk_DSEQ,0))&amp;IF(INDEX(tk_ROOMT,MATCH(173,tk_DSEQ,0))="",""," → "&amp;INDEX(tk_ROOMT,MATCH(173,tk_DSEQ,0))),"")</f>
        <v/>
      </c>
      <c r="D178" s="70">
        <f>IFERROR(INDEX(tk_LEAVES,MATCH(173,tk_DSEQ,0)),"")</f>
        <v/>
      </c>
      <c r="E178" s="70">
        <f>IFERROR(""&amp;INDEX(tk_RATING,MATCH(173,tk_DSEQ,0)),"")</f>
        <v/>
      </c>
      <c r="F178" s="70">
        <f>IFERROR(TEXT(INDEX(tk_LEAFW,MATCH(173,tk_DSEQ,0)),"0.000")&amp;" x "&amp;TEXT(INDEX(tk_LEAFH,MATCH(173,tk_DSEQ,0)),"0.000"),"")</f>
        <v/>
      </c>
      <c r="G178" s="70">
        <f>IFERROR(""&amp;INDEX(tk_DLINE,MATCH(173,tk_DSEQ,0)),"")</f>
        <v/>
      </c>
      <c r="H178" s="70">
        <f>IFERROR(""&amp;INDEX(tk_DNOTES,MATCH(173,tk_DSEQ,0)),"")</f>
        <v/>
      </c>
    </row>
    <row r="179">
      <c r="A179" s="70">
        <f>IFERROR(""&amp;INDEX(tk_MARK,MATCH(174,tk_DSEQ,0)),"")</f>
        <v/>
      </c>
      <c r="B179" s="70">
        <f>IFERROR(INDEX(tk_QTY,MATCH(174,tk_DSEQ,0)),"")</f>
        <v/>
      </c>
      <c r="C179" s="70">
        <f>IFERROR(INDEX(tk_ROOMF,MATCH(174,tk_DSEQ,0))&amp;IF(INDEX(tk_ROOMT,MATCH(174,tk_DSEQ,0))="",""," → "&amp;INDEX(tk_ROOMT,MATCH(174,tk_DSEQ,0))),"")</f>
        <v/>
      </c>
      <c r="D179" s="70">
        <f>IFERROR(INDEX(tk_LEAVES,MATCH(174,tk_DSEQ,0)),"")</f>
        <v/>
      </c>
      <c r="E179" s="70">
        <f>IFERROR(""&amp;INDEX(tk_RATING,MATCH(174,tk_DSEQ,0)),"")</f>
        <v/>
      </c>
      <c r="F179" s="70">
        <f>IFERROR(TEXT(INDEX(tk_LEAFW,MATCH(174,tk_DSEQ,0)),"0.000")&amp;" x "&amp;TEXT(INDEX(tk_LEAFH,MATCH(174,tk_DSEQ,0)),"0.000"),"")</f>
        <v/>
      </c>
      <c r="G179" s="70">
        <f>IFERROR(""&amp;INDEX(tk_DLINE,MATCH(174,tk_DSEQ,0)),"")</f>
        <v/>
      </c>
      <c r="H179" s="70">
        <f>IFERROR(""&amp;INDEX(tk_DNOTES,MATCH(174,tk_DSEQ,0)),"")</f>
        <v/>
      </c>
    </row>
    <row r="180">
      <c r="A180" s="70">
        <f>IFERROR(""&amp;INDEX(tk_MARK,MATCH(175,tk_DSEQ,0)),"")</f>
        <v/>
      </c>
      <c r="B180" s="70">
        <f>IFERROR(INDEX(tk_QTY,MATCH(175,tk_DSEQ,0)),"")</f>
        <v/>
      </c>
      <c r="C180" s="70">
        <f>IFERROR(INDEX(tk_ROOMF,MATCH(175,tk_DSEQ,0))&amp;IF(INDEX(tk_ROOMT,MATCH(175,tk_DSEQ,0))="",""," → "&amp;INDEX(tk_ROOMT,MATCH(175,tk_DSEQ,0))),"")</f>
        <v/>
      </c>
      <c r="D180" s="70">
        <f>IFERROR(INDEX(tk_LEAVES,MATCH(175,tk_DSEQ,0)),"")</f>
        <v/>
      </c>
      <c r="E180" s="70">
        <f>IFERROR(""&amp;INDEX(tk_RATING,MATCH(175,tk_DSEQ,0)),"")</f>
        <v/>
      </c>
      <c r="F180" s="70">
        <f>IFERROR(TEXT(INDEX(tk_LEAFW,MATCH(175,tk_DSEQ,0)),"0.000")&amp;" x "&amp;TEXT(INDEX(tk_LEAFH,MATCH(175,tk_DSEQ,0)),"0.000"),"")</f>
        <v/>
      </c>
      <c r="G180" s="70">
        <f>IFERROR(""&amp;INDEX(tk_DLINE,MATCH(175,tk_DSEQ,0)),"")</f>
        <v/>
      </c>
      <c r="H180" s="70">
        <f>IFERROR(""&amp;INDEX(tk_DNOTES,MATCH(175,tk_DSEQ,0)),"")</f>
        <v/>
      </c>
    </row>
    <row r="181">
      <c r="A181" s="70">
        <f>IFERROR(""&amp;INDEX(tk_MARK,MATCH(176,tk_DSEQ,0)),"")</f>
        <v/>
      </c>
      <c r="B181" s="70">
        <f>IFERROR(INDEX(tk_QTY,MATCH(176,tk_DSEQ,0)),"")</f>
        <v/>
      </c>
      <c r="C181" s="70">
        <f>IFERROR(INDEX(tk_ROOMF,MATCH(176,tk_DSEQ,0))&amp;IF(INDEX(tk_ROOMT,MATCH(176,tk_DSEQ,0))="",""," → "&amp;INDEX(tk_ROOMT,MATCH(176,tk_DSEQ,0))),"")</f>
        <v/>
      </c>
      <c r="D181" s="70">
        <f>IFERROR(INDEX(tk_LEAVES,MATCH(176,tk_DSEQ,0)),"")</f>
        <v/>
      </c>
      <c r="E181" s="70">
        <f>IFERROR(""&amp;INDEX(tk_RATING,MATCH(176,tk_DSEQ,0)),"")</f>
        <v/>
      </c>
      <c r="F181" s="70">
        <f>IFERROR(TEXT(INDEX(tk_LEAFW,MATCH(176,tk_DSEQ,0)),"0.000")&amp;" x "&amp;TEXT(INDEX(tk_LEAFH,MATCH(176,tk_DSEQ,0)),"0.000"),"")</f>
        <v/>
      </c>
      <c r="G181" s="70">
        <f>IFERROR(""&amp;INDEX(tk_DLINE,MATCH(176,tk_DSEQ,0)),"")</f>
        <v/>
      </c>
      <c r="H181" s="70">
        <f>IFERROR(""&amp;INDEX(tk_DNOTES,MATCH(176,tk_DSEQ,0)),"")</f>
        <v/>
      </c>
    </row>
    <row r="182">
      <c r="A182" s="70">
        <f>IFERROR(""&amp;INDEX(tk_MARK,MATCH(177,tk_DSEQ,0)),"")</f>
        <v/>
      </c>
      <c r="B182" s="70">
        <f>IFERROR(INDEX(tk_QTY,MATCH(177,tk_DSEQ,0)),"")</f>
        <v/>
      </c>
      <c r="C182" s="70">
        <f>IFERROR(INDEX(tk_ROOMF,MATCH(177,tk_DSEQ,0))&amp;IF(INDEX(tk_ROOMT,MATCH(177,tk_DSEQ,0))="",""," → "&amp;INDEX(tk_ROOMT,MATCH(177,tk_DSEQ,0))),"")</f>
        <v/>
      </c>
      <c r="D182" s="70">
        <f>IFERROR(INDEX(tk_LEAVES,MATCH(177,tk_DSEQ,0)),"")</f>
        <v/>
      </c>
      <c r="E182" s="70">
        <f>IFERROR(""&amp;INDEX(tk_RATING,MATCH(177,tk_DSEQ,0)),"")</f>
        <v/>
      </c>
      <c r="F182" s="70">
        <f>IFERROR(TEXT(INDEX(tk_LEAFW,MATCH(177,tk_DSEQ,0)),"0.000")&amp;" x "&amp;TEXT(INDEX(tk_LEAFH,MATCH(177,tk_DSEQ,0)),"0.000"),"")</f>
        <v/>
      </c>
      <c r="G182" s="70">
        <f>IFERROR(""&amp;INDEX(tk_DLINE,MATCH(177,tk_DSEQ,0)),"")</f>
        <v/>
      </c>
      <c r="H182" s="70">
        <f>IFERROR(""&amp;INDEX(tk_DNOTES,MATCH(177,tk_DSEQ,0)),"")</f>
        <v/>
      </c>
    </row>
    <row r="183">
      <c r="A183" s="70">
        <f>IFERROR(""&amp;INDEX(tk_MARK,MATCH(178,tk_DSEQ,0)),"")</f>
        <v/>
      </c>
      <c r="B183" s="70">
        <f>IFERROR(INDEX(tk_QTY,MATCH(178,tk_DSEQ,0)),"")</f>
        <v/>
      </c>
      <c r="C183" s="70">
        <f>IFERROR(INDEX(tk_ROOMF,MATCH(178,tk_DSEQ,0))&amp;IF(INDEX(tk_ROOMT,MATCH(178,tk_DSEQ,0))="",""," → "&amp;INDEX(tk_ROOMT,MATCH(178,tk_DSEQ,0))),"")</f>
        <v/>
      </c>
      <c r="D183" s="70">
        <f>IFERROR(INDEX(tk_LEAVES,MATCH(178,tk_DSEQ,0)),"")</f>
        <v/>
      </c>
      <c r="E183" s="70">
        <f>IFERROR(""&amp;INDEX(tk_RATING,MATCH(178,tk_DSEQ,0)),"")</f>
        <v/>
      </c>
      <c r="F183" s="70">
        <f>IFERROR(TEXT(INDEX(tk_LEAFW,MATCH(178,tk_DSEQ,0)),"0.000")&amp;" x "&amp;TEXT(INDEX(tk_LEAFH,MATCH(178,tk_DSEQ,0)),"0.000"),"")</f>
        <v/>
      </c>
      <c r="G183" s="70">
        <f>IFERROR(""&amp;INDEX(tk_DLINE,MATCH(178,tk_DSEQ,0)),"")</f>
        <v/>
      </c>
      <c r="H183" s="70">
        <f>IFERROR(""&amp;INDEX(tk_DNOTES,MATCH(178,tk_DSEQ,0)),"")</f>
        <v/>
      </c>
    </row>
    <row r="184">
      <c r="A184" s="70">
        <f>IFERROR(""&amp;INDEX(tk_MARK,MATCH(179,tk_DSEQ,0)),"")</f>
        <v/>
      </c>
      <c r="B184" s="70">
        <f>IFERROR(INDEX(tk_QTY,MATCH(179,tk_DSEQ,0)),"")</f>
        <v/>
      </c>
      <c r="C184" s="70">
        <f>IFERROR(INDEX(tk_ROOMF,MATCH(179,tk_DSEQ,0))&amp;IF(INDEX(tk_ROOMT,MATCH(179,tk_DSEQ,0))="",""," → "&amp;INDEX(tk_ROOMT,MATCH(179,tk_DSEQ,0))),"")</f>
        <v/>
      </c>
      <c r="D184" s="70">
        <f>IFERROR(INDEX(tk_LEAVES,MATCH(179,tk_DSEQ,0)),"")</f>
        <v/>
      </c>
      <c r="E184" s="70">
        <f>IFERROR(""&amp;INDEX(tk_RATING,MATCH(179,tk_DSEQ,0)),"")</f>
        <v/>
      </c>
      <c r="F184" s="70">
        <f>IFERROR(TEXT(INDEX(tk_LEAFW,MATCH(179,tk_DSEQ,0)),"0.000")&amp;" x "&amp;TEXT(INDEX(tk_LEAFH,MATCH(179,tk_DSEQ,0)),"0.000"),"")</f>
        <v/>
      </c>
      <c r="G184" s="70">
        <f>IFERROR(""&amp;INDEX(tk_DLINE,MATCH(179,tk_DSEQ,0)),"")</f>
        <v/>
      </c>
      <c r="H184" s="70">
        <f>IFERROR(""&amp;INDEX(tk_DNOTES,MATCH(179,tk_DSEQ,0)),"")</f>
        <v/>
      </c>
    </row>
    <row r="185">
      <c r="A185" s="70">
        <f>IFERROR(""&amp;INDEX(tk_MARK,MATCH(180,tk_DSEQ,0)),"")</f>
        <v/>
      </c>
      <c r="B185" s="70">
        <f>IFERROR(INDEX(tk_QTY,MATCH(180,tk_DSEQ,0)),"")</f>
        <v/>
      </c>
      <c r="C185" s="70">
        <f>IFERROR(INDEX(tk_ROOMF,MATCH(180,tk_DSEQ,0))&amp;IF(INDEX(tk_ROOMT,MATCH(180,tk_DSEQ,0))="",""," → "&amp;INDEX(tk_ROOMT,MATCH(180,tk_DSEQ,0))),"")</f>
        <v/>
      </c>
      <c r="D185" s="70">
        <f>IFERROR(INDEX(tk_LEAVES,MATCH(180,tk_DSEQ,0)),"")</f>
        <v/>
      </c>
      <c r="E185" s="70">
        <f>IFERROR(""&amp;INDEX(tk_RATING,MATCH(180,tk_DSEQ,0)),"")</f>
        <v/>
      </c>
      <c r="F185" s="70">
        <f>IFERROR(TEXT(INDEX(tk_LEAFW,MATCH(180,tk_DSEQ,0)),"0.000")&amp;" x "&amp;TEXT(INDEX(tk_LEAFH,MATCH(180,tk_DSEQ,0)),"0.000"),"")</f>
        <v/>
      </c>
      <c r="G185" s="70">
        <f>IFERROR(""&amp;INDEX(tk_DLINE,MATCH(180,tk_DSEQ,0)),"")</f>
        <v/>
      </c>
      <c r="H185" s="70">
        <f>IFERROR(""&amp;INDEX(tk_DNOTES,MATCH(180,tk_DSEQ,0)),"")</f>
        <v/>
      </c>
    </row>
    <row r="186">
      <c r="A186" s="70">
        <f>IFERROR(""&amp;INDEX(tk_MARK,MATCH(181,tk_DSEQ,0)),"")</f>
        <v/>
      </c>
      <c r="B186" s="70">
        <f>IFERROR(INDEX(tk_QTY,MATCH(181,tk_DSEQ,0)),"")</f>
        <v/>
      </c>
      <c r="C186" s="70">
        <f>IFERROR(INDEX(tk_ROOMF,MATCH(181,tk_DSEQ,0))&amp;IF(INDEX(tk_ROOMT,MATCH(181,tk_DSEQ,0))="",""," → "&amp;INDEX(tk_ROOMT,MATCH(181,tk_DSEQ,0))),"")</f>
        <v/>
      </c>
      <c r="D186" s="70">
        <f>IFERROR(INDEX(tk_LEAVES,MATCH(181,tk_DSEQ,0)),"")</f>
        <v/>
      </c>
      <c r="E186" s="70">
        <f>IFERROR(""&amp;INDEX(tk_RATING,MATCH(181,tk_DSEQ,0)),"")</f>
        <v/>
      </c>
      <c r="F186" s="70">
        <f>IFERROR(TEXT(INDEX(tk_LEAFW,MATCH(181,tk_DSEQ,0)),"0.000")&amp;" x "&amp;TEXT(INDEX(tk_LEAFH,MATCH(181,tk_DSEQ,0)),"0.000"),"")</f>
        <v/>
      </c>
      <c r="G186" s="70">
        <f>IFERROR(""&amp;INDEX(tk_DLINE,MATCH(181,tk_DSEQ,0)),"")</f>
        <v/>
      </c>
      <c r="H186" s="70">
        <f>IFERROR(""&amp;INDEX(tk_DNOTES,MATCH(181,tk_DSEQ,0)),"")</f>
        <v/>
      </c>
    </row>
    <row r="187">
      <c r="A187" s="70">
        <f>IFERROR(""&amp;INDEX(tk_MARK,MATCH(182,tk_DSEQ,0)),"")</f>
        <v/>
      </c>
      <c r="B187" s="70">
        <f>IFERROR(INDEX(tk_QTY,MATCH(182,tk_DSEQ,0)),"")</f>
        <v/>
      </c>
      <c r="C187" s="70">
        <f>IFERROR(INDEX(tk_ROOMF,MATCH(182,tk_DSEQ,0))&amp;IF(INDEX(tk_ROOMT,MATCH(182,tk_DSEQ,0))="",""," → "&amp;INDEX(tk_ROOMT,MATCH(182,tk_DSEQ,0))),"")</f>
        <v/>
      </c>
      <c r="D187" s="70">
        <f>IFERROR(INDEX(tk_LEAVES,MATCH(182,tk_DSEQ,0)),"")</f>
        <v/>
      </c>
      <c r="E187" s="70">
        <f>IFERROR(""&amp;INDEX(tk_RATING,MATCH(182,tk_DSEQ,0)),"")</f>
        <v/>
      </c>
      <c r="F187" s="70">
        <f>IFERROR(TEXT(INDEX(tk_LEAFW,MATCH(182,tk_DSEQ,0)),"0.000")&amp;" x "&amp;TEXT(INDEX(tk_LEAFH,MATCH(182,tk_DSEQ,0)),"0.000"),"")</f>
        <v/>
      </c>
      <c r="G187" s="70">
        <f>IFERROR(""&amp;INDEX(tk_DLINE,MATCH(182,tk_DSEQ,0)),"")</f>
        <v/>
      </c>
      <c r="H187" s="70">
        <f>IFERROR(""&amp;INDEX(tk_DNOTES,MATCH(182,tk_DSEQ,0)),"")</f>
        <v/>
      </c>
    </row>
    <row r="188">
      <c r="A188" s="70">
        <f>IFERROR(""&amp;INDEX(tk_MARK,MATCH(183,tk_DSEQ,0)),"")</f>
        <v/>
      </c>
      <c r="B188" s="70">
        <f>IFERROR(INDEX(tk_QTY,MATCH(183,tk_DSEQ,0)),"")</f>
        <v/>
      </c>
      <c r="C188" s="70">
        <f>IFERROR(INDEX(tk_ROOMF,MATCH(183,tk_DSEQ,0))&amp;IF(INDEX(tk_ROOMT,MATCH(183,tk_DSEQ,0))="",""," → "&amp;INDEX(tk_ROOMT,MATCH(183,tk_DSEQ,0))),"")</f>
        <v/>
      </c>
      <c r="D188" s="70">
        <f>IFERROR(INDEX(tk_LEAVES,MATCH(183,tk_DSEQ,0)),"")</f>
        <v/>
      </c>
      <c r="E188" s="70">
        <f>IFERROR(""&amp;INDEX(tk_RATING,MATCH(183,tk_DSEQ,0)),"")</f>
        <v/>
      </c>
      <c r="F188" s="70">
        <f>IFERROR(TEXT(INDEX(tk_LEAFW,MATCH(183,tk_DSEQ,0)),"0.000")&amp;" x "&amp;TEXT(INDEX(tk_LEAFH,MATCH(183,tk_DSEQ,0)),"0.000"),"")</f>
        <v/>
      </c>
      <c r="G188" s="70">
        <f>IFERROR(""&amp;INDEX(tk_DLINE,MATCH(183,tk_DSEQ,0)),"")</f>
        <v/>
      </c>
      <c r="H188" s="70">
        <f>IFERROR(""&amp;INDEX(tk_DNOTES,MATCH(183,tk_DSEQ,0)),"")</f>
        <v/>
      </c>
    </row>
    <row r="189">
      <c r="A189" s="70">
        <f>IFERROR(""&amp;INDEX(tk_MARK,MATCH(184,tk_DSEQ,0)),"")</f>
        <v/>
      </c>
      <c r="B189" s="70">
        <f>IFERROR(INDEX(tk_QTY,MATCH(184,tk_DSEQ,0)),"")</f>
        <v/>
      </c>
      <c r="C189" s="70">
        <f>IFERROR(INDEX(tk_ROOMF,MATCH(184,tk_DSEQ,0))&amp;IF(INDEX(tk_ROOMT,MATCH(184,tk_DSEQ,0))="",""," → "&amp;INDEX(tk_ROOMT,MATCH(184,tk_DSEQ,0))),"")</f>
        <v/>
      </c>
      <c r="D189" s="70">
        <f>IFERROR(INDEX(tk_LEAVES,MATCH(184,tk_DSEQ,0)),"")</f>
        <v/>
      </c>
      <c r="E189" s="70">
        <f>IFERROR(""&amp;INDEX(tk_RATING,MATCH(184,tk_DSEQ,0)),"")</f>
        <v/>
      </c>
      <c r="F189" s="70">
        <f>IFERROR(TEXT(INDEX(tk_LEAFW,MATCH(184,tk_DSEQ,0)),"0.000")&amp;" x "&amp;TEXT(INDEX(tk_LEAFH,MATCH(184,tk_DSEQ,0)),"0.000"),"")</f>
        <v/>
      </c>
      <c r="G189" s="70">
        <f>IFERROR(""&amp;INDEX(tk_DLINE,MATCH(184,tk_DSEQ,0)),"")</f>
        <v/>
      </c>
      <c r="H189" s="70">
        <f>IFERROR(""&amp;INDEX(tk_DNOTES,MATCH(184,tk_DSEQ,0)),"")</f>
        <v/>
      </c>
    </row>
    <row r="190">
      <c r="A190" s="70">
        <f>IFERROR(""&amp;INDEX(tk_MARK,MATCH(185,tk_DSEQ,0)),"")</f>
        <v/>
      </c>
      <c r="B190" s="70">
        <f>IFERROR(INDEX(tk_QTY,MATCH(185,tk_DSEQ,0)),"")</f>
        <v/>
      </c>
      <c r="C190" s="70">
        <f>IFERROR(INDEX(tk_ROOMF,MATCH(185,tk_DSEQ,0))&amp;IF(INDEX(tk_ROOMT,MATCH(185,tk_DSEQ,0))="",""," → "&amp;INDEX(tk_ROOMT,MATCH(185,tk_DSEQ,0))),"")</f>
        <v/>
      </c>
      <c r="D190" s="70">
        <f>IFERROR(INDEX(tk_LEAVES,MATCH(185,tk_DSEQ,0)),"")</f>
        <v/>
      </c>
      <c r="E190" s="70">
        <f>IFERROR(""&amp;INDEX(tk_RATING,MATCH(185,tk_DSEQ,0)),"")</f>
        <v/>
      </c>
      <c r="F190" s="70">
        <f>IFERROR(TEXT(INDEX(tk_LEAFW,MATCH(185,tk_DSEQ,0)),"0.000")&amp;" x "&amp;TEXT(INDEX(tk_LEAFH,MATCH(185,tk_DSEQ,0)),"0.000"),"")</f>
        <v/>
      </c>
      <c r="G190" s="70">
        <f>IFERROR(""&amp;INDEX(tk_DLINE,MATCH(185,tk_DSEQ,0)),"")</f>
        <v/>
      </c>
      <c r="H190" s="70">
        <f>IFERROR(""&amp;INDEX(tk_DNOTES,MATCH(185,tk_DSEQ,0)),"")</f>
        <v/>
      </c>
    </row>
    <row r="191">
      <c r="A191" s="70">
        <f>IFERROR(""&amp;INDEX(tk_MARK,MATCH(186,tk_DSEQ,0)),"")</f>
        <v/>
      </c>
      <c r="B191" s="70">
        <f>IFERROR(INDEX(tk_QTY,MATCH(186,tk_DSEQ,0)),"")</f>
        <v/>
      </c>
      <c r="C191" s="70">
        <f>IFERROR(INDEX(tk_ROOMF,MATCH(186,tk_DSEQ,0))&amp;IF(INDEX(tk_ROOMT,MATCH(186,tk_DSEQ,0))="",""," → "&amp;INDEX(tk_ROOMT,MATCH(186,tk_DSEQ,0))),"")</f>
        <v/>
      </c>
      <c r="D191" s="70">
        <f>IFERROR(INDEX(tk_LEAVES,MATCH(186,tk_DSEQ,0)),"")</f>
        <v/>
      </c>
      <c r="E191" s="70">
        <f>IFERROR(""&amp;INDEX(tk_RATING,MATCH(186,tk_DSEQ,0)),"")</f>
        <v/>
      </c>
      <c r="F191" s="70">
        <f>IFERROR(TEXT(INDEX(tk_LEAFW,MATCH(186,tk_DSEQ,0)),"0.000")&amp;" x "&amp;TEXT(INDEX(tk_LEAFH,MATCH(186,tk_DSEQ,0)),"0.000"),"")</f>
        <v/>
      </c>
      <c r="G191" s="70">
        <f>IFERROR(""&amp;INDEX(tk_DLINE,MATCH(186,tk_DSEQ,0)),"")</f>
        <v/>
      </c>
      <c r="H191" s="70">
        <f>IFERROR(""&amp;INDEX(tk_DNOTES,MATCH(186,tk_DSEQ,0)),"")</f>
        <v/>
      </c>
    </row>
    <row r="192">
      <c r="A192" s="70">
        <f>IFERROR(""&amp;INDEX(tk_MARK,MATCH(187,tk_DSEQ,0)),"")</f>
        <v/>
      </c>
      <c r="B192" s="70">
        <f>IFERROR(INDEX(tk_QTY,MATCH(187,tk_DSEQ,0)),"")</f>
        <v/>
      </c>
      <c r="C192" s="70">
        <f>IFERROR(INDEX(tk_ROOMF,MATCH(187,tk_DSEQ,0))&amp;IF(INDEX(tk_ROOMT,MATCH(187,tk_DSEQ,0))="",""," → "&amp;INDEX(tk_ROOMT,MATCH(187,tk_DSEQ,0))),"")</f>
        <v/>
      </c>
      <c r="D192" s="70">
        <f>IFERROR(INDEX(tk_LEAVES,MATCH(187,tk_DSEQ,0)),"")</f>
        <v/>
      </c>
      <c r="E192" s="70">
        <f>IFERROR(""&amp;INDEX(tk_RATING,MATCH(187,tk_DSEQ,0)),"")</f>
        <v/>
      </c>
      <c r="F192" s="70">
        <f>IFERROR(TEXT(INDEX(tk_LEAFW,MATCH(187,tk_DSEQ,0)),"0.000")&amp;" x "&amp;TEXT(INDEX(tk_LEAFH,MATCH(187,tk_DSEQ,0)),"0.000"),"")</f>
        <v/>
      </c>
      <c r="G192" s="70">
        <f>IFERROR(""&amp;INDEX(tk_DLINE,MATCH(187,tk_DSEQ,0)),"")</f>
        <v/>
      </c>
      <c r="H192" s="70">
        <f>IFERROR(""&amp;INDEX(tk_DNOTES,MATCH(187,tk_DSEQ,0)),"")</f>
        <v/>
      </c>
    </row>
    <row r="193">
      <c r="A193" s="70">
        <f>IFERROR(""&amp;INDEX(tk_MARK,MATCH(188,tk_DSEQ,0)),"")</f>
        <v/>
      </c>
      <c r="B193" s="70">
        <f>IFERROR(INDEX(tk_QTY,MATCH(188,tk_DSEQ,0)),"")</f>
        <v/>
      </c>
      <c r="C193" s="70">
        <f>IFERROR(INDEX(tk_ROOMF,MATCH(188,tk_DSEQ,0))&amp;IF(INDEX(tk_ROOMT,MATCH(188,tk_DSEQ,0))="",""," → "&amp;INDEX(tk_ROOMT,MATCH(188,tk_DSEQ,0))),"")</f>
        <v/>
      </c>
      <c r="D193" s="70">
        <f>IFERROR(INDEX(tk_LEAVES,MATCH(188,tk_DSEQ,0)),"")</f>
        <v/>
      </c>
      <c r="E193" s="70">
        <f>IFERROR(""&amp;INDEX(tk_RATING,MATCH(188,tk_DSEQ,0)),"")</f>
        <v/>
      </c>
      <c r="F193" s="70">
        <f>IFERROR(TEXT(INDEX(tk_LEAFW,MATCH(188,tk_DSEQ,0)),"0.000")&amp;" x "&amp;TEXT(INDEX(tk_LEAFH,MATCH(188,tk_DSEQ,0)),"0.000"),"")</f>
        <v/>
      </c>
      <c r="G193" s="70">
        <f>IFERROR(""&amp;INDEX(tk_DLINE,MATCH(188,tk_DSEQ,0)),"")</f>
        <v/>
      </c>
      <c r="H193" s="70">
        <f>IFERROR(""&amp;INDEX(tk_DNOTES,MATCH(188,tk_DSEQ,0)),"")</f>
        <v/>
      </c>
    </row>
    <row r="194">
      <c r="A194" s="70">
        <f>IFERROR(""&amp;INDEX(tk_MARK,MATCH(189,tk_DSEQ,0)),"")</f>
        <v/>
      </c>
      <c r="B194" s="70">
        <f>IFERROR(INDEX(tk_QTY,MATCH(189,tk_DSEQ,0)),"")</f>
        <v/>
      </c>
      <c r="C194" s="70">
        <f>IFERROR(INDEX(tk_ROOMF,MATCH(189,tk_DSEQ,0))&amp;IF(INDEX(tk_ROOMT,MATCH(189,tk_DSEQ,0))="",""," → "&amp;INDEX(tk_ROOMT,MATCH(189,tk_DSEQ,0))),"")</f>
        <v/>
      </c>
      <c r="D194" s="70">
        <f>IFERROR(INDEX(tk_LEAVES,MATCH(189,tk_DSEQ,0)),"")</f>
        <v/>
      </c>
      <c r="E194" s="70">
        <f>IFERROR(""&amp;INDEX(tk_RATING,MATCH(189,tk_DSEQ,0)),"")</f>
        <v/>
      </c>
      <c r="F194" s="70">
        <f>IFERROR(TEXT(INDEX(tk_LEAFW,MATCH(189,tk_DSEQ,0)),"0.000")&amp;" x "&amp;TEXT(INDEX(tk_LEAFH,MATCH(189,tk_DSEQ,0)),"0.000"),"")</f>
        <v/>
      </c>
      <c r="G194" s="70">
        <f>IFERROR(""&amp;INDEX(tk_DLINE,MATCH(189,tk_DSEQ,0)),"")</f>
        <v/>
      </c>
      <c r="H194" s="70">
        <f>IFERROR(""&amp;INDEX(tk_DNOTES,MATCH(189,tk_DSEQ,0)),"")</f>
        <v/>
      </c>
    </row>
    <row r="195">
      <c r="A195" s="70">
        <f>IFERROR(""&amp;INDEX(tk_MARK,MATCH(190,tk_DSEQ,0)),"")</f>
        <v/>
      </c>
      <c r="B195" s="70">
        <f>IFERROR(INDEX(tk_QTY,MATCH(190,tk_DSEQ,0)),"")</f>
        <v/>
      </c>
      <c r="C195" s="70">
        <f>IFERROR(INDEX(tk_ROOMF,MATCH(190,tk_DSEQ,0))&amp;IF(INDEX(tk_ROOMT,MATCH(190,tk_DSEQ,0))="",""," → "&amp;INDEX(tk_ROOMT,MATCH(190,tk_DSEQ,0))),"")</f>
        <v/>
      </c>
      <c r="D195" s="70">
        <f>IFERROR(INDEX(tk_LEAVES,MATCH(190,tk_DSEQ,0)),"")</f>
        <v/>
      </c>
      <c r="E195" s="70">
        <f>IFERROR(""&amp;INDEX(tk_RATING,MATCH(190,tk_DSEQ,0)),"")</f>
        <v/>
      </c>
      <c r="F195" s="70">
        <f>IFERROR(TEXT(INDEX(tk_LEAFW,MATCH(190,tk_DSEQ,0)),"0.000")&amp;" x "&amp;TEXT(INDEX(tk_LEAFH,MATCH(190,tk_DSEQ,0)),"0.000"),"")</f>
        <v/>
      </c>
      <c r="G195" s="70">
        <f>IFERROR(""&amp;INDEX(tk_DLINE,MATCH(190,tk_DSEQ,0)),"")</f>
        <v/>
      </c>
      <c r="H195" s="70">
        <f>IFERROR(""&amp;INDEX(tk_DNOTES,MATCH(190,tk_DSEQ,0)),"")</f>
        <v/>
      </c>
    </row>
    <row r="196">
      <c r="A196" s="70">
        <f>IFERROR(""&amp;INDEX(tk_MARK,MATCH(191,tk_DSEQ,0)),"")</f>
        <v/>
      </c>
      <c r="B196" s="70">
        <f>IFERROR(INDEX(tk_QTY,MATCH(191,tk_DSEQ,0)),"")</f>
        <v/>
      </c>
      <c r="C196" s="70">
        <f>IFERROR(INDEX(tk_ROOMF,MATCH(191,tk_DSEQ,0))&amp;IF(INDEX(tk_ROOMT,MATCH(191,tk_DSEQ,0))="",""," → "&amp;INDEX(tk_ROOMT,MATCH(191,tk_DSEQ,0))),"")</f>
        <v/>
      </c>
      <c r="D196" s="70">
        <f>IFERROR(INDEX(tk_LEAVES,MATCH(191,tk_DSEQ,0)),"")</f>
        <v/>
      </c>
      <c r="E196" s="70">
        <f>IFERROR(""&amp;INDEX(tk_RATING,MATCH(191,tk_DSEQ,0)),"")</f>
        <v/>
      </c>
      <c r="F196" s="70">
        <f>IFERROR(TEXT(INDEX(tk_LEAFW,MATCH(191,tk_DSEQ,0)),"0.000")&amp;" x "&amp;TEXT(INDEX(tk_LEAFH,MATCH(191,tk_DSEQ,0)),"0.000"),"")</f>
        <v/>
      </c>
      <c r="G196" s="70">
        <f>IFERROR(""&amp;INDEX(tk_DLINE,MATCH(191,tk_DSEQ,0)),"")</f>
        <v/>
      </c>
      <c r="H196" s="70">
        <f>IFERROR(""&amp;INDEX(tk_DNOTES,MATCH(191,tk_DSEQ,0)),"")</f>
        <v/>
      </c>
    </row>
    <row r="197">
      <c r="A197" s="70">
        <f>IFERROR(""&amp;INDEX(tk_MARK,MATCH(192,tk_DSEQ,0)),"")</f>
        <v/>
      </c>
      <c r="B197" s="70">
        <f>IFERROR(INDEX(tk_QTY,MATCH(192,tk_DSEQ,0)),"")</f>
        <v/>
      </c>
      <c r="C197" s="70">
        <f>IFERROR(INDEX(tk_ROOMF,MATCH(192,tk_DSEQ,0))&amp;IF(INDEX(tk_ROOMT,MATCH(192,tk_DSEQ,0))="",""," → "&amp;INDEX(tk_ROOMT,MATCH(192,tk_DSEQ,0))),"")</f>
        <v/>
      </c>
      <c r="D197" s="70">
        <f>IFERROR(INDEX(tk_LEAVES,MATCH(192,tk_DSEQ,0)),"")</f>
        <v/>
      </c>
      <c r="E197" s="70">
        <f>IFERROR(""&amp;INDEX(tk_RATING,MATCH(192,tk_DSEQ,0)),"")</f>
        <v/>
      </c>
      <c r="F197" s="70">
        <f>IFERROR(TEXT(INDEX(tk_LEAFW,MATCH(192,tk_DSEQ,0)),"0.000")&amp;" x "&amp;TEXT(INDEX(tk_LEAFH,MATCH(192,tk_DSEQ,0)),"0.000"),"")</f>
        <v/>
      </c>
      <c r="G197" s="70">
        <f>IFERROR(""&amp;INDEX(tk_DLINE,MATCH(192,tk_DSEQ,0)),"")</f>
        <v/>
      </c>
      <c r="H197" s="70">
        <f>IFERROR(""&amp;INDEX(tk_DNOTES,MATCH(192,tk_DSEQ,0)),"")</f>
        <v/>
      </c>
    </row>
    <row r="198">
      <c r="A198" s="70">
        <f>IFERROR(""&amp;INDEX(tk_MARK,MATCH(193,tk_DSEQ,0)),"")</f>
        <v/>
      </c>
      <c r="B198" s="70">
        <f>IFERROR(INDEX(tk_QTY,MATCH(193,tk_DSEQ,0)),"")</f>
        <v/>
      </c>
      <c r="C198" s="70">
        <f>IFERROR(INDEX(tk_ROOMF,MATCH(193,tk_DSEQ,0))&amp;IF(INDEX(tk_ROOMT,MATCH(193,tk_DSEQ,0))="",""," → "&amp;INDEX(tk_ROOMT,MATCH(193,tk_DSEQ,0))),"")</f>
        <v/>
      </c>
      <c r="D198" s="70">
        <f>IFERROR(INDEX(tk_LEAVES,MATCH(193,tk_DSEQ,0)),"")</f>
        <v/>
      </c>
      <c r="E198" s="70">
        <f>IFERROR(""&amp;INDEX(tk_RATING,MATCH(193,tk_DSEQ,0)),"")</f>
        <v/>
      </c>
      <c r="F198" s="70">
        <f>IFERROR(TEXT(INDEX(tk_LEAFW,MATCH(193,tk_DSEQ,0)),"0.000")&amp;" x "&amp;TEXT(INDEX(tk_LEAFH,MATCH(193,tk_DSEQ,0)),"0.000"),"")</f>
        <v/>
      </c>
      <c r="G198" s="70">
        <f>IFERROR(""&amp;INDEX(tk_DLINE,MATCH(193,tk_DSEQ,0)),"")</f>
        <v/>
      </c>
      <c r="H198" s="70">
        <f>IFERROR(""&amp;INDEX(tk_DNOTES,MATCH(193,tk_DSEQ,0)),"")</f>
        <v/>
      </c>
    </row>
    <row r="199">
      <c r="A199" s="70">
        <f>IFERROR(""&amp;INDEX(tk_MARK,MATCH(194,tk_DSEQ,0)),"")</f>
        <v/>
      </c>
      <c r="B199" s="70">
        <f>IFERROR(INDEX(tk_QTY,MATCH(194,tk_DSEQ,0)),"")</f>
        <v/>
      </c>
      <c r="C199" s="70">
        <f>IFERROR(INDEX(tk_ROOMF,MATCH(194,tk_DSEQ,0))&amp;IF(INDEX(tk_ROOMT,MATCH(194,tk_DSEQ,0))="",""," → "&amp;INDEX(tk_ROOMT,MATCH(194,tk_DSEQ,0))),"")</f>
        <v/>
      </c>
      <c r="D199" s="70">
        <f>IFERROR(INDEX(tk_LEAVES,MATCH(194,tk_DSEQ,0)),"")</f>
        <v/>
      </c>
      <c r="E199" s="70">
        <f>IFERROR(""&amp;INDEX(tk_RATING,MATCH(194,tk_DSEQ,0)),"")</f>
        <v/>
      </c>
      <c r="F199" s="70">
        <f>IFERROR(TEXT(INDEX(tk_LEAFW,MATCH(194,tk_DSEQ,0)),"0.000")&amp;" x "&amp;TEXT(INDEX(tk_LEAFH,MATCH(194,tk_DSEQ,0)),"0.000"),"")</f>
        <v/>
      </c>
      <c r="G199" s="70">
        <f>IFERROR(""&amp;INDEX(tk_DLINE,MATCH(194,tk_DSEQ,0)),"")</f>
        <v/>
      </c>
      <c r="H199" s="70">
        <f>IFERROR(""&amp;INDEX(tk_DNOTES,MATCH(194,tk_DSEQ,0)),"")</f>
        <v/>
      </c>
    </row>
    <row r="200">
      <c r="A200" s="70">
        <f>IFERROR(""&amp;INDEX(tk_MARK,MATCH(195,tk_DSEQ,0)),"")</f>
        <v/>
      </c>
      <c r="B200" s="70">
        <f>IFERROR(INDEX(tk_QTY,MATCH(195,tk_DSEQ,0)),"")</f>
        <v/>
      </c>
      <c r="C200" s="70">
        <f>IFERROR(INDEX(tk_ROOMF,MATCH(195,tk_DSEQ,0))&amp;IF(INDEX(tk_ROOMT,MATCH(195,tk_DSEQ,0))="",""," → "&amp;INDEX(tk_ROOMT,MATCH(195,tk_DSEQ,0))),"")</f>
        <v/>
      </c>
      <c r="D200" s="70">
        <f>IFERROR(INDEX(tk_LEAVES,MATCH(195,tk_DSEQ,0)),"")</f>
        <v/>
      </c>
      <c r="E200" s="70">
        <f>IFERROR(""&amp;INDEX(tk_RATING,MATCH(195,tk_DSEQ,0)),"")</f>
        <v/>
      </c>
      <c r="F200" s="70">
        <f>IFERROR(TEXT(INDEX(tk_LEAFW,MATCH(195,tk_DSEQ,0)),"0.000")&amp;" x "&amp;TEXT(INDEX(tk_LEAFH,MATCH(195,tk_DSEQ,0)),"0.000"),"")</f>
        <v/>
      </c>
      <c r="G200" s="70">
        <f>IFERROR(""&amp;INDEX(tk_DLINE,MATCH(195,tk_DSEQ,0)),"")</f>
        <v/>
      </c>
      <c r="H200" s="70">
        <f>IFERROR(""&amp;INDEX(tk_DNOTES,MATCH(195,tk_DSEQ,0)),"")</f>
        <v/>
      </c>
    </row>
    <row r="201">
      <c r="A201" s="70">
        <f>IFERROR(""&amp;INDEX(tk_MARK,MATCH(196,tk_DSEQ,0)),"")</f>
        <v/>
      </c>
      <c r="B201" s="70">
        <f>IFERROR(INDEX(tk_QTY,MATCH(196,tk_DSEQ,0)),"")</f>
        <v/>
      </c>
      <c r="C201" s="70">
        <f>IFERROR(INDEX(tk_ROOMF,MATCH(196,tk_DSEQ,0))&amp;IF(INDEX(tk_ROOMT,MATCH(196,tk_DSEQ,0))="",""," → "&amp;INDEX(tk_ROOMT,MATCH(196,tk_DSEQ,0))),"")</f>
        <v/>
      </c>
      <c r="D201" s="70">
        <f>IFERROR(INDEX(tk_LEAVES,MATCH(196,tk_DSEQ,0)),"")</f>
        <v/>
      </c>
      <c r="E201" s="70">
        <f>IFERROR(""&amp;INDEX(tk_RATING,MATCH(196,tk_DSEQ,0)),"")</f>
        <v/>
      </c>
      <c r="F201" s="70">
        <f>IFERROR(TEXT(INDEX(tk_LEAFW,MATCH(196,tk_DSEQ,0)),"0.000")&amp;" x "&amp;TEXT(INDEX(tk_LEAFH,MATCH(196,tk_DSEQ,0)),"0.000"),"")</f>
        <v/>
      </c>
      <c r="G201" s="70">
        <f>IFERROR(""&amp;INDEX(tk_DLINE,MATCH(196,tk_DSEQ,0)),"")</f>
        <v/>
      </c>
      <c r="H201" s="70">
        <f>IFERROR(""&amp;INDEX(tk_DNOTES,MATCH(196,tk_DSEQ,0)),"")</f>
        <v/>
      </c>
    </row>
    <row r="202">
      <c r="A202" s="70">
        <f>IFERROR(""&amp;INDEX(tk_MARK,MATCH(197,tk_DSEQ,0)),"")</f>
        <v/>
      </c>
      <c r="B202" s="70">
        <f>IFERROR(INDEX(tk_QTY,MATCH(197,tk_DSEQ,0)),"")</f>
        <v/>
      </c>
      <c r="C202" s="70">
        <f>IFERROR(INDEX(tk_ROOMF,MATCH(197,tk_DSEQ,0))&amp;IF(INDEX(tk_ROOMT,MATCH(197,tk_DSEQ,0))="",""," → "&amp;INDEX(tk_ROOMT,MATCH(197,tk_DSEQ,0))),"")</f>
        <v/>
      </c>
      <c r="D202" s="70">
        <f>IFERROR(INDEX(tk_LEAVES,MATCH(197,tk_DSEQ,0)),"")</f>
        <v/>
      </c>
      <c r="E202" s="70">
        <f>IFERROR(""&amp;INDEX(tk_RATING,MATCH(197,tk_DSEQ,0)),"")</f>
        <v/>
      </c>
      <c r="F202" s="70">
        <f>IFERROR(TEXT(INDEX(tk_LEAFW,MATCH(197,tk_DSEQ,0)),"0.000")&amp;" x "&amp;TEXT(INDEX(tk_LEAFH,MATCH(197,tk_DSEQ,0)),"0.000"),"")</f>
        <v/>
      </c>
      <c r="G202" s="70">
        <f>IFERROR(""&amp;INDEX(tk_DLINE,MATCH(197,tk_DSEQ,0)),"")</f>
        <v/>
      </c>
      <c r="H202" s="70">
        <f>IFERROR(""&amp;INDEX(tk_DNOTES,MATCH(197,tk_DSEQ,0)),"")</f>
        <v/>
      </c>
    </row>
    <row r="203">
      <c r="A203" s="70">
        <f>IFERROR(""&amp;INDEX(tk_MARK,MATCH(198,tk_DSEQ,0)),"")</f>
        <v/>
      </c>
      <c r="B203" s="70">
        <f>IFERROR(INDEX(tk_QTY,MATCH(198,tk_DSEQ,0)),"")</f>
        <v/>
      </c>
      <c r="C203" s="70">
        <f>IFERROR(INDEX(tk_ROOMF,MATCH(198,tk_DSEQ,0))&amp;IF(INDEX(tk_ROOMT,MATCH(198,tk_DSEQ,0))="",""," → "&amp;INDEX(tk_ROOMT,MATCH(198,tk_DSEQ,0))),"")</f>
        <v/>
      </c>
      <c r="D203" s="70">
        <f>IFERROR(INDEX(tk_LEAVES,MATCH(198,tk_DSEQ,0)),"")</f>
        <v/>
      </c>
      <c r="E203" s="70">
        <f>IFERROR(""&amp;INDEX(tk_RATING,MATCH(198,tk_DSEQ,0)),"")</f>
        <v/>
      </c>
      <c r="F203" s="70">
        <f>IFERROR(TEXT(INDEX(tk_LEAFW,MATCH(198,tk_DSEQ,0)),"0.000")&amp;" x "&amp;TEXT(INDEX(tk_LEAFH,MATCH(198,tk_DSEQ,0)),"0.000"),"")</f>
        <v/>
      </c>
      <c r="G203" s="70">
        <f>IFERROR(""&amp;INDEX(tk_DLINE,MATCH(198,tk_DSEQ,0)),"")</f>
        <v/>
      </c>
      <c r="H203" s="70">
        <f>IFERROR(""&amp;INDEX(tk_DNOTES,MATCH(198,tk_DSEQ,0)),"")</f>
        <v/>
      </c>
    </row>
    <row r="204">
      <c r="A204" s="70">
        <f>IFERROR(""&amp;INDEX(tk_MARK,MATCH(199,tk_DSEQ,0)),"")</f>
        <v/>
      </c>
      <c r="B204" s="70">
        <f>IFERROR(INDEX(tk_QTY,MATCH(199,tk_DSEQ,0)),"")</f>
        <v/>
      </c>
      <c r="C204" s="70">
        <f>IFERROR(INDEX(tk_ROOMF,MATCH(199,tk_DSEQ,0))&amp;IF(INDEX(tk_ROOMT,MATCH(199,tk_DSEQ,0))="",""," → "&amp;INDEX(tk_ROOMT,MATCH(199,tk_DSEQ,0))),"")</f>
        <v/>
      </c>
      <c r="D204" s="70">
        <f>IFERROR(INDEX(tk_LEAVES,MATCH(199,tk_DSEQ,0)),"")</f>
        <v/>
      </c>
      <c r="E204" s="70">
        <f>IFERROR(""&amp;INDEX(tk_RATING,MATCH(199,tk_DSEQ,0)),"")</f>
        <v/>
      </c>
      <c r="F204" s="70">
        <f>IFERROR(TEXT(INDEX(tk_LEAFW,MATCH(199,tk_DSEQ,0)),"0.000")&amp;" x "&amp;TEXT(INDEX(tk_LEAFH,MATCH(199,tk_DSEQ,0)),"0.000"),"")</f>
        <v/>
      </c>
      <c r="G204" s="70">
        <f>IFERROR(""&amp;INDEX(tk_DLINE,MATCH(199,tk_DSEQ,0)),"")</f>
        <v/>
      </c>
      <c r="H204" s="70">
        <f>IFERROR(""&amp;INDEX(tk_DNOTES,MATCH(199,tk_DSEQ,0)),"")</f>
        <v/>
      </c>
    </row>
    <row r="205">
      <c r="A205" s="70">
        <f>IFERROR(""&amp;INDEX(tk_MARK,MATCH(200,tk_DSEQ,0)),"")</f>
        <v/>
      </c>
      <c r="B205" s="70">
        <f>IFERROR(INDEX(tk_QTY,MATCH(200,tk_DSEQ,0)),"")</f>
        <v/>
      </c>
      <c r="C205" s="70">
        <f>IFERROR(INDEX(tk_ROOMF,MATCH(200,tk_DSEQ,0))&amp;IF(INDEX(tk_ROOMT,MATCH(200,tk_DSEQ,0))="",""," → "&amp;INDEX(tk_ROOMT,MATCH(200,tk_DSEQ,0))),"")</f>
        <v/>
      </c>
      <c r="D205" s="70">
        <f>IFERROR(INDEX(tk_LEAVES,MATCH(200,tk_DSEQ,0)),"")</f>
        <v/>
      </c>
      <c r="E205" s="70">
        <f>IFERROR(""&amp;INDEX(tk_RATING,MATCH(200,tk_DSEQ,0)),"")</f>
        <v/>
      </c>
      <c r="F205" s="70">
        <f>IFERROR(TEXT(INDEX(tk_LEAFW,MATCH(200,tk_DSEQ,0)),"0.000")&amp;" x "&amp;TEXT(INDEX(tk_LEAFH,MATCH(200,tk_DSEQ,0)),"0.000"),"")</f>
        <v/>
      </c>
      <c r="G205" s="70">
        <f>IFERROR(""&amp;INDEX(tk_DLINE,MATCH(200,tk_DSEQ,0)),"")</f>
        <v/>
      </c>
      <c r="H205" s="70">
        <f>IFERROR(""&amp;INDEX(tk_DNOTES,MATCH(200,tk_DSEQ,0)),"")</f>
        <v/>
      </c>
    </row>
    <row r="206">
      <c r="A206" s="70">
        <f>IFERROR(""&amp;INDEX(tk_MARK,MATCH(201,tk_DSEQ,0)),"")</f>
        <v/>
      </c>
      <c r="B206" s="70">
        <f>IFERROR(INDEX(tk_QTY,MATCH(201,tk_DSEQ,0)),"")</f>
        <v/>
      </c>
      <c r="C206" s="70">
        <f>IFERROR(INDEX(tk_ROOMF,MATCH(201,tk_DSEQ,0))&amp;IF(INDEX(tk_ROOMT,MATCH(201,tk_DSEQ,0))="",""," → "&amp;INDEX(tk_ROOMT,MATCH(201,tk_DSEQ,0))),"")</f>
        <v/>
      </c>
      <c r="D206" s="70">
        <f>IFERROR(INDEX(tk_LEAVES,MATCH(201,tk_DSEQ,0)),"")</f>
        <v/>
      </c>
      <c r="E206" s="70">
        <f>IFERROR(""&amp;INDEX(tk_RATING,MATCH(201,tk_DSEQ,0)),"")</f>
        <v/>
      </c>
      <c r="F206" s="70">
        <f>IFERROR(TEXT(INDEX(tk_LEAFW,MATCH(201,tk_DSEQ,0)),"0.000")&amp;" x "&amp;TEXT(INDEX(tk_LEAFH,MATCH(201,tk_DSEQ,0)),"0.000"),"")</f>
        <v/>
      </c>
      <c r="G206" s="70">
        <f>IFERROR(""&amp;INDEX(tk_DLINE,MATCH(201,tk_DSEQ,0)),"")</f>
        <v/>
      </c>
      <c r="H206" s="70">
        <f>IFERROR(""&amp;INDEX(tk_DNOTES,MATCH(201,tk_DSEQ,0)),"")</f>
        <v/>
      </c>
    </row>
    <row r="207">
      <c r="A207" s="70">
        <f>IFERROR(""&amp;INDEX(tk_MARK,MATCH(202,tk_DSEQ,0)),"")</f>
        <v/>
      </c>
      <c r="B207" s="70">
        <f>IFERROR(INDEX(tk_QTY,MATCH(202,tk_DSEQ,0)),"")</f>
        <v/>
      </c>
      <c r="C207" s="70">
        <f>IFERROR(INDEX(tk_ROOMF,MATCH(202,tk_DSEQ,0))&amp;IF(INDEX(tk_ROOMT,MATCH(202,tk_DSEQ,0))="",""," → "&amp;INDEX(tk_ROOMT,MATCH(202,tk_DSEQ,0))),"")</f>
        <v/>
      </c>
      <c r="D207" s="70">
        <f>IFERROR(INDEX(tk_LEAVES,MATCH(202,tk_DSEQ,0)),"")</f>
        <v/>
      </c>
      <c r="E207" s="70">
        <f>IFERROR(""&amp;INDEX(tk_RATING,MATCH(202,tk_DSEQ,0)),"")</f>
        <v/>
      </c>
      <c r="F207" s="70">
        <f>IFERROR(TEXT(INDEX(tk_LEAFW,MATCH(202,tk_DSEQ,0)),"0.000")&amp;" x "&amp;TEXT(INDEX(tk_LEAFH,MATCH(202,tk_DSEQ,0)),"0.000"),"")</f>
        <v/>
      </c>
      <c r="G207" s="70">
        <f>IFERROR(""&amp;INDEX(tk_DLINE,MATCH(202,tk_DSEQ,0)),"")</f>
        <v/>
      </c>
      <c r="H207" s="70">
        <f>IFERROR(""&amp;INDEX(tk_DNOTES,MATCH(202,tk_DSEQ,0)),"")</f>
        <v/>
      </c>
    </row>
    <row r="208">
      <c r="A208" s="70">
        <f>IFERROR(""&amp;INDEX(tk_MARK,MATCH(203,tk_DSEQ,0)),"")</f>
        <v/>
      </c>
      <c r="B208" s="70">
        <f>IFERROR(INDEX(tk_QTY,MATCH(203,tk_DSEQ,0)),"")</f>
        <v/>
      </c>
      <c r="C208" s="70">
        <f>IFERROR(INDEX(tk_ROOMF,MATCH(203,tk_DSEQ,0))&amp;IF(INDEX(tk_ROOMT,MATCH(203,tk_DSEQ,0))="",""," → "&amp;INDEX(tk_ROOMT,MATCH(203,tk_DSEQ,0))),"")</f>
        <v/>
      </c>
      <c r="D208" s="70">
        <f>IFERROR(INDEX(tk_LEAVES,MATCH(203,tk_DSEQ,0)),"")</f>
        <v/>
      </c>
      <c r="E208" s="70">
        <f>IFERROR(""&amp;INDEX(tk_RATING,MATCH(203,tk_DSEQ,0)),"")</f>
        <v/>
      </c>
      <c r="F208" s="70">
        <f>IFERROR(TEXT(INDEX(tk_LEAFW,MATCH(203,tk_DSEQ,0)),"0.000")&amp;" x "&amp;TEXT(INDEX(tk_LEAFH,MATCH(203,tk_DSEQ,0)),"0.000"),"")</f>
        <v/>
      </c>
      <c r="G208" s="70">
        <f>IFERROR(""&amp;INDEX(tk_DLINE,MATCH(203,tk_DSEQ,0)),"")</f>
        <v/>
      </c>
      <c r="H208" s="70">
        <f>IFERROR(""&amp;INDEX(tk_DNOTES,MATCH(203,tk_DSEQ,0)),"")</f>
        <v/>
      </c>
    </row>
    <row r="209">
      <c r="A209" s="70">
        <f>IFERROR(""&amp;INDEX(tk_MARK,MATCH(204,tk_DSEQ,0)),"")</f>
        <v/>
      </c>
      <c r="B209" s="70">
        <f>IFERROR(INDEX(tk_QTY,MATCH(204,tk_DSEQ,0)),"")</f>
        <v/>
      </c>
      <c r="C209" s="70">
        <f>IFERROR(INDEX(tk_ROOMF,MATCH(204,tk_DSEQ,0))&amp;IF(INDEX(tk_ROOMT,MATCH(204,tk_DSEQ,0))="",""," → "&amp;INDEX(tk_ROOMT,MATCH(204,tk_DSEQ,0))),"")</f>
        <v/>
      </c>
      <c r="D209" s="70">
        <f>IFERROR(INDEX(tk_LEAVES,MATCH(204,tk_DSEQ,0)),"")</f>
        <v/>
      </c>
      <c r="E209" s="70">
        <f>IFERROR(""&amp;INDEX(tk_RATING,MATCH(204,tk_DSEQ,0)),"")</f>
        <v/>
      </c>
      <c r="F209" s="70">
        <f>IFERROR(TEXT(INDEX(tk_LEAFW,MATCH(204,tk_DSEQ,0)),"0.000")&amp;" x "&amp;TEXT(INDEX(tk_LEAFH,MATCH(204,tk_DSEQ,0)),"0.000"),"")</f>
        <v/>
      </c>
      <c r="G209" s="70">
        <f>IFERROR(""&amp;INDEX(tk_DLINE,MATCH(204,tk_DSEQ,0)),"")</f>
        <v/>
      </c>
      <c r="H209" s="70">
        <f>IFERROR(""&amp;INDEX(tk_DNOTES,MATCH(204,tk_DSEQ,0)),"")</f>
        <v/>
      </c>
    </row>
    <row r="210">
      <c r="A210" s="70">
        <f>IFERROR(""&amp;INDEX(tk_MARK,MATCH(205,tk_DSEQ,0)),"")</f>
        <v/>
      </c>
      <c r="B210" s="70">
        <f>IFERROR(INDEX(tk_QTY,MATCH(205,tk_DSEQ,0)),"")</f>
        <v/>
      </c>
      <c r="C210" s="70">
        <f>IFERROR(INDEX(tk_ROOMF,MATCH(205,tk_DSEQ,0))&amp;IF(INDEX(tk_ROOMT,MATCH(205,tk_DSEQ,0))="",""," → "&amp;INDEX(tk_ROOMT,MATCH(205,tk_DSEQ,0))),"")</f>
        <v/>
      </c>
      <c r="D210" s="70">
        <f>IFERROR(INDEX(tk_LEAVES,MATCH(205,tk_DSEQ,0)),"")</f>
        <v/>
      </c>
      <c r="E210" s="70">
        <f>IFERROR(""&amp;INDEX(tk_RATING,MATCH(205,tk_DSEQ,0)),"")</f>
        <v/>
      </c>
      <c r="F210" s="70">
        <f>IFERROR(TEXT(INDEX(tk_LEAFW,MATCH(205,tk_DSEQ,0)),"0.000")&amp;" x "&amp;TEXT(INDEX(tk_LEAFH,MATCH(205,tk_DSEQ,0)),"0.000"),"")</f>
        <v/>
      </c>
      <c r="G210" s="70">
        <f>IFERROR(""&amp;INDEX(tk_DLINE,MATCH(205,tk_DSEQ,0)),"")</f>
        <v/>
      </c>
      <c r="H210" s="70">
        <f>IFERROR(""&amp;INDEX(tk_DNOTES,MATCH(205,tk_DSEQ,0)),"")</f>
        <v/>
      </c>
    </row>
    <row r="211">
      <c r="A211" s="70">
        <f>IFERROR(""&amp;INDEX(tk_MARK,MATCH(206,tk_DSEQ,0)),"")</f>
        <v/>
      </c>
      <c r="B211" s="70">
        <f>IFERROR(INDEX(tk_QTY,MATCH(206,tk_DSEQ,0)),"")</f>
        <v/>
      </c>
      <c r="C211" s="70">
        <f>IFERROR(INDEX(tk_ROOMF,MATCH(206,tk_DSEQ,0))&amp;IF(INDEX(tk_ROOMT,MATCH(206,tk_DSEQ,0))="",""," → "&amp;INDEX(tk_ROOMT,MATCH(206,tk_DSEQ,0))),"")</f>
        <v/>
      </c>
      <c r="D211" s="70">
        <f>IFERROR(INDEX(tk_LEAVES,MATCH(206,tk_DSEQ,0)),"")</f>
        <v/>
      </c>
      <c r="E211" s="70">
        <f>IFERROR(""&amp;INDEX(tk_RATING,MATCH(206,tk_DSEQ,0)),"")</f>
        <v/>
      </c>
      <c r="F211" s="70">
        <f>IFERROR(TEXT(INDEX(tk_LEAFW,MATCH(206,tk_DSEQ,0)),"0.000")&amp;" x "&amp;TEXT(INDEX(tk_LEAFH,MATCH(206,tk_DSEQ,0)),"0.000"),"")</f>
        <v/>
      </c>
      <c r="G211" s="70">
        <f>IFERROR(""&amp;INDEX(tk_DLINE,MATCH(206,tk_DSEQ,0)),"")</f>
        <v/>
      </c>
      <c r="H211" s="70">
        <f>IFERROR(""&amp;INDEX(tk_DNOTES,MATCH(206,tk_DSEQ,0)),"")</f>
        <v/>
      </c>
    </row>
    <row r="212">
      <c r="A212" s="70">
        <f>IFERROR(""&amp;INDEX(tk_MARK,MATCH(207,tk_DSEQ,0)),"")</f>
        <v/>
      </c>
      <c r="B212" s="70">
        <f>IFERROR(INDEX(tk_QTY,MATCH(207,tk_DSEQ,0)),"")</f>
        <v/>
      </c>
      <c r="C212" s="70">
        <f>IFERROR(INDEX(tk_ROOMF,MATCH(207,tk_DSEQ,0))&amp;IF(INDEX(tk_ROOMT,MATCH(207,tk_DSEQ,0))="",""," → "&amp;INDEX(tk_ROOMT,MATCH(207,tk_DSEQ,0))),"")</f>
        <v/>
      </c>
      <c r="D212" s="70">
        <f>IFERROR(INDEX(tk_LEAVES,MATCH(207,tk_DSEQ,0)),"")</f>
        <v/>
      </c>
      <c r="E212" s="70">
        <f>IFERROR(""&amp;INDEX(tk_RATING,MATCH(207,tk_DSEQ,0)),"")</f>
        <v/>
      </c>
      <c r="F212" s="70">
        <f>IFERROR(TEXT(INDEX(tk_LEAFW,MATCH(207,tk_DSEQ,0)),"0.000")&amp;" x "&amp;TEXT(INDEX(tk_LEAFH,MATCH(207,tk_DSEQ,0)),"0.000"),"")</f>
        <v/>
      </c>
      <c r="G212" s="70">
        <f>IFERROR(""&amp;INDEX(tk_DLINE,MATCH(207,tk_DSEQ,0)),"")</f>
        <v/>
      </c>
      <c r="H212" s="70">
        <f>IFERROR(""&amp;INDEX(tk_DNOTES,MATCH(207,tk_DSEQ,0)),"")</f>
        <v/>
      </c>
    </row>
    <row r="213">
      <c r="A213" s="70">
        <f>IFERROR(""&amp;INDEX(tk_MARK,MATCH(208,tk_DSEQ,0)),"")</f>
        <v/>
      </c>
      <c r="B213" s="70">
        <f>IFERROR(INDEX(tk_QTY,MATCH(208,tk_DSEQ,0)),"")</f>
        <v/>
      </c>
      <c r="C213" s="70">
        <f>IFERROR(INDEX(tk_ROOMF,MATCH(208,tk_DSEQ,0))&amp;IF(INDEX(tk_ROOMT,MATCH(208,tk_DSEQ,0))="",""," → "&amp;INDEX(tk_ROOMT,MATCH(208,tk_DSEQ,0))),"")</f>
        <v/>
      </c>
      <c r="D213" s="70">
        <f>IFERROR(INDEX(tk_LEAVES,MATCH(208,tk_DSEQ,0)),"")</f>
        <v/>
      </c>
      <c r="E213" s="70">
        <f>IFERROR(""&amp;INDEX(tk_RATING,MATCH(208,tk_DSEQ,0)),"")</f>
        <v/>
      </c>
      <c r="F213" s="70">
        <f>IFERROR(TEXT(INDEX(tk_LEAFW,MATCH(208,tk_DSEQ,0)),"0.000")&amp;" x "&amp;TEXT(INDEX(tk_LEAFH,MATCH(208,tk_DSEQ,0)),"0.000"),"")</f>
        <v/>
      </c>
      <c r="G213" s="70">
        <f>IFERROR(""&amp;INDEX(tk_DLINE,MATCH(208,tk_DSEQ,0)),"")</f>
        <v/>
      </c>
      <c r="H213" s="70">
        <f>IFERROR(""&amp;INDEX(tk_DNOTES,MATCH(208,tk_DSEQ,0)),"")</f>
        <v/>
      </c>
    </row>
    <row r="214">
      <c r="A214" s="70">
        <f>IFERROR(""&amp;INDEX(tk_MARK,MATCH(209,tk_DSEQ,0)),"")</f>
        <v/>
      </c>
      <c r="B214" s="70">
        <f>IFERROR(INDEX(tk_QTY,MATCH(209,tk_DSEQ,0)),"")</f>
        <v/>
      </c>
      <c r="C214" s="70">
        <f>IFERROR(INDEX(tk_ROOMF,MATCH(209,tk_DSEQ,0))&amp;IF(INDEX(tk_ROOMT,MATCH(209,tk_DSEQ,0))="",""," → "&amp;INDEX(tk_ROOMT,MATCH(209,tk_DSEQ,0))),"")</f>
        <v/>
      </c>
      <c r="D214" s="70">
        <f>IFERROR(INDEX(tk_LEAVES,MATCH(209,tk_DSEQ,0)),"")</f>
        <v/>
      </c>
      <c r="E214" s="70">
        <f>IFERROR(""&amp;INDEX(tk_RATING,MATCH(209,tk_DSEQ,0)),"")</f>
        <v/>
      </c>
      <c r="F214" s="70">
        <f>IFERROR(TEXT(INDEX(tk_LEAFW,MATCH(209,tk_DSEQ,0)),"0.000")&amp;" x "&amp;TEXT(INDEX(tk_LEAFH,MATCH(209,tk_DSEQ,0)),"0.000"),"")</f>
        <v/>
      </c>
      <c r="G214" s="70">
        <f>IFERROR(""&amp;INDEX(tk_DLINE,MATCH(209,tk_DSEQ,0)),"")</f>
        <v/>
      </c>
      <c r="H214" s="70">
        <f>IFERROR(""&amp;INDEX(tk_DNOTES,MATCH(209,tk_DSEQ,0)),"")</f>
        <v/>
      </c>
    </row>
    <row r="215">
      <c r="A215" s="70">
        <f>IFERROR(""&amp;INDEX(tk_MARK,MATCH(210,tk_DSEQ,0)),"")</f>
        <v/>
      </c>
      <c r="B215" s="70">
        <f>IFERROR(INDEX(tk_QTY,MATCH(210,tk_DSEQ,0)),"")</f>
        <v/>
      </c>
      <c r="C215" s="70">
        <f>IFERROR(INDEX(tk_ROOMF,MATCH(210,tk_DSEQ,0))&amp;IF(INDEX(tk_ROOMT,MATCH(210,tk_DSEQ,0))="",""," → "&amp;INDEX(tk_ROOMT,MATCH(210,tk_DSEQ,0))),"")</f>
        <v/>
      </c>
      <c r="D215" s="70">
        <f>IFERROR(INDEX(tk_LEAVES,MATCH(210,tk_DSEQ,0)),"")</f>
        <v/>
      </c>
      <c r="E215" s="70">
        <f>IFERROR(""&amp;INDEX(tk_RATING,MATCH(210,tk_DSEQ,0)),"")</f>
        <v/>
      </c>
      <c r="F215" s="70">
        <f>IFERROR(TEXT(INDEX(tk_LEAFW,MATCH(210,tk_DSEQ,0)),"0.000")&amp;" x "&amp;TEXT(INDEX(tk_LEAFH,MATCH(210,tk_DSEQ,0)),"0.000"),"")</f>
        <v/>
      </c>
      <c r="G215" s="70">
        <f>IFERROR(""&amp;INDEX(tk_DLINE,MATCH(210,tk_DSEQ,0)),"")</f>
        <v/>
      </c>
      <c r="H215" s="70">
        <f>IFERROR(""&amp;INDEX(tk_DNOTES,MATCH(210,tk_DSEQ,0)),"")</f>
        <v/>
      </c>
    </row>
    <row r="216">
      <c r="A216" s="70">
        <f>IFERROR(""&amp;INDEX(tk_MARK,MATCH(211,tk_DSEQ,0)),"")</f>
        <v/>
      </c>
      <c r="B216" s="70">
        <f>IFERROR(INDEX(tk_QTY,MATCH(211,tk_DSEQ,0)),"")</f>
        <v/>
      </c>
      <c r="C216" s="70">
        <f>IFERROR(INDEX(tk_ROOMF,MATCH(211,tk_DSEQ,0))&amp;IF(INDEX(tk_ROOMT,MATCH(211,tk_DSEQ,0))="",""," → "&amp;INDEX(tk_ROOMT,MATCH(211,tk_DSEQ,0))),"")</f>
        <v/>
      </c>
      <c r="D216" s="70">
        <f>IFERROR(INDEX(tk_LEAVES,MATCH(211,tk_DSEQ,0)),"")</f>
        <v/>
      </c>
      <c r="E216" s="70">
        <f>IFERROR(""&amp;INDEX(tk_RATING,MATCH(211,tk_DSEQ,0)),"")</f>
        <v/>
      </c>
      <c r="F216" s="70">
        <f>IFERROR(TEXT(INDEX(tk_LEAFW,MATCH(211,tk_DSEQ,0)),"0.000")&amp;" x "&amp;TEXT(INDEX(tk_LEAFH,MATCH(211,tk_DSEQ,0)),"0.000"),"")</f>
        <v/>
      </c>
      <c r="G216" s="70">
        <f>IFERROR(""&amp;INDEX(tk_DLINE,MATCH(211,tk_DSEQ,0)),"")</f>
        <v/>
      </c>
      <c r="H216" s="70">
        <f>IFERROR(""&amp;INDEX(tk_DNOTES,MATCH(211,tk_DSEQ,0)),"")</f>
        <v/>
      </c>
    </row>
    <row r="217">
      <c r="A217" s="70">
        <f>IFERROR(""&amp;INDEX(tk_MARK,MATCH(212,tk_DSEQ,0)),"")</f>
        <v/>
      </c>
      <c r="B217" s="70">
        <f>IFERROR(INDEX(tk_QTY,MATCH(212,tk_DSEQ,0)),"")</f>
        <v/>
      </c>
      <c r="C217" s="70">
        <f>IFERROR(INDEX(tk_ROOMF,MATCH(212,tk_DSEQ,0))&amp;IF(INDEX(tk_ROOMT,MATCH(212,tk_DSEQ,0))="",""," → "&amp;INDEX(tk_ROOMT,MATCH(212,tk_DSEQ,0))),"")</f>
        <v/>
      </c>
      <c r="D217" s="70">
        <f>IFERROR(INDEX(tk_LEAVES,MATCH(212,tk_DSEQ,0)),"")</f>
        <v/>
      </c>
      <c r="E217" s="70">
        <f>IFERROR(""&amp;INDEX(tk_RATING,MATCH(212,tk_DSEQ,0)),"")</f>
        <v/>
      </c>
      <c r="F217" s="70">
        <f>IFERROR(TEXT(INDEX(tk_LEAFW,MATCH(212,tk_DSEQ,0)),"0.000")&amp;" x "&amp;TEXT(INDEX(tk_LEAFH,MATCH(212,tk_DSEQ,0)),"0.000"),"")</f>
        <v/>
      </c>
      <c r="G217" s="70">
        <f>IFERROR(""&amp;INDEX(tk_DLINE,MATCH(212,tk_DSEQ,0)),"")</f>
        <v/>
      </c>
      <c r="H217" s="70">
        <f>IFERROR(""&amp;INDEX(tk_DNOTES,MATCH(212,tk_DSEQ,0)),"")</f>
        <v/>
      </c>
    </row>
    <row r="218">
      <c r="A218" s="70">
        <f>IFERROR(""&amp;INDEX(tk_MARK,MATCH(213,tk_DSEQ,0)),"")</f>
        <v/>
      </c>
      <c r="B218" s="70">
        <f>IFERROR(INDEX(tk_QTY,MATCH(213,tk_DSEQ,0)),"")</f>
        <v/>
      </c>
      <c r="C218" s="70">
        <f>IFERROR(INDEX(tk_ROOMF,MATCH(213,tk_DSEQ,0))&amp;IF(INDEX(tk_ROOMT,MATCH(213,tk_DSEQ,0))="",""," → "&amp;INDEX(tk_ROOMT,MATCH(213,tk_DSEQ,0))),"")</f>
        <v/>
      </c>
      <c r="D218" s="70">
        <f>IFERROR(INDEX(tk_LEAVES,MATCH(213,tk_DSEQ,0)),"")</f>
        <v/>
      </c>
      <c r="E218" s="70">
        <f>IFERROR(""&amp;INDEX(tk_RATING,MATCH(213,tk_DSEQ,0)),"")</f>
        <v/>
      </c>
      <c r="F218" s="70">
        <f>IFERROR(TEXT(INDEX(tk_LEAFW,MATCH(213,tk_DSEQ,0)),"0.000")&amp;" x "&amp;TEXT(INDEX(tk_LEAFH,MATCH(213,tk_DSEQ,0)),"0.000"),"")</f>
        <v/>
      </c>
      <c r="G218" s="70">
        <f>IFERROR(""&amp;INDEX(tk_DLINE,MATCH(213,tk_DSEQ,0)),"")</f>
        <v/>
      </c>
      <c r="H218" s="70">
        <f>IFERROR(""&amp;INDEX(tk_DNOTES,MATCH(213,tk_DSEQ,0)),"")</f>
        <v/>
      </c>
    </row>
    <row r="219">
      <c r="A219" s="70">
        <f>IFERROR(""&amp;INDEX(tk_MARK,MATCH(214,tk_DSEQ,0)),"")</f>
        <v/>
      </c>
      <c r="B219" s="70">
        <f>IFERROR(INDEX(tk_QTY,MATCH(214,tk_DSEQ,0)),"")</f>
        <v/>
      </c>
      <c r="C219" s="70">
        <f>IFERROR(INDEX(tk_ROOMF,MATCH(214,tk_DSEQ,0))&amp;IF(INDEX(tk_ROOMT,MATCH(214,tk_DSEQ,0))="",""," → "&amp;INDEX(tk_ROOMT,MATCH(214,tk_DSEQ,0))),"")</f>
        <v/>
      </c>
      <c r="D219" s="70">
        <f>IFERROR(INDEX(tk_LEAVES,MATCH(214,tk_DSEQ,0)),"")</f>
        <v/>
      </c>
      <c r="E219" s="70">
        <f>IFERROR(""&amp;INDEX(tk_RATING,MATCH(214,tk_DSEQ,0)),"")</f>
        <v/>
      </c>
      <c r="F219" s="70">
        <f>IFERROR(TEXT(INDEX(tk_LEAFW,MATCH(214,tk_DSEQ,0)),"0.000")&amp;" x "&amp;TEXT(INDEX(tk_LEAFH,MATCH(214,tk_DSEQ,0)),"0.000"),"")</f>
        <v/>
      </c>
      <c r="G219" s="70">
        <f>IFERROR(""&amp;INDEX(tk_DLINE,MATCH(214,tk_DSEQ,0)),"")</f>
        <v/>
      </c>
      <c r="H219" s="70">
        <f>IFERROR(""&amp;INDEX(tk_DNOTES,MATCH(214,tk_DSEQ,0)),"")</f>
        <v/>
      </c>
    </row>
    <row r="220">
      <c r="A220" s="70">
        <f>IFERROR(""&amp;INDEX(tk_MARK,MATCH(215,tk_DSEQ,0)),"")</f>
        <v/>
      </c>
      <c r="B220" s="70">
        <f>IFERROR(INDEX(tk_QTY,MATCH(215,tk_DSEQ,0)),"")</f>
        <v/>
      </c>
      <c r="C220" s="70">
        <f>IFERROR(INDEX(tk_ROOMF,MATCH(215,tk_DSEQ,0))&amp;IF(INDEX(tk_ROOMT,MATCH(215,tk_DSEQ,0))="",""," → "&amp;INDEX(tk_ROOMT,MATCH(215,tk_DSEQ,0))),"")</f>
        <v/>
      </c>
      <c r="D220" s="70">
        <f>IFERROR(INDEX(tk_LEAVES,MATCH(215,tk_DSEQ,0)),"")</f>
        <v/>
      </c>
      <c r="E220" s="70">
        <f>IFERROR(""&amp;INDEX(tk_RATING,MATCH(215,tk_DSEQ,0)),"")</f>
        <v/>
      </c>
      <c r="F220" s="70">
        <f>IFERROR(TEXT(INDEX(tk_LEAFW,MATCH(215,tk_DSEQ,0)),"0.000")&amp;" x "&amp;TEXT(INDEX(tk_LEAFH,MATCH(215,tk_DSEQ,0)),"0.000"),"")</f>
        <v/>
      </c>
      <c r="G220" s="70">
        <f>IFERROR(""&amp;INDEX(tk_DLINE,MATCH(215,tk_DSEQ,0)),"")</f>
        <v/>
      </c>
      <c r="H220" s="70">
        <f>IFERROR(""&amp;INDEX(tk_DNOTES,MATCH(215,tk_DSEQ,0)),"")</f>
        <v/>
      </c>
    </row>
    <row r="221">
      <c r="A221" s="70">
        <f>IFERROR(""&amp;INDEX(tk_MARK,MATCH(216,tk_DSEQ,0)),"")</f>
        <v/>
      </c>
      <c r="B221" s="70">
        <f>IFERROR(INDEX(tk_QTY,MATCH(216,tk_DSEQ,0)),"")</f>
        <v/>
      </c>
      <c r="C221" s="70">
        <f>IFERROR(INDEX(tk_ROOMF,MATCH(216,tk_DSEQ,0))&amp;IF(INDEX(tk_ROOMT,MATCH(216,tk_DSEQ,0))="",""," → "&amp;INDEX(tk_ROOMT,MATCH(216,tk_DSEQ,0))),"")</f>
        <v/>
      </c>
      <c r="D221" s="70">
        <f>IFERROR(INDEX(tk_LEAVES,MATCH(216,tk_DSEQ,0)),"")</f>
        <v/>
      </c>
      <c r="E221" s="70">
        <f>IFERROR(""&amp;INDEX(tk_RATING,MATCH(216,tk_DSEQ,0)),"")</f>
        <v/>
      </c>
      <c r="F221" s="70">
        <f>IFERROR(TEXT(INDEX(tk_LEAFW,MATCH(216,tk_DSEQ,0)),"0.000")&amp;" x "&amp;TEXT(INDEX(tk_LEAFH,MATCH(216,tk_DSEQ,0)),"0.000"),"")</f>
        <v/>
      </c>
      <c r="G221" s="70">
        <f>IFERROR(""&amp;INDEX(tk_DLINE,MATCH(216,tk_DSEQ,0)),"")</f>
        <v/>
      </c>
      <c r="H221" s="70">
        <f>IFERROR(""&amp;INDEX(tk_DNOTES,MATCH(216,tk_DSEQ,0)),"")</f>
        <v/>
      </c>
    </row>
    <row r="222">
      <c r="A222" s="70">
        <f>IFERROR(""&amp;INDEX(tk_MARK,MATCH(217,tk_DSEQ,0)),"")</f>
        <v/>
      </c>
      <c r="B222" s="70">
        <f>IFERROR(INDEX(tk_QTY,MATCH(217,tk_DSEQ,0)),"")</f>
        <v/>
      </c>
      <c r="C222" s="70">
        <f>IFERROR(INDEX(tk_ROOMF,MATCH(217,tk_DSEQ,0))&amp;IF(INDEX(tk_ROOMT,MATCH(217,tk_DSEQ,0))="",""," → "&amp;INDEX(tk_ROOMT,MATCH(217,tk_DSEQ,0))),"")</f>
        <v/>
      </c>
      <c r="D222" s="70">
        <f>IFERROR(INDEX(tk_LEAVES,MATCH(217,tk_DSEQ,0)),"")</f>
        <v/>
      </c>
      <c r="E222" s="70">
        <f>IFERROR(""&amp;INDEX(tk_RATING,MATCH(217,tk_DSEQ,0)),"")</f>
        <v/>
      </c>
      <c r="F222" s="70">
        <f>IFERROR(TEXT(INDEX(tk_LEAFW,MATCH(217,tk_DSEQ,0)),"0.000")&amp;" x "&amp;TEXT(INDEX(tk_LEAFH,MATCH(217,tk_DSEQ,0)),"0.000"),"")</f>
        <v/>
      </c>
      <c r="G222" s="70">
        <f>IFERROR(""&amp;INDEX(tk_DLINE,MATCH(217,tk_DSEQ,0)),"")</f>
        <v/>
      </c>
      <c r="H222" s="70">
        <f>IFERROR(""&amp;INDEX(tk_DNOTES,MATCH(217,tk_DSEQ,0)),"")</f>
        <v/>
      </c>
    </row>
    <row r="223">
      <c r="A223" s="70">
        <f>IFERROR(""&amp;INDEX(tk_MARK,MATCH(218,tk_DSEQ,0)),"")</f>
        <v/>
      </c>
      <c r="B223" s="70">
        <f>IFERROR(INDEX(tk_QTY,MATCH(218,tk_DSEQ,0)),"")</f>
        <v/>
      </c>
      <c r="C223" s="70">
        <f>IFERROR(INDEX(tk_ROOMF,MATCH(218,tk_DSEQ,0))&amp;IF(INDEX(tk_ROOMT,MATCH(218,tk_DSEQ,0))="",""," → "&amp;INDEX(tk_ROOMT,MATCH(218,tk_DSEQ,0))),"")</f>
        <v/>
      </c>
      <c r="D223" s="70">
        <f>IFERROR(INDEX(tk_LEAVES,MATCH(218,tk_DSEQ,0)),"")</f>
        <v/>
      </c>
      <c r="E223" s="70">
        <f>IFERROR(""&amp;INDEX(tk_RATING,MATCH(218,tk_DSEQ,0)),"")</f>
        <v/>
      </c>
      <c r="F223" s="70">
        <f>IFERROR(TEXT(INDEX(tk_LEAFW,MATCH(218,tk_DSEQ,0)),"0.000")&amp;" x "&amp;TEXT(INDEX(tk_LEAFH,MATCH(218,tk_DSEQ,0)),"0.000"),"")</f>
        <v/>
      </c>
      <c r="G223" s="70">
        <f>IFERROR(""&amp;INDEX(tk_DLINE,MATCH(218,tk_DSEQ,0)),"")</f>
        <v/>
      </c>
      <c r="H223" s="70">
        <f>IFERROR(""&amp;INDEX(tk_DNOTES,MATCH(218,tk_DSEQ,0)),"")</f>
        <v/>
      </c>
    </row>
    <row r="224">
      <c r="A224" s="70">
        <f>IFERROR(""&amp;INDEX(tk_MARK,MATCH(219,tk_DSEQ,0)),"")</f>
        <v/>
      </c>
      <c r="B224" s="70">
        <f>IFERROR(INDEX(tk_QTY,MATCH(219,tk_DSEQ,0)),"")</f>
        <v/>
      </c>
      <c r="C224" s="70">
        <f>IFERROR(INDEX(tk_ROOMF,MATCH(219,tk_DSEQ,0))&amp;IF(INDEX(tk_ROOMT,MATCH(219,tk_DSEQ,0))="",""," → "&amp;INDEX(tk_ROOMT,MATCH(219,tk_DSEQ,0))),"")</f>
        <v/>
      </c>
      <c r="D224" s="70">
        <f>IFERROR(INDEX(tk_LEAVES,MATCH(219,tk_DSEQ,0)),"")</f>
        <v/>
      </c>
      <c r="E224" s="70">
        <f>IFERROR(""&amp;INDEX(tk_RATING,MATCH(219,tk_DSEQ,0)),"")</f>
        <v/>
      </c>
      <c r="F224" s="70">
        <f>IFERROR(TEXT(INDEX(tk_LEAFW,MATCH(219,tk_DSEQ,0)),"0.000")&amp;" x "&amp;TEXT(INDEX(tk_LEAFH,MATCH(219,tk_DSEQ,0)),"0.000"),"")</f>
        <v/>
      </c>
      <c r="G224" s="70">
        <f>IFERROR(""&amp;INDEX(tk_DLINE,MATCH(219,tk_DSEQ,0)),"")</f>
        <v/>
      </c>
      <c r="H224" s="70">
        <f>IFERROR(""&amp;INDEX(tk_DNOTES,MATCH(219,tk_DSEQ,0)),"")</f>
        <v/>
      </c>
    </row>
    <row r="225">
      <c r="A225" s="70">
        <f>IFERROR(""&amp;INDEX(tk_MARK,MATCH(220,tk_DSEQ,0)),"")</f>
        <v/>
      </c>
      <c r="B225" s="70">
        <f>IFERROR(INDEX(tk_QTY,MATCH(220,tk_DSEQ,0)),"")</f>
        <v/>
      </c>
      <c r="C225" s="70">
        <f>IFERROR(INDEX(tk_ROOMF,MATCH(220,tk_DSEQ,0))&amp;IF(INDEX(tk_ROOMT,MATCH(220,tk_DSEQ,0))="",""," → "&amp;INDEX(tk_ROOMT,MATCH(220,tk_DSEQ,0))),"")</f>
        <v/>
      </c>
      <c r="D225" s="70">
        <f>IFERROR(INDEX(tk_LEAVES,MATCH(220,tk_DSEQ,0)),"")</f>
        <v/>
      </c>
      <c r="E225" s="70">
        <f>IFERROR(""&amp;INDEX(tk_RATING,MATCH(220,tk_DSEQ,0)),"")</f>
        <v/>
      </c>
      <c r="F225" s="70">
        <f>IFERROR(TEXT(INDEX(tk_LEAFW,MATCH(220,tk_DSEQ,0)),"0.000")&amp;" x "&amp;TEXT(INDEX(tk_LEAFH,MATCH(220,tk_DSEQ,0)),"0.000"),"")</f>
        <v/>
      </c>
      <c r="G225" s="70">
        <f>IFERROR(""&amp;INDEX(tk_DLINE,MATCH(220,tk_DSEQ,0)),"")</f>
        <v/>
      </c>
      <c r="H225" s="70">
        <f>IFERROR(""&amp;INDEX(tk_DNOTES,MATCH(220,tk_DSEQ,0)),"")</f>
        <v/>
      </c>
    </row>
    <row r="226">
      <c r="A226" s="70">
        <f>IFERROR(""&amp;INDEX(tk_MARK,MATCH(221,tk_DSEQ,0)),"")</f>
        <v/>
      </c>
      <c r="B226" s="70">
        <f>IFERROR(INDEX(tk_QTY,MATCH(221,tk_DSEQ,0)),"")</f>
        <v/>
      </c>
      <c r="C226" s="70">
        <f>IFERROR(INDEX(tk_ROOMF,MATCH(221,tk_DSEQ,0))&amp;IF(INDEX(tk_ROOMT,MATCH(221,tk_DSEQ,0))="",""," → "&amp;INDEX(tk_ROOMT,MATCH(221,tk_DSEQ,0))),"")</f>
        <v/>
      </c>
      <c r="D226" s="70">
        <f>IFERROR(INDEX(tk_LEAVES,MATCH(221,tk_DSEQ,0)),"")</f>
        <v/>
      </c>
      <c r="E226" s="70">
        <f>IFERROR(""&amp;INDEX(tk_RATING,MATCH(221,tk_DSEQ,0)),"")</f>
        <v/>
      </c>
      <c r="F226" s="70">
        <f>IFERROR(TEXT(INDEX(tk_LEAFW,MATCH(221,tk_DSEQ,0)),"0.000")&amp;" x "&amp;TEXT(INDEX(tk_LEAFH,MATCH(221,tk_DSEQ,0)),"0.000"),"")</f>
        <v/>
      </c>
      <c r="G226" s="70">
        <f>IFERROR(""&amp;INDEX(tk_DLINE,MATCH(221,tk_DSEQ,0)),"")</f>
        <v/>
      </c>
      <c r="H226" s="70">
        <f>IFERROR(""&amp;INDEX(tk_DNOTES,MATCH(221,tk_DSEQ,0)),"")</f>
        <v/>
      </c>
    </row>
    <row r="227">
      <c r="A227" s="70">
        <f>IFERROR(""&amp;INDEX(tk_MARK,MATCH(222,tk_DSEQ,0)),"")</f>
        <v/>
      </c>
      <c r="B227" s="70">
        <f>IFERROR(INDEX(tk_QTY,MATCH(222,tk_DSEQ,0)),"")</f>
        <v/>
      </c>
      <c r="C227" s="70">
        <f>IFERROR(INDEX(tk_ROOMF,MATCH(222,tk_DSEQ,0))&amp;IF(INDEX(tk_ROOMT,MATCH(222,tk_DSEQ,0))="",""," → "&amp;INDEX(tk_ROOMT,MATCH(222,tk_DSEQ,0))),"")</f>
        <v/>
      </c>
      <c r="D227" s="70">
        <f>IFERROR(INDEX(tk_LEAVES,MATCH(222,tk_DSEQ,0)),"")</f>
        <v/>
      </c>
      <c r="E227" s="70">
        <f>IFERROR(""&amp;INDEX(tk_RATING,MATCH(222,tk_DSEQ,0)),"")</f>
        <v/>
      </c>
      <c r="F227" s="70">
        <f>IFERROR(TEXT(INDEX(tk_LEAFW,MATCH(222,tk_DSEQ,0)),"0.000")&amp;" x "&amp;TEXT(INDEX(tk_LEAFH,MATCH(222,tk_DSEQ,0)),"0.000"),"")</f>
        <v/>
      </c>
      <c r="G227" s="70">
        <f>IFERROR(""&amp;INDEX(tk_DLINE,MATCH(222,tk_DSEQ,0)),"")</f>
        <v/>
      </c>
      <c r="H227" s="70">
        <f>IFERROR(""&amp;INDEX(tk_DNOTES,MATCH(222,tk_DSEQ,0)),"")</f>
        <v/>
      </c>
    </row>
    <row r="228">
      <c r="A228" s="70">
        <f>IFERROR(""&amp;INDEX(tk_MARK,MATCH(223,tk_DSEQ,0)),"")</f>
        <v/>
      </c>
      <c r="B228" s="70">
        <f>IFERROR(INDEX(tk_QTY,MATCH(223,tk_DSEQ,0)),"")</f>
        <v/>
      </c>
      <c r="C228" s="70">
        <f>IFERROR(INDEX(tk_ROOMF,MATCH(223,tk_DSEQ,0))&amp;IF(INDEX(tk_ROOMT,MATCH(223,tk_DSEQ,0))="",""," → "&amp;INDEX(tk_ROOMT,MATCH(223,tk_DSEQ,0))),"")</f>
        <v/>
      </c>
      <c r="D228" s="70">
        <f>IFERROR(INDEX(tk_LEAVES,MATCH(223,tk_DSEQ,0)),"")</f>
        <v/>
      </c>
      <c r="E228" s="70">
        <f>IFERROR(""&amp;INDEX(tk_RATING,MATCH(223,tk_DSEQ,0)),"")</f>
        <v/>
      </c>
      <c r="F228" s="70">
        <f>IFERROR(TEXT(INDEX(tk_LEAFW,MATCH(223,tk_DSEQ,0)),"0.000")&amp;" x "&amp;TEXT(INDEX(tk_LEAFH,MATCH(223,tk_DSEQ,0)),"0.000"),"")</f>
        <v/>
      </c>
      <c r="G228" s="70">
        <f>IFERROR(""&amp;INDEX(tk_DLINE,MATCH(223,tk_DSEQ,0)),"")</f>
        <v/>
      </c>
      <c r="H228" s="70">
        <f>IFERROR(""&amp;INDEX(tk_DNOTES,MATCH(223,tk_DSEQ,0)),"")</f>
        <v/>
      </c>
    </row>
    <row r="229">
      <c r="A229" s="70">
        <f>IFERROR(""&amp;INDEX(tk_MARK,MATCH(224,tk_DSEQ,0)),"")</f>
        <v/>
      </c>
      <c r="B229" s="70">
        <f>IFERROR(INDEX(tk_QTY,MATCH(224,tk_DSEQ,0)),"")</f>
        <v/>
      </c>
      <c r="C229" s="70">
        <f>IFERROR(INDEX(tk_ROOMF,MATCH(224,tk_DSEQ,0))&amp;IF(INDEX(tk_ROOMT,MATCH(224,tk_DSEQ,0))="",""," → "&amp;INDEX(tk_ROOMT,MATCH(224,tk_DSEQ,0))),"")</f>
        <v/>
      </c>
      <c r="D229" s="70">
        <f>IFERROR(INDEX(tk_LEAVES,MATCH(224,tk_DSEQ,0)),"")</f>
        <v/>
      </c>
      <c r="E229" s="70">
        <f>IFERROR(""&amp;INDEX(tk_RATING,MATCH(224,tk_DSEQ,0)),"")</f>
        <v/>
      </c>
      <c r="F229" s="70">
        <f>IFERROR(TEXT(INDEX(tk_LEAFW,MATCH(224,tk_DSEQ,0)),"0.000")&amp;" x "&amp;TEXT(INDEX(tk_LEAFH,MATCH(224,tk_DSEQ,0)),"0.000"),"")</f>
        <v/>
      </c>
      <c r="G229" s="70">
        <f>IFERROR(""&amp;INDEX(tk_DLINE,MATCH(224,tk_DSEQ,0)),"")</f>
        <v/>
      </c>
      <c r="H229" s="70">
        <f>IFERROR(""&amp;INDEX(tk_DNOTES,MATCH(224,tk_DSEQ,0)),"")</f>
        <v/>
      </c>
    </row>
    <row r="230">
      <c r="A230" s="70">
        <f>IFERROR(""&amp;INDEX(tk_MARK,MATCH(225,tk_DSEQ,0)),"")</f>
        <v/>
      </c>
      <c r="B230" s="70">
        <f>IFERROR(INDEX(tk_QTY,MATCH(225,tk_DSEQ,0)),"")</f>
        <v/>
      </c>
      <c r="C230" s="70">
        <f>IFERROR(INDEX(tk_ROOMF,MATCH(225,tk_DSEQ,0))&amp;IF(INDEX(tk_ROOMT,MATCH(225,tk_DSEQ,0))="",""," → "&amp;INDEX(tk_ROOMT,MATCH(225,tk_DSEQ,0))),"")</f>
        <v/>
      </c>
      <c r="D230" s="70">
        <f>IFERROR(INDEX(tk_LEAVES,MATCH(225,tk_DSEQ,0)),"")</f>
        <v/>
      </c>
      <c r="E230" s="70">
        <f>IFERROR(""&amp;INDEX(tk_RATING,MATCH(225,tk_DSEQ,0)),"")</f>
        <v/>
      </c>
      <c r="F230" s="70">
        <f>IFERROR(TEXT(INDEX(tk_LEAFW,MATCH(225,tk_DSEQ,0)),"0.000")&amp;" x "&amp;TEXT(INDEX(tk_LEAFH,MATCH(225,tk_DSEQ,0)),"0.000"),"")</f>
        <v/>
      </c>
      <c r="G230" s="70">
        <f>IFERROR(""&amp;INDEX(tk_DLINE,MATCH(225,tk_DSEQ,0)),"")</f>
        <v/>
      </c>
      <c r="H230" s="70">
        <f>IFERROR(""&amp;INDEX(tk_DNOTES,MATCH(225,tk_DSEQ,0)),"")</f>
        <v/>
      </c>
    </row>
    <row r="231">
      <c r="A231" s="70">
        <f>IFERROR(""&amp;INDEX(tk_MARK,MATCH(226,tk_DSEQ,0)),"")</f>
        <v/>
      </c>
      <c r="B231" s="70">
        <f>IFERROR(INDEX(tk_QTY,MATCH(226,tk_DSEQ,0)),"")</f>
        <v/>
      </c>
      <c r="C231" s="70">
        <f>IFERROR(INDEX(tk_ROOMF,MATCH(226,tk_DSEQ,0))&amp;IF(INDEX(tk_ROOMT,MATCH(226,tk_DSEQ,0))="",""," → "&amp;INDEX(tk_ROOMT,MATCH(226,tk_DSEQ,0))),"")</f>
        <v/>
      </c>
      <c r="D231" s="70">
        <f>IFERROR(INDEX(tk_LEAVES,MATCH(226,tk_DSEQ,0)),"")</f>
        <v/>
      </c>
      <c r="E231" s="70">
        <f>IFERROR(""&amp;INDEX(tk_RATING,MATCH(226,tk_DSEQ,0)),"")</f>
        <v/>
      </c>
      <c r="F231" s="70">
        <f>IFERROR(TEXT(INDEX(tk_LEAFW,MATCH(226,tk_DSEQ,0)),"0.000")&amp;" x "&amp;TEXT(INDEX(tk_LEAFH,MATCH(226,tk_DSEQ,0)),"0.000"),"")</f>
        <v/>
      </c>
      <c r="G231" s="70">
        <f>IFERROR(""&amp;INDEX(tk_DLINE,MATCH(226,tk_DSEQ,0)),"")</f>
        <v/>
      </c>
      <c r="H231" s="70">
        <f>IFERROR(""&amp;INDEX(tk_DNOTES,MATCH(226,tk_DSEQ,0)),"")</f>
        <v/>
      </c>
    </row>
    <row r="232">
      <c r="A232" s="70">
        <f>IFERROR(""&amp;INDEX(tk_MARK,MATCH(227,tk_DSEQ,0)),"")</f>
        <v/>
      </c>
      <c r="B232" s="70">
        <f>IFERROR(INDEX(tk_QTY,MATCH(227,tk_DSEQ,0)),"")</f>
        <v/>
      </c>
      <c r="C232" s="70">
        <f>IFERROR(INDEX(tk_ROOMF,MATCH(227,tk_DSEQ,0))&amp;IF(INDEX(tk_ROOMT,MATCH(227,tk_DSEQ,0))="",""," → "&amp;INDEX(tk_ROOMT,MATCH(227,tk_DSEQ,0))),"")</f>
        <v/>
      </c>
      <c r="D232" s="70">
        <f>IFERROR(INDEX(tk_LEAVES,MATCH(227,tk_DSEQ,0)),"")</f>
        <v/>
      </c>
      <c r="E232" s="70">
        <f>IFERROR(""&amp;INDEX(tk_RATING,MATCH(227,tk_DSEQ,0)),"")</f>
        <v/>
      </c>
      <c r="F232" s="70">
        <f>IFERROR(TEXT(INDEX(tk_LEAFW,MATCH(227,tk_DSEQ,0)),"0.000")&amp;" x "&amp;TEXT(INDEX(tk_LEAFH,MATCH(227,tk_DSEQ,0)),"0.000"),"")</f>
        <v/>
      </c>
      <c r="G232" s="70">
        <f>IFERROR(""&amp;INDEX(tk_DLINE,MATCH(227,tk_DSEQ,0)),"")</f>
        <v/>
      </c>
      <c r="H232" s="70">
        <f>IFERROR(""&amp;INDEX(tk_DNOTES,MATCH(227,tk_DSEQ,0)),"")</f>
        <v/>
      </c>
    </row>
    <row r="233">
      <c r="A233" s="70">
        <f>IFERROR(""&amp;INDEX(tk_MARK,MATCH(228,tk_DSEQ,0)),"")</f>
        <v/>
      </c>
      <c r="B233" s="70">
        <f>IFERROR(INDEX(tk_QTY,MATCH(228,tk_DSEQ,0)),"")</f>
        <v/>
      </c>
      <c r="C233" s="70">
        <f>IFERROR(INDEX(tk_ROOMF,MATCH(228,tk_DSEQ,0))&amp;IF(INDEX(tk_ROOMT,MATCH(228,tk_DSEQ,0))="",""," → "&amp;INDEX(tk_ROOMT,MATCH(228,tk_DSEQ,0))),"")</f>
        <v/>
      </c>
      <c r="D233" s="70">
        <f>IFERROR(INDEX(tk_LEAVES,MATCH(228,tk_DSEQ,0)),"")</f>
        <v/>
      </c>
      <c r="E233" s="70">
        <f>IFERROR(""&amp;INDEX(tk_RATING,MATCH(228,tk_DSEQ,0)),"")</f>
        <v/>
      </c>
      <c r="F233" s="70">
        <f>IFERROR(TEXT(INDEX(tk_LEAFW,MATCH(228,tk_DSEQ,0)),"0.000")&amp;" x "&amp;TEXT(INDEX(tk_LEAFH,MATCH(228,tk_DSEQ,0)),"0.000"),"")</f>
        <v/>
      </c>
      <c r="G233" s="70">
        <f>IFERROR(""&amp;INDEX(tk_DLINE,MATCH(228,tk_DSEQ,0)),"")</f>
        <v/>
      </c>
      <c r="H233" s="70">
        <f>IFERROR(""&amp;INDEX(tk_DNOTES,MATCH(228,tk_DSEQ,0)),"")</f>
        <v/>
      </c>
    </row>
    <row r="234">
      <c r="A234" s="70">
        <f>IFERROR(""&amp;INDEX(tk_MARK,MATCH(229,tk_DSEQ,0)),"")</f>
        <v/>
      </c>
      <c r="B234" s="70">
        <f>IFERROR(INDEX(tk_QTY,MATCH(229,tk_DSEQ,0)),"")</f>
        <v/>
      </c>
      <c r="C234" s="70">
        <f>IFERROR(INDEX(tk_ROOMF,MATCH(229,tk_DSEQ,0))&amp;IF(INDEX(tk_ROOMT,MATCH(229,tk_DSEQ,0))="",""," → "&amp;INDEX(tk_ROOMT,MATCH(229,tk_DSEQ,0))),"")</f>
        <v/>
      </c>
      <c r="D234" s="70">
        <f>IFERROR(INDEX(tk_LEAVES,MATCH(229,tk_DSEQ,0)),"")</f>
        <v/>
      </c>
      <c r="E234" s="70">
        <f>IFERROR(""&amp;INDEX(tk_RATING,MATCH(229,tk_DSEQ,0)),"")</f>
        <v/>
      </c>
      <c r="F234" s="70">
        <f>IFERROR(TEXT(INDEX(tk_LEAFW,MATCH(229,tk_DSEQ,0)),"0.000")&amp;" x "&amp;TEXT(INDEX(tk_LEAFH,MATCH(229,tk_DSEQ,0)),"0.000"),"")</f>
        <v/>
      </c>
      <c r="G234" s="70">
        <f>IFERROR(""&amp;INDEX(tk_DLINE,MATCH(229,tk_DSEQ,0)),"")</f>
        <v/>
      </c>
      <c r="H234" s="70">
        <f>IFERROR(""&amp;INDEX(tk_DNOTES,MATCH(229,tk_DSEQ,0)),"")</f>
        <v/>
      </c>
    </row>
    <row r="235">
      <c r="A235" s="70">
        <f>IFERROR(""&amp;INDEX(tk_MARK,MATCH(230,tk_DSEQ,0)),"")</f>
        <v/>
      </c>
      <c r="B235" s="70">
        <f>IFERROR(INDEX(tk_QTY,MATCH(230,tk_DSEQ,0)),"")</f>
        <v/>
      </c>
      <c r="C235" s="70">
        <f>IFERROR(INDEX(tk_ROOMF,MATCH(230,tk_DSEQ,0))&amp;IF(INDEX(tk_ROOMT,MATCH(230,tk_DSEQ,0))="",""," → "&amp;INDEX(tk_ROOMT,MATCH(230,tk_DSEQ,0))),"")</f>
        <v/>
      </c>
      <c r="D235" s="70">
        <f>IFERROR(INDEX(tk_LEAVES,MATCH(230,tk_DSEQ,0)),"")</f>
        <v/>
      </c>
      <c r="E235" s="70">
        <f>IFERROR(""&amp;INDEX(tk_RATING,MATCH(230,tk_DSEQ,0)),"")</f>
        <v/>
      </c>
      <c r="F235" s="70">
        <f>IFERROR(TEXT(INDEX(tk_LEAFW,MATCH(230,tk_DSEQ,0)),"0.000")&amp;" x "&amp;TEXT(INDEX(tk_LEAFH,MATCH(230,tk_DSEQ,0)),"0.000"),"")</f>
        <v/>
      </c>
      <c r="G235" s="70">
        <f>IFERROR(""&amp;INDEX(tk_DLINE,MATCH(230,tk_DSEQ,0)),"")</f>
        <v/>
      </c>
      <c r="H235" s="70">
        <f>IFERROR(""&amp;INDEX(tk_DNOTES,MATCH(230,tk_DSEQ,0)),"")</f>
        <v/>
      </c>
    </row>
    <row r="236">
      <c r="A236" s="70">
        <f>IFERROR(""&amp;INDEX(tk_MARK,MATCH(231,tk_DSEQ,0)),"")</f>
        <v/>
      </c>
      <c r="B236" s="70">
        <f>IFERROR(INDEX(tk_QTY,MATCH(231,tk_DSEQ,0)),"")</f>
        <v/>
      </c>
      <c r="C236" s="70">
        <f>IFERROR(INDEX(tk_ROOMF,MATCH(231,tk_DSEQ,0))&amp;IF(INDEX(tk_ROOMT,MATCH(231,tk_DSEQ,0))="",""," → "&amp;INDEX(tk_ROOMT,MATCH(231,tk_DSEQ,0))),"")</f>
        <v/>
      </c>
      <c r="D236" s="70">
        <f>IFERROR(INDEX(tk_LEAVES,MATCH(231,tk_DSEQ,0)),"")</f>
        <v/>
      </c>
      <c r="E236" s="70">
        <f>IFERROR(""&amp;INDEX(tk_RATING,MATCH(231,tk_DSEQ,0)),"")</f>
        <v/>
      </c>
      <c r="F236" s="70">
        <f>IFERROR(TEXT(INDEX(tk_LEAFW,MATCH(231,tk_DSEQ,0)),"0.000")&amp;" x "&amp;TEXT(INDEX(tk_LEAFH,MATCH(231,tk_DSEQ,0)),"0.000"),"")</f>
        <v/>
      </c>
      <c r="G236" s="70">
        <f>IFERROR(""&amp;INDEX(tk_DLINE,MATCH(231,tk_DSEQ,0)),"")</f>
        <v/>
      </c>
      <c r="H236" s="70">
        <f>IFERROR(""&amp;INDEX(tk_DNOTES,MATCH(231,tk_DSEQ,0)),"")</f>
        <v/>
      </c>
    </row>
    <row r="237">
      <c r="A237" s="70">
        <f>IFERROR(""&amp;INDEX(tk_MARK,MATCH(232,tk_DSEQ,0)),"")</f>
        <v/>
      </c>
      <c r="B237" s="70">
        <f>IFERROR(INDEX(tk_QTY,MATCH(232,tk_DSEQ,0)),"")</f>
        <v/>
      </c>
      <c r="C237" s="70">
        <f>IFERROR(INDEX(tk_ROOMF,MATCH(232,tk_DSEQ,0))&amp;IF(INDEX(tk_ROOMT,MATCH(232,tk_DSEQ,0))="",""," → "&amp;INDEX(tk_ROOMT,MATCH(232,tk_DSEQ,0))),"")</f>
        <v/>
      </c>
      <c r="D237" s="70">
        <f>IFERROR(INDEX(tk_LEAVES,MATCH(232,tk_DSEQ,0)),"")</f>
        <v/>
      </c>
      <c r="E237" s="70">
        <f>IFERROR(""&amp;INDEX(tk_RATING,MATCH(232,tk_DSEQ,0)),"")</f>
        <v/>
      </c>
      <c r="F237" s="70">
        <f>IFERROR(TEXT(INDEX(tk_LEAFW,MATCH(232,tk_DSEQ,0)),"0.000")&amp;" x "&amp;TEXT(INDEX(tk_LEAFH,MATCH(232,tk_DSEQ,0)),"0.000"),"")</f>
        <v/>
      </c>
      <c r="G237" s="70">
        <f>IFERROR(""&amp;INDEX(tk_DLINE,MATCH(232,tk_DSEQ,0)),"")</f>
        <v/>
      </c>
      <c r="H237" s="70">
        <f>IFERROR(""&amp;INDEX(tk_DNOTES,MATCH(232,tk_DSEQ,0)),"")</f>
        <v/>
      </c>
    </row>
    <row r="238">
      <c r="A238" s="70">
        <f>IFERROR(""&amp;INDEX(tk_MARK,MATCH(233,tk_DSEQ,0)),"")</f>
        <v/>
      </c>
      <c r="B238" s="70">
        <f>IFERROR(INDEX(tk_QTY,MATCH(233,tk_DSEQ,0)),"")</f>
        <v/>
      </c>
      <c r="C238" s="70">
        <f>IFERROR(INDEX(tk_ROOMF,MATCH(233,tk_DSEQ,0))&amp;IF(INDEX(tk_ROOMT,MATCH(233,tk_DSEQ,0))="",""," → "&amp;INDEX(tk_ROOMT,MATCH(233,tk_DSEQ,0))),"")</f>
        <v/>
      </c>
      <c r="D238" s="70">
        <f>IFERROR(INDEX(tk_LEAVES,MATCH(233,tk_DSEQ,0)),"")</f>
        <v/>
      </c>
      <c r="E238" s="70">
        <f>IFERROR(""&amp;INDEX(tk_RATING,MATCH(233,tk_DSEQ,0)),"")</f>
        <v/>
      </c>
      <c r="F238" s="70">
        <f>IFERROR(TEXT(INDEX(tk_LEAFW,MATCH(233,tk_DSEQ,0)),"0.000")&amp;" x "&amp;TEXT(INDEX(tk_LEAFH,MATCH(233,tk_DSEQ,0)),"0.000"),"")</f>
        <v/>
      </c>
      <c r="G238" s="70">
        <f>IFERROR(""&amp;INDEX(tk_DLINE,MATCH(233,tk_DSEQ,0)),"")</f>
        <v/>
      </c>
      <c r="H238" s="70">
        <f>IFERROR(""&amp;INDEX(tk_DNOTES,MATCH(233,tk_DSEQ,0)),"")</f>
        <v/>
      </c>
    </row>
    <row r="239">
      <c r="A239" s="70">
        <f>IFERROR(""&amp;INDEX(tk_MARK,MATCH(234,tk_DSEQ,0)),"")</f>
        <v/>
      </c>
      <c r="B239" s="70">
        <f>IFERROR(INDEX(tk_QTY,MATCH(234,tk_DSEQ,0)),"")</f>
        <v/>
      </c>
      <c r="C239" s="70">
        <f>IFERROR(INDEX(tk_ROOMF,MATCH(234,tk_DSEQ,0))&amp;IF(INDEX(tk_ROOMT,MATCH(234,tk_DSEQ,0))="",""," → "&amp;INDEX(tk_ROOMT,MATCH(234,tk_DSEQ,0))),"")</f>
        <v/>
      </c>
      <c r="D239" s="70">
        <f>IFERROR(INDEX(tk_LEAVES,MATCH(234,tk_DSEQ,0)),"")</f>
        <v/>
      </c>
      <c r="E239" s="70">
        <f>IFERROR(""&amp;INDEX(tk_RATING,MATCH(234,tk_DSEQ,0)),"")</f>
        <v/>
      </c>
      <c r="F239" s="70">
        <f>IFERROR(TEXT(INDEX(tk_LEAFW,MATCH(234,tk_DSEQ,0)),"0.000")&amp;" x "&amp;TEXT(INDEX(tk_LEAFH,MATCH(234,tk_DSEQ,0)),"0.000"),"")</f>
        <v/>
      </c>
      <c r="G239" s="70">
        <f>IFERROR(""&amp;INDEX(tk_DLINE,MATCH(234,tk_DSEQ,0)),"")</f>
        <v/>
      </c>
      <c r="H239" s="70">
        <f>IFERROR(""&amp;INDEX(tk_DNOTES,MATCH(234,tk_DSEQ,0)),"")</f>
        <v/>
      </c>
    </row>
    <row r="240">
      <c r="A240" s="70">
        <f>IFERROR(""&amp;INDEX(tk_MARK,MATCH(235,tk_DSEQ,0)),"")</f>
        <v/>
      </c>
      <c r="B240" s="70">
        <f>IFERROR(INDEX(tk_QTY,MATCH(235,tk_DSEQ,0)),"")</f>
        <v/>
      </c>
      <c r="C240" s="70">
        <f>IFERROR(INDEX(tk_ROOMF,MATCH(235,tk_DSEQ,0))&amp;IF(INDEX(tk_ROOMT,MATCH(235,tk_DSEQ,0))="",""," → "&amp;INDEX(tk_ROOMT,MATCH(235,tk_DSEQ,0))),"")</f>
        <v/>
      </c>
      <c r="D240" s="70">
        <f>IFERROR(INDEX(tk_LEAVES,MATCH(235,tk_DSEQ,0)),"")</f>
        <v/>
      </c>
      <c r="E240" s="70">
        <f>IFERROR(""&amp;INDEX(tk_RATING,MATCH(235,tk_DSEQ,0)),"")</f>
        <v/>
      </c>
      <c r="F240" s="70">
        <f>IFERROR(TEXT(INDEX(tk_LEAFW,MATCH(235,tk_DSEQ,0)),"0.000")&amp;" x "&amp;TEXT(INDEX(tk_LEAFH,MATCH(235,tk_DSEQ,0)),"0.000"),"")</f>
        <v/>
      </c>
      <c r="G240" s="70">
        <f>IFERROR(""&amp;INDEX(tk_DLINE,MATCH(235,tk_DSEQ,0)),"")</f>
        <v/>
      </c>
      <c r="H240" s="70">
        <f>IFERROR(""&amp;INDEX(tk_DNOTES,MATCH(235,tk_DSEQ,0)),"")</f>
        <v/>
      </c>
    </row>
    <row r="241">
      <c r="A241" s="70">
        <f>IFERROR(""&amp;INDEX(tk_MARK,MATCH(236,tk_DSEQ,0)),"")</f>
        <v/>
      </c>
      <c r="B241" s="70">
        <f>IFERROR(INDEX(tk_QTY,MATCH(236,tk_DSEQ,0)),"")</f>
        <v/>
      </c>
      <c r="C241" s="70">
        <f>IFERROR(INDEX(tk_ROOMF,MATCH(236,tk_DSEQ,0))&amp;IF(INDEX(tk_ROOMT,MATCH(236,tk_DSEQ,0))="",""," → "&amp;INDEX(tk_ROOMT,MATCH(236,tk_DSEQ,0))),"")</f>
        <v/>
      </c>
      <c r="D241" s="70">
        <f>IFERROR(INDEX(tk_LEAVES,MATCH(236,tk_DSEQ,0)),"")</f>
        <v/>
      </c>
      <c r="E241" s="70">
        <f>IFERROR(""&amp;INDEX(tk_RATING,MATCH(236,tk_DSEQ,0)),"")</f>
        <v/>
      </c>
      <c r="F241" s="70">
        <f>IFERROR(TEXT(INDEX(tk_LEAFW,MATCH(236,tk_DSEQ,0)),"0.000")&amp;" x "&amp;TEXT(INDEX(tk_LEAFH,MATCH(236,tk_DSEQ,0)),"0.000"),"")</f>
        <v/>
      </c>
      <c r="G241" s="70">
        <f>IFERROR(""&amp;INDEX(tk_DLINE,MATCH(236,tk_DSEQ,0)),"")</f>
        <v/>
      </c>
      <c r="H241" s="70">
        <f>IFERROR(""&amp;INDEX(tk_DNOTES,MATCH(236,tk_DSEQ,0)),"")</f>
        <v/>
      </c>
    </row>
    <row r="242">
      <c r="A242" s="70">
        <f>IFERROR(""&amp;INDEX(tk_MARK,MATCH(237,tk_DSEQ,0)),"")</f>
        <v/>
      </c>
      <c r="B242" s="70">
        <f>IFERROR(INDEX(tk_QTY,MATCH(237,tk_DSEQ,0)),"")</f>
        <v/>
      </c>
      <c r="C242" s="70">
        <f>IFERROR(INDEX(tk_ROOMF,MATCH(237,tk_DSEQ,0))&amp;IF(INDEX(tk_ROOMT,MATCH(237,tk_DSEQ,0))="",""," → "&amp;INDEX(tk_ROOMT,MATCH(237,tk_DSEQ,0))),"")</f>
        <v/>
      </c>
      <c r="D242" s="70">
        <f>IFERROR(INDEX(tk_LEAVES,MATCH(237,tk_DSEQ,0)),"")</f>
        <v/>
      </c>
      <c r="E242" s="70">
        <f>IFERROR(""&amp;INDEX(tk_RATING,MATCH(237,tk_DSEQ,0)),"")</f>
        <v/>
      </c>
      <c r="F242" s="70">
        <f>IFERROR(TEXT(INDEX(tk_LEAFW,MATCH(237,tk_DSEQ,0)),"0.000")&amp;" x "&amp;TEXT(INDEX(tk_LEAFH,MATCH(237,tk_DSEQ,0)),"0.000"),"")</f>
        <v/>
      </c>
      <c r="G242" s="70">
        <f>IFERROR(""&amp;INDEX(tk_DLINE,MATCH(237,tk_DSEQ,0)),"")</f>
        <v/>
      </c>
      <c r="H242" s="70">
        <f>IFERROR(""&amp;INDEX(tk_DNOTES,MATCH(237,tk_DSEQ,0)),"")</f>
        <v/>
      </c>
    </row>
    <row r="243">
      <c r="A243" s="70">
        <f>IFERROR(""&amp;INDEX(tk_MARK,MATCH(238,tk_DSEQ,0)),"")</f>
        <v/>
      </c>
      <c r="B243" s="70">
        <f>IFERROR(INDEX(tk_QTY,MATCH(238,tk_DSEQ,0)),"")</f>
        <v/>
      </c>
      <c r="C243" s="70">
        <f>IFERROR(INDEX(tk_ROOMF,MATCH(238,tk_DSEQ,0))&amp;IF(INDEX(tk_ROOMT,MATCH(238,tk_DSEQ,0))="",""," → "&amp;INDEX(tk_ROOMT,MATCH(238,tk_DSEQ,0))),"")</f>
        <v/>
      </c>
      <c r="D243" s="70">
        <f>IFERROR(INDEX(tk_LEAVES,MATCH(238,tk_DSEQ,0)),"")</f>
        <v/>
      </c>
      <c r="E243" s="70">
        <f>IFERROR(""&amp;INDEX(tk_RATING,MATCH(238,tk_DSEQ,0)),"")</f>
        <v/>
      </c>
      <c r="F243" s="70">
        <f>IFERROR(TEXT(INDEX(tk_LEAFW,MATCH(238,tk_DSEQ,0)),"0.000")&amp;" x "&amp;TEXT(INDEX(tk_LEAFH,MATCH(238,tk_DSEQ,0)),"0.000"),"")</f>
        <v/>
      </c>
      <c r="G243" s="70">
        <f>IFERROR(""&amp;INDEX(tk_DLINE,MATCH(238,tk_DSEQ,0)),"")</f>
        <v/>
      </c>
      <c r="H243" s="70">
        <f>IFERROR(""&amp;INDEX(tk_DNOTES,MATCH(238,tk_DSEQ,0)),"")</f>
        <v/>
      </c>
    </row>
    <row r="244">
      <c r="A244" s="70">
        <f>IFERROR(""&amp;INDEX(tk_MARK,MATCH(239,tk_DSEQ,0)),"")</f>
        <v/>
      </c>
      <c r="B244" s="70">
        <f>IFERROR(INDEX(tk_QTY,MATCH(239,tk_DSEQ,0)),"")</f>
        <v/>
      </c>
      <c r="C244" s="70">
        <f>IFERROR(INDEX(tk_ROOMF,MATCH(239,tk_DSEQ,0))&amp;IF(INDEX(tk_ROOMT,MATCH(239,tk_DSEQ,0))="",""," → "&amp;INDEX(tk_ROOMT,MATCH(239,tk_DSEQ,0))),"")</f>
        <v/>
      </c>
      <c r="D244" s="70">
        <f>IFERROR(INDEX(tk_LEAVES,MATCH(239,tk_DSEQ,0)),"")</f>
        <v/>
      </c>
      <c r="E244" s="70">
        <f>IFERROR(""&amp;INDEX(tk_RATING,MATCH(239,tk_DSEQ,0)),"")</f>
        <v/>
      </c>
      <c r="F244" s="70">
        <f>IFERROR(TEXT(INDEX(tk_LEAFW,MATCH(239,tk_DSEQ,0)),"0.000")&amp;" x "&amp;TEXT(INDEX(tk_LEAFH,MATCH(239,tk_DSEQ,0)),"0.000"),"")</f>
        <v/>
      </c>
      <c r="G244" s="70">
        <f>IFERROR(""&amp;INDEX(tk_DLINE,MATCH(239,tk_DSEQ,0)),"")</f>
        <v/>
      </c>
      <c r="H244" s="70">
        <f>IFERROR(""&amp;INDEX(tk_DNOTES,MATCH(239,tk_DSEQ,0)),"")</f>
        <v/>
      </c>
    </row>
    <row r="245">
      <c r="A245" s="70">
        <f>IFERROR(""&amp;INDEX(tk_MARK,MATCH(240,tk_DSEQ,0)),"")</f>
        <v/>
      </c>
      <c r="B245" s="70">
        <f>IFERROR(INDEX(tk_QTY,MATCH(240,tk_DSEQ,0)),"")</f>
        <v/>
      </c>
      <c r="C245" s="70">
        <f>IFERROR(INDEX(tk_ROOMF,MATCH(240,tk_DSEQ,0))&amp;IF(INDEX(tk_ROOMT,MATCH(240,tk_DSEQ,0))="",""," → "&amp;INDEX(tk_ROOMT,MATCH(240,tk_DSEQ,0))),"")</f>
        <v/>
      </c>
      <c r="D245" s="70">
        <f>IFERROR(INDEX(tk_LEAVES,MATCH(240,tk_DSEQ,0)),"")</f>
        <v/>
      </c>
      <c r="E245" s="70">
        <f>IFERROR(""&amp;INDEX(tk_RATING,MATCH(240,tk_DSEQ,0)),"")</f>
        <v/>
      </c>
      <c r="F245" s="70">
        <f>IFERROR(TEXT(INDEX(tk_LEAFW,MATCH(240,tk_DSEQ,0)),"0.000")&amp;" x "&amp;TEXT(INDEX(tk_LEAFH,MATCH(240,tk_DSEQ,0)),"0.000"),"")</f>
        <v/>
      </c>
      <c r="G245" s="70">
        <f>IFERROR(""&amp;INDEX(tk_DLINE,MATCH(240,tk_DSEQ,0)),"")</f>
        <v/>
      </c>
      <c r="H245" s="70">
        <f>IFERROR(""&amp;INDEX(tk_DNOTES,MATCH(240,tk_DSEQ,0)),"")</f>
        <v/>
      </c>
    </row>
    <row r="246">
      <c r="A246" s="70">
        <f>IFERROR(""&amp;INDEX(tk_MARK,MATCH(241,tk_DSEQ,0)),"")</f>
        <v/>
      </c>
      <c r="B246" s="70">
        <f>IFERROR(INDEX(tk_QTY,MATCH(241,tk_DSEQ,0)),"")</f>
        <v/>
      </c>
      <c r="C246" s="70">
        <f>IFERROR(INDEX(tk_ROOMF,MATCH(241,tk_DSEQ,0))&amp;IF(INDEX(tk_ROOMT,MATCH(241,tk_DSEQ,0))="",""," → "&amp;INDEX(tk_ROOMT,MATCH(241,tk_DSEQ,0))),"")</f>
        <v/>
      </c>
      <c r="D246" s="70">
        <f>IFERROR(INDEX(tk_LEAVES,MATCH(241,tk_DSEQ,0)),"")</f>
        <v/>
      </c>
      <c r="E246" s="70">
        <f>IFERROR(""&amp;INDEX(tk_RATING,MATCH(241,tk_DSEQ,0)),"")</f>
        <v/>
      </c>
      <c r="F246" s="70">
        <f>IFERROR(TEXT(INDEX(tk_LEAFW,MATCH(241,tk_DSEQ,0)),"0.000")&amp;" x "&amp;TEXT(INDEX(tk_LEAFH,MATCH(241,tk_DSEQ,0)),"0.000"),"")</f>
        <v/>
      </c>
      <c r="G246" s="70">
        <f>IFERROR(""&amp;INDEX(tk_DLINE,MATCH(241,tk_DSEQ,0)),"")</f>
        <v/>
      </c>
      <c r="H246" s="70">
        <f>IFERROR(""&amp;INDEX(tk_DNOTES,MATCH(241,tk_DSEQ,0)),"")</f>
        <v/>
      </c>
    </row>
    <row r="247">
      <c r="A247" s="70">
        <f>IFERROR(""&amp;INDEX(tk_MARK,MATCH(242,tk_DSEQ,0)),"")</f>
        <v/>
      </c>
      <c r="B247" s="70">
        <f>IFERROR(INDEX(tk_QTY,MATCH(242,tk_DSEQ,0)),"")</f>
        <v/>
      </c>
      <c r="C247" s="70">
        <f>IFERROR(INDEX(tk_ROOMF,MATCH(242,tk_DSEQ,0))&amp;IF(INDEX(tk_ROOMT,MATCH(242,tk_DSEQ,0))="",""," → "&amp;INDEX(tk_ROOMT,MATCH(242,tk_DSEQ,0))),"")</f>
        <v/>
      </c>
      <c r="D247" s="70">
        <f>IFERROR(INDEX(tk_LEAVES,MATCH(242,tk_DSEQ,0)),"")</f>
        <v/>
      </c>
      <c r="E247" s="70">
        <f>IFERROR(""&amp;INDEX(tk_RATING,MATCH(242,tk_DSEQ,0)),"")</f>
        <v/>
      </c>
      <c r="F247" s="70">
        <f>IFERROR(TEXT(INDEX(tk_LEAFW,MATCH(242,tk_DSEQ,0)),"0.000")&amp;" x "&amp;TEXT(INDEX(tk_LEAFH,MATCH(242,tk_DSEQ,0)),"0.000"),"")</f>
        <v/>
      </c>
      <c r="G247" s="70">
        <f>IFERROR(""&amp;INDEX(tk_DLINE,MATCH(242,tk_DSEQ,0)),"")</f>
        <v/>
      </c>
      <c r="H247" s="70">
        <f>IFERROR(""&amp;INDEX(tk_DNOTES,MATCH(242,tk_DSEQ,0)),"")</f>
        <v/>
      </c>
    </row>
    <row r="248">
      <c r="A248" s="70">
        <f>IFERROR(""&amp;INDEX(tk_MARK,MATCH(243,tk_DSEQ,0)),"")</f>
        <v/>
      </c>
      <c r="B248" s="70">
        <f>IFERROR(INDEX(tk_QTY,MATCH(243,tk_DSEQ,0)),"")</f>
        <v/>
      </c>
      <c r="C248" s="70">
        <f>IFERROR(INDEX(tk_ROOMF,MATCH(243,tk_DSEQ,0))&amp;IF(INDEX(tk_ROOMT,MATCH(243,tk_DSEQ,0))="",""," → "&amp;INDEX(tk_ROOMT,MATCH(243,tk_DSEQ,0))),"")</f>
        <v/>
      </c>
      <c r="D248" s="70">
        <f>IFERROR(INDEX(tk_LEAVES,MATCH(243,tk_DSEQ,0)),"")</f>
        <v/>
      </c>
      <c r="E248" s="70">
        <f>IFERROR(""&amp;INDEX(tk_RATING,MATCH(243,tk_DSEQ,0)),"")</f>
        <v/>
      </c>
      <c r="F248" s="70">
        <f>IFERROR(TEXT(INDEX(tk_LEAFW,MATCH(243,tk_DSEQ,0)),"0.000")&amp;" x "&amp;TEXT(INDEX(tk_LEAFH,MATCH(243,tk_DSEQ,0)),"0.000"),"")</f>
        <v/>
      </c>
      <c r="G248" s="70">
        <f>IFERROR(""&amp;INDEX(tk_DLINE,MATCH(243,tk_DSEQ,0)),"")</f>
        <v/>
      </c>
      <c r="H248" s="70">
        <f>IFERROR(""&amp;INDEX(tk_DNOTES,MATCH(243,tk_DSEQ,0)),"")</f>
        <v/>
      </c>
    </row>
    <row r="249">
      <c r="A249" s="70">
        <f>IFERROR(""&amp;INDEX(tk_MARK,MATCH(244,tk_DSEQ,0)),"")</f>
        <v/>
      </c>
      <c r="B249" s="70">
        <f>IFERROR(INDEX(tk_QTY,MATCH(244,tk_DSEQ,0)),"")</f>
        <v/>
      </c>
      <c r="C249" s="70">
        <f>IFERROR(INDEX(tk_ROOMF,MATCH(244,tk_DSEQ,0))&amp;IF(INDEX(tk_ROOMT,MATCH(244,tk_DSEQ,0))="",""," → "&amp;INDEX(tk_ROOMT,MATCH(244,tk_DSEQ,0))),"")</f>
        <v/>
      </c>
      <c r="D249" s="70">
        <f>IFERROR(INDEX(tk_LEAVES,MATCH(244,tk_DSEQ,0)),"")</f>
        <v/>
      </c>
      <c r="E249" s="70">
        <f>IFERROR(""&amp;INDEX(tk_RATING,MATCH(244,tk_DSEQ,0)),"")</f>
        <v/>
      </c>
      <c r="F249" s="70">
        <f>IFERROR(TEXT(INDEX(tk_LEAFW,MATCH(244,tk_DSEQ,0)),"0.000")&amp;" x "&amp;TEXT(INDEX(tk_LEAFH,MATCH(244,tk_DSEQ,0)),"0.000"),"")</f>
        <v/>
      </c>
      <c r="G249" s="70">
        <f>IFERROR(""&amp;INDEX(tk_DLINE,MATCH(244,tk_DSEQ,0)),"")</f>
        <v/>
      </c>
      <c r="H249" s="70">
        <f>IFERROR(""&amp;INDEX(tk_DNOTES,MATCH(244,tk_DSEQ,0)),"")</f>
        <v/>
      </c>
    </row>
    <row r="250">
      <c r="A250" s="70">
        <f>IFERROR(""&amp;INDEX(tk_MARK,MATCH(245,tk_DSEQ,0)),"")</f>
        <v/>
      </c>
      <c r="B250" s="70">
        <f>IFERROR(INDEX(tk_QTY,MATCH(245,tk_DSEQ,0)),"")</f>
        <v/>
      </c>
      <c r="C250" s="70">
        <f>IFERROR(INDEX(tk_ROOMF,MATCH(245,tk_DSEQ,0))&amp;IF(INDEX(tk_ROOMT,MATCH(245,tk_DSEQ,0))="",""," → "&amp;INDEX(tk_ROOMT,MATCH(245,tk_DSEQ,0))),"")</f>
        <v/>
      </c>
      <c r="D250" s="70">
        <f>IFERROR(INDEX(tk_LEAVES,MATCH(245,tk_DSEQ,0)),"")</f>
        <v/>
      </c>
      <c r="E250" s="70">
        <f>IFERROR(""&amp;INDEX(tk_RATING,MATCH(245,tk_DSEQ,0)),"")</f>
        <v/>
      </c>
      <c r="F250" s="70">
        <f>IFERROR(TEXT(INDEX(tk_LEAFW,MATCH(245,tk_DSEQ,0)),"0.000")&amp;" x "&amp;TEXT(INDEX(tk_LEAFH,MATCH(245,tk_DSEQ,0)),"0.000"),"")</f>
        <v/>
      </c>
      <c r="G250" s="70">
        <f>IFERROR(""&amp;INDEX(tk_DLINE,MATCH(245,tk_DSEQ,0)),"")</f>
        <v/>
      </c>
      <c r="H250" s="70">
        <f>IFERROR(""&amp;INDEX(tk_DNOTES,MATCH(245,tk_DSEQ,0)),"")</f>
        <v/>
      </c>
    </row>
    <row r="251">
      <c r="A251" s="70">
        <f>IFERROR(""&amp;INDEX(tk_MARK,MATCH(246,tk_DSEQ,0)),"")</f>
        <v/>
      </c>
      <c r="B251" s="70">
        <f>IFERROR(INDEX(tk_QTY,MATCH(246,tk_DSEQ,0)),"")</f>
        <v/>
      </c>
      <c r="C251" s="70">
        <f>IFERROR(INDEX(tk_ROOMF,MATCH(246,tk_DSEQ,0))&amp;IF(INDEX(tk_ROOMT,MATCH(246,tk_DSEQ,0))="",""," → "&amp;INDEX(tk_ROOMT,MATCH(246,tk_DSEQ,0))),"")</f>
        <v/>
      </c>
      <c r="D251" s="70">
        <f>IFERROR(INDEX(tk_LEAVES,MATCH(246,tk_DSEQ,0)),"")</f>
        <v/>
      </c>
      <c r="E251" s="70">
        <f>IFERROR(""&amp;INDEX(tk_RATING,MATCH(246,tk_DSEQ,0)),"")</f>
        <v/>
      </c>
      <c r="F251" s="70">
        <f>IFERROR(TEXT(INDEX(tk_LEAFW,MATCH(246,tk_DSEQ,0)),"0.000")&amp;" x "&amp;TEXT(INDEX(tk_LEAFH,MATCH(246,tk_DSEQ,0)),"0.000"),"")</f>
        <v/>
      </c>
      <c r="G251" s="70">
        <f>IFERROR(""&amp;INDEX(tk_DLINE,MATCH(246,tk_DSEQ,0)),"")</f>
        <v/>
      </c>
      <c r="H251" s="70">
        <f>IFERROR(""&amp;INDEX(tk_DNOTES,MATCH(246,tk_DSEQ,0)),"")</f>
        <v/>
      </c>
    </row>
    <row r="252">
      <c r="A252" s="70">
        <f>IFERROR(""&amp;INDEX(tk_MARK,MATCH(247,tk_DSEQ,0)),"")</f>
        <v/>
      </c>
      <c r="B252" s="70">
        <f>IFERROR(INDEX(tk_QTY,MATCH(247,tk_DSEQ,0)),"")</f>
        <v/>
      </c>
      <c r="C252" s="70">
        <f>IFERROR(INDEX(tk_ROOMF,MATCH(247,tk_DSEQ,0))&amp;IF(INDEX(tk_ROOMT,MATCH(247,tk_DSEQ,0))="",""," → "&amp;INDEX(tk_ROOMT,MATCH(247,tk_DSEQ,0))),"")</f>
        <v/>
      </c>
      <c r="D252" s="70">
        <f>IFERROR(INDEX(tk_LEAVES,MATCH(247,tk_DSEQ,0)),"")</f>
        <v/>
      </c>
      <c r="E252" s="70">
        <f>IFERROR(""&amp;INDEX(tk_RATING,MATCH(247,tk_DSEQ,0)),"")</f>
        <v/>
      </c>
      <c r="F252" s="70">
        <f>IFERROR(TEXT(INDEX(tk_LEAFW,MATCH(247,tk_DSEQ,0)),"0.000")&amp;" x "&amp;TEXT(INDEX(tk_LEAFH,MATCH(247,tk_DSEQ,0)),"0.000"),"")</f>
        <v/>
      </c>
      <c r="G252" s="70">
        <f>IFERROR(""&amp;INDEX(tk_DLINE,MATCH(247,tk_DSEQ,0)),"")</f>
        <v/>
      </c>
      <c r="H252" s="70">
        <f>IFERROR(""&amp;INDEX(tk_DNOTES,MATCH(247,tk_DSEQ,0)),"")</f>
        <v/>
      </c>
    </row>
    <row r="253">
      <c r="A253" s="70">
        <f>IFERROR(""&amp;INDEX(tk_MARK,MATCH(248,tk_DSEQ,0)),"")</f>
        <v/>
      </c>
      <c r="B253" s="70">
        <f>IFERROR(INDEX(tk_QTY,MATCH(248,tk_DSEQ,0)),"")</f>
        <v/>
      </c>
      <c r="C253" s="70">
        <f>IFERROR(INDEX(tk_ROOMF,MATCH(248,tk_DSEQ,0))&amp;IF(INDEX(tk_ROOMT,MATCH(248,tk_DSEQ,0))="",""," → "&amp;INDEX(tk_ROOMT,MATCH(248,tk_DSEQ,0))),"")</f>
        <v/>
      </c>
      <c r="D253" s="70">
        <f>IFERROR(INDEX(tk_LEAVES,MATCH(248,tk_DSEQ,0)),"")</f>
        <v/>
      </c>
      <c r="E253" s="70">
        <f>IFERROR(""&amp;INDEX(tk_RATING,MATCH(248,tk_DSEQ,0)),"")</f>
        <v/>
      </c>
      <c r="F253" s="70">
        <f>IFERROR(TEXT(INDEX(tk_LEAFW,MATCH(248,tk_DSEQ,0)),"0.000")&amp;" x "&amp;TEXT(INDEX(tk_LEAFH,MATCH(248,tk_DSEQ,0)),"0.000"),"")</f>
        <v/>
      </c>
      <c r="G253" s="70">
        <f>IFERROR(""&amp;INDEX(tk_DLINE,MATCH(248,tk_DSEQ,0)),"")</f>
        <v/>
      </c>
      <c r="H253" s="70">
        <f>IFERROR(""&amp;INDEX(tk_DNOTES,MATCH(248,tk_DSEQ,0)),"")</f>
        <v/>
      </c>
    </row>
    <row r="254">
      <c r="A254" s="70">
        <f>IFERROR(""&amp;INDEX(tk_MARK,MATCH(249,tk_DSEQ,0)),"")</f>
        <v/>
      </c>
      <c r="B254" s="70">
        <f>IFERROR(INDEX(tk_QTY,MATCH(249,tk_DSEQ,0)),"")</f>
        <v/>
      </c>
      <c r="C254" s="70">
        <f>IFERROR(INDEX(tk_ROOMF,MATCH(249,tk_DSEQ,0))&amp;IF(INDEX(tk_ROOMT,MATCH(249,tk_DSEQ,0))="",""," → "&amp;INDEX(tk_ROOMT,MATCH(249,tk_DSEQ,0))),"")</f>
        <v/>
      </c>
      <c r="D254" s="70">
        <f>IFERROR(INDEX(tk_LEAVES,MATCH(249,tk_DSEQ,0)),"")</f>
        <v/>
      </c>
      <c r="E254" s="70">
        <f>IFERROR(""&amp;INDEX(tk_RATING,MATCH(249,tk_DSEQ,0)),"")</f>
        <v/>
      </c>
      <c r="F254" s="70">
        <f>IFERROR(TEXT(INDEX(tk_LEAFW,MATCH(249,tk_DSEQ,0)),"0.000")&amp;" x "&amp;TEXT(INDEX(tk_LEAFH,MATCH(249,tk_DSEQ,0)),"0.000"),"")</f>
        <v/>
      </c>
      <c r="G254" s="70">
        <f>IFERROR(""&amp;INDEX(tk_DLINE,MATCH(249,tk_DSEQ,0)),"")</f>
        <v/>
      </c>
      <c r="H254" s="70">
        <f>IFERROR(""&amp;INDEX(tk_DNOTES,MATCH(249,tk_DSEQ,0)),"")</f>
        <v/>
      </c>
    </row>
    <row r="255">
      <c r="A255" s="70">
        <f>IFERROR(""&amp;INDEX(tk_MARK,MATCH(250,tk_DSEQ,0)),"")</f>
        <v/>
      </c>
      <c r="B255" s="70">
        <f>IFERROR(INDEX(tk_QTY,MATCH(250,tk_DSEQ,0)),"")</f>
        <v/>
      </c>
      <c r="C255" s="70">
        <f>IFERROR(INDEX(tk_ROOMF,MATCH(250,tk_DSEQ,0))&amp;IF(INDEX(tk_ROOMT,MATCH(250,tk_DSEQ,0))="",""," → "&amp;INDEX(tk_ROOMT,MATCH(250,tk_DSEQ,0))),"")</f>
        <v/>
      </c>
      <c r="D255" s="70">
        <f>IFERROR(INDEX(tk_LEAVES,MATCH(250,tk_DSEQ,0)),"")</f>
        <v/>
      </c>
      <c r="E255" s="70">
        <f>IFERROR(""&amp;INDEX(tk_RATING,MATCH(250,tk_DSEQ,0)),"")</f>
        <v/>
      </c>
      <c r="F255" s="70">
        <f>IFERROR(TEXT(INDEX(tk_LEAFW,MATCH(250,tk_DSEQ,0)),"0.000")&amp;" x "&amp;TEXT(INDEX(tk_LEAFH,MATCH(250,tk_DSEQ,0)),"0.000"),"")</f>
        <v/>
      </c>
      <c r="G255" s="70">
        <f>IFERROR(""&amp;INDEX(tk_DLINE,MATCH(250,tk_DSEQ,0)),"")</f>
        <v/>
      </c>
      <c r="H255" s="70">
        <f>IFERROR(""&amp;INDEX(tk_DNOTES,MATCH(250,tk_DSEQ,0)),"")</f>
        <v/>
      </c>
    </row>
    <row r="256">
      <c r="A256" s="70">
        <f>IFERROR(""&amp;INDEX(tk_MARK,MATCH(251,tk_DSEQ,0)),"")</f>
        <v/>
      </c>
      <c r="B256" s="70">
        <f>IFERROR(INDEX(tk_QTY,MATCH(251,tk_DSEQ,0)),"")</f>
        <v/>
      </c>
      <c r="C256" s="70">
        <f>IFERROR(INDEX(tk_ROOMF,MATCH(251,tk_DSEQ,0))&amp;IF(INDEX(tk_ROOMT,MATCH(251,tk_DSEQ,0))="",""," → "&amp;INDEX(tk_ROOMT,MATCH(251,tk_DSEQ,0))),"")</f>
        <v/>
      </c>
      <c r="D256" s="70">
        <f>IFERROR(INDEX(tk_LEAVES,MATCH(251,tk_DSEQ,0)),"")</f>
        <v/>
      </c>
      <c r="E256" s="70">
        <f>IFERROR(""&amp;INDEX(tk_RATING,MATCH(251,tk_DSEQ,0)),"")</f>
        <v/>
      </c>
      <c r="F256" s="70">
        <f>IFERROR(TEXT(INDEX(tk_LEAFW,MATCH(251,tk_DSEQ,0)),"0.000")&amp;" x "&amp;TEXT(INDEX(tk_LEAFH,MATCH(251,tk_DSEQ,0)),"0.000"),"")</f>
        <v/>
      </c>
      <c r="G256" s="70">
        <f>IFERROR(""&amp;INDEX(tk_DLINE,MATCH(251,tk_DSEQ,0)),"")</f>
        <v/>
      </c>
      <c r="H256" s="70">
        <f>IFERROR(""&amp;INDEX(tk_DNOTES,MATCH(251,tk_DSEQ,0)),"")</f>
        <v/>
      </c>
    </row>
    <row r="257">
      <c r="A257" s="70">
        <f>IFERROR(""&amp;INDEX(tk_MARK,MATCH(252,tk_DSEQ,0)),"")</f>
        <v/>
      </c>
      <c r="B257" s="70">
        <f>IFERROR(INDEX(tk_QTY,MATCH(252,tk_DSEQ,0)),"")</f>
        <v/>
      </c>
      <c r="C257" s="70">
        <f>IFERROR(INDEX(tk_ROOMF,MATCH(252,tk_DSEQ,0))&amp;IF(INDEX(tk_ROOMT,MATCH(252,tk_DSEQ,0))="",""," → "&amp;INDEX(tk_ROOMT,MATCH(252,tk_DSEQ,0))),"")</f>
        <v/>
      </c>
      <c r="D257" s="70">
        <f>IFERROR(INDEX(tk_LEAVES,MATCH(252,tk_DSEQ,0)),"")</f>
        <v/>
      </c>
      <c r="E257" s="70">
        <f>IFERROR(""&amp;INDEX(tk_RATING,MATCH(252,tk_DSEQ,0)),"")</f>
        <v/>
      </c>
      <c r="F257" s="70">
        <f>IFERROR(TEXT(INDEX(tk_LEAFW,MATCH(252,tk_DSEQ,0)),"0.000")&amp;" x "&amp;TEXT(INDEX(tk_LEAFH,MATCH(252,tk_DSEQ,0)),"0.000"),"")</f>
        <v/>
      </c>
      <c r="G257" s="70">
        <f>IFERROR(""&amp;INDEX(tk_DLINE,MATCH(252,tk_DSEQ,0)),"")</f>
        <v/>
      </c>
      <c r="H257" s="70">
        <f>IFERROR(""&amp;INDEX(tk_DNOTES,MATCH(252,tk_DSEQ,0)),"")</f>
        <v/>
      </c>
    </row>
    <row r="258">
      <c r="A258" s="70">
        <f>IFERROR(""&amp;INDEX(tk_MARK,MATCH(253,tk_DSEQ,0)),"")</f>
        <v/>
      </c>
      <c r="B258" s="70">
        <f>IFERROR(INDEX(tk_QTY,MATCH(253,tk_DSEQ,0)),"")</f>
        <v/>
      </c>
      <c r="C258" s="70">
        <f>IFERROR(INDEX(tk_ROOMF,MATCH(253,tk_DSEQ,0))&amp;IF(INDEX(tk_ROOMT,MATCH(253,tk_DSEQ,0))="",""," → "&amp;INDEX(tk_ROOMT,MATCH(253,tk_DSEQ,0))),"")</f>
        <v/>
      </c>
      <c r="D258" s="70">
        <f>IFERROR(INDEX(tk_LEAVES,MATCH(253,tk_DSEQ,0)),"")</f>
        <v/>
      </c>
      <c r="E258" s="70">
        <f>IFERROR(""&amp;INDEX(tk_RATING,MATCH(253,tk_DSEQ,0)),"")</f>
        <v/>
      </c>
      <c r="F258" s="70">
        <f>IFERROR(TEXT(INDEX(tk_LEAFW,MATCH(253,tk_DSEQ,0)),"0.000")&amp;" x "&amp;TEXT(INDEX(tk_LEAFH,MATCH(253,tk_DSEQ,0)),"0.000"),"")</f>
        <v/>
      </c>
      <c r="G258" s="70">
        <f>IFERROR(""&amp;INDEX(tk_DLINE,MATCH(253,tk_DSEQ,0)),"")</f>
        <v/>
      </c>
      <c r="H258" s="70">
        <f>IFERROR(""&amp;INDEX(tk_DNOTES,MATCH(253,tk_DSEQ,0)),"")</f>
        <v/>
      </c>
    </row>
    <row r="259">
      <c r="A259" s="70">
        <f>IFERROR(""&amp;INDEX(tk_MARK,MATCH(254,tk_DSEQ,0)),"")</f>
        <v/>
      </c>
      <c r="B259" s="70">
        <f>IFERROR(INDEX(tk_QTY,MATCH(254,tk_DSEQ,0)),"")</f>
        <v/>
      </c>
      <c r="C259" s="70">
        <f>IFERROR(INDEX(tk_ROOMF,MATCH(254,tk_DSEQ,0))&amp;IF(INDEX(tk_ROOMT,MATCH(254,tk_DSEQ,0))="",""," → "&amp;INDEX(tk_ROOMT,MATCH(254,tk_DSEQ,0))),"")</f>
        <v/>
      </c>
      <c r="D259" s="70">
        <f>IFERROR(INDEX(tk_LEAVES,MATCH(254,tk_DSEQ,0)),"")</f>
        <v/>
      </c>
      <c r="E259" s="70">
        <f>IFERROR(""&amp;INDEX(tk_RATING,MATCH(254,tk_DSEQ,0)),"")</f>
        <v/>
      </c>
      <c r="F259" s="70">
        <f>IFERROR(TEXT(INDEX(tk_LEAFW,MATCH(254,tk_DSEQ,0)),"0.000")&amp;" x "&amp;TEXT(INDEX(tk_LEAFH,MATCH(254,tk_DSEQ,0)),"0.000"),"")</f>
        <v/>
      </c>
      <c r="G259" s="70">
        <f>IFERROR(""&amp;INDEX(tk_DLINE,MATCH(254,tk_DSEQ,0)),"")</f>
        <v/>
      </c>
      <c r="H259" s="70">
        <f>IFERROR(""&amp;INDEX(tk_DNOTES,MATCH(254,tk_DSEQ,0)),"")</f>
        <v/>
      </c>
    </row>
    <row r="260">
      <c r="A260" s="70">
        <f>IFERROR(""&amp;INDEX(tk_MARK,MATCH(255,tk_DSEQ,0)),"")</f>
        <v/>
      </c>
      <c r="B260" s="70">
        <f>IFERROR(INDEX(tk_QTY,MATCH(255,tk_DSEQ,0)),"")</f>
        <v/>
      </c>
      <c r="C260" s="70">
        <f>IFERROR(INDEX(tk_ROOMF,MATCH(255,tk_DSEQ,0))&amp;IF(INDEX(tk_ROOMT,MATCH(255,tk_DSEQ,0))="",""," → "&amp;INDEX(tk_ROOMT,MATCH(255,tk_DSEQ,0))),"")</f>
        <v/>
      </c>
      <c r="D260" s="70">
        <f>IFERROR(INDEX(tk_LEAVES,MATCH(255,tk_DSEQ,0)),"")</f>
        <v/>
      </c>
      <c r="E260" s="70">
        <f>IFERROR(""&amp;INDEX(tk_RATING,MATCH(255,tk_DSEQ,0)),"")</f>
        <v/>
      </c>
      <c r="F260" s="70">
        <f>IFERROR(TEXT(INDEX(tk_LEAFW,MATCH(255,tk_DSEQ,0)),"0.000")&amp;" x "&amp;TEXT(INDEX(tk_LEAFH,MATCH(255,tk_DSEQ,0)),"0.000"),"")</f>
        <v/>
      </c>
      <c r="G260" s="70">
        <f>IFERROR(""&amp;INDEX(tk_DLINE,MATCH(255,tk_DSEQ,0)),"")</f>
        <v/>
      </c>
      <c r="H260" s="70">
        <f>IFERROR(""&amp;INDEX(tk_DNOTES,MATCH(255,tk_DSEQ,0)),"")</f>
        <v/>
      </c>
    </row>
    <row r="261">
      <c r="A261" s="70">
        <f>IFERROR(""&amp;INDEX(tk_MARK,MATCH(256,tk_DSEQ,0)),"")</f>
        <v/>
      </c>
      <c r="B261" s="70">
        <f>IFERROR(INDEX(tk_QTY,MATCH(256,tk_DSEQ,0)),"")</f>
        <v/>
      </c>
      <c r="C261" s="70">
        <f>IFERROR(INDEX(tk_ROOMF,MATCH(256,tk_DSEQ,0))&amp;IF(INDEX(tk_ROOMT,MATCH(256,tk_DSEQ,0))="",""," → "&amp;INDEX(tk_ROOMT,MATCH(256,tk_DSEQ,0))),"")</f>
        <v/>
      </c>
      <c r="D261" s="70">
        <f>IFERROR(INDEX(tk_LEAVES,MATCH(256,tk_DSEQ,0)),"")</f>
        <v/>
      </c>
      <c r="E261" s="70">
        <f>IFERROR(""&amp;INDEX(tk_RATING,MATCH(256,tk_DSEQ,0)),"")</f>
        <v/>
      </c>
      <c r="F261" s="70">
        <f>IFERROR(TEXT(INDEX(tk_LEAFW,MATCH(256,tk_DSEQ,0)),"0.000")&amp;" x "&amp;TEXT(INDEX(tk_LEAFH,MATCH(256,tk_DSEQ,0)),"0.000"),"")</f>
        <v/>
      </c>
      <c r="G261" s="70">
        <f>IFERROR(""&amp;INDEX(tk_DLINE,MATCH(256,tk_DSEQ,0)),"")</f>
        <v/>
      </c>
      <c r="H261" s="70">
        <f>IFERROR(""&amp;INDEX(tk_DNOTES,MATCH(256,tk_DSEQ,0)),"")</f>
        <v/>
      </c>
    </row>
    <row r="262">
      <c r="A262" s="70">
        <f>IFERROR(""&amp;INDEX(tk_MARK,MATCH(257,tk_DSEQ,0)),"")</f>
        <v/>
      </c>
      <c r="B262" s="70">
        <f>IFERROR(INDEX(tk_QTY,MATCH(257,tk_DSEQ,0)),"")</f>
        <v/>
      </c>
      <c r="C262" s="70">
        <f>IFERROR(INDEX(tk_ROOMF,MATCH(257,tk_DSEQ,0))&amp;IF(INDEX(tk_ROOMT,MATCH(257,tk_DSEQ,0))="",""," → "&amp;INDEX(tk_ROOMT,MATCH(257,tk_DSEQ,0))),"")</f>
        <v/>
      </c>
      <c r="D262" s="70">
        <f>IFERROR(INDEX(tk_LEAVES,MATCH(257,tk_DSEQ,0)),"")</f>
        <v/>
      </c>
      <c r="E262" s="70">
        <f>IFERROR(""&amp;INDEX(tk_RATING,MATCH(257,tk_DSEQ,0)),"")</f>
        <v/>
      </c>
      <c r="F262" s="70">
        <f>IFERROR(TEXT(INDEX(tk_LEAFW,MATCH(257,tk_DSEQ,0)),"0.000")&amp;" x "&amp;TEXT(INDEX(tk_LEAFH,MATCH(257,tk_DSEQ,0)),"0.000"),"")</f>
        <v/>
      </c>
      <c r="G262" s="70">
        <f>IFERROR(""&amp;INDEX(tk_DLINE,MATCH(257,tk_DSEQ,0)),"")</f>
        <v/>
      </c>
      <c r="H262" s="70">
        <f>IFERROR(""&amp;INDEX(tk_DNOTES,MATCH(257,tk_DSEQ,0)),"")</f>
        <v/>
      </c>
    </row>
    <row r="263">
      <c r="A263" s="70">
        <f>IFERROR(""&amp;INDEX(tk_MARK,MATCH(258,tk_DSEQ,0)),"")</f>
        <v/>
      </c>
      <c r="B263" s="70">
        <f>IFERROR(INDEX(tk_QTY,MATCH(258,tk_DSEQ,0)),"")</f>
        <v/>
      </c>
      <c r="C263" s="70">
        <f>IFERROR(INDEX(tk_ROOMF,MATCH(258,tk_DSEQ,0))&amp;IF(INDEX(tk_ROOMT,MATCH(258,tk_DSEQ,0))="",""," → "&amp;INDEX(tk_ROOMT,MATCH(258,tk_DSEQ,0))),"")</f>
        <v/>
      </c>
      <c r="D263" s="70">
        <f>IFERROR(INDEX(tk_LEAVES,MATCH(258,tk_DSEQ,0)),"")</f>
        <v/>
      </c>
      <c r="E263" s="70">
        <f>IFERROR(""&amp;INDEX(tk_RATING,MATCH(258,tk_DSEQ,0)),"")</f>
        <v/>
      </c>
      <c r="F263" s="70">
        <f>IFERROR(TEXT(INDEX(tk_LEAFW,MATCH(258,tk_DSEQ,0)),"0.000")&amp;" x "&amp;TEXT(INDEX(tk_LEAFH,MATCH(258,tk_DSEQ,0)),"0.000"),"")</f>
        <v/>
      </c>
      <c r="G263" s="70">
        <f>IFERROR(""&amp;INDEX(tk_DLINE,MATCH(258,tk_DSEQ,0)),"")</f>
        <v/>
      </c>
      <c r="H263" s="70">
        <f>IFERROR(""&amp;INDEX(tk_DNOTES,MATCH(258,tk_DSEQ,0)),"")</f>
        <v/>
      </c>
    </row>
    <row r="264">
      <c r="A264" s="70">
        <f>IFERROR(""&amp;INDEX(tk_MARK,MATCH(259,tk_DSEQ,0)),"")</f>
        <v/>
      </c>
      <c r="B264" s="70">
        <f>IFERROR(INDEX(tk_QTY,MATCH(259,tk_DSEQ,0)),"")</f>
        <v/>
      </c>
      <c r="C264" s="70">
        <f>IFERROR(INDEX(tk_ROOMF,MATCH(259,tk_DSEQ,0))&amp;IF(INDEX(tk_ROOMT,MATCH(259,tk_DSEQ,0))="",""," → "&amp;INDEX(tk_ROOMT,MATCH(259,tk_DSEQ,0))),"")</f>
        <v/>
      </c>
      <c r="D264" s="70">
        <f>IFERROR(INDEX(tk_LEAVES,MATCH(259,tk_DSEQ,0)),"")</f>
        <v/>
      </c>
      <c r="E264" s="70">
        <f>IFERROR(""&amp;INDEX(tk_RATING,MATCH(259,tk_DSEQ,0)),"")</f>
        <v/>
      </c>
      <c r="F264" s="70">
        <f>IFERROR(TEXT(INDEX(tk_LEAFW,MATCH(259,tk_DSEQ,0)),"0.000")&amp;" x "&amp;TEXT(INDEX(tk_LEAFH,MATCH(259,tk_DSEQ,0)),"0.000"),"")</f>
        <v/>
      </c>
      <c r="G264" s="70">
        <f>IFERROR(""&amp;INDEX(tk_DLINE,MATCH(259,tk_DSEQ,0)),"")</f>
        <v/>
      </c>
      <c r="H264" s="70">
        <f>IFERROR(""&amp;INDEX(tk_DNOTES,MATCH(259,tk_DSEQ,0)),"")</f>
        <v/>
      </c>
    </row>
    <row r="265">
      <c r="A265" s="70">
        <f>IFERROR(""&amp;INDEX(tk_MARK,MATCH(260,tk_DSEQ,0)),"")</f>
        <v/>
      </c>
      <c r="B265" s="70">
        <f>IFERROR(INDEX(tk_QTY,MATCH(260,tk_DSEQ,0)),"")</f>
        <v/>
      </c>
      <c r="C265" s="70">
        <f>IFERROR(INDEX(tk_ROOMF,MATCH(260,tk_DSEQ,0))&amp;IF(INDEX(tk_ROOMT,MATCH(260,tk_DSEQ,0))="",""," → "&amp;INDEX(tk_ROOMT,MATCH(260,tk_DSEQ,0))),"")</f>
        <v/>
      </c>
      <c r="D265" s="70">
        <f>IFERROR(INDEX(tk_LEAVES,MATCH(260,tk_DSEQ,0)),"")</f>
        <v/>
      </c>
      <c r="E265" s="70">
        <f>IFERROR(""&amp;INDEX(tk_RATING,MATCH(260,tk_DSEQ,0)),"")</f>
        <v/>
      </c>
      <c r="F265" s="70">
        <f>IFERROR(TEXT(INDEX(tk_LEAFW,MATCH(260,tk_DSEQ,0)),"0.000")&amp;" x "&amp;TEXT(INDEX(tk_LEAFH,MATCH(260,tk_DSEQ,0)),"0.000"),"")</f>
        <v/>
      </c>
      <c r="G265" s="70">
        <f>IFERROR(""&amp;INDEX(tk_DLINE,MATCH(260,tk_DSEQ,0)),"")</f>
        <v/>
      </c>
      <c r="H265" s="70">
        <f>IFERROR(""&amp;INDEX(tk_DNOTES,MATCH(260,tk_DSEQ,0)),"")</f>
        <v/>
      </c>
    </row>
    <row r="266">
      <c r="A266" s="70">
        <f>IFERROR(""&amp;INDEX(tk_MARK,MATCH(261,tk_DSEQ,0)),"")</f>
        <v/>
      </c>
      <c r="B266" s="70">
        <f>IFERROR(INDEX(tk_QTY,MATCH(261,tk_DSEQ,0)),"")</f>
        <v/>
      </c>
      <c r="C266" s="70">
        <f>IFERROR(INDEX(tk_ROOMF,MATCH(261,tk_DSEQ,0))&amp;IF(INDEX(tk_ROOMT,MATCH(261,tk_DSEQ,0))="",""," → "&amp;INDEX(tk_ROOMT,MATCH(261,tk_DSEQ,0))),"")</f>
        <v/>
      </c>
      <c r="D266" s="70">
        <f>IFERROR(INDEX(tk_LEAVES,MATCH(261,tk_DSEQ,0)),"")</f>
        <v/>
      </c>
      <c r="E266" s="70">
        <f>IFERROR(""&amp;INDEX(tk_RATING,MATCH(261,tk_DSEQ,0)),"")</f>
        <v/>
      </c>
      <c r="F266" s="70">
        <f>IFERROR(TEXT(INDEX(tk_LEAFW,MATCH(261,tk_DSEQ,0)),"0.000")&amp;" x "&amp;TEXT(INDEX(tk_LEAFH,MATCH(261,tk_DSEQ,0)),"0.000"),"")</f>
        <v/>
      </c>
      <c r="G266" s="70">
        <f>IFERROR(""&amp;INDEX(tk_DLINE,MATCH(261,tk_DSEQ,0)),"")</f>
        <v/>
      </c>
      <c r="H266" s="70">
        <f>IFERROR(""&amp;INDEX(tk_DNOTES,MATCH(261,tk_DSEQ,0)),"")</f>
        <v/>
      </c>
    </row>
    <row r="267">
      <c r="A267" s="70">
        <f>IFERROR(""&amp;INDEX(tk_MARK,MATCH(262,tk_DSEQ,0)),"")</f>
        <v/>
      </c>
      <c r="B267" s="70">
        <f>IFERROR(INDEX(tk_QTY,MATCH(262,tk_DSEQ,0)),"")</f>
        <v/>
      </c>
      <c r="C267" s="70">
        <f>IFERROR(INDEX(tk_ROOMF,MATCH(262,tk_DSEQ,0))&amp;IF(INDEX(tk_ROOMT,MATCH(262,tk_DSEQ,0))="",""," → "&amp;INDEX(tk_ROOMT,MATCH(262,tk_DSEQ,0))),"")</f>
        <v/>
      </c>
      <c r="D267" s="70">
        <f>IFERROR(INDEX(tk_LEAVES,MATCH(262,tk_DSEQ,0)),"")</f>
        <v/>
      </c>
      <c r="E267" s="70">
        <f>IFERROR(""&amp;INDEX(tk_RATING,MATCH(262,tk_DSEQ,0)),"")</f>
        <v/>
      </c>
      <c r="F267" s="70">
        <f>IFERROR(TEXT(INDEX(tk_LEAFW,MATCH(262,tk_DSEQ,0)),"0.000")&amp;" x "&amp;TEXT(INDEX(tk_LEAFH,MATCH(262,tk_DSEQ,0)),"0.000"),"")</f>
        <v/>
      </c>
      <c r="G267" s="70">
        <f>IFERROR(""&amp;INDEX(tk_DLINE,MATCH(262,tk_DSEQ,0)),"")</f>
        <v/>
      </c>
      <c r="H267" s="70">
        <f>IFERROR(""&amp;INDEX(tk_DNOTES,MATCH(262,tk_DSEQ,0)),"")</f>
        <v/>
      </c>
    </row>
    <row r="268">
      <c r="A268" s="70">
        <f>IFERROR(""&amp;INDEX(tk_MARK,MATCH(263,tk_DSEQ,0)),"")</f>
        <v/>
      </c>
      <c r="B268" s="70">
        <f>IFERROR(INDEX(tk_QTY,MATCH(263,tk_DSEQ,0)),"")</f>
        <v/>
      </c>
      <c r="C268" s="70">
        <f>IFERROR(INDEX(tk_ROOMF,MATCH(263,tk_DSEQ,0))&amp;IF(INDEX(tk_ROOMT,MATCH(263,tk_DSEQ,0))="",""," → "&amp;INDEX(tk_ROOMT,MATCH(263,tk_DSEQ,0))),"")</f>
        <v/>
      </c>
      <c r="D268" s="70">
        <f>IFERROR(INDEX(tk_LEAVES,MATCH(263,tk_DSEQ,0)),"")</f>
        <v/>
      </c>
      <c r="E268" s="70">
        <f>IFERROR(""&amp;INDEX(tk_RATING,MATCH(263,tk_DSEQ,0)),"")</f>
        <v/>
      </c>
      <c r="F268" s="70">
        <f>IFERROR(TEXT(INDEX(tk_LEAFW,MATCH(263,tk_DSEQ,0)),"0.000")&amp;" x "&amp;TEXT(INDEX(tk_LEAFH,MATCH(263,tk_DSEQ,0)),"0.000"),"")</f>
        <v/>
      </c>
      <c r="G268" s="70">
        <f>IFERROR(""&amp;INDEX(tk_DLINE,MATCH(263,tk_DSEQ,0)),"")</f>
        <v/>
      </c>
      <c r="H268" s="70">
        <f>IFERROR(""&amp;INDEX(tk_DNOTES,MATCH(263,tk_DSEQ,0)),"")</f>
        <v/>
      </c>
    </row>
    <row r="269">
      <c r="A269" s="70">
        <f>IFERROR(""&amp;INDEX(tk_MARK,MATCH(264,tk_DSEQ,0)),"")</f>
        <v/>
      </c>
      <c r="B269" s="70">
        <f>IFERROR(INDEX(tk_QTY,MATCH(264,tk_DSEQ,0)),"")</f>
        <v/>
      </c>
      <c r="C269" s="70">
        <f>IFERROR(INDEX(tk_ROOMF,MATCH(264,tk_DSEQ,0))&amp;IF(INDEX(tk_ROOMT,MATCH(264,tk_DSEQ,0))="",""," → "&amp;INDEX(tk_ROOMT,MATCH(264,tk_DSEQ,0))),"")</f>
        <v/>
      </c>
      <c r="D269" s="70">
        <f>IFERROR(INDEX(tk_LEAVES,MATCH(264,tk_DSEQ,0)),"")</f>
        <v/>
      </c>
      <c r="E269" s="70">
        <f>IFERROR(""&amp;INDEX(tk_RATING,MATCH(264,tk_DSEQ,0)),"")</f>
        <v/>
      </c>
      <c r="F269" s="70">
        <f>IFERROR(TEXT(INDEX(tk_LEAFW,MATCH(264,tk_DSEQ,0)),"0.000")&amp;" x "&amp;TEXT(INDEX(tk_LEAFH,MATCH(264,tk_DSEQ,0)),"0.000"),"")</f>
        <v/>
      </c>
      <c r="G269" s="70">
        <f>IFERROR(""&amp;INDEX(tk_DLINE,MATCH(264,tk_DSEQ,0)),"")</f>
        <v/>
      </c>
      <c r="H269" s="70">
        <f>IFERROR(""&amp;INDEX(tk_DNOTES,MATCH(264,tk_DSEQ,0)),"")</f>
        <v/>
      </c>
    </row>
    <row r="270">
      <c r="A270" s="70">
        <f>IFERROR(""&amp;INDEX(tk_MARK,MATCH(265,tk_DSEQ,0)),"")</f>
        <v/>
      </c>
      <c r="B270" s="70">
        <f>IFERROR(INDEX(tk_QTY,MATCH(265,tk_DSEQ,0)),"")</f>
        <v/>
      </c>
      <c r="C270" s="70">
        <f>IFERROR(INDEX(tk_ROOMF,MATCH(265,tk_DSEQ,0))&amp;IF(INDEX(tk_ROOMT,MATCH(265,tk_DSEQ,0))="",""," → "&amp;INDEX(tk_ROOMT,MATCH(265,tk_DSEQ,0))),"")</f>
        <v/>
      </c>
      <c r="D270" s="70">
        <f>IFERROR(INDEX(tk_LEAVES,MATCH(265,tk_DSEQ,0)),"")</f>
        <v/>
      </c>
      <c r="E270" s="70">
        <f>IFERROR(""&amp;INDEX(tk_RATING,MATCH(265,tk_DSEQ,0)),"")</f>
        <v/>
      </c>
      <c r="F270" s="70">
        <f>IFERROR(TEXT(INDEX(tk_LEAFW,MATCH(265,tk_DSEQ,0)),"0.000")&amp;" x "&amp;TEXT(INDEX(tk_LEAFH,MATCH(265,tk_DSEQ,0)),"0.000"),"")</f>
        <v/>
      </c>
      <c r="G270" s="70">
        <f>IFERROR(""&amp;INDEX(tk_DLINE,MATCH(265,tk_DSEQ,0)),"")</f>
        <v/>
      </c>
      <c r="H270" s="70">
        <f>IFERROR(""&amp;INDEX(tk_DNOTES,MATCH(265,tk_DSEQ,0)),"")</f>
        <v/>
      </c>
    </row>
    <row r="271">
      <c r="A271" s="70">
        <f>IFERROR(""&amp;INDEX(tk_MARK,MATCH(266,tk_DSEQ,0)),"")</f>
        <v/>
      </c>
      <c r="B271" s="70">
        <f>IFERROR(INDEX(tk_QTY,MATCH(266,tk_DSEQ,0)),"")</f>
        <v/>
      </c>
      <c r="C271" s="70">
        <f>IFERROR(INDEX(tk_ROOMF,MATCH(266,tk_DSEQ,0))&amp;IF(INDEX(tk_ROOMT,MATCH(266,tk_DSEQ,0))="",""," → "&amp;INDEX(tk_ROOMT,MATCH(266,tk_DSEQ,0))),"")</f>
        <v/>
      </c>
      <c r="D271" s="70">
        <f>IFERROR(INDEX(tk_LEAVES,MATCH(266,tk_DSEQ,0)),"")</f>
        <v/>
      </c>
      <c r="E271" s="70">
        <f>IFERROR(""&amp;INDEX(tk_RATING,MATCH(266,tk_DSEQ,0)),"")</f>
        <v/>
      </c>
      <c r="F271" s="70">
        <f>IFERROR(TEXT(INDEX(tk_LEAFW,MATCH(266,tk_DSEQ,0)),"0.000")&amp;" x "&amp;TEXT(INDEX(tk_LEAFH,MATCH(266,tk_DSEQ,0)),"0.000"),"")</f>
        <v/>
      </c>
      <c r="G271" s="70">
        <f>IFERROR(""&amp;INDEX(tk_DLINE,MATCH(266,tk_DSEQ,0)),"")</f>
        <v/>
      </c>
      <c r="H271" s="70">
        <f>IFERROR(""&amp;INDEX(tk_DNOTES,MATCH(266,tk_DSEQ,0)),"")</f>
        <v/>
      </c>
    </row>
    <row r="272">
      <c r="A272" s="70">
        <f>IFERROR(""&amp;INDEX(tk_MARK,MATCH(267,tk_DSEQ,0)),"")</f>
        <v/>
      </c>
      <c r="B272" s="70">
        <f>IFERROR(INDEX(tk_QTY,MATCH(267,tk_DSEQ,0)),"")</f>
        <v/>
      </c>
      <c r="C272" s="70">
        <f>IFERROR(INDEX(tk_ROOMF,MATCH(267,tk_DSEQ,0))&amp;IF(INDEX(tk_ROOMT,MATCH(267,tk_DSEQ,0))="",""," → "&amp;INDEX(tk_ROOMT,MATCH(267,tk_DSEQ,0))),"")</f>
        <v/>
      </c>
      <c r="D272" s="70">
        <f>IFERROR(INDEX(tk_LEAVES,MATCH(267,tk_DSEQ,0)),"")</f>
        <v/>
      </c>
      <c r="E272" s="70">
        <f>IFERROR(""&amp;INDEX(tk_RATING,MATCH(267,tk_DSEQ,0)),"")</f>
        <v/>
      </c>
      <c r="F272" s="70">
        <f>IFERROR(TEXT(INDEX(tk_LEAFW,MATCH(267,tk_DSEQ,0)),"0.000")&amp;" x "&amp;TEXT(INDEX(tk_LEAFH,MATCH(267,tk_DSEQ,0)),"0.000"),"")</f>
        <v/>
      </c>
      <c r="G272" s="70">
        <f>IFERROR(""&amp;INDEX(tk_DLINE,MATCH(267,tk_DSEQ,0)),"")</f>
        <v/>
      </c>
      <c r="H272" s="70">
        <f>IFERROR(""&amp;INDEX(tk_DNOTES,MATCH(267,tk_DSEQ,0)),"")</f>
        <v/>
      </c>
    </row>
    <row r="273">
      <c r="A273" s="70">
        <f>IFERROR(""&amp;INDEX(tk_MARK,MATCH(268,tk_DSEQ,0)),"")</f>
        <v/>
      </c>
      <c r="B273" s="70">
        <f>IFERROR(INDEX(tk_QTY,MATCH(268,tk_DSEQ,0)),"")</f>
        <v/>
      </c>
      <c r="C273" s="70">
        <f>IFERROR(INDEX(tk_ROOMF,MATCH(268,tk_DSEQ,0))&amp;IF(INDEX(tk_ROOMT,MATCH(268,tk_DSEQ,0))="",""," → "&amp;INDEX(tk_ROOMT,MATCH(268,tk_DSEQ,0))),"")</f>
        <v/>
      </c>
      <c r="D273" s="70">
        <f>IFERROR(INDEX(tk_LEAVES,MATCH(268,tk_DSEQ,0)),"")</f>
        <v/>
      </c>
      <c r="E273" s="70">
        <f>IFERROR(""&amp;INDEX(tk_RATING,MATCH(268,tk_DSEQ,0)),"")</f>
        <v/>
      </c>
      <c r="F273" s="70">
        <f>IFERROR(TEXT(INDEX(tk_LEAFW,MATCH(268,tk_DSEQ,0)),"0.000")&amp;" x "&amp;TEXT(INDEX(tk_LEAFH,MATCH(268,tk_DSEQ,0)),"0.000"),"")</f>
        <v/>
      </c>
      <c r="G273" s="70">
        <f>IFERROR(""&amp;INDEX(tk_DLINE,MATCH(268,tk_DSEQ,0)),"")</f>
        <v/>
      </c>
      <c r="H273" s="70">
        <f>IFERROR(""&amp;INDEX(tk_DNOTES,MATCH(268,tk_DSEQ,0)),"")</f>
        <v/>
      </c>
    </row>
    <row r="274">
      <c r="A274" s="70">
        <f>IFERROR(""&amp;INDEX(tk_MARK,MATCH(269,tk_DSEQ,0)),"")</f>
        <v/>
      </c>
      <c r="B274" s="70">
        <f>IFERROR(INDEX(tk_QTY,MATCH(269,tk_DSEQ,0)),"")</f>
        <v/>
      </c>
      <c r="C274" s="70">
        <f>IFERROR(INDEX(tk_ROOMF,MATCH(269,tk_DSEQ,0))&amp;IF(INDEX(tk_ROOMT,MATCH(269,tk_DSEQ,0))="",""," → "&amp;INDEX(tk_ROOMT,MATCH(269,tk_DSEQ,0))),"")</f>
        <v/>
      </c>
      <c r="D274" s="70">
        <f>IFERROR(INDEX(tk_LEAVES,MATCH(269,tk_DSEQ,0)),"")</f>
        <v/>
      </c>
      <c r="E274" s="70">
        <f>IFERROR(""&amp;INDEX(tk_RATING,MATCH(269,tk_DSEQ,0)),"")</f>
        <v/>
      </c>
      <c r="F274" s="70">
        <f>IFERROR(TEXT(INDEX(tk_LEAFW,MATCH(269,tk_DSEQ,0)),"0.000")&amp;" x "&amp;TEXT(INDEX(tk_LEAFH,MATCH(269,tk_DSEQ,0)),"0.000"),"")</f>
        <v/>
      </c>
      <c r="G274" s="70">
        <f>IFERROR(""&amp;INDEX(tk_DLINE,MATCH(269,tk_DSEQ,0)),"")</f>
        <v/>
      </c>
      <c r="H274" s="70">
        <f>IFERROR(""&amp;INDEX(tk_DNOTES,MATCH(269,tk_DSEQ,0)),"")</f>
        <v/>
      </c>
    </row>
    <row r="275">
      <c r="A275" s="70">
        <f>IFERROR(""&amp;INDEX(tk_MARK,MATCH(270,tk_DSEQ,0)),"")</f>
        <v/>
      </c>
      <c r="B275" s="70">
        <f>IFERROR(INDEX(tk_QTY,MATCH(270,tk_DSEQ,0)),"")</f>
        <v/>
      </c>
      <c r="C275" s="70">
        <f>IFERROR(INDEX(tk_ROOMF,MATCH(270,tk_DSEQ,0))&amp;IF(INDEX(tk_ROOMT,MATCH(270,tk_DSEQ,0))="",""," → "&amp;INDEX(tk_ROOMT,MATCH(270,tk_DSEQ,0))),"")</f>
        <v/>
      </c>
      <c r="D275" s="70">
        <f>IFERROR(INDEX(tk_LEAVES,MATCH(270,tk_DSEQ,0)),"")</f>
        <v/>
      </c>
      <c r="E275" s="70">
        <f>IFERROR(""&amp;INDEX(tk_RATING,MATCH(270,tk_DSEQ,0)),"")</f>
        <v/>
      </c>
      <c r="F275" s="70">
        <f>IFERROR(TEXT(INDEX(tk_LEAFW,MATCH(270,tk_DSEQ,0)),"0.000")&amp;" x "&amp;TEXT(INDEX(tk_LEAFH,MATCH(270,tk_DSEQ,0)),"0.000"),"")</f>
        <v/>
      </c>
      <c r="G275" s="70">
        <f>IFERROR(""&amp;INDEX(tk_DLINE,MATCH(270,tk_DSEQ,0)),"")</f>
        <v/>
      </c>
      <c r="H275" s="70">
        <f>IFERROR(""&amp;INDEX(tk_DNOTES,MATCH(270,tk_DSEQ,0)),"")</f>
        <v/>
      </c>
    </row>
    <row r="276">
      <c r="A276" s="70">
        <f>IFERROR(""&amp;INDEX(tk_MARK,MATCH(271,tk_DSEQ,0)),"")</f>
        <v/>
      </c>
      <c r="B276" s="70">
        <f>IFERROR(INDEX(tk_QTY,MATCH(271,tk_DSEQ,0)),"")</f>
        <v/>
      </c>
      <c r="C276" s="70">
        <f>IFERROR(INDEX(tk_ROOMF,MATCH(271,tk_DSEQ,0))&amp;IF(INDEX(tk_ROOMT,MATCH(271,tk_DSEQ,0))="",""," → "&amp;INDEX(tk_ROOMT,MATCH(271,tk_DSEQ,0))),"")</f>
        <v/>
      </c>
      <c r="D276" s="70">
        <f>IFERROR(INDEX(tk_LEAVES,MATCH(271,tk_DSEQ,0)),"")</f>
        <v/>
      </c>
      <c r="E276" s="70">
        <f>IFERROR(""&amp;INDEX(tk_RATING,MATCH(271,tk_DSEQ,0)),"")</f>
        <v/>
      </c>
      <c r="F276" s="70">
        <f>IFERROR(TEXT(INDEX(tk_LEAFW,MATCH(271,tk_DSEQ,0)),"0.000")&amp;" x "&amp;TEXT(INDEX(tk_LEAFH,MATCH(271,tk_DSEQ,0)),"0.000"),"")</f>
        <v/>
      </c>
      <c r="G276" s="70">
        <f>IFERROR(""&amp;INDEX(tk_DLINE,MATCH(271,tk_DSEQ,0)),"")</f>
        <v/>
      </c>
      <c r="H276" s="70">
        <f>IFERROR(""&amp;INDEX(tk_DNOTES,MATCH(271,tk_DSEQ,0)),"")</f>
        <v/>
      </c>
    </row>
    <row r="277">
      <c r="A277" s="70">
        <f>IFERROR(""&amp;INDEX(tk_MARK,MATCH(272,tk_DSEQ,0)),"")</f>
        <v/>
      </c>
      <c r="B277" s="70">
        <f>IFERROR(INDEX(tk_QTY,MATCH(272,tk_DSEQ,0)),"")</f>
        <v/>
      </c>
      <c r="C277" s="70">
        <f>IFERROR(INDEX(tk_ROOMF,MATCH(272,tk_DSEQ,0))&amp;IF(INDEX(tk_ROOMT,MATCH(272,tk_DSEQ,0))="",""," → "&amp;INDEX(tk_ROOMT,MATCH(272,tk_DSEQ,0))),"")</f>
        <v/>
      </c>
      <c r="D277" s="70">
        <f>IFERROR(INDEX(tk_LEAVES,MATCH(272,tk_DSEQ,0)),"")</f>
        <v/>
      </c>
      <c r="E277" s="70">
        <f>IFERROR(""&amp;INDEX(tk_RATING,MATCH(272,tk_DSEQ,0)),"")</f>
        <v/>
      </c>
      <c r="F277" s="70">
        <f>IFERROR(TEXT(INDEX(tk_LEAFW,MATCH(272,tk_DSEQ,0)),"0.000")&amp;" x "&amp;TEXT(INDEX(tk_LEAFH,MATCH(272,tk_DSEQ,0)),"0.000"),"")</f>
        <v/>
      </c>
      <c r="G277" s="70">
        <f>IFERROR(""&amp;INDEX(tk_DLINE,MATCH(272,tk_DSEQ,0)),"")</f>
        <v/>
      </c>
      <c r="H277" s="70">
        <f>IFERROR(""&amp;INDEX(tk_DNOTES,MATCH(272,tk_DSEQ,0)),"")</f>
        <v/>
      </c>
    </row>
    <row r="278">
      <c r="A278" s="70">
        <f>IFERROR(""&amp;INDEX(tk_MARK,MATCH(273,tk_DSEQ,0)),"")</f>
        <v/>
      </c>
      <c r="B278" s="70">
        <f>IFERROR(INDEX(tk_QTY,MATCH(273,tk_DSEQ,0)),"")</f>
        <v/>
      </c>
      <c r="C278" s="70">
        <f>IFERROR(INDEX(tk_ROOMF,MATCH(273,tk_DSEQ,0))&amp;IF(INDEX(tk_ROOMT,MATCH(273,tk_DSEQ,0))="",""," → "&amp;INDEX(tk_ROOMT,MATCH(273,tk_DSEQ,0))),"")</f>
        <v/>
      </c>
      <c r="D278" s="70">
        <f>IFERROR(INDEX(tk_LEAVES,MATCH(273,tk_DSEQ,0)),"")</f>
        <v/>
      </c>
      <c r="E278" s="70">
        <f>IFERROR(""&amp;INDEX(tk_RATING,MATCH(273,tk_DSEQ,0)),"")</f>
        <v/>
      </c>
      <c r="F278" s="70">
        <f>IFERROR(TEXT(INDEX(tk_LEAFW,MATCH(273,tk_DSEQ,0)),"0.000")&amp;" x "&amp;TEXT(INDEX(tk_LEAFH,MATCH(273,tk_DSEQ,0)),"0.000"),"")</f>
        <v/>
      </c>
      <c r="G278" s="70">
        <f>IFERROR(""&amp;INDEX(tk_DLINE,MATCH(273,tk_DSEQ,0)),"")</f>
        <v/>
      </c>
      <c r="H278" s="70">
        <f>IFERROR(""&amp;INDEX(tk_DNOTES,MATCH(273,tk_DSEQ,0)),"")</f>
        <v/>
      </c>
    </row>
    <row r="279">
      <c r="A279" s="70">
        <f>IFERROR(""&amp;INDEX(tk_MARK,MATCH(274,tk_DSEQ,0)),"")</f>
        <v/>
      </c>
      <c r="B279" s="70">
        <f>IFERROR(INDEX(tk_QTY,MATCH(274,tk_DSEQ,0)),"")</f>
        <v/>
      </c>
      <c r="C279" s="70">
        <f>IFERROR(INDEX(tk_ROOMF,MATCH(274,tk_DSEQ,0))&amp;IF(INDEX(tk_ROOMT,MATCH(274,tk_DSEQ,0))="",""," → "&amp;INDEX(tk_ROOMT,MATCH(274,tk_DSEQ,0))),"")</f>
        <v/>
      </c>
      <c r="D279" s="70">
        <f>IFERROR(INDEX(tk_LEAVES,MATCH(274,tk_DSEQ,0)),"")</f>
        <v/>
      </c>
      <c r="E279" s="70">
        <f>IFERROR(""&amp;INDEX(tk_RATING,MATCH(274,tk_DSEQ,0)),"")</f>
        <v/>
      </c>
      <c r="F279" s="70">
        <f>IFERROR(TEXT(INDEX(tk_LEAFW,MATCH(274,tk_DSEQ,0)),"0.000")&amp;" x "&amp;TEXT(INDEX(tk_LEAFH,MATCH(274,tk_DSEQ,0)),"0.000"),"")</f>
        <v/>
      </c>
      <c r="G279" s="70">
        <f>IFERROR(""&amp;INDEX(tk_DLINE,MATCH(274,tk_DSEQ,0)),"")</f>
        <v/>
      </c>
      <c r="H279" s="70">
        <f>IFERROR(""&amp;INDEX(tk_DNOTES,MATCH(274,tk_DSEQ,0)),"")</f>
        <v/>
      </c>
    </row>
    <row r="280">
      <c r="A280" s="70">
        <f>IFERROR(""&amp;INDEX(tk_MARK,MATCH(275,tk_DSEQ,0)),"")</f>
        <v/>
      </c>
      <c r="B280" s="70">
        <f>IFERROR(INDEX(tk_QTY,MATCH(275,tk_DSEQ,0)),"")</f>
        <v/>
      </c>
      <c r="C280" s="70">
        <f>IFERROR(INDEX(tk_ROOMF,MATCH(275,tk_DSEQ,0))&amp;IF(INDEX(tk_ROOMT,MATCH(275,tk_DSEQ,0))="",""," → "&amp;INDEX(tk_ROOMT,MATCH(275,tk_DSEQ,0))),"")</f>
        <v/>
      </c>
      <c r="D280" s="70">
        <f>IFERROR(INDEX(tk_LEAVES,MATCH(275,tk_DSEQ,0)),"")</f>
        <v/>
      </c>
      <c r="E280" s="70">
        <f>IFERROR(""&amp;INDEX(tk_RATING,MATCH(275,tk_DSEQ,0)),"")</f>
        <v/>
      </c>
      <c r="F280" s="70">
        <f>IFERROR(TEXT(INDEX(tk_LEAFW,MATCH(275,tk_DSEQ,0)),"0.000")&amp;" x "&amp;TEXT(INDEX(tk_LEAFH,MATCH(275,tk_DSEQ,0)),"0.000"),"")</f>
        <v/>
      </c>
      <c r="G280" s="70">
        <f>IFERROR(""&amp;INDEX(tk_DLINE,MATCH(275,tk_DSEQ,0)),"")</f>
        <v/>
      </c>
      <c r="H280" s="70">
        <f>IFERROR(""&amp;INDEX(tk_DNOTES,MATCH(275,tk_DSEQ,0)),"")</f>
        <v/>
      </c>
    </row>
    <row r="281">
      <c r="A281" s="70">
        <f>IFERROR(""&amp;INDEX(tk_MARK,MATCH(276,tk_DSEQ,0)),"")</f>
        <v/>
      </c>
      <c r="B281" s="70">
        <f>IFERROR(INDEX(tk_QTY,MATCH(276,tk_DSEQ,0)),"")</f>
        <v/>
      </c>
      <c r="C281" s="70">
        <f>IFERROR(INDEX(tk_ROOMF,MATCH(276,tk_DSEQ,0))&amp;IF(INDEX(tk_ROOMT,MATCH(276,tk_DSEQ,0))="",""," → "&amp;INDEX(tk_ROOMT,MATCH(276,tk_DSEQ,0))),"")</f>
        <v/>
      </c>
      <c r="D281" s="70">
        <f>IFERROR(INDEX(tk_LEAVES,MATCH(276,tk_DSEQ,0)),"")</f>
        <v/>
      </c>
      <c r="E281" s="70">
        <f>IFERROR(""&amp;INDEX(tk_RATING,MATCH(276,tk_DSEQ,0)),"")</f>
        <v/>
      </c>
      <c r="F281" s="70">
        <f>IFERROR(TEXT(INDEX(tk_LEAFW,MATCH(276,tk_DSEQ,0)),"0.000")&amp;" x "&amp;TEXT(INDEX(tk_LEAFH,MATCH(276,tk_DSEQ,0)),"0.000"),"")</f>
        <v/>
      </c>
      <c r="G281" s="70">
        <f>IFERROR(""&amp;INDEX(tk_DLINE,MATCH(276,tk_DSEQ,0)),"")</f>
        <v/>
      </c>
      <c r="H281" s="70">
        <f>IFERROR(""&amp;INDEX(tk_DNOTES,MATCH(276,tk_DSEQ,0)),"")</f>
        <v/>
      </c>
    </row>
    <row r="282">
      <c r="A282" s="70">
        <f>IFERROR(""&amp;INDEX(tk_MARK,MATCH(277,tk_DSEQ,0)),"")</f>
        <v/>
      </c>
      <c r="B282" s="70">
        <f>IFERROR(INDEX(tk_QTY,MATCH(277,tk_DSEQ,0)),"")</f>
        <v/>
      </c>
      <c r="C282" s="70">
        <f>IFERROR(INDEX(tk_ROOMF,MATCH(277,tk_DSEQ,0))&amp;IF(INDEX(tk_ROOMT,MATCH(277,tk_DSEQ,0))="",""," → "&amp;INDEX(tk_ROOMT,MATCH(277,tk_DSEQ,0))),"")</f>
        <v/>
      </c>
      <c r="D282" s="70">
        <f>IFERROR(INDEX(tk_LEAVES,MATCH(277,tk_DSEQ,0)),"")</f>
        <v/>
      </c>
      <c r="E282" s="70">
        <f>IFERROR(""&amp;INDEX(tk_RATING,MATCH(277,tk_DSEQ,0)),"")</f>
        <v/>
      </c>
      <c r="F282" s="70">
        <f>IFERROR(TEXT(INDEX(tk_LEAFW,MATCH(277,tk_DSEQ,0)),"0.000")&amp;" x "&amp;TEXT(INDEX(tk_LEAFH,MATCH(277,tk_DSEQ,0)),"0.000"),"")</f>
        <v/>
      </c>
      <c r="G282" s="70">
        <f>IFERROR(""&amp;INDEX(tk_DLINE,MATCH(277,tk_DSEQ,0)),"")</f>
        <v/>
      </c>
      <c r="H282" s="70">
        <f>IFERROR(""&amp;INDEX(tk_DNOTES,MATCH(277,tk_DSEQ,0)),"")</f>
        <v/>
      </c>
    </row>
    <row r="283">
      <c r="A283" s="70">
        <f>IFERROR(""&amp;INDEX(tk_MARK,MATCH(278,tk_DSEQ,0)),"")</f>
        <v/>
      </c>
      <c r="B283" s="70">
        <f>IFERROR(INDEX(tk_QTY,MATCH(278,tk_DSEQ,0)),"")</f>
        <v/>
      </c>
      <c r="C283" s="70">
        <f>IFERROR(INDEX(tk_ROOMF,MATCH(278,tk_DSEQ,0))&amp;IF(INDEX(tk_ROOMT,MATCH(278,tk_DSEQ,0))="",""," → "&amp;INDEX(tk_ROOMT,MATCH(278,tk_DSEQ,0))),"")</f>
        <v/>
      </c>
      <c r="D283" s="70">
        <f>IFERROR(INDEX(tk_LEAVES,MATCH(278,tk_DSEQ,0)),"")</f>
        <v/>
      </c>
      <c r="E283" s="70">
        <f>IFERROR(""&amp;INDEX(tk_RATING,MATCH(278,tk_DSEQ,0)),"")</f>
        <v/>
      </c>
      <c r="F283" s="70">
        <f>IFERROR(TEXT(INDEX(tk_LEAFW,MATCH(278,tk_DSEQ,0)),"0.000")&amp;" x "&amp;TEXT(INDEX(tk_LEAFH,MATCH(278,tk_DSEQ,0)),"0.000"),"")</f>
        <v/>
      </c>
      <c r="G283" s="70">
        <f>IFERROR(""&amp;INDEX(tk_DLINE,MATCH(278,tk_DSEQ,0)),"")</f>
        <v/>
      </c>
      <c r="H283" s="70">
        <f>IFERROR(""&amp;INDEX(tk_DNOTES,MATCH(278,tk_DSEQ,0)),"")</f>
        <v/>
      </c>
    </row>
    <row r="284">
      <c r="A284" s="70">
        <f>IFERROR(""&amp;INDEX(tk_MARK,MATCH(279,tk_DSEQ,0)),"")</f>
        <v/>
      </c>
      <c r="B284" s="70">
        <f>IFERROR(INDEX(tk_QTY,MATCH(279,tk_DSEQ,0)),"")</f>
        <v/>
      </c>
      <c r="C284" s="70">
        <f>IFERROR(INDEX(tk_ROOMF,MATCH(279,tk_DSEQ,0))&amp;IF(INDEX(tk_ROOMT,MATCH(279,tk_DSEQ,0))="",""," → "&amp;INDEX(tk_ROOMT,MATCH(279,tk_DSEQ,0))),"")</f>
        <v/>
      </c>
      <c r="D284" s="70">
        <f>IFERROR(INDEX(tk_LEAVES,MATCH(279,tk_DSEQ,0)),"")</f>
        <v/>
      </c>
      <c r="E284" s="70">
        <f>IFERROR(""&amp;INDEX(tk_RATING,MATCH(279,tk_DSEQ,0)),"")</f>
        <v/>
      </c>
      <c r="F284" s="70">
        <f>IFERROR(TEXT(INDEX(tk_LEAFW,MATCH(279,tk_DSEQ,0)),"0.000")&amp;" x "&amp;TEXT(INDEX(tk_LEAFH,MATCH(279,tk_DSEQ,0)),"0.000"),"")</f>
        <v/>
      </c>
      <c r="G284" s="70">
        <f>IFERROR(""&amp;INDEX(tk_DLINE,MATCH(279,tk_DSEQ,0)),"")</f>
        <v/>
      </c>
      <c r="H284" s="70">
        <f>IFERROR(""&amp;INDEX(tk_DNOTES,MATCH(279,tk_DSEQ,0)),"")</f>
        <v/>
      </c>
    </row>
    <row r="285">
      <c r="A285" s="70">
        <f>IFERROR(""&amp;INDEX(tk_MARK,MATCH(280,tk_DSEQ,0)),"")</f>
        <v/>
      </c>
      <c r="B285" s="70">
        <f>IFERROR(INDEX(tk_QTY,MATCH(280,tk_DSEQ,0)),"")</f>
        <v/>
      </c>
      <c r="C285" s="70">
        <f>IFERROR(INDEX(tk_ROOMF,MATCH(280,tk_DSEQ,0))&amp;IF(INDEX(tk_ROOMT,MATCH(280,tk_DSEQ,0))="",""," → "&amp;INDEX(tk_ROOMT,MATCH(280,tk_DSEQ,0))),"")</f>
        <v/>
      </c>
      <c r="D285" s="70">
        <f>IFERROR(INDEX(tk_LEAVES,MATCH(280,tk_DSEQ,0)),"")</f>
        <v/>
      </c>
      <c r="E285" s="70">
        <f>IFERROR(""&amp;INDEX(tk_RATING,MATCH(280,tk_DSEQ,0)),"")</f>
        <v/>
      </c>
      <c r="F285" s="70">
        <f>IFERROR(TEXT(INDEX(tk_LEAFW,MATCH(280,tk_DSEQ,0)),"0.000")&amp;" x "&amp;TEXT(INDEX(tk_LEAFH,MATCH(280,tk_DSEQ,0)),"0.000"),"")</f>
        <v/>
      </c>
      <c r="G285" s="70">
        <f>IFERROR(""&amp;INDEX(tk_DLINE,MATCH(280,tk_DSEQ,0)),"")</f>
        <v/>
      </c>
      <c r="H285" s="70">
        <f>IFERROR(""&amp;INDEX(tk_DNOTES,MATCH(280,tk_DSEQ,0)),"")</f>
        <v/>
      </c>
    </row>
    <row r="286">
      <c r="A286" s="70">
        <f>IFERROR(""&amp;INDEX(tk_MARK,MATCH(281,tk_DSEQ,0)),"")</f>
        <v/>
      </c>
      <c r="B286" s="70">
        <f>IFERROR(INDEX(tk_QTY,MATCH(281,tk_DSEQ,0)),"")</f>
        <v/>
      </c>
      <c r="C286" s="70">
        <f>IFERROR(INDEX(tk_ROOMF,MATCH(281,tk_DSEQ,0))&amp;IF(INDEX(tk_ROOMT,MATCH(281,tk_DSEQ,0))="",""," → "&amp;INDEX(tk_ROOMT,MATCH(281,tk_DSEQ,0))),"")</f>
        <v/>
      </c>
      <c r="D286" s="70">
        <f>IFERROR(INDEX(tk_LEAVES,MATCH(281,tk_DSEQ,0)),"")</f>
        <v/>
      </c>
      <c r="E286" s="70">
        <f>IFERROR(""&amp;INDEX(tk_RATING,MATCH(281,tk_DSEQ,0)),"")</f>
        <v/>
      </c>
      <c r="F286" s="70">
        <f>IFERROR(TEXT(INDEX(tk_LEAFW,MATCH(281,tk_DSEQ,0)),"0.000")&amp;" x "&amp;TEXT(INDEX(tk_LEAFH,MATCH(281,tk_DSEQ,0)),"0.000"),"")</f>
        <v/>
      </c>
      <c r="G286" s="70">
        <f>IFERROR(""&amp;INDEX(tk_DLINE,MATCH(281,tk_DSEQ,0)),"")</f>
        <v/>
      </c>
      <c r="H286" s="70">
        <f>IFERROR(""&amp;INDEX(tk_DNOTES,MATCH(281,tk_DSEQ,0)),"")</f>
        <v/>
      </c>
    </row>
    <row r="287">
      <c r="A287" s="70">
        <f>IFERROR(""&amp;INDEX(tk_MARK,MATCH(282,tk_DSEQ,0)),"")</f>
        <v/>
      </c>
      <c r="B287" s="70">
        <f>IFERROR(INDEX(tk_QTY,MATCH(282,tk_DSEQ,0)),"")</f>
        <v/>
      </c>
      <c r="C287" s="70">
        <f>IFERROR(INDEX(tk_ROOMF,MATCH(282,tk_DSEQ,0))&amp;IF(INDEX(tk_ROOMT,MATCH(282,tk_DSEQ,0))="",""," → "&amp;INDEX(tk_ROOMT,MATCH(282,tk_DSEQ,0))),"")</f>
        <v/>
      </c>
      <c r="D287" s="70">
        <f>IFERROR(INDEX(tk_LEAVES,MATCH(282,tk_DSEQ,0)),"")</f>
        <v/>
      </c>
      <c r="E287" s="70">
        <f>IFERROR(""&amp;INDEX(tk_RATING,MATCH(282,tk_DSEQ,0)),"")</f>
        <v/>
      </c>
      <c r="F287" s="70">
        <f>IFERROR(TEXT(INDEX(tk_LEAFW,MATCH(282,tk_DSEQ,0)),"0.000")&amp;" x "&amp;TEXT(INDEX(tk_LEAFH,MATCH(282,tk_DSEQ,0)),"0.000"),"")</f>
        <v/>
      </c>
      <c r="G287" s="70">
        <f>IFERROR(""&amp;INDEX(tk_DLINE,MATCH(282,tk_DSEQ,0)),"")</f>
        <v/>
      </c>
      <c r="H287" s="70">
        <f>IFERROR(""&amp;INDEX(tk_DNOTES,MATCH(282,tk_DSEQ,0)),"")</f>
        <v/>
      </c>
    </row>
    <row r="288">
      <c r="A288" s="70">
        <f>IFERROR(""&amp;INDEX(tk_MARK,MATCH(283,tk_DSEQ,0)),"")</f>
        <v/>
      </c>
      <c r="B288" s="70">
        <f>IFERROR(INDEX(tk_QTY,MATCH(283,tk_DSEQ,0)),"")</f>
        <v/>
      </c>
      <c r="C288" s="70">
        <f>IFERROR(INDEX(tk_ROOMF,MATCH(283,tk_DSEQ,0))&amp;IF(INDEX(tk_ROOMT,MATCH(283,tk_DSEQ,0))="",""," → "&amp;INDEX(tk_ROOMT,MATCH(283,tk_DSEQ,0))),"")</f>
        <v/>
      </c>
      <c r="D288" s="70">
        <f>IFERROR(INDEX(tk_LEAVES,MATCH(283,tk_DSEQ,0)),"")</f>
        <v/>
      </c>
      <c r="E288" s="70">
        <f>IFERROR(""&amp;INDEX(tk_RATING,MATCH(283,tk_DSEQ,0)),"")</f>
        <v/>
      </c>
      <c r="F288" s="70">
        <f>IFERROR(TEXT(INDEX(tk_LEAFW,MATCH(283,tk_DSEQ,0)),"0.000")&amp;" x "&amp;TEXT(INDEX(tk_LEAFH,MATCH(283,tk_DSEQ,0)),"0.000"),"")</f>
        <v/>
      </c>
      <c r="G288" s="70">
        <f>IFERROR(""&amp;INDEX(tk_DLINE,MATCH(283,tk_DSEQ,0)),"")</f>
        <v/>
      </c>
      <c r="H288" s="70">
        <f>IFERROR(""&amp;INDEX(tk_DNOTES,MATCH(283,tk_DSEQ,0)),"")</f>
        <v/>
      </c>
    </row>
    <row r="289">
      <c r="A289" s="70">
        <f>IFERROR(""&amp;INDEX(tk_MARK,MATCH(284,tk_DSEQ,0)),"")</f>
        <v/>
      </c>
      <c r="B289" s="70">
        <f>IFERROR(INDEX(tk_QTY,MATCH(284,tk_DSEQ,0)),"")</f>
        <v/>
      </c>
      <c r="C289" s="70">
        <f>IFERROR(INDEX(tk_ROOMF,MATCH(284,tk_DSEQ,0))&amp;IF(INDEX(tk_ROOMT,MATCH(284,tk_DSEQ,0))="",""," → "&amp;INDEX(tk_ROOMT,MATCH(284,tk_DSEQ,0))),"")</f>
        <v/>
      </c>
      <c r="D289" s="70">
        <f>IFERROR(INDEX(tk_LEAVES,MATCH(284,tk_DSEQ,0)),"")</f>
        <v/>
      </c>
      <c r="E289" s="70">
        <f>IFERROR(""&amp;INDEX(tk_RATING,MATCH(284,tk_DSEQ,0)),"")</f>
        <v/>
      </c>
      <c r="F289" s="70">
        <f>IFERROR(TEXT(INDEX(tk_LEAFW,MATCH(284,tk_DSEQ,0)),"0.000")&amp;" x "&amp;TEXT(INDEX(tk_LEAFH,MATCH(284,tk_DSEQ,0)),"0.000"),"")</f>
        <v/>
      </c>
      <c r="G289" s="70">
        <f>IFERROR(""&amp;INDEX(tk_DLINE,MATCH(284,tk_DSEQ,0)),"")</f>
        <v/>
      </c>
      <c r="H289" s="70">
        <f>IFERROR(""&amp;INDEX(tk_DNOTES,MATCH(284,tk_DSEQ,0)),"")</f>
        <v/>
      </c>
    </row>
    <row r="290">
      <c r="A290" s="70">
        <f>IFERROR(""&amp;INDEX(tk_MARK,MATCH(285,tk_DSEQ,0)),"")</f>
        <v/>
      </c>
      <c r="B290" s="70">
        <f>IFERROR(INDEX(tk_QTY,MATCH(285,tk_DSEQ,0)),"")</f>
        <v/>
      </c>
      <c r="C290" s="70">
        <f>IFERROR(INDEX(tk_ROOMF,MATCH(285,tk_DSEQ,0))&amp;IF(INDEX(tk_ROOMT,MATCH(285,tk_DSEQ,0))="",""," → "&amp;INDEX(tk_ROOMT,MATCH(285,tk_DSEQ,0))),"")</f>
        <v/>
      </c>
      <c r="D290" s="70">
        <f>IFERROR(INDEX(tk_LEAVES,MATCH(285,tk_DSEQ,0)),"")</f>
        <v/>
      </c>
      <c r="E290" s="70">
        <f>IFERROR(""&amp;INDEX(tk_RATING,MATCH(285,tk_DSEQ,0)),"")</f>
        <v/>
      </c>
      <c r="F290" s="70">
        <f>IFERROR(TEXT(INDEX(tk_LEAFW,MATCH(285,tk_DSEQ,0)),"0.000")&amp;" x "&amp;TEXT(INDEX(tk_LEAFH,MATCH(285,tk_DSEQ,0)),"0.000"),"")</f>
        <v/>
      </c>
      <c r="G290" s="70">
        <f>IFERROR(""&amp;INDEX(tk_DLINE,MATCH(285,tk_DSEQ,0)),"")</f>
        <v/>
      </c>
      <c r="H290" s="70">
        <f>IFERROR(""&amp;INDEX(tk_DNOTES,MATCH(285,tk_DSEQ,0)),"")</f>
        <v/>
      </c>
    </row>
    <row r="291">
      <c r="A291" s="70">
        <f>IFERROR(""&amp;INDEX(tk_MARK,MATCH(286,tk_DSEQ,0)),"")</f>
        <v/>
      </c>
      <c r="B291" s="70">
        <f>IFERROR(INDEX(tk_QTY,MATCH(286,tk_DSEQ,0)),"")</f>
        <v/>
      </c>
      <c r="C291" s="70">
        <f>IFERROR(INDEX(tk_ROOMF,MATCH(286,tk_DSEQ,0))&amp;IF(INDEX(tk_ROOMT,MATCH(286,tk_DSEQ,0))="",""," → "&amp;INDEX(tk_ROOMT,MATCH(286,tk_DSEQ,0))),"")</f>
        <v/>
      </c>
      <c r="D291" s="70">
        <f>IFERROR(INDEX(tk_LEAVES,MATCH(286,tk_DSEQ,0)),"")</f>
        <v/>
      </c>
      <c r="E291" s="70">
        <f>IFERROR(""&amp;INDEX(tk_RATING,MATCH(286,tk_DSEQ,0)),"")</f>
        <v/>
      </c>
      <c r="F291" s="70">
        <f>IFERROR(TEXT(INDEX(tk_LEAFW,MATCH(286,tk_DSEQ,0)),"0.000")&amp;" x "&amp;TEXT(INDEX(tk_LEAFH,MATCH(286,tk_DSEQ,0)),"0.000"),"")</f>
        <v/>
      </c>
      <c r="G291" s="70">
        <f>IFERROR(""&amp;INDEX(tk_DLINE,MATCH(286,tk_DSEQ,0)),"")</f>
        <v/>
      </c>
      <c r="H291" s="70">
        <f>IFERROR(""&amp;INDEX(tk_DNOTES,MATCH(286,tk_DSEQ,0)),"")</f>
        <v/>
      </c>
    </row>
    <row r="292">
      <c r="A292" s="70">
        <f>IFERROR(""&amp;INDEX(tk_MARK,MATCH(287,tk_DSEQ,0)),"")</f>
        <v/>
      </c>
      <c r="B292" s="70">
        <f>IFERROR(INDEX(tk_QTY,MATCH(287,tk_DSEQ,0)),"")</f>
        <v/>
      </c>
      <c r="C292" s="70">
        <f>IFERROR(INDEX(tk_ROOMF,MATCH(287,tk_DSEQ,0))&amp;IF(INDEX(tk_ROOMT,MATCH(287,tk_DSEQ,0))="",""," → "&amp;INDEX(tk_ROOMT,MATCH(287,tk_DSEQ,0))),"")</f>
        <v/>
      </c>
      <c r="D292" s="70">
        <f>IFERROR(INDEX(tk_LEAVES,MATCH(287,tk_DSEQ,0)),"")</f>
        <v/>
      </c>
      <c r="E292" s="70">
        <f>IFERROR(""&amp;INDEX(tk_RATING,MATCH(287,tk_DSEQ,0)),"")</f>
        <v/>
      </c>
      <c r="F292" s="70">
        <f>IFERROR(TEXT(INDEX(tk_LEAFW,MATCH(287,tk_DSEQ,0)),"0.000")&amp;" x "&amp;TEXT(INDEX(tk_LEAFH,MATCH(287,tk_DSEQ,0)),"0.000"),"")</f>
        <v/>
      </c>
      <c r="G292" s="70">
        <f>IFERROR(""&amp;INDEX(tk_DLINE,MATCH(287,tk_DSEQ,0)),"")</f>
        <v/>
      </c>
      <c r="H292" s="70">
        <f>IFERROR(""&amp;INDEX(tk_DNOTES,MATCH(287,tk_DSEQ,0)),"")</f>
        <v/>
      </c>
    </row>
    <row r="293">
      <c r="A293" s="70">
        <f>IFERROR(""&amp;INDEX(tk_MARK,MATCH(288,tk_DSEQ,0)),"")</f>
        <v/>
      </c>
      <c r="B293" s="70">
        <f>IFERROR(INDEX(tk_QTY,MATCH(288,tk_DSEQ,0)),"")</f>
        <v/>
      </c>
      <c r="C293" s="70">
        <f>IFERROR(INDEX(tk_ROOMF,MATCH(288,tk_DSEQ,0))&amp;IF(INDEX(tk_ROOMT,MATCH(288,tk_DSEQ,0))="",""," → "&amp;INDEX(tk_ROOMT,MATCH(288,tk_DSEQ,0))),"")</f>
        <v/>
      </c>
      <c r="D293" s="70">
        <f>IFERROR(INDEX(tk_LEAVES,MATCH(288,tk_DSEQ,0)),"")</f>
        <v/>
      </c>
      <c r="E293" s="70">
        <f>IFERROR(""&amp;INDEX(tk_RATING,MATCH(288,tk_DSEQ,0)),"")</f>
        <v/>
      </c>
      <c r="F293" s="70">
        <f>IFERROR(TEXT(INDEX(tk_LEAFW,MATCH(288,tk_DSEQ,0)),"0.000")&amp;" x "&amp;TEXT(INDEX(tk_LEAFH,MATCH(288,tk_DSEQ,0)),"0.000"),"")</f>
        <v/>
      </c>
      <c r="G293" s="70">
        <f>IFERROR(""&amp;INDEX(tk_DLINE,MATCH(288,tk_DSEQ,0)),"")</f>
        <v/>
      </c>
      <c r="H293" s="70">
        <f>IFERROR(""&amp;INDEX(tk_DNOTES,MATCH(288,tk_DSEQ,0)),"")</f>
        <v/>
      </c>
    </row>
    <row r="294">
      <c r="A294" s="70">
        <f>IFERROR(""&amp;INDEX(tk_MARK,MATCH(289,tk_DSEQ,0)),"")</f>
        <v/>
      </c>
      <c r="B294" s="70">
        <f>IFERROR(INDEX(tk_QTY,MATCH(289,tk_DSEQ,0)),"")</f>
        <v/>
      </c>
      <c r="C294" s="70">
        <f>IFERROR(INDEX(tk_ROOMF,MATCH(289,tk_DSEQ,0))&amp;IF(INDEX(tk_ROOMT,MATCH(289,tk_DSEQ,0))="",""," → "&amp;INDEX(tk_ROOMT,MATCH(289,tk_DSEQ,0))),"")</f>
        <v/>
      </c>
      <c r="D294" s="70">
        <f>IFERROR(INDEX(tk_LEAVES,MATCH(289,tk_DSEQ,0)),"")</f>
        <v/>
      </c>
      <c r="E294" s="70">
        <f>IFERROR(""&amp;INDEX(tk_RATING,MATCH(289,tk_DSEQ,0)),"")</f>
        <v/>
      </c>
      <c r="F294" s="70">
        <f>IFERROR(TEXT(INDEX(tk_LEAFW,MATCH(289,tk_DSEQ,0)),"0.000")&amp;" x "&amp;TEXT(INDEX(tk_LEAFH,MATCH(289,tk_DSEQ,0)),"0.000"),"")</f>
        <v/>
      </c>
      <c r="G294" s="70">
        <f>IFERROR(""&amp;INDEX(tk_DLINE,MATCH(289,tk_DSEQ,0)),"")</f>
        <v/>
      </c>
      <c r="H294" s="70">
        <f>IFERROR(""&amp;INDEX(tk_DNOTES,MATCH(289,tk_DSEQ,0)),"")</f>
        <v/>
      </c>
    </row>
    <row r="295">
      <c r="A295" s="70">
        <f>IFERROR(""&amp;INDEX(tk_MARK,MATCH(290,tk_DSEQ,0)),"")</f>
        <v/>
      </c>
      <c r="B295" s="70">
        <f>IFERROR(INDEX(tk_QTY,MATCH(290,tk_DSEQ,0)),"")</f>
        <v/>
      </c>
      <c r="C295" s="70">
        <f>IFERROR(INDEX(tk_ROOMF,MATCH(290,tk_DSEQ,0))&amp;IF(INDEX(tk_ROOMT,MATCH(290,tk_DSEQ,0))="",""," → "&amp;INDEX(tk_ROOMT,MATCH(290,tk_DSEQ,0))),"")</f>
        <v/>
      </c>
      <c r="D295" s="70">
        <f>IFERROR(INDEX(tk_LEAVES,MATCH(290,tk_DSEQ,0)),"")</f>
        <v/>
      </c>
      <c r="E295" s="70">
        <f>IFERROR(""&amp;INDEX(tk_RATING,MATCH(290,tk_DSEQ,0)),"")</f>
        <v/>
      </c>
      <c r="F295" s="70">
        <f>IFERROR(TEXT(INDEX(tk_LEAFW,MATCH(290,tk_DSEQ,0)),"0.000")&amp;" x "&amp;TEXT(INDEX(tk_LEAFH,MATCH(290,tk_DSEQ,0)),"0.000"),"")</f>
        <v/>
      </c>
      <c r="G295" s="70">
        <f>IFERROR(""&amp;INDEX(tk_DLINE,MATCH(290,tk_DSEQ,0)),"")</f>
        <v/>
      </c>
      <c r="H295" s="70">
        <f>IFERROR(""&amp;INDEX(tk_DNOTES,MATCH(290,tk_DSEQ,0)),"")</f>
        <v/>
      </c>
    </row>
    <row r="296">
      <c r="A296" s="70">
        <f>IFERROR(""&amp;INDEX(tk_MARK,MATCH(291,tk_DSEQ,0)),"")</f>
        <v/>
      </c>
      <c r="B296" s="70">
        <f>IFERROR(INDEX(tk_QTY,MATCH(291,tk_DSEQ,0)),"")</f>
        <v/>
      </c>
      <c r="C296" s="70">
        <f>IFERROR(INDEX(tk_ROOMF,MATCH(291,tk_DSEQ,0))&amp;IF(INDEX(tk_ROOMT,MATCH(291,tk_DSEQ,0))="",""," → "&amp;INDEX(tk_ROOMT,MATCH(291,tk_DSEQ,0))),"")</f>
        <v/>
      </c>
      <c r="D296" s="70">
        <f>IFERROR(INDEX(tk_LEAVES,MATCH(291,tk_DSEQ,0)),"")</f>
        <v/>
      </c>
      <c r="E296" s="70">
        <f>IFERROR(""&amp;INDEX(tk_RATING,MATCH(291,tk_DSEQ,0)),"")</f>
        <v/>
      </c>
      <c r="F296" s="70">
        <f>IFERROR(TEXT(INDEX(tk_LEAFW,MATCH(291,tk_DSEQ,0)),"0.000")&amp;" x "&amp;TEXT(INDEX(tk_LEAFH,MATCH(291,tk_DSEQ,0)),"0.000"),"")</f>
        <v/>
      </c>
      <c r="G296" s="70">
        <f>IFERROR(""&amp;INDEX(tk_DLINE,MATCH(291,tk_DSEQ,0)),"")</f>
        <v/>
      </c>
      <c r="H296" s="70">
        <f>IFERROR(""&amp;INDEX(tk_DNOTES,MATCH(291,tk_DSEQ,0)),"")</f>
        <v/>
      </c>
    </row>
    <row r="297">
      <c r="A297" s="70">
        <f>IFERROR(""&amp;INDEX(tk_MARK,MATCH(292,tk_DSEQ,0)),"")</f>
        <v/>
      </c>
      <c r="B297" s="70">
        <f>IFERROR(INDEX(tk_QTY,MATCH(292,tk_DSEQ,0)),"")</f>
        <v/>
      </c>
      <c r="C297" s="70">
        <f>IFERROR(INDEX(tk_ROOMF,MATCH(292,tk_DSEQ,0))&amp;IF(INDEX(tk_ROOMT,MATCH(292,tk_DSEQ,0))="",""," → "&amp;INDEX(tk_ROOMT,MATCH(292,tk_DSEQ,0))),"")</f>
        <v/>
      </c>
      <c r="D297" s="70">
        <f>IFERROR(INDEX(tk_LEAVES,MATCH(292,tk_DSEQ,0)),"")</f>
        <v/>
      </c>
      <c r="E297" s="70">
        <f>IFERROR(""&amp;INDEX(tk_RATING,MATCH(292,tk_DSEQ,0)),"")</f>
        <v/>
      </c>
      <c r="F297" s="70">
        <f>IFERROR(TEXT(INDEX(tk_LEAFW,MATCH(292,tk_DSEQ,0)),"0.000")&amp;" x "&amp;TEXT(INDEX(tk_LEAFH,MATCH(292,tk_DSEQ,0)),"0.000"),"")</f>
        <v/>
      </c>
      <c r="G297" s="70">
        <f>IFERROR(""&amp;INDEX(tk_DLINE,MATCH(292,tk_DSEQ,0)),"")</f>
        <v/>
      </c>
      <c r="H297" s="70">
        <f>IFERROR(""&amp;INDEX(tk_DNOTES,MATCH(292,tk_DSEQ,0)),"")</f>
        <v/>
      </c>
    </row>
    <row r="298">
      <c r="A298" s="70">
        <f>IFERROR(""&amp;INDEX(tk_MARK,MATCH(293,tk_DSEQ,0)),"")</f>
        <v/>
      </c>
      <c r="B298" s="70">
        <f>IFERROR(INDEX(tk_QTY,MATCH(293,tk_DSEQ,0)),"")</f>
        <v/>
      </c>
      <c r="C298" s="70">
        <f>IFERROR(INDEX(tk_ROOMF,MATCH(293,tk_DSEQ,0))&amp;IF(INDEX(tk_ROOMT,MATCH(293,tk_DSEQ,0))="",""," → "&amp;INDEX(tk_ROOMT,MATCH(293,tk_DSEQ,0))),"")</f>
        <v/>
      </c>
      <c r="D298" s="70">
        <f>IFERROR(INDEX(tk_LEAVES,MATCH(293,tk_DSEQ,0)),"")</f>
        <v/>
      </c>
      <c r="E298" s="70">
        <f>IFERROR(""&amp;INDEX(tk_RATING,MATCH(293,tk_DSEQ,0)),"")</f>
        <v/>
      </c>
      <c r="F298" s="70">
        <f>IFERROR(TEXT(INDEX(tk_LEAFW,MATCH(293,tk_DSEQ,0)),"0.000")&amp;" x "&amp;TEXT(INDEX(tk_LEAFH,MATCH(293,tk_DSEQ,0)),"0.000"),"")</f>
        <v/>
      </c>
      <c r="G298" s="70">
        <f>IFERROR(""&amp;INDEX(tk_DLINE,MATCH(293,tk_DSEQ,0)),"")</f>
        <v/>
      </c>
      <c r="H298" s="70">
        <f>IFERROR(""&amp;INDEX(tk_DNOTES,MATCH(293,tk_DSEQ,0)),"")</f>
        <v/>
      </c>
    </row>
    <row r="299">
      <c r="A299" s="70">
        <f>IFERROR(""&amp;INDEX(tk_MARK,MATCH(294,tk_DSEQ,0)),"")</f>
        <v/>
      </c>
      <c r="B299" s="70">
        <f>IFERROR(INDEX(tk_QTY,MATCH(294,tk_DSEQ,0)),"")</f>
        <v/>
      </c>
      <c r="C299" s="70">
        <f>IFERROR(INDEX(tk_ROOMF,MATCH(294,tk_DSEQ,0))&amp;IF(INDEX(tk_ROOMT,MATCH(294,tk_DSEQ,0))="",""," → "&amp;INDEX(tk_ROOMT,MATCH(294,tk_DSEQ,0))),"")</f>
        <v/>
      </c>
      <c r="D299" s="70">
        <f>IFERROR(INDEX(tk_LEAVES,MATCH(294,tk_DSEQ,0)),"")</f>
        <v/>
      </c>
      <c r="E299" s="70">
        <f>IFERROR(""&amp;INDEX(tk_RATING,MATCH(294,tk_DSEQ,0)),"")</f>
        <v/>
      </c>
      <c r="F299" s="70">
        <f>IFERROR(TEXT(INDEX(tk_LEAFW,MATCH(294,tk_DSEQ,0)),"0.000")&amp;" x "&amp;TEXT(INDEX(tk_LEAFH,MATCH(294,tk_DSEQ,0)),"0.000"),"")</f>
        <v/>
      </c>
      <c r="G299" s="70">
        <f>IFERROR(""&amp;INDEX(tk_DLINE,MATCH(294,tk_DSEQ,0)),"")</f>
        <v/>
      </c>
      <c r="H299" s="70">
        <f>IFERROR(""&amp;INDEX(tk_DNOTES,MATCH(294,tk_DSEQ,0)),"")</f>
        <v/>
      </c>
    </row>
    <row r="300">
      <c r="A300" s="70">
        <f>IFERROR(""&amp;INDEX(tk_MARK,MATCH(295,tk_DSEQ,0)),"")</f>
        <v/>
      </c>
      <c r="B300" s="70">
        <f>IFERROR(INDEX(tk_QTY,MATCH(295,tk_DSEQ,0)),"")</f>
        <v/>
      </c>
      <c r="C300" s="70">
        <f>IFERROR(INDEX(tk_ROOMF,MATCH(295,tk_DSEQ,0))&amp;IF(INDEX(tk_ROOMT,MATCH(295,tk_DSEQ,0))="",""," → "&amp;INDEX(tk_ROOMT,MATCH(295,tk_DSEQ,0))),"")</f>
        <v/>
      </c>
      <c r="D300" s="70">
        <f>IFERROR(INDEX(tk_LEAVES,MATCH(295,tk_DSEQ,0)),"")</f>
        <v/>
      </c>
      <c r="E300" s="70">
        <f>IFERROR(""&amp;INDEX(tk_RATING,MATCH(295,tk_DSEQ,0)),"")</f>
        <v/>
      </c>
      <c r="F300" s="70">
        <f>IFERROR(TEXT(INDEX(tk_LEAFW,MATCH(295,tk_DSEQ,0)),"0.000")&amp;" x "&amp;TEXT(INDEX(tk_LEAFH,MATCH(295,tk_DSEQ,0)),"0.000"),"")</f>
        <v/>
      </c>
      <c r="G300" s="70">
        <f>IFERROR(""&amp;INDEX(tk_DLINE,MATCH(295,tk_DSEQ,0)),"")</f>
        <v/>
      </c>
      <c r="H300" s="70">
        <f>IFERROR(""&amp;INDEX(tk_DNOTES,MATCH(295,tk_DSEQ,0)),"")</f>
        <v/>
      </c>
    </row>
    <row r="301">
      <c r="A301" s="70">
        <f>IFERROR(""&amp;INDEX(tk_MARK,MATCH(296,tk_DSEQ,0)),"")</f>
        <v/>
      </c>
      <c r="B301" s="70">
        <f>IFERROR(INDEX(tk_QTY,MATCH(296,tk_DSEQ,0)),"")</f>
        <v/>
      </c>
      <c r="C301" s="70">
        <f>IFERROR(INDEX(tk_ROOMF,MATCH(296,tk_DSEQ,0))&amp;IF(INDEX(tk_ROOMT,MATCH(296,tk_DSEQ,0))="",""," → "&amp;INDEX(tk_ROOMT,MATCH(296,tk_DSEQ,0))),"")</f>
        <v/>
      </c>
      <c r="D301" s="70">
        <f>IFERROR(INDEX(tk_LEAVES,MATCH(296,tk_DSEQ,0)),"")</f>
        <v/>
      </c>
      <c r="E301" s="70">
        <f>IFERROR(""&amp;INDEX(tk_RATING,MATCH(296,tk_DSEQ,0)),"")</f>
        <v/>
      </c>
      <c r="F301" s="70">
        <f>IFERROR(TEXT(INDEX(tk_LEAFW,MATCH(296,tk_DSEQ,0)),"0.000")&amp;" x "&amp;TEXT(INDEX(tk_LEAFH,MATCH(296,tk_DSEQ,0)),"0.000"),"")</f>
        <v/>
      </c>
      <c r="G301" s="70">
        <f>IFERROR(""&amp;INDEX(tk_DLINE,MATCH(296,tk_DSEQ,0)),"")</f>
        <v/>
      </c>
      <c r="H301" s="70">
        <f>IFERROR(""&amp;INDEX(tk_DNOTES,MATCH(296,tk_DSEQ,0)),"")</f>
        <v/>
      </c>
    </row>
    <row r="302">
      <c r="A302" s="70">
        <f>IFERROR(""&amp;INDEX(tk_MARK,MATCH(297,tk_DSEQ,0)),"")</f>
        <v/>
      </c>
      <c r="B302" s="70">
        <f>IFERROR(INDEX(tk_QTY,MATCH(297,tk_DSEQ,0)),"")</f>
        <v/>
      </c>
      <c r="C302" s="70">
        <f>IFERROR(INDEX(tk_ROOMF,MATCH(297,tk_DSEQ,0))&amp;IF(INDEX(tk_ROOMT,MATCH(297,tk_DSEQ,0))="",""," → "&amp;INDEX(tk_ROOMT,MATCH(297,tk_DSEQ,0))),"")</f>
        <v/>
      </c>
      <c r="D302" s="70">
        <f>IFERROR(INDEX(tk_LEAVES,MATCH(297,tk_DSEQ,0)),"")</f>
        <v/>
      </c>
      <c r="E302" s="70">
        <f>IFERROR(""&amp;INDEX(tk_RATING,MATCH(297,tk_DSEQ,0)),"")</f>
        <v/>
      </c>
      <c r="F302" s="70">
        <f>IFERROR(TEXT(INDEX(tk_LEAFW,MATCH(297,tk_DSEQ,0)),"0.000")&amp;" x "&amp;TEXT(INDEX(tk_LEAFH,MATCH(297,tk_DSEQ,0)),"0.000"),"")</f>
        <v/>
      </c>
      <c r="G302" s="70">
        <f>IFERROR(""&amp;INDEX(tk_DLINE,MATCH(297,tk_DSEQ,0)),"")</f>
        <v/>
      </c>
      <c r="H302" s="70">
        <f>IFERROR(""&amp;INDEX(tk_DNOTES,MATCH(297,tk_DSEQ,0)),"")</f>
        <v/>
      </c>
    </row>
    <row r="303">
      <c r="A303" s="70">
        <f>IFERROR(""&amp;INDEX(tk_MARK,MATCH(298,tk_DSEQ,0)),"")</f>
        <v/>
      </c>
      <c r="B303" s="70">
        <f>IFERROR(INDEX(tk_QTY,MATCH(298,tk_DSEQ,0)),"")</f>
        <v/>
      </c>
      <c r="C303" s="70">
        <f>IFERROR(INDEX(tk_ROOMF,MATCH(298,tk_DSEQ,0))&amp;IF(INDEX(tk_ROOMT,MATCH(298,tk_DSEQ,0))="",""," → "&amp;INDEX(tk_ROOMT,MATCH(298,tk_DSEQ,0))),"")</f>
        <v/>
      </c>
      <c r="D303" s="70">
        <f>IFERROR(INDEX(tk_LEAVES,MATCH(298,tk_DSEQ,0)),"")</f>
        <v/>
      </c>
      <c r="E303" s="70">
        <f>IFERROR(""&amp;INDEX(tk_RATING,MATCH(298,tk_DSEQ,0)),"")</f>
        <v/>
      </c>
      <c r="F303" s="70">
        <f>IFERROR(TEXT(INDEX(tk_LEAFW,MATCH(298,tk_DSEQ,0)),"0.000")&amp;" x "&amp;TEXT(INDEX(tk_LEAFH,MATCH(298,tk_DSEQ,0)),"0.000"),"")</f>
        <v/>
      </c>
      <c r="G303" s="70">
        <f>IFERROR(""&amp;INDEX(tk_DLINE,MATCH(298,tk_DSEQ,0)),"")</f>
        <v/>
      </c>
      <c r="H303" s="70">
        <f>IFERROR(""&amp;INDEX(tk_DNOTES,MATCH(298,tk_DSEQ,0)),"")</f>
        <v/>
      </c>
    </row>
    <row r="304">
      <c r="A304" s="70">
        <f>IFERROR(""&amp;INDEX(tk_MARK,MATCH(299,tk_DSEQ,0)),"")</f>
        <v/>
      </c>
      <c r="B304" s="70">
        <f>IFERROR(INDEX(tk_QTY,MATCH(299,tk_DSEQ,0)),"")</f>
        <v/>
      </c>
      <c r="C304" s="70">
        <f>IFERROR(INDEX(tk_ROOMF,MATCH(299,tk_DSEQ,0))&amp;IF(INDEX(tk_ROOMT,MATCH(299,tk_DSEQ,0))="",""," → "&amp;INDEX(tk_ROOMT,MATCH(299,tk_DSEQ,0))),"")</f>
        <v/>
      </c>
      <c r="D304" s="70">
        <f>IFERROR(INDEX(tk_LEAVES,MATCH(299,tk_DSEQ,0)),"")</f>
        <v/>
      </c>
      <c r="E304" s="70">
        <f>IFERROR(""&amp;INDEX(tk_RATING,MATCH(299,tk_DSEQ,0)),"")</f>
        <v/>
      </c>
      <c r="F304" s="70">
        <f>IFERROR(TEXT(INDEX(tk_LEAFW,MATCH(299,tk_DSEQ,0)),"0.000")&amp;" x "&amp;TEXT(INDEX(tk_LEAFH,MATCH(299,tk_DSEQ,0)),"0.000"),"")</f>
        <v/>
      </c>
      <c r="G304" s="70">
        <f>IFERROR(""&amp;INDEX(tk_DLINE,MATCH(299,tk_DSEQ,0)),"")</f>
        <v/>
      </c>
      <c r="H304" s="70">
        <f>IFERROR(""&amp;INDEX(tk_DNOTES,MATCH(299,tk_DSEQ,0)),"")</f>
        <v/>
      </c>
    </row>
    <row r="305">
      <c r="A305" s="70">
        <f>IFERROR(""&amp;INDEX(tk_MARK,MATCH(300,tk_DSEQ,0)),"")</f>
        <v/>
      </c>
      <c r="B305" s="70">
        <f>IFERROR(INDEX(tk_QTY,MATCH(300,tk_DSEQ,0)),"")</f>
        <v/>
      </c>
      <c r="C305" s="70">
        <f>IFERROR(INDEX(tk_ROOMF,MATCH(300,tk_DSEQ,0))&amp;IF(INDEX(tk_ROOMT,MATCH(300,tk_DSEQ,0))="",""," → "&amp;INDEX(tk_ROOMT,MATCH(300,tk_DSEQ,0))),"")</f>
        <v/>
      </c>
      <c r="D305" s="70">
        <f>IFERROR(INDEX(tk_LEAVES,MATCH(300,tk_DSEQ,0)),"")</f>
        <v/>
      </c>
      <c r="E305" s="70">
        <f>IFERROR(""&amp;INDEX(tk_RATING,MATCH(300,tk_DSEQ,0)),"")</f>
        <v/>
      </c>
      <c r="F305" s="70">
        <f>IFERROR(TEXT(INDEX(tk_LEAFW,MATCH(300,tk_DSEQ,0)),"0.000")&amp;" x "&amp;TEXT(INDEX(tk_LEAFH,MATCH(300,tk_DSEQ,0)),"0.000"),"")</f>
        <v/>
      </c>
      <c r="G305" s="70">
        <f>IFERROR(""&amp;INDEX(tk_DLINE,MATCH(300,tk_DSEQ,0)),"")</f>
        <v/>
      </c>
      <c r="H305" s="70">
        <f>IFERROR(""&amp;INDEX(tk_DNOTES,MATCH(300,tk_DSEQ,0)),"")</f>
        <v/>
      </c>
    </row>
    <row r="306">
      <c r="A306" s="70">
        <f>IFERROR(""&amp;INDEX(tk_MARK,MATCH(301,tk_DSEQ,0)),"")</f>
        <v/>
      </c>
      <c r="B306" s="70">
        <f>IFERROR(INDEX(tk_QTY,MATCH(301,tk_DSEQ,0)),"")</f>
        <v/>
      </c>
      <c r="C306" s="70">
        <f>IFERROR(INDEX(tk_ROOMF,MATCH(301,tk_DSEQ,0))&amp;IF(INDEX(tk_ROOMT,MATCH(301,tk_DSEQ,0))="",""," → "&amp;INDEX(tk_ROOMT,MATCH(301,tk_DSEQ,0))),"")</f>
        <v/>
      </c>
      <c r="D306" s="70">
        <f>IFERROR(INDEX(tk_LEAVES,MATCH(301,tk_DSEQ,0)),"")</f>
        <v/>
      </c>
      <c r="E306" s="70">
        <f>IFERROR(""&amp;INDEX(tk_RATING,MATCH(301,tk_DSEQ,0)),"")</f>
        <v/>
      </c>
      <c r="F306" s="70">
        <f>IFERROR(TEXT(INDEX(tk_LEAFW,MATCH(301,tk_DSEQ,0)),"0.000")&amp;" x "&amp;TEXT(INDEX(tk_LEAFH,MATCH(301,tk_DSEQ,0)),"0.000"),"")</f>
        <v/>
      </c>
      <c r="G306" s="70">
        <f>IFERROR(""&amp;INDEX(tk_DLINE,MATCH(301,tk_DSEQ,0)),"")</f>
        <v/>
      </c>
      <c r="H306" s="70">
        <f>IFERROR(""&amp;INDEX(tk_DNOTES,MATCH(301,tk_DSEQ,0)),"")</f>
        <v/>
      </c>
    </row>
    <row r="307">
      <c r="A307" s="70">
        <f>IFERROR(""&amp;INDEX(tk_MARK,MATCH(302,tk_DSEQ,0)),"")</f>
        <v/>
      </c>
      <c r="B307" s="70">
        <f>IFERROR(INDEX(tk_QTY,MATCH(302,tk_DSEQ,0)),"")</f>
        <v/>
      </c>
      <c r="C307" s="70">
        <f>IFERROR(INDEX(tk_ROOMF,MATCH(302,tk_DSEQ,0))&amp;IF(INDEX(tk_ROOMT,MATCH(302,tk_DSEQ,0))="",""," → "&amp;INDEX(tk_ROOMT,MATCH(302,tk_DSEQ,0))),"")</f>
        <v/>
      </c>
      <c r="D307" s="70">
        <f>IFERROR(INDEX(tk_LEAVES,MATCH(302,tk_DSEQ,0)),"")</f>
        <v/>
      </c>
      <c r="E307" s="70">
        <f>IFERROR(""&amp;INDEX(tk_RATING,MATCH(302,tk_DSEQ,0)),"")</f>
        <v/>
      </c>
      <c r="F307" s="70">
        <f>IFERROR(TEXT(INDEX(tk_LEAFW,MATCH(302,tk_DSEQ,0)),"0.000")&amp;" x "&amp;TEXT(INDEX(tk_LEAFH,MATCH(302,tk_DSEQ,0)),"0.000"),"")</f>
        <v/>
      </c>
      <c r="G307" s="70">
        <f>IFERROR(""&amp;INDEX(tk_DLINE,MATCH(302,tk_DSEQ,0)),"")</f>
        <v/>
      </c>
      <c r="H307" s="70">
        <f>IFERROR(""&amp;INDEX(tk_DNOTES,MATCH(302,tk_DSEQ,0)),"")</f>
        <v/>
      </c>
    </row>
    <row r="308">
      <c r="A308" s="70">
        <f>IFERROR(""&amp;INDEX(tk_MARK,MATCH(303,tk_DSEQ,0)),"")</f>
        <v/>
      </c>
      <c r="B308" s="70">
        <f>IFERROR(INDEX(tk_QTY,MATCH(303,tk_DSEQ,0)),"")</f>
        <v/>
      </c>
      <c r="C308" s="70">
        <f>IFERROR(INDEX(tk_ROOMF,MATCH(303,tk_DSEQ,0))&amp;IF(INDEX(tk_ROOMT,MATCH(303,tk_DSEQ,0))="",""," → "&amp;INDEX(tk_ROOMT,MATCH(303,tk_DSEQ,0))),"")</f>
        <v/>
      </c>
      <c r="D308" s="70">
        <f>IFERROR(INDEX(tk_LEAVES,MATCH(303,tk_DSEQ,0)),"")</f>
        <v/>
      </c>
      <c r="E308" s="70">
        <f>IFERROR(""&amp;INDEX(tk_RATING,MATCH(303,tk_DSEQ,0)),"")</f>
        <v/>
      </c>
      <c r="F308" s="70">
        <f>IFERROR(TEXT(INDEX(tk_LEAFW,MATCH(303,tk_DSEQ,0)),"0.000")&amp;" x "&amp;TEXT(INDEX(tk_LEAFH,MATCH(303,tk_DSEQ,0)),"0.000"),"")</f>
        <v/>
      </c>
      <c r="G308" s="70">
        <f>IFERROR(""&amp;INDEX(tk_DLINE,MATCH(303,tk_DSEQ,0)),"")</f>
        <v/>
      </c>
      <c r="H308" s="70">
        <f>IFERROR(""&amp;INDEX(tk_DNOTES,MATCH(303,tk_DSEQ,0)),"")</f>
        <v/>
      </c>
    </row>
    <row r="309">
      <c r="A309" s="70">
        <f>IFERROR(""&amp;INDEX(tk_MARK,MATCH(304,tk_DSEQ,0)),"")</f>
        <v/>
      </c>
      <c r="B309" s="70">
        <f>IFERROR(INDEX(tk_QTY,MATCH(304,tk_DSEQ,0)),"")</f>
        <v/>
      </c>
      <c r="C309" s="70">
        <f>IFERROR(INDEX(tk_ROOMF,MATCH(304,tk_DSEQ,0))&amp;IF(INDEX(tk_ROOMT,MATCH(304,tk_DSEQ,0))="",""," → "&amp;INDEX(tk_ROOMT,MATCH(304,tk_DSEQ,0))),"")</f>
        <v/>
      </c>
      <c r="D309" s="70">
        <f>IFERROR(INDEX(tk_LEAVES,MATCH(304,tk_DSEQ,0)),"")</f>
        <v/>
      </c>
      <c r="E309" s="70">
        <f>IFERROR(""&amp;INDEX(tk_RATING,MATCH(304,tk_DSEQ,0)),"")</f>
        <v/>
      </c>
      <c r="F309" s="70">
        <f>IFERROR(TEXT(INDEX(tk_LEAFW,MATCH(304,tk_DSEQ,0)),"0.000")&amp;" x "&amp;TEXT(INDEX(tk_LEAFH,MATCH(304,tk_DSEQ,0)),"0.000"),"")</f>
        <v/>
      </c>
      <c r="G309" s="70">
        <f>IFERROR(""&amp;INDEX(tk_DLINE,MATCH(304,tk_DSEQ,0)),"")</f>
        <v/>
      </c>
      <c r="H309" s="70">
        <f>IFERROR(""&amp;INDEX(tk_DNOTES,MATCH(304,tk_DSEQ,0)),"")</f>
        <v/>
      </c>
    </row>
    <row r="310">
      <c r="A310" s="70">
        <f>IFERROR(""&amp;INDEX(tk_MARK,MATCH(305,tk_DSEQ,0)),"")</f>
        <v/>
      </c>
      <c r="B310" s="70">
        <f>IFERROR(INDEX(tk_QTY,MATCH(305,tk_DSEQ,0)),"")</f>
        <v/>
      </c>
      <c r="C310" s="70">
        <f>IFERROR(INDEX(tk_ROOMF,MATCH(305,tk_DSEQ,0))&amp;IF(INDEX(tk_ROOMT,MATCH(305,tk_DSEQ,0))="",""," → "&amp;INDEX(tk_ROOMT,MATCH(305,tk_DSEQ,0))),"")</f>
        <v/>
      </c>
      <c r="D310" s="70">
        <f>IFERROR(INDEX(tk_LEAVES,MATCH(305,tk_DSEQ,0)),"")</f>
        <v/>
      </c>
      <c r="E310" s="70">
        <f>IFERROR(""&amp;INDEX(tk_RATING,MATCH(305,tk_DSEQ,0)),"")</f>
        <v/>
      </c>
      <c r="F310" s="70">
        <f>IFERROR(TEXT(INDEX(tk_LEAFW,MATCH(305,tk_DSEQ,0)),"0.000")&amp;" x "&amp;TEXT(INDEX(tk_LEAFH,MATCH(305,tk_DSEQ,0)),"0.000"),"")</f>
        <v/>
      </c>
      <c r="G310" s="70">
        <f>IFERROR(""&amp;INDEX(tk_DLINE,MATCH(305,tk_DSEQ,0)),"")</f>
        <v/>
      </c>
      <c r="H310" s="70">
        <f>IFERROR(""&amp;INDEX(tk_DNOTES,MATCH(305,tk_DSEQ,0)),"")</f>
        <v/>
      </c>
    </row>
    <row r="311">
      <c r="A311" s="70">
        <f>IFERROR(""&amp;INDEX(tk_MARK,MATCH(306,tk_DSEQ,0)),"")</f>
        <v/>
      </c>
      <c r="B311" s="70">
        <f>IFERROR(INDEX(tk_QTY,MATCH(306,tk_DSEQ,0)),"")</f>
        <v/>
      </c>
      <c r="C311" s="70">
        <f>IFERROR(INDEX(tk_ROOMF,MATCH(306,tk_DSEQ,0))&amp;IF(INDEX(tk_ROOMT,MATCH(306,tk_DSEQ,0))="",""," → "&amp;INDEX(tk_ROOMT,MATCH(306,tk_DSEQ,0))),"")</f>
        <v/>
      </c>
      <c r="D311" s="70">
        <f>IFERROR(INDEX(tk_LEAVES,MATCH(306,tk_DSEQ,0)),"")</f>
        <v/>
      </c>
      <c r="E311" s="70">
        <f>IFERROR(""&amp;INDEX(tk_RATING,MATCH(306,tk_DSEQ,0)),"")</f>
        <v/>
      </c>
      <c r="F311" s="70">
        <f>IFERROR(TEXT(INDEX(tk_LEAFW,MATCH(306,tk_DSEQ,0)),"0.000")&amp;" x "&amp;TEXT(INDEX(tk_LEAFH,MATCH(306,tk_DSEQ,0)),"0.000"),"")</f>
        <v/>
      </c>
      <c r="G311" s="70">
        <f>IFERROR(""&amp;INDEX(tk_DLINE,MATCH(306,tk_DSEQ,0)),"")</f>
        <v/>
      </c>
      <c r="H311" s="70">
        <f>IFERROR(""&amp;INDEX(tk_DNOTES,MATCH(306,tk_DSEQ,0)),"")</f>
        <v/>
      </c>
    </row>
    <row r="312">
      <c r="A312" s="70">
        <f>IFERROR(""&amp;INDEX(tk_MARK,MATCH(307,tk_DSEQ,0)),"")</f>
        <v/>
      </c>
      <c r="B312" s="70">
        <f>IFERROR(INDEX(tk_QTY,MATCH(307,tk_DSEQ,0)),"")</f>
        <v/>
      </c>
      <c r="C312" s="70">
        <f>IFERROR(INDEX(tk_ROOMF,MATCH(307,tk_DSEQ,0))&amp;IF(INDEX(tk_ROOMT,MATCH(307,tk_DSEQ,0))="",""," → "&amp;INDEX(tk_ROOMT,MATCH(307,tk_DSEQ,0))),"")</f>
        <v/>
      </c>
      <c r="D312" s="70">
        <f>IFERROR(INDEX(tk_LEAVES,MATCH(307,tk_DSEQ,0)),"")</f>
        <v/>
      </c>
      <c r="E312" s="70">
        <f>IFERROR(""&amp;INDEX(tk_RATING,MATCH(307,tk_DSEQ,0)),"")</f>
        <v/>
      </c>
      <c r="F312" s="70">
        <f>IFERROR(TEXT(INDEX(tk_LEAFW,MATCH(307,tk_DSEQ,0)),"0.000")&amp;" x "&amp;TEXT(INDEX(tk_LEAFH,MATCH(307,tk_DSEQ,0)),"0.000"),"")</f>
        <v/>
      </c>
      <c r="G312" s="70">
        <f>IFERROR(""&amp;INDEX(tk_DLINE,MATCH(307,tk_DSEQ,0)),"")</f>
        <v/>
      </c>
      <c r="H312" s="70">
        <f>IFERROR(""&amp;INDEX(tk_DNOTES,MATCH(307,tk_DSEQ,0)),"")</f>
        <v/>
      </c>
    </row>
    <row r="313">
      <c r="A313" s="70">
        <f>IFERROR(""&amp;INDEX(tk_MARK,MATCH(308,tk_DSEQ,0)),"")</f>
        <v/>
      </c>
      <c r="B313" s="70">
        <f>IFERROR(INDEX(tk_QTY,MATCH(308,tk_DSEQ,0)),"")</f>
        <v/>
      </c>
      <c r="C313" s="70">
        <f>IFERROR(INDEX(tk_ROOMF,MATCH(308,tk_DSEQ,0))&amp;IF(INDEX(tk_ROOMT,MATCH(308,tk_DSEQ,0))="",""," → "&amp;INDEX(tk_ROOMT,MATCH(308,tk_DSEQ,0))),"")</f>
        <v/>
      </c>
      <c r="D313" s="70">
        <f>IFERROR(INDEX(tk_LEAVES,MATCH(308,tk_DSEQ,0)),"")</f>
        <v/>
      </c>
      <c r="E313" s="70">
        <f>IFERROR(""&amp;INDEX(tk_RATING,MATCH(308,tk_DSEQ,0)),"")</f>
        <v/>
      </c>
      <c r="F313" s="70">
        <f>IFERROR(TEXT(INDEX(tk_LEAFW,MATCH(308,tk_DSEQ,0)),"0.000")&amp;" x "&amp;TEXT(INDEX(tk_LEAFH,MATCH(308,tk_DSEQ,0)),"0.000"),"")</f>
        <v/>
      </c>
      <c r="G313" s="70">
        <f>IFERROR(""&amp;INDEX(tk_DLINE,MATCH(308,tk_DSEQ,0)),"")</f>
        <v/>
      </c>
      <c r="H313" s="70">
        <f>IFERROR(""&amp;INDEX(tk_DNOTES,MATCH(308,tk_DSEQ,0)),"")</f>
        <v/>
      </c>
    </row>
    <row r="314">
      <c r="A314" s="70">
        <f>IFERROR(""&amp;INDEX(tk_MARK,MATCH(309,tk_DSEQ,0)),"")</f>
        <v/>
      </c>
      <c r="B314" s="70">
        <f>IFERROR(INDEX(tk_QTY,MATCH(309,tk_DSEQ,0)),"")</f>
        <v/>
      </c>
      <c r="C314" s="70">
        <f>IFERROR(INDEX(tk_ROOMF,MATCH(309,tk_DSEQ,0))&amp;IF(INDEX(tk_ROOMT,MATCH(309,tk_DSEQ,0))="",""," → "&amp;INDEX(tk_ROOMT,MATCH(309,tk_DSEQ,0))),"")</f>
        <v/>
      </c>
      <c r="D314" s="70">
        <f>IFERROR(INDEX(tk_LEAVES,MATCH(309,tk_DSEQ,0)),"")</f>
        <v/>
      </c>
      <c r="E314" s="70">
        <f>IFERROR(""&amp;INDEX(tk_RATING,MATCH(309,tk_DSEQ,0)),"")</f>
        <v/>
      </c>
      <c r="F314" s="70">
        <f>IFERROR(TEXT(INDEX(tk_LEAFW,MATCH(309,tk_DSEQ,0)),"0.000")&amp;" x "&amp;TEXT(INDEX(tk_LEAFH,MATCH(309,tk_DSEQ,0)),"0.000"),"")</f>
        <v/>
      </c>
      <c r="G314" s="70">
        <f>IFERROR(""&amp;INDEX(tk_DLINE,MATCH(309,tk_DSEQ,0)),"")</f>
        <v/>
      </c>
      <c r="H314" s="70">
        <f>IFERROR(""&amp;INDEX(tk_DNOTES,MATCH(309,tk_DSEQ,0)),"")</f>
        <v/>
      </c>
    </row>
    <row r="315">
      <c r="A315" s="70">
        <f>IFERROR(""&amp;INDEX(tk_MARK,MATCH(310,tk_DSEQ,0)),"")</f>
        <v/>
      </c>
      <c r="B315" s="70">
        <f>IFERROR(INDEX(tk_QTY,MATCH(310,tk_DSEQ,0)),"")</f>
        <v/>
      </c>
      <c r="C315" s="70">
        <f>IFERROR(INDEX(tk_ROOMF,MATCH(310,tk_DSEQ,0))&amp;IF(INDEX(tk_ROOMT,MATCH(310,tk_DSEQ,0))="",""," → "&amp;INDEX(tk_ROOMT,MATCH(310,tk_DSEQ,0))),"")</f>
        <v/>
      </c>
      <c r="D315" s="70">
        <f>IFERROR(INDEX(tk_LEAVES,MATCH(310,tk_DSEQ,0)),"")</f>
        <v/>
      </c>
      <c r="E315" s="70">
        <f>IFERROR(""&amp;INDEX(tk_RATING,MATCH(310,tk_DSEQ,0)),"")</f>
        <v/>
      </c>
      <c r="F315" s="70">
        <f>IFERROR(TEXT(INDEX(tk_LEAFW,MATCH(310,tk_DSEQ,0)),"0.000")&amp;" x "&amp;TEXT(INDEX(tk_LEAFH,MATCH(310,tk_DSEQ,0)),"0.000"),"")</f>
        <v/>
      </c>
      <c r="G315" s="70">
        <f>IFERROR(""&amp;INDEX(tk_DLINE,MATCH(310,tk_DSEQ,0)),"")</f>
        <v/>
      </c>
      <c r="H315" s="70">
        <f>IFERROR(""&amp;INDEX(tk_DNOTES,MATCH(310,tk_DSEQ,0)),"")</f>
        <v/>
      </c>
    </row>
    <row r="316">
      <c r="A316" s="70">
        <f>IFERROR(""&amp;INDEX(tk_MARK,MATCH(311,tk_DSEQ,0)),"")</f>
        <v/>
      </c>
      <c r="B316" s="70">
        <f>IFERROR(INDEX(tk_QTY,MATCH(311,tk_DSEQ,0)),"")</f>
        <v/>
      </c>
      <c r="C316" s="70">
        <f>IFERROR(INDEX(tk_ROOMF,MATCH(311,tk_DSEQ,0))&amp;IF(INDEX(tk_ROOMT,MATCH(311,tk_DSEQ,0))="",""," → "&amp;INDEX(tk_ROOMT,MATCH(311,tk_DSEQ,0))),"")</f>
        <v/>
      </c>
      <c r="D316" s="70">
        <f>IFERROR(INDEX(tk_LEAVES,MATCH(311,tk_DSEQ,0)),"")</f>
        <v/>
      </c>
      <c r="E316" s="70">
        <f>IFERROR(""&amp;INDEX(tk_RATING,MATCH(311,tk_DSEQ,0)),"")</f>
        <v/>
      </c>
      <c r="F316" s="70">
        <f>IFERROR(TEXT(INDEX(tk_LEAFW,MATCH(311,tk_DSEQ,0)),"0.000")&amp;" x "&amp;TEXT(INDEX(tk_LEAFH,MATCH(311,tk_DSEQ,0)),"0.000"),"")</f>
        <v/>
      </c>
      <c r="G316" s="70">
        <f>IFERROR(""&amp;INDEX(tk_DLINE,MATCH(311,tk_DSEQ,0)),"")</f>
        <v/>
      </c>
      <c r="H316" s="70">
        <f>IFERROR(""&amp;INDEX(tk_DNOTES,MATCH(311,tk_DSEQ,0)),"")</f>
        <v/>
      </c>
    </row>
    <row r="317">
      <c r="A317" s="70">
        <f>IFERROR(""&amp;INDEX(tk_MARK,MATCH(312,tk_DSEQ,0)),"")</f>
        <v/>
      </c>
      <c r="B317" s="70">
        <f>IFERROR(INDEX(tk_QTY,MATCH(312,tk_DSEQ,0)),"")</f>
        <v/>
      </c>
      <c r="C317" s="70">
        <f>IFERROR(INDEX(tk_ROOMF,MATCH(312,tk_DSEQ,0))&amp;IF(INDEX(tk_ROOMT,MATCH(312,tk_DSEQ,0))="",""," → "&amp;INDEX(tk_ROOMT,MATCH(312,tk_DSEQ,0))),"")</f>
        <v/>
      </c>
      <c r="D317" s="70">
        <f>IFERROR(INDEX(tk_LEAVES,MATCH(312,tk_DSEQ,0)),"")</f>
        <v/>
      </c>
      <c r="E317" s="70">
        <f>IFERROR(""&amp;INDEX(tk_RATING,MATCH(312,tk_DSEQ,0)),"")</f>
        <v/>
      </c>
      <c r="F317" s="70">
        <f>IFERROR(TEXT(INDEX(tk_LEAFW,MATCH(312,tk_DSEQ,0)),"0.000")&amp;" x "&amp;TEXT(INDEX(tk_LEAFH,MATCH(312,tk_DSEQ,0)),"0.000"),"")</f>
        <v/>
      </c>
      <c r="G317" s="70">
        <f>IFERROR(""&amp;INDEX(tk_DLINE,MATCH(312,tk_DSEQ,0)),"")</f>
        <v/>
      </c>
      <c r="H317" s="70">
        <f>IFERROR(""&amp;INDEX(tk_DNOTES,MATCH(312,tk_DSEQ,0)),"")</f>
        <v/>
      </c>
    </row>
    <row r="318">
      <c r="A318" s="70">
        <f>IFERROR(""&amp;INDEX(tk_MARK,MATCH(313,tk_DSEQ,0)),"")</f>
        <v/>
      </c>
      <c r="B318" s="70">
        <f>IFERROR(INDEX(tk_QTY,MATCH(313,tk_DSEQ,0)),"")</f>
        <v/>
      </c>
      <c r="C318" s="70">
        <f>IFERROR(INDEX(tk_ROOMF,MATCH(313,tk_DSEQ,0))&amp;IF(INDEX(tk_ROOMT,MATCH(313,tk_DSEQ,0))="",""," → "&amp;INDEX(tk_ROOMT,MATCH(313,tk_DSEQ,0))),"")</f>
        <v/>
      </c>
      <c r="D318" s="70">
        <f>IFERROR(INDEX(tk_LEAVES,MATCH(313,tk_DSEQ,0)),"")</f>
        <v/>
      </c>
      <c r="E318" s="70">
        <f>IFERROR(""&amp;INDEX(tk_RATING,MATCH(313,tk_DSEQ,0)),"")</f>
        <v/>
      </c>
      <c r="F318" s="70">
        <f>IFERROR(TEXT(INDEX(tk_LEAFW,MATCH(313,tk_DSEQ,0)),"0.000")&amp;" x "&amp;TEXT(INDEX(tk_LEAFH,MATCH(313,tk_DSEQ,0)),"0.000"),"")</f>
        <v/>
      </c>
      <c r="G318" s="70">
        <f>IFERROR(""&amp;INDEX(tk_DLINE,MATCH(313,tk_DSEQ,0)),"")</f>
        <v/>
      </c>
      <c r="H318" s="70">
        <f>IFERROR(""&amp;INDEX(tk_DNOTES,MATCH(313,tk_DSEQ,0)),"")</f>
        <v/>
      </c>
    </row>
    <row r="319">
      <c r="A319" s="70">
        <f>IFERROR(""&amp;INDEX(tk_MARK,MATCH(314,tk_DSEQ,0)),"")</f>
        <v/>
      </c>
      <c r="B319" s="70">
        <f>IFERROR(INDEX(tk_QTY,MATCH(314,tk_DSEQ,0)),"")</f>
        <v/>
      </c>
      <c r="C319" s="70">
        <f>IFERROR(INDEX(tk_ROOMF,MATCH(314,tk_DSEQ,0))&amp;IF(INDEX(tk_ROOMT,MATCH(314,tk_DSEQ,0))="",""," → "&amp;INDEX(tk_ROOMT,MATCH(314,tk_DSEQ,0))),"")</f>
        <v/>
      </c>
      <c r="D319" s="70">
        <f>IFERROR(INDEX(tk_LEAVES,MATCH(314,tk_DSEQ,0)),"")</f>
        <v/>
      </c>
      <c r="E319" s="70">
        <f>IFERROR(""&amp;INDEX(tk_RATING,MATCH(314,tk_DSEQ,0)),"")</f>
        <v/>
      </c>
      <c r="F319" s="70">
        <f>IFERROR(TEXT(INDEX(tk_LEAFW,MATCH(314,tk_DSEQ,0)),"0.000")&amp;" x "&amp;TEXT(INDEX(tk_LEAFH,MATCH(314,tk_DSEQ,0)),"0.000"),"")</f>
        <v/>
      </c>
      <c r="G319" s="70">
        <f>IFERROR(""&amp;INDEX(tk_DLINE,MATCH(314,tk_DSEQ,0)),"")</f>
        <v/>
      </c>
      <c r="H319" s="70">
        <f>IFERROR(""&amp;INDEX(tk_DNOTES,MATCH(314,tk_DSEQ,0)),"")</f>
        <v/>
      </c>
    </row>
    <row r="320">
      <c r="A320" s="70">
        <f>IFERROR(""&amp;INDEX(tk_MARK,MATCH(315,tk_DSEQ,0)),"")</f>
        <v/>
      </c>
      <c r="B320" s="70">
        <f>IFERROR(INDEX(tk_QTY,MATCH(315,tk_DSEQ,0)),"")</f>
        <v/>
      </c>
      <c r="C320" s="70">
        <f>IFERROR(INDEX(tk_ROOMF,MATCH(315,tk_DSEQ,0))&amp;IF(INDEX(tk_ROOMT,MATCH(315,tk_DSEQ,0))="",""," → "&amp;INDEX(tk_ROOMT,MATCH(315,tk_DSEQ,0))),"")</f>
        <v/>
      </c>
      <c r="D320" s="70">
        <f>IFERROR(INDEX(tk_LEAVES,MATCH(315,tk_DSEQ,0)),"")</f>
        <v/>
      </c>
      <c r="E320" s="70">
        <f>IFERROR(""&amp;INDEX(tk_RATING,MATCH(315,tk_DSEQ,0)),"")</f>
        <v/>
      </c>
      <c r="F320" s="70">
        <f>IFERROR(TEXT(INDEX(tk_LEAFW,MATCH(315,tk_DSEQ,0)),"0.000")&amp;" x "&amp;TEXT(INDEX(tk_LEAFH,MATCH(315,tk_DSEQ,0)),"0.000"),"")</f>
        <v/>
      </c>
      <c r="G320" s="70">
        <f>IFERROR(""&amp;INDEX(tk_DLINE,MATCH(315,tk_DSEQ,0)),"")</f>
        <v/>
      </c>
      <c r="H320" s="70">
        <f>IFERROR(""&amp;INDEX(tk_DNOTES,MATCH(315,tk_DSEQ,0)),"")</f>
        <v/>
      </c>
    </row>
    <row r="321">
      <c r="A321" s="70">
        <f>IFERROR(""&amp;INDEX(tk_MARK,MATCH(316,tk_DSEQ,0)),"")</f>
        <v/>
      </c>
      <c r="B321" s="70">
        <f>IFERROR(INDEX(tk_QTY,MATCH(316,tk_DSEQ,0)),"")</f>
        <v/>
      </c>
      <c r="C321" s="70">
        <f>IFERROR(INDEX(tk_ROOMF,MATCH(316,tk_DSEQ,0))&amp;IF(INDEX(tk_ROOMT,MATCH(316,tk_DSEQ,0))="",""," → "&amp;INDEX(tk_ROOMT,MATCH(316,tk_DSEQ,0))),"")</f>
        <v/>
      </c>
      <c r="D321" s="70">
        <f>IFERROR(INDEX(tk_LEAVES,MATCH(316,tk_DSEQ,0)),"")</f>
        <v/>
      </c>
      <c r="E321" s="70">
        <f>IFERROR(""&amp;INDEX(tk_RATING,MATCH(316,tk_DSEQ,0)),"")</f>
        <v/>
      </c>
      <c r="F321" s="70">
        <f>IFERROR(TEXT(INDEX(tk_LEAFW,MATCH(316,tk_DSEQ,0)),"0.000")&amp;" x "&amp;TEXT(INDEX(tk_LEAFH,MATCH(316,tk_DSEQ,0)),"0.000"),"")</f>
        <v/>
      </c>
      <c r="G321" s="70">
        <f>IFERROR(""&amp;INDEX(tk_DLINE,MATCH(316,tk_DSEQ,0)),"")</f>
        <v/>
      </c>
      <c r="H321" s="70">
        <f>IFERROR(""&amp;INDEX(tk_DNOTES,MATCH(316,tk_DSEQ,0)),"")</f>
        <v/>
      </c>
    </row>
    <row r="322">
      <c r="A322" s="70">
        <f>IFERROR(""&amp;INDEX(tk_MARK,MATCH(317,tk_DSEQ,0)),"")</f>
        <v/>
      </c>
      <c r="B322" s="70">
        <f>IFERROR(INDEX(tk_QTY,MATCH(317,tk_DSEQ,0)),"")</f>
        <v/>
      </c>
      <c r="C322" s="70">
        <f>IFERROR(INDEX(tk_ROOMF,MATCH(317,tk_DSEQ,0))&amp;IF(INDEX(tk_ROOMT,MATCH(317,tk_DSEQ,0))="",""," → "&amp;INDEX(tk_ROOMT,MATCH(317,tk_DSEQ,0))),"")</f>
        <v/>
      </c>
      <c r="D322" s="70">
        <f>IFERROR(INDEX(tk_LEAVES,MATCH(317,tk_DSEQ,0)),"")</f>
        <v/>
      </c>
      <c r="E322" s="70">
        <f>IFERROR(""&amp;INDEX(tk_RATING,MATCH(317,tk_DSEQ,0)),"")</f>
        <v/>
      </c>
      <c r="F322" s="70">
        <f>IFERROR(TEXT(INDEX(tk_LEAFW,MATCH(317,tk_DSEQ,0)),"0.000")&amp;" x "&amp;TEXT(INDEX(tk_LEAFH,MATCH(317,tk_DSEQ,0)),"0.000"),"")</f>
        <v/>
      </c>
      <c r="G322" s="70">
        <f>IFERROR(""&amp;INDEX(tk_DLINE,MATCH(317,tk_DSEQ,0)),"")</f>
        <v/>
      </c>
      <c r="H322" s="70">
        <f>IFERROR(""&amp;INDEX(tk_DNOTES,MATCH(317,tk_DSEQ,0)),"")</f>
        <v/>
      </c>
    </row>
    <row r="323">
      <c r="A323" s="70">
        <f>IFERROR(""&amp;INDEX(tk_MARK,MATCH(318,tk_DSEQ,0)),"")</f>
        <v/>
      </c>
      <c r="B323" s="70">
        <f>IFERROR(INDEX(tk_QTY,MATCH(318,tk_DSEQ,0)),"")</f>
        <v/>
      </c>
      <c r="C323" s="70">
        <f>IFERROR(INDEX(tk_ROOMF,MATCH(318,tk_DSEQ,0))&amp;IF(INDEX(tk_ROOMT,MATCH(318,tk_DSEQ,0))="",""," → "&amp;INDEX(tk_ROOMT,MATCH(318,tk_DSEQ,0))),"")</f>
        <v/>
      </c>
      <c r="D323" s="70">
        <f>IFERROR(INDEX(tk_LEAVES,MATCH(318,tk_DSEQ,0)),"")</f>
        <v/>
      </c>
      <c r="E323" s="70">
        <f>IFERROR(""&amp;INDEX(tk_RATING,MATCH(318,tk_DSEQ,0)),"")</f>
        <v/>
      </c>
      <c r="F323" s="70">
        <f>IFERROR(TEXT(INDEX(tk_LEAFW,MATCH(318,tk_DSEQ,0)),"0.000")&amp;" x "&amp;TEXT(INDEX(tk_LEAFH,MATCH(318,tk_DSEQ,0)),"0.000"),"")</f>
        <v/>
      </c>
      <c r="G323" s="70">
        <f>IFERROR(""&amp;INDEX(tk_DLINE,MATCH(318,tk_DSEQ,0)),"")</f>
        <v/>
      </c>
      <c r="H323" s="70">
        <f>IFERROR(""&amp;INDEX(tk_DNOTES,MATCH(318,tk_DSEQ,0)),"")</f>
        <v/>
      </c>
    </row>
    <row r="324">
      <c r="A324" s="70">
        <f>IFERROR(""&amp;INDEX(tk_MARK,MATCH(319,tk_DSEQ,0)),"")</f>
        <v/>
      </c>
      <c r="B324" s="70">
        <f>IFERROR(INDEX(tk_QTY,MATCH(319,tk_DSEQ,0)),"")</f>
        <v/>
      </c>
      <c r="C324" s="70">
        <f>IFERROR(INDEX(tk_ROOMF,MATCH(319,tk_DSEQ,0))&amp;IF(INDEX(tk_ROOMT,MATCH(319,tk_DSEQ,0))="",""," → "&amp;INDEX(tk_ROOMT,MATCH(319,tk_DSEQ,0))),"")</f>
        <v/>
      </c>
      <c r="D324" s="70">
        <f>IFERROR(INDEX(tk_LEAVES,MATCH(319,tk_DSEQ,0)),"")</f>
        <v/>
      </c>
      <c r="E324" s="70">
        <f>IFERROR(""&amp;INDEX(tk_RATING,MATCH(319,tk_DSEQ,0)),"")</f>
        <v/>
      </c>
      <c r="F324" s="70">
        <f>IFERROR(TEXT(INDEX(tk_LEAFW,MATCH(319,tk_DSEQ,0)),"0.000")&amp;" x "&amp;TEXT(INDEX(tk_LEAFH,MATCH(319,tk_DSEQ,0)),"0.000"),"")</f>
        <v/>
      </c>
      <c r="G324" s="70">
        <f>IFERROR(""&amp;INDEX(tk_DLINE,MATCH(319,tk_DSEQ,0)),"")</f>
        <v/>
      </c>
      <c r="H324" s="70">
        <f>IFERROR(""&amp;INDEX(tk_DNOTES,MATCH(319,tk_DSEQ,0)),"")</f>
        <v/>
      </c>
    </row>
    <row r="325">
      <c r="A325" s="70">
        <f>IFERROR(""&amp;INDEX(tk_MARK,MATCH(320,tk_DSEQ,0)),"")</f>
        <v/>
      </c>
      <c r="B325" s="70">
        <f>IFERROR(INDEX(tk_QTY,MATCH(320,tk_DSEQ,0)),"")</f>
        <v/>
      </c>
      <c r="C325" s="70">
        <f>IFERROR(INDEX(tk_ROOMF,MATCH(320,tk_DSEQ,0))&amp;IF(INDEX(tk_ROOMT,MATCH(320,tk_DSEQ,0))="",""," → "&amp;INDEX(tk_ROOMT,MATCH(320,tk_DSEQ,0))),"")</f>
        <v/>
      </c>
      <c r="D325" s="70">
        <f>IFERROR(INDEX(tk_LEAVES,MATCH(320,tk_DSEQ,0)),"")</f>
        <v/>
      </c>
      <c r="E325" s="70">
        <f>IFERROR(""&amp;INDEX(tk_RATING,MATCH(320,tk_DSEQ,0)),"")</f>
        <v/>
      </c>
      <c r="F325" s="70">
        <f>IFERROR(TEXT(INDEX(tk_LEAFW,MATCH(320,tk_DSEQ,0)),"0.000")&amp;" x "&amp;TEXT(INDEX(tk_LEAFH,MATCH(320,tk_DSEQ,0)),"0.000"),"")</f>
        <v/>
      </c>
      <c r="G325" s="70">
        <f>IFERROR(""&amp;INDEX(tk_DLINE,MATCH(320,tk_DSEQ,0)),"")</f>
        <v/>
      </c>
      <c r="H325" s="70">
        <f>IFERROR(""&amp;INDEX(tk_DNOTES,MATCH(320,tk_DSEQ,0)),"")</f>
        <v/>
      </c>
    </row>
    <row r="326">
      <c r="A326" s="70">
        <f>IFERROR(""&amp;INDEX(tk_MARK,MATCH(321,tk_DSEQ,0)),"")</f>
        <v/>
      </c>
      <c r="B326" s="70">
        <f>IFERROR(INDEX(tk_QTY,MATCH(321,tk_DSEQ,0)),"")</f>
        <v/>
      </c>
      <c r="C326" s="70">
        <f>IFERROR(INDEX(tk_ROOMF,MATCH(321,tk_DSEQ,0))&amp;IF(INDEX(tk_ROOMT,MATCH(321,tk_DSEQ,0))="",""," → "&amp;INDEX(tk_ROOMT,MATCH(321,tk_DSEQ,0))),"")</f>
        <v/>
      </c>
      <c r="D326" s="70">
        <f>IFERROR(INDEX(tk_LEAVES,MATCH(321,tk_DSEQ,0)),"")</f>
        <v/>
      </c>
      <c r="E326" s="70">
        <f>IFERROR(""&amp;INDEX(tk_RATING,MATCH(321,tk_DSEQ,0)),"")</f>
        <v/>
      </c>
      <c r="F326" s="70">
        <f>IFERROR(TEXT(INDEX(tk_LEAFW,MATCH(321,tk_DSEQ,0)),"0.000")&amp;" x "&amp;TEXT(INDEX(tk_LEAFH,MATCH(321,tk_DSEQ,0)),"0.000"),"")</f>
        <v/>
      </c>
      <c r="G326" s="70">
        <f>IFERROR(""&amp;INDEX(tk_DLINE,MATCH(321,tk_DSEQ,0)),"")</f>
        <v/>
      </c>
      <c r="H326" s="70">
        <f>IFERROR(""&amp;INDEX(tk_DNOTES,MATCH(321,tk_DSEQ,0)),"")</f>
        <v/>
      </c>
    </row>
    <row r="327">
      <c r="A327" s="70">
        <f>IFERROR(""&amp;INDEX(tk_MARK,MATCH(322,tk_DSEQ,0)),"")</f>
        <v/>
      </c>
      <c r="B327" s="70">
        <f>IFERROR(INDEX(tk_QTY,MATCH(322,tk_DSEQ,0)),"")</f>
        <v/>
      </c>
      <c r="C327" s="70">
        <f>IFERROR(INDEX(tk_ROOMF,MATCH(322,tk_DSEQ,0))&amp;IF(INDEX(tk_ROOMT,MATCH(322,tk_DSEQ,0))="",""," → "&amp;INDEX(tk_ROOMT,MATCH(322,tk_DSEQ,0))),"")</f>
        <v/>
      </c>
      <c r="D327" s="70">
        <f>IFERROR(INDEX(tk_LEAVES,MATCH(322,tk_DSEQ,0)),"")</f>
        <v/>
      </c>
      <c r="E327" s="70">
        <f>IFERROR(""&amp;INDEX(tk_RATING,MATCH(322,tk_DSEQ,0)),"")</f>
        <v/>
      </c>
      <c r="F327" s="70">
        <f>IFERROR(TEXT(INDEX(tk_LEAFW,MATCH(322,tk_DSEQ,0)),"0.000")&amp;" x "&amp;TEXT(INDEX(tk_LEAFH,MATCH(322,tk_DSEQ,0)),"0.000"),"")</f>
        <v/>
      </c>
      <c r="G327" s="70">
        <f>IFERROR(""&amp;INDEX(tk_DLINE,MATCH(322,tk_DSEQ,0)),"")</f>
        <v/>
      </c>
      <c r="H327" s="70">
        <f>IFERROR(""&amp;INDEX(tk_DNOTES,MATCH(322,tk_DSEQ,0)),"")</f>
        <v/>
      </c>
    </row>
    <row r="328">
      <c r="A328" s="70">
        <f>IFERROR(""&amp;INDEX(tk_MARK,MATCH(323,tk_DSEQ,0)),"")</f>
        <v/>
      </c>
      <c r="B328" s="70">
        <f>IFERROR(INDEX(tk_QTY,MATCH(323,tk_DSEQ,0)),"")</f>
        <v/>
      </c>
      <c r="C328" s="70">
        <f>IFERROR(INDEX(tk_ROOMF,MATCH(323,tk_DSEQ,0))&amp;IF(INDEX(tk_ROOMT,MATCH(323,tk_DSEQ,0))="",""," → "&amp;INDEX(tk_ROOMT,MATCH(323,tk_DSEQ,0))),"")</f>
        <v/>
      </c>
      <c r="D328" s="70">
        <f>IFERROR(INDEX(tk_LEAVES,MATCH(323,tk_DSEQ,0)),"")</f>
        <v/>
      </c>
      <c r="E328" s="70">
        <f>IFERROR(""&amp;INDEX(tk_RATING,MATCH(323,tk_DSEQ,0)),"")</f>
        <v/>
      </c>
      <c r="F328" s="70">
        <f>IFERROR(TEXT(INDEX(tk_LEAFW,MATCH(323,tk_DSEQ,0)),"0.000")&amp;" x "&amp;TEXT(INDEX(tk_LEAFH,MATCH(323,tk_DSEQ,0)),"0.000"),"")</f>
        <v/>
      </c>
      <c r="G328" s="70">
        <f>IFERROR(""&amp;INDEX(tk_DLINE,MATCH(323,tk_DSEQ,0)),"")</f>
        <v/>
      </c>
      <c r="H328" s="70">
        <f>IFERROR(""&amp;INDEX(tk_DNOTES,MATCH(323,tk_DSEQ,0)),"")</f>
        <v/>
      </c>
    </row>
    <row r="329">
      <c r="A329" s="70">
        <f>IFERROR(""&amp;INDEX(tk_MARK,MATCH(324,tk_DSEQ,0)),"")</f>
        <v/>
      </c>
      <c r="B329" s="70">
        <f>IFERROR(INDEX(tk_QTY,MATCH(324,tk_DSEQ,0)),"")</f>
        <v/>
      </c>
      <c r="C329" s="70">
        <f>IFERROR(INDEX(tk_ROOMF,MATCH(324,tk_DSEQ,0))&amp;IF(INDEX(tk_ROOMT,MATCH(324,tk_DSEQ,0))="",""," → "&amp;INDEX(tk_ROOMT,MATCH(324,tk_DSEQ,0))),"")</f>
        <v/>
      </c>
      <c r="D329" s="70">
        <f>IFERROR(INDEX(tk_LEAVES,MATCH(324,tk_DSEQ,0)),"")</f>
        <v/>
      </c>
      <c r="E329" s="70">
        <f>IFERROR(""&amp;INDEX(tk_RATING,MATCH(324,tk_DSEQ,0)),"")</f>
        <v/>
      </c>
      <c r="F329" s="70">
        <f>IFERROR(TEXT(INDEX(tk_LEAFW,MATCH(324,tk_DSEQ,0)),"0.000")&amp;" x "&amp;TEXT(INDEX(tk_LEAFH,MATCH(324,tk_DSEQ,0)),"0.000"),"")</f>
        <v/>
      </c>
      <c r="G329" s="70">
        <f>IFERROR(""&amp;INDEX(tk_DLINE,MATCH(324,tk_DSEQ,0)),"")</f>
        <v/>
      </c>
      <c r="H329" s="70">
        <f>IFERROR(""&amp;INDEX(tk_DNOTES,MATCH(324,tk_DSEQ,0)),"")</f>
        <v/>
      </c>
    </row>
    <row r="330">
      <c r="A330" s="70">
        <f>IFERROR(""&amp;INDEX(tk_MARK,MATCH(325,tk_DSEQ,0)),"")</f>
        <v/>
      </c>
      <c r="B330" s="70">
        <f>IFERROR(INDEX(tk_QTY,MATCH(325,tk_DSEQ,0)),"")</f>
        <v/>
      </c>
      <c r="C330" s="70">
        <f>IFERROR(INDEX(tk_ROOMF,MATCH(325,tk_DSEQ,0))&amp;IF(INDEX(tk_ROOMT,MATCH(325,tk_DSEQ,0))="",""," → "&amp;INDEX(tk_ROOMT,MATCH(325,tk_DSEQ,0))),"")</f>
        <v/>
      </c>
      <c r="D330" s="70">
        <f>IFERROR(INDEX(tk_LEAVES,MATCH(325,tk_DSEQ,0)),"")</f>
        <v/>
      </c>
      <c r="E330" s="70">
        <f>IFERROR(""&amp;INDEX(tk_RATING,MATCH(325,tk_DSEQ,0)),"")</f>
        <v/>
      </c>
      <c r="F330" s="70">
        <f>IFERROR(TEXT(INDEX(tk_LEAFW,MATCH(325,tk_DSEQ,0)),"0.000")&amp;" x "&amp;TEXT(INDEX(tk_LEAFH,MATCH(325,tk_DSEQ,0)),"0.000"),"")</f>
        <v/>
      </c>
      <c r="G330" s="70">
        <f>IFERROR(""&amp;INDEX(tk_DLINE,MATCH(325,tk_DSEQ,0)),"")</f>
        <v/>
      </c>
      <c r="H330" s="70">
        <f>IFERROR(""&amp;INDEX(tk_DNOTES,MATCH(325,tk_DSEQ,0)),"")</f>
        <v/>
      </c>
    </row>
    <row r="331">
      <c r="A331" s="70">
        <f>IFERROR(""&amp;INDEX(tk_MARK,MATCH(326,tk_DSEQ,0)),"")</f>
        <v/>
      </c>
      <c r="B331" s="70">
        <f>IFERROR(INDEX(tk_QTY,MATCH(326,tk_DSEQ,0)),"")</f>
        <v/>
      </c>
      <c r="C331" s="70">
        <f>IFERROR(INDEX(tk_ROOMF,MATCH(326,tk_DSEQ,0))&amp;IF(INDEX(tk_ROOMT,MATCH(326,tk_DSEQ,0))="",""," → "&amp;INDEX(tk_ROOMT,MATCH(326,tk_DSEQ,0))),"")</f>
        <v/>
      </c>
      <c r="D331" s="70">
        <f>IFERROR(INDEX(tk_LEAVES,MATCH(326,tk_DSEQ,0)),"")</f>
        <v/>
      </c>
      <c r="E331" s="70">
        <f>IFERROR(""&amp;INDEX(tk_RATING,MATCH(326,tk_DSEQ,0)),"")</f>
        <v/>
      </c>
      <c r="F331" s="70">
        <f>IFERROR(TEXT(INDEX(tk_LEAFW,MATCH(326,tk_DSEQ,0)),"0.000")&amp;" x "&amp;TEXT(INDEX(tk_LEAFH,MATCH(326,tk_DSEQ,0)),"0.000"),"")</f>
        <v/>
      </c>
      <c r="G331" s="70">
        <f>IFERROR(""&amp;INDEX(tk_DLINE,MATCH(326,tk_DSEQ,0)),"")</f>
        <v/>
      </c>
      <c r="H331" s="70">
        <f>IFERROR(""&amp;INDEX(tk_DNOTES,MATCH(326,tk_DSEQ,0)),"")</f>
        <v/>
      </c>
    </row>
    <row r="332">
      <c r="A332" s="70">
        <f>IFERROR(""&amp;INDEX(tk_MARK,MATCH(327,tk_DSEQ,0)),"")</f>
        <v/>
      </c>
      <c r="B332" s="70">
        <f>IFERROR(INDEX(tk_QTY,MATCH(327,tk_DSEQ,0)),"")</f>
        <v/>
      </c>
      <c r="C332" s="70">
        <f>IFERROR(INDEX(tk_ROOMF,MATCH(327,tk_DSEQ,0))&amp;IF(INDEX(tk_ROOMT,MATCH(327,tk_DSEQ,0))="",""," → "&amp;INDEX(tk_ROOMT,MATCH(327,tk_DSEQ,0))),"")</f>
        <v/>
      </c>
      <c r="D332" s="70">
        <f>IFERROR(INDEX(tk_LEAVES,MATCH(327,tk_DSEQ,0)),"")</f>
        <v/>
      </c>
      <c r="E332" s="70">
        <f>IFERROR(""&amp;INDEX(tk_RATING,MATCH(327,tk_DSEQ,0)),"")</f>
        <v/>
      </c>
      <c r="F332" s="70">
        <f>IFERROR(TEXT(INDEX(tk_LEAFW,MATCH(327,tk_DSEQ,0)),"0.000")&amp;" x "&amp;TEXT(INDEX(tk_LEAFH,MATCH(327,tk_DSEQ,0)),"0.000"),"")</f>
        <v/>
      </c>
      <c r="G332" s="70">
        <f>IFERROR(""&amp;INDEX(tk_DLINE,MATCH(327,tk_DSEQ,0)),"")</f>
        <v/>
      </c>
      <c r="H332" s="70">
        <f>IFERROR(""&amp;INDEX(tk_DNOTES,MATCH(327,tk_DSEQ,0)),"")</f>
        <v/>
      </c>
    </row>
    <row r="333">
      <c r="A333" s="70">
        <f>IFERROR(""&amp;INDEX(tk_MARK,MATCH(328,tk_DSEQ,0)),"")</f>
        <v/>
      </c>
      <c r="B333" s="70">
        <f>IFERROR(INDEX(tk_QTY,MATCH(328,tk_DSEQ,0)),"")</f>
        <v/>
      </c>
      <c r="C333" s="70">
        <f>IFERROR(INDEX(tk_ROOMF,MATCH(328,tk_DSEQ,0))&amp;IF(INDEX(tk_ROOMT,MATCH(328,tk_DSEQ,0))="",""," → "&amp;INDEX(tk_ROOMT,MATCH(328,tk_DSEQ,0))),"")</f>
        <v/>
      </c>
      <c r="D333" s="70">
        <f>IFERROR(INDEX(tk_LEAVES,MATCH(328,tk_DSEQ,0)),"")</f>
        <v/>
      </c>
      <c r="E333" s="70">
        <f>IFERROR(""&amp;INDEX(tk_RATING,MATCH(328,tk_DSEQ,0)),"")</f>
        <v/>
      </c>
      <c r="F333" s="70">
        <f>IFERROR(TEXT(INDEX(tk_LEAFW,MATCH(328,tk_DSEQ,0)),"0.000")&amp;" x "&amp;TEXT(INDEX(tk_LEAFH,MATCH(328,tk_DSEQ,0)),"0.000"),"")</f>
        <v/>
      </c>
      <c r="G333" s="70">
        <f>IFERROR(""&amp;INDEX(tk_DLINE,MATCH(328,tk_DSEQ,0)),"")</f>
        <v/>
      </c>
      <c r="H333" s="70">
        <f>IFERROR(""&amp;INDEX(tk_DNOTES,MATCH(328,tk_DSEQ,0)),"")</f>
        <v/>
      </c>
    </row>
    <row r="334">
      <c r="A334" s="70">
        <f>IFERROR(""&amp;INDEX(tk_MARK,MATCH(329,tk_DSEQ,0)),"")</f>
        <v/>
      </c>
      <c r="B334" s="70">
        <f>IFERROR(INDEX(tk_QTY,MATCH(329,tk_DSEQ,0)),"")</f>
        <v/>
      </c>
      <c r="C334" s="70">
        <f>IFERROR(INDEX(tk_ROOMF,MATCH(329,tk_DSEQ,0))&amp;IF(INDEX(tk_ROOMT,MATCH(329,tk_DSEQ,0))="",""," → "&amp;INDEX(tk_ROOMT,MATCH(329,tk_DSEQ,0))),"")</f>
        <v/>
      </c>
      <c r="D334" s="70">
        <f>IFERROR(INDEX(tk_LEAVES,MATCH(329,tk_DSEQ,0)),"")</f>
        <v/>
      </c>
      <c r="E334" s="70">
        <f>IFERROR(""&amp;INDEX(tk_RATING,MATCH(329,tk_DSEQ,0)),"")</f>
        <v/>
      </c>
      <c r="F334" s="70">
        <f>IFERROR(TEXT(INDEX(tk_LEAFW,MATCH(329,tk_DSEQ,0)),"0.000")&amp;" x "&amp;TEXT(INDEX(tk_LEAFH,MATCH(329,tk_DSEQ,0)),"0.000"),"")</f>
        <v/>
      </c>
      <c r="G334" s="70">
        <f>IFERROR(""&amp;INDEX(tk_DLINE,MATCH(329,tk_DSEQ,0)),"")</f>
        <v/>
      </c>
      <c r="H334" s="70">
        <f>IFERROR(""&amp;INDEX(tk_DNOTES,MATCH(329,tk_DSEQ,0)),"")</f>
        <v/>
      </c>
    </row>
    <row r="335">
      <c r="A335" s="70">
        <f>IFERROR(""&amp;INDEX(tk_MARK,MATCH(330,tk_DSEQ,0)),"")</f>
        <v/>
      </c>
      <c r="B335" s="70">
        <f>IFERROR(INDEX(tk_QTY,MATCH(330,tk_DSEQ,0)),"")</f>
        <v/>
      </c>
      <c r="C335" s="70">
        <f>IFERROR(INDEX(tk_ROOMF,MATCH(330,tk_DSEQ,0))&amp;IF(INDEX(tk_ROOMT,MATCH(330,tk_DSEQ,0))="",""," → "&amp;INDEX(tk_ROOMT,MATCH(330,tk_DSEQ,0))),"")</f>
        <v/>
      </c>
      <c r="D335" s="70">
        <f>IFERROR(INDEX(tk_LEAVES,MATCH(330,tk_DSEQ,0)),"")</f>
        <v/>
      </c>
      <c r="E335" s="70">
        <f>IFERROR(""&amp;INDEX(tk_RATING,MATCH(330,tk_DSEQ,0)),"")</f>
        <v/>
      </c>
      <c r="F335" s="70">
        <f>IFERROR(TEXT(INDEX(tk_LEAFW,MATCH(330,tk_DSEQ,0)),"0.000")&amp;" x "&amp;TEXT(INDEX(tk_LEAFH,MATCH(330,tk_DSEQ,0)),"0.000"),"")</f>
        <v/>
      </c>
      <c r="G335" s="70">
        <f>IFERROR(""&amp;INDEX(tk_DLINE,MATCH(330,tk_DSEQ,0)),"")</f>
        <v/>
      </c>
      <c r="H335" s="70">
        <f>IFERROR(""&amp;INDEX(tk_DNOTES,MATCH(330,tk_DSEQ,0)),"")</f>
        <v/>
      </c>
    </row>
    <row r="336">
      <c r="A336" s="70">
        <f>IFERROR(""&amp;INDEX(tk_MARK,MATCH(331,tk_DSEQ,0)),"")</f>
        <v/>
      </c>
      <c r="B336" s="70">
        <f>IFERROR(INDEX(tk_QTY,MATCH(331,tk_DSEQ,0)),"")</f>
        <v/>
      </c>
      <c r="C336" s="70">
        <f>IFERROR(INDEX(tk_ROOMF,MATCH(331,tk_DSEQ,0))&amp;IF(INDEX(tk_ROOMT,MATCH(331,tk_DSEQ,0))="",""," → "&amp;INDEX(tk_ROOMT,MATCH(331,tk_DSEQ,0))),"")</f>
        <v/>
      </c>
      <c r="D336" s="70">
        <f>IFERROR(INDEX(tk_LEAVES,MATCH(331,tk_DSEQ,0)),"")</f>
        <v/>
      </c>
      <c r="E336" s="70">
        <f>IFERROR(""&amp;INDEX(tk_RATING,MATCH(331,tk_DSEQ,0)),"")</f>
        <v/>
      </c>
      <c r="F336" s="70">
        <f>IFERROR(TEXT(INDEX(tk_LEAFW,MATCH(331,tk_DSEQ,0)),"0.000")&amp;" x "&amp;TEXT(INDEX(tk_LEAFH,MATCH(331,tk_DSEQ,0)),"0.000"),"")</f>
        <v/>
      </c>
      <c r="G336" s="70">
        <f>IFERROR(""&amp;INDEX(tk_DLINE,MATCH(331,tk_DSEQ,0)),"")</f>
        <v/>
      </c>
      <c r="H336" s="70">
        <f>IFERROR(""&amp;INDEX(tk_DNOTES,MATCH(331,tk_DSEQ,0)),"")</f>
        <v/>
      </c>
    </row>
    <row r="337">
      <c r="A337" s="70">
        <f>IFERROR(""&amp;INDEX(tk_MARK,MATCH(332,tk_DSEQ,0)),"")</f>
        <v/>
      </c>
      <c r="B337" s="70">
        <f>IFERROR(INDEX(tk_QTY,MATCH(332,tk_DSEQ,0)),"")</f>
        <v/>
      </c>
      <c r="C337" s="70">
        <f>IFERROR(INDEX(tk_ROOMF,MATCH(332,tk_DSEQ,0))&amp;IF(INDEX(tk_ROOMT,MATCH(332,tk_DSEQ,0))="",""," → "&amp;INDEX(tk_ROOMT,MATCH(332,tk_DSEQ,0))),"")</f>
        <v/>
      </c>
      <c r="D337" s="70">
        <f>IFERROR(INDEX(tk_LEAVES,MATCH(332,tk_DSEQ,0)),"")</f>
        <v/>
      </c>
      <c r="E337" s="70">
        <f>IFERROR(""&amp;INDEX(tk_RATING,MATCH(332,tk_DSEQ,0)),"")</f>
        <v/>
      </c>
      <c r="F337" s="70">
        <f>IFERROR(TEXT(INDEX(tk_LEAFW,MATCH(332,tk_DSEQ,0)),"0.000")&amp;" x "&amp;TEXT(INDEX(tk_LEAFH,MATCH(332,tk_DSEQ,0)),"0.000"),"")</f>
        <v/>
      </c>
      <c r="G337" s="70">
        <f>IFERROR(""&amp;INDEX(tk_DLINE,MATCH(332,tk_DSEQ,0)),"")</f>
        <v/>
      </c>
      <c r="H337" s="70">
        <f>IFERROR(""&amp;INDEX(tk_DNOTES,MATCH(332,tk_DSEQ,0)),"")</f>
        <v/>
      </c>
    </row>
    <row r="338">
      <c r="A338" s="70">
        <f>IFERROR(""&amp;INDEX(tk_MARK,MATCH(333,tk_DSEQ,0)),"")</f>
        <v/>
      </c>
      <c r="B338" s="70">
        <f>IFERROR(INDEX(tk_QTY,MATCH(333,tk_DSEQ,0)),"")</f>
        <v/>
      </c>
      <c r="C338" s="70">
        <f>IFERROR(INDEX(tk_ROOMF,MATCH(333,tk_DSEQ,0))&amp;IF(INDEX(tk_ROOMT,MATCH(333,tk_DSEQ,0))="",""," → "&amp;INDEX(tk_ROOMT,MATCH(333,tk_DSEQ,0))),"")</f>
        <v/>
      </c>
      <c r="D338" s="70">
        <f>IFERROR(INDEX(tk_LEAVES,MATCH(333,tk_DSEQ,0)),"")</f>
        <v/>
      </c>
      <c r="E338" s="70">
        <f>IFERROR(""&amp;INDEX(tk_RATING,MATCH(333,tk_DSEQ,0)),"")</f>
        <v/>
      </c>
      <c r="F338" s="70">
        <f>IFERROR(TEXT(INDEX(tk_LEAFW,MATCH(333,tk_DSEQ,0)),"0.000")&amp;" x "&amp;TEXT(INDEX(tk_LEAFH,MATCH(333,tk_DSEQ,0)),"0.000"),"")</f>
        <v/>
      </c>
      <c r="G338" s="70">
        <f>IFERROR(""&amp;INDEX(tk_DLINE,MATCH(333,tk_DSEQ,0)),"")</f>
        <v/>
      </c>
      <c r="H338" s="70">
        <f>IFERROR(""&amp;INDEX(tk_DNOTES,MATCH(333,tk_DSEQ,0)),"")</f>
        <v/>
      </c>
    </row>
    <row r="339">
      <c r="A339" s="70">
        <f>IFERROR(""&amp;INDEX(tk_MARK,MATCH(334,tk_DSEQ,0)),"")</f>
        <v/>
      </c>
      <c r="B339" s="70">
        <f>IFERROR(INDEX(tk_QTY,MATCH(334,tk_DSEQ,0)),"")</f>
        <v/>
      </c>
      <c r="C339" s="70">
        <f>IFERROR(INDEX(tk_ROOMF,MATCH(334,tk_DSEQ,0))&amp;IF(INDEX(tk_ROOMT,MATCH(334,tk_DSEQ,0))="",""," → "&amp;INDEX(tk_ROOMT,MATCH(334,tk_DSEQ,0))),"")</f>
        <v/>
      </c>
      <c r="D339" s="70">
        <f>IFERROR(INDEX(tk_LEAVES,MATCH(334,tk_DSEQ,0)),"")</f>
        <v/>
      </c>
      <c r="E339" s="70">
        <f>IFERROR(""&amp;INDEX(tk_RATING,MATCH(334,tk_DSEQ,0)),"")</f>
        <v/>
      </c>
      <c r="F339" s="70">
        <f>IFERROR(TEXT(INDEX(tk_LEAFW,MATCH(334,tk_DSEQ,0)),"0.000")&amp;" x "&amp;TEXT(INDEX(tk_LEAFH,MATCH(334,tk_DSEQ,0)),"0.000"),"")</f>
        <v/>
      </c>
      <c r="G339" s="70">
        <f>IFERROR(""&amp;INDEX(tk_DLINE,MATCH(334,tk_DSEQ,0)),"")</f>
        <v/>
      </c>
      <c r="H339" s="70">
        <f>IFERROR(""&amp;INDEX(tk_DNOTES,MATCH(334,tk_DSEQ,0)),"")</f>
        <v/>
      </c>
    </row>
    <row r="340">
      <c r="A340" s="70">
        <f>IFERROR(""&amp;INDEX(tk_MARK,MATCH(335,tk_DSEQ,0)),"")</f>
        <v/>
      </c>
      <c r="B340" s="70">
        <f>IFERROR(INDEX(tk_QTY,MATCH(335,tk_DSEQ,0)),"")</f>
        <v/>
      </c>
      <c r="C340" s="70">
        <f>IFERROR(INDEX(tk_ROOMF,MATCH(335,tk_DSEQ,0))&amp;IF(INDEX(tk_ROOMT,MATCH(335,tk_DSEQ,0))="",""," → "&amp;INDEX(tk_ROOMT,MATCH(335,tk_DSEQ,0))),"")</f>
        <v/>
      </c>
      <c r="D340" s="70">
        <f>IFERROR(INDEX(tk_LEAVES,MATCH(335,tk_DSEQ,0)),"")</f>
        <v/>
      </c>
      <c r="E340" s="70">
        <f>IFERROR(""&amp;INDEX(tk_RATING,MATCH(335,tk_DSEQ,0)),"")</f>
        <v/>
      </c>
      <c r="F340" s="70">
        <f>IFERROR(TEXT(INDEX(tk_LEAFW,MATCH(335,tk_DSEQ,0)),"0.000")&amp;" x "&amp;TEXT(INDEX(tk_LEAFH,MATCH(335,tk_DSEQ,0)),"0.000"),"")</f>
        <v/>
      </c>
      <c r="G340" s="70">
        <f>IFERROR(""&amp;INDEX(tk_DLINE,MATCH(335,tk_DSEQ,0)),"")</f>
        <v/>
      </c>
      <c r="H340" s="70">
        <f>IFERROR(""&amp;INDEX(tk_DNOTES,MATCH(335,tk_DSEQ,0)),"")</f>
        <v/>
      </c>
    </row>
    <row r="341">
      <c r="A341" s="70">
        <f>IFERROR(""&amp;INDEX(tk_MARK,MATCH(336,tk_DSEQ,0)),"")</f>
        <v/>
      </c>
      <c r="B341" s="70">
        <f>IFERROR(INDEX(tk_QTY,MATCH(336,tk_DSEQ,0)),"")</f>
        <v/>
      </c>
      <c r="C341" s="70">
        <f>IFERROR(INDEX(tk_ROOMF,MATCH(336,tk_DSEQ,0))&amp;IF(INDEX(tk_ROOMT,MATCH(336,tk_DSEQ,0))="",""," → "&amp;INDEX(tk_ROOMT,MATCH(336,tk_DSEQ,0))),"")</f>
        <v/>
      </c>
      <c r="D341" s="70">
        <f>IFERROR(INDEX(tk_LEAVES,MATCH(336,tk_DSEQ,0)),"")</f>
        <v/>
      </c>
      <c r="E341" s="70">
        <f>IFERROR(""&amp;INDEX(tk_RATING,MATCH(336,tk_DSEQ,0)),"")</f>
        <v/>
      </c>
      <c r="F341" s="70">
        <f>IFERROR(TEXT(INDEX(tk_LEAFW,MATCH(336,tk_DSEQ,0)),"0.000")&amp;" x "&amp;TEXT(INDEX(tk_LEAFH,MATCH(336,tk_DSEQ,0)),"0.000"),"")</f>
        <v/>
      </c>
      <c r="G341" s="70">
        <f>IFERROR(""&amp;INDEX(tk_DLINE,MATCH(336,tk_DSEQ,0)),"")</f>
        <v/>
      </c>
      <c r="H341" s="70">
        <f>IFERROR(""&amp;INDEX(tk_DNOTES,MATCH(336,tk_DSEQ,0)),"")</f>
        <v/>
      </c>
    </row>
    <row r="342">
      <c r="A342" s="70">
        <f>IFERROR(""&amp;INDEX(tk_MARK,MATCH(337,tk_DSEQ,0)),"")</f>
        <v/>
      </c>
      <c r="B342" s="70">
        <f>IFERROR(INDEX(tk_QTY,MATCH(337,tk_DSEQ,0)),"")</f>
        <v/>
      </c>
      <c r="C342" s="70">
        <f>IFERROR(INDEX(tk_ROOMF,MATCH(337,tk_DSEQ,0))&amp;IF(INDEX(tk_ROOMT,MATCH(337,tk_DSEQ,0))="",""," → "&amp;INDEX(tk_ROOMT,MATCH(337,tk_DSEQ,0))),"")</f>
        <v/>
      </c>
      <c r="D342" s="70">
        <f>IFERROR(INDEX(tk_LEAVES,MATCH(337,tk_DSEQ,0)),"")</f>
        <v/>
      </c>
      <c r="E342" s="70">
        <f>IFERROR(""&amp;INDEX(tk_RATING,MATCH(337,tk_DSEQ,0)),"")</f>
        <v/>
      </c>
      <c r="F342" s="70">
        <f>IFERROR(TEXT(INDEX(tk_LEAFW,MATCH(337,tk_DSEQ,0)),"0.000")&amp;" x "&amp;TEXT(INDEX(tk_LEAFH,MATCH(337,tk_DSEQ,0)),"0.000"),"")</f>
        <v/>
      </c>
      <c r="G342" s="70">
        <f>IFERROR(""&amp;INDEX(tk_DLINE,MATCH(337,tk_DSEQ,0)),"")</f>
        <v/>
      </c>
      <c r="H342" s="70">
        <f>IFERROR(""&amp;INDEX(tk_DNOTES,MATCH(337,tk_DSEQ,0)),"")</f>
        <v/>
      </c>
    </row>
    <row r="343">
      <c r="A343" s="70">
        <f>IFERROR(""&amp;INDEX(tk_MARK,MATCH(338,tk_DSEQ,0)),"")</f>
        <v/>
      </c>
      <c r="B343" s="70">
        <f>IFERROR(INDEX(tk_QTY,MATCH(338,tk_DSEQ,0)),"")</f>
        <v/>
      </c>
      <c r="C343" s="70">
        <f>IFERROR(INDEX(tk_ROOMF,MATCH(338,tk_DSEQ,0))&amp;IF(INDEX(tk_ROOMT,MATCH(338,tk_DSEQ,0))="",""," → "&amp;INDEX(tk_ROOMT,MATCH(338,tk_DSEQ,0))),"")</f>
        <v/>
      </c>
      <c r="D343" s="70">
        <f>IFERROR(INDEX(tk_LEAVES,MATCH(338,tk_DSEQ,0)),"")</f>
        <v/>
      </c>
      <c r="E343" s="70">
        <f>IFERROR(""&amp;INDEX(tk_RATING,MATCH(338,tk_DSEQ,0)),"")</f>
        <v/>
      </c>
      <c r="F343" s="70">
        <f>IFERROR(TEXT(INDEX(tk_LEAFW,MATCH(338,tk_DSEQ,0)),"0.000")&amp;" x "&amp;TEXT(INDEX(tk_LEAFH,MATCH(338,tk_DSEQ,0)),"0.000"),"")</f>
        <v/>
      </c>
      <c r="G343" s="70">
        <f>IFERROR(""&amp;INDEX(tk_DLINE,MATCH(338,tk_DSEQ,0)),"")</f>
        <v/>
      </c>
      <c r="H343" s="70">
        <f>IFERROR(""&amp;INDEX(tk_DNOTES,MATCH(338,tk_DSEQ,0)),"")</f>
        <v/>
      </c>
    </row>
    <row r="344">
      <c r="A344" s="70">
        <f>IFERROR(""&amp;INDEX(tk_MARK,MATCH(339,tk_DSEQ,0)),"")</f>
        <v/>
      </c>
      <c r="B344" s="70">
        <f>IFERROR(INDEX(tk_QTY,MATCH(339,tk_DSEQ,0)),"")</f>
        <v/>
      </c>
      <c r="C344" s="70">
        <f>IFERROR(INDEX(tk_ROOMF,MATCH(339,tk_DSEQ,0))&amp;IF(INDEX(tk_ROOMT,MATCH(339,tk_DSEQ,0))="",""," → "&amp;INDEX(tk_ROOMT,MATCH(339,tk_DSEQ,0))),"")</f>
        <v/>
      </c>
      <c r="D344" s="70">
        <f>IFERROR(INDEX(tk_LEAVES,MATCH(339,tk_DSEQ,0)),"")</f>
        <v/>
      </c>
      <c r="E344" s="70">
        <f>IFERROR(""&amp;INDEX(tk_RATING,MATCH(339,tk_DSEQ,0)),"")</f>
        <v/>
      </c>
      <c r="F344" s="70">
        <f>IFERROR(TEXT(INDEX(tk_LEAFW,MATCH(339,tk_DSEQ,0)),"0.000")&amp;" x "&amp;TEXT(INDEX(tk_LEAFH,MATCH(339,tk_DSEQ,0)),"0.000"),"")</f>
        <v/>
      </c>
      <c r="G344" s="70">
        <f>IFERROR(""&amp;INDEX(tk_DLINE,MATCH(339,tk_DSEQ,0)),"")</f>
        <v/>
      </c>
      <c r="H344" s="70">
        <f>IFERROR(""&amp;INDEX(tk_DNOTES,MATCH(339,tk_DSEQ,0)),"")</f>
        <v/>
      </c>
    </row>
    <row r="345">
      <c r="A345" s="70">
        <f>IFERROR(""&amp;INDEX(tk_MARK,MATCH(340,tk_DSEQ,0)),"")</f>
        <v/>
      </c>
      <c r="B345" s="70">
        <f>IFERROR(INDEX(tk_QTY,MATCH(340,tk_DSEQ,0)),"")</f>
        <v/>
      </c>
      <c r="C345" s="70">
        <f>IFERROR(INDEX(tk_ROOMF,MATCH(340,tk_DSEQ,0))&amp;IF(INDEX(tk_ROOMT,MATCH(340,tk_DSEQ,0))="",""," → "&amp;INDEX(tk_ROOMT,MATCH(340,tk_DSEQ,0))),"")</f>
        <v/>
      </c>
      <c r="D345" s="70">
        <f>IFERROR(INDEX(tk_LEAVES,MATCH(340,tk_DSEQ,0)),"")</f>
        <v/>
      </c>
      <c r="E345" s="70">
        <f>IFERROR(""&amp;INDEX(tk_RATING,MATCH(340,tk_DSEQ,0)),"")</f>
        <v/>
      </c>
      <c r="F345" s="70">
        <f>IFERROR(TEXT(INDEX(tk_LEAFW,MATCH(340,tk_DSEQ,0)),"0.000")&amp;" x "&amp;TEXT(INDEX(tk_LEAFH,MATCH(340,tk_DSEQ,0)),"0.000"),"")</f>
        <v/>
      </c>
      <c r="G345" s="70">
        <f>IFERROR(""&amp;INDEX(tk_DLINE,MATCH(340,tk_DSEQ,0)),"")</f>
        <v/>
      </c>
      <c r="H345" s="70">
        <f>IFERROR(""&amp;INDEX(tk_DNOTES,MATCH(340,tk_DSEQ,0)),"")</f>
        <v/>
      </c>
    </row>
    <row r="346">
      <c r="A346" s="70">
        <f>IFERROR(""&amp;INDEX(tk_MARK,MATCH(341,tk_DSEQ,0)),"")</f>
        <v/>
      </c>
      <c r="B346" s="70">
        <f>IFERROR(INDEX(tk_QTY,MATCH(341,tk_DSEQ,0)),"")</f>
        <v/>
      </c>
      <c r="C346" s="70">
        <f>IFERROR(INDEX(tk_ROOMF,MATCH(341,tk_DSEQ,0))&amp;IF(INDEX(tk_ROOMT,MATCH(341,tk_DSEQ,0))="",""," → "&amp;INDEX(tk_ROOMT,MATCH(341,tk_DSEQ,0))),"")</f>
        <v/>
      </c>
      <c r="D346" s="70">
        <f>IFERROR(INDEX(tk_LEAVES,MATCH(341,tk_DSEQ,0)),"")</f>
        <v/>
      </c>
      <c r="E346" s="70">
        <f>IFERROR(""&amp;INDEX(tk_RATING,MATCH(341,tk_DSEQ,0)),"")</f>
        <v/>
      </c>
      <c r="F346" s="70">
        <f>IFERROR(TEXT(INDEX(tk_LEAFW,MATCH(341,tk_DSEQ,0)),"0.000")&amp;" x "&amp;TEXT(INDEX(tk_LEAFH,MATCH(341,tk_DSEQ,0)),"0.000"),"")</f>
        <v/>
      </c>
      <c r="G346" s="70">
        <f>IFERROR(""&amp;INDEX(tk_DLINE,MATCH(341,tk_DSEQ,0)),"")</f>
        <v/>
      </c>
      <c r="H346" s="70">
        <f>IFERROR(""&amp;INDEX(tk_DNOTES,MATCH(341,tk_DSEQ,0)),"")</f>
        <v/>
      </c>
    </row>
    <row r="347">
      <c r="A347" s="70">
        <f>IFERROR(""&amp;INDEX(tk_MARK,MATCH(342,tk_DSEQ,0)),"")</f>
        <v/>
      </c>
      <c r="B347" s="70">
        <f>IFERROR(INDEX(tk_QTY,MATCH(342,tk_DSEQ,0)),"")</f>
        <v/>
      </c>
      <c r="C347" s="70">
        <f>IFERROR(INDEX(tk_ROOMF,MATCH(342,tk_DSEQ,0))&amp;IF(INDEX(tk_ROOMT,MATCH(342,tk_DSEQ,0))="",""," → "&amp;INDEX(tk_ROOMT,MATCH(342,tk_DSEQ,0))),"")</f>
        <v/>
      </c>
      <c r="D347" s="70">
        <f>IFERROR(INDEX(tk_LEAVES,MATCH(342,tk_DSEQ,0)),"")</f>
        <v/>
      </c>
      <c r="E347" s="70">
        <f>IFERROR(""&amp;INDEX(tk_RATING,MATCH(342,tk_DSEQ,0)),"")</f>
        <v/>
      </c>
      <c r="F347" s="70">
        <f>IFERROR(TEXT(INDEX(tk_LEAFW,MATCH(342,tk_DSEQ,0)),"0.000")&amp;" x "&amp;TEXT(INDEX(tk_LEAFH,MATCH(342,tk_DSEQ,0)),"0.000"),"")</f>
        <v/>
      </c>
      <c r="G347" s="70">
        <f>IFERROR(""&amp;INDEX(tk_DLINE,MATCH(342,tk_DSEQ,0)),"")</f>
        <v/>
      </c>
      <c r="H347" s="70">
        <f>IFERROR(""&amp;INDEX(tk_DNOTES,MATCH(342,tk_DSEQ,0)),"")</f>
        <v/>
      </c>
    </row>
    <row r="348">
      <c r="A348" s="70">
        <f>IFERROR(""&amp;INDEX(tk_MARK,MATCH(343,tk_DSEQ,0)),"")</f>
        <v/>
      </c>
      <c r="B348" s="70">
        <f>IFERROR(INDEX(tk_QTY,MATCH(343,tk_DSEQ,0)),"")</f>
        <v/>
      </c>
      <c r="C348" s="70">
        <f>IFERROR(INDEX(tk_ROOMF,MATCH(343,tk_DSEQ,0))&amp;IF(INDEX(tk_ROOMT,MATCH(343,tk_DSEQ,0))="",""," → "&amp;INDEX(tk_ROOMT,MATCH(343,tk_DSEQ,0))),"")</f>
        <v/>
      </c>
      <c r="D348" s="70">
        <f>IFERROR(INDEX(tk_LEAVES,MATCH(343,tk_DSEQ,0)),"")</f>
        <v/>
      </c>
      <c r="E348" s="70">
        <f>IFERROR(""&amp;INDEX(tk_RATING,MATCH(343,tk_DSEQ,0)),"")</f>
        <v/>
      </c>
      <c r="F348" s="70">
        <f>IFERROR(TEXT(INDEX(tk_LEAFW,MATCH(343,tk_DSEQ,0)),"0.000")&amp;" x "&amp;TEXT(INDEX(tk_LEAFH,MATCH(343,tk_DSEQ,0)),"0.000"),"")</f>
        <v/>
      </c>
      <c r="G348" s="70">
        <f>IFERROR(""&amp;INDEX(tk_DLINE,MATCH(343,tk_DSEQ,0)),"")</f>
        <v/>
      </c>
      <c r="H348" s="70">
        <f>IFERROR(""&amp;INDEX(tk_DNOTES,MATCH(343,tk_DSEQ,0)),"")</f>
        <v/>
      </c>
    </row>
    <row r="349">
      <c r="A349" s="70">
        <f>IFERROR(""&amp;INDEX(tk_MARK,MATCH(344,tk_DSEQ,0)),"")</f>
        <v/>
      </c>
      <c r="B349" s="70">
        <f>IFERROR(INDEX(tk_QTY,MATCH(344,tk_DSEQ,0)),"")</f>
        <v/>
      </c>
      <c r="C349" s="70">
        <f>IFERROR(INDEX(tk_ROOMF,MATCH(344,tk_DSEQ,0))&amp;IF(INDEX(tk_ROOMT,MATCH(344,tk_DSEQ,0))="",""," → "&amp;INDEX(tk_ROOMT,MATCH(344,tk_DSEQ,0))),"")</f>
        <v/>
      </c>
      <c r="D349" s="70">
        <f>IFERROR(INDEX(tk_LEAVES,MATCH(344,tk_DSEQ,0)),"")</f>
        <v/>
      </c>
      <c r="E349" s="70">
        <f>IFERROR(""&amp;INDEX(tk_RATING,MATCH(344,tk_DSEQ,0)),"")</f>
        <v/>
      </c>
      <c r="F349" s="70">
        <f>IFERROR(TEXT(INDEX(tk_LEAFW,MATCH(344,tk_DSEQ,0)),"0.000")&amp;" x "&amp;TEXT(INDEX(tk_LEAFH,MATCH(344,tk_DSEQ,0)),"0.000"),"")</f>
        <v/>
      </c>
      <c r="G349" s="70">
        <f>IFERROR(""&amp;INDEX(tk_DLINE,MATCH(344,tk_DSEQ,0)),"")</f>
        <v/>
      </c>
      <c r="H349" s="70">
        <f>IFERROR(""&amp;INDEX(tk_DNOTES,MATCH(344,tk_DSEQ,0)),"")</f>
        <v/>
      </c>
    </row>
    <row r="350">
      <c r="A350" s="70">
        <f>IFERROR(""&amp;INDEX(tk_MARK,MATCH(345,tk_DSEQ,0)),"")</f>
        <v/>
      </c>
      <c r="B350" s="70">
        <f>IFERROR(INDEX(tk_QTY,MATCH(345,tk_DSEQ,0)),"")</f>
        <v/>
      </c>
      <c r="C350" s="70">
        <f>IFERROR(INDEX(tk_ROOMF,MATCH(345,tk_DSEQ,0))&amp;IF(INDEX(tk_ROOMT,MATCH(345,tk_DSEQ,0))="",""," → "&amp;INDEX(tk_ROOMT,MATCH(345,tk_DSEQ,0))),"")</f>
        <v/>
      </c>
      <c r="D350" s="70">
        <f>IFERROR(INDEX(tk_LEAVES,MATCH(345,tk_DSEQ,0)),"")</f>
        <v/>
      </c>
      <c r="E350" s="70">
        <f>IFERROR(""&amp;INDEX(tk_RATING,MATCH(345,tk_DSEQ,0)),"")</f>
        <v/>
      </c>
      <c r="F350" s="70">
        <f>IFERROR(TEXT(INDEX(tk_LEAFW,MATCH(345,tk_DSEQ,0)),"0.000")&amp;" x "&amp;TEXT(INDEX(tk_LEAFH,MATCH(345,tk_DSEQ,0)),"0.000"),"")</f>
        <v/>
      </c>
      <c r="G350" s="70">
        <f>IFERROR(""&amp;INDEX(tk_DLINE,MATCH(345,tk_DSEQ,0)),"")</f>
        <v/>
      </c>
      <c r="H350" s="70">
        <f>IFERROR(""&amp;INDEX(tk_DNOTES,MATCH(345,tk_DSEQ,0)),"")</f>
        <v/>
      </c>
    </row>
    <row r="351">
      <c r="A351" s="70">
        <f>IFERROR(""&amp;INDEX(tk_MARK,MATCH(346,tk_DSEQ,0)),"")</f>
        <v/>
      </c>
      <c r="B351" s="70">
        <f>IFERROR(INDEX(tk_QTY,MATCH(346,tk_DSEQ,0)),"")</f>
        <v/>
      </c>
      <c r="C351" s="70">
        <f>IFERROR(INDEX(tk_ROOMF,MATCH(346,tk_DSEQ,0))&amp;IF(INDEX(tk_ROOMT,MATCH(346,tk_DSEQ,0))="",""," → "&amp;INDEX(tk_ROOMT,MATCH(346,tk_DSEQ,0))),"")</f>
        <v/>
      </c>
      <c r="D351" s="70">
        <f>IFERROR(INDEX(tk_LEAVES,MATCH(346,tk_DSEQ,0)),"")</f>
        <v/>
      </c>
      <c r="E351" s="70">
        <f>IFERROR(""&amp;INDEX(tk_RATING,MATCH(346,tk_DSEQ,0)),"")</f>
        <v/>
      </c>
      <c r="F351" s="70">
        <f>IFERROR(TEXT(INDEX(tk_LEAFW,MATCH(346,tk_DSEQ,0)),"0.000")&amp;" x "&amp;TEXT(INDEX(tk_LEAFH,MATCH(346,tk_DSEQ,0)),"0.000"),"")</f>
        <v/>
      </c>
      <c r="G351" s="70">
        <f>IFERROR(""&amp;INDEX(tk_DLINE,MATCH(346,tk_DSEQ,0)),"")</f>
        <v/>
      </c>
      <c r="H351" s="70">
        <f>IFERROR(""&amp;INDEX(tk_DNOTES,MATCH(346,tk_DSEQ,0)),"")</f>
        <v/>
      </c>
    </row>
    <row r="352">
      <c r="A352" s="70">
        <f>IFERROR(""&amp;INDEX(tk_MARK,MATCH(347,tk_DSEQ,0)),"")</f>
        <v/>
      </c>
      <c r="B352" s="70">
        <f>IFERROR(INDEX(tk_QTY,MATCH(347,tk_DSEQ,0)),"")</f>
        <v/>
      </c>
      <c r="C352" s="70">
        <f>IFERROR(INDEX(tk_ROOMF,MATCH(347,tk_DSEQ,0))&amp;IF(INDEX(tk_ROOMT,MATCH(347,tk_DSEQ,0))="",""," → "&amp;INDEX(tk_ROOMT,MATCH(347,tk_DSEQ,0))),"")</f>
        <v/>
      </c>
      <c r="D352" s="70">
        <f>IFERROR(INDEX(tk_LEAVES,MATCH(347,tk_DSEQ,0)),"")</f>
        <v/>
      </c>
      <c r="E352" s="70">
        <f>IFERROR(""&amp;INDEX(tk_RATING,MATCH(347,tk_DSEQ,0)),"")</f>
        <v/>
      </c>
      <c r="F352" s="70">
        <f>IFERROR(TEXT(INDEX(tk_LEAFW,MATCH(347,tk_DSEQ,0)),"0.000")&amp;" x "&amp;TEXT(INDEX(tk_LEAFH,MATCH(347,tk_DSEQ,0)),"0.000"),"")</f>
        <v/>
      </c>
      <c r="G352" s="70">
        <f>IFERROR(""&amp;INDEX(tk_DLINE,MATCH(347,tk_DSEQ,0)),"")</f>
        <v/>
      </c>
      <c r="H352" s="70">
        <f>IFERROR(""&amp;INDEX(tk_DNOTES,MATCH(347,tk_DSEQ,0)),"")</f>
        <v/>
      </c>
    </row>
    <row r="353">
      <c r="A353" s="70">
        <f>IFERROR(""&amp;INDEX(tk_MARK,MATCH(348,tk_DSEQ,0)),"")</f>
        <v/>
      </c>
      <c r="B353" s="70">
        <f>IFERROR(INDEX(tk_QTY,MATCH(348,tk_DSEQ,0)),"")</f>
        <v/>
      </c>
      <c r="C353" s="70">
        <f>IFERROR(INDEX(tk_ROOMF,MATCH(348,tk_DSEQ,0))&amp;IF(INDEX(tk_ROOMT,MATCH(348,tk_DSEQ,0))="",""," → "&amp;INDEX(tk_ROOMT,MATCH(348,tk_DSEQ,0))),"")</f>
        <v/>
      </c>
      <c r="D353" s="70">
        <f>IFERROR(INDEX(tk_LEAVES,MATCH(348,tk_DSEQ,0)),"")</f>
        <v/>
      </c>
      <c r="E353" s="70">
        <f>IFERROR(""&amp;INDEX(tk_RATING,MATCH(348,tk_DSEQ,0)),"")</f>
        <v/>
      </c>
      <c r="F353" s="70">
        <f>IFERROR(TEXT(INDEX(tk_LEAFW,MATCH(348,tk_DSEQ,0)),"0.000")&amp;" x "&amp;TEXT(INDEX(tk_LEAFH,MATCH(348,tk_DSEQ,0)),"0.000"),"")</f>
        <v/>
      </c>
      <c r="G353" s="70">
        <f>IFERROR(""&amp;INDEX(tk_DLINE,MATCH(348,tk_DSEQ,0)),"")</f>
        <v/>
      </c>
      <c r="H353" s="70">
        <f>IFERROR(""&amp;INDEX(tk_DNOTES,MATCH(348,tk_DSEQ,0)),"")</f>
        <v/>
      </c>
    </row>
    <row r="354">
      <c r="A354" s="70">
        <f>IFERROR(""&amp;INDEX(tk_MARK,MATCH(349,tk_DSEQ,0)),"")</f>
        <v/>
      </c>
      <c r="B354" s="70">
        <f>IFERROR(INDEX(tk_QTY,MATCH(349,tk_DSEQ,0)),"")</f>
        <v/>
      </c>
      <c r="C354" s="70">
        <f>IFERROR(INDEX(tk_ROOMF,MATCH(349,tk_DSEQ,0))&amp;IF(INDEX(tk_ROOMT,MATCH(349,tk_DSEQ,0))="",""," → "&amp;INDEX(tk_ROOMT,MATCH(349,tk_DSEQ,0))),"")</f>
        <v/>
      </c>
      <c r="D354" s="70">
        <f>IFERROR(INDEX(tk_LEAVES,MATCH(349,tk_DSEQ,0)),"")</f>
        <v/>
      </c>
      <c r="E354" s="70">
        <f>IFERROR(""&amp;INDEX(tk_RATING,MATCH(349,tk_DSEQ,0)),"")</f>
        <v/>
      </c>
      <c r="F354" s="70">
        <f>IFERROR(TEXT(INDEX(tk_LEAFW,MATCH(349,tk_DSEQ,0)),"0.000")&amp;" x "&amp;TEXT(INDEX(tk_LEAFH,MATCH(349,tk_DSEQ,0)),"0.000"),"")</f>
        <v/>
      </c>
      <c r="G354" s="70">
        <f>IFERROR(""&amp;INDEX(tk_DLINE,MATCH(349,tk_DSEQ,0)),"")</f>
        <v/>
      </c>
      <c r="H354" s="70">
        <f>IFERROR(""&amp;INDEX(tk_DNOTES,MATCH(349,tk_DSEQ,0)),"")</f>
        <v/>
      </c>
    </row>
    <row r="355">
      <c r="A355" s="70">
        <f>IFERROR(""&amp;INDEX(tk_MARK,MATCH(350,tk_DSEQ,0)),"")</f>
        <v/>
      </c>
      <c r="B355" s="70">
        <f>IFERROR(INDEX(tk_QTY,MATCH(350,tk_DSEQ,0)),"")</f>
        <v/>
      </c>
      <c r="C355" s="70">
        <f>IFERROR(INDEX(tk_ROOMF,MATCH(350,tk_DSEQ,0))&amp;IF(INDEX(tk_ROOMT,MATCH(350,tk_DSEQ,0))="",""," → "&amp;INDEX(tk_ROOMT,MATCH(350,tk_DSEQ,0))),"")</f>
        <v/>
      </c>
      <c r="D355" s="70">
        <f>IFERROR(INDEX(tk_LEAVES,MATCH(350,tk_DSEQ,0)),"")</f>
        <v/>
      </c>
      <c r="E355" s="70">
        <f>IFERROR(""&amp;INDEX(tk_RATING,MATCH(350,tk_DSEQ,0)),"")</f>
        <v/>
      </c>
      <c r="F355" s="70">
        <f>IFERROR(TEXT(INDEX(tk_LEAFW,MATCH(350,tk_DSEQ,0)),"0.000")&amp;" x "&amp;TEXT(INDEX(tk_LEAFH,MATCH(350,tk_DSEQ,0)),"0.000"),"")</f>
        <v/>
      </c>
      <c r="G355" s="70">
        <f>IFERROR(""&amp;INDEX(tk_DLINE,MATCH(350,tk_DSEQ,0)),"")</f>
        <v/>
      </c>
      <c r="H355" s="70">
        <f>IFERROR(""&amp;INDEX(tk_DNOTES,MATCH(350,tk_DSEQ,0)),"")</f>
        <v/>
      </c>
    </row>
    <row r="356">
      <c r="A356" s="70">
        <f>IFERROR(""&amp;INDEX(tk_MARK,MATCH(351,tk_DSEQ,0)),"")</f>
        <v/>
      </c>
      <c r="B356" s="70">
        <f>IFERROR(INDEX(tk_QTY,MATCH(351,tk_DSEQ,0)),"")</f>
        <v/>
      </c>
      <c r="C356" s="70">
        <f>IFERROR(INDEX(tk_ROOMF,MATCH(351,tk_DSEQ,0))&amp;IF(INDEX(tk_ROOMT,MATCH(351,tk_DSEQ,0))="",""," → "&amp;INDEX(tk_ROOMT,MATCH(351,tk_DSEQ,0))),"")</f>
        <v/>
      </c>
      <c r="D356" s="70">
        <f>IFERROR(INDEX(tk_LEAVES,MATCH(351,tk_DSEQ,0)),"")</f>
        <v/>
      </c>
      <c r="E356" s="70">
        <f>IFERROR(""&amp;INDEX(tk_RATING,MATCH(351,tk_DSEQ,0)),"")</f>
        <v/>
      </c>
      <c r="F356" s="70">
        <f>IFERROR(TEXT(INDEX(tk_LEAFW,MATCH(351,tk_DSEQ,0)),"0.000")&amp;" x "&amp;TEXT(INDEX(tk_LEAFH,MATCH(351,tk_DSEQ,0)),"0.000"),"")</f>
        <v/>
      </c>
      <c r="G356" s="70">
        <f>IFERROR(""&amp;INDEX(tk_DLINE,MATCH(351,tk_DSEQ,0)),"")</f>
        <v/>
      </c>
      <c r="H356" s="70">
        <f>IFERROR(""&amp;INDEX(tk_DNOTES,MATCH(351,tk_DSEQ,0)),"")</f>
        <v/>
      </c>
    </row>
    <row r="357">
      <c r="A357" s="70">
        <f>IFERROR(""&amp;INDEX(tk_MARK,MATCH(352,tk_DSEQ,0)),"")</f>
        <v/>
      </c>
      <c r="B357" s="70">
        <f>IFERROR(INDEX(tk_QTY,MATCH(352,tk_DSEQ,0)),"")</f>
        <v/>
      </c>
      <c r="C357" s="70">
        <f>IFERROR(INDEX(tk_ROOMF,MATCH(352,tk_DSEQ,0))&amp;IF(INDEX(tk_ROOMT,MATCH(352,tk_DSEQ,0))="",""," → "&amp;INDEX(tk_ROOMT,MATCH(352,tk_DSEQ,0))),"")</f>
        <v/>
      </c>
      <c r="D357" s="70">
        <f>IFERROR(INDEX(tk_LEAVES,MATCH(352,tk_DSEQ,0)),"")</f>
        <v/>
      </c>
      <c r="E357" s="70">
        <f>IFERROR(""&amp;INDEX(tk_RATING,MATCH(352,tk_DSEQ,0)),"")</f>
        <v/>
      </c>
      <c r="F357" s="70">
        <f>IFERROR(TEXT(INDEX(tk_LEAFW,MATCH(352,tk_DSEQ,0)),"0.000")&amp;" x "&amp;TEXT(INDEX(tk_LEAFH,MATCH(352,tk_DSEQ,0)),"0.000"),"")</f>
        <v/>
      </c>
      <c r="G357" s="70">
        <f>IFERROR(""&amp;INDEX(tk_DLINE,MATCH(352,tk_DSEQ,0)),"")</f>
        <v/>
      </c>
      <c r="H357" s="70">
        <f>IFERROR(""&amp;INDEX(tk_DNOTES,MATCH(352,tk_DSEQ,0)),"")</f>
        <v/>
      </c>
    </row>
    <row r="358">
      <c r="A358" s="70">
        <f>IFERROR(""&amp;INDEX(tk_MARK,MATCH(353,tk_DSEQ,0)),"")</f>
        <v/>
      </c>
      <c r="B358" s="70">
        <f>IFERROR(INDEX(tk_QTY,MATCH(353,tk_DSEQ,0)),"")</f>
        <v/>
      </c>
      <c r="C358" s="70">
        <f>IFERROR(INDEX(tk_ROOMF,MATCH(353,tk_DSEQ,0))&amp;IF(INDEX(tk_ROOMT,MATCH(353,tk_DSEQ,0))="",""," → "&amp;INDEX(tk_ROOMT,MATCH(353,tk_DSEQ,0))),"")</f>
        <v/>
      </c>
      <c r="D358" s="70">
        <f>IFERROR(INDEX(tk_LEAVES,MATCH(353,tk_DSEQ,0)),"")</f>
        <v/>
      </c>
      <c r="E358" s="70">
        <f>IFERROR(""&amp;INDEX(tk_RATING,MATCH(353,tk_DSEQ,0)),"")</f>
        <v/>
      </c>
      <c r="F358" s="70">
        <f>IFERROR(TEXT(INDEX(tk_LEAFW,MATCH(353,tk_DSEQ,0)),"0.000")&amp;" x "&amp;TEXT(INDEX(tk_LEAFH,MATCH(353,tk_DSEQ,0)),"0.000"),"")</f>
        <v/>
      </c>
      <c r="G358" s="70">
        <f>IFERROR(""&amp;INDEX(tk_DLINE,MATCH(353,tk_DSEQ,0)),"")</f>
        <v/>
      </c>
      <c r="H358" s="70">
        <f>IFERROR(""&amp;INDEX(tk_DNOTES,MATCH(353,tk_DSEQ,0)),"")</f>
        <v/>
      </c>
    </row>
    <row r="359">
      <c r="A359" s="70">
        <f>IFERROR(""&amp;INDEX(tk_MARK,MATCH(354,tk_DSEQ,0)),"")</f>
        <v/>
      </c>
      <c r="B359" s="70">
        <f>IFERROR(INDEX(tk_QTY,MATCH(354,tk_DSEQ,0)),"")</f>
        <v/>
      </c>
      <c r="C359" s="70">
        <f>IFERROR(INDEX(tk_ROOMF,MATCH(354,tk_DSEQ,0))&amp;IF(INDEX(tk_ROOMT,MATCH(354,tk_DSEQ,0))="",""," → "&amp;INDEX(tk_ROOMT,MATCH(354,tk_DSEQ,0))),"")</f>
        <v/>
      </c>
      <c r="D359" s="70">
        <f>IFERROR(INDEX(tk_LEAVES,MATCH(354,tk_DSEQ,0)),"")</f>
        <v/>
      </c>
      <c r="E359" s="70">
        <f>IFERROR(""&amp;INDEX(tk_RATING,MATCH(354,tk_DSEQ,0)),"")</f>
        <v/>
      </c>
      <c r="F359" s="70">
        <f>IFERROR(TEXT(INDEX(tk_LEAFW,MATCH(354,tk_DSEQ,0)),"0.000")&amp;" x "&amp;TEXT(INDEX(tk_LEAFH,MATCH(354,tk_DSEQ,0)),"0.000"),"")</f>
        <v/>
      </c>
      <c r="G359" s="70">
        <f>IFERROR(""&amp;INDEX(tk_DLINE,MATCH(354,tk_DSEQ,0)),"")</f>
        <v/>
      </c>
      <c r="H359" s="70">
        <f>IFERROR(""&amp;INDEX(tk_DNOTES,MATCH(354,tk_DSEQ,0)),"")</f>
        <v/>
      </c>
    </row>
    <row r="360">
      <c r="A360" s="70">
        <f>IFERROR(""&amp;INDEX(tk_MARK,MATCH(355,tk_DSEQ,0)),"")</f>
        <v/>
      </c>
      <c r="B360" s="70">
        <f>IFERROR(INDEX(tk_QTY,MATCH(355,tk_DSEQ,0)),"")</f>
        <v/>
      </c>
      <c r="C360" s="70">
        <f>IFERROR(INDEX(tk_ROOMF,MATCH(355,tk_DSEQ,0))&amp;IF(INDEX(tk_ROOMT,MATCH(355,tk_DSEQ,0))="",""," → "&amp;INDEX(tk_ROOMT,MATCH(355,tk_DSEQ,0))),"")</f>
        <v/>
      </c>
      <c r="D360" s="70">
        <f>IFERROR(INDEX(tk_LEAVES,MATCH(355,tk_DSEQ,0)),"")</f>
        <v/>
      </c>
      <c r="E360" s="70">
        <f>IFERROR(""&amp;INDEX(tk_RATING,MATCH(355,tk_DSEQ,0)),"")</f>
        <v/>
      </c>
      <c r="F360" s="70">
        <f>IFERROR(TEXT(INDEX(tk_LEAFW,MATCH(355,tk_DSEQ,0)),"0.000")&amp;" x "&amp;TEXT(INDEX(tk_LEAFH,MATCH(355,tk_DSEQ,0)),"0.000"),"")</f>
        <v/>
      </c>
      <c r="G360" s="70">
        <f>IFERROR(""&amp;INDEX(tk_DLINE,MATCH(355,tk_DSEQ,0)),"")</f>
        <v/>
      </c>
      <c r="H360" s="70">
        <f>IFERROR(""&amp;INDEX(tk_DNOTES,MATCH(355,tk_DSEQ,0)),"")</f>
        <v/>
      </c>
    </row>
    <row r="361">
      <c r="A361" s="70">
        <f>IFERROR(""&amp;INDEX(tk_MARK,MATCH(356,tk_DSEQ,0)),"")</f>
        <v/>
      </c>
      <c r="B361" s="70">
        <f>IFERROR(INDEX(tk_QTY,MATCH(356,tk_DSEQ,0)),"")</f>
        <v/>
      </c>
      <c r="C361" s="70">
        <f>IFERROR(INDEX(tk_ROOMF,MATCH(356,tk_DSEQ,0))&amp;IF(INDEX(tk_ROOMT,MATCH(356,tk_DSEQ,0))="",""," → "&amp;INDEX(tk_ROOMT,MATCH(356,tk_DSEQ,0))),"")</f>
        <v/>
      </c>
      <c r="D361" s="70">
        <f>IFERROR(INDEX(tk_LEAVES,MATCH(356,tk_DSEQ,0)),"")</f>
        <v/>
      </c>
      <c r="E361" s="70">
        <f>IFERROR(""&amp;INDEX(tk_RATING,MATCH(356,tk_DSEQ,0)),"")</f>
        <v/>
      </c>
      <c r="F361" s="70">
        <f>IFERROR(TEXT(INDEX(tk_LEAFW,MATCH(356,tk_DSEQ,0)),"0.000")&amp;" x "&amp;TEXT(INDEX(tk_LEAFH,MATCH(356,tk_DSEQ,0)),"0.000"),"")</f>
        <v/>
      </c>
      <c r="G361" s="70">
        <f>IFERROR(""&amp;INDEX(tk_DLINE,MATCH(356,tk_DSEQ,0)),"")</f>
        <v/>
      </c>
      <c r="H361" s="70">
        <f>IFERROR(""&amp;INDEX(tk_DNOTES,MATCH(356,tk_DSEQ,0)),"")</f>
        <v/>
      </c>
    </row>
    <row r="362">
      <c r="A362" s="70">
        <f>IFERROR(""&amp;INDEX(tk_MARK,MATCH(357,tk_DSEQ,0)),"")</f>
        <v/>
      </c>
      <c r="B362" s="70">
        <f>IFERROR(INDEX(tk_QTY,MATCH(357,tk_DSEQ,0)),"")</f>
        <v/>
      </c>
      <c r="C362" s="70">
        <f>IFERROR(INDEX(tk_ROOMF,MATCH(357,tk_DSEQ,0))&amp;IF(INDEX(tk_ROOMT,MATCH(357,tk_DSEQ,0))="",""," → "&amp;INDEX(tk_ROOMT,MATCH(357,tk_DSEQ,0))),"")</f>
        <v/>
      </c>
      <c r="D362" s="70">
        <f>IFERROR(INDEX(tk_LEAVES,MATCH(357,tk_DSEQ,0)),"")</f>
        <v/>
      </c>
      <c r="E362" s="70">
        <f>IFERROR(""&amp;INDEX(tk_RATING,MATCH(357,tk_DSEQ,0)),"")</f>
        <v/>
      </c>
      <c r="F362" s="70">
        <f>IFERROR(TEXT(INDEX(tk_LEAFW,MATCH(357,tk_DSEQ,0)),"0.000")&amp;" x "&amp;TEXT(INDEX(tk_LEAFH,MATCH(357,tk_DSEQ,0)),"0.000"),"")</f>
        <v/>
      </c>
      <c r="G362" s="70">
        <f>IFERROR(""&amp;INDEX(tk_DLINE,MATCH(357,tk_DSEQ,0)),"")</f>
        <v/>
      </c>
      <c r="H362" s="70">
        <f>IFERROR(""&amp;INDEX(tk_DNOTES,MATCH(357,tk_DSEQ,0)),"")</f>
        <v/>
      </c>
    </row>
    <row r="363">
      <c r="A363" s="70">
        <f>IFERROR(""&amp;INDEX(tk_MARK,MATCH(358,tk_DSEQ,0)),"")</f>
        <v/>
      </c>
      <c r="B363" s="70">
        <f>IFERROR(INDEX(tk_QTY,MATCH(358,tk_DSEQ,0)),"")</f>
        <v/>
      </c>
      <c r="C363" s="70">
        <f>IFERROR(INDEX(tk_ROOMF,MATCH(358,tk_DSEQ,0))&amp;IF(INDEX(tk_ROOMT,MATCH(358,tk_DSEQ,0))="",""," → "&amp;INDEX(tk_ROOMT,MATCH(358,tk_DSEQ,0))),"")</f>
        <v/>
      </c>
      <c r="D363" s="70">
        <f>IFERROR(INDEX(tk_LEAVES,MATCH(358,tk_DSEQ,0)),"")</f>
        <v/>
      </c>
      <c r="E363" s="70">
        <f>IFERROR(""&amp;INDEX(tk_RATING,MATCH(358,tk_DSEQ,0)),"")</f>
        <v/>
      </c>
      <c r="F363" s="70">
        <f>IFERROR(TEXT(INDEX(tk_LEAFW,MATCH(358,tk_DSEQ,0)),"0.000")&amp;" x "&amp;TEXT(INDEX(tk_LEAFH,MATCH(358,tk_DSEQ,0)),"0.000"),"")</f>
        <v/>
      </c>
      <c r="G363" s="70">
        <f>IFERROR(""&amp;INDEX(tk_DLINE,MATCH(358,tk_DSEQ,0)),"")</f>
        <v/>
      </c>
      <c r="H363" s="70">
        <f>IFERROR(""&amp;INDEX(tk_DNOTES,MATCH(358,tk_DSEQ,0)),"")</f>
        <v/>
      </c>
    </row>
    <row r="364">
      <c r="A364" s="70">
        <f>IFERROR(""&amp;INDEX(tk_MARK,MATCH(359,tk_DSEQ,0)),"")</f>
        <v/>
      </c>
      <c r="B364" s="70">
        <f>IFERROR(INDEX(tk_QTY,MATCH(359,tk_DSEQ,0)),"")</f>
        <v/>
      </c>
      <c r="C364" s="70">
        <f>IFERROR(INDEX(tk_ROOMF,MATCH(359,tk_DSEQ,0))&amp;IF(INDEX(tk_ROOMT,MATCH(359,tk_DSEQ,0))="",""," → "&amp;INDEX(tk_ROOMT,MATCH(359,tk_DSEQ,0))),"")</f>
        <v/>
      </c>
      <c r="D364" s="70">
        <f>IFERROR(INDEX(tk_LEAVES,MATCH(359,tk_DSEQ,0)),"")</f>
        <v/>
      </c>
      <c r="E364" s="70">
        <f>IFERROR(""&amp;INDEX(tk_RATING,MATCH(359,tk_DSEQ,0)),"")</f>
        <v/>
      </c>
      <c r="F364" s="70">
        <f>IFERROR(TEXT(INDEX(tk_LEAFW,MATCH(359,tk_DSEQ,0)),"0.000")&amp;" x "&amp;TEXT(INDEX(tk_LEAFH,MATCH(359,tk_DSEQ,0)),"0.000"),"")</f>
        <v/>
      </c>
      <c r="G364" s="70">
        <f>IFERROR(""&amp;INDEX(tk_DLINE,MATCH(359,tk_DSEQ,0)),"")</f>
        <v/>
      </c>
      <c r="H364" s="70">
        <f>IFERROR(""&amp;INDEX(tk_DNOTES,MATCH(359,tk_DSEQ,0)),"")</f>
        <v/>
      </c>
    </row>
    <row r="365">
      <c r="A365" s="70">
        <f>IFERROR(""&amp;INDEX(tk_MARK,MATCH(360,tk_DSEQ,0)),"")</f>
        <v/>
      </c>
      <c r="B365" s="70">
        <f>IFERROR(INDEX(tk_QTY,MATCH(360,tk_DSEQ,0)),"")</f>
        <v/>
      </c>
      <c r="C365" s="70">
        <f>IFERROR(INDEX(tk_ROOMF,MATCH(360,tk_DSEQ,0))&amp;IF(INDEX(tk_ROOMT,MATCH(360,tk_DSEQ,0))="",""," → "&amp;INDEX(tk_ROOMT,MATCH(360,tk_DSEQ,0))),"")</f>
        <v/>
      </c>
      <c r="D365" s="70">
        <f>IFERROR(INDEX(tk_LEAVES,MATCH(360,tk_DSEQ,0)),"")</f>
        <v/>
      </c>
      <c r="E365" s="70">
        <f>IFERROR(""&amp;INDEX(tk_RATING,MATCH(360,tk_DSEQ,0)),"")</f>
        <v/>
      </c>
      <c r="F365" s="70">
        <f>IFERROR(TEXT(INDEX(tk_LEAFW,MATCH(360,tk_DSEQ,0)),"0.000")&amp;" x "&amp;TEXT(INDEX(tk_LEAFH,MATCH(360,tk_DSEQ,0)),"0.000"),"")</f>
        <v/>
      </c>
      <c r="G365" s="70">
        <f>IFERROR(""&amp;INDEX(tk_DLINE,MATCH(360,tk_DSEQ,0)),"")</f>
        <v/>
      </c>
      <c r="H365" s="70">
        <f>IFERROR(""&amp;INDEX(tk_DNOTES,MATCH(360,tk_DSEQ,0)),"")</f>
        <v/>
      </c>
    </row>
    <row r="366">
      <c r="A366" s="70">
        <f>IFERROR(""&amp;INDEX(tk_MARK,MATCH(361,tk_DSEQ,0)),"")</f>
        <v/>
      </c>
      <c r="B366" s="70">
        <f>IFERROR(INDEX(tk_QTY,MATCH(361,tk_DSEQ,0)),"")</f>
        <v/>
      </c>
      <c r="C366" s="70">
        <f>IFERROR(INDEX(tk_ROOMF,MATCH(361,tk_DSEQ,0))&amp;IF(INDEX(tk_ROOMT,MATCH(361,tk_DSEQ,0))="",""," → "&amp;INDEX(tk_ROOMT,MATCH(361,tk_DSEQ,0))),"")</f>
        <v/>
      </c>
      <c r="D366" s="70">
        <f>IFERROR(INDEX(tk_LEAVES,MATCH(361,tk_DSEQ,0)),"")</f>
        <v/>
      </c>
      <c r="E366" s="70">
        <f>IFERROR(""&amp;INDEX(tk_RATING,MATCH(361,tk_DSEQ,0)),"")</f>
        <v/>
      </c>
      <c r="F366" s="70">
        <f>IFERROR(TEXT(INDEX(tk_LEAFW,MATCH(361,tk_DSEQ,0)),"0.000")&amp;" x "&amp;TEXT(INDEX(tk_LEAFH,MATCH(361,tk_DSEQ,0)),"0.000"),"")</f>
        <v/>
      </c>
      <c r="G366" s="70">
        <f>IFERROR(""&amp;INDEX(tk_DLINE,MATCH(361,tk_DSEQ,0)),"")</f>
        <v/>
      </c>
      <c r="H366" s="70">
        <f>IFERROR(""&amp;INDEX(tk_DNOTES,MATCH(361,tk_DSEQ,0)),"")</f>
        <v/>
      </c>
    </row>
    <row r="367">
      <c r="A367" s="70">
        <f>IFERROR(""&amp;INDEX(tk_MARK,MATCH(362,tk_DSEQ,0)),"")</f>
        <v/>
      </c>
      <c r="B367" s="70">
        <f>IFERROR(INDEX(tk_QTY,MATCH(362,tk_DSEQ,0)),"")</f>
        <v/>
      </c>
      <c r="C367" s="70">
        <f>IFERROR(INDEX(tk_ROOMF,MATCH(362,tk_DSEQ,0))&amp;IF(INDEX(tk_ROOMT,MATCH(362,tk_DSEQ,0))="",""," → "&amp;INDEX(tk_ROOMT,MATCH(362,tk_DSEQ,0))),"")</f>
        <v/>
      </c>
      <c r="D367" s="70">
        <f>IFERROR(INDEX(tk_LEAVES,MATCH(362,tk_DSEQ,0)),"")</f>
        <v/>
      </c>
      <c r="E367" s="70">
        <f>IFERROR(""&amp;INDEX(tk_RATING,MATCH(362,tk_DSEQ,0)),"")</f>
        <v/>
      </c>
      <c r="F367" s="70">
        <f>IFERROR(TEXT(INDEX(tk_LEAFW,MATCH(362,tk_DSEQ,0)),"0.000")&amp;" x "&amp;TEXT(INDEX(tk_LEAFH,MATCH(362,tk_DSEQ,0)),"0.000"),"")</f>
        <v/>
      </c>
      <c r="G367" s="70">
        <f>IFERROR(""&amp;INDEX(tk_DLINE,MATCH(362,tk_DSEQ,0)),"")</f>
        <v/>
      </c>
      <c r="H367" s="70">
        <f>IFERROR(""&amp;INDEX(tk_DNOTES,MATCH(362,tk_DSEQ,0)),"")</f>
        <v/>
      </c>
    </row>
    <row r="368">
      <c r="A368" s="70">
        <f>IFERROR(""&amp;INDEX(tk_MARK,MATCH(363,tk_DSEQ,0)),"")</f>
        <v/>
      </c>
      <c r="B368" s="70">
        <f>IFERROR(INDEX(tk_QTY,MATCH(363,tk_DSEQ,0)),"")</f>
        <v/>
      </c>
      <c r="C368" s="70">
        <f>IFERROR(INDEX(tk_ROOMF,MATCH(363,tk_DSEQ,0))&amp;IF(INDEX(tk_ROOMT,MATCH(363,tk_DSEQ,0))="",""," → "&amp;INDEX(tk_ROOMT,MATCH(363,tk_DSEQ,0))),"")</f>
        <v/>
      </c>
      <c r="D368" s="70">
        <f>IFERROR(INDEX(tk_LEAVES,MATCH(363,tk_DSEQ,0)),"")</f>
        <v/>
      </c>
      <c r="E368" s="70">
        <f>IFERROR(""&amp;INDEX(tk_RATING,MATCH(363,tk_DSEQ,0)),"")</f>
        <v/>
      </c>
      <c r="F368" s="70">
        <f>IFERROR(TEXT(INDEX(tk_LEAFW,MATCH(363,tk_DSEQ,0)),"0.000")&amp;" x "&amp;TEXT(INDEX(tk_LEAFH,MATCH(363,tk_DSEQ,0)),"0.000"),"")</f>
        <v/>
      </c>
      <c r="G368" s="70">
        <f>IFERROR(""&amp;INDEX(tk_DLINE,MATCH(363,tk_DSEQ,0)),"")</f>
        <v/>
      </c>
      <c r="H368" s="70">
        <f>IFERROR(""&amp;INDEX(tk_DNOTES,MATCH(363,tk_DSEQ,0)),"")</f>
        <v/>
      </c>
    </row>
    <row r="369">
      <c r="A369" s="70">
        <f>IFERROR(""&amp;INDEX(tk_MARK,MATCH(364,tk_DSEQ,0)),"")</f>
        <v/>
      </c>
      <c r="B369" s="70">
        <f>IFERROR(INDEX(tk_QTY,MATCH(364,tk_DSEQ,0)),"")</f>
        <v/>
      </c>
      <c r="C369" s="70">
        <f>IFERROR(INDEX(tk_ROOMF,MATCH(364,tk_DSEQ,0))&amp;IF(INDEX(tk_ROOMT,MATCH(364,tk_DSEQ,0))="",""," → "&amp;INDEX(tk_ROOMT,MATCH(364,tk_DSEQ,0))),"")</f>
        <v/>
      </c>
      <c r="D369" s="70">
        <f>IFERROR(INDEX(tk_LEAVES,MATCH(364,tk_DSEQ,0)),"")</f>
        <v/>
      </c>
      <c r="E369" s="70">
        <f>IFERROR(""&amp;INDEX(tk_RATING,MATCH(364,tk_DSEQ,0)),"")</f>
        <v/>
      </c>
      <c r="F369" s="70">
        <f>IFERROR(TEXT(INDEX(tk_LEAFW,MATCH(364,tk_DSEQ,0)),"0.000")&amp;" x "&amp;TEXT(INDEX(tk_LEAFH,MATCH(364,tk_DSEQ,0)),"0.000"),"")</f>
        <v/>
      </c>
      <c r="G369" s="70">
        <f>IFERROR(""&amp;INDEX(tk_DLINE,MATCH(364,tk_DSEQ,0)),"")</f>
        <v/>
      </c>
      <c r="H369" s="70">
        <f>IFERROR(""&amp;INDEX(tk_DNOTES,MATCH(364,tk_DSEQ,0)),"")</f>
        <v/>
      </c>
    </row>
    <row r="370">
      <c r="A370" s="70">
        <f>IFERROR(""&amp;INDEX(tk_MARK,MATCH(365,tk_DSEQ,0)),"")</f>
        <v/>
      </c>
      <c r="B370" s="70">
        <f>IFERROR(INDEX(tk_QTY,MATCH(365,tk_DSEQ,0)),"")</f>
        <v/>
      </c>
      <c r="C370" s="70">
        <f>IFERROR(INDEX(tk_ROOMF,MATCH(365,tk_DSEQ,0))&amp;IF(INDEX(tk_ROOMT,MATCH(365,tk_DSEQ,0))="",""," → "&amp;INDEX(tk_ROOMT,MATCH(365,tk_DSEQ,0))),"")</f>
        <v/>
      </c>
      <c r="D370" s="70">
        <f>IFERROR(INDEX(tk_LEAVES,MATCH(365,tk_DSEQ,0)),"")</f>
        <v/>
      </c>
      <c r="E370" s="70">
        <f>IFERROR(""&amp;INDEX(tk_RATING,MATCH(365,tk_DSEQ,0)),"")</f>
        <v/>
      </c>
      <c r="F370" s="70">
        <f>IFERROR(TEXT(INDEX(tk_LEAFW,MATCH(365,tk_DSEQ,0)),"0.000")&amp;" x "&amp;TEXT(INDEX(tk_LEAFH,MATCH(365,tk_DSEQ,0)),"0.000"),"")</f>
        <v/>
      </c>
      <c r="G370" s="70">
        <f>IFERROR(""&amp;INDEX(tk_DLINE,MATCH(365,tk_DSEQ,0)),"")</f>
        <v/>
      </c>
      <c r="H370" s="70">
        <f>IFERROR(""&amp;INDEX(tk_DNOTES,MATCH(365,tk_DSEQ,0)),"")</f>
        <v/>
      </c>
    </row>
    <row r="371">
      <c r="A371" s="70">
        <f>IFERROR(""&amp;INDEX(tk_MARK,MATCH(366,tk_DSEQ,0)),"")</f>
        <v/>
      </c>
      <c r="B371" s="70">
        <f>IFERROR(INDEX(tk_QTY,MATCH(366,tk_DSEQ,0)),"")</f>
        <v/>
      </c>
      <c r="C371" s="70">
        <f>IFERROR(INDEX(tk_ROOMF,MATCH(366,tk_DSEQ,0))&amp;IF(INDEX(tk_ROOMT,MATCH(366,tk_DSEQ,0))="",""," → "&amp;INDEX(tk_ROOMT,MATCH(366,tk_DSEQ,0))),"")</f>
        <v/>
      </c>
      <c r="D371" s="70">
        <f>IFERROR(INDEX(tk_LEAVES,MATCH(366,tk_DSEQ,0)),"")</f>
        <v/>
      </c>
      <c r="E371" s="70">
        <f>IFERROR(""&amp;INDEX(tk_RATING,MATCH(366,tk_DSEQ,0)),"")</f>
        <v/>
      </c>
      <c r="F371" s="70">
        <f>IFERROR(TEXT(INDEX(tk_LEAFW,MATCH(366,tk_DSEQ,0)),"0.000")&amp;" x "&amp;TEXT(INDEX(tk_LEAFH,MATCH(366,tk_DSEQ,0)),"0.000"),"")</f>
        <v/>
      </c>
      <c r="G371" s="70">
        <f>IFERROR(""&amp;INDEX(tk_DLINE,MATCH(366,tk_DSEQ,0)),"")</f>
        <v/>
      </c>
      <c r="H371" s="70">
        <f>IFERROR(""&amp;INDEX(tk_DNOTES,MATCH(366,tk_DSEQ,0)),"")</f>
        <v/>
      </c>
    </row>
    <row r="372">
      <c r="A372" s="70">
        <f>IFERROR(""&amp;INDEX(tk_MARK,MATCH(367,tk_DSEQ,0)),"")</f>
        <v/>
      </c>
      <c r="B372" s="70">
        <f>IFERROR(INDEX(tk_QTY,MATCH(367,tk_DSEQ,0)),"")</f>
        <v/>
      </c>
      <c r="C372" s="70">
        <f>IFERROR(INDEX(tk_ROOMF,MATCH(367,tk_DSEQ,0))&amp;IF(INDEX(tk_ROOMT,MATCH(367,tk_DSEQ,0))="",""," → "&amp;INDEX(tk_ROOMT,MATCH(367,tk_DSEQ,0))),"")</f>
        <v/>
      </c>
      <c r="D372" s="70">
        <f>IFERROR(INDEX(tk_LEAVES,MATCH(367,tk_DSEQ,0)),"")</f>
        <v/>
      </c>
      <c r="E372" s="70">
        <f>IFERROR(""&amp;INDEX(tk_RATING,MATCH(367,tk_DSEQ,0)),"")</f>
        <v/>
      </c>
      <c r="F372" s="70">
        <f>IFERROR(TEXT(INDEX(tk_LEAFW,MATCH(367,tk_DSEQ,0)),"0.000")&amp;" x "&amp;TEXT(INDEX(tk_LEAFH,MATCH(367,tk_DSEQ,0)),"0.000"),"")</f>
        <v/>
      </c>
      <c r="G372" s="70">
        <f>IFERROR(""&amp;INDEX(tk_DLINE,MATCH(367,tk_DSEQ,0)),"")</f>
        <v/>
      </c>
      <c r="H372" s="70">
        <f>IFERROR(""&amp;INDEX(tk_DNOTES,MATCH(367,tk_DSEQ,0)),"")</f>
        <v/>
      </c>
    </row>
    <row r="373">
      <c r="A373" s="70">
        <f>IFERROR(""&amp;INDEX(tk_MARK,MATCH(368,tk_DSEQ,0)),"")</f>
        <v/>
      </c>
      <c r="B373" s="70">
        <f>IFERROR(INDEX(tk_QTY,MATCH(368,tk_DSEQ,0)),"")</f>
        <v/>
      </c>
      <c r="C373" s="70">
        <f>IFERROR(INDEX(tk_ROOMF,MATCH(368,tk_DSEQ,0))&amp;IF(INDEX(tk_ROOMT,MATCH(368,tk_DSEQ,0))="",""," → "&amp;INDEX(tk_ROOMT,MATCH(368,tk_DSEQ,0))),"")</f>
        <v/>
      </c>
      <c r="D373" s="70">
        <f>IFERROR(INDEX(tk_LEAVES,MATCH(368,tk_DSEQ,0)),"")</f>
        <v/>
      </c>
      <c r="E373" s="70">
        <f>IFERROR(""&amp;INDEX(tk_RATING,MATCH(368,tk_DSEQ,0)),"")</f>
        <v/>
      </c>
      <c r="F373" s="70">
        <f>IFERROR(TEXT(INDEX(tk_LEAFW,MATCH(368,tk_DSEQ,0)),"0.000")&amp;" x "&amp;TEXT(INDEX(tk_LEAFH,MATCH(368,tk_DSEQ,0)),"0.000"),"")</f>
        <v/>
      </c>
      <c r="G373" s="70">
        <f>IFERROR(""&amp;INDEX(tk_DLINE,MATCH(368,tk_DSEQ,0)),"")</f>
        <v/>
      </c>
      <c r="H373" s="70">
        <f>IFERROR(""&amp;INDEX(tk_DNOTES,MATCH(368,tk_DSEQ,0)),"")</f>
        <v/>
      </c>
    </row>
    <row r="374">
      <c r="A374" s="70">
        <f>IFERROR(""&amp;INDEX(tk_MARK,MATCH(369,tk_DSEQ,0)),"")</f>
        <v/>
      </c>
      <c r="B374" s="70">
        <f>IFERROR(INDEX(tk_QTY,MATCH(369,tk_DSEQ,0)),"")</f>
        <v/>
      </c>
      <c r="C374" s="70">
        <f>IFERROR(INDEX(tk_ROOMF,MATCH(369,tk_DSEQ,0))&amp;IF(INDEX(tk_ROOMT,MATCH(369,tk_DSEQ,0))="",""," → "&amp;INDEX(tk_ROOMT,MATCH(369,tk_DSEQ,0))),"")</f>
        <v/>
      </c>
      <c r="D374" s="70">
        <f>IFERROR(INDEX(tk_LEAVES,MATCH(369,tk_DSEQ,0)),"")</f>
        <v/>
      </c>
      <c r="E374" s="70">
        <f>IFERROR(""&amp;INDEX(tk_RATING,MATCH(369,tk_DSEQ,0)),"")</f>
        <v/>
      </c>
      <c r="F374" s="70">
        <f>IFERROR(TEXT(INDEX(tk_LEAFW,MATCH(369,tk_DSEQ,0)),"0.000")&amp;" x "&amp;TEXT(INDEX(tk_LEAFH,MATCH(369,tk_DSEQ,0)),"0.000"),"")</f>
        <v/>
      </c>
      <c r="G374" s="70">
        <f>IFERROR(""&amp;INDEX(tk_DLINE,MATCH(369,tk_DSEQ,0)),"")</f>
        <v/>
      </c>
      <c r="H374" s="70">
        <f>IFERROR(""&amp;INDEX(tk_DNOTES,MATCH(369,tk_DSEQ,0)),"")</f>
        <v/>
      </c>
    </row>
    <row r="375">
      <c r="A375" s="70">
        <f>IFERROR(""&amp;INDEX(tk_MARK,MATCH(370,tk_DSEQ,0)),"")</f>
        <v/>
      </c>
      <c r="B375" s="70">
        <f>IFERROR(INDEX(tk_QTY,MATCH(370,tk_DSEQ,0)),"")</f>
        <v/>
      </c>
      <c r="C375" s="70">
        <f>IFERROR(INDEX(tk_ROOMF,MATCH(370,tk_DSEQ,0))&amp;IF(INDEX(tk_ROOMT,MATCH(370,tk_DSEQ,0))="",""," → "&amp;INDEX(tk_ROOMT,MATCH(370,tk_DSEQ,0))),"")</f>
        <v/>
      </c>
      <c r="D375" s="70">
        <f>IFERROR(INDEX(tk_LEAVES,MATCH(370,tk_DSEQ,0)),"")</f>
        <v/>
      </c>
      <c r="E375" s="70">
        <f>IFERROR(""&amp;INDEX(tk_RATING,MATCH(370,tk_DSEQ,0)),"")</f>
        <v/>
      </c>
      <c r="F375" s="70">
        <f>IFERROR(TEXT(INDEX(tk_LEAFW,MATCH(370,tk_DSEQ,0)),"0.000")&amp;" x "&amp;TEXT(INDEX(tk_LEAFH,MATCH(370,tk_DSEQ,0)),"0.000"),"")</f>
        <v/>
      </c>
      <c r="G375" s="70">
        <f>IFERROR(""&amp;INDEX(tk_DLINE,MATCH(370,tk_DSEQ,0)),"")</f>
        <v/>
      </c>
      <c r="H375" s="70">
        <f>IFERROR(""&amp;INDEX(tk_DNOTES,MATCH(370,tk_DSEQ,0)),"")</f>
        <v/>
      </c>
    </row>
    <row r="376">
      <c r="A376" s="70">
        <f>IFERROR(""&amp;INDEX(tk_MARK,MATCH(371,tk_DSEQ,0)),"")</f>
        <v/>
      </c>
      <c r="B376" s="70">
        <f>IFERROR(INDEX(tk_QTY,MATCH(371,tk_DSEQ,0)),"")</f>
        <v/>
      </c>
      <c r="C376" s="70">
        <f>IFERROR(INDEX(tk_ROOMF,MATCH(371,tk_DSEQ,0))&amp;IF(INDEX(tk_ROOMT,MATCH(371,tk_DSEQ,0))="",""," → "&amp;INDEX(tk_ROOMT,MATCH(371,tk_DSEQ,0))),"")</f>
        <v/>
      </c>
      <c r="D376" s="70">
        <f>IFERROR(INDEX(tk_LEAVES,MATCH(371,tk_DSEQ,0)),"")</f>
        <v/>
      </c>
      <c r="E376" s="70">
        <f>IFERROR(""&amp;INDEX(tk_RATING,MATCH(371,tk_DSEQ,0)),"")</f>
        <v/>
      </c>
      <c r="F376" s="70">
        <f>IFERROR(TEXT(INDEX(tk_LEAFW,MATCH(371,tk_DSEQ,0)),"0.000")&amp;" x "&amp;TEXT(INDEX(tk_LEAFH,MATCH(371,tk_DSEQ,0)),"0.000"),"")</f>
        <v/>
      </c>
      <c r="G376" s="70">
        <f>IFERROR(""&amp;INDEX(tk_DLINE,MATCH(371,tk_DSEQ,0)),"")</f>
        <v/>
      </c>
      <c r="H376" s="70">
        <f>IFERROR(""&amp;INDEX(tk_DNOTES,MATCH(371,tk_DSEQ,0)),"")</f>
        <v/>
      </c>
    </row>
    <row r="377">
      <c r="A377" s="70">
        <f>IFERROR(""&amp;INDEX(tk_MARK,MATCH(372,tk_DSEQ,0)),"")</f>
        <v/>
      </c>
      <c r="B377" s="70">
        <f>IFERROR(INDEX(tk_QTY,MATCH(372,tk_DSEQ,0)),"")</f>
        <v/>
      </c>
      <c r="C377" s="70">
        <f>IFERROR(INDEX(tk_ROOMF,MATCH(372,tk_DSEQ,0))&amp;IF(INDEX(tk_ROOMT,MATCH(372,tk_DSEQ,0))="",""," → "&amp;INDEX(tk_ROOMT,MATCH(372,tk_DSEQ,0))),"")</f>
        <v/>
      </c>
      <c r="D377" s="70">
        <f>IFERROR(INDEX(tk_LEAVES,MATCH(372,tk_DSEQ,0)),"")</f>
        <v/>
      </c>
      <c r="E377" s="70">
        <f>IFERROR(""&amp;INDEX(tk_RATING,MATCH(372,tk_DSEQ,0)),"")</f>
        <v/>
      </c>
      <c r="F377" s="70">
        <f>IFERROR(TEXT(INDEX(tk_LEAFW,MATCH(372,tk_DSEQ,0)),"0.000")&amp;" x "&amp;TEXT(INDEX(tk_LEAFH,MATCH(372,tk_DSEQ,0)),"0.000"),"")</f>
        <v/>
      </c>
      <c r="G377" s="70">
        <f>IFERROR(""&amp;INDEX(tk_DLINE,MATCH(372,tk_DSEQ,0)),"")</f>
        <v/>
      </c>
      <c r="H377" s="70">
        <f>IFERROR(""&amp;INDEX(tk_DNOTES,MATCH(372,tk_DSEQ,0)),"")</f>
        <v/>
      </c>
    </row>
    <row r="378">
      <c r="A378" s="70">
        <f>IFERROR(""&amp;INDEX(tk_MARK,MATCH(373,tk_DSEQ,0)),"")</f>
        <v/>
      </c>
      <c r="B378" s="70">
        <f>IFERROR(INDEX(tk_QTY,MATCH(373,tk_DSEQ,0)),"")</f>
        <v/>
      </c>
      <c r="C378" s="70">
        <f>IFERROR(INDEX(tk_ROOMF,MATCH(373,tk_DSEQ,0))&amp;IF(INDEX(tk_ROOMT,MATCH(373,tk_DSEQ,0))="",""," → "&amp;INDEX(tk_ROOMT,MATCH(373,tk_DSEQ,0))),"")</f>
        <v/>
      </c>
      <c r="D378" s="70">
        <f>IFERROR(INDEX(tk_LEAVES,MATCH(373,tk_DSEQ,0)),"")</f>
        <v/>
      </c>
      <c r="E378" s="70">
        <f>IFERROR(""&amp;INDEX(tk_RATING,MATCH(373,tk_DSEQ,0)),"")</f>
        <v/>
      </c>
      <c r="F378" s="70">
        <f>IFERROR(TEXT(INDEX(tk_LEAFW,MATCH(373,tk_DSEQ,0)),"0.000")&amp;" x "&amp;TEXT(INDEX(tk_LEAFH,MATCH(373,tk_DSEQ,0)),"0.000"),"")</f>
        <v/>
      </c>
      <c r="G378" s="70">
        <f>IFERROR(""&amp;INDEX(tk_DLINE,MATCH(373,tk_DSEQ,0)),"")</f>
        <v/>
      </c>
      <c r="H378" s="70">
        <f>IFERROR(""&amp;INDEX(tk_DNOTES,MATCH(373,tk_DSEQ,0)),"")</f>
        <v/>
      </c>
    </row>
    <row r="379">
      <c r="A379" s="70">
        <f>IFERROR(""&amp;INDEX(tk_MARK,MATCH(374,tk_DSEQ,0)),"")</f>
        <v/>
      </c>
      <c r="B379" s="70">
        <f>IFERROR(INDEX(tk_QTY,MATCH(374,tk_DSEQ,0)),"")</f>
        <v/>
      </c>
      <c r="C379" s="70">
        <f>IFERROR(INDEX(tk_ROOMF,MATCH(374,tk_DSEQ,0))&amp;IF(INDEX(tk_ROOMT,MATCH(374,tk_DSEQ,0))="",""," → "&amp;INDEX(tk_ROOMT,MATCH(374,tk_DSEQ,0))),"")</f>
        <v/>
      </c>
      <c r="D379" s="70">
        <f>IFERROR(INDEX(tk_LEAVES,MATCH(374,tk_DSEQ,0)),"")</f>
        <v/>
      </c>
      <c r="E379" s="70">
        <f>IFERROR(""&amp;INDEX(tk_RATING,MATCH(374,tk_DSEQ,0)),"")</f>
        <v/>
      </c>
      <c r="F379" s="70">
        <f>IFERROR(TEXT(INDEX(tk_LEAFW,MATCH(374,tk_DSEQ,0)),"0.000")&amp;" x "&amp;TEXT(INDEX(tk_LEAFH,MATCH(374,tk_DSEQ,0)),"0.000"),"")</f>
        <v/>
      </c>
      <c r="G379" s="70">
        <f>IFERROR(""&amp;INDEX(tk_DLINE,MATCH(374,tk_DSEQ,0)),"")</f>
        <v/>
      </c>
      <c r="H379" s="70">
        <f>IFERROR(""&amp;INDEX(tk_DNOTES,MATCH(374,tk_DSEQ,0)),"")</f>
        <v/>
      </c>
    </row>
    <row r="380">
      <c r="A380" s="70">
        <f>IFERROR(""&amp;INDEX(tk_MARK,MATCH(375,tk_DSEQ,0)),"")</f>
        <v/>
      </c>
      <c r="B380" s="70">
        <f>IFERROR(INDEX(tk_QTY,MATCH(375,tk_DSEQ,0)),"")</f>
        <v/>
      </c>
      <c r="C380" s="70">
        <f>IFERROR(INDEX(tk_ROOMF,MATCH(375,tk_DSEQ,0))&amp;IF(INDEX(tk_ROOMT,MATCH(375,tk_DSEQ,0))="",""," → "&amp;INDEX(tk_ROOMT,MATCH(375,tk_DSEQ,0))),"")</f>
        <v/>
      </c>
      <c r="D380" s="70">
        <f>IFERROR(INDEX(tk_LEAVES,MATCH(375,tk_DSEQ,0)),"")</f>
        <v/>
      </c>
      <c r="E380" s="70">
        <f>IFERROR(""&amp;INDEX(tk_RATING,MATCH(375,tk_DSEQ,0)),"")</f>
        <v/>
      </c>
      <c r="F380" s="70">
        <f>IFERROR(TEXT(INDEX(tk_LEAFW,MATCH(375,tk_DSEQ,0)),"0.000")&amp;" x "&amp;TEXT(INDEX(tk_LEAFH,MATCH(375,tk_DSEQ,0)),"0.000"),"")</f>
        <v/>
      </c>
      <c r="G380" s="70">
        <f>IFERROR(""&amp;INDEX(tk_DLINE,MATCH(375,tk_DSEQ,0)),"")</f>
        <v/>
      </c>
      <c r="H380" s="70">
        <f>IFERROR(""&amp;INDEX(tk_DNOTES,MATCH(375,tk_DSEQ,0)),"")</f>
        <v/>
      </c>
    </row>
    <row r="381">
      <c r="A381" s="70">
        <f>IFERROR(""&amp;INDEX(tk_MARK,MATCH(376,tk_DSEQ,0)),"")</f>
        <v/>
      </c>
      <c r="B381" s="70">
        <f>IFERROR(INDEX(tk_QTY,MATCH(376,tk_DSEQ,0)),"")</f>
        <v/>
      </c>
      <c r="C381" s="70">
        <f>IFERROR(INDEX(tk_ROOMF,MATCH(376,tk_DSEQ,0))&amp;IF(INDEX(tk_ROOMT,MATCH(376,tk_DSEQ,0))="",""," → "&amp;INDEX(tk_ROOMT,MATCH(376,tk_DSEQ,0))),"")</f>
        <v/>
      </c>
      <c r="D381" s="70">
        <f>IFERROR(INDEX(tk_LEAVES,MATCH(376,tk_DSEQ,0)),"")</f>
        <v/>
      </c>
      <c r="E381" s="70">
        <f>IFERROR(""&amp;INDEX(tk_RATING,MATCH(376,tk_DSEQ,0)),"")</f>
        <v/>
      </c>
      <c r="F381" s="70">
        <f>IFERROR(TEXT(INDEX(tk_LEAFW,MATCH(376,tk_DSEQ,0)),"0.000")&amp;" x "&amp;TEXT(INDEX(tk_LEAFH,MATCH(376,tk_DSEQ,0)),"0.000"),"")</f>
        <v/>
      </c>
      <c r="G381" s="70">
        <f>IFERROR(""&amp;INDEX(tk_DLINE,MATCH(376,tk_DSEQ,0)),"")</f>
        <v/>
      </c>
      <c r="H381" s="70">
        <f>IFERROR(""&amp;INDEX(tk_DNOTES,MATCH(376,tk_DSEQ,0)),"")</f>
        <v/>
      </c>
    </row>
    <row r="382">
      <c r="A382" s="70">
        <f>IFERROR(""&amp;INDEX(tk_MARK,MATCH(377,tk_DSEQ,0)),"")</f>
        <v/>
      </c>
      <c r="B382" s="70">
        <f>IFERROR(INDEX(tk_QTY,MATCH(377,tk_DSEQ,0)),"")</f>
        <v/>
      </c>
      <c r="C382" s="70">
        <f>IFERROR(INDEX(tk_ROOMF,MATCH(377,tk_DSEQ,0))&amp;IF(INDEX(tk_ROOMT,MATCH(377,tk_DSEQ,0))="",""," → "&amp;INDEX(tk_ROOMT,MATCH(377,tk_DSEQ,0))),"")</f>
        <v/>
      </c>
      <c r="D382" s="70">
        <f>IFERROR(INDEX(tk_LEAVES,MATCH(377,tk_DSEQ,0)),"")</f>
        <v/>
      </c>
      <c r="E382" s="70">
        <f>IFERROR(""&amp;INDEX(tk_RATING,MATCH(377,tk_DSEQ,0)),"")</f>
        <v/>
      </c>
      <c r="F382" s="70">
        <f>IFERROR(TEXT(INDEX(tk_LEAFW,MATCH(377,tk_DSEQ,0)),"0.000")&amp;" x "&amp;TEXT(INDEX(tk_LEAFH,MATCH(377,tk_DSEQ,0)),"0.000"),"")</f>
        <v/>
      </c>
      <c r="G382" s="70">
        <f>IFERROR(""&amp;INDEX(tk_DLINE,MATCH(377,tk_DSEQ,0)),"")</f>
        <v/>
      </c>
      <c r="H382" s="70">
        <f>IFERROR(""&amp;INDEX(tk_DNOTES,MATCH(377,tk_DSEQ,0)),"")</f>
        <v/>
      </c>
    </row>
    <row r="383">
      <c r="A383" s="70">
        <f>IFERROR(""&amp;INDEX(tk_MARK,MATCH(378,tk_DSEQ,0)),"")</f>
        <v/>
      </c>
      <c r="B383" s="70">
        <f>IFERROR(INDEX(tk_QTY,MATCH(378,tk_DSEQ,0)),"")</f>
        <v/>
      </c>
      <c r="C383" s="70">
        <f>IFERROR(INDEX(tk_ROOMF,MATCH(378,tk_DSEQ,0))&amp;IF(INDEX(tk_ROOMT,MATCH(378,tk_DSEQ,0))="",""," → "&amp;INDEX(tk_ROOMT,MATCH(378,tk_DSEQ,0))),"")</f>
        <v/>
      </c>
      <c r="D383" s="70">
        <f>IFERROR(INDEX(tk_LEAVES,MATCH(378,tk_DSEQ,0)),"")</f>
        <v/>
      </c>
      <c r="E383" s="70">
        <f>IFERROR(""&amp;INDEX(tk_RATING,MATCH(378,tk_DSEQ,0)),"")</f>
        <v/>
      </c>
      <c r="F383" s="70">
        <f>IFERROR(TEXT(INDEX(tk_LEAFW,MATCH(378,tk_DSEQ,0)),"0.000")&amp;" x "&amp;TEXT(INDEX(tk_LEAFH,MATCH(378,tk_DSEQ,0)),"0.000"),"")</f>
        <v/>
      </c>
      <c r="G383" s="70">
        <f>IFERROR(""&amp;INDEX(tk_DLINE,MATCH(378,tk_DSEQ,0)),"")</f>
        <v/>
      </c>
      <c r="H383" s="70">
        <f>IFERROR(""&amp;INDEX(tk_DNOTES,MATCH(378,tk_DSEQ,0)),"")</f>
        <v/>
      </c>
    </row>
    <row r="384">
      <c r="A384" s="70">
        <f>IFERROR(""&amp;INDEX(tk_MARK,MATCH(379,tk_DSEQ,0)),"")</f>
        <v/>
      </c>
      <c r="B384" s="70">
        <f>IFERROR(INDEX(tk_QTY,MATCH(379,tk_DSEQ,0)),"")</f>
        <v/>
      </c>
      <c r="C384" s="70">
        <f>IFERROR(INDEX(tk_ROOMF,MATCH(379,tk_DSEQ,0))&amp;IF(INDEX(tk_ROOMT,MATCH(379,tk_DSEQ,0))="",""," → "&amp;INDEX(tk_ROOMT,MATCH(379,tk_DSEQ,0))),"")</f>
        <v/>
      </c>
      <c r="D384" s="70">
        <f>IFERROR(INDEX(tk_LEAVES,MATCH(379,tk_DSEQ,0)),"")</f>
        <v/>
      </c>
      <c r="E384" s="70">
        <f>IFERROR(""&amp;INDEX(tk_RATING,MATCH(379,tk_DSEQ,0)),"")</f>
        <v/>
      </c>
      <c r="F384" s="70">
        <f>IFERROR(TEXT(INDEX(tk_LEAFW,MATCH(379,tk_DSEQ,0)),"0.000")&amp;" x "&amp;TEXT(INDEX(tk_LEAFH,MATCH(379,tk_DSEQ,0)),"0.000"),"")</f>
        <v/>
      </c>
      <c r="G384" s="70">
        <f>IFERROR(""&amp;INDEX(tk_DLINE,MATCH(379,tk_DSEQ,0)),"")</f>
        <v/>
      </c>
      <c r="H384" s="70">
        <f>IFERROR(""&amp;INDEX(tk_DNOTES,MATCH(379,tk_DSEQ,0)),"")</f>
        <v/>
      </c>
    </row>
    <row r="385">
      <c r="A385" s="70">
        <f>IFERROR(""&amp;INDEX(tk_MARK,MATCH(380,tk_DSEQ,0)),"")</f>
        <v/>
      </c>
      <c r="B385" s="70">
        <f>IFERROR(INDEX(tk_QTY,MATCH(380,tk_DSEQ,0)),"")</f>
        <v/>
      </c>
      <c r="C385" s="70">
        <f>IFERROR(INDEX(tk_ROOMF,MATCH(380,tk_DSEQ,0))&amp;IF(INDEX(tk_ROOMT,MATCH(380,tk_DSEQ,0))="",""," → "&amp;INDEX(tk_ROOMT,MATCH(380,tk_DSEQ,0))),"")</f>
        <v/>
      </c>
      <c r="D385" s="70">
        <f>IFERROR(INDEX(tk_LEAVES,MATCH(380,tk_DSEQ,0)),"")</f>
        <v/>
      </c>
      <c r="E385" s="70">
        <f>IFERROR(""&amp;INDEX(tk_RATING,MATCH(380,tk_DSEQ,0)),"")</f>
        <v/>
      </c>
      <c r="F385" s="70">
        <f>IFERROR(TEXT(INDEX(tk_LEAFW,MATCH(380,tk_DSEQ,0)),"0.000")&amp;" x "&amp;TEXT(INDEX(tk_LEAFH,MATCH(380,tk_DSEQ,0)),"0.000"),"")</f>
        <v/>
      </c>
      <c r="G385" s="70">
        <f>IFERROR(""&amp;INDEX(tk_DLINE,MATCH(380,tk_DSEQ,0)),"")</f>
        <v/>
      </c>
      <c r="H385" s="70">
        <f>IFERROR(""&amp;INDEX(tk_DNOTES,MATCH(380,tk_DSEQ,0)),"")</f>
        <v/>
      </c>
    </row>
    <row r="386">
      <c r="A386" s="70">
        <f>IFERROR(""&amp;INDEX(tk_MARK,MATCH(381,tk_DSEQ,0)),"")</f>
        <v/>
      </c>
      <c r="B386" s="70">
        <f>IFERROR(INDEX(tk_QTY,MATCH(381,tk_DSEQ,0)),"")</f>
        <v/>
      </c>
      <c r="C386" s="70">
        <f>IFERROR(INDEX(tk_ROOMF,MATCH(381,tk_DSEQ,0))&amp;IF(INDEX(tk_ROOMT,MATCH(381,tk_DSEQ,0))="",""," → "&amp;INDEX(tk_ROOMT,MATCH(381,tk_DSEQ,0))),"")</f>
        <v/>
      </c>
      <c r="D386" s="70">
        <f>IFERROR(INDEX(tk_LEAVES,MATCH(381,tk_DSEQ,0)),"")</f>
        <v/>
      </c>
      <c r="E386" s="70">
        <f>IFERROR(""&amp;INDEX(tk_RATING,MATCH(381,tk_DSEQ,0)),"")</f>
        <v/>
      </c>
      <c r="F386" s="70">
        <f>IFERROR(TEXT(INDEX(tk_LEAFW,MATCH(381,tk_DSEQ,0)),"0.000")&amp;" x "&amp;TEXT(INDEX(tk_LEAFH,MATCH(381,tk_DSEQ,0)),"0.000"),"")</f>
        <v/>
      </c>
      <c r="G386" s="70">
        <f>IFERROR(""&amp;INDEX(tk_DLINE,MATCH(381,tk_DSEQ,0)),"")</f>
        <v/>
      </c>
      <c r="H386" s="70">
        <f>IFERROR(""&amp;INDEX(tk_DNOTES,MATCH(381,tk_DSEQ,0)),"")</f>
        <v/>
      </c>
    </row>
    <row r="387">
      <c r="A387" s="70">
        <f>IFERROR(""&amp;INDEX(tk_MARK,MATCH(382,tk_DSEQ,0)),"")</f>
        <v/>
      </c>
      <c r="B387" s="70">
        <f>IFERROR(INDEX(tk_QTY,MATCH(382,tk_DSEQ,0)),"")</f>
        <v/>
      </c>
      <c r="C387" s="70">
        <f>IFERROR(INDEX(tk_ROOMF,MATCH(382,tk_DSEQ,0))&amp;IF(INDEX(tk_ROOMT,MATCH(382,tk_DSEQ,0))="",""," → "&amp;INDEX(tk_ROOMT,MATCH(382,tk_DSEQ,0))),"")</f>
        <v/>
      </c>
      <c r="D387" s="70">
        <f>IFERROR(INDEX(tk_LEAVES,MATCH(382,tk_DSEQ,0)),"")</f>
        <v/>
      </c>
      <c r="E387" s="70">
        <f>IFERROR(""&amp;INDEX(tk_RATING,MATCH(382,tk_DSEQ,0)),"")</f>
        <v/>
      </c>
      <c r="F387" s="70">
        <f>IFERROR(TEXT(INDEX(tk_LEAFW,MATCH(382,tk_DSEQ,0)),"0.000")&amp;" x "&amp;TEXT(INDEX(tk_LEAFH,MATCH(382,tk_DSEQ,0)),"0.000"),"")</f>
        <v/>
      </c>
      <c r="G387" s="70">
        <f>IFERROR(""&amp;INDEX(tk_DLINE,MATCH(382,tk_DSEQ,0)),"")</f>
        <v/>
      </c>
      <c r="H387" s="70">
        <f>IFERROR(""&amp;INDEX(tk_DNOTES,MATCH(382,tk_DSEQ,0)),"")</f>
        <v/>
      </c>
    </row>
    <row r="388">
      <c r="A388" s="70">
        <f>IFERROR(""&amp;INDEX(tk_MARK,MATCH(383,tk_DSEQ,0)),"")</f>
        <v/>
      </c>
      <c r="B388" s="70">
        <f>IFERROR(INDEX(tk_QTY,MATCH(383,tk_DSEQ,0)),"")</f>
        <v/>
      </c>
      <c r="C388" s="70">
        <f>IFERROR(INDEX(tk_ROOMF,MATCH(383,tk_DSEQ,0))&amp;IF(INDEX(tk_ROOMT,MATCH(383,tk_DSEQ,0))="",""," → "&amp;INDEX(tk_ROOMT,MATCH(383,tk_DSEQ,0))),"")</f>
        <v/>
      </c>
      <c r="D388" s="70">
        <f>IFERROR(INDEX(tk_LEAVES,MATCH(383,tk_DSEQ,0)),"")</f>
        <v/>
      </c>
      <c r="E388" s="70">
        <f>IFERROR(""&amp;INDEX(tk_RATING,MATCH(383,tk_DSEQ,0)),"")</f>
        <v/>
      </c>
      <c r="F388" s="70">
        <f>IFERROR(TEXT(INDEX(tk_LEAFW,MATCH(383,tk_DSEQ,0)),"0.000")&amp;" x "&amp;TEXT(INDEX(tk_LEAFH,MATCH(383,tk_DSEQ,0)),"0.000"),"")</f>
        <v/>
      </c>
      <c r="G388" s="70">
        <f>IFERROR(""&amp;INDEX(tk_DLINE,MATCH(383,tk_DSEQ,0)),"")</f>
        <v/>
      </c>
      <c r="H388" s="70">
        <f>IFERROR(""&amp;INDEX(tk_DNOTES,MATCH(383,tk_DSEQ,0)),"")</f>
        <v/>
      </c>
    </row>
    <row r="389">
      <c r="A389" s="70">
        <f>IFERROR(""&amp;INDEX(tk_MARK,MATCH(384,tk_DSEQ,0)),"")</f>
        <v/>
      </c>
      <c r="B389" s="70">
        <f>IFERROR(INDEX(tk_QTY,MATCH(384,tk_DSEQ,0)),"")</f>
        <v/>
      </c>
      <c r="C389" s="70">
        <f>IFERROR(INDEX(tk_ROOMF,MATCH(384,tk_DSEQ,0))&amp;IF(INDEX(tk_ROOMT,MATCH(384,tk_DSEQ,0))="",""," → "&amp;INDEX(tk_ROOMT,MATCH(384,tk_DSEQ,0))),"")</f>
        <v/>
      </c>
      <c r="D389" s="70">
        <f>IFERROR(INDEX(tk_LEAVES,MATCH(384,tk_DSEQ,0)),"")</f>
        <v/>
      </c>
      <c r="E389" s="70">
        <f>IFERROR(""&amp;INDEX(tk_RATING,MATCH(384,tk_DSEQ,0)),"")</f>
        <v/>
      </c>
      <c r="F389" s="70">
        <f>IFERROR(TEXT(INDEX(tk_LEAFW,MATCH(384,tk_DSEQ,0)),"0.000")&amp;" x "&amp;TEXT(INDEX(tk_LEAFH,MATCH(384,tk_DSEQ,0)),"0.000"),"")</f>
        <v/>
      </c>
      <c r="G389" s="70">
        <f>IFERROR(""&amp;INDEX(tk_DLINE,MATCH(384,tk_DSEQ,0)),"")</f>
        <v/>
      </c>
      <c r="H389" s="70">
        <f>IFERROR(""&amp;INDEX(tk_DNOTES,MATCH(384,tk_DSEQ,0)),"")</f>
        <v/>
      </c>
    </row>
    <row r="390">
      <c r="A390" s="70">
        <f>IFERROR(""&amp;INDEX(tk_MARK,MATCH(385,tk_DSEQ,0)),"")</f>
        <v/>
      </c>
      <c r="B390" s="70">
        <f>IFERROR(INDEX(tk_QTY,MATCH(385,tk_DSEQ,0)),"")</f>
        <v/>
      </c>
      <c r="C390" s="70">
        <f>IFERROR(INDEX(tk_ROOMF,MATCH(385,tk_DSEQ,0))&amp;IF(INDEX(tk_ROOMT,MATCH(385,tk_DSEQ,0))="",""," → "&amp;INDEX(tk_ROOMT,MATCH(385,tk_DSEQ,0))),"")</f>
        <v/>
      </c>
      <c r="D390" s="70">
        <f>IFERROR(INDEX(tk_LEAVES,MATCH(385,tk_DSEQ,0)),"")</f>
        <v/>
      </c>
      <c r="E390" s="70">
        <f>IFERROR(""&amp;INDEX(tk_RATING,MATCH(385,tk_DSEQ,0)),"")</f>
        <v/>
      </c>
      <c r="F390" s="70">
        <f>IFERROR(TEXT(INDEX(tk_LEAFW,MATCH(385,tk_DSEQ,0)),"0.000")&amp;" x "&amp;TEXT(INDEX(tk_LEAFH,MATCH(385,tk_DSEQ,0)),"0.000"),"")</f>
        <v/>
      </c>
      <c r="G390" s="70">
        <f>IFERROR(""&amp;INDEX(tk_DLINE,MATCH(385,tk_DSEQ,0)),"")</f>
        <v/>
      </c>
      <c r="H390" s="70">
        <f>IFERROR(""&amp;INDEX(tk_DNOTES,MATCH(385,tk_DSEQ,0)),"")</f>
        <v/>
      </c>
    </row>
    <row r="391">
      <c r="A391" s="70">
        <f>IFERROR(""&amp;INDEX(tk_MARK,MATCH(386,tk_DSEQ,0)),"")</f>
        <v/>
      </c>
      <c r="B391" s="70">
        <f>IFERROR(INDEX(tk_QTY,MATCH(386,tk_DSEQ,0)),"")</f>
        <v/>
      </c>
      <c r="C391" s="70">
        <f>IFERROR(INDEX(tk_ROOMF,MATCH(386,tk_DSEQ,0))&amp;IF(INDEX(tk_ROOMT,MATCH(386,tk_DSEQ,0))="",""," → "&amp;INDEX(tk_ROOMT,MATCH(386,tk_DSEQ,0))),"")</f>
        <v/>
      </c>
      <c r="D391" s="70">
        <f>IFERROR(INDEX(tk_LEAVES,MATCH(386,tk_DSEQ,0)),"")</f>
        <v/>
      </c>
      <c r="E391" s="70">
        <f>IFERROR(""&amp;INDEX(tk_RATING,MATCH(386,tk_DSEQ,0)),"")</f>
        <v/>
      </c>
      <c r="F391" s="70">
        <f>IFERROR(TEXT(INDEX(tk_LEAFW,MATCH(386,tk_DSEQ,0)),"0.000")&amp;" x "&amp;TEXT(INDEX(tk_LEAFH,MATCH(386,tk_DSEQ,0)),"0.000"),"")</f>
        <v/>
      </c>
      <c r="G391" s="70">
        <f>IFERROR(""&amp;INDEX(tk_DLINE,MATCH(386,tk_DSEQ,0)),"")</f>
        <v/>
      </c>
      <c r="H391" s="70">
        <f>IFERROR(""&amp;INDEX(tk_DNOTES,MATCH(386,tk_DSEQ,0)),"")</f>
        <v/>
      </c>
    </row>
    <row r="392">
      <c r="A392" s="70">
        <f>IFERROR(""&amp;INDEX(tk_MARK,MATCH(387,tk_DSEQ,0)),"")</f>
        <v/>
      </c>
      <c r="B392" s="70">
        <f>IFERROR(INDEX(tk_QTY,MATCH(387,tk_DSEQ,0)),"")</f>
        <v/>
      </c>
      <c r="C392" s="70">
        <f>IFERROR(INDEX(tk_ROOMF,MATCH(387,tk_DSEQ,0))&amp;IF(INDEX(tk_ROOMT,MATCH(387,tk_DSEQ,0))="",""," → "&amp;INDEX(tk_ROOMT,MATCH(387,tk_DSEQ,0))),"")</f>
        <v/>
      </c>
      <c r="D392" s="70">
        <f>IFERROR(INDEX(tk_LEAVES,MATCH(387,tk_DSEQ,0)),"")</f>
        <v/>
      </c>
      <c r="E392" s="70">
        <f>IFERROR(""&amp;INDEX(tk_RATING,MATCH(387,tk_DSEQ,0)),"")</f>
        <v/>
      </c>
      <c r="F392" s="70">
        <f>IFERROR(TEXT(INDEX(tk_LEAFW,MATCH(387,tk_DSEQ,0)),"0.000")&amp;" x "&amp;TEXT(INDEX(tk_LEAFH,MATCH(387,tk_DSEQ,0)),"0.000"),"")</f>
        <v/>
      </c>
      <c r="G392" s="70">
        <f>IFERROR(""&amp;INDEX(tk_DLINE,MATCH(387,tk_DSEQ,0)),"")</f>
        <v/>
      </c>
      <c r="H392" s="70">
        <f>IFERROR(""&amp;INDEX(tk_DNOTES,MATCH(387,tk_DSEQ,0)),"")</f>
        <v/>
      </c>
    </row>
    <row r="393">
      <c r="A393" s="70">
        <f>IFERROR(""&amp;INDEX(tk_MARK,MATCH(388,tk_DSEQ,0)),"")</f>
        <v/>
      </c>
      <c r="B393" s="70">
        <f>IFERROR(INDEX(tk_QTY,MATCH(388,tk_DSEQ,0)),"")</f>
        <v/>
      </c>
      <c r="C393" s="70">
        <f>IFERROR(INDEX(tk_ROOMF,MATCH(388,tk_DSEQ,0))&amp;IF(INDEX(tk_ROOMT,MATCH(388,tk_DSEQ,0))="",""," → "&amp;INDEX(tk_ROOMT,MATCH(388,tk_DSEQ,0))),"")</f>
        <v/>
      </c>
      <c r="D393" s="70">
        <f>IFERROR(INDEX(tk_LEAVES,MATCH(388,tk_DSEQ,0)),"")</f>
        <v/>
      </c>
      <c r="E393" s="70">
        <f>IFERROR(""&amp;INDEX(tk_RATING,MATCH(388,tk_DSEQ,0)),"")</f>
        <v/>
      </c>
      <c r="F393" s="70">
        <f>IFERROR(TEXT(INDEX(tk_LEAFW,MATCH(388,tk_DSEQ,0)),"0.000")&amp;" x "&amp;TEXT(INDEX(tk_LEAFH,MATCH(388,tk_DSEQ,0)),"0.000"),"")</f>
        <v/>
      </c>
      <c r="G393" s="70">
        <f>IFERROR(""&amp;INDEX(tk_DLINE,MATCH(388,tk_DSEQ,0)),"")</f>
        <v/>
      </c>
      <c r="H393" s="70">
        <f>IFERROR(""&amp;INDEX(tk_DNOTES,MATCH(388,tk_DSEQ,0)),"")</f>
        <v/>
      </c>
    </row>
    <row r="394">
      <c r="A394" s="70">
        <f>IFERROR(""&amp;INDEX(tk_MARK,MATCH(389,tk_DSEQ,0)),"")</f>
        <v/>
      </c>
      <c r="B394" s="70">
        <f>IFERROR(INDEX(tk_QTY,MATCH(389,tk_DSEQ,0)),"")</f>
        <v/>
      </c>
      <c r="C394" s="70">
        <f>IFERROR(INDEX(tk_ROOMF,MATCH(389,tk_DSEQ,0))&amp;IF(INDEX(tk_ROOMT,MATCH(389,tk_DSEQ,0))="",""," → "&amp;INDEX(tk_ROOMT,MATCH(389,tk_DSEQ,0))),"")</f>
        <v/>
      </c>
      <c r="D394" s="70">
        <f>IFERROR(INDEX(tk_LEAVES,MATCH(389,tk_DSEQ,0)),"")</f>
        <v/>
      </c>
      <c r="E394" s="70">
        <f>IFERROR(""&amp;INDEX(tk_RATING,MATCH(389,tk_DSEQ,0)),"")</f>
        <v/>
      </c>
      <c r="F394" s="70">
        <f>IFERROR(TEXT(INDEX(tk_LEAFW,MATCH(389,tk_DSEQ,0)),"0.000")&amp;" x "&amp;TEXT(INDEX(tk_LEAFH,MATCH(389,tk_DSEQ,0)),"0.000"),"")</f>
        <v/>
      </c>
      <c r="G394" s="70">
        <f>IFERROR(""&amp;INDEX(tk_DLINE,MATCH(389,tk_DSEQ,0)),"")</f>
        <v/>
      </c>
      <c r="H394" s="70">
        <f>IFERROR(""&amp;INDEX(tk_DNOTES,MATCH(389,tk_DSEQ,0)),"")</f>
        <v/>
      </c>
    </row>
    <row r="395">
      <c r="A395" s="70">
        <f>IFERROR(""&amp;INDEX(tk_MARK,MATCH(390,tk_DSEQ,0)),"")</f>
        <v/>
      </c>
      <c r="B395" s="70">
        <f>IFERROR(INDEX(tk_QTY,MATCH(390,tk_DSEQ,0)),"")</f>
        <v/>
      </c>
      <c r="C395" s="70">
        <f>IFERROR(INDEX(tk_ROOMF,MATCH(390,tk_DSEQ,0))&amp;IF(INDEX(tk_ROOMT,MATCH(390,tk_DSEQ,0))="",""," → "&amp;INDEX(tk_ROOMT,MATCH(390,tk_DSEQ,0))),"")</f>
        <v/>
      </c>
      <c r="D395" s="70">
        <f>IFERROR(INDEX(tk_LEAVES,MATCH(390,tk_DSEQ,0)),"")</f>
        <v/>
      </c>
      <c r="E395" s="70">
        <f>IFERROR(""&amp;INDEX(tk_RATING,MATCH(390,tk_DSEQ,0)),"")</f>
        <v/>
      </c>
      <c r="F395" s="70">
        <f>IFERROR(TEXT(INDEX(tk_LEAFW,MATCH(390,tk_DSEQ,0)),"0.000")&amp;" x "&amp;TEXT(INDEX(tk_LEAFH,MATCH(390,tk_DSEQ,0)),"0.000"),"")</f>
        <v/>
      </c>
      <c r="G395" s="70">
        <f>IFERROR(""&amp;INDEX(tk_DLINE,MATCH(390,tk_DSEQ,0)),"")</f>
        <v/>
      </c>
      <c r="H395" s="70">
        <f>IFERROR(""&amp;INDEX(tk_DNOTES,MATCH(390,tk_DSEQ,0)),"")</f>
        <v/>
      </c>
    </row>
    <row r="396">
      <c r="A396" s="70">
        <f>IFERROR(""&amp;INDEX(tk_MARK,MATCH(391,tk_DSEQ,0)),"")</f>
        <v/>
      </c>
      <c r="B396" s="70">
        <f>IFERROR(INDEX(tk_QTY,MATCH(391,tk_DSEQ,0)),"")</f>
        <v/>
      </c>
      <c r="C396" s="70">
        <f>IFERROR(INDEX(tk_ROOMF,MATCH(391,tk_DSEQ,0))&amp;IF(INDEX(tk_ROOMT,MATCH(391,tk_DSEQ,0))="",""," → "&amp;INDEX(tk_ROOMT,MATCH(391,tk_DSEQ,0))),"")</f>
        <v/>
      </c>
      <c r="D396" s="70">
        <f>IFERROR(INDEX(tk_LEAVES,MATCH(391,tk_DSEQ,0)),"")</f>
        <v/>
      </c>
      <c r="E396" s="70">
        <f>IFERROR(""&amp;INDEX(tk_RATING,MATCH(391,tk_DSEQ,0)),"")</f>
        <v/>
      </c>
      <c r="F396" s="70">
        <f>IFERROR(TEXT(INDEX(tk_LEAFW,MATCH(391,tk_DSEQ,0)),"0.000")&amp;" x "&amp;TEXT(INDEX(tk_LEAFH,MATCH(391,tk_DSEQ,0)),"0.000"),"")</f>
        <v/>
      </c>
      <c r="G396" s="70">
        <f>IFERROR(""&amp;INDEX(tk_DLINE,MATCH(391,tk_DSEQ,0)),"")</f>
        <v/>
      </c>
      <c r="H396" s="70">
        <f>IFERROR(""&amp;INDEX(tk_DNOTES,MATCH(391,tk_DSEQ,0)),"")</f>
        <v/>
      </c>
    </row>
    <row r="397">
      <c r="A397" s="70">
        <f>IFERROR(""&amp;INDEX(tk_MARK,MATCH(392,tk_DSEQ,0)),"")</f>
        <v/>
      </c>
      <c r="B397" s="70">
        <f>IFERROR(INDEX(tk_QTY,MATCH(392,tk_DSEQ,0)),"")</f>
        <v/>
      </c>
      <c r="C397" s="70">
        <f>IFERROR(INDEX(tk_ROOMF,MATCH(392,tk_DSEQ,0))&amp;IF(INDEX(tk_ROOMT,MATCH(392,tk_DSEQ,0))="",""," → "&amp;INDEX(tk_ROOMT,MATCH(392,tk_DSEQ,0))),"")</f>
        <v/>
      </c>
      <c r="D397" s="70">
        <f>IFERROR(INDEX(tk_LEAVES,MATCH(392,tk_DSEQ,0)),"")</f>
        <v/>
      </c>
      <c r="E397" s="70">
        <f>IFERROR(""&amp;INDEX(tk_RATING,MATCH(392,tk_DSEQ,0)),"")</f>
        <v/>
      </c>
      <c r="F397" s="70">
        <f>IFERROR(TEXT(INDEX(tk_LEAFW,MATCH(392,tk_DSEQ,0)),"0.000")&amp;" x "&amp;TEXT(INDEX(tk_LEAFH,MATCH(392,tk_DSEQ,0)),"0.000"),"")</f>
        <v/>
      </c>
      <c r="G397" s="70">
        <f>IFERROR(""&amp;INDEX(tk_DLINE,MATCH(392,tk_DSEQ,0)),"")</f>
        <v/>
      </c>
      <c r="H397" s="70">
        <f>IFERROR(""&amp;INDEX(tk_DNOTES,MATCH(392,tk_DSEQ,0)),"")</f>
        <v/>
      </c>
    </row>
    <row r="398">
      <c r="A398" s="70">
        <f>IFERROR(""&amp;INDEX(tk_MARK,MATCH(393,tk_DSEQ,0)),"")</f>
        <v/>
      </c>
      <c r="B398" s="70">
        <f>IFERROR(INDEX(tk_QTY,MATCH(393,tk_DSEQ,0)),"")</f>
        <v/>
      </c>
      <c r="C398" s="70">
        <f>IFERROR(INDEX(tk_ROOMF,MATCH(393,tk_DSEQ,0))&amp;IF(INDEX(tk_ROOMT,MATCH(393,tk_DSEQ,0))="",""," → "&amp;INDEX(tk_ROOMT,MATCH(393,tk_DSEQ,0))),"")</f>
        <v/>
      </c>
      <c r="D398" s="70">
        <f>IFERROR(INDEX(tk_LEAVES,MATCH(393,tk_DSEQ,0)),"")</f>
        <v/>
      </c>
      <c r="E398" s="70">
        <f>IFERROR(""&amp;INDEX(tk_RATING,MATCH(393,tk_DSEQ,0)),"")</f>
        <v/>
      </c>
      <c r="F398" s="70">
        <f>IFERROR(TEXT(INDEX(tk_LEAFW,MATCH(393,tk_DSEQ,0)),"0.000")&amp;" x "&amp;TEXT(INDEX(tk_LEAFH,MATCH(393,tk_DSEQ,0)),"0.000"),"")</f>
        <v/>
      </c>
      <c r="G398" s="70">
        <f>IFERROR(""&amp;INDEX(tk_DLINE,MATCH(393,tk_DSEQ,0)),"")</f>
        <v/>
      </c>
      <c r="H398" s="70">
        <f>IFERROR(""&amp;INDEX(tk_DNOTES,MATCH(393,tk_DSEQ,0)),"")</f>
        <v/>
      </c>
    </row>
    <row r="399">
      <c r="A399" s="70">
        <f>IFERROR(""&amp;INDEX(tk_MARK,MATCH(394,tk_DSEQ,0)),"")</f>
        <v/>
      </c>
      <c r="B399" s="70">
        <f>IFERROR(INDEX(tk_QTY,MATCH(394,tk_DSEQ,0)),"")</f>
        <v/>
      </c>
      <c r="C399" s="70">
        <f>IFERROR(INDEX(tk_ROOMF,MATCH(394,tk_DSEQ,0))&amp;IF(INDEX(tk_ROOMT,MATCH(394,tk_DSEQ,0))="",""," → "&amp;INDEX(tk_ROOMT,MATCH(394,tk_DSEQ,0))),"")</f>
        <v/>
      </c>
      <c r="D399" s="70">
        <f>IFERROR(INDEX(tk_LEAVES,MATCH(394,tk_DSEQ,0)),"")</f>
        <v/>
      </c>
      <c r="E399" s="70">
        <f>IFERROR(""&amp;INDEX(tk_RATING,MATCH(394,tk_DSEQ,0)),"")</f>
        <v/>
      </c>
      <c r="F399" s="70">
        <f>IFERROR(TEXT(INDEX(tk_LEAFW,MATCH(394,tk_DSEQ,0)),"0.000")&amp;" x "&amp;TEXT(INDEX(tk_LEAFH,MATCH(394,tk_DSEQ,0)),"0.000"),"")</f>
        <v/>
      </c>
      <c r="G399" s="70">
        <f>IFERROR(""&amp;INDEX(tk_DLINE,MATCH(394,tk_DSEQ,0)),"")</f>
        <v/>
      </c>
      <c r="H399" s="70">
        <f>IFERROR(""&amp;INDEX(tk_DNOTES,MATCH(394,tk_DSEQ,0)),"")</f>
        <v/>
      </c>
    </row>
    <row r="400">
      <c r="A400" s="70">
        <f>IFERROR(""&amp;INDEX(tk_MARK,MATCH(395,tk_DSEQ,0)),"")</f>
        <v/>
      </c>
      <c r="B400" s="70">
        <f>IFERROR(INDEX(tk_QTY,MATCH(395,tk_DSEQ,0)),"")</f>
        <v/>
      </c>
      <c r="C400" s="70">
        <f>IFERROR(INDEX(tk_ROOMF,MATCH(395,tk_DSEQ,0))&amp;IF(INDEX(tk_ROOMT,MATCH(395,tk_DSEQ,0))="",""," → "&amp;INDEX(tk_ROOMT,MATCH(395,tk_DSEQ,0))),"")</f>
        <v/>
      </c>
      <c r="D400" s="70">
        <f>IFERROR(INDEX(tk_LEAVES,MATCH(395,tk_DSEQ,0)),"")</f>
        <v/>
      </c>
      <c r="E400" s="70">
        <f>IFERROR(""&amp;INDEX(tk_RATING,MATCH(395,tk_DSEQ,0)),"")</f>
        <v/>
      </c>
      <c r="F400" s="70">
        <f>IFERROR(TEXT(INDEX(tk_LEAFW,MATCH(395,tk_DSEQ,0)),"0.000")&amp;" x "&amp;TEXT(INDEX(tk_LEAFH,MATCH(395,tk_DSEQ,0)),"0.000"),"")</f>
        <v/>
      </c>
      <c r="G400" s="70">
        <f>IFERROR(""&amp;INDEX(tk_DLINE,MATCH(395,tk_DSEQ,0)),"")</f>
        <v/>
      </c>
      <c r="H400" s="70">
        <f>IFERROR(""&amp;INDEX(tk_DNOTES,MATCH(395,tk_DSEQ,0)),"")</f>
        <v/>
      </c>
    </row>
    <row r="401">
      <c r="A401" s="70">
        <f>IFERROR(""&amp;INDEX(tk_MARK,MATCH(396,tk_DSEQ,0)),"")</f>
        <v/>
      </c>
      <c r="B401" s="70">
        <f>IFERROR(INDEX(tk_QTY,MATCH(396,tk_DSEQ,0)),"")</f>
        <v/>
      </c>
      <c r="C401" s="70">
        <f>IFERROR(INDEX(tk_ROOMF,MATCH(396,tk_DSEQ,0))&amp;IF(INDEX(tk_ROOMT,MATCH(396,tk_DSEQ,0))="",""," → "&amp;INDEX(tk_ROOMT,MATCH(396,tk_DSEQ,0))),"")</f>
        <v/>
      </c>
      <c r="D401" s="70">
        <f>IFERROR(INDEX(tk_LEAVES,MATCH(396,tk_DSEQ,0)),"")</f>
        <v/>
      </c>
      <c r="E401" s="70">
        <f>IFERROR(""&amp;INDEX(tk_RATING,MATCH(396,tk_DSEQ,0)),"")</f>
        <v/>
      </c>
      <c r="F401" s="70">
        <f>IFERROR(TEXT(INDEX(tk_LEAFW,MATCH(396,tk_DSEQ,0)),"0.000")&amp;" x "&amp;TEXT(INDEX(tk_LEAFH,MATCH(396,tk_DSEQ,0)),"0.000"),"")</f>
        <v/>
      </c>
      <c r="G401" s="70">
        <f>IFERROR(""&amp;INDEX(tk_DLINE,MATCH(396,tk_DSEQ,0)),"")</f>
        <v/>
      </c>
      <c r="H401" s="70">
        <f>IFERROR(""&amp;INDEX(tk_DNOTES,MATCH(396,tk_DSEQ,0)),"")</f>
        <v/>
      </c>
    </row>
    <row r="402">
      <c r="A402" s="70">
        <f>IFERROR(""&amp;INDEX(tk_MARK,MATCH(397,tk_DSEQ,0)),"")</f>
        <v/>
      </c>
      <c r="B402" s="70">
        <f>IFERROR(INDEX(tk_QTY,MATCH(397,tk_DSEQ,0)),"")</f>
        <v/>
      </c>
      <c r="C402" s="70">
        <f>IFERROR(INDEX(tk_ROOMF,MATCH(397,tk_DSEQ,0))&amp;IF(INDEX(tk_ROOMT,MATCH(397,tk_DSEQ,0))="",""," → "&amp;INDEX(tk_ROOMT,MATCH(397,tk_DSEQ,0))),"")</f>
        <v/>
      </c>
      <c r="D402" s="70">
        <f>IFERROR(INDEX(tk_LEAVES,MATCH(397,tk_DSEQ,0)),"")</f>
        <v/>
      </c>
      <c r="E402" s="70">
        <f>IFERROR(""&amp;INDEX(tk_RATING,MATCH(397,tk_DSEQ,0)),"")</f>
        <v/>
      </c>
      <c r="F402" s="70">
        <f>IFERROR(TEXT(INDEX(tk_LEAFW,MATCH(397,tk_DSEQ,0)),"0.000")&amp;" x "&amp;TEXT(INDEX(tk_LEAFH,MATCH(397,tk_DSEQ,0)),"0.000"),"")</f>
        <v/>
      </c>
      <c r="G402" s="70">
        <f>IFERROR(""&amp;INDEX(tk_DLINE,MATCH(397,tk_DSEQ,0)),"")</f>
        <v/>
      </c>
      <c r="H402" s="70">
        <f>IFERROR(""&amp;INDEX(tk_DNOTES,MATCH(397,tk_DSEQ,0)),"")</f>
        <v/>
      </c>
    </row>
    <row r="403">
      <c r="A403" s="70">
        <f>IFERROR(""&amp;INDEX(tk_MARK,MATCH(398,tk_DSEQ,0)),"")</f>
        <v/>
      </c>
      <c r="B403" s="70">
        <f>IFERROR(INDEX(tk_QTY,MATCH(398,tk_DSEQ,0)),"")</f>
        <v/>
      </c>
      <c r="C403" s="70">
        <f>IFERROR(INDEX(tk_ROOMF,MATCH(398,tk_DSEQ,0))&amp;IF(INDEX(tk_ROOMT,MATCH(398,tk_DSEQ,0))="",""," → "&amp;INDEX(tk_ROOMT,MATCH(398,tk_DSEQ,0))),"")</f>
        <v/>
      </c>
      <c r="D403" s="70">
        <f>IFERROR(INDEX(tk_LEAVES,MATCH(398,tk_DSEQ,0)),"")</f>
        <v/>
      </c>
      <c r="E403" s="70">
        <f>IFERROR(""&amp;INDEX(tk_RATING,MATCH(398,tk_DSEQ,0)),"")</f>
        <v/>
      </c>
      <c r="F403" s="70">
        <f>IFERROR(TEXT(INDEX(tk_LEAFW,MATCH(398,tk_DSEQ,0)),"0.000")&amp;" x "&amp;TEXT(INDEX(tk_LEAFH,MATCH(398,tk_DSEQ,0)),"0.000"),"")</f>
        <v/>
      </c>
      <c r="G403" s="70">
        <f>IFERROR(""&amp;INDEX(tk_DLINE,MATCH(398,tk_DSEQ,0)),"")</f>
        <v/>
      </c>
      <c r="H403" s="70">
        <f>IFERROR(""&amp;INDEX(tk_DNOTES,MATCH(398,tk_DSEQ,0)),"")</f>
        <v/>
      </c>
    </row>
    <row r="404">
      <c r="A404" s="70">
        <f>IFERROR(""&amp;INDEX(tk_MARK,MATCH(399,tk_DSEQ,0)),"")</f>
        <v/>
      </c>
      <c r="B404" s="70">
        <f>IFERROR(INDEX(tk_QTY,MATCH(399,tk_DSEQ,0)),"")</f>
        <v/>
      </c>
      <c r="C404" s="70">
        <f>IFERROR(INDEX(tk_ROOMF,MATCH(399,tk_DSEQ,0))&amp;IF(INDEX(tk_ROOMT,MATCH(399,tk_DSEQ,0))="",""," → "&amp;INDEX(tk_ROOMT,MATCH(399,tk_DSEQ,0))),"")</f>
        <v/>
      </c>
      <c r="D404" s="70">
        <f>IFERROR(INDEX(tk_LEAVES,MATCH(399,tk_DSEQ,0)),"")</f>
        <v/>
      </c>
      <c r="E404" s="70">
        <f>IFERROR(""&amp;INDEX(tk_RATING,MATCH(399,tk_DSEQ,0)),"")</f>
        <v/>
      </c>
      <c r="F404" s="70">
        <f>IFERROR(TEXT(INDEX(tk_LEAFW,MATCH(399,tk_DSEQ,0)),"0.000")&amp;" x "&amp;TEXT(INDEX(tk_LEAFH,MATCH(399,tk_DSEQ,0)),"0.000"),"")</f>
        <v/>
      </c>
      <c r="G404" s="70">
        <f>IFERROR(""&amp;INDEX(tk_DLINE,MATCH(399,tk_DSEQ,0)),"")</f>
        <v/>
      </c>
      <c r="H404" s="70">
        <f>IFERROR(""&amp;INDEX(tk_DNOTES,MATCH(399,tk_DSEQ,0)),"")</f>
        <v/>
      </c>
    </row>
    <row r="405">
      <c r="A405" s="70">
        <f>IFERROR(""&amp;INDEX(tk_MARK,MATCH(400,tk_DSEQ,0)),"")</f>
        <v/>
      </c>
      <c r="B405" s="70">
        <f>IFERROR(INDEX(tk_QTY,MATCH(400,tk_DSEQ,0)),"")</f>
        <v/>
      </c>
      <c r="C405" s="70">
        <f>IFERROR(INDEX(tk_ROOMF,MATCH(400,tk_DSEQ,0))&amp;IF(INDEX(tk_ROOMT,MATCH(400,tk_DSEQ,0))="",""," → "&amp;INDEX(tk_ROOMT,MATCH(400,tk_DSEQ,0))),"")</f>
        <v/>
      </c>
      <c r="D405" s="70">
        <f>IFERROR(INDEX(tk_LEAVES,MATCH(400,tk_DSEQ,0)),"")</f>
        <v/>
      </c>
      <c r="E405" s="70">
        <f>IFERROR(""&amp;INDEX(tk_RATING,MATCH(400,tk_DSEQ,0)),"")</f>
        <v/>
      </c>
      <c r="F405" s="70">
        <f>IFERROR(TEXT(INDEX(tk_LEAFW,MATCH(400,tk_DSEQ,0)),"0.000")&amp;" x "&amp;TEXT(INDEX(tk_LEAFH,MATCH(400,tk_DSEQ,0)),"0.000"),"")</f>
        <v/>
      </c>
      <c r="G405" s="70">
        <f>IFERROR(""&amp;INDEX(tk_DLINE,MATCH(400,tk_DSEQ,0)),"")</f>
        <v/>
      </c>
      <c r="H405" s="70">
        <f>IFERROR(""&amp;INDEX(tk_DNOTES,MATCH(400,tk_DSEQ,0)),"")</f>
        <v/>
      </c>
    </row>
    <row r="406">
      <c r="A406" s="70">
        <f>IFERROR(""&amp;INDEX(tk_MARK,MATCH(401,tk_DSEQ,0)),"")</f>
        <v/>
      </c>
      <c r="B406" s="70">
        <f>IFERROR(INDEX(tk_QTY,MATCH(401,tk_DSEQ,0)),"")</f>
        <v/>
      </c>
      <c r="C406" s="70">
        <f>IFERROR(INDEX(tk_ROOMF,MATCH(401,tk_DSEQ,0))&amp;IF(INDEX(tk_ROOMT,MATCH(401,tk_DSEQ,0))="",""," → "&amp;INDEX(tk_ROOMT,MATCH(401,tk_DSEQ,0))),"")</f>
        <v/>
      </c>
      <c r="D406" s="70">
        <f>IFERROR(INDEX(tk_LEAVES,MATCH(401,tk_DSEQ,0)),"")</f>
        <v/>
      </c>
      <c r="E406" s="70">
        <f>IFERROR(""&amp;INDEX(tk_RATING,MATCH(401,tk_DSEQ,0)),"")</f>
        <v/>
      </c>
      <c r="F406" s="70">
        <f>IFERROR(TEXT(INDEX(tk_LEAFW,MATCH(401,tk_DSEQ,0)),"0.000")&amp;" x "&amp;TEXT(INDEX(tk_LEAFH,MATCH(401,tk_DSEQ,0)),"0.000"),"")</f>
        <v/>
      </c>
      <c r="G406" s="70">
        <f>IFERROR(""&amp;INDEX(tk_DLINE,MATCH(401,tk_DSEQ,0)),"")</f>
        <v/>
      </c>
      <c r="H406" s="70">
        <f>IFERROR(""&amp;INDEX(tk_DNOTES,MATCH(401,tk_DSEQ,0)),"")</f>
        <v/>
      </c>
    </row>
    <row r="407">
      <c r="A407" s="70">
        <f>IFERROR(""&amp;INDEX(tk_MARK,MATCH(402,tk_DSEQ,0)),"")</f>
        <v/>
      </c>
      <c r="B407" s="70">
        <f>IFERROR(INDEX(tk_QTY,MATCH(402,tk_DSEQ,0)),"")</f>
        <v/>
      </c>
      <c r="C407" s="70">
        <f>IFERROR(INDEX(tk_ROOMF,MATCH(402,tk_DSEQ,0))&amp;IF(INDEX(tk_ROOMT,MATCH(402,tk_DSEQ,0))="",""," → "&amp;INDEX(tk_ROOMT,MATCH(402,tk_DSEQ,0))),"")</f>
        <v/>
      </c>
      <c r="D407" s="70">
        <f>IFERROR(INDEX(tk_LEAVES,MATCH(402,tk_DSEQ,0)),"")</f>
        <v/>
      </c>
      <c r="E407" s="70">
        <f>IFERROR(""&amp;INDEX(tk_RATING,MATCH(402,tk_DSEQ,0)),"")</f>
        <v/>
      </c>
      <c r="F407" s="70">
        <f>IFERROR(TEXT(INDEX(tk_LEAFW,MATCH(402,tk_DSEQ,0)),"0.000")&amp;" x "&amp;TEXT(INDEX(tk_LEAFH,MATCH(402,tk_DSEQ,0)),"0.000"),"")</f>
        <v/>
      </c>
      <c r="G407" s="70">
        <f>IFERROR(""&amp;INDEX(tk_DLINE,MATCH(402,tk_DSEQ,0)),"")</f>
        <v/>
      </c>
      <c r="H407" s="70">
        <f>IFERROR(""&amp;INDEX(tk_DNOTES,MATCH(402,tk_DSEQ,0)),"")</f>
        <v/>
      </c>
    </row>
    <row r="408">
      <c r="A408" s="70">
        <f>IFERROR(""&amp;INDEX(tk_MARK,MATCH(403,tk_DSEQ,0)),"")</f>
        <v/>
      </c>
      <c r="B408" s="70">
        <f>IFERROR(INDEX(tk_QTY,MATCH(403,tk_DSEQ,0)),"")</f>
        <v/>
      </c>
      <c r="C408" s="70">
        <f>IFERROR(INDEX(tk_ROOMF,MATCH(403,tk_DSEQ,0))&amp;IF(INDEX(tk_ROOMT,MATCH(403,tk_DSEQ,0))="",""," → "&amp;INDEX(tk_ROOMT,MATCH(403,tk_DSEQ,0))),"")</f>
        <v/>
      </c>
      <c r="D408" s="70">
        <f>IFERROR(INDEX(tk_LEAVES,MATCH(403,tk_DSEQ,0)),"")</f>
        <v/>
      </c>
      <c r="E408" s="70">
        <f>IFERROR(""&amp;INDEX(tk_RATING,MATCH(403,tk_DSEQ,0)),"")</f>
        <v/>
      </c>
      <c r="F408" s="70">
        <f>IFERROR(TEXT(INDEX(tk_LEAFW,MATCH(403,tk_DSEQ,0)),"0.000")&amp;" x "&amp;TEXT(INDEX(tk_LEAFH,MATCH(403,tk_DSEQ,0)),"0.000"),"")</f>
        <v/>
      </c>
      <c r="G408" s="70">
        <f>IFERROR(""&amp;INDEX(tk_DLINE,MATCH(403,tk_DSEQ,0)),"")</f>
        <v/>
      </c>
      <c r="H408" s="70">
        <f>IFERROR(""&amp;INDEX(tk_DNOTES,MATCH(403,tk_DSEQ,0)),"")</f>
        <v/>
      </c>
    </row>
    <row r="409">
      <c r="A409" s="70">
        <f>IFERROR(""&amp;INDEX(tk_MARK,MATCH(404,tk_DSEQ,0)),"")</f>
        <v/>
      </c>
      <c r="B409" s="70">
        <f>IFERROR(INDEX(tk_QTY,MATCH(404,tk_DSEQ,0)),"")</f>
        <v/>
      </c>
      <c r="C409" s="70">
        <f>IFERROR(INDEX(tk_ROOMF,MATCH(404,tk_DSEQ,0))&amp;IF(INDEX(tk_ROOMT,MATCH(404,tk_DSEQ,0))="",""," → "&amp;INDEX(tk_ROOMT,MATCH(404,tk_DSEQ,0))),"")</f>
        <v/>
      </c>
      <c r="D409" s="70">
        <f>IFERROR(INDEX(tk_LEAVES,MATCH(404,tk_DSEQ,0)),"")</f>
        <v/>
      </c>
      <c r="E409" s="70">
        <f>IFERROR(""&amp;INDEX(tk_RATING,MATCH(404,tk_DSEQ,0)),"")</f>
        <v/>
      </c>
      <c r="F409" s="70">
        <f>IFERROR(TEXT(INDEX(tk_LEAFW,MATCH(404,tk_DSEQ,0)),"0.000")&amp;" x "&amp;TEXT(INDEX(tk_LEAFH,MATCH(404,tk_DSEQ,0)),"0.000"),"")</f>
        <v/>
      </c>
      <c r="G409" s="70">
        <f>IFERROR(""&amp;INDEX(tk_DLINE,MATCH(404,tk_DSEQ,0)),"")</f>
        <v/>
      </c>
      <c r="H409" s="70">
        <f>IFERROR(""&amp;INDEX(tk_DNOTES,MATCH(404,tk_DSEQ,0)),"")</f>
        <v/>
      </c>
    </row>
    <row r="410">
      <c r="A410" s="70">
        <f>IFERROR(""&amp;INDEX(tk_MARK,MATCH(405,tk_DSEQ,0)),"")</f>
        <v/>
      </c>
      <c r="B410" s="70">
        <f>IFERROR(INDEX(tk_QTY,MATCH(405,tk_DSEQ,0)),"")</f>
        <v/>
      </c>
      <c r="C410" s="70">
        <f>IFERROR(INDEX(tk_ROOMF,MATCH(405,tk_DSEQ,0))&amp;IF(INDEX(tk_ROOMT,MATCH(405,tk_DSEQ,0))="",""," → "&amp;INDEX(tk_ROOMT,MATCH(405,tk_DSEQ,0))),"")</f>
        <v/>
      </c>
      <c r="D410" s="70">
        <f>IFERROR(INDEX(tk_LEAVES,MATCH(405,tk_DSEQ,0)),"")</f>
        <v/>
      </c>
      <c r="E410" s="70">
        <f>IFERROR(""&amp;INDEX(tk_RATING,MATCH(405,tk_DSEQ,0)),"")</f>
        <v/>
      </c>
      <c r="F410" s="70">
        <f>IFERROR(TEXT(INDEX(tk_LEAFW,MATCH(405,tk_DSEQ,0)),"0.000")&amp;" x "&amp;TEXT(INDEX(tk_LEAFH,MATCH(405,tk_DSEQ,0)),"0.000"),"")</f>
        <v/>
      </c>
      <c r="G410" s="70">
        <f>IFERROR(""&amp;INDEX(tk_DLINE,MATCH(405,tk_DSEQ,0)),"")</f>
        <v/>
      </c>
      <c r="H410" s="70">
        <f>IFERROR(""&amp;INDEX(tk_DNOTES,MATCH(405,tk_DSEQ,0)),"")</f>
        <v/>
      </c>
    </row>
    <row r="411">
      <c r="A411" s="70">
        <f>IFERROR(""&amp;INDEX(tk_MARK,MATCH(406,tk_DSEQ,0)),"")</f>
        <v/>
      </c>
      <c r="B411" s="70">
        <f>IFERROR(INDEX(tk_QTY,MATCH(406,tk_DSEQ,0)),"")</f>
        <v/>
      </c>
      <c r="C411" s="70">
        <f>IFERROR(INDEX(tk_ROOMF,MATCH(406,tk_DSEQ,0))&amp;IF(INDEX(tk_ROOMT,MATCH(406,tk_DSEQ,0))="",""," → "&amp;INDEX(tk_ROOMT,MATCH(406,tk_DSEQ,0))),"")</f>
        <v/>
      </c>
      <c r="D411" s="70">
        <f>IFERROR(INDEX(tk_LEAVES,MATCH(406,tk_DSEQ,0)),"")</f>
        <v/>
      </c>
      <c r="E411" s="70">
        <f>IFERROR(""&amp;INDEX(tk_RATING,MATCH(406,tk_DSEQ,0)),"")</f>
        <v/>
      </c>
      <c r="F411" s="70">
        <f>IFERROR(TEXT(INDEX(tk_LEAFW,MATCH(406,tk_DSEQ,0)),"0.000")&amp;" x "&amp;TEXT(INDEX(tk_LEAFH,MATCH(406,tk_DSEQ,0)),"0.000"),"")</f>
        <v/>
      </c>
      <c r="G411" s="70">
        <f>IFERROR(""&amp;INDEX(tk_DLINE,MATCH(406,tk_DSEQ,0)),"")</f>
        <v/>
      </c>
      <c r="H411" s="70">
        <f>IFERROR(""&amp;INDEX(tk_DNOTES,MATCH(406,tk_DSEQ,0)),"")</f>
        <v/>
      </c>
    </row>
    <row r="412">
      <c r="A412" s="70">
        <f>IFERROR(""&amp;INDEX(tk_MARK,MATCH(407,tk_DSEQ,0)),"")</f>
        <v/>
      </c>
      <c r="B412" s="70">
        <f>IFERROR(INDEX(tk_QTY,MATCH(407,tk_DSEQ,0)),"")</f>
        <v/>
      </c>
      <c r="C412" s="70">
        <f>IFERROR(INDEX(tk_ROOMF,MATCH(407,tk_DSEQ,0))&amp;IF(INDEX(tk_ROOMT,MATCH(407,tk_DSEQ,0))="",""," → "&amp;INDEX(tk_ROOMT,MATCH(407,tk_DSEQ,0))),"")</f>
        <v/>
      </c>
      <c r="D412" s="70">
        <f>IFERROR(INDEX(tk_LEAVES,MATCH(407,tk_DSEQ,0)),"")</f>
        <v/>
      </c>
      <c r="E412" s="70">
        <f>IFERROR(""&amp;INDEX(tk_RATING,MATCH(407,tk_DSEQ,0)),"")</f>
        <v/>
      </c>
      <c r="F412" s="70">
        <f>IFERROR(TEXT(INDEX(tk_LEAFW,MATCH(407,tk_DSEQ,0)),"0.000")&amp;" x "&amp;TEXT(INDEX(tk_LEAFH,MATCH(407,tk_DSEQ,0)),"0.000"),"")</f>
        <v/>
      </c>
      <c r="G412" s="70">
        <f>IFERROR(""&amp;INDEX(tk_DLINE,MATCH(407,tk_DSEQ,0)),"")</f>
        <v/>
      </c>
      <c r="H412" s="70">
        <f>IFERROR(""&amp;INDEX(tk_DNOTES,MATCH(407,tk_DSEQ,0)),"")</f>
        <v/>
      </c>
    </row>
    <row r="413">
      <c r="A413" s="70">
        <f>IFERROR(""&amp;INDEX(tk_MARK,MATCH(408,tk_DSEQ,0)),"")</f>
        <v/>
      </c>
      <c r="B413" s="70">
        <f>IFERROR(INDEX(tk_QTY,MATCH(408,tk_DSEQ,0)),"")</f>
        <v/>
      </c>
      <c r="C413" s="70">
        <f>IFERROR(INDEX(tk_ROOMF,MATCH(408,tk_DSEQ,0))&amp;IF(INDEX(tk_ROOMT,MATCH(408,tk_DSEQ,0))="",""," → "&amp;INDEX(tk_ROOMT,MATCH(408,tk_DSEQ,0))),"")</f>
        <v/>
      </c>
      <c r="D413" s="70">
        <f>IFERROR(INDEX(tk_LEAVES,MATCH(408,tk_DSEQ,0)),"")</f>
        <v/>
      </c>
      <c r="E413" s="70">
        <f>IFERROR(""&amp;INDEX(tk_RATING,MATCH(408,tk_DSEQ,0)),"")</f>
        <v/>
      </c>
      <c r="F413" s="70">
        <f>IFERROR(TEXT(INDEX(tk_LEAFW,MATCH(408,tk_DSEQ,0)),"0.000")&amp;" x "&amp;TEXT(INDEX(tk_LEAFH,MATCH(408,tk_DSEQ,0)),"0.000"),"")</f>
        <v/>
      </c>
      <c r="G413" s="70">
        <f>IFERROR(""&amp;INDEX(tk_DLINE,MATCH(408,tk_DSEQ,0)),"")</f>
        <v/>
      </c>
      <c r="H413" s="70">
        <f>IFERROR(""&amp;INDEX(tk_DNOTES,MATCH(408,tk_DSEQ,0)),"")</f>
        <v/>
      </c>
    </row>
    <row r="414">
      <c r="A414" s="70">
        <f>IFERROR(""&amp;INDEX(tk_MARK,MATCH(409,tk_DSEQ,0)),"")</f>
        <v/>
      </c>
      <c r="B414" s="70">
        <f>IFERROR(INDEX(tk_QTY,MATCH(409,tk_DSEQ,0)),"")</f>
        <v/>
      </c>
      <c r="C414" s="70">
        <f>IFERROR(INDEX(tk_ROOMF,MATCH(409,tk_DSEQ,0))&amp;IF(INDEX(tk_ROOMT,MATCH(409,tk_DSEQ,0))="",""," → "&amp;INDEX(tk_ROOMT,MATCH(409,tk_DSEQ,0))),"")</f>
        <v/>
      </c>
      <c r="D414" s="70">
        <f>IFERROR(INDEX(tk_LEAVES,MATCH(409,tk_DSEQ,0)),"")</f>
        <v/>
      </c>
      <c r="E414" s="70">
        <f>IFERROR(""&amp;INDEX(tk_RATING,MATCH(409,tk_DSEQ,0)),"")</f>
        <v/>
      </c>
      <c r="F414" s="70">
        <f>IFERROR(TEXT(INDEX(tk_LEAFW,MATCH(409,tk_DSEQ,0)),"0.000")&amp;" x "&amp;TEXT(INDEX(tk_LEAFH,MATCH(409,tk_DSEQ,0)),"0.000"),"")</f>
        <v/>
      </c>
      <c r="G414" s="70">
        <f>IFERROR(""&amp;INDEX(tk_DLINE,MATCH(409,tk_DSEQ,0)),"")</f>
        <v/>
      </c>
      <c r="H414" s="70">
        <f>IFERROR(""&amp;INDEX(tk_DNOTES,MATCH(409,tk_DSEQ,0)),"")</f>
        <v/>
      </c>
    </row>
    <row r="415">
      <c r="A415" s="70">
        <f>IFERROR(""&amp;INDEX(tk_MARK,MATCH(410,tk_DSEQ,0)),"")</f>
        <v/>
      </c>
      <c r="B415" s="70">
        <f>IFERROR(INDEX(tk_QTY,MATCH(410,tk_DSEQ,0)),"")</f>
        <v/>
      </c>
      <c r="C415" s="70">
        <f>IFERROR(INDEX(tk_ROOMF,MATCH(410,tk_DSEQ,0))&amp;IF(INDEX(tk_ROOMT,MATCH(410,tk_DSEQ,0))="",""," → "&amp;INDEX(tk_ROOMT,MATCH(410,tk_DSEQ,0))),"")</f>
        <v/>
      </c>
      <c r="D415" s="70">
        <f>IFERROR(INDEX(tk_LEAVES,MATCH(410,tk_DSEQ,0)),"")</f>
        <v/>
      </c>
      <c r="E415" s="70">
        <f>IFERROR(""&amp;INDEX(tk_RATING,MATCH(410,tk_DSEQ,0)),"")</f>
        <v/>
      </c>
      <c r="F415" s="70">
        <f>IFERROR(TEXT(INDEX(tk_LEAFW,MATCH(410,tk_DSEQ,0)),"0.000")&amp;" x "&amp;TEXT(INDEX(tk_LEAFH,MATCH(410,tk_DSEQ,0)),"0.000"),"")</f>
        <v/>
      </c>
      <c r="G415" s="70">
        <f>IFERROR(""&amp;INDEX(tk_DLINE,MATCH(410,tk_DSEQ,0)),"")</f>
        <v/>
      </c>
      <c r="H415" s="70">
        <f>IFERROR(""&amp;INDEX(tk_DNOTES,MATCH(410,tk_DSEQ,0)),"")</f>
        <v/>
      </c>
    </row>
    <row r="416">
      <c r="A416" s="70">
        <f>IFERROR(""&amp;INDEX(tk_MARK,MATCH(411,tk_DSEQ,0)),"")</f>
        <v/>
      </c>
      <c r="B416" s="70">
        <f>IFERROR(INDEX(tk_QTY,MATCH(411,tk_DSEQ,0)),"")</f>
        <v/>
      </c>
      <c r="C416" s="70">
        <f>IFERROR(INDEX(tk_ROOMF,MATCH(411,tk_DSEQ,0))&amp;IF(INDEX(tk_ROOMT,MATCH(411,tk_DSEQ,0))="",""," → "&amp;INDEX(tk_ROOMT,MATCH(411,tk_DSEQ,0))),"")</f>
        <v/>
      </c>
      <c r="D416" s="70">
        <f>IFERROR(INDEX(tk_LEAVES,MATCH(411,tk_DSEQ,0)),"")</f>
        <v/>
      </c>
      <c r="E416" s="70">
        <f>IFERROR(""&amp;INDEX(tk_RATING,MATCH(411,tk_DSEQ,0)),"")</f>
        <v/>
      </c>
      <c r="F416" s="70">
        <f>IFERROR(TEXT(INDEX(tk_LEAFW,MATCH(411,tk_DSEQ,0)),"0.000")&amp;" x "&amp;TEXT(INDEX(tk_LEAFH,MATCH(411,tk_DSEQ,0)),"0.000"),"")</f>
        <v/>
      </c>
      <c r="G416" s="70">
        <f>IFERROR(""&amp;INDEX(tk_DLINE,MATCH(411,tk_DSEQ,0)),"")</f>
        <v/>
      </c>
      <c r="H416" s="70">
        <f>IFERROR(""&amp;INDEX(tk_DNOTES,MATCH(411,tk_DSEQ,0)),"")</f>
        <v/>
      </c>
    </row>
    <row r="417">
      <c r="A417" s="70">
        <f>IFERROR(""&amp;INDEX(tk_MARK,MATCH(412,tk_DSEQ,0)),"")</f>
        <v/>
      </c>
      <c r="B417" s="70">
        <f>IFERROR(INDEX(tk_QTY,MATCH(412,tk_DSEQ,0)),"")</f>
        <v/>
      </c>
      <c r="C417" s="70">
        <f>IFERROR(INDEX(tk_ROOMF,MATCH(412,tk_DSEQ,0))&amp;IF(INDEX(tk_ROOMT,MATCH(412,tk_DSEQ,0))="",""," → "&amp;INDEX(tk_ROOMT,MATCH(412,tk_DSEQ,0))),"")</f>
        <v/>
      </c>
      <c r="D417" s="70">
        <f>IFERROR(INDEX(tk_LEAVES,MATCH(412,tk_DSEQ,0)),"")</f>
        <v/>
      </c>
      <c r="E417" s="70">
        <f>IFERROR(""&amp;INDEX(tk_RATING,MATCH(412,tk_DSEQ,0)),"")</f>
        <v/>
      </c>
      <c r="F417" s="70">
        <f>IFERROR(TEXT(INDEX(tk_LEAFW,MATCH(412,tk_DSEQ,0)),"0.000")&amp;" x "&amp;TEXT(INDEX(tk_LEAFH,MATCH(412,tk_DSEQ,0)),"0.000"),"")</f>
        <v/>
      </c>
      <c r="G417" s="70">
        <f>IFERROR(""&amp;INDEX(tk_DLINE,MATCH(412,tk_DSEQ,0)),"")</f>
        <v/>
      </c>
      <c r="H417" s="70">
        <f>IFERROR(""&amp;INDEX(tk_DNOTES,MATCH(412,tk_DSEQ,0)),"")</f>
        <v/>
      </c>
    </row>
    <row r="418">
      <c r="A418" s="70">
        <f>IFERROR(""&amp;INDEX(tk_MARK,MATCH(413,tk_DSEQ,0)),"")</f>
        <v/>
      </c>
      <c r="B418" s="70">
        <f>IFERROR(INDEX(tk_QTY,MATCH(413,tk_DSEQ,0)),"")</f>
        <v/>
      </c>
      <c r="C418" s="70">
        <f>IFERROR(INDEX(tk_ROOMF,MATCH(413,tk_DSEQ,0))&amp;IF(INDEX(tk_ROOMT,MATCH(413,tk_DSEQ,0))="",""," → "&amp;INDEX(tk_ROOMT,MATCH(413,tk_DSEQ,0))),"")</f>
        <v/>
      </c>
      <c r="D418" s="70">
        <f>IFERROR(INDEX(tk_LEAVES,MATCH(413,tk_DSEQ,0)),"")</f>
        <v/>
      </c>
      <c r="E418" s="70">
        <f>IFERROR(""&amp;INDEX(tk_RATING,MATCH(413,tk_DSEQ,0)),"")</f>
        <v/>
      </c>
      <c r="F418" s="70">
        <f>IFERROR(TEXT(INDEX(tk_LEAFW,MATCH(413,tk_DSEQ,0)),"0.000")&amp;" x "&amp;TEXT(INDEX(tk_LEAFH,MATCH(413,tk_DSEQ,0)),"0.000"),"")</f>
        <v/>
      </c>
      <c r="G418" s="70">
        <f>IFERROR(""&amp;INDEX(tk_DLINE,MATCH(413,tk_DSEQ,0)),"")</f>
        <v/>
      </c>
      <c r="H418" s="70">
        <f>IFERROR(""&amp;INDEX(tk_DNOTES,MATCH(413,tk_DSEQ,0)),"")</f>
        <v/>
      </c>
    </row>
    <row r="419">
      <c r="A419" s="70">
        <f>IFERROR(""&amp;INDEX(tk_MARK,MATCH(414,tk_DSEQ,0)),"")</f>
        <v/>
      </c>
      <c r="B419" s="70">
        <f>IFERROR(INDEX(tk_QTY,MATCH(414,tk_DSEQ,0)),"")</f>
        <v/>
      </c>
      <c r="C419" s="70">
        <f>IFERROR(INDEX(tk_ROOMF,MATCH(414,tk_DSEQ,0))&amp;IF(INDEX(tk_ROOMT,MATCH(414,tk_DSEQ,0))="",""," → "&amp;INDEX(tk_ROOMT,MATCH(414,tk_DSEQ,0))),"")</f>
        <v/>
      </c>
      <c r="D419" s="70">
        <f>IFERROR(INDEX(tk_LEAVES,MATCH(414,tk_DSEQ,0)),"")</f>
        <v/>
      </c>
      <c r="E419" s="70">
        <f>IFERROR(""&amp;INDEX(tk_RATING,MATCH(414,tk_DSEQ,0)),"")</f>
        <v/>
      </c>
      <c r="F419" s="70">
        <f>IFERROR(TEXT(INDEX(tk_LEAFW,MATCH(414,tk_DSEQ,0)),"0.000")&amp;" x "&amp;TEXT(INDEX(tk_LEAFH,MATCH(414,tk_DSEQ,0)),"0.000"),"")</f>
        <v/>
      </c>
      <c r="G419" s="70">
        <f>IFERROR(""&amp;INDEX(tk_DLINE,MATCH(414,tk_DSEQ,0)),"")</f>
        <v/>
      </c>
      <c r="H419" s="70">
        <f>IFERROR(""&amp;INDEX(tk_DNOTES,MATCH(414,tk_DSEQ,0)),"")</f>
        <v/>
      </c>
    </row>
    <row r="420">
      <c r="A420" s="70">
        <f>IFERROR(""&amp;INDEX(tk_MARK,MATCH(415,tk_DSEQ,0)),"")</f>
        <v/>
      </c>
      <c r="B420" s="70">
        <f>IFERROR(INDEX(tk_QTY,MATCH(415,tk_DSEQ,0)),"")</f>
        <v/>
      </c>
      <c r="C420" s="70">
        <f>IFERROR(INDEX(tk_ROOMF,MATCH(415,tk_DSEQ,0))&amp;IF(INDEX(tk_ROOMT,MATCH(415,tk_DSEQ,0))="",""," → "&amp;INDEX(tk_ROOMT,MATCH(415,tk_DSEQ,0))),"")</f>
        <v/>
      </c>
      <c r="D420" s="70">
        <f>IFERROR(INDEX(tk_LEAVES,MATCH(415,tk_DSEQ,0)),"")</f>
        <v/>
      </c>
      <c r="E420" s="70">
        <f>IFERROR(""&amp;INDEX(tk_RATING,MATCH(415,tk_DSEQ,0)),"")</f>
        <v/>
      </c>
      <c r="F420" s="70">
        <f>IFERROR(TEXT(INDEX(tk_LEAFW,MATCH(415,tk_DSEQ,0)),"0.000")&amp;" x "&amp;TEXT(INDEX(tk_LEAFH,MATCH(415,tk_DSEQ,0)),"0.000"),"")</f>
        <v/>
      </c>
      <c r="G420" s="70">
        <f>IFERROR(""&amp;INDEX(tk_DLINE,MATCH(415,tk_DSEQ,0)),"")</f>
        <v/>
      </c>
      <c r="H420" s="70">
        <f>IFERROR(""&amp;INDEX(tk_DNOTES,MATCH(415,tk_DSEQ,0)),"")</f>
        <v/>
      </c>
    </row>
    <row r="421">
      <c r="A421" s="70">
        <f>IFERROR(""&amp;INDEX(tk_MARK,MATCH(416,tk_DSEQ,0)),"")</f>
        <v/>
      </c>
      <c r="B421" s="70">
        <f>IFERROR(INDEX(tk_QTY,MATCH(416,tk_DSEQ,0)),"")</f>
        <v/>
      </c>
      <c r="C421" s="70">
        <f>IFERROR(INDEX(tk_ROOMF,MATCH(416,tk_DSEQ,0))&amp;IF(INDEX(tk_ROOMT,MATCH(416,tk_DSEQ,0))="",""," → "&amp;INDEX(tk_ROOMT,MATCH(416,tk_DSEQ,0))),"")</f>
        <v/>
      </c>
      <c r="D421" s="70">
        <f>IFERROR(INDEX(tk_LEAVES,MATCH(416,tk_DSEQ,0)),"")</f>
        <v/>
      </c>
      <c r="E421" s="70">
        <f>IFERROR(""&amp;INDEX(tk_RATING,MATCH(416,tk_DSEQ,0)),"")</f>
        <v/>
      </c>
      <c r="F421" s="70">
        <f>IFERROR(TEXT(INDEX(tk_LEAFW,MATCH(416,tk_DSEQ,0)),"0.000")&amp;" x "&amp;TEXT(INDEX(tk_LEAFH,MATCH(416,tk_DSEQ,0)),"0.000"),"")</f>
        <v/>
      </c>
      <c r="G421" s="70">
        <f>IFERROR(""&amp;INDEX(tk_DLINE,MATCH(416,tk_DSEQ,0)),"")</f>
        <v/>
      </c>
      <c r="H421" s="70">
        <f>IFERROR(""&amp;INDEX(tk_DNOTES,MATCH(416,tk_DSEQ,0)),"")</f>
        <v/>
      </c>
    </row>
    <row r="422">
      <c r="A422" s="70">
        <f>IFERROR(""&amp;INDEX(tk_MARK,MATCH(417,tk_DSEQ,0)),"")</f>
        <v/>
      </c>
      <c r="B422" s="70">
        <f>IFERROR(INDEX(tk_QTY,MATCH(417,tk_DSEQ,0)),"")</f>
        <v/>
      </c>
      <c r="C422" s="70">
        <f>IFERROR(INDEX(tk_ROOMF,MATCH(417,tk_DSEQ,0))&amp;IF(INDEX(tk_ROOMT,MATCH(417,tk_DSEQ,0))="",""," → "&amp;INDEX(tk_ROOMT,MATCH(417,tk_DSEQ,0))),"")</f>
        <v/>
      </c>
      <c r="D422" s="70">
        <f>IFERROR(INDEX(tk_LEAVES,MATCH(417,tk_DSEQ,0)),"")</f>
        <v/>
      </c>
      <c r="E422" s="70">
        <f>IFERROR(""&amp;INDEX(tk_RATING,MATCH(417,tk_DSEQ,0)),"")</f>
        <v/>
      </c>
      <c r="F422" s="70">
        <f>IFERROR(TEXT(INDEX(tk_LEAFW,MATCH(417,tk_DSEQ,0)),"0.000")&amp;" x "&amp;TEXT(INDEX(tk_LEAFH,MATCH(417,tk_DSEQ,0)),"0.000"),"")</f>
        <v/>
      </c>
      <c r="G422" s="70">
        <f>IFERROR(""&amp;INDEX(tk_DLINE,MATCH(417,tk_DSEQ,0)),"")</f>
        <v/>
      </c>
      <c r="H422" s="70">
        <f>IFERROR(""&amp;INDEX(tk_DNOTES,MATCH(417,tk_DSEQ,0)),"")</f>
        <v/>
      </c>
    </row>
    <row r="423">
      <c r="A423" s="70">
        <f>IFERROR(""&amp;INDEX(tk_MARK,MATCH(418,tk_DSEQ,0)),"")</f>
        <v/>
      </c>
      <c r="B423" s="70">
        <f>IFERROR(INDEX(tk_QTY,MATCH(418,tk_DSEQ,0)),"")</f>
        <v/>
      </c>
      <c r="C423" s="70">
        <f>IFERROR(INDEX(tk_ROOMF,MATCH(418,tk_DSEQ,0))&amp;IF(INDEX(tk_ROOMT,MATCH(418,tk_DSEQ,0))="",""," → "&amp;INDEX(tk_ROOMT,MATCH(418,tk_DSEQ,0))),"")</f>
        <v/>
      </c>
      <c r="D423" s="70">
        <f>IFERROR(INDEX(tk_LEAVES,MATCH(418,tk_DSEQ,0)),"")</f>
        <v/>
      </c>
      <c r="E423" s="70">
        <f>IFERROR(""&amp;INDEX(tk_RATING,MATCH(418,tk_DSEQ,0)),"")</f>
        <v/>
      </c>
      <c r="F423" s="70">
        <f>IFERROR(TEXT(INDEX(tk_LEAFW,MATCH(418,tk_DSEQ,0)),"0.000")&amp;" x "&amp;TEXT(INDEX(tk_LEAFH,MATCH(418,tk_DSEQ,0)),"0.000"),"")</f>
        <v/>
      </c>
      <c r="G423" s="70">
        <f>IFERROR(""&amp;INDEX(tk_DLINE,MATCH(418,tk_DSEQ,0)),"")</f>
        <v/>
      </c>
      <c r="H423" s="70">
        <f>IFERROR(""&amp;INDEX(tk_DNOTES,MATCH(418,tk_DSEQ,0)),"")</f>
        <v/>
      </c>
    </row>
    <row r="424">
      <c r="A424" s="70">
        <f>IFERROR(""&amp;INDEX(tk_MARK,MATCH(419,tk_DSEQ,0)),"")</f>
        <v/>
      </c>
      <c r="B424" s="70">
        <f>IFERROR(INDEX(tk_QTY,MATCH(419,tk_DSEQ,0)),"")</f>
        <v/>
      </c>
      <c r="C424" s="70">
        <f>IFERROR(INDEX(tk_ROOMF,MATCH(419,tk_DSEQ,0))&amp;IF(INDEX(tk_ROOMT,MATCH(419,tk_DSEQ,0))="",""," → "&amp;INDEX(tk_ROOMT,MATCH(419,tk_DSEQ,0))),"")</f>
        <v/>
      </c>
      <c r="D424" s="70">
        <f>IFERROR(INDEX(tk_LEAVES,MATCH(419,tk_DSEQ,0)),"")</f>
        <v/>
      </c>
      <c r="E424" s="70">
        <f>IFERROR(""&amp;INDEX(tk_RATING,MATCH(419,tk_DSEQ,0)),"")</f>
        <v/>
      </c>
      <c r="F424" s="70">
        <f>IFERROR(TEXT(INDEX(tk_LEAFW,MATCH(419,tk_DSEQ,0)),"0.000")&amp;" x "&amp;TEXT(INDEX(tk_LEAFH,MATCH(419,tk_DSEQ,0)),"0.000"),"")</f>
        <v/>
      </c>
      <c r="G424" s="70">
        <f>IFERROR(""&amp;INDEX(tk_DLINE,MATCH(419,tk_DSEQ,0)),"")</f>
        <v/>
      </c>
      <c r="H424" s="70">
        <f>IFERROR(""&amp;INDEX(tk_DNOTES,MATCH(419,tk_DSEQ,0)),"")</f>
        <v/>
      </c>
    </row>
    <row r="425">
      <c r="A425" s="70">
        <f>IFERROR(""&amp;INDEX(tk_MARK,MATCH(420,tk_DSEQ,0)),"")</f>
        <v/>
      </c>
      <c r="B425" s="70">
        <f>IFERROR(INDEX(tk_QTY,MATCH(420,tk_DSEQ,0)),"")</f>
        <v/>
      </c>
      <c r="C425" s="70">
        <f>IFERROR(INDEX(tk_ROOMF,MATCH(420,tk_DSEQ,0))&amp;IF(INDEX(tk_ROOMT,MATCH(420,tk_DSEQ,0))="",""," → "&amp;INDEX(tk_ROOMT,MATCH(420,tk_DSEQ,0))),"")</f>
        <v/>
      </c>
      <c r="D425" s="70">
        <f>IFERROR(INDEX(tk_LEAVES,MATCH(420,tk_DSEQ,0)),"")</f>
        <v/>
      </c>
      <c r="E425" s="70">
        <f>IFERROR(""&amp;INDEX(tk_RATING,MATCH(420,tk_DSEQ,0)),"")</f>
        <v/>
      </c>
      <c r="F425" s="70">
        <f>IFERROR(TEXT(INDEX(tk_LEAFW,MATCH(420,tk_DSEQ,0)),"0.000")&amp;" x "&amp;TEXT(INDEX(tk_LEAFH,MATCH(420,tk_DSEQ,0)),"0.000"),"")</f>
        <v/>
      </c>
      <c r="G425" s="70">
        <f>IFERROR(""&amp;INDEX(tk_DLINE,MATCH(420,tk_DSEQ,0)),"")</f>
        <v/>
      </c>
      <c r="H425" s="70">
        <f>IFERROR(""&amp;INDEX(tk_DNOTES,MATCH(420,tk_DSEQ,0)),"")</f>
        <v/>
      </c>
    </row>
    <row r="426">
      <c r="A426" s="70">
        <f>IFERROR(""&amp;INDEX(tk_MARK,MATCH(421,tk_DSEQ,0)),"")</f>
        <v/>
      </c>
      <c r="B426" s="70">
        <f>IFERROR(INDEX(tk_QTY,MATCH(421,tk_DSEQ,0)),"")</f>
        <v/>
      </c>
      <c r="C426" s="70">
        <f>IFERROR(INDEX(tk_ROOMF,MATCH(421,tk_DSEQ,0))&amp;IF(INDEX(tk_ROOMT,MATCH(421,tk_DSEQ,0))="",""," → "&amp;INDEX(tk_ROOMT,MATCH(421,tk_DSEQ,0))),"")</f>
        <v/>
      </c>
      <c r="D426" s="70">
        <f>IFERROR(INDEX(tk_LEAVES,MATCH(421,tk_DSEQ,0)),"")</f>
        <v/>
      </c>
      <c r="E426" s="70">
        <f>IFERROR(""&amp;INDEX(tk_RATING,MATCH(421,tk_DSEQ,0)),"")</f>
        <v/>
      </c>
      <c r="F426" s="70">
        <f>IFERROR(TEXT(INDEX(tk_LEAFW,MATCH(421,tk_DSEQ,0)),"0.000")&amp;" x "&amp;TEXT(INDEX(tk_LEAFH,MATCH(421,tk_DSEQ,0)),"0.000"),"")</f>
        <v/>
      </c>
      <c r="G426" s="70">
        <f>IFERROR(""&amp;INDEX(tk_DLINE,MATCH(421,tk_DSEQ,0)),"")</f>
        <v/>
      </c>
      <c r="H426" s="70">
        <f>IFERROR(""&amp;INDEX(tk_DNOTES,MATCH(421,tk_DSEQ,0)),"")</f>
        <v/>
      </c>
    </row>
    <row r="427">
      <c r="A427" s="70">
        <f>IFERROR(""&amp;INDEX(tk_MARK,MATCH(422,tk_DSEQ,0)),"")</f>
        <v/>
      </c>
      <c r="B427" s="70">
        <f>IFERROR(INDEX(tk_QTY,MATCH(422,tk_DSEQ,0)),"")</f>
        <v/>
      </c>
      <c r="C427" s="70">
        <f>IFERROR(INDEX(tk_ROOMF,MATCH(422,tk_DSEQ,0))&amp;IF(INDEX(tk_ROOMT,MATCH(422,tk_DSEQ,0))="",""," → "&amp;INDEX(tk_ROOMT,MATCH(422,tk_DSEQ,0))),"")</f>
        <v/>
      </c>
      <c r="D427" s="70">
        <f>IFERROR(INDEX(tk_LEAVES,MATCH(422,tk_DSEQ,0)),"")</f>
        <v/>
      </c>
      <c r="E427" s="70">
        <f>IFERROR(""&amp;INDEX(tk_RATING,MATCH(422,tk_DSEQ,0)),"")</f>
        <v/>
      </c>
      <c r="F427" s="70">
        <f>IFERROR(TEXT(INDEX(tk_LEAFW,MATCH(422,tk_DSEQ,0)),"0.000")&amp;" x "&amp;TEXT(INDEX(tk_LEAFH,MATCH(422,tk_DSEQ,0)),"0.000"),"")</f>
        <v/>
      </c>
      <c r="G427" s="70">
        <f>IFERROR(""&amp;INDEX(tk_DLINE,MATCH(422,tk_DSEQ,0)),"")</f>
        <v/>
      </c>
      <c r="H427" s="70">
        <f>IFERROR(""&amp;INDEX(tk_DNOTES,MATCH(422,tk_DSEQ,0)),"")</f>
        <v/>
      </c>
    </row>
    <row r="428">
      <c r="A428" s="70">
        <f>IFERROR(""&amp;INDEX(tk_MARK,MATCH(423,tk_DSEQ,0)),"")</f>
        <v/>
      </c>
      <c r="B428" s="70">
        <f>IFERROR(INDEX(tk_QTY,MATCH(423,tk_DSEQ,0)),"")</f>
        <v/>
      </c>
      <c r="C428" s="70">
        <f>IFERROR(INDEX(tk_ROOMF,MATCH(423,tk_DSEQ,0))&amp;IF(INDEX(tk_ROOMT,MATCH(423,tk_DSEQ,0))="",""," → "&amp;INDEX(tk_ROOMT,MATCH(423,tk_DSEQ,0))),"")</f>
        <v/>
      </c>
      <c r="D428" s="70">
        <f>IFERROR(INDEX(tk_LEAVES,MATCH(423,tk_DSEQ,0)),"")</f>
        <v/>
      </c>
      <c r="E428" s="70">
        <f>IFERROR(""&amp;INDEX(tk_RATING,MATCH(423,tk_DSEQ,0)),"")</f>
        <v/>
      </c>
      <c r="F428" s="70">
        <f>IFERROR(TEXT(INDEX(tk_LEAFW,MATCH(423,tk_DSEQ,0)),"0.000")&amp;" x "&amp;TEXT(INDEX(tk_LEAFH,MATCH(423,tk_DSEQ,0)),"0.000"),"")</f>
        <v/>
      </c>
      <c r="G428" s="70">
        <f>IFERROR(""&amp;INDEX(tk_DLINE,MATCH(423,tk_DSEQ,0)),"")</f>
        <v/>
      </c>
      <c r="H428" s="70">
        <f>IFERROR(""&amp;INDEX(tk_DNOTES,MATCH(423,tk_DSEQ,0)),"")</f>
        <v/>
      </c>
    </row>
    <row r="429">
      <c r="A429" s="70">
        <f>IFERROR(""&amp;INDEX(tk_MARK,MATCH(424,tk_DSEQ,0)),"")</f>
        <v/>
      </c>
      <c r="B429" s="70">
        <f>IFERROR(INDEX(tk_QTY,MATCH(424,tk_DSEQ,0)),"")</f>
        <v/>
      </c>
      <c r="C429" s="70">
        <f>IFERROR(INDEX(tk_ROOMF,MATCH(424,tk_DSEQ,0))&amp;IF(INDEX(tk_ROOMT,MATCH(424,tk_DSEQ,0))="",""," → "&amp;INDEX(tk_ROOMT,MATCH(424,tk_DSEQ,0))),"")</f>
        <v/>
      </c>
      <c r="D429" s="70">
        <f>IFERROR(INDEX(tk_LEAVES,MATCH(424,tk_DSEQ,0)),"")</f>
        <v/>
      </c>
      <c r="E429" s="70">
        <f>IFERROR(""&amp;INDEX(tk_RATING,MATCH(424,tk_DSEQ,0)),"")</f>
        <v/>
      </c>
      <c r="F429" s="70">
        <f>IFERROR(TEXT(INDEX(tk_LEAFW,MATCH(424,tk_DSEQ,0)),"0.000")&amp;" x "&amp;TEXT(INDEX(tk_LEAFH,MATCH(424,tk_DSEQ,0)),"0.000"),"")</f>
        <v/>
      </c>
      <c r="G429" s="70">
        <f>IFERROR(""&amp;INDEX(tk_DLINE,MATCH(424,tk_DSEQ,0)),"")</f>
        <v/>
      </c>
      <c r="H429" s="70">
        <f>IFERROR(""&amp;INDEX(tk_DNOTES,MATCH(424,tk_DSEQ,0)),"")</f>
        <v/>
      </c>
    </row>
    <row r="430">
      <c r="A430" s="70">
        <f>IFERROR(""&amp;INDEX(tk_MARK,MATCH(425,tk_DSEQ,0)),"")</f>
        <v/>
      </c>
      <c r="B430" s="70">
        <f>IFERROR(INDEX(tk_QTY,MATCH(425,tk_DSEQ,0)),"")</f>
        <v/>
      </c>
      <c r="C430" s="70">
        <f>IFERROR(INDEX(tk_ROOMF,MATCH(425,tk_DSEQ,0))&amp;IF(INDEX(tk_ROOMT,MATCH(425,tk_DSEQ,0))="",""," → "&amp;INDEX(tk_ROOMT,MATCH(425,tk_DSEQ,0))),"")</f>
        <v/>
      </c>
      <c r="D430" s="70">
        <f>IFERROR(INDEX(tk_LEAVES,MATCH(425,tk_DSEQ,0)),"")</f>
        <v/>
      </c>
      <c r="E430" s="70">
        <f>IFERROR(""&amp;INDEX(tk_RATING,MATCH(425,tk_DSEQ,0)),"")</f>
        <v/>
      </c>
      <c r="F430" s="70">
        <f>IFERROR(TEXT(INDEX(tk_LEAFW,MATCH(425,tk_DSEQ,0)),"0.000")&amp;" x "&amp;TEXT(INDEX(tk_LEAFH,MATCH(425,tk_DSEQ,0)),"0.000"),"")</f>
        <v/>
      </c>
      <c r="G430" s="70">
        <f>IFERROR(""&amp;INDEX(tk_DLINE,MATCH(425,tk_DSEQ,0)),"")</f>
        <v/>
      </c>
      <c r="H430" s="70">
        <f>IFERROR(""&amp;INDEX(tk_DNOTES,MATCH(425,tk_DSEQ,0)),"")</f>
        <v/>
      </c>
    </row>
    <row r="431">
      <c r="A431" s="70">
        <f>IFERROR(""&amp;INDEX(tk_MARK,MATCH(426,tk_DSEQ,0)),"")</f>
        <v/>
      </c>
      <c r="B431" s="70">
        <f>IFERROR(INDEX(tk_QTY,MATCH(426,tk_DSEQ,0)),"")</f>
        <v/>
      </c>
      <c r="C431" s="70">
        <f>IFERROR(INDEX(tk_ROOMF,MATCH(426,tk_DSEQ,0))&amp;IF(INDEX(tk_ROOMT,MATCH(426,tk_DSEQ,0))="",""," → "&amp;INDEX(tk_ROOMT,MATCH(426,tk_DSEQ,0))),"")</f>
        <v/>
      </c>
      <c r="D431" s="70">
        <f>IFERROR(INDEX(tk_LEAVES,MATCH(426,tk_DSEQ,0)),"")</f>
        <v/>
      </c>
      <c r="E431" s="70">
        <f>IFERROR(""&amp;INDEX(tk_RATING,MATCH(426,tk_DSEQ,0)),"")</f>
        <v/>
      </c>
      <c r="F431" s="70">
        <f>IFERROR(TEXT(INDEX(tk_LEAFW,MATCH(426,tk_DSEQ,0)),"0.000")&amp;" x "&amp;TEXT(INDEX(tk_LEAFH,MATCH(426,tk_DSEQ,0)),"0.000"),"")</f>
        <v/>
      </c>
      <c r="G431" s="70">
        <f>IFERROR(""&amp;INDEX(tk_DLINE,MATCH(426,tk_DSEQ,0)),"")</f>
        <v/>
      </c>
      <c r="H431" s="70">
        <f>IFERROR(""&amp;INDEX(tk_DNOTES,MATCH(426,tk_DSEQ,0)),"")</f>
        <v/>
      </c>
    </row>
    <row r="432">
      <c r="A432" s="70">
        <f>IFERROR(""&amp;INDEX(tk_MARK,MATCH(427,tk_DSEQ,0)),"")</f>
        <v/>
      </c>
      <c r="B432" s="70">
        <f>IFERROR(INDEX(tk_QTY,MATCH(427,tk_DSEQ,0)),"")</f>
        <v/>
      </c>
      <c r="C432" s="70">
        <f>IFERROR(INDEX(tk_ROOMF,MATCH(427,tk_DSEQ,0))&amp;IF(INDEX(tk_ROOMT,MATCH(427,tk_DSEQ,0))="",""," → "&amp;INDEX(tk_ROOMT,MATCH(427,tk_DSEQ,0))),"")</f>
        <v/>
      </c>
      <c r="D432" s="70">
        <f>IFERROR(INDEX(tk_LEAVES,MATCH(427,tk_DSEQ,0)),"")</f>
        <v/>
      </c>
      <c r="E432" s="70">
        <f>IFERROR(""&amp;INDEX(tk_RATING,MATCH(427,tk_DSEQ,0)),"")</f>
        <v/>
      </c>
      <c r="F432" s="70">
        <f>IFERROR(TEXT(INDEX(tk_LEAFW,MATCH(427,tk_DSEQ,0)),"0.000")&amp;" x "&amp;TEXT(INDEX(tk_LEAFH,MATCH(427,tk_DSEQ,0)),"0.000"),"")</f>
        <v/>
      </c>
      <c r="G432" s="70">
        <f>IFERROR(""&amp;INDEX(tk_DLINE,MATCH(427,tk_DSEQ,0)),"")</f>
        <v/>
      </c>
      <c r="H432" s="70">
        <f>IFERROR(""&amp;INDEX(tk_DNOTES,MATCH(427,tk_DSEQ,0)),"")</f>
        <v/>
      </c>
    </row>
    <row r="433">
      <c r="A433" s="70">
        <f>IFERROR(""&amp;INDEX(tk_MARK,MATCH(428,tk_DSEQ,0)),"")</f>
        <v/>
      </c>
      <c r="B433" s="70">
        <f>IFERROR(INDEX(tk_QTY,MATCH(428,tk_DSEQ,0)),"")</f>
        <v/>
      </c>
      <c r="C433" s="70">
        <f>IFERROR(INDEX(tk_ROOMF,MATCH(428,tk_DSEQ,0))&amp;IF(INDEX(tk_ROOMT,MATCH(428,tk_DSEQ,0))="",""," → "&amp;INDEX(tk_ROOMT,MATCH(428,tk_DSEQ,0))),"")</f>
        <v/>
      </c>
      <c r="D433" s="70">
        <f>IFERROR(INDEX(tk_LEAVES,MATCH(428,tk_DSEQ,0)),"")</f>
        <v/>
      </c>
      <c r="E433" s="70">
        <f>IFERROR(""&amp;INDEX(tk_RATING,MATCH(428,tk_DSEQ,0)),"")</f>
        <v/>
      </c>
      <c r="F433" s="70">
        <f>IFERROR(TEXT(INDEX(tk_LEAFW,MATCH(428,tk_DSEQ,0)),"0.000")&amp;" x "&amp;TEXT(INDEX(tk_LEAFH,MATCH(428,tk_DSEQ,0)),"0.000"),"")</f>
        <v/>
      </c>
      <c r="G433" s="70">
        <f>IFERROR(""&amp;INDEX(tk_DLINE,MATCH(428,tk_DSEQ,0)),"")</f>
        <v/>
      </c>
      <c r="H433" s="70">
        <f>IFERROR(""&amp;INDEX(tk_DNOTES,MATCH(428,tk_DSEQ,0)),"")</f>
        <v/>
      </c>
    </row>
    <row r="434">
      <c r="A434" s="70">
        <f>IFERROR(""&amp;INDEX(tk_MARK,MATCH(429,tk_DSEQ,0)),"")</f>
        <v/>
      </c>
      <c r="B434" s="70">
        <f>IFERROR(INDEX(tk_QTY,MATCH(429,tk_DSEQ,0)),"")</f>
        <v/>
      </c>
      <c r="C434" s="70">
        <f>IFERROR(INDEX(tk_ROOMF,MATCH(429,tk_DSEQ,0))&amp;IF(INDEX(tk_ROOMT,MATCH(429,tk_DSEQ,0))="",""," → "&amp;INDEX(tk_ROOMT,MATCH(429,tk_DSEQ,0))),"")</f>
        <v/>
      </c>
      <c r="D434" s="70">
        <f>IFERROR(INDEX(tk_LEAVES,MATCH(429,tk_DSEQ,0)),"")</f>
        <v/>
      </c>
      <c r="E434" s="70">
        <f>IFERROR(""&amp;INDEX(tk_RATING,MATCH(429,tk_DSEQ,0)),"")</f>
        <v/>
      </c>
      <c r="F434" s="70">
        <f>IFERROR(TEXT(INDEX(tk_LEAFW,MATCH(429,tk_DSEQ,0)),"0.000")&amp;" x "&amp;TEXT(INDEX(tk_LEAFH,MATCH(429,tk_DSEQ,0)),"0.000"),"")</f>
        <v/>
      </c>
      <c r="G434" s="70">
        <f>IFERROR(""&amp;INDEX(tk_DLINE,MATCH(429,tk_DSEQ,0)),"")</f>
        <v/>
      </c>
      <c r="H434" s="70">
        <f>IFERROR(""&amp;INDEX(tk_DNOTES,MATCH(429,tk_DSEQ,0)),"")</f>
        <v/>
      </c>
    </row>
    <row r="435">
      <c r="A435" s="70">
        <f>IFERROR(""&amp;INDEX(tk_MARK,MATCH(430,tk_DSEQ,0)),"")</f>
        <v/>
      </c>
      <c r="B435" s="70">
        <f>IFERROR(INDEX(tk_QTY,MATCH(430,tk_DSEQ,0)),"")</f>
        <v/>
      </c>
      <c r="C435" s="70">
        <f>IFERROR(INDEX(tk_ROOMF,MATCH(430,tk_DSEQ,0))&amp;IF(INDEX(tk_ROOMT,MATCH(430,tk_DSEQ,0))="",""," → "&amp;INDEX(tk_ROOMT,MATCH(430,tk_DSEQ,0))),"")</f>
        <v/>
      </c>
      <c r="D435" s="70">
        <f>IFERROR(INDEX(tk_LEAVES,MATCH(430,tk_DSEQ,0)),"")</f>
        <v/>
      </c>
      <c r="E435" s="70">
        <f>IFERROR(""&amp;INDEX(tk_RATING,MATCH(430,tk_DSEQ,0)),"")</f>
        <v/>
      </c>
      <c r="F435" s="70">
        <f>IFERROR(TEXT(INDEX(tk_LEAFW,MATCH(430,tk_DSEQ,0)),"0.000")&amp;" x "&amp;TEXT(INDEX(tk_LEAFH,MATCH(430,tk_DSEQ,0)),"0.000"),"")</f>
        <v/>
      </c>
      <c r="G435" s="70">
        <f>IFERROR(""&amp;INDEX(tk_DLINE,MATCH(430,tk_DSEQ,0)),"")</f>
        <v/>
      </c>
      <c r="H435" s="70">
        <f>IFERROR(""&amp;INDEX(tk_DNOTES,MATCH(430,tk_DSEQ,0)),"")</f>
        <v/>
      </c>
    </row>
    <row r="436">
      <c r="A436" s="70">
        <f>IFERROR(""&amp;INDEX(tk_MARK,MATCH(431,tk_DSEQ,0)),"")</f>
        <v/>
      </c>
      <c r="B436" s="70">
        <f>IFERROR(INDEX(tk_QTY,MATCH(431,tk_DSEQ,0)),"")</f>
        <v/>
      </c>
      <c r="C436" s="70">
        <f>IFERROR(INDEX(tk_ROOMF,MATCH(431,tk_DSEQ,0))&amp;IF(INDEX(tk_ROOMT,MATCH(431,tk_DSEQ,0))="",""," → "&amp;INDEX(tk_ROOMT,MATCH(431,tk_DSEQ,0))),"")</f>
        <v/>
      </c>
      <c r="D436" s="70">
        <f>IFERROR(INDEX(tk_LEAVES,MATCH(431,tk_DSEQ,0)),"")</f>
        <v/>
      </c>
      <c r="E436" s="70">
        <f>IFERROR(""&amp;INDEX(tk_RATING,MATCH(431,tk_DSEQ,0)),"")</f>
        <v/>
      </c>
      <c r="F436" s="70">
        <f>IFERROR(TEXT(INDEX(tk_LEAFW,MATCH(431,tk_DSEQ,0)),"0.000")&amp;" x "&amp;TEXT(INDEX(tk_LEAFH,MATCH(431,tk_DSEQ,0)),"0.000"),"")</f>
        <v/>
      </c>
      <c r="G436" s="70">
        <f>IFERROR(""&amp;INDEX(tk_DLINE,MATCH(431,tk_DSEQ,0)),"")</f>
        <v/>
      </c>
      <c r="H436" s="70">
        <f>IFERROR(""&amp;INDEX(tk_DNOTES,MATCH(431,tk_DSEQ,0)),"")</f>
        <v/>
      </c>
    </row>
    <row r="437">
      <c r="A437" s="70">
        <f>IFERROR(""&amp;INDEX(tk_MARK,MATCH(432,tk_DSEQ,0)),"")</f>
        <v/>
      </c>
      <c r="B437" s="70">
        <f>IFERROR(INDEX(tk_QTY,MATCH(432,tk_DSEQ,0)),"")</f>
        <v/>
      </c>
      <c r="C437" s="70">
        <f>IFERROR(INDEX(tk_ROOMF,MATCH(432,tk_DSEQ,0))&amp;IF(INDEX(tk_ROOMT,MATCH(432,tk_DSEQ,0))="",""," → "&amp;INDEX(tk_ROOMT,MATCH(432,tk_DSEQ,0))),"")</f>
        <v/>
      </c>
      <c r="D437" s="70">
        <f>IFERROR(INDEX(tk_LEAVES,MATCH(432,tk_DSEQ,0)),"")</f>
        <v/>
      </c>
      <c r="E437" s="70">
        <f>IFERROR(""&amp;INDEX(tk_RATING,MATCH(432,tk_DSEQ,0)),"")</f>
        <v/>
      </c>
      <c r="F437" s="70">
        <f>IFERROR(TEXT(INDEX(tk_LEAFW,MATCH(432,tk_DSEQ,0)),"0.000")&amp;" x "&amp;TEXT(INDEX(tk_LEAFH,MATCH(432,tk_DSEQ,0)),"0.000"),"")</f>
        <v/>
      </c>
      <c r="G437" s="70">
        <f>IFERROR(""&amp;INDEX(tk_DLINE,MATCH(432,tk_DSEQ,0)),"")</f>
        <v/>
      </c>
      <c r="H437" s="70">
        <f>IFERROR(""&amp;INDEX(tk_DNOTES,MATCH(432,tk_DSEQ,0)),"")</f>
        <v/>
      </c>
    </row>
    <row r="438">
      <c r="A438" s="70">
        <f>IFERROR(""&amp;INDEX(tk_MARK,MATCH(433,tk_DSEQ,0)),"")</f>
        <v/>
      </c>
      <c r="B438" s="70">
        <f>IFERROR(INDEX(tk_QTY,MATCH(433,tk_DSEQ,0)),"")</f>
        <v/>
      </c>
      <c r="C438" s="70">
        <f>IFERROR(INDEX(tk_ROOMF,MATCH(433,tk_DSEQ,0))&amp;IF(INDEX(tk_ROOMT,MATCH(433,tk_DSEQ,0))="",""," → "&amp;INDEX(tk_ROOMT,MATCH(433,tk_DSEQ,0))),"")</f>
        <v/>
      </c>
      <c r="D438" s="70">
        <f>IFERROR(INDEX(tk_LEAVES,MATCH(433,tk_DSEQ,0)),"")</f>
        <v/>
      </c>
      <c r="E438" s="70">
        <f>IFERROR(""&amp;INDEX(tk_RATING,MATCH(433,tk_DSEQ,0)),"")</f>
        <v/>
      </c>
      <c r="F438" s="70">
        <f>IFERROR(TEXT(INDEX(tk_LEAFW,MATCH(433,tk_DSEQ,0)),"0.000")&amp;" x "&amp;TEXT(INDEX(tk_LEAFH,MATCH(433,tk_DSEQ,0)),"0.000"),"")</f>
        <v/>
      </c>
      <c r="G438" s="70">
        <f>IFERROR(""&amp;INDEX(tk_DLINE,MATCH(433,tk_DSEQ,0)),"")</f>
        <v/>
      </c>
      <c r="H438" s="70">
        <f>IFERROR(""&amp;INDEX(tk_DNOTES,MATCH(433,tk_DSEQ,0)),"")</f>
        <v/>
      </c>
    </row>
    <row r="439">
      <c r="A439" s="70">
        <f>IFERROR(""&amp;INDEX(tk_MARK,MATCH(434,tk_DSEQ,0)),"")</f>
        <v/>
      </c>
      <c r="B439" s="70">
        <f>IFERROR(INDEX(tk_QTY,MATCH(434,tk_DSEQ,0)),"")</f>
        <v/>
      </c>
      <c r="C439" s="70">
        <f>IFERROR(INDEX(tk_ROOMF,MATCH(434,tk_DSEQ,0))&amp;IF(INDEX(tk_ROOMT,MATCH(434,tk_DSEQ,0))="",""," → "&amp;INDEX(tk_ROOMT,MATCH(434,tk_DSEQ,0))),"")</f>
        <v/>
      </c>
      <c r="D439" s="70">
        <f>IFERROR(INDEX(tk_LEAVES,MATCH(434,tk_DSEQ,0)),"")</f>
        <v/>
      </c>
      <c r="E439" s="70">
        <f>IFERROR(""&amp;INDEX(tk_RATING,MATCH(434,tk_DSEQ,0)),"")</f>
        <v/>
      </c>
      <c r="F439" s="70">
        <f>IFERROR(TEXT(INDEX(tk_LEAFW,MATCH(434,tk_DSEQ,0)),"0.000")&amp;" x "&amp;TEXT(INDEX(tk_LEAFH,MATCH(434,tk_DSEQ,0)),"0.000"),"")</f>
        <v/>
      </c>
      <c r="G439" s="70">
        <f>IFERROR(""&amp;INDEX(tk_DLINE,MATCH(434,tk_DSEQ,0)),"")</f>
        <v/>
      </c>
      <c r="H439" s="70">
        <f>IFERROR(""&amp;INDEX(tk_DNOTES,MATCH(434,tk_DSEQ,0)),"")</f>
        <v/>
      </c>
    </row>
    <row r="440">
      <c r="A440" s="70">
        <f>IFERROR(""&amp;INDEX(tk_MARK,MATCH(435,tk_DSEQ,0)),"")</f>
        <v/>
      </c>
      <c r="B440" s="70">
        <f>IFERROR(INDEX(tk_QTY,MATCH(435,tk_DSEQ,0)),"")</f>
        <v/>
      </c>
      <c r="C440" s="70">
        <f>IFERROR(INDEX(tk_ROOMF,MATCH(435,tk_DSEQ,0))&amp;IF(INDEX(tk_ROOMT,MATCH(435,tk_DSEQ,0))="",""," → "&amp;INDEX(tk_ROOMT,MATCH(435,tk_DSEQ,0))),"")</f>
        <v/>
      </c>
      <c r="D440" s="70">
        <f>IFERROR(INDEX(tk_LEAVES,MATCH(435,tk_DSEQ,0)),"")</f>
        <v/>
      </c>
      <c r="E440" s="70">
        <f>IFERROR(""&amp;INDEX(tk_RATING,MATCH(435,tk_DSEQ,0)),"")</f>
        <v/>
      </c>
      <c r="F440" s="70">
        <f>IFERROR(TEXT(INDEX(tk_LEAFW,MATCH(435,tk_DSEQ,0)),"0.000")&amp;" x "&amp;TEXT(INDEX(tk_LEAFH,MATCH(435,tk_DSEQ,0)),"0.000"),"")</f>
        <v/>
      </c>
      <c r="G440" s="70">
        <f>IFERROR(""&amp;INDEX(tk_DLINE,MATCH(435,tk_DSEQ,0)),"")</f>
        <v/>
      </c>
      <c r="H440" s="70">
        <f>IFERROR(""&amp;INDEX(tk_DNOTES,MATCH(435,tk_DSEQ,0)),"")</f>
        <v/>
      </c>
    </row>
    <row r="441">
      <c r="A441" s="70">
        <f>IFERROR(""&amp;INDEX(tk_MARK,MATCH(436,tk_DSEQ,0)),"")</f>
        <v/>
      </c>
      <c r="B441" s="70">
        <f>IFERROR(INDEX(tk_QTY,MATCH(436,tk_DSEQ,0)),"")</f>
        <v/>
      </c>
      <c r="C441" s="70">
        <f>IFERROR(INDEX(tk_ROOMF,MATCH(436,tk_DSEQ,0))&amp;IF(INDEX(tk_ROOMT,MATCH(436,tk_DSEQ,0))="",""," → "&amp;INDEX(tk_ROOMT,MATCH(436,tk_DSEQ,0))),"")</f>
        <v/>
      </c>
      <c r="D441" s="70">
        <f>IFERROR(INDEX(tk_LEAVES,MATCH(436,tk_DSEQ,0)),"")</f>
        <v/>
      </c>
      <c r="E441" s="70">
        <f>IFERROR(""&amp;INDEX(tk_RATING,MATCH(436,tk_DSEQ,0)),"")</f>
        <v/>
      </c>
      <c r="F441" s="70">
        <f>IFERROR(TEXT(INDEX(tk_LEAFW,MATCH(436,tk_DSEQ,0)),"0.000")&amp;" x "&amp;TEXT(INDEX(tk_LEAFH,MATCH(436,tk_DSEQ,0)),"0.000"),"")</f>
        <v/>
      </c>
      <c r="G441" s="70">
        <f>IFERROR(""&amp;INDEX(tk_DLINE,MATCH(436,tk_DSEQ,0)),"")</f>
        <v/>
      </c>
      <c r="H441" s="70">
        <f>IFERROR(""&amp;INDEX(tk_DNOTES,MATCH(436,tk_DSEQ,0)),"")</f>
        <v/>
      </c>
    </row>
    <row r="442">
      <c r="A442" s="70">
        <f>IFERROR(""&amp;INDEX(tk_MARK,MATCH(437,tk_DSEQ,0)),"")</f>
        <v/>
      </c>
      <c r="B442" s="70">
        <f>IFERROR(INDEX(tk_QTY,MATCH(437,tk_DSEQ,0)),"")</f>
        <v/>
      </c>
      <c r="C442" s="70">
        <f>IFERROR(INDEX(tk_ROOMF,MATCH(437,tk_DSEQ,0))&amp;IF(INDEX(tk_ROOMT,MATCH(437,tk_DSEQ,0))="",""," → "&amp;INDEX(tk_ROOMT,MATCH(437,tk_DSEQ,0))),"")</f>
        <v/>
      </c>
      <c r="D442" s="70">
        <f>IFERROR(INDEX(tk_LEAVES,MATCH(437,tk_DSEQ,0)),"")</f>
        <v/>
      </c>
      <c r="E442" s="70">
        <f>IFERROR(""&amp;INDEX(tk_RATING,MATCH(437,tk_DSEQ,0)),"")</f>
        <v/>
      </c>
      <c r="F442" s="70">
        <f>IFERROR(TEXT(INDEX(tk_LEAFW,MATCH(437,tk_DSEQ,0)),"0.000")&amp;" x "&amp;TEXT(INDEX(tk_LEAFH,MATCH(437,tk_DSEQ,0)),"0.000"),"")</f>
        <v/>
      </c>
      <c r="G442" s="70">
        <f>IFERROR(""&amp;INDEX(tk_DLINE,MATCH(437,tk_DSEQ,0)),"")</f>
        <v/>
      </c>
      <c r="H442" s="70">
        <f>IFERROR(""&amp;INDEX(tk_DNOTES,MATCH(437,tk_DSEQ,0)),"")</f>
        <v/>
      </c>
    </row>
    <row r="443">
      <c r="A443" s="70">
        <f>IFERROR(""&amp;INDEX(tk_MARK,MATCH(438,tk_DSEQ,0)),"")</f>
        <v/>
      </c>
      <c r="B443" s="70">
        <f>IFERROR(INDEX(tk_QTY,MATCH(438,tk_DSEQ,0)),"")</f>
        <v/>
      </c>
      <c r="C443" s="70">
        <f>IFERROR(INDEX(tk_ROOMF,MATCH(438,tk_DSEQ,0))&amp;IF(INDEX(tk_ROOMT,MATCH(438,tk_DSEQ,0))="",""," → "&amp;INDEX(tk_ROOMT,MATCH(438,tk_DSEQ,0))),"")</f>
        <v/>
      </c>
      <c r="D443" s="70">
        <f>IFERROR(INDEX(tk_LEAVES,MATCH(438,tk_DSEQ,0)),"")</f>
        <v/>
      </c>
      <c r="E443" s="70">
        <f>IFERROR(""&amp;INDEX(tk_RATING,MATCH(438,tk_DSEQ,0)),"")</f>
        <v/>
      </c>
      <c r="F443" s="70">
        <f>IFERROR(TEXT(INDEX(tk_LEAFW,MATCH(438,tk_DSEQ,0)),"0.000")&amp;" x "&amp;TEXT(INDEX(tk_LEAFH,MATCH(438,tk_DSEQ,0)),"0.000"),"")</f>
        <v/>
      </c>
      <c r="G443" s="70">
        <f>IFERROR(""&amp;INDEX(tk_DLINE,MATCH(438,tk_DSEQ,0)),"")</f>
        <v/>
      </c>
      <c r="H443" s="70">
        <f>IFERROR(""&amp;INDEX(tk_DNOTES,MATCH(438,tk_DSEQ,0)),"")</f>
        <v/>
      </c>
    </row>
    <row r="444">
      <c r="A444" s="70">
        <f>IFERROR(""&amp;INDEX(tk_MARK,MATCH(439,tk_DSEQ,0)),"")</f>
        <v/>
      </c>
      <c r="B444" s="70">
        <f>IFERROR(INDEX(tk_QTY,MATCH(439,tk_DSEQ,0)),"")</f>
        <v/>
      </c>
      <c r="C444" s="70">
        <f>IFERROR(INDEX(tk_ROOMF,MATCH(439,tk_DSEQ,0))&amp;IF(INDEX(tk_ROOMT,MATCH(439,tk_DSEQ,0))="",""," → "&amp;INDEX(tk_ROOMT,MATCH(439,tk_DSEQ,0))),"")</f>
        <v/>
      </c>
      <c r="D444" s="70">
        <f>IFERROR(INDEX(tk_LEAVES,MATCH(439,tk_DSEQ,0)),"")</f>
        <v/>
      </c>
      <c r="E444" s="70">
        <f>IFERROR(""&amp;INDEX(tk_RATING,MATCH(439,tk_DSEQ,0)),"")</f>
        <v/>
      </c>
      <c r="F444" s="70">
        <f>IFERROR(TEXT(INDEX(tk_LEAFW,MATCH(439,tk_DSEQ,0)),"0.000")&amp;" x "&amp;TEXT(INDEX(tk_LEAFH,MATCH(439,tk_DSEQ,0)),"0.000"),"")</f>
        <v/>
      </c>
      <c r="G444" s="70">
        <f>IFERROR(""&amp;INDEX(tk_DLINE,MATCH(439,tk_DSEQ,0)),"")</f>
        <v/>
      </c>
      <c r="H444" s="70">
        <f>IFERROR(""&amp;INDEX(tk_DNOTES,MATCH(439,tk_DSEQ,0)),"")</f>
        <v/>
      </c>
    </row>
    <row r="445">
      <c r="A445" s="70">
        <f>IFERROR(""&amp;INDEX(tk_MARK,MATCH(440,tk_DSEQ,0)),"")</f>
        <v/>
      </c>
      <c r="B445" s="70">
        <f>IFERROR(INDEX(tk_QTY,MATCH(440,tk_DSEQ,0)),"")</f>
        <v/>
      </c>
      <c r="C445" s="70">
        <f>IFERROR(INDEX(tk_ROOMF,MATCH(440,tk_DSEQ,0))&amp;IF(INDEX(tk_ROOMT,MATCH(440,tk_DSEQ,0))="",""," → "&amp;INDEX(tk_ROOMT,MATCH(440,tk_DSEQ,0))),"")</f>
        <v/>
      </c>
      <c r="D445" s="70">
        <f>IFERROR(INDEX(tk_LEAVES,MATCH(440,tk_DSEQ,0)),"")</f>
        <v/>
      </c>
      <c r="E445" s="70">
        <f>IFERROR(""&amp;INDEX(tk_RATING,MATCH(440,tk_DSEQ,0)),"")</f>
        <v/>
      </c>
      <c r="F445" s="70">
        <f>IFERROR(TEXT(INDEX(tk_LEAFW,MATCH(440,tk_DSEQ,0)),"0.000")&amp;" x "&amp;TEXT(INDEX(tk_LEAFH,MATCH(440,tk_DSEQ,0)),"0.000"),"")</f>
        <v/>
      </c>
      <c r="G445" s="70">
        <f>IFERROR(""&amp;INDEX(tk_DLINE,MATCH(440,tk_DSEQ,0)),"")</f>
        <v/>
      </c>
      <c r="H445" s="70">
        <f>IFERROR(""&amp;INDEX(tk_DNOTES,MATCH(440,tk_DSEQ,0)),"")</f>
        <v/>
      </c>
    </row>
    <row r="446">
      <c r="A446" s="70">
        <f>IFERROR(""&amp;INDEX(tk_MARK,MATCH(441,tk_DSEQ,0)),"")</f>
        <v/>
      </c>
      <c r="B446" s="70">
        <f>IFERROR(INDEX(tk_QTY,MATCH(441,tk_DSEQ,0)),"")</f>
        <v/>
      </c>
      <c r="C446" s="70">
        <f>IFERROR(INDEX(tk_ROOMF,MATCH(441,tk_DSEQ,0))&amp;IF(INDEX(tk_ROOMT,MATCH(441,tk_DSEQ,0))="",""," → "&amp;INDEX(tk_ROOMT,MATCH(441,tk_DSEQ,0))),"")</f>
        <v/>
      </c>
      <c r="D446" s="70">
        <f>IFERROR(INDEX(tk_LEAVES,MATCH(441,tk_DSEQ,0)),"")</f>
        <v/>
      </c>
      <c r="E446" s="70">
        <f>IFERROR(""&amp;INDEX(tk_RATING,MATCH(441,tk_DSEQ,0)),"")</f>
        <v/>
      </c>
      <c r="F446" s="70">
        <f>IFERROR(TEXT(INDEX(tk_LEAFW,MATCH(441,tk_DSEQ,0)),"0.000")&amp;" x "&amp;TEXT(INDEX(tk_LEAFH,MATCH(441,tk_DSEQ,0)),"0.000"),"")</f>
        <v/>
      </c>
      <c r="G446" s="70">
        <f>IFERROR(""&amp;INDEX(tk_DLINE,MATCH(441,tk_DSEQ,0)),"")</f>
        <v/>
      </c>
      <c r="H446" s="70">
        <f>IFERROR(""&amp;INDEX(tk_DNOTES,MATCH(441,tk_DSEQ,0)),"")</f>
        <v/>
      </c>
    </row>
    <row r="447">
      <c r="A447" s="70">
        <f>IFERROR(""&amp;INDEX(tk_MARK,MATCH(442,tk_DSEQ,0)),"")</f>
        <v/>
      </c>
      <c r="B447" s="70">
        <f>IFERROR(INDEX(tk_QTY,MATCH(442,tk_DSEQ,0)),"")</f>
        <v/>
      </c>
      <c r="C447" s="70">
        <f>IFERROR(INDEX(tk_ROOMF,MATCH(442,tk_DSEQ,0))&amp;IF(INDEX(tk_ROOMT,MATCH(442,tk_DSEQ,0))="",""," → "&amp;INDEX(tk_ROOMT,MATCH(442,tk_DSEQ,0))),"")</f>
        <v/>
      </c>
      <c r="D447" s="70">
        <f>IFERROR(INDEX(tk_LEAVES,MATCH(442,tk_DSEQ,0)),"")</f>
        <v/>
      </c>
      <c r="E447" s="70">
        <f>IFERROR(""&amp;INDEX(tk_RATING,MATCH(442,tk_DSEQ,0)),"")</f>
        <v/>
      </c>
      <c r="F447" s="70">
        <f>IFERROR(TEXT(INDEX(tk_LEAFW,MATCH(442,tk_DSEQ,0)),"0.000")&amp;" x "&amp;TEXT(INDEX(tk_LEAFH,MATCH(442,tk_DSEQ,0)),"0.000"),"")</f>
        <v/>
      </c>
      <c r="G447" s="70">
        <f>IFERROR(""&amp;INDEX(tk_DLINE,MATCH(442,tk_DSEQ,0)),"")</f>
        <v/>
      </c>
      <c r="H447" s="70">
        <f>IFERROR(""&amp;INDEX(tk_DNOTES,MATCH(442,tk_DSEQ,0)),"")</f>
        <v/>
      </c>
    </row>
    <row r="448">
      <c r="A448" s="70">
        <f>IFERROR(""&amp;INDEX(tk_MARK,MATCH(443,tk_DSEQ,0)),"")</f>
        <v/>
      </c>
      <c r="B448" s="70">
        <f>IFERROR(INDEX(tk_QTY,MATCH(443,tk_DSEQ,0)),"")</f>
        <v/>
      </c>
      <c r="C448" s="70">
        <f>IFERROR(INDEX(tk_ROOMF,MATCH(443,tk_DSEQ,0))&amp;IF(INDEX(tk_ROOMT,MATCH(443,tk_DSEQ,0))="",""," → "&amp;INDEX(tk_ROOMT,MATCH(443,tk_DSEQ,0))),"")</f>
        <v/>
      </c>
      <c r="D448" s="70">
        <f>IFERROR(INDEX(tk_LEAVES,MATCH(443,tk_DSEQ,0)),"")</f>
        <v/>
      </c>
      <c r="E448" s="70">
        <f>IFERROR(""&amp;INDEX(tk_RATING,MATCH(443,tk_DSEQ,0)),"")</f>
        <v/>
      </c>
      <c r="F448" s="70">
        <f>IFERROR(TEXT(INDEX(tk_LEAFW,MATCH(443,tk_DSEQ,0)),"0.000")&amp;" x "&amp;TEXT(INDEX(tk_LEAFH,MATCH(443,tk_DSEQ,0)),"0.000"),"")</f>
        <v/>
      </c>
      <c r="G448" s="70">
        <f>IFERROR(""&amp;INDEX(tk_DLINE,MATCH(443,tk_DSEQ,0)),"")</f>
        <v/>
      </c>
      <c r="H448" s="70">
        <f>IFERROR(""&amp;INDEX(tk_DNOTES,MATCH(443,tk_DSEQ,0)),"")</f>
        <v/>
      </c>
    </row>
    <row r="449">
      <c r="A449" s="70">
        <f>IFERROR(""&amp;INDEX(tk_MARK,MATCH(444,tk_DSEQ,0)),"")</f>
        <v/>
      </c>
      <c r="B449" s="70">
        <f>IFERROR(INDEX(tk_QTY,MATCH(444,tk_DSEQ,0)),"")</f>
        <v/>
      </c>
      <c r="C449" s="70">
        <f>IFERROR(INDEX(tk_ROOMF,MATCH(444,tk_DSEQ,0))&amp;IF(INDEX(tk_ROOMT,MATCH(444,tk_DSEQ,0))="",""," → "&amp;INDEX(tk_ROOMT,MATCH(444,tk_DSEQ,0))),"")</f>
        <v/>
      </c>
      <c r="D449" s="70">
        <f>IFERROR(INDEX(tk_LEAVES,MATCH(444,tk_DSEQ,0)),"")</f>
        <v/>
      </c>
      <c r="E449" s="70">
        <f>IFERROR(""&amp;INDEX(tk_RATING,MATCH(444,tk_DSEQ,0)),"")</f>
        <v/>
      </c>
      <c r="F449" s="70">
        <f>IFERROR(TEXT(INDEX(tk_LEAFW,MATCH(444,tk_DSEQ,0)),"0.000")&amp;" x "&amp;TEXT(INDEX(tk_LEAFH,MATCH(444,tk_DSEQ,0)),"0.000"),"")</f>
        <v/>
      </c>
      <c r="G449" s="70">
        <f>IFERROR(""&amp;INDEX(tk_DLINE,MATCH(444,tk_DSEQ,0)),"")</f>
        <v/>
      </c>
      <c r="H449" s="70">
        <f>IFERROR(""&amp;INDEX(tk_DNOTES,MATCH(444,tk_DSEQ,0)),"")</f>
        <v/>
      </c>
    </row>
    <row r="450">
      <c r="A450" s="70">
        <f>IFERROR(""&amp;INDEX(tk_MARK,MATCH(445,tk_DSEQ,0)),"")</f>
        <v/>
      </c>
      <c r="B450" s="70">
        <f>IFERROR(INDEX(tk_QTY,MATCH(445,tk_DSEQ,0)),"")</f>
        <v/>
      </c>
      <c r="C450" s="70">
        <f>IFERROR(INDEX(tk_ROOMF,MATCH(445,tk_DSEQ,0))&amp;IF(INDEX(tk_ROOMT,MATCH(445,tk_DSEQ,0))="",""," → "&amp;INDEX(tk_ROOMT,MATCH(445,tk_DSEQ,0))),"")</f>
        <v/>
      </c>
      <c r="D450" s="70">
        <f>IFERROR(INDEX(tk_LEAVES,MATCH(445,tk_DSEQ,0)),"")</f>
        <v/>
      </c>
      <c r="E450" s="70">
        <f>IFERROR(""&amp;INDEX(tk_RATING,MATCH(445,tk_DSEQ,0)),"")</f>
        <v/>
      </c>
      <c r="F450" s="70">
        <f>IFERROR(TEXT(INDEX(tk_LEAFW,MATCH(445,tk_DSEQ,0)),"0.000")&amp;" x "&amp;TEXT(INDEX(tk_LEAFH,MATCH(445,tk_DSEQ,0)),"0.000"),"")</f>
        <v/>
      </c>
      <c r="G450" s="70">
        <f>IFERROR(""&amp;INDEX(tk_DLINE,MATCH(445,tk_DSEQ,0)),"")</f>
        <v/>
      </c>
      <c r="H450" s="70">
        <f>IFERROR(""&amp;INDEX(tk_DNOTES,MATCH(445,tk_DSEQ,0)),"")</f>
        <v/>
      </c>
    </row>
    <row r="451">
      <c r="A451" s="70">
        <f>IFERROR(""&amp;INDEX(tk_MARK,MATCH(446,tk_DSEQ,0)),"")</f>
        <v/>
      </c>
      <c r="B451" s="70">
        <f>IFERROR(INDEX(tk_QTY,MATCH(446,tk_DSEQ,0)),"")</f>
        <v/>
      </c>
      <c r="C451" s="70">
        <f>IFERROR(INDEX(tk_ROOMF,MATCH(446,tk_DSEQ,0))&amp;IF(INDEX(tk_ROOMT,MATCH(446,tk_DSEQ,0))="",""," → "&amp;INDEX(tk_ROOMT,MATCH(446,tk_DSEQ,0))),"")</f>
        <v/>
      </c>
      <c r="D451" s="70">
        <f>IFERROR(INDEX(tk_LEAVES,MATCH(446,tk_DSEQ,0)),"")</f>
        <v/>
      </c>
      <c r="E451" s="70">
        <f>IFERROR(""&amp;INDEX(tk_RATING,MATCH(446,tk_DSEQ,0)),"")</f>
        <v/>
      </c>
      <c r="F451" s="70">
        <f>IFERROR(TEXT(INDEX(tk_LEAFW,MATCH(446,tk_DSEQ,0)),"0.000")&amp;" x "&amp;TEXT(INDEX(tk_LEAFH,MATCH(446,tk_DSEQ,0)),"0.000"),"")</f>
        <v/>
      </c>
      <c r="G451" s="70">
        <f>IFERROR(""&amp;INDEX(tk_DLINE,MATCH(446,tk_DSEQ,0)),"")</f>
        <v/>
      </c>
      <c r="H451" s="70">
        <f>IFERROR(""&amp;INDEX(tk_DNOTES,MATCH(446,tk_DSEQ,0)),"")</f>
        <v/>
      </c>
    </row>
    <row r="452">
      <c r="A452" s="70">
        <f>IFERROR(""&amp;INDEX(tk_MARK,MATCH(447,tk_DSEQ,0)),"")</f>
        <v/>
      </c>
      <c r="B452" s="70">
        <f>IFERROR(INDEX(tk_QTY,MATCH(447,tk_DSEQ,0)),"")</f>
        <v/>
      </c>
      <c r="C452" s="70">
        <f>IFERROR(INDEX(tk_ROOMF,MATCH(447,tk_DSEQ,0))&amp;IF(INDEX(tk_ROOMT,MATCH(447,tk_DSEQ,0))="",""," → "&amp;INDEX(tk_ROOMT,MATCH(447,tk_DSEQ,0))),"")</f>
        <v/>
      </c>
      <c r="D452" s="70">
        <f>IFERROR(INDEX(tk_LEAVES,MATCH(447,tk_DSEQ,0)),"")</f>
        <v/>
      </c>
      <c r="E452" s="70">
        <f>IFERROR(""&amp;INDEX(tk_RATING,MATCH(447,tk_DSEQ,0)),"")</f>
        <v/>
      </c>
      <c r="F452" s="70">
        <f>IFERROR(TEXT(INDEX(tk_LEAFW,MATCH(447,tk_DSEQ,0)),"0.000")&amp;" x "&amp;TEXT(INDEX(tk_LEAFH,MATCH(447,tk_DSEQ,0)),"0.000"),"")</f>
        <v/>
      </c>
      <c r="G452" s="70">
        <f>IFERROR(""&amp;INDEX(tk_DLINE,MATCH(447,tk_DSEQ,0)),"")</f>
        <v/>
      </c>
      <c r="H452" s="70">
        <f>IFERROR(""&amp;INDEX(tk_DNOTES,MATCH(447,tk_DSEQ,0)),"")</f>
        <v/>
      </c>
    </row>
    <row r="453">
      <c r="A453" s="70">
        <f>IFERROR(""&amp;INDEX(tk_MARK,MATCH(448,tk_DSEQ,0)),"")</f>
        <v/>
      </c>
      <c r="B453" s="70">
        <f>IFERROR(INDEX(tk_QTY,MATCH(448,tk_DSEQ,0)),"")</f>
        <v/>
      </c>
      <c r="C453" s="70">
        <f>IFERROR(INDEX(tk_ROOMF,MATCH(448,tk_DSEQ,0))&amp;IF(INDEX(tk_ROOMT,MATCH(448,tk_DSEQ,0))="",""," → "&amp;INDEX(tk_ROOMT,MATCH(448,tk_DSEQ,0))),"")</f>
        <v/>
      </c>
      <c r="D453" s="70">
        <f>IFERROR(INDEX(tk_LEAVES,MATCH(448,tk_DSEQ,0)),"")</f>
        <v/>
      </c>
      <c r="E453" s="70">
        <f>IFERROR(""&amp;INDEX(tk_RATING,MATCH(448,tk_DSEQ,0)),"")</f>
        <v/>
      </c>
      <c r="F453" s="70">
        <f>IFERROR(TEXT(INDEX(tk_LEAFW,MATCH(448,tk_DSEQ,0)),"0.000")&amp;" x "&amp;TEXT(INDEX(tk_LEAFH,MATCH(448,tk_DSEQ,0)),"0.000"),"")</f>
        <v/>
      </c>
      <c r="G453" s="70">
        <f>IFERROR(""&amp;INDEX(tk_DLINE,MATCH(448,tk_DSEQ,0)),"")</f>
        <v/>
      </c>
      <c r="H453" s="70">
        <f>IFERROR(""&amp;INDEX(tk_DNOTES,MATCH(448,tk_DSEQ,0)),"")</f>
        <v/>
      </c>
    </row>
    <row r="454">
      <c r="A454" s="70">
        <f>IFERROR(""&amp;INDEX(tk_MARK,MATCH(449,tk_DSEQ,0)),"")</f>
        <v/>
      </c>
      <c r="B454" s="70">
        <f>IFERROR(INDEX(tk_QTY,MATCH(449,tk_DSEQ,0)),"")</f>
        <v/>
      </c>
      <c r="C454" s="70">
        <f>IFERROR(INDEX(tk_ROOMF,MATCH(449,tk_DSEQ,0))&amp;IF(INDEX(tk_ROOMT,MATCH(449,tk_DSEQ,0))="",""," → "&amp;INDEX(tk_ROOMT,MATCH(449,tk_DSEQ,0))),"")</f>
        <v/>
      </c>
      <c r="D454" s="70">
        <f>IFERROR(INDEX(tk_LEAVES,MATCH(449,tk_DSEQ,0)),"")</f>
        <v/>
      </c>
      <c r="E454" s="70">
        <f>IFERROR(""&amp;INDEX(tk_RATING,MATCH(449,tk_DSEQ,0)),"")</f>
        <v/>
      </c>
      <c r="F454" s="70">
        <f>IFERROR(TEXT(INDEX(tk_LEAFW,MATCH(449,tk_DSEQ,0)),"0.000")&amp;" x "&amp;TEXT(INDEX(tk_LEAFH,MATCH(449,tk_DSEQ,0)),"0.000"),"")</f>
        <v/>
      </c>
      <c r="G454" s="70">
        <f>IFERROR(""&amp;INDEX(tk_DLINE,MATCH(449,tk_DSEQ,0)),"")</f>
        <v/>
      </c>
      <c r="H454" s="70">
        <f>IFERROR(""&amp;INDEX(tk_DNOTES,MATCH(449,tk_DSEQ,0)),"")</f>
        <v/>
      </c>
    </row>
    <row r="455">
      <c r="A455" s="70">
        <f>IFERROR(""&amp;INDEX(tk_MARK,MATCH(450,tk_DSEQ,0)),"")</f>
        <v/>
      </c>
      <c r="B455" s="70">
        <f>IFERROR(INDEX(tk_QTY,MATCH(450,tk_DSEQ,0)),"")</f>
        <v/>
      </c>
      <c r="C455" s="70">
        <f>IFERROR(INDEX(tk_ROOMF,MATCH(450,tk_DSEQ,0))&amp;IF(INDEX(tk_ROOMT,MATCH(450,tk_DSEQ,0))="",""," → "&amp;INDEX(tk_ROOMT,MATCH(450,tk_DSEQ,0))),"")</f>
        <v/>
      </c>
      <c r="D455" s="70">
        <f>IFERROR(INDEX(tk_LEAVES,MATCH(450,tk_DSEQ,0)),"")</f>
        <v/>
      </c>
      <c r="E455" s="70">
        <f>IFERROR(""&amp;INDEX(tk_RATING,MATCH(450,tk_DSEQ,0)),"")</f>
        <v/>
      </c>
      <c r="F455" s="70">
        <f>IFERROR(TEXT(INDEX(tk_LEAFW,MATCH(450,tk_DSEQ,0)),"0.000")&amp;" x "&amp;TEXT(INDEX(tk_LEAFH,MATCH(450,tk_DSEQ,0)),"0.000"),"")</f>
        <v/>
      </c>
      <c r="G455" s="70">
        <f>IFERROR(""&amp;INDEX(tk_DLINE,MATCH(450,tk_DSEQ,0)),"")</f>
        <v/>
      </c>
      <c r="H455" s="70">
        <f>IFERROR(""&amp;INDEX(tk_DNOTES,MATCH(450,tk_DSEQ,0)),"")</f>
        <v/>
      </c>
    </row>
    <row r="456">
      <c r="A456" s="70">
        <f>IFERROR(""&amp;INDEX(tk_MARK,MATCH(451,tk_DSEQ,0)),"")</f>
        <v/>
      </c>
      <c r="B456" s="70">
        <f>IFERROR(INDEX(tk_QTY,MATCH(451,tk_DSEQ,0)),"")</f>
        <v/>
      </c>
      <c r="C456" s="70">
        <f>IFERROR(INDEX(tk_ROOMF,MATCH(451,tk_DSEQ,0))&amp;IF(INDEX(tk_ROOMT,MATCH(451,tk_DSEQ,0))="",""," → "&amp;INDEX(tk_ROOMT,MATCH(451,tk_DSEQ,0))),"")</f>
        <v/>
      </c>
      <c r="D456" s="70">
        <f>IFERROR(INDEX(tk_LEAVES,MATCH(451,tk_DSEQ,0)),"")</f>
        <v/>
      </c>
      <c r="E456" s="70">
        <f>IFERROR(""&amp;INDEX(tk_RATING,MATCH(451,tk_DSEQ,0)),"")</f>
        <v/>
      </c>
      <c r="F456" s="70">
        <f>IFERROR(TEXT(INDEX(tk_LEAFW,MATCH(451,tk_DSEQ,0)),"0.000")&amp;" x "&amp;TEXT(INDEX(tk_LEAFH,MATCH(451,tk_DSEQ,0)),"0.000"),"")</f>
        <v/>
      </c>
      <c r="G456" s="70">
        <f>IFERROR(""&amp;INDEX(tk_DLINE,MATCH(451,tk_DSEQ,0)),"")</f>
        <v/>
      </c>
      <c r="H456" s="70">
        <f>IFERROR(""&amp;INDEX(tk_DNOTES,MATCH(451,tk_DSEQ,0)),"")</f>
        <v/>
      </c>
    </row>
    <row r="457">
      <c r="A457" s="70">
        <f>IFERROR(""&amp;INDEX(tk_MARK,MATCH(452,tk_DSEQ,0)),"")</f>
        <v/>
      </c>
      <c r="B457" s="70">
        <f>IFERROR(INDEX(tk_QTY,MATCH(452,tk_DSEQ,0)),"")</f>
        <v/>
      </c>
      <c r="C457" s="70">
        <f>IFERROR(INDEX(tk_ROOMF,MATCH(452,tk_DSEQ,0))&amp;IF(INDEX(tk_ROOMT,MATCH(452,tk_DSEQ,0))="",""," → "&amp;INDEX(tk_ROOMT,MATCH(452,tk_DSEQ,0))),"")</f>
        <v/>
      </c>
      <c r="D457" s="70">
        <f>IFERROR(INDEX(tk_LEAVES,MATCH(452,tk_DSEQ,0)),"")</f>
        <v/>
      </c>
      <c r="E457" s="70">
        <f>IFERROR(""&amp;INDEX(tk_RATING,MATCH(452,tk_DSEQ,0)),"")</f>
        <v/>
      </c>
      <c r="F457" s="70">
        <f>IFERROR(TEXT(INDEX(tk_LEAFW,MATCH(452,tk_DSEQ,0)),"0.000")&amp;" x "&amp;TEXT(INDEX(tk_LEAFH,MATCH(452,tk_DSEQ,0)),"0.000"),"")</f>
        <v/>
      </c>
      <c r="G457" s="70">
        <f>IFERROR(""&amp;INDEX(tk_DLINE,MATCH(452,tk_DSEQ,0)),"")</f>
        <v/>
      </c>
      <c r="H457" s="70">
        <f>IFERROR(""&amp;INDEX(tk_DNOTES,MATCH(452,tk_DSEQ,0)),"")</f>
        <v/>
      </c>
    </row>
    <row r="458">
      <c r="A458" s="70">
        <f>IFERROR(""&amp;INDEX(tk_MARK,MATCH(453,tk_DSEQ,0)),"")</f>
        <v/>
      </c>
      <c r="B458" s="70">
        <f>IFERROR(INDEX(tk_QTY,MATCH(453,tk_DSEQ,0)),"")</f>
        <v/>
      </c>
      <c r="C458" s="70">
        <f>IFERROR(INDEX(tk_ROOMF,MATCH(453,tk_DSEQ,0))&amp;IF(INDEX(tk_ROOMT,MATCH(453,tk_DSEQ,0))="",""," → "&amp;INDEX(tk_ROOMT,MATCH(453,tk_DSEQ,0))),"")</f>
        <v/>
      </c>
      <c r="D458" s="70">
        <f>IFERROR(INDEX(tk_LEAVES,MATCH(453,tk_DSEQ,0)),"")</f>
        <v/>
      </c>
      <c r="E458" s="70">
        <f>IFERROR(""&amp;INDEX(tk_RATING,MATCH(453,tk_DSEQ,0)),"")</f>
        <v/>
      </c>
      <c r="F458" s="70">
        <f>IFERROR(TEXT(INDEX(tk_LEAFW,MATCH(453,tk_DSEQ,0)),"0.000")&amp;" x "&amp;TEXT(INDEX(tk_LEAFH,MATCH(453,tk_DSEQ,0)),"0.000"),"")</f>
        <v/>
      </c>
      <c r="G458" s="70">
        <f>IFERROR(""&amp;INDEX(tk_DLINE,MATCH(453,tk_DSEQ,0)),"")</f>
        <v/>
      </c>
      <c r="H458" s="70">
        <f>IFERROR(""&amp;INDEX(tk_DNOTES,MATCH(453,tk_DSEQ,0)),"")</f>
        <v/>
      </c>
    </row>
    <row r="459">
      <c r="A459" s="70">
        <f>IFERROR(""&amp;INDEX(tk_MARK,MATCH(454,tk_DSEQ,0)),"")</f>
        <v/>
      </c>
      <c r="B459" s="70">
        <f>IFERROR(INDEX(tk_QTY,MATCH(454,tk_DSEQ,0)),"")</f>
        <v/>
      </c>
      <c r="C459" s="70">
        <f>IFERROR(INDEX(tk_ROOMF,MATCH(454,tk_DSEQ,0))&amp;IF(INDEX(tk_ROOMT,MATCH(454,tk_DSEQ,0))="",""," → "&amp;INDEX(tk_ROOMT,MATCH(454,tk_DSEQ,0))),"")</f>
        <v/>
      </c>
      <c r="D459" s="70">
        <f>IFERROR(INDEX(tk_LEAVES,MATCH(454,tk_DSEQ,0)),"")</f>
        <v/>
      </c>
      <c r="E459" s="70">
        <f>IFERROR(""&amp;INDEX(tk_RATING,MATCH(454,tk_DSEQ,0)),"")</f>
        <v/>
      </c>
      <c r="F459" s="70">
        <f>IFERROR(TEXT(INDEX(tk_LEAFW,MATCH(454,tk_DSEQ,0)),"0.000")&amp;" x "&amp;TEXT(INDEX(tk_LEAFH,MATCH(454,tk_DSEQ,0)),"0.000"),"")</f>
        <v/>
      </c>
      <c r="G459" s="70">
        <f>IFERROR(""&amp;INDEX(tk_DLINE,MATCH(454,tk_DSEQ,0)),"")</f>
        <v/>
      </c>
      <c r="H459" s="70">
        <f>IFERROR(""&amp;INDEX(tk_DNOTES,MATCH(454,tk_DSEQ,0)),"")</f>
        <v/>
      </c>
    </row>
    <row r="460">
      <c r="A460" s="70">
        <f>IFERROR(""&amp;INDEX(tk_MARK,MATCH(455,tk_DSEQ,0)),"")</f>
        <v/>
      </c>
      <c r="B460" s="70">
        <f>IFERROR(INDEX(tk_QTY,MATCH(455,tk_DSEQ,0)),"")</f>
        <v/>
      </c>
      <c r="C460" s="70">
        <f>IFERROR(INDEX(tk_ROOMF,MATCH(455,tk_DSEQ,0))&amp;IF(INDEX(tk_ROOMT,MATCH(455,tk_DSEQ,0))="",""," → "&amp;INDEX(tk_ROOMT,MATCH(455,tk_DSEQ,0))),"")</f>
        <v/>
      </c>
      <c r="D460" s="70">
        <f>IFERROR(INDEX(tk_LEAVES,MATCH(455,tk_DSEQ,0)),"")</f>
        <v/>
      </c>
      <c r="E460" s="70">
        <f>IFERROR(""&amp;INDEX(tk_RATING,MATCH(455,tk_DSEQ,0)),"")</f>
        <v/>
      </c>
      <c r="F460" s="70">
        <f>IFERROR(TEXT(INDEX(tk_LEAFW,MATCH(455,tk_DSEQ,0)),"0.000")&amp;" x "&amp;TEXT(INDEX(tk_LEAFH,MATCH(455,tk_DSEQ,0)),"0.000"),"")</f>
        <v/>
      </c>
      <c r="G460" s="70">
        <f>IFERROR(""&amp;INDEX(tk_DLINE,MATCH(455,tk_DSEQ,0)),"")</f>
        <v/>
      </c>
      <c r="H460" s="70">
        <f>IFERROR(""&amp;INDEX(tk_DNOTES,MATCH(455,tk_DSEQ,0)),"")</f>
        <v/>
      </c>
    </row>
    <row r="461">
      <c r="A461" s="70">
        <f>IFERROR(""&amp;INDEX(tk_MARK,MATCH(456,tk_DSEQ,0)),"")</f>
        <v/>
      </c>
      <c r="B461" s="70">
        <f>IFERROR(INDEX(tk_QTY,MATCH(456,tk_DSEQ,0)),"")</f>
        <v/>
      </c>
      <c r="C461" s="70">
        <f>IFERROR(INDEX(tk_ROOMF,MATCH(456,tk_DSEQ,0))&amp;IF(INDEX(tk_ROOMT,MATCH(456,tk_DSEQ,0))="",""," → "&amp;INDEX(tk_ROOMT,MATCH(456,tk_DSEQ,0))),"")</f>
        <v/>
      </c>
      <c r="D461" s="70">
        <f>IFERROR(INDEX(tk_LEAVES,MATCH(456,tk_DSEQ,0)),"")</f>
        <v/>
      </c>
      <c r="E461" s="70">
        <f>IFERROR(""&amp;INDEX(tk_RATING,MATCH(456,tk_DSEQ,0)),"")</f>
        <v/>
      </c>
      <c r="F461" s="70">
        <f>IFERROR(TEXT(INDEX(tk_LEAFW,MATCH(456,tk_DSEQ,0)),"0.000")&amp;" x "&amp;TEXT(INDEX(tk_LEAFH,MATCH(456,tk_DSEQ,0)),"0.000"),"")</f>
        <v/>
      </c>
      <c r="G461" s="70">
        <f>IFERROR(""&amp;INDEX(tk_DLINE,MATCH(456,tk_DSEQ,0)),"")</f>
        <v/>
      </c>
      <c r="H461" s="70">
        <f>IFERROR(""&amp;INDEX(tk_DNOTES,MATCH(456,tk_DSEQ,0)),"")</f>
        <v/>
      </c>
    </row>
    <row r="462">
      <c r="A462" s="70">
        <f>IFERROR(""&amp;INDEX(tk_MARK,MATCH(457,tk_DSEQ,0)),"")</f>
        <v/>
      </c>
      <c r="B462" s="70">
        <f>IFERROR(INDEX(tk_QTY,MATCH(457,tk_DSEQ,0)),"")</f>
        <v/>
      </c>
      <c r="C462" s="70">
        <f>IFERROR(INDEX(tk_ROOMF,MATCH(457,tk_DSEQ,0))&amp;IF(INDEX(tk_ROOMT,MATCH(457,tk_DSEQ,0))="",""," → "&amp;INDEX(tk_ROOMT,MATCH(457,tk_DSEQ,0))),"")</f>
        <v/>
      </c>
      <c r="D462" s="70">
        <f>IFERROR(INDEX(tk_LEAVES,MATCH(457,tk_DSEQ,0)),"")</f>
        <v/>
      </c>
      <c r="E462" s="70">
        <f>IFERROR(""&amp;INDEX(tk_RATING,MATCH(457,tk_DSEQ,0)),"")</f>
        <v/>
      </c>
      <c r="F462" s="70">
        <f>IFERROR(TEXT(INDEX(tk_LEAFW,MATCH(457,tk_DSEQ,0)),"0.000")&amp;" x "&amp;TEXT(INDEX(tk_LEAFH,MATCH(457,tk_DSEQ,0)),"0.000"),"")</f>
        <v/>
      </c>
      <c r="G462" s="70">
        <f>IFERROR(""&amp;INDEX(tk_DLINE,MATCH(457,tk_DSEQ,0)),"")</f>
        <v/>
      </c>
      <c r="H462" s="70">
        <f>IFERROR(""&amp;INDEX(tk_DNOTES,MATCH(457,tk_DSEQ,0)),"")</f>
        <v/>
      </c>
    </row>
    <row r="463">
      <c r="A463" s="70">
        <f>IFERROR(""&amp;INDEX(tk_MARK,MATCH(458,tk_DSEQ,0)),"")</f>
        <v/>
      </c>
      <c r="B463" s="70">
        <f>IFERROR(INDEX(tk_QTY,MATCH(458,tk_DSEQ,0)),"")</f>
        <v/>
      </c>
      <c r="C463" s="70">
        <f>IFERROR(INDEX(tk_ROOMF,MATCH(458,tk_DSEQ,0))&amp;IF(INDEX(tk_ROOMT,MATCH(458,tk_DSEQ,0))="",""," → "&amp;INDEX(tk_ROOMT,MATCH(458,tk_DSEQ,0))),"")</f>
        <v/>
      </c>
      <c r="D463" s="70">
        <f>IFERROR(INDEX(tk_LEAVES,MATCH(458,tk_DSEQ,0)),"")</f>
        <v/>
      </c>
      <c r="E463" s="70">
        <f>IFERROR(""&amp;INDEX(tk_RATING,MATCH(458,tk_DSEQ,0)),"")</f>
        <v/>
      </c>
      <c r="F463" s="70">
        <f>IFERROR(TEXT(INDEX(tk_LEAFW,MATCH(458,tk_DSEQ,0)),"0.000")&amp;" x "&amp;TEXT(INDEX(tk_LEAFH,MATCH(458,tk_DSEQ,0)),"0.000"),"")</f>
        <v/>
      </c>
      <c r="G463" s="70">
        <f>IFERROR(""&amp;INDEX(tk_DLINE,MATCH(458,tk_DSEQ,0)),"")</f>
        <v/>
      </c>
      <c r="H463" s="70">
        <f>IFERROR(""&amp;INDEX(tk_DNOTES,MATCH(458,tk_DSEQ,0)),"")</f>
        <v/>
      </c>
    </row>
    <row r="464">
      <c r="A464" s="70">
        <f>IFERROR(""&amp;INDEX(tk_MARK,MATCH(459,tk_DSEQ,0)),"")</f>
        <v/>
      </c>
      <c r="B464" s="70">
        <f>IFERROR(INDEX(tk_QTY,MATCH(459,tk_DSEQ,0)),"")</f>
        <v/>
      </c>
      <c r="C464" s="70">
        <f>IFERROR(INDEX(tk_ROOMF,MATCH(459,tk_DSEQ,0))&amp;IF(INDEX(tk_ROOMT,MATCH(459,tk_DSEQ,0))="",""," → "&amp;INDEX(tk_ROOMT,MATCH(459,tk_DSEQ,0))),"")</f>
        <v/>
      </c>
      <c r="D464" s="70">
        <f>IFERROR(INDEX(tk_LEAVES,MATCH(459,tk_DSEQ,0)),"")</f>
        <v/>
      </c>
      <c r="E464" s="70">
        <f>IFERROR(""&amp;INDEX(tk_RATING,MATCH(459,tk_DSEQ,0)),"")</f>
        <v/>
      </c>
      <c r="F464" s="70">
        <f>IFERROR(TEXT(INDEX(tk_LEAFW,MATCH(459,tk_DSEQ,0)),"0.000")&amp;" x "&amp;TEXT(INDEX(tk_LEAFH,MATCH(459,tk_DSEQ,0)),"0.000"),"")</f>
        <v/>
      </c>
      <c r="G464" s="70">
        <f>IFERROR(""&amp;INDEX(tk_DLINE,MATCH(459,tk_DSEQ,0)),"")</f>
        <v/>
      </c>
      <c r="H464" s="70">
        <f>IFERROR(""&amp;INDEX(tk_DNOTES,MATCH(459,tk_DSEQ,0)),"")</f>
        <v/>
      </c>
    </row>
    <row r="465">
      <c r="A465" s="70">
        <f>IFERROR(""&amp;INDEX(tk_MARK,MATCH(460,tk_DSEQ,0)),"")</f>
        <v/>
      </c>
      <c r="B465" s="70">
        <f>IFERROR(INDEX(tk_QTY,MATCH(460,tk_DSEQ,0)),"")</f>
        <v/>
      </c>
      <c r="C465" s="70">
        <f>IFERROR(INDEX(tk_ROOMF,MATCH(460,tk_DSEQ,0))&amp;IF(INDEX(tk_ROOMT,MATCH(460,tk_DSEQ,0))="",""," → "&amp;INDEX(tk_ROOMT,MATCH(460,tk_DSEQ,0))),"")</f>
        <v/>
      </c>
      <c r="D465" s="70">
        <f>IFERROR(INDEX(tk_LEAVES,MATCH(460,tk_DSEQ,0)),"")</f>
        <v/>
      </c>
      <c r="E465" s="70">
        <f>IFERROR(""&amp;INDEX(tk_RATING,MATCH(460,tk_DSEQ,0)),"")</f>
        <v/>
      </c>
      <c r="F465" s="70">
        <f>IFERROR(TEXT(INDEX(tk_LEAFW,MATCH(460,tk_DSEQ,0)),"0.000")&amp;" x "&amp;TEXT(INDEX(tk_LEAFH,MATCH(460,tk_DSEQ,0)),"0.000"),"")</f>
        <v/>
      </c>
      <c r="G465" s="70">
        <f>IFERROR(""&amp;INDEX(tk_DLINE,MATCH(460,tk_DSEQ,0)),"")</f>
        <v/>
      </c>
      <c r="H465" s="70">
        <f>IFERROR(""&amp;INDEX(tk_DNOTES,MATCH(460,tk_DSEQ,0)),"")</f>
        <v/>
      </c>
    </row>
    <row r="466">
      <c r="A466" s="70">
        <f>IFERROR(""&amp;INDEX(tk_MARK,MATCH(461,tk_DSEQ,0)),"")</f>
        <v/>
      </c>
      <c r="B466" s="70">
        <f>IFERROR(INDEX(tk_QTY,MATCH(461,tk_DSEQ,0)),"")</f>
        <v/>
      </c>
      <c r="C466" s="70">
        <f>IFERROR(INDEX(tk_ROOMF,MATCH(461,tk_DSEQ,0))&amp;IF(INDEX(tk_ROOMT,MATCH(461,tk_DSEQ,0))="",""," → "&amp;INDEX(tk_ROOMT,MATCH(461,tk_DSEQ,0))),"")</f>
        <v/>
      </c>
      <c r="D466" s="70">
        <f>IFERROR(INDEX(tk_LEAVES,MATCH(461,tk_DSEQ,0)),"")</f>
        <v/>
      </c>
      <c r="E466" s="70">
        <f>IFERROR(""&amp;INDEX(tk_RATING,MATCH(461,tk_DSEQ,0)),"")</f>
        <v/>
      </c>
      <c r="F466" s="70">
        <f>IFERROR(TEXT(INDEX(tk_LEAFW,MATCH(461,tk_DSEQ,0)),"0.000")&amp;" x "&amp;TEXT(INDEX(tk_LEAFH,MATCH(461,tk_DSEQ,0)),"0.000"),"")</f>
        <v/>
      </c>
      <c r="G466" s="70">
        <f>IFERROR(""&amp;INDEX(tk_DLINE,MATCH(461,tk_DSEQ,0)),"")</f>
        <v/>
      </c>
      <c r="H466" s="70">
        <f>IFERROR(""&amp;INDEX(tk_DNOTES,MATCH(461,tk_DSEQ,0)),"")</f>
        <v/>
      </c>
    </row>
    <row r="467">
      <c r="A467" s="70">
        <f>IFERROR(""&amp;INDEX(tk_MARK,MATCH(462,tk_DSEQ,0)),"")</f>
        <v/>
      </c>
      <c r="B467" s="70">
        <f>IFERROR(INDEX(tk_QTY,MATCH(462,tk_DSEQ,0)),"")</f>
        <v/>
      </c>
      <c r="C467" s="70">
        <f>IFERROR(INDEX(tk_ROOMF,MATCH(462,tk_DSEQ,0))&amp;IF(INDEX(tk_ROOMT,MATCH(462,tk_DSEQ,0))="",""," → "&amp;INDEX(tk_ROOMT,MATCH(462,tk_DSEQ,0))),"")</f>
        <v/>
      </c>
      <c r="D467" s="70">
        <f>IFERROR(INDEX(tk_LEAVES,MATCH(462,tk_DSEQ,0)),"")</f>
        <v/>
      </c>
      <c r="E467" s="70">
        <f>IFERROR(""&amp;INDEX(tk_RATING,MATCH(462,tk_DSEQ,0)),"")</f>
        <v/>
      </c>
      <c r="F467" s="70">
        <f>IFERROR(TEXT(INDEX(tk_LEAFW,MATCH(462,tk_DSEQ,0)),"0.000")&amp;" x "&amp;TEXT(INDEX(tk_LEAFH,MATCH(462,tk_DSEQ,0)),"0.000"),"")</f>
        <v/>
      </c>
      <c r="G467" s="70">
        <f>IFERROR(""&amp;INDEX(tk_DLINE,MATCH(462,tk_DSEQ,0)),"")</f>
        <v/>
      </c>
      <c r="H467" s="70">
        <f>IFERROR(""&amp;INDEX(tk_DNOTES,MATCH(462,tk_DSEQ,0)),"")</f>
        <v/>
      </c>
    </row>
    <row r="468">
      <c r="A468" s="70">
        <f>IFERROR(""&amp;INDEX(tk_MARK,MATCH(463,tk_DSEQ,0)),"")</f>
        <v/>
      </c>
      <c r="B468" s="70">
        <f>IFERROR(INDEX(tk_QTY,MATCH(463,tk_DSEQ,0)),"")</f>
        <v/>
      </c>
      <c r="C468" s="70">
        <f>IFERROR(INDEX(tk_ROOMF,MATCH(463,tk_DSEQ,0))&amp;IF(INDEX(tk_ROOMT,MATCH(463,tk_DSEQ,0))="",""," → "&amp;INDEX(tk_ROOMT,MATCH(463,tk_DSEQ,0))),"")</f>
        <v/>
      </c>
      <c r="D468" s="70">
        <f>IFERROR(INDEX(tk_LEAVES,MATCH(463,tk_DSEQ,0)),"")</f>
        <v/>
      </c>
      <c r="E468" s="70">
        <f>IFERROR(""&amp;INDEX(tk_RATING,MATCH(463,tk_DSEQ,0)),"")</f>
        <v/>
      </c>
      <c r="F468" s="70">
        <f>IFERROR(TEXT(INDEX(tk_LEAFW,MATCH(463,tk_DSEQ,0)),"0.000")&amp;" x "&amp;TEXT(INDEX(tk_LEAFH,MATCH(463,tk_DSEQ,0)),"0.000"),"")</f>
        <v/>
      </c>
      <c r="G468" s="70">
        <f>IFERROR(""&amp;INDEX(tk_DLINE,MATCH(463,tk_DSEQ,0)),"")</f>
        <v/>
      </c>
      <c r="H468" s="70">
        <f>IFERROR(""&amp;INDEX(tk_DNOTES,MATCH(463,tk_DSEQ,0)),"")</f>
        <v/>
      </c>
    </row>
    <row r="469">
      <c r="A469" s="70">
        <f>IFERROR(""&amp;INDEX(tk_MARK,MATCH(464,tk_DSEQ,0)),"")</f>
        <v/>
      </c>
      <c r="B469" s="70">
        <f>IFERROR(INDEX(tk_QTY,MATCH(464,tk_DSEQ,0)),"")</f>
        <v/>
      </c>
      <c r="C469" s="70">
        <f>IFERROR(INDEX(tk_ROOMF,MATCH(464,tk_DSEQ,0))&amp;IF(INDEX(tk_ROOMT,MATCH(464,tk_DSEQ,0))="",""," → "&amp;INDEX(tk_ROOMT,MATCH(464,tk_DSEQ,0))),"")</f>
        <v/>
      </c>
      <c r="D469" s="70">
        <f>IFERROR(INDEX(tk_LEAVES,MATCH(464,tk_DSEQ,0)),"")</f>
        <v/>
      </c>
      <c r="E469" s="70">
        <f>IFERROR(""&amp;INDEX(tk_RATING,MATCH(464,tk_DSEQ,0)),"")</f>
        <v/>
      </c>
      <c r="F469" s="70">
        <f>IFERROR(TEXT(INDEX(tk_LEAFW,MATCH(464,tk_DSEQ,0)),"0.000")&amp;" x "&amp;TEXT(INDEX(tk_LEAFH,MATCH(464,tk_DSEQ,0)),"0.000"),"")</f>
        <v/>
      </c>
      <c r="G469" s="70">
        <f>IFERROR(""&amp;INDEX(tk_DLINE,MATCH(464,tk_DSEQ,0)),"")</f>
        <v/>
      </c>
      <c r="H469" s="70">
        <f>IFERROR(""&amp;INDEX(tk_DNOTES,MATCH(464,tk_DSEQ,0)),"")</f>
        <v/>
      </c>
    </row>
    <row r="470">
      <c r="A470" s="70">
        <f>IFERROR(""&amp;INDEX(tk_MARK,MATCH(465,tk_DSEQ,0)),"")</f>
        <v/>
      </c>
      <c r="B470" s="70">
        <f>IFERROR(INDEX(tk_QTY,MATCH(465,tk_DSEQ,0)),"")</f>
        <v/>
      </c>
      <c r="C470" s="70">
        <f>IFERROR(INDEX(tk_ROOMF,MATCH(465,tk_DSEQ,0))&amp;IF(INDEX(tk_ROOMT,MATCH(465,tk_DSEQ,0))="",""," → "&amp;INDEX(tk_ROOMT,MATCH(465,tk_DSEQ,0))),"")</f>
        <v/>
      </c>
      <c r="D470" s="70">
        <f>IFERROR(INDEX(tk_LEAVES,MATCH(465,tk_DSEQ,0)),"")</f>
        <v/>
      </c>
      <c r="E470" s="70">
        <f>IFERROR(""&amp;INDEX(tk_RATING,MATCH(465,tk_DSEQ,0)),"")</f>
        <v/>
      </c>
      <c r="F470" s="70">
        <f>IFERROR(TEXT(INDEX(tk_LEAFW,MATCH(465,tk_DSEQ,0)),"0.000")&amp;" x "&amp;TEXT(INDEX(tk_LEAFH,MATCH(465,tk_DSEQ,0)),"0.000"),"")</f>
        <v/>
      </c>
      <c r="G470" s="70">
        <f>IFERROR(""&amp;INDEX(tk_DLINE,MATCH(465,tk_DSEQ,0)),"")</f>
        <v/>
      </c>
      <c r="H470" s="70">
        <f>IFERROR(""&amp;INDEX(tk_DNOTES,MATCH(465,tk_DSEQ,0)),"")</f>
        <v/>
      </c>
    </row>
    <row r="471">
      <c r="A471" s="70">
        <f>IFERROR(""&amp;INDEX(tk_MARK,MATCH(466,tk_DSEQ,0)),"")</f>
        <v/>
      </c>
      <c r="B471" s="70">
        <f>IFERROR(INDEX(tk_QTY,MATCH(466,tk_DSEQ,0)),"")</f>
        <v/>
      </c>
      <c r="C471" s="70">
        <f>IFERROR(INDEX(tk_ROOMF,MATCH(466,tk_DSEQ,0))&amp;IF(INDEX(tk_ROOMT,MATCH(466,tk_DSEQ,0))="",""," → "&amp;INDEX(tk_ROOMT,MATCH(466,tk_DSEQ,0))),"")</f>
        <v/>
      </c>
      <c r="D471" s="70">
        <f>IFERROR(INDEX(tk_LEAVES,MATCH(466,tk_DSEQ,0)),"")</f>
        <v/>
      </c>
      <c r="E471" s="70">
        <f>IFERROR(""&amp;INDEX(tk_RATING,MATCH(466,tk_DSEQ,0)),"")</f>
        <v/>
      </c>
      <c r="F471" s="70">
        <f>IFERROR(TEXT(INDEX(tk_LEAFW,MATCH(466,tk_DSEQ,0)),"0.000")&amp;" x "&amp;TEXT(INDEX(tk_LEAFH,MATCH(466,tk_DSEQ,0)),"0.000"),"")</f>
        <v/>
      </c>
      <c r="G471" s="70">
        <f>IFERROR(""&amp;INDEX(tk_DLINE,MATCH(466,tk_DSEQ,0)),"")</f>
        <v/>
      </c>
      <c r="H471" s="70">
        <f>IFERROR(""&amp;INDEX(tk_DNOTES,MATCH(466,tk_DSEQ,0)),"")</f>
        <v/>
      </c>
    </row>
    <row r="472">
      <c r="A472" s="70">
        <f>IFERROR(""&amp;INDEX(tk_MARK,MATCH(467,tk_DSEQ,0)),"")</f>
        <v/>
      </c>
      <c r="B472" s="70">
        <f>IFERROR(INDEX(tk_QTY,MATCH(467,tk_DSEQ,0)),"")</f>
        <v/>
      </c>
      <c r="C472" s="70">
        <f>IFERROR(INDEX(tk_ROOMF,MATCH(467,tk_DSEQ,0))&amp;IF(INDEX(tk_ROOMT,MATCH(467,tk_DSEQ,0))="",""," → "&amp;INDEX(tk_ROOMT,MATCH(467,tk_DSEQ,0))),"")</f>
        <v/>
      </c>
      <c r="D472" s="70">
        <f>IFERROR(INDEX(tk_LEAVES,MATCH(467,tk_DSEQ,0)),"")</f>
        <v/>
      </c>
      <c r="E472" s="70">
        <f>IFERROR(""&amp;INDEX(tk_RATING,MATCH(467,tk_DSEQ,0)),"")</f>
        <v/>
      </c>
      <c r="F472" s="70">
        <f>IFERROR(TEXT(INDEX(tk_LEAFW,MATCH(467,tk_DSEQ,0)),"0.000")&amp;" x "&amp;TEXT(INDEX(tk_LEAFH,MATCH(467,tk_DSEQ,0)),"0.000"),"")</f>
        <v/>
      </c>
      <c r="G472" s="70">
        <f>IFERROR(""&amp;INDEX(tk_DLINE,MATCH(467,tk_DSEQ,0)),"")</f>
        <v/>
      </c>
      <c r="H472" s="70">
        <f>IFERROR(""&amp;INDEX(tk_DNOTES,MATCH(467,tk_DSEQ,0)),"")</f>
        <v/>
      </c>
    </row>
    <row r="473">
      <c r="A473" s="70">
        <f>IFERROR(""&amp;INDEX(tk_MARK,MATCH(468,tk_DSEQ,0)),"")</f>
        <v/>
      </c>
      <c r="B473" s="70">
        <f>IFERROR(INDEX(tk_QTY,MATCH(468,tk_DSEQ,0)),"")</f>
        <v/>
      </c>
      <c r="C473" s="70">
        <f>IFERROR(INDEX(tk_ROOMF,MATCH(468,tk_DSEQ,0))&amp;IF(INDEX(tk_ROOMT,MATCH(468,tk_DSEQ,0))="",""," → "&amp;INDEX(tk_ROOMT,MATCH(468,tk_DSEQ,0))),"")</f>
        <v/>
      </c>
      <c r="D473" s="70">
        <f>IFERROR(INDEX(tk_LEAVES,MATCH(468,tk_DSEQ,0)),"")</f>
        <v/>
      </c>
      <c r="E473" s="70">
        <f>IFERROR(""&amp;INDEX(tk_RATING,MATCH(468,tk_DSEQ,0)),"")</f>
        <v/>
      </c>
      <c r="F473" s="70">
        <f>IFERROR(TEXT(INDEX(tk_LEAFW,MATCH(468,tk_DSEQ,0)),"0.000")&amp;" x "&amp;TEXT(INDEX(tk_LEAFH,MATCH(468,tk_DSEQ,0)),"0.000"),"")</f>
        <v/>
      </c>
      <c r="G473" s="70">
        <f>IFERROR(""&amp;INDEX(tk_DLINE,MATCH(468,tk_DSEQ,0)),"")</f>
        <v/>
      </c>
      <c r="H473" s="70">
        <f>IFERROR(""&amp;INDEX(tk_DNOTES,MATCH(468,tk_DSEQ,0)),"")</f>
        <v/>
      </c>
    </row>
    <row r="474">
      <c r="A474" s="70">
        <f>IFERROR(""&amp;INDEX(tk_MARK,MATCH(469,tk_DSEQ,0)),"")</f>
        <v/>
      </c>
      <c r="B474" s="70">
        <f>IFERROR(INDEX(tk_QTY,MATCH(469,tk_DSEQ,0)),"")</f>
        <v/>
      </c>
      <c r="C474" s="70">
        <f>IFERROR(INDEX(tk_ROOMF,MATCH(469,tk_DSEQ,0))&amp;IF(INDEX(tk_ROOMT,MATCH(469,tk_DSEQ,0))="",""," → "&amp;INDEX(tk_ROOMT,MATCH(469,tk_DSEQ,0))),"")</f>
        <v/>
      </c>
      <c r="D474" s="70">
        <f>IFERROR(INDEX(tk_LEAVES,MATCH(469,tk_DSEQ,0)),"")</f>
        <v/>
      </c>
      <c r="E474" s="70">
        <f>IFERROR(""&amp;INDEX(tk_RATING,MATCH(469,tk_DSEQ,0)),"")</f>
        <v/>
      </c>
      <c r="F474" s="70">
        <f>IFERROR(TEXT(INDEX(tk_LEAFW,MATCH(469,tk_DSEQ,0)),"0.000")&amp;" x "&amp;TEXT(INDEX(tk_LEAFH,MATCH(469,tk_DSEQ,0)),"0.000"),"")</f>
        <v/>
      </c>
      <c r="G474" s="70">
        <f>IFERROR(""&amp;INDEX(tk_DLINE,MATCH(469,tk_DSEQ,0)),"")</f>
        <v/>
      </c>
      <c r="H474" s="70">
        <f>IFERROR(""&amp;INDEX(tk_DNOTES,MATCH(469,tk_DSEQ,0)),"")</f>
        <v/>
      </c>
    </row>
    <row r="475">
      <c r="A475" s="70">
        <f>IFERROR(""&amp;INDEX(tk_MARK,MATCH(470,tk_DSEQ,0)),"")</f>
        <v/>
      </c>
      <c r="B475" s="70">
        <f>IFERROR(INDEX(tk_QTY,MATCH(470,tk_DSEQ,0)),"")</f>
        <v/>
      </c>
      <c r="C475" s="70">
        <f>IFERROR(INDEX(tk_ROOMF,MATCH(470,tk_DSEQ,0))&amp;IF(INDEX(tk_ROOMT,MATCH(470,tk_DSEQ,0))="",""," → "&amp;INDEX(tk_ROOMT,MATCH(470,tk_DSEQ,0))),"")</f>
        <v/>
      </c>
      <c r="D475" s="70">
        <f>IFERROR(INDEX(tk_LEAVES,MATCH(470,tk_DSEQ,0)),"")</f>
        <v/>
      </c>
      <c r="E475" s="70">
        <f>IFERROR(""&amp;INDEX(tk_RATING,MATCH(470,tk_DSEQ,0)),"")</f>
        <v/>
      </c>
      <c r="F475" s="70">
        <f>IFERROR(TEXT(INDEX(tk_LEAFW,MATCH(470,tk_DSEQ,0)),"0.000")&amp;" x "&amp;TEXT(INDEX(tk_LEAFH,MATCH(470,tk_DSEQ,0)),"0.000"),"")</f>
        <v/>
      </c>
      <c r="G475" s="70">
        <f>IFERROR(""&amp;INDEX(tk_DLINE,MATCH(470,tk_DSEQ,0)),"")</f>
        <v/>
      </c>
      <c r="H475" s="70">
        <f>IFERROR(""&amp;INDEX(tk_DNOTES,MATCH(470,tk_DSEQ,0)),"")</f>
        <v/>
      </c>
    </row>
    <row r="476">
      <c r="A476" s="70">
        <f>IFERROR(""&amp;INDEX(tk_MARK,MATCH(471,tk_DSEQ,0)),"")</f>
        <v/>
      </c>
      <c r="B476" s="70">
        <f>IFERROR(INDEX(tk_QTY,MATCH(471,tk_DSEQ,0)),"")</f>
        <v/>
      </c>
      <c r="C476" s="70">
        <f>IFERROR(INDEX(tk_ROOMF,MATCH(471,tk_DSEQ,0))&amp;IF(INDEX(tk_ROOMT,MATCH(471,tk_DSEQ,0))="",""," → "&amp;INDEX(tk_ROOMT,MATCH(471,tk_DSEQ,0))),"")</f>
        <v/>
      </c>
      <c r="D476" s="70">
        <f>IFERROR(INDEX(tk_LEAVES,MATCH(471,tk_DSEQ,0)),"")</f>
        <v/>
      </c>
      <c r="E476" s="70">
        <f>IFERROR(""&amp;INDEX(tk_RATING,MATCH(471,tk_DSEQ,0)),"")</f>
        <v/>
      </c>
      <c r="F476" s="70">
        <f>IFERROR(TEXT(INDEX(tk_LEAFW,MATCH(471,tk_DSEQ,0)),"0.000")&amp;" x "&amp;TEXT(INDEX(tk_LEAFH,MATCH(471,tk_DSEQ,0)),"0.000"),"")</f>
        <v/>
      </c>
      <c r="G476" s="70">
        <f>IFERROR(""&amp;INDEX(tk_DLINE,MATCH(471,tk_DSEQ,0)),"")</f>
        <v/>
      </c>
      <c r="H476" s="70">
        <f>IFERROR(""&amp;INDEX(tk_DNOTES,MATCH(471,tk_DSEQ,0)),"")</f>
        <v/>
      </c>
    </row>
    <row r="477">
      <c r="A477" s="70">
        <f>IFERROR(""&amp;INDEX(tk_MARK,MATCH(472,tk_DSEQ,0)),"")</f>
        <v/>
      </c>
      <c r="B477" s="70">
        <f>IFERROR(INDEX(tk_QTY,MATCH(472,tk_DSEQ,0)),"")</f>
        <v/>
      </c>
      <c r="C477" s="70">
        <f>IFERROR(INDEX(tk_ROOMF,MATCH(472,tk_DSEQ,0))&amp;IF(INDEX(tk_ROOMT,MATCH(472,tk_DSEQ,0))="",""," → "&amp;INDEX(tk_ROOMT,MATCH(472,tk_DSEQ,0))),"")</f>
        <v/>
      </c>
      <c r="D477" s="70">
        <f>IFERROR(INDEX(tk_LEAVES,MATCH(472,tk_DSEQ,0)),"")</f>
        <v/>
      </c>
      <c r="E477" s="70">
        <f>IFERROR(""&amp;INDEX(tk_RATING,MATCH(472,tk_DSEQ,0)),"")</f>
        <v/>
      </c>
      <c r="F477" s="70">
        <f>IFERROR(TEXT(INDEX(tk_LEAFW,MATCH(472,tk_DSEQ,0)),"0.000")&amp;" x "&amp;TEXT(INDEX(tk_LEAFH,MATCH(472,tk_DSEQ,0)),"0.000"),"")</f>
        <v/>
      </c>
      <c r="G477" s="70">
        <f>IFERROR(""&amp;INDEX(tk_DLINE,MATCH(472,tk_DSEQ,0)),"")</f>
        <v/>
      </c>
      <c r="H477" s="70">
        <f>IFERROR(""&amp;INDEX(tk_DNOTES,MATCH(472,tk_DSEQ,0)),"")</f>
        <v/>
      </c>
    </row>
    <row r="478">
      <c r="A478" s="70">
        <f>IFERROR(""&amp;INDEX(tk_MARK,MATCH(473,tk_DSEQ,0)),"")</f>
        <v/>
      </c>
      <c r="B478" s="70">
        <f>IFERROR(INDEX(tk_QTY,MATCH(473,tk_DSEQ,0)),"")</f>
        <v/>
      </c>
      <c r="C478" s="70">
        <f>IFERROR(INDEX(tk_ROOMF,MATCH(473,tk_DSEQ,0))&amp;IF(INDEX(tk_ROOMT,MATCH(473,tk_DSEQ,0))="",""," → "&amp;INDEX(tk_ROOMT,MATCH(473,tk_DSEQ,0))),"")</f>
        <v/>
      </c>
      <c r="D478" s="70">
        <f>IFERROR(INDEX(tk_LEAVES,MATCH(473,tk_DSEQ,0)),"")</f>
        <v/>
      </c>
      <c r="E478" s="70">
        <f>IFERROR(""&amp;INDEX(tk_RATING,MATCH(473,tk_DSEQ,0)),"")</f>
        <v/>
      </c>
      <c r="F478" s="70">
        <f>IFERROR(TEXT(INDEX(tk_LEAFW,MATCH(473,tk_DSEQ,0)),"0.000")&amp;" x "&amp;TEXT(INDEX(tk_LEAFH,MATCH(473,tk_DSEQ,0)),"0.000"),"")</f>
        <v/>
      </c>
      <c r="G478" s="70">
        <f>IFERROR(""&amp;INDEX(tk_DLINE,MATCH(473,tk_DSEQ,0)),"")</f>
        <v/>
      </c>
      <c r="H478" s="70">
        <f>IFERROR(""&amp;INDEX(tk_DNOTES,MATCH(473,tk_DSEQ,0)),"")</f>
        <v/>
      </c>
    </row>
    <row r="479">
      <c r="A479" s="70">
        <f>IFERROR(""&amp;INDEX(tk_MARK,MATCH(474,tk_DSEQ,0)),"")</f>
        <v/>
      </c>
      <c r="B479" s="70">
        <f>IFERROR(INDEX(tk_QTY,MATCH(474,tk_DSEQ,0)),"")</f>
        <v/>
      </c>
      <c r="C479" s="70">
        <f>IFERROR(INDEX(tk_ROOMF,MATCH(474,tk_DSEQ,0))&amp;IF(INDEX(tk_ROOMT,MATCH(474,tk_DSEQ,0))="",""," → "&amp;INDEX(tk_ROOMT,MATCH(474,tk_DSEQ,0))),"")</f>
        <v/>
      </c>
      <c r="D479" s="70">
        <f>IFERROR(INDEX(tk_LEAVES,MATCH(474,tk_DSEQ,0)),"")</f>
        <v/>
      </c>
      <c r="E479" s="70">
        <f>IFERROR(""&amp;INDEX(tk_RATING,MATCH(474,tk_DSEQ,0)),"")</f>
        <v/>
      </c>
      <c r="F479" s="70">
        <f>IFERROR(TEXT(INDEX(tk_LEAFW,MATCH(474,tk_DSEQ,0)),"0.000")&amp;" x "&amp;TEXT(INDEX(tk_LEAFH,MATCH(474,tk_DSEQ,0)),"0.000"),"")</f>
        <v/>
      </c>
      <c r="G479" s="70">
        <f>IFERROR(""&amp;INDEX(tk_DLINE,MATCH(474,tk_DSEQ,0)),"")</f>
        <v/>
      </c>
      <c r="H479" s="70">
        <f>IFERROR(""&amp;INDEX(tk_DNOTES,MATCH(474,tk_DSEQ,0)),"")</f>
        <v/>
      </c>
    </row>
    <row r="480">
      <c r="A480" s="70">
        <f>IFERROR(""&amp;INDEX(tk_MARK,MATCH(475,tk_DSEQ,0)),"")</f>
        <v/>
      </c>
      <c r="B480" s="70">
        <f>IFERROR(INDEX(tk_QTY,MATCH(475,tk_DSEQ,0)),"")</f>
        <v/>
      </c>
      <c r="C480" s="70">
        <f>IFERROR(INDEX(tk_ROOMF,MATCH(475,tk_DSEQ,0))&amp;IF(INDEX(tk_ROOMT,MATCH(475,tk_DSEQ,0))="",""," → "&amp;INDEX(tk_ROOMT,MATCH(475,tk_DSEQ,0))),"")</f>
        <v/>
      </c>
      <c r="D480" s="70">
        <f>IFERROR(INDEX(tk_LEAVES,MATCH(475,tk_DSEQ,0)),"")</f>
        <v/>
      </c>
      <c r="E480" s="70">
        <f>IFERROR(""&amp;INDEX(tk_RATING,MATCH(475,tk_DSEQ,0)),"")</f>
        <v/>
      </c>
      <c r="F480" s="70">
        <f>IFERROR(TEXT(INDEX(tk_LEAFW,MATCH(475,tk_DSEQ,0)),"0.000")&amp;" x "&amp;TEXT(INDEX(tk_LEAFH,MATCH(475,tk_DSEQ,0)),"0.000"),"")</f>
        <v/>
      </c>
      <c r="G480" s="70">
        <f>IFERROR(""&amp;INDEX(tk_DLINE,MATCH(475,tk_DSEQ,0)),"")</f>
        <v/>
      </c>
      <c r="H480" s="70">
        <f>IFERROR(""&amp;INDEX(tk_DNOTES,MATCH(475,tk_DSEQ,0)),"")</f>
        <v/>
      </c>
    </row>
    <row r="481">
      <c r="A481" s="70">
        <f>IFERROR(""&amp;INDEX(tk_MARK,MATCH(476,tk_DSEQ,0)),"")</f>
        <v/>
      </c>
      <c r="B481" s="70">
        <f>IFERROR(INDEX(tk_QTY,MATCH(476,tk_DSEQ,0)),"")</f>
        <v/>
      </c>
      <c r="C481" s="70">
        <f>IFERROR(INDEX(tk_ROOMF,MATCH(476,tk_DSEQ,0))&amp;IF(INDEX(tk_ROOMT,MATCH(476,tk_DSEQ,0))="",""," → "&amp;INDEX(tk_ROOMT,MATCH(476,tk_DSEQ,0))),"")</f>
        <v/>
      </c>
      <c r="D481" s="70">
        <f>IFERROR(INDEX(tk_LEAVES,MATCH(476,tk_DSEQ,0)),"")</f>
        <v/>
      </c>
      <c r="E481" s="70">
        <f>IFERROR(""&amp;INDEX(tk_RATING,MATCH(476,tk_DSEQ,0)),"")</f>
        <v/>
      </c>
      <c r="F481" s="70">
        <f>IFERROR(TEXT(INDEX(tk_LEAFW,MATCH(476,tk_DSEQ,0)),"0.000")&amp;" x "&amp;TEXT(INDEX(tk_LEAFH,MATCH(476,tk_DSEQ,0)),"0.000"),"")</f>
        <v/>
      </c>
      <c r="G481" s="70">
        <f>IFERROR(""&amp;INDEX(tk_DLINE,MATCH(476,tk_DSEQ,0)),"")</f>
        <v/>
      </c>
      <c r="H481" s="70">
        <f>IFERROR(""&amp;INDEX(tk_DNOTES,MATCH(476,tk_DSEQ,0)),"")</f>
        <v/>
      </c>
    </row>
    <row r="482">
      <c r="A482" s="70">
        <f>IFERROR(""&amp;INDEX(tk_MARK,MATCH(477,tk_DSEQ,0)),"")</f>
        <v/>
      </c>
      <c r="B482" s="70">
        <f>IFERROR(INDEX(tk_QTY,MATCH(477,tk_DSEQ,0)),"")</f>
        <v/>
      </c>
      <c r="C482" s="70">
        <f>IFERROR(INDEX(tk_ROOMF,MATCH(477,tk_DSEQ,0))&amp;IF(INDEX(tk_ROOMT,MATCH(477,tk_DSEQ,0))="",""," → "&amp;INDEX(tk_ROOMT,MATCH(477,tk_DSEQ,0))),"")</f>
        <v/>
      </c>
      <c r="D482" s="70">
        <f>IFERROR(INDEX(tk_LEAVES,MATCH(477,tk_DSEQ,0)),"")</f>
        <v/>
      </c>
      <c r="E482" s="70">
        <f>IFERROR(""&amp;INDEX(tk_RATING,MATCH(477,tk_DSEQ,0)),"")</f>
        <v/>
      </c>
      <c r="F482" s="70">
        <f>IFERROR(TEXT(INDEX(tk_LEAFW,MATCH(477,tk_DSEQ,0)),"0.000")&amp;" x "&amp;TEXT(INDEX(tk_LEAFH,MATCH(477,tk_DSEQ,0)),"0.000"),"")</f>
        <v/>
      </c>
      <c r="G482" s="70">
        <f>IFERROR(""&amp;INDEX(tk_DLINE,MATCH(477,tk_DSEQ,0)),"")</f>
        <v/>
      </c>
      <c r="H482" s="70">
        <f>IFERROR(""&amp;INDEX(tk_DNOTES,MATCH(477,tk_DSEQ,0)),"")</f>
        <v/>
      </c>
    </row>
    <row r="483">
      <c r="A483" s="70">
        <f>IFERROR(""&amp;INDEX(tk_MARK,MATCH(478,tk_DSEQ,0)),"")</f>
        <v/>
      </c>
      <c r="B483" s="70">
        <f>IFERROR(INDEX(tk_QTY,MATCH(478,tk_DSEQ,0)),"")</f>
        <v/>
      </c>
      <c r="C483" s="70">
        <f>IFERROR(INDEX(tk_ROOMF,MATCH(478,tk_DSEQ,0))&amp;IF(INDEX(tk_ROOMT,MATCH(478,tk_DSEQ,0))="",""," → "&amp;INDEX(tk_ROOMT,MATCH(478,tk_DSEQ,0))),"")</f>
        <v/>
      </c>
      <c r="D483" s="70">
        <f>IFERROR(INDEX(tk_LEAVES,MATCH(478,tk_DSEQ,0)),"")</f>
        <v/>
      </c>
      <c r="E483" s="70">
        <f>IFERROR(""&amp;INDEX(tk_RATING,MATCH(478,tk_DSEQ,0)),"")</f>
        <v/>
      </c>
      <c r="F483" s="70">
        <f>IFERROR(TEXT(INDEX(tk_LEAFW,MATCH(478,tk_DSEQ,0)),"0.000")&amp;" x "&amp;TEXT(INDEX(tk_LEAFH,MATCH(478,tk_DSEQ,0)),"0.000"),"")</f>
        <v/>
      </c>
      <c r="G483" s="70">
        <f>IFERROR(""&amp;INDEX(tk_DLINE,MATCH(478,tk_DSEQ,0)),"")</f>
        <v/>
      </c>
      <c r="H483" s="70">
        <f>IFERROR(""&amp;INDEX(tk_DNOTES,MATCH(478,tk_DSEQ,0)),"")</f>
        <v/>
      </c>
    </row>
    <row r="484">
      <c r="A484" s="70">
        <f>IFERROR(""&amp;INDEX(tk_MARK,MATCH(479,tk_DSEQ,0)),"")</f>
        <v/>
      </c>
      <c r="B484" s="70">
        <f>IFERROR(INDEX(tk_QTY,MATCH(479,tk_DSEQ,0)),"")</f>
        <v/>
      </c>
      <c r="C484" s="70">
        <f>IFERROR(INDEX(tk_ROOMF,MATCH(479,tk_DSEQ,0))&amp;IF(INDEX(tk_ROOMT,MATCH(479,tk_DSEQ,0))="",""," → "&amp;INDEX(tk_ROOMT,MATCH(479,tk_DSEQ,0))),"")</f>
        <v/>
      </c>
      <c r="D484" s="70">
        <f>IFERROR(INDEX(tk_LEAVES,MATCH(479,tk_DSEQ,0)),"")</f>
        <v/>
      </c>
      <c r="E484" s="70">
        <f>IFERROR(""&amp;INDEX(tk_RATING,MATCH(479,tk_DSEQ,0)),"")</f>
        <v/>
      </c>
      <c r="F484" s="70">
        <f>IFERROR(TEXT(INDEX(tk_LEAFW,MATCH(479,tk_DSEQ,0)),"0.000")&amp;" x "&amp;TEXT(INDEX(tk_LEAFH,MATCH(479,tk_DSEQ,0)),"0.000"),"")</f>
        <v/>
      </c>
      <c r="G484" s="70">
        <f>IFERROR(""&amp;INDEX(tk_DLINE,MATCH(479,tk_DSEQ,0)),"")</f>
        <v/>
      </c>
      <c r="H484" s="70">
        <f>IFERROR(""&amp;INDEX(tk_DNOTES,MATCH(479,tk_DSEQ,0)),"")</f>
        <v/>
      </c>
    </row>
    <row r="485">
      <c r="A485" s="70">
        <f>IFERROR(""&amp;INDEX(tk_MARK,MATCH(480,tk_DSEQ,0)),"")</f>
        <v/>
      </c>
      <c r="B485" s="70">
        <f>IFERROR(INDEX(tk_QTY,MATCH(480,tk_DSEQ,0)),"")</f>
        <v/>
      </c>
      <c r="C485" s="70">
        <f>IFERROR(INDEX(tk_ROOMF,MATCH(480,tk_DSEQ,0))&amp;IF(INDEX(tk_ROOMT,MATCH(480,tk_DSEQ,0))="",""," → "&amp;INDEX(tk_ROOMT,MATCH(480,tk_DSEQ,0))),"")</f>
        <v/>
      </c>
      <c r="D485" s="70">
        <f>IFERROR(INDEX(tk_LEAVES,MATCH(480,tk_DSEQ,0)),"")</f>
        <v/>
      </c>
      <c r="E485" s="70">
        <f>IFERROR(""&amp;INDEX(tk_RATING,MATCH(480,tk_DSEQ,0)),"")</f>
        <v/>
      </c>
      <c r="F485" s="70">
        <f>IFERROR(TEXT(INDEX(tk_LEAFW,MATCH(480,tk_DSEQ,0)),"0.000")&amp;" x "&amp;TEXT(INDEX(tk_LEAFH,MATCH(480,tk_DSEQ,0)),"0.000"),"")</f>
        <v/>
      </c>
      <c r="G485" s="70">
        <f>IFERROR(""&amp;INDEX(tk_DLINE,MATCH(480,tk_DSEQ,0)),"")</f>
        <v/>
      </c>
      <c r="H485" s="70">
        <f>IFERROR(""&amp;INDEX(tk_DNOTES,MATCH(480,tk_DSEQ,0)),"")</f>
        <v/>
      </c>
    </row>
    <row r="486">
      <c r="A486" s="70">
        <f>IFERROR(""&amp;INDEX(tk_MARK,MATCH(481,tk_DSEQ,0)),"")</f>
        <v/>
      </c>
      <c r="B486" s="70">
        <f>IFERROR(INDEX(tk_QTY,MATCH(481,tk_DSEQ,0)),"")</f>
        <v/>
      </c>
      <c r="C486" s="70">
        <f>IFERROR(INDEX(tk_ROOMF,MATCH(481,tk_DSEQ,0))&amp;IF(INDEX(tk_ROOMT,MATCH(481,tk_DSEQ,0))="",""," → "&amp;INDEX(tk_ROOMT,MATCH(481,tk_DSEQ,0))),"")</f>
        <v/>
      </c>
      <c r="D486" s="70">
        <f>IFERROR(INDEX(tk_LEAVES,MATCH(481,tk_DSEQ,0)),"")</f>
        <v/>
      </c>
      <c r="E486" s="70">
        <f>IFERROR(""&amp;INDEX(tk_RATING,MATCH(481,tk_DSEQ,0)),"")</f>
        <v/>
      </c>
      <c r="F486" s="70">
        <f>IFERROR(TEXT(INDEX(tk_LEAFW,MATCH(481,tk_DSEQ,0)),"0.000")&amp;" x "&amp;TEXT(INDEX(tk_LEAFH,MATCH(481,tk_DSEQ,0)),"0.000"),"")</f>
        <v/>
      </c>
      <c r="G486" s="70">
        <f>IFERROR(""&amp;INDEX(tk_DLINE,MATCH(481,tk_DSEQ,0)),"")</f>
        <v/>
      </c>
      <c r="H486" s="70">
        <f>IFERROR(""&amp;INDEX(tk_DNOTES,MATCH(481,tk_DSEQ,0)),"")</f>
        <v/>
      </c>
    </row>
    <row r="487">
      <c r="A487" s="70">
        <f>IFERROR(""&amp;INDEX(tk_MARK,MATCH(482,tk_DSEQ,0)),"")</f>
        <v/>
      </c>
      <c r="B487" s="70">
        <f>IFERROR(INDEX(tk_QTY,MATCH(482,tk_DSEQ,0)),"")</f>
        <v/>
      </c>
      <c r="C487" s="70">
        <f>IFERROR(INDEX(tk_ROOMF,MATCH(482,tk_DSEQ,0))&amp;IF(INDEX(tk_ROOMT,MATCH(482,tk_DSEQ,0))="",""," → "&amp;INDEX(tk_ROOMT,MATCH(482,tk_DSEQ,0))),"")</f>
        <v/>
      </c>
      <c r="D487" s="70">
        <f>IFERROR(INDEX(tk_LEAVES,MATCH(482,tk_DSEQ,0)),"")</f>
        <v/>
      </c>
      <c r="E487" s="70">
        <f>IFERROR(""&amp;INDEX(tk_RATING,MATCH(482,tk_DSEQ,0)),"")</f>
        <v/>
      </c>
      <c r="F487" s="70">
        <f>IFERROR(TEXT(INDEX(tk_LEAFW,MATCH(482,tk_DSEQ,0)),"0.000")&amp;" x "&amp;TEXT(INDEX(tk_LEAFH,MATCH(482,tk_DSEQ,0)),"0.000"),"")</f>
        <v/>
      </c>
      <c r="G487" s="70">
        <f>IFERROR(""&amp;INDEX(tk_DLINE,MATCH(482,tk_DSEQ,0)),"")</f>
        <v/>
      </c>
      <c r="H487" s="70">
        <f>IFERROR(""&amp;INDEX(tk_DNOTES,MATCH(482,tk_DSEQ,0)),"")</f>
        <v/>
      </c>
    </row>
    <row r="488">
      <c r="A488" s="70">
        <f>IFERROR(""&amp;INDEX(tk_MARK,MATCH(483,tk_DSEQ,0)),"")</f>
        <v/>
      </c>
      <c r="B488" s="70">
        <f>IFERROR(INDEX(tk_QTY,MATCH(483,tk_DSEQ,0)),"")</f>
        <v/>
      </c>
      <c r="C488" s="70">
        <f>IFERROR(INDEX(tk_ROOMF,MATCH(483,tk_DSEQ,0))&amp;IF(INDEX(tk_ROOMT,MATCH(483,tk_DSEQ,0))="",""," → "&amp;INDEX(tk_ROOMT,MATCH(483,tk_DSEQ,0))),"")</f>
        <v/>
      </c>
      <c r="D488" s="70">
        <f>IFERROR(INDEX(tk_LEAVES,MATCH(483,tk_DSEQ,0)),"")</f>
        <v/>
      </c>
      <c r="E488" s="70">
        <f>IFERROR(""&amp;INDEX(tk_RATING,MATCH(483,tk_DSEQ,0)),"")</f>
        <v/>
      </c>
      <c r="F488" s="70">
        <f>IFERROR(TEXT(INDEX(tk_LEAFW,MATCH(483,tk_DSEQ,0)),"0.000")&amp;" x "&amp;TEXT(INDEX(tk_LEAFH,MATCH(483,tk_DSEQ,0)),"0.000"),"")</f>
        <v/>
      </c>
      <c r="G488" s="70">
        <f>IFERROR(""&amp;INDEX(tk_DLINE,MATCH(483,tk_DSEQ,0)),"")</f>
        <v/>
      </c>
      <c r="H488" s="70">
        <f>IFERROR(""&amp;INDEX(tk_DNOTES,MATCH(483,tk_DSEQ,0)),"")</f>
        <v/>
      </c>
    </row>
    <row r="489">
      <c r="A489" s="70">
        <f>IFERROR(""&amp;INDEX(tk_MARK,MATCH(484,tk_DSEQ,0)),"")</f>
        <v/>
      </c>
      <c r="B489" s="70">
        <f>IFERROR(INDEX(tk_QTY,MATCH(484,tk_DSEQ,0)),"")</f>
        <v/>
      </c>
      <c r="C489" s="70">
        <f>IFERROR(INDEX(tk_ROOMF,MATCH(484,tk_DSEQ,0))&amp;IF(INDEX(tk_ROOMT,MATCH(484,tk_DSEQ,0))="",""," → "&amp;INDEX(tk_ROOMT,MATCH(484,tk_DSEQ,0))),"")</f>
        <v/>
      </c>
      <c r="D489" s="70">
        <f>IFERROR(INDEX(tk_LEAVES,MATCH(484,tk_DSEQ,0)),"")</f>
        <v/>
      </c>
      <c r="E489" s="70">
        <f>IFERROR(""&amp;INDEX(tk_RATING,MATCH(484,tk_DSEQ,0)),"")</f>
        <v/>
      </c>
      <c r="F489" s="70">
        <f>IFERROR(TEXT(INDEX(tk_LEAFW,MATCH(484,tk_DSEQ,0)),"0.000")&amp;" x "&amp;TEXT(INDEX(tk_LEAFH,MATCH(484,tk_DSEQ,0)),"0.000"),"")</f>
        <v/>
      </c>
      <c r="G489" s="70">
        <f>IFERROR(""&amp;INDEX(tk_DLINE,MATCH(484,tk_DSEQ,0)),"")</f>
        <v/>
      </c>
      <c r="H489" s="70">
        <f>IFERROR(""&amp;INDEX(tk_DNOTES,MATCH(484,tk_DSEQ,0)),"")</f>
        <v/>
      </c>
    </row>
    <row r="490">
      <c r="A490" s="70">
        <f>IFERROR(""&amp;INDEX(tk_MARK,MATCH(485,tk_DSEQ,0)),"")</f>
        <v/>
      </c>
      <c r="B490" s="70">
        <f>IFERROR(INDEX(tk_QTY,MATCH(485,tk_DSEQ,0)),"")</f>
        <v/>
      </c>
      <c r="C490" s="70">
        <f>IFERROR(INDEX(tk_ROOMF,MATCH(485,tk_DSEQ,0))&amp;IF(INDEX(tk_ROOMT,MATCH(485,tk_DSEQ,0))="",""," → "&amp;INDEX(tk_ROOMT,MATCH(485,tk_DSEQ,0))),"")</f>
        <v/>
      </c>
      <c r="D490" s="70">
        <f>IFERROR(INDEX(tk_LEAVES,MATCH(485,tk_DSEQ,0)),"")</f>
        <v/>
      </c>
      <c r="E490" s="70">
        <f>IFERROR(""&amp;INDEX(tk_RATING,MATCH(485,tk_DSEQ,0)),"")</f>
        <v/>
      </c>
      <c r="F490" s="70">
        <f>IFERROR(TEXT(INDEX(tk_LEAFW,MATCH(485,tk_DSEQ,0)),"0.000")&amp;" x "&amp;TEXT(INDEX(tk_LEAFH,MATCH(485,tk_DSEQ,0)),"0.000"),"")</f>
        <v/>
      </c>
      <c r="G490" s="70">
        <f>IFERROR(""&amp;INDEX(tk_DLINE,MATCH(485,tk_DSEQ,0)),"")</f>
        <v/>
      </c>
      <c r="H490" s="70">
        <f>IFERROR(""&amp;INDEX(tk_DNOTES,MATCH(485,tk_DSEQ,0)),"")</f>
        <v/>
      </c>
    </row>
    <row r="491">
      <c r="A491" s="70">
        <f>IFERROR(""&amp;INDEX(tk_MARK,MATCH(486,tk_DSEQ,0)),"")</f>
        <v/>
      </c>
      <c r="B491" s="70">
        <f>IFERROR(INDEX(tk_QTY,MATCH(486,tk_DSEQ,0)),"")</f>
        <v/>
      </c>
      <c r="C491" s="70">
        <f>IFERROR(INDEX(tk_ROOMF,MATCH(486,tk_DSEQ,0))&amp;IF(INDEX(tk_ROOMT,MATCH(486,tk_DSEQ,0))="",""," → "&amp;INDEX(tk_ROOMT,MATCH(486,tk_DSEQ,0))),"")</f>
        <v/>
      </c>
      <c r="D491" s="70">
        <f>IFERROR(INDEX(tk_LEAVES,MATCH(486,tk_DSEQ,0)),"")</f>
        <v/>
      </c>
      <c r="E491" s="70">
        <f>IFERROR(""&amp;INDEX(tk_RATING,MATCH(486,tk_DSEQ,0)),"")</f>
        <v/>
      </c>
      <c r="F491" s="70">
        <f>IFERROR(TEXT(INDEX(tk_LEAFW,MATCH(486,tk_DSEQ,0)),"0.000")&amp;" x "&amp;TEXT(INDEX(tk_LEAFH,MATCH(486,tk_DSEQ,0)),"0.000"),"")</f>
        <v/>
      </c>
      <c r="G491" s="70">
        <f>IFERROR(""&amp;INDEX(tk_DLINE,MATCH(486,tk_DSEQ,0)),"")</f>
        <v/>
      </c>
      <c r="H491" s="70">
        <f>IFERROR(""&amp;INDEX(tk_DNOTES,MATCH(486,tk_DSEQ,0)),"")</f>
        <v/>
      </c>
    </row>
    <row r="492">
      <c r="A492" s="70">
        <f>IFERROR(""&amp;INDEX(tk_MARK,MATCH(487,tk_DSEQ,0)),"")</f>
        <v/>
      </c>
      <c r="B492" s="70">
        <f>IFERROR(INDEX(tk_QTY,MATCH(487,tk_DSEQ,0)),"")</f>
        <v/>
      </c>
      <c r="C492" s="70">
        <f>IFERROR(INDEX(tk_ROOMF,MATCH(487,tk_DSEQ,0))&amp;IF(INDEX(tk_ROOMT,MATCH(487,tk_DSEQ,0))="",""," → "&amp;INDEX(tk_ROOMT,MATCH(487,tk_DSEQ,0))),"")</f>
        <v/>
      </c>
      <c r="D492" s="70">
        <f>IFERROR(INDEX(tk_LEAVES,MATCH(487,tk_DSEQ,0)),"")</f>
        <v/>
      </c>
      <c r="E492" s="70">
        <f>IFERROR(""&amp;INDEX(tk_RATING,MATCH(487,tk_DSEQ,0)),"")</f>
        <v/>
      </c>
      <c r="F492" s="70">
        <f>IFERROR(TEXT(INDEX(tk_LEAFW,MATCH(487,tk_DSEQ,0)),"0.000")&amp;" x "&amp;TEXT(INDEX(tk_LEAFH,MATCH(487,tk_DSEQ,0)),"0.000"),"")</f>
        <v/>
      </c>
      <c r="G492" s="70">
        <f>IFERROR(""&amp;INDEX(tk_DLINE,MATCH(487,tk_DSEQ,0)),"")</f>
        <v/>
      </c>
      <c r="H492" s="70">
        <f>IFERROR(""&amp;INDEX(tk_DNOTES,MATCH(487,tk_DSEQ,0)),"")</f>
        <v/>
      </c>
    </row>
    <row r="493">
      <c r="A493" s="70">
        <f>IFERROR(""&amp;INDEX(tk_MARK,MATCH(488,tk_DSEQ,0)),"")</f>
        <v/>
      </c>
      <c r="B493" s="70">
        <f>IFERROR(INDEX(tk_QTY,MATCH(488,tk_DSEQ,0)),"")</f>
        <v/>
      </c>
      <c r="C493" s="70">
        <f>IFERROR(INDEX(tk_ROOMF,MATCH(488,tk_DSEQ,0))&amp;IF(INDEX(tk_ROOMT,MATCH(488,tk_DSEQ,0))="",""," → "&amp;INDEX(tk_ROOMT,MATCH(488,tk_DSEQ,0))),"")</f>
        <v/>
      </c>
      <c r="D493" s="70">
        <f>IFERROR(INDEX(tk_LEAVES,MATCH(488,tk_DSEQ,0)),"")</f>
        <v/>
      </c>
      <c r="E493" s="70">
        <f>IFERROR(""&amp;INDEX(tk_RATING,MATCH(488,tk_DSEQ,0)),"")</f>
        <v/>
      </c>
      <c r="F493" s="70">
        <f>IFERROR(TEXT(INDEX(tk_LEAFW,MATCH(488,tk_DSEQ,0)),"0.000")&amp;" x "&amp;TEXT(INDEX(tk_LEAFH,MATCH(488,tk_DSEQ,0)),"0.000"),"")</f>
        <v/>
      </c>
      <c r="G493" s="70">
        <f>IFERROR(""&amp;INDEX(tk_DLINE,MATCH(488,tk_DSEQ,0)),"")</f>
        <v/>
      </c>
      <c r="H493" s="70">
        <f>IFERROR(""&amp;INDEX(tk_DNOTES,MATCH(488,tk_DSEQ,0)),"")</f>
        <v/>
      </c>
    </row>
    <row r="494">
      <c r="A494" s="70">
        <f>IFERROR(""&amp;INDEX(tk_MARK,MATCH(489,tk_DSEQ,0)),"")</f>
        <v/>
      </c>
      <c r="B494" s="70">
        <f>IFERROR(INDEX(tk_QTY,MATCH(489,tk_DSEQ,0)),"")</f>
        <v/>
      </c>
      <c r="C494" s="70">
        <f>IFERROR(INDEX(tk_ROOMF,MATCH(489,tk_DSEQ,0))&amp;IF(INDEX(tk_ROOMT,MATCH(489,tk_DSEQ,0))="",""," → "&amp;INDEX(tk_ROOMT,MATCH(489,tk_DSEQ,0))),"")</f>
        <v/>
      </c>
      <c r="D494" s="70">
        <f>IFERROR(INDEX(tk_LEAVES,MATCH(489,tk_DSEQ,0)),"")</f>
        <v/>
      </c>
      <c r="E494" s="70">
        <f>IFERROR(""&amp;INDEX(tk_RATING,MATCH(489,tk_DSEQ,0)),"")</f>
        <v/>
      </c>
      <c r="F494" s="70">
        <f>IFERROR(TEXT(INDEX(tk_LEAFW,MATCH(489,tk_DSEQ,0)),"0.000")&amp;" x "&amp;TEXT(INDEX(tk_LEAFH,MATCH(489,tk_DSEQ,0)),"0.000"),"")</f>
        <v/>
      </c>
      <c r="G494" s="70">
        <f>IFERROR(""&amp;INDEX(tk_DLINE,MATCH(489,tk_DSEQ,0)),"")</f>
        <v/>
      </c>
      <c r="H494" s="70">
        <f>IFERROR(""&amp;INDEX(tk_DNOTES,MATCH(489,tk_DSEQ,0)),"")</f>
        <v/>
      </c>
    </row>
    <row r="495">
      <c r="A495" s="70">
        <f>IFERROR(""&amp;INDEX(tk_MARK,MATCH(490,tk_DSEQ,0)),"")</f>
        <v/>
      </c>
      <c r="B495" s="70">
        <f>IFERROR(INDEX(tk_QTY,MATCH(490,tk_DSEQ,0)),"")</f>
        <v/>
      </c>
      <c r="C495" s="70">
        <f>IFERROR(INDEX(tk_ROOMF,MATCH(490,tk_DSEQ,0))&amp;IF(INDEX(tk_ROOMT,MATCH(490,tk_DSEQ,0))="",""," → "&amp;INDEX(tk_ROOMT,MATCH(490,tk_DSEQ,0))),"")</f>
        <v/>
      </c>
      <c r="D495" s="70">
        <f>IFERROR(INDEX(tk_LEAVES,MATCH(490,tk_DSEQ,0)),"")</f>
        <v/>
      </c>
      <c r="E495" s="70">
        <f>IFERROR(""&amp;INDEX(tk_RATING,MATCH(490,tk_DSEQ,0)),"")</f>
        <v/>
      </c>
      <c r="F495" s="70">
        <f>IFERROR(TEXT(INDEX(tk_LEAFW,MATCH(490,tk_DSEQ,0)),"0.000")&amp;" x "&amp;TEXT(INDEX(tk_LEAFH,MATCH(490,tk_DSEQ,0)),"0.000"),"")</f>
        <v/>
      </c>
      <c r="G495" s="70">
        <f>IFERROR(""&amp;INDEX(tk_DLINE,MATCH(490,tk_DSEQ,0)),"")</f>
        <v/>
      </c>
      <c r="H495" s="70">
        <f>IFERROR(""&amp;INDEX(tk_DNOTES,MATCH(490,tk_DSEQ,0)),"")</f>
        <v/>
      </c>
    </row>
    <row r="496">
      <c r="A496" s="70">
        <f>IFERROR(""&amp;INDEX(tk_MARK,MATCH(491,tk_DSEQ,0)),"")</f>
        <v/>
      </c>
      <c r="B496" s="70">
        <f>IFERROR(INDEX(tk_QTY,MATCH(491,tk_DSEQ,0)),"")</f>
        <v/>
      </c>
      <c r="C496" s="70">
        <f>IFERROR(INDEX(tk_ROOMF,MATCH(491,tk_DSEQ,0))&amp;IF(INDEX(tk_ROOMT,MATCH(491,tk_DSEQ,0))="",""," → "&amp;INDEX(tk_ROOMT,MATCH(491,tk_DSEQ,0))),"")</f>
        <v/>
      </c>
      <c r="D496" s="70">
        <f>IFERROR(INDEX(tk_LEAVES,MATCH(491,tk_DSEQ,0)),"")</f>
        <v/>
      </c>
      <c r="E496" s="70">
        <f>IFERROR(""&amp;INDEX(tk_RATING,MATCH(491,tk_DSEQ,0)),"")</f>
        <v/>
      </c>
      <c r="F496" s="70">
        <f>IFERROR(TEXT(INDEX(tk_LEAFW,MATCH(491,tk_DSEQ,0)),"0.000")&amp;" x "&amp;TEXT(INDEX(tk_LEAFH,MATCH(491,tk_DSEQ,0)),"0.000"),"")</f>
        <v/>
      </c>
      <c r="G496" s="70">
        <f>IFERROR(""&amp;INDEX(tk_DLINE,MATCH(491,tk_DSEQ,0)),"")</f>
        <v/>
      </c>
      <c r="H496" s="70">
        <f>IFERROR(""&amp;INDEX(tk_DNOTES,MATCH(491,tk_DSEQ,0)),"")</f>
        <v/>
      </c>
    </row>
    <row r="497">
      <c r="A497" s="70">
        <f>IFERROR(""&amp;INDEX(tk_MARK,MATCH(492,tk_DSEQ,0)),"")</f>
        <v/>
      </c>
      <c r="B497" s="70">
        <f>IFERROR(INDEX(tk_QTY,MATCH(492,tk_DSEQ,0)),"")</f>
        <v/>
      </c>
      <c r="C497" s="70">
        <f>IFERROR(INDEX(tk_ROOMF,MATCH(492,tk_DSEQ,0))&amp;IF(INDEX(tk_ROOMT,MATCH(492,tk_DSEQ,0))="",""," → "&amp;INDEX(tk_ROOMT,MATCH(492,tk_DSEQ,0))),"")</f>
        <v/>
      </c>
      <c r="D497" s="70">
        <f>IFERROR(INDEX(tk_LEAVES,MATCH(492,tk_DSEQ,0)),"")</f>
        <v/>
      </c>
      <c r="E497" s="70">
        <f>IFERROR(""&amp;INDEX(tk_RATING,MATCH(492,tk_DSEQ,0)),"")</f>
        <v/>
      </c>
      <c r="F497" s="70">
        <f>IFERROR(TEXT(INDEX(tk_LEAFW,MATCH(492,tk_DSEQ,0)),"0.000")&amp;" x "&amp;TEXT(INDEX(tk_LEAFH,MATCH(492,tk_DSEQ,0)),"0.000"),"")</f>
        <v/>
      </c>
      <c r="G497" s="70">
        <f>IFERROR(""&amp;INDEX(tk_DLINE,MATCH(492,tk_DSEQ,0)),"")</f>
        <v/>
      </c>
      <c r="H497" s="70">
        <f>IFERROR(""&amp;INDEX(tk_DNOTES,MATCH(492,tk_DSEQ,0)),"")</f>
        <v/>
      </c>
    </row>
    <row r="498">
      <c r="A498" s="70">
        <f>IFERROR(""&amp;INDEX(tk_MARK,MATCH(493,tk_DSEQ,0)),"")</f>
        <v/>
      </c>
      <c r="B498" s="70">
        <f>IFERROR(INDEX(tk_QTY,MATCH(493,tk_DSEQ,0)),"")</f>
        <v/>
      </c>
      <c r="C498" s="70">
        <f>IFERROR(INDEX(tk_ROOMF,MATCH(493,tk_DSEQ,0))&amp;IF(INDEX(tk_ROOMT,MATCH(493,tk_DSEQ,0))="",""," → "&amp;INDEX(tk_ROOMT,MATCH(493,tk_DSEQ,0))),"")</f>
        <v/>
      </c>
      <c r="D498" s="70">
        <f>IFERROR(INDEX(tk_LEAVES,MATCH(493,tk_DSEQ,0)),"")</f>
        <v/>
      </c>
      <c r="E498" s="70">
        <f>IFERROR(""&amp;INDEX(tk_RATING,MATCH(493,tk_DSEQ,0)),"")</f>
        <v/>
      </c>
      <c r="F498" s="70">
        <f>IFERROR(TEXT(INDEX(tk_LEAFW,MATCH(493,tk_DSEQ,0)),"0.000")&amp;" x "&amp;TEXT(INDEX(tk_LEAFH,MATCH(493,tk_DSEQ,0)),"0.000"),"")</f>
        <v/>
      </c>
      <c r="G498" s="70">
        <f>IFERROR(""&amp;INDEX(tk_DLINE,MATCH(493,tk_DSEQ,0)),"")</f>
        <v/>
      </c>
      <c r="H498" s="70">
        <f>IFERROR(""&amp;INDEX(tk_DNOTES,MATCH(493,tk_DSEQ,0)),"")</f>
        <v/>
      </c>
    </row>
    <row r="499">
      <c r="A499" s="70">
        <f>IFERROR(""&amp;INDEX(tk_MARK,MATCH(494,tk_DSEQ,0)),"")</f>
        <v/>
      </c>
      <c r="B499" s="70">
        <f>IFERROR(INDEX(tk_QTY,MATCH(494,tk_DSEQ,0)),"")</f>
        <v/>
      </c>
      <c r="C499" s="70">
        <f>IFERROR(INDEX(tk_ROOMF,MATCH(494,tk_DSEQ,0))&amp;IF(INDEX(tk_ROOMT,MATCH(494,tk_DSEQ,0))="",""," → "&amp;INDEX(tk_ROOMT,MATCH(494,tk_DSEQ,0))),"")</f>
        <v/>
      </c>
      <c r="D499" s="70">
        <f>IFERROR(INDEX(tk_LEAVES,MATCH(494,tk_DSEQ,0)),"")</f>
        <v/>
      </c>
      <c r="E499" s="70">
        <f>IFERROR(""&amp;INDEX(tk_RATING,MATCH(494,tk_DSEQ,0)),"")</f>
        <v/>
      </c>
      <c r="F499" s="70">
        <f>IFERROR(TEXT(INDEX(tk_LEAFW,MATCH(494,tk_DSEQ,0)),"0.000")&amp;" x "&amp;TEXT(INDEX(tk_LEAFH,MATCH(494,tk_DSEQ,0)),"0.000"),"")</f>
        <v/>
      </c>
      <c r="G499" s="70">
        <f>IFERROR(""&amp;INDEX(tk_DLINE,MATCH(494,tk_DSEQ,0)),"")</f>
        <v/>
      </c>
      <c r="H499" s="70">
        <f>IFERROR(""&amp;INDEX(tk_DNOTES,MATCH(494,tk_DSEQ,0)),"")</f>
        <v/>
      </c>
    </row>
    <row r="500">
      <c r="A500" s="70">
        <f>IFERROR(""&amp;INDEX(tk_MARK,MATCH(495,tk_DSEQ,0)),"")</f>
        <v/>
      </c>
      <c r="B500" s="70">
        <f>IFERROR(INDEX(tk_QTY,MATCH(495,tk_DSEQ,0)),"")</f>
        <v/>
      </c>
      <c r="C500" s="70">
        <f>IFERROR(INDEX(tk_ROOMF,MATCH(495,tk_DSEQ,0))&amp;IF(INDEX(tk_ROOMT,MATCH(495,tk_DSEQ,0))="",""," → "&amp;INDEX(tk_ROOMT,MATCH(495,tk_DSEQ,0))),"")</f>
        <v/>
      </c>
      <c r="D500" s="70">
        <f>IFERROR(INDEX(tk_LEAVES,MATCH(495,tk_DSEQ,0)),"")</f>
        <v/>
      </c>
      <c r="E500" s="70">
        <f>IFERROR(""&amp;INDEX(tk_RATING,MATCH(495,tk_DSEQ,0)),"")</f>
        <v/>
      </c>
      <c r="F500" s="70">
        <f>IFERROR(TEXT(INDEX(tk_LEAFW,MATCH(495,tk_DSEQ,0)),"0.000")&amp;" x "&amp;TEXT(INDEX(tk_LEAFH,MATCH(495,tk_DSEQ,0)),"0.000"),"")</f>
        <v/>
      </c>
      <c r="G500" s="70">
        <f>IFERROR(""&amp;INDEX(tk_DLINE,MATCH(495,tk_DSEQ,0)),"")</f>
        <v/>
      </c>
      <c r="H500" s="70">
        <f>IFERROR(""&amp;INDEX(tk_DNOTES,MATCH(495,tk_DSEQ,0)),"")</f>
        <v/>
      </c>
    </row>
    <row r="501">
      <c r="A501" s="70">
        <f>IFERROR(""&amp;INDEX(tk_MARK,MATCH(496,tk_DSEQ,0)),"")</f>
        <v/>
      </c>
      <c r="B501" s="70">
        <f>IFERROR(INDEX(tk_QTY,MATCH(496,tk_DSEQ,0)),"")</f>
        <v/>
      </c>
      <c r="C501" s="70">
        <f>IFERROR(INDEX(tk_ROOMF,MATCH(496,tk_DSEQ,0))&amp;IF(INDEX(tk_ROOMT,MATCH(496,tk_DSEQ,0))="",""," → "&amp;INDEX(tk_ROOMT,MATCH(496,tk_DSEQ,0))),"")</f>
        <v/>
      </c>
      <c r="D501" s="70">
        <f>IFERROR(INDEX(tk_LEAVES,MATCH(496,tk_DSEQ,0)),"")</f>
        <v/>
      </c>
      <c r="E501" s="70">
        <f>IFERROR(""&amp;INDEX(tk_RATING,MATCH(496,tk_DSEQ,0)),"")</f>
        <v/>
      </c>
      <c r="F501" s="70">
        <f>IFERROR(TEXT(INDEX(tk_LEAFW,MATCH(496,tk_DSEQ,0)),"0.000")&amp;" x "&amp;TEXT(INDEX(tk_LEAFH,MATCH(496,tk_DSEQ,0)),"0.000"),"")</f>
        <v/>
      </c>
      <c r="G501" s="70">
        <f>IFERROR(""&amp;INDEX(tk_DLINE,MATCH(496,tk_DSEQ,0)),"")</f>
        <v/>
      </c>
      <c r="H501" s="70">
        <f>IFERROR(""&amp;INDEX(tk_DNOTES,MATCH(496,tk_DSEQ,0)),"")</f>
        <v/>
      </c>
    </row>
    <row r="502">
      <c r="A502" s="70">
        <f>IFERROR(""&amp;INDEX(tk_MARK,MATCH(497,tk_DSEQ,0)),"")</f>
        <v/>
      </c>
      <c r="B502" s="70">
        <f>IFERROR(INDEX(tk_QTY,MATCH(497,tk_DSEQ,0)),"")</f>
        <v/>
      </c>
      <c r="C502" s="70">
        <f>IFERROR(INDEX(tk_ROOMF,MATCH(497,tk_DSEQ,0))&amp;IF(INDEX(tk_ROOMT,MATCH(497,tk_DSEQ,0))="",""," → "&amp;INDEX(tk_ROOMT,MATCH(497,tk_DSEQ,0))),"")</f>
        <v/>
      </c>
      <c r="D502" s="70">
        <f>IFERROR(INDEX(tk_LEAVES,MATCH(497,tk_DSEQ,0)),"")</f>
        <v/>
      </c>
      <c r="E502" s="70">
        <f>IFERROR(""&amp;INDEX(tk_RATING,MATCH(497,tk_DSEQ,0)),"")</f>
        <v/>
      </c>
      <c r="F502" s="70">
        <f>IFERROR(TEXT(INDEX(tk_LEAFW,MATCH(497,tk_DSEQ,0)),"0.000")&amp;" x "&amp;TEXT(INDEX(tk_LEAFH,MATCH(497,tk_DSEQ,0)),"0.000"),"")</f>
        <v/>
      </c>
      <c r="G502" s="70">
        <f>IFERROR(""&amp;INDEX(tk_DLINE,MATCH(497,tk_DSEQ,0)),"")</f>
        <v/>
      </c>
      <c r="H502" s="70">
        <f>IFERROR(""&amp;INDEX(tk_DNOTES,MATCH(497,tk_DSEQ,0)),"")</f>
        <v/>
      </c>
    </row>
    <row r="503">
      <c r="A503" s="70">
        <f>IFERROR(""&amp;INDEX(tk_MARK,MATCH(498,tk_DSEQ,0)),"")</f>
        <v/>
      </c>
      <c r="B503" s="70">
        <f>IFERROR(INDEX(tk_QTY,MATCH(498,tk_DSEQ,0)),"")</f>
        <v/>
      </c>
      <c r="C503" s="70">
        <f>IFERROR(INDEX(tk_ROOMF,MATCH(498,tk_DSEQ,0))&amp;IF(INDEX(tk_ROOMT,MATCH(498,tk_DSEQ,0))="",""," → "&amp;INDEX(tk_ROOMT,MATCH(498,tk_DSEQ,0))),"")</f>
        <v/>
      </c>
      <c r="D503" s="70">
        <f>IFERROR(INDEX(tk_LEAVES,MATCH(498,tk_DSEQ,0)),"")</f>
        <v/>
      </c>
      <c r="E503" s="70">
        <f>IFERROR(""&amp;INDEX(tk_RATING,MATCH(498,tk_DSEQ,0)),"")</f>
        <v/>
      </c>
      <c r="F503" s="70">
        <f>IFERROR(TEXT(INDEX(tk_LEAFW,MATCH(498,tk_DSEQ,0)),"0.000")&amp;" x "&amp;TEXT(INDEX(tk_LEAFH,MATCH(498,tk_DSEQ,0)),"0.000"),"")</f>
        <v/>
      </c>
      <c r="G503" s="70">
        <f>IFERROR(""&amp;INDEX(tk_DLINE,MATCH(498,tk_DSEQ,0)),"")</f>
        <v/>
      </c>
      <c r="H503" s="70">
        <f>IFERROR(""&amp;INDEX(tk_DNOTES,MATCH(498,tk_DSEQ,0)),"")</f>
        <v/>
      </c>
    </row>
    <row r="504">
      <c r="A504" s="70">
        <f>IFERROR(""&amp;INDEX(tk_MARK,MATCH(499,tk_DSEQ,0)),"")</f>
        <v/>
      </c>
      <c r="B504" s="70">
        <f>IFERROR(INDEX(tk_QTY,MATCH(499,tk_DSEQ,0)),"")</f>
        <v/>
      </c>
      <c r="C504" s="70">
        <f>IFERROR(INDEX(tk_ROOMF,MATCH(499,tk_DSEQ,0))&amp;IF(INDEX(tk_ROOMT,MATCH(499,tk_DSEQ,0))="",""," → "&amp;INDEX(tk_ROOMT,MATCH(499,tk_DSEQ,0))),"")</f>
        <v/>
      </c>
      <c r="D504" s="70">
        <f>IFERROR(INDEX(tk_LEAVES,MATCH(499,tk_DSEQ,0)),"")</f>
        <v/>
      </c>
      <c r="E504" s="70">
        <f>IFERROR(""&amp;INDEX(tk_RATING,MATCH(499,tk_DSEQ,0)),"")</f>
        <v/>
      </c>
      <c r="F504" s="70">
        <f>IFERROR(TEXT(INDEX(tk_LEAFW,MATCH(499,tk_DSEQ,0)),"0.000")&amp;" x "&amp;TEXT(INDEX(tk_LEAFH,MATCH(499,tk_DSEQ,0)),"0.000"),"")</f>
        <v/>
      </c>
      <c r="G504" s="70">
        <f>IFERROR(""&amp;INDEX(tk_DLINE,MATCH(499,tk_DSEQ,0)),"")</f>
        <v/>
      </c>
      <c r="H504" s="70">
        <f>IFERROR(""&amp;INDEX(tk_DNOTES,MATCH(499,tk_DSEQ,0)),"")</f>
        <v/>
      </c>
    </row>
    <row r="505">
      <c r="A505" s="70">
        <f>IFERROR(""&amp;INDEX(tk_MARK,MATCH(500,tk_DSEQ,0)),"")</f>
        <v/>
      </c>
      <c r="B505" s="70">
        <f>IFERROR(INDEX(tk_QTY,MATCH(500,tk_DSEQ,0)),"")</f>
        <v/>
      </c>
      <c r="C505" s="70">
        <f>IFERROR(INDEX(tk_ROOMF,MATCH(500,tk_DSEQ,0))&amp;IF(INDEX(tk_ROOMT,MATCH(500,tk_DSEQ,0))="",""," → "&amp;INDEX(tk_ROOMT,MATCH(500,tk_DSEQ,0))),"")</f>
        <v/>
      </c>
      <c r="D505" s="70">
        <f>IFERROR(INDEX(tk_LEAVES,MATCH(500,tk_DSEQ,0)),"")</f>
        <v/>
      </c>
      <c r="E505" s="70">
        <f>IFERROR(""&amp;INDEX(tk_RATING,MATCH(500,tk_DSEQ,0)),"")</f>
        <v/>
      </c>
      <c r="F505" s="70">
        <f>IFERROR(TEXT(INDEX(tk_LEAFW,MATCH(500,tk_DSEQ,0)),"0.000")&amp;" x "&amp;TEXT(INDEX(tk_LEAFH,MATCH(500,tk_DSEQ,0)),"0.000"),"")</f>
        <v/>
      </c>
      <c r="G505" s="70">
        <f>IFERROR(""&amp;INDEX(tk_DLINE,MATCH(500,tk_DSEQ,0)),"")</f>
        <v/>
      </c>
      <c r="H505" s="70">
        <f>IFERROR(""&amp;INDEX(tk_DNOTES,MATCH(500,tk_DSEQ,0)),"")</f>
        <v/>
      </c>
    </row>
  </sheetData>
  <conditionalFormatting sqref="A6:H505">
    <cfRule type="expression" priority="1" dxfId="9">
      <formula>AND($A6&lt;&gt;"",MOD(ROW(),2)=0)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4A5560"/>
    <outlinePr summaryBelow="1" summaryRight="1"/>
    <pageSetUpPr fitToPage="1"/>
  </sheetPr>
  <dimension ref="B2:L34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3" customWidth="1" min="4" max="4"/>
    <col width="16" customWidth="1" min="5" max="5"/>
    <col width="16" customWidth="1" min="6" max="6"/>
    <col width="3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  <col width="16" customWidth="1" min="13" max="13"/>
  </cols>
  <sheetData>
    <row r="2">
      <c r="B2" s="23">
        <f>IF(JobName="","SUMMARY",JobName&amp;" — SUMMARY")</f>
        <v/>
      </c>
    </row>
    <row r="3">
      <c r="B3" s="33" t="inlineStr">
        <is>
          <t>Counts are openings (QTY), not rows. Nothing here is typed.</t>
        </is>
      </c>
    </row>
    <row r="5">
      <c r="B5" s="71" t="inlineStr">
        <is>
          <t>Openings</t>
        </is>
      </c>
      <c r="E5" s="71" t="inlineStr">
        <is>
          <t>Frames</t>
        </is>
      </c>
      <c r="H5" s="71" t="inlineStr">
        <is>
          <t>Door leaves</t>
        </is>
      </c>
      <c r="K5" s="71" t="inlineStr">
        <is>
          <t>Rated openings</t>
        </is>
      </c>
    </row>
    <row r="6">
      <c r="B6" s="72">
        <f>SUM(tk_QTY)</f>
        <v/>
      </c>
      <c r="E6" s="72">
        <f>SUMPRODUCT(tk_QTY,--(tk_FSEQ&lt;&gt;""))</f>
        <v/>
      </c>
      <c r="H6" s="72">
        <f>SUMPRODUCT(tk_QTY,tk_LEAVES)</f>
        <v/>
      </c>
      <c r="K6" s="72">
        <f>SUMPRODUCT(tk_QTY,--(tk_DMIN&gt;0))</f>
        <v/>
      </c>
    </row>
    <row r="9">
      <c r="B9" s="71" t="inlineStr">
        <is>
          <t>Rows to FIX</t>
        </is>
      </c>
      <c r="E9" s="71" t="inlineStr">
        <is>
          <t>Rows to CHECK</t>
        </is>
      </c>
      <c r="H9" s="71" t="inlineStr">
        <is>
          <t>Elevation types</t>
        </is>
      </c>
      <c r="K9" s="71" t="inlineStr">
        <is>
          <t>Hardware sets used</t>
        </is>
      </c>
    </row>
    <row r="10">
      <c r="B10" s="73">
        <f>COUNTIF(tk_CHECK,"FIX")</f>
        <v/>
      </c>
      <c r="E10" s="72">
        <f>COUNTIF(tk_CHECK,"CHECK")</f>
        <v/>
      </c>
      <c r="H10" s="72">
        <f>MAX(tk_ETYPE)</f>
        <v/>
      </c>
      <c r="K10" s="72">
        <f>SUMPRODUCT((HWSets&lt;&gt;"")*(COUNTIF(tk_HWSET,HWSets)&gt;0))</f>
        <v/>
      </c>
    </row>
    <row r="14">
      <c r="B14" s="74" t="inlineStr">
        <is>
          <t>BY FIRE RATING</t>
        </is>
      </c>
      <c r="C14" s="75" t="inlineStr">
        <is>
          <t>QTY</t>
        </is>
      </c>
      <c r="E14" s="74" t="inlineStr">
        <is>
          <t>BY SCOPE</t>
        </is>
      </c>
      <c r="F14" s="75" t="inlineStr">
        <is>
          <t>QTY</t>
        </is>
      </c>
      <c r="H14" s="74" t="inlineStr">
        <is>
          <t>BY CONSTRUCTION</t>
        </is>
      </c>
      <c r="I14" s="75" t="inlineStr">
        <is>
          <t>QTY</t>
        </is>
      </c>
      <c r="K14" s="74" t="inlineStr">
        <is>
          <t>BY FRAME TYPE</t>
        </is>
      </c>
      <c r="L14" s="75" t="inlineStr">
        <is>
          <t>QTY</t>
        </is>
      </c>
    </row>
    <row r="15">
      <c r="B15" s="76" t="inlineStr">
        <is>
          <t>NO LAB</t>
        </is>
      </c>
      <c r="C15" s="77">
        <f>SUMIFS(tk_QTY,tk_RATING,B15)</f>
        <v/>
      </c>
      <c r="E15" s="76" t="inlineStr">
        <is>
          <t>FRAME &amp; DOOR</t>
        </is>
      </c>
      <c r="F15" s="77">
        <f>SUMIFS(tk_QTY,tk_SCOPE,E15)</f>
        <v/>
      </c>
      <c r="H15" s="76" t="inlineStr">
        <is>
          <t>WGS</t>
        </is>
      </c>
      <c r="I15" s="77">
        <f>SUMIFS(tk_QTY,tk_CONSTR,H15)</f>
        <v/>
      </c>
      <c r="K15" s="76" t="inlineStr">
        <is>
          <t>3F</t>
        </is>
      </c>
      <c r="L15" s="77">
        <f>SUMIFS(tk_QTY,tk_FDESC,K15)</f>
        <v/>
      </c>
    </row>
    <row r="16">
      <c r="B16" s="76" t="inlineStr">
        <is>
          <t>20 MIN</t>
        </is>
      </c>
      <c r="C16" s="77">
        <f>SUMIFS(tk_QTY,tk_RATING,B16)</f>
        <v/>
      </c>
      <c r="E16" s="76" t="inlineStr">
        <is>
          <t>FRAME ONLY</t>
        </is>
      </c>
      <c r="F16" s="77">
        <f>SUMIFS(tk_QTY,tk_SCOPE,E16)</f>
        <v/>
      </c>
      <c r="H16" s="76" t="inlineStr">
        <is>
          <t>KD</t>
        </is>
      </c>
      <c r="I16" s="77">
        <f>SUMIFS(tk_QTY,tk_CONSTR,H16)</f>
        <v/>
      </c>
      <c r="K16" s="76" t="inlineStr">
        <is>
          <t>3FH</t>
        </is>
      </c>
      <c r="L16" s="77">
        <f>SUMIFS(tk_QTY,tk_FDESC,K16)</f>
        <v/>
      </c>
    </row>
    <row r="17">
      <c r="B17" s="76" t="inlineStr">
        <is>
          <t>45 MIN</t>
        </is>
      </c>
      <c r="C17" s="77">
        <f>SUMIFS(tk_QTY,tk_RATING,B17)</f>
        <v/>
      </c>
      <c r="E17" s="76" t="inlineStr">
        <is>
          <t>DOOR ONLY</t>
        </is>
      </c>
      <c r="F17" s="77">
        <f>SUMIFS(tk_QTY,tk_SCOPE,E17)</f>
        <v/>
      </c>
      <c r="K17" s="76" t="inlineStr">
        <is>
          <t>3FV</t>
        </is>
      </c>
      <c r="L17" s="77">
        <f>SUMIFS(tk_QTY,tk_FDESC,K17)</f>
        <v/>
      </c>
    </row>
    <row r="18">
      <c r="B18" s="76" t="inlineStr">
        <is>
          <t>60 MIN</t>
        </is>
      </c>
      <c r="C18" s="77">
        <f>SUMIFS(tk_QTY,tk_RATING,B18)</f>
        <v/>
      </c>
      <c r="K18" s="76" t="inlineStr">
        <is>
          <t>4F</t>
        </is>
      </c>
      <c r="L18" s="77">
        <f>SUMIFS(tk_QTY,tk_FDESC,K18)</f>
        <v/>
      </c>
    </row>
    <row r="19">
      <c r="B19" s="76" t="inlineStr">
        <is>
          <t>90 MIN</t>
        </is>
      </c>
      <c r="C19" s="77">
        <f>SUMIFS(tk_QTY,tk_RATING,B19)</f>
        <v/>
      </c>
      <c r="K19" s="76" t="inlineStr">
        <is>
          <t>BL</t>
        </is>
      </c>
      <c r="L19" s="77">
        <f>SUMIFS(tk_QTY,tk_FDESC,K19)</f>
        <v/>
      </c>
    </row>
    <row r="20">
      <c r="B20" s="76" t="inlineStr">
        <is>
          <t>180 MIN</t>
        </is>
      </c>
      <c r="C20" s="77">
        <f>SUMIFS(tk_QTY,tk_RATING,B20)</f>
        <v/>
      </c>
      <c r="K20" s="76" t="inlineStr">
        <is>
          <t>SL</t>
        </is>
      </c>
      <c r="L20" s="77">
        <f>SUMIFS(tk_QTY,tk_FDESC,K20)</f>
        <v/>
      </c>
    </row>
    <row r="23">
      <c r="B23" s="78" t="inlineStr">
        <is>
          <t>GLASS (door lites, sq ft)</t>
        </is>
      </c>
      <c r="E23" s="74" t="inlineStr">
        <is>
          <t>BY FLOOR</t>
        </is>
      </c>
      <c r="F23" s="75" t="inlineStr">
        <is>
          <t>QTY</t>
        </is>
      </c>
      <c r="H23" s="74" t="inlineStr">
        <is>
          <t>BY DOOR MATERIAL</t>
        </is>
      </c>
      <c r="I23" s="75" t="inlineStr">
        <is>
          <t>QTY</t>
        </is>
      </c>
      <c r="K23" s="74" t="inlineStr">
        <is>
          <t>BY LITE KIT</t>
        </is>
      </c>
      <c r="L23" s="75" t="inlineStr">
        <is>
          <t>QTY</t>
        </is>
      </c>
    </row>
    <row r="24">
      <c r="B24" s="79">
        <f t="array" ref="B24">SUMPRODUCT(tk_QTY*IFERROR(tk_LEAVES*tk_LITEW*tk_LITEH*(tk_LITEKIT&lt;&gt;"FL")*(tk_LITEKIT&lt;&gt;"FP"),0))/144</f>
        <v/>
      </c>
      <c r="E24" s="76" t="inlineStr">
        <is>
          <t>BASEMENT</t>
        </is>
      </c>
      <c r="F24" s="77">
        <f>SUMIFS(tk_QTY,tk_FLOOR,E24)</f>
        <v/>
      </c>
      <c r="H24" s="76" t="inlineStr">
        <is>
          <t>CR</t>
        </is>
      </c>
      <c r="I24" s="77">
        <f>SUMIFS(tk_QTY,tk_DMAT,H24)</f>
        <v/>
      </c>
      <c r="K24" s="76" t="inlineStr">
        <is>
          <t>FLUSH</t>
        </is>
      </c>
      <c r="L24" s="77">
        <f>SUMIFS(tk_QTY,tk_LITEKIT,K24)</f>
        <v/>
      </c>
    </row>
    <row r="25">
      <c r="E25" s="76" t="inlineStr">
        <is>
          <t>LOWER LEVEL</t>
        </is>
      </c>
      <c r="F25" s="77">
        <f>SUMIFS(tk_QTY,tk_FLOOR,E25)</f>
        <v/>
      </c>
      <c r="H25" s="76" t="inlineStr">
        <is>
          <t>RK</t>
        </is>
      </c>
      <c r="I25" s="77">
        <f>SUMIFS(tk_QTY,tk_DMAT,H25)</f>
        <v/>
      </c>
      <c r="K25" s="76" t="inlineStr">
        <is>
          <t>FNV</t>
        </is>
      </c>
      <c r="L25" s="77">
        <f>SUMIFS(tk_QTY,tk_LITEKIT,K25)</f>
        <v/>
      </c>
    </row>
    <row r="26">
      <c r="E26" s="76" t="inlineStr">
        <is>
          <t>GROUND</t>
        </is>
      </c>
      <c r="F26" s="77">
        <f>SUMIFS(tk_QTY,tk_FLOOR,E26)</f>
        <v/>
      </c>
      <c r="H26" s="76" t="inlineStr">
        <is>
          <t>SS</t>
        </is>
      </c>
      <c r="I26" s="77">
        <f>SUMIFS(tk_QTY,tk_DMAT,H26)</f>
        <v/>
      </c>
      <c r="K26" s="76" t="inlineStr">
        <is>
          <t>FV</t>
        </is>
      </c>
      <c r="L26" s="77">
        <f>SUMIFS(tk_QTY,tk_LITEKIT,K26)</f>
        <v/>
      </c>
    </row>
    <row r="27">
      <c r="E27" s="76" t="inlineStr">
        <is>
          <t>UPPER LEVEL</t>
        </is>
      </c>
      <c r="F27" s="77">
        <f>SUMIFS(tk_QTY,tk_FLOOR,E27)</f>
        <v/>
      </c>
      <c r="H27" s="76" t="inlineStr">
        <is>
          <t>FRP</t>
        </is>
      </c>
      <c r="I27" s="77">
        <f>SUMIFS(tk_QTY,tk_DMAT,H27)</f>
        <v/>
      </c>
      <c r="K27" s="76" t="inlineStr">
        <is>
          <t>HG</t>
        </is>
      </c>
      <c r="L27" s="77">
        <f>SUMIFS(tk_QTY,tk_LITEKIT,K27)</f>
        <v/>
      </c>
    </row>
    <row r="28">
      <c r="E28" s="76" t="inlineStr">
        <is>
          <t>1st</t>
        </is>
      </c>
      <c r="F28" s="77">
        <f>SUMIFS(tk_QTY,tk_FLOOR,E28)</f>
        <v/>
      </c>
      <c r="H28" s="76" t="inlineStr">
        <is>
          <t>OAK-MC</t>
        </is>
      </c>
      <c r="I28" s="77">
        <f>SUMIFS(tk_QTY,tk_DMAT,H28)</f>
        <v/>
      </c>
      <c r="K28" s="76" t="inlineStr">
        <is>
          <t>FG</t>
        </is>
      </c>
      <c r="L28" s="77">
        <f>SUMIFS(tk_QTY,tk_LITEKIT,K28)</f>
        <v/>
      </c>
    </row>
    <row r="29">
      <c r="E29" s="76" t="inlineStr">
        <is>
          <t>2nd</t>
        </is>
      </c>
      <c r="F29" s="77">
        <f>SUMIFS(tk_QTY,tk_FLOOR,E29)</f>
        <v/>
      </c>
      <c r="H29" s="76" t="inlineStr">
        <is>
          <t>OAK-PC</t>
        </is>
      </c>
      <c r="I29" s="77">
        <f>SUMIFS(tk_QTY,tk_DMAT,H29)</f>
        <v/>
      </c>
      <c r="K29" s="76" t="inlineStr">
        <is>
          <t>FL</t>
        </is>
      </c>
      <c r="L29" s="77">
        <f>SUMIFS(tk_QTY,tk_LITEKIT,K29)</f>
        <v/>
      </c>
    </row>
    <row r="30">
      <c r="E30" s="76" t="inlineStr">
        <is>
          <t>3rd</t>
        </is>
      </c>
      <c r="F30" s="77">
        <f>SUMIFS(tk_QTY,tk_FLOOR,E30)</f>
        <v/>
      </c>
      <c r="H30" s="76" t="inlineStr">
        <is>
          <t>BIR-MC</t>
        </is>
      </c>
      <c r="I30" s="77">
        <f>SUMIFS(tk_QTY,tk_DMAT,H30)</f>
        <v/>
      </c>
      <c r="K30" s="76" t="inlineStr">
        <is>
          <t>FP</t>
        </is>
      </c>
      <c r="L30" s="77">
        <f>SUMIFS(tk_QTY,tk_LITEKIT,K30)</f>
        <v/>
      </c>
    </row>
    <row r="31">
      <c r="E31" s="76" t="inlineStr">
        <is>
          <t>4th</t>
        </is>
      </c>
      <c r="F31" s="77">
        <f>SUMIFS(tk_QTY,tk_FLOOR,E31)</f>
        <v/>
      </c>
      <c r="H31" s="76" t="inlineStr">
        <is>
          <t>BIR-PC</t>
        </is>
      </c>
      <c r="I31" s="77">
        <f>SUMIFS(tk_QTY,tk_DMAT,H31)</f>
        <v/>
      </c>
    </row>
    <row r="32">
      <c r="E32" s="76" t="inlineStr">
        <is>
          <t>5th</t>
        </is>
      </c>
      <c r="F32" s="77">
        <f>SUMIFS(tk_QTY,tk_FLOOR,E32)</f>
        <v/>
      </c>
      <c r="H32" s="76" t="inlineStr">
        <is>
          <t>MAP-MC</t>
        </is>
      </c>
      <c r="I32" s="77">
        <f>SUMIFS(tk_QTY,tk_DMAT,H32)</f>
        <v/>
      </c>
    </row>
    <row r="33">
      <c r="E33" s="76" t="inlineStr">
        <is>
          <t>6th</t>
        </is>
      </c>
      <c r="F33" s="77">
        <f>SUMIFS(tk_QTY,tk_FLOOR,E33)</f>
        <v/>
      </c>
      <c r="H33" s="76" t="inlineStr">
        <is>
          <t>MAP-PC</t>
        </is>
      </c>
      <c r="I33" s="77">
        <f>SUMIFS(tk_QTY,tk_DMAT,H33)</f>
        <v/>
      </c>
    </row>
    <row r="34">
      <c r="E34" s="76" t="inlineStr">
        <is>
          <t>7th</t>
        </is>
      </c>
      <c r="F34" s="77">
        <f>SUMIFS(tk_QTY,tk_FLOOR,E34)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9AA5B1"/>
    <outlinePr summaryBelow="1" summaryRight="1"/>
    <pageSetUpPr/>
  </sheetPr>
  <dimension ref="A1:AI7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24" customWidth="1" min="34" max="34"/>
    <col width="14" customWidth="1" min="35" max="35"/>
  </cols>
  <sheetData>
    <row r="1">
      <c r="A1" s="31" t="inlineStr">
        <is>
          <t>DROPDOWN LISTS</t>
        </is>
      </c>
    </row>
    <row r="2">
      <c r="A2" s="28" t="inlineStr">
        <is>
          <t>Add or remove values here and every dropdown on the Takeoff sheet follows. Keep each list in one unbroken column.</t>
        </is>
      </c>
    </row>
    <row r="3">
      <c r="A3" s="80" t="inlineStr">
        <is>
          <t>Scope</t>
        </is>
      </c>
      <c r="B3" s="80" t="inlineStr">
        <is>
          <t>Floor</t>
        </is>
      </c>
      <c r="C3" s="80" t="inlineStr">
        <is>
          <t>Category</t>
        </is>
      </c>
      <c r="D3" s="80" t="inlineStr">
        <is>
          <t>Fire rating</t>
        </is>
      </c>
      <c r="E3" s="80" t="inlineStr">
        <is>
          <t>Frame description</t>
        </is>
      </c>
      <c r="F3" s="80" t="inlineStr">
        <is>
          <t>Profile</t>
        </is>
      </c>
      <c r="G3" s="80" t="inlineStr">
        <is>
          <t>Jamb depth</t>
        </is>
      </c>
      <c r="H3" s="80" t="inlineStr">
        <is>
          <t>Frame gauge</t>
        </is>
      </c>
      <c r="I3" s="80" t="inlineStr">
        <is>
          <t>Steel type</t>
        </is>
      </c>
      <c r="J3" s="80" t="inlineStr">
        <is>
          <t>Construction</t>
        </is>
      </c>
      <c r="K3" s="80" t="inlineStr">
        <is>
          <t>Anchor type</t>
        </is>
      </c>
      <c r="L3" s="80" t="inlineStr">
        <is>
          <t>Handing / swing</t>
        </is>
      </c>
      <c r="M3" s="80" t="inlineStr">
        <is>
          <t>Yes / no</t>
        </is>
      </c>
      <c r="N3" s="80" t="inlineStr">
        <is>
          <t>Frame manufacturer</t>
        </is>
      </c>
      <c r="O3" s="80" t="inlineStr">
        <is>
          <t>Hinge prep</t>
        </is>
      </c>
      <c r="P3" s="80" t="inlineStr">
        <is>
          <t>Strike prep</t>
        </is>
      </c>
      <c r="Q3" s="80" t="inlineStr">
        <is>
          <t>Header prep</t>
        </is>
      </c>
      <c r="R3" s="80" t="inlineStr">
        <is>
          <t>Closer reinf.</t>
        </is>
      </c>
      <c r="S3" s="80" t="inlineStr">
        <is>
          <t>Door material</t>
        </is>
      </c>
      <c r="T3" s="80" t="inlineStr">
        <is>
          <t>Door gauge</t>
        </is>
      </c>
      <c r="U3" s="80" t="inlineStr">
        <is>
          <t>Wood core</t>
        </is>
      </c>
      <c r="V3" s="80" t="inlineStr">
        <is>
          <t>Door face type</t>
        </is>
      </c>
      <c r="W3" s="80" t="inlineStr">
        <is>
          <t>Hardware locations</t>
        </is>
      </c>
      <c r="X3" s="80" t="inlineStr">
        <is>
          <t>Lock prep</t>
        </is>
      </c>
      <c r="Y3" s="80" t="inlineStr">
        <is>
          <t>Door edge</t>
        </is>
      </c>
      <c r="Z3" s="80" t="inlineStr">
        <is>
          <t>Astragal</t>
        </is>
      </c>
      <c r="AA3" s="80" t="inlineStr">
        <is>
          <t>Door series</t>
        </is>
      </c>
      <c r="AB3" s="80" t="inlineStr">
        <is>
          <t>Wood finish</t>
        </is>
      </c>
      <c r="AC3" s="80" t="n"/>
      <c r="AD3" s="80" t="inlineStr">
        <is>
          <t>Wall type</t>
        </is>
      </c>
      <c r="AE3" s="80" t="inlineStr">
        <is>
          <t>Wall rating (hr)</t>
        </is>
      </c>
      <c r="AF3" s="80" t="inlineStr">
        <is>
          <t>Sidelite side</t>
        </is>
      </c>
      <c r="AG3" s="80" t="n"/>
      <c r="AH3" s="80" t="inlineStr">
        <is>
          <t>IBC 716.1(2): wall → door (min)</t>
        </is>
      </c>
      <c r="AI3" s="80" t="n"/>
    </row>
    <row r="4">
      <c r="A4" s="81" t="inlineStr">
        <is>
          <t>Scope</t>
        </is>
      </c>
      <c r="B4" s="81" t="inlineStr">
        <is>
          <t>Floor</t>
        </is>
      </c>
      <c r="C4" s="81" t="inlineStr">
        <is>
          <t>Category</t>
        </is>
      </c>
      <c r="D4" s="81" t="inlineStr">
        <is>
          <t>FireRating</t>
        </is>
      </c>
      <c r="E4" s="81" t="inlineStr">
        <is>
          <t>FrameType</t>
        </is>
      </c>
      <c r="F4" s="81" t="inlineStr">
        <is>
          <t>Profile</t>
        </is>
      </c>
      <c r="G4" s="81" t="inlineStr">
        <is>
          <t>JambDepth</t>
        </is>
      </c>
      <c r="H4" s="81" t="inlineStr">
        <is>
          <t>GaugeFrame</t>
        </is>
      </c>
      <c r="I4" s="81" t="inlineStr">
        <is>
          <t>SteelType</t>
        </is>
      </c>
      <c r="J4" s="81" t="inlineStr">
        <is>
          <t>Construction</t>
        </is>
      </c>
      <c r="K4" s="81" t="inlineStr">
        <is>
          <t>AnchorType</t>
        </is>
      </c>
      <c r="L4" s="81" t="inlineStr">
        <is>
          <t>Handing</t>
        </is>
      </c>
      <c r="M4" s="81" t="inlineStr">
        <is>
          <t>YesNo</t>
        </is>
      </c>
      <c r="N4" s="81" t="inlineStr">
        <is>
          <t>Manufacturer</t>
        </is>
      </c>
      <c r="O4" s="81" t="inlineStr">
        <is>
          <t>HingePrep</t>
        </is>
      </c>
      <c r="P4" s="81" t="inlineStr">
        <is>
          <t>StrikePrep</t>
        </is>
      </c>
      <c r="Q4" s="81" t="inlineStr">
        <is>
          <t>HeaderPrep</t>
        </is>
      </c>
      <c r="R4" s="81" t="inlineStr">
        <is>
          <t>CloserPrep</t>
        </is>
      </c>
      <c r="S4" s="81" t="inlineStr">
        <is>
          <t>DoorMaterial</t>
        </is>
      </c>
      <c r="T4" s="81" t="inlineStr">
        <is>
          <t>GaugeDoor</t>
        </is>
      </c>
      <c r="U4" s="81" t="inlineStr">
        <is>
          <t>WoodCore</t>
        </is>
      </c>
      <c r="V4" s="81" t="inlineStr">
        <is>
          <t>FaceType</t>
        </is>
      </c>
      <c r="W4" s="81" t="inlineStr">
        <is>
          <t>ManufLoc</t>
        </is>
      </c>
      <c r="X4" s="81" t="inlineStr">
        <is>
          <t>LockPrep</t>
        </is>
      </c>
      <c r="Y4" s="81" t="inlineStr">
        <is>
          <t>Edge</t>
        </is>
      </c>
      <c r="Z4" s="81" t="inlineStr">
        <is>
          <t>Astragal</t>
        </is>
      </c>
      <c r="AA4" s="81" t="inlineStr">
        <is>
          <t>Series</t>
        </is>
      </c>
      <c r="AB4" s="81" t="inlineStr">
        <is>
          <t>WoodFinish</t>
        </is>
      </c>
      <c r="AC4" s="81" t="n"/>
      <c r="AD4" s="81" t="inlineStr">
        <is>
          <t>WallType</t>
        </is>
      </c>
      <c r="AE4" s="81" t="inlineStr">
        <is>
          <t>WallHR</t>
        </is>
      </c>
      <c r="AF4" s="81" t="inlineStr">
        <is>
          <t>SLSide</t>
        </is>
      </c>
      <c r="AG4" s="81" t="n"/>
      <c r="AH4" s="81" t="inlineStr">
        <is>
          <t>KEY</t>
        </is>
      </c>
      <c r="AI4" s="81" t="inlineStr">
        <is>
          <t>MIN</t>
        </is>
      </c>
    </row>
    <row r="5">
      <c r="A5" s="82" t="inlineStr">
        <is>
          <t>FRAME &amp; DOOR</t>
        </is>
      </c>
      <c r="B5" s="82" t="inlineStr">
        <is>
          <t>BASEMENT</t>
        </is>
      </c>
      <c r="C5" s="82" t="inlineStr">
        <is>
          <t>INTERIOR</t>
        </is>
      </c>
      <c r="D5" s="82" t="inlineStr">
        <is>
          <t>NO LAB</t>
        </is>
      </c>
      <c r="E5" s="82" t="inlineStr">
        <is>
          <t>3F</t>
        </is>
      </c>
      <c r="F5" s="82" t="inlineStr">
        <is>
          <t>M</t>
        </is>
      </c>
      <c r="G5" s="82" t="n">
        <v>3</v>
      </c>
      <c r="H5" s="82" t="n">
        <v>14</v>
      </c>
      <c r="I5" s="82" t="inlineStr">
        <is>
          <t>CR</t>
        </is>
      </c>
      <c r="J5" s="82" t="inlineStr">
        <is>
          <t>WGS</t>
        </is>
      </c>
      <c r="K5" s="82" t="inlineStr">
        <is>
          <t>CA</t>
        </is>
      </c>
      <c r="L5" s="82" t="inlineStr">
        <is>
          <t>-</t>
        </is>
      </c>
      <c r="M5" s="82" t="inlineStr">
        <is>
          <t>-</t>
        </is>
      </c>
      <c r="N5" s="82" t="inlineStr">
        <is>
          <t>BSC</t>
        </is>
      </c>
      <c r="O5" s="82" t="inlineStr">
        <is>
          <t>BLK</t>
        </is>
      </c>
      <c r="P5" s="82" t="inlineStr">
        <is>
          <t>-</t>
        </is>
      </c>
      <c r="Q5" s="82" t="inlineStr">
        <is>
          <t>-</t>
        </is>
      </c>
      <c r="R5" s="82" t="inlineStr">
        <is>
          <t>-</t>
        </is>
      </c>
      <c r="S5" s="82" t="inlineStr">
        <is>
          <t>CR</t>
        </is>
      </c>
      <c r="T5" s="82" t="n">
        <v>14</v>
      </c>
      <c r="U5" s="82" t="inlineStr">
        <is>
          <t>PC</t>
        </is>
      </c>
      <c r="V5" s="82" t="inlineStr">
        <is>
          <t>FLUSH</t>
        </is>
      </c>
      <c r="W5" s="82" t="inlineStr">
        <is>
          <t>AMWELD</t>
        </is>
      </c>
      <c r="X5" s="82" t="inlineStr">
        <is>
          <t>E1</t>
        </is>
      </c>
      <c r="Y5" s="82" t="inlineStr">
        <is>
          <t>-</t>
        </is>
      </c>
      <c r="Z5" s="82" t="inlineStr">
        <is>
          <t>-</t>
        </is>
      </c>
      <c r="AA5" s="82" t="n">
        <v>607</v>
      </c>
      <c r="AB5" s="82" t="inlineStr">
        <is>
          <t>RNB</t>
        </is>
      </c>
      <c r="AD5" s="82" t="inlineStr">
        <is>
          <t>NON-RATED</t>
        </is>
      </c>
      <c r="AE5" s="82" t="n">
        <v>0</v>
      </c>
      <c r="AF5" s="82" t="inlineStr">
        <is>
          <t>L</t>
        </is>
      </c>
      <c r="AH5" s="82" t="inlineStr">
        <is>
          <t>FIRE WALL|4</t>
        </is>
      </c>
      <c r="AI5" s="82" t="n">
        <v>180</v>
      </c>
    </row>
    <row r="6">
      <c r="A6" s="82" t="inlineStr">
        <is>
          <t>FRAME ONLY</t>
        </is>
      </c>
      <c r="B6" s="82" t="inlineStr">
        <is>
          <t>LOWER LEVEL</t>
        </is>
      </c>
      <c r="C6" s="82" t="inlineStr">
        <is>
          <t>EXTERIOR</t>
        </is>
      </c>
      <c r="D6" s="82" t="inlineStr">
        <is>
          <t>20 MIN</t>
        </is>
      </c>
      <c r="E6" s="82" t="inlineStr">
        <is>
          <t>3FH</t>
        </is>
      </c>
      <c r="F6" s="82" t="inlineStr">
        <is>
          <t>C</t>
        </is>
      </c>
      <c r="G6" s="82" t="n">
        <v>318</v>
      </c>
      <c r="H6" s="82" t="n">
        <v>16</v>
      </c>
      <c r="I6" s="82" t="inlineStr">
        <is>
          <t>G9</t>
        </is>
      </c>
      <c r="J6" s="82" t="inlineStr">
        <is>
          <t>KD</t>
        </is>
      </c>
      <c r="K6" s="82" t="inlineStr">
        <is>
          <t>EWA</t>
        </is>
      </c>
      <c r="L6" s="82" t="inlineStr">
        <is>
          <t>L</t>
        </is>
      </c>
      <c r="M6" s="82" t="inlineStr">
        <is>
          <t>Y</t>
        </is>
      </c>
      <c r="N6" s="82" t="inlineStr">
        <is>
          <t>CU</t>
        </is>
      </c>
      <c r="O6" s="82" t="inlineStr">
        <is>
          <t>EH</t>
        </is>
      </c>
      <c r="P6" s="82" t="inlineStr">
        <is>
          <t>E1</t>
        </is>
      </c>
      <c r="Q6" s="82" t="inlineStr">
        <is>
          <t>CH</t>
        </is>
      </c>
      <c r="R6" s="82" t="inlineStr">
        <is>
          <t>E10</t>
        </is>
      </c>
      <c r="S6" s="82" t="inlineStr">
        <is>
          <t>RK</t>
        </is>
      </c>
      <c r="T6" s="82" t="n">
        <v>16</v>
      </c>
      <c r="U6" s="82" t="inlineStr">
        <is>
          <t>MC</t>
        </is>
      </c>
      <c r="V6" s="82" t="inlineStr">
        <is>
          <t>FNV-6"x27"</t>
        </is>
      </c>
      <c r="W6" s="82" t="inlineStr">
        <is>
          <t>CECO</t>
        </is>
      </c>
      <c r="X6" s="82" t="inlineStr">
        <is>
          <t>E1H1</t>
        </is>
      </c>
      <c r="Y6" s="82" t="inlineStr">
        <is>
          <t>N</t>
        </is>
      </c>
      <c r="Z6" s="82" t="inlineStr">
        <is>
          <t>Y</t>
        </is>
      </c>
      <c r="AA6" s="82" t="n">
        <v>707</v>
      </c>
      <c r="AB6" s="82" t="inlineStr">
        <is>
          <t>RWB</t>
        </is>
      </c>
      <c r="AD6" s="82" t="inlineStr">
        <is>
          <t>CORRIDOR</t>
        </is>
      </c>
      <c r="AE6" s="82" t="n">
        <v>0.5</v>
      </c>
      <c r="AF6" s="82" t="inlineStr">
        <is>
          <t>R</t>
        </is>
      </c>
      <c r="AH6" s="82" t="inlineStr">
        <is>
          <t>FIRE WALL|3</t>
        </is>
      </c>
      <c r="AI6" s="82" t="n">
        <v>180</v>
      </c>
    </row>
    <row r="7">
      <c r="A7" s="82" t="inlineStr">
        <is>
          <t>DOOR ONLY</t>
        </is>
      </c>
      <c r="B7" s="82" t="inlineStr">
        <is>
          <t>UPPER LEVEL</t>
        </is>
      </c>
      <c r="D7" s="82" t="inlineStr">
        <is>
          <t>45 MIN</t>
        </is>
      </c>
      <c r="E7" s="82" t="inlineStr">
        <is>
          <t>3FV</t>
        </is>
      </c>
      <c r="F7" s="82" t="inlineStr">
        <is>
          <t>MK</t>
        </is>
      </c>
      <c r="G7" s="82" t="n">
        <v>314</v>
      </c>
      <c r="I7" s="82" t="inlineStr">
        <is>
          <t>RK</t>
        </is>
      </c>
      <c r="K7" s="82" t="inlineStr">
        <is>
          <t>SC</t>
        </is>
      </c>
      <c r="L7" s="82" t="inlineStr">
        <is>
          <t>LR</t>
        </is>
      </c>
      <c r="O7" s="82" t="inlineStr">
        <is>
          <t>EPT</t>
        </is>
      </c>
      <c r="P7" s="82" t="inlineStr">
        <is>
          <t>E1E4</t>
        </is>
      </c>
      <c r="Q7" s="82" t="inlineStr">
        <is>
          <t>G20</t>
        </is>
      </c>
      <c r="R7" s="82" t="inlineStr">
        <is>
          <t>E10/E11</t>
        </is>
      </c>
      <c r="S7" s="82" t="inlineStr">
        <is>
          <t>SS</t>
        </is>
      </c>
      <c r="T7" s="82" t="n">
        <v>18</v>
      </c>
      <c r="U7" s="82" t="inlineStr">
        <is>
          <t>SCLC</t>
        </is>
      </c>
      <c r="V7" s="82" t="inlineStr">
        <is>
          <t>FNV-7"x22"</t>
        </is>
      </c>
      <c r="W7" s="82" t="inlineStr">
        <is>
          <t>CURRIES</t>
        </is>
      </c>
      <c r="X7" s="82" t="inlineStr">
        <is>
          <t>E1E4H1</t>
        </is>
      </c>
      <c r="Y7" s="82" t="inlineStr">
        <is>
          <t>S</t>
        </is>
      </c>
      <c r="AA7" s="82" t="n">
        <v>727</v>
      </c>
      <c r="AB7" s="82" t="inlineStr">
        <is>
          <t>PWM</t>
        </is>
      </c>
      <c r="AD7" s="82" t="inlineStr">
        <is>
          <t>FIRE PARTITION</t>
        </is>
      </c>
      <c r="AE7" s="82" t="n">
        <v>1</v>
      </c>
      <c r="AF7" s="82" t="inlineStr">
        <is>
          <t>LR</t>
        </is>
      </c>
      <c r="AH7" s="82" t="inlineStr">
        <is>
          <t>FIRE WALL|2</t>
        </is>
      </c>
      <c r="AI7" s="82" t="n">
        <v>90</v>
      </c>
    </row>
    <row r="8">
      <c r="B8" s="82" t="inlineStr">
        <is>
          <t>GROUND</t>
        </is>
      </c>
      <c r="D8" s="82" t="inlineStr">
        <is>
          <t>60 MIN</t>
        </is>
      </c>
      <c r="E8" s="82" t="inlineStr">
        <is>
          <t>4F</t>
        </is>
      </c>
      <c r="F8" s="82" t="inlineStr">
        <is>
          <t>CK</t>
        </is>
      </c>
      <c r="G8" s="82" t="n">
        <v>338</v>
      </c>
      <c r="I8" s="82" t="inlineStr">
        <is>
          <t>SS</t>
        </is>
      </c>
      <c r="K8" s="82" t="inlineStr">
        <is>
          <t>SSA</t>
        </is>
      </c>
      <c r="L8" s="82" t="inlineStr">
        <is>
          <t>L-A</t>
        </is>
      </c>
      <c r="O8" s="82" t="inlineStr">
        <is>
          <t>EPT RW</t>
        </is>
      </c>
      <c r="P8" s="82" t="inlineStr">
        <is>
          <t>E2E4</t>
        </is>
      </c>
      <c r="Q8" s="82" t="inlineStr">
        <is>
          <t>H5</t>
        </is>
      </c>
      <c r="R8" s="82" t="inlineStr">
        <is>
          <t>E11</t>
        </is>
      </c>
      <c r="S8" s="82" t="inlineStr">
        <is>
          <t>FRP</t>
        </is>
      </c>
      <c r="U8" s="82" t="inlineStr">
        <is>
          <t>P-LAM</t>
        </is>
      </c>
      <c r="V8" s="82" t="inlineStr">
        <is>
          <t>FNV-CUSTOM ELEV</t>
        </is>
      </c>
      <c r="W8" s="82" t="inlineStr">
        <is>
          <t>PIONEER</t>
        </is>
      </c>
      <c r="X8" s="82" t="inlineStr">
        <is>
          <t>E1E4</t>
        </is>
      </c>
      <c r="Y8" s="82" t="inlineStr">
        <is>
          <t>T</t>
        </is>
      </c>
      <c r="AA8" s="82" t="n">
        <v>737</v>
      </c>
      <c r="AB8" s="82" t="inlineStr">
        <is>
          <t>SRO</t>
        </is>
      </c>
      <c r="AD8" s="82" t="inlineStr">
        <is>
          <t>FIRE BARRIER</t>
        </is>
      </c>
      <c r="AE8" s="82" t="n">
        <v>1.5</v>
      </c>
      <c r="AH8" s="82" t="inlineStr">
        <is>
          <t>FIRE WALL|1.5</t>
        </is>
      </c>
      <c r="AI8" s="82" t="n">
        <v>90</v>
      </c>
    </row>
    <row r="9">
      <c r="B9" s="82" t="inlineStr">
        <is>
          <t>1st</t>
        </is>
      </c>
      <c r="D9" s="82" t="inlineStr">
        <is>
          <t>90 MIN</t>
        </is>
      </c>
      <c r="E9" s="82" t="inlineStr">
        <is>
          <t>BL</t>
        </is>
      </c>
      <c r="G9" s="82" t="n">
        <v>312</v>
      </c>
      <c r="K9" s="82" t="inlineStr">
        <is>
          <t>T</t>
        </is>
      </c>
      <c r="L9" s="82" t="inlineStr">
        <is>
          <t>LR-A</t>
        </is>
      </c>
      <c r="O9" s="82" t="inlineStr">
        <is>
          <t>E9 RW</t>
        </is>
      </c>
      <c r="P9" s="82" t="inlineStr">
        <is>
          <t>E3</t>
        </is>
      </c>
      <c r="Q9" s="82" t="inlineStr">
        <is>
          <t>RL</t>
        </is>
      </c>
      <c r="R9" s="82" t="inlineStr">
        <is>
          <t>E17</t>
        </is>
      </c>
      <c r="S9" s="82" t="inlineStr">
        <is>
          <t>OAK-MC</t>
        </is>
      </c>
      <c r="V9" s="82" t="inlineStr">
        <is>
          <t>FV-12"x12"</t>
        </is>
      </c>
      <c r="W9" s="82" t="inlineStr">
        <is>
          <t>STEELCRAFT</t>
        </is>
      </c>
      <c r="X9" s="82" t="inlineStr">
        <is>
          <t>E2E4</t>
        </is>
      </c>
      <c r="AA9" s="82" t="n">
        <v>747</v>
      </c>
      <c r="AB9" s="82" t="inlineStr">
        <is>
          <t>PSW</t>
        </is>
      </c>
      <c r="AD9" s="82" t="inlineStr">
        <is>
          <t>SHAFT / EXIT ENCL.</t>
        </is>
      </c>
      <c r="AE9" s="82" t="n">
        <v>2</v>
      </c>
      <c r="AH9" s="82" t="inlineStr">
        <is>
          <t>FIRE BARRIER|4</t>
        </is>
      </c>
      <c r="AI9" s="82" t="n">
        <v>180</v>
      </c>
    </row>
    <row r="10">
      <c r="B10" s="82" t="inlineStr">
        <is>
          <t>2nd</t>
        </is>
      </c>
      <c r="D10" s="82" t="inlineStr">
        <is>
          <t>180 MIN</t>
        </is>
      </c>
      <c r="E10" s="82" t="inlineStr">
        <is>
          <t>SL</t>
        </is>
      </c>
      <c r="G10" s="82" t="n">
        <v>358</v>
      </c>
      <c r="K10" s="82" t="inlineStr">
        <is>
          <t>WEWA-M</t>
        </is>
      </c>
      <c r="L10" s="82" t="inlineStr">
        <is>
          <t>L-I</t>
        </is>
      </c>
      <c r="O10" s="82" t="inlineStr">
        <is>
          <t>HGC</t>
        </is>
      </c>
      <c r="P10" s="82" t="inlineStr">
        <is>
          <t>E4</t>
        </is>
      </c>
      <c r="R10" s="82" t="inlineStr">
        <is>
          <t>E18</t>
        </is>
      </c>
      <c r="S10" s="82" t="inlineStr">
        <is>
          <t>OAK-PC</t>
        </is>
      </c>
      <c r="V10" s="82" t="inlineStr">
        <is>
          <t>FV-CUSTOM ELEV</t>
        </is>
      </c>
      <c r="W10" s="82" t="inlineStr">
        <is>
          <t>CUSTOM LOC</t>
        </is>
      </c>
      <c r="X10" s="82" t="inlineStr">
        <is>
          <t>G2</t>
        </is>
      </c>
      <c r="AA10" s="82" t="n">
        <v>757</v>
      </c>
      <c r="AB10" s="82" t="inlineStr">
        <is>
          <t>PSC</t>
        </is>
      </c>
      <c r="AD10" s="82" t="inlineStr">
        <is>
          <t>FIRE WALL</t>
        </is>
      </c>
      <c r="AE10" s="82" t="n">
        <v>3</v>
      </c>
      <c r="AH10" s="82" t="inlineStr">
        <is>
          <t>FIRE BARRIER|3</t>
        </is>
      </c>
      <c r="AI10" s="82" t="n">
        <v>180</v>
      </c>
    </row>
    <row r="11">
      <c r="B11" s="82" t="inlineStr">
        <is>
          <t>3rd</t>
        </is>
      </c>
      <c r="G11" s="82" t="n">
        <v>334</v>
      </c>
      <c r="K11" s="82" t="inlineStr">
        <is>
          <t>WEWA-W</t>
        </is>
      </c>
      <c r="L11" s="82" t="inlineStr">
        <is>
          <t>LR-I</t>
        </is>
      </c>
      <c r="O11" s="82" t="inlineStr">
        <is>
          <t>U453</t>
        </is>
      </c>
      <c r="P11" s="82" t="inlineStr">
        <is>
          <t>E8</t>
        </is>
      </c>
      <c r="R11" s="82" t="inlineStr">
        <is>
          <t>CC</t>
        </is>
      </c>
      <c r="S11" s="82" t="inlineStr">
        <is>
          <t>BIR-MC</t>
        </is>
      </c>
      <c r="V11" s="82" t="inlineStr">
        <is>
          <t>HG-24"x30"</t>
        </is>
      </c>
      <c r="X11" s="82" t="inlineStr">
        <is>
          <t>G2A</t>
        </is>
      </c>
      <c r="AA11" s="82" t="n">
        <v>777</v>
      </c>
      <c r="AB11" s="82" t="inlineStr">
        <is>
          <t>FCM</t>
        </is>
      </c>
      <c r="AD11" s="82" t="inlineStr">
        <is>
          <t>SMOKE BARRIER</t>
        </is>
      </c>
      <c r="AE11" s="82" t="n">
        <v>4</v>
      </c>
      <c r="AH11" s="82" t="inlineStr">
        <is>
          <t>FIRE BARRIER|2</t>
        </is>
      </c>
      <c r="AI11" s="82" t="n">
        <v>90</v>
      </c>
    </row>
    <row r="12">
      <c r="B12" s="82" t="inlineStr">
        <is>
          <t>4th</t>
        </is>
      </c>
      <c r="G12" s="82" t="n">
        <v>378</v>
      </c>
      <c r="K12" s="82" t="inlineStr">
        <is>
          <t>WMA</t>
        </is>
      </c>
      <c r="L12" s="82" t="inlineStr">
        <is>
          <t>PR</t>
        </is>
      </c>
      <c r="O12" s="82" t="inlineStr">
        <is>
          <t>U454</t>
        </is>
      </c>
      <c r="P12" s="82" t="inlineStr">
        <is>
          <t>E9</t>
        </is>
      </c>
      <c r="S12" s="82" t="inlineStr">
        <is>
          <t>BIR-PC</t>
        </is>
      </c>
      <c r="V12" s="82" t="inlineStr">
        <is>
          <t>HG-24"x36"</t>
        </is>
      </c>
      <c r="X12" s="82" t="inlineStr">
        <is>
          <t>G2G2</t>
        </is>
      </c>
      <c r="AB12" s="82" t="inlineStr">
        <is>
          <t>To Match Existing</t>
        </is>
      </c>
      <c r="AD12" s="82" t="inlineStr">
        <is>
          <t>EXTERIOR</t>
        </is>
      </c>
      <c r="AH12" s="82" t="inlineStr">
        <is>
          <t>FIRE BARRIER|1.5</t>
        </is>
      </c>
      <c r="AI12" s="82" t="n">
        <v>90</v>
      </c>
    </row>
    <row r="13">
      <c r="B13" s="82" t="inlineStr">
        <is>
          <t>5th</t>
        </is>
      </c>
      <c r="G13" s="82" t="n">
        <v>4</v>
      </c>
      <c r="L13" s="82" t="inlineStr">
        <is>
          <t>R</t>
        </is>
      </c>
      <c r="P13" s="82" t="inlineStr">
        <is>
          <t>G18</t>
        </is>
      </c>
      <c r="S13" s="82" t="inlineStr">
        <is>
          <t>MAP-MC</t>
        </is>
      </c>
      <c r="V13" s="82" t="inlineStr">
        <is>
          <t>HG-CUSTOM ELEV</t>
        </is>
      </c>
      <c r="X13" s="82" t="inlineStr">
        <is>
          <t>G3</t>
        </is>
      </c>
      <c r="AH13" s="82" t="inlineStr">
        <is>
          <t>FIRE BARRIER|1</t>
        </is>
      </c>
      <c r="AI13" s="82" t="n">
        <v>45</v>
      </c>
    </row>
    <row r="14">
      <c r="B14" s="82" t="inlineStr">
        <is>
          <t>6th</t>
        </is>
      </c>
      <c r="G14" s="82" t="n">
        <v>418</v>
      </c>
      <c r="L14" s="82" t="inlineStr">
        <is>
          <t>RR</t>
        </is>
      </c>
      <c r="P14" s="82" t="inlineStr">
        <is>
          <t>H5</t>
        </is>
      </c>
      <c r="S14" s="82" t="inlineStr">
        <is>
          <t>MAP-PC</t>
        </is>
      </c>
      <c r="V14" s="82" t="inlineStr">
        <is>
          <t>FG-24"x60"</t>
        </is>
      </c>
      <c r="X14" s="82" t="inlineStr">
        <is>
          <t>G3A</t>
        </is>
      </c>
      <c r="AH14" s="82" t="inlineStr">
        <is>
          <t>SHAFT / EXIT ENCL.|2</t>
        </is>
      </c>
      <c r="AI14" s="82" t="n">
        <v>90</v>
      </c>
    </row>
    <row r="15">
      <c r="B15" s="82" t="inlineStr">
        <is>
          <t>7th</t>
        </is>
      </c>
      <c r="G15" s="82" t="n">
        <v>414</v>
      </c>
      <c r="L15" s="82" t="inlineStr">
        <is>
          <t>R-A</t>
        </is>
      </c>
      <c r="P15" s="82" t="inlineStr">
        <is>
          <t>RL</t>
        </is>
      </c>
      <c r="V15" s="82" t="inlineStr">
        <is>
          <t>FG-24"x64"</t>
        </is>
      </c>
      <c r="X15" s="82" t="inlineStr">
        <is>
          <t>G3AEO</t>
        </is>
      </c>
      <c r="AH15" s="82" t="inlineStr">
        <is>
          <t>SHAFT / EXIT ENCL.|1</t>
        </is>
      </c>
      <c r="AI15" s="82" t="n">
        <v>60</v>
      </c>
    </row>
    <row r="16">
      <c r="G16" s="82" t="n">
        <v>438</v>
      </c>
      <c r="L16" s="82" t="inlineStr">
        <is>
          <t>RR-A</t>
        </is>
      </c>
      <c r="V16" s="82" t="inlineStr">
        <is>
          <t>FG-CUSTOM ELEV</t>
        </is>
      </c>
      <c r="X16" s="82" t="inlineStr">
        <is>
          <t>G11</t>
        </is>
      </c>
      <c r="AH16" s="82" t="inlineStr">
        <is>
          <t>CORRIDOR|1</t>
        </is>
      </c>
      <c r="AI16" s="82" t="n">
        <v>20</v>
      </c>
    </row>
    <row r="17">
      <c r="G17" s="82" t="n">
        <v>412</v>
      </c>
      <c r="L17" s="82" t="inlineStr">
        <is>
          <t>R-I</t>
        </is>
      </c>
      <c r="V17" s="82" t="inlineStr">
        <is>
          <t>FL-12"x12"</t>
        </is>
      </c>
      <c r="X17" s="82" t="inlineStr">
        <is>
          <t>G11A</t>
        </is>
      </c>
      <c r="AH17" s="82" t="inlineStr">
        <is>
          <t>CORRIDOR|0.5</t>
        </is>
      </c>
      <c r="AI17" s="82" t="n">
        <v>20</v>
      </c>
    </row>
    <row r="18">
      <c r="G18" s="82" t="n">
        <v>458</v>
      </c>
      <c r="L18" s="82" t="inlineStr">
        <is>
          <t>RR-I</t>
        </is>
      </c>
      <c r="V18" s="82" t="inlineStr">
        <is>
          <t>FL-24"x12"</t>
        </is>
      </c>
      <c r="X18" s="82" t="inlineStr">
        <is>
          <t>G12</t>
        </is>
      </c>
      <c r="AH18" s="82" t="inlineStr">
        <is>
          <t>FIRE PARTITION|1</t>
        </is>
      </c>
      <c r="AI18" s="82" t="n">
        <v>45</v>
      </c>
    </row>
    <row r="19">
      <c r="G19" s="82" t="n">
        <v>434</v>
      </c>
      <c r="L19" s="82" t="inlineStr">
        <is>
          <t>DA</t>
        </is>
      </c>
      <c r="V19" s="82" t="inlineStr">
        <is>
          <t>FL-24"x24"</t>
        </is>
      </c>
      <c r="X19" s="82" t="inlineStr">
        <is>
          <t>G12A</t>
        </is>
      </c>
      <c r="AH19" s="82" t="inlineStr">
        <is>
          <t>FIRE PARTITION|0.5</t>
        </is>
      </c>
      <c r="AI19" s="82" t="n">
        <v>20</v>
      </c>
    </row>
    <row r="20">
      <c r="G20" s="82" t="n">
        <v>478</v>
      </c>
      <c r="L20" s="82" t="inlineStr">
        <is>
          <t>BA</t>
        </is>
      </c>
      <c r="V20" s="82" t="inlineStr">
        <is>
          <t>FP.1/2" VIEWER</t>
        </is>
      </c>
      <c r="X20" s="82" t="inlineStr">
        <is>
          <t>G17</t>
        </is>
      </c>
      <c r="AH20" s="82" t="inlineStr">
        <is>
          <t>SMOKE BARRIER|1</t>
        </is>
      </c>
      <c r="AI20" s="82" t="n">
        <v>20</v>
      </c>
    </row>
    <row r="21">
      <c r="G21" s="82" t="n">
        <v>5</v>
      </c>
      <c r="V21" s="82" t="inlineStr">
        <is>
          <t>FP1.9/16" VIEWER</t>
        </is>
      </c>
      <c r="X21" s="82" t="inlineStr">
        <is>
          <t>G18</t>
        </is>
      </c>
      <c r="AH21" s="82" t="inlineStr">
        <is>
          <t>EXTERIOR|3</t>
        </is>
      </c>
      <c r="AI21" s="82" t="n">
        <v>180</v>
      </c>
    </row>
    <row r="22">
      <c r="G22" s="82" t="n">
        <v>518</v>
      </c>
      <c r="V22" s="82" t="inlineStr">
        <is>
          <t>FG-22"x60" (WD)</t>
        </is>
      </c>
      <c r="X22" s="82" t="inlineStr">
        <is>
          <t>G18G16</t>
        </is>
      </c>
      <c r="AH22" s="82" t="inlineStr">
        <is>
          <t>EXTERIOR|2</t>
        </is>
      </c>
      <c r="AI22" s="82" t="n">
        <v>90</v>
      </c>
    </row>
    <row r="23">
      <c r="G23" s="82" t="n">
        <v>514</v>
      </c>
      <c r="V23" s="82" t="inlineStr">
        <is>
          <t>FG-22"x64" (WD)</t>
        </is>
      </c>
      <c r="X23" s="82" t="inlineStr">
        <is>
          <t>G18E3</t>
        </is>
      </c>
      <c r="AH23" s="82" t="inlineStr">
        <is>
          <t>EXTERIOR|1</t>
        </is>
      </c>
      <c r="AI23" s="82" t="n">
        <v>45</v>
      </c>
    </row>
    <row r="24">
      <c r="G24" s="82" t="n">
        <v>538</v>
      </c>
      <c r="X24" s="82" t="inlineStr">
        <is>
          <t>G18E4</t>
        </is>
      </c>
    </row>
    <row r="25">
      <c r="G25" s="82" t="n">
        <v>512</v>
      </c>
      <c r="X25" s="82" t="inlineStr">
        <is>
          <t>G19</t>
        </is>
      </c>
      <c r="AH25" s="82" t="inlineStr">
        <is>
          <t>Source: 2021 IBC Table 716.1(2). Corridor and smoke-barrier doors also need smoke and draft control (S label).</t>
        </is>
      </c>
    </row>
    <row r="26">
      <c r="G26" s="82" t="n">
        <v>558</v>
      </c>
      <c r="X26" s="82" t="inlineStr">
        <is>
          <t>H1</t>
        </is>
      </c>
    </row>
    <row r="27">
      <c r="G27" s="82" t="n">
        <v>534</v>
      </c>
      <c r="X27" s="82" t="inlineStr">
        <is>
          <t>RL</t>
        </is>
      </c>
    </row>
    <row r="28">
      <c r="G28" s="82" t="n">
        <v>578</v>
      </c>
    </row>
    <row r="29">
      <c r="G29" s="82" t="n">
        <v>6</v>
      </c>
    </row>
    <row r="30">
      <c r="G30" s="82" t="n">
        <v>618</v>
      </c>
    </row>
    <row r="31">
      <c r="G31" s="82" t="n">
        <v>614</v>
      </c>
    </row>
    <row r="32">
      <c r="G32" s="82" t="n">
        <v>638</v>
      </c>
    </row>
    <row r="33">
      <c r="G33" s="82" t="n">
        <v>612</v>
      </c>
    </row>
    <row r="34">
      <c r="G34" s="82" t="n">
        <v>658</v>
      </c>
    </row>
    <row r="35">
      <c r="G35" s="82" t="n">
        <v>634</v>
      </c>
    </row>
    <row r="36">
      <c r="G36" s="82" t="n">
        <v>678</v>
      </c>
    </row>
    <row r="37">
      <c r="G37" s="82" t="n">
        <v>7</v>
      </c>
    </row>
    <row r="38">
      <c r="G38" s="82" t="n">
        <v>718</v>
      </c>
    </row>
    <row r="39">
      <c r="G39" s="82" t="n">
        <v>714</v>
      </c>
    </row>
    <row r="40">
      <c r="G40" s="82" t="n">
        <v>738</v>
      </c>
    </row>
    <row r="41">
      <c r="G41" s="82" t="n">
        <v>712</v>
      </c>
    </row>
    <row r="42">
      <c r="G42" s="82" t="n">
        <v>758</v>
      </c>
    </row>
    <row r="43">
      <c r="G43" s="82" t="n">
        <v>734</v>
      </c>
    </row>
    <row r="44">
      <c r="G44" s="82" t="n">
        <v>778</v>
      </c>
    </row>
    <row r="45">
      <c r="G45" s="82" t="n">
        <v>8</v>
      </c>
    </row>
    <row r="46">
      <c r="G46" s="82" t="n">
        <v>818</v>
      </c>
    </row>
    <row r="47">
      <c r="G47" s="82" t="n">
        <v>814</v>
      </c>
    </row>
    <row r="48">
      <c r="G48" s="82" t="n">
        <v>838</v>
      </c>
    </row>
    <row r="49">
      <c r="G49" s="82" t="n">
        <v>812</v>
      </c>
    </row>
    <row r="50">
      <c r="G50" s="82" t="n">
        <v>858</v>
      </c>
    </row>
    <row r="51">
      <c r="G51" s="82" t="n">
        <v>834</v>
      </c>
    </row>
    <row r="52">
      <c r="G52" s="82" t="n">
        <v>878</v>
      </c>
    </row>
    <row r="53">
      <c r="G53" s="82" t="n">
        <v>9</v>
      </c>
    </row>
    <row r="54">
      <c r="G54" s="82" t="n">
        <v>918</v>
      </c>
    </row>
    <row r="55">
      <c r="G55" s="82" t="n">
        <v>914</v>
      </c>
    </row>
    <row r="56">
      <c r="G56" s="82" t="n">
        <v>938</v>
      </c>
    </row>
    <row r="57">
      <c r="G57" s="82" t="n">
        <v>912</v>
      </c>
    </row>
    <row r="58">
      <c r="G58" s="82" t="n">
        <v>958</v>
      </c>
    </row>
    <row r="59">
      <c r="G59" s="82" t="n">
        <v>934</v>
      </c>
    </row>
    <row r="60">
      <c r="G60" s="82" t="n">
        <v>978</v>
      </c>
    </row>
    <row r="61">
      <c r="G61" s="82" t="n">
        <v>10</v>
      </c>
    </row>
    <row r="62">
      <c r="G62" s="82" t="n">
        <v>1018</v>
      </c>
    </row>
    <row r="63">
      <c r="G63" s="82" t="n">
        <v>1014</v>
      </c>
    </row>
    <row r="64">
      <c r="G64" s="82" t="n">
        <v>1038</v>
      </c>
    </row>
    <row r="65">
      <c r="G65" s="82" t="n">
        <v>1012</v>
      </c>
    </row>
    <row r="66">
      <c r="G66" s="82" t="n">
        <v>1058</v>
      </c>
    </row>
    <row r="67">
      <c r="G67" s="82" t="n">
        <v>1034</v>
      </c>
    </row>
    <row r="68">
      <c r="G68" s="82" t="n">
        <v>1078</v>
      </c>
    </row>
    <row r="69">
      <c r="G69" s="82" t="n">
        <v>11</v>
      </c>
    </row>
    <row r="70">
      <c r="G70" s="82" t="n">
        <v>1118</v>
      </c>
    </row>
    <row r="71">
      <c r="G71" s="82" t="n">
        <v>1114</v>
      </c>
    </row>
    <row r="72">
      <c r="G72" s="82" t="n">
        <v>1138</v>
      </c>
    </row>
    <row r="73">
      <c r="G73" s="82" t="n">
        <v>1112</v>
      </c>
    </row>
    <row r="74">
      <c r="G74" s="82" t="n">
        <v>1158</v>
      </c>
    </row>
    <row r="75">
      <c r="G75" s="82" t="n">
        <v>1134</v>
      </c>
    </row>
    <row r="76">
      <c r="G76" s="82" t="n">
        <v>1178</v>
      </c>
    </row>
    <row r="77">
      <c r="G77" s="82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AA5B1"/>
    <outlinePr summaryBelow="1" summaryRight="1"/>
    <pageSetUpPr/>
  </sheetPr>
  <dimension ref="A1:B20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</cols>
  <sheetData>
    <row r="1">
      <c r="A1" s="31" t="inlineStr">
        <is>
          <t>ORDER CODES</t>
        </is>
      </c>
    </row>
    <row r="2">
      <c r="A2" s="28" t="inlineStr">
        <is>
          <t>What each code prints on the order line. The order lines on the Takeoff sheet read this table — edit a description here and every line follows.</t>
        </is>
      </c>
    </row>
    <row r="4">
      <c r="A4" s="75" t="inlineStr">
        <is>
          <t>CODE</t>
        </is>
      </c>
      <c r="B4" s="75" t="inlineStr">
        <is>
          <t>PRINTS AS</t>
        </is>
      </c>
    </row>
    <row r="5">
      <c r="A5" s="82" t="inlineStr">
        <is>
          <t>_14</t>
        </is>
      </c>
      <c r="B5" s="82" t="inlineStr">
        <is>
          <t xml:space="preserve">14GA </t>
        </is>
      </c>
    </row>
    <row r="6">
      <c r="A6" s="82" t="inlineStr">
        <is>
          <t>_16</t>
        </is>
      </c>
      <c r="B6" s="82" t="inlineStr">
        <is>
          <t xml:space="preserve">16GA </t>
        </is>
      </c>
    </row>
    <row r="7">
      <c r="A7" s="82" t="inlineStr">
        <is>
          <t>_18</t>
        </is>
      </c>
      <c r="B7" s="82" t="inlineStr">
        <is>
          <t xml:space="preserve">18GA </t>
        </is>
      </c>
    </row>
    <row r="8">
      <c r="A8" s="82" t="inlineStr">
        <is>
          <t>3F</t>
        </is>
      </c>
      <c r="B8" s="82" t="inlineStr">
        <is>
          <t>FRAME</t>
        </is>
      </c>
    </row>
    <row r="9">
      <c r="A9" s="82" t="inlineStr">
        <is>
          <t>3FH</t>
        </is>
      </c>
      <c r="B9" s="82" t="inlineStr">
        <is>
          <t>TRANSOM</t>
        </is>
      </c>
    </row>
    <row r="10">
      <c r="A10" s="82" t="inlineStr">
        <is>
          <t>3FV</t>
        </is>
      </c>
      <c r="B10" s="82" t="inlineStr">
        <is>
          <t>MULTI-FR w/MULL</t>
        </is>
      </c>
    </row>
    <row r="11">
      <c r="A11" s="82" t="inlineStr">
        <is>
          <t>4F</t>
        </is>
      </c>
      <c r="B11" s="82" t="inlineStr">
        <is>
          <t>4 Sided Frame</t>
        </is>
      </c>
    </row>
    <row r="12">
      <c r="A12" s="82" t="inlineStr">
        <is>
          <t>BL</t>
        </is>
      </c>
      <c r="B12" s="82" t="inlineStr">
        <is>
          <t>BORRLITE</t>
        </is>
      </c>
    </row>
    <row r="13">
      <c r="A13" s="82" t="inlineStr">
        <is>
          <t>BSC</t>
        </is>
      </c>
      <c r="B13" s="82" t="inlineStr">
        <is>
          <t>STEELCRAFT DOOR</t>
        </is>
      </c>
    </row>
    <row r="14">
      <c r="A14" s="82" t="inlineStr">
        <is>
          <t>CA</t>
        </is>
      </c>
      <c r="B14" s="82" t="inlineStr">
        <is>
          <t>COMP</t>
        </is>
      </c>
    </row>
    <row r="15">
      <c r="A15" s="82" t="inlineStr">
        <is>
          <t>CL</t>
        </is>
      </c>
      <c r="B15" s="82" t="inlineStr">
        <is>
          <t>Closer</t>
        </is>
      </c>
    </row>
    <row r="16">
      <c r="A16" s="82" t="inlineStr">
        <is>
          <t>CR</t>
        </is>
      </c>
      <c r="B16" s="82" t="inlineStr">
        <is>
          <t>HM</t>
        </is>
      </c>
    </row>
    <row r="17">
      <c r="A17" s="82" t="inlineStr">
        <is>
          <t>CU</t>
        </is>
      </c>
      <c r="B17" s="82" t="inlineStr">
        <is>
          <t>CURRIES</t>
        </is>
      </c>
    </row>
    <row r="18">
      <c r="A18" s="82" t="inlineStr">
        <is>
          <t>E1</t>
        </is>
      </c>
      <c r="B18" s="82" t="inlineStr">
        <is>
          <t>1-478.STK</t>
        </is>
      </c>
    </row>
    <row r="19">
      <c r="A19" s="82" t="inlineStr">
        <is>
          <t>E10</t>
        </is>
      </c>
      <c r="B19" s="82" t="inlineStr">
        <is>
          <t>Regular Arm Closer Reinforcement</t>
        </is>
      </c>
    </row>
    <row r="20">
      <c r="A20" s="82" t="inlineStr">
        <is>
          <t>E11</t>
        </is>
      </c>
      <c r="B20" s="82" t="inlineStr">
        <is>
          <t>Parallel Arm Closer Reinforcement</t>
        </is>
      </c>
    </row>
    <row r="21">
      <c r="A21" s="82" t="inlineStr">
        <is>
          <t>E18</t>
        </is>
      </c>
      <c r="B21" s="82" t="inlineStr">
        <is>
          <t>Closer</t>
        </is>
      </c>
    </row>
    <row r="22">
      <c r="A22" s="82" t="inlineStr">
        <is>
          <t>E1H1</t>
        </is>
      </c>
      <c r="B22" s="82" t="inlineStr">
        <is>
          <t>478.STK&amp;F.BOLT</t>
        </is>
      </c>
    </row>
    <row r="23">
      <c r="A23" s="82" t="inlineStr">
        <is>
          <t>E3</t>
        </is>
      </c>
      <c r="B23" s="82" t="inlineStr">
        <is>
          <t>1-DB.STR234</t>
        </is>
      </c>
    </row>
    <row r="24">
      <c r="A24" s="82" t="inlineStr">
        <is>
          <t>E4</t>
        </is>
      </c>
      <c r="B24" s="82" t="inlineStr">
        <is>
          <t>1-DB.STK</t>
        </is>
      </c>
    </row>
    <row r="25">
      <c r="A25" s="82" t="inlineStr">
        <is>
          <t>E6</t>
        </is>
      </c>
      <c r="B25" s="82" t="inlineStr">
        <is>
          <t>Embossed 6 Panel Door</t>
        </is>
      </c>
    </row>
    <row r="26">
      <c r="A26" s="82" t="inlineStr">
        <is>
          <t>E8</t>
        </is>
      </c>
      <c r="B26" s="82" t="inlineStr">
        <is>
          <t xml:space="preserve">1-RIM </t>
        </is>
      </c>
    </row>
    <row r="27">
      <c r="A27" s="82" t="inlineStr">
        <is>
          <t>E9</t>
        </is>
      </c>
      <c r="B27" s="82" t="inlineStr">
        <is>
          <t>1-ELEC</t>
        </is>
      </c>
    </row>
    <row r="28">
      <c r="A28" s="82" t="inlineStr">
        <is>
          <t>EH</t>
        </is>
      </c>
      <c r="B28" s="82" t="inlineStr">
        <is>
          <t>1.ELEC.HINGE</t>
        </is>
      </c>
    </row>
    <row r="29">
      <c r="A29" s="82" t="inlineStr">
        <is>
          <t>EPT</t>
        </is>
      </c>
      <c r="B29" s="82" t="inlineStr">
        <is>
          <t>EPT</t>
        </is>
      </c>
    </row>
    <row r="30">
      <c r="A30" s="82" t="inlineStr">
        <is>
          <t>F</t>
        </is>
      </c>
      <c r="B30" s="82" t="inlineStr">
        <is>
          <t>FLUSH</t>
        </is>
      </c>
    </row>
    <row r="31">
      <c r="A31" s="82" t="inlineStr">
        <is>
          <t>FG</t>
        </is>
      </c>
      <c r="B31" s="82" t="inlineStr">
        <is>
          <t>FG w/ KIT</t>
        </is>
      </c>
    </row>
    <row r="32">
      <c r="A32" s="82" t="inlineStr">
        <is>
          <t>FNV</t>
        </is>
      </c>
      <c r="B32" s="82" t="inlineStr">
        <is>
          <t>FNV w/ KIT</t>
        </is>
      </c>
    </row>
    <row r="33">
      <c r="A33" s="82" t="inlineStr">
        <is>
          <t>FP1</t>
        </is>
      </c>
      <c r="B33" s="82" t="inlineStr">
        <is>
          <t>Door Viewer Prep 9/16"</t>
        </is>
      </c>
    </row>
    <row r="34">
      <c r="A34" s="82" t="inlineStr">
        <is>
          <t>FRP</t>
        </is>
      </c>
      <c r="B34" s="82" t="inlineStr">
        <is>
          <t>FRP</t>
        </is>
      </c>
    </row>
    <row r="35">
      <c r="A35" s="82" t="inlineStr">
        <is>
          <t>FV</t>
        </is>
      </c>
      <c r="B35" s="82" t="inlineStr">
        <is>
          <t>FV w/ KIT</t>
        </is>
      </c>
    </row>
    <row r="36">
      <c r="A36" s="82" t="inlineStr">
        <is>
          <t>G11</t>
        </is>
      </c>
      <c r="B36" s="82" t="inlineStr">
        <is>
          <t>RIM.PANIC</t>
        </is>
      </c>
    </row>
    <row r="37">
      <c r="A37" s="82" t="inlineStr">
        <is>
          <t>G11A</t>
        </is>
      </c>
      <c r="B37" s="82" t="inlineStr">
        <is>
          <t>RIM.VERT.ROD</t>
        </is>
      </c>
    </row>
    <row r="38">
      <c r="A38" s="82" t="inlineStr">
        <is>
          <t>G12</t>
        </is>
      </c>
      <c r="B38" s="82" t="inlineStr">
        <is>
          <t>MORT.EXIT</t>
        </is>
      </c>
    </row>
    <row r="39">
      <c r="A39" s="82" t="inlineStr">
        <is>
          <t>G12A</t>
        </is>
      </c>
      <c r="B39" s="82" t="inlineStr">
        <is>
          <t>CONC.VERT.ROD</t>
        </is>
      </c>
    </row>
    <row r="40">
      <c r="A40" s="82" t="inlineStr">
        <is>
          <t>G17</t>
        </is>
      </c>
      <c r="B40" s="82" t="inlineStr">
        <is>
          <t>MORT.DEADLOCK</t>
        </is>
      </c>
    </row>
    <row r="41">
      <c r="A41" s="82" t="inlineStr">
        <is>
          <t>G18</t>
        </is>
      </c>
      <c r="B41" s="82" t="inlineStr">
        <is>
          <t>BLANK</t>
        </is>
      </c>
    </row>
    <row r="42">
      <c r="A42" s="82" t="inlineStr">
        <is>
          <t>G19</t>
        </is>
      </c>
      <c r="B42" s="82" t="inlineStr">
        <is>
          <t>BLANK</t>
        </is>
      </c>
    </row>
    <row r="43">
      <c r="A43" s="82" t="inlineStr">
        <is>
          <t>G2</t>
        </is>
      </c>
      <c r="B43" s="82" t="inlineStr">
        <is>
          <t>CYL.161</t>
        </is>
      </c>
    </row>
    <row r="44">
      <c r="A44" s="82" t="inlineStr">
        <is>
          <t>G2G2</t>
        </is>
      </c>
      <c r="B44" s="82" t="inlineStr">
        <is>
          <t xml:space="preserve">CYL.161&amp;D.BOLT </t>
        </is>
      </c>
    </row>
    <row r="45">
      <c r="A45" s="82" t="inlineStr">
        <is>
          <t>G3A</t>
        </is>
      </c>
      <c r="B45" s="82" t="inlineStr">
        <is>
          <t>MORT.86</t>
        </is>
      </c>
    </row>
    <row r="46">
      <c r="A46" s="82" t="inlineStr">
        <is>
          <t>H1</t>
        </is>
      </c>
      <c r="B46" s="82" t="inlineStr">
        <is>
          <t>F.BOLT-ONLY</t>
        </is>
      </c>
    </row>
    <row r="47">
      <c r="A47" s="82" t="inlineStr">
        <is>
          <t>H5</t>
        </is>
      </c>
      <c r="B47" s="82" t="inlineStr">
        <is>
          <t>FB.STK</t>
        </is>
      </c>
    </row>
    <row r="48">
      <c r="A48" s="82" t="inlineStr">
        <is>
          <t>HG</t>
        </is>
      </c>
      <c r="B48" s="82" t="inlineStr">
        <is>
          <t>HG w/ KIT</t>
        </is>
      </c>
    </row>
    <row r="49">
      <c r="A49" s="82" t="inlineStr">
        <is>
          <t>HGC</t>
        </is>
      </c>
      <c r="B49" s="82" t="inlineStr">
        <is>
          <t>CONT.HNG</t>
        </is>
      </c>
    </row>
    <row r="50">
      <c r="A50" s="82" t="inlineStr">
        <is>
          <t>KD</t>
        </is>
      </c>
      <c r="B50" s="82" t="inlineStr">
        <is>
          <t>KD</t>
        </is>
      </c>
    </row>
    <row r="51">
      <c r="A51" s="82" t="inlineStr">
        <is>
          <t>M</t>
        </is>
      </c>
      <c r="B51" s="82" t="inlineStr">
        <is>
          <t>Unequal Double Rabbet Profile</t>
        </is>
      </c>
    </row>
    <row r="52">
      <c r="A52" s="82" t="inlineStr">
        <is>
          <t>MC</t>
        </is>
      </c>
      <c r="B52" s="82" t="inlineStr">
        <is>
          <t>MC DOOR</t>
        </is>
      </c>
    </row>
    <row r="53">
      <c r="A53" s="82" t="inlineStr">
        <is>
          <t>PC</t>
        </is>
      </c>
      <c r="B53" s="82" t="inlineStr">
        <is>
          <t>PC DOOR</t>
        </is>
      </c>
    </row>
    <row r="54">
      <c r="A54" s="82" t="inlineStr">
        <is>
          <t>P-LAM</t>
        </is>
      </c>
      <c r="B54" s="82" t="inlineStr">
        <is>
          <t>High Pressure Decorative Plastic Laminate</t>
        </is>
      </c>
    </row>
    <row r="55">
      <c r="A55" s="82" t="inlineStr">
        <is>
          <t>PWM</t>
        </is>
      </c>
      <c r="B55" s="82" t="inlineStr">
        <is>
          <t>Plain Sliced White Maple</t>
        </is>
      </c>
    </row>
    <row r="56">
      <c r="A56" s="82" t="inlineStr">
        <is>
          <t>RK</t>
        </is>
      </c>
      <c r="B56" s="82" t="inlineStr">
        <is>
          <t>HM.A60</t>
        </is>
      </c>
    </row>
    <row r="57">
      <c r="A57" s="82" t="inlineStr">
        <is>
          <t>RL</t>
        </is>
      </c>
      <c r="B57" s="82" t="inlineStr">
        <is>
          <t>R.LATCH</t>
        </is>
      </c>
    </row>
    <row r="58">
      <c r="A58" s="82" t="inlineStr">
        <is>
          <t>RNB</t>
        </is>
      </c>
      <c r="B58" s="82" t="inlineStr">
        <is>
          <t>STR-RNB</t>
        </is>
      </c>
    </row>
    <row r="59">
      <c r="A59" s="82" t="inlineStr">
        <is>
          <t>RW</t>
        </is>
      </c>
      <c r="B59" s="82" t="inlineStr">
        <is>
          <t>Electric Raceway</t>
        </is>
      </c>
    </row>
    <row r="60">
      <c r="A60" s="82" t="inlineStr">
        <is>
          <t>RWB</t>
        </is>
      </c>
      <c r="B60" s="82" t="inlineStr">
        <is>
          <t>Rotary Cut White Birch</t>
        </is>
      </c>
    </row>
    <row r="61">
      <c r="A61" s="82" t="inlineStr">
        <is>
          <t>SC</t>
        </is>
      </c>
      <c r="B61" s="82" t="inlineStr">
        <is>
          <t>SSA</t>
        </is>
      </c>
    </row>
    <row r="62">
      <c r="A62" s="82" t="inlineStr">
        <is>
          <t>SCLC</t>
        </is>
      </c>
      <c r="B62" s="82" t="inlineStr">
        <is>
          <t>Structural Composite Lumber Core</t>
        </is>
      </c>
    </row>
    <row r="63">
      <c r="A63" s="82" t="inlineStr">
        <is>
          <t>SL</t>
        </is>
      </c>
      <c r="B63" s="82" t="inlineStr">
        <is>
          <t>SIDELITE</t>
        </is>
      </c>
    </row>
    <row r="64">
      <c r="A64" s="82" t="inlineStr">
        <is>
          <t>SRO</t>
        </is>
      </c>
      <c r="B64" s="82" t="inlineStr">
        <is>
          <t>ST-OAK</t>
        </is>
      </c>
    </row>
    <row r="65">
      <c r="A65" s="82" t="inlineStr">
        <is>
          <t>SS</t>
        </is>
      </c>
      <c r="B65" s="82" t="inlineStr">
        <is>
          <t>SS</t>
        </is>
      </c>
    </row>
    <row r="66">
      <c r="A66" s="82" t="inlineStr">
        <is>
          <t>T</t>
        </is>
      </c>
      <c r="B66" s="82" t="inlineStr">
        <is>
          <t>T-MAS</t>
        </is>
      </c>
    </row>
    <row r="67">
      <c r="A67" s="82" t="inlineStr">
        <is>
          <t>U453</t>
        </is>
      </c>
      <c r="B67" s="82" t="inlineStr">
        <is>
          <t xml:space="preserve">3-HNG </t>
        </is>
      </c>
    </row>
    <row r="68">
      <c r="A68" s="82" t="inlineStr">
        <is>
          <t>U454</t>
        </is>
      </c>
      <c r="B68" s="82" t="inlineStr">
        <is>
          <t xml:space="preserve">4-HNG </t>
        </is>
      </c>
    </row>
    <row r="69">
      <c r="A69" s="82" t="inlineStr">
        <is>
          <t>WD</t>
        </is>
      </c>
      <c r="B69" s="82" t="inlineStr">
        <is>
          <t>WD</t>
        </is>
      </c>
    </row>
    <row r="70">
      <c r="A70" s="82" t="inlineStr">
        <is>
          <t>WGS</t>
        </is>
      </c>
      <c r="B70" s="82" t="inlineStr">
        <is>
          <t>WELDED</t>
        </is>
      </c>
    </row>
    <row r="71">
      <c r="A71" s="82" t="inlineStr">
        <is>
          <t>Y</t>
        </is>
      </c>
      <c r="B71" s="82" t="inlineStr">
        <is>
          <t>4" Head</t>
        </is>
      </c>
    </row>
    <row r="72">
      <c r="A72" s="82" t="inlineStr">
        <is>
          <t>-</t>
        </is>
      </c>
      <c r="B72" s="82" t="inlineStr">
        <is>
          <t xml:space="preserve"> </t>
        </is>
      </c>
    </row>
    <row r="73">
      <c r="A73" s="82" t="inlineStr">
        <is>
          <t>G2A</t>
        </is>
      </c>
      <c r="B73" s="82" t="inlineStr">
        <is>
          <t>CYL.MOD.161</t>
        </is>
      </c>
    </row>
    <row r="74">
      <c r="A74" s="82" t="inlineStr">
        <is>
          <t>CH</t>
        </is>
      </c>
      <c r="B74" s="82" t="inlineStr">
        <is>
          <t>COHS</t>
        </is>
      </c>
    </row>
    <row r="75">
      <c r="A75" s="82" t="inlineStr">
        <is>
          <t>E1E4</t>
        </is>
      </c>
      <c r="B75" s="82" t="inlineStr">
        <is>
          <t>1-478.STK&amp;DB.STK</t>
        </is>
      </c>
    </row>
    <row r="76">
      <c r="A76" s="82" t="inlineStr">
        <is>
          <t>VT</t>
        </is>
      </c>
      <c r="B76" s="82" t="inlineStr">
        <is>
          <t>WOOD DOOR</t>
        </is>
      </c>
    </row>
    <row r="77">
      <c r="A77" s="82" t="inlineStr">
        <is>
          <t>STREKO</t>
        </is>
      </c>
      <c r="B77" s="82" t="inlineStr">
        <is>
          <t>WOOD DOOR</t>
        </is>
      </c>
    </row>
    <row r="78">
      <c r="A78" s="82" t="n">
        <v>14</v>
      </c>
      <c r="B78" s="82" t="inlineStr">
        <is>
          <t>14GA</t>
        </is>
      </c>
    </row>
    <row r="79">
      <c r="A79" s="82" t="n">
        <v>16</v>
      </c>
      <c r="B79" s="82" t="inlineStr">
        <is>
          <t>16GA</t>
        </is>
      </c>
    </row>
    <row r="80">
      <c r="A80" s="82" t="n">
        <v>18</v>
      </c>
      <c r="B80" s="82" t="inlineStr">
        <is>
          <t>18GA</t>
        </is>
      </c>
    </row>
    <row r="81">
      <c r="A81" s="82" t="inlineStr">
        <is>
          <t>CC</t>
        </is>
      </c>
      <c r="B81" s="82" t="inlineStr">
        <is>
          <t>Conc. Closer</t>
        </is>
      </c>
    </row>
    <row r="82">
      <c r="A82" s="82" t="inlineStr">
        <is>
          <t>G20</t>
        </is>
      </c>
      <c r="B82" s="82" t="inlineStr">
        <is>
          <t>CVR</t>
        </is>
      </c>
    </row>
    <row r="83">
      <c r="A83" s="82" t="inlineStr">
        <is>
          <t>90 MIN</t>
        </is>
      </c>
      <c r="B83" s="82" t="inlineStr">
        <is>
          <t>90 MIN</t>
        </is>
      </c>
    </row>
    <row r="84">
      <c r="A84" s="82" t="inlineStr">
        <is>
          <t>45 MIN</t>
        </is>
      </c>
      <c r="B84" s="82" t="inlineStr">
        <is>
          <t>45 MIN</t>
        </is>
      </c>
    </row>
    <row r="85">
      <c r="A85" s="82" t="inlineStr">
        <is>
          <t>180 MIN</t>
        </is>
      </c>
      <c r="B85" s="82" t="inlineStr">
        <is>
          <t>180 MIN</t>
        </is>
      </c>
    </row>
    <row r="86">
      <c r="A86" s="82" t="inlineStr">
        <is>
          <t>NO LAB</t>
        </is>
      </c>
      <c r="B86" s="82" t="inlineStr">
        <is>
          <t>NO LABEL</t>
        </is>
      </c>
    </row>
    <row r="87">
      <c r="A87" s="82" t="inlineStr">
        <is>
          <t>G3AEO</t>
        </is>
      </c>
      <c r="B87" s="82" t="inlineStr">
        <is>
          <t>MORT.86.EDGE.ONLY</t>
        </is>
      </c>
    </row>
    <row r="88">
      <c r="A88" s="82" t="inlineStr">
        <is>
          <t>EL</t>
        </is>
      </c>
      <c r="B88" s="82" t="inlineStr">
        <is>
          <t>ELIASON</t>
        </is>
      </c>
    </row>
    <row r="89">
      <c r="A89" s="82" t="inlineStr">
        <is>
          <t>G30</t>
        </is>
      </c>
      <c r="B89" s="82" t="inlineStr">
        <is>
          <t>POCKET.LOCK</t>
        </is>
      </c>
    </row>
    <row r="90">
      <c r="A90" s="82" t="inlineStr">
        <is>
          <t>WMA</t>
        </is>
      </c>
      <c r="B90" s="82" t="inlineStr">
        <is>
          <t>WIRE.MAS</t>
        </is>
      </c>
    </row>
    <row r="91">
      <c r="A91" s="82" t="inlineStr">
        <is>
          <t>CU-707-A60</t>
        </is>
      </c>
      <c r="B91" s="82" t="inlineStr">
        <is>
          <t>707-A60</t>
        </is>
      </c>
    </row>
    <row r="92">
      <c r="A92" s="82" t="inlineStr">
        <is>
          <t>A60</t>
        </is>
      </c>
      <c r="B92" s="82" t="inlineStr">
        <is>
          <t>CUR.A60</t>
        </is>
      </c>
    </row>
    <row r="93">
      <c r="A93" s="82" t="inlineStr">
        <is>
          <t>EPT RW</t>
        </is>
      </c>
      <c r="B93" s="82" t="inlineStr">
        <is>
          <t>1-EPT&amp;RACEWAY</t>
        </is>
      </c>
    </row>
    <row r="94">
      <c r="A94" s="82" t="inlineStr">
        <is>
          <t>E9 RW</t>
        </is>
      </c>
      <c r="B94" s="82" t="inlineStr">
        <is>
          <t>1-ELEC&amp;RACEWAY</t>
        </is>
      </c>
    </row>
    <row r="95">
      <c r="A95" s="82" t="inlineStr">
        <is>
          <t>R</t>
        </is>
      </c>
      <c r="B95" s="82" t="inlineStr">
        <is>
          <t>RH</t>
        </is>
      </c>
    </row>
    <row r="96">
      <c r="A96" s="82" t="inlineStr">
        <is>
          <t>RR</t>
        </is>
      </c>
      <c r="B96" s="82" t="inlineStr">
        <is>
          <t>RHR</t>
        </is>
      </c>
    </row>
    <row r="97">
      <c r="A97" s="82" t="inlineStr">
        <is>
          <t>R-A</t>
        </is>
      </c>
      <c r="B97" s="82" t="inlineStr">
        <is>
          <t>RH-ACT</t>
        </is>
      </c>
    </row>
    <row r="98">
      <c r="A98" s="82" t="inlineStr">
        <is>
          <t>RR-A</t>
        </is>
      </c>
      <c r="B98" s="82" t="inlineStr">
        <is>
          <t>RHR-ACT</t>
        </is>
      </c>
    </row>
    <row r="99">
      <c r="A99" s="82" t="inlineStr">
        <is>
          <t>R-I</t>
        </is>
      </c>
      <c r="B99" s="82" t="inlineStr">
        <is>
          <t>RH-INA</t>
        </is>
      </c>
    </row>
    <row r="100">
      <c r="A100" s="82" t="inlineStr">
        <is>
          <t>RR-I</t>
        </is>
      </c>
      <c r="B100" s="82" t="inlineStr">
        <is>
          <t>RHR-INA</t>
        </is>
      </c>
    </row>
    <row r="101">
      <c r="A101" s="82" t="inlineStr">
        <is>
          <t>L</t>
        </is>
      </c>
      <c r="B101" s="82" t="inlineStr">
        <is>
          <t>LH</t>
        </is>
      </c>
    </row>
    <row r="102">
      <c r="A102" s="82" t="inlineStr">
        <is>
          <t>LR</t>
        </is>
      </c>
      <c r="B102" s="82" t="inlineStr">
        <is>
          <t>LHR</t>
        </is>
      </c>
    </row>
    <row r="103">
      <c r="A103" s="82" t="inlineStr">
        <is>
          <t>L-A</t>
        </is>
      </c>
      <c r="B103" s="82" t="inlineStr">
        <is>
          <t>LH-ACT</t>
        </is>
      </c>
    </row>
    <row r="104">
      <c r="A104" s="82" t="inlineStr">
        <is>
          <t>LR-A</t>
        </is>
      </c>
      <c r="B104" s="82" t="inlineStr">
        <is>
          <t>LHR-ACT</t>
        </is>
      </c>
    </row>
    <row r="105">
      <c r="A105" s="82" t="inlineStr">
        <is>
          <t>L-I</t>
        </is>
      </c>
      <c r="B105" s="82" t="inlineStr">
        <is>
          <t>LH-INA</t>
        </is>
      </c>
    </row>
    <row r="106">
      <c r="A106" s="82" t="inlineStr">
        <is>
          <t>LR-I</t>
        </is>
      </c>
      <c r="B106" s="82" t="inlineStr">
        <is>
          <t>LHR-INA</t>
        </is>
      </c>
    </row>
    <row r="107">
      <c r="A107" s="82" t="inlineStr">
        <is>
          <t>DA</t>
        </is>
      </c>
      <c r="B107" s="82" t="inlineStr">
        <is>
          <t>DBL.ACTING</t>
        </is>
      </c>
    </row>
    <row r="108">
      <c r="A108" s="82" t="inlineStr">
        <is>
          <t>PR</t>
        </is>
      </c>
      <c r="B108" s="82" t="inlineStr">
        <is>
          <t>PAIR</t>
        </is>
      </c>
    </row>
    <row r="109">
      <c r="A109" s="82" t="inlineStr">
        <is>
          <t>60 MIN</t>
        </is>
      </c>
      <c r="B109" s="82" t="inlineStr">
        <is>
          <t>60 MIN</t>
        </is>
      </c>
    </row>
    <row r="110">
      <c r="A110" s="82" t="inlineStr">
        <is>
          <t>20 MIN</t>
        </is>
      </c>
      <c r="B110" s="82" t="inlineStr">
        <is>
          <t>20 MIN</t>
        </is>
      </c>
    </row>
    <row r="111">
      <c r="A111" s="82" t="inlineStr">
        <is>
          <t>SSA</t>
        </is>
      </c>
      <c r="B111" s="82" t="inlineStr">
        <is>
          <t>SSA</t>
        </is>
      </c>
    </row>
    <row r="112">
      <c r="A112" s="82" t="inlineStr">
        <is>
          <t>E1E4H1</t>
        </is>
      </c>
      <c r="B112" s="82" t="inlineStr">
        <is>
          <t>1-478.STK&amp;DB.STK+F.BOLT</t>
        </is>
      </c>
    </row>
    <row r="113">
      <c r="A113" s="82" t="inlineStr">
        <is>
          <t>G3</t>
        </is>
      </c>
      <c r="B113" s="82" t="inlineStr">
        <is>
          <t>MORT.86.ESC.TRIM</t>
        </is>
      </c>
    </row>
    <row r="114">
      <c r="A114" s="82" t="inlineStr">
        <is>
          <t>E2E4</t>
        </is>
      </c>
      <c r="B114" s="82" t="inlineStr">
        <is>
          <t>1-234.STK&amp;DB.STK</t>
        </is>
      </c>
    </row>
    <row r="115">
      <c r="A115" s="82" t="inlineStr">
        <is>
          <t>OAK-MC</t>
        </is>
      </c>
      <c r="B115" s="82" t="inlineStr">
        <is>
          <t>OAK.MC</t>
        </is>
      </c>
    </row>
    <row r="116">
      <c r="A116" s="82" t="inlineStr">
        <is>
          <t>OAK-PC</t>
        </is>
      </c>
      <c r="B116" s="82" t="inlineStr">
        <is>
          <t>OAK.PC</t>
        </is>
      </c>
    </row>
    <row r="117">
      <c r="A117" s="82" t="inlineStr">
        <is>
          <t>BIR-MC</t>
        </is>
      </c>
      <c r="B117" s="82" t="inlineStr">
        <is>
          <t>BIRCH.MC</t>
        </is>
      </c>
    </row>
    <row r="118">
      <c r="A118" s="82" t="inlineStr">
        <is>
          <t>BIR-PC</t>
        </is>
      </c>
      <c r="B118" s="82" t="inlineStr">
        <is>
          <t>BIRCH.PC</t>
        </is>
      </c>
    </row>
    <row r="119">
      <c r="A119" s="82" t="inlineStr">
        <is>
          <t>MAP-MC</t>
        </is>
      </c>
      <c r="B119" s="82" t="inlineStr">
        <is>
          <t>MAPLE.MC</t>
        </is>
      </c>
    </row>
    <row r="120">
      <c r="A120" s="82" t="inlineStr">
        <is>
          <t>MAP-PC</t>
        </is>
      </c>
      <c r="B120" s="82" t="inlineStr">
        <is>
          <t>MAPLE.PC</t>
        </is>
      </c>
    </row>
    <row r="121">
      <c r="A121" s="82" t="n">
        <v>3</v>
      </c>
      <c r="B121" s="82" t="inlineStr">
        <is>
          <t>3"</t>
        </is>
      </c>
    </row>
    <row r="122">
      <c r="A122" s="82" t="n">
        <v>318</v>
      </c>
      <c r="B122" s="82" t="inlineStr">
        <is>
          <t>3-1/8"</t>
        </is>
      </c>
    </row>
    <row r="123">
      <c r="A123" s="82" t="n">
        <v>314</v>
      </c>
      <c r="B123" s="82" t="inlineStr">
        <is>
          <t>3-1/4"</t>
        </is>
      </c>
    </row>
    <row r="124">
      <c r="A124" s="82" t="n">
        <v>338</v>
      </c>
      <c r="B124" s="82" t="inlineStr">
        <is>
          <t>3-3/8"</t>
        </is>
      </c>
    </row>
    <row r="125">
      <c r="A125" s="82" t="n">
        <v>312</v>
      </c>
      <c r="B125" s="82" t="inlineStr">
        <is>
          <t>3-1/2"</t>
        </is>
      </c>
    </row>
    <row r="126">
      <c r="A126" s="82" t="n">
        <v>358</v>
      </c>
      <c r="B126" s="82" t="inlineStr">
        <is>
          <t>3-5/8"</t>
        </is>
      </c>
    </row>
    <row r="127">
      <c r="A127" s="82" t="n">
        <v>334</v>
      </c>
      <c r="B127" s="82" t="inlineStr">
        <is>
          <t>3-3/4"</t>
        </is>
      </c>
    </row>
    <row r="128">
      <c r="A128" s="82" t="n">
        <v>378</v>
      </c>
      <c r="B128" s="82" t="inlineStr">
        <is>
          <t>3-7/8"</t>
        </is>
      </c>
    </row>
    <row r="129">
      <c r="A129" s="82" t="n">
        <v>4</v>
      </c>
      <c r="B129" s="82" t="inlineStr">
        <is>
          <t>4"</t>
        </is>
      </c>
    </row>
    <row r="130">
      <c r="A130" s="82" t="n">
        <v>418</v>
      </c>
      <c r="B130" s="82" t="inlineStr">
        <is>
          <t>4-1/8"</t>
        </is>
      </c>
    </row>
    <row r="131">
      <c r="A131" s="82" t="n">
        <v>414</v>
      </c>
      <c r="B131" s="82" t="inlineStr">
        <is>
          <t>4-1/4"</t>
        </is>
      </c>
    </row>
    <row r="132">
      <c r="A132" s="82" t="n">
        <v>438</v>
      </c>
      <c r="B132" s="82" t="inlineStr">
        <is>
          <t>4-3/8"</t>
        </is>
      </c>
    </row>
    <row r="133">
      <c r="A133" s="82" t="n">
        <v>412</v>
      </c>
      <c r="B133" s="82" t="inlineStr">
        <is>
          <t>4-1/2"</t>
        </is>
      </c>
    </row>
    <row r="134">
      <c r="A134" s="82" t="n">
        <v>458</v>
      </c>
      <c r="B134" s="82" t="inlineStr">
        <is>
          <t>4-5/8"</t>
        </is>
      </c>
    </row>
    <row r="135">
      <c r="A135" s="82" t="n">
        <v>434</v>
      </c>
      <c r="B135" s="82" t="inlineStr">
        <is>
          <t>4-3/4"</t>
        </is>
      </c>
    </row>
    <row r="136">
      <c r="A136" s="82" t="n">
        <v>478</v>
      </c>
      <c r="B136" s="82" t="inlineStr">
        <is>
          <t>4-7/8"</t>
        </is>
      </c>
    </row>
    <row r="137">
      <c r="A137" s="82" t="n">
        <v>5</v>
      </c>
      <c r="B137" s="82" t="inlineStr">
        <is>
          <t>5"</t>
        </is>
      </c>
    </row>
    <row r="138">
      <c r="A138" s="82" t="n">
        <v>518</v>
      </c>
      <c r="B138" s="82" t="inlineStr">
        <is>
          <t>5-1/8"</t>
        </is>
      </c>
    </row>
    <row r="139">
      <c r="A139" s="82" t="n">
        <v>514</v>
      </c>
      <c r="B139" s="82" t="inlineStr">
        <is>
          <t>5-1/4"</t>
        </is>
      </c>
    </row>
    <row r="140">
      <c r="A140" s="82" t="n">
        <v>538</v>
      </c>
      <c r="B140" s="82" t="inlineStr">
        <is>
          <t>5-3/8"</t>
        </is>
      </c>
    </row>
    <row r="141">
      <c r="A141" s="82" t="n">
        <v>512</v>
      </c>
      <c r="B141" s="82" t="inlineStr">
        <is>
          <t>5-1/2"</t>
        </is>
      </c>
    </row>
    <row r="142">
      <c r="A142" s="82" t="n">
        <v>558</v>
      </c>
      <c r="B142" s="82" t="inlineStr">
        <is>
          <t>5-5/8"</t>
        </is>
      </c>
    </row>
    <row r="143">
      <c r="A143" s="82" t="n">
        <v>534</v>
      </c>
      <c r="B143" s="82" t="inlineStr">
        <is>
          <t>5-3/4"</t>
        </is>
      </c>
    </row>
    <row r="144">
      <c r="A144" s="82" t="n">
        <v>578</v>
      </c>
      <c r="B144" s="82" t="inlineStr">
        <is>
          <t>5-7/8"</t>
        </is>
      </c>
    </row>
    <row r="145">
      <c r="A145" s="82" t="n">
        <v>6</v>
      </c>
      <c r="B145" s="82" t="inlineStr">
        <is>
          <t>6"</t>
        </is>
      </c>
    </row>
    <row r="146">
      <c r="A146" s="82" t="n">
        <v>618</v>
      </c>
      <c r="B146" s="82" t="inlineStr">
        <is>
          <t>6-1/8"</t>
        </is>
      </c>
    </row>
    <row r="147">
      <c r="A147" s="82" t="n">
        <v>614</v>
      </c>
      <c r="B147" s="82" t="inlineStr">
        <is>
          <t>6-1/4"</t>
        </is>
      </c>
    </row>
    <row r="148">
      <c r="A148" s="82" t="n">
        <v>638</v>
      </c>
      <c r="B148" s="82" t="inlineStr">
        <is>
          <t>6-3/8"</t>
        </is>
      </c>
    </row>
    <row r="149">
      <c r="A149" s="82" t="n">
        <v>612</v>
      </c>
      <c r="B149" s="82" t="inlineStr">
        <is>
          <t>6-1/2"</t>
        </is>
      </c>
    </row>
    <row r="150">
      <c r="A150" s="82" t="n">
        <v>658</v>
      </c>
      <c r="B150" s="82" t="inlineStr">
        <is>
          <t>6-5/8"</t>
        </is>
      </c>
    </row>
    <row r="151">
      <c r="A151" s="82" t="n">
        <v>634</v>
      </c>
      <c r="B151" s="82" t="inlineStr">
        <is>
          <t>6-3/4"</t>
        </is>
      </c>
    </row>
    <row r="152">
      <c r="A152" s="82" t="n">
        <v>678</v>
      </c>
      <c r="B152" s="82" t="inlineStr">
        <is>
          <t>6-7/8"</t>
        </is>
      </c>
    </row>
    <row r="153">
      <c r="A153" s="82" t="n">
        <v>7</v>
      </c>
      <c r="B153" s="82" t="inlineStr">
        <is>
          <t>7"</t>
        </is>
      </c>
    </row>
    <row r="154">
      <c r="A154" s="82" t="n">
        <v>718</v>
      </c>
      <c r="B154" s="82" t="inlineStr">
        <is>
          <t>7-1/8"</t>
        </is>
      </c>
    </row>
    <row r="155">
      <c r="A155" s="82" t="n">
        <v>714</v>
      </c>
      <c r="B155" s="82" t="inlineStr">
        <is>
          <t>7-1/4"</t>
        </is>
      </c>
    </row>
    <row r="156">
      <c r="A156" s="82" t="n">
        <v>738</v>
      </c>
      <c r="B156" s="82" t="inlineStr">
        <is>
          <t>7-3/8"</t>
        </is>
      </c>
    </row>
    <row r="157">
      <c r="A157" s="82" t="n">
        <v>712</v>
      </c>
      <c r="B157" s="82" t="inlineStr">
        <is>
          <t>7-1/2"</t>
        </is>
      </c>
    </row>
    <row r="158">
      <c r="A158" s="82" t="n">
        <v>758</v>
      </c>
      <c r="B158" s="82" t="inlineStr">
        <is>
          <t>7-5/8"</t>
        </is>
      </c>
    </row>
    <row r="159">
      <c r="A159" s="82" t="n">
        <v>734</v>
      </c>
      <c r="B159" s="82" t="inlineStr">
        <is>
          <t>7-3/4"</t>
        </is>
      </c>
    </row>
    <row r="160">
      <c r="A160" s="82" t="n">
        <v>778</v>
      </c>
      <c r="B160" s="82" t="inlineStr">
        <is>
          <t>7-7/8"</t>
        </is>
      </c>
    </row>
    <row r="161">
      <c r="A161" s="82" t="n">
        <v>8</v>
      </c>
      <c r="B161" s="82" t="inlineStr">
        <is>
          <t>8"</t>
        </is>
      </c>
    </row>
    <row r="162">
      <c r="A162" s="82" t="n">
        <v>818</v>
      </c>
      <c r="B162" s="82" t="inlineStr">
        <is>
          <t>8-1/8"</t>
        </is>
      </c>
    </row>
    <row r="163">
      <c r="A163" s="82" t="n">
        <v>814</v>
      </c>
      <c r="B163" s="82" t="inlineStr">
        <is>
          <t>8-1/4"</t>
        </is>
      </c>
    </row>
    <row r="164">
      <c r="A164" s="82" t="n">
        <v>838</v>
      </c>
      <c r="B164" s="82" t="inlineStr">
        <is>
          <t>8-3/8"</t>
        </is>
      </c>
    </row>
    <row r="165">
      <c r="A165" s="82" t="n">
        <v>812</v>
      </c>
      <c r="B165" s="82" t="inlineStr">
        <is>
          <t>8-1/2"</t>
        </is>
      </c>
    </row>
    <row r="166">
      <c r="A166" s="82" t="n">
        <v>858</v>
      </c>
      <c r="B166" s="82" t="inlineStr">
        <is>
          <t>8-5/8"</t>
        </is>
      </c>
    </row>
    <row r="167">
      <c r="A167" s="82" t="n">
        <v>834</v>
      </c>
      <c r="B167" s="82" t="inlineStr">
        <is>
          <t>8-3/4"</t>
        </is>
      </c>
    </row>
    <row r="168">
      <c r="A168" s="82" t="n">
        <v>878</v>
      </c>
      <c r="B168" s="82" t="inlineStr">
        <is>
          <t>8-7/8"</t>
        </is>
      </c>
    </row>
    <row r="169">
      <c r="A169" s="82" t="n">
        <v>9</v>
      </c>
      <c r="B169" s="82" t="inlineStr">
        <is>
          <t>9"</t>
        </is>
      </c>
    </row>
    <row r="170">
      <c r="A170" s="82" t="n">
        <v>918</v>
      </c>
      <c r="B170" s="82" t="inlineStr">
        <is>
          <t>9-1/8"</t>
        </is>
      </c>
    </row>
    <row r="171">
      <c r="A171" s="82" t="n">
        <v>914</v>
      </c>
      <c r="B171" s="82" t="inlineStr">
        <is>
          <t>9-1/4"</t>
        </is>
      </c>
    </row>
    <row r="172">
      <c r="A172" s="82" t="n">
        <v>938</v>
      </c>
      <c r="B172" s="82" t="inlineStr">
        <is>
          <t>9-3/8"</t>
        </is>
      </c>
    </row>
    <row r="173">
      <c r="A173" s="82" t="n">
        <v>912</v>
      </c>
      <c r="B173" s="82" t="inlineStr">
        <is>
          <t>9-1/2"</t>
        </is>
      </c>
    </row>
    <row r="174">
      <c r="A174" s="82" t="n">
        <v>958</v>
      </c>
      <c r="B174" s="82" t="inlineStr">
        <is>
          <t>9-5/8"</t>
        </is>
      </c>
    </row>
    <row r="175">
      <c r="A175" s="82" t="n">
        <v>934</v>
      </c>
      <c r="B175" s="82" t="inlineStr">
        <is>
          <t>9-3/4"</t>
        </is>
      </c>
    </row>
    <row r="176">
      <c r="A176" s="82" t="n">
        <v>978</v>
      </c>
      <c r="B176" s="82" t="inlineStr">
        <is>
          <t>9-7/8"</t>
        </is>
      </c>
    </row>
    <row r="177">
      <c r="A177" s="82" t="n">
        <v>10</v>
      </c>
      <c r="B177" s="82" t="inlineStr">
        <is>
          <t>10"</t>
        </is>
      </c>
    </row>
    <row r="178">
      <c r="A178" s="82" t="n">
        <v>1018</v>
      </c>
      <c r="B178" s="82" t="inlineStr">
        <is>
          <t>10-1/8"</t>
        </is>
      </c>
    </row>
    <row r="179">
      <c r="A179" s="82" t="n">
        <v>1014</v>
      </c>
      <c r="B179" s="82" t="inlineStr">
        <is>
          <t>10-1/4"</t>
        </is>
      </c>
    </row>
    <row r="180">
      <c r="A180" s="82" t="n">
        <v>1038</v>
      </c>
      <c r="B180" s="82" t="inlineStr">
        <is>
          <t>10-3/8"</t>
        </is>
      </c>
    </row>
    <row r="181">
      <c r="A181" s="82" t="n">
        <v>1012</v>
      </c>
      <c r="B181" s="82" t="inlineStr">
        <is>
          <t>10-1/2"</t>
        </is>
      </c>
    </row>
    <row r="182">
      <c r="A182" s="82" t="n">
        <v>1058</v>
      </c>
      <c r="B182" s="82" t="inlineStr">
        <is>
          <t>10-5/8"</t>
        </is>
      </c>
    </row>
    <row r="183">
      <c r="A183" s="82" t="n">
        <v>1034</v>
      </c>
      <c r="B183" s="82" t="inlineStr">
        <is>
          <t>10-3/4"</t>
        </is>
      </c>
    </row>
    <row r="184">
      <c r="A184" s="82" t="n">
        <v>1078</v>
      </c>
      <c r="B184" s="82" t="inlineStr">
        <is>
          <t>10-7/8"</t>
        </is>
      </c>
    </row>
    <row r="185">
      <c r="A185" s="82" t="n">
        <v>11</v>
      </c>
      <c r="B185" s="82" t="inlineStr">
        <is>
          <t>11"</t>
        </is>
      </c>
    </row>
    <row r="186">
      <c r="A186" s="82" t="n">
        <v>1118</v>
      </c>
      <c r="B186" s="82" t="inlineStr">
        <is>
          <t>11-1/8"</t>
        </is>
      </c>
    </row>
    <row r="187">
      <c r="A187" s="82" t="n">
        <v>1114</v>
      </c>
      <c r="B187" s="82" t="inlineStr">
        <is>
          <t>11-1/4"</t>
        </is>
      </c>
    </row>
    <row r="188">
      <c r="A188" s="82" t="n">
        <v>1138</v>
      </c>
      <c r="B188" s="82" t="inlineStr">
        <is>
          <t>11-3/8"</t>
        </is>
      </c>
    </row>
    <row r="189">
      <c r="A189" s="82" t="n">
        <v>1112</v>
      </c>
      <c r="B189" s="82" t="inlineStr">
        <is>
          <t>11-1/2"</t>
        </is>
      </c>
    </row>
    <row r="190">
      <c r="A190" s="82" t="n">
        <v>1158</v>
      </c>
      <c r="B190" s="82" t="inlineStr">
        <is>
          <t>11-5/8"</t>
        </is>
      </c>
    </row>
    <row r="191">
      <c r="A191" s="82" t="n">
        <v>1134</v>
      </c>
      <c r="B191" s="82" t="inlineStr">
        <is>
          <t>11-3/4"</t>
        </is>
      </c>
    </row>
    <row r="192">
      <c r="A192" s="82" t="n">
        <v>1178</v>
      </c>
      <c r="B192" s="82" t="inlineStr">
        <is>
          <t>11-7/8"</t>
        </is>
      </c>
    </row>
    <row r="193">
      <c r="A193" s="82" t="n">
        <v>12</v>
      </c>
      <c r="B193" s="82" t="inlineStr">
        <is>
          <t>12"</t>
        </is>
      </c>
    </row>
    <row r="194">
      <c r="A194" s="82" t="inlineStr">
        <is>
          <t>BLK</t>
        </is>
      </c>
      <c r="B194" s="82" t="inlineStr">
        <is>
          <t>BLANK.HNG</t>
        </is>
      </c>
    </row>
    <row r="195">
      <c r="A195" s="82" t="inlineStr">
        <is>
          <t>BA</t>
        </is>
      </c>
      <c r="B195" s="82" t="inlineStr">
        <is>
          <t>BOTH.ACT</t>
        </is>
      </c>
    </row>
    <row r="196">
      <c r="A196" s="82" t="inlineStr">
        <is>
          <t>G18G16</t>
        </is>
      </c>
      <c r="B196" s="82" t="inlineStr">
        <is>
          <t>PUSH/PULL+DB112</t>
        </is>
      </c>
    </row>
    <row r="197">
      <c r="A197" s="82" t="inlineStr">
        <is>
          <t>G18E3</t>
        </is>
      </c>
      <c r="B197" s="82" t="inlineStr">
        <is>
          <t>PUSH/PULL+DB312</t>
        </is>
      </c>
    </row>
    <row r="198">
      <c r="A198" s="82" t="inlineStr">
        <is>
          <t>G18E4</t>
        </is>
      </c>
      <c r="B198" s="82" t="inlineStr">
        <is>
          <t>PUSH/PULL+DB234</t>
        </is>
      </c>
    </row>
    <row r="199">
      <c r="A199" s="82" t="inlineStr">
        <is>
          <t>WEWA-M</t>
        </is>
      </c>
      <c r="B199" s="82" t="inlineStr">
        <is>
          <t>P/D+DYNABOLTS</t>
        </is>
      </c>
    </row>
    <row r="200">
      <c r="A200" s="82" t="inlineStr">
        <is>
          <t>WEWA-W</t>
        </is>
      </c>
      <c r="B200" s="82" t="inlineStr">
        <is>
          <t>P/D+WOODSCREWS</t>
        </is>
      </c>
    </row>
    <row r="201">
      <c r="A201" s="82" t="inlineStr">
        <is>
          <t>EWA</t>
        </is>
      </c>
      <c r="B201" s="82" t="inlineStr">
        <is>
          <t>P/D-ONLY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9AA5B1"/>
    <outlinePr summaryBelow="1" summaryRight="1"/>
    <pageSetUpPr/>
  </sheetPr>
  <dimension ref="A1:AH288"/>
  <sheetViews>
    <sheetView showGridLines="0" workbookViewId="0">
      <selection activeCell="A1" sqref="A1"/>
    </sheetView>
  </sheetViews>
  <sheetFormatPr baseColWidth="8" defaultRowHeight="15"/>
  <sheetData>
    <row r="1">
      <c r="A1" s="83" t="inlineStr">
        <is>
          <t>r</t>
        </is>
      </c>
      <c r="B1">
        <f>IFERROR(MATCH(Elevation!$C$4,tk_MARK,0),0)</f>
        <v/>
      </c>
      <c r="F1" t="inlineStr">
        <is>
          <t>r</t>
        </is>
      </c>
      <c r="G1">
        <f>IFERROR(MATCH((Elevations!$C$4-1)*6+1,tk_ETYPE,0),0)</f>
        <v/>
      </c>
      <c r="K1" t="inlineStr">
        <is>
          <t>r</t>
        </is>
      </c>
      <c r="L1">
        <f>IFERROR(MATCH((Elevations!$C$4-1)*6+2,tk_ETYPE,0),0)</f>
        <v/>
      </c>
      <c r="P1" t="inlineStr">
        <is>
          <t>r</t>
        </is>
      </c>
      <c r="Q1">
        <f>IFERROR(MATCH((Elevations!$C$4-1)*6+3,tk_ETYPE,0),0)</f>
        <v/>
      </c>
      <c r="U1" t="inlineStr">
        <is>
          <t>r</t>
        </is>
      </c>
      <c r="V1">
        <f>IFERROR(MATCH((Elevations!$C$4-1)*6+4,tk_ETYPE,0),0)</f>
        <v/>
      </c>
      <c r="Z1" t="inlineStr">
        <is>
          <t>r</t>
        </is>
      </c>
      <c r="AA1">
        <f>IFERROR(MATCH((Elevations!$C$4-1)*6+5,tk_ETYPE,0),0)</f>
        <v/>
      </c>
      <c r="AE1" t="inlineStr">
        <is>
          <t>r</t>
        </is>
      </c>
      <c r="AF1">
        <f>IFERROR(MATCH((Elevations!$C$4-1)*6+6,tk_ETYPE,0),0)</f>
        <v/>
      </c>
    </row>
    <row r="2">
      <c r="A2" t="inlineStr">
        <is>
          <t>MARK</t>
        </is>
      </c>
      <c r="B2">
        <f>IF(ElevCalc!$B$1=0,"",INDEX(tk_MARK,ElevCalc!$B$1)&amp;"")</f>
        <v/>
      </c>
      <c r="F2" t="inlineStr">
        <is>
          <t>MARK</t>
        </is>
      </c>
      <c r="G2">
        <f>IF(ElevCalc!$G$1=0,"",INDEX(tk_MARK,ElevCalc!$G$1)&amp;"")</f>
        <v/>
      </c>
      <c r="K2" t="inlineStr">
        <is>
          <t>MARK</t>
        </is>
      </c>
      <c r="L2">
        <f>IF(ElevCalc!$L$1=0,"",INDEX(tk_MARK,ElevCalc!$L$1)&amp;"")</f>
        <v/>
      </c>
      <c r="P2" t="inlineStr">
        <is>
          <t>MARK</t>
        </is>
      </c>
      <c r="Q2">
        <f>IF(ElevCalc!$Q$1=0,"",INDEX(tk_MARK,ElevCalc!$Q$1)&amp;"")</f>
        <v/>
      </c>
      <c r="U2" t="inlineStr">
        <is>
          <t>MARK</t>
        </is>
      </c>
      <c r="V2">
        <f>IF(ElevCalc!$V$1=0,"",INDEX(tk_MARK,ElevCalc!$V$1)&amp;"")</f>
        <v/>
      </c>
      <c r="Z2" t="inlineStr">
        <is>
          <t>MARK</t>
        </is>
      </c>
      <c r="AA2">
        <f>IF(ElevCalc!$AA$1=0,"",INDEX(tk_MARK,ElevCalc!$AA$1)&amp;"")</f>
        <v/>
      </c>
      <c r="AE2" t="inlineStr">
        <is>
          <t>MARK</t>
        </is>
      </c>
      <c r="AF2">
        <f>IF(ElevCalc!$AF$1=0,"",INDEX(tk_MARK,ElevCalc!$AF$1)&amp;"")</f>
        <v/>
      </c>
    </row>
    <row r="3">
      <c r="A3" t="inlineStr">
        <is>
          <t>SCOPE</t>
        </is>
      </c>
      <c r="B3">
        <f>IF(ElevCalc!$B$1=0,"",INDEX(tk_SCOPE,ElevCalc!$B$1)&amp;"")</f>
        <v/>
      </c>
      <c r="F3" t="inlineStr">
        <is>
          <t>SCOPE</t>
        </is>
      </c>
      <c r="G3">
        <f>IF(ElevCalc!$G$1=0,"",INDEX(tk_SCOPE,ElevCalc!$G$1)&amp;"")</f>
        <v/>
      </c>
      <c r="K3" t="inlineStr">
        <is>
          <t>SCOPE</t>
        </is>
      </c>
      <c r="L3">
        <f>IF(ElevCalc!$L$1=0,"",INDEX(tk_SCOPE,ElevCalc!$L$1)&amp;"")</f>
        <v/>
      </c>
      <c r="P3" t="inlineStr">
        <is>
          <t>SCOPE</t>
        </is>
      </c>
      <c r="Q3">
        <f>IF(ElevCalc!$Q$1=0,"",INDEX(tk_SCOPE,ElevCalc!$Q$1)&amp;"")</f>
        <v/>
      </c>
      <c r="U3" t="inlineStr">
        <is>
          <t>SCOPE</t>
        </is>
      </c>
      <c r="V3">
        <f>IF(ElevCalc!$V$1=0,"",INDEX(tk_SCOPE,ElevCalc!$V$1)&amp;"")</f>
        <v/>
      </c>
      <c r="Z3" t="inlineStr">
        <is>
          <t>SCOPE</t>
        </is>
      </c>
      <c r="AA3">
        <f>IF(ElevCalc!$AA$1=0,"",INDEX(tk_SCOPE,ElevCalc!$AA$1)&amp;"")</f>
        <v/>
      </c>
      <c r="AE3" t="inlineStr">
        <is>
          <t>SCOPE</t>
        </is>
      </c>
      <c r="AF3">
        <f>IF(ElevCalc!$AF$1=0,"",INDEX(tk_SCOPE,ElevCalc!$AF$1)&amp;"")</f>
        <v/>
      </c>
    </row>
    <row r="4">
      <c r="A4" t="inlineStr">
        <is>
          <t>FDESC</t>
        </is>
      </c>
      <c r="B4">
        <f>IF(ElevCalc!$B$1=0,"",INDEX(tk_FDESC,ElevCalc!$B$1)&amp;"")</f>
        <v/>
      </c>
      <c r="F4" t="inlineStr">
        <is>
          <t>FDESC</t>
        </is>
      </c>
      <c r="G4">
        <f>IF(ElevCalc!$G$1=0,"",INDEX(tk_FDESC,ElevCalc!$G$1)&amp;"")</f>
        <v/>
      </c>
      <c r="K4" t="inlineStr">
        <is>
          <t>FDESC</t>
        </is>
      </c>
      <c r="L4">
        <f>IF(ElevCalc!$L$1=0,"",INDEX(tk_FDESC,ElevCalc!$L$1)&amp;"")</f>
        <v/>
      </c>
      <c r="P4" t="inlineStr">
        <is>
          <t>FDESC</t>
        </is>
      </c>
      <c r="Q4">
        <f>IF(ElevCalc!$Q$1=0,"",INDEX(tk_FDESC,ElevCalc!$Q$1)&amp;"")</f>
        <v/>
      </c>
      <c r="U4" t="inlineStr">
        <is>
          <t>FDESC</t>
        </is>
      </c>
      <c r="V4">
        <f>IF(ElevCalc!$V$1=0,"",INDEX(tk_FDESC,ElevCalc!$V$1)&amp;"")</f>
        <v/>
      </c>
      <c r="Z4" t="inlineStr">
        <is>
          <t>FDESC</t>
        </is>
      </c>
      <c r="AA4">
        <f>IF(ElevCalc!$AA$1=0,"",INDEX(tk_FDESC,ElevCalc!$AA$1)&amp;"")</f>
        <v/>
      </c>
      <c r="AE4" t="inlineStr">
        <is>
          <t>FDESC</t>
        </is>
      </c>
      <c r="AF4">
        <f>IF(ElevCalc!$AF$1=0,"",INDEX(tk_FDESC,ElevCalc!$AF$1)&amp;"")</f>
        <v/>
      </c>
    </row>
    <row r="5">
      <c r="A5" t="inlineStr">
        <is>
          <t>PAIR</t>
        </is>
      </c>
      <c r="B5">
        <f>IF(ElevCalc!$B$1=0,"",INDEX(tk_PAIR,ElevCalc!$B$1)&amp;"")</f>
        <v/>
      </c>
      <c r="F5" t="inlineStr">
        <is>
          <t>PAIR</t>
        </is>
      </c>
      <c r="G5">
        <f>IF(ElevCalc!$G$1=0,"",INDEX(tk_PAIR,ElevCalc!$G$1)&amp;"")</f>
        <v/>
      </c>
      <c r="K5" t="inlineStr">
        <is>
          <t>PAIR</t>
        </is>
      </c>
      <c r="L5">
        <f>IF(ElevCalc!$L$1=0,"",INDEX(tk_PAIR,ElevCalc!$L$1)&amp;"")</f>
        <v/>
      </c>
      <c r="P5" t="inlineStr">
        <is>
          <t>PAIR</t>
        </is>
      </c>
      <c r="Q5">
        <f>IF(ElevCalc!$Q$1=0,"",INDEX(tk_PAIR,ElevCalc!$Q$1)&amp;"")</f>
        <v/>
      </c>
      <c r="U5" t="inlineStr">
        <is>
          <t>PAIR</t>
        </is>
      </c>
      <c r="V5">
        <f>IF(ElevCalc!$V$1=0,"",INDEX(tk_PAIR,ElevCalc!$V$1)&amp;"")</f>
        <v/>
      </c>
      <c r="Z5" t="inlineStr">
        <is>
          <t>PAIR</t>
        </is>
      </c>
      <c r="AA5">
        <f>IF(ElevCalc!$AA$1=0,"",INDEX(tk_PAIR,ElevCalc!$AA$1)&amp;"")</f>
        <v/>
      </c>
      <c r="AE5" t="inlineStr">
        <is>
          <t>PAIR</t>
        </is>
      </c>
      <c r="AF5">
        <f>IF(ElevCalc!$AF$1=0,"",INDEX(tk_PAIR,ElevCalc!$AF$1)&amp;"")</f>
        <v/>
      </c>
    </row>
    <row r="6">
      <c r="A6" t="inlineStr">
        <is>
          <t>HAND</t>
        </is>
      </c>
      <c r="B6">
        <f>IF(ElevCalc!$B$1=0,"",INDEX(tk_HAND,ElevCalc!$B$1)&amp;"")</f>
        <v/>
      </c>
      <c r="F6" t="inlineStr">
        <is>
          <t>HAND</t>
        </is>
      </c>
      <c r="G6">
        <f>IF(ElevCalc!$G$1=0,"",INDEX(tk_HAND,ElevCalc!$G$1)&amp;"")</f>
        <v/>
      </c>
      <c r="K6" t="inlineStr">
        <is>
          <t>HAND</t>
        </is>
      </c>
      <c r="L6">
        <f>IF(ElevCalc!$L$1=0,"",INDEX(tk_HAND,ElevCalc!$L$1)&amp;"")</f>
        <v/>
      </c>
      <c r="P6" t="inlineStr">
        <is>
          <t>HAND</t>
        </is>
      </c>
      <c r="Q6">
        <f>IF(ElevCalc!$Q$1=0,"",INDEX(tk_HAND,ElevCalc!$Q$1)&amp;"")</f>
        <v/>
      </c>
      <c r="U6" t="inlineStr">
        <is>
          <t>HAND</t>
        </is>
      </c>
      <c r="V6">
        <f>IF(ElevCalc!$V$1=0,"",INDEX(tk_HAND,ElevCalc!$V$1)&amp;"")</f>
        <v/>
      </c>
      <c r="Z6" t="inlineStr">
        <is>
          <t>HAND</t>
        </is>
      </c>
      <c r="AA6">
        <f>IF(ElevCalc!$AA$1=0,"",INDEX(tk_HAND,ElevCalc!$AA$1)&amp;"")</f>
        <v/>
      </c>
      <c r="AE6" t="inlineStr">
        <is>
          <t>HAND</t>
        </is>
      </c>
      <c r="AF6">
        <f>IF(ElevCalc!$AF$1=0,"",INDEX(tk_HAND,ElevCalc!$AF$1)&amp;"")</f>
        <v/>
      </c>
    </row>
    <row r="7">
      <c r="A7" t="inlineStr">
        <is>
          <t>DHAND</t>
        </is>
      </c>
      <c r="B7">
        <f>IF(ElevCalc!$B$1=0,"",INDEX(tk_DHAND,ElevCalc!$B$1)&amp;"")</f>
        <v/>
      </c>
      <c r="F7" t="inlineStr">
        <is>
          <t>DHAND</t>
        </is>
      </c>
      <c r="G7">
        <f>IF(ElevCalc!$G$1=0,"",INDEX(tk_DHAND,ElevCalc!$G$1)&amp;"")</f>
        <v/>
      </c>
      <c r="K7" t="inlineStr">
        <is>
          <t>DHAND</t>
        </is>
      </c>
      <c r="L7">
        <f>IF(ElevCalc!$L$1=0,"",INDEX(tk_DHAND,ElevCalc!$L$1)&amp;"")</f>
        <v/>
      </c>
      <c r="P7" t="inlineStr">
        <is>
          <t>DHAND</t>
        </is>
      </c>
      <c r="Q7">
        <f>IF(ElevCalc!$Q$1=0,"",INDEX(tk_DHAND,ElevCalc!$Q$1)&amp;"")</f>
        <v/>
      </c>
      <c r="U7" t="inlineStr">
        <is>
          <t>DHAND</t>
        </is>
      </c>
      <c r="V7">
        <f>IF(ElevCalc!$V$1=0,"",INDEX(tk_DHAND,ElevCalc!$V$1)&amp;"")</f>
        <v/>
      </c>
      <c r="Z7" t="inlineStr">
        <is>
          <t>DHAND</t>
        </is>
      </c>
      <c r="AA7">
        <f>IF(ElevCalc!$AA$1=0,"",INDEX(tk_DHAND,ElevCalc!$AA$1)&amp;"")</f>
        <v/>
      </c>
      <c r="AE7" t="inlineStr">
        <is>
          <t>DHAND</t>
        </is>
      </c>
      <c r="AF7">
        <f>IF(ElevCalc!$AF$1=0,"",INDEX(tk_DHAND,ElevCalc!$AF$1)&amp;"")</f>
        <v/>
      </c>
    </row>
    <row r="8">
      <c r="A8" t="inlineStr">
        <is>
          <t>HEAD4</t>
        </is>
      </c>
      <c r="B8">
        <f>IF(ElevCalc!$B$1=0,"",INDEX(tk_HEAD4,ElevCalc!$B$1)&amp;"")</f>
        <v/>
      </c>
      <c r="F8" t="inlineStr">
        <is>
          <t>HEAD4</t>
        </is>
      </c>
      <c r="G8">
        <f>IF(ElevCalc!$G$1=0,"",INDEX(tk_HEAD4,ElevCalc!$G$1)&amp;"")</f>
        <v/>
      </c>
      <c r="K8" t="inlineStr">
        <is>
          <t>HEAD4</t>
        </is>
      </c>
      <c r="L8">
        <f>IF(ElevCalc!$L$1=0,"",INDEX(tk_HEAD4,ElevCalc!$L$1)&amp;"")</f>
        <v/>
      </c>
      <c r="P8" t="inlineStr">
        <is>
          <t>HEAD4</t>
        </is>
      </c>
      <c r="Q8">
        <f>IF(ElevCalc!$Q$1=0,"",INDEX(tk_HEAD4,ElevCalc!$Q$1)&amp;"")</f>
        <v/>
      </c>
      <c r="U8" t="inlineStr">
        <is>
          <t>HEAD4</t>
        </is>
      </c>
      <c r="V8">
        <f>IF(ElevCalc!$V$1=0,"",INDEX(tk_HEAD4,ElevCalc!$V$1)&amp;"")</f>
        <v/>
      </c>
      <c r="Z8" t="inlineStr">
        <is>
          <t>HEAD4</t>
        </is>
      </c>
      <c r="AA8">
        <f>IF(ElevCalc!$AA$1=0,"",INDEX(tk_HEAD4,ElevCalc!$AA$1)&amp;"")</f>
        <v/>
      </c>
      <c r="AE8" t="inlineStr">
        <is>
          <t>HEAD4</t>
        </is>
      </c>
      <c r="AF8">
        <f>IF(ElevCalc!$AF$1=0,"",INDEX(tk_HEAD4,ElevCalc!$AF$1)&amp;"")</f>
        <v/>
      </c>
    </row>
    <row r="9">
      <c r="A9" t="inlineStr">
        <is>
          <t>FACE</t>
        </is>
      </c>
      <c r="B9">
        <f>IF(ElevCalc!$B$1=0,"",INDEX(tk_FACE,ElevCalc!$B$1)&amp;"")</f>
        <v/>
      </c>
      <c r="F9" t="inlineStr">
        <is>
          <t>FACE</t>
        </is>
      </c>
      <c r="G9">
        <f>IF(ElevCalc!$G$1=0,"",INDEX(tk_FACE,ElevCalc!$G$1)&amp;"")</f>
        <v/>
      </c>
      <c r="K9" t="inlineStr">
        <is>
          <t>FACE</t>
        </is>
      </c>
      <c r="L9">
        <f>IF(ElevCalc!$L$1=0,"",INDEX(tk_FACE,ElevCalc!$L$1)&amp;"")</f>
        <v/>
      </c>
      <c r="P9" t="inlineStr">
        <is>
          <t>FACE</t>
        </is>
      </c>
      <c r="Q9">
        <f>IF(ElevCalc!$Q$1=0,"",INDEX(tk_FACE,ElevCalc!$Q$1)&amp;"")</f>
        <v/>
      </c>
      <c r="U9" t="inlineStr">
        <is>
          <t>FACE</t>
        </is>
      </c>
      <c r="V9">
        <f>IF(ElevCalc!$V$1=0,"",INDEX(tk_FACE,ElevCalc!$V$1)&amp;"")</f>
        <v/>
      </c>
      <c r="Z9" t="inlineStr">
        <is>
          <t>FACE</t>
        </is>
      </c>
      <c r="AA9">
        <f>IF(ElevCalc!$AA$1=0,"",INDEX(tk_FACE,ElevCalc!$AA$1)&amp;"")</f>
        <v/>
      </c>
      <c r="AE9" t="inlineStr">
        <is>
          <t>FACE</t>
        </is>
      </c>
      <c r="AF9">
        <f>IF(ElevCalc!$AF$1=0,"",INDEX(tk_FACE,ElevCalc!$AF$1)&amp;"")</f>
        <v/>
      </c>
    </row>
    <row r="10">
      <c r="A10" t="inlineStr">
        <is>
          <t>FHINGE</t>
        </is>
      </c>
      <c r="B10">
        <f>IF(ElevCalc!$B$1=0,"",INDEX(tk_FHINGE,ElevCalc!$B$1)&amp;"")</f>
        <v/>
      </c>
      <c r="F10" t="inlineStr">
        <is>
          <t>FHINGE</t>
        </is>
      </c>
      <c r="G10">
        <f>IF(ElevCalc!$G$1=0,"",INDEX(tk_FHINGE,ElevCalc!$G$1)&amp;"")</f>
        <v/>
      </c>
      <c r="K10" t="inlineStr">
        <is>
          <t>FHINGE</t>
        </is>
      </c>
      <c r="L10">
        <f>IF(ElevCalc!$L$1=0,"",INDEX(tk_FHINGE,ElevCalc!$L$1)&amp;"")</f>
        <v/>
      </c>
      <c r="P10" t="inlineStr">
        <is>
          <t>FHINGE</t>
        </is>
      </c>
      <c r="Q10">
        <f>IF(ElevCalc!$Q$1=0,"",INDEX(tk_FHINGE,ElevCalc!$Q$1)&amp;"")</f>
        <v/>
      </c>
      <c r="U10" t="inlineStr">
        <is>
          <t>FHINGE</t>
        </is>
      </c>
      <c r="V10">
        <f>IF(ElevCalc!$V$1=0,"",INDEX(tk_FHINGE,ElevCalc!$V$1)&amp;"")</f>
        <v/>
      </c>
      <c r="Z10" t="inlineStr">
        <is>
          <t>FHINGE</t>
        </is>
      </c>
      <c r="AA10">
        <f>IF(ElevCalc!$AA$1=0,"",INDEX(tk_FHINGE,ElevCalc!$AA$1)&amp;"")</f>
        <v/>
      </c>
      <c r="AE10" t="inlineStr">
        <is>
          <t>FHINGE</t>
        </is>
      </c>
      <c r="AF10">
        <f>IF(ElevCalc!$AF$1=0,"",INDEX(tk_FHINGE,ElevCalc!$AF$1)&amp;"")</f>
        <v/>
      </c>
    </row>
    <row r="11">
      <c r="A11" t="inlineStr">
        <is>
          <t>DHINGE</t>
        </is>
      </c>
      <c r="B11">
        <f>IF(ElevCalc!$B$1=0,"",INDEX(tk_DHINGE,ElevCalc!$B$1)&amp;"")</f>
        <v/>
      </c>
      <c r="F11" t="inlineStr">
        <is>
          <t>DHINGE</t>
        </is>
      </c>
      <c r="G11">
        <f>IF(ElevCalc!$G$1=0,"",INDEX(tk_DHINGE,ElevCalc!$G$1)&amp;"")</f>
        <v/>
      </c>
      <c r="K11" t="inlineStr">
        <is>
          <t>DHINGE</t>
        </is>
      </c>
      <c r="L11">
        <f>IF(ElevCalc!$L$1=0,"",INDEX(tk_DHINGE,ElevCalc!$L$1)&amp;"")</f>
        <v/>
      </c>
      <c r="P11" t="inlineStr">
        <is>
          <t>DHINGE</t>
        </is>
      </c>
      <c r="Q11">
        <f>IF(ElevCalc!$Q$1=0,"",INDEX(tk_DHINGE,ElevCalc!$Q$1)&amp;"")</f>
        <v/>
      </c>
      <c r="U11" t="inlineStr">
        <is>
          <t>DHINGE</t>
        </is>
      </c>
      <c r="V11">
        <f>IF(ElevCalc!$V$1=0,"",INDEX(tk_DHINGE,ElevCalc!$V$1)&amp;"")</f>
        <v/>
      </c>
      <c r="Z11" t="inlineStr">
        <is>
          <t>DHINGE</t>
        </is>
      </c>
      <c r="AA11">
        <f>IF(ElevCalc!$AA$1=0,"",INDEX(tk_DHINGE,ElevCalc!$AA$1)&amp;"")</f>
        <v/>
      </c>
      <c r="AE11" t="inlineStr">
        <is>
          <t>DHINGE</t>
        </is>
      </c>
      <c r="AF11">
        <f>IF(ElevCalc!$AF$1=0,"",INDEX(tk_DHINGE,ElevCalc!$AF$1)&amp;"")</f>
        <v/>
      </c>
    </row>
    <row r="12">
      <c r="A12" t="inlineStr">
        <is>
          <t>LEAVES</t>
        </is>
      </c>
      <c r="B12">
        <f>IF(ElevCalc!$B$1=0,"",INDEX(tk_LEAVES,ElevCalc!$B$1))</f>
        <v/>
      </c>
      <c r="F12" t="inlineStr">
        <is>
          <t>LEAVES</t>
        </is>
      </c>
      <c r="G12">
        <f>IF(ElevCalc!$G$1=0,"",INDEX(tk_LEAVES,ElevCalc!$G$1))</f>
        <v/>
      </c>
      <c r="K12" t="inlineStr">
        <is>
          <t>LEAVES</t>
        </is>
      </c>
      <c r="L12">
        <f>IF(ElevCalc!$L$1=0,"",INDEX(tk_LEAVES,ElevCalc!$L$1))</f>
        <v/>
      </c>
      <c r="P12" t="inlineStr">
        <is>
          <t>LEAVES</t>
        </is>
      </c>
      <c r="Q12">
        <f>IF(ElevCalc!$Q$1=0,"",INDEX(tk_LEAVES,ElevCalc!$Q$1))</f>
        <v/>
      </c>
      <c r="U12" t="inlineStr">
        <is>
          <t>LEAVES</t>
        </is>
      </c>
      <c r="V12">
        <f>IF(ElevCalc!$V$1=0,"",INDEX(tk_LEAVES,ElevCalc!$V$1))</f>
        <v/>
      </c>
      <c r="Z12" t="inlineStr">
        <is>
          <t>LEAVES</t>
        </is>
      </c>
      <c r="AA12">
        <f>IF(ElevCalc!$AA$1=0,"",INDEX(tk_LEAVES,ElevCalc!$AA$1))</f>
        <v/>
      </c>
      <c r="AE12" t="inlineStr">
        <is>
          <t>LEAVES</t>
        </is>
      </c>
      <c r="AF12">
        <f>IF(ElevCalc!$AF$1=0,"",INDEX(tk_LEAVES,ElevCalc!$AF$1))</f>
        <v/>
      </c>
    </row>
    <row r="13">
      <c r="A13" t="inlineStr">
        <is>
          <t>LEAFW</t>
        </is>
      </c>
      <c r="B13">
        <f>IF(ElevCalc!$B$1=0,"",INDEX(tk_LEAFW,ElevCalc!$B$1))</f>
        <v/>
      </c>
      <c r="F13" t="inlineStr">
        <is>
          <t>LEAFW</t>
        </is>
      </c>
      <c r="G13">
        <f>IF(ElevCalc!$G$1=0,"",INDEX(tk_LEAFW,ElevCalc!$G$1))</f>
        <v/>
      </c>
      <c r="K13" t="inlineStr">
        <is>
          <t>LEAFW</t>
        </is>
      </c>
      <c r="L13">
        <f>IF(ElevCalc!$L$1=0,"",INDEX(tk_LEAFW,ElevCalc!$L$1))</f>
        <v/>
      </c>
      <c r="P13" t="inlineStr">
        <is>
          <t>LEAFW</t>
        </is>
      </c>
      <c r="Q13">
        <f>IF(ElevCalc!$Q$1=0,"",INDEX(tk_LEAFW,ElevCalc!$Q$1))</f>
        <v/>
      </c>
      <c r="U13" t="inlineStr">
        <is>
          <t>LEAFW</t>
        </is>
      </c>
      <c r="V13">
        <f>IF(ElevCalc!$V$1=0,"",INDEX(tk_LEAFW,ElevCalc!$V$1))</f>
        <v/>
      </c>
      <c r="Z13" t="inlineStr">
        <is>
          <t>LEAFW</t>
        </is>
      </c>
      <c r="AA13">
        <f>IF(ElevCalc!$AA$1=0,"",INDEX(tk_LEAFW,ElevCalc!$AA$1))</f>
        <v/>
      </c>
      <c r="AE13" t="inlineStr">
        <is>
          <t>LEAFW</t>
        </is>
      </c>
      <c r="AF13">
        <f>IF(ElevCalc!$AF$1=0,"",INDEX(tk_LEAFW,ElevCalc!$AF$1))</f>
        <v/>
      </c>
    </row>
    <row r="14">
      <c r="A14" t="inlineStr">
        <is>
          <t>LEAFH</t>
        </is>
      </c>
      <c r="B14">
        <f>IF(ElevCalc!$B$1=0,"",INDEX(tk_LEAFH,ElevCalc!$B$1))</f>
        <v/>
      </c>
      <c r="F14" t="inlineStr">
        <is>
          <t>LEAFH</t>
        </is>
      </c>
      <c r="G14">
        <f>IF(ElevCalc!$G$1=0,"",INDEX(tk_LEAFH,ElevCalc!$G$1))</f>
        <v/>
      </c>
      <c r="K14" t="inlineStr">
        <is>
          <t>LEAFH</t>
        </is>
      </c>
      <c r="L14">
        <f>IF(ElevCalc!$L$1=0,"",INDEX(tk_LEAFH,ElevCalc!$L$1))</f>
        <v/>
      </c>
      <c r="P14" t="inlineStr">
        <is>
          <t>LEAFH</t>
        </is>
      </c>
      <c r="Q14">
        <f>IF(ElevCalc!$Q$1=0,"",INDEX(tk_LEAFH,ElevCalc!$Q$1))</f>
        <v/>
      </c>
      <c r="U14" t="inlineStr">
        <is>
          <t>LEAFH</t>
        </is>
      </c>
      <c r="V14">
        <f>IF(ElevCalc!$V$1=0,"",INDEX(tk_LEAFH,ElevCalc!$V$1))</f>
        <v/>
      </c>
      <c r="Z14" t="inlineStr">
        <is>
          <t>LEAFH</t>
        </is>
      </c>
      <c r="AA14">
        <f>IF(ElevCalc!$AA$1=0,"",INDEX(tk_LEAFH,ElevCalc!$AA$1))</f>
        <v/>
      </c>
      <c r="AE14" t="inlineStr">
        <is>
          <t>LEAFH</t>
        </is>
      </c>
      <c r="AF14">
        <f>IF(ElevCalc!$AF$1=0,"",INDEX(tk_LEAFH,ElevCalc!$AF$1))</f>
        <v/>
      </c>
    </row>
    <row r="15">
      <c r="A15" t="inlineStr">
        <is>
          <t>TRANS</t>
        </is>
      </c>
      <c r="B15">
        <f>IF(ElevCalc!$B$1=0,"",INDEX(tk_TRANS,ElevCalc!$B$1))</f>
        <v/>
      </c>
      <c r="F15" t="inlineStr">
        <is>
          <t>TRANS</t>
        </is>
      </c>
      <c r="G15">
        <f>IF(ElevCalc!$G$1=0,"",INDEX(tk_TRANS,ElevCalc!$G$1))</f>
        <v/>
      </c>
      <c r="K15" t="inlineStr">
        <is>
          <t>TRANS</t>
        </is>
      </c>
      <c r="L15">
        <f>IF(ElevCalc!$L$1=0,"",INDEX(tk_TRANS,ElevCalc!$L$1))</f>
        <v/>
      </c>
      <c r="P15" t="inlineStr">
        <is>
          <t>TRANS</t>
        </is>
      </c>
      <c r="Q15">
        <f>IF(ElevCalc!$Q$1=0,"",INDEX(tk_TRANS,ElevCalc!$Q$1))</f>
        <v/>
      </c>
      <c r="U15" t="inlineStr">
        <is>
          <t>TRANS</t>
        </is>
      </c>
      <c r="V15">
        <f>IF(ElevCalc!$V$1=0,"",INDEX(tk_TRANS,ElevCalc!$V$1))</f>
        <v/>
      </c>
      <c r="Z15" t="inlineStr">
        <is>
          <t>TRANS</t>
        </is>
      </c>
      <c r="AA15">
        <f>IF(ElevCalc!$AA$1=0,"",INDEX(tk_TRANS,ElevCalc!$AA$1))</f>
        <v/>
      </c>
      <c r="AE15" t="inlineStr">
        <is>
          <t>TRANS</t>
        </is>
      </c>
      <c r="AF15">
        <f>IF(ElevCalc!$AF$1=0,"",INDEX(tk_TRANS,ElevCalc!$AF$1))</f>
        <v/>
      </c>
    </row>
    <row r="16">
      <c r="A16" t="inlineStr">
        <is>
          <t>SLW</t>
        </is>
      </c>
      <c r="B16">
        <f>IF(ElevCalc!$B$1=0,"",INDEX(tk_SLW,ElevCalc!$B$1))</f>
        <v/>
      </c>
      <c r="F16" t="inlineStr">
        <is>
          <t>SLW</t>
        </is>
      </c>
      <c r="G16">
        <f>IF(ElevCalc!$G$1=0,"",INDEX(tk_SLW,ElevCalc!$G$1))</f>
        <v/>
      </c>
      <c r="K16" t="inlineStr">
        <is>
          <t>SLW</t>
        </is>
      </c>
      <c r="L16">
        <f>IF(ElevCalc!$L$1=0,"",INDEX(tk_SLW,ElevCalc!$L$1))</f>
        <v/>
      </c>
      <c r="P16" t="inlineStr">
        <is>
          <t>SLW</t>
        </is>
      </c>
      <c r="Q16">
        <f>IF(ElevCalc!$Q$1=0,"",INDEX(tk_SLW,ElevCalc!$Q$1))</f>
        <v/>
      </c>
      <c r="U16" t="inlineStr">
        <is>
          <t>SLW</t>
        </is>
      </c>
      <c r="V16">
        <f>IF(ElevCalc!$V$1=0,"",INDEX(tk_SLW,ElevCalc!$V$1))</f>
        <v/>
      </c>
      <c r="Z16" t="inlineStr">
        <is>
          <t>SLW</t>
        </is>
      </c>
      <c r="AA16">
        <f>IF(ElevCalc!$AA$1=0,"",INDEX(tk_SLW,ElevCalc!$AA$1))</f>
        <v/>
      </c>
      <c r="AE16" t="inlineStr">
        <is>
          <t>SLW</t>
        </is>
      </c>
      <c r="AF16">
        <f>IF(ElevCalc!$AF$1=0,"",INDEX(tk_SLW,ElevCalc!$AF$1))</f>
        <v/>
      </c>
    </row>
    <row r="17">
      <c r="A17" t="inlineStr">
        <is>
          <t>SLSIDE</t>
        </is>
      </c>
      <c r="B17">
        <f>IF(ElevCalc!$B$1=0,"",INDEX(tk_SLSIDE,ElevCalc!$B$1)&amp;"")</f>
        <v/>
      </c>
      <c r="F17" t="inlineStr">
        <is>
          <t>SLSIDE</t>
        </is>
      </c>
      <c r="G17">
        <f>IF(ElevCalc!$G$1=0,"",INDEX(tk_SLSIDE,ElevCalc!$G$1)&amp;"")</f>
        <v/>
      </c>
      <c r="K17" t="inlineStr">
        <is>
          <t>SLSIDE</t>
        </is>
      </c>
      <c r="L17">
        <f>IF(ElevCalc!$L$1=0,"",INDEX(tk_SLSIDE,ElevCalc!$L$1)&amp;"")</f>
        <v/>
      </c>
      <c r="P17" t="inlineStr">
        <is>
          <t>SLSIDE</t>
        </is>
      </c>
      <c r="Q17">
        <f>IF(ElevCalc!$Q$1=0,"",INDEX(tk_SLSIDE,ElevCalc!$Q$1)&amp;"")</f>
        <v/>
      </c>
      <c r="U17" t="inlineStr">
        <is>
          <t>SLSIDE</t>
        </is>
      </c>
      <c r="V17">
        <f>IF(ElevCalc!$V$1=0,"",INDEX(tk_SLSIDE,ElevCalc!$V$1)&amp;"")</f>
        <v/>
      </c>
      <c r="Z17" t="inlineStr">
        <is>
          <t>SLSIDE</t>
        </is>
      </c>
      <c r="AA17">
        <f>IF(ElevCalc!$AA$1=0,"",INDEX(tk_SLSIDE,ElevCalc!$AA$1)&amp;"")</f>
        <v/>
      </c>
      <c r="AE17" t="inlineStr">
        <is>
          <t>SLSIDE</t>
        </is>
      </c>
      <c r="AF17">
        <f>IF(ElevCalc!$AF$1=0,"",INDEX(tk_SLSIDE,ElevCalc!$AF$1)&amp;"")</f>
        <v/>
      </c>
    </row>
    <row r="18">
      <c r="A18" t="inlineStr">
        <is>
          <t>WI</t>
        </is>
      </c>
      <c r="B18">
        <f>IF(ElevCalc!$B$1=0,"",INDEX(tk_WI,ElevCalc!$B$1))</f>
        <v/>
      </c>
      <c r="F18" t="inlineStr">
        <is>
          <t>WI</t>
        </is>
      </c>
      <c r="G18">
        <f>IF(ElevCalc!$G$1=0,"",INDEX(tk_WI,ElevCalc!$G$1))</f>
        <v/>
      </c>
      <c r="K18" t="inlineStr">
        <is>
          <t>WI</t>
        </is>
      </c>
      <c r="L18">
        <f>IF(ElevCalc!$L$1=0,"",INDEX(tk_WI,ElevCalc!$L$1))</f>
        <v/>
      </c>
      <c r="P18" t="inlineStr">
        <is>
          <t>WI</t>
        </is>
      </c>
      <c r="Q18">
        <f>IF(ElevCalc!$Q$1=0,"",INDEX(tk_WI,ElevCalc!$Q$1))</f>
        <v/>
      </c>
      <c r="U18" t="inlineStr">
        <is>
          <t>WI</t>
        </is>
      </c>
      <c r="V18">
        <f>IF(ElevCalc!$V$1=0,"",INDEX(tk_WI,ElevCalc!$V$1))</f>
        <v/>
      </c>
      <c r="Z18" t="inlineStr">
        <is>
          <t>WI</t>
        </is>
      </c>
      <c r="AA18">
        <f>IF(ElevCalc!$AA$1=0,"",INDEX(tk_WI,ElevCalc!$AA$1))</f>
        <v/>
      </c>
      <c r="AE18" t="inlineStr">
        <is>
          <t>WI</t>
        </is>
      </c>
      <c r="AF18">
        <f>IF(ElevCalc!$AF$1=0,"",INDEX(tk_WI,ElevCalc!$AF$1))</f>
        <v/>
      </c>
    </row>
    <row r="19">
      <c r="A19" t="inlineStr">
        <is>
          <t>HI</t>
        </is>
      </c>
      <c r="B19">
        <f>IF(ElevCalc!$B$1=0,"",INDEX(tk_HI,ElevCalc!$B$1))</f>
        <v/>
      </c>
      <c r="F19" t="inlineStr">
        <is>
          <t>HI</t>
        </is>
      </c>
      <c r="G19">
        <f>IF(ElevCalc!$G$1=0,"",INDEX(tk_HI,ElevCalc!$G$1))</f>
        <v/>
      </c>
      <c r="K19" t="inlineStr">
        <is>
          <t>HI</t>
        </is>
      </c>
      <c r="L19">
        <f>IF(ElevCalc!$L$1=0,"",INDEX(tk_HI,ElevCalc!$L$1))</f>
        <v/>
      </c>
      <c r="P19" t="inlineStr">
        <is>
          <t>HI</t>
        </is>
      </c>
      <c r="Q19">
        <f>IF(ElevCalc!$Q$1=0,"",INDEX(tk_HI,ElevCalc!$Q$1))</f>
        <v/>
      </c>
      <c r="U19" t="inlineStr">
        <is>
          <t>HI</t>
        </is>
      </c>
      <c r="V19">
        <f>IF(ElevCalc!$V$1=0,"",INDEX(tk_HI,ElevCalc!$V$1))</f>
        <v/>
      </c>
      <c r="Z19" t="inlineStr">
        <is>
          <t>HI</t>
        </is>
      </c>
      <c r="AA19">
        <f>IF(ElevCalc!$AA$1=0,"",INDEX(tk_HI,ElevCalc!$AA$1))</f>
        <v/>
      </c>
      <c r="AE19" t="inlineStr">
        <is>
          <t>HI</t>
        </is>
      </c>
      <c r="AF19">
        <f>IF(ElevCalc!$AF$1=0,"",INDEX(tk_HI,ElevCalc!$AF$1))</f>
        <v/>
      </c>
    </row>
    <row r="20">
      <c r="A20" t="inlineStr">
        <is>
          <t>LITEKIT</t>
        </is>
      </c>
      <c r="B20">
        <f>IF(ElevCalc!$B$1=0,"",INDEX(tk_LITEKIT,ElevCalc!$B$1)&amp;"")</f>
        <v/>
      </c>
      <c r="F20" t="inlineStr">
        <is>
          <t>LITEKIT</t>
        </is>
      </c>
      <c r="G20">
        <f>IF(ElevCalc!$G$1=0,"",INDEX(tk_LITEKIT,ElevCalc!$G$1)&amp;"")</f>
        <v/>
      </c>
      <c r="K20" t="inlineStr">
        <is>
          <t>LITEKIT</t>
        </is>
      </c>
      <c r="L20">
        <f>IF(ElevCalc!$L$1=0,"",INDEX(tk_LITEKIT,ElevCalc!$L$1)&amp;"")</f>
        <v/>
      </c>
      <c r="P20" t="inlineStr">
        <is>
          <t>LITEKIT</t>
        </is>
      </c>
      <c r="Q20">
        <f>IF(ElevCalc!$Q$1=0,"",INDEX(tk_LITEKIT,ElevCalc!$Q$1)&amp;"")</f>
        <v/>
      </c>
      <c r="U20" t="inlineStr">
        <is>
          <t>LITEKIT</t>
        </is>
      </c>
      <c r="V20">
        <f>IF(ElevCalc!$V$1=0,"",INDEX(tk_LITEKIT,ElevCalc!$V$1)&amp;"")</f>
        <v/>
      </c>
      <c r="Z20" t="inlineStr">
        <is>
          <t>LITEKIT</t>
        </is>
      </c>
      <c r="AA20">
        <f>IF(ElevCalc!$AA$1=0,"",INDEX(tk_LITEKIT,ElevCalc!$AA$1)&amp;"")</f>
        <v/>
      </c>
      <c r="AE20" t="inlineStr">
        <is>
          <t>LITEKIT</t>
        </is>
      </c>
      <c r="AF20">
        <f>IF(ElevCalc!$AF$1=0,"",INDEX(tk_LITEKIT,ElevCalc!$AF$1)&amp;"")</f>
        <v/>
      </c>
    </row>
    <row r="21">
      <c r="A21" t="inlineStr">
        <is>
          <t>LITEW</t>
        </is>
      </c>
      <c r="B21">
        <f>IF(ElevCalc!$B$1=0,"",INDEX(tk_LITEW,ElevCalc!$B$1))</f>
        <v/>
      </c>
      <c r="F21" t="inlineStr">
        <is>
          <t>LITEW</t>
        </is>
      </c>
      <c r="G21">
        <f>IF(ElevCalc!$G$1=0,"",INDEX(tk_LITEW,ElevCalc!$G$1))</f>
        <v/>
      </c>
      <c r="K21" t="inlineStr">
        <is>
          <t>LITEW</t>
        </is>
      </c>
      <c r="L21">
        <f>IF(ElevCalc!$L$1=0,"",INDEX(tk_LITEW,ElevCalc!$L$1))</f>
        <v/>
      </c>
      <c r="P21" t="inlineStr">
        <is>
          <t>LITEW</t>
        </is>
      </c>
      <c r="Q21">
        <f>IF(ElevCalc!$Q$1=0,"",INDEX(tk_LITEW,ElevCalc!$Q$1))</f>
        <v/>
      </c>
      <c r="U21" t="inlineStr">
        <is>
          <t>LITEW</t>
        </is>
      </c>
      <c r="V21">
        <f>IF(ElevCalc!$V$1=0,"",INDEX(tk_LITEW,ElevCalc!$V$1))</f>
        <v/>
      </c>
      <c r="Z21" t="inlineStr">
        <is>
          <t>LITEW</t>
        </is>
      </c>
      <c r="AA21">
        <f>IF(ElevCalc!$AA$1=0,"",INDEX(tk_LITEW,ElevCalc!$AA$1))</f>
        <v/>
      </c>
      <c r="AE21" t="inlineStr">
        <is>
          <t>LITEW</t>
        </is>
      </c>
      <c r="AF21">
        <f>IF(ElevCalc!$AF$1=0,"",INDEX(tk_LITEW,ElevCalc!$AF$1))</f>
        <v/>
      </c>
    </row>
    <row r="22">
      <c r="A22" t="inlineStr">
        <is>
          <t>LITEH</t>
        </is>
      </c>
      <c r="B22">
        <f>IF(ElevCalc!$B$1=0,"",INDEX(tk_LITEH,ElevCalc!$B$1))</f>
        <v/>
      </c>
      <c r="F22" t="inlineStr">
        <is>
          <t>LITEH</t>
        </is>
      </c>
      <c r="G22">
        <f>IF(ElevCalc!$G$1=0,"",INDEX(tk_LITEH,ElevCalc!$G$1))</f>
        <v/>
      </c>
      <c r="K22" t="inlineStr">
        <is>
          <t>LITEH</t>
        </is>
      </c>
      <c r="L22">
        <f>IF(ElevCalc!$L$1=0,"",INDEX(tk_LITEH,ElevCalc!$L$1))</f>
        <v/>
      </c>
      <c r="P22" t="inlineStr">
        <is>
          <t>LITEH</t>
        </is>
      </c>
      <c r="Q22">
        <f>IF(ElevCalc!$Q$1=0,"",INDEX(tk_LITEH,ElevCalc!$Q$1))</f>
        <v/>
      </c>
      <c r="U22" t="inlineStr">
        <is>
          <t>LITEH</t>
        </is>
      </c>
      <c r="V22">
        <f>IF(ElevCalc!$V$1=0,"",INDEX(tk_LITEH,ElevCalc!$V$1))</f>
        <v/>
      </c>
      <c r="Z22" t="inlineStr">
        <is>
          <t>LITEH</t>
        </is>
      </c>
      <c r="AA22">
        <f>IF(ElevCalc!$AA$1=0,"",INDEX(tk_LITEH,ElevCalc!$AA$1))</f>
        <v/>
      </c>
      <c r="AE22" t="inlineStr">
        <is>
          <t>LITEH</t>
        </is>
      </c>
      <c r="AF22">
        <f>IF(ElevCalc!$AF$1=0,"",INDEX(tk_LITEH,ElevCalc!$AF$1))</f>
        <v/>
      </c>
    </row>
    <row r="23">
      <c r="A23" t="inlineStr">
        <is>
          <t>RATING</t>
        </is>
      </c>
      <c r="B23">
        <f>IF(ElevCalc!$B$1=0,"",INDEX(tk_RATING,ElevCalc!$B$1)&amp;"")</f>
        <v/>
      </c>
      <c r="F23" t="inlineStr">
        <is>
          <t>RATING</t>
        </is>
      </c>
      <c r="G23">
        <f>IF(ElevCalc!$G$1=0,"",INDEX(tk_RATING,ElevCalc!$G$1)&amp;"")</f>
        <v/>
      </c>
      <c r="K23" t="inlineStr">
        <is>
          <t>RATING</t>
        </is>
      </c>
      <c r="L23">
        <f>IF(ElevCalc!$L$1=0,"",INDEX(tk_RATING,ElevCalc!$L$1)&amp;"")</f>
        <v/>
      </c>
      <c r="P23" t="inlineStr">
        <is>
          <t>RATING</t>
        </is>
      </c>
      <c r="Q23">
        <f>IF(ElevCalc!$Q$1=0,"",INDEX(tk_RATING,ElevCalc!$Q$1)&amp;"")</f>
        <v/>
      </c>
      <c r="U23" t="inlineStr">
        <is>
          <t>RATING</t>
        </is>
      </c>
      <c r="V23">
        <f>IF(ElevCalc!$V$1=0,"",INDEX(tk_RATING,ElevCalc!$V$1)&amp;"")</f>
        <v/>
      </c>
      <c r="Z23" t="inlineStr">
        <is>
          <t>RATING</t>
        </is>
      </c>
      <c r="AA23">
        <f>IF(ElevCalc!$AA$1=0,"",INDEX(tk_RATING,ElevCalc!$AA$1)&amp;"")</f>
        <v/>
      </c>
      <c r="AE23" t="inlineStr">
        <is>
          <t>RATING</t>
        </is>
      </c>
      <c r="AF23">
        <f>IF(ElevCalc!$AF$1=0,"",INDEX(tk_RATING,ElevCalc!$AF$1)&amp;"")</f>
        <v/>
      </c>
    </row>
    <row r="24">
      <c r="A24" t="inlineStr">
        <is>
          <t>SIZE</t>
        </is>
      </c>
      <c r="B24">
        <f>IF(ElevCalc!$B$1=0,"",INDEX(tk_SIZE,ElevCalc!$B$1)&amp;"")</f>
        <v/>
      </c>
      <c r="F24" t="inlineStr">
        <is>
          <t>SIZE</t>
        </is>
      </c>
      <c r="G24">
        <f>IF(ElevCalc!$G$1=0,"",INDEX(tk_SIZE,ElevCalc!$G$1)&amp;"")</f>
        <v/>
      </c>
      <c r="K24" t="inlineStr">
        <is>
          <t>SIZE</t>
        </is>
      </c>
      <c r="L24">
        <f>IF(ElevCalc!$L$1=0,"",INDEX(tk_SIZE,ElevCalc!$L$1)&amp;"")</f>
        <v/>
      </c>
      <c r="P24" t="inlineStr">
        <is>
          <t>SIZE</t>
        </is>
      </c>
      <c r="Q24">
        <f>IF(ElevCalc!$Q$1=0,"",INDEX(tk_SIZE,ElevCalc!$Q$1)&amp;"")</f>
        <v/>
      </c>
      <c r="U24" t="inlineStr">
        <is>
          <t>SIZE</t>
        </is>
      </c>
      <c r="V24">
        <f>IF(ElevCalc!$V$1=0,"",INDEX(tk_SIZE,ElevCalc!$V$1)&amp;"")</f>
        <v/>
      </c>
      <c r="Z24" t="inlineStr">
        <is>
          <t>SIZE</t>
        </is>
      </c>
      <c r="AA24">
        <f>IF(ElevCalc!$AA$1=0,"",INDEX(tk_SIZE,ElevCalc!$AA$1)&amp;"")</f>
        <v/>
      </c>
      <c r="AE24" t="inlineStr">
        <is>
          <t>SIZE</t>
        </is>
      </c>
      <c r="AF24">
        <f>IF(ElevCalc!$AF$1=0,"",INDEX(tk_SIZE,ElevCalc!$AF$1)&amp;"")</f>
        <v/>
      </c>
    </row>
    <row r="25">
      <c r="A25" t="inlineStr">
        <is>
          <t>OAW</t>
        </is>
      </c>
      <c r="B25">
        <f>IF(ElevCalc!$B$1=0,"",INDEX(tk_OAW,ElevCalc!$B$1))</f>
        <v/>
      </c>
      <c r="F25" t="inlineStr">
        <is>
          <t>OAW</t>
        </is>
      </c>
      <c r="G25">
        <f>IF(ElevCalc!$G$1=0,"",INDEX(tk_OAW,ElevCalc!$G$1))</f>
        <v/>
      </c>
      <c r="K25" t="inlineStr">
        <is>
          <t>OAW</t>
        </is>
      </c>
      <c r="L25">
        <f>IF(ElevCalc!$L$1=0,"",INDEX(tk_OAW,ElevCalc!$L$1))</f>
        <v/>
      </c>
      <c r="P25" t="inlineStr">
        <is>
          <t>OAW</t>
        </is>
      </c>
      <c r="Q25">
        <f>IF(ElevCalc!$Q$1=0,"",INDEX(tk_OAW,ElevCalc!$Q$1))</f>
        <v/>
      </c>
      <c r="U25" t="inlineStr">
        <is>
          <t>OAW</t>
        </is>
      </c>
      <c r="V25">
        <f>IF(ElevCalc!$V$1=0,"",INDEX(tk_OAW,ElevCalc!$V$1))</f>
        <v/>
      </c>
      <c r="Z25" t="inlineStr">
        <is>
          <t>OAW</t>
        </is>
      </c>
      <c r="AA25">
        <f>IF(ElevCalc!$AA$1=0,"",INDEX(tk_OAW,ElevCalc!$AA$1))</f>
        <v/>
      </c>
      <c r="AE25" t="inlineStr">
        <is>
          <t>OAW</t>
        </is>
      </c>
      <c r="AF25">
        <f>IF(ElevCalc!$AF$1=0,"",INDEX(tk_OAW,ElevCalc!$AF$1))</f>
        <v/>
      </c>
    </row>
    <row r="26">
      <c r="A26" t="inlineStr">
        <is>
          <t>OAH</t>
        </is>
      </c>
      <c r="B26">
        <f>IF(ElevCalc!$B$1=0,"",INDEX(tk_OAH,ElevCalc!$B$1))</f>
        <v/>
      </c>
      <c r="F26" t="inlineStr">
        <is>
          <t>OAH</t>
        </is>
      </c>
      <c r="G26">
        <f>IF(ElevCalc!$G$1=0,"",INDEX(tk_OAH,ElevCalc!$G$1))</f>
        <v/>
      </c>
      <c r="K26" t="inlineStr">
        <is>
          <t>OAH</t>
        </is>
      </c>
      <c r="L26">
        <f>IF(ElevCalc!$L$1=0,"",INDEX(tk_OAH,ElevCalc!$L$1))</f>
        <v/>
      </c>
      <c r="P26" t="inlineStr">
        <is>
          <t>OAH</t>
        </is>
      </c>
      <c r="Q26">
        <f>IF(ElevCalc!$Q$1=0,"",INDEX(tk_OAH,ElevCalc!$Q$1))</f>
        <v/>
      </c>
      <c r="U26" t="inlineStr">
        <is>
          <t>OAH</t>
        </is>
      </c>
      <c r="V26">
        <f>IF(ElevCalc!$V$1=0,"",INDEX(tk_OAH,ElevCalc!$V$1))</f>
        <v/>
      </c>
      <c r="Z26" t="inlineStr">
        <is>
          <t>OAH</t>
        </is>
      </c>
      <c r="AA26">
        <f>IF(ElevCalc!$AA$1=0,"",INDEX(tk_OAH,ElevCalc!$AA$1))</f>
        <v/>
      </c>
      <c r="AE26" t="inlineStr">
        <is>
          <t>OAH</t>
        </is>
      </c>
      <c r="AF26">
        <f>IF(ElevCalc!$AF$1=0,"",INDEX(tk_OAH,ElevCalc!$AF$1))</f>
        <v/>
      </c>
    </row>
    <row r="27">
      <c r="A27" t="inlineStr">
        <is>
          <t>QTY</t>
        </is>
      </c>
      <c r="B27">
        <f>IF(ElevCalc!$B$1=0,"",INDEX(tk_QTY,ElevCalc!$B$1))</f>
        <v/>
      </c>
      <c r="F27" t="inlineStr">
        <is>
          <t>QTY</t>
        </is>
      </c>
      <c r="G27">
        <f>IF(ElevCalc!$G$1=0,"",INDEX(tk_QTY,ElevCalc!$G$1))</f>
        <v/>
      </c>
      <c r="K27" t="inlineStr">
        <is>
          <t>QTY</t>
        </is>
      </c>
      <c r="L27">
        <f>IF(ElevCalc!$L$1=0,"",INDEX(tk_QTY,ElevCalc!$L$1))</f>
        <v/>
      </c>
      <c r="P27" t="inlineStr">
        <is>
          <t>QTY</t>
        </is>
      </c>
      <c r="Q27">
        <f>IF(ElevCalc!$Q$1=0,"",INDEX(tk_QTY,ElevCalc!$Q$1))</f>
        <v/>
      </c>
      <c r="U27" t="inlineStr">
        <is>
          <t>QTY</t>
        </is>
      </c>
      <c r="V27">
        <f>IF(ElevCalc!$V$1=0,"",INDEX(tk_QTY,ElevCalc!$V$1))</f>
        <v/>
      </c>
      <c r="Z27" t="inlineStr">
        <is>
          <t>QTY</t>
        </is>
      </c>
      <c r="AA27">
        <f>IF(ElevCalc!$AA$1=0,"",INDEX(tk_QTY,ElevCalc!$AA$1))</f>
        <v/>
      </c>
      <c r="AE27" t="inlineStr">
        <is>
          <t>QTY</t>
        </is>
      </c>
      <c r="AF27">
        <f>IF(ElevCalc!$AF$1=0,"",INDEX(tk_QTY,ElevCalc!$AF$1))</f>
        <v/>
      </c>
    </row>
    <row r="28">
      <c r="A28" t="inlineStr">
        <is>
          <t>ETYPE</t>
        </is>
      </c>
      <c r="B28">
        <f>IF(ElevCalc!$B$1=0,"",INDEX(tk_ETYPE,ElevCalc!$B$1))</f>
        <v/>
      </c>
      <c r="F28" t="inlineStr">
        <is>
          <t>ETYPE</t>
        </is>
      </c>
      <c r="G28">
        <f>IF(ElevCalc!$G$1=0,"",INDEX(tk_ETYPE,ElevCalc!$G$1))</f>
        <v/>
      </c>
      <c r="K28" t="inlineStr">
        <is>
          <t>ETYPE</t>
        </is>
      </c>
      <c r="L28">
        <f>IF(ElevCalc!$L$1=0,"",INDEX(tk_ETYPE,ElevCalc!$L$1))</f>
        <v/>
      </c>
      <c r="P28" t="inlineStr">
        <is>
          <t>ETYPE</t>
        </is>
      </c>
      <c r="Q28">
        <f>IF(ElevCalc!$Q$1=0,"",INDEX(tk_ETYPE,ElevCalc!$Q$1))</f>
        <v/>
      </c>
      <c r="U28" t="inlineStr">
        <is>
          <t>ETYPE</t>
        </is>
      </c>
      <c r="V28">
        <f>IF(ElevCalc!$V$1=0,"",INDEX(tk_ETYPE,ElevCalc!$V$1))</f>
        <v/>
      </c>
      <c r="Z28" t="inlineStr">
        <is>
          <t>ETYPE</t>
        </is>
      </c>
      <c r="AA28">
        <f>IF(ElevCalc!$AA$1=0,"",INDEX(tk_ETYPE,ElevCalc!$AA$1))</f>
        <v/>
      </c>
      <c r="AE28" t="inlineStr">
        <is>
          <t>ETYPE</t>
        </is>
      </c>
      <c r="AF28">
        <f>IF(ElevCalc!$AF$1=0,"",INDEX(tk_ETYPE,ElevCalc!$AF$1))</f>
        <v/>
      </c>
    </row>
    <row r="29">
      <c r="A29" t="inlineStr">
        <is>
          <t>ROOMF</t>
        </is>
      </c>
      <c r="B29">
        <f>IF(ElevCalc!$B$1=0,"",INDEX(tk_ROOMF,ElevCalc!$B$1)&amp;"")</f>
        <v/>
      </c>
      <c r="F29" t="inlineStr">
        <is>
          <t>ROOMF</t>
        </is>
      </c>
      <c r="G29">
        <f>IF(ElevCalc!$G$1=0,"",INDEX(tk_ROOMF,ElevCalc!$G$1)&amp;"")</f>
        <v/>
      </c>
      <c r="K29" t="inlineStr">
        <is>
          <t>ROOMF</t>
        </is>
      </c>
      <c r="L29">
        <f>IF(ElevCalc!$L$1=0,"",INDEX(tk_ROOMF,ElevCalc!$L$1)&amp;"")</f>
        <v/>
      </c>
      <c r="P29" t="inlineStr">
        <is>
          <t>ROOMF</t>
        </is>
      </c>
      <c r="Q29">
        <f>IF(ElevCalc!$Q$1=0,"",INDEX(tk_ROOMF,ElevCalc!$Q$1)&amp;"")</f>
        <v/>
      </c>
      <c r="U29" t="inlineStr">
        <is>
          <t>ROOMF</t>
        </is>
      </c>
      <c r="V29">
        <f>IF(ElevCalc!$V$1=0,"",INDEX(tk_ROOMF,ElevCalc!$V$1)&amp;"")</f>
        <v/>
      </c>
      <c r="Z29" t="inlineStr">
        <is>
          <t>ROOMF</t>
        </is>
      </c>
      <c r="AA29">
        <f>IF(ElevCalc!$AA$1=0,"",INDEX(tk_ROOMF,ElevCalc!$AA$1)&amp;"")</f>
        <v/>
      </c>
      <c r="AE29" t="inlineStr">
        <is>
          <t>ROOMF</t>
        </is>
      </c>
      <c r="AF29">
        <f>IF(ElevCalc!$AF$1=0,"",INDEX(tk_ROOMF,ElevCalc!$AF$1)&amp;"")</f>
        <v/>
      </c>
    </row>
    <row r="30">
      <c r="A30" t="inlineStr">
        <is>
          <t>ROOMT</t>
        </is>
      </c>
      <c r="B30">
        <f>IF(ElevCalc!$B$1=0,"",INDEX(tk_ROOMT,ElevCalc!$B$1)&amp;"")</f>
        <v/>
      </c>
      <c r="F30" t="inlineStr">
        <is>
          <t>ROOMT</t>
        </is>
      </c>
      <c r="G30">
        <f>IF(ElevCalc!$G$1=0,"",INDEX(tk_ROOMT,ElevCalc!$G$1)&amp;"")</f>
        <v/>
      </c>
      <c r="K30" t="inlineStr">
        <is>
          <t>ROOMT</t>
        </is>
      </c>
      <c r="L30">
        <f>IF(ElevCalc!$L$1=0,"",INDEX(tk_ROOMT,ElevCalc!$L$1)&amp;"")</f>
        <v/>
      </c>
      <c r="P30" t="inlineStr">
        <is>
          <t>ROOMT</t>
        </is>
      </c>
      <c r="Q30">
        <f>IF(ElevCalc!$Q$1=0,"",INDEX(tk_ROOMT,ElevCalc!$Q$1)&amp;"")</f>
        <v/>
      </c>
      <c r="U30" t="inlineStr">
        <is>
          <t>ROOMT</t>
        </is>
      </c>
      <c r="V30">
        <f>IF(ElevCalc!$V$1=0,"",INDEX(tk_ROOMT,ElevCalc!$V$1)&amp;"")</f>
        <v/>
      </c>
      <c r="Z30" t="inlineStr">
        <is>
          <t>ROOMT</t>
        </is>
      </c>
      <c r="AA30">
        <f>IF(ElevCalc!$AA$1=0,"",INDEX(tk_ROOMT,ElevCalc!$AA$1)&amp;"")</f>
        <v/>
      </c>
      <c r="AE30" t="inlineStr">
        <is>
          <t>ROOMT</t>
        </is>
      </c>
      <c r="AF30">
        <f>IF(ElevCalc!$AF$1=0,"",INDEX(tk_ROOMT,ElevCalc!$AF$1)&amp;"")</f>
        <v/>
      </c>
    </row>
    <row r="31">
      <c r="A31" t="inlineStr">
        <is>
          <t>HWSET</t>
        </is>
      </c>
      <c r="B31">
        <f>IF(ElevCalc!$B$1=0,"",INDEX(tk_HWSET,ElevCalc!$B$1)&amp;"")</f>
        <v/>
      </c>
      <c r="F31" t="inlineStr">
        <is>
          <t>HWSET</t>
        </is>
      </c>
      <c r="G31">
        <f>IF(ElevCalc!$G$1=0,"",INDEX(tk_HWSET,ElevCalc!$G$1)&amp;"")</f>
        <v/>
      </c>
      <c r="K31" t="inlineStr">
        <is>
          <t>HWSET</t>
        </is>
      </c>
      <c r="L31">
        <f>IF(ElevCalc!$L$1=0,"",INDEX(tk_HWSET,ElevCalc!$L$1)&amp;"")</f>
        <v/>
      </c>
      <c r="P31" t="inlineStr">
        <is>
          <t>HWSET</t>
        </is>
      </c>
      <c r="Q31">
        <f>IF(ElevCalc!$Q$1=0,"",INDEX(tk_HWSET,ElevCalc!$Q$1)&amp;"")</f>
        <v/>
      </c>
      <c r="U31" t="inlineStr">
        <is>
          <t>HWSET</t>
        </is>
      </c>
      <c r="V31">
        <f>IF(ElevCalc!$V$1=0,"",INDEX(tk_HWSET,ElevCalc!$V$1)&amp;"")</f>
        <v/>
      </c>
      <c r="Z31" t="inlineStr">
        <is>
          <t>HWSET</t>
        </is>
      </c>
      <c r="AA31">
        <f>IF(ElevCalc!$AA$1=0,"",INDEX(tk_HWSET,ElevCalc!$AA$1)&amp;"")</f>
        <v/>
      </c>
      <c r="AE31" t="inlineStr">
        <is>
          <t>HWSET</t>
        </is>
      </c>
      <c r="AF31">
        <f>IF(ElevCalc!$AF$1=0,"",INDEX(tk_HWSET,ElevCalc!$AF$1)&amp;"")</f>
        <v/>
      </c>
    </row>
    <row r="32">
      <c r="A32" t="inlineStr">
        <is>
          <t>CHECK</t>
        </is>
      </c>
      <c r="B32">
        <f>IF(ElevCalc!$B$1=0,"",INDEX(tk_CHECK,ElevCalc!$B$1)&amp;"")</f>
        <v/>
      </c>
      <c r="F32" t="inlineStr">
        <is>
          <t>CHECK</t>
        </is>
      </c>
      <c r="G32">
        <f>IF(ElevCalc!$G$1=0,"",INDEX(tk_CHECK,ElevCalc!$G$1)&amp;"")</f>
        <v/>
      </c>
      <c r="K32" t="inlineStr">
        <is>
          <t>CHECK</t>
        </is>
      </c>
      <c r="L32">
        <f>IF(ElevCalc!$L$1=0,"",INDEX(tk_CHECK,ElevCalc!$L$1)&amp;"")</f>
        <v/>
      </c>
      <c r="P32" t="inlineStr">
        <is>
          <t>CHECK</t>
        </is>
      </c>
      <c r="Q32">
        <f>IF(ElevCalc!$Q$1=0,"",INDEX(tk_CHECK,ElevCalc!$Q$1)&amp;"")</f>
        <v/>
      </c>
      <c r="U32" t="inlineStr">
        <is>
          <t>CHECK</t>
        </is>
      </c>
      <c r="V32">
        <f>IF(ElevCalc!$V$1=0,"",INDEX(tk_CHECK,ElevCalc!$V$1)&amp;"")</f>
        <v/>
      </c>
      <c r="Z32" t="inlineStr">
        <is>
          <t>CHECK</t>
        </is>
      </c>
      <c r="AA32">
        <f>IF(ElevCalc!$AA$1=0,"",INDEX(tk_CHECK,ElevCalc!$AA$1)&amp;"")</f>
        <v/>
      </c>
      <c r="AE32" t="inlineStr">
        <is>
          <t>CHECK</t>
        </is>
      </c>
      <c r="AF32">
        <f>IF(ElevCalc!$AF$1=0,"",INDEX(tk_CHECK,ElevCalc!$AF$1)&amp;"")</f>
        <v/>
      </c>
    </row>
    <row r="33">
      <c r="A33" t="inlineStr">
        <is>
          <t>WHY</t>
        </is>
      </c>
      <c r="B33">
        <f>IF(ElevCalc!$B$1=0,"",INDEX(tk_WHY,ElevCalc!$B$1)&amp;"")</f>
        <v/>
      </c>
      <c r="F33" t="inlineStr">
        <is>
          <t>WHY</t>
        </is>
      </c>
      <c r="G33">
        <f>IF(ElevCalc!$G$1=0,"",INDEX(tk_WHY,ElevCalc!$G$1)&amp;"")</f>
        <v/>
      </c>
      <c r="K33" t="inlineStr">
        <is>
          <t>WHY</t>
        </is>
      </c>
      <c r="L33">
        <f>IF(ElevCalc!$L$1=0,"",INDEX(tk_WHY,ElevCalc!$L$1)&amp;"")</f>
        <v/>
      </c>
      <c r="P33" t="inlineStr">
        <is>
          <t>WHY</t>
        </is>
      </c>
      <c r="Q33">
        <f>IF(ElevCalc!$Q$1=0,"",INDEX(tk_WHY,ElevCalc!$Q$1)&amp;"")</f>
        <v/>
      </c>
      <c r="U33" t="inlineStr">
        <is>
          <t>WHY</t>
        </is>
      </c>
      <c r="V33">
        <f>IF(ElevCalc!$V$1=0,"",INDEX(tk_WHY,ElevCalc!$V$1)&amp;"")</f>
        <v/>
      </c>
      <c r="Z33" t="inlineStr">
        <is>
          <t>WHY</t>
        </is>
      </c>
      <c r="AA33">
        <f>IF(ElevCalc!$AA$1=0,"",INDEX(tk_WHY,ElevCalc!$AA$1)&amp;"")</f>
        <v/>
      </c>
      <c r="AE33" t="inlineStr">
        <is>
          <t>WHY</t>
        </is>
      </c>
      <c r="AF33">
        <f>IF(ElevCalc!$AF$1=0,"",INDEX(tk_WHY,ElevCalc!$AF$1)&amp;"")</f>
        <v/>
      </c>
    </row>
    <row r="34">
      <c r="A34" t="inlineStr">
        <is>
          <t>FLINE</t>
        </is>
      </c>
      <c r="B34">
        <f>IF(ElevCalc!$B$1=0,"",INDEX(tk_FLINE,ElevCalc!$B$1)&amp;"")</f>
        <v/>
      </c>
      <c r="F34" t="inlineStr">
        <is>
          <t>FLINE</t>
        </is>
      </c>
      <c r="G34">
        <f>IF(ElevCalc!$G$1=0,"",INDEX(tk_FLINE,ElevCalc!$G$1)&amp;"")</f>
        <v/>
      </c>
      <c r="K34" t="inlineStr">
        <is>
          <t>FLINE</t>
        </is>
      </c>
      <c r="L34">
        <f>IF(ElevCalc!$L$1=0,"",INDEX(tk_FLINE,ElevCalc!$L$1)&amp;"")</f>
        <v/>
      </c>
      <c r="P34" t="inlineStr">
        <is>
          <t>FLINE</t>
        </is>
      </c>
      <c r="Q34">
        <f>IF(ElevCalc!$Q$1=0,"",INDEX(tk_FLINE,ElevCalc!$Q$1)&amp;"")</f>
        <v/>
      </c>
      <c r="U34" t="inlineStr">
        <is>
          <t>FLINE</t>
        </is>
      </c>
      <c r="V34">
        <f>IF(ElevCalc!$V$1=0,"",INDEX(tk_FLINE,ElevCalc!$V$1)&amp;"")</f>
        <v/>
      </c>
      <c r="Z34" t="inlineStr">
        <is>
          <t>FLINE</t>
        </is>
      </c>
      <c r="AA34">
        <f>IF(ElevCalc!$AA$1=0,"",INDEX(tk_FLINE,ElevCalc!$AA$1)&amp;"")</f>
        <v/>
      </c>
      <c r="AE34" t="inlineStr">
        <is>
          <t>FLINE</t>
        </is>
      </c>
      <c r="AF34">
        <f>IF(ElevCalc!$AF$1=0,"",INDEX(tk_FLINE,ElevCalc!$AF$1)&amp;"")</f>
        <v/>
      </c>
    </row>
    <row r="35">
      <c r="A35" t="inlineStr">
        <is>
          <t>DLINE</t>
        </is>
      </c>
      <c r="B35">
        <f>IF(ElevCalc!$B$1=0,"",INDEX(tk_DLINE,ElevCalc!$B$1)&amp;"")</f>
        <v/>
      </c>
      <c r="F35" t="inlineStr">
        <is>
          <t>DLINE</t>
        </is>
      </c>
      <c r="G35">
        <f>IF(ElevCalc!$G$1=0,"",INDEX(tk_DLINE,ElevCalc!$G$1)&amp;"")</f>
        <v/>
      </c>
      <c r="K35" t="inlineStr">
        <is>
          <t>DLINE</t>
        </is>
      </c>
      <c r="L35">
        <f>IF(ElevCalc!$L$1=0,"",INDEX(tk_DLINE,ElevCalc!$L$1)&amp;"")</f>
        <v/>
      </c>
      <c r="P35" t="inlineStr">
        <is>
          <t>DLINE</t>
        </is>
      </c>
      <c r="Q35">
        <f>IF(ElevCalc!$Q$1=0,"",INDEX(tk_DLINE,ElevCalc!$Q$1)&amp;"")</f>
        <v/>
      </c>
      <c r="U35" t="inlineStr">
        <is>
          <t>DLINE</t>
        </is>
      </c>
      <c r="V35">
        <f>IF(ElevCalc!$V$1=0,"",INDEX(tk_DLINE,ElevCalc!$V$1)&amp;"")</f>
        <v/>
      </c>
      <c r="Z35" t="inlineStr">
        <is>
          <t>DLINE</t>
        </is>
      </c>
      <c r="AA35">
        <f>IF(ElevCalc!$AA$1=0,"",INDEX(tk_DLINE,ElevCalc!$AA$1)&amp;"")</f>
        <v/>
      </c>
      <c r="AE35" t="inlineStr">
        <is>
          <t>DLINE</t>
        </is>
      </c>
      <c r="AF35">
        <f>IF(ElevCalc!$AF$1=0,"",INDEX(tk_DLINE,ElevCalc!$AF$1)&amp;"")</f>
        <v/>
      </c>
    </row>
    <row r="36">
      <c r="A36" t="inlineStr">
        <is>
          <t>ROW</t>
        </is>
      </c>
      <c r="B36">
        <f>IF(ElevCalc!$B$1=0,"",INDEX(tk_ROW,ElevCalc!$B$1))</f>
        <v/>
      </c>
      <c r="F36" t="inlineStr">
        <is>
          <t>ROW</t>
        </is>
      </c>
      <c r="G36">
        <f>IF(ElevCalc!$G$1=0,"",INDEX(tk_ROW,ElevCalc!$G$1))</f>
        <v/>
      </c>
      <c r="K36" t="inlineStr">
        <is>
          <t>ROW</t>
        </is>
      </c>
      <c r="L36">
        <f>IF(ElevCalc!$L$1=0,"",INDEX(tk_ROW,ElevCalc!$L$1))</f>
        <v/>
      </c>
      <c r="P36" t="inlineStr">
        <is>
          <t>ROW</t>
        </is>
      </c>
      <c r="Q36">
        <f>IF(ElevCalc!$Q$1=0,"",INDEX(tk_ROW,ElevCalc!$Q$1))</f>
        <v/>
      </c>
      <c r="U36" t="inlineStr">
        <is>
          <t>ROW</t>
        </is>
      </c>
      <c r="V36">
        <f>IF(ElevCalc!$V$1=0,"",INDEX(tk_ROW,ElevCalc!$V$1))</f>
        <v/>
      </c>
      <c r="Z36" t="inlineStr">
        <is>
          <t>ROW</t>
        </is>
      </c>
      <c r="AA36">
        <f>IF(ElevCalc!$AA$1=0,"",INDEX(tk_ROW,ElevCalc!$AA$1))</f>
        <v/>
      </c>
      <c r="AE36" t="inlineStr">
        <is>
          <t>ROW</t>
        </is>
      </c>
      <c r="AF36">
        <f>IF(ElevCalc!$AF$1=0,"",INDEX(tk_ROW,ElevCalc!$AF$1))</f>
        <v/>
      </c>
    </row>
    <row r="37">
      <c r="A37" t="inlineStr">
        <is>
          <t>ROH</t>
        </is>
      </c>
      <c r="B37">
        <f>IF(ElevCalc!$B$1=0,"",INDEX(tk_ROH,ElevCalc!$B$1))</f>
        <v/>
      </c>
      <c r="F37" t="inlineStr">
        <is>
          <t>ROH</t>
        </is>
      </c>
      <c r="G37">
        <f>IF(ElevCalc!$G$1=0,"",INDEX(tk_ROH,ElevCalc!$G$1))</f>
        <v/>
      </c>
      <c r="K37" t="inlineStr">
        <is>
          <t>ROH</t>
        </is>
      </c>
      <c r="L37">
        <f>IF(ElevCalc!$L$1=0,"",INDEX(tk_ROH,ElevCalc!$L$1))</f>
        <v/>
      </c>
      <c r="P37" t="inlineStr">
        <is>
          <t>ROH</t>
        </is>
      </c>
      <c r="Q37">
        <f>IF(ElevCalc!$Q$1=0,"",INDEX(tk_ROH,ElevCalc!$Q$1))</f>
        <v/>
      </c>
      <c r="U37" t="inlineStr">
        <is>
          <t>ROH</t>
        </is>
      </c>
      <c r="V37">
        <f>IF(ElevCalc!$V$1=0,"",INDEX(tk_ROH,ElevCalc!$V$1))</f>
        <v/>
      </c>
      <c r="Z37" t="inlineStr">
        <is>
          <t>ROH</t>
        </is>
      </c>
      <c r="AA37">
        <f>IF(ElevCalc!$AA$1=0,"",INDEX(tk_ROH,ElevCalc!$AA$1))</f>
        <v/>
      </c>
      <c r="AE37" t="inlineStr">
        <is>
          <t>ROH</t>
        </is>
      </c>
      <c r="AF37">
        <f>IF(ElevCalc!$AF$1=0,"",INDEX(tk_ROH,ElevCalc!$AF$1))</f>
        <v/>
      </c>
    </row>
    <row r="38">
      <c r="A38" t="inlineStr">
        <is>
          <t>CLEARW</t>
        </is>
      </c>
      <c r="B38">
        <f>IF(ElevCalc!$B$1=0,"",INDEX(tk_CLEARW,ElevCalc!$B$1))</f>
        <v/>
      </c>
      <c r="F38" t="inlineStr">
        <is>
          <t>CLEARW</t>
        </is>
      </c>
      <c r="G38">
        <f>IF(ElevCalc!$G$1=0,"",INDEX(tk_CLEARW,ElevCalc!$G$1))</f>
        <v/>
      </c>
      <c r="K38" t="inlineStr">
        <is>
          <t>CLEARW</t>
        </is>
      </c>
      <c r="L38">
        <f>IF(ElevCalc!$L$1=0,"",INDEX(tk_CLEARW,ElevCalc!$L$1))</f>
        <v/>
      </c>
      <c r="P38" t="inlineStr">
        <is>
          <t>CLEARW</t>
        </is>
      </c>
      <c r="Q38">
        <f>IF(ElevCalc!$Q$1=0,"",INDEX(tk_CLEARW,ElevCalc!$Q$1))</f>
        <v/>
      </c>
      <c r="U38" t="inlineStr">
        <is>
          <t>CLEARW</t>
        </is>
      </c>
      <c r="V38">
        <f>IF(ElevCalc!$V$1=0,"",INDEX(tk_CLEARW,ElevCalc!$V$1))</f>
        <v/>
      </c>
      <c r="Z38" t="inlineStr">
        <is>
          <t>CLEARW</t>
        </is>
      </c>
      <c r="AA38">
        <f>IF(ElevCalc!$AA$1=0,"",INDEX(tk_CLEARW,ElevCalc!$AA$1))</f>
        <v/>
      </c>
      <c r="AE38" t="inlineStr">
        <is>
          <t>CLEARW</t>
        </is>
      </c>
      <c r="AF38">
        <f>IF(ElevCalc!$AF$1=0,"",INDEX(tk_CLEARW,ElevCalc!$AF$1))</f>
        <v/>
      </c>
    </row>
    <row r="39">
      <c r="A39" t="inlineStr">
        <is>
          <t>HINGES</t>
        </is>
      </c>
      <c r="B39">
        <f>IF(ElevCalc!$B$1=0,"",INDEX(tk_HINGES,ElevCalc!$B$1))</f>
        <v/>
      </c>
      <c r="F39" t="inlineStr">
        <is>
          <t>HINGES</t>
        </is>
      </c>
      <c r="G39">
        <f>IF(ElevCalc!$G$1=0,"",INDEX(tk_HINGES,ElevCalc!$G$1))</f>
        <v/>
      </c>
      <c r="K39" t="inlineStr">
        <is>
          <t>HINGES</t>
        </is>
      </c>
      <c r="L39">
        <f>IF(ElevCalc!$L$1=0,"",INDEX(tk_HINGES,ElevCalc!$L$1))</f>
        <v/>
      </c>
      <c r="P39" t="inlineStr">
        <is>
          <t>HINGES</t>
        </is>
      </c>
      <c r="Q39">
        <f>IF(ElevCalc!$Q$1=0,"",INDEX(tk_HINGES,ElevCalc!$Q$1))</f>
        <v/>
      </c>
      <c r="U39" t="inlineStr">
        <is>
          <t>HINGES</t>
        </is>
      </c>
      <c r="V39">
        <f>IF(ElevCalc!$V$1=0,"",INDEX(tk_HINGES,ElevCalc!$V$1))</f>
        <v/>
      </c>
      <c r="Z39" t="inlineStr">
        <is>
          <t>HINGES</t>
        </is>
      </c>
      <c r="AA39">
        <f>IF(ElevCalc!$AA$1=0,"",INDEX(tk_HINGES,ElevCalc!$AA$1))</f>
        <v/>
      </c>
      <c r="AE39" t="inlineStr">
        <is>
          <t>HINGES</t>
        </is>
      </c>
      <c r="AF39">
        <f>IF(ElevCalc!$AF$1=0,"",INDEX(tk_HINGES,ElevCalc!$AF$1))</f>
        <v/>
      </c>
    </row>
    <row r="40">
      <c r="A40" t="inlineStr">
        <is>
          <t>REQ</t>
        </is>
      </c>
      <c r="B40">
        <f>IF(ElevCalc!$B$1=0,"",INDEX(tk_REQ,ElevCalc!$B$1))</f>
        <v/>
      </c>
      <c r="F40" t="inlineStr">
        <is>
          <t>REQ</t>
        </is>
      </c>
      <c r="G40">
        <f>IF(ElevCalc!$G$1=0,"",INDEX(tk_REQ,ElevCalc!$G$1))</f>
        <v/>
      </c>
      <c r="K40" t="inlineStr">
        <is>
          <t>REQ</t>
        </is>
      </c>
      <c r="L40">
        <f>IF(ElevCalc!$L$1=0,"",INDEX(tk_REQ,ElevCalc!$L$1))</f>
        <v/>
      </c>
      <c r="P40" t="inlineStr">
        <is>
          <t>REQ</t>
        </is>
      </c>
      <c r="Q40">
        <f>IF(ElevCalc!$Q$1=0,"",INDEX(tk_REQ,ElevCalc!$Q$1))</f>
        <v/>
      </c>
      <c r="U40" t="inlineStr">
        <is>
          <t>REQ</t>
        </is>
      </c>
      <c r="V40">
        <f>IF(ElevCalc!$V$1=0,"",INDEX(tk_REQ,ElevCalc!$V$1))</f>
        <v/>
      </c>
      <c r="Z40" t="inlineStr">
        <is>
          <t>REQ</t>
        </is>
      </c>
      <c r="AA40">
        <f>IF(ElevCalc!$AA$1=0,"",INDEX(tk_REQ,ElevCalc!$AA$1))</f>
        <v/>
      </c>
      <c r="AE40" t="inlineStr">
        <is>
          <t>REQ</t>
        </is>
      </c>
      <c r="AF40">
        <f>IF(ElevCalc!$AF$1=0,"",INDEX(tk_REQ,ElevCalc!$AF$1))</f>
        <v/>
      </c>
    </row>
    <row r="41">
      <c r="A41" t="inlineStr">
        <is>
          <t>CONSTR</t>
        </is>
      </c>
      <c r="B41">
        <f>IF(ElevCalc!$B$1=0,"",INDEX(tk_CONSTR,ElevCalc!$B$1)&amp;"")</f>
        <v/>
      </c>
      <c r="F41" t="inlineStr">
        <is>
          <t>CONSTR</t>
        </is>
      </c>
      <c r="G41">
        <f>IF(ElevCalc!$G$1=0,"",INDEX(tk_CONSTR,ElevCalc!$G$1)&amp;"")</f>
        <v/>
      </c>
      <c r="K41" t="inlineStr">
        <is>
          <t>CONSTR</t>
        </is>
      </c>
      <c r="L41">
        <f>IF(ElevCalc!$L$1=0,"",INDEX(tk_CONSTR,ElevCalc!$L$1)&amp;"")</f>
        <v/>
      </c>
      <c r="P41" t="inlineStr">
        <is>
          <t>CONSTR</t>
        </is>
      </c>
      <c r="Q41">
        <f>IF(ElevCalc!$Q$1=0,"",INDEX(tk_CONSTR,ElevCalc!$Q$1)&amp;"")</f>
        <v/>
      </c>
      <c r="U41" t="inlineStr">
        <is>
          <t>CONSTR</t>
        </is>
      </c>
      <c r="V41">
        <f>IF(ElevCalc!$V$1=0,"",INDEX(tk_CONSTR,ElevCalc!$V$1)&amp;"")</f>
        <v/>
      </c>
      <c r="Z41" t="inlineStr">
        <is>
          <t>CONSTR</t>
        </is>
      </c>
      <c r="AA41">
        <f>IF(ElevCalc!$AA$1=0,"",INDEX(tk_CONSTR,ElevCalc!$AA$1)&amp;"")</f>
        <v/>
      </c>
      <c r="AE41" t="inlineStr">
        <is>
          <t>CONSTR</t>
        </is>
      </c>
      <c r="AF41">
        <f>IF(ElevCalc!$AF$1=0,"",INDEX(tk_CONSTR,ElevCalc!$AF$1)&amp;"")</f>
        <v/>
      </c>
    </row>
    <row r="42">
      <c r="A42" t="inlineStr">
        <is>
          <t>JAMB</t>
        </is>
      </c>
      <c r="B42">
        <f>IF(ElevCalc!$B$1=0,"",INDEX(tk_JAMB,ElevCalc!$B$1))</f>
        <v/>
      </c>
      <c r="F42" t="inlineStr">
        <is>
          <t>JAMB</t>
        </is>
      </c>
      <c r="G42">
        <f>IF(ElevCalc!$G$1=0,"",INDEX(tk_JAMB,ElevCalc!$G$1))</f>
        <v/>
      </c>
      <c r="K42" t="inlineStr">
        <is>
          <t>JAMB</t>
        </is>
      </c>
      <c r="L42">
        <f>IF(ElevCalc!$L$1=0,"",INDEX(tk_JAMB,ElevCalc!$L$1))</f>
        <v/>
      </c>
      <c r="P42" t="inlineStr">
        <is>
          <t>JAMB</t>
        </is>
      </c>
      <c r="Q42">
        <f>IF(ElevCalc!$Q$1=0,"",INDEX(tk_JAMB,ElevCalc!$Q$1))</f>
        <v/>
      </c>
      <c r="U42" t="inlineStr">
        <is>
          <t>JAMB</t>
        </is>
      </c>
      <c r="V42">
        <f>IF(ElevCalc!$V$1=0,"",INDEX(tk_JAMB,ElevCalc!$V$1))</f>
        <v/>
      </c>
      <c r="Z42" t="inlineStr">
        <is>
          <t>JAMB</t>
        </is>
      </c>
      <c r="AA42">
        <f>IF(ElevCalc!$AA$1=0,"",INDEX(tk_JAMB,ElevCalc!$AA$1))</f>
        <v/>
      </c>
      <c r="AE42" t="inlineStr">
        <is>
          <t>JAMB</t>
        </is>
      </c>
      <c r="AF42">
        <f>IF(ElevCalc!$AF$1=0,"",INDEX(tk_JAMB,ElevCalc!$AF$1))</f>
        <v/>
      </c>
    </row>
    <row r="43">
      <c r="A43" t="inlineStr">
        <is>
          <t>DMAT</t>
        </is>
      </c>
      <c r="B43">
        <f>IF(ElevCalc!$B$1=0,"",INDEX(tk_DMAT,ElevCalc!$B$1)&amp;"")</f>
        <v/>
      </c>
      <c r="F43" t="inlineStr">
        <is>
          <t>DMAT</t>
        </is>
      </c>
      <c r="G43">
        <f>IF(ElevCalc!$G$1=0,"",INDEX(tk_DMAT,ElevCalc!$G$1)&amp;"")</f>
        <v/>
      </c>
      <c r="K43" t="inlineStr">
        <is>
          <t>DMAT</t>
        </is>
      </c>
      <c r="L43">
        <f>IF(ElevCalc!$L$1=0,"",INDEX(tk_DMAT,ElevCalc!$L$1)&amp;"")</f>
        <v/>
      </c>
      <c r="P43" t="inlineStr">
        <is>
          <t>DMAT</t>
        </is>
      </c>
      <c r="Q43">
        <f>IF(ElevCalc!$Q$1=0,"",INDEX(tk_DMAT,ElevCalc!$Q$1)&amp;"")</f>
        <v/>
      </c>
      <c r="U43" t="inlineStr">
        <is>
          <t>DMAT</t>
        </is>
      </c>
      <c r="V43">
        <f>IF(ElevCalc!$V$1=0,"",INDEX(tk_DMAT,ElevCalc!$V$1)&amp;"")</f>
        <v/>
      </c>
      <c r="Z43" t="inlineStr">
        <is>
          <t>DMAT</t>
        </is>
      </c>
      <c r="AA43">
        <f>IF(ElevCalc!$AA$1=0,"",INDEX(tk_DMAT,ElevCalc!$AA$1)&amp;"")</f>
        <v/>
      </c>
      <c r="AE43" t="inlineStr">
        <is>
          <t>DMAT</t>
        </is>
      </c>
      <c r="AF43">
        <f>IF(ElevCalc!$AF$1=0,"",INDEX(tk_DMAT,ElevCalc!$AF$1)&amp;"")</f>
        <v/>
      </c>
    </row>
    <row r="44">
      <c r="A44" t="inlineStr">
        <is>
          <t>LOCK</t>
        </is>
      </c>
      <c r="B44">
        <f>IF(ElevCalc!$B$1=0,"",INDEX(tk_LOCK,ElevCalc!$B$1)&amp;"")</f>
        <v/>
      </c>
      <c r="F44" t="inlineStr">
        <is>
          <t>LOCK</t>
        </is>
      </c>
      <c r="G44">
        <f>IF(ElevCalc!$G$1=0,"",INDEX(tk_LOCK,ElevCalc!$G$1)&amp;"")</f>
        <v/>
      </c>
      <c r="K44" t="inlineStr">
        <is>
          <t>LOCK</t>
        </is>
      </c>
      <c r="L44">
        <f>IF(ElevCalc!$L$1=0,"",INDEX(tk_LOCK,ElevCalc!$L$1)&amp;"")</f>
        <v/>
      </c>
      <c r="P44" t="inlineStr">
        <is>
          <t>LOCK</t>
        </is>
      </c>
      <c r="Q44">
        <f>IF(ElevCalc!$Q$1=0,"",INDEX(tk_LOCK,ElevCalc!$Q$1)&amp;"")</f>
        <v/>
      </c>
      <c r="U44" t="inlineStr">
        <is>
          <t>LOCK</t>
        </is>
      </c>
      <c r="V44">
        <f>IF(ElevCalc!$V$1=0,"",INDEX(tk_LOCK,ElevCalc!$V$1)&amp;"")</f>
        <v/>
      </c>
      <c r="Z44" t="inlineStr">
        <is>
          <t>LOCK</t>
        </is>
      </c>
      <c r="AA44">
        <f>IF(ElevCalc!$AA$1=0,"",INDEX(tk_LOCK,ElevCalc!$AA$1)&amp;"")</f>
        <v/>
      </c>
      <c r="AE44" t="inlineStr">
        <is>
          <t>LOCK</t>
        </is>
      </c>
      <c r="AF44">
        <f>IF(ElevCalc!$AF$1=0,"",INDEX(tk_LOCK,ElevCalc!$AF$1)&amp;"")</f>
        <v/>
      </c>
    </row>
    <row r="45">
      <c r="A45" t="inlineStr">
        <is>
          <t>ok</t>
        </is>
      </c>
      <c r="B45">
        <f>AND(ElevCalc!$B$1&gt;0,N(ElevCalc!$B$18)&gt;0,N(ElevCalc!$B$19)&gt;0)</f>
        <v/>
      </c>
      <c r="F45" t="inlineStr">
        <is>
          <t>ok</t>
        </is>
      </c>
      <c r="G45">
        <f>AND(ElevCalc!$G$1&gt;0,N(ElevCalc!$G$18)&gt;0,N(ElevCalc!$G$19)&gt;0)</f>
        <v/>
      </c>
      <c r="K45" t="inlineStr">
        <is>
          <t>ok</t>
        </is>
      </c>
      <c r="L45">
        <f>AND(ElevCalc!$L$1&gt;0,N(ElevCalc!$L$18)&gt;0,N(ElevCalc!$L$19)&gt;0)</f>
        <v/>
      </c>
      <c r="P45" t="inlineStr">
        <is>
          <t>ok</t>
        </is>
      </c>
      <c r="Q45">
        <f>AND(ElevCalc!$Q$1&gt;0,N(ElevCalc!$Q$18)&gt;0,N(ElevCalc!$Q$19)&gt;0)</f>
        <v/>
      </c>
      <c r="U45" t="inlineStr">
        <is>
          <t>ok</t>
        </is>
      </c>
      <c r="V45">
        <f>AND(ElevCalc!$V$1&gt;0,N(ElevCalc!$V$18)&gt;0,N(ElevCalc!$V$19)&gt;0)</f>
        <v/>
      </c>
      <c r="Z45" t="inlineStr">
        <is>
          <t>ok</t>
        </is>
      </c>
      <c r="AA45">
        <f>AND(ElevCalc!$AA$1&gt;0,N(ElevCalc!$AA$18)&gt;0,N(ElevCalc!$AA$19)&gt;0)</f>
        <v/>
      </c>
      <c r="AE45" t="inlineStr">
        <is>
          <t>ok</t>
        </is>
      </c>
      <c r="AF45">
        <f>AND(ElevCalc!$AF$1&gt;0,N(ElevCalc!$AF$18)&gt;0,N(ElevCalc!$AF$19)&gt;0)</f>
        <v/>
      </c>
    </row>
    <row r="46">
      <c r="A46" t="inlineStr">
        <is>
          <t>W</t>
        </is>
      </c>
      <c r="B46">
        <f>N(ElevCalc!$B$18)</f>
        <v/>
      </c>
      <c r="F46" t="inlineStr">
        <is>
          <t>W</t>
        </is>
      </c>
      <c r="G46">
        <f>N(ElevCalc!$G$18)</f>
        <v/>
      </c>
      <c r="K46" t="inlineStr">
        <is>
          <t>W</t>
        </is>
      </c>
      <c r="L46">
        <f>N(ElevCalc!$L$18)</f>
        <v/>
      </c>
      <c r="P46" t="inlineStr">
        <is>
          <t>W</t>
        </is>
      </c>
      <c r="Q46">
        <f>N(ElevCalc!$Q$18)</f>
        <v/>
      </c>
      <c r="U46" t="inlineStr">
        <is>
          <t>W</t>
        </is>
      </c>
      <c r="V46">
        <f>N(ElevCalc!$V$18)</f>
        <v/>
      </c>
      <c r="Z46" t="inlineStr">
        <is>
          <t>W</t>
        </is>
      </c>
      <c r="AA46">
        <f>N(ElevCalc!$AA$18)</f>
        <v/>
      </c>
      <c r="AE46" t="inlineStr">
        <is>
          <t>W</t>
        </is>
      </c>
      <c r="AF46">
        <f>N(ElevCalc!$AF$18)</f>
        <v/>
      </c>
    </row>
    <row r="47">
      <c r="A47" t="inlineStr">
        <is>
          <t>H</t>
        </is>
      </c>
      <c r="B47">
        <f>N(ElevCalc!$B$19)</f>
        <v/>
      </c>
      <c r="F47" t="inlineStr">
        <is>
          <t>H</t>
        </is>
      </c>
      <c r="G47">
        <f>N(ElevCalc!$G$19)</f>
        <v/>
      </c>
      <c r="K47" t="inlineStr">
        <is>
          <t>H</t>
        </is>
      </c>
      <c r="L47">
        <f>N(ElevCalc!$L$19)</f>
        <v/>
      </c>
      <c r="P47" t="inlineStr">
        <is>
          <t>H</t>
        </is>
      </c>
      <c r="Q47">
        <f>N(ElevCalc!$Q$19)</f>
        <v/>
      </c>
      <c r="U47" t="inlineStr">
        <is>
          <t>H</t>
        </is>
      </c>
      <c r="V47">
        <f>N(ElevCalc!$V$19)</f>
        <v/>
      </c>
      <c r="Z47" t="inlineStr">
        <is>
          <t>H</t>
        </is>
      </c>
      <c r="AA47">
        <f>N(ElevCalc!$AA$19)</f>
        <v/>
      </c>
      <c r="AE47" t="inlineStr">
        <is>
          <t>H</t>
        </is>
      </c>
      <c r="AF47">
        <f>N(ElevCalc!$AF$19)</f>
        <v/>
      </c>
    </row>
    <row r="48">
      <c r="A48" t="inlineStr">
        <is>
          <t>jf</t>
        </is>
      </c>
      <c r="B48">
        <f>FaceW</f>
        <v/>
      </c>
      <c r="F48" t="inlineStr">
        <is>
          <t>jf</t>
        </is>
      </c>
      <c r="G48">
        <f>FaceW</f>
        <v/>
      </c>
      <c r="K48" t="inlineStr">
        <is>
          <t>jf</t>
        </is>
      </c>
      <c r="L48">
        <f>FaceW</f>
        <v/>
      </c>
      <c r="P48" t="inlineStr">
        <is>
          <t>jf</t>
        </is>
      </c>
      <c r="Q48">
        <f>FaceW</f>
        <v/>
      </c>
      <c r="U48" t="inlineStr">
        <is>
          <t>jf</t>
        </is>
      </c>
      <c r="V48">
        <f>FaceW</f>
        <v/>
      </c>
      <c r="Z48" t="inlineStr">
        <is>
          <t>jf</t>
        </is>
      </c>
      <c r="AA48">
        <f>FaceW</f>
        <v/>
      </c>
      <c r="AE48" t="inlineStr">
        <is>
          <t>jf</t>
        </is>
      </c>
      <c r="AF48">
        <f>FaceW</f>
        <v/>
      </c>
    </row>
    <row r="49">
      <c r="A49" t="inlineStr">
        <is>
          <t>hf</t>
        </is>
      </c>
      <c r="B49">
        <f>IF(ElevCalc!$B$8="Y",4,FaceW)</f>
        <v/>
      </c>
      <c r="F49" t="inlineStr">
        <is>
          <t>hf</t>
        </is>
      </c>
      <c r="G49">
        <f>IF(ElevCalc!$G$8="Y",4,FaceW)</f>
        <v/>
      </c>
      <c r="K49" t="inlineStr">
        <is>
          <t>hf</t>
        </is>
      </c>
      <c r="L49">
        <f>IF(ElevCalc!$L$8="Y",4,FaceW)</f>
        <v/>
      </c>
      <c r="P49" t="inlineStr">
        <is>
          <t>hf</t>
        </is>
      </c>
      <c r="Q49">
        <f>IF(ElevCalc!$Q$8="Y",4,FaceW)</f>
        <v/>
      </c>
      <c r="U49" t="inlineStr">
        <is>
          <t>hf</t>
        </is>
      </c>
      <c r="V49">
        <f>IF(ElevCalc!$V$8="Y",4,FaceW)</f>
        <v/>
      </c>
      <c r="Z49" t="inlineStr">
        <is>
          <t>hf</t>
        </is>
      </c>
      <c r="AA49">
        <f>IF(ElevCalc!$AA$8="Y",4,FaceW)</f>
        <v/>
      </c>
      <c r="AE49" t="inlineStr">
        <is>
          <t>hf</t>
        </is>
      </c>
      <c r="AF49">
        <f>IF(ElevCalc!$AF$8="Y",4,FaceW)</f>
        <v/>
      </c>
    </row>
    <row r="50">
      <c r="A50" t="inlineStr">
        <is>
          <t>ml</t>
        </is>
      </c>
      <c r="B50">
        <f>FaceW</f>
        <v/>
      </c>
      <c r="F50" t="inlineStr">
        <is>
          <t>ml</t>
        </is>
      </c>
      <c r="G50">
        <f>FaceW</f>
        <v/>
      </c>
      <c r="K50" t="inlineStr">
        <is>
          <t>ml</t>
        </is>
      </c>
      <c r="L50">
        <f>FaceW</f>
        <v/>
      </c>
      <c r="P50" t="inlineStr">
        <is>
          <t>ml</t>
        </is>
      </c>
      <c r="Q50">
        <f>FaceW</f>
        <v/>
      </c>
      <c r="U50" t="inlineStr">
        <is>
          <t>ml</t>
        </is>
      </c>
      <c r="V50">
        <f>FaceW</f>
        <v/>
      </c>
      <c r="Z50" t="inlineStr">
        <is>
          <t>ml</t>
        </is>
      </c>
      <c r="AA50">
        <f>FaceW</f>
        <v/>
      </c>
      <c r="AE50" t="inlineStr">
        <is>
          <t>ml</t>
        </is>
      </c>
      <c r="AF50">
        <f>FaceW</f>
        <v/>
      </c>
    </row>
    <row r="51">
      <c r="A51" t="inlineStr">
        <is>
          <t>closed</t>
        </is>
      </c>
      <c r="B51">
        <f>IF(OR(ElevCalc!$B$4="4F",ElevCalc!$B$4="BL"),1,0)</f>
        <v/>
      </c>
      <c r="F51" t="inlineStr">
        <is>
          <t>closed</t>
        </is>
      </c>
      <c r="G51">
        <f>IF(OR(ElevCalc!$G$4="4F",ElevCalc!$G$4="BL"),1,0)</f>
        <v/>
      </c>
      <c r="K51" t="inlineStr">
        <is>
          <t>closed</t>
        </is>
      </c>
      <c r="L51">
        <f>IF(OR(ElevCalc!$L$4="4F",ElevCalc!$L$4="BL"),1,0)</f>
        <v/>
      </c>
      <c r="P51" t="inlineStr">
        <is>
          <t>closed</t>
        </is>
      </c>
      <c r="Q51">
        <f>IF(OR(ElevCalc!$Q$4="4F",ElevCalc!$Q$4="BL"),1,0)</f>
        <v/>
      </c>
      <c r="U51" t="inlineStr">
        <is>
          <t>closed</t>
        </is>
      </c>
      <c r="V51">
        <f>IF(OR(ElevCalc!$V$4="4F",ElevCalc!$V$4="BL"),1,0)</f>
        <v/>
      </c>
      <c r="Z51" t="inlineStr">
        <is>
          <t>closed</t>
        </is>
      </c>
      <c r="AA51">
        <f>IF(OR(ElevCalc!$AA$4="4F",ElevCalc!$AA$4="BL"),1,0)</f>
        <v/>
      </c>
      <c r="AE51" t="inlineStr">
        <is>
          <t>closed</t>
        </is>
      </c>
      <c r="AF51">
        <f>IF(OR(ElevCalc!$AF$4="4F",ElevCalc!$AF$4="BL"),1,0)</f>
        <v/>
      </c>
    </row>
    <row r="52">
      <c r="A52" t="inlineStr">
        <is>
          <t>bf</t>
        </is>
      </c>
      <c r="B52">
        <f>ElevCalc!$B$51*FaceW</f>
        <v/>
      </c>
      <c r="F52" t="inlineStr">
        <is>
          <t>bf</t>
        </is>
      </c>
      <c r="G52">
        <f>ElevCalc!$G$51*FaceW</f>
        <v/>
      </c>
      <c r="K52" t="inlineStr">
        <is>
          <t>bf</t>
        </is>
      </c>
      <c r="L52">
        <f>ElevCalc!$L$51*FaceW</f>
        <v/>
      </c>
      <c r="P52" t="inlineStr">
        <is>
          <t>bf</t>
        </is>
      </c>
      <c r="Q52">
        <f>ElevCalc!$Q$51*FaceW</f>
        <v/>
      </c>
      <c r="U52" t="inlineStr">
        <is>
          <t>bf</t>
        </is>
      </c>
      <c r="V52">
        <f>ElevCalc!$V$51*FaceW</f>
        <v/>
      </c>
      <c r="Z52" t="inlineStr">
        <is>
          <t>bf</t>
        </is>
      </c>
      <c r="AA52">
        <f>ElevCalc!$AA$51*FaceW</f>
        <v/>
      </c>
      <c r="AE52" t="inlineStr">
        <is>
          <t>bf</t>
        </is>
      </c>
      <c r="AF52">
        <f>ElevCalc!$AF$51*FaceW</f>
        <v/>
      </c>
    </row>
    <row r="53">
      <c r="A53" t="inlineStr">
        <is>
          <t>tH</t>
        </is>
      </c>
      <c r="B53">
        <f>N(ElevCalc!$B$15)</f>
        <v/>
      </c>
      <c r="F53" t="inlineStr">
        <is>
          <t>tH</t>
        </is>
      </c>
      <c r="G53">
        <f>N(ElevCalc!$G$15)</f>
        <v/>
      </c>
      <c r="K53" t="inlineStr">
        <is>
          <t>tH</t>
        </is>
      </c>
      <c r="L53">
        <f>N(ElevCalc!$L$15)</f>
        <v/>
      </c>
      <c r="P53" t="inlineStr">
        <is>
          <t>tH</t>
        </is>
      </c>
      <c r="Q53">
        <f>N(ElevCalc!$Q$15)</f>
        <v/>
      </c>
      <c r="U53" t="inlineStr">
        <is>
          <t>tH</t>
        </is>
      </c>
      <c r="V53">
        <f>N(ElevCalc!$V$15)</f>
        <v/>
      </c>
      <c r="Z53" t="inlineStr">
        <is>
          <t>tH</t>
        </is>
      </c>
      <c r="AA53">
        <f>N(ElevCalc!$AA$15)</f>
        <v/>
      </c>
      <c r="AE53" t="inlineStr">
        <is>
          <t>tH</t>
        </is>
      </c>
      <c r="AF53">
        <f>N(ElevCalc!$AF$15)</f>
        <v/>
      </c>
    </row>
    <row r="54">
      <c r="A54" t="inlineStr">
        <is>
          <t>sW</t>
        </is>
      </c>
      <c r="B54">
        <f>N(ElevCalc!$B$16)</f>
        <v/>
      </c>
      <c r="F54" t="inlineStr">
        <is>
          <t>sW</t>
        </is>
      </c>
      <c r="G54">
        <f>N(ElevCalc!$G$16)</f>
        <v/>
      </c>
      <c r="K54" t="inlineStr">
        <is>
          <t>sW</t>
        </is>
      </c>
      <c r="L54">
        <f>N(ElevCalc!$L$16)</f>
        <v/>
      </c>
      <c r="P54" t="inlineStr">
        <is>
          <t>sW</t>
        </is>
      </c>
      <c r="Q54">
        <f>N(ElevCalc!$Q$16)</f>
        <v/>
      </c>
      <c r="U54" t="inlineStr">
        <is>
          <t>sW</t>
        </is>
      </c>
      <c r="V54">
        <f>N(ElevCalc!$V$16)</f>
        <v/>
      </c>
      <c r="Z54" t="inlineStr">
        <is>
          <t>sW</t>
        </is>
      </c>
      <c r="AA54">
        <f>N(ElevCalc!$AA$16)</f>
        <v/>
      </c>
      <c r="AE54" t="inlineStr">
        <is>
          <t>sW</t>
        </is>
      </c>
      <c r="AF54">
        <f>N(ElevCalc!$AF$16)</f>
        <v/>
      </c>
    </row>
    <row r="55">
      <c r="A55" t="inlineStr">
        <is>
          <t>sL</t>
        </is>
      </c>
      <c r="B55">
        <f>IF(AND(ElevCalc!$B$54&gt;0,OR(ElevCalc!$B$17="L",ElevCalc!$B$17="LR")),ElevCalc!$B$54,0)</f>
        <v/>
      </c>
      <c r="F55" t="inlineStr">
        <is>
          <t>sL</t>
        </is>
      </c>
      <c r="G55">
        <f>IF(AND(ElevCalc!$G$54&gt;0,OR(ElevCalc!$G$17="L",ElevCalc!$G$17="LR")),ElevCalc!$G$54,0)</f>
        <v/>
      </c>
      <c r="K55" t="inlineStr">
        <is>
          <t>sL</t>
        </is>
      </c>
      <c r="L55">
        <f>IF(AND(ElevCalc!$L$54&gt;0,OR(ElevCalc!$L$17="L",ElevCalc!$L$17="LR")),ElevCalc!$L$54,0)</f>
        <v/>
      </c>
      <c r="P55" t="inlineStr">
        <is>
          <t>sL</t>
        </is>
      </c>
      <c r="Q55">
        <f>IF(AND(ElevCalc!$Q$54&gt;0,OR(ElevCalc!$Q$17="L",ElevCalc!$Q$17="LR")),ElevCalc!$Q$54,0)</f>
        <v/>
      </c>
      <c r="U55" t="inlineStr">
        <is>
          <t>sL</t>
        </is>
      </c>
      <c r="V55">
        <f>IF(AND(ElevCalc!$V$54&gt;0,OR(ElevCalc!$V$17="L",ElevCalc!$V$17="LR")),ElevCalc!$V$54,0)</f>
        <v/>
      </c>
      <c r="Z55" t="inlineStr">
        <is>
          <t>sL</t>
        </is>
      </c>
      <c r="AA55">
        <f>IF(AND(ElevCalc!$AA$54&gt;0,OR(ElevCalc!$AA$17="L",ElevCalc!$AA$17="LR")),ElevCalc!$AA$54,0)</f>
        <v/>
      </c>
      <c r="AE55" t="inlineStr">
        <is>
          <t>sL</t>
        </is>
      </c>
      <c r="AF55">
        <f>IF(AND(ElevCalc!$AF$54&gt;0,OR(ElevCalc!$AF$17="L",ElevCalc!$AF$17="LR")),ElevCalc!$AF$54,0)</f>
        <v/>
      </c>
    </row>
    <row r="56">
      <c r="A56" t="inlineStr">
        <is>
          <t>sR</t>
        </is>
      </c>
      <c r="B56">
        <f>IF(AND(ElevCalc!$B$54&gt;0,ElevCalc!$B$17&lt;&gt;"L"),ElevCalc!$B$54,0)</f>
        <v/>
      </c>
      <c r="F56" t="inlineStr">
        <is>
          <t>sR</t>
        </is>
      </c>
      <c r="G56">
        <f>IF(AND(ElevCalc!$G$54&gt;0,ElevCalc!$G$17&lt;&gt;"L"),ElevCalc!$G$54,0)</f>
        <v/>
      </c>
      <c r="K56" t="inlineStr">
        <is>
          <t>sR</t>
        </is>
      </c>
      <c r="L56">
        <f>IF(AND(ElevCalc!$L$54&gt;0,ElevCalc!$L$17&lt;&gt;"L"),ElevCalc!$L$54,0)</f>
        <v/>
      </c>
      <c r="P56" t="inlineStr">
        <is>
          <t>sR</t>
        </is>
      </c>
      <c r="Q56">
        <f>IF(AND(ElevCalc!$Q$54&gt;0,ElevCalc!$Q$17&lt;&gt;"L"),ElevCalc!$Q$54,0)</f>
        <v/>
      </c>
      <c r="U56" t="inlineStr">
        <is>
          <t>sR</t>
        </is>
      </c>
      <c r="V56">
        <f>IF(AND(ElevCalc!$V$54&gt;0,ElevCalc!$V$17&lt;&gt;"L"),ElevCalc!$V$54,0)</f>
        <v/>
      </c>
      <c r="Z56" t="inlineStr">
        <is>
          <t>sR</t>
        </is>
      </c>
      <c r="AA56">
        <f>IF(AND(ElevCalc!$AA$54&gt;0,ElevCalc!$AA$17&lt;&gt;"L"),ElevCalc!$AA$54,0)</f>
        <v/>
      </c>
      <c r="AE56" t="inlineStr">
        <is>
          <t>sR</t>
        </is>
      </c>
      <c r="AF56">
        <f>IF(AND(ElevCalc!$AF$54&gt;0,ElevCalc!$AF$17&lt;&gt;"L"),ElevCalc!$AF$54,0)</f>
        <v/>
      </c>
    </row>
    <row r="57">
      <c r="A57" t="inlineStr">
        <is>
          <t>TW</t>
        </is>
      </c>
      <c r="B57">
        <f>2*ElevCalc!$B$48+ElevCalc!$B$46+IF(ElevCalc!$B$55&gt;0,ElevCalc!$B$55+ElevCalc!$B$50,0)+IF(ElevCalc!$B$56&gt;0,ElevCalc!$B$56+ElevCalc!$B$50,0)</f>
        <v/>
      </c>
      <c r="F57" t="inlineStr">
        <is>
          <t>TW</t>
        </is>
      </c>
      <c r="G57">
        <f>2*ElevCalc!$G$48+ElevCalc!$G$46+IF(ElevCalc!$G$55&gt;0,ElevCalc!$G$55+ElevCalc!$G$50,0)+IF(ElevCalc!$G$56&gt;0,ElevCalc!$G$56+ElevCalc!$G$50,0)</f>
        <v/>
      </c>
      <c r="K57" t="inlineStr">
        <is>
          <t>TW</t>
        </is>
      </c>
      <c r="L57">
        <f>2*ElevCalc!$L$48+ElevCalc!$L$46+IF(ElevCalc!$L$55&gt;0,ElevCalc!$L$55+ElevCalc!$L$50,0)+IF(ElevCalc!$L$56&gt;0,ElevCalc!$L$56+ElevCalc!$L$50,0)</f>
        <v/>
      </c>
      <c r="P57" t="inlineStr">
        <is>
          <t>TW</t>
        </is>
      </c>
      <c r="Q57">
        <f>2*ElevCalc!$Q$48+ElevCalc!$Q$46+IF(ElevCalc!$Q$55&gt;0,ElevCalc!$Q$55+ElevCalc!$Q$50,0)+IF(ElevCalc!$Q$56&gt;0,ElevCalc!$Q$56+ElevCalc!$Q$50,0)</f>
        <v/>
      </c>
      <c r="U57" t="inlineStr">
        <is>
          <t>TW</t>
        </is>
      </c>
      <c r="V57">
        <f>2*ElevCalc!$V$48+ElevCalc!$V$46+IF(ElevCalc!$V$55&gt;0,ElevCalc!$V$55+ElevCalc!$V$50,0)+IF(ElevCalc!$V$56&gt;0,ElevCalc!$V$56+ElevCalc!$V$50,0)</f>
        <v/>
      </c>
      <c r="Z57" t="inlineStr">
        <is>
          <t>TW</t>
        </is>
      </c>
      <c r="AA57">
        <f>2*ElevCalc!$AA$48+ElevCalc!$AA$46+IF(ElevCalc!$AA$55&gt;0,ElevCalc!$AA$55+ElevCalc!$AA$50,0)+IF(ElevCalc!$AA$56&gt;0,ElevCalc!$AA$56+ElevCalc!$AA$50,0)</f>
        <v/>
      </c>
      <c r="AE57" t="inlineStr">
        <is>
          <t>TW</t>
        </is>
      </c>
      <c r="AF57">
        <f>2*ElevCalc!$AF$48+ElevCalc!$AF$46+IF(ElevCalc!$AF$55&gt;0,ElevCalc!$AF$55+ElevCalc!$AF$50,0)+IF(ElevCalc!$AF$56&gt;0,ElevCalc!$AF$56+ElevCalc!$AF$50,0)</f>
        <v/>
      </c>
    </row>
    <row r="58">
      <c r="A58" t="inlineStr">
        <is>
          <t>TH</t>
        </is>
      </c>
      <c r="B58">
        <f>ElevCalc!$B$52+ElevCalc!$B$47+IF(ElevCalc!$B$53&gt;0,ElevCalc!$B$53+ElevCalc!$B$50,0)+ElevCalc!$B$49</f>
        <v/>
      </c>
      <c r="F58" t="inlineStr">
        <is>
          <t>TH</t>
        </is>
      </c>
      <c r="G58">
        <f>ElevCalc!$G$52+ElevCalc!$G$47+IF(ElevCalc!$G$53&gt;0,ElevCalc!$G$53+ElevCalc!$G$50,0)+ElevCalc!$G$49</f>
        <v/>
      </c>
      <c r="K58" t="inlineStr">
        <is>
          <t>TH</t>
        </is>
      </c>
      <c r="L58">
        <f>ElevCalc!$L$52+ElevCalc!$L$47+IF(ElevCalc!$L$53&gt;0,ElevCalc!$L$53+ElevCalc!$L$50,0)+ElevCalc!$L$49</f>
        <v/>
      </c>
      <c r="P58" t="inlineStr">
        <is>
          <t>TH</t>
        </is>
      </c>
      <c r="Q58">
        <f>ElevCalc!$Q$52+ElevCalc!$Q$47+IF(ElevCalc!$Q$53&gt;0,ElevCalc!$Q$53+ElevCalc!$Q$50,0)+ElevCalc!$Q$49</f>
        <v/>
      </c>
      <c r="U58" t="inlineStr">
        <is>
          <t>TH</t>
        </is>
      </c>
      <c r="V58">
        <f>ElevCalc!$V$52+ElevCalc!$V$47+IF(ElevCalc!$V$53&gt;0,ElevCalc!$V$53+ElevCalc!$V$50,0)+ElevCalc!$V$49</f>
        <v/>
      </c>
      <c r="Z58" t="inlineStr">
        <is>
          <t>TH</t>
        </is>
      </c>
      <c r="AA58">
        <f>ElevCalc!$AA$52+ElevCalc!$AA$47+IF(ElevCalc!$AA$53&gt;0,ElevCalc!$AA$53+ElevCalc!$AA$50,0)+ElevCalc!$AA$49</f>
        <v/>
      </c>
      <c r="AE58" t="inlineStr">
        <is>
          <t>TH</t>
        </is>
      </c>
      <c r="AF58">
        <f>ElevCalc!$AF$52+ElevCalc!$AF$47+IF(ElevCalc!$AF$53&gt;0,ElevCalc!$AF$53+ElevCalc!$AF$50,0)+ElevCalc!$AF$49</f>
        <v/>
      </c>
    </row>
    <row r="59">
      <c r="A59" t="inlineStr">
        <is>
          <t>dx0</t>
        </is>
      </c>
      <c r="B59">
        <f>ElevCalc!$B$48+IF(ElevCalc!$B$55&gt;0,ElevCalc!$B$55+ElevCalc!$B$50,0)</f>
        <v/>
      </c>
      <c r="F59" t="inlineStr">
        <is>
          <t>dx0</t>
        </is>
      </c>
      <c r="G59">
        <f>ElevCalc!$G$48+IF(ElevCalc!$G$55&gt;0,ElevCalc!$G$55+ElevCalc!$G$50,0)</f>
        <v/>
      </c>
      <c r="K59" t="inlineStr">
        <is>
          <t>dx0</t>
        </is>
      </c>
      <c r="L59">
        <f>ElevCalc!$L$48+IF(ElevCalc!$L$55&gt;0,ElevCalc!$L$55+ElevCalc!$L$50,0)</f>
        <v/>
      </c>
      <c r="P59" t="inlineStr">
        <is>
          <t>dx0</t>
        </is>
      </c>
      <c r="Q59">
        <f>ElevCalc!$Q$48+IF(ElevCalc!$Q$55&gt;0,ElevCalc!$Q$55+ElevCalc!$Q$50,0)</f>
        <v/>
      </c>
      <c r="U59" t="inlineStr">
        <is>
          <t>dx0</t>
        </is>
      </c>
      <c r="V59">
        <f>ElevCalc!$V$48+IF(ElevCalc!$V$55&gt;0,ElevCalc!$V$55+ElevCalc!$V$50,0)</f>
        <v/>
      </c>
      <c r="Z59" t="inlineStr">
        <is>
          <t>dx0</t>
        </is>
      </c>
      <c r="AA59">
        <f>ElevCalc!$AA$48+IF(ElevCalc!$AA$55&gt;0,ElevCalc!$AA$55+ElevCalc!$AA$50,0)</f>
        <v/>
      </c>
      <c r="AE59" t="inlineStr">
        <is>
          <t>dx0</t>
        </is>
      </c>
      <c r="AF59">
        <f>ElevCalc!$AF$48+IF(ElevCalc!$AF$55&gt;0,ElevCalc!$AF$55+ElevCalc!$AF$50,0)</f>
        <v/>
      </c>
    </row>
    <row r="60">
      <c r="A60" t="inlineStr">
        <is>
          <t>dx1</t>
        </is>
      </c>
      <c r="B60">
        <f>ElevCalc!$B$59+ElevCalc!$B$46</f>
        <v/>
      </c>
      <c r="F60" t="inlineStr">
        <is>
          <t>dx1</t>
        </is>
      </c>
      <c r="G60">
        <f>ElevCalc!$G$59+ElevCalc!$G$46</f>
        <v/>
      </c>
      <c r="K60" t="inlineStr">
        <is>
          <t>dx1</t>
        </is>
      </c>
      <c r="L60">
        <f>ElevCalc!$L$59+ElevCalc!$L$46</f>
        <v/>
      </c>
      <c r="P60" t="inlineStr">
        <is>
          <t>dx1</t>
        </is>
      </c>
      <c r="Q60">
        <f>ElevCalc!$Q$59+ElevCalc!$Q$46</f>
        <v/>
      </c>
      <c r="U60" t="inlineStr">
        <is>
          <t>dx1</t>
        </is>
      </c>
      <c r="V60">
        <f>ElevCalc!$V$59+ElevCalc!$V$46</f>
        <v/>
      </c>
      <c r="Z60" t="inlineStr">
        <is>
          <t>dx1</t>
        </is>
      </c>
      <c r="AA60">
        <f>ElevCalc!$AA$59+ElevCalc!$AA$46</f>
        <v/>
      </c>
      <c r="AE60" t="inlineStr">
        <is>
          <t>dx1</t>
        </is>
      </c>
      <c r="AF60">
        <f>ElevCalc!$AF$59+ElevCalc!$AF$46</f>
        <v/>
      </c>
    </row>
    <row r="61">
      <c r="A61" t="inlineStr">
        <is>
          <t>y0</t>
        </is>
      </c>
      <c r="B61">
        <f>ElevCalc!$B$52</f>
        <v/>
      </c>
      <c r="F61" t="inlineStr">
        <is>
          <t>y0</t>
        </is>
      </c>
      <c r="G61">
        <f>ElevCalc!$G$52</f>
        <v/>
      </c>
      <c r="K61" t="inlineStr">
        <is>
          <t>y0</t>
        </is>
      </c>
      <c r="L61">
        <f>ElevCalc!$L$52</f>
        <v/>
      </c>
      <c r="P61" t="inlineStr">
        <is>
          <t>y0</t>
        </is>
      </c>
      <c r="Q61">
        <f>ElevCalc!$Q$52</f>
        <v/>
      </c>
      <c r="U61" t="inlineStr">
        <is>
          <t>y0</t>
        </is>
      </c>
      <c r="V61">
        <f>ElevCalc!$V$52</f>
        <v/>
      </c>
      <c r="Z61" t="inlineStr">
        <is>
          <t>y0</t>
        </is>
      </c>
      <c r="AA61">
        <f>ElevCalc!$AA$52</f>
        <v/>
      </c>
      <c r="AE61" t="inlineStr">
        <is>
          <t>y0</t>
        </is>
      </c>
      <c r="AF61">
        <f>ElevCalc!$AF$52</f>
        <v/>
      </c>
    </row>
    <row r="62">
      <c r="A62" t="inlineStr">
        <is>
          <t>yt</t>
        </is>
      </c>
      <c r="B62">
        <f>ElevCalc!$B$61+ElevCalc!$B$47</f>
        <v/>
      </c>
      <c r="F62" t="inlineStr">
        <is>
          <t>yt</t>
        </is>
      </c>
      <c r="G62">
        <f>ElevCalc!$G$61+ElevCalc!$G$47</f>
        <v/>
      </c>
      <c r="K62" t="inlineStr">
        <is>
          <t>yt</t>
        </is>
      </c>
      <c r="L62">
        <f>ElevCalc!$L$61+ElevCalc!$L$47</f>
        <v/>
      </c>
      <c r="P62" t="inlineStr">
        <is>
          <t>yt</t>
        </is>
      </c>
      <c r="Q62">
        <f>ElevCalc!$Q$61+ElevCalc!$Q$47</f>
        <v/>
      </c>
      <c r="U62" t="inlineStr">
        <is>
          <t>yt</t>
        </is>
      </c>
      <c r="V62">
        <f>ElevCalc!$V$61+ElevCalc!$V$47</f>
        <v/>
      </c>
      <c r="Z62" t="inlineStr">
        <is>
          <t>yt</t>
        </is>
      </c>
      <c r="AA62">
        <f>ElevCalc!$AA$61+ElevCalc!$AA$47</f>
        <v/>
      </c>
      <c r="AE62" t="inlineStr">
        <is>
          <t>yt</t>
        </is>
      </c>
      <c r="AF62">
        <f>ElevCalc!$AF$61+ElevCalc!$AF$47</f>
        <v/>
      </c>
    </row>
    <row r="63">
      <c r="A63" t="inlineStr">
        <is>
          <t>s</t>
        </is>
      </c>
      <c r="B63">
        <f>IF(ElevCalc!$B$45,MIN(150/MAX(1,ElevCalc!$B$57),135/MAX(1,ElevCalc!$B$58)),1)</f>
        <v/>
      </c>
      <c r="F63" t="inlineStr">
        <is>
          <t>s</t>
        </is>
      </c>
      <c r="G63">
        <f>IF(ElevCalc!$G$45,MIN(150/MAX(1,ElevCalc!$G$57),135/MAX(1,ElevCalc!$G$58)),1)</f>
        <v/>
      </c>
      <c r="K63" t="inlineStr">
        <is>
          <t>s</t>
        </is>
      </c>
      <c r="L63">
        <f>IF(ElevCalc!$L$45,MIN(150/MAX(1,ElevCalc!$L$57),135/MAX(1,ElevCalc!$L$58)),1)</f>
        <v/>
      </c>
      <c r="P63" t="inlineStr">
        <is>
          <t>s</t>
        </is>
      </c>
      <c r="Q63">
        <f>IF(ElevCalc!$Q$45,MIN(150/MAX(1,ElevCalc!$Q$57),135/MAX(1,ElevCalc!$Q$58)),1)</f>
        <v/>
      </c>
      <c r="U63" t="inlineStr">
        <is>
          <t>s</t>
        </is>
      </c>
      <c r="V63">
        <f>IF(ElevCalc!$V$45,MIN(150/MAX(1,ElevCalc!$V$57),135/MAX(1,ElevCalc!$V$58)),1)</f>
        <v/>
      </c>
      <c r="Z63" t="inlineStr">
        <is>
          <t>s</t>
        </is>
      </c>
      <c r="AA63">
        <f>IF(ElevCalc!$AA$45,MIN(150/MAX(1,ElevCalc!$AA$57),135/MAX(1,ElevCalc!$AA$58)),1)</f>
        <v/>
      </c>
      <c r="AE63" t="inlineStr">
        <is>
          <t>s</t>
        </is>
      </c>
      <c r="AF63">
        <f>IF(ElevCalc!$AF$45,MIN(150/MAX(1,ElevCalc!$AF$57),135/MAX(1,ElevCalc!$AF$58)),1)</f>
        <v/>
      </c>
    </row>
    <row r="64">
      <c r="A64" t="inlineStr">
        <is>
          <t>ox</t>
        </is>
      </c>
      <c r="B64">
        <f>25+(150-ElevCalc!$B$57*ElevCalc!$B$63)/2</f>
        <v/>
      </c>
      <c r="F64" t="inlineStr">
        <is>
          <t>ox</t>
        </is>
      </c>
      <c r="G64">
        <f>25+(150-ElevCalc!$G$57*ElevCalc!$G$63)/2</f>
        <v/>
      </c>
      <c r="K64" t="inlineStr">
        <is>
          <t>ox</t>
        </is>
      </c>
      <c r="L64">
        <f>25+(150-ElevCalc!$L$57*ElevCalc!$L$63)/2</f>
        <v/>
      </c>
      <c r="P64" t="inlineStr">
        <is>
          <t>ox</t>
        </is>
      </c>
      <c r="Q64">
        <f>25+(150-ElevCalc!$Q$57*ElevCalc!$Q$63)/2</f>
        <v/>
      </c>
      <c r="U64" t="inlineStr">
        <is>
          <t>ox</t>
        </is>
      </c>
      <c r="V64">
        <f>25+(150-ElevCalc!$V$57*ElevCalc!$V$63)/2</f>
        <v/>
      </c>
      <c r="Z64" t="inlineStr">
        <is>
          <t>ox</t>
        </is>
      </c>
      <c r="AA64">
        <f>25+(150-ElevCalc!$AA$57*ElevCalc!$AA$63)/2</f>
        <v/>
      </c>
      <c r="AE64" t="inlineStr">
        <is>
          <t>ox</t>
        </is>
      </c>
      <c r="AF64">
        <f>25+(150-ElevCalc!$AF$57*ElevCalc!$AF$63)/2</f>
        <v/>
      </c>
    </row>
    <row r="65">
      <c r="A65" t="inlineStr">
        <is>
          <t>nl</t>
        </is>
      </c>
      <c r="B65">
        <f>N(ElevCalc!$B$12)</f>
        <v/>
      </c>
      <c r="F65" t="inlineStr">
        <is>
          <t>nl</t>
        </is>
      </c>
      <c r="G65">
        <f>N(ElevCalc!$G$12)</f>
        <v/>
      </c>
      <c r="K65" t="inlineStr">
        <is>
          <t>nl</t>
        </is>
      </c>
      <c r="L65">
        <f>N(ElevCalc!$L$12)</f>
        <v/>
      </c>
      <c r="P65" t="inlineStr">
        <is>
          <t>nl</t>
        </is>
      </c>
      <c r="Q65">
        <f>N(ElevCalc!$Q$12)</f>
        <v/>
      </c>
      <c r="U65" t="inlineStr">
        <is>
          <t>nl</t>
        </is>
      </c>
      <c r="V65">
        <f>N(ElevCalc!$V$12)</f>
        <v/>
      </c>
      <c r="Z65" t="inlineStr">
        <is>
          <t>nl</t>
        </is>
      </c>
      <c r="AA65">
        <f>N(ElevCalc!$AA$12)</f>
        <v/>
      </c>
      <c r="AE65" t="inlineStr">
        <is>
          <t>nl</t>
        </is>
      </c>
      <c r="AF65">
        <f>N(ElevCalc!$AF$12)</f>
        <v/>
      </c>
    </row>
    <row r="66">
      <c r="A66" t="inlineStr">
        <is>
          <t>lw</t>
        </is>
      </c>
      <c r="B66">
        <f>N(ElevCalc!$B$13)</f>
        <v/>
      </c>
      <c r="F66" t="inlineStr">
        <is>
          <t>lw</t>
        </is>
      </c>
      <c r="G66">
        <f>N(ElevCalc!$G$13)</f>
        <v/>
      </c>
      <c r="K66" t="inlineStr">
        <is>
          <t>lw</t>
        </is>
      </c>
      <c r="L66">
        <f>N(ElevCalc!$L$13)</f>
        <v/>
      </c>
      <c r="P66" t="inlineStr">
        <is>
          <t>lw</t>
        </is>
      </c>
      <c r="Q66">
        <f>N(ElevCalc!$Q$13)</f>
        <v/>
      </c>
      <c r="U66" t="inlineStr">
        <is>
          <t>lw</t>
        </is>
      </c>
      <c r="V66">
        <f>N(ElevCalc!$V$13)</f>
        <v/>
      </c>
      <c r="Z66" t="inlineStr">
        <is>
          <t>lw</t>
        </is>
      </c>
      <c r="AA66">
        <f>N(ElevCalc!$AA$13)</f>
        <v/>
      </c>
      <c r="AE66" t="inlineStr">
        <is>
          <t>lw</t>
        </is>
      </c>
      <c r="AF66">
        <f>N(ElevCalc!$AF$13)</f>
        <v/>
      </c>
    </row>
    <row r="67">
      <c r="A67" t="inlineStr">
        <is>
          <t>lh</t>
        </is>
      </c>
      <c r="B67">
        <f>N(ElevCalc!$B$14)</f>
        <v/>
      </c>
      <c r="F67" t="inlineStr">
        <is>
          <t>lh</t>
        </is>
      </c>
      <c r="G67">
        <f>N(ElevCalc!$G$14)</f>
        <v/>
      </c>
      <c r="K67" t="inlineStr">
        <is>
          <t>lh</t>
        </is>
      </c>
      <c r="L67">
        <f>N(ElevCalc!$L$14)</f>
        <v/>
      </c>
      <c r="P67" t="inlineStr">
        <is>
          <t>lh</t>
        </is>
      </c>
      <c r="Q67">
        <f>N(ElevCalc!$Q$14)</f>
        <v/>
      </c>
      <c r="U67" t="inlineStr">
        <is>
          <t>lh</t>
        </is>
      </c>
      <c r="V67">
        <f>N(ElevCalc!$V$14)</f>
        <v/>
      </c>
      <c r="Z67" t="inlineStr">
        <is>
          <t>lh</t>
        </is>
      </c>
      <c r="AA67">
        <f>N(ElevCalc!$AA$14)</f>
        <v/>
      </c>
      <c r="AE67" t="inlineStr">
        <is>
          <t>lh</t>
        </is>
      </c>
      <c r="AF67">
        <f>N(ElevCalc!$AF$14)</f>
        <v/>
      </c>
    </row>
    <row r="68">
      <c r="A68" t="inlineStr">
        <is>
          <t>ub</t>
        </is>
      </c>
      <c r="B68">
        <f>ElevCalc!$B$61+Undercut</f>
        <v/>
      </c>
      <c r="F68" t="inlineStr">
        <is>
          <t>ub</t>
        </is>
      </c>
      <c r="G68">
        <f>ElevCalc!$G$61+Undercut</f>
        <v/>
      </c>
      <c r="K68" t="inlineStr">
        <is>
          <t>ub</t>
        </is>
      </c>
      <c r="L68">
        <f>ElevCalc!$L$61+Undercut</f>
        <v/>
      </c>
      <c r="P68" t="inlineStr">
        <is>
          <t>ub</t>
        </is>
      </c>
      <c r="Q68">
        <f>ElevCalc!$Q$61+Undercut</f>
        <v/>
      </c>
      <c r="U68" t="inlineStr">
        <is>
          <t>ub</t>
        </is>
      </c>
      <c r="V68">
        <f>ElevCalc!$V$61+Undercut</f>
        <v/>
      </c>
      <c r="Z68" t="inlineStr">
        <is>
          <t>ub</t>
        </is>
      </c>
      <c r="AA68">
        <f>ElevCalc!$AA$61+Undercut</f>
        <v/>
      </c>
      <c r="AE68" t="inlineStr">
        <is>
          <t>ub</t>
        </is>
      </c>
      <c r="AF68">
        <f>ElevCalc!$AF$61+Undercut</f>
        <v/>
      </c>
    </row>
    <row r="69">
      <c r="A69" t="inlineStr">
        <is>
          <t>ut</t>
        </is>
      </c>
      <c r="B69">
        <f>ElevCalc!$B$68+ElevCalc!$B$67</f>
        <v/>
      </c>
      <c r="F69" t="inlineStr">
        <is>
          <t>ut</t>
        </is>
      </c>
      <c r="G69">
        <f>ElevCalc!$G$68+ElevCalc!$G$67</f>
        <v/>
      </c>
      <c r="K69" t="inlineStr">
        <is>
          <t>ut</t>
        </is>
      </c>
      <c r="L69">
        <f>ElevCalc!$L$68+ElevCalc!$L$67</f>
        <v/>
      </c>
      <c r="P69" t="inlineStr">
        <is>
          <t>ut</t>
        </is>
      </c>
      <c r="Q69">
        <f>ElevCalc!$Q$68+ElevCalc!$Q$67</f>
        <v/>
      </c>
      <c r="U69" t="inlineStr">
        <is>
          <t>ut</t>
        </is>
      </c>
      <c r="V69">
        <f>ElevCalc!$V$68+ElevCalc!$V$67</f>
        <v/>
      </c>
      <c r="Z69" t="inlineStr">
        <is>
          <t>ut</t>
        </is>
      </c>
      <c r="AA69">
        <f>ElevCalc!$AA$68+ElevCalc!$AA$67</f>
        <v/>
      </c>
      <c r="AE69" t="inlineStr">
        <is>
          <t>ut</t>
        </is>
      </c>
      <c r="AF69">
        <f>ElevCalc!$AF$68+ElevCalc!$AF$67</f>
        <v/>
      </c>
    </row>
    <row r="70">
      <c r="A70" t="inlineStr">
        <is>
          <t>hd</t>
        </is>
      </c>
      <c r="B70">
        <f>IF(ElevCalc!$B$7&lt;&gt;"",ElevCalc!$B$7,ElevCalc!$B$6)</f>
        <v/>
      </c>
      <c r="F70" t="inlineStr">
        <is>
          <t>hd</t>
        </is>
      </c>
      <c r="G70">
        <f>IF(ElevCalc!$G$7&lt;&gt;"",ElevCalc!$G$7,ElevCalc!$G$6)</f>
        <v/>
      </c>
      <c r="K70" t="inlineStr">
        <is>
          <t>hd</t>
        </is>
      </c>
      <c r="L70">
        <f>IF(ElevCalc!$L$7&lt;&gt;"",ElevCalc!$L$7,ElevCalc!$L$6)</f>
        <v/>
      </c>
      <c r="P70" t="inlineStr">
        <is>
          <t>hd</t>
        </is>
      </c>
      <c r="Q70">
        <f>IF(ElevCalc!$Q$7&lt;&gt;"",ElevCalc!$Q$7,ElevCalc!$Q$6)</f>
        <v/>
      </c>
      <c r="U70" t="inlineStr">
        <is>
          <t>hd</t>
        </is>
      </c>
      <c r="V70">
        <f>IF(ElevCalc!$V$7&lt;&gt;"",ElevCalc!$V$7,ElevCalc!$V$6)</f>
        <v/>
      </c>
      <c r="Z70" t="inlineStr">
        <is>
          <t>hd</t>
        </is>
      </c>
      <c r="AA70">
        <f>IF(ElevCalc!$AA$7&lt;&gt;"",ElevCalc!$AA$7,ElevCalc!$AA$6)</f>
        <v/>
      </c>
      <c r="AE70" t="inlineStr">
        <is>
          <t>hd</t>
        </is>
      </c>
      <c r="AF70">
        <f>IF(ElevCalc!$AF$7&lt;&gt;"",ElevCalc!$AF$7,ElevCalc!$AF$6)</f>
        <v/>
      </c>
    </row>
    <row r="71">
      <c r="A71" t="inlineStr">
        <is>
          <t>hingeL</t>
        </is>
      </c>
      <c r="B71">
        <f>IF(LEFT(ElevCalc!$B$70,1)="R",0,1)</f>
        <v/>
      </c>
      <c r="F71" t="inlineStr">
        <is>
          <t>hingeL</t>
        </is>
      </c>
      <c r="G71">
        <f>IF(LEFT(ElevCalc!$G$70,1)="R",0,1)</f>
        <v/>
      </c>
      <c r="K71" t="inlineStr">
        <is>
          <t>hingeL</t>
        </is>
      </c>
      <c r="L71">
        <f>IF(LEFT(ElevCalc!$L$70,1)="R",0,1)</f>
        <v/>
      </c>
      <c r="P71" t="inlineStr">
        <is>
          <t>hingeL</t>
        </is>
      </c>
      <c r="Q71">
        <f>IF(LEFT(ElevCalc!$Q$70,1)="R",0,1)</f>
        <v/>
      </c>
      <c r="U71" t="inlineStr">
        <is>
          <t>hingeL</t>
        </is>
      </c>
      <c r="V71">
        <f>IF(LEFT(ElevCalc!$V$70,1)="R",0,1)</f>
        <v/>
      </c>
      <c r="Z71" t="inlineStr">
        <is>
          <t>hingeL</t>
        </is>
      </c>
      <c r="AA71">
        <f>IF(LEFT(ElevCalc!$AA$70,1)="R",0,1)</f>
        <v/>
      </c>
      <c r="AE71" t="inlineStr">
        <is>
          <t>hingeL</t>
        </is>
      </c>
      <c r="AF71">
        <f>IF(LEFT(ElevCalc!$AF$70,1)="R",0,1)</f>
        <v/>
      </c>
    </row>
    <row r="72">
      <c r="A72" t="inlineStr">
        <is>
          <t>L1a</t>
        </is>
      </c>
      <c r="B72">
        <f>ElevCalc!$B$59+EdgeClr</f>
        <v/>
      </c>
      <c r="F72" t="inlineStr">
        <is>
          <t>L1a</t>
        </is>
      </c>
      <c r="G72">
        <f>ElevCalc!$G$59+EdgeClr</f>
        <v/>
      </c>
      <c r="K72" t="inlineStr">
        <is>
          <t>L1a</t>
        </is>
      </c>
      <c r="L72">
        <f>ElevCalc!$L$59+EdgeClr</f>
        <v/>
      </c>
      <c r="P72" t="inlineStr">
        <is>
          <t>L1a</t>
        </is>
      </c>
      <c r="Q72">
        <f>ElevCalc!$Q$59+EdgeClr</f>
        <v/>
      </c>
      <c r="U72" t="inlineStr">
        <is>
          <t>L1a</t>
        </is>
      </c>
      <c r="V72">
        <f>ElevCalc!$V$59+EdgeClr</f>
        <v/>
      </c>
      <c r="Z72" t="inlineStr">
        <is>
          <t>L1a</t>
        </is>
      </c>
      <c r="AA72">
        <f>ElevCalc!$AA$59+EdgeClr</f>
        <v/>
      </c>
      <c r="AE72" t="inlineStr">
        <is>
          <t>L1a</t>
        </is>
      </c>
      <c r="AF72">
        <f>ElevCalc!$AF$59+EdgeClr</f>
        <v/>
      </c>
    </row>
    <row r="73">
      <c r="A73" t="inlineStr">
        <is>
          <t>L1b</t>
        </is>
      </c>
      <c r="B73">
        <f>ElevCalc!$B$72+ElevCalc!$B$66</f>
        <v/>
      </c>
      <c r="F73" t="inlineStr">
        <is>
          <t>L1b</t>
        </is>
      </c>
      <c r="G73">
        <f>ElevCalc!$G$72+ElevCalc!$G$66</f>
        <v/>
      </c>
      <c r="K73" t="inlineStr">
        <is>
          <t>L1b</t>
        </is>
      </c>
      <c r="L73">
        <f>ElevCalc!$L$72+ElevCalc!$L$66</f>
        <v/>
      </c>
      <c r="P73" t="inlineStr">
        <is>
          <t>L1b</t>
        </is>
      </c>
      <c r="Q73">
        <f>ElevCalc!$Q$72+ElevCalc!$Q$66</f>
        <v/>
      </c>
      <c r="U73" t="inlineStr">
        <is>
          <t>L1b</t>
        </is>
      </c>
      <c r="V73">
        <f>ElevCalc!$V$72+ElevCalc!$V$66</f>
        <v/>
      </c>
      <c r="Z73" t="inlineStr">
        <is>
          <t>L1b</t>
        </is>
      </c>
      <c r="AA73">
        <f>ElevCalc!$AA$72+ElevCalc!$AA$66</f>
        <v/>
      </c>
      <c r="AE73" t="inlineStr">
        <is>
          <t>L1b</t>
        </is>
      </c>
      <c r="AF73">
        <f>ElevCalc!$AF$72+ElevCalc!$AF$66</f>
        <v/>
      </c>
    </row>
    <row r="74">
      <c r="A74" t="inlineStr">
        <is>
          <t>L2b</t>
        </is>
      </c>
      <c r="B74">
        <f>ElevCalc!$B$60-EdgeClr</f>
        <v/>
      </c>
      <c r="F74" t="inlineStr">
        <is>
          <t>L2b</t>
        </is>
      </c>
      <c r="G74">
        <f>ElevCalc!$G$60-EdgeClr</f>
        <v/>
      </c>
      <c r="K74" t="inlineStr">
        <is>
          <t>L2b</t>
        </is>
      </c>
      <c r="L74">
        <f>ElevCalc!$L$60-EdgeClr</f>
        <v/>
      </c>
      <c r="P74" t="inlineStr">
        <is>
          <t>L2b</t>
        </is>
      </c>
      <c r="Q74">
        <f>ElevCalc!$Q$60-EdgeClr</f>
        <v/>
      </c>
      <c r="U74" t="inlineStr">
        <is>
          <t>L2b</t>
        </is>
      </c>
      <c r="V74">
        <f>ElevCalc!$V$60-EdgeClr</f>
        <v/>
      </c>
      <c r="Z74" t="inlineStr">
        <is>
          <t>L2b</t>
        </is>
      </c>
      <c r="AA74">
        <f>ElevCalc!$AA$60-EdgeClr</f>
        <v/>
      </c>
      <c r="AE74" t="inlineStr">
        <is>
          <t>L2b</t>
        </is>
      </c>
      <c r="AF74">
        <f>ElevCalc!$AF$60-EdgeClr</f>
        <v/>
      </c>
    </row>
    <row r="75">
      <c r="A75" t="inlineStr">
        <is>
          <t>L2a</t>
        </is>
      </c>
      <c r="B75">
        <f>ElevCalc!$B$74-ElevCalc!$B$66</f>
        <v/>
      </c>
      <c r="F75" t="inlineStr">
        <is>
          <t>L2a</t>
        </is>
      </c>
      <c r="G75">
        <f>ElevCalc!$G$74-ElevCalc!$G$66</f>
        <v/>
      </c>
      <c r="K75" t="inlineStr">
        <is>
          <t>L2a</t>
        </is>
      </c>
      <c r="L75">
        <f>ElevCalc!$L$74-ElevCalc!$L$66</f>
        <v/>
      </c>
      <c r="P75" t="inlineStr">
        <is>
          <t>L2a</t>
        </is>
      </c>
      <c r="Q75">
        <f>ElevCalc!$Q$74-ElevCalc!$Q$66</f>
        <v/>
      </c>
      <c r="U75" t="inlineStr">
        <is>
          <t>L2a</t>
        </is>
      </c>
      <c r="V75">
        <f>ElevCalc!$V$74-ElevCalc!$V$66</f>
        <v/>
      </c>
      <c r="Z75" t="inlineStr">
        <is>
          <t>L2a</t>
        </is>
      </c>
      <c r="AA75">
        <f>ElevCalc!$AA$74-ElevCalc!$AA$66</f>
        <v/>
      </c>
      <c r="AE75" t="inlineStr">
        <is>
          <t>L2a</t>
        </is>
      </c>
      <c r="AF75">
        <f>ElevCalc!$AF$74-ElevCalc!$AF$66</f>
        <v/>
      </c>
    </row>
    <row r="76">
      <c r="A76" t="inlineStr">
        <is>
          <t>lockR1</t>
        </is>
      </c>
      <c r="B76">
        <f>IF(ElevCalc!$B$65=2,1,ElevCalc!$B$71)</f>
        <v/>
      </c>
      <c r="F76" t="inlineStr">
        <is>
          <t>lockR1</t>
        </is>
      </c>
      <c r="G76">
        <f>IF(ElevCalc!$G$65=2,1,ElevCalc!$G$71)</f>
        <v/>
      </c>
      <c r="K76" t="inlineStr">
        <is>
          <t>lockR1</t>
        </is>
      </c>
      <c r="L76">
        <f>IF(ElevCalc!$L$65=2,1,ElevCalc!$L$71)</f>
        <v/>
      </c>
      <c r="P76" t="inlineStr">
        <is>
          <t>lockR1</t>
        </is>
      </c>
      <c r="Q76">
        <f>IF(ElevCalc!$Q$65=2,1,ElevCalc!$Q$71)</f>
        <v/>
      </c>
      <c r="U76" t="inlineStr">
        <is>
          <t>lockR1</t>
        </is>
      </c>
      <c r="V76">
        <f>IF(ElevCalc!$V$65=2,1,ElevCalc!$V$71)</f>
        <v/>
      </c>
      <c r="Z76" t="inlineStr">
        <is>
          <t>lockR1</t>
        </is>
      </c>
      <c r="AA76">
        <f>IF(ElevCalc!$AA$65=2,1,ElevCalc!$AA$71)</f>
        <v/>
      </c>
      <c r="AE76" t="inlineStr">
        <is>
          <t>lockR1</t>
        </is>
      </c>
      <c r="AF76">
        <f>IF(ElevCalc!$AF$65=2,1,ElevCalc!$AF$71)</f>
        <v/>
      </c>
    </row>
    <row r="77">
      <c r="A77" t="inlineStr">
        <is>
          <t>hx1</t>
        </is>
      </c>
      <c r="B77">
        <f>IF(ElevCalc!$B$76=1,ElevCalc!$B$72,ElevCalc!$B$73)</f>
        <v/>
      </c>
      <c r="F77" t="inlineStr">
        <is>
          <t>hx1</t>
        </is>
      </c>
      <c r="G77">
        <f>IF(ElevCalc!$G$76=1,ElevCalc!$G$72,ElevCalc!$G$73)</f>
        <v/>
      </c>
      <c r="K77" t="inlineStr">
        <is>
          <t>hx1</t>
        </is>
      </c>
      <c r="L77">
        <f>IF(ElevCalc!$L$76=1,ElevCalc!$L$72,ElevCalc!$L$73)</f>
        <v/>
      </c>
      <c r="P77" t="inlineStr">
        <is>
          <t>hx1</t>
        </is>
      </c>
      <c r="Q77">
        <f>IF(ElevCalc!$Q$76=1,ElevCalc!$Q$72,ElevCalc!$Q$73)</f>
        <v/>
      </c>
      <c r="U77" t="inlineStr">
        <is>
          <t>hx1</t>
        </is>
      </c>
      <c r="V77">
        <f>IF(ElevCalc!$V$76=1,ElevCalc!$V$72,ElevCalc!$V$73)</f>
        <v/>
      </c>
      <c r="Z77" t="inlineStr">
        <is>
          <t>hx1</t>
        </is>
      </c>
      <c r="AA77">
        <f>IF(ElevCalc!$AA$76=1,ElevCalc!$AA$72,ElevCalc!$AA$73)</f>
        <v/>
      </c>
      <c r="AE77" t="inlineStr">
        <is>
          <t>hx1</t>
        </is>
      </c>
      <c r="AF77">
        <f>IF(ElevCalc!$AF$76=1,ElevCalc!$AF$72,ElevCalc!$AF$73)</f>
        <v/>
      </c>
    </row>
    <row r="78">
      <c r="A78" t="inlineStr">
        <is>
          <t>kx1</t>
        </is>
      </c>
      <c r="B78">
        <f>IF(ElevCalc!$B$76=1,ElevCalc!$B$73,ElevCalc!$B$72)</f>
        <v/>
      </c>
      <c r="F78" t="inlineStr">
        <is>
          <t>kx1</t>
        </is>
      </c>
      <c r="G78">
        <f>IF(ElevCalc!$G$76=1,ElevCalc!$G$73,ElevCalc!$G$72)</f>
        <v/>
      </c>
      <c r="K78" t="inlineStr">
        <is>
          <t>kx1</t>
        </is>
      </c>
      <c r="L78">
        <f>IF(ElevCalc!$L$76=1,ElevCalc!$L$73,ElevCalc!$L$72)</f>
        <v/>
      </c>
      <c r="P78" t="inlineStr">
        <is>
          <t>kx1</t>
        </is>
      </c>
      <c r="Q78">
        <f>IF(ElevCalc!$Q$76=1,ElevCalc!$Q$73,ElevCalc!$Q$72)</f>
        <v/>
      </c>
      <c r="U78" t="inlineStr">
        <is>
          <t>kx1</t>
        </is>
      </c>
      <c r="V78">
        <f>IF(ElevCalc!$V$76=1,ElevCalc!$V$73,ElevCalc!$V$72)</f>
        <v/>
      </c>
      <c r="Z78" t="inlineStr">
        <is>
          <t>kx1</t>
        </is>
      </c>
      <c r="AA78">
        <f>IF(ElevCalc!$AA$76=1,ElevCalc!$AA$73,ElevCalc!$AA$72)</f>
        <v/>
      </c>
      <c r="AE78" t="inlineStr">
        <is>
          <t>kx1</t>
        </is>
      </c>
      <c r="AF78">
        <f>IF(ElevCalc!$AF$76=1,ElevCalc!$AF$73,ElevCalc!$AF$72)</f>
        <v/>
      </c>
    </row>
    <row r="79">
      <c r="A79" t="inlineStr">
        <is>
          <t>liw</t>
        </is>
      </c>
      <c r="B79">
        <f>N(ElevCalc!$B$21)</f>
        <v/>
      </c>
      <c r="F79" t="inlineStr">
        <is>
          <t>liw</t>
        </is>
      </c>
      <c r="G79">
        <f>N(ElevCalc!$G$21)</f>
        <v/>
      </c>
      <c r="K79" t="inlineStr">
        <is>
          <t>liw</t>
        </is>
      </c>
      <c r="L79">
        <f>N(ElevCalc!$L$21)</f>
        <v/>
      </c>
      <c r="P79" t="inlineStr">
        <is>
          <t>liw</t>
        </is>
      </c>
      <c r="Q79">
        <f>N(ElevCalc!$Q$21)</f>
        <v/>
      </c>
      <c r="U79" t="inlineStr">
        <is>
          <t>liw</t>
        </is>
      </c>
      <c r="V79">
        <f>N(ElevCalc!$V$21)</f>
        <v/>
      </c>
      <c r="Z79" t="inlineStr">
        <is>
          <t>liw</t>
        </is>
      </c>
      <c r="AA79">
        <f>N(ElevCalc!$AA$21)</f>
        <v/>
      </c>
      <c r="AE79" t="inlineStr">
        <is>
          <t>liw</t>
        </is>
      </c>
      <c r="AF79">
        <f>N(ElevCalc!$AF$21)</f>
        <v/>
      </c>
    </row>
    <row r="80">
      <c r="A80" t="inlineStr">
        <is>
          <t>lih</t>
        </is>
      </c>
      <c r="B80">
        <f>MIN(N(ElevCalc!$B$22),MAX(0,ElevCalc!$B$67-16))</f>
        <v/>
      </c>
      <c r="F80" t="inlineStr">
        <is>
          <t>lih</t>
        </is>
      </c>
      <c r="G80">
        <f>MIN(N(ElevCalc!$G$22),MAX(0,ElevCalc!$G$67-16))</f>
        <v/>
      </c>
      <c r="K80" t="inlineStr">
        <is>
          <t>lih</t>
        </is>
      </c>
      <c r="L80">
        <f>MIN(N(ElevCalc!$L$22),MAX(0,ElevCalc!$L$67-16))</f>
        <v/>
      </c>
      <c r="P80" t="inlineStr">
        <is>
          <t>lih</t>
        </is>
      </c>
      <c r="Q80">
        <f>MIN(N(ElevCalc!$Q$22),MAX(0,ElevCalc!$Q$67-16))</f>
        <v/>
      </c>
      <c r="U80" t="inlineStr">
        <is>
          <t>lih</t>
        </is>
      </c>
      <c r="V80">
        <f>MIN(N(ElevCalc!$V$22),MAX(0,ElevCalc!$V$67-16))</f>
        <v/>
      </c>
      <c r="Z80" t="inlineStr">
        <is>
          <t>lih</t>
        </is>
      </c>
      <c r="AA80">
        <f>MIN(N(ElevCalc!$AA$22),MAX(0,ElevCalc!$AA$67-16))</f>
        <v/>
      </c>
      <c r="AE80" t="inlineStr">
        <is>
          <t>lih</t>
        </is>
      </c>
      <c r="AF80">
        <f>MIN(N(ElevCalc!$AF$22),MAX(0,ElevCalc!$AF$67-16))</f>
        <v/>
      </c>
    </row>
    <row r="81">
      <c r="A81" t="inlineStr">
        <is>
          <t>hasLite</t>
        </is>
      </c>
      <c r="B81">
        <f>AND(ElevCalc!$B$45,ElevCalc!$B$65&gt;0,ElevCalc!$B$79&gt;0,ElevCalc!$B$80&gt;0)</f>
        <v/>
      </c>
      <c r="F81" t="inlineStr">
        <is>
          <t>hasLite</t>
        </is>
      </c>
      <c r="G81">
        <f>AND(ElevCalc!$G$45,ElevCalc!$G$65&gt;0,ElevCalc!$G$79&gt;0,ElevCalc!$G$80&gt;0)</f>
        <v/>
      </c>
      <c r="K81" t="inlineStr">
        <is>
          <t>hasLite</t>
        </is>
      </c>
      <c r="L81">
        <f>AND(ElevCalc!$L$45,ElevCalc!$L$65&gt;0,ElevCalc!$L$79&gt;0,ElevCalc!$L$80&gt;0)</f>
        <v/>
      </c>
      <c r="P81" t="inlineStr">
        <is>
          <t>hasLite</t>
        </is>
      </c>
      <c r="Q81">
        <f>AND(ElevCalc!$Q$45,ElevCalc!$Q$65&gt;0,ElevCalc!$Q$79&gt;0,ElevCalc!$Q$80&gt;0)</f>
        <v/>
      </c>
      <c r="U81" t="inlineStr">
        <is>
          <t>hasLite</t>
        </is>
      </c>
      <c r="V81">
        <f>AND(ElevCalc!$V$45,ElevCalc!$V$65&gt;0,ElevCalc!$V$79&gt;0,ElevCalc!$V$80&gt;0)</f>
        <v/>
      </c>
      <c r="Z81" t="inlineStr">
        <is>
          <t>hasLite</t>
        </is>
      </c>
      <c r="AA81">
        <f>AND(ElevCalc!$AA$45,ElevCalc!$AA$65&gt;0,ElevCalc!$AA$79&gt;0,ElevCalc!$AA$80&gt;0)</f>
        <v/>
      </c>
      <c r="AE81" t="inlineStr">
        <is>
          <t>hasLite</t>
        </is>
      </c>
      <c r="AF81">
        <f>AND(ElevCalc!$AF$45,ElevCalc!$AF$65&gt;0,ElevCalc!$AF$79&gt;0,ElevCalc!$AF$80&gt;0)</f>
        <v/>
      </c>
    </row>
    <row r="82">
      <c r="A82" t="inlineStr">
        <is>
          <t>ltop</t>
        </is>
      </c>
      <c r="B82">
        <f>IF(ElevCalc!$B$20="FL",ElevCalc!$B$68+8+ElevCalc!$B$80,ElevCalc!$B$69-10)</f>
        <v/>
      </c>
      <c r="F82" t="inlineStr">
        <is>
          <t>ltop</t>
        </is>
      </c>
      <c r="G82">
        <f>IF(ElevCalc!$G$20="FL",ElevCalc!$G$68+8+ElevCalc!$G$80,ElevCalc!$G$69-10)</f>
        <v/>
      </c>
      <c r="K82" t="inlineStr">
        <is>
          <t>ltop</t>
        </is>
      </c>
      <c r="L82">
        <f>IF(ElevCalc!$L$20="FL",ElevCalc!$L$68+8+ElevCalc!$L$80,ElevCalc!$L$69-10)</f>
        <v/>
      </c>
      <c r="P82" t="inlineStr">
        <is>
          <t>ltop</t>
        </is>
      </c>
      <c r="Q82">
        <f>IF(ElevCalc!$Q$20="FL",ElevCalc!$Q$68+8+ElevCalc!$Q$80,ElevCalc!$Q$69-10)</f>
        <v/>
      </c>
      <c r="U82" t="inlineStr">
        <is>
          <t>ltop</t>
        </is>
      </c>
      <c r="V82">
        <f>IF(ElevCalc!$V$20="FL",ElevCalc!$V$68+8+ElevCalc!$V$80,ElevCalc!$V$69-10)</f>
        <v/>
      </c>
      <c r="Z82" t="inlineStr">
        <is>
          <t>ltop</t>
        </is>
      </c>
      <c r="AA82">
        <f>IF(ElevCalc!$AA$20="FL",ElevCalc!$AA$68+8+ElevCalc!$AA$80,ElevCalc!$AA$69-10)</f>
        <v/>
      </c>
      <c r="AE82" t="inlineStr">
        <is>
          <t>ltop</t>
        </is>
      </c>
      <c r="AF82">
        <f>IF(ElevCalc!$AF$20="FL",ElevCalc!$AF$68+8+ElevCalc!$AF$80,ElevCalc!$AF$69-10)</f>
        <v/>
      </c>
    </row>
    <row r="83">
      <c r="A83" t="inlineStr">
        <is>
          <t>lbot</t>
        </is>
      </c>
      <c r="B83">
        <f>ElevCalc!$B$82-ElevCalc!$B$80</f>
        <v/>
      </c>
      <c r="F83" t="inlineStr">
        <is>
          <t>lbot</t>
        </is>
      </c>
      <c r="G83">
        <f>ElevCalc!$G$82-ElevCalc!$G$80</f>
        <v/>
      </c>
      <c r="K83" t="inlineStr">
        <is>
          <t>lbot</t>
        </is>
      </c>
      <c r="L83">
        <f>ElevCalc!$L$82-ElevCalc!$L$80</f>
        <v/>
      </c>
      <c r="P83" t="inlineStr">
        <is>
          <t>lbot</t>
        </is>
      </c>
      <c r="Q83">
        <f>ElevCalc!$Q$82-ElevCalc!$Q$80</f>
        <v/>
      </c>
      <c r="U83" t="inlineStr">
        <is>
          <t>lbot</t>
        </is>
      </c>
      <c r="V83">
        <f>ElevCalc!$V$82-ElevCalc!$V$80</f>
        <v/>
      </c>
      <c r="Z83" t="inlineStr">
        <is>
          <t>lbot</t>
        </is>
      </c>
      <c r="AA83">
        <f>ElevCalc!$AA$82-ElevCalc!$AA$80</f>
        <v/>
      </c>
      <c r="AE83" t="inlineStr">
        <is>
          <t>lbot</t>
        </is>
      </c>
      <c r="AF83">
        <f>ElevCalc!$AF$82-ElevCalc!$AF$80</f>
        <v/>
      </c>
    </row>
    <row r="84">
      <c r="A84" t="inlineStr">
        <is>
          <t>lx1</t>
        </is>
      </c>
      <c r="B84">
        <f>IF(ElevCalc!$B$79&gt;10,(ElevCalc!$B$72+ElevCalc!$B$73-ElevCalc!$B$79)/2,IF(ElevCalc!$B$76=1,ElevCalc!$B$73-6-ElevCalc!$B$79,ElevCalc!$B$72+6))</f>
        <v/>
      </c>
      <c r="F84" t="inlineStr">
        <is>
          <t>lx1</t>
        </is>
      </c>
      <c r="G84">
        <f>IF(ElevCalc!$G$79&gt;10,(ElevCalc!$G$72+ElevCalc!$G$73-ElevCalc!$G$79)/2,IF(ElevCalc!$G$76=1,ElevCalc!$G$73-6-ElevCalc!$G$79,ElevCalc!$G$72+6))</f>
        <v/>
      </c>
      <c r="K84" t="inlineStr">
        <is>
          <t>lx1</t>
        </is>
      </c>
      <c r="L84">
        <f>IF(ElevCalc!$L$79&gt;10,(ElevCalc!$L$72+ElevCalc!$L$73-ElevCalc!$L$79)/2,IF(ElevCalc!$L$76=1,ElevCalc!$L$73-6-ElevCalc!$L$79,ElevCalc!$L$72+6))</f>
        <v/>
      </c>
      <c r="P84" t="inlineStr">
        <is>
          <t>lx1</t>
        </is>
      </c>
      <c r="Q84">
        <f>IF(ElevCalc!$Q$79&gt;10,(ElevCalc!$Q$72+ElevCalc!$Q$73-ElevCalc!$Q$79)/2,IF(ElevCalc!$Q$76=1,ElevCalc!$Q$73-6-ElevCalc!$Q$79,ElevCalc!$Q$72+6))</f>
        <v/>
      </c>
      <c r="U84" t="inlineStr">
        <is>
          <t>lx1</t>
        </is>
      </c>
      <c r="V84">
        <f>IF(ElevCalc!$V$79&gt;10,(ElevCalc!$V$72+ElevCalc!$V$73-ElevCalc!$V$79)/2,IF(ElevCalc!$V$76=1,ElevCalc!$V$73-6-ElevCalc!$V$79,ElevCalc!$V$72+6))</f>
        <v/>
      </c>
      <c r="Z84" t="inlineStr">
        <is>
          <t>lx1</t>
        </is>
      </c>
      <c r="AA84">
        <f>IF(ElevCalc!$AA$79&gt;10,(ElevCalc!$AA$72+ElevCalc!$AA$73-ElevCalc!$AA$79)/2,IF(ElevCalc!$AA$76=1,ElevCalc!$AA$73-6-ElevCalc!$AA$79,ElevCalc!$AA$72+6))</f>
        <v/>
      </c>
      <c r="AE84" t="inlineStr">
        <is>
          <t>lx1</t>
        </is>
      </c>
      <c r="AF84">
        <f>IF(ElevCalc!$AF$79&gt;10,(ElevCalc!$AF$72+ElevCalc!$AF$73-ElevCalc!$AF$79)/2,IF(ElevCalc!$AF$76=1,ElevCalc!$AF$73-6-ElevCalc!$AF$79,ElevCalc!$AF$72+6))</f>
        <v/>
      </c>
    </row>
    <row r="85">
      <c r="A85" t="inlineStr">
        <is>
          <t>lx2</t>
        </is>
      </c>
      <c r="B85">
        <f>IF(ElevCalc!$B$79&gt;10,(ElevCalc!$B$75+ElevCalc!$B$74-ElevCalc!$B$79)/2,ElevCalc!$B$75+6)</f>
        <v/>
      </c>
      <c r="F85" t="inlineStr">
        <is>
          <t>lx2</t>
        </is>
      </c>
      <c r="G85">
        <f>IF(ElevCalc!$G$79&gt;10,(ElevCalc!$G$75+ElevCalc!$G$74-ElevCalc!$G$79)/2,ElevCalc!$G$75+6)</f>
        <v/>
      </c>
      <c r="K85" t="inlineStr">
        <is>
          <t>lx2</t>
        </is>
      </c>
      <c r="L85">
        <f>IF(ElevCalc!$L$79&gt;10,(ElevCalc!$L$75+ElevCalc!$L$74-ElevCalc!$L$79)/2,ElevCalc!$L$75+6)</f>
        <v/>
      </c>
      <c r="P85" t="inlineStr">
        <is>
          <t>lx2</t>
        </is>
      </c>
      <c r="Q85">
        <f>IF(ElevCalc!$Q$79&gt;10,(ElevCalc!$Q$75+ElevCalc!$Q$74-ElevCalc!$Q$79)/2,ElevCalc!$Q$75+6)</f>
        <v/>
      </c>
      <c r="U85" t="inlineStr">
        <is>
          <t>lx2</t>
        </is>
      </c>
      <c r="V85">
        <f>IF(ElevCalc!$V$79&gt;10,(ElevCalc!$V$75+ElevCalc!$V$74-ElevCalc!$V$79)/2,ElevCalc!$V$75+6)</f>
        <v/>
      </c>
      <c r="Z85" t="inlineStr">
        <is>
          <t>lx2</t>
        </is>
      </c>
      <c r="AA85">
        <f>IF(ElevCalc!$AA$79&gt;10,(ElevCalc!$AA$75+ElevCalc!$AA$74-ElevCalc!$AA$79)/2,ElevCalc!$AA$75+6)</f>
        <v/>
      </c>
      <c r="AE85" t="inlineStr">
        <is>
          <t>lx2</t>
        </is>
      </c>
      <c r="AF85">
        <f>IF(ElevCalc!$AF$79&gt;10,(ElevCalc!$AF$75+ElevCalc!$AF$74-ElevCalc!$AF$79)/2,ElevCalc!$AF$75+6)</f>
        <v/>
      </c>
    </row>
    <row r="86">
      <c r="A86" t="inlineStr">
        <is>
          <t>act</t>
        </is>
      </c>
      <c r="B86">
        <f>IF(ElevCalc!$B$65=2,IF(LEFT(ElevCalc!$B$70,1)="R",2,1),1)</f>
        <v/>
      </c>
      <c r="F86" t="inlineStr">
        <is>
          <t>act</t>
        </is>
      </c>
      <c r="G86">
        <f>IF(ElevCalc!$G$65=2,IF(LEFT(ElevCalc!$G$70,1)="R",2,1),1)</f>
        <v/>
      </c>
      <c r="K86" t="inlineStr">
        <is>
          <t>act</t>
        </is>
      </c>
      <c r="L86">
        <f>IF(ElevCalc!$L$65=2,IF(LEFT(ElevCalc!$L$70,1)="R",2,1),1)</f>
        <v/>
      </c>
      <c r="P86" t="inlineStr">
        <is>
          <t>act</t>
        </is>
      </c>
      <c r="Q86">
        <f>IF(ElevCalc!$Q$65=2,IF(LEFT(ElevCalc!$Q$70,1)="R",2,1),1)</f>
        <v/>
      </c>
      <c r="U86" t="inlineStr">
        <is>
          <t>act</t>
        </is>
      </c>
      <c r="V86">
        <f>IF(ElevCalc!$V$65=2,IF(LEFT(ElevCalc!$V$70,1)="R",2,1),1)</f>
        <v/>
      </c>
      <c r="Z86" t="inlineStr">
        <is>
          <t>act</t>
        </is>
      </c>
      <c r="AA86">
        <f>IF(ElevCalc!$AA$65=2,IF(LEFT(ElevCalc!$AA$70,1)="R",2,1),1)</f>
        <v/>
      </c>
      <c r="AE86" t="inlineStr">
        <is>
          <t>act</t>
        </is>
      </c>
      <c r="AF86">
        <f>IF(ElevCalc!$AF$65=2,IF(LEFT(ElevCalc!$AF$70,1)="R",2,1),1)</f>
        <v/>
      </c>
    </row>
    <row r="87">
      <c r="A87" t="inlineStr">
        <is>
          <t>levx</t>
        </is>
      </c>
      <c r="B87">
        <f>IF(ElevCalc!$B$86=1,IF(ElevCalc!$B$76=1,ElevCalc!$B$73-2.5,ElevCalc!$B$72+2.5),ElevCalc!$B$75+2.5)</f>
        <v/>
      </c>
      <c r="F87" t="inlineStr">
        <is>
          <t>levx</t>
        </is>
      </c>
      <c r="G87">
        <f>IF(ElevCalc!$G$86=1,IF(ElevCalc!$G$76=1,ElevCalc!$G$73-2.5,ElevCalc!$G$72+2.5),ElevCalc!$G$75+2.5)</f>
        <v/>
      </c>
      <c r="K87" t="inlineStr">
        <is>
          <t>levx</t>
        </is>
      </c>
      <c r="L87">
        <f>IF(ElevCalc!$L$86=1,IF(ElevCalc!$L$76=1,ElevCalc!$L$73-2.5,ElevCalc!$L$72+2.5),ElevCalc!$L$75+2.5)</f>
        <v/>
      </c>
      <c r="P87" t="inlineStr">
        <is>
          <t>levx</t>
        </is>
      </c>
      <c r="Q87">
        <f>IF(ElevCalc!$Q$86=1,IF(ElevCalc!$Q$76=1,ElevCalc!$Q$73-2.5,ElevCalc!$Q$72+2.5),ElevCalc!$Q$75+2.5)</f>
        <v/>
      </c>
      <c r="U87" t="inlineStr">
        <is>
          <t>levx</t>
        </is>
      </c>
      <c r="V87">
        <f>IF(ElevCalc!$V$86=1,IF(ElevCalc!$V$76=1,ElevCalc!$V$73-2.5,ElevCalc!$V$72+2.5),ElevCalc!$V$75+2.5)</f>
        <v/>
      </c>
      <c r="Z87" t="inlineStr">
        <is>
          <t>levx</t>
        </is>
      </c>
      <c r="AA87">
        <f>IF(ElevCalc!$AA$86=1,IF(ElevCalc!$AA$76=1,ElevCalc!$AA$73-2.5,ElevCalc!$AA$72+2.5),ElevCalc!$AA$75+2.5)</f>
        <v/>
      </c>
      <c r="AE87" t="inlineStr">
        <is>
          <t>levx</t>
        </is>
      </c>
      <c r="AF87">
        <f>IF(ElevCalc!$AF$86=1,IF(ElevCalc!$AF$76=1,ElevCalc!$AF$73-2.5,ElevCalc!$AF$72+2.5),ElevCalc!$AF$75+2.5)</f>
        <v/>
      </c>
    </row>
    <row r="88">
      <c r="A88" t="inlineStr">
        <is>
          <t>cont</t>
        </is>
      </c>
      <c r="B88">
        <f>OR(ElevCalc!$B$10="HGC",ElevCalc!$B$11="HGC")</f>
        <v/>
      </c>
      <c r="F88" t="inlineStr">
        <is>
          <t>cont</t>
        </is>
      </c>
      <c r="G88">
        <f>OR(ElevCalc!$G$10="HGC",ElevCalc!$G$11="HGC")</f>
        <v/>
      </c>
      <c r="K88" t="inlineStr">
        <is>
          <t>cont</t>
        </is>
      </c>
      <c r="L88">
        <f>OR(ElevCalc!$L$10="HGC",ElevCalc!$L$11="HGC")</f>
        <v/>
      </c>
      <c r="P88" t="inlineStr">
        <is>
          <t>cont</t>
        </is>
      </c>
      <c r="Q88">
        <f>OR(ElevCalc!$Q$10="HGC",ElevCalc!$Q$11="HGC")</f>
        <v/>
      </c>
      <c r="U88" t="inlineStr">
        <is>
          <t>cont</t>
        </is>
      </c>
      <c r="V88">
        <f>OR(ElevCalc!$V$10="HGC",ElevCalc!$V$11="HGC")</f>
        <v/>
      </c>
      <c r="Z88" t="inlineStr">
        <is>
          <t>cont</t>
        </is>
      </c>
      <c r="AA88">
        <f>OR(ElevCalc!$AA$10="HGC",ElevCalc!$AA$11="HGC")</f>
        <v/>
      </c>
      <c r="AE88" t="inlineStr">
        <is>
          <t>cont</t>
        </is>
      </c>
      <c r="AF88">
        <f>OR(ElevCalc!$AF$10="HGC",ElevCalc!$AF$11="HGC")</f>
        <v/>
      </c>
    </row>
    <row r="89">
      <c r="A89" t="inlineStr">
        <is>
          <t>hn</t>
        </is>
      </c>
      <c r="B89">
        <f>IF(ElevCalc!$B$67&lt;=60,2,IF(ElevCalc!$B$67&lt;=90,3,IF(ElevCalc!$B$67&lt;=120,4,5)))</f>
        <v/>
      </c>
      <c r="F89" t="inlineStr">
        <is>
          <t>hn</t>
        </is>
      </c>
      <c r="G89">
        <f>IF(ElevCalc!$G$67&lt;=60,2,IF(ElevCalc!$G$67&lt;=90,3,IF(ElevCalc!$G$67&lt;=120,4,5)))</f>
        <v/>
      </c>
      <c r="K89" t="inlineStr">
        <is>
          <t>hn</t>
        </is>
      </c>
      <c r="L89">
        <f>IF(ElevCalc!$L$67&lt;=60,2,IF(ElevCalc!$L$67&lt;=90,3,IF(ElevCalc!$L$67&lt;=120,4,5)))</f>
        <v/>
      </c>
      <c r="P89" t="inlineStr">
        <is>
          <t>hn</t>
        </is>
      </c>
      <c r="Q89">
        <f>IF(ElevCalc!$Q$67&lt;=60,2,IF(ElevCalc!$Q$67&lt;=90,3,IF(ElevCalc!$Q$67&lt;=120,4,5)))</f>
        <v/>
      </c>
      <c r="U89" t="inlineStr">
        <is>
          <t>hn</t>
        </is>
      </c>
      <c r="V89">
        <f>IF(ElevCalc!$V$67&lt;=60,2,IF(ElevCalc!$V$67&lt;=90,3,IF(ElevCalc!$V$67&lt;=120,4,5)))</f>
        <v/>
      </c>
      <c r="Z89" t="inlineStr">
        <is>
          <t>hn</t>
        </is>
      </c>
      <c r="AA89">
        <f>IF(ElevCalc!$AA$67&lt;=60,2,IF(ElevCalc!$AA$67&lt;=90,3,IF(ElevCalc!$AA$67&lt;=120,4,5)))</f>
        <v/>
      </c>
      <c r="AE89" t="inlineStr">
        <is>
          <t>hn</t>
        </is>
      </c>
      <c r="AF89">
        <f>IF(ElevCalc!$AF$67&lt;=60,2,IF(ElevCalc!$AF$67&lt;=90,3,IF(ElevCalc!$AF$67&lt;=120,4,5)))</f>
        <v/>
      </c>
    </row>
    <row r="90">
      <c r="A90" t="inlineStr">
        <is>
          <t>htop</t>
        </is>
      </c>
      <c r="B90">
        <f>ElevCalc!$B$62-7.25</f>
        <v/>
      </c>
      <c r="F90" t="inlineStr">
        <is>
          <t>htop</t>
        </is>
      </c>
      <c r="G90">
        <f>ElevCalc!$G$62-7.25</f>
        <v/>
      </c>
      <c r="K90" t="inlineStr">
        <is>
          <t>htop</t>
        </is>
      </c>
      <c r="L90">
        <f>ElevCalc!$L$62-7.25</f>
        <v/>
      </c>
      <c r="P90" t="inlineStr">
        <is>
          <t>htop</t>
        </is>
      </c>
      <c r="Q90">
        <f>ElevCalc!$Q$62-7.25</f>
        <v/>
      </c>
      <c r="U90" t="inlineStr">
        <is>
          <t>htop</t>
        </is>
      </c>
      <c r="V90">
        <f>ElevCalc!$V$62-7.25</f>
        <v/>
      </c>
      <c r="Z90" t="inlineStr">
        <is>
          <t>htop</t>
        </is>
      </c>
      <c r="AA90">
        <f>ElevCalc!$AA$62-7.25</f>
        <v/>
      </c>
      <c r="AE90" t="inlineStr">
        <is>
          <t>htop</t>
        </is>
      </c>
      <c r="AF90">
        <f>ElevCalc!$AF$62-7.25</f>
        <v/>
      </c>
    </row>
    <row r="91">
      <c r="A91" t="inlineStr">
        <is>
          <t>hbot</t>
        </is>
      </c>
      <c r="B91">
        <f>ElevCalc!$B$61+12.25</f>
        <v/>
      </c>
      <c r="F91" t="inlineStr">
        <is>
          <t>hbot</t>
        </is>
      </c>
      <c r="G91">
        <f>ElevCalc!$G$61+12.25</f>
        <v/>
      </c>
      <c r="K91" t="inlineStr">
        <is>
          <t>hbot</t>
        </is>
      </c>
      <c r="L91">
        <f>ElevCalc!$L$61+12.25</f>
        <v/>
      </c>
      <c r="P91" t="inlineStr">
        <is>
          <t>hbot</t>
        </is>
      </c>
      <c r="Q91">
        <f>ElevCalc!$Q$61+12.25</f>
        <v/>
      </c>
      <c r="U91" t="inlineStr">
        <is>
          <t>hbot</t>
        </is>
      </c>
      <c r="V91">
        <f>ElevCalc!$V$61+12.25</f>
        <v/>
      </c>
      <c r="Z91" t="inlineStr">
        <is>
          <t>hbot</t>
        </is>
      </c>
      <c r="AA91">
        <f>ElevCalc!$AA$61+12.25</f>
        <v/>
      </c>
      <c r="AE91" t="inlineStr">
        <is>
          <t>hbot</t>
        </is>
      </c>
      <c r="AF91">
        <f>ElevCalc!$AF$61+12.25</f>
        <v/>
      </c>
    </row>
    <row r="92">
      <c r="A92" t="inlineStr">
        <is>
          <t>capW</t>
        </is>
      </c>
      <c r="B92">
        <f>IF(ElevCalc!$B$45,INT(ROUND(ElevCalc!$B$57,4)/12)&amp;"'-"&amp;IF(ROUND(MOD(ElevCalc!$B$57,12),4)=0,"0",TRIM(TEXT(MOD(ElevCalc!$B$57,12),"# ?/??")))&amp;CHAR(34),"")</f>
        <v/>
      </c>
      <c r="F92" t="inlineStr">
        <is>
          <t>capW</t>
        </is>
      </c>
      <c r="G92">
        <f>IF(ElevCalc!$G$45,INT(ROUND(ElevCalc!$G$57,4)/12)&amp;"'-"&amp;IF(ROUND(MOD(ElevCalc!$G$57,12),4)=0,"0",TRIM(TEXT(MOD(ElevCalc!$G$57,12),"# ?/??")))&amp;CHAR(34),"")</f>
        <v/>
      </c>
      <c r="K92" t="inlineStr">
        <is>
          <t>capW</t>
        </is>
      </c>
      <c r="L92">
        <f>IF(ElevCalc!$L$45,INT(ROUND(ElevCalc!$L$57,4)/12)&amp;"'-"&amp;IF(ROUND(MOD(ElevCalc!$L$57,12),4)=0,"0",TRIM(TEXT(MOD(ElevCalc!$L$57,12),"# ?/??")))&amp;CHAR(34),"")</f>
        <v/>
      </c>
      <c r="P92" t="inlineStr">
        <is>
          <t>capW</t>
        </is>
      </c>
      <c r="Q92">
        <f>IF(ElevCalc!$Q$45,INT(ROUND(ElevCalc!$Q$57,4)/12)&amp;"'-"&amp;IF(ROUND(MOD(ElevCalc!$Q$57,12),4)=0,"0",TRIM(TEXT(MOD(ElevCalc!$Q$57,12),"# ?/??")))&amp;CHAR(34),"")</f>
        <v/>
      </c>
      <c r="U92" t="inlineStr">
        <is>
          <t>capW</t>
        </is>
      </c>
      <c r="V92">
        <f>IF(ElevCalc!$V$45,INT(ROUND(ElevCalc!$V$57,4)/12)&amp;"'-"&amp;IF(ROUND(MOD(ElevCalc!$V$57,12),4)=0,"0",TRIM(TEXT(MOD(ElevCalc!$V$57,12),"# ?/??")))&amp;CHAR(34),"")</f>
        <v/>
      </c>
      <c r="Z92" t="inlineStr">
        <is>
          <t>capW</t>
        </is>
      </c>
      <c r="AA92">
        <f>IF(ElevCalc!$AA$45,INT(ROUND(ElevCalc!$AA$57,4)/12)&amp;"'-"&amp;IF(ROUND(MOD(ElevCalc!$AA$57,12),4)=0,"0",TRIM(TEXT(MOD(ElevCalc!$AA$57,12),"# ?/??")))&amp;CHAR(34),"")</f>
        <v/>
      </c>
      <c r="AE92" t="inlineStr">
        <is>
          <t>capW</t>
        </is>
      </c>
      <c r="AF92">
        <f>IF(ElevCalc!$AF$45,INT(ROUND(ElevCalc!$AF$57,4)/12)&amp;"'-"&amp;IF(ROUND(MOD(ElevCalc!$AF$57,12),4)=0,"0",TRIM(TEXT(MOD(ElevCalc!$AF$57,12),"# ?/??")))&amp;CHAR(34),"")</f>
        <v/>
      </c>
    </row>
    <row r="93">
      <c r="A93" t="inlineStr">
        <is>
          <t>capOW</t>
        </is>
      </c>
      <c r="B93">
        <f>IF(ElevCalc!$B$45,INT(ROUND(ElevCalc!$B$46,4)/12)&amp;"'-"&amp;IF(ROUND(MOD(ElevCalc!$B$46,12),4)=0,"0",TRIM(TEXT(MOD(ElevCalc!$B$46,12),"# ?/??")))&amp;CHAR(34)&amp;IF(ElevCalc!$B$65=2,"  (pair)",""),"")</f>
        <v/>
      </c>
      <c r="F93" t="inlineStr">
        <is>
          <t>capOW</t>
        </is>
      </c>
      <c r="G93">
        <f>IF(ElevCalc!$G$45,INT(ROUND(ElevCalc!$G$46,4)/12)&amp;"'-"&amp;IF(ROUND(MOD(ElevCalc!$G$46,12),4)=0,"0",TRIM(TEXT(MOD(ElevCalc!$G$46,12),"# ?/??")))&amp;CHAR(34)&amp;IF(ElevCalc!$G$65=2,"  (pair)",""),"")</f>
        <v/>
      </c>
      <c r="K93" t="inlineStr">
        <is>
          <t>capOW</t>
        </is>
      </c>
      <c r="L93">
        <f>IF(ElevCalc!$L$45,INT(ROUND(ElevCalc!$L$46,4)/12)&amp;"'-"&amp;IF(ROUND(MOD(ElevCalc!$L$46,12),4)=0,"0",TRIM(TEXT(MOD(ElevCalc!$L$46,12),"# ?/??")))&amp;CHAR(34)&amp;IF(ElevCalc!$L$65=2,"  (pair)",""),"")</f>
        <v/>
      </c>
      <c r="P93" t="inlineStr">
        <is>
          <t>capOW</t>
        </is>
      </c>
      <c r="Q93">
        <f>IF(ElevCalc!$Q$45,INT(ROUND(ElevCalc!$Q$46,4)/12)&amp;"'-"&amp;IF(ROUND(MOD(ElevCalc!$Q$46,12),4)=0,"0",TRIM(TEXT(MOD(ElevCalc!$Q$46,12),"# ?/??")))&amp;CHAR(34)&amp;IF(ElevCalc!$Q$65=2,"  (pair)",""),"")</f>
        <v/>
      </c>
      <c r="U93" t="inlineStr">
        <is>
          <t>capOW</t>
        </is>
      </c>
      <c r="V93">
        <f>IF(ElevCalc!$V$45,INT(ROUND(ElevCalc!$V$46,4)/12)&amp;"'-"&amp;IF(ROUND(MOD(ElevCalc!$V$46,12),4)=0,"0",TRIM(TEXT(MOD(ElevCalc!$V$46,12),"# ?/??")))&amp;CHAR(34)&amp;IF(ElevCalc!$V$65=2,"  (pair)",""),"")</f>
        <v/>
      </c>
      <c r="Z93" t="inlineStr">
        <is>
          <t>capOW</t>
        </is>
      </c>
      <c r="AA93">
        <f>IF(ElevCalc!$AA$45,INT(ROUND(ElevCalc!$AA$46,4)/12)&amp;"'-"&amp;IF(ROUND(MOD(ElevCalc!$AA$46,12),4)=0,"0",TRIM(TEXT(MOD(ElevCalc!$AA$46,12),"# ?/??")))&amp;CHAR(34)&amp;IF(ElevCalc!$AA$65=2,"  (pair)",""),"")</f>
        <v/>
      </c>
      <c r="AE93" t="inlineStr">
        <is>
          <t>capOW</t>
        </is>
      </c>
      <c r="AF93">
        <f>IF(ElevCalc!$AF$45,INT(ROUND(ElevCalc!$AF$46,4)/12)&amp;"'-"&amp;IF(ROUND(MOD(ElevCalc!$AF$46,12),4)=0,"0",TRIM(TEXT(MOD(ElevCalc!$AF$46,12),"# ?/??")))&amp;CHAR(34)&amp;IF(ElevCalc!$AF$65=2,"  (pair)",""),"")</f>
        <v/>
      </c>
    </row>
    <row r="94">
      <c r="A94" t="inlineStr">
        <is>
          <t>capH</t>
        </is>
      </c>
      <c r="B94">
        <f>IF(ElevCalc!$B$45,INT(ROUND(ElevCalc!$B$58,4)/12)&amp;"'-"&amp;IF(ROUND(MOD(ElevCalc!$B$58,12),4)=0,"0",TRIM(TEXT(MOD(ElevCalc!$B$58,12),"# ?/??")))&amp;CHAR(34),"")</f>
        <v/>
      </c>
      <c r="F94" t="inlineStr">
        <is>
          <t>capH</t>
        </is>
      </c>
      <c r="G94">
        <f>IF(ElevCalc!$G$45,INT(ROUND(ElevCalc!$G$58,4)/12)&amp;"'-"&amp;IF(ROUND(MOD(ElevCalc!$G$58,12),4)=0,"0",TRIM(TEXT(MOD(ElevCalc!$G$58,12),"# ?/??")))&amp;CHAR(34),"")</f>
        <v/>
      </c>
      <c r="K94" t="inlineStr">
        <is>
          <t>capH</t>
        </is>
      </c>
      <c r="L94">
        <f>IF(ElevCalc!$L$45,INT(ROUND(ElevCalc!$L$58,4)/12)&amp;"'-"&amp;IF(ROUND(MOD(ElevCalc!$L$58,12),4)=0,"0",TRIM(TEXT(MOD(ElevCalc!$L$58,12),"# ?/??")))&amp;CHAR(34),"")</f>
        <v/>
      </c>
      <c r="P94" t="inlineStr">
        <is>
          <t>capH</t>
        </is>
      </c>
      <c r="Q94">
        <f>IF(ElevCalc!$Q$45,INT(ROUND(ElevCalc!$Q$58,4)/12)&amp;"'-"&amp;IF(ROUND(MOD(ElevCalc!$Q$58,12),4)=0,"0",TRIM(TEXT(MOD(ElevCalc!$Q$58,12),"# ?/??")))&amp;CHAR(34),"")</f>
        <v/>
      </c>
      <c r="U94" t="inlineStr">
        <is>
          <t>capH</t>
        </is>
      </c>
      <c r="V94">
        <f>IF(ElevCalc!$V$45,INT(ROUND(ElevCalc!$V$58,4)/12)&amp;"'-"&amp;IF(ROUND(MOD(ElevCalc!$V$58,12),4)=0,"0",TRIM(TEXT(MOD(ElevCalc!$V$58,12),"# ?/??")))&amp;CHAR(34),"")</f>
        <v/>
      </c>
      <c r="Z94" t="inlineStr">
        <is>
          <t>capH</t>
        </is>
      </c>
      <c r="AA94">
        <f>IF(ElevCalc!$AA$45,INT(ROUND(ElevCalc!$AA$58,4)/12)&amp;"'-"&amp;IF(ROUND(MOD(ElevCalc!$AA$58,12),4)=0,"0",TRIM(TEXT(MOD(ElevCalc!$AA$58,12),"# ?/??")))&amp;CHAR(34),"")</f>
        <v/>
      </c>
      <c r="AE94" t="inlineStr">
        <is>
          <t>capH</t>
        </is>
      </c>
      <c r="AF94">
        <f>IF(ElevCalc!$AF$45,INT(ROUND(ElevCalc!$AF$58,4)/12)&amp;"'-"&amp;IF(ROUND(MOD(ElevCalc!$AF$58,12),4)=0,"0",TRIM(TEXT(MOD(ElevCalc!$AF$58,12),"# ?/??")))&amp;CHAR(34),"")</f>
        <v/>
      </c>
    </row>
    <row r="95">
      <c r="A95" t="inlineStr">
        <is>
          <t>capOH</t>
        </is>
      </c>
      <c r="B95">
        <f>IF(ElevCalc!$B$45,INT(ROUND(ElevCalc!$B$47,4)/12)&amp;"'-"&amp;IF(ROUND(MOD(ElevCalc!$B$47,12),4)=0,"0",TRIM(TEXT(MOD(ElevCalc!$B$47,12),"# ?/??")))&amp;CHAR(34),"")</f>
        <v/>
      </c>
      <c r="F95" t="inlineStr">
        <is>
          <t>capOH</t>
        </is>
      </c>
      <c r="G95">
        <f>IF(ElevCalc!$G$45,INT(ROUND(ElevCalc!$G$47,4)/12)&amp;"'-"&amp;IF(ROUND(MOD(ElevCalc!$G$47,12),4)=0,"0",TRIM(TEXT(MOD(ElevCalc!$G$47,12),"# ?/??")))&amp;CHAR(34),"")</f>
        <v/>
      </c>
      <c r="K95" t="inlineStr">
        <is>
          <t>capOH</t>
        </is>
      </c>
      <c r="L95">
        <f>IF(ElevCalc!$L$45,INT(ROUND(ElevCalc!$L$47,4)/12)&amp;"'-"&amp;IF(ROUND(MOD(ElevCalc!$L$47,12),4)=0,"0",TRIM(TEXT(MOD(ElevCalc!$L$47,12),"# ?/??")))&amp;CHAR(34),"")</f>
        <v/>
      </c>
      <c r="P95" t="inlineStr">
        <is>
          <t>capOH</t>
        </is>
      </c>
      <c r="Q95">
        <f>IF(ElevCalc!$Q$45,INT(ROUND(ElevCalc!$Q$47,4)/12)&amp;"'-"&amp;IF(ROUND(MOD(ElevCalc!$Q$47,12),4)=0,"0",TRIM(TEXT(MOD(ElevCalc!$Q$47,12),"# ?/??")))&amp;CHAR(34),"")</f>
        <v/>
      </c>
      <c r="U95" t="inlineStr">
        <is>
          <t>capOH</t>
        </is>
      </c>
      <c r="V95">
        <f>IF(ElevCalc!$V$45,INT(ROUND(ElevCalc!$V$47,4)/12)&amp;"'-"&amp;IF(ROUND(MOD(ElevCalc!$V$47,12),4)=0,"0",TRIM(TEXT(MOD(ElevCalc!$V$47,12),"# ?/??")))&amp;CHAR(34),"")</f>
        <v/>
      </c>
      <c r="Z95" t="inlineStr">
        <is>
          <t>capOH</t>
        </is>
      </c>
      <c r="AA95">
        <f>IF(ElevCalc!$AA$45,INT(ROUND(ElevCalc!$AA$47,4)/12)&amp;"'-"&amp;IF(ROUND(MOD(ElevCalc!$AA$47,12),4)=0,"0",TRIM(TEXT(MOD(ElevCalc!$AA$47,12),"# ?/??")))&amp;CHAR(34),"")</f>
        <v/>
      </c>
      <c r="AE95" t="inlineStr">
        <is>
          <t>capOH</t>
        </is>
      </c>
      <c r="AF95">
        <f>IF(ElevCalc!$AF$45,INT(ROUND(ElevCalc!$AF$47,4)/12)&amp;"'-"&amp;IF(ROUND(MOD(ElevCalc!$AF$47,12),4)=0,"0",TRIM(TEXT(MOD(ElevCalc!$AF$47,12),"# ?/??")))&amp;CHAR(34),"")</f>
        <v/>
      </c>
    </row>
    <row r="96">
      <c r="A96" t="inlineStr">
        <is>
          <t>capLite</t>
        </is>
      </c>
      <c r="B96">
        <f>IF(ElevCalc!$B$81,ElevCalc!$B$79&amp;"x"&amp;N(ElevCalc!$B$22),"")</f>
        <v/>
      </c>
      <c r="F96" t="inlineStr">
        <is>
          <t>capLite</t>
        </is>
      </c>
      <c r="G96">
        <f>IF(ElevCalc!$G$81,ElevCalc!$G$79&amp;"x"&amp;N(ElevCalc!$G$22),"")</f>
        <v/>
      </c>
      <c r="K96" t="inlineStr">
        <is>
          <t>capLite</t>
        </is>
      </c>
      <c r="L96">
        <f>IF(ElevCalc!$L$81,ElevCalc!$L$79&amp;"x"&amp;N(ElevCalc!$L$22),"")</f>
        <v/>
      </c>
      <c r="P96" t="inlineStr">
        <is>
          <t>capLite</t>
        </is>
      </c>
      <c r="Q96">
        <f>IF(ElevCalc!$Q$81,ElevCalc!$Q$79&amp;"x"&amp;N(ElevCalc!$Q$22),"")</f>
        <v/>
      </c>
      <c r="U96" t="inlineStr">
        <is>
          <t>capLite</t>
        </is>
      </c>
      <c r="V96">
        <f>IF(ElevCalc!$V$81,ElevCalc!$V$79&amp;"x"&amp;N(ElevCalc!$V$22),"")</f>
        <v/>
      </c>
      <c r="Z96" t="inlineStr">
        <is>
          <t>capLite</t>
        </is>
      </c>
      <c r="AA96">
        <f>IF(ElevCalc!$AA$81,ElevCalc!$AA$79&amp;"x"&amp;N(ElevCalc!$AA$22),"")</f>
        <v/>
      </c>
      <c r="AE96" t="inlineStr">
        <is>
          <t>capLite</t>
        </is>
      </c>
      <c r="AF96">
        <f>IF(ElevCalc!$AF$81,ElevCalc!$AF$79&amp;"x"&amp;N(ElevCalc!$AF$22),"")</f>
        <v/>
      </c>
    </row>
    <row r="120">
      <c r="A120" t="inlineStr">
        <is>
          <t>frame</t>
        </is>
      </c>
      <c r="B120">
        <f>IF(ElevCalc!$B$45*(ElevCalc!$B$3&lt;&gt;"DOOR ONLY"),(ElevCalc!$B$64+(0)*ElevCalc!$B$63),NA())</f>
        <v/>
      </c>
      <c r="C120">
        <f>IF(ElevCalc!$B$45*(ElevCalc!$B$3&lt;&gt;"DOOR ONLY"),((0)*ElevCalc!$B$63),NA())</f>
        <v/>
      </c>
      <c r="F120" t="inlineStr">
        <is>
          <t>frame</t>
        </is>
      </c>
      <c r="G120">
        <f>IF(ElevCalc!$G$45*(ElevCalc!$G$3&lt;&gt;"DOOR ONLY"),(ElevCalc!$G$64+(0)*ElevCalc!$G$63),NA())</f>
        <v/>
      </c>
      <c r="H120">
        <f>IF(ElevCalc!$G$45*(ElevCalc!$G$3&lt;&gt;"DOOR ONLY"),((0)*ElevCalc!$G$63),NA())</f>
        <v/>
      </c>
      <c r="K120" t="inlineStr">
        <is>
          <t>frame</t>
        </is>
      </c>
      <c r="L120">
        <f>IF(ElevCalc!$L$45*(ElevCalc!$L$3&lt;&gt;"DOOR ONLY"),(ElevCalc!$L$64+(0)*ElevCalc!$L$63),NA())</f>
        <v/>
      </c>
      <c r="M120">
        <f>IF(ElevCalc!$L$45*(ElevCalc!$L$3&lt;&gt;"DOOR ONLY"),((0)*ElevCalc!$L$63),NA())</f>
        <v/>
      </c>
      <c r="P120" t="inlineStr">
        <is>
          <t>frame</t>
        </is>
      </c>
      <c r="Q120">
        <f>IF(ElevCalc!$Q$45*(ElevCalc!$Q$3&lt;&gt;"DOOR ONLY"),(ElevCalc!$Q$64+(0)*ElevCalc!$Q$63),NA())</f>
        <v/>
      </c>
      <c r="R120">
        <f>IF(ElevCalc!$Q$45*(ElevCalc!$Q$3&lt;&gt;"DOOR ONLY"),((0)*ElevCalc!$Q$63),NA())</f>
        <v/>
      </c>
      <c r="U120" t="inlineStr">
        <is>
          <t>frame</t>
        </is>
      </c>
      <c r="V120">
        <f>IF(ElevCalc!$V$45*(ElevCalc!$V$3&lt;&gt;"DOOR ONLY"),(ElevCalc!$V$64+(0)*ElevCalc!$V$63),NA())</f>
        <v/>
      </c>
      <c r="W120">
        <f>IF(ElevCalc!$V$45*(ElevCalc!$V$3&lt;&gt;"DOOR ONLY"),((0)*ElevCalc!$V$63),NA())</f>
        <v/>
      </c>
      <c r="Z120" t="inlineStr">
        <is>
          <t>frame</t>
        </is>
      </c>
      <c r="AA120">
        <f>IF(ElevCalc!$AA$45*(ElevCalc!$AA$3&lt;&gt;"DOOR ONLY"),(ElevCalc!$AA$64+(0)*ElevCalc!$AA$63),NA())</f>
        <v/>
      </c>
      <c r="AB120">
        <f>IF(ElevCalc!$AA$45*(ElevCalc!$AA$3&lt;&gt;"DOOR ONLY"),((0)*ElevCalc!$AA$63),NA())</f>
        <v/>
      </c>
      <c r="AE120" t="inlineStr">
        <is>
          <t>frame</t>
        </is>
      </c>
      <c r="AF120">
        <f>IF(ElevCalc!$AF$45*(ElevCalc!$AF$3&lt;&gt;"DOOR ONLY"),(ElevCalc!$AF$64+(0)*ElevCalc!$AF$63),NA())</f>
        <v/>
      </c>
      <c r="AG120">
        <f>IF(ElevCalc!$AF$45*(ElevCalc!$AF$3&lt;&gt;"DOOR ONLY"),((0)*ElevCalc!$AF$63),NA())</f>
        <v/>
      </c>
    </row>
    <row r="121">
      <c r="A121" t="inlineStr">
        <is>
          <t>frame</t>
        </is>
      </c>
      <c r="B121">
        <f>IF(ElevCalc!$B$45*(ElevCalc!$B$3&lt;&gt;"DOOR ONLY"),(ElevCalc!$B$64+(0)*ElevCalc!$B$63),NA())</f>
        <v/>
      </c>
      <c r="C121">
        <f>IF(ElevCalc!$B$45*(ElevCalc!$B$3&lt;&gt;"DOOR ONLY"),((ElevCalc!$B$58)*ElevCalc!$B$63),NA())</f>
        <v/>
      </c>
      <c r="F121" t="inlineStr">
        <is>
          <t>frame</t>
        </is>
      </c>
      <c r="G121">
        <f>IF(ElevCalc!$G$45*(ElevCalc!$G$3&lt;&gt;"DOOR ONLY"),(ElevCalc!$G$64+(0)*ElevCalc!$G$63),NA())</f>
        <v/>
      </c>
      <c r="H121">
        <f>IF(ElevCalc!$G$45*(ElevCalc!$G$3&lt;&gt;"DOOR ONLY"),((ElevCalc!$G$58)*ElevCalc!$G$63),NA())</f>
        <v/>
      </c>
      <c r="K121" t="inlineStr">
        <is>
          <t>frame</t>
        </is>
      </c>
      <c r="L121">
        <f>IF(ElevCalc!$L$45*(ElevCalc!$L$3&lt;&gt;"DOOR ONLY"),(ElevCalc!$L$64+(0)*ElevCalc!$L$63),NA())</f>
        <v/>
      </c>
      <c r="M121">
        <f>IF(ElevCalc!$L$45*(ElevCalc!$L$3&lt;&gt;"DOOR ONLY"),((ElevCalc!$L$58)*ElevCalc!$L$63),NA())</f>
        <v/>
      </c>
      <c r="P121" t="inlineStr">
        <is>
          <t>frame</t>
        </is>
      </c>
      <c r="Q121">
        <f>IF(ElevCalc!$Q$45*(ElevCalc!$Q$3&lt;&gt;"DOOR ONLY"),(ElevCalc!$Q$64+(0)*ElevCalc!$Q$63),NA())</f>
        <v/>
      </c>
      <c r="R121">
        <f>IF(ElevCalc!$Q$45*(ElevCalc!$Q$3&lt;&gt;"DOOR ONLY"),((ElevCalc!$Q$58)*ElevCalc!$Q$63),NA())</f>
        <v/>
      </c>
      <c r="U121" t="inlineStr">
        <is>
          <t>frame</t>
        </is>
      </c>
      <c r="V121">
        <f>IF(ElevCalc!$V$45*(ElevCalc!$V$3&lt;&gt;"DOOR ONLY"),(ElevCalc!$V$64+(0)*ElevCalc!$V$63),NA())</f>
        <v/>
      </c>
      <c r="W121">
        <f>IF(ElevCalc!$V$45*(ElevCalc!$V$3&lt;&gt;"DOOR ONLY"),((ElevCalc!$V$58)*ElevCalc!$V$63),NA())</f>
        <v/>
      </c>
      <c r="Z121" t="inlineStr">
        <is>
          <t>frame</t>
        </is>
      </c>
      <c r="AA121">
        <f>IF(ElevCalc!$AA$45*(ElevCalc!$AA$3&lt;&gt;"DOOR ONLY"),(ElevCalc!$AA$64+(0)*ElevCalc!$AA$63),NA())</f>
        <v/>
      </c>
      <c r="AB121">
        <f>IF(ElevCalc!$AA$45*(ElevCalc!$AA$3&lt;&gt;"DOOR ONLY"),((ElevCalc!$AA$58)*ElevCalc!$AA$63),NA())</f>
        <v/>
      </c>
      <c r="AE121" t="inlineStr">
        <is>
          <t>frame</t>
        </is>
      </c>
      <c r="AF121">
        <f>IF(ElevCalc!$AF$45*(ElevCalc!$AF$3&lt;&gt;"DOOR ONLY"),(ElevCalc!$AF$64+(0)*ElevCalc!$AF$63),NA())</f>
        <v/>
      </c>
      <c r="AG121">
        <f>IF(ElevCalc!$AF$45*(ElevCalc!$AF$3&lt;&gt;"DOOR ONLY"),((ElevCalc!$AF$58)*ElevCalc!$AF$63),NA())</f>
        <v/>
      </c>
    </row>
    <row r="122">
      <c r="A122" t="inlineStr">
        <is>
          <t>frame</t>
        </is>
      </c>
      <c r="B122">
        <f>IF(ElevCalc!$B$45*(ElevCalc!$B$3&lt;&gt;"DOOR ONLY"),(ElevCalc!$B$64+(ElevCalc!$B$57)*ElevCalc!$B$63),NA())</f>
        <v/>
      </c>
      <c r="C122">
        <f>IF(ElevCalc!$B$45*(ElevCalc!$B$3&lt;&gt;"DOOR ONLY"),((ElevCalc!$B$58)*ElevCalc!$B$63),NA())</f>
        <v/>
      </c>
      <c r="F122" t="inlineStr">
        <is>
          <t>frame</t>
        </is>
      </c>
      <c r="G122">
        <f>IF(ElevCalc!$G$45*(ElevCalc!$G$3&lt;&gt;"DOOR ONLY"),(ElevCalc!$G$64+(ElevCalc!$G$57)*ElevCalc!$G$63),NA())</f>
        <v/>
      </c>
      <c r="H122">
        <f>IF(ElevCalc!$G$45*(ElevCalc!$G$3&lt;&gt;"DOOR ONLY"),((ElevCalc!$G$58)*ElevCalc!$G$63),NA())</f>
        <v/>
      </c>
      <c r="K122" t="inlineStr">
        <is>
          <t>frame</t>
        </is>
      </c>
      <c r="L122">
        <f>IF(ElevCalc!$L$45*(ElevCalc!$L$3&lt;&gt;"DOOR ONLY"),(ElevCalc!$L$64+(ElevCalc!$L$57)*ElevCalc!$L$63),NA())</f>
        <v/>
      </c>
      <c r="M122">
        <f>IF(ElevCalc!$L$45*(ElevCalc!$L$3&lt;&gt;"DOOR ONLY"),((ElevCalc!$L$58)*ElevCalc!$L$63),NA())</f>
        <v/>
      </c>
      <c r="P122" t="inlineStr">
        <is>
          <t>frame</t>
        </is>
      </c>
      <c r="Q122">
        <f>IF(ElevCalc!$Q$45*(ElevCalc!$Q$3&lt;&gt;"DOOR ONLY"),(ElevCalc!$Q$64+(ElevCalc!$Q$57)*ElevCalc!$Q$63),NA())</f>
        <v/>
      </c>
      <c r="R122">
        <f>IF(ElevCalc!$Q$45*(ElevCalc!$Q$3&lt;&gt;"DOOR ONLY"),((ElevCalc!$Q$58)*ElevCalc!$Q$63),NA())</f>
        <v/>
      </c>
      <c r="U122" t="inlineStr">
        <is>
          <t>frame</t>
        </is>
      </c>
      <c r="V122">
        <f>IF(ElevCalc!$V$45*(ElevCalc!$V$3&lt;&gt;"DOOR ONLY"),(ElevCalc!$V$64+(ElevCalc!$V$57)*ElevCalc!$V$63),NA())</f>
        <v/>
      </c>
      <c r="W122">
        <f>IF(ElevCalc!$V$45*(ElevCalc!$V$3&lt;&gt;"DOOR ONLY"),((ElevCalc!$V$58)*ElevCalc!$V$63),NA())</f>
        <v/>
      </c>
      <c r="Z122" t="inlineStr">
        <is>
          <t>frame</t>
        </is>
      </c>
      <c r="AA122">
        <f>IF(ElevCalc!$AA$45*(ElevCalc!$AA$3&lt;&gt;"DOOR ONLY"),(ElevCalc!$AA$64+(ElevCalc!$AA$57)*ElevCalc!$AA$63),NA())</f>
        <v/>
      </c>
      <c r="AB122">
        <f>IF(ElevCalc!$AA$45*(ElevCalc!$AA$3&lt;&gt;"DOOR ONLY"),((ElevCalc!$AA$58)*ElevCalc!$AA$63),NA())</f>
        <v/>
      </c>
      <c r="AE122" t="inlineStr">
        <is>
          <t>frame</t>
        </is>
      </c>
      <c r="AF122">
        <f>IF(ElevCalc!$AF$45*(ElevCalc!$AF$3&lt;&gt;"DOOR ONLY"),(ElevCalc!$AF$64+(ElevCalc!$AF$57)*ElevCalc!$AF$63),NA())</f>
        <v/>
      </c>
      <c r="AG122">
        <f>IF(ElevCalc!$AF$45*(ElevCalc!$AF$3&lt;&gt;"DOOR ONLY"),((ElevCalc!$AF$58)*ElevCalc!$AF$63),NA())</f>
        <v/>
      </c>
    </row>
    <row r="123">
      <c r="A123" t="inlineStr">
        <is>
          <t>frame</t>
        </is>
      </c>
      <c r="B123">
        <f>IF(ElevCalc!$B$45*(ElevCalc!$B$3&lt;&gt;"DOOR ONLY"),(ElevCalc!$B$64+(ElevCalc!$B$57)*ElevCalc!$B$63),NA())</f>
        <v/>
      </c>
      <c r="C123">
        <f>IF(ElevCalc!$B$45*(ElevCalc!$B$3&lt;&gt;"DOOR ONLY"),((0)*ElevCalc!$B$63),NA())</f>
        <v/>
      </c>
      <c r="F123" t="inlineStr">
        <is>
          <t>frame</t>
        </is>
      </c>
      <c r="G123">
        <f>IF(ElevCalc!$G$45*(ElevCalc!$G$3&lt;&gt;"DOOR ONLY"),(ElevCalc!$G$64+(ElevCalc!$G$57)*ElevCalc!$G$63),NA())</f>
        <v/>
      </c>
      <c r="H123">
        <f>IF(ElevCalc!$G$45*(ElevCalc!$G$3&lt;&gt;"DOOR ONLY"),((0)*ElevCalc!$G$63),NA())</f>
        <v/>
      </c>
      <c r="K123" t="inlineStr">
        <is>
          <t>frame</t>
        </is>
      </c>
      <c r="L123">
        <f>IF(ElevCalc!$L$45*(ElevCalc!$L$3&lt;&gt;"DOOR ONLY"),(ElevCalc!$L$64+(ElevCalc!$L$57)*ElevCalc!$L$63),NA())</f>
        <v/>
      </c>
      <c r="M123">
        <f>IF(ElevCalc!$L$45*(ElevCalc!$L$3&lt;&gt;"DOOR ONLY"),((0)*ElevCalc!$L$63),NA())</f>
        <v/>
      </c>
      <c r="P123" t="inlineStr">
        <is>
          <t>frame</t>
        </is>
      </c>
      <c r="Q123">
        <f>IF(ElevCalc!$Q$45*(ElevCalc!$Q$3&lt;&gt;"DOOR ONLY"),(ElevCalc!$Q$64+(ElevCalc!$Q$57)*ElevCalc!$Q$63),NA())</f>
        <v/>
      </c>
      <c r="R123">
        <f>IF(ElevCalc!$Q$45*(ElevCalc!$Q$3&lt;&gt;"DOOR ONLY"),((0)*ElevCalc!$Q$63),NA())</f>
        <v/>
      </c>
      <c r="U123" t="inlineStr">
        <is>
          <t>frame</t>
        </is>
      </c>
      <c r="V123">
        <f>IF(ElevCalc!$V$45*(ElevCalc!$V$3&lt;&gt;"DOOR ONLY"),(ElevCalc!$V$64+(ElevCalc!$V$57)*ElevCalc!$V$63),NA())</f>
        <v/>
      </c>
      <c r="W123">
        <f>IF(ElevCalc!$V$45*(ElevCalc!$V$3&lt;&gt;"DOOR ONLY"),((0)*ElevCalc!$V$63),NA())</f>
        <v/>
      </c>
      <c r="Z123" t="inlineStr">
        <is>
          <t>frame</t>
        </is>
      </c>
      <c r="AA123">
        <f>IF(ElevCalc!$AA$45*(ElevCalc!$AA$3&lt;&gt;"DOOR ONLY"),(ElevCalc!$AA$64+(ElevCalc!$AA$57)*ElevCalc!$AA$63),NA())</f>
        <v/>
      </c>
      <c r="AB123">
        <f>IF(ElevCalc!$AA$45*(ElevCalc!$AA$3&lt;&gt;"DOOR ONLY"),((0)*ElevCalc!$AA$63),NA())</f>
        <v/>
      </c>
      <c r="AE123" t="inlineStr">
        <is>
          <t>frame</t>
        </is>
      </c>
      <c r="AF123">
        <f>IF(ElevCalc!$AF$45*(ElevCalc!$AF$3&lt;&gt;"DOOR ONLY"),(ElevCalc!$AF$64+(ElevCalc!$AF$57)*ElevCalc!$AF$63),NA())</f>
        <v/>
      </c>
      <c r="AG123">
        <f>IF(ElevCalc!$AF$45*(ElevCalc!$AF$3&lt;&gt;"DOOR ONLY"),((0)*ElevCalc!$AF$63),NA())</f>
        <v/>
      </c>
    </row>
    <row r="124">
      <c r="A124" t="inlineStr">
        <is>
          <t>frame</t>
        </is>
      </c>
      <c r="B124">
        <f>IF(ElevCalc!$B$45*(ElevCalc!$B$3&lt;&gt;"DOOR ONLY"),(ElevCalc!$B$64+(IF(ElevCalc!$B$51=1,0,ElevCalc!$B$57))*ElevCalc!$B$63),NA())</f>
        <v/>
      </c>
      <c r="C124">
        <f>IF(ElevCalc!$B$45*(ElevCalc!$B$3&lt;&gt;"DOOR ONLY"),((0)*ElevCalc!$B$63),NA())</f>
        <v/>
      </c>
      <c r="F124" t="inlineStr">
        <is>
          <t>frame</t>
        </is>
      </c>
      <c r="G124">
        <f>IF(ElevCalc!$G$45*(ElevCalc!$G$3&lt;&gt;"DOOR ONLY"),(ElevCalc!$G$64+(IF(ElevCalc!$G$51=1,0,ElevCalc!$G$57))*ElevCalc!$G$63),NA())</f>
        <v/>
      </c>
      <c r="H124">
        <f>IF(ElevCalc!$G$45*(ElevCalc!$G$3&lt;&gt;"DOOR ONLY"),((0)*ElevCalc!$G$63),NA())</f>
        <v/>
      </c>
      <c r="K124" t="inlineStr">
        <is>
          <t>frame</t>
        </is>
      </c>
      <c r="L124">
        <f>IF(ElevCalc!$L$45*(ElevCalc!$L$3&lt;&gt;"DOOR ONLY"),(ElevCalc!$L$64+(IF(ElevCalc!$L$51=1,0,ElevCalc!$L$57))*ElevCalc!$L$63),NA())</f>
        <v/>
      </c>
      <c r="M124">
        <f>IF(ElevCalc!$L$45*(ElevCalc!$L$3&lt;&gt;"DOOR ONLY"),((0)*ElevCalc!$L$63),NA())</f>
        <v/>
      </c>
      <c r="P124" t="inlineStr">
        <is>
          <t>frame</t>
        </is>
      </c>
      <c r="Q124">
        <f>IF(ElevCalc!$Q$45*(ElevCalc!$Q$3&lt;&gt;"DOOR ONLY"),(ElevCalc!$Q$64+(IF(ElevCalc!$Q$51=1,0,ElevCalc!$Q$57))*ElevCalc!$Q$63),NA())</f>
        <v/>
      </c>
      <c r="R124">
        <f>IF(ElevCalc!$Q$45*(ElevCalc!$Q$3&lt;&gt;"DOOR ONLY"),((0)*ElevCalc!$Q$63),NA())</f>
        <v/>
      </c>
      <c r="U124" t="inlineStr">
        <is>
          <t>frame</t>
        </is>
      </c>
      <c r="V124">
        <f>IF(ElevCalc!$V$45*(ElevCalc!$V$3&lt;&gt;"DOOR ONLY"),(ElevCalc!$V$64+(IF(ElevCalc!$V$51=1,0,ElevCalc!$V$57))*ElevCalc!$V$63),NA())</f>
        <v/>
      </c>
      <c r="W124">
        <f>IF(ElevCalc!$V$45*(ElevCalc!$V$3&lt;&gt;"DOOR ONLY"),((0)*ElevCalc!$V$63),NA())</f>
        <v/>
      </c>
      <c r="Z124" t="inlineStr">
        <is>
          <t>frame</t>
        </is>
      </c>
      <c r="AA124">
        <f>IF(ElevCalc!$AA$45*(ElevCalc!$AA$3&lt;&gt;"DOOR ONLY"),(ElevCalc!$AA$64+(IF(ElevCalc!$AA$51=1,0,ElevCalc!$AA$57))*ElevCalc!$AA$63),NA())</f>
        <v/>
      </c>
      <c r="AB124">
        <f>IF(ElevCalc!$AA$45*(ElevCalc!$AA$3&lt;&gt;"DOOR ONLY"),((0)*ElevCalc!$AA$63),NA())</f>
        <v/>
      </c>
      <c r="AE124" t="inlineStr">
        <is>
          <t>frame</t>
        </is>
      </c>
      <c r="AF124">
        <f>IF(ElevCalc!$AF$45*(ElevCalc!$AF$3&lt;&gt;"DOOR ONLY"),(ElevCalc!$AF$64+(IF(ElevCalc!$AF$51=1,0,ElevCalc!$AF$57))*ElevCalc!$AF$63),NA())</f>
        <v/>
      </c>
      <c r="AG124">
        <f>IF(ElevCalc!$AF$45*(ElevCalc!$AF$3&lt;&gt;"DOOR ONLY"),((0)*ElevCalc!$AF$63),NA())</f>
        <v/>
      </c>
    </row>
    <row r="126">
      <c r="A126" t="inlineStr">
        <is>
          <t>opening</t>
        </is>
      </c>
      <c r="B126">
        <f>IF(ElevCalc!$B$45*(ElevCalc!$B$3&lt;&gt;"DOOR ONLY"),(ElevCalc!$B$64+(ElevCalc!$B$59)*ElevCalc!$B$63),NA())</f>
        <v/>
      </c>
      <c r="C126">
        <f>IF(ElevCalc!$B$45*(ElevCalc!$B$3&lt;&gt;"DOOR ONLY"),((ElevCalc!$B$61)*ElevCalc!$B$63),NA())</f>
        <v/>
      </c>
      <c r="F126" t="inlineStr">
        <is>
          <t>opening</t>
        </is>
      </c>
      <c r="G126">
        <f>IF(ElevCalc!$G$45*(ElevCalc!$G$3&lt;&gt;"DOOR ONLY"),(ElevCalc!$G$64+(ElevCalc!$G$59)*ElevCalc!$G$63),NA())</f>
        <v/>
      </c>
      <c r="H126">
        <f>IF(ElevCalc!$G$45*(ElevCalc!$G$3&lt;&gt;"DOOR ONLY"),((ElevCalc!$G$61)*ElevCalc!$G$63),NA())</f>
        <v/>
      </c>
      <c r="K126" t="inlineStr">
        <is>
          <t>opening</t>
        </is>
      </c>
      <c r="L126">
        <f>IF(ElevCalc!$L$45*(ElevCalc!$L$3&lt;&gt;"DOOR ONLY"),(ElevCalc!$L$64+(ElevCalc!$L$59)*ElevCalc!$L$63),NA())</f>
        <v/>
      </c>
      <c r="M126">
        <f>IF(ElevCalc!$L$45*(ElevCalc!$L$3&lt;&gt;"DOOR ONLY"),((ElevCalc!$L$61)*ElevCalc!$L$63),NA())</f>
        <v/>
      </c>
      <c r="P126" t="inlineStr">
        <is>
          <t>opening</t>
        </is>
      </c>
      <c r="Q126">
        <f>IF(ElevCalc!$Q$45*(ElevCalc!$Q$3&lt;&gt;"DOOR ONLY"),(ElevCalc!$Q$64+(ElevCalc!$Q$59)*ElevCalc!$Q$63),NA())</f>
        <v/>
      </c>
      <c r="R126">
        <f>IF(ElevCalc!$Q$45*(ElevCalc!$Q$3&lt;&gt;"DOOR ONLY"),((ElevCalc!$Q$61)*ElevCalc!$Q$63),NA())</f>
        <v/>
      </c>
      <c r="U126" t="inlineStr">
        <is>
          <t>opening</t>
        </is>
      </c>
      <c r="V126">
        <f>IF(ElevCalc!$V$45*(ElevCalc!$V$3&lt;&gt;"DOOR ONLY"),(ElevCalc!$V$64+(ElevCalc!$V$59)*ElevCalc!$V$63),NA())</f>
        <v/>
      </c>
      <c r="W126">
        <f>IF(ElevCalc!$V$45*(ElevCalc!$V$3&lt;&gt;"DOOR ONLY"),((ElevCalc!$V$61)*ElevCalc!$V$63),NA())</f>
        <v/>
      </c>
      <c r="Z126" t="inlineStr">
        <is>
          <t>opening</t>
        </is>
      </c>
      <c r="AA126">
        <f>IF(ElevCalc!$AA$45*(ElevCalc!$AA$3&lt;&gt;"DOOR ONLY"),(ElevCalc!$AA$64+(ElevCalc!$AA$59)*ElevCalc!$AA$63),NA())</f>
        <v/>
      </c>
      <c r="AB126">
        <f>IF(ElevCalc!$AA$45*(ElevCalc!$AA$3&lt;&gt;"DOOR ONLY"),((ElevCalc!$AA$61)*ElevCalc!$AA$63),NA())</f>
        <v/>
      </c>
      <c r="AE126" t="inlineStr">
        <is>
          <t>opening</t>
        </is>
      </c>
      <c r="AF126">
        <f>IF(ElevCalc!$AF$45*(ElevCalc!$AF$3&lt;&gt;"DOOR ONLY"),(ElevCalc!$AF$64+(ElevCalc!$AF$59)*ElevCalc!$AF$63),NA())</f>
        <v/>
      </c>
      <c r="AG126">
        <f>IF(ElevCalc!$AF$45*(ElevCalc!$AF$3&lt;&gt;"DOOR ONLY"),((ElevCalc!$AF$61)*ElevCalc!$AF$63),NA())</f>
        <v/>
      </c>
    </row>
    <row r="127">
      <c r="A127" t="inlineStr">
        <is>
          <t>opening</t>
        </is>
      </c>
      <c r="B127">
        <f>IF(ElevCalc!$B$45*(ElevCalc!$B$3&lt;&gt;"DOOR ONLY"),(ElevCalc!$B$64+(ElevCalc!$B$59)*ElevCalc!$B$63),NA())</f>
        <v/>
      </c>
      <c r="C127">
        <f>IF(ElevCalc!$B$45*(ElevCalc!$B$3&lt;&gt;"DOOR ONLY"),((ElevCalc!$B$62)*ElevCalc!$B$63),NA())</f>
        <v/>
      </c>
      <c r="F127" t="inlineStr">
        <is>
          <t>opening</t>
        </is>
      </c>
      <c r="G127">
        <f>IF(ElevCalc!$G$45*(ElevCalc!$G$3&lt;&gt;"DOOR ONLY"),(ElevCalc!$G$64+(ElevCalc!$G$59)*ElevCalc!$G$63),NA())</f>
        <v/>
      </c>
      <c r="H127">
        <f>IF(ElevCalc!$G$45*(ElevCalc!$G$3&lt;&gt;"DOOR ONLY"),((ElevCalc!$G$62)*ElevCalc!$G$63),NA())</f>
        <v/>
      </c>
      <c r="K127" t="inlineStr">
        <is>
          <t>opening</t>
        </is>
      </c>
      <c r="L127">
        <f>IF(ElevCalc!$L$45*(ElevCalc!$L$3&lt;&gt;"DOOR ONLY"),(ElevCalc!$L$64+(ElevCalc!$L$59)*ElevCalc!$L$63),NA())</f>
        <v/>
      </c>
      <c r="M127">
        <f>IF(ElevCalc!$L$45*(ElevCalc!$L$3&lt;&gt;"DOOR ONLY"),((ElevCalc!$L$62)*ElevCalc!$L$63),NA())</f>
        <v/>
      </c>
      <c r="P127" t="inlineStr">
        <is>
          <t>opening</t>
        </is>
      </c>
      <c r="Q127">
        <f>IF(ElevCalc!$Q$45*(ElevCalc!$Q$3&lt;&gt;"DOOR ONLY"),(ElevCalc!$Q$64+(ElevCalc!$Q$59)*ElevCalc!$Q$63),NA())</f>
        <v/>
      </c>
      <c r="R127">
        <f>IF(ElevCalc!$Q$45*(ElevCalc!$Q$3&lt;&gt;"DOOR ONLY"),((ElevCalc!$Q$62)*ElevCalc!$Q$63),NA())</f>
        <v/>
      </c>
      <c r="U127" t="inlineStr">
        <is>
          <t>opening</t>
        </is>
      </c>
      <c r="V127">
        <f>IF(ElevCalc!$V$45*(ElevCalc!$V$3&lt;&gt;"DOOR ONLY"),(ElevCalc!$V$64+(ElevCalc!$V$59)*ElevCalc!$V$63),NA())</f>
        <v/>
      </c>
      <c r="W127">
        <f>IF(ElevCalc!$V$45*(ElevCalc!$V$3&lt;&gt;"DOOR ONLY"),((ElevCalc!$V$62)*ElevCalc!$V$63),NA())</f>
        <v/>
      </c>
      <c r="Z127" t="inlineStr">
        <is>
          <t>opening</t>
        </is>
      </c>
      <c r="AA127">
        <f>IF(ElevCalc!$AA$45*(ElevCalc!$AA$3&lt;&gt;"DOOR ONLY"),(ElevCalc!$AA$64+(ElevCalc!$AA$59)*ElevCalc!$AA$63),NA())</f>
        <v/>
      </c>
      <c r="AB127">
        <f>IF(ElevCalc!$AA$45*(ElevCalc!$AA$3&lt;&gt;"DOOR ONLY"),((ElevCalc!$AA$62)*ElevCalc!$AA$63),NA())</f>
        <v/>
      </c>
      <c r="AE127" t="inlineStr">
        <is>
          <t>opening</t>
        </is>
      </c>
      <c r="AF127">
        <f>IF(ElevCalc!$AF$45*(ElevCalc!$AF$3&lt;&gt;"DOOR ONLY"),(ElevCalc!$AF$64+(ElevCalc!$AF$59)*ElevCalc!$AF$63),NA())</f>
        <v/>
      </c>
      <c r="AG127">
        <f>IF(ElevCalc!$AF$45*(ElevCalc!$AF$3&lt;&gt;"DOOR ONLY"),((ElevCalc!$AF$62)*ElevCalc!$AF$63),NA())</f>
        <v/>
      </c>
    </row>
    <row r="128">
      <c r="A128" t="inlineStr">
        <is>
          <t>opening</t>
        </is>
      </c>
      <c r="B128">
        <f>IF(ElevCalc!$B$45*(ElevCalc!$B$3&lt;&gt;"DOOR ONLY"),(ElevCalc!$B$64+(ElevCalc!$B$60)*ElevCalc!$B$63),NA())</f>
        <v/>
      </c>
      <c r="C128">
        <f>IF(ElevCalc!$B$45*(ElevCalc!$B$3&lt;&gt;"DOOR ONLY"),((ElevCalc!$B$62)*ElevCalc!$B$63),NA())</f>
        <v/>
      </c>
      <c r="F128" t="inlineStr">
        <is>
          <t>opening</t>
        </is>
      </c>
      <c r="G128">
        <f>IF(ElevCalc!$G$45*(ElevCalc!$G$3&lt;&gt;"DOOR ONLY"),(ElevCalc!$G$64+(ElevCalc!$G$60)*ElevCalc!$G$63),NA())</f>
        <v/>
      </c>
      <c r="H128">
        <f>IF(ElevCalc!$G$45*(ElevCalc!$G$3&lt;&gt;"DOOR ONLY"),((ElevCalc!$G$62)*ElevCalc!$G$63),NA())</f>
        <v/>
      </c>
      <c r="K128" t="inlineStr">
        <is>
          <t>opening</t>
        </is>
      </c>
      <c r="L128">
        <f>IF(ElevCalc!$L$45*(ElevCalc!$L$3&lt;&gt;"DOOR ONLY"),(ElevCalc!$L$64+(ElevCalc!$L$60)*ElevCalc!$L$63),NA())</f>
        <v/>
      </c>
      <c r="M128">
        <f>IF(ElevCalc!$L$45*(ElevCalc!$L$3&lt;&gt;"DOOR ONLY"),((ElevCalc!$L$62)*ElevCalc!$L$63),NA())</f>
        <v/>
      </c>
      <c r="P128" t="inlineStr">
        <is>
          <t>opening</t>
        </is>
      </c>
      <c r="Q128">
        <f>IF(ElevCalc!$Q$45*(ElevCalc!$Q$3&lt;&gt;"DOOR ONLY"),(ElevCalc!$Q$64+(ElevCalc!$Q$60)*ElevCalc!$Q$63),NA())</f>
        <v/>
      </c>
      <c r="R128">
        <f>IF(ElevCalc!$Q$45*(ElevCalc!$Q$3&lt;&gt;"DOOR ONLY"),((ElevCalc!$Q$62)*ElevCalc!$Q$63),NA())</f>
        <v/>
      </c>
      <c r="U128" t="inlineStr">
        <is>
          <t>opening</t>
        </is>
      </c>
      <c r="V128">
        <f>IF(ElevCalc!$V$45*(ElevCalc!$V$3&lt;&gt;"DOOR ONLY"),(ElevCalc!$V$64+(ElevCalc!$V$60)*ElevCalc!$V$63),NA())</f>
        <v/>
      </c>
      <c r="W128">
        <f>IF(ElevCalc!$V$45*(ElevCalc!$V$3&lt;&gt;"DOOR ONLY"),((ElevCalc!$V$62)*ElevCalc!$V$63),NA())</f>
        <v/>
      </c>
      <c r="Z128" t="inlineStr">
        <is>
          <t>opening</t>
        </is>
      </c>
      <c r="AA128">
        <f>IF(ElevCalc!$AA$45*(ElevCalc!$AA$3&lt;&gt;"DOOR ONLY"),(ElevCalc!$AA$64+(ElevCalc!$AA$60)*ElevCalc!$AA$63),NA())</f>
        <v/>
      </c>
      <c r="AB128">
        <f>IF(ElevCalc!$AA$45*(ElevCalc!$AA$3&lt;&gt;"DOOR ONLY"),((ElevCalc!$AA$62)*ElevCalc!$AA$63),NA())</f>
        <v/>
      </c>
      <c r="AE128" t="inlineStr">
        <is>
          <t>opening</t>
        </is>
      </c>
      <c r="AF128">
        <f>IF(ElevCalc!$AF$45*(ElevCalc!$AF$3&lt;&gt;"DOOR ONLY"),(ElevCalc!$AF$64+(ElevCalc!$AF$60)*ElevCalc!$AF$63),NA())</f>
        <v/>
      </c>
      <c r="AG128">
        <f>IF(ElevCalc!$AF$45*(ElevCalc!$AF$3&lt;&gt;"DOOR ONLY"),((ElevCalc!$AF$62)*ElevCalc!$AF$63),NA())</f>
        <v/>
      </c>
    </row>
    <row r="129">
      <c r="A129" t="inlineStr">
        <is>
          <t>opening</t>
        </is>
      </c>
      <c r="B129">
        <f>IF(ElevCalc!$B$45*(ElevCalc!$B$3&lt;&gt;"DOOR ONLY"),(ElevCalc!$B$64+(ElevCalc!$B$60)*ElevCalc!$B$63),NA())</f>
        <v/>
      </c>
      <c r="C129">
        <f>IF(ElevCalc!$B$45*(ElevCalc!$B$3&lt;&gt;"DOOR ONLY"),((ElevCalc!$B$61)*ElevCalc!$B$63),NA())</f>
        <v/>
      </c>
      <c r="F129" t="inlineStr">
        <is>
          <t>opening</t>
        </is>
      </c>
      <c r="G129">
        <f>IF(ElevCalc!$G$45*(ElevCalc!$G$3&lt;&gt;"DOOR ONLY"),(ElevCalc!$G$64+(ElevCalc!$G$60)*ElevCalc!$G$63),NA())</f>
        <v/>
      </c>
      <c r="H129">
        <f>IF(ElevCalc!$G$45*(ElevCalc!$G$3&lt;&gt;"DOOR ONLY"),((ElevCalc!$G$61)*ElevCalc!$G$63),NA())</f>
        <v/>
      </c>
      <c r="K129" t="inlineStr">
        <is>
          <t>opening</t>
        </is>
      </c>
      <c r="L129">
        <f>IF(ElevCalc!$L$45*(ElevCalc!$L$3&lt;&gt;"DOOR ONLY"),(ElevCalc!$L$64+(ElevCalc!$L$60)*ElevCalc!$L$63),NA())</f>
        <v/>
      </c>
      <c r="M129">
        <f>IF(ElevCalc!$L$45*(ElevCalc!$L$3&lt;&gt;"DOOR ONLY"),((ElevCalc!$L$61)*ElevCalc!$L$63),NA())</f>
        <v/>
      </c>
      <c r="P129" t="inlineStr">
        <is>
          <t>opening</t>
        </is>
      </c>
      <c r="Q129">
        <f>IF(ElevCalc!$Q$45*(ElevCalc!$Q$3&lt;&gt;"DOOR ONLY"),(ElevCalc!$Q$64+(ElevCalc!$Q$60)*ElevCalc!$Q$63),NA())</f>
        <v/>
      </c>
      <c r="R129">
        <f>IF(ElevCalc!$Q$45*(ElevCalc!$Q$3&lt;&gt;"DOOR ONLY"),((ElevCalc!$Q$61)*ElevCalc!$Q$63),NA())</f>
        <v/>
      </c>
      <c r="U129" t="inlineStr">
        <is>
          <t>opening</t>
        </is>
      </c>
      <c r="V129">
        <f>IF(ElevCalc!$V$45*(ElevCalc!$V$3&lt;&gt;"DOOR ONLY"),(ElevCalc!$V$64+(ElevCalc!$V$60)*ElevCalc!$V$63),NA())</f>
        <v/>
      </c>
      <c r="W129">
        <f>IF(ElevCalc!$V$45*(ElevCalc!$V$3&lt;&gt;"DOOR ONLY"),((ElevCalc!$V$61)*ElevCalc!$V$63),NA())</f>
        <v/>
      </c>
      <c r="Z129" t="inlineStr">
        <is>
          <t>opening</t>
        </is>
      </c>
      <c r="AA129">
        <f>IF(ElevCalc!$AA$45*(ElevCalc!$AA$3&lt;&gt;"DOOR ONLY"),(ElevCalc!$AA$64+(ElevCalc!$AA$60)*ElevCalc!$AA$63),NA())</f>
        <v/>
      </c>
      <c r="AB129">
        <f>IF(ElevCalc!$AA$45*(ElevCalc!$AA$3&lt;&gt;"DOOR ONLY"),((ElevCalc!$AA$61)*ElevCalc!$AA$63),NA())</f>
        <v/>
      </c>
      <c r="AE129" t="inlineStr">
        <is>
          <t>opening</t>
        </is>
      </c>
      <c r="AF129">
        <f>IF(ElevCalc!$AF$45*(ElevCalc!$AF$3&lt;&gt;"DOOR ONLY"),(ElevCalc!$AF$64+(ElevCalc!$AF$60)*ElevCalc!$AF$63),NA())</f>
        <v/>
      </c>
      <c r="AG129">
        <f>IF(ElevCalc!$AF$45*(ElevCalc!$AF$3&lt;&gt;"DOOR ONLY"),((ElevCalc!$AF$61)*ElevCalc!$AF$63),NA())</f>
        <v/>
      </c>
    </row>
    <row r="130">
      <c r="A130" t="inlineStr">
        <is>
          <t>opening</t>
        </is>
      </c>
      <c r="B130">
        <f>IF(ElevCalc!$B$45*(ElevCalc!$B$3&lt;&gt;"DOOR ONLY"),(ElevCalc!$B$64+(IF(ElevCalc!$B$51=1,ElevCalc!$B$59,ElevCalc!$B$60))*ElevCalc!$B$63),NA())</f>
        <v/>
      </c>
      <c r="C130">
        <f>IF(ElevCalc!$B$45*(ElevCalc!$B$3&lt;&gt;"DOOR ONLY"),((ElevCalc!$B$61)*ElevCalc!$B$63),NA())</f>
        <v/>
      </c>
      <c r="F130" t="inlineStr">
        <is>
          <t>opening</t>
        </is>
      </c>
      <c r="G130">
        <f>IF(ElevCalc!$G$45*(ElevCalc!$G$3&lt;&gt;"DOOR ONLY"),(ElevCalc!$G$64+(IF(ElevCalc!$G$51=1,ElevCalc!$G$59,ElevCalc!$G$60))*ElevCalc!$G$63),NA())</f>
        <v/>
      </c>
      <c r="H130">
        <f>IF(ElevCalc!$G$45*(ElevCalc!$G$3&lt;&gt;"DOOR ONLY"),((ElevCalc!$G$61)*ElevCalc!$G$63),NA())</f>
        <v/>
      </c>
      <c r="K130" t="inlineStr">
        <is>
          <t>opening</t>
        </is>
      </c>
      <c r="L130">
        <f>IF(ElevCalc!$L$45*(ElevCalc!$L$3&lt;&gt;"DOOR ONLY"),(ElevCalc!$L$64+(IF(ElevCalc!$L$51=1,ElevCalc!$L$59,ElevCalc!$L$60))*ElevCalc!$L$63),NA())</f>
        <v/>
      </c>
      <c r="M130">
        <f>IF(ElevCalc!$L$45*(ElevCalc!$L$3&lt;&gt;"DOOR ONLY"),((ElevCalc!$L$61)*ElevCalc!$L$63),NA())</f>
        <v/>
      </c>
      <c r="P130" t="inlineStr">
        <is>
          <t>opening</t>
        </is>
      </c>
      <c r="Q130">
        <f>IF(ElevCalc!$Q$45*(ElevCalc!$Q$3&lt;&gt;"DOOR ONLY"),(ElevCalc!$Q$64+(IF(ElevCalc!$Q$51=1,ElevCalc!$Q$59,ElevCalc!$Q$60))*ElevCalc!$Q$63),NA())</f>
        <v/>
      </c>
      <c r="R130">
        <f>IF(ElevCalc!$Q$45*(ElevCalc!$Q$3&lt;&gt;"DOOR ONLY"),((ElevCalc!$Q$61)*ElevCalc!$Q$63),NA())</f>
        <v/>
      </c>
      <c r="U130" t="inlineStr">
        <is>
          <t>opening</t>
        </is>
      </c>
      <c r="V130">
        <f>IF(ElevCalc!$V$45*(ElevCalc!$V$3&lt;&gt;"DOOR ONLY"),(ElevCalc!$V$64+(IF(ElevCalc!$V$51=1,ElevCalc!$V$59,ElevCalc!$V$60))*ElevCalc!$V$63),NA())</f>
        <v/>
      </c>
      <c r="W130">
        <f>IF(ElevCalc!$V$45*(ElevCalc!$V$3&lt;&gt;"DOOR ONLY"),((ElevCalc!$V$61)*ElevCalc!$V$63),NA())</f>
        <v/>
      </c>
      <c r="Z130" t="inlineStr">
        <is>
          <t>opening</t>
        </is>
      </c>
      <c r="AA130">
        <f>IF(ElevCalc!$AA$45*(ElevCalc!$AA$3&lt;&gt;"DOOR ONLY"),(ElevCalc!$AA$64+(IF(ElevCalc!$AA$51=1,ElevCalc!$AA$59,ElevCalc!$AA$60))*ElevCalc!$AA$63),NA())</f>
        <v/>
      </c>
      <c r="AB130">
        <f>IF(ElevCalc!$AA$45*(ElevCalc!$AA$3&lt;&gt;"DOOR ONLY"),((ElevCalc!$AA$61)*ElevCalc!$AA$63),NA())</f>
        <v/>
      </c>
      <c r="AE130" t="inlineStr">
        <is>
          <t>opening</t>
        </is>
      </c>
      <c r="AF130">
        <f>IF(ElevCalc!$AF$45*(ElevCalc!$AF$3&lt;&gt;"DOOR ONLY"),(ElevCalc!$AF$64+(IF(ElevCalc!$AF$51=1,ElevCalc!$AF$59,ElevCalc!$AF$60))*ElevCalc!$AF$63),NA())</f>
        <v/>
      </c>
      <c r="AG130">
        <f>IF(ElevCalc!$AF$45*(ElevCalc!$AF$3&lt;&gt;"DOOR ONLY"),((ElevCalc!$AF$61)*ElevCalc!$AF$63),NA())</f>
        <v/>
      </c>
    </row>
    <row r="132">
      <c r="A132" t="inlineStr">
        <is>
          <t>frame</t>
        </is>
      </c>
      <c r="B132">
        <f>IF(ElevCalc!$B$45*(ElevCalc!$B$3="DOOR ONLY"),(ElevCalc!$B$64+(0)*ElevCalc!$B$63),NA())</f>
        <v/>
      </c>
      <c r="C132">
        <f>IF(ElevCalc!$B$45*(ElevCalc!$B$3="DOOR ONLY"),((0)*ElevCalc!$B$63),NA())</f>
        <v/>
      </c>
      <c r="F132" t="inlineStr">
        <is>
          <t>frame</t>
        </is>
      </c>
      <c r="G132">
        <f>IF(ElevCalc!$G$45*(ElevCalc!$G$3="DOOR ONLY"),(ElevCalc!$G$64+(0)*ElevCalc!$G$63),NA())</f>
        <v/>
      </c>
      <c r="H132">
        <f>IF(ElevCalc!$G$45*(ElevCalc!$G$3="DOOR ONLY"),((0)*ElevCalc!$G$63),NA())</f>
        <v/>
      </c>
      <c r="K132" t="inlineStr">
        <is>
          <t>frame</t>
        </is>
      </c>
      <c r="L132">
        <f>IF(ElevCalc!$L$45*(ElevCalc!$L$3="DOOR ONLY"),(ElevCalc!$L$64+(0)*ElevCalc!$L$63),NA())</f>
        <v/>
      </c>
      <c r="M132">
        <f>IF(ElevCalc!$L$45*(ElevCalc!$L$3="DOOR ONLY"),((0)*ElevCalc!$L$63),NA())</f>
        <v/>
      </c>
      <c r="P132" t="inlineStr">
        <is>
          <t>frame</t>
        </is>
      </c>
      <c r="Q132">
        <f>IF(ElevCalc!$Q$45*(ElevCalc!$Q$3="DOOR ONLY"),(ElevCalc!$Q$64+(0)*ElevCalc!$Q$63),NA())</f>
        <v/>
      </c>
      <c r="R132">
        <f>IF(ElevCalc!$Q$45*(ElevCalc!$Q$3="DOOR ONLY"),((0)*ElevCalc!$Q$63),NA())</f>
        <v/>
      </c>
      <c r="U132" t="inlineStr">
        <is>
          <t>frame</t>
        </is>
      </c>
      <c r="V132">
        <f>IF(ElevCalc!$V$45*(ElevCalc!$V$3="DOOR ONLY"),(ElevCalc!$V$64+(0)*ElevCalc!$V$63),NA())</f>
        <v/>
      </c>
      <c r="W132">
        <f>IF(ElevCalc!$V$45*(ElevCalc!$V$3="DOOR ONLY"),((0)*ElevCalc!$V$63),NA())</f>
        <v/>
      </c>
      <c r="Z132" t="inlineStr">
        <is>
          <t>frame</t>
        </is>
      </c>
      <c r="AA132">
        <f>IF(ElevCalc!$AA$45*(ElevCalc!$AA$3="DOOR ONLY"),(ElevCalc!$AA$64+(0)*ElevCalc!$AA$63),NA())</f>
        <v/>
      </c>
      <c r="AB132">
        <f>IF(ElevCalc!$AA$45*(ElevCalc!$AA$3="DOOR ONLY"),((0)*ElevCalc!$AA$63),NA())</f>
        <v/>
      </c>
      <c r="AE132" t="inlineStr">
        <is>
          <t>frame</t>
        </is>
      </c>
      <c r="AF132">
        <f>IF(ElevCalc!$AF$45*(ElevCalc!$AF$3="DOOR ONLY"),(ElevCalc!$AF$64+(0)*ElevCalc!$AF$63),NA())</f>
        <v/>
      </c>
      <c r="AG132">
        <f>IF(ElevCalc!$AF$45*(ElevCalc!$AF$3="DOOR ONLY"),((0)*ElevCalc!$AF$63),NA())</f>
        <v/>
      </c>
    </row>
    <row r="133">
      <c r="A133" t="inlineStr">
        <is>
          <t>frame</t>
        </is>
      </c>
      <c r="B133">
        <f>IF(ElevCalc!$B$45*(ElevCalc!$B$3="DOOR ONLY"),(ElevCalc!$B$64+(0)*ElevCalc!$B$63),NA())</f>
        <v/>
      </c>
      <c r="C133">
        <f>IF(ElevCalc!$B$45*(ElevCalc!$B$3="DOOR ONLY"),((ElevCalc!$B$58)*ElevCalc!$B$63),NA())</f>
        <v/>
      </c>
      <c r="F133" t="inlineStr">
        <is>
          <t>frame</t>
        </is>
      </c>
      <c r="G133">
        <f>IF(ElevCalc!$G$45*(ElevCalc!$G$3="DOOR ONLY"),(ElevCalc!$G$64+(0)*ElevCalc!$G$63),NA())</f>
        <v/>
      </c>
      <c r="H133">
        <f>IF(ElevCalc!$G$45*(ElevCalc!$G$3="DOOR ONLY"),((ElevCalc!$G$58)*ElevCalc!$G$63),NA())</f>
        <v/>
      </c>
      <c r="K133" t="inlineStr">
        <is>
          <t>frame</t>
        </is>
      </c>
      <c r="L133">
        <f>IF(ElevCalc!$L$45*(ElevCalc!$L$3="DOOR ONLY"),(ElevCalc!$L$64+(0)*ElevCalc!$L$63),NA())</f>
        <v/>
      </c>
      <c r="M133">
        <f>IF(ElevCalc!$L$45*(ElevCalc!$L$3="DOOR ONLY"),((ElevCalc!$L$58)*ElevCalc!$L$63),NA())</f>
        <v/>
      </c>
      <c r="P133" t="inlineStr">
        <is>
          <t>frame</t>
        </is>
      </c>
      <c r="Q133">
        <f>IF(ElevCalc!$Q$45*(ElevCalc!$Q$3="DOOR ONLY"),(ElevCalc!$Q$64+(0)*ElevCalc!$Q$63),NA())</f>
        <v/>
      </c>
      <c r="R133">
        <f>IF(ElevCalc!$Q$45*(ElevCalc!$Q$3="DOOR ONLY"),((ElevCalc!$Q$58)*ElevCalc!$Q$63),NA())</f>
        <v/>
      </c>
      <c r="U133" t="inlineStr">
        <is>
          <t>frame</t>
        </is>
      </c>
      <c r="V133">
        <f>IF(ElevCalc!$V$45*(ElevCalc!$V$3="DOOR ONLY"),(ElevCalc!$V$64+(0)*ElevCalc!$V$63),NA())</f>
        <v/>
      </c>
      <c r="W133">
        <f>IF(ElevCalc!$V$45*(ElevCalc!$V$3="DOOR ONLY"),((ElevCalc!$V$58)*ElevCalc!$V$63),NA())</f>
        <v/>
      </c>
      <c r="Z133" t="inlineStr">
        <is>
          <t>frame</t>
        </is>
      </c>
      <c r="AA133">
        <f>IF(ElevCalc!$AA$45*(ElevCalc!$AA$3="DOOR ONLY"),(ElevCalc!$AA$64+(0)*ElevCalc!$AA$63),NA())</f>
        <v/>
      </c>
      <c r="AB133">
        <f>IF(ElevCalc!$AA$45*(ElevCalc!$AA$3="DOOR ONLY"),((ElevCalc!$AA$58)*ElevCalc!$AA$63),NA())</f>
        <v/>
      </c>
      <c r="AE133" t="inlineStr">
        <is>
          <t>frame</t>
        </is>
      </c>
      <c r="AF133">
        <f>IF(ElevCalc!$AF$45*(ElevCalc!$AF$3="DOOR ONLY"),(ElevCalc!$AF$64+(0)*ElevCalc!$AF$63),NA())</f>
        <v/>
      </c>
      <c r="AG133">
        <f>IF(ElevCalc!$AF$45*(ElevCalc!$AF$3="DOOR ONLY"),((ElevCalc!$AF$58)*ElevCalc!$AF$63),NA())</f>
        <v/>
      </c>
    </row>
    <row r="134">
      <c r="A134" t="inlineStr">
        <is>
          <t>frame</t>
        </is>
      </c>
      <c r="B134">
        <f>IF(ElevCalc!$B$45*(ElevCalc!$B$3="DOOR ONLY"),(ElevCalc!$B$64+(ElevCalc!$B$57)*ElevCalc!$B$63),NA())</f>
        <v/>
      </c>
      <c r="C134">
        <f>IF(ElevCalc!$B$45*(ElevCalc!$B$3="DOOR ONLY"),((ElevCalc!$B$58)*ElevCalc!$B$63),NA())</f>
        <v/>
      </c>
      <c r="F134" t="inlineStr">
        <is>
          <t>frame</t>
        </is>
      </c>
      <c r="G134">
        <f>IF(ElevCalc!$G$45*(ElevCalc!$G$3="DOOR ONLY"),(ElevCalc!$G$64+(ElevCalc!$G$57)*ElevCalc!$G$63),NA())</f>
        <v/>
      </c>
      <c r="H134">
        <f>IF(ElevCalc!$G$45*(ElevCalc!$G$3="DOOR ONLY"),((ElevCalc!$G$58)*ElevCalc!$G$63),NA())</f>
        <v/>
      </c>
      <c r="K134" t="inlineStr">
        <is>
          <t>frame</t>
        </is>
      </c>
      <c r="L134">
        <f>IF(ElevCalc!$L$45*(ElevCalc!$L$3="DOOR ONLY"),(ElevCalc!$L$64+(ElevCalc!$L$57)*ElevCalc!$L$63),NA())</f>
        <v/>
      </c>
      <c r="M134">
        <f>IF(ElevCalc!$L$45*(ElevCalc!$L$3="DOOR ONLY"),((ElevCalc!$L$58)*ElevCalc!$L$63),NA())</f>
        <v/>
      </c>
      <c r="P134" t="inlineStr">
        <is>
          <t>frame</t>
        </is>
      </c>
      <c r="Q134">
        <f>IF(ElevCalc!$Q$45*(ElevCalc!$Q$3="DOOR ONLY"),(ElevCalc!$Q$64+(ElevCalc!$Q$57)*ElevCalc!$Q$63),NA())</f>
        <v/>
      </c>
      <c r="R134">
        <f>IF(ElevCalc!$Q$45*(ElevCalc!$Q$3="DOOR ONLY"),((ElevCalc!$Q$58)*ElevCalc!$Q$63),NA())</f>
        <v/>
      </c>
      <c r="U134" t="inlineStr">
        <is>
          <t>frame</t>
        </is>
      </c>
      <c r="V134">
        <f>IF(ElevCalc!$V$45*(ElevCalc!$V$3="DOOR ONLY"),(ElevCalc!$V$64+(ElevCalc!$V$57)*ElevCalc!$V$63),NA())</f>
        <v/>
      </c>
      <c r="W134">
        <f>IF(ElevCalc!$V$45*(ElevCalc!$V$3="DOOR ONLY"),((ElevCalc!$V$58)*ElevCalc!$V$63),NA())</f>
        <v/>
      </c>
      <c r="Z134" t="inlineStr">
        <is>
          <t>frame</t>
        </is>
      </c>
      <c r="AA134">
        <f>IF(ElevCalc!$AA$45*(ElevCalc!$AA$3="DOOR ONLY"),(ElevCalc!$AA$64+(ElevCalc!$AA$57)*ElevCalc!$AA$63),NA())</f>
        <v/>
      </c>
      <c r="AB134">
        <f>IF(ElevCalc!$AA$45*(ElevCalc!$AA$3="DOOR ONLY"),((ElevCalc!$AA$58)*ElevCalc!$AA$63),NA())</f>
        <v/>
      </c>
      <c r="AE134" t="inlineStr">
        <is>
          <t>frame</t>
        </is>
      </c>
      <c r="AF134">
        <f>IF(ElevCalc!$AF$45*(ElevCalc!$AF$3="DOOR ONLY"),(ElevCalc!$AF$64+(ElevCalc!$AF$57)*ElevCalc!$AF$63),NA())</f>
        <v/>
      </c>
      <c r="AG134">
        <f>IF(ElevCalc!$AF$45*(ElevCalc!$AF$3="DOOR ONLY"),((ElevCalc!$AF$58)*ElevCalc!$AF$63),NA())</f>
        <v/>
      </c>
    </row>
    <row r="135">
      <c r="A135" t="inlineStr">
        <is>
          <t>frame</t>
        </is>
      </c>
      <c r="B135">
        <f>IF(ElevCalc!$B$45*(ElevCalc!$B$3="DOOR ONLY"),(ElevCalc!$B$64+(ElevCalc!$B$57)*ElevCalc!$B$63),NA())</f>
        <v/>
      </c>
      <c r="C135">
        <f>IF(ElevCalc!$B$45*(ElevCalc!$B$3="DOOR ONLY"),((0)*ElevCalc!$B$63),NA())</f>
        <v/>
      </c>
      <c r="F135" t="inlineStr">
        <is>
          <t>frame</t>
        </is>
      </c>
      <c r="G135">
        <f>IF(ElevCalc!$G$45*(ElevCalc!$G$3="DOOR ONLY"),(ElevCalc!$G$64+(ElevCalc!$G$57)*ElevCalc!$G$63),NA())</f>
        <v/>
      </c>
      <c r="H135">
        <f>IF(ElevCalc!$G$45*(ElevCalc!$G$3="DOOR ONLY"),((0)*ElevCalc!$G$63),NA())</f>
        <v/>
      </c>
      <c r="K135" t="inlineStr">
        <is>
          <t>frame</t>
        </is>
      </c>
      <c r="L135">
        <f>IF(ElevCalc!$L$45*(ElevCalc!$L$3="DOOR ONLY"),(ElevCalc!$L$64+(ElevCalc!$L$57)*ElevCalc!$L$63),NA())</f>
        <v/>
      </c>
      <c r="M135">
        <f>IF(ElevCalc!$L$45*(ElevCalc!$L$3="DOOR ONLY"),((0)*ElevCalc!$L$63),NA())</f>
        <v/>
      </c>
      <c r="P135" t="inlineStr">
        <is>
          <t>frame</t>
        </is>
      </c>
      <c r="Q135">
        <f>IF(ElevCalc!$Q$45*(ElevCalc!$Q$3="DOOR ONLY"),(ElevCalc!$Q$64+(ElevCalc!$Q$57)*ElevCalc!$Q$63),NA())</f>
        <v/>
      </c>
      <c r="R135">
        <f>IF(ElevCalc!$Q$45*(ElevCalc!$Q$3="DOOR ONLY"),((0)*ElevCalc!$Q$63),NA())</f>
        <v/>
      </c>
      <c r="U135" t="inlineStr">
        <is>
          <t>frame</t>
        </is>
      </c>
      <c r="V135">
        <f>IF(ElevCalc!$V$45*(ElevCalc!$V$3="DOOR ONLY"),(ElevCalc!$V$64+(ElevCalc!$V$57)*ElevCalc!$V$63),NA())</f>
        <v/>
      </c>
      <c r="W135">
        <f>IF(ElevCalc!$V$45*(ElevCalc!$V$3="DOOR ONLY"),((0)*ElevCalc!$V$63),NA())</f>
        <v/>
      </c>
      <c r="Z135" t="inlineStr">
        <is>
          <t>frame</t>
        </is>
      </c>
      <c r="AA135">
        <f>IF(ElevCalc!$AA$45*(ElevCalc!$AA$3="DOOR ONLY"),(ElevCalc!$AA$64+(ElevCalc!$AA$57)*ElevCalc!$AA$63),NA())</f>
        <v/>
      </c>
      <c r="AB135">
        <f>IF(ElevCalc!$AA$45*(ElevCalc!$AA$3="DOOR ONLY"),((0)*ElevCalc!$AA$63),NA())</f>
        <v/>
      </c>
      <c r="AE135" t="inlineStr">
        <is>
          <t>frame</t>
        </is>
      </c>
      <c r="AF135">
        <f>IF(ElevCalc!$AF$45*(ElevCalc!$AF$3="DOOR ONLY"),(ElevCalc!$AF$64+(ElevCalc!$AF$57)*ElevCalc!$AF$63),NA())</f>
        <v/>
      </c>
      <c r="AG135">
        <f>IF(ElevCalc!$AF$45*(ElevCalc!$AF$3="DOOR ONLY"),((0)*ElevCalc!$AF$63),NA())</f>
        <v/>
      </c>
    </row>
    <row r="136">
      <c r="A136" t="inlineStr">
        <is>
          <t>frame</t>
        </is>
      </c>
      <c r="B136">
        <f>IF(ElevCalc!$B$45*(ElevCalc!$B$3="DOOR ONLY"),(ElevCalc!$B$64+(IF(ElevCalc!$B$51=1,0,ElevCalc!$B$57))*ElevCalc!$B$63),NA())</f>
        <v/>
      </c>
      <c r="C136">
        <f>IF(ElevCalc!$B$45*(ElevCalc!$B$3="DOOR ONLY"),((0)*ElevCalc!$B$63),NA())</f>
        <v/>
      </c>
      <c r="F136" t="inlineStr">
        <is>
          <t>frame</t>
        </is>
      </c>
      <c r="G136">
        <f>IF(ElevCalc!$G$45*(ElevCalc!$G$3="DOOR ONLY"),(ElevCalc!$G$64+(IF(ElevCalc!$G$51=1,0,ElevCalc!$G$57))*ElevCalc!$G$63),NA())</f>
        <v/>
      </c>
      <c r="H136">
        <f>IF(ElevCalc!$G$45*(ElevCalc!$G$3="DOOR ONLY"),((0)*ElevCalc!$G$63),NA())</f>
        <v/>
      </c>
      <c r="K136" t="inlineStr">
        <is>
          <t>frame</t>
        </is>
      </c>
      <c r="L136">
        <f>IF(ElevCalc!$L$45*(ElevCalc!$L$3="DOOR ONLY"),(ElevCalc!$L$64+(IF(ElevCalc!$L$51=1,0,ElevCalc!$L$57))*ElevCalc!$L$63),NA())</f>
        <v/>
      </c>
      <c r="M136">
        <f>IF(ElevCalc!$L$45*(ElevCalc!$L$3="DOOR ONLY"),((0)*ElevCalc!$L$63),NA())</f>
        <v/>
      </c>
      <c r="P136" t="inlineStr">
        <is>
          <t>frame</t>
        </is>
      </c>
      <c r="Q136">
        <f>IF(ElevCalc!$Q$45*(ElevCalc!$Q$3="DOOR ONLY"),(ElevCalc!$Q$64+(IF(ElevCalc!$Q$51=1,0,ElevCalc!$Q$57))*ElevCalc!$Q$63),NA())</f>
        <v/>
      </c>
      <c r="R136">
        <f>IF(ElevCalc!$Q$45*(ElevCalc!$Q$3="DOOR ONLY"),((0)*ElevCalc!$Q$63),NA())</f>
        <v/>
      </c>
      <c r="U136" t="inlineStr">
        <is>
          <t>frame</t>
        </is>
      </c>
      <c r="V136">
        <f>IF(ElevCalc!$V$45*(ElevCalc!$V$3="DOOR ONLY"),(ElevCalc!$V$64+(IF(ElevCalc!$V$51=1,0,ElevCalc!$V$57))*ElevCalc!$V$63),NA())</f>
        <v/>
      </c>
      <c r="W136">
        <f>IF(ElevCalc!$V$45*(ElevCalc!$V$3="DOOR ONLY"),((0)*ElevCalc!$V$63),NA())</f>
        <v/>
      </c>
      <c r="Z136" t="inlineStr">
        <is>
          <t>frame</t>
        </is>
      </c>
      <c r="AA136">
        <f>IF(ElevCalc!$AA$45*(ElevCalc!$AA$3="DOOR ONLY"),(ElevCalc!$AA$64+(IF(ElevCalc!$AA$51=1,0,ElevCalc!$AA$57))*ElevCalc!$AA$63),NA())</f>
        <v/>
      </c>
      <c r="AB136">
        <f>IF(ElevCalc!$AA$45*(ElevCalc!$AA$3="DOOR ONLY"),((0)*ElevCalc!$AA$63),NA())</f>
        <v/>
      </c>
      <c r="AE136" t="inlineStr">
        <is>
          <t>frame</t>
        </is>
      </c>
      <c r="AF136">
        <f>IF(ElevCalc!$AF$45*(ElevCalc!$AF$3="DOOR ONLY"),(ElevCalc!$AF$64+(IF(ElevCalc!$AF$51=1,0,ElevCalc!$AF$57))*ElevCalc!$AF$63),NA())</f>
        <v/>
      </c>
      <c r="AG136">
        <f>IF(ElevCalc!$AF$45*(ElevCalc!$AF$3="DOOR ONLY"),((0)*ElevCalc!$AF$63),NA())</f>
        <v/>
      </c>
    </row>
    <row r="138">
      <c r="A138" t="inlineStr">
        <is>
          <t>opening</t>
        </is>
      </c>
      <c r="B138">
        <f>IF(ElevCalc!$B$45*(ElevCalc!$B$3="DOOR ONLY"),(ElevCalc!$B$64+(ElevCalc!$B$59)*ElevCalc!$B$63),NA())</f>
        <v/>
      </c>
      <c r="C138">
        <f>IF(ElevCalc!$B$45*(ElevCalc!$B$3="DOOR ONLY"),((ElevCalc!$B$61)*ElevCalc!$B$63),NA())</f>
        <v/>
      </c>
      <c r="F138" t="inlineStr">
        <is>
          <t>opening</t>
        </is>
      </c>
      <c r="G138">
        <f>IF(ElevCalc!$G$45*(ElevCalc!$G$3="DOOR ONLY"),(ElevCalc!$G$64+(ElevCalc!$G$59)*ElevCalc!$G$63),NA())</f>
        <v/>
      </c>
      <c r="H138">
        <f>IF(ElevCalc!$G$45*(ElevCalc!$G$3="DOOR ONLY"),((ElevCalc!$G$61)*ElevCalc!$G$63),NA())</f>
        <v/>
      </c>
      <c r="K138" t="inlineStr">
        <is>
          <t>opening</t>
        </is>
      </c>
      <c r="L138">
        <f>IF(ElevCalc!$L$45*(ElevCalc!$L$3="DOOR ONLY"),(ElevCalc!$L$64+(ElevCalc!$L$59)*ElevCalc!$L$63),NA())</f>
        <v/>
      </c>
      <c r="M138">
        <f>IF(ElevCalc!$L$45*(ElevCalc!$L$3="DOOR ONLY"),((ElevCalc!$L$61)*ElevCalc!$L$63),NA())</f>
        <v/>
      </c>
      <c r="P138" t="inlineStr">
        <is>
          <t>opening</t>
        </is>
      </c>
      <c r="Q138">
        <f>IF(ElevCalc!$Q$45*(ElevCalc!$Q$3="DOOR ONLY"),(ElevCalc!$Q$64+(ElevCalc!$Q$59)*ElevCalc!$Q$63),NA())</f>
        <v/>
      </c>
      <c r="R138">
        <f>IF(ElevCalc!$Q$45*(ElevCalc!$Q$3="DOOR ONLY"),((ElevCalc!$Q$61)*ElevCalc!$Q$63),NA())</f>
        <v/>
      </c>
      <c r="U138" t="inlineStr">
        <is>
          <t>opening</t>
        </is>
      </c>
      <c r="V138">
        <f>IF(ElevCalc!$V$45*(ElevCalc!$V$3="DOOR ONLY"),(ElevCalc!$V$64+(ElevCalc!$V$59)*ElevCalc!$V$63),NA())</f>
        <v/>
      </c>
      <c r="W138">
        <f>IF(ElevCalc!$V$45*(ElevCalc!$V$3="DOOR ONLY"),((ElevCalc!$V$61)*ElevCalc!$V$63),NA())</f>
        <v/>
      </c>
      <c r="Z138" t="inlineStr">
        <is>
          <t>opening</t>
        </is>
      </c>
      <c r="AA138">
        <f>IF(ElevCalc!$AA$45*(ElevCalc!$AA$3="DOOR ONLY"),(ElevCalc!$AA$64+(ElevCalc!$AA$59)*ElevCalc!$AA$63),NA())</f>
        <v/>
      </c>
      <c r="AB138">
        <f>IF(ElevCalc!$AA$45*(ElevCalc!$AA$3="DOOR ONLY"),((ElevCalc!$AA$61)*ElevCalc!$AA$63),NA())</f>
        <v/>
      </c>
      <c r="AE138" t="inlineStr">
        <is>
          <t>opening</t>
        </is>
      </c>
      <c r="AF138">
        <f>IF(ElevCalc!$AF$45*(ElevCalc!$AF$3="DOOR ONLY"),(ElevCalc!$AF$64+(ElevCalc!$AF$59)*ElevCalc!$AF$63),NA())</f>
        <v/>
      </c>
      <c r="AG138">
        <f>IF(ElevCalc!$AF$45*(ElevCalc!$AF$3="DOOR ONLY"),((ElevCalc!$AF$61)*ElevCalc!$AF$63),NA())</f>
        <v/>
      </c>
    </row>
    <row r="139">
      <c r="A139" t="inlineStr">
        <is>
          <t>opening</t>
        </is>
      </c>
      <c r="B139">
        <f>IF(ElevCalc!$B$45*(ElevCalc!$B$3="DOOR ONLY"),(ElevCalc!$B$64+(ElevCalc!$B$59)*ElevCalc!$B$63),NA())</f>
        <v/>
      </c>
      <c r="C139">
        <f>IF(ElevCalc!$B$45*(ElevCalc!$B$3="DOOR ONLY"),((ElevCalc!$B$62)*ElevCalc!$B$63),NA())</f>
        <v/>
      </c>
      <c r="F139" t="inlineStr">
        <is>
          <t>opening</t>
        </is>
      </c>
      <c r="G139">
        <f>IF(ElevCalc!$G$45*(ElevCalc!$G$3="DOOR ONLY"),(ElevCalc!$G$64+(ElevCalc!$G$59)*ElevCalc!$G$63),NA())</f>
        <v/>
      </c>
      <c r="H139">
        <f>IF(ElevCalc!$G$45*(ElevCalc!$G$3="DOOR ONLY"),((ElevCalc!$G$62)*ElevCalc!$G$63),NA())</f>
        <v/>
      </c>
      <c r="K139" t="inlineStr">
        <is>
          <t>opening</t>
        </is>
      </c>
      <c r="L139">
        <f>IF(ElevCalc!$L$45*(ElevCalc!$L$3="DOOR ONLY"),(ElevCalc!$L$64+(ElevCalc!$L$59)*ElevCalc!$L$63),NA())</f>
        <v/>
      </c>
      <c r="M139">
        <f>IF(ElevCalc!$L$45*(ElevCalc!$L$3="DOOR ONLY"),((ElevCalc!$L$62)*ElevCalc!$L$63),NA())</f>
        <v/>
      </c>
      <c r="P139" t="inlineStr">
        <is>
          <t>opening</t>
        </is>
      </c>
      <c r="Q139">
        <f>IF(ElevCalc!$Q$45*(ElevCalc!$Q$3="DOOR ONLY"),(ElevCalc!$Q$64+(ElevCalc!$Q$59)*ElevCalc!$Q$63),NA())</f>
        <v/>
      </c>
      <c r="R139">
        <f>IF(ElevCalc!$Q$45*(ElevCalc!$Q$3="DOOR ONLY"),((ElevCalc!$Q$62)*ElevCalc!$Q$63),NA())</f>
        <v/>
      </c>
      <c r="U139" t="inlineStr">
        <is>
          <t>opening</t>
        </is>
      </c>
      <c r="V139">
        <f>IF(ElevCalc!$V$45*(ElevCalc!$V$3="DOOR ONLY"),(ElevCalc!$V$64+(ElevCalc!$V$59)*ElevCalc!$V$63),NA())</f>
        <v/>
      </c>
      <c r="W139">
        <f>IF(ElevCalc!$V$45*(ElevCalc!$V$3="DOOR ONLY"),((ElevCalc!$V$62)*ElevCalc!$V$63),NA())</f>
        <v/>
      </c>
      <c r="Z139" t="inlineStr">
        <is>
          <t>opening</t>
        </is>
      </c>
      <c r="AA139">
        <f>IF(ElevCalc!$AA$45*(ElevCalc!$AA$3="DOOR ONLY"),(ElevCalc!$AA$64+(ElevCalc!$AA$59)*ElevCalc!$AA$63),NA())</f>
        <v/>
      </c>
      <c r="AB139">
        <f>IF(ElevCalc!$AA$45*(ElevCalc!$AA$3="DOOR ONLY"),((ElevCalc!$AA$62)*ElevCalc!$AA$63),NA())</f>
        <v/>
      </c>
      <c r="AE139" t="inlineStr">
        <is>
          <t>opening</t>
        </is>
      </c>
      <c r="AF139">
        <f>IF(ElevCalc!$AF$45*(ElevCalc!$AF$3="DOOR ONLY"),(ElevCalc!$AF$64+(ElevCalc!$AF$59)*ElevCalc!$AF$63),NA())</f>
        <v/>
      </c>
      <c r="AG139">
        <f>IF(ElevCalc!$AF$45*(ElevCalc!$AF$3="DOOR ONLY"),((ElevCalc!$AF$62)*ElevCalc!$AF$63),NA())</f>
        <v/>
      </c>
    </row>
    <row r="140">
      <c r="A140" t="inlineStr">
        <is>
          <t>opening</t>
        </is>
      </c>
      <c r="B140">
        <f>IF(ElevCalc!$B$45*(ElevCalc!$B$3="DOOR ONLY"),(ElevCalc!$B$64+(ElevCalc!$B$60)*ElevCalc!$B$63),NA())</f>
        <v/>
      </c>
      <c r="C140">
        <f>IF(ElevCalc!$B$45*(ElevCalc!$B$3="DOOR ONLY"),((ElevCalc!$B$62)*ElevCalc!$B$63),NA())</f>
        <v/>
      </c>
      <c r="F140" t="inlineStr">
        <is>
          <t>opening</t>
        </is>
      </c>
      <c r="G140">
        <f>IF(ElevCalc!$G$45*(ElevCalc!$G$3="DOOR ONLY"),(ElevCalc!$G$64+(ElevCalc!$G$60)*ElevCalc!$G$63),NA())</f>
        <v/>
      </c>
      <c r="H140">
        <f>IF(ElevCalc!$G$45*(ElevCalc!$G$3="DOOR ONLY"),((ElevCalc!$G$62)*ElevCalc!$G$63),NA())</f>
        <v/>
      </c>
      <c r="K140" t="inlineStr">
        <is>
          <t>opening</t>
        </is>
      </c>
      <c r="L140">
        <f>IF(ElevCalc!$L$45*(ElevCalc!$L$3="DOOR ONLY"),(ElevCalc!$L$64+(ElevCalc!$L$60)*ElevCalc!$L$63),NA())</f>
        <v/>
      </c>
      <c r="M140">
        <f>IF(ElevCalc!$L$45*(ElevCalc!$L$3="DOOR ONLY"),((ElevCalc!$L$62)*ElevCalc!$L$63),NA())</f>
        <v/>
      </c>
      <c r="P140" t="inlineStr">
        <is>
          <t>opening</t>
        </is>
      </c>
      <c r="Q140">
        <f>IF(ElevCalc!$Q$45*(ElevCalc!$Q$3="DOOR ONLY"),(ElevCalc!$Q$64+(ElevCalc!$Q$60)*ElevCalc!$Q$63),NA())</f>
        <v/>
      </c>
      <c r="R140">
        <f>IF(ElevCalc!$Q$45*(ElevCalc!$Q$3="DOOR ONLY"),((ElevCalc!$Q$62)*ElevCalc!$Q$63),NA())</f>
        <v/>
      </c>
      <c r="U140" t="inlineStr">
        <is>
          <t>opening</t>
        </is>
      </c>
      <c r="V140">
        <f>IF(ElevCalc!$V$45*(ElevCalc!$V$3="DOOR ONLY"),(ElevCalc!$V$64+(ElevCalc!$V$60)*ElevCalc!$V$63),NA())</f>
        <v/>
      </c>
      <c r="W140">
        <f>IF(ElevCalc!$V$45*(ElevCalc!$V$3="DOOR ONLY"),((ElevCalc!$V$62)*ElevCalc!$V$63),NA())</f>
        <v/>
      </c>
      <c r="Z140" t="inlineStr">
        <is>
          <t>opening</t>
        </is>
      </c>
      <c r="AA140">
        <f>IF(ElevCalc!$AA$45*(ElevCalc!$AA$3="DOOR ONLY"),(ElevCalc!$AA$64+(ElevCalc!$AA$60)*ElevCalc!$AA$63),NA())</f>
        <v/>
      </c>
      <c r="AB140">
        <f>IF(ElevCalc!$AA$45*(ElevCalc!$AA$3="DOOR ONLY"),((ElevCalc!$AA$62)*ElevCalc!$AA$63),NA())</f>
        <v/>
      </c>
      <c r="AE140" t="inlineStr">
        <is>
          <t>opening</t>
        </is>
      </c>
      <c r="AF140">
        <f>IF(ElevCalc!$AF$45*(ElevCalc!$AF$3="DOOR ONLY"),(ElevCalc!$AF$64+(ElevCalc!$AF$60)*ElevCalc!$AF$63),NA())</f>
        <v/>
      </c>
      <c r="AG140">
        <f>IF(ElevCalc!$AF$45*(ElevCalc!$AF$3="DOOR ONLY"),((ElevCalc!$AF$62)*ElevCalc!$AF$63),NA())</f>
        <v/>
      </c>
    </row>
    <row r="141">
      <c r="A141" t="inlineStr">
        <is>
          <t>opening</t>
        </is>
      </c>
      <c r="B141">
        <f>IF(ElevCalc!$B$45*(ElevCalc!$B$3="DOOR ONLY"),(ElevCalc!$B$64+(ElevCalc!$B$60)*ElevCalc!$B$63),NA())</f>
        <v/>
      </c>
      <c r="C141">
        <f>IF(ElevCalc!$B$45*(ElevCalc!$B$3="DOOR ONLY"),((ElevCalc!$B$61)*ElevCalc!$B$63),NA())</f>
        <v/>
      </c>
      <c r="F141" t="inlineStr">
        <is>
          <t>opening</t>
        </is>
      </c>
      <c r="G141">
        <f>IF(ElevCalc!$G$45*(ElevCalc!$G$3="DOOR ONLY"),(ElevCalc!$G$64+(ElevCalc!$G$60)*ElevCalc!$G$63),NA())</f>
        <v/>
      </c>
      <c r="H141">
        <f>IF(ElevCalc!$G$45*(ElevCalc!$G$3="DOOR ONLY"),((ElevCalc!$G$61)*ElevCalc!$G$63),NA())</f>
        <v/>
      </c>
      <c r="K141" t="inlineStr">
        <is>
          <t>opening</t>
        </is>
      </c>
      <c r="L141">
        <f>IF(ElevCalc!$L$45*(ElevCalc!$L$3="DOOR ONLY"),(ElevCalc!$L$64+(ElevCalc!$L$60)*ElevCalc!$L$63),NA())</f>
        <v/>
      </c>
      <c r="M141">
        <f>IF(ElevCalc!$L$45*(ElevCalc!$L$3="DOOR ONLY"),((ElevCalc!$L$61)*ElevCalc!$L$63),NA())</f>
        <v/>
      </c>
      <c r="P141" t="inlineStr">
        <is>
          <t>opening</t>
        </is>
      </c>
      <c r="Q141">
        <f>IF(ElevCalc!$Q$45*(ElevCalc!$Q$3="DOOR ONLY"),(ElevCalc!$Q$64+(ElevCalc!$Q$60)*ElevCalc!$Q$63),NA())</f>
        <v/>
      </c>
      <c r="R141">
        <f>IF(ElevCalc!$Q$45*(ElevCalc!$Q$3="DOOR ONLY"),((ElevCalc!$Q$61)*ElevCalc!$Q$63),NA())</f>
        <v/>
      </c>
      <c r="U141" t="inlineStr">
        <is>
          <t>opening</t>
        </is>
      </c>
      <c r="V141">
        <f>IF(ElevCalc!$V$45*(ElevCalc!$V$3="DOOR ONLY"),(ElevCalc!$V$64+(ElevCalc!$V$60)*ElevCalc!$V$63),NA())</f>
        <v/>
      </c>
      <c r="W141">
        <f>IF(ElevCalc!$V$45*(ElevCalc!$V$3="DOOR ONLY"),((ElevCalc!$V$61)*ElevCalc!$V$63),NA())</f>
        <v/>
      </c>
      <c r="Z141" t="inlineStr">
        <is>
          <t>opening</t>
        </is>
      </c>
      <c r="AA141">
        <f>IF(ElevCalc!$AA$45*(ElevCalc!$AA$3="DOOR ONLY"),(ElevCalc!$AA$64+(ElevCalc!$AA$60)*ElevCalc!$AA$63),NA())</f>
        <v/>
      </c>
      <c r="AB141">
        <f>IF(ElevCalc!$AA$45*(ElevCalc!$AA$3="DOOR ONLY"),((ElevCalc!$AA$61)*ElevCalc!$AA$63),NA())</f>
        <v/>
      </c>
      <c r="AE141" t="inlineStr">
        <is>
          <t>opening</t>
        </is>
      </c>
      <c r="AF141">
        <f>IF(ElevCalc!$AF$45*(ElevCalc!$AF$3="DOOR ONLY"),(ElevCalc!$AF$64+(ElevCalc!$AF$60)*ElevCalc!$AF$63),NA())</f>
        <v/>
      </c>
      <c r="AG141">
        <f>IF(ElevCalc!$AF$45*(ElevCalc!$AF$3="DOOR ONLY"),((ElevCalc!$AF$61)*ElevCalc!$AF$63),NA())</f>
        <v/>
      </c>
    </row>
    <row r="142">
      <c r="A142" t="inlineStr">
        <is>
          <t>opening</t>
        </is>
      </c>
      <c r="B142">
        <f>IF(ElevCalc!$B$45*(ElevCalc!$B$3="DOOR ONLY"),(ElevCalc!$B$64+(IF(ElevCalc!$B$51=1,ElevCalc!$B$59,ElevCalc!$B$60))*ElevCalc!$B$63),NA())</f>
        <v/>
      </c>
      <c r="C142">
        <f>IF(ElevCalc!$B$45*(ElevCalc!$B$3="DOOR ONLY"),((ElevCalc!$B$61)*ElevCalc!$B$63),NA())</f>
        <v/>
      </c>
      <c r="F142" t="inlineStr">
        <is>
          <t>opening</t>
        </is>
      </c>
      <c r="G142">
        <f>IF(ElevCalc!$G$45*(ElevCalc!$G$3="DOOR ONLY"),(ElevCalc!$G$64+(IF(ElevCalc!$G$51=1,ElevCalc!$G$59,ElevCalc!$G$60))*ElevCalc!$G$63),NA())</f>
        <v/>
      </c>
      <c r="H142">
        <f>IF(ElevCalc!$G$45*(ElevCalc!$G$3="DOOR ONLY"),((ElevCalc!$G$61)*ElevCalc!$G$63),NA())</f>
        <v/>
      </c>
      <c r="K142" t="inlineStr">
        <is>
          <t>opening</t>
        </is>
      </c>
      <c r="L142">
        <f>IF(ElevCalc!$L$45*(ElevCalc!$L$3="DOOR ONLY"),(ElevCalc!$L$64+(IF(ElevCalc!$L$51=1,ElevCalc!$L$59,ElevCalc!$L$60))*ElevCalc!$L$63),NA())</f>
        <v/>
      </c>
      <c r="M142">
        <f>IF(ElevCalc!$L$45*(ElevCalc!$L$3="DOOR ONLY"),((ElevCalc!$L$61)*ElevCalc!$L$63),NA())</f>
        <v/>
      </c>
      <c r="P142" t="inlineStr">
        <is>
          <t>opening</t>
        </is>
      </c>
      <c r="Q142">
        <f>IF(ElevCalc!$Q$45*(ElevCalc!$Q$3="DOOR ONLY"),(ElevCalc!$Q$64+(IF(ElevCalc!$Q$51=1,ElevCalc!$Q$59,ElevCalc!$Q$60))*ElevCalc!$Q$63),NA())</f>
        <v/>
      </c>
      <c r="R142">
        <f>IF(ElevCalc!$Q$45*(ElevCalc!$Q$3="DOOR ONLY"),((ElevCalc!$Q$61)*ElevCalc!$Q$63),NA())</f>
        <v/>
      </c>
      <c r="U142" t="inlineStr">
        <is>
          <t>opening</t>
        </is>
      </c>
      <c r="V142">
        <f>IF(ElevCalc!$V$45*(ElevCalc!$V$3="DOOR ONLY"),(ElevCalc!$V$64+(IF(ElevCalc!$V$51=1,ElevCalc!$V$59,ElevCalc!$V$60))*ElevCalc!$V$63),NA())</f>
        <v/>
      </c>
      <c r="W142">
        <f>IF(ElevCalc!$V$45*(ElevCalc!$V$3="DOOR ONLY"),((ElevCalc!$V$61)*ElevCalc!$V$63),NA())</f>
        <v/>
      </c>
      <c r="Z142" t="inlineStr">
        <is>
          <t>opening</t>
        </is>
      </c>
      <c r="AA142">
        <f>IF(ElevCalc!$AA$45*(ElevCalc!$AA$3="DOOR ONLY"),(ElevCalc!$AA$64+(IF(ElevCalc!$AA$51=1,ElevCalc!$AA$59,ElevCalc!$AA$60))*ElevCalc!$AA$63),NA())</f>
        <v/>
      </c>
      <c r="AB142">
        <f>IF(ElevCalc!$AA$45*(ElevCalc!$AA$3="DOOR ONLY"),((ElevCalc!$AA$61)*ElevCalc!$AA$63),NA())</f>
        <v/>
      </c>
      <c r="AE142" t="inlineStr">
        <is>
          <t>opening</t>
        </is>
      </c>
      <c r="AF142">
        <f>IF(ElevCalc!$AF$45*(ElevCalc!$AF$3="DOOR ONLY"),(ElevCalc!$AF$64+(IF(ElevCalc!$AF$51=1,ElevCalc!$AF$59,ElevCalc!$AF$60))*ElevCalc!$AF$63),NA())</f>
        <v/>
      </c>
      <c r="AG142">
        <f>IF(ElevCalc!$AF$45*(ElevCalc!$AF$3="DOOR ONLY"),((ElevCalc!$AF$61)*ElevCalc!$AF$63),NA())</f>
        <v/>
      </c>
    </row>
    <row r="144">
      <c r="A144" t="inlineStr">
        <is>
          <t>transom</t>
        </is>
      </c>
      <c r="B144">
        <f>IF(ElevCalc!$B$45*(ElevCalc!$B$53&gt;0),(ElevCalc!$B$64+(ElevCalc!$B$59)*ElevCalc!$B$63),NA())</f>
        <v/>
      </c>
      <c r="C144">
        <f>IF(ElevCalc!$B$45*(ElevCalc!$B$53&gt;0),((ElevCalc!$B$62+ElevCalc!$B$50)*ElevCalc!$B$63),NA())</f>
        <v/>
      </c>
      <c r="F144" t="inlineStr">
        <is>
          <t>transom</t>
        </is>
      </c>
      <c r="G144">
        <f>IF(ElevCalc!$G$45*(ElevCalc!$G$53&gt;0),(ElevCalc!$G$64+(ElevCalc!$G$59)*ElevCalc!$G$63),NA())</f>
        <v/>
      </c>
      <c r="H144">
        <f>IF(ElevCalc!$G$45*(ElevCalc!$G$53&gt;0),((ElevCalc!$G$62+ElevCalc!$G$50)*ElevCalc!$G$63),NA())</f>
        <v/>
      </c>
      <c r="K144" t="inlineStr">
        <is>
          <t>transom</t>
        </is>
      </c>
      <c r="L144">
        <f>IF(ElevCalc!$L$45*(ElevCalc!$L$53&gt;0),(ElevCalc!$L$64+(ElevCalc!$L$59)*ElevCalc!$L$63),NA())</f>
        <v/>
      </c>
      <c r="M144">
        <f>IF(ElevCalc!$L$45*(ElevCalc!$L$53&gt;0),((ElevCalc!$L$62+ElevCalc!$L$50)*ElevCalc!$L$63),NA())</f>
        <v/>
      </c>
      <c r="P144" t="inlineStr">
        <is>
          <t>transom</t>
        </is>
      </c>
      <c r="Q144">
        <f>IF(ElevCalc!$Q$45*(ElevCalc!$Q$53&gt;0),(ElevCalc!$Q$64+(ElevCalc!$Q$59)*ElevCalc!$Q$63),NA())</f>
        <v/>
      </c>
      <c r="R144">
        <f>IF(ElevCalc!$Q$45*(ElevCalc!$Q$53&gt;0),((ElevCalc!$Q$62+ElevCalc!$Q$50)*ElevCalc!$Q$63),NA())</f>
        <v/>
      </c>
      <c r="U144" t="inlineStr">
        <is>
          <t>transom</t>
        </is>
      </c>
      <c r="V144">
        <f>IF(ElevCalc!$V$45*(ElevCalc!$V$53&gt;0),(ElevCalc!$V$64+(ElevCalc!$V$59)*ElevCalc!$V$63),NA())</f>
        <v/>
      </c>
      <c r="W144">
        <f>IF(ElevCalc!$V$45*(ElevCalc!$V$53&gt;0),((ElevCalc!$V$62+ElevCalc!$V$50)*ElevCalc!$V$63),NA())</f>
        <v/>
      </c>
      <c r="Z144" t="inlineStr">
        <is>
          <t>transom</t>
        </is>
      </c>
      <c r="AA144">
        <f>IF(ElevCalc!$AA$45*(ElevCalc!$AA$53&gt;0),(ElevCalc!$AA$64+(ElevCalc!$AA$59)*ElevCalc!$AA$63),NA())</f>
        <v/>
      </c>
      <c r="AB144">
        <f>IF(ElevCalc!$AA$45*(ElevCalc!$AA$53&gt;0),((ElevCalc!$AA$62+ElevCalc!$AA$50)*ElevCalc!$AA$63),NA())</f>
        <v/>
      </c>
      <c r="AE144" t="inlineStr">
        <is>
          <t>transom</t>
        </is>
      </c>
      <c r="AF144">
        <f>IF(ElevCalc!$AF$45*(ElevCalc!$AF$53&gt;0),(ElevCalc!$AF$64+(ElevCalc!$AF$59)*ElevCalc!$AF$63),NA())</f>
        <v/>
      </c>
      <c r="AG144">
        <f>IF(ElevCalc!$AF$45*(ElevCalc!$AF$53&gt;0),((ElevCalc!$AF$62+ElevCalc!$AF$50)*ElevCalc!$AF$63),NA())</f>
        <v/>
      </c>
    </row>
    <row r="145">
      <c r="A145" t="inlineStr">
        <is>
          <t>transom</t>
        </is>
      </c>
      <c r="B145">
        <f>IF(ElevCalc!$B$45*(ElevCalc!$B$53&gt;0),(ElevCalc!$B$64+(ElevCalc!$B$59)*ElevCalc!$B$63),NA())</f>
        <v/>
      </c>
      <c r="C145">
        <f>IF(ElevCalc!$B$45*(ElevCalc!$B$53&gt;0),((ElevCalc!$B$62+ElevCalc!$B$50+ElevCalc!$B$53)*ElevCalc!$B$63),NA())</f>
        <v/>
      </c>
      <c r="F145" t="inlineStr">
        <is>
          <t>transom</t>
        </is>
      </c>
      <c r="G145">
        <f>IF(ElevCalc!$G$45*(ElevCalc!$G$53&gt;0),(ElevCalc!$G$64+(ElevCalc!$G$59)*ElevCalc!$G$63),NA())</f>
        <v/>
      </c>
      <c r="H145">
        <f>IF(ElevCalc!$G$45*(ElevCalc!$G$53&gt;0),((ElevCalc!$G$62+ElevCalc!$G$50+ElevCalc!$G$53)*ElevCalc!$G$63),NA())</f>
        <v/>
      </c>
      <c r="K145" t="inlineStr">
        <is>
          <t>transom</t>
        </is>
      </c>
      <c r="L145">
        <f>IF(ElevCalc!$L$45*(ElevCalc!$L$53&gt;0),(ElevCalc!$L$64+(ElevCalc!$L$59)*ElevCalc!$L$63),NA())</f>
        <v/>
      </c>
      <c r="M145">
        <f>IF(ElevCalc!$L$45*(ElevCalc!$L$53&gt;0),((ElevCalc!$L$62+ElevCalc!$L$50+ElevCalc!$L$53)*ElevCalc!$L$63),NA())</f>
        <v/>
      </c>
      <c r="P145" t="inlineStr">
        <is>
          <t>transom</t>
        </is>
      </c>
      <c r="Q145">
        <f>IF(ElevCalc!$Q$45*(ElevCalc!$Q$53&gt;0),(ElevCalc!$Q$64+(ElevCalc!$Q$59)*ElevCalc!$Q$63),NA())</f>
        <v/>
      </c>
      <c r="R145">
        <f>IF(ElevCalc!$Q$45*(ElevCalc!$Q$53&gt;0),((ElevCalc!$Q$62+ElevCalc!$Q$50+ElevCalc!$Q$53)*ElevCalc!$Q$63),NA())</f>
        <v/>
      </c>
      <c r="U145" t="inlineStr">
        <is>
          <t>transom</t>
        </is>
      </c>
      <c r="V145">
        <f>IF(ElevCalc!$V$45*(ElevCalc!$V$53&gt;0),(ElevCalc!$V$64+(ElevCalc!$V$59)*ElevCalc!$V$63),NA())</f>
        <v/>
      </c>
      <c r="W145">
        <f>IF(ElevCalc!$V$45*(ElevCalc!$V$53&gt;0),((ElevCalc!$V$62+ElevCalc!$V$50+ElevCalc!$V$53)*ElevCalc!$V$63),NA())</f>
        <v/>
      </c>
      <c r="Z145" t="inlineStr">
        <is>
          <t>transom</t>
        </is>
      </c>
      <c r="AA145">
        <f>IF(ElevCalc!$AA$45*(ElevCalc!$AA$53&gt;0),(ElevCalc!$AA$64+(ElevCalc!$AA$59)*ElevCalc!$AA$63),NA())</f>
        <v/>
      </c>
      <c r="AB145">
        <f>IF(ElevCalc!$AA$45*(ElevCalc!$AA$53&gt;0),((ElevCalc!$AA$62+ElevCalc!$AA$50+ElevCalc!$AA$53)*ElevCalc!$AA$63),NA())</f>
        <v/>
      </c>
      <c r="AE145" t="inlineStr">
        <is>
          <t>transom</t>
        </is>
      </c>
      <c r="AF145">
        <f>IF(ElevCalc!$AF$45*(ElevCalc!$AF$53&gt;0),(ElevCalc!$AF$64+(ElevCalc!$AF$59)*ElevCalc!$AF$63),NA())</f>
        <v/>
      </c>
      <c r="AG145">
        <f>IF(ElevCalc!$AF$45*(ElevCalc!$AF$53&gt;0),((ElevCalc!$AF$62+ElevCalc!$AF$50+ElevCalc!$AF$53)*ElevCalc!$AF$63),NA())</f>
        <v/>
      </c>
    </row>
    <row r="146">
      <c r="A146" t="inlineStr">
        <is>
          <t>transom</t>
        </is>
      </c>
      <c r="B146">
        <f>IF(ElevCalc!$B$45*(ElevCalc!$B$53&gt;0),(ElevCalc!$B$64+(ElevCalc!$B$60)*ElevCalc!$B$63),NA())</f>
        <v/>
      </c>
      <c r="C146">
        <f>IF(ElevCalc!$B$45*(ElevCalc!$B$53&gt;0),((ElevCalc!$B$62+ElevCalc!$B$50+ElevCalc!$B$53)*ElevCalc!$B$63),NA())</f>
        <v/>
      </c>
      <c r="F146" t="inlineStr">
        <is>
          <t>transom</t>
        </is>
      </c>
      <c r="G146">
        <f>IF(ElevCalc!$G$45*(ElevCalc!$G$53&gt;0),(ElevCalc!$G$64+(ElevCalc!$G$60)*ElevCalc!$G$63),NA())</f>
        <v/>
      </c>
      <c r="H146">
        <f>IF(ElevCalc!$G$45*(ElevCalc!$G$53&gt;0),((ElevCalc!$G$62+ElevCalc!$G$50+ElevCalc!$G$53)*ElevCalc!$G$63),NA())</f>
        <v/>
      </c>
      <c r="K146" t="inlineStr">
        <is>
          <t>transom</t>
        </is>
      </c>
      <c r="L146">
        <f>IF(ElevCalc!$L$45*(ElevCalc!$L$53&gt;0),(ElevCalc!$L$64+(ElevCalc!$L$60)*ElevCalc!$L$63),NA())</f>
        <v/>
      </c>
      <c r="M146">
        <f>IF(ElevCalc!$L$45*(ElevCalc!$L$53&gt;0),((ElevCalc!$L$62+ElevCalc!$L$50+ElevCalc!$L$53)*ElevCalc!$L$63),NA())</f>
        <v/>
      </c>
      <c r="P146" t="inlineStr">
        <is>
          <t>transom</t>
        </is>
      </c>
      <c r="Q146">
        <f>IF(ElevCalc!$Q$45*(ElevCalc!$Q$53&gt;0),(ElevCalc!$Q$64+(ElevCalc!$Q$60)*ElevCalc!$Q$63),NA())</f>
        <v/>
      </c>
      <c r="R146">
        <f>IF(ElevCalc!$Q$45*(ElevCalc!$Q$53&gt;0),((ElevCalc!$Q$62+ElevCalc!$Q$50+ElevCalc!$Q$53)*ElevCalc!$Q$63),NA())</f>
        <v/>
      </c>
      <c r="U146" t="inlineStr">
        <is>
          <t>transom</t>
        </is>
      </c>
      <c r="V146">
        <f>IF(ElevCalc!$V$45*(ElevCalc!$V$53&gt;0),(ElevCalc!$V$64+(ElevCalc!$V$60)*ElevCalc!$V$63),NA())</f>
        <v/>
      </c>
      <c r="W146">
        <f>IF(ElevCalc!$V$45*(ElevCalc!$V$53&gt;0),((ElevCalc!$V$62+ElevCalc!$V$50+ElevCalc!$V$53)*ElevCalc!$V$63),NA())</f>
        <v/>
      </c>
      <c r="Z146" t="inlineStr">
        <is>
          <t>transom</t>
        </is>
      </c>
      <c r="AA146">
        <f>IF(ElevCalc!$AA$45*(ElevCalc!$AA$53&gt;0),(ElevCalc!$AA$64+(ElevCalc!$AA$60)*ElevCalc!$AA$63),NA())</f>
        <v/>
      </c>
      <c r="AB146">
        <f>IF(ElevCalc!$AA$45*(ElevCalc!$AA$53&gt;0),((ElevCalc!$AA$62+ElevCalc!$AA$50+ElevCalc!$AA$53)*ElevCalc!$AA$63),NA())</f>
        <v/>
      </c>
      <c r="AE146" t="inlineStr">
        <is>
          <t>transom</t>
        </is>
      </c>
      <c r="AF146">
        <f>IF(ElevCalc!$AF$45*(ElevCalc!$AF$53&gt;0),(ElevCalc!$AF$64+(ElevCalc!$AF$60)*ElevCalc!$AF$63),NA())</f>
        <v/>
      </c>
      <c r="AG146">
        <f>IF(ElevCalc!$AF$45*(ElevCalc!$AF$53&gt;0),((ElevCalc!$AF$62+ElevCalc!$AF$50+ElevCalc!$AF$53)*ElevCalc!$AF$63),NA())</f>
        <v/>
      </c>
    </row>
    <row r="147">
      <c r="A147" t="inlineStr">
        <is>
          <t>transom</t>
        </is>
      </c>
      <c r="B147">
        <f>IF(ElevCalc!$B$45*(ElevCalc!$B$53&gt;0),(ElevCalc!$B$64+(ElevCalc!$B$60)*ElevCalc!$B$63),NA())</f>
        <v/>
      </c>
      <c r="C147">
        <f>IF(ElevCalc!$B$45*(ElevCalc!$B$53&gt;0),((ElevCalc!$B$62+ElevCalc!$B$50)*ElevCalc!$B$63),NA())</f>
        <v/>
      </c>
      <c r="F147" t="inlineStr">
        <is>
          <t>transom</t>
        </is>
      </c>
      <c r="G147">
        <f>IF(ElevCalc!$G$45*(ElevCalc!$G$53&gt;0),(ElevCalc!$G$64+(ElevCalc!$G$60)*ElevCalc!$G$63),NA())</f>
        <v/>
      </c>
      <c r="H147">
        <f>IF(ElevCalc!$G$45*(ElevCalc!$G$53&gt;0),((ElevCalc!$G$62+ElevCalc!$G$50)*ElevCalc!$G$63),NA())</f>
        <v/>
      </c>
      <c r="K147" t="inlineStr">
        <is>
          <t>transom</t>
        </is>
      </c>
      <c r="L147">
        <f>IF(ElevCalc!$L$45*(ElevCalc!$L$53&gt;0),(ElevCalc!$L$64+(ElevCalc!$L$60)*ElevCalc!$L$63),NA())</f>
        <v/>
      </c>
      <c r="M147">
        <f>IF(ElevCalc!$L$45*(ElevCalc!$L$53&gt;0),((ElevCalc!$L$62+ElevCalc!$L$50)*ElevCalc!$L$63),NA())</f>
        <v/>
      </c>
      <c r="P147" t="inlineStr">
        <is>
          <t>transom</t>
        </is>
      </c>
      <c r="Q147">
        <f>IF(ElevCalc!$Q$45*(ElevCalc!$Q$53&gt;0),(ElevCalc!$Q$64+(ElevCalc!$Q$60)*ElevCalc!$Q$63),NA())</f>
        <v/>
      </c>
      <c r="R147">
        <f>IF(ElevCalc!$Q$45*(ElevCalc!$Q$53&gt;0),((ElevCalc!$Q$62+ElevCalc!$Q$50)*ElevCalc!$Q$63),NA())</f>
        <v/>
      </c>
      <c r="U147" t="inlineStr">
        <is>
          <t>transom</t>
        </is>
      </c>
      <c r="V147">
        <f>IF(ElevCalc!$V$45*(ElevCalc!$V$53&gt;0),(ElevCalc!$V$64+(ElevCalc!$V$60)*ElevCalc!$V$63),NA())</f>
        <v/>
      </c>
      <c r="W147">
        <f>IF(ElevCalc!$V$45*(ElevCalc!$V$53&gt;0),((ElevCalc!$V$62+ElevCalc!$V$50)*ElevCalc!$V$63),NA())</f>
        <v/>
      </c>
      <c r="Z147" t="inlineStr">
        <is>
          <t>transom</t>
        </is>
      </c>
      <c r="AA147">
        <f>IF(ElevCalc!$AA$45*(ElevCalc!$AA$53&gt;0),(ElevCalc!$AA$64+(ElevCalc!$AA$60)*ElevCalc!$AA$63),NA())</f>
        <v/>
      </c>
      <c r="AB147">
        <f>IF(ElevCalc!$AA$45*(ElevCalc!$AA$53&gt;0),((ElevCalc!$AA$62+ElevCalc!$AA$50)*ElevCalc!$AA$63),NA())</f>
        <v/>
      </c>
      <c r="AE147" t="inlineStr">
        <is>
          <t>transom</t>
        </is>
      </c>
      <c r="AF147">
        <f>IF(ElevCalc!$AF$45*(ElevCalc!$AF$53&gt;0),(ElevCalc!$AF$64+(ElevCalc!$AF$60)*ElevCalc!$AF$63),NA())</f>
        <v/>
      </c>
      <c r="AG147">
        <f>IF(ElevCalc!$AF$45*(ElevCalc!$AF$53&gt;0),((ElevCalc!$AF$62+ElevCalc!$AF$50)*ElevCalc!$AF$63),NA())</f>
        <v/>
      </c>
    </row>
    <row r="148">
      <c r="A148" t="inlineStr">
        <is>
          <t>transom</t>
        </is>
      </c>
      <c r="B148">
        <f>IF(ElevCalc!$B$45*(ElevCalc!$B$53&gt;0),(ElevCalc!$B$64+(ElevCalc!$B$59)*ElevCalc!$B$63),NA())</f>
        <v/>
      </c>
      <c r="C148">
        <f>IF(ElevCalc!$B$45*(ElevCalc!$B$53&gt;0),((ElevCalc!$B$62+ElevCalc!$B$50)*ElevCalc!$B$63),NA())</f>
        <v/>
      </c>
      <c r="F148" t="inlineStr">
        <is>
          <t>transom</t>
        </is>
      </c>
      <c r="G148">
        <f>IF(ElevCalc!$G$45*(ElevCalc!$G$53&gt;0),(ElevCalc!$G$64+(ElevCalc!$G$59)*ElevCalc!$G$63),NA())</f>
        <v/>
      </c>
      <c r="H148">
        <f>IF(ElevCalc!$G$45*(ElevCalc!$G$53&gt;0),((ElevCalc!$G$62+ElevCalc!$G$50)*ElevCalc!$G$63),NA())</f>
        <v/>
      </c>
      <c r="K148" t="inlineStr">
        <is>
          <t>transom</t>
        </is>
      </c>
      <c r="L148">
        <f>IF(ElevCalc!$L$45*(ElevCalc!$L$53&gt;0),(ElevCalc!$L$64+(ElevCalc!$L$59)*ElevCalc!$L$63),NA())</f>
        <v/>
      </c>
      <c r="M148">
        <f>IF(ElevCalc!$L$45*(ElevCalc!$L$53&gt;0),((ElevCalc!$L$62+ElevCalc!$L$50)*ElevCalc!$L$63),NA())</f>
        <v/>
      </c>
      <c r="P148" t="inlineStr">
        <is>
          <t>transom</t>
        </is>
      </c>
      <c r="Q148">
        <f>IF(ElevCalc!$Q$45*(ElevCalc!$Q$53&gt;0),(ElevCalc!$Q$64+(ElevCalc!$Q$59)*ElevCalc!$Q$63),NA())</f>
        <v/>
      </c>
      <c r="R148">
        <f>IF(ElevCalc!$Q$45*(ElevCalc!$Q$53&gt;0),((ElevCalc!$Q$62+ElevCalc!$Q$50)*ElevCalc!$Q$63),NA())</f>
        <v/>
      </c>
      <c r="U148" t="inlineStr">
        <is>
          <t>transom</t>
        </is>
      </c>
      <c r="V148">
        <f>IF(ElevCalc!$V$45*(ElevCalc!$V$53&gt;0),(ElevCalc!$V$64+(ElevCalc!$V$59)*ElevCalc!$V$63),NA())</f>
        <v/>
      </c>
      <c r="W148">
        <f>IF(ElevCalc!$V$45*(ElevCalc!$V$53&gt;0),((ElevCalc!$V$62+ElevCalc!$V$50)*ElevCalc!$V$63),NA())</f>
        <v/>
      </c>
      <c r="Z148" t="inlineStr">
        <is>
          <t>transom</t>
        </is>
      </c>
      <c r="AA148">
        <f>IF(ElevCalc!$AA$45*(ElevCalc!$AA$53&gt;0),(ElevCalc!$AA$64+(ElevCalc!$AA$59)*ElevCalc!$AA$63),NA())</f>
        <v/>
      </c>
      <c r="AB148">
        <f>IF(ElevCalc!$AA$45*(ElevCalc!$AA$53&gt;0),((ElevCalc!$AA$62+ElevCalc!$AA$50)*ElevCalc!$AA$63),NA())</f>
        <v/>
      </c>
      <c r="AE148" t="inlineStr">
        <is>
          <t>transom</t>
        </is>
      </c>
      <c r="AF148">
        <f>IF(ElevCalc!$AF$45*(ElevCalc!$AF$53&gt;0),(ElevCalc!$AF$64+(ElevCalc!$AF$59)*ElevCalc!$AF$63),NA())</f>
        <v/>
      </c>
      <c r="AG148">
        <f>IF(ElevCalc!$AF$45*(ElevCalc!$AF$53&gt;0),((ElevCalc!$AF$62+ElevCalc!$AF$50)*ElevCalc!$AF$63),NA())</f>
        <v/>
      </c>
    </row>
    <row r="150">
      <c r="A150" t="inlineStr">
        <is>
          <t>sideL</t>
        </is>
      </c>
      <c r="B150">
        <f>IF(ElevCalc!$B$45*(ElevCalc!$B$55&gt;0),(ElevCalc!$B$64+(ElevCalc!$B$48)*ElevCalc!$B$63),NA())</f>
        <v/>
      </c>
      <c r="C150">
        <f>IF(ElevCalc!$B$45*(ElevCalc!$B$55&gt;0),((ElevCalc!$B$61)*ElevCalc!$B$63),NA())</f>
        <v/>
      </c>
      <c r="F150" t="inlineStr">
        <is>
          <t>sideL</t>
        </is>
      </c>
      <c r="G150">
        <f>IF(ElevCalc!$G$45*(ElevCalc!$G$55&gt;0),(ElevCalc!$G$64+(ElevCalc!$G$48)*ElevCalc!$G$63),NA())</f>
        <v/>
      </c>
      <c r="H150">
        <f>IF(ElevCalc!$G$45*(ElevCalc!$G$55&gt;0),((ElevCalc!$G$61)*ElevCalc!$G$63),NA())</f>
        <v/>
      </c>
      <c r="K150" t="inlineStr">
        <is>
          <t>sideL</t>
        </is>
      </c>
      <c r="L150">
        <f>IF(ElevCalc!$L$45*(ElevCalc!$L$55&gt;0),(ElevCalc!$L$64+(ElevCalc!$L$48)*ElevCalc!$L$63),NA())</f>
        <v/>
      </c>
      <c r="M150">
        <f>IF(ElevCalc!$L$45*(ElevCalc!$L$55&gt;0),((ElevCalc!$L$61)*ElevCalc!$L$63),NA())</f>
        <v/>
      </c>
      <c r="P150" t="inlineStr">
        <is>
          <t>sideL</t>
        </is>
      </c>
      <c r="Q150">
        <f>IF(ElevCalc!$Q$45*(ElevCalc!$Q$55&gt;0),(ElevCalc!$Q$64+(ElevCalc!$Q$48)*ElevCalc!$Q$63),NA())</f>
        <v/>
      </c>
      <c r="R150">
        <f>IF(ElevCalc!$Q$45*(ElevCalc!$Q$55&gt;0),((ElevCalc!$Q$61)*ElevCalc!$Q$63),NA())</f>
        <v/>
      </c>
      <c r="U150" t="inlineStr">
        <is>
          <t>sideL</t>
        </is>
      </c>
      <c r="V150">
        <f>IF(ElevCalc!$V$45*(ElevCalc!$V$55&gt;0),(ElevCalc!$V$64+(ElevCalc!$V$48)*ElevCalc!$V$63),NA())</f>
        <v/>
      </c>
      <c r="W150">
        <f>IF(ElevCalc!$V$45*(ElevCalc!$V$55&gt;0),((ElevCalc!$V$61)*ElevCalc!$V$63),NA())</f>
        <v/>
      </c>
      <c r="Z150" t="inlineStr">
        <is>
          <t>sideL</t>
        </is>
      </c>
      <c r="AA150">
        <f>IF(ElevCalc!$AA$45*(ElevCalc!$AA$55&gt;0),(ElevCalc!$AA$64+(ElevCalc!$AA$48)*ElevCalc!$AA$63),NA())</f>
        <v/>
      </c>
      <c r="AB150">
        <f>IF(ElevCalc!$AA$45*(ElevCalc!$AA$55&gt;0),((ElevCalc!$AA$61)*ElevCalc!$AA$63),NA())</f>
        <v/>
      </c>
      <c r="AE150" t="inlineStr">
        <is>
          <t>sideL</t>
        </is>
      </c>
      <c r="AF150">
        <f>IF(ElevCalc!$AF$45*(ElevCalc!$AF$55&gt;0),(ElevCalc!$AF$64+(ElevCalc!$AF$48)*ElevCalc!$AF$63),NA())</f>
        <v/>
      </c>
      <c r="AG150">
        <f>IF(ElevCalc!$AF$45*(ElevCalc!$AF$55&gt;0),((ElevCalc!$AF$61)*ElevCalc!$AF$63),NA())</f>
        <v/>
      </c>
    </row>
    <row r="151">
      <c r="A151" t="inlineStr">
        <is>
          <t>sideL</t>
        </is>
      </c>
      <c r="B151">
        <f>IF(ElevCalc!$B$45*(ElevCalc!$B$55&gt;0),(ElevCalc!$B$64+(ElevCalc!$B$48)*ElevCalc!$B$63),NA())</f>
        <v/>
      </c>
      <c r="C151">
        <f>IF(ElevCalc!$B$45*(ElevCalc!$B$55&gt;0),((ElevCalc!$B$62)*ElevCalc!$B$63),NA())</f>
        <v/>
      </c>
      <c r="F151" t="inlineStr">
        <is>
          <t>sideL</t>
        </is>
      </c>
      <c r="G151">
        <f>IF(ElevCalc!$G$45*(ElevCalc!$G$55&gt;0),(ElevCalc!$G$64+(ElevCalc!$G$48)*ElevCalc!$G$63),NA())</f>
        <v/>
      </c>
      <c r="H151">
        <f>IF(ElevCalc!$G$45*(ElevCalc!$G$55&gt;0),((ElevCalc!$G$62)*ElevCalc!$G$63),NA())</f>
        <v/>
      </c>
      <c r="K151" t="inlineStr">
        <is>
          <t>sideL</t>
        </is>
      </c>
      <c r="L151">
        <f>IF(ElevCalc!$L$45*(ElevCalc!$L$55&gt;0),(ElevCalc!$L$64+(ElevCalc!$L$48)*ElevCalc!$L$63),NA())</f>
        <v/>
      </c>
      <c r="M151">
        <f>IF(ElevCalc!$L$45*(ElevCalc!$L$55&gt;0),((ElevCalc!$L$62)*ElevCalc!$L$63),NA())</f>
        <v/>
      </c>
      <c r="P151" t="inlineStr">
        <is>
          <t>sideL</t>
        </is>
      </c>
      <c r="Q151">
        <f>IF(ElevCalc!$Q$45*(ElevCalc!$Q$55&gt;0),(ElevCalc!$Q$64+(ElevCalc!$Q$48)*ElevCalc!$Q$63),NA())</f>
        <v/>
      </c>
      <c r="R151">
        <f>IF(ElevCalc!$Q$45*(ElevCalc!$Q$55&gt;0),((ElevCalc!$Q$62)*ElevCalc!$Q$63),NA())</f>
        <v/>
      </c>
      <c r="U151" t="inlineStr">
        <is>
          <t>sideL</t>
        </is>
      </c>
      <c r="V151">
        <f>IF(ElevCalc!$V$45*(ElevCalc!$V$55&gt;0),(ElevCalc!$V$64+(ElevCalc!$V$48)*ElevCalc!$V$63),NA())</f>
        <v/>
      </c>
      <c r="W151">
        <f>IF(ElevCalc!$V$45*(ElevCalc!$V$55&gt;0),((ElevCalc!$V$62)*ElevCalc!$V$63),NA())</f>
        <v/>
      </c>
      <c r="Z151" t="inlineStr">
        <is>
          <t>sideL</t>
        </is>
      </c>
      <c r="AA151">
        <f>IF(ElevCalc!$AA$45*(ElevCalc!$AA$55&gt;0),(ElevCalc!$AA$64+(ElevCalc!$AA$48)*ElevCalc!$AA$63),NA())</f>
        <v/>
      </c>
      <c r="AB151">
        <f>IF(ElevCalc!$AA$45*(ElevCalc!$AA$55&gt;0),((ElevCalc!$AA$62)*ElevCalc!$AA$63),NA())</f>
        <v/>
      </c>
      <c r="AE151" t="inlineStr">
        <is>
          <t>sideL</t>
        </is>
      </c>
      <c r="AF151">
        <f>IF(ElevCalc!$AF$45*(ElevCalc!$AF$55&gt;0),(ElevCalc!$AF$64+(ElevCalc!$AF$48)*ElevCalc!$AF$63),NA())</f>
        <v/>
      </c>
      <c r="AG151">
        <f>IF(ElevCalc!$AF$45*(ElevCalc!$AF$55&gt;0),((ElevCalc!$AF$62)*ElevCalc!$AF$63),NA())</f>
        <v/>
      </c>
    </row>
    <row r="152">
      <c r="A152" t="inlineStr">
        <is>
          <t>sideL</t>
        </is>
      </c>
      <c r="B152">
        <f>IF(ElevCalc!$B$45*(ElevCalc!$B$55&gt;0),(ElevCalc!$B$64+(ElevCalc!$B$48+ElevCalc!$B$55)*ElevCalc!$B$63),NA())</f>
        <v/>
      </c>
      <c r="C152">
        <f>IF(ElevCalc!$B$45*(ElevCalc!$B$55&gt;0),((ElevCalc!$B$62)*ElevCalc!$B$63),NA())</f>
        <v/>
      </c>
      <c r="F152" t="inlineStr">
        <is>
          <t>sideL</t>
        </is>
      </c>
      <c r="G152">
        <f>IF(ElevCalc!$G$45*(ElevCalc!$G$55&gt;0),(ElevCalc!$G$64+(ElevCalc!$G$48+ElevCalc!$G$55)*ElevCalc!$G$63),NA())</f>
        <v/>
      </c>
      <c r="H152">
        <f>IF(ElevCalc!$G$45*(ElevCalc!$G$55&gt;0),((ElevCalc!$G$62)*ElevCalc!$G$63),NA())</f>
        <v/>
      </c>
      <c r="K152" t="inlineStr">
        <is>
          <t>sideL</t>
        </is>
      </c>
      <c r="L152">
        <f>IF(ElevCalc!$L$45*(ElevCalc!$L$55&gt;0),(ElevCalc!$L$64+(ElevCalc!$L$48+ElevCalc!$L$55)*ElevCalc!$L$63),NA())</f>
        <v/>
      </c>
      <c r="M152">
        <f>IF(ElevCalc!$L$45*(ElevCalc!$L$55&gt;0),((ElevCalc!$L$62)*ElevCalc!$L$63),NA())</f>
        <v/>
      </c>
      <c r="P152" t="inlineStr">
        <is>
          <t>sideL</t>
        </is>
      </c>
      <c r="Q152">
        <f>IF(ElevCalc!$Q$45*(ElevCalc!$Q$55&gt;0),(ElevCalc!$Q$64+(ElevCalc!$Q$48+ElevCalc!$Q$55)*ElevCalc!$Q$63),NA())</f>
        <v/>
      </c>
      <c r="R152">
        <f>IF(ElevCalc!$Q$45*(ElevCalc!$Q$55&gt;0),((ElevCalc!$Q$62)*ElevCalc!$Q$63),NA())</f>
        <v/>
      </c>
      <c r="U152" t="inlineStr">
        <is>
          <t>sideL</t>
        </is>
      </c>
      <c r="V152">
        <f>IF(ElevCalc!$V$45*(ElevCalc!$V$55&gt;0),(ElevCalc!$V$64+(ElevCalc!$V$48+ElevCalc!$V$55)*ElevCalc!$V$63),NA())</f>
        <v/>
      </c>
      <c r="W152">
        <f>IF(ElevCalc!$V$45*(ElevCalc!$V$55&gt;0),((ElevCalc!$V$62)*ElevCalc!$V$63),NA())</f>
        <v/>
      </c>
      <c r="Z152" t="inlineStr">
        <is>
          <t>sideL</t>
        </is>
      </c>
      <c r="AA152">
        <f>IF(ElevCalc!$AA$45*(ElevCalc!$AA$55&gt;0),(ElevCalc!$AA$64+(ElevCalc!$AA$48+ElevCalc!$AA$55)*ElevCalc!$AA$63),NA())</f>
        <v/>
      </c>
      <c r="AB152">
        <f>IF(ElevCalc!$AA$45*(ElevCalc!$AA$55&gt;0),((ElevCalc!$AA$62)*ElevCalc!$AA$63),NA())</f>
        <v/>
      </c>
      <c r="AE152" t="inlineStr">
        <is>
          <t>sideL</t>
        </is>
      </c>
      <c r="AF152">
        <f>IF(ElevCalc!$AF$45*(ElevCalc!$AF$55&gt;0),(ElevCalc!$AF$64+(ElevCalc!$AF$48+ElevCalc!$AF$55)*ElevCalc!$AF$63),NA())</f>
        <v/>
      </c>
      <c r="AG152">
        <f>IF(ElevCalc!$AF$45*(ElevCalc!$AF$55&gt;0),((ElevCalc!$AF$62)*ElevCalc!$AF$63),NA())</f>
        <v/>
      </c>
    </row>
    <row r="153">
      <c r="A153" t="inlineStr">
        <is>
          <t>sideL</t>
        </is>
      </c>
      <c r="B153">
        <f>IF(ElevCalc!$B$45*(ElevCalc!$B$55&gt;0),(ElevCalc!$B$64+(ElevCalc!$B$48+ElevCalc!$B$55)*ElevCalc!$B$63),NA())</f>
        <v/>
      </c>
      <c r="C153">
        <f>IF(ElevCalc!$B$45*(ElevCalc!$B$55&gt;0),((ElevCalc!$B$61)*ElevCalc!$B$63),NA())</f>
        <v/>
      </c>
      <c r="F153" t="inlineStr">
        <is>
          <t>sideL</t>
        </is>
      </c>
      <c r="G153">
        <f>IF(ElevCalc!$G$45*(ElevCalc!$G$55&gt;0),(ElevCalc!$G$64+(ElevCalc!$G$48+ElevCalc!$G$55)*ElevCalc!$G$63),NA())</f>
        <v/>
      </c>
      <c r="H153">
        <f>IF(ElevCalc!$G$45*(ElevCalc!$G$55&gt;0),((ElevCalc!$G$61)*ElevCalc!$G$63),NA())</f>
        <v/>
      </c>
      <c r="K153" t="inlineStr">
        <is>
          <t>sideL</t>
        </is>
      </c>
      <c r="L153">
        <f>IF(ElevCalc!$L$45*(ElevCalc!$L$55&gt;0),(ElevCalc!$L$64+(ElevCalc!$L$48+ElevCalc!$L$55)*ElevCalc!$L$63),NA())</f>
        <v/>
      </c>
      <c r="M153">
        <f>IF(ElevCalc!$L$45*(ElevCalc!$L$55&gt;0),((ElevCalc!$L$61)*ElevCalc!$L$63),NA())</f>
        <v/>
      </c>
      <c r="P153" t="inlineStr">
        <is>
          <t>sideL</t>
        </is>
      </c>
      <c r="Q153">
        <f>IF(ElevCalc!$Q$45*(ElevCalc!$Q$55&gt;0),(ElevCalc!$Q$64+(ElevCalc!$Q$48+ElevCalc!$Q$55)*ElevCalc!$Q$63),NA())</f>
        <v/>
      </c>
      <c r="R153">
        <f>IF(ElevCalc!$Q$45*(ElevCalc!$Q$55&gt;0),((ElevCalc!$Q$61)*ElevCalc!$Q$63),NA())</f>
        <v/>
      </c>
      <c r="U153" t="inlineStr">
        <is>
          <t>sideL</t>
        </is>
      </c>
      <c r="V153">
        <f>IF(ElevCalc!$V$45*(ElevCalc!$V$55&gt;0),(ElevCalc!$V$64+(ElevCalc!$V$48+ElevCalc!$V$55)*ElevCalc!$V$63),NA())</f>
        <v/>
      </c>
      <c r="W153">
        <f>IF(ElevCalc!$V$45*(ElevCalc!$V$55&gt;0),((ElevCalc!$V$61)*ElevCalc!$V$63),NA())</f>
        <v/>
      </c>
      <c r="Z153" t="inlineStr">
        <is>
          <t>sideL</t>
        </is>
      </c>
      <c r="AA153">
        <f>IF(ElevCalc!$AA$45*(ElevCalc!$AA$55&gt;0),(ElevCalc!$AA$64+(ElevCalc!$AA$48+ElevCalc!$AA$55)*ElevCalc!$AA$63),NA())</f>
        <v/>
      </c>
      <c r="AB153">
        <f>IF(ElevCalc!$AA$45*(ElevCalc!$AA$55&gt;0),((ElevCalc!$AA$61)*ElevCalc!$AA$63),NA())</f>
        <v/>
      </c>
      <c r="AE153" t="inlineStr">
        <is>
          <t>sideL</t>
        </is>
      </c>
      <c r="AF153">
        <f>IF(ElevCalc!$AF$45*(ElevCalc!$AF$55&gt;0),(ElevCalc!$AF$64+(ElevCalc!$AF$48+ElevCalc!$AF$55)*ElevCalc!$AF$63),NA())</f>
        <v/>
      </c>
      <c r="AG153">
        <f>IF(ElevCalc!$AF$45*(ElevCalc!$AF$55&gt;0),((ElevCalc!$AF$61)*ElevCalc!$AF$63),NA())</f>
        <v/>
      </c>
    </row>
    <row r="154">
      <c r="A154" t="inlineStr">
        <is>
          <t>sideL</t>
        </is>
      </c>
      <c r="B154">
        <f>IF(ElevCalc!$B$45*(ElevCalc!$B$55&gt;0),(ElevCalc!$B$64+(ElevCalc!$B$48)*ElevCalc!$B$63),NA())</f>
        <v/>
      </c>
      <c r="C154">
        <f>IF(ElevCalc!$B$45*(ElevCalc!$B$55&gt;0),((ElevCalc!$B$61)*ElevCalc!$B$63),NA())</f>
        <v/>
      </c>
      <c r="F154" t="inlineStr">
        <is>
          <t>sideL</t>
        </is>
      </c>
      <c r="G154">
        <f>IF(ElevCalc!$G$45*(ElevCalc!$G$55&gt;0),(ElevCalc!$G$64+(ElevCalc!$G$48)*ElevCalc!$G$63),NA())</f>
        <v/>
      </c>
      <c r="H154">
        <f>IF(ElevCalc!$G$45*(ElevCalc!$G$55&gt;0),((ElevCalc!$G$61)*ElevCalc!$G$63),NA())</f>
        <v/>
      </c>
      <c r="K154" t="inlineStr">
        <is>
          <t>sideL</t>
        </is>
      </c>
      <c r="L154">
        <f>IF(ElevCalc!$L$45*(ElevCalc!$L$55&gt;0),(ElevCalc!$L$64+(ElevCalc!$L$48)*ElevCalc!$L$63),NA())</f>
        <v/>
      </c>
      <c r="M154">
        <f>IF(ElevCalc!$L$45*(ElevCalc!$L$55&gt;0),((ElevCalc!$L$61)*ElevCalc!$L$63),NA())</f>
        <v/>
      </c>
      <c r="P154" t="inlineStr">
        <is>
          <t>sideL</t>
        </is>
      </c>
      <c r="Q154">
        <f>IF(ElevCalc!$Q$45*(ElevCalc!$Q$55&gt;0),(ElevCalc!$Q$64+(ElevCalc!$Q$48)*ElevCalc!$Q$63),NA())</f>
        <v/>
      </c>
      <c r="R154">
        <f>IF(ElevCalc!$Q$45*(ElevCalc!$Q$55&gt;0),((ElevCalc!$Q$61)*ElevCalc!$Q$63),NA())</f>
        <v/>
      </c>
      <c r="U154" t="inlineStr">
        <is>
          <t>sideL</t>
        </is>
      </c>
      <c r="V154">
        <f>IF(ElevCalc!$V$45*(ElevCalc!$V$55&gt;0),(ElevCalc!$V$64+(ElevCalc!$V$48)*ElevCalc!$V$63),NA())</f>
        <v/>
      </c>
      <c r="W154">
        <f>IF(ElevCalc!$V$45*(ElevCalc!$V$55&gt;0),((ElevCalc!$V$61)*ElevCalc!$V$63),NA())</f>
        <v/>
      </c>
      <c r="Z154" t="inlineStr">
        <is>
          <t>sideL</t>
        </is>
      </c>
      <c r="AA154">
        <f>IF(ElevCalc!$AA$45*(ElevCalc!$AA$55&gt;0),(ElevCalc!$AA$64+(ElevCalc!$AA$48)*ElevCalc!$AA$63),NA())</f>
        <v/>
      </c>
      <c r="AB154">
        <f>IF(ElevCalc!$AA$45*(ElevCalc!$AA$55&gt;0),((ElevCalc!$AA$61)*ElevCalc!$AA$63),NA())</f>
        <v/>
      </c>
      <c r="AE154" t="inlineStr">
        <is>
          <t>sideL</t>
        </is>
      </c>
      <c r="AF154">
        <f>IF(ElevCalc!$AF$45*(ElevCalc!$AF$55&gt;0),(ElevCalc!$AF$64+(ElevCalc!$AF$48)*ElevCalc!$AF$63),NA())</f>
        <v/>
      </c>
      <c r="AG154">
        <f>IF(ElevCalc!$AF$45*(ElevCalc!$AF$55&gt;0),((ElevCalc!$AF$61)*ElevCalc!$AF$63),NA())</f>
        <v/>
      </c>
    </row>
    <row r="156">
      <c r="A156" t="inlineStr">
        <is>
          <t>sideR</t>
        </is>
      </c>
      <c r="B156">
        <f>IF(ElevCalc!$B$45*(ElevCalc!$B$56&gt;0),(ElevCalc!$B$64+(ElevCalc!$B$60+ElevCalc!$B$50)*ElevCalc!$B$63),NA())</f>
        <v/>
      </c>
      <c r="C156">
        <f>IF(ElevCalc!$B$45*(ElevCalc!$B$56&gt;0),((ElevCalc!$B$61)*ElevCalc!$B$63),NA())</f>
        <v/>
      </c>
      <c r="F156" t="inlineStr">
        <is>
          <t>sideR</t>
        </is>
      </c>
      <c r="G156">
        <f>IF(ElevCalc!$G$45*(ElevCalc!$G$56&gt;0),(ElevCalc!$G$64+(ElevCalc!$G$60+ElevCalc!$G$50)*ElevCalc!$G$63),NA())</f>
        <v/>
      </c>
      <c r="H156">
        <f>IF(ElevCalc!$G$45*(ElevCalc!$G$56&gt;0),((ElevCalc!$G$61)*ElevCalc!$G$63),NA())</f>
        <v/>
      </c>
      <c r="K156" t="inlineStr">
        <is>
          <t>sideR</t>
        </is>
      </c>
      <c r="L156">
        <f>IF(ElevCalc!$L$45*(ElevCalc!$L$56&gt;0),(ElevCalc!$L$64+(ElevCalc!$L$60+ElevCalc!$L$50)*ElevCalc!$L$63),NA())</f>
        <v/>
      </c>
      <c r="M156">
        <f>IF(ElevCalc!$L$45*(ElevCalc!$L$56&gt;0),((ElevCalc!$L$61)*ElevCalc!$L$63),NA())</f>
        <v/>
      </c>
      <c r="P156" t="inlineStr">
        <is>
          <t>sideR</t>
        </is>
      </c>
      <c r="Q156">
        <f>IF(ElevCalc!$Q$45*(ElevCalc!$Q$56&gt;0),(ElevCalc!$Q$64+(ElevCalc!$Q$60+ElevCalc!$Q$50)*ElevCalc!$Q$63),NA())</f>
        <v/>
      </c>
      <c r="R156">
        <f>IF(ElevCalc!$Q$45*(ElevCalc!$Q$56&gt;0),((ElevCalc!$Q$61)*ElevCalc!$Q$63),NA())</f>
        <v/>
      </c>
      <c r="U156" t="inlineStr">
        <is>
          <t>sideR</t>
        </is>
      </c>
      <c r="V156">
        <f>IF(ElevCalc!$V$45*(ElevCalc!$V$56&gt;0),(ElevCalc!$V$64+(ElevCalc!$V$60+ElevCalc!$V$50)*ElevCalc!$V$63),NA())</f>
        <v/>
      </c>
      <c r="W156">
        <f>IF(ElevCalc!$V$45*(ElevCalc!$V$56&gt;0),((ElevCalc!$V$61)*ElevCalc!$V$63),NA())</f>
        <v/>
      </c>
      <c r="Z156" t="inlineStr">
        <is>
          <t>sideR</t>
        </is>
      </c>
      <c r="AA156">
        <f>IF(ElevCalc!$AA$45*(ElevCalc!$AA$56&gt;0),(ElevCalc!$AA$64+(ElevCalc!$AA$60+ElevCalc!$AA$50)*ElevCalc!$AA$63),NA())</f>
        <v/>
      </c>
      <c r="AB156">
        <f>IF(ElevCalc!$AA$45*(ElevCalc!$AA$56&gt;0),((ElevCalc!$AA$61)*ElevCalc!$AA$63),NA())</f>
        <v/>
      </c>
      <c r="AE156" t="inlineStr">
        <is>
          <t>sideR</t>
        </is>
      </c>
      <c r="AF156">
        <f>IF(ElevCalc!$AF$45*(ElevCalc!$AF$56&gt;0),(ElevCalc!$AF$64+(ElevCalc!$AF$60+ElevCalc!$AF$50)*ElevCalc!$AF$63),NA())</f>
        <v/>
      </c>
      <c r="AG156">
        <f>IF(ElevCalc!$AF$45*(ElevCalc!$AF$56&gt;0),((ElevCalc!$AF$61)*ElevCalc!$AF$63),NA())</f>
        <v/>
      </c>
    </row>
    <row r="157">
      <c r="A157" t="inlineStr">
        <is>
          <t>sideR</t>
        </is>
      </c>
      <c r="B157">
        <f>IF(ElevCalc!$B$45*(ElevCalc!$B$56&gt;0),(ElevCalc!$B$64+(ElevCalc!$B$60+ElevCalc!$B$50)*ElevCalc!$B$63),NA())</f>
        <v/>
      </c>
      <c r="C157">
        <f>IF(ElevCalc!$B$45*(ElevCalc!$B$56&gt;0),((ElevCalc!$B$62)*ElevCalc!$B$63),NA())</f>
        <v/>
      </c>
      <c r="F157" t="inlineStr">
        <is>
          <t>sideR</t>
        </is>
      </c>
      <c r="G157">
        <f>IF(ElevCalc!$G$45*(ElevCalc!$G$56&gt;0),(ElevCalc!$G$64+(ElevCalc!$G$60+ElevCalc!$G$50)*ElevCalc!$G$63),NA())</f>
        <v/>
      </c>
      <c r="H157">
        <f>IF(ElevCalc!$G$45*(ElevCalc!$G$56&gt;0),((ElevCalc!$G$62)*ElevCalc!$G$63),NA())</f>
        <v/>
      </c>
      <c r="K157" t="inlineStr">
        <is>
          <t>sideR</t>
        </is>
      </c>
      <c r="L157">
        <f>IF(ElevCalc!$L$45*(ElevCalc!$L$56&gt;0),(ElevCalc!$L$64+(ElevCalc!$L$60+ElevCalc!$L$50)*ElevCalc!$L$63),NA())</f>
        <v/>
      </c>
      <c r="M157">
        <f>IF(ElevCalc!$L$45*(ElevCalc!$L$56&gt;0),((ElevCalc!$L$62)*ElevCalc!$L$63),NA())</f>
        <v/>
      </c>
      <c r="P157" t="inlineStr">
        <is>
          <t>sideR</t>
        </is>
      </c>
      <c r="Q157">
        <f>IF(ElevCalc!$Q$45*(ElevCalc!$Q$56&gt;0),(ElevCalc!$Q$64+(ElevCalc!$Q$60+ElevCalc!$Q$50)*ElevCalc!$Q$63),NA())</f>
        <v/>
      </c>
      <c r="R157">
        <f>IF(ElevCalc!$Q$45*(ElevCalc!$Q$56&gt;0),((ElevCalc!$Q$62)*ElevCalc!$Q$63),NA())</f>
        <v/>
      </c>
      <c r="U157" t="inlineStr">
        <is>
          <t>sideR</t>
        </is>
      </c>
      <c r="V157">
        <f>IF(ElevCalc!$V$45*(ElevCalc!$V$56&gt;0),(ElevCalc!$V$64+(ElevCalc!$V$60+ElevCalc!$V$50)*ElevCalc!$V$63),NA())</f>
        <v/>
      </c>
      <c r="W157">
        <f>IF(ElevCalc!$V$45*(ElevCalc!$V$56&gt;0),((ElevCalc!$V$62)*ElevCalc!$V$63),NA())</f>
        <v/>
      </c>
      <c r="Z157" t="inlineStr">
        <is>
          <t>sideR</t>
        </is>
      </c>
      <c r="AA157">
        <f>IF(ElevCalc!$AA$45*(ElevCalc!$AA$56&gt;0),(ElevCalc!$AA$64+(ElevCalc!$AA$60+ElevCalc!$AA$50)*ElevCalc!$AA$63),NA())</f>
        <v/>
      </c>
      <c r="AB157">
        <f>IF(ElevCalc!$AA$45*(ElevCalc!$AA$56&gt;0),((ElevCalc!$AA$62)*ElevCalc!$AA$63),NA())</f>
        <v/>
      </c>
      <c r="AE157" t="inlineStr">
        <is>
          <t>sideR</t>
        </is>
      </c>
      <c r="AF157">
        <f>IF(ElevCalc!$AF$45*(ElevCalc!$AF$56&gt;0),(ElevCalc!$AF$64+(ElevCalc!$AF$60+ElevCalc!$AF$50)*ElevCalc!$AF$63),NA())</f>
        <v/>
      </c>
      <c r="AG157">
        <f>IF(ElevCalc!$AF$45*(ElevCalc!$AF$56&gt;0),((ElevCalc!$AF$62)*ElevCalc!$AF$63),NA())</f>
        <v/>
      </c>
    </row>
    <row r="158">
      <c r="A158" t="inlineStr">
        <is>
          <t>sideR</t>
        </is>
      </c>
      <c r="B158">
        <f>IF(ElevCalc!$B$45*(ElevCalc!$B$56&gt;0),(ElevCalc!$B$64+(ElevCalc!$B$60+ElevCalc!$B$50+ElevCalc!$B$56)*ElevCalc!$B$63),NA())</f>
        <v/>
      </c>
      <c r="C158">
        <f>IF(ElevCalc!$B$45*(ElevCalc!$B$56&gt;0),((ElevCalc!$B$62)*ElevCalc!$B$63),NA())</f>
        <v/>
      </c>
      <c r="F158" t="inlineStr">
        <is>
          <t>sideR</t>
        </is>
      </c>
      <c r="G158">
        <f>IF(ElevCalc!$G$45*(ElevCalc!$G$56&gt;0),(ElevCalc!$G$64+(ElevCalc!$G$60+ElevCalc!$G$50+ElevCalc!$G$56)*ElevCalc!$G$63),NA())</f>
        <v/>
      </c>
      <c r="H158">
        <f>IF(ElevCalc!$G$45*(ElevCalc!$G$56&gt;0),((ElevCalc!$G$62)*ElevCalc!$G$63),NA())</f>
        <v/>
      </c>
      <c r="K158" t="inlineStr">
        <is>
          <t>sideR</t>
        </is>
      </c>
      <c r="L158">
        <f>IF(ElevCalc!$L$45*(ElevCalc!$L$56&gt;0),(ElevCalc!$L$64+(ElevCalc!$L$60+ElevCalc!$L$50+ElevCalc!$L$56)*ElevCalc!$L$63),NA())</f>
        <v/>
      </c>
      <c r="M158">
        <f>IF(ElevCalc!$L$45*(ElevCalc!$L$56&gt;0),((ElevCalc!$L$62)*ElevCalc!$L$63),NA())</f>
        <v/>
      </c>
      <c r="P158" t="inlineStr">
        <is>
          <t>sideR</t>
        </is>
      </c>
      <c r="Q158">
        <f>IF(ElevCalc!$Q$45*(ElevCalc!$Q$56&gt;0),(ElevCalc!$Q$64+(ElevCalc!$Q$60+ElevCalc!$Q$50+ElevCalc!$Q$56)*ElevCalc!$Q$63),NA())</f>
        <v/>
      </c>
      <c r="R158">
        <f>IF(ElevCalc!$Q$45*(ElevCalc!$Q$56&gt;0),((ElevCalc!$Q$62)*ElevCalc!$Q$63),NA())</f>
        <v/>
      </c>
      <c r="U158" t="inlineStr">
        <is>
          <t>sideR</t>
        </is>
      </c>
      <c r="V158">
        <f>IF(ElevCalc!$V$45*(ElevCalc!$V$56&gt;0),(ElevCalc!$V$64+(ElevCalc!$V$60+ElevCalc!$V$50+ElevCalc!$V$56)*ElevCalc!$V$63),NA())</f>
        <v/>
      </c>
      <c r="W158">
        <f>IF(ElevCalc!$V$45*(ElevCalc!$V$56&gt;0),((ElevCalc!$V$62)*ElevCalc!$V$63),NA())</f>
        <v/>
      </c>
      <c r="Z158" t="inlineStr">
        <is>
          <t>sideR</t>
        </is>
      </c>
      <c r="AA158">
        <f>IF(ElevCalc!$AA$45*(ElevCalc!$AA$56&gt;0),(ElevCalc!$AA$64+(ElevCalc!$AA$60+ElevCalc!$AA$50+ElevCalc!$AA$56)*ElevCalc!$AA$63),NA())</f>
        <v/>
      </c>
      <c r="AB158">
        <f>IF(ElevCalc!$AA$45*(ElevCalc!$AA$56&gt;0),((ElevCalc!$AA$62)*ElevCalc!$AA$63),NA())</f>
        <v/>
      </c>
      <c r="AE158" t="inlineStr">
        <is>
          <t>sideR</t>
        </is>
      </c>
      <c r="AF158">
        <f>IF(ElevCalc!$AF$45*(ElevCalc!$AF$56&gt;0),(ElevCalc!$AF$64+(ElevCalc!$AF$60+ElevCalc!$AF$50+ElevCalc!$AF$56)*ElevCalc!$AF$63),NA())</f>
        <v/>
      </c>
      <c r="AG158">
        <f>IF(ElevCalc!$AF$45*(ElevCalc!$AF$56&gt;0),((ElevCalc!$AF$62)*ElevCalc!$AF$63),NA())</f>
        <v/>
      </c>
    </row>
    <row r="159">
      <c r="A159" t="inlineStr">
        <is>
          <t>sideR</t>
        </is>
      </c>
      <c r="B159">
        <f>IF(ElevCalc!$B$45*(ElevCalc!$B$56&gt;0),(ElevCalc!$B$64+(ElevCalc!$B$60+ElevCalc!$B$50+ElevCalc!$B$56)*ElevCalc!$B$63),NA())</f>
        <v/>
      </c>
      <c r="C159">
        <f>IF(ElevCalc!$B$45*(ElevCalc!$B$56&gt;0),((ElevCalc!$B$61)*ElevCalc!$B$63),NA())</f>
        <v/>
      </c>
      <c r="F159" t="inlineStr">
        <is>
          <t>sideR</t>
        </is>
      </c>
      <c r="G159">
        <f>IF(ElevCalc!$G$45*(ElevCalc!$G$56&gt;0),(ElevCalc!$G$64+(ElevCalc!$G$60+ElevCalc!$G$50+ElevCalc!$G$56)*ElevCalc!$G$63),NA())</f>
        <v/>
      </c>
      <c r="H159">
        <f>IF(ElevCalc!$G$45*(ElevCalc!$G$56&gt;0),((ElevCalc!$G$61)*ElevCalc!$G$63),NA())</f>
        <v/>
      </c>
      <c r="K159" t="inlineStr">
        <is>
          <t>sideR</t>
        </is>
      </c>
      <c r="L159">
        <f>IF(ElevCalc!$L$45*(ElevCalc!$L$56&gt;0),(ElevCalc!$L$64+(ElevCalc!$L$60+ElevCalc!$L$50+ElevCalc!$L$56)*ElevCalc!$L$63),NA())</f>
        <v/>
      </c>
      <c r="M159">
        <f>IF(ElevCalc!$L$45*(ElevCalc!$L$56&gt;0),((ElevCalc!$L$61)*ElevCalc!$L$63),NA())</f>
        <v/>
      </c>
      <c r="P159" t="inlineStr">
        <is>
          <t>sideR</t>
        </is>
      </c>
      <c r="Q159">
        <f>IF(ElevCalc!$Q$45*(ElevCalc!$Q$56&gt;0),(ElevCalc!$Q$64+(ElevCalc!$Q$60+ElevCalc!$Q$50+ElevCalc!$Q$56)*ElevCalc!$Q$63),NA())</f>
        <v/>
      </c>
      <c r="R159">
        <f>IF(ElevCalc!$Q$45*(ElevCalc!$Q$56&gt;0),((ElevCalc!$Q$61)*ElevCalc!$Q$63),NA())</f>
        <v/>
      </c>
      <c r="U159" t="inlineStr">
        <is>
          <t>sideR</t>
        </is>
      </c>
      <c r="V159">
        <f>IF(ElevCalc!$V$45*(ElevCalc!$V$56&gt;0),(ElevCalc!$V$64+(ElevCalc!$V$60+ElevCalc!$V$50+ElevCalc!$V$56)*ElevCalc!$V$63),NA())</f>
        <v/>
      </c>
      <c r="W159">
        <f>IF(ElevCalc!$V$45*(ElevCalc!$V$56&gt;0),((ElevCalc!$V$61)*ElevCalc!$V$63),NA())</f>
        <v/>
      </c>
      <c r="Z159" t="inlineStr">
        <is>
          <t>sideR</t>
        </is>
      </c>
      <c r="AA159">
        <f>IF(ElevCalc!$AA$45*(ElevCalc!$AA$56&gt;0),(ElevCalc!$AA$64+(ElevCalc!$AA$60+ElevCalc!$AA$50+ElevCalc!$AA$56)*ElevCalc!$AA$63),NA())</f>
        <v/>
      </c>
      <c r="AB159">
        <f>IF(ElevCalc!$AA$45*(ElevCalc!$AA$56&gt;0),((ElevCalc!$AA$61)*ElevCalc!$AA$63),NA())</f>
        <v/>
      </c>
      <c r="AE159" t="inlineStr">
        <is>
          <t>sideR</t>
        </is>
      </c>
      <c r="AF159">
        <f>IF(ElevCalc!$AF$45*(ElevCalc!$AF$56&gt;0),(ElevCalc!$AF$64+(ElevCalc!$AF$60+ElevCalc!$AF$50+ElevCalc!$AF$56)*ElevCalc!$AF$63),NA())</f>
        <v/>
      </c>
      <c r="AG159">
        <f>IF(ElevCalc!$AF$45*(ElevCalc!$AF$56&gt;0),((ElevCalc!$AF$61)*ElevCalc!$AF$63),NA())</f>
        <v/>
      </c>
    </row>
    <row r="160">
      <c r="A160" t="inlineStr">
        <is>
          <t>sideR</t>
        </is>
      </c>
      <c r="B160">
        <f>IF(ElevCalc!$B$45*(ElevCalc!$B$56&gt;0),(ElevCalc!$B$64+(ElevCalc!$B$60+ElevCalc!$B$50)*ElevCalc!$B$63),NA())</f>
        <v/>
      </c>
      <c r="C160">
        <f>IF(ElevCalc!$B$45*(ElevCalc!$B$56&gt;0),((ElevCalc!$B$61)*ElevCalc!$B$63),NA())</f>
        <v/>
      </c>
      <c r="F160" t="inlineStr">
        <is>
          <t>sideR</t>
        </is>
      </c>
      <c r="G160">
        <f>IF(ElevCalc!$G$45*(ElevCalc!$G$56&gt;0),(ElevCalc!$G$64+(ElevCalc!$G$60+ElevCalc!$G$50)*ElevCalc!$G$63),NA())</f>
        <v/>
      </c>
      <c r="H160">
        <f>IF(ElevCalc!$G$45*(ElevCalc!$G$56&gt;0),((ElevCalc!$G$61)*ElevCalc!$G$63),NA())</f>
        <v/>
      </c>
      <c r="K160" t="inlineStr">
        <is>
          <t>sideR</t>
        </is>
      </c>
      <c r="L160">
        <f>IF(ElevCalc!$L$45*(ElevCalc!$L$56&gt;0),(ElevCalc!$L$64+(ElevCalc!$L$60+ElevCalc!$L$50)*ElevCalc!$L$63),NA())</f>
        <v/>
      </c>
      <c r="M160">
        <f>IF(ElevCalc!$L$45*(ElevCalc!$L$56&gt;0),((ElevCalc!$L$61)*ElevCalc!$L$63),NA())</f>
        <v/>
      </c>
      <c r="P160" t="inlineStr">
        <is>
          <t>sideR</t>
        </is>
      </c>
      <c r="Q160">
        <f>IF(ElevCalc!$Q$45*(ElevCalc!$Q$56&gt;0),(ElevCalc!$Q$64+(ElevCalc!$Q$60+ElevCalc!$Q$50)*ElevCalc!$Q$63),NA())</f>
        <v/>
      </c>
      <c r="R160">
        <f>IF(ElevCalc!$Q$45*(ElevCalc!$Q$56&gt;0),((ElevCalc!$Q$61)*ElevCalc!$Q$63),NA())</f>
        <v/>
      </c>
      <c r="U160" t="inlineStr">
        <is>
          <t>sideR</t>
        </is>
      </c>
      <c r="V160">
        <f>IF(ElevCalc!$V$45*(ElevCalc!$V$56&gt;0),(ElevCalc!$V$64+(ElevCalc!$V$60+ElevCalc!$V$50)*ElevCalc!$V$63),NA())</f>
        <v/>
      </c>
      <c r="W160">
        <f>IF(ElevCalc!$V$45*(ElevCalc!$V$56&gt;0),((ElevCalc!$V$61)*ElevCalc!$V$63),NA())</f>
        <v/>
      </c>
      <c r="Z160" t="inlineStr">
        <is>
          <t>sideR</t>
        </is>
      </c>
      <c r="AA160">
        <f>IF(ElevCalc!$AA$45*(ElevCalc!$AA$56&gt;0),(ElevCalc!$AA$64+(ElevCalc!$AA$60+ElevCalc!$AA$50)*ElevCalc!$AA$63),NA())</f>
        <v/>
      </c>
      <c r="AB160">
        <f>IF(ElevCalc!$AA$45*(ElevCalc!$AA$56&gt;0),((ElevCalc!$AA$61)*ElevCalc!$AA$63),NA())</f>
        <v/>
      </c>
      <c r="AE160" t="inlineStr">
        <is>
          <t>sideR</t>
        </is>
      </c>
      <c r="AF160">
        <f>IF(ElevCalc!$AF$45*(ElevCalc!$AF$56&gt;0),(ElevCalc!$AF$64+(ElevCalc!$AF$60+ElevCalc!$AF$50)*ElevCalc!$AF$63),NA())</f>
        <v/>
      </c>
      <c r="AG160">
        <f>IF(ElevCalc!$AF$45*(ElevCalc!$AF$56&gt;0),((ElevCalc!$AF$61)*ElevCalc!$AF$63),NA())</f>
        <v/>
      </c>
    </row>
    <row r="162">
      <c r="A162" t="inlineStr">
        <is>
          <t>blglass</t>
        </is>
      </c>
      <c r="B162">
        <f>IF(ElevCalc!$B$45*(ElevCalc!$B$4="BL"),(ElevCalc!$B$64+(ElevCalc!$B$59+0.75)*ElevCalc!$B$63),NA())</f>
        <v/>
      </c>
      <c r="C162">
        <f>IF(ElevCalc!$B$45*(ElevCalc!$B$4="BL"),((ElevCalc!$B$61+0.75)*ElevCalc!$B$63),NA())</f>
        <v/>
      </c>
      <c r="F162" t="inlineStr">
        <is>
          <t>blglass</t>
        </is>
      </c>
      <c r="G162">
        <f>IF(ElevCalc!$G$45*(ElevCalc!$G$4="BL"),(ElevCalc!$G$64+(ElevCalc!$G$59+0.75)*ElevCalc!$G$63),NA())</f>
        <v/>
      </c>
      <c r="H162">
        <f>IF(ElevCalc!$G$45*(ElevCalc!$G$4="BL"),((ElevCalc!$G$61+0.75)*ElevCalc!$G$63),NA())</f>
        <v/>
      </c>
      <c r="K162" t="inlineStr">
        <is>
          <t>blglass</t>
        </is>
      </c>
      <c r="L162">
        <f>IF(ElevCalc!$L$45*(ElevCalc!$L$4="BL"),(ElevCalc!$L$64+(ElevCalc!$L$59+0.75)*ElevCalc!$L$63),NA())</f>
        <v/>
      </c>
      <c r="M162">
        <f>IF(ElevCalc!$L$45*(ElevCalc!$L$4="BL"),((ElevCalc!$L$61+0.75)*ElevCalc!$L$63),NA())</f>
        <v/>
      </c>
      <c r="P162" t="inlineStr">
        <is>
          <t>blglass</t>
        </is>
      </c>
      <c r="Q162">
        <f>IF(ElevCalc!$Q$45*(ElevCalc!$Q$4="BL"),(ElevCalc!$Q$64+(ElevCalc!$Q$59+0.75)*ElevCalc!$Q$63),NA())</f>
        <v/>
      </c>
      <c r="R162">
        <f>IF(ElevCalc!$Q$45*(ElevCalc!$Q$4="BL"),((ElevCalc!$Q$61+0.75)*ElevCalc!$Q$63),NA())</f>
        <v/>
      </c>
      <c r="U162" t="inlineStr">
        <is>
          <t>blglass</t>
        </is>
      </c>
      <c r="V162">
        <f>IF(ElevCalc!$V$45*(ElevCalc!$V$4="BL"),(ElevCalc!$V$64+(ElevCalc!$V$59+0.75)*ElevCalc!$V$63),NA())</f>
        <v/>
      </c>
      <c r="W162">
        <f>IF(ElevCalc!$V$45*(ElevCalc!$V$4="BL"),((ElevCalc!$V$61+0.75)*ElevCalc!$V$63),NA())</f>
        <v/>
      </c>
      <c r="Z162" t="inlineStr">
        <is>
          <t>blglass</t>
        </is>
      </c>
      <c r="AA162">
        <f>IF(ElevCalc!$AA$45*(ElevCalc!$AA$4="BL"),(ElevCalc!$AA$64+(ElevCalc!$AA$59+0.75)*ElevCalc!$AA$63),NA())</f>
        <v/>
      </c>
      <c r="AB162">
        <f>IF(ElevCalc!$AA$45*(ElevCalc!$AA$4="BL"),((ElevCalc!$AA$61+0.75)*ElevCalc!$AA$63),NA())</f>
        <v/>
      </c>
      <c r="AE162" t="inlineStr">
        <is>
          <t>blglass</t>
        </is>
      </c>
      <c r="AF162">
        <f>IF(ElevCalc!$AF$45*(ElevCalc!$AF$4="BL"),(ElevCalc!$AF$64+(ElevCalc!$AF$59+0.75)*ElevCalc!$AF$63),NA())</f>
        <v/>
      </c>
      <c r="AG162">
        <f>IF(ElevCalc!$AF$45*(ElevCalc!$AF$4="BL"),((ElevCalc!$AF$61+0.75)*ElevCalc!$AF$63),NA())</f>
        <v/>
      </c>
    </row>
    <row r="163">
      <c r="A163" t="inlineStr">
        <is>
          <t>blglass</t>
        </is>
      </c>
      <c r="B163">
        <f>IF(ElevCalc!$B$45*(ElevCalc!$B$4="BL"),(ElevCalc!$B$64+(ElevCalc!$B$59+0.75)*ElevCalc!$B$63),NA())</f>
        <v/>
      </c>
      <c r="C163">
        <f>IF(ElevCalc!$B$45*(ElevCalc!$B$4="BL"),((ElevCalc!$B$62-0.75)*ElevCalc!$B$63),NA())</f>
        <v/>
      </c>
      <c r="F163" t="inlineStr">
        <is>
          <t>blglass</t>
        </is>
      </c>
      <c r="G163">
        <f>IF(ElevCalc!$G$45*(ElevCalc!$G$4="BL"),(ElevCalc!$G$64+(ElevCalc!$G$59+0.75)*ElevCalc!$G$63),NA())</f>
        <v/>
      </c>
      <c r="H163">
        <f>IF(ElevCalc!$G$45*(ElevCalc!$G$4="BL"),((ElevCalc!$G$62-0.75)*ElevCalc!$G$63),NA())</f>
        <v/>
      </c>
      <c r="K163" t="inlineStr">
        <is>
          <t>blglass</t>
        </is>
      </c>
      <c r="L163">
        <f>IF(ElevCalc!$L$45*(ElevCalc!$L$4="BL"),(ElevCalc!$L$64+(ElevCalc!$L$59+0.75)*ElevCalc!$L$63),NA())</f>
        <v/>
      </c>
      <c r="M163">
        <f>IF(ElevCalc!$L$45*(ElevCalc!$L$4="BL"),((ElevCalc!$L$62-0.75)*ElevCalc!$L$63),NA())</f>
        <v/>
      </c>
      <c r="P163" t="inlineStr">
        <is>
          <t>blglass</t>
        </is>
      </c>
      <c r="Q163">
        <f>IF(ElevCalc!$Q$45*(ElevCalc!$Q$4="BL"),(ElevCalc!$Q$64+(ElevCalc!$Q$59+0.75)*ElevCalc!$Q$63),NA())</f>
        <v/>
      </c>
      <c r="R163">
        <f>IF(ElevCalc!$Q$45*(ElevCalc!$Q$4="BL"),((ElevCalc!$Q$62-0.75)*ElevCalc!$Q$63),NA())</f>
        <v/>
      </c>
      <c r="U163" t="inlineStr">
        <is>
          <t>blglass</t>
        </is>
      </c>
      <c r="V163">
        <f>IF(ElevCalc!$V$45*(ElevCalc!$V$4="BL"),(ElevCalc!$V$64+(ElevCalc!$V$59+0.75)*ElevCalc!$V$63),NA())</f>
        <v/>
      </c>
      <c r="W163">
        <f>IF(ElevCalc!$V$45*(ElevCalc!$V$4="BL"),((ElevCalc!$V$62-0.75)*ElevCalc!$V$63),NA())</f>
        <v/>
      </c>
      <c r="Z163" t="inlineStr">
        <is>
          <t>blglass</t>
        </is>
      </c>
      <c r="AA163">
        <f>IF(ElevCalc!$AA$45*(ElevCalc!$AA$4="BL"),(ElevCalc!$AA$64+(ElevCalc!$AA$59+0.75)*ElevCalc!$AA$63),NA())</f>
        <v/>
      </c>
      <c r="AB163">
        <f>IF(ElevCalc!$AA$45*(ElevCalc!$AA$4="BL"),((ElevCalc!$AA$62-0.75)*ElevCalc!$AA$63),NA())</f>
        <v/>
      </c>
      <c r="AE163" t="inlineStr">
        <is>
          <t>blglass</t>
        </is>
      </c>
      <c r="AF163">
        <f>IF(ElevCalc!$AF$45*(ElevCalc!$AF$4="BL"),(ElevCalc!$AF$64+(ElevCalc!$AF$59+0.75)*ElevCalc!$AF$63),NA())</f>
        <v/>
      </c>
      <c r="AG163">
        <f>IF(ElevCalc!$AF$45*(ElevCalc!$AF$4="BL"),((ElevCalc!$AF$62-0.75)*ElevCalc!$AF$63),NA())</f>
        <v/>
      </c>
    </row>
    <row r="164">
      <c r="A164" t="inlineStr">
        <is>
          <t>blglass</t>
        </is>
      </c>
      <c r="B164">
        <f>IF(ElevCalc!$B$45*(ElevCalc!$B$4="BL"),(ElevCalc!$B$64+(ElevCalc!$B$60-0.75)*ElevCalc!$B$63),NA())</f>
        <v/>
      </c>
      <c r="C164">
        <f>IF(ElevCalc!$B$45*(ElevCalc!$B$4="BL"),((ElevCalc!$B$62-0.75)*ElevCalc!$B$63),NA())</f>
        <v/>
      </c>
      <c r="F164" t="inlineStr">
        <is>
          <t>blglass</t>
        </is>
      </c>
      <c r="G164">
        <f>IF(ElevCalc!$G$45*(ElevCalc!$G$4="BL"),(ElevCalc!$G$64+(ElevCalc!$G$60-0.75)*ElevCalc!$G$63),NA())</f>
        <v/>
      </c>
      <c r="H164">
        <f>IF(ElevCalc!$G$45*(ElevCalc!$G$4="BL"),((ElevCalc!$G$62-0.75)*ElevCalc!$G$63),NA())</f>
        <v/>
      </c>
      <c r="K164" t="inlineStr">
        <is>
          <t>blglass</t>
        </is>
      </c>
      <c r="L164">
        <f>IF(ElevCalc!$L$45*(ElevCalc!$L$4="BL"),(ElevCalc!$L$64+(ElevCalc!$L$60-0.75)*ElevCalc!$L$63),NA())</f>
        <v/>
      </c>
      <c r="M164">
        <f>IF(ElevCalc!$L$45*(ElevCalc!$L$4="BL"),((ElevCalc!$L$62-0.75)*ElevCalc!$L$63),NA())</f>
        <v/>
      </c>
      <c r="P164" t="inlineStr">
        <is>
          <t>blglass</t>
        </is>
      </c>
      <c r="Q164">
        <f>IF(ElevCalc!$Q$45*(ElevCalc!$Q$4="BL"),(ElevCalc!$Q$64+(ElevCalc!$Q$60-0.75)*ElevCalc!$Q$63),NA())</f>
        <v/>
      </c>
      <c r="R164">
        <f>IF(ElevCalc!$Q$45*(ElevCalc!$Q$4="BL"),((ElevCalc!$Q$62-0.75)*ElevCalc!$Q$63),NA())</f>
        <v/>
      </c>
      <c r="U164" t="inlineStr">
        <is>
          <t>blglass</t>
        </is>
      </c>
      <c r="V164">
        <f>IF(ElevCalc!$V$45*(ElevCalc!$V$4="BL"),(ElevCalc!$V$64+(ElevCalc!$V$60-0.75)*ElevCalc!$V$63),NA())</f>
        <v/>
      </c>
      <c r="W164">
        <f>IF(ElevCalc!$V$45*(ElevCalc!$V$4="BL"),((ElevCalc!$V$62-0.75)*ElevCalc!$V$63),NA())</f>
        <v/>
      </c>
      <c r="Z164" t="inlineStr">
        <is>
          <t>blglass</t>
        </is>
      </c>
      <c r="AA164">
        <f>IF(ElevCalc!$AA$45*(ElevCalc!$AA$4="BL"),(ElevCalc!$AA$64+(ElevCalc!$AA$60-0.75)*ElevCalc!$AA$63),NA())</f>
        <v/>
      </c>
      <c r="AB164">
        <f>IF(ElevCalc!$AA$45*(ElevCalc!$AA$4="BL"),((ElevCalc!$AA$62-0.75)*ElevCalc!$AA$63),NA())</f>
        <v/>
      </c>
      <c r="AE164" t="inlineStr">
        <is>
          <t>blglass</t>
        </is>
      </c>
      <c r="AF164">
        <f>IF(ElevCalc!$AF$45*(ElevCalc!$AF$4="BL"),(ElevCalc!$AF$64+(ElevCalc!$AF$60-0.75)*ElevCalc!$AF$63),NA())</f>
        <v/>
      </c>
      <c r="AG164">
        <f>IF(ElevCalc!$AF$45*(ElevCalc!$AF$4="BL"),((ElevCalc!$AF$62-0.75)*ElevCalc!$AF$63),NA())</f>
        <v/>
      </c>
    </row>
    <row r="165">
      <c r="A165" t="inlineStr">
        <is>
          <t>blglass</t>
        </is>
      </c>
      <c r="B165">
        <f>IF(ElevCalc!$B$45*(ElevCalc!$B$4="BL"),(ElevCalc!$B$64+(ElevCalc!$B$60-0.75)*ElevCalc!$B$63),NA())</f>
        <v/>
      </c>
      <c r="C165">
        <f>IF(ElevCalc!$B$45*(ElevCalc!$B$4="BL"),((ElevCalc!$B$61+0.75)*ElevCalc!$B$63),NA())</f>
        <v/>
      </c>
      <c r="F165" t="inlineStr">
        <is>
          <t>blglass</t>
        </is>
      </c>
      <c r="G165">
        <f>IF(ElevCalc!$G$45*(ElevCalc!$G$4="BL"),(ElevCalc!$G$64+(ElevCalc!$G$60-0.75)*ElevCalc!$G$63),NA())</f>
        <v/>
      </c>
      <c r="H165">
        <f>IF(ElevCalc!$G$45*(ElevCalc!$G$4="BL"),((ElevCalc!$G$61+0.75)*ElevCalc!$G$63),NA())</f>
        <v/>
      </c>
      <c r="K165" t="inlineStr">
        <is>
          <t>blglass</t>
        </is>
      </c>
      <c r="L165">
        <f>IF(ElevCalc!$L$45*(ElevCalc!$L$4="BL"),(ElevCalc!$L$64+(ElevCalc!$L$60-0.75)*ElevCalc!$L$63),NA())</f>
        <v/>
      </c>
      <c r="M165">
        <f>IF(ElevCalc!$L$45*(ElevCalc!$L$4="BL"),((ElevCalc!$L$61+0.75)*ElevCalc!$L$63),NA())</f>
        <v/>
      </c>
      <c r="P165" t="inlineStr">
        <is>
          <t>blglass</t>
        </is>
      </c>
      <c r="Q165">
        <f>IF(ElevCalc!$Q$45*(ElevCalc!$Q$4="BL"),(ElevCalc!$Q$64+(ElevCalc!$Q$60-0.75)*ElevCalc!$Q$63),NA())</f>
        <v/>
      </c>
      <c r="R165">
        <f>IF(ElevCalc!$Q$45*(ElevCalc!$Q$4="BL"),((ElevCalc!$Q$61+0.75)*ElevCalc!$Q$63),NA())</f>
        <v/>
      </c>
      <c r="U165" t="inlineStr">
        <is>
          <t>blglass</t>
        </is>
      </c>
      <c r="V165">
        <f>IF(ElevCalc!$V$45*(ElevCalc!$V$4="BL"),(ElevCalc!$V$64+(ElevCalc!$V$60-0.75)*ElevCalc!$V$63),NA())</f>
        <v/>
      </c>
      <c r="W165">
        <f>IF(ElevCalc!$V$45*(ElevCalc!$V$4="BL"),((ElevCalc!$V$61+0.75)*ElevCalc!$V$63),NA())</f>
        <v/>
      </c>
      <c r="Z165" t="inlineStr">
        <is>
          <t>blglass</t>
        </is>
      </c>
      <c r="AA165">
        <f>IF(ElevCalc!$AA$45*(ElevCalc!$AA$4="BL"),(ElevCalc!$AA$64+(ElevCalc!$AA$60-0.75)*ElevCalc!$AA$63),NA())</f>
        <v/>
      </c>
      <c r="AB165">
        <f>IF(ElevCalc!$AA$45*(ElevCalc!$AA$4="BL"),((ElevCalc!$AA$61+0.75)*ElevCalc!$AA$63),NA())</f>
        <v/>
      </c>
      <c r="AE165" t="inlineStr">
        <is>
          <t>blglass</t>
        </is>
      </c>
      <c r="AF165">
        <f>IF(ElevCalc!$AF$45*(ElevCalc!$AF$4="BL"),(ElevCalc!$AF$64+(ElevCalc!$AF$60-0.75)*ElevCalc!$AF$63),NA())</f>
        <v/>
      </c>
      <c r="AG165">
        <f>IF(ElevCalc!$AF$45*(ElevCalc!$AF$4="BL"),((ElevCalc!$AF$61+0.75)*ElevCalc!$AF$63),NA())</f>
        <v/>
      </c>
    </row>
    <row r="166">
      <c r="A166" t="inlineStr">
        <is>
          <t>blglass</t>
        </is>
      </c>
      <c r="B166">
        <f>IF(ElevCalc!$B$45*(ElevCalc!$B$4="BL"),(ElevCalc!$B$64+(ElevCalc!$B$59+0.75)*ElevCalc!$B$63),NA())</f>
        <v/>
      </c>
      <c r="C166">
        <f>IF(ElevCalc!$B$45*(ElevCalc!$B$4="BL"),((ElevCalc!$B$61+0.75)*ElevCalc!$B$63),NA())</f>
        <v/>
      </c>
      <c r="F166" t="inlineStr">
        <is>
          <t>blglass</t>
        </is>
      </c>
      <c r="G166">
        <f>IF(ElevCalc!$G$45*(ElevCalc!$G$4="BL"),(ElevCalc!$G$64+(ElevCalc!$G$59+0.75)*ElevCalc!$G$63),NA())</f>
        <v/>
      </c>
      <c r="H166">
        <f>IF(ElevCalc!$G$45*(ElevCalc!$G$4="BL"),((ElevCalc!$G$61+0.75)*ElevCalc!$G$63),NA())</f>
        <v/>
      </c>
      <c r="K166" t="inlineStr">
        <is>
          <t>blglass</t>
        </is>
      </c>
      <c r="L166">
        <f>IF(ElevCalc!$L$45*(ElevCalc!$L$4="BL"),(ElevCalc!$L$64+(ElevCalc!$L$59+0.75)*ElevCalc!$L$63),NA())</f>
        <v/>
      </c>
      <c r="M166">
        <f>IF(ElevCalc!$L$45*(ElevCalc!$L$4="BL"),((ElevCalc!$L$61+0.75)*ElevCalc!$L$63),NA())</f>
        <v/>
      </c>
      <c r="P166" t="inlineStr">
        <is>
          <t>blglass</t>
        </is>
      </c>
      <c r="Q166">
        <f>IF(ElevCalc!$Q$45*(ElevCalc!$Q$4="BL"),(ElevCalc!$Q$64+(ElevCalc!$Q$59+0.75)*ElevCalc!$Q$63),NA())</f>
        <v/>
      </c>
      <c r="R166">
        <f>IF(ElevCalc!$Q$45*(ElevCalc!$Q$4="BL"),((ElevCalc!$Q$61+0.75)*ElevCalc!$Q$63),NA())</f>
        <v/>
      </c>
      <c r="U166" t="inlineStr">
        <is>
          <t>blglass</t>
        </is>
      </c>
      <c r="V166">
        <f>IF(ElevCalc!$V$45*(ElevCalc!$V$4="BL"),(ElevCalc!$V$64+(ElevCalc!$V$59+0.75)*ElevCalc!$V$63),NA())</f>
        <v/>
      </c>
      <c r="W166">
        <f>IF(ElevCalc!$V$45*(ElevCalc!$V$4="BL"),((ElevCalc!$V$61+0.75)*ElevCalc!$V$63),NA())</f>
        <v/>
      </c>
      <c r="Z166" t="inlineStr">
        <is>
          <t>blglass</t>
        </is>
      </c>
      <c r="AA166">
        <f>IF(ElevCalc!$AA$45*(ElevCalc!$AA$4="BL"),(ElevCalc!$AA$64+(ElevCalc!$AA$59+0.75)*ElevCalc!$AA$63),NA())</f>
        <v/>
      </c>
      <c r="AB166">
        <f>IF(ElevCalc!$AA$45*(ElevCalc!$AA$4="BL"),((ElevCalc!$AA$61+0.75)*ElevCalc!$AA$63),NA())</f>
        <v/>
      </c>
      <c r="AE166" t="inlineStr">
        <is>
          <t>blglass</t>
        </is>
      </c>
      <c r="AF166">
        <f>IF(ElevCalc!$AF$45*(ElevCalc!$AF$4="BL"),(ElevCalc!$AF$64+(ElevCalc!$AF$59+0.75)*ElevCalc!$AF$63),NA())</f>
        <v/>
      </c>
      <c r="AG166">
        <f>IF(ElevCalc!$AF$45*(ElevCalc!$AF$4="BL"),((ElevCalc!$AF$61+0.75)*ElevCalc!$AF$63),NA())</f>
        <v/>
      </c>
    </row>
    <row r="168">
      <c r="A168" t="inlineStr">
        <is>
          <t>leaf1</t>
        </is>
      </c>
      <c r="B168">
        <f>IF(ElevCalc!$B$45*(ElevCalc!$B$65&gt;=1),(ElevCalc!$B$64+(ElevCalc!$B$72)*ElevCalc!$B$63),NA())</f>
        <v/>
      </c>
      <c r="C168">
        <f>IF(ElevCalc!$B$45*(ElevCalc!$B$65&gt;=1),((ElevCalc!$B$68)*ElevCalc!$B$63),NA())</f>
        <v/>
      </c>
      <c r="F168" t="inlineStr">
        <is>
          <t>leaf1</t>
        </is>
      </c>
      <c r="G168">
        <f>IF(ElevCalc!$G$45*(ElevCalc!$G$65&gt;=1),(ElevCalc!$G$64+(ElevCalc!$G$72)*ElevCalc!$G$63),NA())</f>
        <v/>
      </c>
      <c r="H168">
        <f>IF(ElevCalc!$G$45*(ElevCalc!$G$65&gt;=1),((ElevCalc!$G$68)*ElevCalc!$G$63),NA())</f>
        <v/>
      </c>
      <c r="K168" t="inlineStr">
        <is>
          <t>leaf1</t>
        </is>
      </c>
      <c r="L168">
        <f>IF(ElevCalc!$L$45*(ElevCalc!$L$65&gt;=1),(ElevCalc!$L$64+(ElevCalc!$L$72)*ElevCalc!$L$63),NA())</f>
        <v/>
      </c>
      <c r="M168">
        <f>IF(ElevCalc!$L$45*(ElevCalc!$L$65&gt;=1),((ElevCalc!$L$68)*ElevCalc!$L$63),NA())</f>
        <v/>
      </c>
      <c r="P168" t="inlineStr">
        <is>
          <t>leaf1</t>
        </is>
      </c>
      <c r="Q168">
        <f>IF(ElevCalc!$Q$45*(ElevCalc!$Q$65&gt;=1),(ElevCalc!$Q$64+(ElevCalc!$Q$72)*ElevCalc!$Q$63),NA())</f>
        <v/>
      </c>
      <c r="R168">
        <f>IF(ElevCalc!$Q$45*(ElevCalc!$Q$65&gt;=1),((ElevCalc!$Q$68)*ElevCalc!$Q$63),NA())</f>
        <v/>
      </c>
      <c r="U168" t="inlineStr">
        <is>
          <t>leaf1</t>
        </is>
      </c>
      <c r="V168">
        <f>IF(ElevCalc!$V$45*(ElevCalc!$V$65&gt;=1),(ElevCalc!$V$64+(ElevCalc!$V$72)*ElevCalc!$V$63),NA())</f>
        <v/>
      </c>
      <c r="W168">
        <f>IF(ElevCalc!$V$45*(ElevCalc!$V$65&gt;=1),((ElevCalc!$V$68)*ElevCalc!$V$63),NA())</f>
        <v/>
      </c>
      <c r="Z168" t="inlineStr">
        <is>
          <t>leaf1</t>
        </is>
      </c>
      <c r="AA168">
        <f>IF(ElevCalc!$AA$45*(ElevCalc!$AA$65&gt;=1),(ElevCalc!$AA$64+(ElevCalc!$AA$72)*ElevCalc!$AA$63),NA())</f>
        <v/>
      </c>
      <c r="AB168">
        <f>IF(ElevCalc!$AA$45*(ElevCalc!$AA$65&gt;=1),((ElevCalc!$AA$68)*ElevCalc!$AA$63),NA())</f>
        <v/>
      </c>
      <c r="AE168" t="inlineStr">
        <is>
          <t>leaf1</t>
        </is>
      </c>
      <c r="AF168">
        <f>IF(ElevCalc!$AF$45*(ElevCalc!$AF$65&gt;=1),(ElevCalc!$AF$64+(ElevCalc!$AF$72)*ElevCalc!$AF$63),NA())</f>
        <v/>
      </c>
      <c r="AG168">
        <f>IF(ElevCalc!$AF$45*(ElevCalc!$AF$65&gt;=1),((ElevCalc!$AF$68)*ElevCalc!$AF$63),NA())</f>
        <v/>
      </c>
    </row>
    <row r="169">
      <c r="A169" t="inlineStr">
        <is>
          <t>leaf1</t>
        </is>
      </c>
      <c r="B169">
        <f>IF(ElevCalc!$B$45*(ElevCalc!$B$65&gt;=1),(ElevCalc!$B$64+(ElevCalc!$B$72)*ElevCalc!$B$63),NA())</f>
        <v/>
      </c>
      <c r="C169">
        <f>IF(ElevCalc!$B$45*(ElevCalc!$B$65&gt;=1),((ElevCalc!$B$69)*ElevCalc!$B$63),NA())</f>
        <v/>
      </c>
      <c r="F169" t="inlineStr">
        <is>
          <t>leaf1</t>
        </is>
      </c>
      <c r="G169">
        <f>IF(ElevCalc!$G$45*(ElevCalc!$G$65&gt;=1),(ElevCalc!$G$64+(ElevCalc!$G$72)*ElevCalc!$G$63),NA())</f>
        <v/>
      </c>
      <c r="H169">
        <f>IF(ElevCalc!$G$45*(ElevCalc!$G$65&gt;=1),((ElevCalc!$G$69)*ElevCalc!$G$63),NA())</f>
        <v/>
      </c>
      <c r="K169" t="inlineStr">
        <is>
          <t>leaf1</t>
        </is>
      </c>
      <c r="L169">
        <f>IF(ElevCalc!$L$45*(ElevCalc!$L$65&gt;=1),(ElevCalc!$L$64+(ElevCalc!$L$72)*ElevCalc!$L$63),NA())</f>
        <v/>
      </c>
      <c r="M169">
        <f>IF(ElevCalc!$L$45*(ElevCalc!$L$65&gt;=1),((ElevCalc!$L$69)*ElevCalc!$L$63),NA())</f>
        <v/>
      </c>
      <c r="P169" t="inlineStr">
        <is>
          <t>leaf1</t>
        </is>
      </c>
      <c r="Q169">
        <f>IF(ElevCalc!$Q$45*(ElevCalc!$Q$65&gt;=1),(ElevCalc!$Q$64+(ElevCalc!$Q$72)*ElevCalc!$Q$63),NA())</f>
        <v/>
      </c>
      <c r="R169">
        <f>IF(ElevCalc!$Q$45*(ElevCalc!$Q$65&gt;=1),((ElevCalc!$Q$69)*ElevCalc!$Q$63),NA())</f>
        <v/>
      </c>
      <c r="U169" t="inlineStr">
        <is>
          <t>leaf1</t>
        </is>
      </c>
      <c r="V169">
        <f>IF(ElevCalc!$V$45*(ElevCalc!$V$65&gt;=1),(ElevCalc!$V$64+(ElevCalc!$V$72)*ElevCalc!$V$63),NA())</f>
        <v/>
      </c>
      <c r="W169">
        <f>IF(ElevCalc!$V$45*(ElevCalc!$V$65&gt;=1),((ElevCalc!$V$69)*ElevCalc!$V$63),NA())</f>
        <v/>
      </c>
      <c r="Z169" t="inlineStr">
        <is>
          <t>leaf1</t>
        </is>
      </c>
      <c r="AA169">
        <f>IF(ElevCalc!$AA$45*(ElevCalc!$AA$65&gt;=1),(ElevCalc!$AA$64+(ElevCalc!$AA$72)*ElevCalc!$AA$63),NA())</f>
        <v/>
      </c>
      <c r="AB169">
        <f>IF(ElevCalc!$AA$45*(ElevCalc!$AA$65&gt;=1),((ElevCalc!$AA$69)*ElevCalc!$AA$63),NA())</f>
        <v/>
      </c>
      <c r="AE169" t="inlineStr">
        <is>
          <t>leaf1</t>
        </is>
      </c>
      <c r="AF169">
        <f>IF(ElevCalc!$AF$45*(ElevCalc!$AF$65&gt;=1),(ElevCalc!$AF$64+(ElevCalc!$AF$72)*ElevCalc!$AF$63),NA())</f>
        <v/>
      </c>
      <c r="AG169">
        <f>IF(ElevCalc!$AF$45*(ElevCalc!$AF$65&gt;=1),((ElevCalc!$AF$69)*ElevCalc!$AF$63),NA())</f>
        <v/>
      </c>
    </row>
    <row r="170">
      <c r="A170" t="inlineStr">
        <is>
          <t>leaf1</t>
        </is>
      </c>
      <c r="B170">
        <f>IF(ElevCalc!$B$45*(ElevCalc!$B$65&gt;=1),(ElevCalc!$B$64+(ElevCalc!$B$73)*ElevCalc!$B$63),NA())</f>
        <v/>
      </c>
      <c r="C170">
        <f>IF(ElevCalc!$B$45*(ElevCalc!$B$65&gt;=1),((ElevCalc!$B$69)*ElevCalc!$B$63),NA())</f>
        <v/>
      </c>
      <c r="F170" t="inlineStr">
        <is>
          <t>leaf1</t>
        </is>
      </c>
      <c r="G170">
        <f>IF(ElevCalc!$G$45*(ElevCalc!$G$65&gt;=1),(ElevCalc!$G$64+(ElevCalc!$G$73)*ElevCalc!$G$63),NA())</f>
        <v/>
      </c>
      <c r="H170">
        <f>IF(ElevCalc!$G$45*(ElevCalc!$G$65&gt;=1),((ElevCalc!$G$69)*ElevCalc!$G$63),NA())</f>
        <v/>
      </c>
      <c r="K170" t="inlineStr">
        <is>
          <t>leaf1</t>
        </is>
      </c>
      <c r="L170">
        <f>IF(ElevCalc!$L$45*(ElevCalc!$L$65&gt;=1),(ElevCalc!$L$64+(ElevCalc!$L$73)*ElevCalc!$L$63),NA())</f>
        <v/>
      </c>
      <c r="M170">
        <f>IF(ElevCalc!$L$45*(ElevCalc!$L$65&gt;=1),((ElevCalc!$L$69)*ElevCalc!$L$63),NA())</f>
        <v/>
      </c>
      <c r="P170" t="inlineStr">
        <is>
          <t>leaf1</t>
        </is>
      </c>
      <c r="Q170">
        <f>IF(ElevCalc!$Q$45*(ElevCalc!$Q$65&gt;=1),(ElevCalc!$Q$64+(ElevCalc!$Q$73)*ElevCalc!$Q$63),NA())</f>
        <v/>
      </c>
      <c r="R170">
        <f>IF(ElevCalc!$Q$45*(ElevCalc!$Q$65&gt;=1),((ElevCalc!$Q$69)*ElevCalc!$Q$63),NA())</f>
        <v/>
      </c>
      <c r="U170" t="inlineStr">
        <is>
          <t>leaf1</t>
        </is>
      </c>
      <c r="V170">
        <f>IF(ElevCalc!$V$45*(ElevCalc!$V$65&gt;=1),(ElevCalc!$V$64+(ElevCalc!$V$73)*ElevCalc!$V$63),NA())</f>
        <v/>
      </c>
      <c r="W170">
        <f>IF(ElevCalc!$V$45*(ElevCalc!$V$65&gt;=1),((ElevCalc!$V$69)*ElevCalc!$V$63),NA())</f>
        <v/>
      </c>
      <c r="Z170" t="inlineStr">
        <is>
          <t>leaf1</t>
        </is>
      </c>
      <c r="AA170">
        <f>IF(ElevCalc!$AA$45*(ElevCalc!$AA$65&gt;=1),(ElevCalc!$AA$64+(ElevCalc!$AA$73)*ElevCalc!$AA$63),NA())</f>
        <v/>
      </c>
      <c r="AB170">
        <f>IF(ElevCalc!$AA$45*(ElevCalc!$AA$65&gt;=1),((ElevCalc!$AA$69)*ElevCalc!$AA$63),NA())</f>
        <v/>
      </c>
      <c r="AE170" t="inlineStr">
        <is>
          <t>leaf1</t>
        </is>
      </c>
      <c r="AF170">
        <f>IF(ElevCalc!$AF$45*(ElevCalc!$AF$65&gt;=1),(ElevCalc!$AF$64+(ElevCalc!$AF$73)*ElevCalc!$AF$63),NA())</f>
        <v/>
      </c>
      <c r="AG170">
        <f>IF(ElevCalc!$AF$45*(ElevCalc!$AF$65&gt;=1),((ElevCalc!$AF$69)*ElevCalc!$AF$63),NA())</f>
        <v/>
      </c>
    </row>
    <row r="171">
      <c r="A171" t="inlineStr">
        <is>
          <t>leaf1</t>
        </is>
      </c>
      <c r="B171">
        <f>IF(ElevCalc!$B$45*(ElevCalc!$B$65&gt;=1),(ElevCalc!$B$64+(ElevCalc!$B$73)*ElevCalc!$B$63),NA())</f>
        <v/>
      </c>
      <c r="C171">
        <f>IF(ElevCalc!$B$45*(ElevCalc!$B$65&gt;=1),((ElevCalc!$B$68)*ElevCalc!$B$63),NA())</f>
        <v/>
      </c>
      <c r="F171" t="inlineStr">
        <is>
          <t>leaf1</t>
        </is>
      </c>
      <c r="G171">
        <f>IF(ElevCalc!$G$45*(ElevCalc!$G$65&gt;=1),(ElevCalc!$G$64+(ElevCalc!$G$73)*ElevCalc!$G$63),NA())</f>
        <v/>
      </c>
      <c r="H171">
        <f>IF(ElevCalc!$G$45*(ElevCalc!$G$65&gt;=1),((ElevCalc!$G$68)*ElevCalc!$G$63),NA())</f>
        <v/>
      </c>
      <c r="K171" t="inlineStr">
        <is>
          <t>leaf1</t>
        </is>
      </c>
      <c r="L171">
        <f>IF(ElevCalc!$L$45*(ElevCalc!$L$65&gt;=1),(ElevCalc!$L$64+(ElevCalc!$L$73)*ElevCalc!$L$63),NA())</f>
        <v/>
      </c>
      <c r="M171">
        <f>IF(ElevCalc!$L$45*(ElevCalc!$L$65&gt;=1),((ElevCalc!$L$68)*ElevCalc!$L$63),NA())</f>
        <v/>
      </c>
      <c r="P171" t="inlineStr">
        <is>
          <t>leaf1</t>
        </is>
      </c>
      <c r="Q171">
        <f>IF(ElevCalc!$Q$45*(ElevCalc!$Q$65&gt;=1),(ElevCalc!$Q$64+(ElevCalc!$Q$73)*ElevCalc!$Q$63),NA())</f>
        <v/>
      </c>
      <c r="R171">
        <f>IF(ElevCalc!$Q$45*(ElevCalc!$Q$65&gt;=1),((ElevCalc!$Q$68)*ElevCalc!$Q$63),NA())</f>
        <v/>
      </c>
      <c r="U171" t="inlineStr">
        <is>
          <t>leaf1</t>
        </is>
      </c>
      <c r="V171">
        <f>IF(ElevCalc!$V$45*(ElevCalc!$V$65&gt;=1),(ElevCalc!$V$64+(ElevCalc!$V$73)*ElevCalc!$V$63),NA())</f>
        <v/>
      </c>
      <c r="W171">
        <f>IF(ElevCalc!$V$45*(ElevCalc!$V$65&gt;=1),((ElevCalc!$V$68)*ElevCalc!$V$63),NA())</f>
        <v/>
      </c>
      <c r="Z171" t="inlineStr">
        <is>
          <t>leaf1</t>
        </is>
      </c>
      <c r="AA171">
        <f>IF(ElevCalc!$AA$45*(ElevCalc!$AA$65&gt;=1),(ElevCalc!$AA$64+(ElevCalc!$AA$73)*ElevCalc!$AA$63),NA())</f>
        <v/>
      </c>
      <c r="AB171">
        <f>IF(ElevCalc!$AA$45*(ElevCalc!$AA$65&gt;=1),((ElevCalc!$AA$68)*ElevCalc!$AA$63),NA())</f>
        <v/>
      </c>
      <c r="AE171" t="inlineStr">
        <is>
          <t>leaf1</t>
        </is>
      </c>
      <c r="AF171">
        <f>IF(ElevCalc!$AF$45*(ElevCalc!$AF$65&gt;=1),(ElevCalc!$AF$64+(ElevCalc!$AF$73)*ElevCalc!$AF$63),NA())</f>
        <v/>
      </c>
      <c r="AG171">
        <f>IF(ElevCalc!$AF$45*(ElevCalc!$AF$65&gt;=1),((ElevCalc!$AF$68)*ElevCalc!$AF$63),NA())</f>
        <v/>
      </c>
    </row>
    <row r="172">
      <c r="A172" t="inlineStr">
        <is>
          <t>leaf1</t>
        </is>
      </c>
      <c r="B172">
        <f>IF(ElevCalc!$B$45*(ElevCalc!$B$65&gt;=1),(ElevCalc!$B$64+(ElevCalc!$B$72)*ElevCalc!$B$63),NA())</f>
        <v/>
      </c>
      <c r="C172">
        <f>IF(ElevCalc!$B$45*(ElevCalc!$B$65&gt;=1),((ElevCalc!$B$68)*ElevCalc!$B$63),NA())</f>
        <v/>
      </c>
      <c r="F172" t="inlineStr">
        <is>
          <t>leaf1</t>
        </is>
      </c>
      <c r="G172">
        <f>IF(ElevCalc!$G$45*(ElevCalc!$G$65&gt;=1),(ElevCalc!$G$64+(ElevCalc!$G$72)*ElevCalc!$G$63),NA())</f>
        <v/>
      </c>
      <c r="H172">
        <f>IF(ElevCalc!$G$45*(ElevCalc!$G$65&gt;=1),((ElevCalc!$G$68)*ElevCalc!$G$63),NA())</f>
        <v/>
      </c>
      <c r="K172" t="inlineStr">
        <is>
          <t>leaf1</t>
        </is>
      </c>
      <c r="L172">
        <f>IF(ElevCalc!$L$45*(ElevCalc!$L$65&gt;=1),(ElevCalc!$L$64+(ElevCalc!$L$72)*ElevCalc!$L$63),NA())</f>
        <v/>
      </c>
      <c r="M172">
        <f>IF(ElevCalc!$L$45*(ElevCalc!$L$65&gt;=1),((ElevCalc!$L$68)*ElevCalc!$L$63),NA())</f>
        <v/>
      </c>
      <c r="P172" t="inlineStr">
        <is>
          <t>leaf1</t>
        </is>
      </c>
      <c r="Q172">
        <f>IF(ElevCalc!$Q$45*(ElevCalc!$Q$65&gt;=1),(ElevCalc!$Q$64+(ElevCalc!$Q$72)*ElevCalc!$Q$63),NA())</f>
        <v/>
      </c>
      <c r="R172">
        <f>IF(ElevCalc!$Q$45*(ElevCalc!$Q$65&gt;=1),((ElevCalc!$Q$68)*ElevCalc!$Q$63),NA())</f>
        <v/>
      </c>
      <c r="U172" t="inlineStr">
        <is>
          <t>leaf1</t>
        </is>
      </c>
      <c r="V172">
        <f>IF(ElevCalc!$V$45*(ElevCalc!$V$65&gt;=1),(ElevCalc!$V$64+(ElevCalc!$V$72)*ElevCalc!$V$63),NA())</f>
        <v/>
      </c>
      <c r="W172">
        <f>IF(ElevCalc!$V$45*(ElevCalc!$V$65&gt;=1),((ElevCalc!$V$68)*ElevCalc!$V$63),NA())</f>
        <v/>
      </c>
      <c r="Z172" t="inlineStr">
        <is>
          <t>leaf1</t>
        </is>
      </c>
      <c r="AA172">
        <f>IF(ElevCalc!$AA$45*(ElevCalc!$AA$65&gt;=1),(ElevCalc!$AA$64+(ElevCalc!$AA$72)*ElevCalc!$AA$63),NA())</f>
        <v/>
      </c>
      <c r="AB172">
        <f>IF(ElevCalc!$AA$45*(ElevCalc!$AA$65&gt;=1),((ElevCalc!$AA$68)*ElevCalc!$AA$63),NA())</f>
        <v/>
      </c>
      <c r="AE172" t="inlineStr">
        <is>
          <t>leaf1</t>
        </is>
      </c>
      <c r="AF172">
        <f>IF(ElevCalc!$AF$45*(ElevCalc!$AF$65&gt;=1),(ElevCalc!$AF$64+(ElevCalc!$AF$72)*ElevCalc!$AF$63),NA())</f>
        <v/>
      </c>
      <c r="AG172">
        <f>IF(ElevCalc!$AF$45*(ElevCalc!$AF$65&gt;=1),((ElevCalc!$AF$68)*ElevCalc!$AF$63),NA())</f>
        <v/>
      </c>
    </row>
    <row r="174">
      <c r="A174" t="inlineStr">
        <is>
          <t>leaf2</t>
        </is>
      </c>
      <c r="B174">
        <f>IF(ElevCalc!$B$45*(ElevCalc!$B$65=2),(ElevCalc!$B$64+(ElevCalc!$B$75)*ElevCalc!$B$63),NA())</f>
        <v/>
      </c>
      <c r="C174">
        <f>IF(ElevCalc!$B$45*(ElevCalc!$B$65=2),((ElevCalc!$B$68)*ElevCalc!$B$63),NA())</f>
        <v/>
      </c>
      <c r="F174" t="inlineStr">
        <is>
          <t>leaf2</t>
        </is>
      </c>
      <c r="G174">
        <f>IF(ElevCalc!$G$45*(ElevCalc!$G$65=2),(ElevCalc!$G$64+(ElevCalc!$G$75)*ElevCalc!$G$63),NA())</f>
        <v/>
      </c>
      <c r="H174">
        <f>IF(ElevCalc!$G$45*(ElevCalc!$G$65=2),((ElevCalc!$G$68)*ElevCalc!$G$63),NA())</f>
        <v/>
      </c>
      <c r="K174" t="inlineStr">
        <is>
          <t>leaf2</t>
        </is>
      </c>
      <c r="L174">
        <f>IF(ElevCalc!$L$45*(ElevCalc!$L$65=2),(ElevCalc!$L$64+(ElevCalc!$L$75)*ElevCalc!$L$63),NA())</f>
        <v/>
      </c>
      <c r="M174">
        <f>IF(ElevCalc!$L$45*(ElevCalc!$L$65=2),((ElevCalc!$L$68)*ElevCalc!$L$63),NA())</f>
        <v/>
      </c>
      <c r="P174" t="inlineStr">
        <is>
          <t>leaf2</t>
        </is>
      </c>
      <c r="Q174">
        <f>IF(ElevCalc!$Q$45*(ElevCalc!$Q$65=2),(ElevCalc!$Q$64+(ElevCalc!$Q$75)*ElevCalc!$Q$63),NA())</f>
        <v/>
      </c>
      <c r="R174">
        <f>IF(ElevCalc!$Q$45*(ElevCalc!$Q$65=2),((ElevCalc!$Q$68)*ElevCalc!$Q$63),NA())</f>
        <v/>
      </c>
      <c r="U174" t="inlineStr">
        <is>
          <t>leaf2</t>
        </is>
      </c>
      <c r="V174">
        <f>IF(ElevCalc!$V$45*(ElevCalc!$V$65=2),(ElevCalc!$V$64+(ElevCalc!$V$75)*ElevCalc!$V$63),NA())</f>
        <v/>
      </c>
      <c r="W174">
        <f>IF(ElevCalc!$V$45*(ElevCalc!$V$65=2),((ElevCalc!$V$68)*ElevCalc!$V$63),NA())</f>
        <v/>
      </c>
      <c r="Z174" t="inlineStr">
        <is>
          <t>leaf2</t>
        </is>
      </c>
      <c r="AA174">
        <f>IF(ElevCalc!$AA$45*(ElevCalc!$AA$65=2),(ElevCalc!$AA$64+(ElevCalc!$AA$75)*ElevCalc!$AA$63),NA())</f>
        <v/>
      </c>
      <c r="AB174">
        <f>IF(ElevCalc!$AA$45*(ElevCalc!$AA$65=2),((ElevCalc!$AA$68)*ElevCalc!$AA$63),NA())</f>
        <v/>
      </c>
      <c r="AE174" t="inlineStr">
        <is>
          <t>leaf2</t>
        </is>
      </c>
      <c r="AF174">
        <f>IF(ElevCalc!$AF$45*(ElevCalc!$AF$65=2),(ElevCalc!$AF$64+(ElevCalc!$AF$75)*ElevCalc!$AF$63),NA())</f>
        <v/>
      </c>
      <c r="AG174">
        <f>IF(ElevCalc!$AF$45*(ElevCalc!$AF$65=2),((ElevCalc!$AF$68)*ElevCalc!$AF$63),NA())</f>
        <v/>
      </c>
    </row>
    <row r="175">
      <c r="A175" t="inlineStr">
        <is>
          <t>leaf2</t>
        </is>
      </c>
      <c r="B175">
        <f>IF(ElevCalc!$B$45*(ElevCalc!$B$65=2),(ElevCalc!$B$64+(ElevCalc!$B$75)*ElevCalc!$B$63),NA())</f>
        <v/>
      </c>
      <c r="C175">
        <f>IF(ElevCalc!$B$45*(ElevCalc!$B$65=2),((ElevCalc!$B$69)*ElevCalc!$B$63),NA())</f>
        <v/>
      </c>
      <c r="F175" t="inlineStr">
        <is>
          <t>leaf2</t>
        </is>
      </c>
      <c r="G175">
        <f>IF(ElevCalc!$G$45*(ElevCalc!$G$65=2),(ElevCalc!$G$64+(ElevCalc!$G$75)*ElevCalc!$G$63),NA())</f>
        <v/>
      </c>
      <c r="H175">
        <f>IF(ElevCalc!$G$45*(ElevCalc!$G$65=2),((ElevCalc!$G$69)*ElevCalc!$G$63),NA())</f>
        <v/>
      </c>
      <c r="K175" t="inlineStr">
        <is>
          <t>leaf2</t>
        </is>
      </c>
      <c r="L175">
        <f>IF(ElevCalc!$L$45*(ElevCalc!$L$65=2),(ElevCalc!$L$64+(ElevCalc!$L$75)*ElevCalc!$L$63),NA())</f>
        <v/>
      </c>
      <c r="M175">
        <f>IF(ElevCalc!$L$45*(ElevCalc!$L$65=2),((ElevCalc!$L$69)*ElevCalc!$L$63),NA())</f>
        <v/>
      </c>
      <c r="P175" t="inlineStr">
        <is>
          <t>leaf2</t>
        </is>
      </c>
      <c r="Q175">
        <f>IF(ElevCalc!$Q$45*(ElevCalc!$Q$65=2),(ElevCalc!$Q$64+(ElevCalc!$Q$75)*ElevCalc!$Q$63),NA())</f>
        <v/>
      </c>
      <c r="R175">
        <f>IF(ElevCalc!$Q$45*(ElevCalc!$Q$65=2),((ElevCalc!$Q$69)*ElevCalc!$Q$63),NA())</f>
        <v/>
      </c>
      <c r="U175" t="inlineStr">
        <is>
          <t>leaf2</t>
        </is>
      </c>
      <c r="V175">
        <f>IF(ElevCalc!$V$45*(ElevCalc!$V$65=2),(ElevCalc!$V$64+(ElevCalc!$V$75)*ElevCalc!$V$63),NA())</f>
        <v/>
      </c>
      <c r="W175">
        <f>IF(ElevCalc!$V$45*(ElevCalc!$V$65=2),((ElevCalc!$V$69)*ElevCalc!$V$63),NA())</f>
        <v/>
      </c>
      <c r="Z175" t="inlineStr">
        <is>
          <t>leaf2</t>
        </is>
      </c>
      <c r="AA175">
        <f>IF(ElevCalc!$AA$45*(ElevCalc!$AA$65=2),(ElevCalc!$AA$64+(ElevCalc!$AA$75)*ElevCalc!$AA$63),NA())</f>
        <v/>
      </c>
      <c r="AB175">
        <f>IF(ElevCalc!$AA$45*(ElevCalc!$AA$65=2),((ElevCalc!$AA$69)*ElevCalc!$AA$63),NA())</f>
        <v/>
      </c>
      <c r="AE175" t="inlineStr">
        <is>
          <t>leaf2</t>
        </is>
      </c>
      <c r="AF175">
        <f>IF(ElevCalc!$AF$45*(ElevCalc!$AF$65=2),(ElevCalc!$AF$64+(ElevCalc!$AF$75)*ElevCalc!$AF$63),NA())</f>
        <v/>
      </c>
      <c r="AG175">
        <f>IF(ElevCalc!$AF$45*(ElevCalc!$AF$65=2),((ElevCalc!$AF$69)*ElevCalc!$AF$63),NA())</f>
        <v/>
      </c>
    </row>
    <row r="176">
      <c r="A176" t="inlineStr">
        <is>
          <t>leaf2</t>
        </is>
      </c>
      <c r="B176">
        <f>IF(ElevCalc!$B$45*(ElevCalc!$B$65=2),(ElevCalc!$B$64+(ElevCalc!$B$74)*ElevCalc!$B$63),NA())</f>
        <v/>
      </c>
      <c r="C176">
        <f>IF(ElevCalc!$B$45*(ElevCalc!$B$65=2),((ElevCalc!$B$69)*ElevCalc!$B$63),NA())</f>
        <v/>
      </c>
      <c r="F176" t="inlineStr">
        <is>
          <t>leaf2</t>
        </is>
      </c>
      <c r="G176">
        <f>IF(ElevCalc!$G$45*(ElevCalc!$G$65=2),(ElevCalc!$G$64+(ElevCalc!$G$74)*ElevCalc!$G$63),NA())</f>
        <v/>
      </c>
      <c r="H176">
        <f>IF(ElevCalc!$G$45*(ElevCalc!$G$65=2),((ElevCalc!$G$69)*ElevCalc!$G$63),NA())</f>
        <v/>
      </c>
      <c r="K176" t="inlineStr">
        <is>
          <t>leaf2</t>
        </is>
      </c>
      <c r="L176">
        <f>IF(ElevCalc!$L$45*(ElevCalc!$L$65=2),(ElevCalc!$L$64+(ElevCalc!$L$74)*ElevCalc!$L$63),NA())</f>
        <v/>
      </c>
      <c r="M176">
        <f>IF(ElevCalc!$L$45*(ElevCalc!$L$65=2),((ElevCalc!$L$69)*ElevCalc!$L$63),NA())</f>
        <v/>
      </c>
      <c r="P176" t="inlineStr">
        <is>
          <t>leaf2</t>
        </is>
      </c>
      <c r="Q176">
        <f>IF(ElevCalc!$Q$45*(ElevCalc!$Q$65=2),(ElevCalc!$Q$64+(ElevCalc!$Q$74)*ElevCalc!$Q$63),NA())</f>
        <v/>
      </c>
      <c r="R176">
        <f>IF(ElevCalc!$Q$45*(ElevCalc!$Q$65=2),((ElevCalc!$Q$69)*ElevCalc!$Q$63),NA())</f>
        <v/>
      </c>
      <c r="U176" t="inlineStr">
        <is>
          <t>leaf2</t>
        </is>
      </c>
      <c r="V176">
        <f>IF(ElevCalc!$V$45*(ElevCalc!$V$65=2),(ElevCalc!$V$64+(ElevCalc!$V$74)*ElevCalc!$V$63),NA())</f>
        <v/>
      </c>
      <c r="W176">
        <f>IF(ElevCalc!$V$45*(ElevCalc!$V$65=2),((ElevCalc!$V$69)*ElevCalc!$V$63),NA())</f>
        <v/>
      </c>
      <c r="Z176" t="inlineStr">
        <is>
          <t>leaf2</t>
        </is>
      </c>
      <c r="AA176">
        <f>IF(ElevCalc!$AA$45*(ElevCalc!$AA$65=2),(ElevCalc!$AA$64+(ElevCalc!$AA$74)*ElevCalc!$AA$63),NA())</f>
        <v/>
      </c>
      <c r="AB176">
        <f>IF(ElevCalc!$AA$45*(ElevCalc!$AA$65=2),((ElevCalc!$AA$69)*ElevCalc!$AA$63),NA())</f>
        <v/>
      </c>
      <c r="AE176" t="inlineStr">
        <is>
          <t>leaf2</t>
        </is>
      </c>
      <c r="AF176">
        <f>IF(ElevCalc!$AF$45*(ElevCalc!$AF$65=2),(ElevCalc!$AF$64+(ElevCalc!$AF$74)*ElevCalc!$AF$63),NA())</f>
        <v/>
      </c>
      <c r="AG176">
        <f>IF(ElevCalc!$AF$45*(ElevCalc!$AF$65=2),((ElevCalc!$AF$69)*ElevCalc!$AF$63),NA())</f>
        <v/>
      </c>
    </row>
    <row r="177">
      <c r="A177" t="inlineStr">
        <is>
          <t>leaf2</t>
        </is>
      </c>
      <c r="B177">
        <f>IF(ElevCalc!$B$45*(ElevCalc!$B$65=2),(ElevCalc!$B$64+(ElevCalc!$B$74)*ElevCalc!$B$63),NA())</f>
        <v/>
      </c>
      <c r="C177">
        <f>IF(ElevCalc!$B$45*(ElevCalc!$B$65=2),((ElevCalc!$B$68)*ElevCalc!$B$63),NA())</f>
        <v/>
      </c>
      <c r="F177" t="inlineStr">
        <is>
          <t>leaf2</t>
        </is>
      </c>
      <c r="G177">
        <f>IF(ElevCalc!$G$45*(ElevCalc!$G$65=2),(ElevCalc!$G$64+(ElevCalc!$G$74)*ElevCalc!$G$63),NA())</f>
        <v/>
      </c>
      <c r="H177">
        <f>IF(ElevCalc!$G$45*(ElevCalc!$G$65=2),((ElevCalc!$G$68)*ElevCalc!$G$63),NA())</f>
        <v/>
      </c>
      <c r="K177" t="inlineStr">
        <is>
          <t>leaf2</t>
        </is>
      </c>
      <c r="L177">
        <f>IF(ElevCalc!$L$45*(ElevCalc!$L$65=2),(ElevCalc!$L$64+(ElevCalc!$L$74)*ElevCalc!$L$63),NA())</f>
        <v/>
      </c>
      <c r="M177">
        <f>IF(ElevCalc!$L$45*(ElevCalc!$L$65=2),((ElevCalc!$L$68)*ElevCalc!$L$63),NA())</f>
        <v/>
      </c>
      <c r="P177" t="inlineStr">
        <is>
          <t>leaf2</t>
        </is>
      </c>
      <c r="Q177">
        <f>IF(ElevCalc!$Q$45*(ElevCalc!$Q$65=2),(ElevCalc!$Q$64+(ElevCalc!$Q$74)*ElevCalc!$Q$63),NA())</f>
        <v/>
      </c>
      <c r="R177">
        <f>IF(ElevCalc!$Q$45*(ElevCalc!$Q$65=2),((ElevCalc!$Q$68)*ElevCalc!$Q$63),NA())</f>
        <v/>
      </c>
      <c r="U177" t="inlineStr">
        <is>
          <t>leaf2</t>
        </is>
      </c>
      <c r="V177">
        <f>IF(ElevCalc!$V$45*(ElevCalc!$V$65=2),(ElevCalc!$V$64+(ElevCalc!$V$74)*ElevCalc!$V$63),NA())</f>
        <v/>
      </c>
      <c r="W177">
        <f>IF(ElevCalc!$V$45*(ElevCalc!$V$65=2),((ElevCalc!$V$68)*ElevCalc!$V$63),NA())</f>
        <v/>
      </c>
      <c r="Z177" t="inlineStr">
        <is>
          <t>leaf2</t>
        </is>
      </c>
      <c r="AA177">
        <f>IF(ElevCalc!$AA$45*(ElevCalc!$AA$65=2),(ElevCalc!$AA$64+(ElevCalc!$AA$74)*ElevCalc!$AA$63),NA())</f>
        <v/>
      </c>
      <c r="AB177">
        <f>IF(ElevCalc!$AA$45*(ElevCalc!$AA$65=2),((ElevCalc!$AA$68)*ElevCalc!$AA$63),NA())</f>
        <v/>
      </c>
      <c r="AE177" t="inlineStr">
        <is>
          <t>leaf2</t>
        </is>
      </c>
      <c r="AF177">
        <f>IF(ElevCalc!$AF$45*(ElevCalc!$AF$65=2),(ElevCalc!$AF$64+(ElevCalc!$AF$74)*ElevCalc!$AF$63),NA())</f>
        <v/>
      </c>
      <c r="AG177">
        <f>IF(ElevCalc!$AF$45*(ElevCalc!$AF$65=2),((ElevCalc!$AF$68)*ElevCalc!$AF$63),NA())</f>
        <v/>
      </c>
    </row>
    <row r="178">
      <c r="A178" t="inlineStr">
        <is>
          <t>leaf2</t>
        </is>
      </c>
      <c r="B178">
        <f>IF(ElevCalc!$B$45*(ElevCalc!$B$65=2),(ElevCalc!$B$64+(ElevCalc!$B$75)*ElevCalc!$B$63),NA())</f>
        <v/>
      </c>
      <c r="C178">
        <f>IF(ElevCalc!$B$45*(ElevCalc!$B$65=2),((ElevCalc!$B$68)*ElevCalc!$B$63),NA())</f>
        <v/>
      </c>
      <c r="F178" t="inlineStr">
        <is>
          <t>leaf2</t>
        </is>
      </c>
      <c r="G178">
        <f>IF(ElevCalc!$G$45*(ElevCalc!$G$65=2),(ElevCalc!$G$64+(ElevCalc!$G$75)*ElevCalc!$G$63),NA())</f>
        <v/>
      </c>
      <c r="H178">
        <f>IF(ElevCalc!$G$45*(ElevCalc!$G$65=2),((ElevCalc!$G$68)*ElevCalc!$G$63),NA())</f>
        <v/>
      </c>
      <c r="K178" t="inlineStr">
        <is>
          <t>leaf2</t>
        </is>
      </c>
      <c r="L178">
        <f>IF(ElevCalc!$L$45*(ElevCalc!$L$65=2),(ElevCalc!$L$64+(ElevCalc!$L$75)*ElevCalc!$L$63),NA())</f>
        <v/>
      </c>
      <c r="M178">
        <f>IF(ElevCalc!$L$45*(ElevCalc!$L$65=2),((ElevCalc!$L$68)*ElevCalc!$L$63),NA())</f>
        <v/>
      </c>
      <c r="P178" t="inlineStr">
        <is>
          <t>leaf2</t>
        </is>
      </c>
      <c r="Q178">
        <f>IF(ElevCalc!$Q$45*(ElevCalc!$Q$65=2),(ElevCalc!$Q$64+(ElevCalc!$Q$75)*ElevCalc!$Q$63),NA())</f>
        <v/>
      </c>
      <c r="R178">
        <f>IF(ElevCalc!$Q$45*(ElevCalc!$Q$65=2),((ElevCalc!$Q$68)*ElevCalc!$Q$63),NA())</f>
        <v/>
      </c>
      <c r="U178" t="inlineStr">
        <is>
          <t>leaf2</t>
        </is>
      </c>
      <c r="V178">
        <f>IF(ElevCalc!$V$45*(ElevCalc!$V$65=2),(ElevCalc!$V$64+(ElevCalc!$V$75)*ElevCalc!$V$63),NA())</f>
        <v/>
      </c>
      <c r="W178">
        <f>IF(ElevCalc!$V$45*(ElevCalc!$V$65=2),((ElevCalc!$V$68)*ElevCalc!$V$63),NA())</f>
        <v/>
      </c>
      <c r="Z178" t="inlineStr">
        <is>
          <t>leaf2</t>
        </is>
      </c>
      <c r="AA178">
        <f>IF(ElevCalc!$AA$45*(ElevCalc!$AA$65=2),(ElevCalc!$AA$64+(ElevCalc!$AA$75)*ElevCalc!$AA$63),NA())</f>
        <v/>
      </c>
      <c r="AB178">
        <f>IF(ElevCalc!$AA$45*(ElevCalc!$AA$65=2),((ElevCalc!$AA$68)*ElevCalc!$AA$63),NA())</f>
        <v/>
      </c>
      <c r="AE178" t="inlineStr">
        <is>
          <t>leaf2</t>
        </is>
      </c>
      <c r="AF178">
        <f>IF(ElevCalc!$AF$45*(ElevCalc!$AF$65=2),(ElevCalc!$AF$64+(ElevCalc!$AF$75)*ElevCalc!$AF$63),NA())</f>
        <v/>
      </c>
      <c r="AG178">
        <f>IF(ElevCalc!$AF$45*(ElevCalc!$AF$65=2),((ElevCalc!$AF$68)*ElevCalc!$AF$63),NA())</f>
        <v/>
      </c>
    </row>
    <row r="180">
      <c r="A180" t="inlineStr">
        <is>
          <t>lite1</t>
        </is>
      </c>
      <c r="B180">
        <f>IF(ElevCalc!$B$81,(ElevCalc!$B$64+(ElevCalc!$B$84)*ElevCalc!$B$63),NA())</f>
        <v/>
      </c>
      <c r="C180">
        <f>IF(ElevCalc!$B$81,((ElevCalc!$B$83)*ElevCalc!$B$63),NA())</f>
        <v/>
      </c>
      <c r="F180" t="inlineStr">
        <is>
          <t>lite1</t>
        </is>
      </c>
      <c r="G180">
        <f>IF(ElevCalc!$G$81,(ElevCalc!$G$64+(ElevCalc!$G$84)*ElevCalc!$G$63),NA())</f>
        <v/>
      </c>
      <c r="H180">
        <f>IF(ElevCalc!$G$81,((ElevCalc!$G$83)*ElevCalc!$G$63),NA())</f>
        <v/>
      </c>
      <c r="K180" t="inlineStr">
        <is>
          <t>lite1</t>
        </is>
      </c>
      <c r="L180">
        <f>IF(ElevCalc!$L$81,(ElevCalc!$L$64+(ElevCalc!$L$84)*ElevCalc!$L$63),NA())</f>
        <v/>
      </c>
      <c r="M180">
        <f>IF(ElevCalc!$L$81,((ElevCalc!$L$83)*ElevCalc!$L$63),NA())</f>
        <v/>
      </c>
      <c r="P180" t="inlineStr">
        <is>
          <t>lite1</t>
        </is>
      </c>
      <c r="Q180">
        <f>IF(ElevCalc!$Q$81,(ElevCalc!$Q$64+(ElevCalc!$Q$84)*ElevCalc!$Q$63),NA())</f>
        <v/>
      </c>
      <c r="R180">
        <f>IF(ElevCalc!$Q$81,((ElevCalc!$Q$83)*ElevCalc!$Q$63),NA())</f>
        <v/>
      </c>
      <c r="U180" t="inlineStr">
        <is>
          <t>lite1</t>
        </is>
      </c>
      <c r="V180">
        <f>IF(ElevCalc!$V$81,(ElevCalc!$V$64+(ElevCalc!$V$84)*ElevCalc!$V$63),NA())</f>
        <v/>
      </c>
      <c r="W180">
        <f>IF(ElevCalc!$V$81,((ElevCalc!$V$83)*ElevCalc!$V$63),NA())</f>
        <v/>
      </c>
      <c r="Z180" t="inlineStr">
        <is>
          <t>lite1</t>
        </is>
      </c>
      <c r="AA180">
        <f>IF(ElevCalc!$AA$81,(ElevCalc!$AA$64+(ElevCalc!$AA$84)*ElevCalc!$AA$63),NA())</f>
        <v/>
      </c>
      <c r="AB180">
        <f>IF(ElevCalc!$AA$81,((ElevCalc!$AA$83)*ElevCalc!$AA$63),NA())</f>
        <v/>
      </c>
      <c r="AE180" t="inlineStr">
        <is>
          <t>lite1</t>
        </is>
      </c>
      <c r="AF180">
        <f>IF(ElevCalc!$AF$81,(ElevCalc!$AF$64+(ElevCalc!$AF$84)*ElevCalc!$AF$63),NA())</f>
        <v/>
      </c>
      <c r="AG180">
        <f>IF(ElevCalc!$AF$81,((ElevCalc!$AF$83)*ElevCalc!$AF$63),NA())</f>
        <v/>
      </c>
    </row>
    <row r="181">
      <c r="A181" t="inlineStr">
        <is>
          <t>lite1</t>
        </is>
      </c>
      <c r="B181">
        <f>IF(ElevCalc!$B$81,(ElevCalc!$B$64+(ElevCalc!$B$84)*ElevCalc!$B$63),NA())</f>
        <v/>
      </c>
      <c r="C181">
        <f>IF(ElevCalc!$B$81,((ElevCalc!$B$82)*ElevCalc!$B$63),NA())</f>
        <v/>
      </c>
      <c r="F181" t="inlineStr">
        <is>
          <t>lite1</t>
        </is>
      </c>
      <c r="G181">
        <f>IF(ElevCalc!$G$81,(ElevCalc!$G$64+(ElevCalc!$G$84)*ElevCalc!$G$63),NA())</f>
        <v/>
      </c>
      <c r="H181">
        <f>IF(ElevCalc!$G$81,((ElevCalc!$G$82)*ElevCalc!$G$63),NA())</f>
        <v/>
      </c>
      <c r="K181" t="inlineStr">
        <is>
          <t>lite1</t>
        </is>
      </c>
      <c r="L181">
        <f>IF(ElevCalc!$L$81,(ElevCalc!$L$64+(ElevCalc!$L$84)*ElevCalc!$L$63),NA())</f>
        <v/>
      </c>
      <c r="M181">
        <f>IF(ElevCalc!$L$81,((ElevCalc!$L$82)*ElevCalc!$L$63),NA())</f>
        <v/>
      </c>
      <c r="P181" t="inlineStr">
        <is>
          <t>lite1</t>
        </is>
      </c>
      <c r="Q181">
        <f>IF(ElevCalc!$Q$81,(ElevCalc!$Q$64+(ElevCalc!$Q$84)*ElevCalc!$Q$63),NA())</f>
        <v/>
      </c>
      <c r="R181">
        <f>IF(ElevCalc!$Q$81,((ElevCalc!$Q$82)*ElevCalc!$Q$63),NA())</f>
        <v/>
      </c>
      <c r="U181" t="inlineStr">
        <is>
          <t>lite1</t>
        </is>
      </c>
      <c r="V181">
        <f>IF(ElevCalc!$V$81,(ElevCalc!$V$64+(ElevCalc!$V$84)*ElevCalc!$V$63),NA())</f>
        <v/>
      </c>
      <c r="W181">
        <f>IF(ElevCalc!$V$81,((ElevCalc!$V$82)*ElevCalc!$V$63),NA())</f>
        <v/>
      </c>
      <c r="Z181" t="inlineStr">
        <is>
          <t>lite1</t>
        </is>
      </c>
      <c r="AA181">
        <f>IF(ElevCalc!$AA$81,(ElevCalc!$AA$64+(ElevCalc!$AA$84)*ElevCalc!$AA$63),NA())</f>
        <v/>
      </c>
      <c r="AB181">
        <f>IF(ElevCalc!$AA$81,((ElevCalc!$AA$82)*ElevCalc!$AA$63),NA())</f>
        <v/>
      </c>
      <c r="AE181" t="inlineStr">
        <is>
          <t>lite1</t>
        </is>
      </c>
      <c r="AF181">
        <f>IF(ElevCalc!$AF$81,(ElevCalc!$AF$64+(ElevCalc!$AF$84)*ElevCalc!$AF$63),NA())</f>
        <v/>
      </c>
      <c r="AG181">
        <f>IF(ElevCalc!$AF$81,((ElevCalc!$AF$82)*ElevCalc!$AF$63),NA())</f>
        <v/>
      </c>
    </row>
    <row r="182">
      <c r="A182" t="inlineStr">
        <is>
          <t>lite1</t>
        </is>
      </c>
      <c r="B182">
        <f>IF(ElevCalc!$B$81,(ElevCalc!$B$64+(ElevCalc!$B$84+ElevCalc!$B$79)*ElevCalc!$B$63),NA())</f>
        <v/>
      </c>
      <c r="C182">
        <f>IF(ElevCalc!$B$81,((ElevCalc!$B$82)*ElevCalc!$B$63),NA())</f>
        <v/>
      </c>
      <c r="F182" t="inlineStr">
        <is>
          <t>lite1</t>
        </is>
      </c>
      <c r="G182">
        <f>IF(ElevCalc!$G$81,(ElevCalc!$G$64+(ElevCalc!$G$84+ElevCalc!$G$79)*ElevCalc!$G$63),NA())</f>
        <v/>
      </c>
      <c r="H182">
        <f>IF(ElevCalc!$G$81,((ElevCalc!$G$82)*ElevCalc!$G$63),NA())</f>
        <v/>
      </c>
      <c r="K182" t="inlineStr">
        <is>
          <t>lite1</t>
        </is>
      </c>
      <c r="L182">
        <f>IF(ElevCalc!$L$81,(ElevCalc!$L$64+(ElevCalc!$L$84+ElevCalc!$L$79)*ElevCalc!$L$63),NA())</f>
        <v/>
      </c>
      <c r="M182">
        <f>IF(ElevCalc!$L$81,((ElevCalc!$L$82)*ElevCalc!$L$63),NA())</f>
        <v/>
      </c>
      <c r="P182" t="inlineStr">
        <is>
          <t>lite1</t>
        </is>
      </c>
      <c r="Q182">
        <f>IF(ElevCalc!$Q$81,(ElevCalc!$Q$64+(ElevCalc!$Q$84+ElevCalc!$Q$79)*ElevCalc!$Q$63),NA())</f>
        <v/>
      </c>
      <c r="R182">
        <f>IF(ElevCalc!$Q$81,((ElevCalc!$Q$82)*ElevCalc!$Q$63),NA())</f>
        <v/>
      </c>
      <c r="U182" t="inlineStr">
        <is>
          <t>lite1</t>
        </is>
      </c>
      <c r="V182">
        <f>IF(ElevCalc!$V$81,(ElevCalc!$V$64+(ElevCalc!$V$84+ElevCalc!$V$79)*ElevCalc!$V$63),NA())</f>
        <v/>
      </c>
      <c r="W182">
        <f>IF(ElevCalc!$V$81,((ElevCalc!$V$82)*ElevCalc!$V$63),NA())</f>
        <v/>
      </c>
      <c r="Z182" t="inlineStr">
        <is>
          <t>lite1</t>
        </is>
      </c>
      <c r="AA182">
        <f>IF(ElevCalc!$AA$81,(ElevCalc!$AA$64+(ElevCalc!$AA$84+ElevCalc!$AA$79)*ElevCalc!$AA$63),NA())</f>
        <v/>
      </c>
      <c r="AB182">
        <f>IF(ElevCalc!$AA$81,((ElevCalc!$AA$82)*ElevCalc!$AA$63),NA())</f>
        <v/>
      </c>
      <c r="AE182" t="inlineStr">
        <is>
          <t>lite1</t>
        </is>
      </c>
      <c r="AF182">
        <f>IF(ElevCalc!$AF$81,(ElevCalc!$AF$64+(ElevCalc!$AF$84+ElevCalc!$AF$79)*ElevCalc!$AF$63),NA())</f>
        <v/>
      </c>
      <c r="AG182">
        <f>IF(ElevCalc!$AF$81,((ElevCalc!$AF$82)*ElevCalc!$AF$63),NA())</f>
        <v/>
      </c>
    </row>
    <row r="183">
      <c r="A183" t="inlineStr">
        <is>
          <t>lite1</t>
        </is>
      </c>
      <c r="B183">
        <f>IF(ElevCalc!$B$81,(ElevCalc!$B$64+(ElevCalc!$B$84+ElevCalc!$B$79)*ElevCalc!$B$63),NA())</f>
        <v/>
      </c>
      <c r="C183">
        <f>IF(ElevCalc!$B$81,((ElevCalc!$B$83)*ElevCalc!$B$63),NA())</f>
        <v/>
      </c>
      <c r="F183" t="inlineStr">
        <is>
          <t>lite1</t>
        </is>
      </c>
      <c r="G183">
        <f>IF(ElevCalc!$G$81,(ElevCalc!$G$64+(ElevCalc!$G$84+ElevCalc!$G$79)*ElevCalc!$G$63),NA())</f>
        <v/>
      </c>
      <c r="H183">
        <f>IF(ElevCalc!$G$81,((ElevCalc!$G$83)*ElevCalc!$G$63),NA())</f>
        <v/>
      </c>
      <c r="K183" t="inlineStr">
        <is>
          <t>lite1</t>
        </is>
      </c>
      <c r="L183">
        <f>IF(ElevCalc!$L$81,(ElevCalc!$L$64+(ElevCalc!$L$84+ElevCalc!$L$79)*ElevCalc!$L$63),NA())</f>
        <v/>
      </c>
      <c r="M183">
        <f>IF(ElevCalc!$L$81,((ElevCalc!$L$83)*ElevCalc!$L$63),NA())</f>
        <v/>
      </c>
      <c r="P183" t="inlineStr">
        <is>
          <t>lite1</t>
        </is>
      </c>
      <c r="Q183">
        <f>IF(ElevCalc!$Q$81,(ElevCalc!$Q$64+(ElevCalc!$Q$84+ElevCalc!$Q$79)*ElevCalc!$Q$63),NA())</f>
        <v/>
      </c>
      <c r="R183">
        <f>IF(ElevCalc!$Q$81,((ElevCalc!$Q$83)*ElevCalc!$Q$63),NA())</f>
        <v/>
      </c>
      <c r="U183" t="inlineStr">
        <is>
          <t>lite1</t>
        </is>
      </c>
      <c r="V183">
        <f>IF(ElevCalc!$V$81,(ElevCalc!$V$64+(ElevCalc!$V$84+ElevCalc!$V$79)*ElevCalc!$V$63),NA())</f>
        <v/>
      </c>
      <c r="W183">
        <f>IF(ElevCalc!$V$81,((ElevCalc!$V$83)*ElevCalc!$V$63),NA())</f>
        <v/>
      </c>
      <c r="Z183" t="inlineStr">
        <is>
          <t>lite1</t>
        </is>
      </c>
      <c r="AA183">
        <f>IF(ElevCalc!$AA$81,(ElevCalc!$AA$64+(ElevCalc!$AA$84+ElevCalc!$AA$79)*ElevCalc!$AA$63),NA())</f>
        <v/>
      </c>
      <c r="AB183">
        <f>IF(ElevCalc!$AA$81,((ElevCalc!$AA$83)*ElevCalc!$AA$63),NA())</f>
        <v/>
      </c>
      <c r="AE183" t="inlineStr">
        <is>
          <t>lite1</t>
        </is>
      </c>
      <c r="AF183">
        <f>IF(ElevCalc!$AF$81,(ElevCalc!$AF$64+(ElevCalc!$AF$84+ElevCalc!$AF$79)*ElevCalc!$AF$63),NA())</f>
        <v/>
      </c>
      <c r="AG183">
        <f>IF(ElevCalc!$AF$81,((ElevCalc!$AF$83)*ElevCalc!$AF$63),NA())</f>
        <v/>
      </c>
    </row>
    <row r="184">
      <c r="A184" t="inlineStr">
        <is>
          <t>lite1</t>
        </is>
      </c>
      <c r="B184">
        <f>IF(ElevCalc!$B$81,(ElevCalc!$B$64+(ElevCalc!$B$84)*ElevCalc!$B$63),NA())</f>
        <v/>
      </c>
      <c r="C184">
        <f>IF(ElevCalc!$B$81,((ElevCalc!$B$83)*ElevCalc!$B$63),NA())</f>
        <v/>
      </c>
      <c r="F184" t="inlineStr">
        <is>
          <t>lite1</t>
        </is>
      </c>
      <c r="G184">
        <f>IF(ElevCalc!$G$81,(ElevCalc!$G$64+(ElevCalc!$G$84)*ElevCalc!$G$63),NA())</f>
        <v/>
      </c>
      <c r="H184">
        <f>IF(ElevCalc!$G$81,((ElevCalc!$G$83)*ElevCalc!$G$63),NA())</f>
        <v/>
      </c>
      <c r="K184" t="inlineStr">
        <is>
          <t>lite1</t>
        </is>
      </c>
      <c r="L184">
        <f>IF(ElevCalc!$L$81,(ElevCalc!$L$64+(ElevCalc!$L$84)*ElevCalc!$L$63),NA())</f>
        <v/>
      </c>
      <c r="M184">
        <f>IF(ElevCalc!$L$81,((ElevCalc!$L$83)*ElevCalc!$L$63),NA())</f>
        <v/>
      </c>
      <c r="P184" t="inlineStr">
        <is>
          <t>lite1</t>
        </is>
      </c>
      <c r="Q184">
        <f>IF(ElevCalc!$Q$81,(ElevCalc!$Q$64+(ElevCalc!$Q$84)*ElevCalc!$Q$63),NA())</f>
        <v/>
      </c>
      <c r="R184">
        <f>IF(ElevCalc!$Q$81,((ElevCalc!$Q$83)*ElevCalc!$Q$63),NA())</f>
        <v/>
      </c>
      <c r="U184" t="inlineStr">
        <is>
          <t>lite1</t>
        </is>
      </c>
      <c r="V184">
        <f>IF(ElevCalc!$V$81,(ElevCalc!$V$64+(ElevCalc!$V$84)*ElevCalc!$V$63),NA())</f>
        <v/>
      </c>
      <c r="W184">
        <f>IF(ElevCalc!$V$81,((ElevCalc!$V$83)*ElevCalc!$V$63),NA())</f>
        <v/>
      </c>
      <c r="Z184" t="inlineStr">
        <is>
          <t>lite1</t>
        </is>
      </c>
      <c r="AA184">
        <f>IF(ElevCalc!$AA$81,(ElevCalc!$AA$64+(ElevCalc!$AA$84)*ElevCalc!$AA$63),NA())</f>
        <v/>
      </c>
      <c r="AB184">
        <f>IF(ElevCalc!$AA$81,((ElevCalc!$AA$83)*ElevCalc!$AA$63),NA())</f>
        <v/>
      </c>
      <c r="AE184" t="inlineStr">
        <is>
          <t>lite1</t>
        </is>
      </c>
      <c r="AF184">
        <f>IF(ElevCalc!$AF$81,(ElevCalc!$AF$64+(ElevCalc!$AF$84)*ElevCalc!$AF$63),NA())</f>
        <v/>
      </c>
      <c r="AG184">
        <f>IF(ElevCalc!$AF$81,((ElevCalc!$AF$83)*ElevCalc!$AF$63),NA())</f>
        <v/>
      </c>
    </row>
    <row r="186">
      <c r="A186" t="inlineStr">
        <is>
          <t>lite2</t>
        </is>
      </c>
      <c r="B186">
        <f>IF(ElevCalc!$B$81*(ElevCalc!$B$65=2),(ElevCalc!$B$64+(ElevCalc!$B$85)*ElevCalc!$B$63),NA())</f>
        <v/>
      </c>
      <c r="C186">
        <f>IF(ElevCalc!$B$81*(ElevCalc!$B$65=2),((ElevCalc!$B$83)*ElevCalc!$B$63),NA())</f>
        <v/>
      </c>
      <c r="F186" t="inlineStr">
        <is>
          <t>lite2</t>
        </is>
      </c>
      <c r="G186">
        <f>IF(ElevCalc!$G$81*(ElevCalc!$G$65=2),(ElevCalc!$G$64+(ElevCalc!$G$85)*ElevCalc!$G$63),NA())</f>
        <v/>
      </c>
      <c r="H186">
        <f>IF(ElevCalc!$G$81*(ElevCalc!$G$65=2),((ElevCalc!$G$83)*ElevCalc!$G$63),NA())</f>
        <v/>
      </c>
      <c r="K186" t="inlineStr">
        <is>
          <t>lite2</t>
        </is>
      </c>
      <c r="L186">
        <f>IF(ElevCalc!$L$81*(ElevCalc!$L$65=2),(ElevCalc!$L$64+(ElevCalc!$L$85)*ElevCalc!$L$63),NA())</f>
        <v/>
      </c>
      <c r="M186">
        <f>IF(ElevCalc!$L$81*(ElevCalc!$L$65=2),((ElevCalc!$L$83)*ElevCalc!$L$63),NA())</f>
        <v/>
      </c>
      <c r="P186" t="inlineStr">
        <is>
          <t>lite2</t>
        </is>
      </c>
      <c r="Q186">
        <f>IF(ElevCalc!$Q$81*(ElevCalc!$Q$65=2),(ElevCalc!$Q$64+(ElevCalc!$Q$85)*ElevCalc!$Q$63),NA())</f>
        <v/>
      </c>
      <c r="R186">
        <f>IF(ElevCalc!$Q$81*(ElevCalc!$Q$65=2),((ElevCalc!$Q$83)*ElevCalc!$Q$63),NA())</f>
        <v/>
      </c>
      <c r="U186" t="inlineStr">
        <is>
          <t>lite2</t>
        </is>
      </c>
      <c r="V186">
        <f>IF(ElevCalc!$V$81*(ElevCalc!$V$65=2),(ElevCalc!$V$64+(ElevCalc!$V$85)*ElevCalc!$V$63),NA())</f>
        <v/>
      </c>
      <c r="W186">
        <f>IF(ElevCalc!$V$81*(ElevCalc!$V$65=2),((ElevCalc!$V$83)*ElevCalc!$V$63),NA())</f>
        <v/>
      </c>
      <c r="Z186" t="inlineStr">
        <is>
          <t>lite2</t>
        </is>
      </c>
      <c r="AA186">
        <f>IF(ElevCalc!$AA$81*(ElevCalc!$AA$65=2),(ElevCalc!$AA$64+(ElevCalc!$AA$85)*ElevCalc!$AA$63),NA())</f>
        <v/>
      </c>
      <c r="AB186">
        <f>IF(ElevCalc!$AA$81*(ElevCalc!$AA$65=2),((ElevCalc!$AA$83)*ElevCalc!$AA$63),NA())</f>
        <v/>
      </c>
      <c r="AE186" t="inlineStr">
        <is>
          <t>lite2</t>
        </is>
      </c>
      <c r="AF186">
        <f>IF(ElevCalc!$AF$81*(ElevCalc!$AF$65=2),(ElevCalc!$AF$64+(ElevCalc!$AF$85)*ElevCalc!$AF$63),NA())</f>
        <v/>
      </c>
      <c r="AG186">
        <f>IF(ElevCalc!$AF$81*(ElevCalc!$AF$65=2),((ElevCalc!$AF$83)*ElevCalc!$AF$63),NA())</f>
        <v/>
      </c>
    </row>
    <row r="187">
      <c r="A187" t="inlineStr">
        <is>
          <t>lite2</t>
        </is>
      </c>
      <c r="B187">
        <f>IF(ElevCalc!$B$81*(ElevCalc!$B$65=2),(ElevCalc!$B$64+(ElevCalc!$B$85)*ElevCalc!$B$63),NA())</f>
        <v/>
      </c>
      <c r="C187">
        <f>IF(ElevCalc!$B$81*(ElevCalc!$B$65=2),((ElevCalc!$B$82)*ElevCalc!$B$63),NA())</f>
        <v/>
      </c>
      <c r="F187" t="inlineStr">
        <is>
          <t>lite2</t>
        </is>
      </c>
      <c r="G187">
        <f>IF(ElevCalc!$G$81*(ElevCalc!$G$65=2),(ElevCalc!$G$64+(ElevCalc!$G$85)*ElevCalc!$G$63),NA())</f>
        <v/>
      </c>
      <c r="H187">
        <f>IF(ElevCalc!$G$81*(ElevCalc!$G$65=2),((ElevCalc!$G$82)*ElevCalc!$G$63),NA())</f>
        <v/>
      </c>
      <c r="K187" t="inlineStr">
        <is>
          <t>lite2</t>
        </is>
      </c>
      <c r="L187">
        <f>IF(ElevCalc!$L$81*(ElevCalc!$L$65=2),(ElevCalc!$L$64+(ElevCalc!$L$85)*ElevCalc!$L$63),NA())</f>
        <v/>
      </c>
      <c r="M187">
        <f>IF(ElevCalc!$L$81*(ElevCalc!$L$65=2),((ElevCalc!$L$82)*ElevCalc!$L$63),NA())</f>
        <v/>
      </c>
      <c r="P187" t="inlineStr">
        <is>
          <t>lite2</t>
        </is>
      </c>
      <c r="Q187">
        <f>IF(ElevCalc!$Q$81*(ElevCalc!$Q$65=2),(ElevCalc!$Q$64+(ElevCalc!$Q$85)*ElevCalc!$Q$63),NA())</f>
        <v/>
      </c>
      <c r="R187">
        <f>IF(ElevCalc!$Q$81*(ElevCalc!$Q$65=2),((ElevCalc!$Q$82)*ElevCalc!$Q$63),NA())</f>
        <v/>
      </c>
      <c r="U187" t="inlineStr">
        <is>
          <t>lite2</t>
        </is>
      </c>
      <c r="V187">
        <f>IF(ElevCalc!$V$81*(ElevCalc!$V$65=2),(ElevCalc!$V$64+(ElevCalc!$V$85)*ElevCalc!$V$63),NA())</f>
        <v/>
      </c>
      <c r="W187">
        <f>IF(ElevCalc!$V$81*(ElevCalc!$V$65=2),((ElevCalc!$V$82)*ElevCalc!$V$63),NA())</f>
        <v/>
      </c>
      <c r="Z187" t="inlineStr">
        <is>
          <t>lite2</t>
        </is>
      </c>
      <c r="AA187">
        <f>IF(ElevCalc!$AA$81*(ElevCalc!$AA$65=2),(ElevCalc!$AA$64+(ElevCalc!$AA$85)*ElevCalc!$AA$63),NA())</f>
        <v/>
      </c>
      <c r="AB187">
        <f>IF(ElevCalc!$AA$81*(ElevCalc!$AA$65=2),((ElevCalc!$AA$82)*ElevCalc!$AA$63),NA())</f>
        <v/>
      </c>
      <c r="AE187" t="inlineStr">
        <is>
          <t>lite2</t>
        </is>
      </c>
      <c r="AF187">
        <f>IF(ElevCalc!$AF$81*(ElevCalc!$AF$65=2),(ElevCalc!$AF$64+(ElevCalc!$AF$85)*ElevCalc!$AF$63),NA())</f>
        <v/>
      </c>
      <c r="AG187">
        <f>IF(ElevCalc!$AF$81*(ElevCalc!$AF$65=2),((ElevCalc!$AF$82)*ElevCalc!$AF$63),NA())</f>
        <v/>
      </c>
    </row>
    <row r="188">
      <c r="A188" t="inlineStr">
        <is>
          <t>lite2</t>
        </is>
      </c>
      <c r="B188">
        <f>IF(ElevCalc!$B$81*(ElevCalc!$B$65=2),(ElevCalc!$B$64+(ElevCalc!$B$85+ElevCalc!$B$79)*ElevCalc!$B$63),NA())</f>
        <v/>
      </c>
      <c r="C188">
        <f>IF(ElevCalc!$B$81*(ElevCalc!$B$65=2),((ElevCalc!$B$82)*ElevCalc!$B$63),NA())</f>
        <v/>
      </c>
      <c r="F188" t="inlineStr">
        <is>
          <t>lite2</t>
        </is>
      </c>
      <c r="G188">
        <f>IF(ElevCalc!$G$81*(ElevCalc!$G$65=2),(ElevCalc!$G$64+(ElevCalc!$G$85+ElevCalc!$G$79)*ElevCalc!$G$63),NA())</f>
        <v/>
      </c>
      <c r="H188">
        <f>IF(ElevCalc!$G$81*(ElevCalc!$G$65=2),((ElevCalc!$G$82)*ElevCalc!$G$63),NA())</f>
        <v/>
      </c>
      <c r="K188" t="inlineStr">
        <is>
          <t>lite2</t>
        </is>
      </c>
      <c r="L188">
        <f>IF(ElevCalc!$L$81*(ElevCalc!$L$65=2),(ElevCalc!$L$64+(ElevCalc!$L$85+ElevCalc!$L$79)*ElevCalc!$L$63),NA())</f>
        <v/>
      </c>
      <c r="M188">
        <f>IF(ElevCalc!$L$81*(ElevCalc!$L$65=2),((ElevCalc!$L$82)*ElevCalc!$L$63),NA())</f>
        <v/>
      </c>
      <c r="P188" t="inlineStr">
        <is>
          <t>lite2</t>
        </is>
      </c>
      <c r="Q188">
        <f>IF(ElevCalc!$Q$81*(ElevCalc!$Q$65=2),(ElevCalc!$Q$64+(ElevCalc!$Q$85+ElevCalc!$Q$79)*ElevCalc!$Q$63),NA())</f>
        <v/>
      </c>
      <c r="R188">
        <f>IF(ElevCalc!$Q$81*(ElevCalc!$Q$65=2),((ElevCalc!$Q$82)*ElevCalc!$Q$63),NA())</f>
        <v/>
      </c>
      <c r="U188" t="inlineStr">
        <is>
          <t>lite2</t>
        </is>
      </c>
      <c r="V188">
        <f>IF(ElevCalc!$V$81*(ElevCalc!$V$65=2),(ElevCalc!$V$64+(ElevCalc!$V$85+ElevCalc!$V$79)*ElevCalc!$V$63),NA())</f>
        <v/>
      </c>
      <c r="W188">
        <f>IF(ElevCalc!$V$81*(ElevCalc!$V$65=2),((ElevCalc!$V$82)*ElevCalc!$V$63),NA())</f>
        <v/>
      </c>
      <c r="Z188" t="inlineStr">
        <is>
          <t>lite2</t>
        </is>
      </c>
      <c r="AA188">
        <f>IF(ElevCalc!$AA$81*(ElevCalc!$AA$65=2),(ElevCalc!$AA$64+(ElevCalc!$AA$85+ElevCalc!$AA$79)*ElevCalc!$AA$63),NA())</f>
        <v/>
      </c>
      <c r="AB188">
        <f>IF(ElevCalc!$AA$81*(ElevCalc!$AA$65=2),((ElevCalc!$AA$82)*ElevCalc!$AA$63),NA())</f>
        <v/>
      </c>
      <c r="AE188" t="inlineStr">
        <is>
          <t>lite2</t>
        </is>
      </c>
      <c r="AF188">
        <f>IF(ElevCalc!$AF$81*(ElevCalc!$AF$65=2),(ElevCalc!$AF$64+(ElevCalc!$AF$85+ElevCalc!$AF$79)*ElevCalc!$AF$63),NA())</f>
        <v/>
      </c>
      <c r="AG188">
        <f>IF(ElevCalc!$AF$81*(ElevCalc!$AF$65=2),((ElevCalc!$AF$82)*ElevCalc!$AF$63),NA())</f>
        <v/>
      </c>
    </row>
    <row r="189">
      <c r="A189" t="inlineStr">
        <is>
          <t>lite2</t>
        </is>
      </c>
      <c r="B189">
        <f>IF(ElevCalc!$B$81*(ElevCalc!$B$65=2),(ElevCalc!$B$64+(ElevCalc!$B$85+ElevCalc!$B$79)*ElevCalc!$B$63),NA())</f>
        <v/>
      </c>
      <c r="C189">
        <f>IF(ElevCalc!$B$81*(ElevCalc!$B$65=2),((ElevCalc!$B$83)*ElevCalc!$B$63),NA())</f>
        <v/>
      </c>
      <c r="F189" t="inlineStr">
        <is>
          <t>lite2</t>
        </is>
      </c>
      <c r="G189">
        <f>IF(ElevCalc!$G$81*(ElevCalc!$G$65=2),(ElevCalc!$G$64+(ElevCalc!$G$85+ElevCalc!$G$79)*ElevCalc!$G$63),NA())</f>
        <v/>
      </c>
      <c r="H189">
        <f>IF(ElevCalc!$G$81*(ElevCalc!$G$65=2),((ElevCalc!$G$83)*ElevCalc!$G$63),NA())</f>
        <v/>
      </c>
      <c r="K189" t="inlineStr">
        <is>
          <t>lite2</t>
        </is>
      </c>
      <c r="L189">
        <f>IF(ElevCalc!$L$81*(ElevCalc!$L$65=2),(ElevCalc!$L$64+(ElevCalc!$L$85+ElevCalc!$L$79)*ElevCalc!$L$63),NA())</f>
        <v/>
      </c>
      <c r="M189">
        <f>IF(ElevCalc!$L$81*(ElevCalc!$L$65=2),((ElevCalc!$L$83)*ElevCalc!$L$63),NA())</f>
        <v/>
      </c>
      <c r="P189" t="inlineStr">
        <is>
          <t>lite2</t>
        </is>
      </c>
      <c r="Q189">
        <f>IF(ElevCalc!$Q$81*(ElevCalc!$Q$65=2),(ElevCalc!$Q$64+(ElevCalc!$Q$85+ElevCalc!$Q$79)*ElevCalc!$Q$63),NA())</f>
        <v/>
      </c>
      <c r="R189">
        <f>IF(ElevCalc!$Q$81*(ElevCalc!$Q$65=2),((ElevCalc!$Q$83)*ElevCalc!$Q$63),NA())</f>
        <v/>
      </c>
      <c r="U189" t="inlineStr">
        <is>
          <t>lite2</t>
        </is>
      </c>
      <c r="V189">
        <f>IF(ElevCalc!$V$81*(ElevCalc!$V$65=2),(ElevCalc!$V$64+(ElevCalc!$V$85+ElevCalc!$V$79)*ElevCalc!$V$63),NA())</f>
        <v/>
      </c>
      <c r="W189">
        <f>IF(ElevCalc!$V$81*(ElevCalc!$V$65=2),((ElevCalc!$V$83)*ElevCalc!$V$63),NA())</f>
        <v/>
      </c>
      <c r="Z189" t="inlineStr">
        <is>
          <t>lite2</t>
        </is>
      </c>
      <c r="AA189">
        <f>IF(ElevCalc!$AA$81*(ElevCalc!$AA$65=2),(ElevCalc!$AA$64+(ElevCalc!$AA$85+ElevCalc!$AA$79)*ElevCalc!$AA$63),NA())</f>
        <v/>
      </c>
      <c r="AB189">
        <f>IF(ElevCalc!$AA$81*(ElevCalc!$AA$65=2),((ElevCalc!$AA$83)*ElevCalc!$AA$63),NA())</f>
        <v/>
      </c>
      <c r="AE189" t="inlineStr">
        <is>
          <t>lite2</t>
        </is>
      </c>
      <c r="AF189">
        <f>IF(ElevCalc!$AF$81*(ElevCalc!$AF$65=2),(ElevCalc!$AF$64+(ElevCalc!$AF$85+ElevCalc!$AF$79)*ElevCalc!$AF$63),NA())</f>
        <v/>
      </c>
      <c r="AG189">
        <f>IF(ElevCalc!$AF$81*(ElevCalc!$AF$65=2),((ElevCalc!$AF$83)*ElevCalc!$AF$63),NA())</f>
        <v/>
      </c>
    </row>
    <row r="190">
      <c r="A190" t="inlineStr">
        <is>
          <t>lite2</t>
        </is>
      </c>
      <c r="B190">
        <f>IF(ElevCalc!$B$81*(ElevCalc!$B$65=2),(ElevCalc!$B$64+(ElevCalc!$B$85)*ElevCalc!$B$63),NA())</f>
        <v/>
      </c>
      <c r="C190">
        <f>IF(ElevCalc!$B$81*(ElevCalc!$B$65=2),((ElevCalc!$B$83)*ElevCalc!$B$63),NA())</f>
        <v/>
      </c>
      <c r="F190" t="inlineStr">
        <is>
          <t>lite2</t>
        </is>
      </c>
      <c r="G190">
        <f>IF(ElevCalc!$G$81*(ElevCalc!$G$65=2),(ElevCalc!$G$64+(ElevCalc!$G$85)*ElevCalc!$G$63),NA())</f>
        <v/>
      </c>
      <c r="H190">
        <f>IF(ElevCalc!$G$81*(ElevCalc!$G$65=2),((ElevCalc!$G$83)*ElevCalc!$G$63),NA())</f>
        <v/>
      </c>
      <c r="K190" t="inlineStr">
        <is>
          <t>lite2</t>
        </is>
      </c>
      <c r="L190">
        <f>IF(ElevCalc!$L$81*(ElevCalc!$L$65=2),(ElevCalc!$L$64+(ElevCalc!$L$85)*ElevCalc!$L$63),NA())</f>
        <v/>
      </c>
      <c r="M190">
        <f>IF(ElevCalc!$L$81*(ElevCalc!$L$65=2),((ElevCalc!$L$83)*ElevCalc!$L$63),NA())</f>
        <v/>
      </c>
      <c r="P190" t="inlineStr">
        <is>
          <t>lite2</t>
        </is>
      </c>
      <c r="Q190">
        <f>IF(ElevCalc!$Q$81*(ElevCalc!$Q$65=2),(ElevCalc!$Q$64+(ElevCalc!$Q$85)*ElevCalc!$Q$63),NA())</f>
        <v/>
      </c>
      <c r="R190">
        <f>IF(ElevCalc!$Q$81*(ElevCalc!$Q$65=2),((ElevCalc!$Q$83)*ElevCalc!$Q$63),NA())</f>
        <v/>
      </c>
      <c r="U190" t="inlineStr">
        <is>
          <t>lite2</t>
        </is>
      </c>
      <c r="V190">
        <f>IF(ElevCalc!$V$81*(ElevCalc!$V$65=2),(ElevCalc!$V$64+(ElevCalc!$V$85)*ElevCalc!$V$63),NA())</f>
        <v/>
      </c>
      <c r="W190">
        <f>IF(ElevCalc!$V$81*(ElevCalc!$V$65=2),((ElevCalc!$V$83)*ElevCalc!$V$63),NA())</f>
        <v/>
      </c>
      <c r="Z190" t="inlineStr">
        <is>
          <t>lite2</t>
        </is>
      </c>
      <c r="AA190">
        <f>IF(ElevCalc!$AA$81*(ElevCalc!$AA$65=2),(ElevCalc!$AA$64+(ElevCalc!$AA$85)*ElevCalc!$AA$63),NA())</f>
        <v/>
      </c>
      <c r="AB190">
        <f>IF(ElevCalc!$AA$81*(ElevCalc!$AA$65=2),((ElevCalc!$AA$83)*ElevCalc!$AA$63),NA())</f>
        <v/>
      </c>
      <c r="AE190" t="inlineStr">
        <is>
          <t>lite2</t>
        </is>
      </c>
      <c r="AF190">
        <f>IF(ElevCalc!$AF$81*(ElevCalc!$AF$65=2),(ElevCalc!$AF$64+(ElevCalc!$AF$85)*ElevCalc!$AF$63),NA())</f>
        <v/>
      </c>
      <c r="AG190">
        <f>IF(ElevCalc!$AF$81*(ElevCalc!$AF$65=2),((ElevCalc!$AF$83)*ElevCalc!$AF$63),NA())</f>
        <v/>
      </c>
    </row>
    <row r="192">
      <c r="A192" t="inlineStr">
        <is>
          <t>g1</t>
        </is>
      </c>
      <c r="B192">
        <f>IF(ElevCalc!$B$81*(ElevCalc!$B$20&lt;&gt;"FL"),(ElevCalc!$B$64+(ElevCalc!$B$84+0.25*(ElevCalc!$B$84+ElevCalc!$B$79-ElevCalc!$B$84))*ElevCalc!$B$63),NA())</f>
        <v/>
      </c>
      <c r="C192">
        <f>IF(ElevCalc!$B$81*(ElevCalc!$B$20&lt;&gt;"FL"),((ElevCalc!$B$83+0.45*(ElevCalc!$B$82-ElevCalc!$B$83))*ElevCalc!$B$63),NA())</f>
        <v/>
      </c>
      <c r="F192" t="inlineStr">
        <is>
          <t>g1</t>
        </is>
      </c>
      <c r="G192">
        <f>IF(ElevCalc!$G$81*(ElevCalc!$G$20&lt;&gt;"FL"),(ElevCalc!$G$64+(ElevCalc!$G$84+0.25*(ElevCalc!$G$84+ElevCalc!$G$79-ElevCalc!$G$84))*ElevCalc!$G$63),NA())</f>
        <v/>
      </c>
      <c r="H192">
        <f>IF(ElevCalc!$G$81*(ElevCalc!$G$20&lt;&gt;"FL"),((ElevCalc!$G$83+0.45*(ElevCalc!$G$82-ElevCalc!$G$83))*ElevCalc!$G$63),NA())</f>
        <v/>
      </c>
      <c r="K192" t="inlineStr">
        <is>
          <t>g1</t>
        </is>
      </c>
      <c r="L192">
        <f>IF(ElevCalc!$L$81*(ElevCalc!$L$20&lt;&gt;"FL"),(ElevCalc!$L$64+(ElevCalc!$L$84+0.25*(ElevCalc!$L$84+ElevCalc!$L$79-ElevCalc!$L$84))*ElevCalc!$L$63),NA())</f>
        <v/>
      </c>
      <c r="M192">
        <f>IF(ElevCalc!$L$81*(ElevCalc!$L$20&lt;&gt;"FL"),((ElevCalc!$L$83+0.45*(ElevCalc!$L$82-ElevCalc!$L$83))*ElevCalc!$L$63),NA())</f>
        <v/>
      </c>
      <c r="P192" t="inlineStr">
        <is>
          <t>g1</t>
        </is>
      </c>
      <c r="Q192">
        <f>IF(ElevCalc!$Q$81*(ElevCalc!$Q$20&lt;&gt;"FL"),(ElevCalc!$Q$64+(ElevCalc!$Q$84+0.25*(ElevCalc!$Q$84+ElevCalc!$Q$79-ElevCalc!$Q$84))*ElevCalc!$Q$63),NA())</f>
        <v/>
      </c>
      <c r="R192">
        <f>IF(ElevCalc!$Q$81*(ElevCalc!$Q$20&lt;&gt;"FL"),((ElevCalc!$Q$83+0.45*(ElevCalc!$Q$82-ElevCalc!$Q$83))*ElevCalc!$Q$63),NA())</f>
        <v/>
      </c>
      <c r="U192" t="inlineStr">
        <is>
          <t>g1</t>
        </is>
      </c>
      <c r="V192">
        <f>IF(ElevCalc!$V$81*(ElevCalc!$V$20&lt;&gt;"FL"),(ElevCalc!$V$64+(ElevCalc!$V$84+0.25*(ElevCalc!$V$84+ElevCalc!$V$79-ElevCalc!$V$84))*ElevCalc!$V$63),NA())</f>
        <v/>
      </c>
      <c r="W192">
        <f>IF(ElevCalc!$V$81*(ElevCalc!$V$20&lt;&gt;"FL"),((ElevCalc!$V$83+0.45*(ElevCalc!$V$82-ElevCalc!$V$83))*ElevCalc!$V$63),NA())</f>
        <v/>
      </c>
      <c r="Z192" t="inlineStr">
        <is>
          <t>g1</t>
        </is>
      </c>
      <c r="AA192">
        <f>IF(ElevCalc!$AA$81*(ElevCalc!$AA$20&lt;&gt;"FL"),(ElevCalc!$AA$64+(ElevCalc!$AA$84+0.25*(ElevCalc!$AA$84+ElevCalc!$AA$79-ElevCalc!$AA$84))*ElevCalc!$AA$63),NA())</f>
        <v/>
      </c>
      <c r="AB192">
        <f>IF(ElevCalc!$AA$81*(ElevCalc!$AA$20&lt;&gt;"FL"),((ElevCalc!$AA$83+0.45*(ElevCalc!$AA$82-ElevCalc!$AA$83))*ElevCalc!$AA$63),NA())</f>
        <v/>
      </c>
      <c r="AE192" t="inlineStr">
        <is>
          <t>g1</t>
        </is>
      </c>
      <c r="AF192">
        <f>IF(ElevCalc!$AF$81*(ElevCalc!$AF$20&lt;&gt;"FL"),(ElevCalc!$AF$64+(ElevCalc!$AF$84+0.25*(ElevCalc!$AF$84+ElevCalc!$AF$79-ElevCalc!$AF$84))*ElevCalc!$AF$63),NA())</f>
        <v/>
      </c>
      <c r="AG192">
        <f>IF(ElevCalc!$AF$81*(ElevCalc!$AF$20&lt;&gt;"FL"),((ElevCalc!$AF$83+0.45*(ElevCalc!$AF$82-ElevCalc!$AF$83))*ElevCalc!$AF$63),NA())</f>
        <v/>
      </c>
    </row>
    <row r="193">
      <c r="A193" t="inlineStr">
        <is>
          <t>g1</t>
        </is>
      </c>
      <c r="B193">
        <f>IF(ElevCalc!$B$81*(ElevCalc!$B$20&lt;&gt;"FL"),(ElevCalc!$B$64+(ElevCalc!$B$84+0.5*(ElevCalc!$B$84+ElevCalc!$B$79-ElevCalc!$B$84))*ElevCalc!$B$63),NA())</f>
        <v/>
      </c>
      <c r="C193">
        <f>IF(ElevCalc!$B$81*(ElevCalc!$B$20&lt;&gt;"FL"),((ElevCalc!$B$83+0.75*(ElevCalc!$B$82-ElevCalc!$B$83))*ElevCalc!$B$63),NA())</f>
        <v/>
      </c>
      <c r="F193" t="inlineStr">
        <is>
          <t>g1</t>
        </is>
      </c>
      <c r="G193">
        <f>IF(ElevCalc!$G$81*(ElevCalc!$G$20&lt;&gt;"FL"),(ElevCalc!$G$64+(ElevCalc!$G$84+0.5*(ElevCalc!$G$84+ElevCalc!$G$79-ElevCalc!$G$84))*ElevCalc!$G$63),NA())</f>
        <v/>
      </c>
      <c r="H193">
        <f>IF(ElevCalc!$G$81*(ElevCalc!$G$20&lt;&gt;"FL"),((ElevCalc!$G$83+0.75*(ElevCalc!$G$82-ElevCalc!$G$83))*ElevCalc!$G$63),NA())</f>
        <v/>
      </c>
      <c r="K193" t="inlineStr">
        <is>
          <t>g1</t>
        </is>
      </c>
      <c r="L193">
        <f>IF(ElevCalc!$L$81*(ElevCalc!$L$20&lt;&gt;"FL"),(ElevCalc!$L$64+(ElevCalc!$L$84+0.5*(ElevCalc!$L$84+ElevCalc!$L$79-ElevCalc!$L$84))*ElevCalc!$L$63),NA())</f>
        <v/>
      </c>
      <c r="M193">
        <f>IF(ElevCalc!$L$81*(ElevCalc!$L$20&lt;&gt;"FL"),((ElevCalc!$L$83+0.75*(ElevCalc!$L$82-ElevCalc!$L$83))*ElevCalc!$L$63),NA())</f>
        <v/>
      </c>
      <c r="P193" t="inlineStr">
        <is>
          <t>g1</t>
        </is>
      </c>
      <c r="Q193">
        <f>IF(ElevCalc!$Q$81*(ElevCalc!$Q$20&lt;&gt;"FL"),(ElevCalc!$Q$64+(ElevCalc!$Q$84+0.5*(ElevCalc!$Q$84+ElevCalc!$Q$79-ElevCalc!$Q$84))*ElevCalc!$Q$63),NA())</f>
        <v/>
      </c>
      <c r="R193">
        <f>IF(ElevCalc!$Q$81*(ElevCalc!$Q$20&lt;&gt;"FL"),((ElevCalc!$Q$83+0.75*(ElevCalc!$Q$82-ElevCalc!$Q$83))*ElevCalc!$Q$63),NA())</f>
        <v/>
      </c>
      <c r="U193" t="inlineStr">
        <is>
          <t>g1</t>
        </is>
      </c>
      <c r="V193">
        <f>IF(ElevCalc!$V$81*(ElevCalc!$V$20&lt;&gt;"FL"),(ElevCalc!$V$64+(ElevCalc!$V$84+0.5*(ElevCalc!$V$84+ElevCalc!$V$79-ElevCalc!$V$84))*ElevCalc!$V$63),NA())</f>
        <v/>
      </c>
      <c r="W193">
        <f>IF(ElevCalc!$V$81*(ElevCalc!$V$20&lt;&gt;"FL"),((ElevCalc!$V$83+0.75*(ElevCalc!$V$82-ElevCalc!$V$83))*ElevCalc!$V$63),NA())</f>
        <v/>
      </c>
      <c r="Z193" t="inlineStr">
        <is>
          <t>g1</t>
        </is>
      </c>
      <c r="AA193">
        <f>IF(ElevCalc!$AA$81*(ElevCalc!$AA$20&lt;&gt;"FL"),(ElevCalc!$AA$64+(ElevCalc!$AA$84+0.5*(ElevCalc!$AA$84+ElevCalc!$AA$79-ElevCalc!$AA$84))*ElevCalc!$AA$63),NA())</f>
        <v/>
      </c>
      <c r="AB193">
        <f>IF(ElevCalc!$AA$81*(ElevCalc!$AA$20&lt;&gt;"FL"),((ElevCalc!$AA$83+0.75*(ElevCalc!$AA$82-ElevCalc!$AA$83))*ElevCalc!$AA$63),NA())</f>
        <v/>
      </c>
      <c r="AE193" t="inlineStr">
        <is>
          <t>g1</t>
        </is>
      </c>
      <c r="AF193">
        <f>IF(ElevCalc!$AF$81*(ElevCalc!$AF$20&lt;&gt;"FL"),(ElevCalc!$AF$64+(ElevCalc!$AF$84+0.5*(ElevCalc!$AF$84+ElevCalc!$AF$79-ElevCalc!$AF$84))*ElevCalc!$AF$63),NA())</f>
        <v/>
      </c>
      <c r="AG193">
        <f>IF(ElevCalc!$AF$81*(ElevCalc!$AF$20&lt;&gt;"FL"),((ElevCalc!$AF$83+0.75*(ElevCalc!$AF$82-ElevCalc!$AF$83))*ElevCalc!$AF$63),NA())</f>
        <v/>
      </c>
    </row>
    <row r="195">
      <c r="A195" t="inlineStr">
        <is>
          <t>g2</t>
        </is>
      </c>
      <c r="B195">
        <f>IF(ElevCalc!$B$81*(ElevCalc!$B$65=2)*(ElevCalc!$B$20&lt;&gt;"FL"),(ElevCalc!$B$64+(ElevCalc!$B$85+0.25*(ElevCalc!$B$85+ElevCalc!$B$79-ElevCalc!$B$85))*ElevCalc!$B$63),NA())</f>
        <v/>
      </c>
      <c r="C195">
        <f>IF(ElevCalc!$B$81*(ElevCalc!$B$65=2)*(ElevCalc!$B$20&lt;&gt;"FL"),((ElevCalc!$B$83+0.45*(ElevCalc!$B$82-ElevCalc!$B$83))*ElevCalc!$B$63),NA())</f>
        <v/>
      </c>
      <c r="F195" t="inlineStr">
        <is>
          <t>g2</t>
        </is>
      </c>
      <c r="G195">
        <f>IF(ElevCalc!$G$81*(ElevCalc!$G$65=2)*(ElevCalc!$G$20&lt;&gt;"FL"),(ElevCalc!$G$64+(ElevCalc!$G$85+0.25*(ElevCalc!$G$85+ElevCalc!$G$79-ElevCalc!$G$85))*ElevCalc!$G$63),NA())</f>
        <v/>
      </c>
      <c r="H195">
        <f>IF(ElevCalc!$G$81*(ElevCalc!$G$65=2)*(ElevCalc!$G$20&lt;&gt;"FL"),((ElevCalc!$G$83+0.45*(ElevCalc!$G$82-ElevCalc!$G$83))*ElevCalc!$G$63),NA())</f>
        <v/>
      </c>
      <c r="K195" t="inlineStr">
        <is>
          <t>g2</t>
        </is>
      </c>
      <c r="L195">
        <f>IF(ElevCalc!$L$81*(ElevCalc!$L$65=2)*(ElevCalc!$L$20&lt;&gt;"FL"),(ElevCalc!$L$64+(ElevCalc!$L$85+0.25*(ElevCalc!$L$85+ElevCalc!$L$79-ElevCalc!$L$85))*ElevCalc!$L$63),NA())</f>
        <v/>
      </c>
      <c r="M195">
        <f>IF(ElevCalc!$L$81*(ElevCalc!$L$65=2)*(ElevCalc!$L$20&lt;&gt;"FL"),((ElevCalc!$L$83+0.45*(ElevCalc!$L$82-ElevCalc!$L$83))*ElevCalc!$L$63),NA())</f>
        <v/>
      </c>
      <c r="P195" t="inlineStr">
        <is>
          <t>g2</t>
        </is>
      </c>
      <c r="Q195">
        <f>IF(ElevCalc!$Q$81*(ElevCalc!$Q$65=2)*(ElevCalc!$Q$20&lt;&gt;"FL"),(ElevCalc!$Q$64+(ElevCalc!$Q$85+0.25*(ElevCalc!$Q$85+ElevCalc!$Q$79-ElevCalc!$Q$85))*ElevCalc!$Q$63),NA())</f>
        <v/>
      </c>
      <c r="R195">
        <f>IF(ElevCalc!$Q$81*(ElevCalc!$Q$65=2)*(ElevCalc!$Q$20&lt;&gt;"FL"),((ElevCalc!$Q$83+0.45*(ElevCalc!$Q$82-ElevCalc!$Q$83))*ElevCalc!$Q$63),NA())</f>
        <v/>
      </c>
      <c r="U195" t="inlineStr">
        <is>
          <t>g2</t>
        </is>
      </c>
      <c r="V195">
        <f>IF(ElevCalc!$V$81*(ElevCalc!$V$65=2)*(ElevCalc!$V$20&lt;&gt;"FL"),(ElevCalc!$V$64+(ElevCalc!$V$85+0.25*(ElevCalc!$V$85+ElevCalc!$V$79-ElevCalc!$V$85))*ElevCalc!$V$63),NA())</f>
        <v/>
      </c>
      <c r="W195">
        <f>IF(ElevCalc!$V$81*(ElevCalc!$V$65=2)*(ElevCalc!$V$20&lt;&gt;"FL"),((ElevCalc!$V$83+0.45*(ElevCalc!$V$82-ElevCalc!$V$83))*ElevCalc!$V$63),NA())</f>
        <v/>
      </c>
      <c r="Z195" t="inlineStr">
        <is>
          <t>g2</t>
        </is>
      </c>
      <c r="AA195">
        <f>IF(ElevCalc!$AA$81*(ElevCalc!$AA$65=2)*(ElevCalc!$AA$20&lt;&gt;"FL"),(ElevCalc!$AA$64+(ElevCalc!$AA$85+0.25*(ElevCalc!$AA$85+ElevCalc!$AA$79-ElevCalc!$AA$85))*ElevCalc!$AA$63),NA())</f>
        <v/>
      </c>
      <c r="AB195">
        <f>IF(ElevCalc!$AA$81*(ElevCalc!$AA$65=2)*(ElevCalc!$AA$20&lt;&gt;"FL"),((ElevCalc!$AA$83+0.45*(ElevCalc!$AA$82-ElevCalc!$AA$83))*ElevCalc!$AA$63),NA())</f>
        <v/>
      </c>
      <c r="AE195" t="inlineStr">
        <is>
          <t>g2</t>
        </is>
      </c>
      <c r="AF195">
        <f>IF(ElevCalc!$AF$81*(ElevCalc!$AF$65=2)*(ElevCalc!$AF$20&lt;&gt;"FL"),(ElevCalc!$AF$64+(ElevCalc!$AF$85+0.25*(ElevCalc!$AF$85+ElevCalc!$AF$79-ElevCalc!$AF$85))*ElevCalc!$AF$63),NA())</f>
        <v/>
      </c>
      <c r="AG195">
        <f>IF(ElevCalc!$AF$81*(ElevCalc!$AF$65=2)*(ElevCalc!$AF$20&lt;&gt;"FL"),((ElevCalc!$AF$83+0.45*(ElevCalc!$AF$82-ElevCalc!$AF$83))*ElevCalc!$AF$63),NA())</f>
        <v/>
      </c>
    </row>
    <row r="196">
      <c r="A196" t="inlineStr">
        <is>
          <t>g2</t>
        </is>
      </c>
      <c r="B196">
        <f>IF(ElevCalc!$B$81*(ElevCalc!$B$65=2)*(ElevCalc!$B$20&lt;&gt;"FL"),(ElevCalc!$B$64+(ElevCalc!$B$85+0.5*(ElevCalc!$B$85+ElevCalc!$B$79-ElevCalc!$B$85))*ElevCalc!$B$63),NA())</f>
        <v/>
      </c>
      <c r="C196">
        <f>IF(ElevCalc!$B$81*(ElevCalc!$B$65=2)*(ElevCalc!$B$20&lt;&gt;"FL"),((ElevCalc!$B$83+0.75*(ElevCalc!$B$82-ElevCalc!$B$83))*ElevCalc!$B$63),NA())</f>
        <v/>
      </c>
      <c r="F196" t="inlineStr">
        <is>
          <t>g2</t>
        </is>
      </c>
      <c r="G196">
        <f>IF(ElevCalc!$G$81*(ElevCalc!$G$65=2)*(ElevCalc!$G$20&lt;&gt;"FL"),(ElevCalc!$G$64+(ElevCalc!$G$85+0.5*(ElevCalc!$G$85+ElevCalc!$G$79-ElevCalc!$G$85))*ElevCalc!$G$63),NA())</f>
        <v/>
      </c>
      <c r="H196">
        <f>IF(ElevCalc!$G$81*(ElevCalc!$G$65=2)*(ElevCalc!$G$20&lt;&gt;"FL"),((ElevCalc!$G$83+0.75*(ElevCalc!$G$82-ElevCalc!$G$83))*ElevCalc!$G$63),NA())</f>
        <v/>
      </c>
      <c r="K196" t="inlineStr">
        <is>
          <t>g2</t>
        </is>
      </c>
      <c r="L196">
        <f>IF(ElevCalc!$L$81*(ElevCalc!$L$65=2)*(ElevCalc!$L$20&lt;&gt;"FL"),(ElevCalc!$L$64+(ElevCalc!$L$85+0.5*(ElevCalc!$L$85+ElevCalc!$L$79-ElevCalc!$L$85))*ElevCalc!$L$63),NA())</f>
        <v/>
      </c>
      <c r="M196">
        <f>IF(ElevCalc!$L$81*(ElevCalc!$L$65=2)*(ElevCalc!$L$20&lt;&gt;"FL"),((ElevCalc!$L$83+0.75*(ElevCalc!$L$82-ElevCalc!$L$83))*ElevCalc!$L$63),NA())</f>
        <v/>
      </c>
      <c r="P196" t="inlineStr">
        <is>
          <t>g2</t>
        </is>
      </c>
      <c r="Q196">
        <f>IF(ElevCalc!$Q$81*(ElevCalc!$Q$65=2)*(ElevCalc!$Q$20&lt;&gt;"FL"),(ElevCalc!$Q$64+(ElevCalc!$Q$85+0.5*(ElevCalc!$Q$85+ElevCalc!$Q$79-ElevCalc!$Q$85))*ElevCalc!$Q$63),NA())</f>
        <v/>
      </c>
      <c r="R196">
        <f>IF(ElevCalc!$Q$81*(ElevCalc!$Q$65=2)*(ElevCalc!$Q$20&lt;&gt;"FL"),((ElevCalc!$Q$83+0.75*(ElevCalc!$Q$82-ElevCalc!$Q$83))*ElevCalc!$Q$63),NA())</f>
        <v/>
      </c>
      <c r="U196" t="inlineStr">
        <is>
          <t>g2</t>
        </is>
      </c>
      <c r="V196">
        <f>IF(ElevCalc!$V$81*(ElevCalc!$V$65=2)*(ElevCalc!$V$20&lt;&gt;"FL"),(ElevCalc!$V$64+(ElevCalc!$V$85+0.5*(ElevCalc!$V$85+ElevCalc!$V$79-ElevCalc!$V$85))*ElevCalc!$V$63),NA())</f>
        <v/>
      </c>
      <c r="W196">
        <f>IF(ElevCalc!$V$81*(ElevCalc!$V$65=2)*(ElevCalc!$V$20&lt;&gt;"FL"),((ElevCalc!$V$83+0.75*(ElevCalc!$V$82-ElevCalc!$V$83))*ElevCalc!$V$63),NA())</f>
        <v/>
      </c>
      <c r="Z196" t="inlineStr">
        <is>
          <t>g2</t>
        </is>
      </c>
      <c r="AA196">
        <f>IF(ElevCalc!$AA$81*(ElevCalc!$AA$65=2)*(ElevCalc!$AA$20&lt;&gt;"FL"),(ElevCalc!$AA$64+(ElevCalc!$AA$85+0.5*(ElevCalc!$AA$85+ElevCalc!$AA$79-ElevCalc!$AA$85))*ElevCalc!$AA$63),NA())</f>
        <v/>
      </c>
      <c r="AB196">
        <f>IF(ElevCalc!$AA$81*(ElevCalc!$AA$65=2)*(ElevCalc!$AA$20&lt;&gt;"FL"),((ElevCalc!$AA$83+0.75*(ElevCalc!$AA$82-ElevCalc!$AA$83))*ElevCalc!$AA$63),NA())</f>
        <v/>
      </c>
      <c r="AE196" t="inlineStr">
        <is>
          <t>g2</t>
        </is>
      </c>
      <c r="AF196">
        <f>IF(ElevCalc!$AF$81*(ElevCalc!$AF$65=2)*(ElevCalc!$AF$20&lt;&gt;"FL"),(ElevCalc!$AF$64+(ElevCalc!$AF$85+0.5*(ElevCalc!$AF$85+ElevCalc!$AF$79-ElevCalc!$AF$85))*ElevCalc!$AF$63),NA())</f>
        <v/>
      </c>
      <c r="AG196">
        <f>IF(ElevCalc!$AF$81*(ElevCalc!$AF$65=2)*(ElevCalc!$AF$20&lt;&gt;"FL"),((ElevCalc!$AF$83+0.75*(ElevCalc!$AF$82-ElevCalc!$AF$83))*ElevCalc!$AF$63),NA())</f>
        <v/>
      </c>
    </row>
    <row r="198">
      <c r="A198" t="inlineStr">
        <is>
          <t>gT</t>
        </is>
      </c>
      <c r="B198">
        <f>IF(ElevCalc!$B$45*(ElevCalc!$B$53&gt;0),(ElevCalc!$B$64+(ElevCalc!$B$59+0.25*(ElevCalc!$B$60-ElevCalc!$B$59))*ElevCalc!$B$63),NA())</f>
        <v/>
      </c>
      <c r="C198">
        <f>IF(ElevCalc!$B$45*(ElevCalc!$B$53&gt;0),((ElevCalc!$B$62+ElevCalc!$B$50+0.45*(ElevCalc!$B$62+ElevCalc!$B$50+ElevCalc!$B$53-ElevCalc!$B$62+ElevCalc!$B$50))*ElevCalc!$B$63),NA())</f>
        <v/>
      </c>
      <c r="F198" t="inlineStr">
        <is>
          <t>gT</t>
        </is>
      </c>
      <c r="G198">
        <f>IF(ElevCalc!$G$45*(ElevCalc!$G$53&gt;0),(ElevCalc!$G$64+(ElevCalc!$G$59+0.25*(ElevCalc!$G$60-ElevCalc!$G$59))*ElevCalc!$G$63),NA())</f>
        <v/>
      </c>
      <c r="H198">
        <f>IF(ElevCalc!$G$45*(ElevCalc!$G$53&gt;0),((ElevCalc!$G$62+ElevCalc!$G$50+0.45*(ElevCalc!$G$62+ElevCalc!$G$50+ElevCalc!$G$53-ElevCalc!$G$62+ElevCalc!$G$50))*ElevCalc!$G$63),NA())</f>
        <v/>
      </c>
      <c r="K198" t="inlineStr">
        <is>
          <t>gT</t>
        </is>
      </c>
      <c r="L198">
        <f>IF(ElevCalc!$L$45*(ElevCalc!$L$53&gt;0),(ElevCalc!$L$64+(ElevCalc!$L$59+0.25*(ElevCalc!$L$60-ElevCalc!$L$59))*ElevCalc!$L$63),NA())</f>
        <v/>
      </c>
      <c r="M198">
        <f>IF(ElevCalc!$L$45*(ElevCalc!$L$53&gt;0),((ElevCalc!$L$62+ElevCalc!$L$50+0.45*(ElevCalc!$L$62+ElevCalc!$L$50+ElevCalc!$L$53-ElevCalc!$L$62+ElevCalc!$L$50))*ElevCalc!$L$63),NA())</f>
        <v/>
      </c>
      <c r="P198" t="inlineStr">
        <is>
          <t>gT</t>
        </is>
      </c>
      <c r="Q198">
        <f>IF(ElevCalc!$Q$45*(ElevCalc!$Q$53&gt;0),(ElevCalc!$Q$64+(ElevCalc!$Q$59+0.25*(ElevCalc!$Q$60-ElevCalc!$Q$59))*ElevCalc!$Q$63),NA())</f>
        <v/>
      </c>
      <c r="R198">
        <f>IF(ElevCalc!$Q$45*(ElevCalc!$Q$53&gt;0),((ElevCalc!$Q$62+ElevCalc!$Q$50+0.45*(ElevCalc!$Q$62+ElevCalc!$Q$50+ElevCalc!$Q$53-ElevCalc!$Q$62+ElevCalc!$Q$50))*ElevCalc!$Q$63),NA())</f>
        <v/>
      </c>
      <c r="U198" t="inlineStr">
        <is>
          <t>gT</t>
        </is>
      </c>
      <c r="V198">
        <f>IF(ElevCalc!$V$45*(ElevCalc!$V$53&gt;0),(ElevCalc!$V$64+(ElevCalc!$V$59+0.25*(ElevCalc!$V$60-ElevCalc!$V$59))*ElevCalc!$V$63),NA())</f>
        <v/>
      </c>
      <c r="W198">
        <f>IF(ElevCalc!$V$45*(ElevCalc!$V$53&gt;0),((ElevCalc!$V$62+ElevCalc!$V$50+0.45*(ElevCalc!$V$62+ElevCalc!$V$50+ElevCalc!$V$53-ElevCalc!$V$62+ElevCalc!$V$50))*ElevCalc!$V$63),NA())</f>
        <v/>
      </c>
      <c r="Z198" t="inlineStr">
        <is>
          <t>gT</t>
        </is>
      </c>
      <c r="AA198">
        <f>IF(ElevCalc!$AA$45*(ElevCalc!$AA$53&gt;0),(ElevCalc!$AA$64+(ElevCalc!$AA$59+0.25*(ElevCalc!$AA$60-ElevCalc!$AA$59))*ElevCalc!$AA$63),NA())</f>
        <v/>
      </c>
      <c r="AB198">
        <f>IF(ElevCalc!$AA$45*(ElevCalc!$AA$53&gt;0),((ElevCalc!$AA$62+ElevCalc!$AA$50+0.45*(ElevCalc!$AA$62+ElevCalc!$AA$50+ElevCalc!$AA$53-ElevCalc!$AA$62+ElevCalc!$AA$50))*ElevCalc!$AA$63),NA())</f>
        <v/>
      </c>
      <c r="AE198" t="inlineStr">
        <is>
          <t>gT</t>
        </is>
      </c>
      <c r="AF198">
        <f>IF(ElevCalc!$AF$45*(ElevCalc!$AF$53&gt;0),(ElevCalc!$AF$64+(ElevCalc!$AF$59+0.25*(ElevCalc!$AF$60-ElevCalc!$AF$59))*ElevCalc!$AF$63),NA())</f>
        <v/>
      </c>
      <c r="AG198">
        <f>IF(ElevCalc!$AF$45*(ElevCalc!$AF$53&gt;0),((ElevCalc!$AF$62+ElevCalc!$AF$50+0.45*(ElevCalc!$AF$62+ElevCalc!$AF$50+ElevCalc!$AF$53-ElevCalc!$AF$62+ElevCalc!$AF$50))*ElevCalc!$AF$63),NA())</f>
        <v/>
      </c>
    </row>
    <row r="199">
      <c r="A199" t="inlineStr">
        <is>
          <t>gT</t>
        </is>
      </c>
      <c r="B199">
        <f>IF(ElevCalc!$B$45*(ElevCalc!$B$53&gt;0),(ElevCalc!$B$64+(ElevCalc!$B$59+0.5*(ElevCalc!$B$60-ElevCalc!$B$59))*ElevCalc!$B$63),NA())</f>
        <v/>
      </c>
      <c r="C199">
        <f>IF(ElevCalc!$B$45*(ElevCalc!$B$53&gt;0),((ElevCalc!$B$62+ElevCalc!$B$50+0.75*(ElevCalc!$B$62+ElevCalc!$B$50+ElevCalc!$B$53-ElevCalc!$B$62+ElevCalc!$B$50))*ElevCalc!$B$63),NA())</f>
        <v/>
      </c>
      <c r="F199" t="inlineStr">
        <is>
          <t>gT</t>
        </is>
      </c>
      <c r="G199">
        <f>IF(ElevCalc!$G$45*(ElevCalc!$G$53&gt;0),(ElevCalc!$G$64+(ElevCalc!$G$59+0.5*(ElevCalc!$G$60-ElevCalc!$G$59))*ElevCalc!$G$63),NA())</f>
        <v/>
      </c>
      <c r="H199">
        <f>IF(ElevCalc!$G$45*(ElevCalc!$G$53&gt;0),((ElevCalc!$G$62+ElevCalc!$G$50+0.75*(ElevCalc!$G$62+ElevCalc!$G$50+ElevCalc!$G$53-ElevCalc!$G$62+ElevCalc!$G$50))*ElevCalc!$G$63),NA())</f>
        <v/>
      </c>
      <c r="K199" t="inlineStr">
        <is>
          <t>gT</t>
        </is>
      </c>
      <c r="L199">
        <f>IF(ElevCalc!$L$45*(ElevCalc!$L$53&gt;0),(ElevCalc!$L$64+(ElevCalc!$L$59+0.5*(ElevCalc!$L$60-ElevCalc!$L$59))*ElevCalc!$L$63),NA())</f>
        <v/>
      </c>
      <c r="M199">
        <f>IF(ElevCalc!$L$45*(ElevCalc!$L$53&gt;0),((ElevCalc!$L$62+ElevCalc!$L$50+0.75*(ElevCalc!$L$62+ElevCalc!$L$50+ElevCalc!$L$53-ElevCalc!$L$62+ElevCalc!$L$50))*ElevCalc!$L$63),NA())</f>
        <v/>
      </c>
      <c r="P199" t="inlineStr">
        <is>
          <t>gT</t>
        </is>
      </c>
      <c r="Q199">
        <f>IF(ElevCalc!$Q$45*(ElevCalc!$Q$53&gt;0),(ElevCalc!$Q$64+(ElevCalc!$Q$59+0.5*(ElevCalc!$Q$60-ElevCalc!$Q$59))*ElevCalc!$Q$63),NA())</f>
        <v/>
      </c>
      <c r="R199">
        <f>IF(ElevCalc!$Q$45*(ElevCalc!$Q$53&gt;0),((ElevCalc!$Q$62+ElevCalc!$Q$50+0.75*(ElevCalc!$Q$62+ElevCalc!$Q$50+ElevCalc!$Q$53-ElevCalc!$Q$62+ElevCalc!$Q$50))*ElevCalc!$Q$63),NA())</f>
        <v/>
      </c>
      <c r="U199" t="inlineStr">
        <is>
          <t>gT</t>
        </is>
      </c>
      <c r="V199">
        <f>IF(ElevCalc!$V$45*(ElevCalc!$V$53&gt;0),(ElevCalc!$V$64+(ElevCalc!$V$59+0.5*(ElevCalc!$V$60-ElevCalc!$V$59))*ElevCalc!$V$63),NA())</f>
        <v/>
      </c>
      <c r="W199">
        <f>IF(ElevCalc!$V$45*(ElevCalc!$V$53&gt;0),((ElevCalc!$V$62+ElevCalc!$V$50+0.75*(ElevCalc!$V$62+ElevCalc!$V$50+ElevCalc!$V$53-ElevCalc!$V$62+ElevCalc!$V$50))*ElevCalc!$V$63),NA())</f>
        <v/>
      </c>
      <c r="Z199" t="inlineStr">
        <is>
          <t>gT</t>
        </is>
      </c>
      <c r="AA199">
        <f>IF(ElevCalc!$AA$45*(ElevCalc!$AA$53&gt;0),(ElevCalc!$AA$64+(ElevCalc!$AA$59+0.5*(ElevCalc!$AA$60-ElevCalc!$AA$59))*ElevCalc!$AA$63),NA())</f>
        <v/>
      </c>
      <c r="AB199">
        <f>IF(ElevCalc!$AA$45*(ElevCalc!$AA$53&gt;0),((ElevCalc!$AA$62+ElevCalc!$AA$50+0.75*(ElevCalc!$AA$62+ElevCalc!$AA$50+ElevCalc!$AA$53-ElevCalc!$AA$62+ElevCalc!$AA$50))*ElevCalc!$AA$63),NA())</f>
        <v/>
      </c>
      <c r="AE199" t="inlineStr">
        <is>
          <t>gT</t>
        </is>
      </c>
      <c r="AF199">
        <f>IF(ElevCalc!$AF$45*(ElevCalc!$AF$53&gt;0),(ElevCalc!$AF$64+(ElevCalc!$AF$59+0.5*(ElevCalc!$AF$60-ElevCalc!$AF$59))*ElevCalc!$AF$63),NA())</f>
        <v/>
      </c>
      <c r="AG199">
        <f>IF(ElevCalc!$AF$45*(ElevCalc!$AF$53&gt;0),((ElevCalc!$AF$62+ElevCalc!$AF$50+0.75*(ElevCalc!$AF$62+ElevCalc!$AF$50+ElevCalc!$AF$53-ElevCalc!$AF$62+ElevCalc!$AF$50))*ElevCalc!$AF$63),NA())</f>
        <v/>
      </c>
    </row>
    <row r="201">
      <c r="A201" t="inlineStr">
        <is>
          <t>gL</t>
        </is>
      </c>
      <c r="B201">
        <f>IF(ElevCalc!$B$45*(ElevCalc!$B$55&gt;0),(ElevCalc!$B$64+(ElevCalc!$B$48+0.25*(ElevCalc!$B$48+ElevCalc!$B$55-ElevCalc!$B$48))*ElevCalc!$B$63),NA())</f>
        <v/>
      </c>
      <c r="C201">
        <f>IF(ElevCalc!$B$45*(ElevCalc!$B$55&gt;0),((ElevCalc!$B$61+0.45*(ElevCalc!$B$62-ElevCalc!$B$61))*ElevCalc!$B$63),NA())</f>
        <v/>
      </c>
      <c r="F201" t="inlineStr">
        <is>
          <t>gL</t>
        </is>
      </c>
      <c r="G201">
        <f>IF(ElevCalc!$G$45*(ElevCalc!$G$55&gt;0),(ElevCalc!$G$64+(ElevCalc!$G$48+0.25*(ElevCalc!$G$48+ElevCalc!$G$55-ElevCalc!$G$48))*ElevCalc!$G$63),NA())</f>
        <v/>
      </c>
      <c r="H201">
        <f>IF(ElevCalc!$G$45*(ElevCalc!$G$55&gt;0),((ElevCalc!$G$61+0.45*(ElevCalc!$G$62-ElevCalc!$G$61))*ElevCalc!$G$63),NA())</f>
        <v/>
      </c>
      <c r="K201" t="inlineStr">
        <is>
          <t>gL</t>
        </is>
      </c>
      <c r="L201">
        <f>IF(ElevCalc!$L$45*(ElevCalc!$L$55&gt;0),(ElevCalc!$L$64+(ElevCalc!$L$48+0.25*(ElevCalc!$L$48+ElevCalc!$L$55-ElevCalc!$L$48))*ElevCalc!$L$63),NA())</f>
        <v/>
      </c>
      <c r="M201">
        <f>IF(ElevCalc!$L$45*(ElevCalc!$L$55&gt;0),((ElevCalc!$L$61+0.45*(ElevCalc!$L$62-ElevCalc!$L$61))*ElevCalc!$L$63),NA())</f>
        <v/>
      </c>
      <c r="P201" t="inlineStr">
        <is>
          <t>gL</t>
        </is>
      </c>
      <c r="Q201">
        <f>IF(ElevCalc!$Q$45*(ElevCalc!$Q$55&gt;0),(ElevCalc!$Q$64+(ElevCalc!$Q$48+0.25*(ElevCalc!$Q$48+ElevCalc!$Q$55-ElevCalc!$Q$48))*ElevCalc!$Q$63),NA())</f>
        <v/>
      </c>
      <c r="R201">
        <f>IF(ElevCalc!$Q$45*(ElevCalc!$Q$55&gt;0),((ElevCalc!$Q$61+0.45*(ElevCalc!$Q$62-ElevCalc!$Q$61))*ElevCalc!$Q$63),NA())</f>
        <v/>
      </c>
      <c r="U201" t="inlineStr">
        <is>
          <t>gL</t>
        </is>
      </c>
      <c r="V201">
        <f>IF(ElevCalc!$V$45*(ElevCalc!$V$55&gt;0),(ElevCalc!$V$64+(ElevCalc!$V$48+0.25*(ElevCalc!$V$48+ElevCalc!$V$55-ElevCalc!$V$48))*ElevCalc!$V$63),NA())</f>
        <v/>
      </c>
      <c r="W201">
        <f>IF(ElevCalc!$V$45*(ElevCalc!$V$55&gt;0),((ElevCalc!$V$61+0.45*(ElevCalc!$V$62-ElevCalc!$V$61))*ElevCalc!$V$63),NA())</f>
        <v/>
      </c>
      <c r="Z201" t="inlineStr">
        <is>
          <t>gL</t>
        </is>
      </c>
      <c r="AA201">
        <f>IF(ElevCalc!$AA$45*(ElevCalc!$AA$55&gt;0),(ElevCalc!$AA$64+(ElevCalc!$AA$48+0.25*(ElevCalc!$AA$48+ElevCalc!$AA$55-ElevCalc!$AA$48))*ElevCalc!$AA$63),NA())</f>
        <v/>
      </c>
      <c r="AB201">
        <f>IF(ElevCalc!$AA$45*(ElevCalc!$AA$55&gt;0),((ElevCalc!$AA$61+0.45*(ElevCalc!$AA$62-ElevCalc!$AA$61))*ElevCalc!$AA$63),NA())</f>
        <v/>
      </c>
      <c r="AE201" t="inlineStr">
        <is>
          <t>gL</t>
        </is>
      </c>
      <c r="AF201">
        <f>IF(ElevCalc!$AF$45*(ElevCalc!$AF$55&gt;0),(ElevCalc!$AF$64+(ElevCalc!$AF$48+0.25*(ElevCalc!$AF$48+ElevCalc!$AF$55-ElevCalc!$AF$48))*ElevCalc!$AF$63),NA())</f>
        <v/>
      </c>
      <c r="AG201">
        <f>IF(ElevCalc!$AF$45*(ElevCalc!$AF$55&gt;0),((ElevCalc!$AF$61+0.45*(ElevCalc!$AF$62-ElevCalc!$AF$61))*ElevCalc!$AF$63),NA())</f>
        <v/>
      </c>
    </row>
    <row r="202">
      <c r="A202" t="inlineStr">
        <is>
          <t>gL</t>
        </is>
      </c>
      <c r="B202">
        <f>IF(ElevCalc!$B$45*(ElevCalc!$B$55&gt;0),(ElevCalc!$B$64+(ElevCalc!$B$48+0.5*(ElevCalc!$B$48+ElevCalc!$B$55-ElevCalc!$B$48))*ElevCalc!$B$63),NA())</f>
        <v/>
      </c>
      <c r="C202">
        <f>IF(ElevCalc!$B$45*(ElevCalc!$B$55&gt;0),((ElevCalc!$B$61+0.75*(ElevCalc!$B$62-ElevCalc!$B$61))*ElevCalc!$B$63),NA())</f>
        <v/>
      </c>
      <c r="F202" t="inlineStr">
        <is>
          <t>gL</t>
        </is>
      </c>
      <c r="G202">
        <f>IF(ElevCalc!$G$45*(ElevCalc!$G$55&gt;0),(ElevCalc!$G$64+(ElevCalc!$G$48+0.5*(ElevCalc!$G$48+ElevCalc!$G$55-ElevCalc!$G$48))*ElevCalc!$G$63),NA())</f>
        <v/>
      </c>
      <c r="H202">
        <f>IF(ElevCalc!$G$45*(ElevCalc!$G$55&gt;0),((ElevCalc!$G$61+0.75*(ElevCalc!$G$62-ElevCalc!$G$61))*ElevCalc!$G$63),NA())</f>
        <v/>
      </c>
      <c r="K202" t="inlineStr">
        <is>
          <t>gL</t>
        </is>
      </c>
      <c r="L202">
        <f>IF(ElevCalc!$L$45*(ElevCalc!$L$55&gt;0),(ElevCalc!$L$64+(ElevCalc!$L$48+0.5*(ElevCalc!$L$48+ElevCalc!$L$55-ElevCalc!$L$48))*ElevCalc!$L$63),NA())</f>
        <v/>
      </c>
      <c r="M202">
        <f>IF(ElevCalc!$L$45*(ElevCalc!$L$55&gt;0),((ElevCalc!$L$61+0.75*(ElevCalc!$L$62-ElevCalc!$L$61))*ElevCalc!$L$63),NA())</f>
        <v/>
      </c>
      <c r="P202" t="inlineStr">
        <is>
          <t>gL</t>
        </is>
      </c>
      <c r="Q202">
        <f>IF(ElevCalc!$Q$45*(ElevCalc!$Q$55&gt;0),(ElevCalc!$Q$64+(ElevCalc!$Q$48+0.5*(ElevCalc!$Q$48+ElevCalc!$Q$55-ElevCalc!$Q$48))*ElevCalc!$Q$63),NA())</f>
        <v/>
      </c>
      <c r="R202">
        <f>IF(ElevCalc!$Q$45*(ElevCalc!$Q$55&gt;0),((ElevCalc!$Q$61+0.75*(ElevCalc!$Q$62-ElevCalc!$Q$61))*ElevCalc!$Q$63),NA())</f>
        <v/>
      </c>
      <c r="U202" t="inlineStr">
        <is>
          <t>gL</t>
        </is>
      </c>
      <c r="V202">
        <f>IF(ElevCalc!$V$45*(ElevCalc!$V$55&gt;0),(ElevCalc!$V$64+(ElevCalc!$V$48+0.5*(ElevCalc!$V$48+ElevCalc!$V$55-ElevCalc!$V$48))*ElevCalc!$V$63),NA())</f>
        <v/>
      </c>
      <c r="W202">
        <f>IF(ElevCalc!$V$45*(ElevCalc!$V$55&gt;0),((ElevCalc!$V$61+0.75*(ElevCalc!$V$62-ElevCalc!$V$61))*ElevCalc!$V$63),NA())</f>
        <v/>
      </c>
      <c r="Z202" t="inlineStr">
        <is>
          <t>gL</t>
        </is>
      </c>
      <c r="AA202">
        <f>IF(ElevCalc!$AA$45*(ElevCalc!$AA$55&gt;0),(ElevCalc!$AA$64+(ElevCalc!$AA$48+0.5*(ElevCalc!$AA$48+ElevCalc!$AA$55-ElevCalc!$AA$48))*ElevCalc!$AA$63),NA())</f>
        <v/>
      </c>
      <c r="AB202">
        <f>IF(ElevCalc!$AA$45*(ElevCalc!$AA$55&gt;0),((ElevCalc!$AA$61+0.75*(ElevCalc!$AA$62-ElevCalc!$AA$61))*ElevCalc!$AA$63),NA())</f>
        <v/>
      </c>
      <c r="AE202" t="inlineStr">
        <is>
          <t>gL</t>
        </is>
      </c>
      <c r="AF202">
        <f>IF(ElevCalc!$AF$45*(ElevCalc!$AF$55&gt;0),(ElevCalc!$AF$64+(ElevCalc!$AF$48+0.5*(ElevCalc!$AF$48+ElevCalc!$AF$55-ElevCalc!$AF$48))*ElevCalc!$AF$63),NA())</f>
        <v/>
      </c>
      <c r="AG202">
        <f>IF(ElevCalc!$AF$45*(ElevCalc!$AF$55&gt;0),((ElevCalc!$AF$61+0.75*(ElevCalc!$AF$62-ElevCalc!$AF$61))*ElevCalc!$AF$63),NA())</f>
        <v/>
      </c>
    </row>
    <row r="204">
      <c r="A204" t="inlineStr">
        <is>
          <t>gR</t>
        </is>
      </c>
      <c r="B204">
        <f>IF(ElevCalc!$B$45*(ElevCalc!$B$56&gt;0),(ElevCalc!$B$64+(ElevCalc!$B$60+ElevCalc!$B$50+0.25*(ElevCalc!$B$60+ElevCalc!$B$50+ElevCalc!$B$56-ElevCalc!$B$60+ElevCalc!$B$50))*ElevCalc!$B$63),NA())</f>
        <v/>
      </c>
      <c r="C204">
        <f>IF(ElevCalc!$B$45*(ElevCalc!$B$56&gt;0),((ElevCalc!$B$61+0.45*(ElevCalc!$B$62-ElevCalc!$B$61))*ElevCalc!$B$63),NA())</f>
        <v/>
      </c>
      <c r="F204" t="inlineStr">
        <is>
          <t>gR</t>
        </is>
      </c>
      <c r="G204">
        <f>IF(ElevCalc!$G$45*(ElevCalc!$G$56&gt;0),(ElevCalc!$G$64+(ElevCalc!$G$60+ElevCalc!$G$50+0.25*(ElevCalc!$G$60+ElevCalc!$G$50+ElevCalc!$G$56-ElevCalc!$G$60+ElevCalc!$G$50))*ElevCalc!$G$63),NA())</f>
        <v/>
      </c>
      <c r="H204">
        <f>IF(ElevCalc!$G$45*(ElevCalc!$G$56&gt;0),((ElevCalc!$G$61+0.45*(ElevCalc!$G$62-ElevCalc!$G$61))*ElevCalc!$G$63),NA())</f>
        <v/>
      </c>
      <c r="K204" t="inlineStr">
        <is>
          <t>gR</t>
        </is>
      </c>
      <c r="L204">
        <f>IF(ElevCalc!$L$45*(ElevCalc!$L$56&gt;0),(ElevCalc!$L$64+(ElevCalc!$L$60+ElevCalc!$L$50+0.25*(ElevCalc!$L$60+ElevCalc!$L$50+ElevCalc!$L$56-ElevCalc!$L$60+ElevCalc!$L$50))*ElevCalc!$L$63),NA())</f>
        <v/>
      </c>
      <c r="M204">
        <f>IF(ElevCalc!$L$45*(ElevCalc!$L$56&gt;0),((ElevCalc!$L$61+0.45*(ElevCalc!$L$62-ElevCalc!$L$61))*ElevCalc!$L$63),NA())</f>
        <v/>
      </c>
      <c r="P204" t="inlineStr">
        <is>
          <t>gR</t>
        </is>
      </c>
      <c r="Q204">
        <f>IF(ElevCalc!$Q$45*(ElevCalc!$Q$56&gt;0),(ElevCalc!$Q$64+(ElevCalc!$Q$60+ElevCalc!$Q$50+0.25*(ElevCalc!$Q$60+ElevCalc!$Q$50+ElevCalc!$Q$56-ElevCalc!$Q$60+ElevCalc!$Q$50))*ElevCalc!$Q$63),NA())</f>
        <v/>
      </c>
      <c r="R204">
        <f>IF(ElevCalc!$Q$45*(ElevCalc!$Q$56&gt;0),((ElevCalc!$Q$61+0.45*(ElevCalc!$Q$62-ElevCalc!$Q$61))*ElevCalc!$Q$63),NA())</f>
        <v/>
      </c>
      <c r="U204" t="inlineStr">
        <is>
          <t>gR</t>
        </is>
      </c>
      <c r="V204">
        <f>IF(ElevCalc!$V$45*(ElevCalc!$V$56&gt;0),(ElevCalc!$V$64+(ElevCalc!$V$60+ElevCalc!$V$50+0.25*(ElevCalc!$V$60+ElevCalc!$V$50+ElevCalc!$V$56-ElevCalc!$V$60+ElevCalc!$V$50))*ElevCalc!$V$63),NA())</f>
        <v/>
      </c>
      <c r="W204">
        <f>IF(ElevCalc!$V$45*(ElevCalc!$V$56&gt;0),((ElevCalc!$V$61+0.45*(ElevCalc!$V$62-ElevCalc!$V$61))*ElevCalc!$V$63),NA())</f>
        <v/>
      </c>
      <c r="Z204" t="inlineStr">
        <is>
          <t>gR</t>
        </is>
      </c>
      <c r="AA204">
        <f>IF(ElevCalc!$AA$45*(ElevCalc!$AA$56&gt;0),(ElevCalc!$AA$64+(ElevCalc!$AA$60+ElevCalc!$AA$50+0.25*(ElevCalc!$AA$60+ElevCalc!$AA$50+ElevCalc!$AA$56-ElevCalc!$AA$60+ElevCalc!$AA$50))*ElevCalc!$AA$63),NA())</f>
        <v/>
      </c>
      <c r="AB204">
        <f>IF(ElevCalc!$AA$45*(ElevCalc!$AA$56&gt;0),((ElevCalc!$AA$61+0.45*(ElevCalc!$AA$62-ElevCalc!$AA$61))*ElevCalc!$AA$63),NA())</f>
        <v/>
      </c>
      <c r="AE204" t="inlineStr">
        <is>
          <t>gR</t>
        </is>
      </c>
      <c r="AF204">
        <f>IF(ElevCalc!$AF$45*(ElevCalc!$AF$56&gt;0),(ElevCalc!$AF$64+(ElevCalc!$AF$60+ElevCalc!$AF$50+0.25*(ElevCalc!$AF$60+ElevCalc!$AF$50+ElevCalc!$AF$56-ElevCalc!$AF$60+ElevCalc!$AF$50))*ElevCalc!$AF$63),NA())</f>
        <v/>
      </c>
      <c r="AG204">
        <f>IF(ElevCalc!$AF$45*(ElevCalc!$AF$56&gt;0),((ElevCalc!$AF$61+0.45*(ElevCalc!$AF$62-ElevCalc!$AF$61))*ElevCalc!$AF$63),NA())</f>
        <v/>
      </c>
    </row>
    <row r="205">
      <c r="A205" t="inlineStr">
        <is>
          <t>gR</t>
        </is>
      </c>
      <c r="B205">
        <f>IF(ElevCalc!$B$45*(ElevCalc!$B$56&gt;0),(ElevCalc!$B$64+(ElevCalc!$B$60+ElevCalc!$B$50+0.5*(ElevCalc!$B$60+ElevCalc!$B$50+ElevCalc!$B$56-ElevCalc!$B$60+ElevCalc!$B$50))*ElevCalc!$B$63),NA())</f>
        <v/>
      </c>
      <c r="C205">
        <f>IF(ElevCalc!$B$45*(ElevCalc!$B$56&gt;0),((ElevCalc!$B$61+0.75*(ElevCalc!$B$62-ElevCalc!$B$61))*ElevCalc!$B$63),NA())</f>
        <v/>
      </c>
      <c r="F205" t="inlineStr">
        <is>
          <t>gR</t>
        </is>
      </c>
      <c r="G205">
        <f>IF(ElevCalc!$G$45*(ElevCalc!$G$56&gt;0),(ElevCalc!$G$64+(ElevCalc!$G$60+ElevCalc!$G$50+0.5*(ElevCalc!$G$60+ElevCalc!$G$50+ElevCalc!$G$56-ElevCalc!$G$60+ElevCalc!$G$50))*ElevCalc!$G$63),NA())</f>
        <v/>
      </c>
      <c r="H205">
        <f>IF(ElevCalc!$G$45*(ElevCalc!$G$56&gt;0),((ElevCalc!$G$61+0.75*(ElevCalc!$G$62-ElevCalc!$G$61))*ElevCalc!$G$63),NA())</f>
        <v/>
      </c>
      <c r="K205" t="inlineStr">
        <is>
          <t>gR</t>
        </is>
      </c>
      <c r="L205">
        <f>IF(ElevCalc!$L$45*(ElevCalc!$L$56&gt;0),(ElevCalc!$L$64+(ElevCalc!$L$60+ElevCalc!$L$50+0.5*(ElevCalc!$L$60+ElevCalc!$L$50+ElevCalc!$L$56-ElevCalc!$L$60+ElevCalc!$L$50))*ElevCalc!$L$63),NA())</f>
        <v/>
      </c>
      <c r="M205">
        <f>IF(ElevCalc!$L$45*(ElevCalc!$L$56&gt;0),((ElevCalc!$L$61+0.75*(ElevCalc!$L$62-ElevCalc!$L$61))*ElevCalc!$L$63),NA())</f>
        <v/>
      </c>
      <c r="P205" t="inlineStr">
        <is>
          <t>gR</t>
        </is>
      </c>
      <c r="Q205">
        <f>IF(ElevCalc!$Q$45*(ElevCalc!$Q$56&gt;0),(ElevCalc!$Q$64+(ElevCalc!$Q$60+ElevCalc!$Q$50+0.5*(ElevCalc!$Q$60+ElevCalc!$Q$50+ElevCalc!$Q$56-ElevCalc!$Q$60+ElevCalc!$Q$50))*ElevCalc!$Q$63),NA())</f>
        <v/>
      </c>
      <c r="R205">
        <f>IF(ElevCalc!$Q$45*(ElevCalc!$Q$56&gt;0),((ElevCalc!$Q$61+0.75*(ElevCalc!$Q$62-ElevCalc!$Q$61))*ElevCalc!$Q$63),NA())</f>
        <v/>
      </c>
      <c r="U205" t="inlineStr">
        <is>
          <t>gR</t>
        </is>
      </c>
      <c r="V205">
        <f>IF(ElevCalc!$V$45*(ElevCalc!$V$56&gt;0),(ElevCalc!$V$64+(ElevCalc!$V$60+ElevCalc!$V$50+0.5*(ElevCalc!$V$60+ElevCalc!$V$50+ElevCalc!$V$56-ElevCalc!$V$60+ElevCalc!$V$50))*ElevCalc!$V$63),NA())</f>
        <v/>
      </c>
      <c r="W205">
        <f>IF(ElevCalc!$V$45*(ElevCalc!$V$56&gt;0),((ElevCalc!$V$61+0.75*(ElevCalc!$V$62-ElevCalc!$V$61))*ElevCalc!$V$63),NA())</f>
        <v/>
      </c>
      <c r="Z205" t="inlineStr">
        <is>
          <t>gR</t>
        </is>
      </c>
      <c r="AA205">
        <f>IF(ElevCalc!$AA$45*(ElevCalc!$AA$56&gt;0),(ElevCalc!$AA$64+(ElevCalc!$AA$60+ElevCalc!$AA$50+0.5*(ElevCalc!$AA$60+ElevCalc!$AA$50+ElevCalc!$AA$56-ElevCalc!$AA$60+ElevCalc!$AA$50))*ElevCalc!$AA$63),NA())</f>
        <v/>
      </c>
      <c r="AB205">
        <f>IF(ElevCalc!$AA$45*(ElevCalc!$AA$56&gt;0),((ElevCalc!$AA$61+0.75*(ElevCalc!$AA$62-ElevCalc!$AA$61))*ElevCalc!$AA$63),NA())</f>
        <v/>
      </c>
      <c r="AE205" t="inlineStr">
        <is>
          <t>gR</t>
        </is>
      </c>
      <c r="AF205">
        <f>IF(ElevCalc!$AF$45*(ElevCalc!$AF$56&gt;0),(ElevCalc!$AF$64+(ElevCalc!$AF$60+ElevCalc!$AF$50+0.5*(ElevCalc!$AF$60+ElevCalc!$AF$50+ElevCalc!$AF$56-ElevCalc!$AF$60+ElevCalc!$AF$50))*ElevCalc!$AF$63),NA())</f>
        <v/>
      </c>
      <c r="AG205">
        <f>IF(ElevCalc!$AF$45*(ElevCalc!$AF$56&gt;0),((ElevCalc!$AF$61+0.75*(ElevCalc!$AF$62-ElevCalc!$AF$61))*ElevCalc!$AF$63),NA())</f>
        <v/>
      </c>
    </row>
    <row r="207">
      <c r="A207" t="inlineStr">
        <is>
          <t>gB</t>
        </is>
      </c>
      <c r="B207">
        <f>IF(ElevCalc!$B$45*(ElevCalc!$B$4="BL"),(ElevCalc!$B$64+(ElevCalc!$B$59+0.25*(ElevCalc!$B$60-ElevCalc!$B$59))*ElevCalc!$B$63),NA())</f>
        <v/>
      </c>
      <c r="C207">
        <f>IF(ElevCalc!$B$45*(ElevCalc!$B$4="BL"),((ElevCalc!$B$61+0.45*(ElevCalc!$B$62-ElevCalc!$B$61))*ElevCalc!$B$63),NA())</f>
        <v/>
      </c>
      <c r="F207" t="inlineStr">
        <is>
          <t>gB</t>
        </is>
      </c>
      <c r="G207">
        <f>IF(ElevCalc!$G$45*(ElevCalc!$G$4="BL"),(ElevCalc!$G$64+(ElevCalc!$G$59+0.25*(ElevCalc!$G$60-ElevCalc!$G$59))*ElevCalc!$G$63),NA())</f>
        <v/>
      </c>
      <c r="H207">
        <f>IF(ElevCalc!$G$45*(ElevCalc!$G$4="BL"),((ElevCalc!$G$61+0.45*(ElevCalc!$G$62-ElevCalc!$G$61))*ElevCalc!$G$63),NA())</f>
        <v/>
      </c>
      <c r="K207" t="inlineStr">
        <is>
          <t>gB</t>
        </is>
      </c>
      <c r="L207">
        <f>IF(ElevCalc!$L$45*(ElevCalc!$L$4="BL"),(ElevCalc!$L$64+(ElevCalc!$L$59+0.25*(ElevCalc!$L$60-ElevCalc!$L$59))*ElevCalc!$L$63),NA())</f>
        <v/>
      </c>
      <c r="M207">
        <f>IF(ElevCalc!$L$45*(ElevCalc!$L$4="BL"),((ElevCalc!$L$61+0.45*(ElevCalc!$L$62-ElevCalc!$L$61))*ElevCalc!$L$63),NA())</f>
        <v/>
      </c>
      <c r="P207" t="inlineStr">
        <is>
          <t>gB</t>
        </is>
      </c>
      <c r="Q207">
        <f>IF(ElevCalc!$Q$45*(ElevCalc!$Q$4="BL"),(ElevCalc!$Q$64+(ElevCalc!$Q$59+0.25*(ElevCalc!$Q$60-ElevCalc!$Q$59))*ElevCalc!$Q$63),NA())</f>
        <v/>
      </c>
      <c r="R207">
        <f>IF(ElevCalc!$Q$45*(ElevCalc!$Q$4="BL"),((ElevCalc!$Q$61+0.45*(ElevCalc!$Q$62-ElevCalc!$Q$61))*ElevCalc!$Q$63),NA())</f>
        <v/>
      </c>
      <c r="U207" t="inlineStr">
        <is>
          <t>gB</t>
        </is>
      </c>
      <c r="V207">
        <f>IF(ElevCalc!$V$45*(ElevCalc!$V$4="BL"),(ElevCalc!$V$64+(ElevCalc!$V$59+0.25*(ElevCalc!$V$60-ElevCalc!$V$59))*ElevCalc!$V$63),NA())</f>
        <v/>
      </c>
      <c r="W207">
        <f>IF(ElevCalc!$V$45*(ElevCalc!$V$4="BL"),((ElevCalc!$V$61+0.45*(ElevCalc!$V$62-ElevCalc!$V$61))*ElevCalc!$V$63),NA())</f>
        <v/>
      </c>
      <c r="Z207" t="inlineStr">
        <is>
          <t>gB</t>
        </is>
      </c>
      <c r="AA207">
        <f>IF(ElevCalc!$AA$45*(ElevCalc!$AA$4="BL"),(ElevCalc!$AA$64+(ElevCalc!$AA$59+0.25*(ElevCalc!$AA$60-ElevCalc!$AA$59))*ElevCalc!$AA$63),NA())</f>
        <v/>
      </c>
      <c r="AB207">
        <f>IF(ElevCalc!$AA$45*(ElevCalc!$AA$4="BL"),((ElevCalc!$AA$61+0.45*(ElevCalc!$AA$62-ElevCalc!$AA$61))*ElevCalc!$AA$63),NA())</f>
        <v/>
      </c>
      <c r="AE207" t="inlineStr">
        <is>
          <t>gB</t>
        </is>
      </c>
      <c r="AF207">
        <f>IF(ElevCalc!$AF$45*(ElevCalc!$AF$4="BL"),(ElevCalc!$AF$64+(ElevCalc!$AF$59+0.25*(ElevCalc!$AF$60-ElevCalc!$AF$59))*ElevCalc!$AF$63),NA())</f>
        <v/>
      </c>
      <c r="AG207">
        <f>IF(ElevCalc!$AF$45*(ElevCalc!$AF$4="BL"),((ElevCalc!$AF$61+0.45*(ElevCalc!$AF$62-ElevCalc!$AF$61))*ElevCalc!$AF$63),NA())</f>
        <v/>
      </c>
    </row>
    <row r="208">
      <c r="A208" t="inlineStr">
        <is>
          <t>gB</t>
        </is>
      </c>
      <c r="B208">
        <f>IF(ElevCalc!$B$45*(ElevCalc!$B$4="BL"),(ElevCalc!$B$64+(ElevCalc!$B$59+0.5*(ElevCalc!$B$60-ElevCalc!$B$59))*ElevCalc!$B$63),NA())</f>
        <v/>
      </c>
      <c r="C208">
        <f>IF(ElevCalc!$B$45*(ElevCalc!$B$4="BL"),((ElevCalc!$B$61+0.75*(ElevCalc!$B$62-ElevCalc!$B$61))*ElevCalc!$B$63),NA())</f>
        <v/>
      </c>
      <c r="F208" t="inlineStr">
        <is>
          <t>gB</t>
        </is>
      </c>
      <c r="G208">
        <f>IF(ElevCalc!$G$45*(ElevCalc!$G$4="BL"),(ElevCalc!$G$64+(ElevCalc!$G$59+0.5*(ElevCalc!$G$60-ElevCalc!$G$59))*ElevCalc!$G$63),NA())</f>
        <v/>
      </c>
      <c r="H208">
        <f>IF(ElevCalc!$G$45*(ElevCalc!$G$4="BL"),((ElevCalc!$G$61+0.75*(ElevCalc!$G$62-ElevCalc!$G$61))*ElevCalc!$G$63),NA())</f>
        <v/>
      </c>
      <c r="K208" t="inlineStr">
        <is>
          <t>gB</t>
        </is>
      </c>
      <c r="L208">
        <f>IF(ElevCalc!$L$45*(ElevCalc!$L$4="BL"),(ElevCalc!$L$64+(ElevCalc!$L$59+0.5*(ElevCalc!$L$60-ElevCalc!$L$59))*ElevCalc!$L$63),NA())</f>
        <v/>
      </c>
      <c r="M208">
        <f>IF(ElevCalc!$L$45*(ElevCalc!$L$4="BL"),((ElevCalc!$L$61+0.75*(ElevCalc!$L$62-ElevCalc!$L$61))*ElevCalc!$L$63),NA())</f>
        <v/>
      </c>
      <c r="P208" t="inlineStr">
        <is>
          <t>gB</t>
        </is>
      </c>
      <c r="Q208">
        <f>IF(ElevCalc!$Q$45*(ElevCalc!$Q$4="BL"),(ElevCalc!$Q$64+(ElevCalc!$Q$59+0.5*(ElevCalc!$Q$60-ElevCalc!$Q$59))*ElevCalc!$Q$63),NA())</f>
        <v/>
      </c>
      <c r="R208">
        <f>IF(ElevCalc!$Q$45*(ElevCalc!$Q$4="BL"),((ElevCalc!$Q$61+0.75*(ElevCalc!$Q$62-ElevCalc!$Q$61))*ElevCalc!$Q$63),NA())</f>
        <v/>
      </c>
      <c r="U208" t="inlineStr">
        <is>
          <t>gB</t>
        </is>
      </c>
      <c r="V208">
        <f>IF(ElevCalc!$V$45*(ElevCalc!$V$4="BL"),(ElevCalc!$V$64+(ElevCalc!$V$59+0.5*(ElevCalc!$V$60-ElevCalc!$V$59))*ElevCalc!$V$63),NA())</f>
        <v/>
      </c>
      <c r="W208">
        <f>IF(ElevCalc!$V$45*(ElevCalc!$V$4="BL"),((ElevCalc!$V$61+0.75*(ElevCalc!$V$62-ElevCalc!$V$61))*ElevCalc!$V$63),NA())</f>
        <v/>
      </c>
      <c r="Z208" t="inlineStr">
        <is>
          <t>gB</t>
        </is>
      </c>
      <c r="AA208">
        <f>IF(ElevCalc!$AA$45*(ElevCalc!$AA$4="BL"),(ElevCalc!$AA$64+(ElevCalc!$AA$59+0.5*(ElevCalc!$AA$60-ElevCalc!$AA$59))*ElevCalc!$AA$63),NA())</f>
        <v/>
      </c>
      <c r="AB208">
        <f>IF(ElevCalc!$AA$45*(ElevCalc!$AA$4="BL"),((ElevCalc!$AA$61+0.75*(ElevCalc!$AA$62-ElevCalc!$AA$61))*ElevCalc!$AA$63),NA())</f>
        <v/>
      </c>
      <c r="AE208" t="inlineStr">
        <is>
          <t>gB</t>
        </is>
      </c>
      <c r="AF208">
        <f>IF(ElevCalc!$AF$45*(ElevCalc!$AF$4="BL"),(ElevCalc!$AF$64+(ElevCalc!$AF$59+0.5*(ElevCalc!$AF$60-ElevCalc!$AF$59))*ElevCalc!$AF$63),NA())</f>
        <v/>
      </c>
      <c r="AG208">
        <f>IF(ElevCalc!$AF$45*(ElevCalc!$AF$4="BL"),((ElevCalc!$AF$61+0.75*(ElevCalc!$AF$62-ElevCalc!$AF$61))*ElevCalc!$AF$63),NA())</f>
        <v/>
      </c>
    </row>
    <row r="210">
      <c r="A210" t="inlineStr">
        <is>
          <t>lv0</t>
        </is>
      </c>
      <c r="B210">
        <f>IF(ElevCalc!$B$81*(ElevCalc!$B$20="FL"),(ElevCalc!$B$64+(ElevCalc!$B$84)*ElevCalc!$B$63),NA())</f>
        <v/>
      </c>
      <c r="C210">
        <f>IF(ElevCalc!$B$81*(ElevCalc!$B$20="FL"),((ElevCalc!$B$83+0.2*ElevCalc!$B$80)*ElevCalc!$B$63),NA())</f>
        <v/>
      </c>
      <c r="F210" t="inlineStr">
        <is>
          <t>lv0</t>
        </is>
      </c>
      <c r="G210">
        <f>IF(ElevCalc!$G$81*(ElevCalc!$G$20="FL"),(ElevCalc!$G$64+(ElevCalc!$G$84)*ElevCalc!$G$63),NA())</f>
        <v/>
      </c>
      <c r="H210">
        <f>IF(ElevCalc!$G$81*(ElevCalc!$G$20="FL"),((ElevCalc!$G$83+0.2*ElevCalc!$G$80)*ElevCalc!$G$63),NA())</f>
        <v/>
      </c>
      <c r="K210" t="inlineStr">
        <is>
          <t>lv0</t>
        </is>
      </c>
      <c r="L210">
        <f>IF(ElevCalc!$L$81*(ElevCalc!$L$20="FL"),(ElevCalc!$L$64+(ElevCalc!$L$84)*ElevCalc!$L$63),NA())</f>
        <v/>
      </c>
      <c r="M210">
        <f>IF(ElevCalc!$L$81*(ElevCalc!$L$20="FL"),((ElevCalc!$L$83+0.2*ElevCalc!$L$80)*ElevCalc!$L$63),NA())</f>
        <v/>
      </c>
      <c r="P210" t="inlineStr">
        <is>
          <t>lv0</t>
        </is>
      </c>
      <c r="Q210">
        <f>IF(ElevCalc!$Q$81*(ElevCalc!$Q$20="FL"),(ElevCalc!$Q$64+(ElevCalc!$Q$84)*ElevCalc!$Q$63),NA())</f>
        <v/>
      </c>
      <c r="R210">
        <f>IF(ElevCalc!$Q$81*(ElevCalc!$Q$20="FL"),((ElevCalc!$Q$83+0.2*ElevCalc!$Q$80)*ElevCalc!$Q$63),NA())</f>
        <v/>
      </c>
      <c r="U210" t="inlineStr">
        <is>
          <t>lv0</t>
        </is>
      </c>
      <c r="V210">
        <f>IF(ElevCalc!$V$81*(ElevCalc!$V$20="FL"),(ElevCalc!$V$64+(ElevCalc!$V$84)*ElevCalc!$V$63),NA())</f>
        <v/>
      </c>
      <c r="W210">
        <f>IF(ElevCalc!$V$81*(ElevCalc!$V$20="FL"),((ElevCalc!$V$83+0.2*ElevCalc!$V$80)*ElevCalc!$V$63),NA())</f>
        <v/>
      </c>
      <c r="Z210" t="inlineStr">
        <is>
          <t>lv0</t>
        </is>
      </c>
      <c r="AA210">
        <f>IF(ElevCalc!$AA$81*(ElevCalc!$AA$20="FL"),(ElevCalc!$AA$64+(ElevCalc!$AA$84)*ElevCalc!$AA$63),NA())</f>
        <v/>
      </c>
      <c r="AB210">
        <f>IF(ElevCalc!$AA$81*(ElevCalc!$AA$20="FL"),((ElevCalc!$AA$83+0.2*ElevCalc!$AA$80)*ElevCalc!$AA$63),NA())</f>
        <v/>
      </c>
      <c r="AE210" t="inlineStr">
        <is>
          <t>lv0</t>
        </is>
      </c>
      <c r="AF210">
        <f>IF(ElevCalc!$AF$81*(ElevCalc!$AF$20="FL"),(ElevCalc!$AF$64+(ElevCalc!$AF$84)*ElevCalc!$AF$63),NA())</f>
        <v/>
      </c>
      <c r="AG210">
        <f>IF(ElevCalc!$AF$81*(ElevCalc!$AF$20="FL"),((ElevCalc!$AF$83+0.2*ElevCalc!$AF$80)*ElevCalc!$AF$63),NA())</f>
        <v/>
      </c>
    </row>
    <row r="211">
      <c r="A211" t="inlineStr">
        <is>
          <t>lv0</t>
        </is>
      </c>
      <c r="B211">
        <f>IF(ElevCalc!$B$81*(ElevCalc!$B$20="FL"),(ElevCalc!$B$64+(ElevCalc!$B$84+ElevCalc!$B$79)*ElevCalc!$B$63),NA())</f>
        <v/>
      </c>
      <c r="C211">
        <f>IF(ElevCalc!$B$81*(ElevCalc!$B$20="FL"),((ElevCalc!$B$83+0.2*ElevCalc!$B$80)*ElevCalc!$B$63),NA())</f>
        <v/>
      </c>
      <c r="F211" t="inlineStr">
        <is>
          <t>lv0</t>
        </is>
      </c>
      <c r="G211">
        <f>IF(ElevCalc!$G$81*(ElevCalc!$G$20="FL"),(ElevCalc!$G$64+(ElevCalc!$G$84+ElevCalc!$G$79)*ElevCalc!$G$63),NA())</f>
        <v/>
      </c>
      <c r="H211">
        <f>IF(ElevCalc!$G$81*(ElevCalc!$G$20="FL"),((ElevCalc!$G$83+0.2*ElevCalc!$G$80)*ElevCalc!$G$63),NA())</f>
        <v/>
      </c>
      <c r="K211" t="inlineStr">
        <is>
          <t>lv0</t>
        </is>
      </c>
      <c r="L211">
        <f>IF(ElevCalc!$L$81*(ElevCalc!$L$20="FL"),(ElevCalc!$L$64+(ElevCalc!$L$84+ElevCalc!$L$79)*ElevCalc!$L$63),NA())</f>
        <v/>
      </c>
      <c r="M211">
        <f>IF(ElevCalc!$L$81*(ElevCalc!$L$20="FL"),((ElevCalc!$L$83+0.2*ElevCalc!$L$80)*ElevCalc!$L$63),NA())</f>
        <v/>
      </c>
      <c r="P211" t="inlineStr">
        <is>
          <t>lv0</t>
        </is>
      </c>
      <c r="Q211">
        <f>IF(ElevCalc!$Q$81*(ElevCalc!$Q$20="FL"),(ElevCalc!$Q$64+(ElevCalc!$Q$84+ElevCalc!$Q$79)*ElevCalc!$Q$63),NA())</f>
        <v/>
      </c>
      <c r="R211">
        <f>IF(ElevCalc!$Q$81*(ElevCalc!$Q$20="FL"),((ElevCalc!$Q$83+0.2*ElevCalc!$Q$80)*ElevCalc!$Q$63),NA())</f>
        <v/>
      </c>
      <c r="U211" t="inlineStr">
        <is>
          <t>lv0</t>
        </is>
      </c>
      <c r="V211">
        <f>IF(ElevCalc!$V$81*(ElevCalc!$V$20="FL"),(ElevCalc!$V$64+(ElevCalc!$V$84+ElevCalc!$V$79)*ElevCalc!$V$63),NA())</f>
        <v/>
      </c>
      <c r="W211">
        <f>IF(ElevCalc!$V$81*(ElevCalc!$V$20="FL"),((ElevCalc!$V$83+0.2*ElevCalc!$V$80)*ElevCalc!$V$63),NA())</f>
        <v/>
      </c>
      <c r="Z211" t="inlineStr">
        <is>
          <t>lv0</t>
        </is>
      </c>
      <c r="AA211">
        <f>IF(ElevCalc!$AA$81*(ElevCalc!$AA$20="FL"),(ElevCalc!$AA$64+(ElevCalc!$AA$84+ElevCalc!$AA$79)*ElevCalc!$AA$63),NA())</f>
        <v/>
      </c>
      <c r="AB211">
        <f>IF(ElevCalc!$AA$81*(ElevCalc!$AA$20="FL"),((ElevCalc!$AA$83+0.2*ElevCalc!$AA$80)*ElevCalc!$AA$63),NA())</f>
        <v/>
      </c>
      <c r="AE211" t="inlineStr">
        <is>
          <t>lv0</t>
        </is>
      </c>
      <c r="AF211">
        <f>IF(ElevCalc!$AF$81*(ElevCalc!$AF$20="FL"),(ElevCalc!$AF$64+(ElevCalc!$AF$84+ElevCalc!$AF$79)*ElevCalc!$AF$63),NA())</f>
        <v/>
      </c>
      <c r="AG211">
        <f>IF(ElevCalc!$AF$81*(ElevCalc!$AF$20="FL"),((ElevCalc!$AF$83+0.2*ElevCalc!$AF$80)*ElevCalc!$AF$63),NA())</f>
        <v/>
      </c>
    </row>
    <row r="213">
      <c r="A213" t="inlineStr">
        <is>
          <t>lv1</t>
        </is>
      </c>
      <c r="B213">
        <f>IF(ElevCalc!$B$81*(ElevCalc!$B$20="FL"),(ElevCalc!$B$64+(ElevCalc!$B$84)*ElevCalc!$B$63),NA())</f>
        <v/>
      </c>
      <c r="C213">
        <f>IF(ElevCalc!$B$81*(ElevCalc!$B$20="FL"),((ElevCalc!$B$83+0.4*ElevCalc!$B$80)*ElevCalc!$B$63),NA())</f>
        <v/>
      </c>
      <c r="F213" t="inlineStr">
        <is>
          <t>lv1</t>
        </is>
      </c>
      <c r="G213">
        <f>IF(ElevCalc!$G$81*(ElevCalc!$G$20="FL"),(ElevCalc!$G$64+(ElevCalc!$G$84)*ElevCalc!$G$63),NA())</f>
        <v/>
      </c>
      <c r="H213">
        <f>IF(ElevCalc!$G$81*(ElevCalc!$G$20="FL"),((ElevCalc!$G$83+0.4*ElevCalc!$G$80)*ElevCalc!$G$63),NA())</f>
        <v/>
      </c>
      <c r="K213" t="inlineStr">
        <is>
          <t>lv1</t>
        </is>
      </c>
      <c r="L213">
        <f>IF(ElevCalc!$L$81*(ElevCalc!$L$20="FL"),(ElevCalc!$L$64+(ElevCalc!$L$84)*ElevCalc!$L$63),NA())</f>
        <v/>
      </c>
      <c r="M213">
        <f>IF(ElevCalc!$L$81*(ElevCalc!$L$20="FL"),((ElevCalc!$L$83+0.4*ElevCalc!$L$80)*ElevCalc!$L$63),NA())</f>
        <v/>
      </c>
      <c r="P213" t="inlineStr">
        <is>
          <t>lv1</t>
        </is>
      </c>
      <c r="Q213">
        <f>IF(ElevCalc!$Q$81*(ElevCalc!$Q$20="FL"),(ElevCalc!$Q$64+(ElevCalc!$Q$84)*ElevCalc!$Q$63),NA())</f>
        <v/>
      </c>
      <c r="R213">
        <f>IF(ElevCalc!$Q$81*(ElevCalc!$Q$20="FL"),((ElevCalc!$Q$83+0.4*ElevCalc!$Q$80)*ElevCalc!$Q$63),NA())</f>
        <v/>
      </c>
      <c r="U213" t="inlineStr">
        <is>
          <t>lv1</t>
        </is>
      </c>
      <c r="V213">
        <f>IF(ElevCalc!$V$81*(ElevCalc!$V$20="FL"),(ElevCalc!$V$64+(ElevCalc!$V$84)*ElevCalc!$V$63),NA())</f>
        <v/>
      </c>
      <c r="W213">
        <f>IF(ElevCalc!$V$81*(ElevCalc!$V$20="FL"),((ElevCalc!$V$83+0.4*ElevCalc!$V$80)*ElevCalc!$V$63),NA())</f>
        <v/>
      </c>
      <c r="Z213" t="inlineStr">
        <is>
          <t>lv1</t>
        </is>
      </c>
      <c r="AA213">
        <f>IF(ElevCalc!$AA$81*(ElevCalc!$AA$20="FL"),(ElevCalc!$AA$64+(ElevCalc!$AA$84)*ElevCalc!$AA$63),NA())</f>
        <v/>
      </c>
      <c r="AB213">
        <f>IF(ElevCalc!$AA$81*(ElevCalc!$AA$20="FL"),((ElevCalc!$AA$83+0.4*ElevCalc!$AA$80)*ElevCalc!$AA$63),NA())</f>
        <v/>
      </c>
      <c r="AE213" t="inlineStr">
        <is>
          <t>lv1</t>
        </is>
      </c>
      <c r="AF213">
        <f>IF(ElevCalc!$AF$81*(ElevCalc!$AF$20="FL"),(ElevCalc!$AF$64+(ElevCalc!$AF$84)*ElevCalc!$AF$63),NA())</f>
        <v/>
      </c>
      <c r="AG213">
        <f>IF(ElevCalc!$AF$81*(ElevCalc!$AF$20="FL"),((ElevCalc!$AF$83+0.4*ElevCalc!$AF$80)*ElevCalc!$AF$63),NA())</f>
        <v/>
      </c>
    </row>
    <row r="214">
      <c r="A214" t="inlineStr">
        <is>
          <t>lv1</t>
        </is>
      </c>
      <c r="B214">
        <f>IF(ElevCalc!$B$81*(ElevCalc!$B$20="FL"),(ElevCalc!$B$64+(ElevCalc!$B$84+ElevCalc!$B$79)*ElevCalc!$B$63),NA())</f>
        <v/>
      </c>
      <c r="C214">
        <f>IF(ElevCalc!$B$81*(ElevCalc!$B$20="FL"),((ElevCalc!$B$83+0.4*ElevCalc!$B$80)*ElevCalc!$B$63),NA())</f>
        <v/>
      </c>
      <c r="F214" t="inlineStr">
        <is>
          <t>lv1</t>
        </is>
      </c>
      <c r="G214">
        <f>IF(ElevCalc!$G$81*(ElevCalc!$G$20="FL"),(ElevCalc!$G$64+(ElevCalc!$G$84+ElevCalc!$G$79)*ElevCalc!$G$63),NA())</f>
        <v/>
      </c>
      <c r="H214">
        <f>IF(ElevCalc!$G$81*(ElevCalc!$G$20="FL"),((ElevCalc!$G$83+0.4*ElevCalc!$G$80)*ElevCalc!$G$63),NA())</f>
        <v/>
      </c>
      <c r="K214" t="inlineStr">
        <is>
          <t>lv1</t>
        </is>
      </c>
      <c r="L214">
        <f>IF(ElevCalc!$L$81*(ElevCalc!$L$20="FL"),(ElevCalc!$L$64+(ElevCalc!$L$84+ElevCalc!$L$79)*ElevCalc!$L$63),NA())</f>
        <v/>
      </c>
      <c r="M214">
        <f>IF(ElevCalc!$L$81*(ElevCalc!$L$20="FL"),((ElevCalc!$L$83+0.4*ElevCalc!$L$80)*ElevCalc!$L$63),NA())</f>
        <v/>
      </c>
      <c r="P214" t="inlineStr">
        <is>
          <t>lv1</t>
        </is>
      </c>
      <c r="Q214">
        <f>IF(ElevCalc!$Q$81*(ElevCalc!$Q$20="FL"),(ElevCalc!$Q$64+(ElevCalc!$Q$84+ElevCalc!$Q$79)*ElevCalc!$Q$63),NA())</f>
        <v/>
      </c>
      <c r="R214">
        <f>IF(ElevCalc!$Q$81*(ElevCalc!$Q$20="FL"),((ElevCalc!$Q$83+0.4*ElevCalc!$Q$80)*ElevCalc!$Q$63),NA())</f>
        <v/>
      </c>
      <c r="U214" t="inlineStr">
        <is>
          <t>lv1</t>
        </is>
      </c>
      <c r="V214">
        <f>IF(ElevCalc!$V$81*(ElevCalc!$V$20="FL"),(ElevCalc!$V$64+(ElevCalc!$V$84+ElevCalc!$V$79)*ElevCalc!$V$63),NA())</f>
        <v/>
      </c>
      <c r="W214">
        <f>IF(ElevCalc!$V$81*(ElevCalc!$V$20="FL"),((ElevCalc!$V$83+0.4*ElevCalc!$V$80)*ElevCalc!$V$63),NA())</f>
        <v/>
      </c>
      <c r="Z214" t="inlineStr">
        <is>
          <t>lv1</t>
        </is>
      </c>
      <c r="AA214">
        <f>IF(ElevCalc!$AA$81*(ElevCalc!$AA$20="FL"),(ElevCalc!$AA$64+(ElevCalc!$AA$84+ElevCalc!$AA$79)*ElevCalc!$AA$63),NA())</f>
        <v/>
      </c>
      <c r="AB214">
        <f>IF(ElevCalc!$AA$81*(ElevCalc!$AA$20="FL"),((ElevCalc!$AA$83+0.4*ElevCalc!$AA$80)*ElevCalc!$AA$63),NA())</f>
        <v/>
      </c>
      <c r="AE214" t="inlineStr">
        <is>
          <t>lv1</t>
        </is>
      </c>
      <c r="AF214">
        <f>IF(ElevCalc!$AF$81*(ElevCalc!$AF$20="FL"),(ElevCalc!$AF$64+(ElevCalc!$AF$84+ElevCalc!$AF$79)*ElevCalc!$AF$63),NA())</f>
        <v/>
      </c>
      <c r="AG214">
        <f>IF(ElevCalc!$AF$81*(ElevCalc!$AF$20="FL"),((ElevCalc!$AF$83+0.4*ElevCalc!$AF$80)*ElevCalc!$AF$63),NA())</f>
        <v/>
      </c>
    </row>
    <row r="216">
      <c r="A216" t="inlineStr">
        <is>
          <t>lv2</t>
        </is>
      </c>
      <c r="B216">
        <f>IF(ElevCalc!$B$81*(ElevCalc!$B$20="FL"),(ElevCalc!$B$64+(ElevCalc!$B$84)*ElevCalc!$B$63),NA())</f>
        <v/>
      </c>
      <c r="C216">
        <f>IF(ElevCalc!$B$81*(ElevCalc!$B$20="FL"),((ElevCalc!$B$83+0.6*ElevCalc!$B$80)*ElevCalc!$B$63),NA())</f>
        <v/>
      </c>
      <c r="F216" t="inlineStr">
        <is>
          <t>lv2</t>
        </is>
      </c>
      <c r="G216">
        <f>IF(ElevCalc!$G$81*(ElevCalc!$G$20="FL"),(ElevCalc!$G$64+(ElevCalc!$G$84)*ElevCalc!$G$63),NA())</f>
        <v/>
      </c>
      <c r="H216">
        <f>IF(ElevCalc!$G$81*(ElevCalc!$G$20="FL"),((ElevCalc!$G$83+0.6*ElevCalc!$G$80)*ElevCalc!$G$63),NA())</f>
        <v/>
      </c>
      <c r="K216" t="inlineStr">
        <is>
          <t>lv2</t>
        </is>
      </c>
      <c r="L216">
        <f>IF(ElevCalc!$L$81*(ElevCalc!$L$20="FL"),(ElevCalc!$L$64+(ElevCalc!$L$84)*ElevCalc!$L$63),NA())</f>
        <v/>
      </c>
      <c r="M216">
        <f>IF(ElevCalc!$L$81*(ElevCalc!$L$20="FL"),((ElevCalc!$L$83+0.6*ElevCalc!$L$80)*ElevCalc!$L$63),NA())</f>
        <v/>
      </c>
      <c r="P216" t="inlineStr">
        <is>
          <t>lv2</t>
        </is>
      </c>
      <c r="Q216">
        <f>IF(ElevCalc!$Q$81*(ElevCalc!$Q$20="FL"),(ElevCalc!$Q$64+(ElevCalc!$Q$84)*ElevCalc!$Q$63),NA())</f>
        <v/>
      </c>
      <c r="R216">
        <f>IF(ElevCalc!$Q$81*(ElevCalc!$Q$20="FL"),((ElevCalc!$Q$83+0.6*ElevCalc!$Q$80)*ElevCalc!$Q$63),NA())</f>
        <v/>
      </c>
      <c r="U216" t="inlineStr">
        <is>
          <t>lv2</t>
        </is>
      </c>
      <c r="V216">
        <f>IF(ElevCalc!$V$81*(ElevCalc!$V$20="FL"),(ElevCalc!$V$64+(ElevCalc!$V$84)*ElevCalc!$V$63),NA())</f>
        <v/>
      </c>
      <c r="W216">
        <f>IF(ElevCalc!$V$81*(ElevCalc!$V$20="FL"),((ElevCalc!$V$83+0.6*ElevCalc!$V$80)*ElevCalc!$V$63),NA())</f>
        <v/>
      </c>
      <c r="Z216" t="inlineStr">
        <is>
          <t>lv2</t>
        </is>
      </c>
      <c r="AA216">
        <f>IF(ElevCalc!$AA$81*(ElevCalc!$AA$20="FL"),(ElevCalc!$AA$64+(ElevCalc!$AA$84)*ElevCalc!$AA$63),NA())</f>
        <v/>
      </c>
      <c r="AB216">
        <f>IF(ElevCalc!$AA$81*(ElevCalc!$AA$20="FL"),((ElevCalc!$AA$83+0.6*ElevCalc!$AA$80)*ElevCalc!$AA$63),NA())</f>
        <v/>
      </c>
      <c r="AE216" t="inlineStr">
        <is>
          <t>lv2</t>
        </is>
      </c>
      <c r="AF216">
        <f>IF(ElevCalc!$AF$81*(ElevCalc!$AF$20="FL"),(ElevCalc!$AF$64+(ElevCalc!$AF$84)*ElevCalc!$AF$63),NA())</f>
        <v/>
      </c>
      <c r="AG216">
        <f>IF(ElevCalc!$AF$81*(ElevCalc!$AF$20="FL"),((ElevCalc!$AF$83+0.6*ElevCalc!$AF$80)*ElevCalc!$AF$63),NA())</f>
        <v/>
      </c>
    </row>
    <row r="217">
      <c r="A217" t="inlineStr">
        <is>
          <t>lv2</t>
        </is>
      </c>
      <c r="B217">
        <f>IF(ElevCalc!$B$81*(ElevCalc!$B$20="FL"),(ElevCalc!$B$64+(ElevCalc!$B$84+ElevCalc!$B$79)*ElevCalc!$B$63),NA())</f>
        <v/>
      </c>
      <c r="C217">
        <f>IF(ElevCalc!$B$81*(ElevCalc!$B$20="FL"),((ElevCalc!$B$83+0.6*ElevCalc!$B$80)*ElevCalc!$B$63),NA())</f>
        <v/>
      </c>
      <c r="F217" t="inlineStr">
        <is>
          <t>lv2</t>
        </is>
      </c>
      <c r="G217">
        <f>IF(ElevCalc!$G$81*(ElevCalc!$G$20="FL"),(ElevCalc!$G$64+(ElevCalc!$G$84+ElevCalc!$G$79)*ElevCalc!$G$63),NA())</f>
        <v/>
      </c>
      <c r="H217">
        <f>IF(ElevCalc!$G$81*(ElevCalc!$G$20="FL"),((ElevCalc!$G$83+0.6*ElevCalc!$G$80)*ElevCalc!$G$63),NA())</f>
        <v/>
      </c>
      <c r="K217" t="inlineStr">
        <is>
          <t>lv2</t>
        </is>
      </c>
      <c r="L217">
        <f>IF(ElevCalc!$L$81*(ElevCalc!$L$20="FL"),(ElevCalc!$L$64+(ElevCalc!$L$84+ElevCalc!$L$79)*ElevCalc!$L$63),NA())</f>
        <v/>
      </c>
      <c r="M217">
        <f>IF(ElevCalc!$L$81*(ElevCalc!$L$20="FL"),((ElevCalc!$L$83+0.6*ElevCalc!$L$80)*ElevCalc!$L$63),NA())</f>
        <v/>
      </c>
      <c r="P217" t="inlineStr">
        <is>
          <t>lv2</t>
        </is>
      </c>
      <c r="Q217">
        <f>IF(ElevCalc!$Q$81*(ElevCalc!$Q$20="FL"),(ElevCalc!$Q$64+(ElevCalc!$Q$84+ElevCalc!$Q$79)*ElevCalc!$Q$63),NA())</f>
        <v/>
      </c>
      <c r="R217">
        <f>IF(ElevCalc!$Q$81*(ElevCalc!$Q$20="FL"),((ElevCalc!$Q$83+0.6*ElevCalc!$Q$80)*ElevCalc!$Q$63),NA())</f>
        <v/>
      </c>
      <c r="U217" t="inlineStr">
        <is>
          <t>lv2</t>
        </is>
      </c>
      <c r="V217">
        <f>IF(ElevCalc!$V$81*(ElevCalc!$V$20="FL"),(ElevCalc!$V$64+(ElevCalc!$V$84+ElevCalc!$V$79)*ElevCalc!$V$63),NA())</f>
        <v/>
      </c>
      <c r="W217">
        <f>IF(ElevCalc!$V$81*(ElevCalc!$V$20="FL"),((ElevCalc!$V$83+0.6*ElevCalc!$V$80)*ElevCalc!$V$63),NA())</f>
        <v/>
      </c>
      <c r="Z217" t="inlineStr">
        <is>
          <t>lv2</t>
        </is>
      </c>
      <c r="AA217">
        <f>IF(ElevCalc!$AA$81*(ElevCalc!$AA$20="FL"),(ElevCalc!$AA$64+(ElevCalc!$AA$84+ElevCalc!$AA$79)*ElevCalc!$AA$63),NA())</f>
        <v/>
      </c>
      <c r="AB217">
        <f>IF(ElevCalc!$AA$81*(ElevCalc!$AA$20="FL"),((ElevCalc!$AA$83+0.6*ElevCalc!$AA$80)*ElevCalc!$AA$63),NA())</f>
        <v/>
      </c>
      <c r="AE217" t="inlineStr">
        <is>
          <t>lv2</t>
        </is>
      </c>
      <c r="AF217">
        <f>IF(ElevCalc!$AF$81*(ElevCalc!$AF$20="FL"),(ElevCalc!$AF$64+(ElevCalc!$AF$84+ElevCalc!$AF$79)*ElevCalc!$AF$63),NA())</f>
        <v/>
      </c>
      <c r="AG217">
        <f>IF(ElevCalc!$AF$81*(ElevCalc!$AF$20="FL"),((ElevCalc!$AF$83+0.6*ElevCalc!$AF$80)*ElevCalc!$AF$63),NA())</f>
        <v/>
      </c>
    </row>
    <row r="219">
      <c r="A219" t="inlineStr">
        <is>
          <t>lv3</t>
        </is>
      </c>
      <c r="B219">
        <f>IF(ElevCalc!$B$81*(ElevCalc!$B$20="FL"),(ElevCalc!$B$64+(ElevCalc!$B$84)*ElevCalc!$B$63),NA())</f>
        <v/>
      </c>
      <c r="C219">
        <f>IF(ElevCalc!$B$81*(ElevCalc!$B$20="FL"),((ElevCalc!$B$83+0.8*ElevCalc!$B$80)*ElevCalc!$B$63),NA())</f>
        <v/>
      </c>
      <c r="F219" t="inlineStr">
        <is>
          <t>lv3</t>
        </is>
      </c>
      <c r="G219">
        <f>IF(ElevCalc!$G$81*(ElevCalc!$G$20="FL"),(ElevCalc!$G$64+(ElevCalc!$G$84)*ElevCalc!$G$63),NA())</f>
        <v/>
      </c>
      <c r="H219">
        <f>IF(ElevCalc!$G$81*(ElevCalc!$G$20="FL"),((ElevCalc!$G$83+0.8*ElevCalc!$G$80)*ElevCalc!$G$63),NA())</f>
        <v/>
      </c>
      <c r="K219" t="inlineStr">
        <is>
          <t>lv3</t>
        </is>
      </c>
      <c r="L219">
        <f>IF(ElevCalc!$L$81*(ElevCalc!$L$20="FL"),(ElevCalc!$L$64+(ElevCalc!$L$84)*ElevCalc!$L$63),NA())</f>
        <v/>
      </c>
      <c r="M219">
        <f>IF(ElevCalc!$L$81*(ElevCalc!$L$20="FL"),((ElevCalc!$L$83+0.8*ElevCalc!$L$80)*ElevCalc!$L$63),NA())</f>
        <v/>
      </c>
      <c r="P219" t="inlineStr">
        <is>
          <t>lv3</t>
        </is>
      </c>
      <c r="Q219">
        <f>IF(ElevCalc!$Q$81*(ElevCalc!$Q$20="FL"),(ElevCalc!$Q$64+(ElevCalc!$Q$84)*ElevCalc!$Q$63),NA())</f>
        <v/>
      </c>
      <c r="R219">
        <f>IF(ElevCalc!$Q$81*(ElevCalc!$Q$20="FL"),((ElevCalc!$Q$83+0.8*ElevCalc!$Q$80)*ElevCalc!$Q$63),NA())</f>
        <v/>
      </c>
      <c r="U219" t="inlineStr">
        <is>
          <t>lv3</t>
        </is>
      </c>
      <c r="V219">
        <f>IF(ElevCalc!$V$81*(ElevCalc!$V$20="FL"),(ElevCalc!$V$64+(ElevCalc!$V$84)*ElevCalc!$V$63),NA())</f>
        <v/>
      </c>
      <c r="W219">
        <f>IF(ElevCalc!$V$81*(ElevCalc!$V$20="FL"),((ElevCalc!$V$83+0.8*ElevCalc!$V$80)*ElevCalc!$V$63),NA())</f>
        <v/>
      </c>
      <c r="Z219" t="inlineStr">
        <is>
          <t>lv3</t>
        </is>
      </c>
      <c r="AA219">
        <f>IF(ElevCalc!$AA$81*(ElevCalc!$AA$20="FL"),(ElevCalc!$AA$64+(ElevCalc!$AA$84)*ElevCalc!$AA$63),NA())</f>
        <v/>
      </c>
      <c r="AB219">
        <f>IF(ElevCalc!$AA$81*(ElevCalc!$AA$20="FL"),((ElevCalc!$AA$83+0.8*ElevCalc!$AA$80)*ElevCalc!$AA$63),NA())</f>
        <v/>
      </c>
      <c r="AE219" t="inlineStr">
        <is>
          <t>lv3</t>
        </is>
      </c>
      <c r="AF219">
        <f>IF(ElevCalc!$AF$81*(ElevCalc!$AF$20="FL"),(ElevCalc!$AF$64+(ElevCalc!$AF$84)*ElevCalc!$AF$63),NA())</f>
        <v/>
      </c>
      <c r="AG219">
        <f>IF(ElevCalc!$AF$81*(ElevCalc!$AF$20="FL"),((ElevCalc!$AF$83+0.8*ElevCalc!$AF$80)*ElevCalc!$AF$63),NA())</f>
        <v/>
      </c>
    </row>
    <row r="220">
      <c r="A220" t="inlineStr">
        <is>
          <t>lv3</t>
        </is>
      </c>
      <c r="B220">
        <f>IF(ElevCalc!$B$81*(ElevCalc!$B$20="FL"),(ElevCalc!$B$64+(ElevCalc!$B$84+ElevCalc!$B$79)*ElevCalc!$B$63),NA())</f>
        <v/>
      </c>
      <c r="C220">
        <f>IF(ElevCalc!$B$81*(ElevCalc!$B$20="FL"),((ElevCalc!$B$83+0.8*ElevCalc!$B$80)*ElevCalc!$B$63),NA())</f>
        <v/>
      </c>
      <c r="F220" t="inlineStr">
        <is>
          <t>lv3</t>
        </is>
      </c>
      <c r="G220">
        <f>IF(ElevCalc!$G$81*(ElevCalc!$G$20="FL"),(ElevCalc!$G$64+(ElevCalc!$G$84+ElevCalc!$G$79)*ElevCalc!$G$63),NA())</f>
        <v/>
      </c>
      <c r="H220">
        <f>IF(ElevCalc!$G$81*(ElevCalc!$G$20="FL"),((ElevCalc!$G$83+0.8*ElevCalc!$G$80)*ElevCalc!$G$63),NA())</f>
        <v/>
      </c>
      <c r="K220" t="inlineStr">
        <is>
          <t>lv3</t>
        </is>
      </c>
      <c r="L220">
        <f>IF(ElevCalc!$L$81*(ElevCalc!$L$20="FL"),(ElevCalc!$L$64+(ElevCalc!$L$84+ElevCalc!$L$79)*ElevCalc!$L$63),NA())</f>
        <v/>
      </c>
      <c r="M220">
        <f>IF(ElevCalc!$L$81*(ElevCalc!$L$20="FL"),((ElevCalc!$L$83+0.8*ElevCalc!$L$80)*ElevCalc!$L$63),NA())</f>
        <v/>
      </c>
      <c r="P220" t="inlineStr">
        <is>
          <t>lv3</t>
        </is>
      </c>
      <c r="Q220">
        <f>IF(ElevCalc!$Q$81*(ElevCalc!$Q$20="FL"),(ElevCalc!$Q$64+(ElevCalc!$Q$84+ElevCalc!$Q$79)*ElevCalc!$Q$63),NA())</f>
        <v/>
      </c>
      <c r="R220">
        <f>IF(ElevCalc!$Q$81*(ElevCalc!$Q$20="FL"),((ElevCalc!$Q$83+0.8*ElevCalc!$Q$80)*ElevCalc!$Q$63),NA())</f>
        <v/>
      </c>
      <c r="U220" t="inlineStr">
        <is>
          <t>lv3</t>
        </is>
      </c>
      <c r="V220">
        <f>IF(ElevCalc!$V$81*(ElevCalc!$V$20="FL"),(ElevCalc!$V$64+(ElevCalc!$V$84+ElevCalc!$V$79)*ElevCalc!$V$63),NA())</f>
        <v/>
      </c>
      <c r="W220">
        <f>IF(ElevCalc!$V$81*(ElevCalc!$V$20="FL"),((ElevCalc!$V$83+0.8*ElevCalc!$V$80)*ElevCalc!$V$63),NA())</f>
        <v/>
      </c>
      <c r="Z220" t="inlineStr">
        <is>
          <t>lv3</t>
        </is>
      </c>
      <c r="AA220">
        <f>IF(ElevCalc!$AA$81*(ElevCalc!$AA$20="FL"),(ElevCalc!$AA$64+(ElevCalc!$AA$84+ElevCalc!$AA$79)*ElevCalc!$AA$63),NA())</f>
        <v/>
      </c>
      <c r="AB220">
        <f>IF(ElevCalc!$AA$81*(ElevCalc!$AA$20="FL"),((ElevCalc!$AA$83+0.8*ElevCalc!$AA$80)*ElevCalc!$AA$63),NA())</f>
        <v/>
      </c>
      <c r="AE220" t="inlineStr">
        <is>
          <t>lv3</t>
        </is>
      </c>
      <c r="AF220">
        <f>IF(ElevCalc!$AF$81*(ElevCalc!$AF$20="FL"),(ElevCalc!$AF$64+(ElevCalc!$AF$84+ElevCalc!$AF$79)*ElevCalc!$AF$63),NA())</f>
        <v/>
      </c>
      <c r="AG220">
        <f>IF(ElevCalc!$AF$81*(ElevCalc!$AF$20="FL"),((ElevCalc!$AF$83+0.8*ElevCalc!$AF$80)*ElevCalc!$AF$63),NA())</f>
        <v/>
      </c>
    </row>
    <row r="222">
      <c r="A222" t="inlineStr">
        <is>
          <t>swing1</t>
        </is>
      </c>
      <c r="B222">
        <f>IF(ElevCalc!$B$45*(ElevCalc!$B$65&gt;=1),(ElevCalc!$B$64+(ElevCalc!$B$78)*ElevCalc!$B$63),NA())</f>
        <v/>
      </c>
      <c r="C222">
        <f>IF(ElevCalc!$B$45*(ElevCalc!$B$65&gt;=1),((ElevCalc!$B$69)*ElevCalc!$B$63),NA())</f>
        <v/>
      </c>
      <c r="F222" t="inlineStr">
        <is>
          <t>swing1</t>
        </is>
      </c>
      <c r="G222">
        <f>IF(ElevCalc!$G$45*(ElevCalc!$G$65&gt;=1),(ElevCalc!$G$64+(ElevCalc!$G$78)*ElevCalc!$G$63),NA())</f>
        <v/>
      </c>
      <c r="H222">
        <f>IF(ElevCalc!$G$45*(ElevCalc!$G$65&gt;=1),((ElevCalc!$G$69)*ElevCalc!$G$63),NA())</f>
        <v/>
      </c>
      <c r="K222" t="inlineStr">
        <is>
          <t>swing1</t>
        </is>
      </c>
      <c r="L222">
        <f>IF(ElevCalc!$L$45*(ElevCalc!$L$65&gt;=1),(ElevCalc!$L$64+(ElevCalc!$L$78)*ElevCalc!$L$63),NA())</f>
        <v/>
      </c>
      <c r="M222">
        <f>IF(ElevCalc!$L$45*(ElevCalc!$L$65&gt;=1),((ElevCalc!$L$69)*ElevCalc!$L$63),NA())</f>
        <v/>
      </c>
      <c r="P222" t="inlineStr">
        <is>
          <t>swing1</t>
        </is>
      </c>
      <c r="Q222">
        <f>IF(ElevCalc!$Q$45*(ElevCalc!$Q$65&gt;=1),(ElevCalc!$Q$64+(ElevCalc!$Q$78)*ElevCalc!$Q$63),NA())</f>
        <v/>
      </c>
      <c r="R222">
        <f>IF(ElevCalc!$Q$45*(ElevCalc!$Q$65&gt;=1),((ElevCalc!$Q$69)*ElevCalc!$Q$63),NA())</f>
        <v/>
      </c>
      <c r="U222" t="inlineStr">
        <is>
          <t>swing1</t>
        </is>
      </c>
      <c r="V222">
        <f>IF(ElevCalc!$V$45*(ElevCalc!$V$65&gt;=1),(ElevCalc!$V$64+(ElevCalc!$V$78)*ElevCalc!$V$63),NA())</f>
        <v/>
      </c>
      <c r="W222">
        <f>IF(ElevCalc!$V$45*(ElevCalc!$V$65&gt;=1),((ElevCalc!$V$69)*ElevCalc!$V$63),NA())</f>
        <v/>
      </c>
      <c r="Z222" t="inlineStr">
        <is>
          <t>swing1</t>
        </is>
      </c>
      <c r="AA222">
        <f>IF(ElevCalc!$AA$45*(ElevCalc!$AA$65&gt;=1),(ElevCalc!$AA$64+(ElevCalc!$AA$78)*ElevCalc!$AA$63),NA())</f>
        <v/>
      </c>
      <c r="AB222">
        <f>IF(ElevCalc!$AA$45*(ElevCalc!$AA$65&gt;=1),((ElevCalc!$AA$69)*ElevCalc!$AA$63),NA())</f>
        <v/>
      </c>
      <c r="AE222" t="inlineStr">
        <is>
          <t>swing1</t>
        </is>
      </c>
      <c r="AF222">
        <f>IF(ElevCalc!$AF$45*(ElevCalc!$AF$65&gt;=1),(ElevCalc!$AF$64+(ElevCalc!$AF$78)*ElevCalc!$AF$63),NA())</f>
        <v/>
      </c>
      <c r="AG222">
        <f>IF(ElevCalc!$AF$45*(ElevCalc!$AF$65&gt;=1),((ElevCalc!$AF$69)*ElevCalc!$AF$63),NA())</f>
        <v/>
      </c>
    </row>
    <row r="223">
      <c r="A223" t="inlineStr">
        <is>
          <t>swing1</t>
        </is>
      </c>
      <c r="B223">
        <f>IF(ElevCalc!$B$45*(ElevCalc!$B$65&gt;=1),(ElevCalc!$B$64+(ElevCalc!$B$77)*ElevCalc!$B$63),NA())</f>
        <v/>
      </c>
      <c r="C223">
        <f>IF(ElevCalc!$B$45*(ElevCalc!$B$65&gt;=1),(((ElevCalc!$B$68+ElevCalc!$B$69)/2)*ElevCalc!$B$63),NA())</f>
        <v/>
      </c>
      <c r="F223" t="inlineStr">
        <is>
          <t>swing1</t>
        </is>
      </c>
      <c r="G223">
        <f>IF(ElevCalc!$G$45*(ElevCalc!$G$65&gt;=1),(ElevCalc!$G$64+(ElevCalc!$G$77)*ElevCalc!$G$63),NA())</f>
        <v/>
      </c>
      <c r="H223">
        <f>IF(ElevCalc!$G$45*(ElevCalc!$G$65&gt;=1),(((ElevCalc!$G$68+ElevCalc!$G$69)/2)*ElevCalc!$G$63),NA())</f>
        <v/>
      </c>
      <c r="K223" t="inlineStr">
        <is>
          <t>swing1</t>
        </is>
      </c>
      <c r="L223">
        <f>IF(ElevCalc!$L$45*(ElevCalc!$L$65&gt;=1),(ElevCalc!$L$64+(ElevCalc!$L$77)*ElevCalc!$L$63),NA())</f>
        <v/>
      </c>
      <c r="M223">
        <f>IF(ElevCalc!$L$45*(ElevCalc!$L$65&gt;=1),(((ElevCalc!$L$68+ElevCalc!$L$69)/2)*ElevCalc!$L$63),NA())</f>
        <v/>
      </c>
      <c r="P223" t="inlineStr">
        <is>
          <t>swing1</t>
        </is>
      </c>
      <c r="Q223">
        <f>IF(ElevCalc!$Q$45*(ElevCalc!$Q$65&gt;=1),(ElevCalc!$Q$64+(ElevCalc!$Q$77)*ElevCalc!$Q$63),NA())</f>
        <v/>
      </c>
      <c r="R223">
        <f>IF(ElevCalc!$Q$45*(ElevCalc!$Q$65&gt;=1),(((ElevCalc!$Q$68+ElevCalc!$Q$69)/2)*ElevCalc!$Q$63),NA())</f>
        <v/>
      </c>
      <c r="U223" t="inlineStr">
        <is>
          <t>swing1</t>
        </is>
      </c>
      <c r="V223">
        <f>IF(ElevCalc!$V$45*(ElevCalc!$V$65&gt;=1),(ElevCalc!$V$64+(ElevCalc!$V$77)*ElevCalc!$V$63),NA())</f>
        <v/>
      </c>
      <c r="W223">
        <f>IF(ElevCalc!$V$45*(ElevCalc!$V$65&gt;=1),(((ElevCalc!$V$68+ElevCalc!$V$69)/2)*ElevCalc!$V$63),NA())</f>
        <v/>
      </c>
      <c r="Z223" t="inlineStr">
        <is>
          <t>swing1</t>
        </is>
      </c>
      <c r="AA223">
        <f>IF(ElevCalc!$AA$45*(ElevCalc!$AA$65&gt;=1),(ElevCalc!$AA$64+(ElevCalc!$AA$77)*ElevCalc!$AA$63),NA())</f>
        <v/>
      </c>
      <c r="AB223">
        <f>IF(ElevCalc!$AA$45*(ElevCalc!$AA$65&gt;=1),(((ElevCalc!$AA$68+ElevCalc!$AA$69)/2)*ElevCalc!$AA$63),NA())</f>
        <v/>
      </c>
      <c r="AE223" t="inlineStr">
        <is>
          <t>swing1</t>
        </is>
      </c>
      <c r="AF223">
        <f>IF(ElevCalc!$AF$45*(ElevCalc!$AF$65&gt;=1),(ElevCalc!$AF$64+(ElevCalc!$AF$77)*ElevCalc!$AF$63),NA())</f>
        <v/>
      </c>
      <c r="AG223">
        <f>IF(ElevCalc!$AF$45*(ElevCalc!$AF$65&gt;=1),(((ElevCalc!$AF$68+ElevCalc!$AF$69)/2)*ElevCalc!$AF$63),NA())</f>
        <v/>
      </c>
    </row>
    <row r="224">
      <c r="A224" t="inlineStr">
        <is>
          <t>swing1</t>
        </is>
      </c>
      <c r="B224">
        <f>IF(ElevCalc!$B$45*(ElevCalc!$B$65&gt;=1),(ElevCalc!$B$64+(ElevCalc!$B$78)*ElevCalc!$B$63),NA())</f>
        <v/>
      </c>
      <c r="C224">
        <f>IF(ElevCalc!$B$45*(ElevCalc!$B$65&gt;=1),((ElevCalc!$B$68)*ElevCalc!$B$63),NA())</f>
        <v/>
      </c>
      <c r="F224" t="inlineStr">
        <is>
          <t>swing1</t>
        </is>
      </c>
      <c r="G224">
        <f>IF(ElevCalc!$G$45*(ElevCalc!$G$65&gt;=1),(ElevCalc!$G$64+(ElevCalc!$G$78)*ElevCalc!$G$63),NA())</f>
        <v/>
      </c>
      <c r="H224">
        <f>IF(ElevCalc!$G$45*(ElevCalc!$G$65&gt;=1),((ElevCalc!$G$68)*ElevCalc!$G$63),NA())</f>
        <v/>
      </c>
      <c r="K224" t="inlineStr">
        <is>
          <t>swing1</t>
        </is>
      </c>
      <c r="L224">
        <f>IF(ElevCalc!$L$45*(ElevCalc!$L$65&gt;=1),(ElevCalc!$L$64+(ElevCalc!$L$78)*ElevCalc!$L$63),NA())</f>
        <v/>
      </c>
      <c r="M224">
        <f>IF(ElevCalc!$L$45*(ElevCalc!$L$65&gt;=1),((ElevCalc!$L$68)*ElevCalc!$L$63),NA())</f>
        <v/>
      </c>
      <c r="P224" t="inlineStr">
        <is>
          <t>swing1</t>
        </is>
      </c>
      <c r="Q224">
        <f>IF(ElevCalc!$Q$45*(ElevCalc!$Q$65&gt;=1),(ElevCalc!$Q$64+(ElevCalc!$Q$78)*ElevCalc!$Q$63),NA())</f>
        <v/>
      </c>
      <c r="R224">
        <f>IF(ElevCalc!$Q$45*(ElevCalc!$Q$65&gt;=1),((ElevCalc!$Q$68)*ElevCalc!$Q$63),NA())</f>
        <v/>
      </c>
      <c r="U224" t="inlineStr">
        <is>
          <t>swing1</t>
        </is>
      </c>
      <c r="V224">
        <f>IF(ElevCalc!$V$45*(ElevCalc!$V$65&gt;=1),(ElevCalc!$V$64+(ElevCalc!$V$78)*ElevCalc!$V$63),NA())</f>
        <v/>
      </c>
      <c r="W224">
        <f>IF(ElevCalc!$V$45*(ElevCalc!$V$65&gt;=1),((ElevCalc!$V$68)*ElevCalc!$V$63),NA())</f>
        <v/>
      </c>
      <c r="Z224" t="inlineStr">
        <is>
          <t>swing1</t>
        </is>
      </c>
      <c r="AA224">
        <f>IF(ElevCalc!$AA$45*(ElevCalc!$AA$65&gt;=1),(ElevCalc!$AA$64+(ElevCalc!$AA$78)*ElevCalc!$AA$63),NA())</f>
        <v/>
      </c>
      <c r="AB224">
        <f>IF(ElevCalc!$AA$45*(ElevCalc!$AA$65&gt;=1),((ElevCalc!$AA$68)*ElevCalc!$AA$63),NA())</f>
        <v/>
      </c>
      <c r="AE224" t="inlineStr">
        <is>
          <t>swing1</t>
        </is>
      </c>
      <c r="AF224">
        <f>IF(ElevCalc!$AF$45*(ElevCalc!$AF$65&gt;=1),(ElevCalc!$AF$64+(ElevCalc!$AF$78)*ElevCalc!$AF$63),NA())</f>
        <v/>
      </c>
      <c r="AG224">
        <f>IF(ElevCalc!$AF$45*(ElevCalc!$AF$65&gt;=1),((ElevCalc!$AF$68)*ElevCalc!$AF$63),NA())</f>
        <v/>
      </c>
    </row>
    <row r="226">
      <c r="A226" t="inlineStr">
        <is>
          <t>swing2</t>
        </is>
      </c>
      <c r="B226">
        <f>IF(ElevCalc!$B$45*(ElevCalc!$B$65=2),(ElevCalc!$B$64+(ElevCalc!$B$75)*ElevCalc!$B$63),NA())</f>
        <v/>
      </c>
      <c r="C226">
        <f>IF(ElevCalc!$B$45*(ElevCalc!$B$65=2),((ElevCalc!$B$69)*ElevCalc!$B$63),NA())</f>
        <v/>
      </c>
      <c r="F226" t="inlineStr">
        <is>
          <t>swing2</t>
        </is>
      </c>
      <c r="G226">
        <f>IF(ElevCalc!$G$45*(ElevCalc!$G$65=2),(ElevCalc!$G$64+(ElevCalc!$G$75)*ElevCalc!$G$63),NA())</f>
        <v/>
      </c>
      <c r="H226">
        <f>IF(ElevCalc!$G$45*(ElevCalc!$G$65=2),((ElevCalc!$G$69)*ElevCalc!$G$63),NA())</f>
        <v/>
      </c>
      <c r="K226" t="inlineStr">
        <is>
          <t>swing2</t>
        </is>
      </c>
      <c r="L226">
        <f>IF(ElevCalc!$L$45*(ElevCalc!$L$65=2),(ElevCalc!$L$64+(ElevCalc!$L$75)*ElevCalc!$L$63),NA())</f>
        <v/>
      </c>
      <c r="M226">
        <f>IF(ElevCalc!$L$45*(ElevCalc!$L$65=2),((ElevCalc!$L$69)*ElevCalc!$L$63),NA())</f>
        <v/>
      </c>
      <c r="P226" t="inlineStr">
        <is>
          <t>swing2</t>
        </is>
      </c>
      <c r="Q226">
        <f>IF(ElevCalc!$Q$45*(ElevCalc!$Q$65=2),(ElevCalc!$Q$64+(ElevCalc!$Q$75)*ElevCalc!$Q$63),NA())</f>
        <v/>
      </c>
      <c r="R226">
        <f>IF(ElevCalc!$Q$45*(ElevCalc!$Q$65=2),((ElevCalc!$Q$69)*ElevCalc!$Q$63),NA())</f>
        <v/>
      </c>
      <c r="U226" t="inlineStr">
        <is>
          <t>swing2</t>
        </is>
      </c>
      <c r="V226">
        <f>IF(ElevCalc!$V$45*(ElevCalc!$V$65=2),(ElevCalc!$V$64+(ElevCalc!$V$75)*ElevCalc!$V$63),NA())</f>
        <v/>
      </c>
      <c r="W226">
        <f>IF(ElevCalc!$V$45*(ElevCalc!$V$65=2),((ElevCalc!$V$69)*ElevCalc!$V$63),NA())</f>
        <v/>
      </c>
      <c r="Z226" t="inlineStr">
        <is>
          <t>swing2</t>
        </is>
      </c>
      <c r="AA226">
        <f>IF(ElevCalc!$AA$45*(ElevCalc!$AA$65=2),(ElevCalc!$AA$64+(ElevCalc!$AA$75)*ElevCalc!$AA$63),NA())</f>
        <v/>
      </c>
      <c r="AB226">
        <f>IF(ElevCalc!$AA$45*(ElevCalc!$AA$65=2),((ElevCalc!$AA$69)*ElevCalc!$AA$63),NA())</f>
        <v/>
      </c>
      <c r="AE226" t="inlineStr">
        <is>
          <t>swing2</t>
        </is>
      </c>
      <c r="AF226">
        <f>IF(ElevCalc!$AF$45*(ElevCalc!$AF$65=2),(ElevCalc!$AF$64+(ElevCalc!$AF$75)*ElevCalc!$AF$63),NA())</f>
        <v/>
      </c>
      <c r="AG226">
        <f>IF(ElevCalc!$AF$45*(ElevCalc!$AF$65=2),((ElevCalc!$AF$69)*ElevCalc!$AF$63),NA())</f>
        <v/>
      </c>
    </row>
    <row r="227">
      <c r="A227" t="inlineStr">
        <is>
          <t>swing2</t>
        </is>
      </c>
      <c r="B227">
        <f>IF(ElevCalc!$B$45*(ElevCalc!$B$65=2),(ElevCalc!$B$64+(ElevCalc!$B$74)*ElevCalc!$B$63),NA())</f>
        <v/>
      </c>
      <c r="C227">
        <f>IF(ElevCalc!$B$45*(ElevCalc!$B$65=2),(((ElevCalc!$B$68+ElevCalc!$B$69)/2)*ElevCalc!$B$63),NA())</f>
        <v/>
      </c>
      <c r="F227" t="inlineStr">
        <is>
          <t>swing2</t>
        </is>
      </c>
      <c r="G227">
        <f>IF(ElevCalc!$G$45*(ElevCalc!$G$65=2),(ElevCalc!$G$64+(ElevCalc!$G$74)*ElevCalc!$G$63),NA())</f>
        <v/>
      </c>
      <c r="H227">
        <f>IF(ElevCalc!$G$45*(ElevCalc!$G$65=2),(((ElevCalc!$G$68+ElevCalc!$G$69)/2)*ElevCalc!$G$63),NA())</f>
        <v/>
      </c>
      <c r="K227" t="inlineStr">
        <is>
          <t>swing2</t>
        </is>
      </c>
      <c r="L227">
        <f>IF(ElevCalc!$L$45*(ElevCalc!$L$65=2),(ElevCalc!$L$64+(ElevCalc!$L$74)*ElevCalc!$L$63),NA())</f>
        <v/>
      </c>
      <c r="M227">
        <f>IF(ElevCalc!$L$45*(ElevCalc!$L$65=2),(((ElevCalc!$L$68+ElevCalc!$L$69)/2)*ElevCalc!$L$63),NA())</f>
        <v/>
      </c>
      <c r="P227" t="inlineStr">
        <is>
          <t>swing2</t>
        </is>
      </c>
      <c r="Q227">
        <f>IF(ElevCalc!$Q$45*(ElevCalc!$Q$65=2),(ElevCalc!$Q$64+(ElevCalc!$Q$74)*ElevCalc!$Q$63),NA())</f>
        <v/>
      </c>
      <c r="R227">
        <f>IF(ElevCalc!$Q$45*(ElevCalc!$Q$65=2),(((ElevCalc!$Q$68+ElevCalc!$Q$69)/2)*ElevCalc!$Q$63),NA())</f>
        <v/>
      </c>
      <c r="U227" t="inlineStr">
        <is>
          <t>swing2</t>
        </is>
      </c>
      <c r="V227">
        <f>IF(ElevCalc!$V$45*(ElevCalc!$V$65=2),(ElevCalc!$V$64+(ElevCalc!$V$74)*ElevCalc!$V$63),NA())</f>
        <v/>
      </c>
      <c r="W227">
        <f>IF(ElevCalc!$V$45*(ElevCalc!$V$65=2),(((ElevCalc!$V$68+ElevCalc!$V$69)/2)*ElevCalc!$V$63),NA())</f>
        <v/>
      </c>
      <c r="Z227" t="inlineStr">
        <is>
          <t>swing2</t>
        </is>
      </c>
      <c r="AA227">
        <f>IF(ElevCalc!$AA$45*(ElevCalc!$AA$65=2),(ElevCalc!$AA$64+(ElevCalc!$AA$74)*ElevCalc!$AA$63),NA())</f>
        <v/>
      </c>
      <c r="AB227">
        <f>IF(ElevCalc!$AA$45*(ElevCalc!$AA$65=2),(((ElevCalc!$AA$68+ElevCalc!$AA$69)/2)*ElevCalc!$AA$63),NA())</f>
        <v/>
      </c>
      <c r="AE227" t="inlineStr">
        <is>
          <t>swing2</t>
        </is>
      </c>
      <c r="AF227">
        <f>IF(ElevCalc!$AF$45*(ElevCalc!$AF$65=2),(ElevCalc!$AF$64+(ElevCalc!$AF$74)*ElevCalc!$AF$63),NA())</f>
        <v/>
      </c>
      <c r="AG227">
        <f>IF(ElevCalc!$AF$45*(ElevCalc!$AF$65=2),(((ElevCalc!$AF$68+ElevCalc!$AF$69)/2)*ElevCalc!$AF$63),NA())</f>
        <v/>
      </c>
    </row>
    <row r="228">
      <c r="A228" t="inlineStr">
        <is>
          <t>swing2</t>
        </is>
      </c>
      <c r="B228">
        <f>IF(ElevCalc!$B$45*(ElevCalc!$B$65=2),(ElevCalc!$B$64+(ElevCalc!$B$75)*ElevCalc!$B$63),NA())</f>
        <v/>
      </c>
      <c r="C228">
        <f>IF(ElevCalc!$B$45*(ElevCalc!$B$65=2),((ElevCalc!$B$68)*ElevCalc!$B$63),NA())</f>
        <v/>
      </c>
      <c r="F228" t="inlineStr">
        <is>
          <t>swing2</t>
        </is>
      </c>
      <c r="G228">
        <f>IF(ElevCalc!$G$45*(ElevCalc!$G$65=2),(ElevCalc!$G$64+(ElevCalc!$G$75)*ElevCalc!$G$63),NA())</f>
        <v/>
      </c>
      <c r="H228">
        <f>IF(ElevCalc!$G$45*(ElevCalc!$G$65=2),((ElevCalc!$G$68)*ElevCalc!$G$63),NA())</f>
        <v/>
      </c>
      <c r="K228" t="inlineStr">
        <is>
          <t>swing2</t>
        </is>
      </c>
      <c r="L228">
        <f>IF(ElevCalc!$L$45*(ElevCalc!$L$65=2),(ElevCalc!$L$64+(ElevCalc!$L$75)*ElevCalc!$L$63),NA())</f>
        <v/>
      </c>
      <c r="M228">
        <f>IF(ElevCalc!$L$45*(ElevCalc!$L$65=2),((ElevCalc!$L$68)*ElevCalc!$L$63),NA())</f>
        <v/>
      </c>
      <c r="P228" t="inlineStr">
        <is>
          <t>swing2</t>
        </is>
      </c>
      <c r="Q228">
        <f>IF(ElevCalc!$Q$45*(ElevCalc!$Q$65=2),(ElevCalc!$Q$64+(ElevCalc!$Q$75)*ElevCalc!$Q$63),NA())</f>
        <v/>
      </c>
      <c r="R228">
        <f>IF(ElevCalc!$Q$45*(ElevCalc!$Q$65=2),((ElevCalc!$Q$68)*ElevCalc!$Q$63),NA())</f>
        <v/>
      </c>
      <c r="U228" t="inlineStr">
        <is>
          <t>swing2</t>
        </is>
      </c>
      <c r="V228">
        <f>IF(ElevCalc!$V$45*(ElevCalc!$V$65=2),(ElevCalc!$V$64+(ElevCalc!$V$75)*ElevCalc!$V$63),NA())</f>
        <v/>
      </c>
      <c r="W228">
        <f>IF(ElevCalc!$V$45*(ElevCalc!$V$65=2),((ElevCalc!$V$68)*ElevCalc!$V$63),NA())</f>
        <v/>
      </c>
      <c r="Z228" t="inlineStr">
        <is>
          <t>swing2</t>
        </is>
      </c>
      <c r="AA228">
        <f>IF(ElevCalc!$AA$45*(ElevCalc!$AA$65=2),(ElevCalc!$AA$64+(ElevCalc!$AA$75)*ElevCalc!$AA$63),NA())</f>
        <v/>
      </c>
      <c r="AB228">
        <f>IF(ElevCalc!$AA$45*(ElevCalc!$AA$65=2),((ElevCalc!$AA$68)*ElevCalc!$AA$63),NA())</f>
        <v/>
      </c>
      <c r="AE228" t="inlineStr">
        <is>
          <t>swing2</t>
        </is>
      </c>
      <c r="AF228">
        <f>IF(ElevCalc!$AF$45*(ElevCalc!$AF$65=2),(ElevCalc!$AF$64+(ElevCalc!$AF$75)*ElevCalc!$AF$63),NA())</f>
        <v/>
      </c>
      <c r="AG228">
        <f>IF(ElevCalc!$AF$45*(ElevCalc!$AF$65=2),((ElevCalc!$AF$68)*ElevCalc!$AF$63),NA())</f>
        <v/>
      </c>
    </row>
    <row r="230">
      <c r="A230" t="inlineStr">
        <is>
          <t>hinge</t>
        </is>
      </c>
      <c r="B230">
        <f>IF(ElevCalc!$B$45*(ElevCalc!$B$65&gt;=1)*NOT(ElevCalc!$B$88)*(1&lt;=ElevCalc!$B$89),(ElevCalc!$B$64+(ElevCalc!$B$77)*ElevCalc!$B$63),NA())</f>
        <v/>
      </c>
      <c r="C230">
        <f>IF(ElevCalc!$B$45*(ElevCalc!$B$65&gt;=1)*NOT(ElevCalc!$B$88)*(1&lt;=ElevCalc!$B$89),((IF(0=0,ElevCalc!$B$90,ElevCalc!$B$90-0*(ElevCalc!$B$90-ElevCalc!$B$91)/(ElevCalc!$B$89-1)))*ElevCalc!$B$63),NA())</f>
        <v/>
      </c>
      <c r="F230" t="inlineStr">
        <is>
          <t>hinge</t>
        </is>
      </c>
      <c r="G230">
        <f>IF(ElevCalc!$G$45*(ElevCalc!$G$65&gt;=1)*NOT(ElevCalc!$G$88)*(1&lt;=ElevCalc!$G$89),(ElevCalc!$G$64+(ElevCalc!$G$77)*ElevCalc!$G$63),NA())</f>
        <v/>
      </c>
      <c r="H230">
        <f>IF(ElevCalc!$G$45*(ElevCalc!$G$65&gt;=1)*NOT(ElevCalc!$G$88)*(1&lt;=ElevCalc!$G$89),((IF(0=0,ElevCalc!$G$90,ElevCalc!$G$90-0*(ElevCalc!$G$90-ElevCalc!$G$91)/(ElevCalc!$G$89-1)))*ElevCalc!$G$63),NA())</f>
        <v/>
      </c>
      <c r="K230" t="inlineStr">
        <is>
          <t>hinge</t>
        </is>
      </c>
      <c r="L230">
        <f>IF(ElevCalc!$L$45*(ElevCalc!$L$65&gt;=1)*NOT(ElevCalc!$L$88)*(1&lt;=ElevCalc!$L$89),(ElevCalc!$L$64+(ElevCalc!$L$77)*ElevCalc!$L$63),NA())</f>
        <v/>
      </c>
      <c r="M230">
        <f>IF(ElevCalc!$L$45*(ElevCalc!$L$65&gt;=1)*NOT(ElevCalc!$L$88)*(1&lt;=ElevCalc!$L$89),((IF(0=0,ElevCalc!$L$90,ElevCalc!$L$90-0*(ElevCalc!$L$90-ElevCalc!$L$91)/(ElevCalc!$L$89-1)))*ElevCalc!$L$63),NA())</f>
        <v/>
      </c>
      <c r="P230" t="inlineStr">
        <is>
          <t>hinge</t>
        </is>
      </c>
      <c r="Q230">
        <f>IF(ElevCalc!$Q$45*(ElevCalc!$Q$65&gt;=1)*NOT(ElevCalc!$Q$88)*(1&lt;=ElevCalc!$Q$89),(ElevCalc!$Q$64+(ElevCalc!$Q$77)*ElevCalc!$Q$63),NA())</f>
        <v/>
      </c>
      <c r="R230">
        <f>IF(ElevCalc!$Q$45*(ElevCalc!$Q$65&gt;=1)*NOT(ElevCalc!$Q$88)*(1&lt;=ElevCalc!$Q$89),((IF(0=0,ElevCalc!$Q$90,ElevCalc!$Q$90-0*(ElevCalc!$Q$90-ElevCalc!$Q$91)/(ElevCalc!$Q$89-1)))*ElevCalc!$Q$63),NA())</f>
        <v/>
      </c>
      <c r="U230" t="inlineStr">
        <is>
          <t>hinge</t>
        </is>
      </c>
      <c r="V230">
        <f>IF(ElevCalc!$V$45*(ElevCalc!$V$65&gt;=1)*NOT(ElevCalc!$V$88)*(1&lt;=ElevCalc!$V$89),(ElevCalc!$V$64+(ElevCalc!$V$77)*ElevCalc!$V$63),NA())</f>
        <v/>
      </c>
      <c r="W230">
        <f>IF(ElevCalc!$V$45*(ElevCalc!$V$65&gt;=1)*NOT(ElevCalc!$V$88)*(1&lt;=ElevCalc!$V$89),((IF(0=0,ElevCalc!$V$90,ElevCalc!$V$90-0*(ElevCalc!$V$90-ElevCalc!$V$91)/(ElevCalc!$V$89-1)))*ElevCalc!$V$63),NA())</f>
        <v/>
      </c>
      <c r="Z230" t="inlineStr">
        <is>
          <t>hinge</t>
        </is>
      </c>
      <c r="AA230">
        <f>IF(ElevCalc!$AA$45*(ElevCalc!$AA$65&gt;=1)*NOT(ElevCalc!$AA$88)*(1&lt;=ElevCalc!$AA$89),(ElevCalc!$AA$64+(ElevCalc!$AA$77)*ElevCalc!$AA$63),NA())</f>
        <v/>
      </c>
      <c r="AB230">
        <f>IF(ElevCalc!$AA$45*(ElevCalc!$AA$65&gt;=1)*NOT(ElevCalc!$AA$88)*(1&lt;=ElevCalc!$AA$89),((IF(0=0,ElevCalc!$AA$90,ElevCalc!$AA$90-0*(ElevCalc!$AA$90-ElevCalc!$AA$91)/(ElevCalc!$AA$89-1)))*ElevCalc!$AA$63),NA())</f>
        <v/>
      </c>
      <c r="AE230" t="inlineStr">
        <is>
          <t>hinge</t>
        </is>
      </c>
      <c r="AF230">
        <f>IF(ElevCalc!$AF$45*(ElevCalc!$AF$65&gt;=1)*NOT(ElevCalc!$AF$88)*(1&lt;=ElevCalc!$AF$89),(ElevCalc!$AF$64+(ElevCalc!$AF$77)*ElevCalc!$AF$63),NA())</f>
        <v/>
      </c>
      <c r="AG230">
        <f>IF(ElevCalc!$AF$45*(ElevCalc!$AF$65&gt;=1)*NOT(ElevCalc!$AF$88)*(1&lt;=ElevCalc!$AF$89),((IF(0=0,ElevCalc!$AF$90,ElevCalc!$AF$90-0*(ElevCalc!$AF$90-ElevCalc!$AF$91)/(ElevCalc!$AF$89-1)))*ElevCalc!$AF$63),NA())</f>
        <v/>
      </c>
    </row>
    <row r="231">
      <c r="A231" t="inlineStr">
        <is>
          <t>hinge</t>
        </is>
      </c>
      <c r="B231">
        <f>IF(ElevCalc!$B$45*(ElevCalc!$B$65&gt;=1)*NOT(ElevCalc!$B$88)*(2&lt;=ElevCalc!$B$89),(ElevCalc!$B$64+(ElevCalc!$B$77)*ElevCalc!$B$63),NA())</f>
        <v/>
      </c>
      <c r="C231">
        <f>IF(ElevCalc!$B$45*(ElevCalc!$B$65&gt;=1)*NOT(ElevCalc!$B$88)*(2&lt;=ElevCalc!$B$89),((IF(1=0,ElevCalc!$B$90,ElevCalc!$B$90-1*(ElevCalc!$B$90-ElevCalc!$B$91)/(ElevCalc!$B$89-1)))*ElevCalc!$B$63),NA())</f>
        <v/>
      </c>
      <c r="F231" t="inlineStr">
        <is>
          <t>hinge</t>
        </is>
      </c>
      <c r="G231">
        <f>IF(ElevCalc!$G$45*(ElevCalc!$G$65&gt;=1)*NOT(ElevCalc!$G$88)*(2&lt;=ElevCalc!$G$89),(ElevCalc!$G$64+(ElevCalc!$G$77)*ElevCalc!$G$63),NA())</f>
        <v/>
      </c>
      <c r="H231">
        <f>IF(ElevCalc!$G$45*(ElevCalc!$G$65&gt;=1)*NOT(ElevCalc!$G$88)*(2&lt;=ElevCalc!$G$89),((IF(1=0,ElevCalc!$G$90,ElevCalc!$G$90-1*(ElevCalc!$G$90-ElevCalc!$G$91)/(ElevCalc!$G$89-1)))*ElevCalc!$G$63),NA())</f>
        <v/>
      </c>
      <c r="K231" t="inlineStr">
        <is>
          <t>hinge</t>
        </is>
      </c>
      <c r="L231">
        <f>IF(ElevCalc!$L$45*(ElevCalc!$L$65&gt;=1)*NOT(ElevCalc!$L$88)*(2&lt;=ElevCalc!$L$89),(ElevCalc!$L$64+(ElevCalc!$L$77)*ElevCalc!$L$63),NA())</f>
        <v/>
      </c>
      <c r="M231">
        <f>IF(ElevCalc!$L$45*(ElevCalc!$L$65&gt;=1)*NOT(ElevCalc!$L$88)*(2&lt;=ElevCalc!$L$89),((IF(1=0,ElevCalc!$L$90,ElevCalc!$L$90-1*(ElevCalc!$L$90-ElevCalc!$L$91)/(ElevCalc!$L$89-1)))*ElevCalc!$L$63),NA())</f>
        <v/>
      </c>
      <c r="P231" t="inlineStr">
        <is>
          <t>hinge</t>
        </is>
      </c>
      <c r="Q231">
        <f>IF(ElevCalc!$Q$45*(ElevCalc!$Q$65&gt;=1)*NOT(ElevCalc!$Q$88)*(2&lt;=ElevCalc!$Q$89),(ElevCalc!$Q$64+(ElevCalc!$Q$77)*ElevCalc!$Q$63),NA())</f>
        <v/>
      </c>
      <c r="R231">
        <f>IF(ElevCalc!$Q$45*(ElevCalc!$Q$65&gt;=1)*NOT(ElevCalc!$Q$88)*(2&lt;=ElevCalc!$Q$89),((IF(1=0,ElevCalc!$Q$90,ElevCalc!$Q$90-1*(ElevCalc!$Q$90-ElevCalc!$Q$91)/(ElevCalc!$Q$89-1)))*ElevCalc!$Q$63),NA())</f>
        <v/>
      </c>
      <c r="U231" t="inlineStr">
        <is>
          <t>hinge</t>
        </is>
      </c>
      <c r="V231">
        <f>IF(ElevCalc!$V$45*(ElevCalc!$V$65&gt;=1)*NOT(ElevCalc!$V$88)*(2&lt;=ElevCalc!$V$89),(ElevCalc!$V$64+(ElevCalc!$V$77)*ElevCalc!$V$63),NA())</f>
        <v/>
      </c>
      <c r="W231">
        <f>IF(ElevCalc!$V$45*(ElevCalc!$V$65&gt;=1)*NOT(ElevCalc!$V$88)*(2&lt;=ElevCalc!$V$89),((IF(1=0,ElevCalc!$V$90,ElevCalc!$V$90-1*(ElevCalc!$V$90-ElevCalc!$V$91)/(ElevCalc!$V$89-1)))*ElevCalc!$V$63),NA())</f>
        <v/>
      </c>
      <c r="Z231" t="inlineStr">
        <is>
          <t>hinge</t>
        </is>
      </c>
      <c r="AA231">
        <f>IF(ElevCalc!$AA$45*(ElevCalc!$AA$65&gt;=1)*NOT(ElevCalc!$AA$88)*(2&lt;=ElevCalc!$AA$89),(ElevCalc!$AA$64+(ElevCalc!$AA$77)*ElevCalc!$AA$63),NA())</f>
        <v/>
      </c>
      <c r="AB231">
        <f>IF(ElevCalc!$AA$45*(ElevCalc!$AA$65&gt;=1)*NOT(ElevCalc!$AA$88)*(2&lt;=ElevCalc!$AA$89),((IF(1=0,ElevCalc!$AA$90,ElevCalc!$AA$90-1*(ElevCalc!$AA$90-ElevCalc!$AA$91)/(ElevCalc!$AA$89-1)))*ElevCalc!$AA$63),NA())</f>
        <v/>
      </c>
      <c r="AE231" t="inlineStr">
        <is>
          <t>hinge</t>
        </is>
      </c>
      <c r="AF231">
        <f>IF(ElevCalc!$AF$45*(ElevCalc!$AF$65&gt;=1)*NOT(ElevCalc!$AF$88)*(2&lt;=ElevCalc!$AF$89),(ElevCalc!$AF$64+(ElevCalc!$AF$77)*ElevCalc!$AF$63),NA())</f>
        <v/>
      </c>
      <c r="AG231">
        <f>IF(ElevCalc!$AF$45*(ElevCalc!$AF$65&gt;=1)*NOT(ElevCalc!$AF$88)*(2&lt;=ElevCalc!$AF$89),((IF(1=0,ElevCalc!$AF$90,ElevCalc!$AF$90-1*(ElevCalc!$AF$90-ElevCalc!$AF$91)/(ElevCalc!$AF$89-1)))*ElevCalc!$AF$63),NA())</f>
        <v/>
      </c>
    </row>
    <row r="232">
      <c r="A232" t="inlineStr">
        <is>
          <t>hinge</t>
        </is>
      </c>
      <c r="B232">
        <f>IF(ElevCalc!$B$45*(ElevCalc!$B$65&gt;=1)*NOT(ElevCalc!$B$88)*(3&lt;=ElevCalc!$B$89),(ElevCalc!$B$64+(ElevCalc!$B$77)*ElevCalc!$B$63),NA())</f>
        <v/>
      </c>
      <c r="C232">
        <f>IF(ElevCalc!$B$45*(ElevCalc!$B$65&gt;=1)*NOT(ElevCalc!$B$88)*(3&lt;=ElevCalc!$B$89),((IF(2=0,ElevCalc!$B$90,ElevCalc!$B$90-2*(ElevCalc!$B$90-ElevCalc!$B$91)/(ElevCalc!$B$89-1)))*ElevCalc!$B$63),NA())</f>
        <v/>
      </c>
      <c r="F232" t="inlineStr">
        <is>
          <t>hinge</t>
        </is>
      </c>
      <c r="G232">
        <f>IF(ElevCalc!$G$45*(ElevCalc!$G$65&gt;=1)*NOT(ElevCalc!$G$88)*(3&lt;=ElevCalc!$G$89),(ElevCalc!$G$64+(ElevCalc!$G$77)*ElevCalc!$G$63),NA())</f>
        <v/>
      </c>
      <c r="H232">
        <f>IF(ElevCalc!$G$45*(ElevCalc!$G$65&gt;=1)*NOT(ElevCalc!$G$88)*(3&lt;=ElevCalc!$G$89),((IF(2=0,ElevCalc!$G$90,ElevCalc!$G$90-2*(ElevCalc!$G$90-ElevCalc!$G$91)/(ElevCalc!$G$89-1)))*ElevCalc!$G$63),NA())</f>
        <v/>
      </c>
      <c r="K232" t="inlineStr">
        <is>
          <t>hinge</t>
        </is>
      </c>
      <c r="L232">
        <f>IF(ElevCalc!$L$45*(ElevCalc!$L$65&gt;=1)*NOT(ElevCalc!$L$88)*(3&lt;=ElevCalc!$L$89),(ElevCalc!$L$64+(ElevCalc!$L$77)*ElevCalc!$L$63),NA())</f>
        <v/>
      </c>
      <c r="M232">
        <f>IF(ElevCalc!$L$45*(ElevCalc!$L$65&gt;=1)*NOT(ElevCalc!$L$88)*(3&lt;=ElevCalc!$L$89),((IF(2=0,ElevCalc!$L$90,ElevCalc!$L$90-2*(ElevCalc!$L$90-ElevCalc!$L$91)/(ElevCalc!$L$89-1)))*ElevCalc!$L$63),NA())</f>
        <v/>
      </c>
      <c r="P232" t="inlineStr">
        <is>
          <t>hinge</t>
        </is>
      </c>
      <c r="Q232">
        <f>IF(ElevCalc!$Q$45*(ElevCalc!$Q$65&gt;=1)*NOT(ElevCalc!$Q$88)*(3&lt;=ElevCalc!$Q$89),(ElevCalc!$Q$64+(ElevCalc!$Q$77)*ElevCalc!$Q$63),NA())</f>
        <v/>
      </c>
      <c r="R232">
        <f>IF(ElevCalc!$Q$45*(ElevCalc!$Q$65&gt;=1)*NOT(ElevCalc!$Q$88)*(3&lt;=ElevCalc!$Q$89),((IF(2=0,ElevCalc!$Q$90,ElevCalc!$Q$90-2*(ElevCalc!$Q$90-ElevCalc!$Q$91)/(ElevCalc!$Q$89-1)))*ElevCalc!$Q$63),NA())</f>
        <v/>
      </c>
      <c r="U232" t="inlineStr">
        <is>
          <t>hinge</t>
        </is>
      </c>
      <c r="V232">
        <f>IF(ElevCalc!$V$45*(ElevCalc!$V$65&gt;=1)*NOT(ElevCalc!$V$88)*(3&lt;=ElevCalc!$V$89),(ElevCalc!$V$64+(ElevCalc!$V$77)*ElevCalc!$V$63),NA())</f>
        <v/>
      </c>
      <c r="W232">
        <f>IF(ElevCalc!$V$45*(ElevCalc!$V$65&gt;=1)*NOT(ElevCalc!$V$88)*(3&lt;=ElevCalc!$V$89),((IF(2=0,ElevCalc!$V$90,ElevCalc!$V$90-2*(ElevCalc!$V$90-ElevCalc!$V$91)/(ElevCalc!$V$89-1)))*ElevCalc!$V$63),NA())</f>
        <v/>
      </c>
      <c r="Z232" t="inlineStr">
        <is>
          <t>hinge</t>
        </is>
      </c>
      <c r="AA232">
        <f>IF(ElevCalc!$AA$45*(ElevCalc!$AA$65&gt;=1)*NOT(ElevCalc!$AA$88)*(3&lt;=ElevCalc!$AA$89),(ElevCalc!$AA$64+(ElevCalc!$AA$77)*ElevCalc!$AA$63),NA())</f>
        <v/>
      </c>
      <c r="AB232">
        <f>IF(ElevCalc!$AA$45*(ElevCalc!$AA$65&gt;=1)*NOT(ElevCalc!$AA$88)*(3&lt;=ElevCalc!$AA$89),((IF(2=0,ElevCalc!$AA$90,ElevCalc!$AA$90-2*(ElevCalc!$AA$90-ElevCalc!$AA$91)/(ElevCalc!$AA$89-1)))*ElevCalc!$AA$63),NA())</f>
        <v/>
      </c>
      <c r="AE232" t="inlineStr">
        <is>
          <t>hinge</t>
        </is>
      </c>
      <c r="AF232">
        <f>IF(ElevCalc!$AF$45*(ElevCalc!$AF$65&gt;=1)*NOT(ElevCalc!$AF$88)*(3&lt;=ElevCalc!$AF$89),(ElevCalc!$AF$64+(ElevCalc!$AF$77)*ElevCalc!$AF$63),NA())</f>
        <v/>
      </c>
      <c r="AG232">
        <f>IF(ElevCalc!$AF$45*(ElevCalc!$AF$65&gt;=1)*NOT(ElevCalc!$AF$88)*(3&lt;=ElevCalc!$AF$89),((IF(2=0,ElevCalc!$AF$90,ElevCalc!$AF$90-2*(ElevCalc!$AF$90-ElevCalc!$AF$91)/(ElevCalc!$AF$89-1)))*ElevCalc!$AF$63),NA())</f>
        <v/>
      </c>
    </row>
    <row r="233">
      <c r="A233" t="inlineStr">
        <is>
          <t>hinge</t>
        </is>
      </c>
      <c r="B233">
        <f>IF(ElevCalc!$B$45*(ElevCalc!$B$65&gt;=1)*NOT(ElevCalc!$B$88)*(4&lt;=ElevCalc!$B$89),(ElevCalc!$B$64+(ElevCalc!$B$77)*ElevCalc!$B$63),NA())</f>
        <v/>
      </c>
      <c r="C233">
        <f>IF(ElevCalc!$B$45*(ElevCalc!$B$65&gt;=1)*NOT(ElevCalc!$B$88)*(4&lt;=ElevCalc!$B$89),((IF(3=0,ElevCalc!$B$90,ElevCalc!$B$90-3*(ElevCalc!$B$90-ElevCalc!$B$91)/(ElevCalc!$B$89-1)))*ElevCalc!$B$63),NA())</f>
        <v/>
      </c>
      <c r="F233" t="inlineStr">
        <is>
          <t>hinge</t>
        </is>
      </c>
      <c r="G233">
        <f>IF(ElevCalc!$G$45*(ElevCalc!$G$65&gt;=1)*NOT(ElevCalc!$G$88)*(4&lt;=ElevCalc!$G$89),(ElevCalc!$G$64+(ElevCalc!$G$77)*ElevCalc!$G$63),NA())</f>
        <v/>
      </c>
      <c r="H233">
        <f>IF(ElevCalc!$G$45*(ElevCalc!$G$65&gt;=1)*NOT(ElevCalc!$G$88)*(4&lt;=ElevCalc!$G$89),((IF(3=0,ElevCalc!$G$90,ElevCalc!$G$90-3*(ElevCalc!$G$90-ElevCalc!$G$91)/(ElevCalc!$G$89-1)))*ElevCalc!$G$63),NA())</f>
        <v/>
      </c>
      <c r="K233" t="inlineStr">
        <is>
          <t>hinge</t>
        </is>
      </c>
      <c r="L233">
        <f>IF(ElevCalc!$L$45*(ElevCalc!$L$65&gt;=1)*NOT(ElevCalc!$L$88)*(4&lt;=ElevCalc!$L$89),(ElevCalc!$L$64+(ElevCalc!$L$77)*ElevCalc!$L$63),NA())</f>
        <v/>
      </c>
      <c r="M233">
        <f>IF(ElevCalc!$L$45*(ElevCalc!$L$65&gt;=1)*NOT(ElevCalc!$L$88)*(4&lt;=ElevCalc!$L$89),((IF(3=0,ElevCalc!$L$90,ElevCalc!$L$90-3*(ElevCalc!$L$90-ElevCalc!$L$91)/(ElevCalc!$L$89-1)))*ElevCalc!$L$63),NA())</f>
        <v/>
      </c>
      <c r="P233" t="inlineStr">
        <is>
          <t>hinge</t>
        </is>
      </c>
      <c r="Q233">
        <f>IF(ElevCalc!$Q$45*(ElevCalc!$Q$65&gt;=1)*NOT(ElevCalc!$Q$88)*(4&lt;=ElevCalc!$Q$89),(ElevCalc!$Q$64+(ElevCalc!$Q$77)*ElevCalc!$Q$63),NA())</f>
        <v/>
      </c>
      <c r="R233">
        <f>IF(ElevCalc!$Q$45*(ElevCalc!$Q$65&gt;=1)*NOT(ElevCalc!$Q$88)*(4&lt;=ElevCalc!$Q$89),((IF(3=0,ElevCalc!$Q$90,ElevCalc!$Q$90-3*(ElevCalc!$Q$90-ElevCalc!$Q$91)/(ElevCalc!$Q$89-1)))*ElevCalc!$Q$63),NA())</f>
        <v/>
      </c>
      <c r="U233" t="inlineStr">
        <is>
          <t>hinge</t>
        </is>
      </c>
      <c r="V233">
        <f>IF(ElevCalc!$V$45*(ElevCalc!$V$65&gt;=1)*NOT(ElevCalc!$V$88)*(4&lt;=ElevCalc!$V$89),(ElevCalc!$V$64+(ElevCalc!$V$77)*ElevCalc!$V$63),NA())</f>
        <v/>
      </c>
      <c r="W233">
        <f>IF(ElevCalc!$V$45*(ElevCalc!$V$65&gt;=1)*NOT(ElevCalc!$V$88)*(4&lt;=ElevCalc!$V$89),((IF(3=0,ElevCalc!$V$90,ElevCalc!$V$90-3*(ElevCalc!$V$90-ElevCalc!$V$91)/(ElevCalc!$V$89-1)))*ElevCalc!$V$63),NA())</f>
        <v/>
      </c>
      <c r="Z233" t="inlineStr">
        <is>
          <t>hinge</t>
        </is>
      </c>
      <c r="AA233">
        <f>IF(ElevCalc!$AA$45*(ElevCalc!$AA$65&gt;=1)*NOT(ElevCalc!$AA$88)*(4&lt;=ElevCalc!$AA$89),(ElevCalc!$AA$64+(ElevCalc!$AA$77)*ElevCalc!$AA$63),NA())</f>
        <v/>
      </c>
      <c r="AB233">
        <f>IF(ElevCalc!$AA$45*(ElevCalc!$AA$65&gt;=1)*NOT(ElevCalc!$AA$88)*(4&lt;=ElevCalc!$AA$89),((IF(3=0,ElevCalc!$AA$90,ElevCalc!$AA$90-3*(ElevCalc!$AA$90-ElevCalc!$AA$91)/(ElevCalc!$AA$89-1)))*ElevCalc!$AA$63),NA())</f>
        <v/>
      </c>
      <c r="AE233" t="inlineStr">
        <is>
          <t>hinge</t>
        </is>
      </c>
      <c r="AF233">
        <f>IF(ElevCalc!$AF$45*(ElevCalc!$AF$65&gt;=1)*NOT(ElevCalc!$AF$88)*(4&lt;=ElevCalc!$AF$89),(ElevCalc!$AF$64+(ElevCalc!$AF$77)*ElevCalc!$AF$63),NA())</f>
        <v/>
      </c>
      <c r="AG233">
        <f>IF(ElevCalc!$AF$45*(ElevCalc!$AF$65&gt;=1)*NOT(ElevCalc!$AF$88)*(4&lt;=ElevCalc!$AF$89),((IF(3=0,ElevCalc!$AF$90,ElevCalc!$AF$90-3*(ElevCalc!$AF$90-ElevCalc!$AF$91)/(ElevCalc!$AF$89-1)))*ElevCalc!$AF$63),NA())</f>
        <v/>
      </c>
    </row>
    <row r="234">
      <c r="A234" t="inlineStr">
        <is>
          <t>hinge</t>
        </is>
      </c>
      <c r="B234">
        <f>IF(ElevCalc!$B$45*(ElevCalc!$B$65&gt;=1)*NOT(ElevCalc!$B$88)*(5&lt;=ElevCalc!$B$89),(ElevCalc!$B$64+(ElevCalc!$B$77)*ElevCalc!$B$63),NA())</f>
        <v/>
      </c>
      <c r="C234">
        <f>IF(ElevCalc!$B$45*(ElevCalc!$B$65&gt;=1)*NOT(ElevCalc!$B$88)*(5&lt;=ElevCalc!$B$89),((IF(4=0,ElevCalc!$B$90,ElevCalc!$B$90-4*(ElevCalc!$B$90-ElevCalc!$B$91)/(ElevCalc!$B$89-1)))*ElevCalc!$B$63),NA())</f>
        <v/>
      </c>
      <c r="F234" t="inlineStr">
        <is>
          <t>hinge</t>
        </is>
      </c>
      <c r="G234">
        <f>IF(ElevCalc!$G$45*(ElevCalc!$G$65&gt;=1)*NOT(ElevCalc!$G$88)*(5&lt;=ElevCalc!$G$89),(ElevCalc!$G$64+(ElevCalc!$G$77)*ElevCalc!$G$63),NA())</f>
        <v/>
      </c>
      <c r="H234">
        <f>IF(ElevCalc!$G$45*(ElevCalc!$G$65&gt;=1)*NOT(ElevCalc!$G$88)*(5&lt;=ElevCalc!$G$89),((IF(4=0,ElevCalc!$G$90,ElevCalc!$G$90-4*(ElevCalc!$G$90-ElevCalc!$G$91)/(ElevCalc!$G$89-1)))*ElevCalc!$G$63),NA())</f>
        <v/>
      </c>
      <c r="K234" t="inlineStr">
        <is>
          <t>hinge</t>
        </is>
      </c>
      <c r="L234">
        <f>IF(ElevCalc!$L$45*(ElevCalc!$L$65&gt;=1)*NOT(ElevCalc!$L$88)*(5&lt;=ElevCalc!$L$89),(ElevCalc!$L$64+(ElevCalc!$L$77)*ElevCalc!$L$63),NA())</f>
        <v/>
      </c>
      <c r="M234">
        <f>IF(ElevCalc!$L$45*(ElevCalc!$L$65&gt;=1)*NOT(ElevCalc!$L$88)*(5&lt;=ElevCalc!$L$89),((IF(4=0,ElevCalc!$L$90,ElevCalc!$L$90-4*(ElevCalc!$L$90-ElevCalc!$L$91)/(ElevCalc!$L$89-1)))*ElevCalc!$L$63),NA())</f>
        <v/>
      </c>
      <c r="P234" t="inlineStr">
        <is>
          <t>hinge</t>
        </is>
      </c>
      <c r="Q234">
        <f>IF(ElevCalc!$Q$45*(ElevCalc!$Q$65&gt;=1)*NOT(ElevCalc!$Q$88)*(5&lt;=ElevCalc!$Q$89),(ElevCalc!$Q$64+(ElevCalc!$Q$77)*ElevCalc!$Q$63),NA())</f>
        <v/>
      </c>
      <c r="R234">
        <f>IF(ElevCalc!$Q$45*(ElevCalc!$Q$65&gt;=1)*NOT(ElevCalc!$Q$88)*(5&lt;=ElevCalc!$Q$89),((IF(4=0,ElevCalc!$Q$90,ElevCalc!$Q$90-4*(ElevCalc!$Q$90-ElevCalc!$Q$91)/(ElevCalc!$Q$89-1)))*ElevCalc!$Q$63),NA())</f>
        <v/>
      </c>
      <c r="U234" t="inlineStr">
        <is>
          <t>hinge</t>
        </is>
      </c>
      <c r="V234">
        <f>IF(ElevCalc!$V$45*(ElevCalc!$V$65&gt;=1)*NOT(ElevCalc!$V$88)*(5&lt;=ElevCalc!$V$89),(ElevCalc!$V$64+(ElevCalc!$V$77)*ElevCalc!$V$63),NA())</f>
        <v/>
      </c>
      <c r="W234">
        <f>IF(ElevCalc!$V$45*(ElevCalc!$V$65&gt;=1)*NOT(ElevCalc!$V$88)*(5&lt;=ElevCalc!$V$89),((IF(4=0,ElevCalc!$V$90,ElevCalc!$V$90-4*(ElevCalc!$V$90-ElevCalc!$V$91)/(ElevCalc!$V$89-1)))*ElevCalc!$V$63),NA())</f>
        <v/>
      </c>
      <c r="Z234" t="inlineStr">
        <is>
          <t>hinge</t>
        </is>
      </c>
      <c r="AA234">
        <f>IF(ElevCalc!$AA$45*(ElevCalc!$AA$65&gt;=1)*NOT(ElevCalc!$AA$88)*(5&lt;=ElevCalc!$AA$89),(ElevCalc!$AA$64+(ElevCalc!$AA$77)*ElevCalc!$AA$63),NA())</f>
        <v/>
      </c>
      <c r="AB234">
        <f>IF(ElevCalc!$AA$45*(ElevCalc!$AA$65&gt;=1)*NOT(ElevCalc!$AA$88)*(5&lt;=ElevCalc!$AA$89),((IF(4=0,ElevCalc!$AA$90,ElevCalc!$AA$90-4*(ElevCalc!$AA$90-ElevCalc!$AA$91)/(ElevCalc!$AA$89-1)))*ElevCalc!$AA$63),NA())</f>
        <v/>
      </c>
      <c r="AE234" t="inlineStr">
        <is>
          <t>hinge</t>
        </is>
      </c>
      <c r="AF234">
        <f>IF(ElevCalc!$AF$45*(ElevCalc!$AF$65&gt;=1)*NOT(ElevCalc!$AF$88)*(5&lt;=ElevCalc!$AF$89),(ElevCalc!$AF$64+(ElevCalc!$AF$77)*ElevCalc!$AF$63),NA())</f>
        <v/>
      </c>
      <c r="AG234">
        <f>IF(ElevCalc!$AF$45*(ElevCalc!$AF$65&gt;=1)*NOT(ElevCalc!$AF$88)*(5&lt;=ElevCalc!$AF$89),((IF(4=0,ElevCalc!$AF$90,ElevCalc!$AF$90-4*(ElevCalc!$AF$90-ElevCalc!$AF$91)/(ElevCalc!$AF$89-1)))*ElevCalc!$AF$63),NA())</f>
        <v/>
      </c>
    </row>
    <row r="235">
      <c r="A235" t="inlineStr">
        <is>
          <t>hinge</t>
        </is>
      </c>
      <c r="B235">
        <f>IF(ElevCalc!$B$45*(ElevCalc!$B$65&gt;=2)*NOT(ElevCalc!$B$88)*(1&lt;=ElevCalc!$B$89),(ElevCalc!$B$64+(ElevCalc!$B$74)*ElevCalc!$B$63),NA())</f>
        <v/>
      </c>
      <c r="C235">
        <f>IF(ElevCalc!$B$45*(ElevCalc!$B$65&gt;=2)*NOT(ElevCalc!$B$88)*(1&lt;=ElevCalc!$B$89),((IF(0=0,ElevCalc!$B$90,ElevCalc!$B$90-0*(ElevCalc!$B$90-ElevCalc!$B$91)/(ElevCalc!$B$89-1)))*ElevCalc!$B$63),NA())</f>
        <v/>
      </c>
      <c r="F235" t="inlineStr">
        <is>
          <t>hinge</t>
        </is>
      </c>
      <c r="G235">
        <f>IF(ElevCalc!$G$45*(ElevCalc!$G$65&gt;=2)*NOT(ElevCalc!$G$88)*(1&lt;=ElevCalc!$G$89),(ElevCalc!$G$64+(ElevCalc!$G$74)*ElevCalc!$G$63),NA())</f>
        <v/>
      </c>
      <c r="H235">
        <f>IF(ElevCalc!$G$45*(ElevCalc!$G$65&gt;=2)*NOT(ElevCalc!$G$88)*(1&lt;=ElevCalc!$G$89),((IF(0=0,ElevCalc!$G$90,ElevCalc!$G$90-0*(ElevCalc!$G$90-ElevCalc!$G$91)/(ElevCalc!$G$89-1)))*ElevCalc!$G$63),NA())</f>
        <v/>
      </c>
      <c r="K235" t="inlineStr">
        <is>
          <t>hinge</t>
        </is>
      </c>
      <c r="L235">
        <f>IF(ElevCalc!$L$45*(ElevCalc!$L$65&gt;=2)*NOT(ElevCalc!$L$88)*(1&lt;=ElevCalc!$L$89),(ElevCalc!$L$64+(ElevCalc!$L$74)*ElevCalc!$L$63),NA())</f>
        <v/>
      </c>
      <c r="M235">
        <f>IF(ElevCalc!$L$45*(ElevCalc!$L$65&gt;=2)*NOT(ElevCalc!$L$88)*(1&lt;=ElevCalc!$L$89),((IF(0=0,ElevCalc!$L$90,ElevCalc!$L$90-0*(ElevCalc!$L$90-ElevCalc!$L$91)/(ElevCalc!$L$89-1)))*ElevCalc!$L$63),NA())</f>
        <v/>
      </c>
      <c r="P235" t="inlineStr">
        <is>
          <t>hinge</t>
        </is>
      </c>
      <c r="Q235">
        <f>IF(ElevCalc!$Q$45*(ElevCalc!$Q$65&gt;=2)*NOT(ElevCalc!$Q$88)*(1&lt;=ElevCalc!$Q$89),(ElevCalc!$Q$64+(ElevCalc!$Q$74)*ElevCalc!$Q$63),NA())</f>
        <v/>
      </c>
      <c r="R235">
        <f>IF(ElevCalc!$Q$45*(ElevCalc!$Q$65&gt;=2)*NOT(ElevCalc!$Q$88)*(1&lt;=ElevCalc!$Q$89),((IF(0=0,ElevCalc!$Q$90,ElevCalc!$Q$90-0*(ElevCalc!$Q$90-ElevCalc!$Q$91)/(ElevCalc!$Q$89-1)))*ElevCalc!$Q$63),NA())</f>
        <v/>
      </c>
      <c r="U235" t="inlineStr">
        <is>
          <t>hinge</t>
        </is>
      </c>
      <c r="V235">
        <f>IF(ElevCalc!$V$45*(ElevCalc!$V$65&gt;=2)*NOT(ElevCalc!$V$88)*(1&lt;=ElevCalc!$V$89),(ElevCalc!$V$64+(ElevCalc!$V$74)*ElevCalc!$V$63),NA())</f>
        <v/>
      </c>
      <c r="W235">
        <f>IF(ElevCalc!$V$45*(ElevCalc!$V$65&gt;=2)*NOT(ElevCalc!$V$88)*(1&lt;=ElevCalc!$V$89),((IF(0=0,ElevCalc!$V$90,ElevCalc!$V$90-0*(ElevCalc!$V$90-ElevCalc!$V$91)/(ElevCalc!$V$89-1)))*ElevCalc!$V$63),NA())</f>
        <v/>
      </c>
      <c r="Z235" t="inlineStr">
        <is>
          <t>hinge</t>
        </is>
      </c>
      <c r="AA235">
        <f>IF(ElevCalc!$AA$45*(ElevCalc!$AA$65&gt;=2)*NOT(ElevCalc!$AA$88)*(1&lt;=ElevCalc!$AA$89),(ElevCalc!$AA$64+(ElevCalc!$AA$74)*ElevCalc!$AA$63),NA())</f>
        <v/>
      </c>
      <c r="AB235">
        <f>IF(ElevCalc!$AA$45*(ElevCalc!$AA$65&gt;=2)*NOT(ElevCalc!$AA$88)*(1&lt;=ElevCalc!$AA$89),((IF(0=0,ElevCalc!$AA$90,ElevCalc!$AA$90-0*(ElevCalc!$AA$90-ElevCalc!$AA$91)/(ElevCalc!$AA$89-1)))*ElevCalc!$AA$63),NA())</f>
        <v/>
      </c>
      <c r="AE235" t="inlineStr">
        <is>
          <t>hinge</t>
        </is>
      </c>
      <c r="AF235">
        <f>IF(ElevCalc!$AF$45*(ElevCalc!$AF$65&gt;=2)*NOT(ElevCalc!$AF$88)*(1&lt;=ElevCalc!$AF$89),(ElevCalc!$AF$64+(ElevCalc!$AF$74)*ElevCalc!$AF$63),NA())</f>
        <v/>
      </c>
      <c r="AG235">
        <f>IF(ElevCalc!$AF$45*(ElevCalc!$AF$65&gt;=2)*NOT(ElevCalc!$AF$88)*(1&lt;=ElevCalc!$AF$89),((IF(0=0,ElevCalc!$AF$90,ElevCalc!$AF$90-0*(ElevCalc!$AF$90-ElevCalc!$AF$91)/(ElevCalc!$AF$89-1)))*ElevCalc!$AF$63),NA())</f>
        <v/>
      </c>
    </row>
    <row r="236">
      <c r="A236" t="inlineStr">
        <is>
          <t>hinge</t>
        </is>
      </c>
      <c r="B236">
        <f>IF(ElevCalc!$B$45*(ElevCalc!$B$65&gt;=2)*NOT(ElevCalc!$B$88)*(2&lt;=ElevCalc!$B$89),(ElevCalc!$B$64+(ElevCalc!$B$74)*ElevCalc!$B$63),NA())</f>
        <v/>
      </c>
      <c r="C236">
        <f>IF(ElevCalc!$B$45*(ElevCalc!$B$65&gt;=2)*NOT(ElevCalc!$B$88)*(2&lt;=ElevCalc!$B$89),((IF(1=0,ElevCalc!$B$90,ElevCalc!$B$90-1*(ElevCalc!$B$90-ElevCalc!$B$91)/(ElevCalc!$B$89-1)))*ElevCalc!$B$63),NA())</f>
        <v/>
      </c>
      <c r="F236" t="inlineStr">
        <is>
          <t>hinge</t>
        </is>
      </c>
      <c r="G236">
        <f>IF(ElevCalc!$G$45*(ElevCalc!$G$65&gt;=2)*NOT(ElevCalc!$G$88)*(2&lt;=ElevCalc!$G$89),(ElevCalc!$G$64+(ElevCalc!$G$74)*ElevCalc!$G$63),NA())</f>
        <v/>
      </c>
      <c r="H236">
        <f>IF(ElevCalc!$G$45*(ElevCalc!$G$65&gt;=2)*NOT(ElevCalc!$G$88)*(2&lt;=ElevCalc!$G$89),((IF(1=0,ElevCalc!$G$90,ElevCalc!$G$90-1*(ElevCalc!$G$90-ElevCalc!$G$91)/(ElevCalc!$G$89-1)))*ElevCalc!$G$63),NA())</f>
        <v/>
      </c>
      <c r="K236" t="inlineStr">
        <is>
          <t>hinge</t>
        </is>
      </c>
      <c r="L236">
        <f>IF(ElevCalc!$L$45*(ElevCalc!$L$65&gt;=2)*NOT(ElevCalc!$L$88)*(2&lt;=ElevCalc!$L$89),(ElevCalc!$L$64+(ElevCalc!$L$74)*ElevCalc!$L$63),NA())</f>
        <v/>
      </c>
      <c r="M236">
        <f>IF(ElevCalc!$L$45*(ElevCalc!$L$65&gt;=2)*NOT(ElevCalc!$L$88)*(2&lt;=ElevCalc!$L$89),((IF(1=0,ElevCalc!$L$90,ElevCalc!$L$90-1*(ElevCalc!$L$90-ElevCalc!$L$91)/(ElevCalc!$L$89-1)))*ElevCalc!$L$63),NA())</f>
        <v/>
      </c>
      <c r="P236" t="inlineStr">
        <is>
          <t>hinge</t>
        </is>
      </c>
      <c r="Q236">
        <f>IF(ElevCalc!$Q$45*(ElevCalc!$Q$65&gt;=2)*NOT(ElevCalc!$Q$88)*(2&lt;=ElevCalc!$Q$89),(ElevCalc!$Q$64+(ElevCalc!$Q$74)*ElevCalc!$Q$63),NA())</f>
        <v/>
      </c>
      <c r="R236">
        <f>IF(ElevCalc!$Q$45*(ElevCalc!$Q$65&gt;=2)*NOT(ElevCalc!$Q$88)*(2&lt;=ElevCalc!$Q$89),((IF(1=0,ElevCalc!$Q$90,ElevCalc!$Q$90-1*(ElevCalc!$Q$90-ElevCalc!$Q$91)/(ElevCalc!$Q$89-1)))*ElevCalc!$Q$63),NA())</f>
        <v/>
      </c>
      <c r="U236" t="inlineStr">
        <is>
          <t>hinge</t>
        </is>
      </c>
      <c r="V236">
        <f>IF(ElevCalc!$V$45*(ElevCalc!$V$65&gt;=2)*NOT(ElevCalc!$V$88)*(2&lt;=ElevCalc!$V$89),(ElevCalc!$V$64+(ElevCalc!$V$74)*ElevCalc!$V$63),NA())</f>
        <v/>
      </c>
      <c r="W236">
        <f>IF(ElevCalc!$V$45*(ElevCalc!$V$65&gt;=2)*NOT(ElevCalc!$V$88)*(2&lt;=ElevCalc!$V$89),((IF(1=0,ElevCalc!$V$90,ElevCalc!$V$90-1*(ElevCalc!$V$90-ElevCalc!$V$91)/(ElevCalc!$V$89-1)))*ElevCalc!$V$63),NA())</f>
        <v/>
      </c>
      <c r="Z236" t="inlineStr">
        <is>
          <t>hinge</t>
        </is>
      </c>
      <c r="AA236">
        <f>IF(ElevCalc!$AA$45*(ElevCalc!$AA$65&gt;=2)*NOT(ElevCalc!$AA$88)*(2&lt;=ElevCalc!$AA$89),(ElevCalc!$AA$64+(ElevCalc!$AA$74)*ElevCalc!$AA$63),NA())</f>
        <v/>
      </c>
      <c r="AB236">
        <f>IF(ElevCalc!$AA$45*(ElevCalc!$AA$65&gt;=2)*NOT(ElevCalc!$AA$88)*(2&lt;=ElevCalc!$AA$89),((IF(1=0,ElevCalc!$AA$90,ElevCalc!$AA$90-1*(ElevCalc!$AA$90-ElevCalc!$AA$91)/(ElevCalc!$AA$89-1)))*ElevCalc!$AA$63),NA())</f>
        <v/>
      </c>
      <c r="AE236" t="inlineStr">
        <is>
          <t>hinge</t>
        </is>
      </c>
      <c r="AF236">
        <f>IF(ElevCalc!$AF$45*(ElevCalc!$AF$65&gt;=2)*NOT(ElevCalc!$AF$88)*(2&lt;=ElevCalc!$AF$89),(ElevCalc!$AF$64+(ElevCalc!$AF$74)*ElevCalc!$AF$63),NA())</f>
        <v/>
      </c>
      <c r="AG236">
        <f>IF(ElevCalc!$AF$45*(ElevCalc!$AF$65&gt;=2)*NOT(ElevCalc!$AF$88)*(2&lt;=ElevCalc!$AF$89),((IF(1=0,ElevCalc!$AF$90,ElevCalc!$AF$90-1*(ElevCalc!$AF$90-ElevCalc!$AF$91)/(ElevCalc!$AF$89-1)))*ElevCalc!$AF$63),NA())</f>
        <v/>
      </c>
    </row>
    <row r="237">
      <c r="A237" t="inlineStr">
        <is>
          <t>hinge</t>
        </is>
      </c>
      <c r="B237">
        <f>IF(ElevCalc!$B$45*(ElevCalc!$B$65&gt;=2)*NOT(ElevCalc!$B$88)*(3&lt;=ElevCalc!$B$89),(ElevCalc!$B$64+(ElevCalc!$B$74)*ElevCalc!$B$63),NA())</f>
        <v/>
      </c>
      <c r="C237">
        <f>IF(ElevCalc!$B$45*(ElevCalc!$B$65&gt;=2)*NOT(ElevCalc!$B$88)*(3&lt;=ElevCalc!$B$89),((IF(2=0,ElevCalc!$B$90,ElevCalc!$B$90-2*(ElevCalc!$B$90-ElevCalc!$B$91)/(ElevCalc!$B$89-1)))*ElevCalc!$B$63),NA())</f>
        <v/>
      </c>
      <c r="F237" t="inlineStr">
        <is>
          <t>hinge</t>
        </is>
      </c>
      <c r="G237">
        <f>IF(ElevCalc!$G$45*(ElevCalc!$G$65&gt;=2)*NOT(ElevCalc!$G$88)*(3&lt;=ElevCalc!$G$89),(ElevCalc!$G$64+(ElevCalc!$G$74)*ElevCalc!$G$63),NA())</f>
        <v/>
      </c>
      <c r="H237">
        <f>IF(ElevCalc!$G$45*(ElevCalc!$G$65&gt;=2)*NOT(ElevCalc!$G$88)*(3&lt;=ElevCalc!$G$89),((IF(2=0,ElevCalc!$G$90,ElevCalc!$G$90-2*(ElevCalc!$G$90-ElevCalc!$G$91)/(ElevCalc!$G$89-1)))*ElevCalc!$G$63),NA())</f>
        <v/>
      </c>
      <c r="K237" t="inlineStr">
        <is>
          <t>hinge</t>
        </is>
      </c>
      <c r="L237">
        <f>IF(ElevCalc!$L$45*(ElevCalc!$L$65&gt;=2)*NOT(ElevCalc!$L$88)*(3&lt;=ElevCalc!$L$89),(ElevCalc!$L$64+(ElevCalc!$L$74)*ElevCalc!$L$63),NA())</f>
        <v/>
      </c>
      <c r="M237">
        <f>IF(ElevCalc!$L$45*(ElevCalc!$L$65&gt;=2)*NOT(ElevCalc!$L$88)*(3&lt;=ElevCalc!$L$89),((IF(2=0,ElevCalc!$L$90,ElevCalc!$L$90-2*(ElevCalc!$L$90-ElevCalc!$L$91)/(ElevCalc!$L$89-1)))*ElevCalc!$L$63),NA())</f>
        <v/>
      </c>
      <c r="P237" t="inlineStr">
        <is>
          <t>hinge</t>
        </is>
      </c>
      <c r="Q237">
        <f>IF(ElevCalc!$Q$45*(ElevCalc!$Q$65&gt;=2)*NOT(ElevCalc!$Q$88)*(3&lt;=ElevCalc!$Q$89),(ElevCalc!$Q$64+(ElevCalc!$Q$74)*ElevCalc!$Q$63),NA())</f>
        <v/>
      </c>
      <c r="R237">
        <f>IF(ElevCalc!$Q$45*(ElevCalc!$Q$65&gt;=2)*NOT(ElevCalc!$Q$88)*(3&lt;=ElevCalc!$Q$89),((IF(2=0,ElevCalc!$Q$90,ElevCalc!$Q$90-2*(ElevCalc!$Q$90-ElevCalc!$Q$91)/(ElevCalc!$Q$89-1)))*ElevCalc!$Q$63),NA())</f>
        <v/>
      </c>
      <c r="U237" t="inlineStr">
        <is>
          <t>hinge</t>
        </is>
      </c>
      <c r="V237">
        <f>IF(ElevCalc!$V$45*(ElevCalc!$V$65&gt;=2)*NOT(ElevCalc!$V$88)*(3&lt;=ElevCalc!$V$89),(ElevCalc!$V$64+(ElevCalc!$V$74)*ElevCalc!$V$63),NA())</f>
        <v/>
      </c>
      <c r="W237">
        <f>IF(ElevCalc!$V$45*(ElevCalc!$V$65&gt;=2)*NOT(ElevCalc!$V$88)*(3&lt;=ElevCalc!$V$89),((IF(2=0,ElevCalc!$V$90,ElevCalc!$V$90-2*(ElevCalc!$V$90-ElevCalc!$V$91)/(ElevCalc!$V$89-1)))*ElevCalc!$V$63),NA())</f>
        <v/>
      </c>
      <c r="Z237" t="inlineStr">
        <is>
          <t>hinge</t>
        </is>
      </c>
      <c r="AA237">
        <f>IF(ElevCalc!$AA$45*(ElevCalc!$AA$65&gt;=2)*NOT(ElevCalc!$AA$88)*(3&lt;=ElevCalc!$AA$89),(ElevCalc!$AA$64+(ElevCalc!$AA$74)*ElevCalc!$AA$63),NA())</f>
        <v/>
      </c>
      <c r="AB237">
        <f>IF(ElevCalc!$AA$45*(ElevCalc!$AA$65&gt;=2)*NOT(ElevCalc!$AA$88)*(3&lt;=ElevCalc!$AA$89),((IF(2=0,ElevCalc!$AA$90,ElevCalc!$AA$90-2*(ElevCalc!$AA$90-ElevCalc!$AA$91)/(ElevCalc!$AA$89-1)))*ElevCalc!$AA$63),NA())</f>
        <v/>
      </c>
      <c r="AE237" t="inlineStr">
        <is>
          <t>hinge</t>
        </is>
      </c>
      <c r="AF237">
        <f>IF(ElevCalc!$AF$45*(ElevCalc!$AF$65&gt;=2)*NOT(ElevCalc!$AF$88)*(3&lt;=ElevCalc!$AF$89),(ElevCalc!$AF$64+(ElevCalc!$AF$74)*ElevCalc!$AF$63),NA())</f>
        <v/>
      </c>
      <c r="AG237">
        <f>IF(ElevCalc!$AF$45*(ElevCalc!$AF$65&gt;=2)*NOT(ElevCalc!$AF$88)*(3&lt;=ElevCalc!$AF$89),((IF(2=0,ElevCalc!$AF$90,ElevCalc!$AF$90-2*(ElevCalc!$AF$90-ElevCalc!$AF$91)/(ElevCalc!$AF$89-1)))*ElevCalc!$AF$63),NA())</f>
        <v/>
      </c>
    </row>
    <row r="238">
      <c r="A238" t="inlineStr">
        <is>
          <t>hinge</t>
        </is>
      </c>
      <c r="B238">
        <f>IF(ElevCalc!$B$45*(ElevCalc!$B$65&gt;=2)*NOT(ElevCalc!$B$88)*(4&lt;=ElevCalc!$B$89),(ElevCalc!$B$64+(ElevCalc!$B$74)*ElevCalc!$B$63),NA())</f>
        <v/>
      </c>
      <c r="C238">
        <f>IF(ElevCalc!$B$45*(ElevCalc!$B$65&gt;=2)*NOT(ElevCalc!$B$88)*(4&lt;=ElevCalc!$B$89),((IF(3=0,ElevCalc!$B$90,ElevCalc!$B$90-3*(ElevCalc!$B$90-ElevCalc!$B$91)/(ElevCalc!$B$89-1)))*ElevCalc!$B$63),NA())</f>
        <v/>
      </c>
      <c r="F238" t="inlineStr">
        <is>
          <t>hinge</t>
        </is>
      </c>
      <c r="G238">
        <f>IF(ElevCalc!$G$45*(ElevCalc!$G$65&gt;=2)*NOT(ElevCalc!$G$88)*(4&lt;=ElevCalc!$G$89),(ElevCalc!$G$64+(ElevCalc!$G$74)*ElevCalc!$G$63),NA())</f>
        <v/>
      </c>
      <c r="H238">
        <f>IF(ElevCalc!$G$45*(ElevCalc!$G$65&gt;=2)*NOT(ElevCalc!$G$88)*(4&lt;=ElevCalc!$G$89),((IF(3=0,ElevCalc!$G$90,ElevCalc!$G$90-3*(ElevCalc!$G$90-ElevCalc!$G$91)/(ElevCalc!$G$89-1)))*ElevCalc!$G$63),NA())</f>
        <v/>
      </c>
      <c r="K238" t="inlineStr">
        <is>
          <t>hinge</t>
        </is>
      </c>
      <c r="L238">
        <f>IF(ElevCalc!$L$45*(ElevCalc!$L$65&gt;=2)*NOT(ElevCalc!$L$88)*(4&lt;=ElevCalc!$L$89),(ElevCalc!$L$64+(ElevCalc!$L$74)*ElevCalc!$L$63),NA())</f>
        <v/>
      </c>
      <c r="M238">
        <f>IF(ElevCalc!$L$45*(ElevCalc!$L$65&gt;=2)*NOT(ElevCalc!$L$88)*(4&lt;=ElevCalc!$L$89),((IF(3=0,ElevCalc!$L$90,ElevCalc!$L$90-3*(ElevCalc!$L$90-ElevCalc!$L$91)/(ElevCalc!$L$89-1)))*ElevCalc!$L$63),NA())</f>
        <v/>
      </c>
      <c r="P238" t="inlineStr">
        <is>
          <t>hinge</t>
        </is>
      </c>
      <c r="Q238">
        <f>IF(ElevCalc!$Q$45*(ElevCalc!$Q$65&gt;=2)*NOT(ElevCalc!$Q$88)*(4&lt;=ElevCalc!$Q$89),(ElevCalc!$Q$64+(ElevCalc!$Q$74)*ElevCalc!$Q$63),NA())</f>
        <v/>
      </c>
      <c r="R238">
        <f>IF(ElevCalc!$Q$45*(ElevCalc!$Q$65&gt;=2)*NOT(ElevCalc!$Q$88)*(4&lt;=ElevCalc!$Q$89),((IF(3=0,ElevCalc!$Q$90,ElevCalc!$Q$90-3*(ElevCalc!$Q$90-ElevCalc!$Q$91)/(ElevCalc!$Q$89-1)))*ElevCalc!$Q$63),NA())</f>
        <v/>
      </c>
      <c r="U238" t="inlineStr">
        <is>
          <t>hinge</t>
        </is>
      </c>
      <c r="V238">
        <f>IF(ElevCalc!$V$45*(ElevCalc!$V$65&gt;=2)*NOT(ElevCalc!$V$88)*(4&lt;=ElevCalc!$V$89),(ElevCalc!$V$64+(ElevCalc!$V$74)*ElevCalc!$V$63),NA())</f>
        <v/>
      </c>
      <c r="W238">
        <f>IF(ElevCalc!$V$45*(ElevCalc!$V$65&gt;=2)*NOT(ElevCalc!$V$88)*(4&lt;=ElevCalc!$V$89),((IF(3=0,ElevCalc!$V$90,ElevCalc!$V$90-3*(ElevCalc!$V$90-ElevCalc!$V$91)/(ElevCalc!$V$89-1)))*ElevCalc!$V$63),NA())</f>
        <v/>
      </c>
      <c r="Z238" t="inlineStr">
        <is>
          <t>hinge</t>
        </is>
      </c>
      <c r="AA238">
        <f>IF(ElevCalc!$AA$45*(ElevCalc!$AA$65&gt;=2)*NOT(ElevCalc!$AA$88)*(4&lt;=ElevCalc!$AA$89),(ElevCalc!$AA$64+(ElevCalc!$AA$74)*ElevCalc!$AA$63),NA())</f>
        <v/>
      </c>
      <c r="AB238">
        <f>IF(ElevCalc!$AA$45*(ElevCalc!$AA$65&gt;=2)*NOT(ElevCalc!$AA$88)*(4&lt;=ElevCalc!$AA$89),((IF(3=0,ElevCalc!$AA$90,ElevCalc!$AA$90-3*(ElevCalc!$AA$90-ElevCalc!$AA$91)/(ElevCalc!$AA$89-1)))*ElevCalc!$AA$63),NA())</f>
        <v/>
      </c>
      <c r="AE238" t="inlineStr">
        <is>
          <t>hinge</t>
        </is>
      </c>
      <c r="AF238">
        <f>IF(ElevCalc!$AF$45*(ElevCalc!$AF$65&gt;=2)*NOT(ElevCalc!$AF$88)*(4&lt;=ElevCalc!$AF$89),(ElevCalc!$AF$64+(ElevCalc!$AF$74)*ElevCalc!$AF$63),NA())</f>
        <v/>
      </c>
      <c r="AG238">
        <f>IF(ElevCalc!$AF$45*(ElevCalc!$AF$65&gt;=2)*NOT(ElevCalc!$AF$88)*(4&lt;=ElevCalc!$AF$89),((IF(3=0,ElevCalc!$AF$90,ElevCalc!$AF$90-3*(ElevCalc!$AF$90-ElevCalc!$AF$91)/(ElevCalc!$AF$89-1)))*ElevCalc!$AF$63),NA())</f>
        <v/>
      </c>
    </row>
    <row r="239">
      <c r="A239" t="inlineStr">
        <is>
          <t>hinge</t>
        </is>
      </c>
      <c r="B239">
        <f>IF(ElevCalc!$B$45*(ElevCalc!$B$65&gt;=2)*NOT(ElevCalc!$B$88)*(5&lt;=ElevCalc!$B$89),(ElevCalc!$B$64+(ElevCalc!$B$74)*ElevCalc!$B$63),NA())</f>
        <v/>
      </c>
      <c r="C239">
        <f>IF(ElevCalc!$B$45*(ElevCalc!$B$65&gt;=2)*NOT(ElevCalc!$B$88)*(5&lt;=ElevCalc!$B$89),((IF(4=0,ElevCalc!$B$90,ElevCalc!$B$90-4*(ElevCalc!$B$90-ElevCalc!$B$91)/(ElevCalc!$B$89-1)))*ElevCalc!$B$63),NA())</f>
        <v/>
      </c>
      <c r="F239" t="inlineStr">
        <is>
          <t>hinge</t>
        </is>
      </c>
      <c r="G239">
        <f>IF(ElevCalc!$G$45*(ElevCalc!$G$65&gt;=2)*NOT(ElevCalc!$G$88)*(5&lt;=ElevCalc!$G$89),(ElevCalc!$G$64+(ElevCalc!$G$74)*ElevCalc!$G$63),NA())</f>
        <v/>
      </c>
      <c r="H239">
        <f>IF(ElevCalc!$G$45*(ElevCalc!$G$65&gt;=2)*NOT(ElevCalc!$G$88)*(5&lt;=ElevCalc!$G$89),((IF(4=0,ElevCalc!$G$90,ElevCalc!$G$90-4*(ElevCalc!$G$90-ElevCalc!$G$91)/(ElevCalc!$G$89-1)))*ElevCalc!$G$63),NA())</f>
        <v/>
      </c>
      <c r="K239" t="inlineStr">
        <is>
          <t>hinge</t>
        </is>
      </c>
      <c r="L239">
        <f>IF(ElevCalc!$L$45*(ElevCalc!$L$65&gt;=2)*NOT(ElevCalc!$L$88)*(5&lt;=ElevCalc!$L$89),(ElevCalc!$L$64+(ElevCalc!$L$74)*ElevCalc!$L$63),NA())</f>
        <v/>
      </c>
      <c r="M239">
        <f>IF(ElevCalc!$L$45*(ElevCalc!$L$65&gt;=2)*NOT(ElevCalc!$L$88)*(5&lt;=ElevCalc!$L$89),((IF(4=0,ElevCalc!$L$90,ElevCalc!$L$90-4*(ElevCalc!$L$90-ElevCalc!$L$91)/(ElevCalc!$L$89-1)))*ElevCalc!$L$63),NA())</f>
        <v/>
      </c>
      <c r="P239" t="inlineStr">
        <is>
          <t>hinge</t>
        </is>
      </c>
      <c r="Q239">
        <f>IF(ElevCalc!$Q$45*(ElevCalc!$Q$65&gt;=2)*NOT(ElevCalc!$Q$88)*(5&lt;=ElevCalc!$Q$89),(ElevCalc!$Q$64+(ElevCalc!$Q$74)*ElevCalc!$Q$63),NA())</f>
        <v/>
      </c>
      <c r="R239">
        <f>IF(ElevCalc!$Q$45*(ElevCalc!$Q$65&gt;=2)*NOT(ElevCalc!$Q$88)*(5&lt;=ElevCalc!$Q$89),((IF(4=0,ElevCalc!$Q$90,ElevCalc!$Q$90-4*(ElevCalc!$Q$90-ElevCalc!$Q$91)/(ElevCalc!$Q$89-1)))*ElevCalc!$Q$63),NA())</f>
        <v/>
      </c>
      <c r="U239" t="inlineStr">
        <is>
          <t>hinge</t>
        </is>
      </c>
      <c r="V239">
        <f>IF(ElevCalc!$V$45*(ElevCalc!$V$65&gt;=2)*NOT(ElevCalc!$V$88)*(5&lt;=ElevCalc!$V$89),(ElevCalc!$V$64+(ElevCalc!$V$74)*ElevCalc!$V$63),NA())</f>
        <v/>
      </c>
      <c r="W239">
        <f>IF(ElevCalc!$V$45*(ElevCalc!$V$65&gt;=2)*NOT(ElevCalc!$V$88)*(5&lt;=ElevCalc!$V$89),((IF(4=0,ElevCalc!$V$90,ElevCalc!$V$90-4*(ElevCalc!$V$90-ElevCalc!$V$91)/(ElevCalc!$V$89-1)))*ElevCalc!$V$63),NA())</f>
        <v/>
      </c>
      <c r="Z239" t="inlineStr">
        <is>
          <t>hinge</t>
        </is>
      </c>
      <c r="AA239">
        <f>IF(ElevCalc!$AA$45*(ElevCalc!$AA$65&gt;=2)*NOT(ElevCalc!$AA$88)*(5&lt;=ElevCalc!$AA$89),(ElevCalc!$AA$64+(ElevCalc!$AA$74)*ElevCalc!$AA$63),NA())</f>
        <v/>
      </c>
      <c r="AB239">
        <f>IF(ElevCalc!$AA$45*(ElevCalc!$AA$65&gt;=2)*NOT(ElevCalc!$AA$88)*(5&lt;=ElevCalc!$AA$89),((IF(4=0,ElevCalc!$AA$90,ElevCalc!$AA$90-4*(ElevCalc!$AA$90-ElevCalc!$AA$91)/(ElevCalc!$AA$89-1)))*ElevCalc!$AA$63),NA())</f>
        <v/>
      </c>
      <c r="AE239" t="inlineStr">
        <is>
          <t>hinge</t>
        </is>
      </c>
      <c r="AF239">
        <f>IF(ElevCalc!$AF$45*(ElevCalc!$AF$65&gt;=2)*NOT(ElevCalc!$AF$88)*(5&lt;=ElevCalc!$AF$89),(ElevCalc!$AF$64+(ElevCalc!$AF$74)*ElevCalc!$AF$63),NA())</f>
        <v/>
      </c>
      <c r="AG239">
        <f>IF(ElevCalc!$AF$45*(ElevCalc!$AF$65&gt;=2)*NOT(ElevCalc!$AF$88)*(5&lt;=ElevCalc!$AF$89),((IF(4=0,ElevCalc!$AF$90,ElevCalc!$AF$90-4*(ElevCalc!$AF$90-ElevCalc!$AF$91)/(ElevCalc!$AF$89-1)))*ElevCalc!$AF$63),NA())</f>
        <v/>
      </c>
    </row>
    <row r="241">
      <c r="A241" t="inlineStr">
        <is>
          <t>cont1</t>
        </is>
      </c>
      <c r="B241">
        <f>IF(ElevCalc!$B$45*(ElevCalc!$B$65&gt;=1)*ElevCalc!$B$88,(ElevCalc!$B$64+(ElevCalc!$B$77)*ElevCalc!$B$63),NA())</f>
        <v/>
      </c>
      <c r="C241">
        <f>IF(ElevCalc!$B$45*(ElevCalc!$B$65&gt;=1)*ElevCalc!$B$88,((ElevCalc!$B$68+1)*ElevCalc!$B$63),NA())</f>
        <v/>
      </c>
      <c r="F241" t="inlineStr">
        <is>
          <t>cont1</t>
        </is>
      </c>
      <c r="G241">
        <f>IF(ElevCalc!$G$45*(ElevCalc!$G$65&gt;=1)*ElevCalc!$G$88,(ElevCalc!$G$64+(ElevCalc!$G$77)*ElevCalc!$G$63),NA())</f>
        <v/>
      </c>
      <c r="H241">
        <f>IF(ElevCalc!$G$45*(ElevCalc!$G$65&gt;=1)*ElevCalc!$G$88,((ElevCalc!$G$68+1)*ElevCalc!$G$63),NA())</f>
        <v/>
      </c>
      <c r="K241" t="inlineStr">
        <is>
          <t>cont1</t>
        </is>
      </c>
      <c r="L241">
        <f>IF(ElevCalc!$L$45*(ElevCalc!$L$65&gt;=1)*ElevCalc!$L$88,(ElevCalc!$L$64+(ElevCalc!$L$77)*ElevCalc!$L$63),NA())</f>
        <v/>
      </c>
      <c r="M241">
        <f>IF(ElevCalc!$L$45*(ElevCalc!$L$65&gt;=1)*ElevCalc!$L$88,((ElevCalc!$L$68+1)*ElevCalc!$L$63),NA())</f>
        <v/>
      </c>
      <c r="P241" t="inlineStr">
        <is>
          <t>cont1</t>
        </is>
      </c>
      <c r="Q241">
        <f>IF(ElevCalc!$Q$45*(ElevCalc!$Q$65&gt;=1)*ElevCalc!$Q$88,(ElevCalc!$Q$64+(ElevCalc!$Q$77)*ElevCalc!$Q$63),NA())</f>
        <v/>
      </c>
      <c r="R241">
        <f>IF(ElevCalc!$Q$45*(ElevCalc!$Q$65&gt;=1)*ElevCalc!$Q$88,((ElevCalc!$Q$68+1)*ElevCalc!$Q$63),NA())</f>
        <v/>
      </c>
      <c r="U241" t="inlineStr">
        <is>
          <t>cont1</t>
        </is>
      </c>
      <c r="V241">
        <f>IF(ElevCalc!$V$45*(ElevCalc!$V$65&gt;=1)*ElevCalc!$V$88,(ElevCalc!$V$64+(ElevCalc!$V$77)*ElevCalc!$V$63),NA())</f>
        <v/>
      </c>
      <c r="W241">
        <f>IF(ElevCalc!$V$45*(ElevCalc!$V$65&gt;=1)*ElevCalc!$V$88,((ElevCalc!$V$68+1)*ElevCalc!$V$63),NA())</f>
        <v/>
      </c>
      <c r="Z241" t="inlineStr">
        <is>
          <t>cont1</t>
        </is>
      </c>
      <c r="AA241">
        <f>IF(ElevCalc!$AA$45*(ElevCalc!$AA$65&gt;=1)*ElevCalc!$AA$88,(ElevCalc!$AA$64+(ElevCalc!$AA$77)*ElevCalc!$AA$63),NA())</f>
        <v/>
      </c>
      <c r="AB241">
        <f>IF(ElevCalc!$AA$45*(ElevCalc!$AA$65&gt;=1)*ElevCalc!$AA$88,((ElevCalc!$AA$68+1)*ElevCalc!$AA$63),NA())</f>
        <v/>
      </c>
      <c r="AE241" t="inlineStr">
        <is>
          <t>cont1</t>
        </is>
      </c>
      <c r="AF241">
        <f>IF(ElevCalc!$AF$45*(ElevCalc!$AF$65&gt;=1)*ElevCalc!$AF$88,(ElevCalc!$AF$64+(ElevCalc!$AF$77)*ElevCalc!$AF$63),NA())</f>
        <v/>
      </c>
      <c r="AG241">
        <f>IF(ElevCalc!$AF$45*(ElevCalc!$AF$65&gt;=1)*ElevCalc!$AF$88,((ElevCalc!$AF$68+1)*ElevCalc!$AF$63),NA())</f>
        <v/>
      </c>
    </row>
    <row r="242">
      <c r="A242" t="inlineStr">
        <is>
          <t>cont1</t>
        </is>
      </c>
      <c r="B242">
        <f>IF(ElevCalc!$B$45*(ElevCalc!$B$65&gt;=1)*ElevCalc!$B$88,(ElevCalc!$B$64+(ElevCalc!$B$77)*ElevCalc!$B$63),NA())</f>
        <v/>
      </c>
      <c r="C242">
        <f>IF(ElevCalc!$B$45*(ElevCalc!$B$65&gt;=1)*ElevCalc!$B$88,((ElevCalc!$B$69-1)*ElevCalc!$B$63),NA())</f>
        <v/>
      </c>
      <c r="F242" t="inlineStr">
        <is>
          <t>cont1</t>
        </is>
      </c>
      <c r="G242">
        <f>IF(ElevCalc!$G$45*(ElevCalc!$G$65&gt;=1)*ElevCalc!$G$88,(ElevCalc!$G$64+(ElevCalc!$G$77)*ElevCalc!$G$63),NA())</f>
        <v/>
      </c>
      <c r="H242">
        <f>IF(ElevCalc!$G$45*(ElevCalc!$G$65&gt;=1)*ElevCalc!$G$88,((ElevCalc!$G$69-1)*ElevCalc!$G$63),NA())</f>
        <v/>
      </c>
      <c r="K242" t="inlineStr">
        <is>
          <t>cont1</t>
        </is>
      </c>
      <c r="L242">
        <f>IF(ElevCalc!$L$45*(ElevCalc!$L$65&gt;=1)*ElevCalc!$L$88,(ElevCalc!$L$64+(ElevCalc!$L$77)*ElevCalc!$L$63),NA())</f>
        <v/>
      </c>
      <c r="M242">
        <f>IF(ElevCalc!$L$45*(ElevCalc!$L$65&gt;=1)*ElevCalc!$L$88,((ElevCalc!$L$69-1)*ElevCalc!$L$63),NA())</f>
        <v/>
      </c>
      <c r="P242" t="inlineStr">
        <is>
          <t>cont1</t>
        </is>
      </c>
      <c r="Q242">
        <f>IF(ElevCalc!$Q$45*(ElevCalc!$Q$65&gt;=1)*ElevCalc!$Q$88,(ElevCalc!$Q$64+(ElevCalc!$Q$77)*ElevCalc!$Q$63),NA())</f>
        <v/>
      </c>
      <c r="R242">
        <f>IF(ElevCalc!$Q$45*(ElevCalc!$Q$65&gt;=1)*ElevCalc!$Q$88,((ElevCalc!$Q$69-1)*ElevCalc!$Q$63),NA())</f>
        <v/>
      </c>
      <c r="U242" t="inlineStr">
        <is>
          <t>cont1</t>
        </is>
      </c>
      <c r="V242">
        <f>IF(ElevCalc!$V$45*(ElevCalc!$V$65&gt;=1)*ElevCalc!$V$88,(ElevCalc!$V$64+(ElevCalc!$V$77)*ElevCalc!$V$63),NA())</f>
        <v/>
      </c>
      <c r="W242">
        <f>IF(ElevCalc!$V$45*(ElevCalc!$V$65&gt;=1)*ElevCalc!$V$88,((ElevCalc!$V$69-1)*ElevCalc!$V$63),NA())</f>
        <v/>
      </c>
      <c r="Z242" t="inlineStr">
        <is>
          <t>cont1</t>
        </is>
      </c>
      <c r="AA242">
        <f>IF(ElevCalc!$AA$45*(ElevCalc!$AA$65&gt;=1)*ElevCalc!$AA$88,(ElevCalc!$AA$64+(ElevCalc!$AA$77)*ElevCalc!$AA$63),NA())</f>
        <v/>
      </c>
      <c r="AB242">
        <f>IF(ElevCalc!$AA$45*(ElevCalc!$AA$65&gt;=1)*ElevCalc!$AA$88,((ElevCalc!$AA$69-1)*ElevCalc!$AA$63),NA())</f>
        <v/>
      </c>
      <c r="AE242" t="inlineStr">
        <is>
          <t>cont1</t>
        </is>
      </c>
      <c r="AF242">
        <f>IF(ElevCalc!$AF$45*(ElevCalc!$AF$65&gt;=1)*ElevCalc!$AF$88,(ElevCalc!$AF$64+(ElevCalc!$AF$77)*ElevCalc!$AF$63),NA())</f>
        <v/>
      </c>
      <c r="AG242">
        <f>IF(ElevCalc!$AF$45*(ElevCalc!$AF$65&gt;=1)*ElevCalc!$AF$88,((ElevCalc!$AF$69-1)*ElevCalc!$AF$63),NA())</f>
        <v/>
      </c>
    </row>
    <row r="244">
      <c r="A244" t="inlineStr">
        <is>
          <t>cont2</t>
        </is>
      </c>
      <c r="B244">
        <f>IF(ElevCalc!$B$45*(ElevCalc!$B$65=2)*ElevCalc!$B$88,(ElevCalc!$B$64+(ElevCalc!$B$74)*ElevCalc!$B$63),NA())</f>
        <v/>
      </c>
      <c r="C244">
        <f>IF(ElevCalc!$B$45*(ElevCalc!$B$65=2)*ElevCalc!$B$88,((ElevCalc!$B$68+1)*ElevCalc!$B$63),NA())</f>
        <v/>
      </c>
      <c r="F244" t="inlineStr">
        <is>
          <t>cont2</t>
        </is>
      </c>
      <c r="G244">
        <f>IF(ElevCalc!$G$45*(ElevCalc!$G$65=2)*ElevCalc!$G$88,(ElevCalc!$G$64+(ElevCalc!$G$74)*ElevCalc!$G$63),NA())</f>
        <v/>
      </c>
      <c r="H244">
        <f>IF(ElevCalc!$G$45*(ElevCalc!$G$65=2)*ElevCalc!$G$88,((ElevCalc!$G$68+1)*ElevCalc!$G$63),NA())</f>
        <v/>
      </c>
      <c r="K244" t="inlineStr">
        <is>
          <t>cont2</t>
        </is>
      </c>
      <c r="L244">
        <f>IF(ElevCalc!$L$45*(ElevCalc!$L$65=2)*ElevCalc!$L$88,(ElevCalc!$L$64+(ElevCalc!$L$74)*ElevCalc!$L$63),NA())</f>
        <v/>
      </c>
      <c r="M244">
        <f>IF(ElevCalc!$L$45*(ElevCalc!$L$65=2)*ElevCalc!$L$88,((ElevCalc!$L$68+1)*ElevCalc!$L$63),NA())</f>
        <v/>
      </c>
      <c r="P244" t="inlineStr">
        <is>
          <t>cont2</t>
        </is>
      </c>
      <c r="Q244">
        <f>IF(ElevCalc!$Q$45*(ElevCalc!$Q$65=2)*ElevCalc!$Q$88,(ElevCalc!$Q$64+(ElevCalc!$Q$74)*ElevCalc!$Q$63),NA())</f>
        <v/>
      </c>
      <c r="R244">
        <f>IF(ElevCalc!$Q$45*(ElevCalc!$Q$65=2)*ElevCalc!$Q$88,((ElevCalc!$Q$68+1)*ElevCalc!$Q$63),NA())</f>
        <v/>
      </c>
      <c r="U244" t="inlineStr">
        <is>
          <t>cont2</t>
        </is>
      </c>
      <c r="V244">
        <f>IF(ElevCalc!$V$45*(ElevCalc!$V$65=2)*ElevCalc!$V$88,(ElevCalc!$V$64+(ElevCalc!$V$74)*ElevCalc!$V$63),NA())</f>
        <v/>
      </c>
      <c r="W244">
        <f>IF(ElevCalc!$V$45*(ElevCalc!$V$65=2)*ElevCalc!$V$88,((ElevCalc!$V$68+1)*ElevCalc!$V$63),NA())</f>
        <v/>
      </c>
      <c r="Z244" t="inlineStr">
        <is>
          <t>cont2</t>
        </is>
      </c>
      <c r="AA244">
        <f>IF(ElevCalc!$AA$45*(ElevCalc!$AA$65=2)*ElevCalc!$AA$88,(ElevCalc!$AA$64+(ElevCalc!$AA$74)*ElevCalc!$AA$63),NA())</f>
        <v/>
      </c>
      <c r="AB244">
        <f>IF(ElevCalc!$AA$45*(ElevCalc!$AA$65=2)*ElevCalc!$AA$88,((ElevCalc!$AA$68+1)*ElevCalc!$AA$63),NA())</f>
        <v/>
      </c>
      <c r="AE244" t="inlineStr">
        <is>
          <t>cont2</t>
        </is>
      </c>
      <c r="AF244">
        <f>IF(ElevCalc!$AF$45*(ElevCalc!$AF$65=2)*ElevCalc!$AF$88,(ElevCalc!$AF$64+(ElevCalc!$AF$74)*ElevCalc!$AF$63),NA())</f>
        <v/>
      </c>
      <c r="AG244">
        <f>IF(ElevCalc!$AF$45*(ElevCalc!$AF$65=2)*ElevCalc!$AF$88,((ElevCalc!$AF$68+1)*ElevCalc!$AF$63),NA())</f>
        <v/>
      </c>
    </row>
    <row r="245">
      <c r="A245" t="inlineStr">
        <is>
          <t>cont2</t>
        </is>
      </c>
      <c r="B245">
        <f>IF(ElevCalc!$B$45*(ElevCalc!$B$65=2)*ElevCalc!$B$88,(ElevCalc!$B$64+(ElevCalc!$B$74)*ElevCalc!$B$63),NA())</f>
        <v/>
      </c>
      <c r="C245">
        <f>IF(ElevCalc!$B$45*(ElevCalc!$B$65=2)*ElevCalc!$B$88,((ElevCalc!$B$69-1)*ElevCalc!$B$63),NA())</f>
        <v/>
      </c>
      <c r="F245" t="inlineStr">
        <is>
          <t>cont2</t>
        </is>
      </c>
      <c r="G245">
        <f>IF(ElevCalc!$G$45*(ElevCalc!$G$65=2)*ElevCalc!$G$88,(ElevCalc!$G$64+(ElevCalc!$G$74)*ElevCalc!$G$63),NA())</f>
        <v/>
      </c>
      <c r="H245">
        <f>IF(ElevCalc!$G$45*(ElevCalc!$G$65=2)*ElevCalc!$G$88,((ElevCalc!$G$69-1)*ElevCalc!$G$63),NA())</f>
        <v/>
      </c>
      <c r="K245" t="inlineStr">
        <is>
          <t>cont2</t>
        </is>
      </c>
      <c r="L245">
        <f>IF(ElevCalc!$L$45*(ElevCalc!$L$65=2)*ElevCalc!$L$88,(ElevCalc!$L$64+(ElevCalc!$L$74)*ElevCalc!$L$63),NA())</f>
        <v/>
      </c>
      <c r="M245">
        <f>IF(ElevCalc!$L$45*(ElevCalc!$L$65=2)*ElevCalc!$L$88,((ElevCalc!$L$69-1)*ElevCalc!$L$63),NA())</f>
        <v/>
      </c>
      <c r="P245" t="inlineStr">
        <is>
          <t>cont2</t>
        </is>
      </c>
      <c r="Q245">
        <f>IF(ElevCalc!$Q$45*(ElevCalc!$Q$65=2)*ElevCalc!$Q$88,(ElevCalc!$Q$64+(ElevCalc!$Q$74)*ElevCalc!$Q$63),NA())</f>
        <v/>
      </c>
      <c r="R245">
        <f>IF(ElevCalc!$Q$45*(ElevCalc!$Q$65=2)*ElevCalc!$Q$88,((ElevCalc!$Q$69-1)*ElevCalc!$Q$63),NA())</f>
        <v/>
      </c>
      <c r="U245" t="inlineStr">
        <is>
          <t>cont2</t>
        </is>
      </c>
      <c r="V245">
        <f>IF(ElevCalc!$V$45*(ElevCalc!$V$65=2)*ElevCalc!$V$88,(ElevCalc!$V$64+(ElevCalc!$V$74)*ElevCalc!$V$63),NA())</f>
        <v/>
      </c>
      <c r="W245">
        <f>IF(ElevCalc!$V$45*(ElevCalc!$V$65=2)*ElevCalc!$V$88,((ElevCalc!$V$69-1)*ElevCalc!$V$63),NA())</f>
        <v/>
      </c>
      <c r="Z245" t="inlineStr">
        <is>
          <t>cont2</t>
        </is>
      </c>
      <c r="AA245">
        <f>IF(ElevCalc!$AA$45*(ElevCalc!$AA$65=2)*ElevCalc!$AA$88,(ElevCalc!$AA$64+(ElevCalc!$AA$74)*ElevCalc!$AA$63),NA())</f>
        <v/>
      </c>
      <c r="AB245">
        <f>IF(ElevCalc!$AA$45*(ElevCalc!$AA$65=2)*ElevCalc!$AA$88,((ElevCalc!$AA$69-1)*ElevCalc!$AA$63),NA())</f>
        <v/>
      </c>
      <c r="AE245" t="inlineStr">
        <is>
          <t>cont2</t>
        </is>
      </c>
      <c r="AF245">
        <f>IF(ElevCalc!$AF$45*(ElevCalc!$AF$65=2)*ElevCalc!$AF$88,(ElevCalc!$AF$64+(ElevCalc!$AF$74)*ElevCalc!$AF$63),NA())</f>
        <v/>
      </c>
      <c r="AG245">
        <f>IF(ElevCalc!$AF$45*(ElevCalc!$AF$65=2)*ElevCalc!$AF$88,((ElevCalc!$AF$69-1)*ElevCalc!$AF$63),NA())</f>
        <v/>
      </c>
    </row>
    <row r="247">
      <c r="A247" t="inlineStr">
        <is>
          <t>lever</t>
        </is>
      </c>
      <c r="B247">
        <f>IF(ElevCalc!$B$45*(ElevCalc!$B$65&gt;=1),(ElevCalc!$B$64+(ElevCalc!$B$87)*ElevCalc!$B$63),NA())</f>
        <v/>
      </c>
      <c r="C247">
        <f>IF(ElevCalc!$B$45*(ElevCalc!$B$65&gt;=1),((LockAFF)*ElevCalc!$B$63),NA())</f>
        <v/>
      </c>
      <c r="F247" t="inlineStr">
        <is>
          <t>lever</t>
        </is>
      </c>
      <c r="G247">
        <f>IF(ElevCalc!$G$45*(ElevCalc!$G$65&gt;=1),(ElevCalc!$G$64+(ElevCalc!$G$87)*ElevCalc!$G$63),NA())</f>
        <v/>
      </c>
      <c r="H247">
        <f>IF(ElevCalc!$G$45*(ElevCalc!$G$65&gt;=1),((LockAFF)*ElevCalc!$G$63),NA())</f>
        <v/>
      </c>
      <c r="K247" t="inlineStr">
        <is>
          <t>lever</t>
        </is>
      </c>
      <c r="L247">
        <f>IF(ElevCalc!$L$45*(ElevCalc!$L$65&gt;=1),(ElevCalc!$L$64+(ElevCalc!$L$87)*ElevCalc!$L$63),NA())</f>
        <v/>
      </c>
      <c r="M247">
        <f>IF(ElevCalc!$L$45*(ElevCalc!$L$65&gt;=1),((LockAFF)*ElevCalc!$L$63),NA())</f>
        <v/>
      </c>
      <c r="P247" t="inlineStr">
        <is>
          <t>lever</t>
        </is>
      </c>
      <c r="Q247">
        <f>IF(ElevCalc!$Q$45*(ElevCalc!$Q$65&gt;=1),(ElevCalc!$Q$64+(ElevCalc!$Q$87)*ElevCalc!$Q$63),NA())</f>
        <v/>
      </c>
      <c r="R247">
        <f>IF(ElevCalc!$Q$45*(ElevCalc!$Q$65&gt;=1),((LockAFF)*ElevCalc!$Q$63),NA())</f>
        <v/>
      </c>
      <c r="U247" t="inlineStr">
        <is>
          <t>lever</t>
        </is>
      </c>
      <c r="V247">
        <f>IF(ElevCalc!$V$45*(ElevCalc!$V$65&gt;=1),(ElevCalc!$V$64+(ElevCalc!$V$87)*ElevCalc!$V$63),NA())</f>
        <v/>
      </c>
      <c r="W247">
        <f>IF(ElevCalc!$V$45*(ElevCalc!$V$65&gt;=1),((LockAFF)*ElevCalc!$V$63),NA())</f>
        <v/>
      </c>
      <c r="Z247" t="inlineStr">
        <is>
          <t>lever</t>
        </is>
      </c>
      <c r="AA247">
        <f>IF(ElevCalc!$AA$45*(ElevCalc!$AA$65&gt;=1),(ElevCalc!$AA$64+(ElevCalc!$AA$87)*ElevCalc!$AA$63),NA())</f>
        <v/>
      </c>
      <c r="AB247">
        <f>IF(ElevCalc!$AA$45*(ElevCalc!$AA$65&gt;=1),((LockAFF)*ElevCalc!$AA$63),NA())</f>
        <v/>
      </c>
      <c r="AE247" t="inlineStr">
        <is>
          <t>lever</t>
        </is>
      </c>
      <c r="AF247">
        <f>IF(ElevCalc!$AF$45*(ElevCalc!$AF$65&gt;=1),(ElevCalc!$AF$64+(ElevCalc!$AF$87)*ElevCalc!$AF$63),NA())</f>
        <v/>
      </c>
      <c r="AG247">
        <f>IF(ElevCalc!$AF$45*(ElevCalc!$AF$65&gt;=1),((LockAFF)*ElevCalc!$AF$63),NA())</f>
        <v/>
      </c>
    </row>
    <row r="249">
      <c r="A249" t="inlineStr">
        <is>
          <t>floor</t>
        </is>
      </c>
      <c r="B249">
        <f>IF(ElevCalc!$B$45,(ElevCalc!$B$64+(-12)*ElevCalc!$B$63),NA())</f>
        <v/>
      </c>
      <c r="C249">
        <f>IF(ElevCalc!$B$45,((0)*ElevCalc!$B$63),NA())</f>
        <v/>
      </c>
      <c r="F249" t="inlineStr">
        <is>
          <t>floor</t>
        </is>
      </c>
      <c r="G249">
        <f>IF(ElevCalc!$G$45,(ElevCalc!$G$64+(-12)*ElevCalc!$G$63),NA())</f>
        <v/>
      </c>
      <c r="H249">
        <f>IF(ElevCalc!$G$45,((0)*ElevCalc!$G$63),NA())</f>
        <v/>
      </c>
      <c r="K249" t="inlineStr">
        <is>
          <t>floor</t>
        </is>
      </c>
      <c r="L249">
        <f>IF(ElevCalc!$L$45,(ElevCalc!$L$64+(-12)*ElevCalc!$L$63),NA())</f>
        <v/>
      </c>
      <c r="M249">
        <f>IF(ElevCalc!$L$45,((0)*ElevCalc!$L$63),NA())</f>
        <v/>
      </c>
      <c r="P249" t="inlineStr">
        <is>
          <t>floor</t>
        </is>
      </c>
      <c r="Q249">
        <f>IF(ElevCalc!$Q$45,(ElevCalc!$Q$64+(-12)*ElevCalc!$Q$63),NA())</f>
        <v/>
      </c>
      <c r="R249">
        <f>IF(ElevCalc!$Q$45,((0)*ElevCalc!$Q$63),NA())</f>
        <v/>
      </c>
      <c r="U249" t="inlineStr">
        <is>
          <t>floor</t>
        </is>
      </c>
      <c r="V249">
        <f>IF(ElevCalc!$V$45,(ElevCalc!$V$64+(-12)*ElevCalc!$V$63),NA())</f>
        <v/>
      </c>
      <c r="W249">
        <f>IF(ElevCalc!$V$45,((0)*ElevCalc!$V$63),NA())</f>
        <v/>
      </c>
      <c r="Z249" t="inlineStr">
        <is>
          <t>floor</t>
        </is>
      </c>
      <c r="AA249">
        <f>IF(ElevCalc!$AA$45,(ElevCalc!$AA$64+(-12)*ElevCalc!$AA$63),NA())</f>
        <v/>
      </c>
      <c r="AB249">
        <f>IF(ElevCalc!$AA$45,((0)*ElevCalc!$AA$63),NA())</f>
        <v/>
      </c>
      <c r="AE249" t="inlineStr">
        <is>
          <t>floor</t>
        </is>
      </c>
      <c r="AF249">
        <f>IF(ElevCalc!$AF$45,(ElevCalc!$AF$64+(-12)*ElevCalc!$AF$63),NA())</f>
        <v/>
      </c>
      <c r="AG249">
        <f>IF(ElevCalc!$AF$45,((0)*ElevCalc!$AF$63),NA())</f>
        <v/>
      </c>
    </row>
    <row r="250">
      <c r="A250" t="inlineStr">
        <is>
          <t>floor</t>
        </is>
      </c>
      <c r="B250">
        <f>IF(ElevCalc!$B$45,(ElevCalc!$B$64+(ElevCalc!$B$57+12)*ElevCalc!$B$63),NA())</f>
        <v/>
      </c>
      <c r="C250">
        <f>IF(ElevCalc!$B$45,((0)*ElevCalc!$B$63),NA())</f>
        <v/>
      </c>
      <c r="F250" t="inlineStr">
        <is>
          <t>floor</t>
        </is>
      </c>
      <c r="G250">
        <f>IF(ElevCalc!$G$45,(ElevCalc!$G$64+(ElevCalc!$G$57+12)*ElevCalc!$G$63),NA())</f>
        <v/>
      </c>
      <c r="H250">
        <f>IF(ElevCalc!$G$45,((0)*ElevCalc!$G$63),NA())</f>
        <v/>
      </c>
      <c r="K250" t="inlineStr">
        <is>
          <t>floor</t>
        </is>
      </c>
      <c r="L250">
        <f>IF(ElevCalc!$L$45,(ElevCalc!$L$64+(ElevCalc!$L$57+12)*ElevCalc!$L$63),NA())</f>
        <v/>
      </c>
      <c r="M250">
        <f>IF(ElevCalc!$L$45,((0)*ElevCalc!$L$63),NA())</f>
        <v/>
      </c>
      <c r="P250" t="inlineStr">
        <is>
          <t>floor</t>
        </is>
      </c>
      <c r="Q250">
        <f>IF(ElevCalc!$Q$45,(ElevCalc!$Q$64+(ElevCalc!$Q$57+12)*ElevCalc!$Q$63),NA())</f>
        <v/>
      </c>
      <c r="R250">
        <f>IF(ElevCalc!$Q$45,((0)*ElevCalc!$Q$63),NA())</f>
        <v/>
      </c>
      <c r="U250" t="inlineStr">
        <is>
          <t>floor</t>
        </is>
      </c>
      <c r="V250">
        <f>IF(ElevCalc!$V$45,(ElevCalc!$V$64+(ElevCalc!$V$57+12)*ElevCalc!$V$63),NA())</f>
        <v/>
      </c>
      <c r="W250">
        <f>IF(ElevCalc!$V$45,((0)*ElevCalc!$V$63),NA())</f>
        <v/>
      </c>
      <c r="Z250" t="inlineStr">
        <is>
          <t>floor</t>
        </is>
      </c>
      <c r="AA250">
        <f>IF(ElevCalc!$AA$45,(ElevCalc!$AA$64+(ElevCalc!$AA$57+12)*ElevCalc!$AA$63),NA())</f>
        <v/>
      </c>
      <c r="AB250">
        <f>IF(ElevCalc!$AA$45,((0)*ElevCalc!$AA$63),NA())</f>
        <v/>
      </c>
      <c r="AE250" t="inlineStr">
        <is>
          <t>floor</t>
        </is>
      </c>
      <c r="AF250">
        <f>IF(ElevCalc!$AF$45,(ElevCalc!$AF$64+(ElevCalc!$AF$57+12)*ElevCalc!$AF$63),NA())</f>
        <v/>
      </c>
      <c r="AG250">
        <f>IF(ElevCalc!$AF$45,((0)*ElevCalc!$AF$63),NA())</f>
        <v/>
      </c>
    </row>
    <row r="252">
      <c r="A252" t="inlineStr">
        <is>
          <t>dimW</t>
        </is>
      </c>
      <c r="B252">
        <f>IF(ElevCalc!$B$45,(ElevCalc!$B$64+(0)*ElevCalc!$B$63),NA())</f>
        <v/>
      </c>
      <c r="C252">
        <f>IF(ElevCalc!$B$45,(ElevCalc!$B$58*ElevCalc!$B$63+9)-3,NA())</f>
        <v/>
      </c>
      <c r="F252" t="inlineStr">
        <is>
          <t>dimW</t>
        </is>
      </c>
      <c r="G252">
        <f>IF(ElevCalc!$G$45,(ElevCalc!$G$64+(0)*ElevCalc!$G$63),NA())</f>
        <v/>
      </c>
      <c r="H252">
        <f>IF(ElevCalc!$G$45,(ElevCalc!$G$58*ElevCalc!$G$63+9)-3,NA())</f>
        <v/>
      </c>
      <c r="K252" t="inlineStr">
        <is>
          <t>dimW</t>
        </is>
      </c>
      <c r="L252">
        <f>IF(ElevCalc!$L$45,(ElevCalc!$L$64+(0)*ElevCalc!$L$63),NA())</f>
        <v/>
      </c>
      <c r="M252">
        <f>IF(ElevCalc!$L$45,(ElevCalc!$L$58*ElevCalc!$L$63+9)-3,NA())</f>
        <v/>
      </c>
      <c r="P252" t="inlineStr">
        <is>
          <t>dimW</t>
        </is>
      </c>
      <c r="Q252">
        <f>IF(ElevCalc!$Q$45,(ElevCalc!$Q$64+(0)*ElevCalc!$Q$63),NA())</f>
        <v/>
      </c>
      <c r="R252">
        <f>IF(ElevCalc!$Q$45,(ElevCalc!$Q$58*ElevCalc!$Q$63+9)-3,NA())</f>
        <v/>
      </c>
      <c r="U252" t="inlineStr">
        <is>
          <t>dimW</t>
        </is>
      </c>
      <c r="V252">
        <f>IF(ElevCalc!$V$45,(ElevCalc!$V$64+(0)*ElevCalc!$V$63),NA())</f>
        <v/>
      </c>
      <c r="W252">
        <f>IF(ElevCalc!$V$45,(ElevCalc!$V$58*ElevCalc!$V$63+9)-3,NA())</f>
        <v/>
      </c>
      <c r="Z252" t="inlineStr">
        <is>
          <t>dimW</t>
        </is>
      </c>
      <c r="AA252">
        <f>IF(ElevCalc!$AA$45,(ElevCalc!$AA$64+(0)*ElevCalc!$AA$63),NA())</f>
        <v/>
      </c>
      <c r="AB252">
        <f>IF(ElevCalc!$AA$45,(ElevCalc!$AA$58*ElevCalc!$AA$63+9)-3,NA())</f>
        <v/>
      </c>
      <c r="AE252" t="inlineStr">
        <is>
          <t>dimW</t>
        </is>
      </c>
      <c r="AF252">
        <f>IF(ElevCalc!$AF$45,(ElevCalc!$AF$64+(0)*ElevCalc!$AF$63),NA())</f>
        <v/>
      </c>
      <c r="AG252">
        <f>IF(ElevCalc!$AF$45,(ElevCalc!$AF$58*ElevCalc!$AF$63+9)-3,NA())</f>
        <v/>
      </c>
    </row>
    <row r="253">
      <c r="A253" t="inlineStr">
        <is>
          <t>dimW</t>
        </is>
      </c>
      <c r="B253">
        <f>IF(ElevCalc!$B$45,(ElevCalc!$B$64+(0)*ElevCalc!$B$63),NA())</f>
        <v/>
      </c>
      <c r="C253">
        <f>IF(ElevCalc!$B$45,(ElevCalc!$B$58*ElevCalc!$B$63+9)+3,NA())</f>
        <v/>
      </c>
      <c r="F253" t="inlineStr">
        <is>
          <t>dimW</t>
        </is>
      </c>
      <c r="G253">
        <f>IF(ElevCalc!$G$45,(ElevCalc!$G$64+(0)*ElevCalc!$G$63),NA())</f>
        <v/>
      </c>
      <c r="H253">
        <f>IF(ElevCalc!$G$45,(ElevCalc!$G$58*ElevCalc!$G$63+9)+3,NA())</f>
        <v/>
      </c>
      <c r="K253" t="inlineStr">
        <is>
          <t>dimW</t>
        </is>
      </c>
      <c r="L253">
        <f>IF(ElevCalc!$L$45,(ElevCalc!$L$64+(0)*ElevCalc!$L$63),NA())</f>
        <v/>
      </c>
      <c r="M253">
        <f>IF(ElevCalc!$L$45,(ElevCalc!$L$58*ElevCalc!$L$63+9)+3,NA())</f>
        <v/>
      </c>
      <c r="P253" t="inlineStr">
        <is>
          <t>dimW</t>
        </is>
      </c>
      <c r="Q253">
        <f>IF(ElevCalc!$Q$45,(ElevCalc!$Q$64+(0)*ElevCalc!$Q$63),NA())</f>
        <v/>
      </c>
      <c r="R253">
        <f>IF(ElevCalc!$Q$45,(ElevCalc!$Q$58*ElevCalc!$Q$63+9)+3,NA())</f>
        <v/>
      </c>
      <c r="U253" t="inlineStr">
        <is>
          <t>dimW</t>
        </is>
      </c>
      <c r="V253">
        <f>IF(ElevCalc!$V$45,(ElevCalc!$V$64+(0)*ElevCalc!$V$63),NA())</f>
        <v/>
      </c>
      <c r="W253">
        <f>IF(ElevCalc!$V$45,(ElevCalc!$V$58*ElevCalc!$V$63+9)+3,NA())</f>
        <v/>
      </c>
      <c r="Z253" t="inlineStr">
        <is>
          <t>dimW</t>
        </is>
      </c>
      <c r="AA253">
        <f>IF(ElevCalc!$AA$45,(ElevCalc!$AA$64+(0)*ElevCalc!$AA$63),NA())</f>
        <v/>
      </c>
      <c r="AB253">
        <f>IF(ElevCalc!$AA$45,(ElevCalc!$AA$58*ElevCalc!$AA$63+9)+3,NA())</f>
        <v/>
      </c>
      <c r="AE253" t="inlineStr">
        <is>
          <t>dimW</t>
        </is>
      </c>
      <c r="AF253">
        <f>IF(ElevCalc!$AF$45,(ElevCalc!$AF$64+(0)*ElevCalc!$AF$63),NA())</f>
        <v/>
      </c>
      <c r="AG253">
        <f>IF(ElevCalc!$AF$45,(ElevCalc!$AF$58*ElevCalc!$AF$63+9)+3,NA())</f>
        <v/>
      </c>
    </row>
    <row r="254">
      <c r="A254" t="inlineStr">
        <is>
          <t>dimW</t>
        </is>
      </c>
      <c r="B254">
        <f>IF(ElevCalc!$B$45,(ElevCalc!$B$64+(0)*ElevCalc!$B$63),NA())</f>
        <v/>
      </c>
      <c r="C254">
        <f>IF(ElevCalc!$B$45,(ElevCalc!$B$58*ElevCalc!$B$63+9),NA())</f>
        <v/>
      </c>
      <c r="F254" t="inlineStr">
        <is>
          <t>dimW</t>
        </is>
      </c>
      <c r="G254">
        <f>IF(ElevCalc!$G$45,(ElevCalc!$G$64+(0)*ElevCalc!$G$63),NA())</f>
        <v/>
      </c>
      <c r="H254">
        <f>IF(ElevCalc!$G$45,(ElevCalc!$G$58*ElevCalc!$G$63+9),NA())</f>
        <v/>
      </c>
      <c r="K254" t="inlineStr">
        <is>
          <t>dimW</t>
        </is>
      </c>
      <c r="L254">
        <f>IF(ElevCalc!$L$45,(ElevCalc!$L$64+(0)*ElevCalc!$L$63),NA())</f>
        <v/>
      </c>
      <c r="M254">
        <f>IF(ElevCalc!$L$45,(ElevCalc!$L$58*ElevCalc!$L$63+9),NA())</f>
        <v/>
      </c>
      <c r="P254" t="inlineStr">
        <is>
          <t>dimW</t>
        </is>
      </c>
      <c r="Q254">
        <f>IF(ElevCalc!$Q$45,(ElevCalc!$Q$64+(0)*ElevCalc!$Q$63),NA())</f>
        <v/>
      </c>
      <c r="R254">
        <f>IF(ElevCalc!$Q$45,(ElevCalc!$Q$58*ElevCalc!$Q$63+9),NA())</f>
        <v/>
      </c>
      <c r="U254" t="inlineStr">
        <is>
          <t>dimW</t>
        </is>
      </c>
      <c r="V254">
        <f>IF(ElevCalc!$V$45,(ElevCalc!$V$64+(0)*ElevCalc!$V$63),NA())</f>
        <v/>
      </c>
      <c r="W254">
        <f>IF(ElevCalc!$V$45,(ElevCalc!$V$58*ElevCalc!$V$63+9),NA())</f>
        <v/>
      </c>
      <c r="Z254" t="inlineStr">
        <is>
          <t>dimW</t>
        </is>
      </c>
      <c r="AA254">
        <f>IF(ElevCalc!$AA$45,(ElevCalc!$AA$64+(0)*ElevCalc!$AA$63),NA())</f>
        <v/>
      </c>
      <c r="AB254">
        <f>IF(ElevCalc!$AA$45,(ElevCalc!$AA$58*ElevCalc!$AA$63+9),NA())</f>
        <v/>
      </c>
      <c r="AE254" t="inlineStr">
        <is>
          <t>dimW</t>
        </is>
      </c>
      <c r="AF254">
        <f>IF(ElevCalc!$AF$45,(ElevCalc!$AF$64+(0)*ElevCalc!$AF$63),NA())</f>
        <v/>
      </c>
      <c r="AG254">
        <f>IF(ElevCalc!$AF$45,(ElevCalc!$AF$58*ElevCalc!$AF$63+9),NA())</f>
        <v/>
      </c>
    </row>
    <row r="255">
      <c r="A255" t="inlineStr">
        <is>
          <t>dimW</t>
        </is>
      </c>
      <c r="B255">
        <f>IF(ElevCalc!$B$45,(ElevCalc!$B$64+(ElevCalc!$B$57)*ElevCalc!$B$63),NA())</f>
        <v/>
      </c>
      <c r="C255">
        <f>IF(ElevCalc!$B$45,(ElevCalc!$B$58*ElevCalc!$B$63+9),NA())</f>
        <v/>
      </c>
      <c r="F255" t="inlineStr">
        <is>
          <t>dimW</t>
        </is>
      </c>
      <c r="G255">
        <f>IF(ElevCalc!$G$45,(ElevCalc!$G$64+(ElevCalc!$G$57)*ElevCalc!$G$63),NA())</f>
        <v/>
      </c>
      <c r="H255">
        <f>IF(ElevCalc!$G$45,(ElevCalc!$G$58*ElevCalc!$G$63+9),NA())</f>
        <v/>
      </c>
      <c r="K255" t="inlineStr">
        <is>
          <t>dimW</t>
        </is>
      </c>
      <c r="L255">
        <f>IF(ElevCalc!$L$45,(ElevCalc!$L$64+(ElevCalc!$L$57)*ElevCalc!$L$63),NA())</f>
        <v/>
      </c>
      <c r="M255">
        <f>IF(ElevCalc!$L$45,(ElevCalc!$L$58*ElevCalc!$L$63+9),NA())</f>
        <v/>
      </c>
      <c r="P255" t="inlineStr">
        <is>
          <t>dimW</t>
        </is>
      </c>
      <c r="Q255">
        <f>IF(ElevCalc!$Q$45,(ElevCalc!$Q$64+(ElevCalc!$Q$57)*ElevCalc!$Q$63),NA())</f>
        <v/>
      </c>
      <c r="R255">
        <f>IF(ElevCalc!$Q$45,(ElevCalc!$Q$58*ElevCalc!$Q$63+9),NA())</f>
        <v/>
      </c>
      <c r="U255" t="inlineStr">
        <is>
          <t>dimW</t>
        </is>
      </c>
      <c r="V255">
        <f>IF(ElevCalc!$V$45,(ElevCalc!$V$64+(ElevCalc!$V$57)*ElevCalc!$V$63),NA())</f>
        <v/>
      </c>
      <c r="W255">
        <f>IF(ElevCalc!$V$45,(ElevCalc!$V$58*ElevCalc!$V$63+9),NA())</f>
        <v/>
      </c>
      <c r="Z255" t="inlineStr">
        <is>
          <t>dimW</t>
        </is>
      </c>
      <c r="AA255">
        <f>IF(ElevCalc!$AA$45,(ElevCalc!$AA$64+(ElevCalc!$AA$57)*ElevCalc!$AA$63),NA())</f>
        <v/>
      </c>
      <c r="AB255">
        <f>IF(ElevCalc!$AA$45,(ElevCalc!$AA$58*ElevCalc!$AA$63+9),NA())</f>
        <v/>
      </c>
      <c r="AE255" t="inlineStr">
        <is>
          <t>dimW</t>
        </is>
      </c>
      <c r="AF255">
        <f>IF(ElevCalc!$AF$45,(ElevCalc!$AF$64+(ElevCalc!$AF$57)*ElevCalc!$AF$63),NA())</f>
        <v/>
      </c>
      <c r="AG255">
        <f>IF(ElevCalc!$AF$45,(ElevCalc!$AF$58*ElevCalc!$AF$63+9),NA())</f>
        <v/>
      </c>
    </row>
    <row r="256">
      <c r="A256" t="inlineStr">
        <is>
          <t>dimW</t>
        </is>
      </c>
      <c r="B256">
        <f>IF(ElevCalc!$B$45,(ElevCalc!$B$64+(ElevCalc!$B$57)*ElevCalc!$B$63),NA())</f>
        <v/>
      </c>
      <c r="C256">
        <f>IF(ElevCalc!$B$45,(ElevCalc!$B$58*ElevCalc!$B$63+9)+3,NA())</f>
        <v/>
      </c>
      <c r="F256" t="inlineStr">
        <is>
          <t>dimW</t>
        </is>
      </c>
      <c r="G256">
        <f>IF(ElevCalc!$G$45,(ElevCalc!$G$64+(ElevCalc!$G$57)*ElevCalc!$G$63),NA())</f>
        <v/>
      </c>
      <c r="H256">
        <f>IF(ElevCalc!$G$45,(ElevCalc!$G$58*ElevCalc!$G$63+9)+3,NA())</f>
        <v/>
      </c>
      <c r="K256" t="inlineStr">
        <is>
          <t>dimW</t>
        </is>
      </c>
      <c r="L256">
        <f>IF(ElevCalc!$L$45,(ElevCalc!$L$64+(ElevCalc!$L$57)*ElevCalc!$L$63),NA())</f>
        <v/>
      </c>
      <c r="M256">
        <f>IF(ElevCalc!$L$45,(ElevCalc!$L$58*ElevCalc!$L$63+9)+3,NA())</f>
        <v/>
      </c>
      <c r="P256" t="inlineStr">
        <is>
          <t>dimW</t>
        </is>
      </c>
      <c r="Q256">
        <f>IF(ElevCalc!$Q$45,(ElevCalc!$Q$64+(ElevCalc!$Q$57)*ElevCalc!$Q$63),NA())</f>
        <v/>
      </c>
      <c r="R256">
        <f>IF(ElevCalc!$Q$45,(ElevCalc!$Q$58*ElevCalc!$Q$63+9)+3,NA())</f>
        <v/>
      </c>
      <c r="U256" t="inlineStr">
        <is>
          <t>dimW</t>
        </is>
      </c>
      <c r="V256">
        <f>IF(ElevCalc!$V$45,(ElevCalc!$V$64+(ElevCalc!$V$57)*ElevCalc!$V$63),NA())</f>
        <v/>
      </c>
      <c r="W256">
        <f>IF(ElevCalc!$V$45,(ElevCalc!$V$58*ElevCalc!$V$63+9)+3,NA())</f>
        <v/>
      </c>
      <c r="Z256" t="inlineStr">
        <is>
          <t>dimW</t>
        </is>
      </c>
      <c r="AA256">
        <f>IF(ElevCalc!$AA$45,(ElevCalc!$AA$64+(ElevCalc!$AA$57)*ElevCalc!$AA$63),NA())</f>
        <v/>
      </c>
      <c r="AB256">
        <f>IF(ElevCalc!$AA$45,(ElevCalc!$AA$58*ElevCalc!$AA$63+9)+3,NA())</f>
        <v/>
      </c>
      <c r="AE256" t="inlineStr">
        <is>
          <t>dimW</t>
        </is>
      </c>
      <c r="AF256">
        <f>IF(ElevCalc!$AF$45,(ElevCalc!$AF$64+(ElevCalc!$AF$57)*ElevCalc!$AF$63),NA())</f>
        <v/>
      </c>
      <c r="AG256">
        <f>IF(ElevCalc!$AF$45,(ElevCalc!$AF$58*ElevCalc!$AF$63+9)+3,NA())</f>
        <v/>
      </c>
    </row>
    <row r="257">
      <c r="A257" t="inlineStr">
        <is>
          <t>dimW</t>
        </is>
      </c>
      <c r="B257">
        <f>IF(ElevCalc!$B$45,(ElevCalc!$B$64+(ElevCalc!$B$57)*ElevCalc!$B$63),NA())</f>
        <v/>
      </c>
      <c r="C257">
        <f>IF(ElevCalc!$B$45,(ElevCalc!$B$58*ElevCalc!$B$63+9)-3,NA())</f>
        <v/>
      </c>
      <c r="F257" t="inlineStr">
        <is>
          <t>dimW</t>
        </is>
      </c>
      <c r="G257">
        <f>IF(ElevCalc!$G$45,(ElevCalc!$G$64+(ElevCalc!$G$57)*ElevCalc!$G$63),NA())</f>
        <v/>
      </c>
      <c r="H257">
        <f>IF(ElevCalc!$G$45,(ElevCalc!$G$58*ElevCalc!$G$63+9)-3,NA())</f>
        <v/>
      </c>
      <c r="K257" t="inlineStr">
        <is>
          <t>dimW</t>
        </is>
      </c>
      <c r="L257">
        <f>IF(ElevCalc!$L$45,(ElevCalc!$L$64+(ElevCalc!$L$57)*ElevCalc!$L$63),NA())</f>
        <v/>
      </c>
      <c r="M257">
        <f>IF(ElevCalc!$L$45,(ElevCalc!$L$58*ElevCalc!$L$63+9)-3,NA())</f>
        <v/>
      </c>
      <c r="P257" t="inlineStr">
        <is>
          <t>dimW</t>
        </is>
      </c>
      <c r="Q257">
        <f>IF(ElevCalc!$Q$45,(ElevCalc!$Q$64+(ElevCalc!$Q$57)*ElevCalc!$Q$63),NA())</f>
        <v/>
      </c>
      <c r="R257">
        <f>IF(ElevCalc!$Q$45,(ElevCalc!$Q$58*ElevCalc!$Q$63+9)-3,NA())</f>
        <v/>
      </c>
      <c r="U257" t="inlineStr">
        <is>
          <t>dimW</t>
        </is>
      </c>
      <c r="V257">
        <f>IF(ElevCalc!$V$45,(ElevCalc!$V$64+(ElevCalc!$V$57)*ElevCalc!$V$63),NA())</f>
        <v/>
      </c>
      <c r="W257">
        <f>IF(ElevCalc!$V$45,(ElevCalc!$V$58*ElevCalc!$V$63+9)-3,NA())</f>
        <v/>
      </c>
      <c r="Z257" t="inlineStr">
        <is>
          <t>dimW</t>
        </is>
      </c>
      <c r="AA257">
        <f>IF(ElevCalc!$AA$45,(ElevCalc!$AA$64+(ElevCalc!$AA$57)*ElevCalc!$AA$63),NA())</f>
        <v/>
      </c>
      <c r="AB257">
        <f>IF(ElevCalc!$AA$45,(ElevCalc!$AA$58*ElevCalc!$AA$63+9)-3,NA())</f>
        <v/>
      </c>
      <c r="AE257" t="inlineStr">
        <is>
          <t>dimW</t>
        </is>
      </c>
      <c r="AF257">
        <f>IF(ElevCalc!$AF$45,(ElevCalc!$AF$64+(ElevCalc!$AF$57)*ElevCalc!$AF$63),NA())</f>
        <v/>
      </c>
      <c r="AG257">
        <f>IF(ElevCalc!$AF$45,(ElevCalc!$AF$58*ElevCalc!$AF$63+9)-3,NA())</f>
        <v/>
      </c>
    </row>
    <row r="259">
      <c r="A259" t="inlineStr">
        <is>
          <t>labW</t>
        </is>
      </c>
      <c r="B259">
        <f>IF(ElevCalc!$B$45,(ElevCalc!$B$64+(ElevCalc!$B$57/2)*ElevCalc!$B$63),NA())</f>
        <v/>
      </c>
      <c r="C259">
        <f>IF(ElevCalc!$B$45,(ElevCalc!$B$58*ElevCalc!$B$63+9),NA())</f>
        <v/>
      </c>
      <c r="D259">
        <f>ElevCalc!$B$92</f>
        <v/>
      </c>
      <c r="F259" t="inlineStr">
        <is>
          <t>labW</t>
        </is>
      </c>
      <c r="G259">
        <f>IF(ElevCalc!$G$45,(ElevCalc!$G$64+(ElevCalc!$G$57/2)*ElevCalc!$G$63),NA())</f>
        <v/>
      </c>
      <c r="H259">
        <f>IF(ElevCalc!$G$45,(ElevCalc!$G$58*ElevCalc!$G$63+9),NA())</f>
        <v/>
      </c>
      <c r="I259">
        <f>ElevCalc!$G$92</f>
        <v/>
      </c>
      <c r="K259" t="inlineStr">
        <is>
          <t>labW</t>
        </is>
      </c>
      <c r="L259">
        <f>IF(ElevCalc!$L$45,(ElevCalc!$L$64+(ElevCalc!$L$57/2)*ElevCalc!$L$63),NA())</f>
        <v/>
      </c>
      <c r="M259">
        <f>IF(ElevCalc!$L$45,(ElevCalc!$L$58*ElevCalc!$L$63+9),NA())</f>
        <v/>
      </c>
      <c r="N259">
        <f>ElevCalc!$L$92</f>
        <v/>
      </c>
      <c r="P259" t="inlineStr">
        <is>
          <t>labW</t>
        </is>
      </c>
      <c r="Q259">
        <f>IF(ElevCalc!$Q$45,(ElevCalc!$Q$64+(ElevCalc!$Q$57/2)*ElevCalc!$Q$63),NA())</f>
        <v/>
      </c>
      <c r="R259">
        <f>IF(ElevCalc!$Q$45,(ElevCalc!$Q$58*ElevCalc!$Q$63+9),NA())</f>
        <v/>
      </c>
      <c r="S259">
        <f>ElevCalc!$Q$92</f>
        <v/>
      </c>
      <c r="U259" t="inlineStr">
        <is>
          <t>labW</t>
        </is>
      </c>
      <c r="V259">
        <f>IF(ElevCalc!$V$45,(ElevCalc!$V$64+(ElevCalc!$V$57/2)*ElevCalc!$V$63),NA())</f>
        <v/>
      </c>
      <c r="W259">
        <f>IF(ElevCalc!$V$45,(ElevCalc!$V$58*ElevCalc!$V$63+9),NA())</f>
        <v/>
      </c>
      <c r="X259">
        <f>ElevCalc!$V$92</f>
        <v/>
      </c>
      <c r="Z259" t="inlineStr">
        <is>
          <t>labW</t>
        </is>
      </c>
      <c r="AA259">
        <f>IF(ElevCalc!$AA$45,(ElevCalc!$AA$64+(ElevCalc!$AA$57/2)*ElevCalc!$AA$63),NA())</f>
        <v/>
      </c>
      <c r="AB259">
        <f>IF(ElevCalc!$AA$45,(ElevCalc!$AA$58*ElevCalc!$AA$63+9),NA())</f>
        <v/>
      </c>
      <c r="AC259">
        <f>ElevCalc!$AA$92</f>
        <v/>
      </c>
      <c r="AE259" t="inlineStr">
        <is>
          <t>labW</t>
        </is>
      </c>
      <c r="AF259">
        <f>IF(ElevCalc!$AF$45,(ElevCalc!$AF$64+(ElevCalc!$AF$57/2)*ElevCalc!$AF$63),NA())</f>
        <v/>
      </c>
      <c r="AG259">
        <f>IF(ElevCalc!$AF$45,(ElevCalc!$AF$58*ElevCalc!$AF$63+9),NA())</f>
        <v/>
      </c>
      <c r="AH259">
        <f>ElevCalc!$AF$92</f>
        <v/>
      </c>
    </row>
    <row r="261">
      <c r="A261" t="inlineStr">
        <is>
          <t>dimOW</t>
        </is>
      </c>
      <c r="B261">
        <f>IF(ElevCalc!$B$45,(ElevCalc!$B$64+(ElevCalc!$B$59)*ElevCalc!$B$63),NA())</f>
        <v/>
      </c>
      <c r="C261">
        <f>IF(ElevCalc!$B$45,(-9)-3,NA())</f>
        <v/>
      </c>
      <c r="F261" t="inlineStr">
        <is>
          <t>dimOW</t>
        </is>
      </c>
      <c r="G261">
        <f>IF(ElevCalc!$G$45,(ElevCalc!$G$64+(ElevCalc!$G$59)*ElevCalc!$G$63),NA())</f>
        <v/>
      </c>
      <c r="H261">
        <f>IF(ElevCalc!$G$45,(-9)-3,NA())</f>
        <v/>
      </c>
      <c r="K261" t="inlineStr">
        <is>
          <t>dimOW</t>
        </is>
      </c>
      <c r="L261">
        <f>IF(ElevCalc!$L$45,(ElevCalc!$L$64+(ElevCalc!$L$59)*ElevCalc!$L$63),NA())</f>
        <v/>
      </c>
      <c r="M261">
        <f>IF(ElevCalc!$L$45,(-9)-3,NA())</f>
        <v/>
      </c>
      <c r="P261" t="inlineStr">
        <is>
          <t>dimOW</t>
        </is>
      </c>
      <c r="Q261">
        <f>IF(ElevCalc!$Q$45,(ElevCalc!$Q$64+(ElevCalc!$Q$59)*ElevCalc!$Q$63),NA())</f>
        <v/>
      </c>
      <c r="R261">
        <f>IF(ElevCalc!$Q$45,(-9)-3,NA())</f>
        <v/>
      </c>
      <c r="U261" t="inlineStr">
        <is>
          <t>dimOW</t>
        </is>
      </c>
      <c r="V261">
        <f>IF(ElevCalc!$V$45,(ElevCalc!$V$64+(ElevCalc!$V$59)*ElevCalc!$V$63),NA())</f>
        <v/>
      </c>
      <c r="W261">
        <f>IF(ElevCalc!$V$45,(-9)-3,NA())</f>
        <v/>
      </c>
      <c r="Z261" t="inlineStr">
        <is>
          <t>dimOW</t>
        </is>
      </c>
      <c r="AA261">
        <f>IF(ElevCalc!$AA$45,(ElevCalc!$AA$64+(ElevCalc!$AA$59)*ElevCalc!$AA$63),NA())</f>
        <v/>
      </c>
      <c r="AB261">
        <f>IF(ElevCalc!$AA$45,(-9)-3,NA())</f>
        <v/>
      </c>
      <c r="AE261" t="inlineStr">
        <is>
          <t>dimOW</t>
        </is>
      </c>
      <c r="AF261">
        <f>IF(ElevCalc!$AF$45,(ElevCalc!$AF$64+(ElevCalc!$AF$59)*ElevCalc!$AF$63),NA())</f>
        <v/>
      </c>
      <c r="AG261">
        <f>IF(ElevCalc!$AF$45,(-9)-3,NA())</f>
        <v/>
      </c>
    </row>
    <row r="262">
      <c r="A262" t="inlineStr">
        <is>
          <t>dimOW</t>
        </is>
      </c>
      <c r="B262">
        <f>IF(ElevCalc!$B$45,(ElevCalc!$B$64+(ElevCalc!$B$59)*ElevCalc!$B$63),NA())</f>
        <v/>
      </c>
      <c r="C262">
        <f>IF(ElevCalc!$B$45,(-9)+3,NA())</f>
        <v/>
      </c>
      <c r="F262" t="inlineStr">
        <is>
          <t>dimOW</t>
        </is>
      </c>
      <c r="G262">
        <f>IF(ElevCalc!$G$45,(ElevCalc!$G$64+(ElevCalc!$G$59)*ElevCalc!$G$63),NA())</f>
        <v/>
      </c>
      <c r="H262">
        <f>IF(ElevCalc!$G$45,(-9)+3,NA())</f>
        <v/>
      </c>
      <c r="K262" t="inlineStr">
        <is>
          <t>dimOW</t>
        </is>
      </c>
      <c r="L262">
        <f>IF(ElevCalc!$L$45,(ElevCalc!$L$64+(ElevCalc!$L$59)*ElevCalc!$L$63),NA())</f>
        <v/>
      </c>
      <c r="M262">
        <f>IF(ElevCalc!$L$45,(-9)+3,NA())</f>
        <v/>
      </c>
      <c r="P262" t="inlineStr">
        <is>
          <t>dimOW</t>
        </is>
      </c>
      <c r="Q262">
        <f>IF(ElevCalc!$Q$45,(ElevCalc!$Q$64+(ElevCalc!$Q$59)*ElevCalc!$Q$63),NA())</f>
        <v/>
      </c>
      <c r="R262">
        <f>IF(ElevCalc!$Q$45,(-9)+3,NA())</f>
        <v/>
      </c>
      <c r="U262" t="inlineStr">
        <is>
          <t>dimOW</t>
        </is>
      </c>
      <c r="V262">
        <f>IF(ElevCalc!$V$45,(ElevCalc!$V$64+(ElevCalc!$V$59)*ElevCalc!$V$63),NA())</f>
        <v/>
      </c>
      <c r="W262">
        <f>IF(ElevCalc!$V$45,(-9)+3,NA())</f>
        <v/>
      </c>
      <c r="Z262" t="inlineStr">
        <is>
          <t>dimOW</t>
        </is>
      </c>
      <c r="AA262">
        <f>IF(ElevCalc!$AA$45,(ElevCalc!$AA$64+(ElevCalc!$AA$59)*ElevCalc!$AA$63),NA())</f>
        <v/>
      </c>
      <c r="AB262">
        <f>IF(ElevCalc!$AA$45,(-9)+3,NA())</f>
        <v/>
      </c>
      <c r="AE262" t="inlineStr">
        <is>
          <t>dimOW</t>
        </is>
      </c>
      <c r="AF262">
        <f>IF(ElevCalc!$AF$45,(ElevCalc!$AF$64+(ElevCalc!$AF$59)*ElevCalc!$AF$63),NA())</f>
        <v/>
      </c>
      <c r="AG262">
        <f>IF(ElevCalc!$AF$45,(-9)+3,NA())</f>
        <v/>
      </c>
    </row>
    <row r="263">
      <c r="A263" t="inlineStr">
        <is>
          <t>dimOW</t>
        </is>
      </c>
      <c r="B263">
        <f>IF(ElevCalc!$B$45,(ElevCalc!$B$64+(ElevCalc!$B$59)*ElevCalc!$B$63),NA())</f>
        <v/>
      </c>
      <c r="C263">
        <f>IF(ElevCalc!$B$45,(-9),NA())</f>
        <v/>
      </c>
      <c r="F263" t="inlineStr">
        <is>
          <t>dimOW</t>
        </is>
      </c>
      <c r="G263">
        <f>IF(ElevCalc!$G$45,(ElevCalc!$G$64+(ElevCalc!$G$59)*ElevCalc!$G$63),NA())</f>
        <v/>
      </c>
      <c r="H263">
        <f>IF(ElevCalc!$G$45,(-9),NA())</f>
        <v/>
      </c>
      <c r="K263" t="inlineStr">
        <is>
          <t>dimOW</t>
        </is>
      </c>
      <c r="L263">
        <f>IF(ElevCalc!$L$45,(ElevCalc!$L$64+(ElevCalc!$L$59)*ElevCalc!$L$63),NA())</f>
        <v/>
      </c>
      <c r="M263">
        <f>IF(ElevCalc!$L$45,(-9),NA())</f>
        <v/>
      </c>
      <c r="P263" t="inlineStr">
        <is>
          <t>dimOW</t>
        </is>
      </c>
      <c r="Q263">
        <f>IF(ElevCalc!$Q$45,(ElevCalc!$Q$64+(ElevCalc!$Q$59)*ElevCalc!$Q$63),NA())</f>
        <v/>
      </c>
      <c r="R263">
        <f>IF(ElevCalc!$Q$45,(-9),NA())</f>
        <v/>
      </c>
      <c r="U263" t="inlineStr">
        <is>
          <t>dimOW</t>
        </is>
      </c>
      <c r="V263">
        <f>IF(ElevCalc!$V$45,(ElevCalc!$V$64+(ElevCalc!$V$59)*ElevCalc!$V$63),NA())</f>
        <v/>
      </c>
      <c r="W263">
        <f>IF(ElevCalc!$V$45,(-9),NA())</f>
        <v/>
      </c>
      <c r="Z263" t="inlineStr">
        <is>
          <t>dimOW</t>
        </is>
      </c>
      <c r="AA263">
        <f>IF(ElevCalc!$AA$45,(ElevCalc!$AA$64+(ElevCalc!$AA$59)*ElevCalc!$AA$63),NA())</f>
        <v/>
      </c>
      <c r="AB263">
        <f>IF(ElevCalc!$AA$45,(-9),NA())</f>
        <v/>
      </c>
      <c r="AE263" t="inlineStr">
        <is>
          <t>dimOW</t>
        </is>
      </c>
      <c r="AF263">
        <f>IF(ElevCalc!$AF$45,(ElevCalc!$AF$64+(ElevCalc!$AF$59)*ElevCalc!$AF$63),NA())</f>
        <v/>
      </c>
      <c r="AG263">
        <f>IF(ElevCalc!$AF$45,(-9),NA())</f>
        <v/>
      </c>
    </row>
    <row r="264">
      <c r="A264" t="inlineStr">
        <is>
          <t>dimOW</t>
        </is>
      </c>
      <c r="B264">
        <f>IF(ElevCalc!$B$45,(ElevCalc!$B$64+(ElevCalc!$B$60)*ElevCalc!$B$63),NA())</f>
        <v/>
      </c>
      <c r="C264">
        <f>IF(ElevCalc!$B$45,(-9),NA())</f>
        <v/>
      </c>
      <c r="F264" t="inlineStr">
        <is>
          <t>dimOW</t>
        </is>
      </c>
      <c r="G264">
        <f>IF(ElevCalc!$G$45,(ElevCalc!$G$64+(ElevCalc!$G$60)*ElevCalc!$G$63),NA())</f>
        <v/>
      </c>
      <c r="H264">
        <f>IF(ElevCalc!$G$45,(-9),NA())</f>
        <v/>
      </c>
      <c r="K264" t="inlineStr">
        <is>
          <t>dimOW</t>
        </is>
      </c>
      <c r="L264">
        <f>IF(ElevCalc!$L$45,(ElevCalc!$L$64+(ElevCalc!$L$60)*ElevCalc!$L$63),NA())</f>
        <v/>
      </c>
      <c r="M264">
        <f>IF(ElevCalc!$L$45,(-9),NA())</f>
        <v/>
      </c>
      <c r="P264" t="inlineStr">
        <is>
          <t>dimOW</t>
        </is>
      </c>
      <c r="Q264">
        <f>IF(ElevCalc!$Q$45,(ElevCalc!$Q$64+(ElevCalc!$Q$60)*ElevCalc!$Q$63),NA())</f>
        <v/>
      </c>
      <c r="R264">
        <f>IF(ElevCalc!$Q$45,(-9),NA())</f>
        <v/>
      </c>
      <c r="U264" t="inlineStr">
        <is>
          <t>dimOW</t>
        </is>
      </c>
      <c r="V264">
        <f>IF(ElevCalc!$V$45,(ElevCalc!$V$64+(ElevCalc!$V$60)*ElevCalc!$V$63),NA())</f>
        <v/>
      </c>
      <c r="W264">
        <f>IF(ElevCalc!$V$45,(-9),NA())</f>
        <v/>
      </c>
      <c r="Z264" t="inlineStr">
        <is>
          <t>dimOW</t>
        </is>
      </c>
      <c r="AA264">
        <f>IF(ElevCalc!$AA$45,(ElevCalc!$AA$64+(ElevCalc!$AA$60)*ElevCalc!$AA$63),NA())</f>
        <v/>
      </c>
      <c r="AB264">
        <f>IF(ElevCalc!$AA$45,(-9),NA())</f>
        <v/>
      </c>
      <c r="AE264" t="inlineStr">
        <is>
          <t>dimOW</t>
        </is>
      </c>
      <c r="AF264">
        <f>IF(ElevCalc!$AF$45,(ElevCalc!$AF$64+(ElevCalc!$AF$60)*ElevCalc!$AF$63),NA())</f>
        <v/>
      </c>
      <c r="AG264">
        <f>IF(ElevCalc!$AF$45,(-9),NA())</f>
        <v/>
      </c>
    </row>
    <row r="265">
      <c r="A265" t="inlineStr">
        <is>
          <t>dimOW</t>
        </is>
      </c>
      <c r="B265">
        <f>IF(ElevCalc!$B$45,(ElevCalc!$B$64+(ElevCalc!$B$60)*ElevCalc!$B$63),NA())</f>
        <v/>
      </c>
      <c r="C265">
        <f>IF(ElevCalc!$B$45,(-9)+3,NA())</f>
        <v/>
      </c>
      <c r="F265" t="inlineStr">
        <is>
          <t>dimOW</t>
        </is>
      </c>
      <c r="G265">
        <f>IF(ElevCalc!$G$45,(ElevCalc!$G$64+(ElevCalc!$G$60)*ElevCalc!$G$63),NA())</f>
        <v/>
      </c>
      <c r="H265">
        <f>IF(ElevCalc!$G$45,(-9)+3,NA())</f>
        <v/>
      </c>
      <c r="K265" t="inlineStr">
        <is>
          <t>dimOW</t>
        </is>
      </c>
      <c r="L265">
        <f>IF(ElevCalc!$L$45,(ElevCalc!$L$64+(ElevCalc!$L$60)*ElevCalc!$L$63),NA())</f>
        <v/>
      </c>
      <c r="M265">
        <f>IF(ElevCalc!$L$45,(-9)+3,NA())</f>
        <v/>
      </c>
      <c r="P265" t="inlineStr">
        <is>
          <t>dimOW</t>
        </is>
      </c>
      <c r="Q265">
        <f>IF(ElevCalc!$Q$45,(ElevCalc!$Q$64+(ElevCalc!$Q$60)*ElevCalc!$Q$63),NA())</f>
        <v/>
      </c>
      <c r="R265">
        <f>IF(ElevCalc!$Q$45,(-9)+3,NA())</f>
        <v/>
      </c>
      <c r="U265" t="inlineStr">
        <is>
          <t>dimOW</t>
        </is>
      </c>
      <c r="V265">
        <f>IF(ElevCalc!$V$45,(ElevCalc!$V$64+(ElevCalc!$V$60)*ElevCalc!$V$63),NA())</f>
        <v/>
      </c>
      <c r="W265">
        <f>IF(ElevCalc!$V$45,(-9)+3,NA())</f>
        <v/>
      </c>
      <c r="Z265" t="inlineStr">
        <is>
          <t>dimOW</t>
        </is>
      </c>
      <c r="AA265">
        <f>IF(ElevCalc!$AA$45,(ElevCalc!$AA$64+(ElevCalc!$AA$60)*ElevCalc!$AA$63),NA())</f>
        <v/>
      </c>
      <c r="AB265">
        <f>IF(ElevCalc!$AA$45,(-9)+3,NA())</f>
        <v/>
      </c>
      <c r="AE265" t="inlineStr">
        <is>
          <t>dimOW</t>
        </is>
      </c>
      <c r="AF265">
        <f>IF(ElevCalc!$AF$45,(ElevCalc!$AF$64+(ElevCalc!$AF$60)*ElevCalc!$AF$63),NA())</f>
        <v/>
      </c>
      <c r="AG265">
        <f>IF(ElevCalc!$AF$45,(-9)+3,NA())</f>
        <v/>
      </c>
    </row>
    <row r="266">
      <c r="A266" t="inlineStr">
        <is>
          <t>dimOW</t>
        </is>
      </c>
      <c r="B266">
        <f>IF(ElevCalc!$B$45,(ElevCalc!$B$64+(ElevCalc!$B$60)*ElevCalc!$B$63),NA())</f>
        <v/>
      </c>
      <c r="C266">
        <f>IF(ElevCalc!$B$45,(-9)-3,NA())</f>
        <v/>
      </c>
      <c r="F266" t="inlineStr">
        <is>
          <t>dimOW</t>
        </is>
      </c>
      <c r="G266">
        <f>IF(ElevCalc!$G$45,(ElevCalc!$G$64+(ElevCalc!$G$60)*ElevCalc!$G$63),NA())</f>
        <v/>
      </c>
      <c r="H266">
        <f>IF(ElevCalc!$G$45,(-9)-3,NA())</f>
        <v/>
      </c>
      <c r="K266" t="inlineStr">
        <is>
          <t>dimOW</t>
        </is>
      </c>
      <c r="L266">
        <f>IF(ElevCalc!$L$45,(ElevCalc!$L$64+(ElevCalc!$L$60)*ElevCalc!$L$63),NA())</f>
        <v/>
      </c>
      <c r="M266">
        <f>IF(ElevCalc!$L$45,(-9)-3,NA())</f>
        <v/>
      </c>
      <c r="P266" t="inlineStr">
        <is>
          <t>dimOW</t>
        </is>
      </c>
      <c r="Q266">
        <f>IF(ElevCalc!$Q$45,(ElevCalc!$Q$64+(ElevCalc!$Q$60)*ElevCalc!$Q$63),NA())</f>
        <v/>
      </c>
      <c r="R266">
        <f>IF(ElevCalc!$Q$45,(-9)-3,NA())</f>
        <v/>
      </c>
      <c r="U266" t="inlineStr">
        <is>
          <t>dimOW</t>
        </is>
      </c>
      <c r="V266">
        <f>IF(ElevCalc!$V$45,(ElevCalc!$V$64+(ElevCalc!$V$60)*ElevCalc!$V$63),NA())</f>
        <v/>
      </c>
      <c r="W266">
        <f>IF(ElevCalc!$V$45,(-9)-3,NA())</f>
        <v/>
      </c>
      <c r="Z266" t="inlineStr">
        <is>
          <t>dimOW</t>
        </is>
      </c>
      <c r="AA266">
        <f>IF(ElevCalc!$AA$45,(ElevCalc!$AA$64+(ElevCalc!$AA$60)*ElevCalc!$AA$63),NA())</f>
        <v/>
      </c>
      <c r="AB266">
        <f>IF(ElevCalc!$AA$45,(-9)-3,NA())</f>
        <v/>
      </c>
      <c r="AE266" t="inlineStr">
        <is>
          <t>dimOW</t>
        </is>
      </c>
      <c r="AF266">
        <f>IF(ElevCalc!$AF$45,(ElevCalc!$AF$64+(ElevCalc!$AF$60)*ElevCalc!$AF$63),NA())</f>
        <v/>
      </c>
      <c r="AG266">
        <f>IF(ElevCalc!$AF$45,(-9)-3,NA())</f>
        <v/>
      </c>
    </row>
    <row r="268">
      <c r="A268" t="inlineStr">
        <is>
          <t>labOW</t>
        </is>
      </c>
      <c r="B268">
        <f>IF(ElevCalc!$B$45,(ElevCalc!$B$64+((ElevCalc!$B$59+ElevCalc!$B$60)/2)*ElevCalc!$B$63),NA())</f>
        <v/>
      </c>
      <c r="C268">
        <f>IF(ElevCalc!$B$45,(-9),NA())</f>
        <v/>
      </c>
      <c r="D268">
        <f>ElevCalc!$B$93</f>
        <v/>
      </c>
      <c r="F268" t="inlineStr">
        <is>
          <t>labOW</t>
        </is>
      </c>
      <c r="G268">
        <f>IF(ElevCalc!$G$45,(ElevCalc!$G$64+((ElevCalc!$G$59+ElevCalc!$G$60)/2)*ElevCalc!$G$63),NA())</f>
        <v/>
      </c>
      <c r="H268">
        <f>IF(ElevCalc!$G$45,(-9),NA())</f>
        <v/>
      </c>
      <c r="I268">
        <f>ElevCalc!$G$93</f>
        <v/>
      </c>
      <c r="K268" t="inlineStr">
        <is>
          <t>labOW</t>
        </is>
      </c>
      <c r="L268">
        <f>IF(ElevCalc!$L$45,(ElevCalc!$L$64+((ElevCalc!$L$59+ElevCalc!$L$60)/2)*ElevCalc!$L$63),NA())</f>
        <v/>
      </c>
      <c r="M268">
        <f>IF(ElevCalc!$L$45,(-9),NA())</f>
        <v/>
      </c>
      <c r="N268">
        <f>ElevCalc!$L$93</f>
        <v/>
      </c>
      <c r="P268" t="inlineStr">
        <is>
          <t>labOW</t>
        </is>
      </c>
      <c r="Q268">
        <f>IF(ElevCalc!$Q$45,(ElevCalc!$Q$64+((ElevCalc!$Q$59+ElevCalc!$Q$60)/2)*ElevCalc!$Q$63),NA())</f>
        <v/>
      </c>
      <c r="R268">
        <f>IF(ElevCalc!$Q$45,(-9),NA())</f>
        <v/>
      </c>
      <c r="S268">
        <f>ElevCalc!$Q$93</f>
        <v/>
      </c>
      <c r="U268" t="inlineStr">
        <is>
          <t>labOW</t>
        </is>
      </c>
      <c r="V268">
        <f>IF(ElevCalc!$V$45,(ElevCalc!$V$64+((ElevCalc!$V$59+ElevCalc!$V$60)/2)*ElevCalc!$V$63),NA())</f>
        <v/>
      </c>
      <c r="W268">
        <f>IF(ElevCalc!$V$45,(-9),NA())</f>
        <v/>
      </c>
      <c r="X268">
        <f>ElevCalc!$V$93</f>
        <v/>
      </c>
      <c r="Z268" t="inlineStr">
        <is>
          <t>labOW</t>
        </is>
      </c>
      <c r="AA268">
        <f>IF(ElevCalc!$AA$45,(ElevCalc!$AA$64+((ElevCalc!$AA$59+ElevCalc!$AA$60)/2)*ElevCalc!$AA$63),NA())</f>
        <v/>
      </c>
      <c r="AB268">
        <f>IF(ElevCalc!$AA$45,(-9),NA())</f>
        <v/>
      </c>
      <c r="AC268">
        <f>ElevCalc!$AA$93</f>
        <v/>
      </c>
      <c r="AE268" t="inlineStr">
        <is>
          <t>labOW</t>
        </is>
      </c>
      <c r="AF268">
        <f>IF(ElevCalc!$AF$45,(ElevCalc!$AF$64+((ElevCalc!$AF$59+ElevCalc!$AF$60)/2)*ElevCalc!$AF$63),NA())</f>
        <v/>
      </c>
      <c r="AG268">
        <f>IF(ElevCalc!$AF$45,(-9),NA())</f>
        <v/>
      </c>
      <c r="AH268">
        <f>ElevCalc!$AF$93</f>
        <v/>
      </c>
    </row>
    <row r="270">
      <c r="A270" t="inlineStr">
        <is>
          <t>dimH</t>
        </is>
      </c>
      <c r="B270">
        <f>IF(ElevCalc!$B$45,(ElevCalc!$B$64+ElevCalc!$B$57*ElevCalc!$B$63+9)-3,NA())</f>
        <v/>
      </c>
      <c r="C270">
        <f>IF(ElevCalc!$B$45,((0)*ElevCalc!$B$63),NA())</f>
        <v/>
      </c>
      <c r="F270" t="inlineStr">
        <is>
          <t>dimH</t>
        </is>
      </c>
      <c r="G270">
        <f>IF(ElevCalc!$G$45,(ElevCalc!$G$64+ElevCalc!$G$57*ElevCalc!$G$63+9)-3,NA())</f>
        <v/>
      </c>
      <c r="H270">
        <f>IF(ElevCalc!$G$45,((0)*ElevCalc!$G$63),NA())</f>
        <v/>
      </c>
      <c r="K270" t="inlineStr">
        <is>
          <t>dimH</t>
        </is>
      </c>
      <c r="L270">
        <f>IF(ElevCalc!$L$45,(ElevCalc!$L$64+ElevCalc!$L$57*ElevCalc!$L$63+9)-3,NA())</f>
        <v/>
      </c>
      <c r="M270">
        <f>IF(ElevCalc!$L$45,((0)*ElevCalc!$L$63),NA())</f>
        <v/>
      </c>
      <c r="P270" t="inlineStr">
        <is>
          <t>dimH</t>
        </is>
      </c>
      <c r="Q270">
        <f>IF(ElevCalc!$Q$45,(ElevCalc!$Q$64+ElevCalc!$Q$57*ElevCalc!$Q$63+9)-3,NA())</f>
        <v/>
      </c>
      <c r="R270">
        <f>IF(ElevCalc!$Q$45,((0)*ElevCalc!$Q$63),NA())</f>
        <v/>
      </c>
      <c r="U270" t="inlineStr">
        <is>
          <t>dimH</t>
        </is>
      </c>
      <c r="V270">
        <f>IF(ElevCalc!$V$45,(ElevCalc!$V$64+ElevCalc!$V$57*ElevCalc!$V$63+9)-3,NA())</f>
        <v/>
      </c>
      <c r="W270">
        <f>IF(ElevCalc!$V$45,((0)*ElevCalc!$V$63),NA())</f>
        <v/>
      </c>
      <c r="Z270" t="inlineStr">
        <is>
          <t>dimH</t>
        </is>
      </c>
      <c r="AA270">
        <f>IF(ElevCalc!$AA$45,(ElevCalc!$AA$64+ElevCalc!$AA$57*ElevCalc!$AA$63+9)-3,NA())</f>
        <v/>
      </c>
      <c r="AB270">
        <f>IF(ElevCalc!$AA$45,((0)*ElevCalc!$AA$63),NA())</f>
        <v/>
      </c>
      <c r="AE270" t="inlineStr">
        <is>
          <t>dimH</t>
        </is>
      </c>
      <c r="AF270">
        <f>IF(ElevCalc!$AF$45,(ElevCalc!$AF$64+ElevCalc!$AF$57*ElevCalc!$AF$63+9)-3,NA())</f>
        <v/>
      </c>
      <c r="AG270">
        <f>IF(ElevCalc!$AF$45,((0)*ElevCalc!$AF$63),NA())</f>
        <v/>
      </c>
    </row>
    <row r="271">
      <c r="A271" t="inlineStr">
        <is>
          <t>dimH</t>
        </is>
      </c>
      <c r="B271">
        <f>IF(ElevCalc!$B$45,(ElevCalc!$B$64+ElevCalc!$B$57*ElevCalc!$B$63+9)+3,NA())</f>
        <v/>
      </c>
      <c r="C271">
        <f>IF(ElevCalc!$B$45,((0)*ElevCalc!$B$63),NA())</f>
        <v/>
      </c>
      <c r="F271" t="inlineStr">
        <is>
          <t>dimH</t>
        </is>
      </c>
      <c r="G271">
        <f>IF(ElevCalc!$G$45,(ElevCalc!$G$64+ElevCalc!$G$57*ElevCalc!$G$63+9)+3,NA())</f>
        <v/>
      </c>
      <c r="H271">
        <f>IF(ElevCalc!$G$45,((0)*ElevCalc!$G$63),NA())</f>
        <v/>
      </c>
      <c r="K271" t="inlineStr">
        <is>
          <t>dimH</t>
        </is>
      </c>
      <c r="L271">
        <f>IF(ElevCalc!$L$45,(ElevCalc!$L$64+ElevCalc!$L$57*ElevCalc!$L$63+9)+3,NA())</f>
        <v/>
      </c>
      <c r="M271">
        <f>IF(ElevCalc!$L$45,((0)*ElevCalc!$L$63),NA())</f>
        <v/>
      </c>
      <c r="P271" t="inlineStr">
        <is>
          <t>dimH</t>
        </is>
      </c>
      <c r="Q271">
        <f>IF(ElevCalc!$Q$45,(ElevCalc!$Q$64+ElevCalc!$Q$57*ElevCalc!$Q$63+9)+3,NA())</f>
        <v/>
      </c>
      <c r="R271">
        <f>IF(ElevCalc!$Q$45,((0)*ElevCalc!$Q$63),NA())</f>
        <v/>
      </c>
      <c r="U271" t="inlineStr">
        <is>
          <t>dimH</t>
        </is>
      </c>
      <c r="V271">
        <f>IF(ElevCalc!$V$45,(ElevCalc!$V$64+ElevCalc!$V$57*ElevCalc!$V$63+9)+3,NA())</f>
        <v/>
      </c>
      <c r="W271">
        <f>IF(ElevCalc!$V$45,((0)*ElevCalc!$V$63),NA())</f>
        <v/>
      </c>
      <c r="Z271" t="inlineStr">
        <is>
          <t>dimH</t>
        </is>
      </c>
      <c r="AA271">
        <f>IF(ElevCalc!$AA$45,(ElevCalc!$AA$64+ElevCalc!$AA$57*ElevCalc!$AA$63+9)+3,NA())</f>
        <v/>
      </c>
      <c r="AB271">
        <f>IF(ElevCalc!$AA$45,((0)*ElevCalc!$AA$63),NA())</f>
        <v/>
      </c>
      <c r="AE271" t="inlineStr">
        <is>
          <t>dimH</t>
        </is>
      </c>
      <c r="AF271">
        <f>IF(ElevCalc!$AF$45,(ElevCalc!$AF$64+ElevCalc!$AF$57*ElevCalc!$AF$63+9)+3,NA())</f>
        <v/>
      </c>
      <c r="AG271">
        <f>IF(ElevCalc!$AF$45,((0)*ElevCalc!$AF$63),NA())</f>
        <v/>
      </c>
    </row>
    <row r="272">
      <c r="A272" t="inlineStr">
        <is>
          <t>dimH</t>
        </is>
      </c>
      <c r="B272">
        <f>IF(ElevCalc!$B$45,(ElevCalc!$B$64+ElevCalc!$B$57*ElevCalc!$B$63+9),NA())</f>
        <v/>
      </c>
      <c r="C272">
        <f>IF(ElevCalc!$B$45,((0)*ElevCalc!$B$63),NA())</f>
        <v/>
      </c>
      <c r="F272" t="inlineStr">
        <is>
          <t>dimH</t>
        </is>
      </c>
      <c r="G272">
        <f>IF(ElevCalc!$G$45,(ElevCalc!$G$64+ElevCalc!$G$57*ElevCalc!$G$63+9),NA())</f>
        <v/>
      </c>
      <c r="H272">
        <f>IF(ElevCalc!$G$45,((0)*ElevCalc!$G$63),NA())</f>
        <v/>
      </c>
      <c r="K272" t="inlineStr">
        <is>
          <t>dimH</t>
        </is>
      </c>
      <c r="L272">
        <f>IF(ElevCalc!$L$45,(ElevCalc!$L$64+ElevCalc!$L$57*ElevCalc!$L$63+9),NA())</f>
        <v/>
      </c>
      <c r="M272">
        <f>IF(ElevCalc!$L$45,((0)*ElevCalc!$L$63),NA())</f>
        <v/>
      </c>
      <c r="P272" t="inlineStr">
        <is>
          <t>dimH</t>
        </is>
      </c>
      <c r="Q272">
        <f>IF(ElevCalc!$Q$45,(ElevCalc!$Q$64+ElevCalc!$Q$57*ElevCalc!$Q$63+9),NA())</f>
        <v/>
      </c>
      <c r="R272">
        <f>IF(ElevCalc!$Q$45,((0)*ElevCalc!$Q$63),NA())</f>
        <v/>
      </c>
      <c r="U272" t="inlineStr">
        <is>
          <t>dimH</t>
        </is>
      </c>
      <c r="V272">
        <f>IF(ElevCalc!$V$45,(ElevCalc!$V$64+ElevCalc!$V$57*ElevCalc!$V$63+9),NA())</f>
        <v/>
      </c>
      <c r="W272">
        <f>IF(ElevCalc!$V$45,((0)*ElevCalc!$V$63),NA())</f>
        <v/>
      </c>
      <c r="Z272" t="inlineStr">
        <is>
          <t>dimH</t>
        </is>
      </c>
      <c r="AA272">
        <f>IF(ElevCalc!$AA$45,(ElevCalc!$AA$64+ElevCalc!$AA$57*ElevCalc!$AA$63+9),NA())</f>
        <v/>
      </c>
      <c r="AB272">
        <f>IF(ElevCalc!$AA$45,((0)*ElevCalc!$AA$63),NA())</f>
        <v/>
      </c>
      <c r="AE272" t="inlineStr">
        <is>
          <t>dimH</t>
        </is>
      </c>
      <c r="AF272">
        <f>IF(ElevCalc!$AF$45,(ElevCalc!$AF$64+ElevCalc!$AF$57*ElevCalc!$AF$63+9),NA())</f>
        <v/>
      </c>
      <c r="AG272">
        <f>IF(ElevCalc!$AF$45,((0)*ElevCalc!$AF$63),NA())</f>
        <v/>
      </c>
    </row>
    <row r="273">
      <c r="A273" t="inlineStr">
        <is>
          <t>dimH</t>
        </is>
      </c>
      <c r="B273">
        <f>IF(ElevCalc!$B$45,(ElevCalc!$B$64+ElevCalc!$B$57*ElevCalc!$B$63+9),NA())</f>
        <v/>
      </c>
      <c r="C273">
        <f>IF(ElevCalc!$B$45,((ElevCalc!$B$58)*ElevCalc!$B$63),NA())</f>
        <v/>
      </c>
      <c r="F273" t="inlineStr">
        <is>
          <t>dimH</t>
        </is>
      </c>
      <c r="G273">
        <f>IF(ElevCalc!$G$45,(ElevCalc!$G$64+ElevCalc!$G$57*ElevCalc!$G$63+9),NA())</f>
        <v/>
      </c>
      <c r="H273">
        <f>IF(ElevCalc!$G$45,((ElevCalc!$G$58)*ElevCalc!$G$63),NA())</f>
        <v/>
      </c>
      <c r="K273" t="inlineStr">
        <is>
          <t>dimH</t>
        </is>
      </c>
      <c r="L273">
        <f>IF(ElevCalc!$L$45,(ElevCalc!$L$64+ElevCalc!$L$57*ElevCalc!$L$63+9),NA())</f>
        <v/>
      </c>
      <c r="M273">
        <f>IF(ElevCalc!$L$45,((ElevCalc!$L$58)*ElevCalc!$L$63),NA())</f>
        <v/>
      </c>
      <c r="P273" t="inlineStr">
        <is>
          <t>dimH</t>
        </is>
      </c>
      <c r="Q273">
        <f>IF(ElevCalc!$Q$45,(ElevCalc!$Q$64+ElevCalc!$Q$57*ElevCalc!$Q$63+9),NA())</f>
        <v/>
      </c>
      <c r="R273">
        <f>IF(ElevCalc!$Q$45,((ElevCalc!$Q$58)*ElevCalc!$Q$63),NA())</f>
        <v/>
      </c>
      <c r="U273" t="inlineStr">
        <is>
          <t>dimH</t>
        </is>
      </c>
      <c r="V273">
        <f>IF(ElevCalc!$V$45,(ElevCalc!$V$64+ElevCalc!$V$57*ElevCalc!$V$63+9),NA())</f>
        <v/>
      </c>
      <c r="W273">
        <f>IF(ElevCalc!$V$45,((ElevCalc!$V$58)*ElevCalc!$V$63),NA())</f>
        <v/>
      </c>
      <c r="Z273" t="inlineStr">
        <is>
          <t>dimH</t>
        </is>
      </c>
      <c r="AA273">
        <f>IF(ElevCalc!$AA$45,(ElevCalc!$AA$64+ElevCalc!$AA$57*ElevCalc!$AA$63+9),NA())</f>
        <v/>
      </c>
      <c r="AB273">
        <f>IF(ElevCalc!$AA$45,((ElevCalc!$AA$58)*ElevCalc!$AA$63),NA())</f>
        <v/>
      </c>
      <c r="AE273" t="inlineStr">
        <is>
          <t>dimH</t>
        </is>
      </c>
      <c r="AF273">
        <f>IF(ElevCalc!$AF$45,(ElevCalc!$AF$64+ElevCalc!$AF$57*ElevCalc!$AF$63+9),NA())</f>
        <v/>
      </c>
      <c r="AG273">
        <f>IF(ElevCalc!$AF$45,((ElevCalc!$AF$58)*ElevCalc!$AF$63),NA())</f>
        <v/>
      </c>
    </row>
    <row r="274">
      <c r="A274" t="inlineStr">
        <is>
          <t>dimH</t>
        </is>
      </c>
      <c r="B274">
        <f>IF(ElevCalc!$B$45,(ElevCalc!$B$64+ElevCalc!$B$57*ElevCalc!$B$63+9)+3,NA())</f>
        <v/>
      </c>
      <c r="C274">
        <f>IF(ElevCalc!$B$45,((ElevCalc!$B$58)*ElevCalc!$B$63),NA())</f>
        <v/>
      </c>
      <c r="F274" t="inlineStr">
        <is>
          <t>dimH</t>
        </is>
      </c>
      <c r="G274">
        <f>IF(ElevCalc!$G$45,(ElevCalc!$G$64+ElevCalc!$G$57*ElevCalc!$G$63+9)+3,NA())</f>
        <v/>
      </c>
      <c r="H274">
        <f>IF(ElevCalc!$G$45,((ElevCalc!$G$58)*ElevCalc!$G$63),NA())</f>
        <v/>
      </c>
      <c r="K274" t="inlineStr">
        <is>
          <t>dimH</t>
        </is>
      </c>
      <c r="L274">
        <f>IF(ElevCalc!$L$45,(ElevCalc!$L$64+ElevCalc!$L$57*ElevCalc!$L$63+9)+3,NA())</f>
        <v/>
      </c>
      <c r="M274">
        <f>IF(ElevCalc!$L$45,((ElevCalc!$L$58)*ElevCalc!$L$63),NA())</f>
        <v/>
      </c>
      <c r="P274" t="inlineStr">
        <is>
          <t>dimH</t>
        </is>
      </c>
      <c r="Q274">
        <f>IF(ElevCalc!$Q$45,(ElevCalc!$Q$64+ElevCalc!$Q$57*ElevCalc!$Q$63+9)+3,NA())</f>
        <v/>
      </c>
      <c r="R274">
        <f>IF(ElevCalc!$Q$45,((ElevCalc!$Q$58)*ElevCalc!$Q$63),NA())</f>
        <v/>
      </c>
      <c r="U274" t="inlineStr">
        <is>
          <t>dimH</t>
        </is>
      </c>
      <c r="V274">
        <f>IF(ElevCalc!$V$45,(ElevCalc!$V$64+ElevCalc!$V$57*ElevCalc!$V$63+9)+3,NA())</f>
        <v/>
      </c>
      <c r="W274">
        <f>IF(ElevCalc!$V$45,((ElevCalc!$V$58)*ElevCalc!$V$63),NA())</f>
        <v/>
      </c>
      <c r="Z274" t="inlineStr">
        <is>
          <t>dimH</t>
        </is>
      </c>
      <c r="AA274">
        <f>IF(ElevCalc!$AA$45,(ElevCalc!$AA$64+ElevCalc!$AA$57*ElevCalc!$AA$63+9)+3,NA())</f>
        <v/>
      </c>
      <c r="AB274">
        <f>IF(ElevCalc!$AA$45,((ElevCalc!$AA$58)*ElevCalc!$AA$63),NA())</f>
        <v/>
      </c>
      <c r="AE274" t="inlineStr">
        <is>
          <t>dimH</t>
        </is>
      </c>
      <c r="AF274">
        <f>IF(ElevCalc!$AF$45,(ElevCalc!$AF$64+ElevCalc!$AF$57*ElevCalc!$AF$63+9)+3,NA())</f>
        <v/>
      </c>
      <c r="AG274">
        <f>IF(ElevCalc!$AF$45,((ElevCalc!$AF$58)*ElevCalc!$AF$63),NA())</f>
        <v/>
      </c>
    </row>
    <row r="275">
      <c r="A275" t="inlineStr">
        <is>
          <t>dimH</t>
        </is>
      </c>
      <c r="B275">
        <f>IF(ElevCalc!$B$45,(ElevCalc!$B$64+ElevCalc!$B$57*ElevCalc!$B$63+9)-3,NA())</f>
        <v/>
      </c>
      <c r="C275">
        <f>IF(ElevCalc!$B$45,((ElevCalc!$B$58)*ElevCalc!$B$63),NA())</f>
        <v/>
      </c>
      <c r="F275" t="inlineStr">
        <is>
          <t>dimH</t>
        </is>
      </c>
      <c r="G275">
        <f>IF(ElevCalc!$G$45,(ElevCalc!$G$64+ElevCalc!$G$57*ElevCalc!$G$63+9)-3,NA())</f>
        <v/>
      </c>
      <c r="H275">
        <f>IF(ElevCalc!$G$45,((ElevCalc!$G$58)*ElevCalc!$G$63),NA())</f>
        <v/>
      </c>
      <c r="K275" t="inlineStr">
        <is>
          <t>dimH</t>
        </is>
      </c>
      <c r="L275">
        <f>IF(ElevCalc!$L$45,(ElevCalc!$L$64+ElevCalc!$L$57*ElevCalc!$L$63+9)-3,NA())</f>
        <v/>
      </c>
      <c r="M275">
        <f>IF(ElevCalc!$L$45,((ElevCalc!$L$58)*ElevCalc!$L$63),NA())</f>
        <v/>
      </c>
      <c r="P275" t="inlineStr">
        <is>
          <t>dimH</t>
        </is>
      </c>
      <c r="Q275">
        <f>IF(ElevCalc!$Q$45,(ElevCalc!$Q$64+ElevCalc!$Q$57*ElevCalc!$Q$63+9)-3,NA())</f>
        <v/>
      </c>
      <c r="R275">
        <f>IF(ElevCalc!$Q$45,((ElevCalc!$Q$58)*ElevCalc!$Q$63),NA())</f>
        <v/>
      </c>
      <c r="U275" t="inlineStr">
        <is>
          <t>dimH</t>
        </is>
      </c>
      <c r="V275">
        <f>IF(ElevCalc!$V$45,(ElevCalc!$V$64+ElevCalc!$V$57*ElevCalc!$V$63+9)-3,NA())</f>
        <v/>
      </c>
      <c r="W275">
        <f>IF(ElevCalc!$V$45,((ElevCalc!$V$58)*ElevCalc!$V$63),NA())</f>
        <v/>
      </c>
      <c r="Z275" t="inlineStr">
        <is>
          <t>dimH</t>
        </is>
      </c>
      <c r="AA275">
        <f>IF(ElevCalc!$AA$45,(ElevCalc!$AA$64+ElevCalc!$AA$57*ElevCalc!$AA$63+9)-3,NA())</f>
        <v/>
      </c>
      <c r="AB275">
        <f>IF(ElevCalc!$AA$45,((ElevCalc!$AA$58)*ElevCalc!$AA$63),NA())</f>
        <v/>
      </c>
      <c r="AE275" t="inlineStr">
        <is>
          <t>dimH</t>
        </is>
      </c>
      <c r="AF275">
        <f>IF(ElevCalc!$AF$45,(ElevCalc!$AF$64+ElevCalc!$AF$57*ElevCalc!$AF$63+9)-3,NA())</f>
        <v/>
      </c>
      <c r="AG275">
        <f>IF(ElevCalc!$AF$45,((ElevCalc!$AF$58)*ElevCalc!$AF$63),NA())</f>
        <v/>
      </c>
    </row>
    <row r="277">
      <c r="A277" t="inlineStr">
        <is>
          <t>labH</t>
        </is>
      </c>
      <c r="B277">
        <f>IF(ElevCalc!$B$45,(ElevCalc!$B$64+ElevCalc!$B$57*ElevCalc!$B$63+9),NA())</f>
        <v/>
      </c>
      <c r="C277">
        <f>IF(ElevCalc!$B$45,((ElevCalc!$B$58/2)*ElevCalc!$B$63),NA())</f>
        <v/>
      </c>
      <c r="D277">
        <f>ElevCalc!$B$94</f>
        <v/>
      </c>
      <c r="F277" t="inlineStr">
        <is>
          <t>labH</t>
        </is>
      </c>
      <c r="G277">
        <f>IF(ElevCalc!$G$45,(ElevCalc!$G$64+ElevCalc!$G$57*ElevCalc!$G$63+9),NA())</f>
        <v/>
      </c>
      <c r="H277">
        <f>IF(ElevCalc!$G$45,((ElevCalc!$G$58/2)*ElevCalc!$G$63),NA())</f>
        <v/>
      </c>
      <c r="I277">
        <f>ElevCalc!$G$94</f>
        <v/>
      </c>
      <c r="K277" t="inlineStr">
        <is>
          <t>labH</t>
        </is>
      </c>
      <c r="L277">
        <f>IF(ElevCalc!$L$45,(ElevCalc!$L$64+ElevCalc!$L$57*ElevCalc!$L$63+9),NA())</f>
        <v/>
      </c>
      <c r="M277">
        <f>IF(ElevCalc!$L$45,((ElevCalc!$L$58/2)*ElevCalc!$L$63),NA())</f>
        <v/>
      </c>
      <c r="N277">
        <f>ElevCalc!$L$94</f>
        <v/>
      </c>
      <c r="P277" t="inlineStr">
        <is>
          <t>labH</t>
        </is>
      </c>
      <c r="Q277">
        <f>IF(ElevCalc!$Q$45,(ElevCalc!$Q$64+ElevCalc!$Q$57*ElevCalc!$Q$63+9),NA())</f>
        <v/>
      </c>
      <c r="R277">
        <f>IF(ElevCalc!$Q$45,((ElevCalc!$Q$58/2)*ElevCalc!$Q$63),NA())</f>
        <v/>
      </c>
      <c r="S277">
        <f>ElevCalc!$Q$94</f>
        <v/>
      </c>
      <c r="U277" t="inlineStr">
        <is>
          <t>labH</t>
        </is>
      </c>
      <c r="V277">
        <f>IF(ElevCalc!$V$45,(ElevCalc!$V$64+ElevCalc!$V$57*ElevCalc!$V$63+9),NA())</f>
        <v/>
      </c>
      <c r="W277">
        <f>IF(ElevCalc!$V$45,((ElevCalc!$V$58/2)*ElevCalc!$V$63),NA())</f>
        <v/>
      </c>
      <c r="X277">
        <f>ElevCalc!$V$94</f>
        <v/>
      </c>
      <c r="Z277" t="inlineStr">
        <is>
          <t>labH</t>
        </is>
      </c>
      <c r="AA277">
        <f>IF(ElevCalc!$AA$45,(ElevCalc!$AA$64+ElevCalc!$AA$57*ElevCalc!$AA$63+9),NA())</f>
        <v/>
      </c>
      <c r="AB277">
        <f>IF(ElevCalc!$AA$45,((ElevCalc!$AA$58/2)*ElevCalc!$AA$63),NA())</f>
        <v/>
      </c>
      <c r="AC277">
        <f>ElevCalc!$AA$94</f>
        <v/>
      </c>
      <c r="AE277" t="inlineStr">
        <is>
          <t>labH</t>
        </is>
      </c>
      <c r="AF277">
        <f>IF(ElevCalc!$AF$45,(ElevCalc!$AF$64+ElevCalc!$AF$57*ElevCalc!$AF$63+9),NA())</f>
        <v/>
      </c>
      <c r="AG277">
        <f>IF(ElevCalc!$AF$45,((ElevCalc!$AF$58/2)*ElevCalc!$AF$63),NA())</f>
        <v/>
      </c>
      <c r="AH277">
        <f>ElevCalc!$AF$94</f>
        <v/>
      </c>
    </row>
    <row r="279">
      <c r="A279" t="inlineStr">
        <is>
          <t>dimOH</t>
        </is>
      </c>
      <c r="B279">
        <f>IF(ElevCalc!$B$45,(ElevCalc!$B$64-9)-3,NA())</f>
        <v/>
      </c>
      <c r="C279">
        <f>IF(ElevCalc!$B$45,((ElevCalc!$B$61)*ElevCalc!$B$63),NA())</f>
        <v/>
      </c>
      <c r="F279" t="inlineStr">
        <is>
          <t>dimOH</t>
        </is>
      </c>
      <c r="G279">
        <f>IF(ElevCalc!$G$45,(ElevCalc!$G$64-9)-3,NA())</f>
        <v/>
      </c>
      <c r="H279">
        <f>IF(ElevCalc!$G$45,((ElevCalc!$G$61)*ElevCalc!$G$63),NA())</f>
        <v/>
      </c>
      <c r="K279" t="inlineStr">
        <is>
          <t>dimOH</t>
        </is>
      </c>
      <c r="L279">
        <f>IF(ElevCalc!$L$45,(ElevCalc!$L$64-9)-3,NA())</f>
        <v/>
      </c>
      <c r="M279">
        <f>IF(ElevCalc!$L$45,((ElevCalc!$L$61)*ElevCalc!$L$63),NA())</f>
        <v/>
      </c>
      <c r="P279" t="inlineStr">
        <is>
          <t>dimOH</t>
        </is>
      </c>
      <c r="Q279">
        <f>IF(ElevCalc!$Q$45,(ElevCalc!$Q$64-9)-3,NA())</f>
        <v/>
      </c>
      <c r="R279">
        <f>IF(ElevCalc!$Q$45,((ElevCalc!$Q$61)*ElevCalc!$Q$63),NA())</f>
        <v/>
      </c>
      <c r="U279" t="inlineStr">
        <is>
          <t>dimOH</t>
        </is>
      </c>
      <c r="V279">
        <f>IF(ElevCalc!$V$45,(ElevCalc!$V$64-9)-3,NA())</f>
        <v/>
      </c>
      <c r="W279">
        <f>IF(ElevCalc!$V$45,((ElevCalc!$V$61)*ElevCalc!$V$63),NA())</f>
        <v/>
      </c>
      <c r="Z279" t="inlineStr">
        <is>
          <t>dimOH</t>
        </is>
      </c>
      <c r="AA279">
        <f>IF(ElevCalc!$AA$45,(ElevCalc!$AA$64-9)-3,NA())</f>
        <v/>
      </c>
      <c r="AB279">
        <f>IF(ElevCalc!$AA$45,((ElevCalc!$AA$61)*ElevCalc!$AA$63),NA())</f>
        <v/>
      </c>
      <c r="AE279" t="inlineStr">
        <is>
          <t>dimOH</t>
        </is>
      </c>
      <c r="AF279">
        <f>IF(ElevCalc!$AF$45,(ElevCalc!$AF$64-9)-3,NA())</f>
        <v/>
      </c>
      <c r="AG279">
        <f>IF(ElevCalc!$AF$45,((ElevCalc!$AF$61)*ElevCalc!$AF$63),NA())</f>
        <v/>
      </c>
    </row>
    <row r="280">
      <c r="A280" t="inlineStr">
        <is>
          <t>dimOH</t>
        </is>
      </c>
      <c r="B280">
        <f>IF(ElevCalc!$B$45,(ElevCalc!$B$64-9)+3,NA())</f>
        <v/>
      </c>
      <c r="C280">
        <f>IF(ElevCalc!$B$45,((ElevCalc!$B$61)*ElevCalc!$B$63),NA())</f>
        <v/>
      </c>
      <c r="F280" t="inlineStr">
        <is>
          <t>dimOH</t>
        </is>
      </c>
      <c r="G280">
        <f>IF(ElevCalc!$G$45,(ElevCalc!$G$64-9)+3,NA())</f>
        <v/>
      </c>
      <c r="H280">
        <f>IF(ElevCalc!$G$45,((ElevCalc!$G$61)*ElevCalc!$G$63),NA())</f>
        <v/>
      </c>
      <c r="K280" t="inlineStr">
        <is>
          <t>dimOH</t>
        </is>
      </c>
      <c r="L280">
        <f>IF(ElevCalc!$L$45,(ElevCalc!$L$64-9)+3,NA())</f>
        <v/>
      </c>
      <c r="M280">
        <f>IF(ElevCalc!$L$45,((ElevCalc!$L$61)*ElevCalc!$L$63),NA())</f>
        <v/>
      </c>
      <c r="P280" t="inlineStr">
        <is>
          <t>dimOH</t>
        </is>
      </c>
      <c r="Q280">
        <f>IF(ElevCalc!$Q$45,(ElevCalc!$Q$64-9)+3,NA())</f>
        <v/>
      </c>
      <c r="R280">
        <f>IF(ElevCalc!$Q$45,((ElevCalc!$Q$61)*ElevCalc!$Q$63),NA())</f>
        <v/>
      </c>
      <c r="U280" t="inlineStr">
        <is>
          <t>dimOH</t>
        </is>
      </c>
      <c r="V280">
        <f>IF(ElevCalc!$V$45,(ElevCalc!$V$64-9)+3,NA())</f>
        <v/>
      </c>
      <c r="W280">
        <f>IF(ElevCalc!$V$45,((ElevCalc!$V$61)*ElevCalc!$V$63),NA())</f>
        <v/>
      </c>
      <c r="Z280" t="inlineStr">
        <is>
          <t>dimOH</t>
        </is>
      </c>
      <c r="AA280">
        <f>IF(ElevCalc!$AA$45,(ElevCalc!$AA$64-9)+3,NA())</f>
        <v/>
      </c>
      <c r="AB280">
        <f>IF(ElevCalc!$AA$45,((ElevCalc!$AA$61)*ElevCalc!$AA$63),NA())</f>
        <v/>
      </c>
      <c r="AE280" t="inlineStr">
        <is>
          <t>dimOH</t>
        </is>
      </c>
      <c r="AF280">
        <f>IF(ElevCalc!$AF$45,(ElevCalc!$AF$64-9)+3,NA())</f>
        <v/>
      </c>
      <c r="AG280">
        <f>IF(ElevCalc!$AF$45,((ElevCalc!$AF$61)*ElevCalc!$AF$63),NA())</f>
        <v/>
      </c>
    </row>
    <row r="281">
      <c r="A281" t="inlineStr">
        <is>
          <t>dimOH</t>
        </is>
      </c>
      <c r="B281">
        <f>IF(ElevCalc!$B$45,(ElevCalc!$B$64-9),NA())</f>
        <v/>
      </c>
      <c r="C281">
        <f>IF(ElevCalc!$B$45,((ElevCalc!$B$61)*ElevCalc!$B$63),NA())</f>
        <v/>
      </c>
      <c r="F281" t="inlineStr">
        <is>
          <t>dimOH</t>
        </is>
      </c>
      <c r="G281">
        <f>IF(ElevCalc!$G$45,(ElevCalc!$G$64-9),NA())</f>
        <v/>
      </c>
      <c r="H281">
        <f>IF(ElevCalc!$G$45,((ElevCalc!$G$61)*ElevCalc!$G$63),NA())</f>
        <v/>
      </c>
      <c r="K281" t="inlineStr">
        <is>
          <t>dimOH</t>
        </is>
      </c>
      <c r="L281">
        <f>IF(ElevCalc!$L$45,(ElevCalc!$L$64-9),NA())</f>
        <v/>
      </c>
      <c r="M281">
        <f>IF(ElevCalc!$L$45,((ElevCalc!$L$61)*ElevCalc!$L$63),NA())</f>
        <v/>
      </c>
      <c r="P281" t="inlineStr">
        <is>
          <t>dimOH</t>
        </is>
      </c>
      <c r="Q281">
        <f>IF(ElevCalc!$Q$45,(ElevCalc!$Q$64-9),NA())</f>
        <v/>
      </c>
      <c r="R281">
        <f>IF(ElevCalc!$Q$45,((ElevCalc!$Q$61)*ElevCalc!$Q$63),NA())</f>
        <v/>
      </c>
      <c r="U281" t="inlineStr">
        <is>
          <t>dimOH</t>
        </is>
      </c>
      <c r="V281">
        <f>IF(ElevCalc!$V$45,(ElevCalc!$V$64-9),NA())</f>
        <v/>
      </c>
      <c r="W281">
        <f>IF(ElevCalc!$V$45,((ElevCalc!$V$61)*ElevCalc!$V$63),NA())</f>
        <v/>
      </c>
      <c r="Z281" t="inlineStr">
        <is>
          <t>dimOH</t>
        </is>
      </c>
      <c r="AA281">
        <f>IF(ElevCalc!$AA$45,(ElevCalc!$AA$64-9),NA())</f>
        <v/>
      </c>
      <c r="AB281">
        <f>IF(ElevCalc!$AA$45,((ElevCalc!$AA$61)*ElevCalc!$AA$63),NA())</f>
        <v/>
      </c>
      <c r="AE281" t="inlineStr">
        <is>
          <t>dimOH</t>
        </is>
      </c>
      <c r="AF281">
        <f>IF(ElevCalc!$AF$45,(ElevCalc!$AF$64-9),NA())</f>
        <v/>
      </c>
      <c r="AG281">
        <f>IF(ElevCalc!$AF$45,((ElevCalc!$AF$61)*ElevCalc!$AF$63),NA())</f>
        <v/>
      </c>
    </row>
    <row r="282">
      <c r="A282" t="inlineStr">
        <is>
          <t>dimOH</t>
        </is>
      </c>
      <c r="B282">
        <f>IF(ElevCalc!$B$45,(ElevCalc!$B$64-9),NA())</f>
        <v/>
      </c>
      <c r="C282">
        <f>IF(ElevCalc!$B$45,((ElevCalc!$B$62)*ElevCalc!$B$63),NA())</f>
        <v/>
      </c>
      <c r="F282" t="inlineStr">
        <is>
          <t>dimOH</t>
        </is>
      </c>
      <c r="G282">
        <f>IF(ElevCalc!$G$45,(ElevCalc!$G$64-9),NA())</f>
        <v/>
      </c>
      <c r="H282">
        <f>IF(ElevCalc!$G$45,((ElevCalc!$G$62)*ElevCalc!$G$63),NA())</f>
        <v/>
      </c>
      <c r="K282" t="inlineStr">
        <is>
          <t>dimOH</t>
        </is>
      </c>
      <c r="L282">
        <f>IF(ElevCalc!$L$45,(ElevCalc!$L$64-9),NA())</f>
        <v/>
      </c>
      <c r="M282">
        <f>IF(ElevCalc!$L$45,((ElevCalc!$L$62)*ElevCalc!$L$63),NA())</f>
        <v/>
      </c>
      <c r="P282" t="inlineStr">
        <is>
          <t>dimOH</t>
        </is>
      </c>
      <c r="Q282">
        <f>IF(ElevCalc!$Q$45,(ElevCalc!$Q$64-9),NA())</f>
        <v/>
      </c>
      <c r="R282">
        <f>IF(ElevCalc!$Q$45,((ElevCalc!$Q$62)*ElevCalc!$Q$63),NA())</f>
        <v/>
      </c>
      <c r="U282" t="inlineStr">
        <is>
          <t>dimOH</t>
        </is>
      </c>
      <c r="V282">
        <f>IF(ElevCalc!$V$45,(ElevCalc!$V$64-9),NA())</f>
        <v/>
      </c>
      <c r="W282">
        <f>IF(ElevCalc!$V$45,((ElevCalc!$V$62)*ElevCalc!$V$63),NA())</f>
        <v/>
      </c>
      <c r="Z282" t="inlineStr">
        <is>
          <t>dimOH</t>
        </is>
      </c>
      <c r="AA282">
        <f>IF(ElevCalc!$AA$45,(ElevCalc!$AA$64-9),NA())</f>
        <v/>
      </c>
      <c r="AB282">
        <f>IF(ElevCalc!$AA$45,((ElevCalc!$AA$62)*ElevCalc!$AA$63),NA())</f>
        <v/>
      </c>
      <c r="AE282" t="inlineStr">
        <is>
          <t>dimOH</t>
        </is>
      </c>
      <c r="AF282">
        <f>IF(ElevCalc!$AF$45,(ElevCalc!$AF$64-9),NA())</f>
        <v/>
      </c>
      <c r="AG282">
        <f>IF(ElevCalc!$AF$45,((ElevCalc!$AF$62)*ElevCalc!$AF$63),NA())</f>
        <v/>
      </c>
    </row>
    <row r="283">
      <c r="A283" t="inlineStr">
        <is>
          <t>dimOH</t>
        </is>
      </c>
      <c r="B283">
        <f>IF(ElevCalc!$B$45,(ElevCalc!$B$64-9)+3,NA())</f>
        <v/>
      </c>
      <c r="C283">
        <f>IF(ElevCalc!$B$45,((ElevCalc!$B$62)*ElevCalc!$B$63),NA())</f>
        <v/>
      </c>
      <c r="F283" t="inlineStr">
        <is>
          <t>dimOH</t>
        </is>
      </c>
      <c r="G283">
        <f>IF(ElevCalc!$G$45,(ElevCalc!$G$64-9)+3,NA())</f>
        <v/>
      </c>
      <c r="H283">
        <f>IF(ElevCalc!$G$45,((ElevCalc!$G$62)*ElevCalc!$G$63),NA())</f>
        <v/>
      </c>
      <c r="K283" t="inlineStr">
        <is>
          <t>dimOH</t>
        </is>
      </c>
      <c r="L283">
        <f>IF(ElevCalc!$L$45,(ElevCalc!$L$64-9)+3,NA())</f>
        <v/>
      </c>
      <c r="M283">
        <f>IF(ElevCalc!$L$45,((ElevCalc!$L$62)*ElevCalc!$L$63),NA())</f>
        <v/>
      </c>
      <c r="P283" t="inlineStr">
        <is>
          <t>dimOH</t>
        </is>
      </c>
      <c r="Q283">
        <f>IF(ElevCalc!$Q$45,(ElevCalc!$Q$64-9)+3,NA())</f>
        <v/>
      </c>
      <c r="R283">
        <f>IF(ElevCalc!$Q$45,((ElevCalc!$Q$62)*ElevCalc!$Q$63),NA())</f>
        <v/>
      </c>
      <c r="U283" t="inlineStr">
        <is>
          <t>dimOH</t>
        </is>
      </c>
      <c r="V283">
        <f>IF(ElevCalc!$V$45,(ElevCalc!$V$64-9)+3,NA())</f>
        <v/>
      </c>
      <c r="W283">
        <f>IF(ElevCalc!$V$45,((ElevCalc!$V$62)*ElevCalc!$V$63),NA())</f>
        <v/>
      </c>
      <c r="Z283" t="inlineStr">
        <is>
          <t>dimOH</t>
        </is>
      </c>
      <c r="AA283">
        <f>IF(ElevCalc!$AA$45,(ElevCalc!$AA$64-9)+3,NA())</f>
        <v/>
      </c>
      <c r="AB283">
        <f>IF(ElevCalc!$AA$45,((ElevCalc!$AA$62)*ElevCalc!$AA$63),NA())</f>
        <v/>
      </c>
      <c r="AE283" t="inlineStr">
        <is>
          <t>dimOH</t>
        </is>
      </c>
      <c r="AF283">
        <f>IF(ElevCalc!$AF$45,(ElevCalc!$AF$64-9)+3,NA())</f>
        <v/>
      </c>
      <c r="AG283">
        <f>IF(ElevCalc!$AF$45,((ElevCalc!$AF$62)*ElevCalc!$AF$63),NA())</f>
        <v/>
      </c>
    </row>
    <row r="284">
      <c r="A284" t="inlineStr">
        <is>
          <t>dimOH</t>
        </is>
      </c>
      <c r="B284">
        <f>IF(ElevCalc!$B$45,(ElevCalc!$B$64-9)-3,NA())</f>
        <v/>
      </c>
      <c r="C284">
        <f>IF(ElevCalc!$B$45,((ElevCalc!$B$62)*ElevCalc!$B$63),NA())</f>
        <v/>
      </c>
      <c r="F284" t="inlineStr">
        <is>
          <t>dimOH</t>
        </is>
      </c>
      <c r="G284">
        <f>IF(ElevCalc!$G$45,(ElevCalc!$G$64-9)-3,NA())</f>
        <v/>
      </c>
      <c r="H284">
        <f>IF(ElevCalc!$G$45,((ElevCalc!$G$62)*ElevCalc!$G$63),NA())</f>
        <v/>
      </c>
      <c r="K284" t="inlineStr">
        <is>
          <t>dimOH</t>
        </is>
      </c>
      <c r="L284">
        <f>IF(ElevCalc!$L$45,(ElevCalc!$L$64-9)-3,NA())</f>
        <v/>
      </c>
      <c r="M284">
        <f>IF(ElevCalc!$L$45,((ElevCalc!$L$62)*ElevCalc!$L$63),NA())</f>
        <v/>
      </c>
      <c r="P284" t="inlineStr">
        <is>
          <t>dimOH</t>
        </is>
      </c>
      <c r="Q284">
        <f>IF(ElevCalc!$Q$45,(ElevCalc!$Q$64-9)-3,NA())</f>
        <v/>
      </c>
      <c r="R284">
        <f>IF(ElevCalc!$Q$45,((ElevCalc!$Q$62)*ElevCalc!$Q$63),NA())</f>
        <v/>
      </c>
      <c r="U284" t="inlineStr">
        <is>
          <t>dimOH</t>
        </is>
      </c>
      <c r="V284">
        <f>IF(ElevCalc!$V$45,(ElevCalc!$V$64-9)-3,NA())</f>
        <v/>
      </c>
      <c r="W284">
        <f>IF(ElevCalc!$V$45,((ElevCalc!$V$62)*ElevCalc!$V$63),NA())</f>
        <v/>
      </c>
      <c r="Z284" t="inlineStr">
        <is>
          <t>dimOH</t>
        </is>
      </c>
      <c r="AA284">
        <f>IF(ElevCalc!$AA$45,(ElevCalc!$AA$64-9)-3,NA())</f>
        <v/>
      </c>
      <c r="AB284">
        <f>IF(ElevCalc!$AA$45,((ElevCalc!$AA$62)*ElevCalc!$AA$63),NA())</f>
        <v/>
      </c>
      <c r="AE284" t="inlineStr">
        <is>
          <t>dimOH</t>
        </is>
      </c>
      <c r="AF284">
        <f>IF(ElevCalc!$AF$45,(ElevCalc!$AF$64-9)-3,NA())</f>
        <v/>
      </c>
      <c r="AG284">
        <f>IF(ElevCalc!$AF$45,((ElevCalc!$AF$62)*ElevCalc!$AF$63),NA())</f>
        <v/>
      </c>
    </row>
    <row r="286">
      <c r="A286" t="inlineStr">
        <is>
          <t>labOH</t>
        </is>
      </c>
      <c r="B286">
        <f>IF(ElevCalc!$B$45,(ElevCalc!$B$64-9),NA())</f>
        <v/>
      </c>
      <c r="C286">
        <f>IF(ElevCalc!$B$45,(((ElevCalc!$B$61+ElevCalc!$B$62)/2)*ElevCalc!$B$63),NA())</f>
        <v/>
      </c>
      <c r="D286">
        <f>ElevCalc!$B$95</f>
        <v/>
      </c>
      <c r="F286" t="inlineStr">
        <is>
          <t>labOH</t>
        </is>
      </c>
      <c r="G286">
        <f>IF(ElevCalc!$G$45,(ElevCalc!$G$64-9),NA())</f>
        <v/>
      </c>
      <c r="H286">
        <f>IF(ElevCalc!$G$45,(((ElevCalc!$G$61+ElevCalc!$G$62)/2)*ElevCalc!$G$63),NA())</f>
        <v/>
      </c>
      <c r="I286">
        <f>ElevCalc!$G$95</f>
        <v/>
      </c>
      <c r="K286" t="inlineStr">
        <is>
          <t>labOH</t>
        </is>
      </c>
      <c r="L286">
        <f>IF(ElevCalc!$L$45,(ElevCalc!$L$64-9),NA())</f>
        <v/>
      </c>
      <c r="M286">
        <f>IF(ElevCalc!$L$45,(((ElevCalc!$L$61+ElevCalc!$L$62)/2)*ElevCalc!$L$63),NA())</f>
        <v/>
      </c>
      <c r="N286">
        <f>ElevCalc!$L$95</f>
        <v/>
      </c>
      <c r="P286" t="inlineStr">
        <is>
          <t>labOH</t>
        </is>
      </c>
      <c r="Q286">
        <f>IF(ElevCalc!$Q$45,(ElevCalc!$Q$64-9),NA())</f>
        <v/>
      </c>
      <c r="R286">
        <f>IF(ElevCalc!$Q$45,(((ElevCalc!$Q$61+ElevCalc!$Q$62)/2)*ElevCalc!$Q$63),NA())</f>
        <v/>
      </c>
      <c r="S286">
        <f>ElevCalc!$Q$95</f>
        <v/>
      </c>
      <c r="U286" t="inlineStr">
        <is>
          <t>labOH</t>
        </is>
      </c>
      <c r="V286">
        <f>IF(ElevCalc!$V$45,(ElevCalc!$V$64-9),NA())</f>
        <v/>
      </c>
      <c r="W286">
        <f>IF(ElevCalc!$V$45,(((ElevCalc!$V$61+ElevCalc!$V$62)/2)*ElevCalc!$V$63),NA())</f>
        <v/>
      </c>
      <c r="X286">
        <f>ElevCalc!$V$95</f>
        <v/>
      </c>
      <c r="Z286" t="inlineStr">
        <is>
          <t>labOH</t>
        </is>
      </c>
      <c r="AA286">
        <f>IF(ElevCalc!$AA$45,(ElevCalc!$AA$64-9),NA())</f>
        <v/>
      </c>
      <c r="AB286">
        <f>IF(ElevCalc!$AA$45,(((ElevCalc!$AA$61+ElevCalc!$AA$62)/2)*ElevCalc!$AA$63),NA())</f>
        <v/>
      </c>
      <c r="AC286">
        <f>ElevCalc!$AA$95</f>
        <v/>
      </c>
      <c r="AE286" t="inlineStr">
        <is>
          <t>labOH</t>
        </is>
      </c>
      <c r="AF286">
        <f>IF(ElevCalc!$AF$45,(ElevCalc!$AF$64-9),NA())</f>
        <v/>
      </c>
      <c r="AG286">
        <f>IF(ElevCalc!$AF$45,(((ElevCalc!$AF$61+ElevCalc!$AF$62)/2)*ElevCalc!$AF$63),NA())</f>
        <v/>
      </c>
      <c r="AH286">
        <f>ElevCalc!$AF$95</f>
        <v/>
      </c>
    </row>
    <row r="288">
      <c r="A288" t="inlineStr">
        <is>
          <t>labLite</t>
        </is>
      </c>
      <c r="B288">
        <f>IF(ElevCalc!$B$81,(ElevCalc!$B$64+(ElevCalc!$B$84+ElevCalc!$B$79/2)*ElevCalc!$B$63),NA())</f>
        <v/>
      </c>
      <c r="C288">
        <f>IF(ElevCalc!$B$81,((ElevCalc!$B$83)*ElevCalc!$B$63),NA())</f>
        <v/>
      </c>
      <c r="D288">
        <f>ElevCalc!$B$96</f>
        <v/>
      </c>
      <c r="F288" t="inlineStr">
        <is>
          <t>labLite</t>
        </is>
      </c>
      <c r="G288">
        <f>IF(ElevCalc!$G$81,(ElevCalc!$G$64+(ElevCalc!$G$84+ElevCalc!$G$79/2)*ElevCalc!$G$63),NA())</f>
        <v/>
      </c>
      <c r="H288">
        <f>IF(ElevCalc!$G$81,((ElevCalc!$G$83)*ElevCalc!$G$63),NA())</f>
        <v/>
      </c>
      <c r="I288">
        <f>ElevCalc!$G$96</f>
        <v/>
      </c>
      <c r="K288" t="inlineStr">
        <is>
          <t>labLite</t>
        </is>
      </c>
      <c r="L288">
        <f>IF(ElevCalc!$L$81,(ElevCalc!$L$64+(ElevCalc!$L$84+ElevCalc!$L$79/2)*ElevCalc!$L$63),NA())</f>
        <v/>
      </c>
      <c r="M288">
        <f>IF(ElevCalc!$L$81,((ElevCalc!$L$83)*ElevCalc!$L$63),NA())</f>
        <v/>
      </c>
      <c r="N288">
        <f>ElevCalc!$L$96</f>
        <v/>
      </c>
      <c r="P288" t="inlineStr">
        <is>
          <t>labLite</t>
        </is>
      </c>
      <c r="Q288">
        <f>IF(ElevCalc!$Q$81,(ElevCalc!$Q$64+(ElevCalc!$Q$84+ElevCalc!$Q$79/2)*ElevCalc!$Q$63),NA())</f>
        <v/>
      </c>
      <c r="R288">
        <f>IF(ElevCalc!$Q$81,((ElevCalc!$Q$83)*ElevCalc!$Q$63),NA())</f>
        <v/>
      </c>
      <c r="S288">
        <f>ElevCalc!$Q$96</f>
        <v/>
      </c>
      <c r="U288" t="inlineStr">
        <is>
          <t>labLite</t>
        </is>
      </c>
      <c r="V288">
        <f>IF(ElevCalc!$V$81,(ElevCalc!$V$64+(ElevCalc!$V$84+ElevCalc!$V$79/2)*ElevCalc!$V$63),NA())</f>
        <v/>
      </c>
      <c r="W288">
        <f>IF(ElevCalc!$V$81,((ElevCalc!$V$83)*ElevCalc!$V$63),NA())</f>
        <v/>
      </c>
      <c r="X288">
        <f>ElevCalc!$V$96</f>
        <v/>
      </c>
      <c r="Z288" t="inlineStr">
        <is>
          <t>labLite</t>
        </is>
      </c>
      <c r="AA288">
        <f>IF(ElevCalc!$AA$81,(ElevCalc!$AA$64+(ElevCalc!$AA$84+ElevCalc!$AA$79/2)*ElevCalc!$AA$63),NA())</f>
        <v/>
      </c>
      <c r="AB288">
        <f>IF(ElevCalc!$AA$81,((ElevCalc!$AA$83)*ElevCalc!$AA$63),NA())</f>
        <v/>
      </c>
      <c r="AC288">
        <f>ElevCalc!$AA$96</f>
        <v/>
      </c>
      <c r="AE288" t="inlineStr">
        <is>
          <t>labLite</t>
        </is>
      </c>
      <c r="AF288">
        <f>IF(ElevCalc!$AF$81,(ElevCalc!$AF$64+(ElevCalc!$AF$84+ElevCalc!$AF$79/2)*ElevCalc!$AF$63),NA())</f>
        <v/>
      </c>
      <c r="AG288">
        <f>IF(ElevCalc!$AF$81,((ElevCalc!$AF$83)*ElevCalc!$AF$63),NA())</f>
        <v/>
      </c>
      <c r="AH288">
        <f>ElevCalc!$AF$96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2026-10-28T10:22:42Z</dcterms:created>
  <dcterms:modified xmlns:dcterms="http://purl.org/dc/terms/" xmlns:xsi="http://www.w3.org/2001/XMLSchema-instance" xsi:type="dcterms:W3CDTF">2026-10-28T10:22:45Z</dcterms:modified>
</cp:coreProperties>
</file>